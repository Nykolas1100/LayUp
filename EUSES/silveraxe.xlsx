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29445E-5BE5-4FC2-9090-4D648A30901A}" xr6:coauthVersionLast="45" xr6:coauthVersionMax="45" xr10:uidLastSave="{00000000-0000-0000-0000-000000000000}"/>
  <bookViews>
    <workbookView xWindow="1900" yWindow="1900" windowWidth="28800" windowHeight="15460"/>
  </bookViews>
  <sheets>
    <sheet name="Silver Axe" sheetId="1" r:id="rId1"/>
  </sheets>
  <definedNames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_xlnm.Print_Area" localSheetId="0">'Silver Axe'!$A$1:$J$46</definedName>
    <definedName name="Wavelength" hidden="1">{"'Centaurion'!$A$1:$J$46"}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C19" i="1"/>
  <c r="D19" i="1"/>
  <c r="E19" i="1"/>
  <c r="F19" i="1"/>
  <c r="H19" i="1" s="1"/>
  <c r="B20" i="1"/>
  <c r="G20" i="1"/>
  <c r="B21" i="1"/>
  <c r="G21" i="1"/>
  <c r="C22" i="1"/>
  <c r="H22" i="1" s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<sst xmlns="http://schemas.openxmlformats.org/spreadsheetml/2006/main" count="98" uniqueCount="95">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</sst>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6"/>
  <sheetViews>
    <sheetView tabSelected="1" workbookViewId="0">
      <selection activeCell="I15" sqref="I15:J33"/>
    </sheetView>
  </sheetViews>
  <sheetFormatPr defaultRowHeight="12.5" x14ac:dyDescent="0.25"/>
  <cols>
    <col min="1" max="1" width="11.81640625" bestFit="1" customWidth="1"/>
    <col min="2" max="2" width="6" customWidth="1"/>
    <col min="3" max="3" width="5.26953125" customWidth="1"/>
    <col min="4" max="4" width="4.81640625" customWidth="1"/>
    <col min="5" max="5" width="4.54296875" customWidth="1"/>
    <col min="6" max="6" width="8.54296875" customWidth="1"/>
    <col min="7" max="7" width="11.453125" customWidth="1"/>
    <col min="8" max="8" width="7.26953125" customWidth="1"/>
    <col min="9" max="9" width="8.7265625" customWidth="1"/>
    <col min="10" max="10" width="19.1796875" customWidth="1"/>
    <col min="15" max="15" width="6.26953125" customWidth="1"/>
    <col min="16" max="16" width="13.54296875" hidden="1" customWidth="1"/>
    <col min="17" max="17" width="13" bestFit="1" customWidth="1"/>
    <col min="18" max="18" width="4.54296875" bestFit="1" customWidth="1"/>
    <col min="19" max="19" width="5" customWidth="1"/>
    <col min="20" max="20" width="4.81640625" customWidth="1"/>
    <col min="21" max="21" width="4.7265625" customWidth="1"/>
    <col min="22" max="22" width="4.5429687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1640625" customWidth="1"/>
    <col min="35" max="35" width="5.54296875" customWidth="1"/>
    <col min="36" max="36" width="6.26953125" customWidth="1"/>
    <col min="37" max="37" width="4.81640625" customWidth="1"/>
    <col min="38" max="38" width="5.26953125" customWidth="1"/>
    <col min="39" max="39" width="5.54296875" customWidth="1"/>
    <col min="40" max="40" width="5.453125" customWidth="1"/>
    <col min="41" max="41" width="5.1796875" customWidth="1"/>
    <col min="42" max="42" width="5.26953125" customWidth="1"/>
    <col min="43" max="43" width="5.1796875" customWidth="1"/>
    <col min="44" max="44" width="4.81640625" customWidth="1"/>
    <col min="45" max="45" width="4.54296875" customWidth="1"/>
    <col min="46" max="46" width="4.7265625" customWidth="1"/>
    <col min="47" max="47" width="5.26953125" customWidth="1"/>
    <col min="48" max="48" width="4.81640625" customWidth="1"/>
    <col min="49" max="49" width="4.54296875" customWidth="1"/>
  </cols>
  <sheetData>
    <row r="1" spans="1:49" ht="13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ht="13" x14ac:dyDescent="0.3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ht="13" x14ac:dyDescent="0.3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ht="13" x14ac:dyDescent="0.3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ht="13" x14ac:dyDescent="0.3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5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5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5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5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5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5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5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" thickBot="1" x14ac:dyDescent="0.3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ht="13" x14ac:dyDescent="0.3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ht="13" x14ac:dyDescent="0.3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ht="13" x14ac:dyDescent="0.3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ht="13" x14ac:dyDescent="0.3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ht="13" x14ac:dyDescent="0.3">
      <c r="A19" s="1" t="s">
        <v>50</v>
      </c>
      <c r="B19">
        <f>HLOOKUP(B16,R5:AW15,2,TRUE)</f>
        <v>2.4</v>
      </c>
      <c r="C19">
        <f>HLOOKUP(G16,R5:AW15,3,TRUE)</f>
        <v>1.4</v>
      </c>
      <c r="D19">
        <f>HLOOKUP(G17,R5:AW15,5,TRUE)</f>
        <v>1</v>
      </c>
      <c r="E19">
        <f>HLOOKUP(B17,R5:AW15,9,TRUE)</f>
        <v>3.4</v>
      </c>
      <c r="F19" s="9">
        <f>PRODUCT(B19:E19)</f>
        <v>11.423999999999999</v>
      </c>
      <c r="G19" s="1" t="s">
        <v>51</v>
      </c>
      <c r="H19" s="10">
        <f>(F19*E15)+0.49</f>
        <v>46.186</v>
      </c>
      <c r="I19" s="24"/>
      <c r="J19" s="25"/>
    </row>
    <row r="20" spans="1:40" ht="13" x14ac:dyDescent="0.3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E15*HLOOKUP(G16,R5:AW15,4,TRUE)</f>
        <v>1.2</v>
      </c>
      <c r="I20" s="24"/>
      <c r="J20" s="25"/>
    </row>
    <row r="21" spans="1:40" ht="13" x14ac:dyDescent="0.3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ht="13" x14ac:dyDescent="0.3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ht="13" x14ac:dyDescent="0.3">
      <c r="A23" s="16" t="s">
        <v>58</v>
      </c>
      <c r="B23" s="16"/>
      <c r="C23">
        <f>SUM(B16:B17,G16)</f>
        <v>76</v>
      </c>
      <c r="D23" s="28" t="s">
        <v>59</v>
      </c>
      <c r="E23" s="28"/>
      <c r="F23" s="28"/>
      <c r="G23" s="20"/>
      <c r="H23" s="31"/>
      <c r="I23" s="24"/>
      <c r="J23" s="25"/>
    </row>
    <row r="24" spans="1:40" ht="13" x14ac:dyDescent="0.3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ht="13" x14ac:dyDescent="0.3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ht="13" x14ac:dyDescent="0.3">
      <c r="A26" s="16" t="s">
        <v>63</v>
      </c>
      <c r="B26" s="16"/>
      <c r="C26">
        <f>(G17/10)*H4</f>
        <v>2.2000000000000002</v>
      </c>
      <c r="E26" s="38" t="s">
        <v>64</v>
      </c>
      <c r="F26" s="38"/>
      <c r="G26" s="12">
        <v>0</v>
      </c>
      <c r="I26" s="24"/>
      <c r="J26" s="25"/>
    </row>
    <row r="27" spans="1:40" ht="13" x14ac:dyDescent="0.3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ht="13" x14ac:dyDescent="0.3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5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5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5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ht="13" x14ac:dyDescent="0.3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3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ht="13" x14ac:dyDescent="0.3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5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5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5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5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5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Silver Axe</vt:lpstr>
      <vt:lpstr>'Silver Axe'!Print_Area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Carina Negreanu</cp:lastModifiedBy>
  <dcterms:created xsi:type="dcterms:W3CDTF">1999-08-12T17:00:59Z</dcterms:created>
  <dcterms:modified xsi:type="dcterms:W3CDTF">2020-01-27T12:40:15Z</dcterms:modified>
</cp:coreProperties>
</file>