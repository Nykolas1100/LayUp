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8A8DF4-EBB1-4A3F-9CED-BD4D1E46022E}" xr6:coauthVersionLast="45" xr6:coauthVersionMax="45" xr10:uidLastSave="{00000000-0000-0000-0000-000000000000}"/>
  <bookViews>
    <workbookView xWindow="1900" yWindow="1900" windowWidth="28800" windowHeight="15460"/>
  </bookViews>
  <sheets>
    <sheet name="Financial Position " sheetId="1" r:id="rId1"/>
    <sheet name="Financial Activity" sheetId="2" r:id="rId2"/>
  </sheets>
  <definedNames>
    <definedName name="a">#REF!</definedName>
    <definedName name="ab">#REF!</definedName>
    <definedName name="Accompanier_discount">10</definedName>
    <definedName name="an">#REF!</definedName>
    <definedName name="Attendence">#REF!</definedName>
    <definedName name="b">#REF!</definedName>
    <definedName name="Base_Price">125</definedName>
    <definedName name="cb">#REF!</definedName>
    <definedName name="Child_discount">35</definedName>
    <definedName name="d">#REF!</definedName>
    <definedName name="de">#REF!</definedName>
    <definedName name="e">#REF!</definedName>
    <definedName name="fuckExcel" localSheetId="1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fuckExcel" localSheetId="0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fuckExcel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fuckExcelalso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hh">#REF!</definedName>
    <definedName name="HTML_CodePage" hidden="1">1252</definedName>
    <definedName name="HTML_Control" localSheetId="1" hidden="1">{"'Sheet1'!$A$3:$G$28"}</definedName>
    <definedName name="HTML_Control" localSheetId="0" hidden="1">{"'Sheet1'!$A$3:$G$28"}</definedName>
    <definedName name="HTML_Control" hidden="1">{"'Sheet1'!$A$3:$G$28"}</definedName>
    <definedName name="HTML_Control2" hidden="1">{"'Sheet1'!$A$3:$G$28"}</definedName>
    <definedName name="HTML_Description" hidden="1">""</definedName>
    <definedName name="HTML_Email" hidden="1">""</definedName>
    <definedName name="HTML_Header" hidden="1">"NSS SpeleoArt Salon FY00/01 Budget"</definedName>
    <definedName name="HTML_LastUpdate" hidden="1">"1/21/00"</definedName>
    <definedName name="HTML_LineAfter" hidden="1">FALSE</definedName>
    <definedName name="HTML_LineBefore" hidden="1">FALSE</definedName>
    <definedName name="HTML_Name" hidden="1">"Lois Lyles &amp; Paul Stevens"</definedName>
    <definedName name="HTML_OBDlg2" hidden="1">TRUE</definedName>
    <definedName name="HTML_OBDlg4" hidden="1">TRUE</definedName>
    <definedName name="HTML_OS" hidden="1">0</definedName>
    <definedName name="HTML_PathFile" hidden="1">"C:\keyinpub\FINANCE.HTM\SpeleoArt.html"</definedName>
    <definedName name="HTML_Title" hidden="1">"SpeleoArt Budget-A"</definedName>
    <definedName name="Indoor_vendor_rooms">10</definedName>
    <definedName name="Indoor_vendor_tables">100</definedName>
    <definedName name="NMD">0.3</definedName>
    <definedName name="NonNSS_surcharge">33</definedName>
    <definedName name="Onsite_registrants" localSheetId="0">#REF!</definedName>
    <definedName name="Onsite_registrants">#REF!</definedName>
    <definedName name="Outdoor_vendor_frontage_feet">250</definedName>
    <definedName name="Outdoor_vendor_price_per_foot">6</definedName>
    <definedName name="Prereg_discount">10</definedName>
    <definedName name="Preregistrants">#REF!</definedName>
    <definedName name="_xlnm.Print_Area" localSheetId="1">'Financial Activity'!$F$68:$I$69</definedName>
    <definedName name="_xlnm.Print_Area" localSheetId="0">'Financial Position '!$A$1:$D$48</definedName>
    <definedName name="Print_Area_MI" localSheetId="0">'Financial Position '!$C$1:$C$2</definedName>
    <definedName name="t">#REF!</definedName>
    <definedName name="wrn.NSF._.Annual._.Report._._._.all." localSheetId="1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wrn.NSF._.Annual._.Report._._._.all." localSheetId="0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  <definedName name="wrn.NSF._.Annual._.Report._._._.all." hidden="1">{#N/A,#N/A,TRUE,"Cover";#N/A,#N/A,TRUE,"page 4";#N/A,#N/A,TRUE,"NSS Life Member";#N/A,#N/A,TRUE,"Stone Research Fund";#N/A,#N/A,TRUE,"Awards Fund";#N/A,#N/A,TRUE,"NSS Headquarters";#N/A,#N/A,TRUE,"Cave Preserve Fund";#N/A,#N/A,TRUE,"Vandal Det. Reward Fund";#N/A,#N/A,TRUE,"International Support Fund";#N/A,#N/A,TRUE,"News Photo Endowment";#N/A,#N/A,TRUE,"Stephenson Fund";#N/A,#N/A,TRUE,"Sara Corrie";#N/A,#N/A,TRUE,"NSS Holding Fund";#N/A,#N/A,TRUE,"TRA Headquarters";#N/A,#N/A,TRUE,"TRA Lifetime Reg. Fund";#N/A,#N/A,TRUE,"CRF";#N/A,#N/A,TRUE,"Gurnee Library Fund";#N/A,#N/A,TRUE,"NSS Support Fund ";#N/A,#N/A,TRUE,"Michigan Karst";#N/A,#N/A,TRUE,"General Fund"}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0" i="2" l="1"/>
  <c r="G70" i="2"/>
  <c r="I70" i="2"/>
  <c r="G71" i="2"/>
  <c r="B50" i="1"/>
  <c r="B51" i="1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C7" authorId="0" shapeId="0">
      <text>
        <r>
          <rPr>
            <sz val="8"/>
            <color indexed="81"/>
            <rFont val="Tahoma"/>
            <family val="2"/>
          </rPr>
          <t xml:space="preserve">Member payments into Life Membership Fund </t>
        </r>
      </text>
    </comment>
    <comment ref="G7" authorId="0" shapeId="0">
      <text>
        <r>
          <rPr>
            <sz val="8"/>
            <color indexed="81"/>
            <rFont val="Tahoma"/>
            <family val="2"/>
          </rPr>
          <t xml:space="preserve">Member payments into Life Membership Fund </t>
        </r>
      </text>
    </comment>
    <comment ref="G17" authorId="0" shapeId="0">
      <text>
        <r>
          <rPr>
            <sz val="8"/>
            <color indexed="81"/>
            <rFont val="Tahoma"/>
            <family val="2"/>
          </rPr>
          <t>JSS income at Convention</t>
        </r>
      </text>
    </comment>
    <comment ref="A41" authorId="0" shapeId="0">
      <text>
        <r>
          <rPr>
            <sz val="8"/>
            <color indexed="81"/>
            <rFont val="Tahoma"/>
            <family val="2"/>
          </rPr>
          <t xml:space="preserve">Includes Bill, Mark, 30% of Avis salary, and 15% of Stephanie's , plus 60% of other Office cost. </t>
        </r>
      </text>
    </comment>
    <comment ref="A42" authorId="0" shapeId="0">
      <text>
        <r>
          <rPr>
            <sz val="8"/>
            <color indexed="81"/>
            <rFont val="Tahoma"/>
            <family val="2"/>
          </rPr>
          <t xml:space="preserve">Conservation grants and vandalism deterrence rewards are included in Awards &amp; Grants </t>
        </r>
      </text>
    </comment>
    <comment ref="A43" authorId="0" shapeId="0">
      <text>
        <r>
          <rPr>
            <sz val="8"/>
            <color indexed="81"/>
            <rFont val="Tahoma"/>
            <family val="2"/>
          </rPr>
          <t xml:space="preserve">Includes International Partnership, International Participation, Young Scientist and Conservation grants plus Cave Vandalism Deterrence awards . Other grants and awards allocated to functional area they support. </t>
        </r>
      </text>
    </comment>
    <comment ref="A44" authorId="0" shapeId="0">
      <text>
        <r>
          <rPr>
            <sz val="8"/>
            <color indexed="81"/>
            <rFont val="Tahoma"/>
            <family val="2"/>
          </rPr>
          <t xml:space="preserve">Restoration of Mammoth Cave under NPS contract </t>
        </r>
      </text>
    </comment>
    <comment ref="A45" authorId="0" shapeId="0">
      <text>
        <r>
          <rPr>
            <sz val="8"/>
            <color indexed="81"/>
            <rFont val="Tahoma"/>
            <family val="2"/>
          </rPr>
          <t>Development of educational materials on caves &amp; karst including contract with NPS</t>
        </r>
      </text>
    </comment>
    <comment ref="A46" authorId="0" shapeId="0">
      <text>
        <r>
          <rPr>
            <sz val="8"/>
            <color indexed="81"/>
            <rFont val="Tahoma"/>
            <family val="2"/>
          </rPr>
          <t xml:space="preserve">NCRC </t>
        </r>
      </text>
    </comment>
    <comment ref="A51" authorId="0" shapeId="0">
      <text>
        <r>
          <rPr>
            <sz val="8"/>
            <color indexed="81"/>
            <rFont val="Tahoma"/>
            <family val="2"/>
          </rPr>
          <t xml:space="preserve">Cave publication library, lending library, museum of cave-related items, etc plus 10% of general Office costs for Library and miscellaneous services. </t>
        </r>
      </text>
    </comment>
    <comment ref="A55" authorId="0" shapeId="0">
      <text>
        <r>
          <rPr>
            <sz val="8"/>
            <color indexed="81"/>
            <rFont val="Tahoma"/>
            <family val="2"/>
          </rPr>
          <t>Expenses associated with BOG, NSS officers &amp; Executive Committee, committees that support the BOG &amp; EC rather than provide member services, plus miscelaneous costs. Includes 75% of Stephanie's salary plus 10% of general Office costs.</t>
        </r>
      </text>
    </comment>
  </commentList>
</comments>
</file>

<file path=xl/sharedStrings.xml><?xml version="1.0" encoding="utf-8"?>
<sst xmlns="http://schemas.openxmlformats.org/spreadsheetml/2006/main" count="106" uniqueCount="96">
  <si>
    <t>FY00/01</t>
  </si>
  <si>
    <t>NET ASSETS - END OF YEAR</t>
  </si>
  <si>
    <t>Change in Net Assets</t>
  </si>
  <si>
    <t>NSS Financial Activity</t>
  </si>
  <si>
    <t xml:space="preserve">  Restrictions </t>
  </si>
  <si>
    <t xml:space="preserve">  Satisfaction of Program Restrictions</t>
  </si>
  <si>
    <t>30 April, 2000</t>
  </si>
  <si>
    <t>NSS FINANCIAL POSITION</t>
  </si>
  <si>
    <t xml:space="preserve">    Fine Arts Salon Income</t>
  </si>
  <si>
    <t xml:space="preserve">    Subscriptions &amp; Postal Surcharges</t>
  </si>
  <si>
    <t xml:space="preserve">    Bookstore Shipping Fees</t>
  </si>
  <si>
    <t xml:space="preserve">    Miscellaneous</t>
  </si>
  <si>
    <t xml:space="preserve">    Investment Earnings</t>
  </si>
  <si>
    <t xml:space="preserve">      Dividends</t>
  </si>
  <si>
    <t xml:space="preserve">      Interest</t>
  </si>
  <si>
    <t xml:space="preserve">      Realized Gains (Losses)</t>
  </si>
  <si>
    <t xml:space="preserve">      Unrealized Gains (Losses)</t>
  </si>
  <si>
    <t xml:space="preserve">      Investment Expenses</t>
  </si>
  <si>
    <t xml:space="preserve">   Total Revenues</t>
  </si>
  <si>
    <t xml:space="preserve">  Net Assets Released From Donor</t>
  </si>
  <si>
    <t xml:space="preserve">  Total Public Support and Revenues</t>
  </si>
  <si>
    <t>EXPENSES</t>
  </si>
  <si>
    <t xml:space="preserve">  Program Services</t>
  </si>
  <si>
    <t xml:space="preserve">   Cave Bookstore &amp; A/V Library </t>
  </si>
  <si>
    <t xml:space="preserve">   Conservation &amp; Cave Management</t>
  </si>
  <si>
    <t xml:space="preserve">   Cave Restoration</t>
  </si>
  <si>
    <t xml:space="preserve">   Cave and Karst Education  </t>
  </si>
  <si>
    <t xml:space="preserve">   Cave Rescue Training</t>
  </si>
  <si>
    <t xml:space="preserve">  Convention (seminars, exhibits, etc)</t>
  </si>
  <si>
    <t xml:space="preserve">  Publications &amp; Web Site </t>
  </si>
  <si>
    <t xml:space="preserve">  Fine Art Salon </t>
  </si>
  <si>
    <t xml:space="preserve">  Transfers to Restricted Funds</t>
  </si>
  <si>
    <t xml:space="preserve">  Other Member Services </t>
  </si>
  <si>
    <t xml:space="preserve">        Total Program Services </t>
  </si>
  <si>
    <t xml:space="preserve">  Support Services</t>
  </si>
  <si>
    <t xml:space="preserve">    Management and Administrative</t>
  </si>
  <si>
    <t xml:space="preserve">      Total Support Services</t>
  </si>
  <si>
    <t xml:space="preserve">  Depreciation </t>
  </si>
  <si>
    <t>NET ASSETS - BEGINNING OF YEAR</t>
  </si>
  <si>
    <t xml:space="preserve">Ratio of Management, Administrative &amp; Fundraising Expenses to Total Expense:  </t>
  </si>
  <si>
    <t>ASSETS</t>
  </si>
  <si>
    <t>30 April, 2002</t>
  </si>
  <si>
    <t>30 April, 2001</t>
  </si>
  <si>
    <t xml:space="preserve">Cash </t>
  </si>
  <si>
    <t>Accounts Receivable</t>
  </si>
  <si>
    <t>Advances</t>
  </si>
  <si>
    <t>Bookstore Inventory</t>
  </si>
  <si>
    <t xml:space="preserve">Pre-Paid Expenses </t>
  </si>
  <si>
    <t xml:space="preserve">      Total Current Assets</t>
  </si>
  <si>
    <t>PROPERTY AND EQUIPMENT</t>
  </si>
  <si>
    <t xml:space="preserve">  Cost</t>
  </si>
  <si>
    <t xml:space="preserve">  Less:  Accumulated Depreciation</t>
  </si>
  <si>
    <t xml:space="preserve">      Net Book Value of Property and Equipment</t>
  </si>
  <si>
    <t>OTHER ASSETS</t>
  </si>
  <si>
    <t xml:space="preserve">  Securities Held for Investment</t>
  </si>
  <si>
    <t>checksum</t>
  </si>
  <si>
    <t xml:space="preserve">      Total Assets</t>
  </si>
  <si>
    <t>LIABILITIES AND NET ASSETS</t>
  </si>
  <si>
    <t>CURRENT LIABILITIES</t>
  </si>
  <si>
    <t>Accounts Payable</t>
  </si>
  <si>
    <t xml:space="preserve">Pre-paid Income </t>
  </si>
  <si>
    <t xml:space="preserve">Held for Others </t>
  </si>
  <si>
    <t xml:space="preserve">      Total Current Liabilities</t>
  </si>
  <si>
    <t xml:space="preserve">      Total Assets less Liabilities</t>
  </si>
  <si>
    <t>NET ASSETS</t>
  </si>
  <si>
    <t xml:space="preserve">  Unrestricted Net Assets</t>
  </si>
  <si>
    <t xml:space="preserve">    Undesignated</t>
  </si>
  <si>
    <t xml:space="preserve">    Designated for Specific Purposes</t>
  </si>
  <si>
    <t xml:space="preserve">      Total Unrestricted Net Assets</t>
  </si>
  <si>
    <t xml:space="preserve">    Temporarily Restricted Net Assets</t>
  </si>
  <si>
    <t xml:space="preserve">     Total Net Assets</t>
  </si>
  <si>
    <t>Checksum</t>
  </si>
  <si>
    <t>Checksum to Financial Activity</t>
  </si>
  <si>
    <t>Temporarily</t>
  </si>
  <si>
    <t>Permanently</t>
  </si>
  <si>
    <t>PUBLIC SUPPORT AND REVENUE</t>
  </si>
  <si>
    <t>Unrestricted</t>
  </si>
  <si>
    <t>Restricted</t>
  </si>
  <si>
    <t>Total</t>
  </si>
  <si>
    <t xml:space="preserve">  Public Support</t>
  </si>
  <si>
    <t xml:space="preserve">    Membership Dues</t>
  </si>
  <si>
    <t xml:space="preserve">    Donations</t>
  </si>
  <si>
    <t xml:space="preserve">    Grant Income</t>
  </si>
  <si>
    <t xml:space="preserve">   Transfers from Unrestricted</t>
  </si>
  <si>
    <t xml:space="preserve">    Fund Raising</t>
  </si>
  <si>
    <t xml:space="preserve">      Total Public Support</t>
  </si>
  <si>
    <t xml:space="preserve">  Revenues</t>
  </si>
  <si>
    <t xml:space="preserve">    Advertising Revenue</t>
  </si>
  <si>
    <t xml:space="preserve">    Bookstore Sales</t>
  </si>
  <si>
    <t xml:space="preserve">    Convention Revenue </t>
  </si>
  <si>
    <t xml:space="preserve">    Cave Rescue Training Fees and Income</t>
  </si>
  <si>
    <t>FY01/02</t>
  </si>
  <si>
    <t xml:space="preserve">    Cave Restoration Revenue </t>
  </si>
  <si>
    <t xml:space="preserve">    Cave and Karst Education Revenue </t>
  </si>
  <si>
    <t xml:space="preserve">   Awards &amp; Miscelaneous Grants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</si>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</sst>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6" formatCode="0.0%"/>
    <numFmt numFmtId="178" formatCode="0.00_);\(0.00\)"/>
  </numFmts>
  <fonts count="17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 MT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22"/>
      <name val="Arial"/>
      <family val="2"/>
    </font>
    <font>
      <sz val="8"/>
      <color indexed="81"/>
      <name val="Tahoma"/>
      <family val="2"/>
    </font>
    <font>
      <b/>
      <sz val="14"/>
      <name val="Arial MT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0">
    <xf numFmtId="0" fontId="0" fillId="0" borderId="0"/>
    <xf numFmtId="3" fontId="1" fillId="0" borderId="0" applyFont="0" applyFill="0" applyBorder="0" applyAlignment="0" applyProtection="0"/>
    <xf numFmtId="40" fontId="1" fillId="0" borderId="0" applyFill="0" applyBorder="0" applyProtection="0">
      <alignment horizontal="right"/>
    </xf>
    <xf numFmtId="17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7" fontId="7" fillId="0" borderId="0"/>
    <xf numFmtId="37" fontId="7" fillId="0" borderId="0"/>
    <xf numFmtId="40" fontId="4" fillId="0" borderId="1" applyFill="0" applyProtection="0">
      <alignment horizontal="right"/>
      <protection locked="0"/>
    </xf>
    <xf numFmtId="9" fontId="1" fillId="0" borderId="0" applyFont="0" applyFill="0" applyBorder="0" applyAlignment="0" applyProtection="0"/>
    <xf numFmtId="40" fontId="6" fillId="0" borderId="0" applyFill="0" applyBorder="0" applyProtection="0">
      <alignment horizontal="right"/>
      <protection locked="0"/>
    </xf>
  </cellStyleXfs>
  <cellXfs count="131">
    <xf numFmtId="0" fontId="0" fillId="0" borderId="0" xfId="0"/>
    <xf numFmtId="40" fontId="0" fillId="0" borderId="0" xfId="0" applyNumberFormat="1"/>
    <xf numFmtId="0" fontId="0" fillId="2" borderId="0" xfId="0" applyFill="1"/>
    <xf numFmtId="40" fontId="0" fillId="2" borderId="0" xfId="0" applyNumberFormat="1" applyFill="1"/>
    <xf numFmtId="0" fontId="11" fillId="0" borderId="0" xfId="0" applyFont="1" applyFill="1"/>
    <xf numFmtId="178" fontId="11" fillId="0" borderId="0" xfId="0" applyNumberFormat="1" applyFont="1" applyFill="1"/>
    <xf numFmtId="2" fontId="0" fillId="0" borderId="0" xfId="0" applyNumberFormat="1"/>
    <xf numFmtId="37" fontId="7" fillId="0" borderId="0" xfId="5" applyFill="1" applyAlignment="1">
      <alignment horizontal="centerContinuous"/>
    </xf>
    <xf numFmtId="37" fontId="7" fillId="0" borderId="0" xfId="5" applyFill="1"/>
    <xf numFmtId="37" fontId="3" fillId="0" borderId="0" xfId="5" applyFont="1"/>
    <xf numFmtId="37" fontId="7" fillId="0" borderId="0" xfId="5"/>
    <xf numFmtId="40" fontId="3" fillId="0" borderId="0" xfId="5" applyNumberFormat="1" applyFont="1" applyFill="1"/>
    <xf numFmtId="37" fontId="3" fillId="2" borderId="0" xfId="5" applyFont="1" applyFill="1"/>
    <xf numFmtId="40" fontId="3" fillId="2" borderId="0" xfId="5" applyNumberFormat="1" applyFont="1" applyFill="1"/>
    <xf numFmtId="40" fontId="3" fillId="0" borderId="0" xfId="5" applyNumberFormat="1" applyFont="1"/>
    <xf numFmtId="40" fontId="7" fillId="0" borderId="0" xfId="5" applyNumberFormat="1"/>
    <xf numFmtId="37" fontId="7" fillId="0" borderId="0" xfId="5" applyFont="1"/>
    <xf numFmtId="37" fontId="8" fillId="0" borderId="1" xfId="6" applyFont="1" applyBorder="1"/>
    <xf numFmtId="0" fontId="15" fillId="0" borderId="0" xfId="0" applyFont="1"/>
    <xf numFmtId="37" fontId="8" fillId="0" borderId="2" xfId="6" applyFont="1" applyBorder="1"/>
    <xf numFmtId="37" fontId="9" fillId="0" borderId="1" xfId="6" applyFont="1" applyBorder="1"/>
    <xf numFmtId="37" fontId="9" fillId="0" borderId="2" xfId="6" applyFont="1" applyBorder="1"/>
    <xf numFmtId="37" fontId="3" fillId="0" borderId="1" xfId="6" applyFont="1" applyBorder="1"/>
    <xf numFmtId="37" fontId="3" fillId="0" borderId="3" xfId="6" applyFont="1" applyBorder="1"/>
    <xf numFmtId="40" fontId="3" fillId="0" borderId="1" xfId="2" applyNumberFormat="1" applyFont="1" applyBorder="1">
      <alignment horizontal="right"/>
    </xf>
    <xf numFmtId="40" fontId="3" fillId="0" borderId="1" xfId="3" applyNumberFormat="1" applyFont="1" applyBorder="1"/>
    <xf numFmtId="40" fontId="3" fillId="0" borderId="2" xfId="3" applyNumberFormat="1" applyFont="1" applyBorder="1"/>
    <xf numFmtId="40" fontId="3" fillId="0" borderId="1" xfId="2" quotePrefix="1" applyNumberFormat="1" applyFont="1" applyBorder="1">
      <alignment horizontal="right"/>
    </xf>
    <xf numFmtId="40" fontId="3" fillId="0" borderId="1" xfId="3" quotePrefix="1" applyNumberFormat="1" applyFont="1" applyBorder="1"/>
    <xf numFmtId="40" fontId="3" fillId="0" borderId="1" xfId="3" applyNumberFormat="1" applyFont="1" applyFill="1" applyBorder="1"/>
    <xf numFmtId="40" fontId="3" fillId="0" borderId="1" xfId="2" applyNumberFormat="1" applyFont="1" applyFill="1" applyBorder="1">
      <alignment horizontal="right"/>
    </xf>
    <xf numFmtId="40" fontId="3" fillId="0" borderId="1" xfId="6" applyNumberFormat="1" applyFont="1" applyBorder="1"/>
    <xf numFmtId="40" fontId="3" fillId="0" borderId="2" xfId="6" applyNumberFormat="1" applyFont="1" applyBorder="1"/>
    <xf numFmtId="40" fontId="3" fillId="0" borderId="1" xfId="6" applyNumberFormat="1" applyFont="1" applyFill="1" applyBorder="1"/>
    <xf numFmtId="40" fontId="3" fillId="0" borderId="1" xfId="0" applyNumberFormat="1" applyFont="1" applyBorder="1"/>
    <xf numFmtId="40" fontId="3" fillId="0" borderId="4" xfId="6" applyNumberFormat="1" applyFont="1" applyBorder="1"/>
    <xf numFmtId="40" fontId="3" fillId="0" borderId="5" xfId="6" applyNumberFormat="1" applyFont="1" applyBorder="1"/>
    <xf numFmtId="40" fontId="3" fillId="0" borderId="6" xfId="6" applyNumberFormat="1" applyFont="1" applyBorder="1"/>
    <xf numFmtId="40" fontId="3" fillId="0" borderId="7" xfId="6" applyNumberFormat="1" applyFont="1" applyBorder="1"/>
    <xf numFmtId="0" fontId="3" fillId="0" borderId="8" xfId="0" applyFont="1" applyBorder="1" applyAlignment="1">
      <alignment horizontal="left"/>
    </xf>
    <xf numFmtId="176" fontId="1" fillId="0" borderId="9" xfId="8" applyNumberFormat="1" applyBorder="1" applyAlignment="1">
      <alignment horizontal="left"/>
    </xf>
    <xf numFmtId="0" fontId="15" fillId="0" borderId="10" xfId="0" applyFont="1" applyBorder="1"/>
    <xf numFmtId="37" fontId="16" fillId="0" borderId="10" xfId="6" applyFont="1" applyBorder="1"/>
    <xf numFmtId="37" fontId="3" fillId="0" borderId="11" xfId="6" applyFont="1" applyBorder="1"/>
    <xf numFmtId="37" fontId="9" fillId="0" borderId="11" xfId="6" applyFont="1" applyBorder="1"/>
    <xf numFmtId="40" fontId="3" fillId="0" borderId="11" xfId="6" applyNumberFormat="1" applyFont="1" applyBorder="1"/>
    <xf numFmtId="40" fontId="3" fillId="0" borderId="11" xfId="6" applyNumberFormat="1" applyFont="1" applyFill="1" applyBorder="1"/>
    <xf numFmtId="40" fontId="3" fillId="0" borderId="11" xfId="0" applyNumberFormat="1" applyFont="1" applyBorder="1"/>
    <xf numFmtId="40" fontId="3" fillId="0" borderId="12" xfId="6" applyNumberFormat="1" applyFont="1" applyBorder="1"/>
    <xf numFmtId="40" fontId="3" fillId="0" borderId="13" xfId="6" applyNumberFormat="1" applyFont="1" applyBorder="1"/>
    <xf numFmtId="0" fontId="3" fillId="0" borderId="14" xfId="0" applyFont="1" applyBorder="1" applyAlignment="1">
      <alignment horizontal="left"/>
    </xf>
    <xf numFmtId="37" fontId="2" fillId="0" borderId="15" xfId="6" applyFont="1" applyBorder="1"/>
    <xf numFmtId="37" fontId="8" fillId="0" borderId="16" xfId="6" applyFont="1" applyBorder="1"/>
    <xf numFmtId="0" fontId="0" fillId="0" borderId="16" xfId="0" applyBorder="1"/>
    <xf numFmtId="37" fontId="10" fillId="0" borderId="16" xfId="6" applyFont="1" applyBorder="1"/>
    <xf numFmtId="37" fontId="5" fillId="0" borderId="16" xfId="6" applyFont="1" applyBorder="1"/>
    <xf numFmtId="37" fontId="3" fillId="0" borderId="16" xfId="6" applyFont="1" applyBorder="1"/>
    <xf numFmtId="0" fontId="3" fillId="0" borderId="16" xfId="0" applyFont="1" applyBorder="1"/>
    <xf numFmtId="37" fontId="3" fillId="0" borderId="17" xfId="6" applyFont="1" applyBorder="1"/>
    <xf numFmtId="37" fontId="5" fillId="0" borderId="18" xfId="6" applyFont="1" applyBorder="1"/>
    <xf numFmtId="37" fontId="5" fillId="0" borderId="17" xfId="6" applyFont="1" applyBorder="1"/>
    <xf numFmtId="0" fontId="3" fillId="0" borderId="19" xfId="0" applyFont="1" applyBorder="1" applyAlignment="1">
      <alignment horizontal="left" wrapText="1"/>
    </xf>
    <xf numFmtId="37" fontId="3" fillId="0" borderId="18" xfId="6" applyFont="1" applyBorder="1"/>
    <xf numFmtId="40" fontId="3" fillId="0" borderId="13" xfId="6" applyNumberFormat="1" applyFont="1" applyFill="1" applyBorder="1"/>
    <xf numFmtId="40" fontId="3" fillId="0" borderId="4" xfId="2" applyNumberFormat="1" applyFont="1" applyBorder="1">
      <alignment horizontal="right"/>
    </xf>
    <xf numFmtId="40" fontId="3" fillId="0" borderId="4" xfId="3" applyNumberFormat="1" applyFont="1" applyBorder="1"/>
    <xf numFmtId="40" fontId="3" fillId="0" borderId="12" xfId="6" applyNumberFormat="1" applyFont="1" applyFill="1" applyBorder="1"/>
    <xf numFmtId="40" fontId="3" fillId="0" borderId="6" xfId="2" applyNumberFormat="1" applyFont="1" applyBorder="1">
      <alignment horizontal="right"/>
    </xf>
    <xf numFmtId="40" fontId="3" fillId="0" borderId="6" xfId="3" applyNumberFormat="1" applyFont="1" applyBorder="1"/>
    <xf numFmtId="37" fontId="8" fillId="0" borderId="4" xfId="6" applyFont="1" applyBorder="1" applyAlignment="1">
      <alignment horizontal="center"/>
    </xf>
    <xf numFmtId="37" fontId="9" fillId="0" borderId="4" xfId="6" applyFont="1" applyBorder="1"/>
    <xf numFmtId="37" fontId="9" fillId="0" borderId="5" xfId="6" applyFont="1" applyBorder="1"/>
    <xf numFmtId="37" fontId="8" fillId="0" borderId="20" xfId="6" applyFont="1" applyBorder="1" applyAlignment="1">
      <alignment horizontal="center"/>
    </xf>
    <xf numFmtId="37" fontId="8" fillId="0" borderId="6" xfId="6" applyFont="1" applyBorder="1" applyAlignment="1">
      <alignment horizontal="center"/>
    </xf>
    <xf numFmtId="37" fontId="8" fillId="0" borderId="7" xfId="6" applyFont="1" applyBorder="1" applyAlignment="1">
      <alignment horizontal="center"/>
    </xf>
    <xf numFmtId="37" fontId="8" fillId="0" borderId="13" xfId="6" applyFont="1" applyBorder="1"/>
    <xf numFmtId="37" fontId="8" fillId="0" borderId="5" xfId="6" applyFont="1" applyBorder="1"/>
    <xf numFmtId="37" fontId="8" fillId="0" borderId="12" xfId="6" applyFont="1" applyBorder="1" applyAlignment="1">
      <alignment horizontal="center"/>
    </xf>
    <xf numFmtId="37" fontId="9" fillId="0" borderId="13" xfId="6" applyFont="1" applyBorder="1"/>
    <xf numFmtId="40" fontId="3" fillId="0" borderId="11" xfId="3" applyNumberFormat="1" applyFont="1" applyBorder="1"/>
    <xf numFmtId="37" fontId="8" fillId="0" borderId="21" xfId="6" applyFont="1" applyBorder="1"/>
    <xf numFmtId="37" fontId="8" fillId="0" borderId="21" xfId="6" applyFont="1" applyBorder="1" applyAlignment="1">
      <alignment horizontal="center"/>
    </xf>
    <xf numFmtId="37" fontId="8" fillId="0" borderId="5" xfId="6" applyFont="1" applyBorder="1" applyAlignment="1">
      <alignment horizontal="center"/>
    </xf>
    <xf numFmtId="40" fontId="3" fillId="0" borderId="3" xfId="2" applyNumberFormat="1" applyFont="1" applyBorder="1">
      <alignment horizontal="right"/>
    </xf>
    <xf numFmtId="40" fontId="3" fillId="0" borderId="2" xfId="2" applyNumberFormat="1" applyFont="1" applyBorder="1">
      <alignment horizontal="right"/>
    </xf>
    <xf numFmtId="37" fontId="9" fillId="0" borderId="3" xfId="6" applyFont="1" applyBorder="1"/>
    <xf numFmtId="40" fontId="3" fillId="0" borderId="3" xfId="6" applyNumberFormat="1" applyFont="1" applyBorder="1"/>
    <xf numFmtId="40" fontId="3" fillId="0" borderId="3" xfId="6" applyNumberFormat="1" applyFont="1" applyFill="1" applyBorder="1"/>
    <xf numFmtId="40" fontId="3" fillId="0" borderId="20" xfId="6" applyNumberFormat="1" applyFont="1" applyFill="1" applyBorder="1"/>
    <xf numFmtId="40" fontId="3" fillId="0" borderId="21" xfId="6" applyNumberFormat="1" applyFont="1" applyFill="1" applyBorder="1"/>
    <xf numFmtId="40" fontId="3" fillId="0" borderId="20" xfId="6" applyNumberFormat="1" applyFont="1" applyBorder="1"/>
    <xf numFmtId="40" fontId="3" fillId="0" borderId="21" xfId="6" applyNumberFormat="1" applyFont="1" applyBorder="1"/>
    <xf numFmtId="40" fontId="3" fillId="0" borderId="3" xfId="0" applyNumberFormat="1" applyFont="1" applyBorder="1"/>
    <xf numFmtId="0" fontId="3" fillId="0" borderId="22" xfId="0" applyFont="1" applyBorder="1" applyAlignment="1">
      <alignment horizontal="left"/>
    </xf>
    <xf numFmtId="9" fontId="0" fillId="0" borderId="9" xfId="8" applyFont="1" applyBorder="1" applyAlignment="1">
      <alignment horizontal="left"/>
    </xf>
    <xf numFmtId="37" fontId="3" fillId="0" borderId="23" xfId="6" applyFont="1" applyBorder="1"/>
    <xf numFmtId="40" fontId="3" fillId="0" borderId="24" xfId="5" applyNumberFormat="1" applyFont="1" applyFill="1" applyBorder="1"/>
    <xf numFmtId="40" fontId="3" fillId="2" borderId="24" xfId="5" applyNumberFormat="1" applyFont="1" applyFill="1" applyBorder="1"/>
    <xf numFmtId="40" fontId="3" fillId="0" borderId="24" xfId="5" applyNumberFormat="1" applyFont="1" applyBorder="1"/>
    <xf numFmtId="40" fontId="3" fillId="0" borderId="25" xfId="5" applyNumberFormat="1" applyFont="1" applyBorder="1"/>
    <xf numFmtId="37" fontId="3" fillId="0" borderId="26" xfId="5" applyFont="1" applyBorder="1"/>
    <xf numFmtId="40" fontId="3" fillId="0" borderId="27" xfId="5" applyNumberFormat="1" applyFont="1" applyFill="1" applyBorder="1"/>
    <xf numFmtId="37" fontId="3" fillId="0" borderId="27" xfId="5" applyFont="1" applyBorder="1"/>
    <xf numFmtId="40" fontId="3" fillId="2" borderId="27" xfId="5" applyNumberFormat="1" applyFont="1" applyFill="1" applyBorder="1"/>
    <xf numFmtId="40" fontId="3" fillId="0" borderId="27" xfId="5" applyNumberFormat="1" applyFont="1" applyBorder="1"/>
    <xf numFmtId="40" fontId="3" fillId="0" borderId="28" xfId="5" applyNumberFormat="1" applyFont="1" applyBorder="1"/>
    <xf numFmtId="40" fontId="3" fillId="0" borderId="24" xfId="5" applyNumberFormat="1" applyFont="1" applyFill="1" applyBorder="1" applyAlignment="1">
      <alignment horizontal="centerContinuous"/>
    </xf>
    <xf numFmtId="37" fontId="3" fillId="0" borderId="29" xfId="5" applyFont="1" applyBorder="1" applyAlignment="1">
      <alignment horizontal="right"/>
    </xf>
    <xf numFmtId="37" fontId="3" fillId="0" borderId="30" xfId="5" applyFont="1" applyFill="1" applyBorder="1" applyAlignment="1">
      <alignment horizontal="right"/>
    </xf>
    <xf numFmtId="49" fontId="3" fillId="0" borderId="31" xfId="5" applyNumberFormat="1" applyFont="1" applyBorder="1" applyAlignment="1">
      <alignment horizontal="right"/>
    </xf>
    <xf numFmtId="49" fontId="3" fillId="0" borderId="32" xfId="5" applyNumberFormat="1" applyFont="1" applyFill="1" applyBorder="1" applyAlignment="1">
      <alignment horizontal="right"/>
    </xf>
    <xf numFmtId="37" fontId="3" fillId="0" borderId="33" xfId="5" applyFont="1" applyBorder="1" applyAlignment="1">
      <alignment horizontal="right"/>
    </xf>
    <xf numFmtId="37" fontId="3" fillId="0" borderId="34" xfId="5" applyFont="1" applyBorder="1" applyAlignment="1">
      <alignment horizontal="right"/>
    </xf>
    <xf numFmtId="40" fontId="3" fillId="0" borderId="26" xfId="5" applyNumberFormat="1" applyFont="1" applyFill="1" applyBorder="1"/>
    <xf numFmtId="40" fontId="3" fillId="2" borderId="26" xfId="5" applyNumberFormat="1" applyFont="1" applyFill="1" applyBorder="1"/>
    <xf numFmtId="40" fontId="3" fillId="0" borderId="26" xfId="5" applyNumberFormat="1" applyFont="1" applyBorder="1"/>
    <xf numFmtId="40" fontId="3" fillId="0" borderId="35" xfId="5" applyNumberFormat="1" applyFont="1" applyBorder="1"/>
    <xf numFmtId="37" fontId="3" fillId="0" borderId="36" xfId="5" applyFont="1" applyBorder="1"/>
    <xf numFmtId="37" fontId="2" fillId="0" borderId="37" xfId="5" applyFont="1" applyBorder="1" applyAlignment="1">
      <alignment horizontal="centerContinuous"/>
    </xf>
    <xf numFmtId="37" fontId="3" fillId="0" borderId="37" xfId="5" applyFont="1" applyBorder="1"/>
    <xf numFmtId="37" fontId="5" fillId="0" borderId="37" xfId="5" applyFont="1" applyBorder="1"/>
    <xf numFmtId="37" fontId="3" fillId="2" borderId="37" xfId="5" applyFont="1" applyFill="1" applyBorder="1"/>
    <xf numFmtId="37" fontId="14" fillId="0" borderId="37" xfId="5" applyFont="1" applyBorder="1"/>
    <xf numFmtId="37" fontId="3" fillId="0" borderId="37" xfId="5" applyFont="1" applyFill="1" applyBorder="1"/>
    <xf numFmtId="37" fontId="7" fillId="0" borderId="37" xfId="5" applyBorder="1"/>
    <xf numFmtId="37" fontId="3" fillId="0" borderId="38" xfId="5" applyFont="1" applyBorder="1"/>
    <xf numFmtId="37" fontId="13" fillId="0" borderId="0" xfId="5" applyFont="1" applyFill="1" applyAlignment="1">
      <alignment horizontal="left"/>
    </xf>
    <xf numFmtId="37" fontId="9" fillId="0" borderId="39" xfId="6" applyFont="1" applyBorder="1" applyAlignment="1">
      <alignment horizontal="center"/>
    </xf>
    <xf numFmtId="37" fontId="9" fillId="0" borderId="40" xfId="6" applyFont="1" applyBorder="1" applyAlignment="1">
      <alignment horizontal="center"/>
    </xf>
    <xf numFmtId="37" fontId="9" fillId="0" borderId="41" xfId="6" applyFont="1" applyBorder="1" applyAlignment="1">
      <alignment horizontal="center"/>
    </xf>
    <xf numFmtId="37" fontId="9" fillId="0" borderId="42" xfId="6" applyFont="1" applyBorder="1" applyAlignment="1">
      <alignment horizontal="center"/>
    </xf>
  </cellXfs>
  <cellStyles count="10">
    <cellStyle name="Comma0" xfId="1"/>
    <cellStyle name="Currency" xfId="2" builtinId="4"/>
    <cellStyle name="Currency_FY00-01 Fiscal Report 17-Nov" xfId="3"/>
    <cellStyle name="Currency0" xfId="4"/>
    <cellStyle name="Normal" xfId="0" builtinId="0"/>
    <cellStyle name="Normal_Page121" xfId="5"/>
    <cellStyle name="Normal_Page31" xfId="6"/>
    <cellStyle name="NSS Budget" xfId="7"/>
    <cellStyle name="Percent" xfId="8" builtinId="5"/>
    <cellStyle name="Restricted Fund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F68"/>
  <sheetViews>
    <sheetView tabSelected="1" zoomScale="75" workbookViewId="0">
      <selection activeCell="A33" sqref="A33"/>
    </sheetView>
  </sheetViews>
  <sheetFormatPr defaultColWidth="15.08984375" defaultRowHeight="15.5"/>
  <cols>
    <col min="1" max="1" width="45.36328125" style="10" customWidth="1"/>
    <col min="2" max="2" width="19" style="10" customWidth="1"/>
    <col min="3" max="16384" width="15.08984375" style="10"/>
  </cols>
  <sheetData>
    <row r="1" spans="1:4" s="8" customFormat="1" ht="18">
      <c r="A1" s="126" t="s">
        <v>7</v>
      </c>
      <c r="B1" s="7"/>
      <c r="C1" s="7"/>
    </row>
    <row r="2" spans="1:4" ht="16" thickBot="1"/>
    <row r="3" spans="1:4" ht="16.5" thickTop="1" thickBot="1">
      <c r="A3" s="117"/>
      <c r="B3" s="111" t="s">
        <v>6</v>
      </c>
      <c r="C3" s="109" t="s">
        <v>42</v>
      </c>
      <c r="D3" s="110" t="s">
        <v>41</v>
      </c>
    </row>
    <row r="4" spans="1:4" ht="16" thickTop="1">
      <c r="A4" s="118" t="s">
        <v>40</v>
      </c>
      <c r="B4" s="112"/>
      <c r="C4" s="107"/>
      <c r="D4" s="108"/>
    </row>
    <row r="5" spans="1:4">
      <c r="A5" s="119" t="s">
        <v>43</v>
      </c>
      <c r="B5" s="113">
        <v>266753.56</v>
      </c>
      <c r="C5" s="101">
        <v>244340.26</v>
      </c>
      <c r="D5" s="96">
        <v>297737.77</v>
      </c>
    </row>
    <row r="6" spans="1:4">
      <c r="A6" s="119" t="s">
        <v>44</v>
      </c>
      <c r="B6" s="113">
        <v>8443.85</v>
      </c>
      <c r="C6" s="101">
        <v>11396.47</v>
      </c>
      <c r="D6" s="96">
        <v>5756.29</v>
      </c>
    </row>
    <row r="7" spans="1:4">
      <c r="A7" s="119" t="s">
        <v>45</v>
      </c>
      <c r="B7" s="113">
        <v>27421.81</v>
      </c>
      <c r="C7" s="101">
        <v>3310.88</v>
      </c>
      <c r="D7" s="96">
        <v>3247.16</v>
      </c>
    </row>
    <row r="8" spans="1:4">
      <c r="A8" s="119" t="s">
        <v>46</v>
      </c>
      <c r="B8" s="113">
        <v>171795</v>
      </c>
      <c r="C8" s="101">
        <v>196236.08</v>
      </c>
      <c r="D8" s="96">
        <v>188392.7</v>
      </c>
    </row>
    <row r="9" spans="1:4">
      <c r="A9" s="119" t="s">
        <v>47</v>
      </c>
      <c r="B9" s="113">
        <v>24536.38</v>
      </c>
      <c r="C9" s="101">
        <v>17071.43</v>
      </c>
      <c r="D9" s="96">
        <v>22685.78</v>
      </c>
    </row>
    <row r="10" spans="1:4">
      <c r="A10" s="119"/>
      <c r="B10" s="113"/>
      <c r="C10" s="101"/>
      <c r="D10" s="96"/>
    </row>
    <row r="11" spans="1:4">
      <c r="A11" s="119" t="s">
        <v>48</v>
      </c>
      <c r="B11" s="113">
        <v>498950.6</v>
      </c>
      <c r="C11" s="101">
        <v>472355.12</v>
      </c>
      <c r="D11" s="96">
        <v>517819.7</v>
      </c>
    </row>
    <row r="12" spans="1:4">
      <c r="A12" s="119"/>
      <c r="B12" s="100"/>
      <c r="C12" s="102"/>
      <c r="D12" s="96"/>
    </row>
    <row r="13" spans="1:4">
      <c r="A13" s="120" t="s">
        <v>49</v>
      </c>
      <c r="B13" s="100"/>
      <c r="C13" s="102"/>
      <c r="D13" s="96"/>
    </row>
    <row r="14" spans="1:4">
      <c r="A14" s="119" t="s">
        <v>50</v>
      </c>
      <c r="B14" s="113">
        <v>462034.19</v>
      </c>
      <c r="C14" s="101">
        <v>462034.19</v>
      </c>
      <c r="D14" s="96">
        <v>466632.19</v>
      </c>
    </row>
    <row r="15" spans="1:4">
      <c r="A15" s="119" t="s">
        <v>51</v>
      </c>
      <c r="B15" s="113">
        <v>-55578.98</v>
      </c>
      <c r="C15" s="101">
        <v>-58999.42</v>
      </c>
      <c r="D15" s="96">
        <v>-62419.86</v>
      </c>
    </row>
    <row r="16" spans="1:4">
      <c r="A16" s="119"/>
      <c r="B16" s="100"/>
      <c r="C16" s="102"/>
      <c r="D16" s="96"/>
    </row>
    <row r="17" spans="1:5">
      <c r="A17" s="119" t="s">
        <v>52</v>
      </c>
      <c r="B17" s="113">
        <v>406455.21</v>
      </c>
      <c r="C17" s="101">
        <v>403034.77</v>
      </c>
      <c r="D17" s="96">
        <v>404212.33</v>
      </c>
    </row>
    <row r="18" spans="1:5">
      <c r="A18" s="119"/>
      <c r="B18" s="100"/>
      <c r="C18" s="102"/>
      <c r="D18" s="96"/>
    </row>
    <row r="19" spans="1:5">
      <c r="A19" s="120" t="s">
        <v>53</v>
      </c>
      <c r="B19" s="100"/>
      <c r="C19" s="102"/>
      <c r="D19" s="96"/>
    </row>
    <row r="20" spans="1:5">
      <c r="A20" s="119" t="s">
        <v>54</v>
      </c>
      <c r="B20" s="113">
        <v>1766707.39</v>
      </c>
      <c r="C20" s="101">
        <v>1876585.86</v>
      </c>
      <c r="D20" s="96">
        <v>2022198.39</v>
      </c>
      <c r="E20" s="15"/>
    </row>
    <row r="21" spans="1:5">
      <c r="A21" s="119" t="s">
        <v>55</v>
      </c>
      <c r="B21" s="113"/>
      <c r="C21" s="101"/>
      <c r="D21" s="96"/>
    </row>
    <row r="22" spans="1:5">
      <c r="A22" s="119"/>
      <c r="B22" s="113"/>
      <c r="C22" s="101"/>
      <c r="D22" s="96"/>
    </row>
    <row r="23" spans="1:5">
      <c r="A23" s="119" t="s">
        <v>56</v>
      </c>
      <c r="B23" s="113">
        <v>2672113.2000000002</v>
      </c>
      <c r="C23" s="101">
        <v>2751975.75</v>
      </c>
      <c r="D23" s="96">
        <v>2944230.42</v>
      </c>
      <c r="E23" s="11"/>
    </row>
    <row r="24" spans="1:5" hidden="1">
      <c r="A24" s="121" t="s">
        <v>55</v>
      </c>
      <c r="B24" s="114">
        <v>0</v>
      </c>
      <c r="C24" s="103">
        <v>0</v>
      </c>
      <c r="D24" s="97">
        <v>0</v>
      </c>
      <c r="E24" s="11"/>
    </row>
    <row r="25" spans="1:5">
      <c r="A25" s="119"/>
      <c r="B25" s="100"/>
      <c r="C25" s="102"/>
      <c r="D25" s="96"/>
    </row>
    <row r="26" spans="1:5">
      <c r="A26" s="119"/>
      <c r="B26" s="100"/>
      <c r="C26" s="102"/>
      <c r="D26" s="96"/>
    </row>
    <row r="27" spans="1:5">
      <c r="A27" s="118" t="s">
        <v>57</v>
      </c>
      <c r="B27" s="100"/>
      <c r="C27" s="102"/>
      <c r="D27" s="106"/>
    </row>
    <row r="28" spans="1:5">
      <c r="A28" s="122"/>
      <c r="B28" s="100"/>
      <c r="C28" s="102"/>
      <c r="D28" s="96"/>
    </row>
    <row r="29" spans="1:5">
      <c r="A29" s="120" t="s">
        <v>58</v>
      </c>
      <c r="B29" s="100"/>
      <c r="C29" s="102"/>
      <c r="D29" s="96"/>
    </row>
    <row r="30" spans="1:5">
      <c r="A30" s="119" t="s">
        <v>59</v>
      </c>
      <c r="B30" s="113">
        <v>8026.11</v>
      </c>
      <c r="C30" s="101">
        <v>9061.27</v>
      </c>
      <c r="D30" s="96">
        <v>8937.0400000000009</v>
      </c>
    </row>
    <row r="31" spans="1:5">
      <c r="A31" s="119" t="s">
        <v>60</v>
      </c>
      <c r="B31" s="115">
        <v>42720</v>
      </c>
      <c r="C31" s="104">
        <v>38095.97</v>
      </c>
      <c r="D31" s="98">
        <v>46295.5</v>
      </c>
    </row>
    <row r="32" spans="1:5">
      <c r="A32" s="119" t="s">
        <v>61</v>
      </c>
      <c r="B32" s="115">
        <v>3001.99</v>
      </c>
      <c r="C32" s="104">
        <v>325</v>
      </c>
      <c r="D32" s="98">
        <v>350</v>
      </c>
    </row>
    <row r="33" spans="1:6">
      <c r="A33" s="119"/>
      <c r="B33" s="115"/>
      <c r="C33" s="104"/>
      <c r="D33" s="98"/>
    </row>
    <row r="34" spans="1:6">
      <c r="A34" s="119" t="s">
        <v>62</v>
      </c>
      <c r="B34" s="115">
        <v>53748.1</v>
      </c>
      <c r="C34" s="104">
        <v>47482.239999999998</v>
      </c>
      <c r="D34" s="98">
        <v>55582.54</v>
      </c>
    </row>
    <row r="35" spans="1:6" hidden="1">
      <c r="A35" s="121" t="s">
        <v>55</v>
      </c>
      <c r="B35" s="114">
        <v>2.0463630789890885E-12</v>
      </c>
      <c r="C35" s="103">
        <v>0</v>
      </c>
      <c r="D35" s="97">
        <v>0</v>
      </c>
    </row>
    <row r="36" spans="1:6">
      <c r="A36" s="123"/>
      <c r="B36" s="113"/>
      <c r="C36" s="101"/>
      <c r="D36" s="96"/>
    </row>
    <row r="37" spans="1:6">
      <c r="A37" s="123" t="s">
        <v>63</v>
      </c>
      <c r="B37" s="113">
        <v>2618365.1</v>
      </c>
      <c r="C37" s="101">
        <v>2704493.51</v>
      </c>
      <c r="D37" s="96">
        <v>2888647.88</v>
      </c>
    </row>
    <row r="38" spans="1:6">
      <c r="A38" s="119"/>
      <c r="B38" s="100"/>
      <c r="C38" s="102"/>
      <c r="D38" s="98"/>
    </row>
    <row r="39" spans="1:6">
      <c r="A39" s="120" t="s">
        <v>64</v>
      </c>
      <c r="B39" s="100"/>
      <c r="C39" s="102"/>
      <c r="D39" s="98"/>
    </row>
    <row r="40" spans="1:6">
      <c r="A40" s="119" t="s">
        <v>65</v>
      </c>
      <c r="B40" s="115">
        <v>548624.04</v>
      </c>
      <c r="C40" s="104">
        <v>570489.74</v>
      </c>
      <c r="D40" s="98">
        <v>614667.32999999996</v>
      </c>
    </row>
    <row r="41" spans="1:6">
      <c r="A41" s="119" t="s">
        <v>66</v>
      </c>
      <c r="B41" s="115">
        <v>318326.24</v>
      </c>
      <c r="C41" s="104">
        <v>325272.32000000001</v>
      </c>
      <c r="D41" s="98">
        <v>351219.91</v>
      </c>
      <c r="E41" s="15"/>
    </row>
    <row r="42" spans="1:6">
      <c r="A42" s="119" t="s">
        <v>67</v>
      </c>
      <c r="B42" s="115">
        <v>230297.8</v>
      </c>
      <c r="C42" s="104">
        <v>245217.42</v>
      </c>
      <c r="D42" s="98">
        <v>263447.42</v>
      </c>
      <c r="E42" s="15"/>
    </row>
    <row r="43" spans="1:6">
      <c r="A43" s="119"/>
      <c r="B43" s="115"/>
      <c r="C43" s="104"/>
      <c r="D43" s="98"/>
      <c r="E43" s="15"/>
    </row>
    <row r="44" spans="1:6">
      <c r="A44" s="119" t="s">
        <v>68</v>
      </c>
      <c r="B44" s="115">
        <v>548624.04</v>
      </c>
      <c r="C44" s="104">
        <v>570489.74</v>
      </c>
      <c r="D44" s="98">
        <v>614667.32999999996</v>
      </c>
      <c r="E44" s="15"/>
      <c r="F44" s="16"/>
    </row>
    <row r="45" spans="1:6">
      <c r="A45" s="124"/>
      <c r="B45" s="115"/>
      <c r="C45" s="104"/>
      <c r="D45" s="98"/>
      <c r="E45" s="15"/>
    </row>
    <row r="46" spans="1:6">
      <c r="A46" s="119" t="s">
        <v>69</v>
      </c>
      <c r="B46" s="115">
        <v>2069741.06</v>
      </c>
      <c r="C46" s="104">
        <v>2134003.77</v>
      </c>
      <c r="D46" s="98">
        <v>2273980.5499999998</v>
      </c>
      <c r="E46" s="15"/>
    </row>
    <row r="47" spans="1:6">
      <c r="A47" s="119"/>
      <c r="B47" s="115"/>
      <c r="C47" s="104"/>
      <c r="D47" s="98"/>
      <c r="E47" s="15"/>
    </row>
    <row r="48" spans="1:6" ht="16" thickBot="1">
      <c r="A48" s="125" t="s">
        <v>70</v>
      </c>
      <c r="B48" s="116">
        <v>2618365.1</v>
      </c>
      <c r="C48" s="105">
        <v>2704493.51</v>
      </c>
      <c r="D48" s="99">
        <v>2888647.88</v>
      </c>
      <c r="E48" s="15"/>
    </row>
    <row r="49" spans="1:2" ht="16" thickTop="1">
      <c r="A49" s="9"/>
      <c r="B49" s="14"/>
    </row>
    <row r="50" spans="1:2" hidden="1">
      <c r="A50" s="12" t="s">
        <v>71</v>
      </c>
      <c r="B50" s="13">
        <f>D37-D48</f>
        <v>0</v>
      </c>
    </row>
    <row r="51" spans="1:2" hidden="1">
      <c r="A51" s="12" t="s">
        <v>72</v>
      </c>
      <c r="B51" s="13">
        <f>D48-'Financial Activity'!I67</f>
        <v>2.7962438762187958E-3</v>
      </c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</sheetData>
  <phoneticPr fontId="0" type="noConversion"/>
  <pageMargins left="0.5" right="0.5" top="0.5" bottom="0.55000000000000004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2"/>
  <sheetViews>
    <sheetView zoomScale="75" workbookViewId="0">
      <selection activeCell="E87" sqref="E87"/>
    </sheetView>
  </sheetViews>
  <sheetFormatPr defaultRowHeight="12.5"/>
  <cols>
    <col min="1" max="1" width="39" customWidth="1"/>
    <col min="2" max="2" width="11.90625" customWidth="1"/>
    <col min="3" max="3" width="13.08984375" customWidth="1"/>
    <col min="4" max="4" width="9.54296875" customWidth="1"/>
    <col min="5" max="5" width="12.1796875" customWidth="1"/>
    <col min="6" max="6" width="11.6328125" bestFit="1" customWidth="1"/>
    <col min="7" max="7" width="12.36328125" customWidth="1"/>
    <col min="8" max="8" width="10.90625" customWidth="1"/>
    <col min="9" max="9" width="11.6328125" customWidth="1"/>
  </cols>
  <sheetData>
    <row r="1" spans="1:10" s="18" customFormat="1" ht="20.5" thickBot="1">
      <c r="A1" s="42" t="s">
        <v>3</v>
      </c>
      <c r="B1" s="41"/>
      <c r="C1" s="41"/>
      <c r="D1" s="41"/>
      <c r="E1" s="41"/>
      <c r="F1" s="41"/>
      <c r="G1" s="41"/>
      <c r="H1" s="41"/>
      <c r="I1" s="41"/>
    </row>
    <row r="2" spans="1:10" s="18" customFormat="1" ht="16.5" thickTop="1" thickBot="1">
      <c r="A2" s="51"/>
      <c r="B2" s="127" t="s">
        <v>0</v>
      </c>
      <c r="C2" s="128"/>
      <c r="D2" s="128"/>
      <c r="E2" s="129"/>
      <c r="F2" s="130" t="s">
        <v>91</v>
      </c>
      <c r="G2" s="128"/>
      <c r="H2" s="128"/>
      <c r="I2" s="129"/>
    </row>
    <row r="3" spans="1:10" ht="13.5" thickTop="1">
      <c r="A3" s="52"/>
      <c r="B3" s="80"/>
      <c r="C3" s="69" t="s">
        <v>73</v>
      </c>
      <c r="D3" s="69" t="s">
        <v>74</v>
      </c>
      <c r="E3" s="76"/>
      <c r="F3" s="75"/>
      <c r="G3" s="69" t="s">
        <v>73</v>
      </c>
      <c r="H3" s="69" t="s">
        <v>74</v>
      </c>
      <c r="I3" s="76"/>
    </row>
    <row r="4" spans="1:10" ht="13.5" thickBot="1">
      <c r="A4" s="53"/>
      <c r="B4" s="72" t="s">
        <v>76</v>
      </c>
      <c r="C4" s="73" t="s">
        <v>77</v>
      </c>
      <c r="D4" s="73" t="s">
        <v>77</v>
      </c>
      <c r="E4" s="74" t="s">
        <v>78</v>
      </c>
      <c r="F4" s="77" t="s">
        <v>76</v>
      </c>
      <c r="G4" s="73" t="s">
        <v>77</v>
      </c>
      <c r="H4" s="73" t="s">
        <v>77</v>
      </c>
      <c r="I4" s="74" t="s">
        <v>78</v>
      </c>
    </row>
    <row r="5" spans="1:10" ht="15.5" thickTop="1">
      <c r="A5" s="54" t="s">
        <v>75</v>
      </c>
      <c r="B5" s="81"/>
      <c r="C5" s="69"/>
      <c r="D5" s="69"/>
      <c r="E5" s="82"/>
      <c r="F5" s="78"/>
      <c r="G5" s="70"/>
      <c r="H5" s="70"/>
      <c r="I5" s="71"/>
    </row>
    <row r="6" spans="1:10" ht="13">
      <c r="A6" s="55" t="s">
        <v>79</v>
      </c>
      <c r="B6" s="23"/>
      <c r="C6" s="22"/>
      <c r="D6" s="17"/>
      <c r="E6" s="19"/>
      <c r="F6" s="43"/>
      <c r="G6" s="22"/>
      <c r="H6" s="17"/>
      <c r="I6" s="19"/>
    </row>
    <row r="7" spans="1:10">
      <c r="A7" s="56" t="s">
        <v>80</v>
      </c>
      <c r="B7" s="83">
        <v>285280.8</v>
      </c>
      <c r="C7" s="24">
        <v>41376.75</v>
      </c>
      <c r="D7" s="24">
        <v>0</v>
      </c>
      <c r="E7" s="84">
        <v>326657.55</v>
      </c>
      <c r="F7" s="79">
        <v>284510.96999999997</v>
      </c>
      <c r="G7" s="25">
        <v>48814.35</v>
      </c>
      <c r="H7" s="25">
        <v>0</v>
      </c>
      <c r="I7" s="26">
        <v>333325.32</v>
      </c>
    </row>
    <row r="8" spans="1:10">
      <c r="A8" s="56" t="s">
        <v>81</v>
      </c>
      <c r="B8" s="83">
        <v>10378.09</v>
      </c>
      <c r="C8" s="27">
        <v>44697.52</v>
      </c>
      <c r="D8" s="24">
        <v>0</v>
      </c>
      <c r="E8" s="84">
        <v>55075.61</v>
      </c>
      <c r="F8" s="79">
        <v>12647.79</v>
      </c>
      <c r="G8" s="28">
        <v>102647.46</v>
      </c>
      <c r="H8" s="25">
        <v>0</v>
      </c>
      <c r="I8" s="26">
        <v>115295.25</v>
      </c>
    </row>
    <row r="9" spans="1:10">
      <c r="A9" s="56" t="s">
        <v>82</v>
      </c>
      <c r="B9" s="83">
        <v>12775</v>
      </c>
      <c r="C9" s="24">
        <v>0</v>
      </c>
      <c r="D9" s="24">
        <v>0</v>
      </c>
      <c r="E9" s="84">
        <v>12775</v>
      </c>
      <c r="F9" s="79">
        <v>2000</v>
      </c>
      <c r="G9" s="25">
        <v>20914.009999999998</v>
      </c>
      <c r="H9" s="25">
        <v>0</v>
      </c>
      <c r="I9" s="26">
        <v>22914.01</v>
      </c>
    </row>
    <row r="10" spans="1:10" ht="15">
      <c r="A10" s="56" t="s">
        <v>83</v>
      </c>
      <c r="B10" s="85"/>
      <c r="C10" s="20"/>
      <c r="D10" s="20"/>
      <c r="E10" s="21"/>
      <c r="F10" s="79">
        <v>0</v>
      </c>
      <c r="G10" s="25">
        <v>6800</v>
      </c>
      <c r="H10" s="25">
        <v>0</v>
      </c>
      <c r="I10" s="26">
        <v>6800</v>
      </c>
    </row>
    <row r="11" spans="1:10">
      <c r="A11" s="56" t="s">
        <v>84</v>
      </c>
      <c r="B11" s="83">
        <v>4248.8100000000004</v>
      </c>
      <c r="C11" s="24">
        <v>0</v>
      </c>
      <c r="D11" s="24">
        <v>0</v>
      </c>
      <c r="E11" s="84">
        <v>4248.8100000000004</v>
      </c>
      <c r="F11" s="79">
        <v>3521.67</v>
      </c>
      <c r="G11" s="25">
        <v>0</v>
      </c>
      <c r="H11" s="25">
        <v>0</v>
      </c>
      <c r="I11" s="26">
        <v>3521.67</v>
      </c>
      <c r="J11" s="6"/>
    </row>
    <row r="12" spans="1:10" hidden="1">
      <c r="A12" s="56" t="s">
        <v>85</v>
      </c>
      <c r="B12" s="83">
        <v>312682.7</v>
      </c>
      <c r="C12" s="24">
        <v>86074.27</v>
      </c>
      <c r="D12" s="24">
        <v>0</v>
      </c>
      <c r="E12" s="84">
        <v>398756.97</v>
      </c>
      <c r="F12" s="79">
        <v>302680.43</v>
      </c>
      <c r="G12" s="25">
        <v>179175.82</v>
      </c>
      <c r="H12" s="25">
        <v>0</v>
      </c>
      <c r="I12" s="26">
        <v>481856.25</v>
      </c>
    </row>
    <row r="13" spans="1:10">
      <c r="A13" s="56"/>
      <c r="B13" s="83"/>
      <c r="C13" s="24"/>
      <c r="D13" s="24"/>
      <c r="E13" s="84"/>
      <c r="F13" s="79"/>
      <c r="G13" s="29"/>
      <c r="H13" s="25"/>
      <c r="I13" s="26"/>
    </row>
    <row r="14" spans="1:10" ht="13">
      <c r="A14" s="55" t="s">
        <v>86</v>
      </c>
      <c r="B14" s="83"/>
      <c r="C14" s="24"/>
      <c r="D14" s="24"/>
      <c r="E14" s="84"/>
      <c r="F14" s="79"/>
      <c r="G14" s="25"/>
      <c r="H14" s="25"/>
      <c r="I14" s="26"/>
    </row>
    <row r="15" spans="1:10">
      <c r="A15" s="56" t="s">
        <v>87</v>
      </c>
      <c r="B15" s="83">
        <v>17386.740000000002</v>
      </c>
      <c r="C15" s="24">
        <v>0</v>
      </c>
      <c r="D15" s="24">
        <v>0</v>
      </c>
      <c r="E15" s="84">
        <v>17386.740000000002</v>
      </c>
      <c r="F15" s="79">
        <v>16850.66</v>
      </c>
      <c r="G15" s="25">
        <v>0</v>
      </c>
      <c r="H15" s="25">
        <v>0</v>
      </c>
      <c r="I15" s="26">
        <v>16850.66</v>
      </c>
    </row>
    <row r="16" spans="1:10">
      <c r="A16" s="56" t="s">
        <v>88</v>
      </c>
      <c r="B16" s="83">
        <v>141302.23000000001</v>
      </c>
      <c r="C16" s="24">
        <v>0</v>
      </c>
      <c r="D16" s="24">
        <v>0</v>
      </c>
      <c r="E16" s="84">
        <v>141302.23000000001</v>
      </c>
      <c r="F16" s="79">
        <v>138047.15</v>
      </c>
      <c r="G16" s="25">
        <v>0</v>
      </c>
      <c r="H16" s="25">
        <v>0</v>
      </c>
      <c r="I16" s="26">
        <v>138047.15</v>
      </c>
    </row>
    <row r="17" spans="1:10">
      <c r="A17" s="56" t="s">
        <v>89</v>
      </c>
      <c r="B17" s="83">
        <v>194267.07</v>
      </c>
      <c r="C17" s="24">
        <v>0</v>
      </c>
      <c r="D17" s="24">
        <v>0</v>
      </c>
      <c r="E17" s="84">
        <v>194267.07</v>
      </c>
      <c r="F17" s="79">
        <v>172138.98</v>
      </c>
      <c r="G17" s="25">
        <v>11464.27</v>
      </c>
      <c r="H17" s="25">
        <v>0</v>
      </c>
      <c r="I17" s="26">
        <v>183603.25</v>
      </c>
    </row>
    <row r="18" spans="1:10" ht="15">
      <c r="A18" s="56" t="s">
        <v>92</v>
      </c>
      <c r="B18" s="83">
        <v>0</v>
      </c>
      <c r="C18" s="30">
        <v>0</v>
      </c>
      <c r="D18" s="24">
        <v>0</v>
      </c>
      <c r="E18" s="84">
        <v>0</v>
      </c>
      <c r="F18" s="44"/>
      <c r="G18" s="20"/>
      <c r="H18" s="20"/>
      <c r="I18" s="21"/>
    </row>
    <row r="19" spans="1:10" ht="15">
      <c r="A19" s="56" t="s">
        <v>93</v>
      </c>
      <c r="B19" s="83">
        <v>0</v>
      </c>
      <c r="C19" s="24">
        <v>18610</v>
      </c>
      <c r="D19" s="24">
        <v>0</v>
      </c>
      <c r="E19" s="84">
        <v>18610</v>
      </c>
      <c r="F19" s="44"/>
      <c r="G19" s="20"/>
      <c r="H19" s="20"/>
      <c r="I19" s="21"/>
    </row>
    <row r="20" spans="1:10">
      <c r="A20" s="56" t="s">
        <v>90</v>
      </c>
      <c r="B20" s="83">
        <v>39575.599999999999</v>
      </c>
      <c r="C20" s="24">
        <v>0</v>
      </c>
      <c r="D20" s="24">
        <v>0</v>
      </c>
      <c r="E20" s="84">
        <v>39575.599999999999</v>
      </c>
      <c r="F20" s="79">
        <v>16979.43</v>
      </c>
      <c r="G20" s="25">
        <v>0</v>
      </c>
      <c r="H20" s="25">
        <v>0</v>
      </c>
      <c r="I20" s="26">
        <v>16979.43</v>
      </c>
    </row>
    <row r="21" spans="1:10">
      <c r="A21" s="56" t="s">
        <v>8</v>
      </c>
      <c r="B21" s="83">
        <v>3687</v>
      </c>
      <c r="C21" s="24">
        <v>0</v>
      </c>
      <c r="D21" s="24">
        <v>0</v>
      </c>
      <c r="E21" s="84">
        <v>3687</v>
      </c>
      <c r="F21" s="79">
        <v>4757</v>
      </c>
      <c r="G21" s="25">
        <v>0</v>
      </c>
      <c r="H21" s="25">
        <v>0</v>
      </c>
      <c r="I21" s="26">
        <v>4757</v>
      </c>
    </row>
    <row r="22" spans="1:10">
      <c r="A22" s="56" t="s">
        <v>9</v>
      </c>
      <c r="B22" s="86">
        <v>5469</v>
      </c>
      <c r="C22" s="24">
        <v>0</v>
      </c>
      <c r="D22" s="24">
        <v>0</v>
      </c>
      <c r="E22" s="84">
        <v>5469</v>
      </c>
      <c r="F22" s="45">
        <v>5328</v>
      </c>
      <c r="G22" s="25">
        <v>0</v>
      </c>
      <c r="H22" s="25">
        <v>0</v>
      </c>
      <c r="I22" s="26">
        <v>5328</v>
      </c>
    </row>
    <row r="23" spans="1:10">
      <c r="A23" s="56" t="s">
        <v>10</v>
      </c>
      <c r="B23" s="86">
        <v>11725.84</v>
      </c>
      <c r="C23" s="24">
        <v>0</v>
      </c>
      <c r="D23" s="24">
        <v>0</v>
      </c>
      <c r="E23" s="84">
        <v>11725.84</v>
      </c>
      <c r="F23" s="45">
        <v>11807.07</v>
      </c>
      <c r="G23" s="25">
        <v>0</v>
      </c>
      <c r="H23" s="25">
        <v>0</v>
      </c>
      <c r="I23" s="26">
        <v>11807.07</v>
      </c>
    </row>
    <row r="24" spans="1:10">
      <c r="A24" s="56" t="s">
        <v>11</v>
      </c>
      <c r="B24" s="86">
        <v>2506.39</v>
      </c>
      <c r="C24" s="24">
        <v>0</v>
      </c>
      <c r="D24" s="24">
        <v>0</v>
      </c>
      <c r="E24" s="84">
        <v>2506.39</v>
      </c>
      <c r="F24" s="45">
        <v>2509.67</v>
      </c>
      <c r="G24" s="25">
        <v>0</v>
      </c>
      <c r="H24" s="25">
        <v>0</v>
      </c>
      <c r="I24" s="26">
        <v>2509.67</v>
      </c>
    </row>
    <row r="25" spans="1:10">
      <c r="A25" s="56" t="s">
        <v>12</v>
      </c>
      <c r="B25" s="86"/>
      <c r="C25" s="31"/>
      <c r="D25" s="31"/>
      <c r="E25" s="32"/>
      <c r="F25" s="45"/>
      <c r="G25" s="31"/>
      <c r="H25" s="31"/>
      <c r="I25" s="32"/>
    </row>
    <row r="26" spans="1:10">
      <c r="A26" s="56" t="s">
        <v>13</v>
      </c>
      <c r="B26" s="86">
        <v>221.39</v>
      </c>
      <c r="C26" s="31">
        <v>51313.9</v>
      </c>
      <c r="D26" s="24">
        <v>0</v>
      </c>
      <c r="E26" s="32">
        <v>51535.29</v>
      </c>
      <c r="F26" s="45">
        <v>4230.16</v>
      </c>
      <c r="G26" s="31">
        <v>61866.57</v>
      </c>
      <c r="H26" s="25">
        <v>0</v>
      </c>
      <c r="I26" s="32">
        <v>66096.73</v>
      </c>
    </row>
    <row r="27" spans="1:10">
      <c r="A27" s="56" t="s">
        <v>14</v>
      </c>
      <c r="B27" s="87">
        <v>4029.55</v>
      </c>
      <c r="C27" s="33">
        <v>1453.85</v>
      </c>
      <c r="D27" s="24">
        <v>0</v>
      </c>
      <c r="E27" s="84">
        <v>5483.4</v>
      </c>
      <c r="F27" s="46">
        <v>3595.58</v>
      </c>
      <c r="G27" s="33">
        <v>0</v>
      </c>
      <c r="H27" s="25">
        <v>0</v>
      </c>
      <c r="I27" s="26">
        <v>3595.58</v>
      </c>
    </row>
    <row r="28" spans="1:10">
      <c r="A28" s="56" t="s">
        <v>15</v>
      </c>
      <c r="B28" s="86">
        <v>0</v>
      </c>
      <c r="C28" s="31">
        <v>94676.4</v>
      </c>
      <c r="D28" s="24">
        <v>0</v>
      </c>
      <c r="E28" s="32">
        <v>94676.4</v>
      </c>
      <c r="F28" s="45">
        <v>0</v>
      </c>
      <c r="G28" s="31">
        <v>13513.02</v>
      </c>
      <c r="H28" s="25">
        <v>0</v>
      </c>
      <c r="I28" s="32">
        <v>13513.02</v>
      </c>
    </row>
    <row r="29" spans="1:10" ht="13" thickBot="1">
      <c r="A29" s="95" t="s">
        <v>16</v>
      </c>
      <c r="B29" s="88">
        <v>0</v>
      </c>
      <c r="C29" s="37">
        <v>-79757.03</v>
      </c>
      <c r="D29" s="67">
        <v>0</v>
      </c>
      <c r="E29" s="38">
        <v>-79757.03</v>
      </c>
      <c r="F29" s="66">
        <v>0</v>
      </c>
      <c r="G29" s="37">
        <v>-9408.2700000000459</v>
      </c>
      <c r="H29" s="68">
        <v>0</v>
      </c>
      <c r="I29" s="38">
        <v>-9408.2700000000459</v>
      </c>
      <c r="J29" s="1"/>
    </row>
    <row r="30" spans="1:10" hidden="1">
      <c r="A30" s="62" t="s">
        <v>17</v>
      </c>
      <c r="B30" s="89">
        <v>0</v>
      </c>
      <c r="C30" s="35">
        <v>-1978.53</v>
      </c>
      <c r="D30" s="64">
        <v>0</v>
      </c>
      <c r="E30" s="36">
        <v>-1978.53</v>
      </c>
      <c r="F30" s="63">
        <v>0</v>
      </c>
      <c r="G30" s="35">
        <v>-1994.17</v>
      </c>
      <c r="H30" s="65">
        <v>0</v>
      </c>
      <c r="I30" s="36">
        <v>-1994.17</v>
      </c>
    </row>
    <row r="31" spans="1:10" ht="13.5" thickTop="1">
      <c r="A31" s="55" t="s">
        <v>18</v>
      </c>
      <c r="B31" s="86">
        <v>420170.81</v>
      </c>
      <c r="C31" s="31">
        <v>84318.59</v>
      </c>
      <c r="D31" s="31">
        <v>0</v>
      </c>
      <c r="E31" s="32">
        <v>504489.4</v>
      </c>
      <c r="F31" s="45">
        <v>376243.7</v>
      </c>
      <c r="G31" s="31">
        <v>75441.42</v>
      </c>
      <c r="H31" s="31">
        <v>0</v>
      </c>
      <c r="I31" s="32">
        <v>451685.12</v>
      </c>
    </row>
    <row r="32" spans="1:10">
      <c r="A32" s="56"/>
      <c r="B32" s="86"/>
      <c r="C32" s="31"/>
      <c r="D32" s="31"/>
      <c r="E32" s="32"/>
      <c r="F32" s="45"/>
      <c r="G32" s="33"/>
      <c r="H32" s="31"/>
      <c r="I32" s="32"/>
    </row>
    <row r="33" spans="1:9">
      <c r="A33" s="56" t="s">
        <v>19</v>
      </c>
      <c r="B33" s="86">
        <v>75269.02</v>
      </c>
      <c r="C33" s="31"/>
      <c r="D33" s="31"/>
      <c r="E33" s="84">
        <v>75269.02</v>
      </c>
      <c r="F33" s="45">
        <v>70141.41</v>
      </c>
      <c r="G33" s="31"/>
      <c r="H33" s="31"/>
      <c r="I33" s="26">
        <v>70141.41</v>
      </c>
    </row>
    <row r="34" spans="1:9">
      <c r="A34" s="56" t="s">
        <v>4</v>
      </c>
      <c r="B34" s="86"/>
      <c r="C34" s="31"/>
      <c r="D34" s="31"/>
      <c r="E34" s="32"/>
      <c r="F34" s="45"/>
      <c r="G34" s="31"/>
      <c r="H34" s="31"/>
      <c r="I34" s="32"/>
    </row>
    <row r="35" spans="1:9">
      <c r="A35" s="56" t="s">
        <v>5</v>
      </c>
      <c r="B35" s="86"/>
      <c r="C35" s="31">
        <v>-75269.02</v>
      </c>
      <c r="D35" s="31">
        <v>0</v>
      </c>
      <c r="E35" s="84">
        <v>-75269.02</v>
      </c>
      <c r="F35" s="45"/>
      <c r="G35" s="31">
        <v>-70141.41</v>
      </c>
      <c r="H35" s="31">
        <v>0</v>
      </c>
      <c r="I35" s="26">
        <v>-70141.41</v>
      </c>
    </row>
    <row r="36" spans="1:9" s="4" customFormat="1" hidden="1">
      <c r="A36" s="56" t="s">
        <v>20</v>
      </c>
      <c r="B36" s="86">
        <v>808122.53</v>
      </c>
      <c r="C36" s="31">
        <v>95123.839999999997</v>
      </c>
      <c r="D36" s="31">
        <v>0</v>
      </c>
      <c r="E36" s="32">
        <v>903246.37</v>
      </c>
      <c r="F36" s="45">
        <v>749065.54</v>
      </c>
      <c r="G36" s="31">
        <v>184475.83</v>
      </c>
      <c r="H36" s="31">
        <v>0</v>
      </c>
      <c r="I36" s="32">
        <v>933541.37</v>
      </c>
    </row>
    <row r="37" spans="1:9" ht="13" thickBot="1">
      <c r="A37" s="58"/>
      <c r="B37" s="90"/>
      <c r="C37" s="37"/>
      <c r="D37" s="37"/>
      <c r="E37" s="38"/>
      <c r="F37" s="48"/>
      <c r="G37" s="37"/>
      <c r="H37" s="37"/>
      <c r="I37" s="38"/>
    </row>
    <row r="38" spans="1:9" ht="13.5" thickTop="1">
      <c r="A38" s="59" t="s">
        <v>21</v>
      </c>
      <c r="B38" s="91"/>
      <c r="C38" s="35"/>
      <c r="D38" s="35"/>
      <c r="E38" s="36"/>
      <c r="F38" s="49"/>
      <c r="G38" s="35"/>
      <c r="H38" s="35"/>
      <c r="I38" s="36"/>
    </row>
    <row r="39" spans="1:9" ht="13">
      <c r="A39" s="59"/>
      <c r="B39" s="91"/>
      <c r="C39" s="35"/>
      <c r="D39" s="35"/>
      <c r="E39" s="36"/>
      <c r="F39" s="49"/>
      <c r="G39" s="35"/>
      <c r="H39" s="35"/>
      <c r="I39" s="36"/>
    </row>
    <row r="40" spans="1:9" ht="13">
      <c r="A40" s="55" t="s">
        <v>22</v>
      </c>
      <c r="B40" s="86"/>
      <c r="C40" s="31"/>
      <c r="D40" s="31"/>
      <c r="E40" s="32"/>
      <c r="F40" s="45"/>
      <c r="G40" s="31"/>
      <c r="H40" s="31"/>
      <c r="I40" s="32"/>
    </row>
    <row r="41" spans="1:9">
      <c r="A41" s="56" t="s">
        <v>23</v>
      </c>
      <c r="B41" s="86">
        <v>191778.21249283126</v>
      </c>
      <c r="C41" s="31">
        <v>0</v>
      </c>
      <c r="D41" s="31">
        <v>0</v>
      </c>
      <c r="E41" s="32">
        <v>191778.21249283126</v>
      </c>
      <c r="F41" s="45">
        <v>164164.12160263129</v>
      </c>
      <c r="G41" s="31">
        <v>0</v>
      </c>
      <c r="H41" s="31">
        <v>0</v>
      </c>
      <c r="I41" s="32">
        <v>164164.12160263129</v>
      </c>
    </row>
    <row r="42" spans="1:9">
      <c r="A42" s="57" t="s">
        <v>24</v>
      </c>
      <c r="B42" s="92">
        <v>18888.669999999998</v>
      </c>
      <c r="C42" s="31">
        <v>0</v>
      </c>
      <c r="D42" s="31">
        <v>0</v>
      </c>
      <c r="E42" s="32">
        <v>18888.669999999998</v>
      </c>
      <c r="F42" s="47">
        <v>16261.16</v>
      </c>
      <c r="G42" s="31">
        <v>0</v>
      </c>
      <c r="H42" s="31">
        <v>0</v>
      </c>
      <c r="I42" s="32">
        <v>16261.16</v>
      </c>
    </row>
    <row r="43" spans="1:9">
      <c r="A43" s="57" t="s">
        <v>94</v>
      </c>
      <c r="B43" s="92">
        <v>15120</v>
      </c>
      <c r="C43" s="34">
        <v>0</v>
      </c>
      <c r="D43" s="31">
        <v>0</v>
      </c>
      <c r="E43" s="32">
        <v>15120</v>
      </c>
      <c r="F43" s="47">
        <v>17070</v>
      </c>
      <c r="G43" s="34">
        <v>0</v>
      </c>
      <c r="H43" s="31">
        <v>0</v>
      </c>
      <c r="I43" s="32">
        <v>17070</v>
      </c>
    </row>
    <row r="44" spans="1:9">
      <c r="A44" s="56" t="s">
        <v>25</v>
      </c>
      <c r="B44" s="86">
        <v>0</v>
      </c>
      <c r="C44" s="33">
        <v>27642.78</v>
      </c>
      <c r="D44" s="31">
        <v>0</v>
      </c>
      <c r="E44" s="32">
        <v>27642.78</v>
      </c>
      <c r="F44" s="45">
        <v>0</v>
      </c>
      <c r="G44" s="33">
        <v>18522.41</v>
      </c>
      <c r="H44" s="31">
        <v>0</v>
      </c>
      <c r="I44" s="32">
        <v>18522.41</v>
      </c>
    </row>
    <row r="45" spans="1:9">
      <c r="A45" s="56" t="s">
        <v>26</v>
      </c>
      <c r="B45" s="86">
        <v>0</v>
      </c>
      <c r="C45" s="31">
        <v>3242.93</v>
      </c>
      <c r="D45" s="31">
        <v>0</v>
      </c>
      <c r="E45" s="32">
        <v>3242.93</v>
      </c>
      <c r="F45" s="45">
        <v>0</v>
      </c>
      <c r="G45" s="31">
        <v>16847.16</v>
      </c>
      <c r="H45" s="31">
        <v>0</v>
      </c>
      <c r="I45" s="32">
        <v>16847.16</v>
      </c>
    </row>
    <row r="46" spans="1:9">
      <c r="A46" s="56" t="s">
        <v>27</v>
      </c>
      <c r="B46" s="86">
        <v>41100.910000000003</v>
      </c>
      <c r="C46" s="31">
        <v>0</v>
      </c>
      <c r="D46" s="31">
        <v>0</v>
      </c>
      <c r="E46" s="32">
        <v>41100.910000000003</v>
      </c>
      <c r="F46" s="45">
        <v>22817.39</v>
      </c>
      <c r="G46" s="31">
        <v>0</v>
      </c>
      <c r="H46" s="31">
        <v>0</v>
      </c>
      <c r="I46" s="32">
        <v>22817.39</v>
      </c>
    </row>
    <row r="47" spans="1:9">
      <c r="A47" s="56" t="s">
        <v>28</v>
      </c>
      <c r="B47" s="86">
        <v>162681.21</v>
      </c>
      <c r="C47" s="31">
        <v>0</v>
      </c>
      <c r="D47" s="31">
        <v>0</v>
      </c>
      <c r="E47" s="32">
        <v>162681.21</v>
      </c>
      <c r="F47" s="45">
        <v>160974.04999999999</v>
      </c>
      <c r="G47" s="31">
        <v>9129.48</v>
      </c>
      <c r="H47" s="31">
        <v>0</v>
      </c>
      <c r="I47" s="32">
        <v>170103.53</v>
      </c>
    </row>
    <row r="48" spans="1:9">
      <c r="A48" s="56" t="s">
        <v>29</v>
      </c>
      <c r="B48" s="86">
        <v>250770.54224209546</v>
      </c>
      <c r="C48" s="31">
        <v>0</v>
      </c>
      <c r="D48" s="31">
        <v>0</v>
      </c>
      <c r="E48" s="32">
        <v>250770.54224209546</v>
      </c>
      <c r="F48" s="45">
        <v>226778.31823529553</v>
      </c>
      <c r="G48" s="31">
        <v>0</v>
      </c>
      <c r="H48" s="31">
        <v>0</v>
      </c>
      <c r="I48" s="32">
        <v>226778.31823529553</v>
      </c>
    </row>
    <row r="49" spans="1:9">
      <c r="A49" s="56" t="s">
        <v>30</v>
      </c>
      <c r="B49" s="86">
        <v>3595.47</v>
      </c>
      <c r="C49" s="31">
        <v>0</v>
      </c>
      <c r="D49" s="31">
        <v>0</v>
      </c>
      <c r="E49" s="32">
        <v>3595.47</v>
      </c>
      <c r="F49" s="45">
        <v>4151.22</v>
      </c>
      <c r="G49" s="31">
        <v>0</v>
      </c>
      <c r="H49" s="31">
        <v>0</v>
      </c>
      <c r="I49" s="32">
        <v>4151.22</v>
      </c>
    </row>
    <row r="50" spans="1:9">
      <c r="A50" s="56" t="s">
        <v>31</v>
      </c>
      <c r="B50" s="86"/>
      <c r="C50" s="31"/>
      <c r="D50" s="31"/>
      <c r="E50" s="32"/>
      <c r="F50" s="45">
        <v>6800</v>
      </c>
      <c r="G50" s="31">
        <v>0</v>
      </c>
      <c r="H50" s="31">
        <v>0</v>
      </c>
      <c r="I50" s="32">
        <v>6800</v>
      </c>
    </row>
    <row r="51" spans="1:9">
      <c r="A51" s="56" t="s">
        <v>32</v>
      </c>
      <c r="B51" s="87">
        <v>25057.575999999997</v>
      </c>
      <c r="C51" s="31">
        <v>0</v>
      </c>
      <c r="D51" s="31">
        <v>0</v>
      </c>
      <c r="E51" s="32">
        <v>25057.575999999997</v>
      </c>
      <c r="F51" s="46">
        <v>21032.470999999998</v>
      </c>
      <c r="G51" s="31">
        <v>0</v>
      </c>
      <c r="H51" s="31">
        <v>0</v>
      </c>
      <c r="I51" s="32">
        <v>21032.470999999998</v>
      </c>
    </row>
    <row r="52" spans="1:9">
      <c r="A52" s="56" t="s">
        <v>33</v>
      </c>
      <c r="B52" s="87">
        <v>708992.59073492663</v>
      </c>
      <c r="C52" s="33">
        <v>30885.71</v>
      </c>
      <c r="D52" s="33">
        <v>0</v>
      </c>
      <c r="E52" s="32">
        <v>739878.3007349266</v>
      </c>
      <c r="F52" s="46">
        <v>640048.73083792685</v>
      </c>
      <c r="G52" s="33">
        <v>44499.05</v>
      </c>
      <c r="H52" s="33">
        <v>0</v>
      </c>
      <c r="I52" s="32">
        <v>684547.7808379269</v>
      </c>
    </row>
    <row r="53" spans="1:9">
      <c r="A53" s="56"/>
      <c r="B53" s="86"/>
      <c r="C53" s="31"/>
      <c r="D53" s="31"/>
      <c r="E53" s="32"/>
      <c r="F53" s="45"/>
      <c r="G53" s="31"/>
      <c r="H53" s="31"/>
      <c r="I53" s="32"/>
    </row>
    <row r="54" spans="1:9" ht="13">
      <c r="A54" s="55" t="s">
        <v>34</v>
      </c>
      <c r="B54" s="86"/>
      <c r="C54" s="31"/>
      <c r="D54" s="31"/>
      <c r="E54" s="32"/>
      <c r="F54" s="45"/>
      <c r="G54" s="31"/>
      <c r="H54" s="31"/>
      <c r="I54" s="32"/>
    </row>
    <row r="55" spans="1:9">
      <c r="A55" s="56" t="s">
        <v>35</v>
      </c>
      <c r="B55" s="87">
        <v>69137.127009316406</v>
      </c>
      <c r="C55" s="31">
        <v>0</v>
      </c>
      <c r="D55" s="31">
        <v>0</v>
      </c>
      <c r="E55" s="32">
        <v>69137.127009316406</v>
      </c>
      <c r="F55" s="46">
        <v>56496.661958316399</v>
      </c>
      <c r="G55" s="31">
        <v>0</v>
      </c>
      <c r="H55" s="31">
        <v>0</v>
      </c>
      <c r="I55" s="32">
        <v>56496.661958316399</v>
      </c>
    </row>
    <row r="56" spans="1:9">
      <c r="A56" s="56" t="s">
        <v>84</v>
      </c>
      <c r="B56" s="87">
        <v>4682.09</v>
      </c>
      <c r="C56" s="31">
        <v>0</v>
      </c>
      <c r="D56" s="31">
        <v>0</v>
      </c>
      <c r="E56" s="32">
        <v>4682.09</v>
      </c>
      <c r="F56" s="46">
        <v>4922.12</v>
      </c>
      <c r="G56" s="31">
        <v>0</v>
      </c>
      <c r="H56" s="31">
        <v>0</v>
      </c>
      <c r="I56" s="32">
        <v>4922.12</v>
      </c>
    </row>
    <row r="57" spans="1:9">
      <c r="A57" s="56" t="s">
        <v>36</v>
      </c>
      <c r="B57" s="86">
        <v>73819.217009316402</v>
      </c>
      <c r="C57" s="31">
        <v>0</v>
      </c>
      <c r="D57" s="31">
        <v>0</v>
      </c>
      <c r="E57" s="32">
        <v>73819.217009316402</v>
      </c>
      <c r="F57" s="45">
        <v>61418.781958316402</v>
      </c>
      <c r="G57" s="31">
        <v>0</v>
      </c>
      <c r="H57" s="31">
        <v>0</v>
      </c>
      <c r="I57" s="32">
        <v>61418.781958316402</v>
      </c>
    </row>
    <row r="58" spans="1:9">
      <c r="A58" s="56"/>
      <c r="B58" s="86"/>
      <c r="C58" s="31"/>
      <c r="D58" s="31"/>
      <c r="E58" s="32"/>
      <c r="F58" s="45"/>
      <c r="G58" s="31"/>
      <c r="H58" s="31"/>
      <c r="I58" s="32"/>
    </row>
    <row r="59" spans="1:9" ht="13">
      <c r="A59" s="55" t="s">
        <v>37</v>
      </c>
      <c r="B59" s="86">
        <v>3420.44</v>
      </c>
      <c r="C59" s="31">
        <v>0</v>
      </c>
      <c r="D59" s="31">
        <v>0</v>
      </c>
      <c r="E59" s="32">
        <v>3420.44</v>
      </c>
      <c r="F59" s="45">
        <v>3420.44</v>
      </c>
      <c r="G59" s="31">
        <v>0</v>
      </c>
      <c r="H59" s="31">
        <v>0</v>
      </c>
      <c r="I59" s="32">
        <v>3420.44</v>
      </c>
    </row>
    <row r="60" spans="1:9" ht="13" thickBot="1">
      <c r="A60" s="95"/>
      <c r="B60" s="90"/>
      <c r="C60" s="37"/>
      <c r="D60" s="37"/>
      <c r="E60" s="38"/>
      <c r="F60" s="48"/>
      <c r="G60" s="37"/>
      <c r="H60" s="37"/>
      <c r="I60" s="38"/>
    </row>
    <row r="61" spans="1:9" s="5" customFormat="1" ht="13.5" thickTop="1">
      <c r="A61" s="59" t="s">
        <v>95</v>
      </c>
      <c r="B61" s="91">
        <v>786232.24774424313</v>
      </c>
      <c r="C61" s="35">
        <v>30885.71</v>
      </c>
      <c r="D61" s="35">
        <v>0</v>
      </c>
      <c r="E61" s="36">
        <v>817117.95774424309</v>
      </c>
      <c r="F61" s="49">
        <v>704887.95279624336</v>
      </c>
      <c r="G61" s="35">
        <v>44499.05</v>
      </c>
      <c r="H61" s="35">
        <v>0</v>
      </c>
      <c r="I61" s="36">
        <v>749387.00279624341</v>
      </c>
    </row>
    <row r="62" spans="1:9" ht="13" thickBot="1">
      <c r="A62" s="58"/>
      <c r="B62" s="90"/>
      <c r="C62" s="37"/>
      <c r="D62" s="37"/>
      <c r="E62" s="38"/>
      <c r="F62" s="48"/>
      <c r="G62" s="37"/>
      <c r="H62" s="37"/>
      <c r="I62" s="38"/>
    </row>
    <row r="63" spans="1:9" ht="13.5" thickTop="1">
      <c r="A63" s="59" t="s">
        <v>2</v>
      </c>
      <c r="B63" s="91">
        <v>21890.282255756902</v>
      </c>
      <c r="C63" s="35">
        <v>64238.13</v>
      </c>
      <c r="D63" s="35">
        <v>0</v>
      </c>
      <c r="E63" s="36">
        <v>86128.412255756906</v>
      </c>
      <c r="F63" s="49">
        <v>44177.587203756557</v>
      </c>
      <c r="G63" s="35">
        <v>139976.78</v>
      </c>
      <c r="H63" s="35">
        <v>0</v>
      </c>
      <c r="I63" s="36">
        <v>184154.36720375647</v>
      </c>
    </row>
    <row r="64" spans="1:9">
      <c r="A64" s="56"/>
      <c r="B64" s="86"/>
      <c r="C64" s="31"/>
      <c r="D64" s="31"/>
      <c r="E64" s="32"/>
      <c r="F64" s="45"/>
      <c r="G64" s="31"/>
      <c r="H64" s="31"/>
      <c r="I64" s="32"/>
    </row>
    <row r="65" spans="1:9" ht="13">
      <c r="A65" s="55" t="s">
        <v>38</v>
      </c>
      <c r="B65" s="86">
        <v>548624.04</v>
      </c>
      <c r="C65" s="31">
        <v>2069741.06</v>
      </c>
      <c r="D65" s="31">
        <v>0</v>
      </c>
      <c r="E65" s="32">
        <v>2618365.1</v>
      </c>
      <c r="F65" s="45">
        <v>570489.74</v>
      </c>
      <c r="G65" s="31">
        <v>2134003.77</v>
      </c>
      <c r="H65" s="31">
        <v>0</v>
      </c>
      <c r="I65" s="32">
        <v>2704493.51</v>
      </c>
    </row>
    <row r="66" spans="1:9">
      <c r="A66" s="56"/>
      <c r="B66" s="86"/>
      <c r="C66" s="31"/>
      <c r="D66" s="31"/>
      <c r="E66" s="32"/>
      <c r="F66" s="45"/>
      <c r="G66" s="31"/>
      <c r="H66" s="31"/>
      <c r="I66" s="32"/>
    </row>
    <row r="67" spans="1:9" ht="13.5" thickBot="1">
      <c r="A67" s="60" t="s">
        <v>1</v>
      </c>
      <c r="B67" s="90">
        <v>570514.32225575682</v>
      </c>
      <c r="C67" s="37">
        <v>2133979.19</v>
      </c>
      <c r="D67" s="37">
        <v>0</v>
      </c>
      <c r="E67" s="38">
        <v>2704493.5122557567</v>
      </c>
      <c r="F67" s="48">
        <v>614667.32720375655</v>
      </c>
      <c r="G67" s="37">
        <v>2273980.5499999998</v>
      </c>
      <c r="H67" s="37">
        <v>0</v>
      </c>
      <c r="I67" s="38">
        <v>2888647.877203756</v>
      </c>
    </row>
    <row r="68" spans="1:9" ht="26" thickTop="1" thickBot="1">
      <c r="A68" s="61" t="s">
        <v>39</v>
      </c>
      <c r="B68" s="93"/>
      <c r="C68" s="39"/>
      <c r="D68" s="39"/>
      <c r="E68" s="94">
        <v>9.0340955439412493E-2</v>
      </c>
      <c r="F68" s="50"/>
      <c r="G68" s="39"/>
      <c r="H68" s="39"/>
      <c r="I68" s="40">
        <v>8.1958696546830856E-2</v>
      </c>
    </row>
    <row r="69" spans="1:9" hidden="1"/>
    <row r="70" spans="1:9" hidden="1">
      <c r="F70" s="3" t="e">
        <f>F67-#REF!</f>
        <v>#REF!</v>
      </c>
      <c r="G70" s="3" t="e">
        <f>G67-(#REF!-#REF!-#REF!-#REF!)</f>
        <v>#REF!</v>
      </c>
      <c r="H70" s="3">
        <v>0</v>
      </c>
      <c r="I70" s="3" t="e">
        <f>I67-(#REF!)-#REF!-#REF!</f>
        <v>#REF!</v>
      </c>
    </row>
    <row r="71" spans="1:9" hidden="1">
      <c r="F71" s="2"/>
      <c r="G71" s="3" t="e">
        <f>G63-#REF!-#REF!-#REF!-#REF!-#REF!</f>
        <v>#REF!</v>
      </c>
      <c r="H71" s="2"/>
      <c r="I71" s="2"/>
    </row>
    <row r="72" spans="1:9" ht="13" thickTop="1"/>
  </sheetData>
  <mergeCells count="2">
    <mergeCell ref="B2:E2"/>
    <mergeCell ref="F2:I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Financial Position </vt:lpstr>
      <vt:lpstr>Financial Activity</vt:lpstr>
      <vt:lpstr>'Financial Activity'!Print_Area</vt:lpstr>
      <vt:lpstr>'Financial Position '!Print_Area</vt:lpstr>
      <vt:lpstr>'Financial Position '!Print_Area_MI</vt:lpstr>
    </vt:vector>
  </TitlesOfParts>
  <Company>NSS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 Finances</dc:title>
  <dc:creator>Paul Stevens</dc:creator>
  <cp:lastModifiedBy>Carina Negreanu</cp:lastModifiedBy>
  <cp:lastPrinted>2002-04-19T02:00:08Z</cp:lastPrinted>
  <dcterms:created xsi:type="dcterms:W3CDTF">2001-01-18T08:34:18Z</dcterms:created>
  <dcterms:modified xsi:type="dcterms:W3CDTF">2020-01-27T11:32:28Z</dcterms:modified>
</cp:coreProperties>
</file>