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E85E270-695D-4770-A623-A8E4329820E6}" xr6:coauthVersionLast="45" xr6:coauthVersionMax="45" xr10:uidLastSave="{00000000-0000-0000-0000-000000000000}"/>
  <bookViews>
    <workbookView xWindow="3420" yWindow="3420" windowWidth="28800" windowHeight="15460" tabRatio="948"/>
  </bookViews>
  <sheets>
    <sheet name="Speciation calculations" sheetId="2" r:id="rId1"/>
    <sheet name="Log Speciation Diagram" sheetId="3" r:id="rId2"/>
    <sheet name="Solver Exercise" sheetId="4" r:id="rId3"/>
    <sheet name="Other speciation diagrams" sheetId="5" r:id="rId4"/>
  </sheets>
  <definedNames>
    <definedName name="Ca">'Solver Exercise'!$E$7</definedName>
    <definedName name="K1_">'Solver Exercise'!$B$7</definedName>
    <definedName name="K2_">'Solver Exercise'!$B$8</definedName>
    <definedName name="K3_">'Solver Exercise'!$B$9</definedName>
    <definedName name="Kw">'Solver Exercise'!$B$10</definedName>
    <definedName name="solver_adj" localSheetId="2" hidden="1">'Solver Exercise'!$C$5</definedName>
    <definedName name="solver_drv" localSheetId="2" hidden="1">1</definedName>
    <definedName name="solver_est" localSheetId="2" hidden="1">1</definedName>
    <definedName name="solver_itr" localSheetId="2" hidden="1">100</definedName>
    <definedName name="solver_lin" localSheetId="2" hidden="1">0</definedName>
    <definedName name="solver_num" localSheetId="2" hidden="1">0</definedName>
    <definedName name="solver_nwt" localSheetId="2" hidden="1">1</definedName>
    <definedName name="solver_opt" localSheetId="2" hidden="1">'Solver Exercise'!$E$5</definedName>
    <definedName name="solver_pre" localSheetId="2" hidden="1">0.000000000000001</definedName>
    <definedName name="solver_scl" localSheetId="2" hidden="1">0</definedName>
    <definedName name="solver_sho" localSheetId="2" hidden="1">0</definedName>
    <definedName name="solver_tim" localSheetId="2" hidden="1">100</definedName>
    <definedName name="solver_tol" localSheetId="2" hidden="1">0.00000000000000001</definedName>
    <definedName name="solver_typ" localSheetId="2" hidden="1">3</definedName>
    <definedName name="solver_val" localSheetId="2" hidden="1">0</definedName>
  </definedNames>
  <calcPr calcId="0"/>
</workbook>
</file>

<file path=xl/calcChain.xml><?xml version="1.0" encoding="utf-8"?>
<calcChain xmlns="http://schemas.openxmlformats.org/spreadsheetml/2006/main">
  <c r="D5" i="4" l="1"/>
  <c r="E5" i="4"/>
  <c r="B7" i="4"/>
  <c r="B8" i="4"/>
  <c r="B9" i="4"/>
  <c r="B10" i="4"/>
  <c r="B31" i="4"/>
  <c r="C31" i="4"/>
  <c r="D31" i="4"/>
  <c r="E50" i="4"/>
  <c r="E51" i="4"/>
  <c r="B4" i="2"/>
  <c r="F4" i="2"/>
  <c r="B5" i="2"/>
  <c r="F5" i="2"/>
  <c r="B6" i="2"/>
  <c r="F6" i="2"/>
  <c r="F7" i="2"/>
  <c r="B9" i="2"/>
  <c r="B10" i="2"/>
  <c r="B11" i="2"/>
  <c r="B12" i="2"/>
  <c r="B16" i="2"/>
  <c r="C16" i="2"/>
  <c r="D16" i="2"/>
  <c r="E16" i="2"/>
  <c r="F16" i="2"/>
  <c r="G16" i="2"/>
  <c r="H16" i="2"/>
  <c r="I16" i="2"/>
  <c r="J16" i="2"/>
  <c r="K16" i="2"/>
  <c r="L16" i="2"/>
  <c r="M16" i="2"/>
  <c r="N16" i="2"/>
  <c r="O16" i="2"/>
  <c r="P16" i="2"/>
  <c r="Q16" i="2"/>
</calcChain>
</file>

<file path=xl/sharedStrings.xml><?xml version="1.0" encoding="utf-8"?>
<sst xmlns="http://schemas.openxmlformats.org/spreadsheetml/2006/main" count="61" uniqueCount="33">
  <si>
    <r>
      <t>z</t>
    </r>
    <r>
      <rPr>
        <vertAlign val="subscript"/>
        <sz val="12"/>
        <rFont val="Book Antiqua"/>
        <family val="1"/>
      </rPr>
      <t>HP</t>
    </r>
  </si>
  <si>
    <r>
      <t>z</t>
    </r>
    <r>
      <rPr>
        <vertAlign val="subscript"/>
        <sz val="12"/>
        <rFont val="Book Antiqua"/>
        <family val="1"/>
      </rPr>
      <t>P</t>
    </r>
  </si>
  <si>
    <t>Activity correction</t>
  </si>
  <si>
    <r>
      <t>K</t>
    </r>
    <r>
      <rPr>
        <vertAlign val="subscript"/>
        <sz val="12"/>
        <rFont val="Book Antiqua"/>
        <family val="1"/>
      </rPr>
      <t>1</t>
    </r>
  </si>
  <si>
    <r>
      <t>K</t>
    </r>
    <r>
      <rPr>
        <vertAlign val="subscript"/>
        <sz val="12"/>
        <rFont val="Book Antiqua"/>
        <family val="1"/>
      </rPr>
      <t>2</t>
    </r>
  </si>
  <si>
    <r>
      <t>C</t>
    </r>
    <r>
      <rPr>
        <vertAlign val="subscript"/>
        <sz val="12"/>
        <rFont val="Book Antiqua"/>
        <family val="1"/>
      </rPr>
      <t>a</t>
    </r>
  </si>
  <si>
    <t>K3</t>
  </si>
  <si>
    <r>
      <t>K</t>
    </r>
    <r>
      <rPr>
        <vertAlign val="subscript"/>
        <sz val="12"/>
        <rFont val="Book Antiqua"/>
        <family val="1"/>
      </rPr>
      <t>w</t>
    </r>
  </si>
  <si>
    <t>I</t>
  </si>
  <si>
    <t>log quantities</t>
  </si>
  <si>
    <t>Fractions</t>
  </si>
  <si>
    <t>pH</t>
  </si>
  <si>
    <r>
      <t>[H</t>
    </r>
    <r>
      <rPr>
        <vertAlign val="superscript"/>
        <sz val="12"/>
        <rFont val="Book Antiqua"/>
        <family val="1"/>
      </rPr>
      <t>+</t>
    </r>
    <r>
      <rPr>
        <sz val="12"/>
        <rFont val="Book Antiqua"/>
      </rPr>
      <t>]</t>
    </r>
  </si>
  <si>
    <r>
      <t>[OH</t>
    </r>
    <r>
      <rPr>
        <vertAlign val="superscript"/>
        <sz val="12"/>
        <rFont val="Book Antiqua"/>
        <family val="1"/>
      </rPr>
      <t>-</t>
    </r>
    <r>
      <rPr>
        <sz val="12"/>
        <rFont val="Book Antiqua"/>
      </rPr>
      <t>]</t>
    </r>
  </si>
  <si>
    <t>[P]</t>
  </si>
  <si>
    <t>[HP]</t>
  </si>
  <si>
    <r>
      <t>[H</t>
    </r>
    <r>
      <rPr>
        <vertAlign val="subscript"/>
        <sz val="12"/>
        <rFont val="Book Antiqua"/>
        <family val="1"/>
      </rPr>
      <t>2</t>
    </r>
    <r>
      <rPr>
        <sz val="12"/>
        <rFont val="Book Antiqua"/>
      </rPr>
      <t>P]</t>
    </r>
  </si>
  <si>
    <r>
      <t>[H</t>
    </r>
    <r>
      <rPr>
        <vertAlign val="subscript"/>
        <sz val="12"/>
        <rFont val="Book Antiqua"/>
        <family val="1"/>
      </rPr>
      <t>3</t>
    </r>
    <r>
      <rPr>
        <sz val="12"/>
        <rFont val="Book Antiqua"/>
      </rPr>
      <t>P]</t>
    </r>
  </si>
  <si>
    <r>
      <t>What is the pH of a 10</t>
    </r>
    <r>
      <rPr>
        <vertAlign val="superscript"/>
        <sz val="12"/>
        <rFont val="Book Antiqua"/>
        <family val="1"/>
      </rPr>
      <t>-3</t>
    </r>
    <r>
      <rPr>
        <sz val="12"/>
        <rFont val="Book Antiqua"/>
      </rPr>
      <t>M solution of Na</t>
    </r>
    <r>
      <rPr>
        <vertAlign val="subscript"/>
        <sz val="12"/>
        <rFont val="Book Antiqua"/>
        <family val="1"/>
      </rPr>
      <t>2</t>
    </r>
    <r>
      <rPr>
        <sz val="12"/>
        <rFont val="Book Antiqua"/>
      </rPr>
      <t>HPO</t>
    </r>
    <r>
      <rPr>
        <vertAlign val="subscript"/>
        <sz val="12"/>
        <rFont val="Book Antiqua"/>
        <family val="1"/>
      </rPr>
      <t>4</t>
    </r>
    <r>
      <rPr>
        <sz val="12"/>
        <rFont val="Book Antiqua"/>
        <family val="1"/>
      </rPr>
      <t>?</t>
    </r>
  </si>
  <si>
    <t>Solver gives</t>
  </si>
  <si>
    <t>Function</t>
  </si>
  <si>
    <t>Guess</t>
  </si>
  <si>
    <t>Visual solution</t>
  </si>
  <si>
    <t>P</t>
  </si>
  <si>
    <r>
      <t>f([H</t>
    </r>
    <r>
      <rPr>
        <vertAlign val="superscript"/>
        <sz val="12"/>
        <rFont val="Book Antiqua"/>
        <family val="1"/>
      </rPr>
      <t>+</t>
    </r>
    <r>
      <rPr>
        <sz val="12"/>
        <rFont val="Book Antiqua"/>
      </rPr>
      <t>])</t>
    </r>
  </si>
  <si>
    <t>m</t>
  </si>
  <si>
    <r>
      <t>PO</t>
    </r>
    <r>
      <rPr>
        <vertAlign val="subscript"/>
        <sz val="12"/>
        <rFont val="Book Antiqua"/>
        <family val="1"/>
      </rPr>
      <t>4</t>
    </r>
  </si>
  <si>
    <r>
      <t>HPO</t>
    </r>
    <r>
      <rPr>
        <vertAlign val="subscript"/>
        <sz val="12"/>
        <rFont val="Book Antiqua"/>
        <family val="1"/>
      </rPr>
      <t>4</t>
    </r>
  </si>
  <si>
    <r>
      <t>H</t>
    </r>
    <r>
      <rPr>
        <vertAlign val="subscript"/>
        <sz val="12"/>
        <rFont val="Book Antiqua"/>
        <family val="1"/>
      </rPr>
      <t>2</t>
    </r>
    <r>
      <rPr>
        <sz val="12"/>
        <rFont val="Book Antiqua"/>
      </rPr>
      <t>PO</t>
    </r>
    <r>
      <rPr>
        <vertAlign val="subscript"/>
        <sz val="12"/>
        <rFont val="Book Antiqua"/>
        <family val="1"/>
      </rPr>
      <t>4</t>
    </r>
  </si>
  <si>
    <r>
      <t>H</t>
    </r>
    <r>
      <rPr>
        <vertAlign val="subscript"/>
        <sz val="12"/>
        <rFont val="Book Antiqua"/>
        <family val="1"/>
      </rPr>
      <t>3</t>
    </r>
    <r>
      <rPr>
        <sz val="12"/>
        <rFont val="Book Antiqua"/>
      </rPr>
      <t>PO</t>
    </r>
    <r>
      <rPr>
        <vertAlign val="subscript"/>
        <sz val="12"/>
        <rFont val="Book Antiqua"/>
        <family val="1"/>
      </rPr>
      <t>4</t>
    </r>
  </si>
  <si>
    <r>
      <t>PO</t>
    </r>
    <r>
      <rPr>
        <vertAlign val="subscript"/>
        <sz val="12"/>
        <rFont val="Book Antiqua"/>
        <family val="1"/>
      </rPr>
      <t xml:space="preserve">4 </t>
    </r>
    <r>
      <rPr>
        <sz val="12"/>
        <rFont val="Book Antiqua"/>
      </rPr>
      <t>+</t>
    </r>
  </si>
  <si>
    <r>
      <t>HPO</t>
    </r>
    <r>
      <rPr>
        <b/>
        <vertAlign val="subscript"/>
        <sz val="12"/>
        <rFont val="Book Antiqua"/>
        <family val="1"/>
      </rPr>
      <t>4 +</t>
    </r>
  </si>
  <si>
    <r>
      <t>HPO</t>
    </r>
    <r>
      <rPr>
        <b/>
        <vertAlign val="subscript"/>
        <sz val="12"/>
        <rFont val="Book Antiqua"/>
        <family val="1"/>
      </rPr>
      <t>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</si>
</sst>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2"/>
      <name val="Book Antiqua"/>
    </font>
    <font>
      <vertAlign val="subscript"/>
      <sz val="12"/>
      <name val="Book Antiqua"/>
      <family val="1"/>
    </font>
    <font>
      <vertAlign val="superscript"/>
      <sz val="12"/>
      <name val="Book Antiqua"/>
      <family val="1"/>
    </font>
    <font>
      <sz val="12"/>
      <name val="Book Antiqua"/>
      <family val="1"/>
    </font>
    <font>
      <b/>
      <vertAlign val="subscript"/>
      <sz val="12"/>
      <name val="Book Antiqua"/>
      <family val="1"/>
    </font>
    <font>
      <sz val="10"/>
      <name val="Book Antiqua"/>
      <family val="1"/>
    </font>
  </fonts>
  <fills count="3">
    <fill>
      <patternFill patternType="none"/>
    </fill>
    <fill>
      <patternFill patternType="gray125"/>
    </fill>
    <fill>
      <patternFill patternType="solid">
        <fgColor indexed="26"/>
        <bgColor indexed="64"/>
      </patternFill>
    </fill>
  </fills>
  <borders count="16">
    <border>
      <left/>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s>
  <cellStyleXfs count="1">
    <xf numFmtId="0" fontId="0" fillId="0" borderId="0"/>
  </cellStyleXfs>
  <cellXfs count="24">
    <xf numFmtId="0" fontId="0" fillId="0" borderId="0" xfId="0"/>
    <xf numFmtId="0" fontId="0" fillId="0" borderId="0" xfId="0" applyAlignment="1">
      <alignment horizontal="center"/>
    </xf>
    <xf numFmtId="11"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applyAlignment="1">
      <alignment horizontal="center"/>
    </xf>
    <xf numFmtId="0" fontId="0" fillId="0" borderId="7" xfId="0" applyBorder="1"/>
    <xf numFmtId="0" fontId="0" fillId="0" borderId="8" xfId="0" applyBorder="1"/>
    <xf numFmtId="0" fontId="0" fillId="0" borderId="9" xfId="0" applyBorder="1"/>
    <xf numFmtId="0" fontId="0" fillId="0" borderId="0" xfId="0" applyAlignment="1"/>
    <xf numFmtId="11" fontId="0" fillId="0" borderId="0" xfId="0" applyNumberFormat="1" applyAlignment="1">
      <alignment horizontal="center"/>
    </xf>
    <xf numFmtId="0" fontId="5" fillId="0" borderId="0" xfId="0" applyFont="1"/>
    <xf numFmtId="0" fontId="0" fillId="2" borderId="10" xfId="0" applyFill="1" applyBorder="1"/>
    <xf numFmtId="0" fontId="0" fillId="2" borderId="11" xfId="0" applyFill="1" applyBorder="1"/>
    <xf numFmtId="0" fontId="0" fillId="2" borderId="12" xfId="0" applyFill="1" applyBorder="1"/>
    <xf numFmtId="0" fontId="0" fillId="2" borderId="13" xfId="0" applyFill="1" applyBorder="1"/>
    <xf numFmtId="0" fontId="0" fillId="2" borderId="0" xfId="0" applyFill="1" applyBorder="1"/>
    <xf numFmtId="0" fontId="0" fillId="2" borderId="14" xfId="0" applyFill="1" applyBorder="1"/>
    <xf numFmtId="0" fontId="0" fillId="2" borderId="15" xfId="0" applyFill="1" applyBorder="1"/>
    <xf numFmtId="0" fontId="0" fillId="2" borderId="1" xfId="0" applyFill="1" applyBorder="1"/>
    <xf numFmtId="0" fontId="0" fillId="2" borderId="2" xfId="0" applyFill="1" applyBorder="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953935819539709"/>
          <c:y val="7.6089332669191961E-2"/>
          <c:w val="0.74843837577531169"/>
          <c:h val="0.70499095983292148"/>
        </c:manualLayout>
      </c:layout>
      <c:scatterChart>
        <c:scatterStyle val="smoothMarker"/>
        <c:varyColors val="0"/>
        <c:ser>
          <c:idx val="0"/>
          <c:order val="0"/>
          <c:spPr>
            <a:ln w="12700">
              <a:solidFill>
                <a:srgbClr val="000000"/>
              </a:solidFill>
              <a:prstDash val="solid"/>
            </a:ln>
          </c:spPr>
          <c:marker>
            <c:symbol val="none"/>
          </c:marker>
          <c:xVal>
            <c:numRef>
              <c:f>'Speciation calculations'!$A$17:$A$45</c:f>
              <c:numCache>
                <c:formatCode>General</c:formatCode>
                <c:ptCount val="29"/>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numCache>
            </c:numRef>
          </c:xVal>
          <c:yVal>
            <c:numRef>
              <c:f>'Speciation calculations'!$H$17:$H$45</c:f>
              <c:numCache>
                <c:formatCode>General</c:formatCode>
                <c:ptCount val="29"/>
                <c:pt idx="0">
                  <c:v>0</c:v>
                </c:pt>
                <c:pt idx="1">
                  <c:v>-0.5</c:v>
                </c:pt>
                <c:pt idx="2">
                  <c:v>-1</c:v>
                </c:pt>
                <c:pt idx="3">
                  <c:v>-1.5000000000000002</c:v>
                </c:pt>
                <c:pt idx="4">
                  <c:v>-2</c:v>
                </c:pt>
                <c:pt idx="5">
                  <c:v>-2.5000000000000004</c:v>
                </c:pt>
                <c:pt idx="6">
                  <c:v>-3</c:v>
                </c:pt>
                <c:pt idx="7">
                  <c:v>-3.5</c:v>
                </c:pt>
                <c:pt idx="8">
                  <c:v>-4</c:v>
                </c:pt>
                <c:pt idx="9">
                  <c:v>-4.5000000000000009</c:v>
                </c:pt>
                <c:pt idx="10">
                  <c:v>-5</c:v>
                </c:pt>
                <c:pt idx="11">
                  <c:v>-5.5</c:v>
                </c:pt>
                <c:pt idx="12">
                  <c:v>-6</c:v>
                </c:pt>
                <c:pt idx="13">
                  <c:v>-6.5000000000000009</c:v>
                </c:pt>
                <c:pt idx="14">
                  <c:v>-7</c:v>
                </c:pt>
                <c:pt idx="15">
                  <c:v>-7.5000000000000009</c:v>
                </c:pt>
                <c:pt idx="16">
                  <c:v>-8</c:v>
                </c:pt>
                <c:pt idx="17">
                  <c:v>-8.5</c:v>
                </c:pt>
                <c:pt idx="18">
                  <c:v>-9</c:v>
                </c:pt>
                <c:pt idx="19">
                  <c:v>-9.5</c:v>
                </c:pt>
                <c:pt idx="20">
                  <c:v>-10</c:v>
                </c:pt>
                <c:pt idx="21">
                  <c:v>-10.500000000000002</c:v>
                </c:pt>
                <c:pt idx="22">
                  <c:v>-11</c:v>
                </c:pt>
                <c:pt idx="23">
                  <c:v>-11.500000000000002</c:v>
                </c:pt>
                <c:pt idx="24">
                  <c:v>-12</c:v>
                </c:pt>
                <c:pt idx="25">
                  <c:v>-12.5</c:v>
                </c:pt>
                <c:pt idx="26">
                  <c:v>-13</c:v>
                </c:pt>
                <c:pt idx="27">
                  <c:v>-13.500000000000002</c:v>
                </c:pt>
                <c:pt idx="28">
                  <c:v>-14</c:v>
                </c:pt>
              </c:numCache>
            </c:numRef>
          </c:yVal>
          <c:smooth val="1"/>
          <c:extLst>
            <c:ext xmlns:c16="http://schemas.microsoft.com/office/drawing/2014/chart" uri="{C3380CC4-5D6E-409C-BE32-E72D297353CC}">
              <c16:uniqueId val="{00000000-030A-4AAF-B464-4F229AE059AB}"/>
            </c:ext>
          </c:extLst>
        </c:ser>
        <c:ser>
          <c:idx val="1"/>
          <c:order val="1"/>
          <c:spPr>
            <a:ln w="12700">
              <a:solidFill>
                <a:srgbClr val="000000"/>
              </a:solidFill>
              <a:prstDash val="solid"/>
            </a:ln>
          </c:spPr>
          <c:marker>
            <c:symbol val="none"/>
          </c:marker>
          <c:xVal>
            <c:numRef>
              <c:f>'Speciation calculations'!$A$17:$A$45</c:f>
              <c:numCache>
                <c:formatCode>General</c:formatCode>
                <c:ptCount val="29"/>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numCache>
            </c:numRef>
          </c:xVal>
          <c:yVal>
            <c:numRef>
              <c:f>'Speciation calculations'!$I$17:$I$45</c:f>
              <c:numCache>
                <c:formatCode>General</c:formatCode>
                <c:ptCount val="29"/>
                <c:pt idx="0">
                  <c:v>-13.931736470252092</c:v>
                </c:pt>
                <c:pt idx="1">
                  <c:v>-13.431736470252092</c:v>
                </c:pt>
                <c:pt idx="2">
                  <c:v>-12.931736470252092</c:v>
                </c:pt>
                <c:pt idx="3">
                  <c:v>-12.431736470252092</c:v>
                </c:pt>
                <c:pt idx="4">
                  <c:v>-11.931736470252092</c:v>
                </c:pt>
                <c:pt idx="5">
                  <c:v>-11.431736470252092</c:v>
                </c:pt>
                <c:pt idx="6">
                  <c:v>-10.931736470252092</c:v>
                </c:pt>
                <c:pt idx="7">
                  <c:v>-10.431736470252092</c:v>
                </c:pt>
                <c:pt idx="8">
                  <c:v>-9.9317364702520923</c:v>
                </c:pt>
                <c:pt idx="9">
                  <c:v>-9.4317364702520923</c:v>
                </c:pt>
                <c:pt idx="10">
                  <c:v>-8.9317364702520923</c:v>
                </c:pt>
                <c:pt idx="11">
                  <c:v>-8.4317364702520923</c:v>
                </c:pt>
                <c:pt idx="12">
                  <c:v>-7.9317364702520932</c:v>
                </c:pt>
                <c:pt idx="13">
                  <c:v>-7.4317364702520923</c:v>
                </c:pt>
                <c:pt idx="14">
                  <c:v>-6.9317364702520932</c:v>
                </c:pt>
                <c:pt idx="15">
                  <c:v>-6.4317364702520914</c:v>
                </c:pt>
                <c:pt idx="16">
                  <c:v>-5.9317364702520932</c:v>
                </c:pt>
                <c:pt idx="17">
                  <c:v>-5.4317364702520923</c:v>
                </c:pt>
                <c:pt idx="18">
                  <c:v>-4.9317364702520932</c:v>
                </c:pt>
                <c:pt idx="19">
                  <c:v>-4.4317364702520923</c:v>
                </c:pt>
                <c:pt idx="20">
                  <c:v>-3.9317364702520927</c:v>
                </c:pt>
                <c:pt idx="21">
                  <c:v>-3.4317364702520918</c:v>
                </c:pt>
                <c:pt idx="22">
                  <c:v>-2.9317364702520927</c:v>
                </c:pt>
                <c:pt idx="23">
                  <c:v>-2.4317364702520909</c:v>
                </c:pt>
                <c:pt idx="24">
                  <c:v>-1.9317364702520929</c:v>
                </c:pt>
                <c:pt idx="25">
                  <c:v>-1.4317364702520923</c:v>
                </c:pt>
                <c:pt idx="26">
                  <c:v>-0.93173647025209283</c:v>
                </c:pt>
                <c:pt idx="27">
                  <c:v>-0.43173647025209172</c:v>
                </c:pt>
                <c:pt idx="28">
                  <c:v>6.8263529747907128E-2</c:v>
                </c:pt>
              </c:numCache>
            </c:numRef>
          </c:yVal>
          <c:smooth val="1"/>
          <c:extLst>
            <c:ext xmlns:c16="http://schemas.microsoft.com/office/drawing/2014/chart" uri="{C3380CC4-5D6E-409C-BE32-E72D297353CC}">
              <c16:uniqueId val="{00000001-030A-4AAF-B464-4F229AE059AB}"/>
            </c:ext>
          </c:extLst>
        </c:ser>
        <c:ser>
          <c:idx val="2"/>
          <c:order val="2"/>
          <c:spPr>
            <a:ln w="12700">
              <a:solidFill>
                <a:srgbClr val="000000"/>
              </a:solidFill>
              <a:prstDash val="solid"/>
            </a:ln>
          </c:spPr>
          <c:marker>
            <c:symbol val="none"/>
          </c:marker>
          <c:xVal>
            <c:numRef>
              <c:f>'Speciation calculations'!$A$17:$A$45</c:f>
              <c:numCache>
                <c:formatCode>General</c:formatCode>
                <c:ptCount val="29"/>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numCache>
            </c:numRef>
          </c:xVal>
          <c:yVal>
            <c:numRef>
              <c:f>'Speciation calculations'!$J$17:$J$45</c:f>
              <c:numCache>
                <c:formatCode>General</c:formatCode>
                <c:ptCount val="29"/>
                <c:pt idx="0">
                  <c:v>-23.989646484640204</c:v>
                </c:pt>
                <c:pt idx="1">
                  <c:v>-22.498210006998089</c:v>
                </c:pt>
                <c:pt idx="2">
                  <c:v>-21.024229766208592</c:v>
                </c:pt>
                <c:pt idx="3">
                  <c:v>-19.597543785747451</c:v>
                </c:pt>
                <c:pt idx="4">
                  <c:v>-18.271081940177204</c:v>
                </c:pt>
                <c:pt idx="5">
                  <c:v>-17.081072285115074</c:v>
                </c:pt>
                <c:pt idx="6">
                  <c:v>-15.998306990009366</c:v>
                </c:pt>
                <c:pt idx="7">
                  <c:v>-14.968555041999135</c:v>
                </c:pt>
                <c:pt idx="8">
                  <c:v>-13.958973222602484</c:v>
                </c:pt>
                <c:pt idx="9">
                  <c:v>-12.956748416291155</c:v>
                </c:pt>
                <c:pt idx="10">
                  <c:v>-11.95872312424053</c:v>
                </c:pt>
                <c:pt idx="11">
                  <c:v>-10.967703471077478</c:v>
                </c:pt>
                <c:pt idx="12">
                  <c:v>-9.9957646189731122</c:v>
                </c:pt>
                <c:pt idx="13">
                  <c:v>-9.0743901569404333</c:v>
                </c:pt>
                <c:pt idx="14">
                  <c:v>-8.2573283823020063</c:v>
                </c:pt>
                <c:pt idx="15">
                  <c:v>-7.5768791167917344</c:v>
                </c:pt>
                <c:pt idx="16">
                  <c:v>-6.9996852105370637</c:v>
                </c:pt>
                <c:pt idx="17">
                  <c:v>-6.47220365027807</c:v>
                </c:pt>
                <c:pt idx="18">
                  <c:v>-5.9634292582993185</c:v>
                </c:pt>
                <c:pt idx="19">
                  <c:v>-5.4615416466744504</c:v>
                </c:pt>
                <c:pt idx="20">
                  <c:v>-4.963857340419894</c:v>
                </c:pt>
                <c:pt idx="21">
                  <c:v>-4.4736612208071413</c:v>
                </c:pt>
                <c:pt idx="22">
                  <c:v>-4.0040365899389831</c:v>
                </c:pt>
                <c:pt idx="23">
                  <c:v>-3.5883148028793266</c:v>
                </c:pt>
                <c:pt idx="24">
                  <c:v>-3.2808643883828346</c:v>
                </c:pt>
                <c:pt idx="25">
                  <c:v>-3.1097574788332891</c:v>
                </c:pt>
                <c:pt idx="26">
                  <c:v>-3.0377948502193437</c:v>
                </c:pt>
                <c:pt idx="27">
                  <c:v>-3.012311095761961</c:v>
                </c:pt>
                <c:pt idx="28">
                  <c:v>-3.0039309700771111</c:v>
                </c:pt>
              </c:numCache>
            </c:numRef>
          </c:yVal>
          <c:smooth val="1"/>
          <c:extLst>
            <c:ext xmlns:c16="http://schemas.microsoft.com/office/drawing/2014/chart" uri="{C3380CC4-5D6E-409C-BE32-E72D297353CC}">
              <c16:uniqueId val="{00000002-030A-4AAF-B464-4F229AE059AB}"/>
            </c:ext>
          </c:extLst>
        </c:ser>
        <c:ser>
          <c:idx val="3"/>
          <c:order val="3"/>
          <c:spPr>
            <a:ln w="12700">
              <a:solidFill>
                <a:srgbClr val="000000"/>
              </a:solidFill>
              <a:prstDash val="solid"/>
            </a:ln>
          </c:spPr>
          <c:marker>
            <c:symbol val="none"/>
          </c:marker>
          <c:xVal>
            <c:numRef>
              <c:f>'Speciation calculations'!$A$17:$A$45</c:f>
              <c:numCache>
                <c:formatCode>General</c:formatCode>
                <c:ptCount val="29"/>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numCache>
            </c:numRef>
          </c:xVal>
          <c:yVal>
            <c:numRef>
              <c:f>'Speciation calculations'!$K$17:$K$45</c:f>
              <c:numCache>
                <c:formatCode>General</c:formatCode>
                <c:ptCount val="29"/>
                <c:pt idx="0">
                  <c:v>-12.03096413337974</c:v>
                </c:pt>
                <c:pt idx="1">
                  <c:v>-11.039527655737624</c:v>
                </c:pt>
                <c:pt idx="2">
                  <c:v>-10.065547414948128</c:v>
                </c:pt>
                <c:pt idx="3">
                  <c:v>-9.1388614344869836</c:v>
                </c:pt>
                <c:pt idx="4">
                  <c:v>-8.3123995889167386</c:v>
                </c:pt>
                <c:pt idx="5">
                  <c:v>-7.6223899338546088</c:v>
                </c:pt>
                <c:pt idx="6">
                  <c:v>-7.0396246387488999</c:v>
                </c:pt>
                <c:pt idx="7">
                  <c:v>-6.5098726907386695</c:v>
                </c:pt>
                <c:pt idx="8">
                  <c:v>-6.0002908713420195</c:v>
                </c:pt>
                <c:pt idx="9">
                  <c:v>-5.4980660650306907</c:v>
                </c:pt>
                <c:pt idx="10">
                  <c:v>-5.0000407729800642</c:v>
                </c:pt>
                <c:pt idx="11">
                  <c:v>-4.509021119817012</c:v>
                </c:pt>
                <c:pt idx="12">
                  <c:v>-4.0370822677126457</c:v>
                </c:pt>
                <c:pt idx="13">
                  <c:v>-3.615707805679969</c:v>
                </c:pt>
                <c:pt idx="14">
                  <c:v>-3.2986460310415406</c:v>
                </c:pt>
                <c:pt idx="15">
                  <c:v>-3.1181967655312701</c:v>
                </c:pt>
                <c:pt idx="16">
                  <c:v>-3.0410028592765985</c:v>
                </c:pt>
                <c:pt idx="17">
                  <c:v>-3.0135212990176048</c:v>
                </c:pt>
                <c:pt idx="18">
                  <c:v>-3.0047469070388528</c:v>
                </c:pt>
                <c:pt idx="19">
                  <c:v>-3.0028592954139857</c:v>
                </c:pt>
                <c:pt idx="20">
                  <c:v>-3.0051749891594284</c:v>
                </c:pt>
                <c:pt idx="21">
                  <c:v>-3.014978869546677</c:v>
                </c:pt>
                <c:pt idx="22">
                  <c:v>-3.0453542386785175</c:v>
                </c:pt>
                <c:pt idx="23">
                  <c:v>-3.1296324516188632</c:v>
                </c:pt>
                <c:pt idx="24">
                  <c:v>-3.3221820371223689</c:v>
                </c:pt>
                <c:pt idx="25">
                  <c:v>-3.6510751275728239</c:v>
                </c:pt>
                <c:pt idx="26">
                  <c:v>-4.0791124989588781</c:v>
                </c:pt>
                <c:pt idx="27">
                  <c:v>-4.5536287445014967</c:v>
                </c:pt>
                <c:pt idx="28">
                  <c:v>-5.0452486188166459</c:v>
                </c:pt>
              </c:numCache>
            </c:numRef>
          </c:yVal>
          <c:smooth val="1"/>
          <c:extLst>
            <c:ext xmlns:c16="http://schemas.microsoft.com/office/drawing/2014/chart" uri="{C3380CC4-5D6E-409C-BE32-E72D297353CC}">
              <c16:uniqueId val="{00000003-030A-4AAF-B464-4F229AE059AB}"/>
            </c:ext>
          </c:extLst>
        </c:ser>
        <c:ser>
          <c:idx val="4"/>
          <c:order val="4"/>
          <c:spPr>
            <a:ln w="12700">
              <a:solidFill>
                <a:srgbClr val="000000"/>
              </a:solidFill>
              <a:prstDash val="solid"/>
            </a:ln>
          </c:spPr>
          <c:marker>
            <c:symbol val="none"/>
          </c:marker>
          <c:xVal>
            <c:numRef>
              <c:f>'Speciation calculations'!$A$17:$A$45</c:f>
              <c:numCache>
                <c:formatCode>General</c:formatCode>
                <c:ptCount val="29"/>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numCache>
            </c:numRef>
          </c:xVal>
          <c:yVal>
            <c:numRef>
              <c:f>'Speciation calculations'!$L$17:$L$45</c:f>
              <c:numCache>
                <c:formatCode>General</c:formatCode>
                <c:ptCount val="29"/>
                <c:pt idx="0">
                  <c:v>-5.0357547226234605</c:v>
                </c:pt>
                <c:pt idx="1">
                  <c:v>-4.5443182449813451</c:v>
                </c:pt>
                <c:pt idx="2">
                  <c:v>-4.0703380041918473</c:v>
                </c:pt>
                <c:pt idx="3">
                  <c:v>-3.6436520237307048</c:v>
                </c:pt>
                <c:pt idx="4">
                  <c:v>-3.3171901781604598</c:v>
                </c:pt>
                <c:pt idx="5">
                  <c:v>-3.1271805230983296</c:v>
                </c:pt>
                <c:pt idx="6">
                  <c:v>-3.0444152279926207</c:v>
                </c:pt>
                <c:pt idx="7">
                  <c:v>-3.0146632799823907</c:v>
                </c:pt>
                <c:pt idx="8">
                  <c:v>-3.0050814605857399</c:v>
                </c:pt>
                <c:pt idx="9">
                  <c:v>-3.002856654274412</c:v>
                </c:pt>
                <c:pt idx="10">
                  <c:v>-3.0048313622237841</c:v>
                </c:pt>
                <c:pt idx="11">
                  <c:v>-3.0138117090607328</c:v>
                </c:pt>
                <c:pt idx="12">
                  <c:v>-3.0418728569563664</c:v>
                </c:pt>
                <c:pt idx="13">
                  <c:v>-3.1204983949236902</c:v>
                </c:pt>
                <c:pt idx="14">
                  <c:v>-3.3034366202852614</c:v>
                </c:pt>
                <c:pt idx="15">
                  <c:v>-3.6229873547749918</c:v>
                </c:pt>
                <c:pt idx="16">
                  <c:v>-4.0457934485203193</c:v>
                </c:pt>
                <c:pt idx="17">
                  <c:v>-4.5183118882613256</c:v>
                </c:pt>
                <c:pt idx="18">
                  <c:v>-5.0095374962825732</c:v>
                </c:pt>
                <c:pt idx="19">
                  <c:v>-5.5076498846577069</c:v>
                </c:pt>
                <c:pt idx="20">
                  <c:v>-6.0099655784031487</c:v>
                </c:pt>
                <c:pt idx="21">
                  <c:v>-6.5197694587903987</c:v>
                </c:pt>
                <c:pt idx="22">
                  <c:v>-7.0501448279222378</c:v>
                </c:pt>
                <c:pt idx="23">
                  <c:v>-7.6344230408625853</c:v>
                </c:pt>
                <c:pt idx="24">
                  <c:v>-8.3269726263660893</c:v>
                </c:pt>
                <c:pt idx="25">
                  <c:v>-9.155865716816546</c:v>
                </c:pt>
                <c:pt idx="26">
                  <c:v>-10.083903088202598</c:v>
                </c:pt>
                <c:pt idx="27">
                  <c:v>-11.058419333745219</c:v>
                </c:pt>
                <c:pt idx="28">
                  <c:v>-12.050039208060365</c:v>
                </c:pt>
              </c:numCache>
            </c:numRef>
          </c:yVal>
          <c:smooth val="1"/>
          <c:extLst>
            <c:ext xmlns:c16="http://schemas.microsoft.com/office/drawing/2014/chart" uri="{C3380CC4-5D6E-409C-BE32-E72D297353CC}">
              <c16:uniqueId val="{00000004-030A-4AAF-B464-4F229AE059AB}"/>
            </c:ext>
          </c:extLst>
        </c:ser>
        <c:ser>
          <c:idx val="5"/>
          <c:order val="5"/>
          <c:spPr>
            <a:ln w="12700">
              <a:solidFill>
                <a:srgbClr val="800000"/>
              </a:solidFill>
              <a:prstDash val="solid"/>
            </a:ln>
          </c:spPr>
          <c:marker>
            <c:symbol val="none"/>
          </c:marker>
          <c:xVal>
            <c:numRef>
              <c:f>'Speciation calculations'!$A$17:$A$45</c:f>
              <c:numCache>
                <c:formatCode>General</c:formatCode>
                <c:ptCount val="29"/>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numCache>
            </c:numRef>
          </c:xVal>
          <c:yVal>
            <c:numRef>
              <c:f>'Speciation calculations'!$M$17:$M$45</c:f>
              <c:numCache>
                <c:formatCode>General</c:formatCode>
                <c:ptCount val="29"/>
                <c:pt idx="0">
                  <c:v>-3.0040182523713677</c:v>
                </c:pt>
                <c:pt idx="1">
                  <c:v>-3.0125817747292518</c:v>
                </c:pt>
                <c:pt idx="2">
                  <c:v>-3.0386015339397545</c:v>
                </c:pt>
                <c:pt idx="3">
                  <c:v>-3.111915553478612</c:v>
                </c:pt>
                <c:pt idx="4">
                  <c:v>-3.2854537079083665</c:v>
                </c:pt>
                <c:pt idx="5">
                  <c:v>-3.5954440528462368</c:v>
                </c:pt>
                <c:pt idx="6">
                  <c:v>-4.0126787577405274</c:v>
                </c:pt>
                <c:pt idx="7">
                  <c:v>-4.4829268097302979</c:v>
                </c:pt>
                <c:pt idx="8">
                  <c:v>-4.9733449903336471</c:v>
                </c:pt>
                <c:pt idx="9">
                  <c:v>-5.47112018402232</c:v>
                </c:pt>
                <c:pt idx="10">
                  <c:v>-5.9730948919716909</c:v>
                </c:pt>
                <c:pt idx="11">
                  <c:v>-6.4820752388086404</c:v>
                </c:pt>
                <c:pt idx="12">
                  <c:v>-7.0101363867042741</c:v>
                </c:pt>
                <c:pt idx="13">
                  <c:v>-7.5887619246715978</c:v>
                </c:pt>
                <c:pt idx="14">
                  <c:v>-8.2717001500331691</c:v>
                </c:pt>
                <c:pt idx="15">
                  <c:v>-9.0912508845228999</c:v>
                </c:pt>
                <c:pt idx="16">
                  <c:v>-10.014056978268226</c:v>
                </c:pt>
                <c:pt idx="17">
                  <c:v>-10.986575418009233</c:v>
                </c:pt>
                <c:pt idx="18">
                  <c:v>-11.97780102603048</c:v>
                </c:pt>
                <c:pt idx="19">
                  <c:v>-12.975913414405614</c:v>
                </c:pt>
                <c:pt idx="20">
                  <c:v>-13.978229108151055</c:v>
                </c:pt>
                <c:pt idx="21">
                  <c:v>-14.988032988538308</c:v>
                </c:pt>
                <c:pt idx="22">
                  <c:v>-16.018408357670147</c:v>
                </c:pt>
                <c:pt idx="23">
                  <c:v>-17.102686570610494</c:v>
                </c:pt>
                <c:pt idx="24">
                  <c:v>-18.295236156113997</c:v>
                </c:pt>
                <c:pt idx="25">
                  <c:v>-19.624129246564454</c:v>
                </c:pt>
                <c:pt idx="26">
                  <c:v>-21.052166617950505</c:v>
                </c:pt>
                <c:pt idx="27">
                  <c:v>-22.526682863493125</c:v>
                </c:pt>
                <c:pt idx="28">
                  <c:v>-24.018302737808273</c:v>
                </c:pt>
              </c:numCache>
            </c:numRef>
          </c:yVal>
          <c:smooth val="1"/>
          <c:extLst>
            <c:ext xmlns:c16="http://schemas.microsoft.com/office/drawing/2014/chart" uri="{C3380CC4-5D6E-409C-BE32-E72D297353CC}">
              <c16:uniqueId val="{00000005-030A-4AAF-B464-4F229AE059AB}"/>
            </c:ext>
          </c:extLst>
        </c:ser>
        <c:dLbls>
          <c:showLegendKey val="0"/>
          <c:showVal val="0"/>
          <c:showCatName val="0"/>
          <c:showSerName val="0"/>
          <c:showPercent val="0"/>
          <c:showBubbleSize val="0"/>
        </c:dLbls>
        <c:axId val="695720495"/>
        <c:axId val="1"/>
      </c:scatterChart>
      <c:valAx>
        <c:axId val="695720495"/>
        <c:scaling>
          <c:orientation val="minMax"/>
          <c:max val="14"/>
        </c:scaling>
        <c:delete val="0"/>
        <c:axPos val="b"/>
        <c:title>
          <c:tx>
            <c:rich>
              <a:bodyPr/>
              <a:lstStyle/>
              <a:p>
                <a:pPr>
                  <a:defRPr sz="2000" b="1" i="0" u="none" strike="noStrike" baseline="0">
                    <a:solidFill>
                      <a:srgbClr val="000000"/>
                    </a:solidFill>
                    <a:latin typeface="Book Antiqua"/>
                    <a:ea typeface="Book Antiqua"/>
                    <a:cs typeface="Book Antiqua"/>
                  </a:defRPr>
                </a:pPr>
                <a:r>
                  <a:rPr lang="en-GB"/>
                  <a:t>pH</a:t>
                </a:r>
              </a:p>
            </c:rich>
          </c:tx>
          <c:layout>
            <c:manualLayout>
              <c:xMode val="edge"/>
              <c:yMode val="edge"/>
              <c:x val="0.47887370653420364"/>
              <c:y val="0.8789094345053603"/>
            </c:manualLayout>
          </c:layout>
          <c:overlay val="0"/>
          <c:spPr>
            <a:noFill/>
            <a:ln w="25400">
              <a:noFill/>
            </a:ln>
          </c:spPr>
        </c:title>
        <c:numFmt formatCode="General" sourceLinked="1"/>
        <c:majorTickMark val="in"/>
        <c:minorTickMark val="none"/>
        <c:tickLblPos val="nextTo"/>
        <c:spPr>
          <a:ln w="25400">
            <a:solidFill>
              <a:srgbClr val="000000"/>
            </a:solidFill>
            <a:prstDash val="solid"/>
          </a:ln>
        </c:spPr>
        <c:txPr>
          <a:bodyPr rot="0" vert="horz"/>
          <a:lstStyle/>
          <a:p>
            <a:pPr>
              <a:defRPr sz="1600" b="1" i="0" u="none" strike="noStrike" baseline="0">
                <a:solidFill>
                  <a:srgbClr val="000000"/>
                </a:solidFill>
                <a:latin typeface="Book Antiqua"/>
                <a:ea typeface="Book Antiqua"/>
                <a:cs typeface="Book Antiqua"/>
              </a:defRPr>
            </a:pPr>
            <a:endParaRPr lang="en-US"/>
          </a:p>
        </c:txPr>
        <c:crossAx val="1"/>
        <c:crossesAt val="-8"/>
        <c:crossBetween val="midCat"/>
        <c:majorUnit val="2"/>
      </c:valAx>
      <c:valAx>
        <c:axId val="1"/>
        <c:scaling>
          <c:orientation val="minMax"/>
          <c:max val="0"/>
          <c:min val="-8"/>
        </c:scaling>
        <c:delete val="0"/>
        <c:axPos val="l"/>
        <c:title>
          <c:tx>
            <c:rich>
              <a:bodyPr/>
              <a:lstStyle/>
              <a:p>
                <a:pPr>
                  <a:defRPr sz="2000" b="1" i="0" u="none" strike="noStrike" baseline="0">
                    <a:solidFill>
                      <a:srgbClr val="000000"/>
                    </a:solidFill>
                    <a:latin typeface="Book Antiqua"/>
                    <a:ea typeface="Book Antiqua"/>
                    <a:cs typeface="Book Antiqua"/>
                  </a:defRPr>
                </a:pPr>
                <a:r>
                  <a:rPr lang="en-GB"/>
                  <a:t>log Concentration</a:t>
                </a:r>
              </a:p>
            </c:rich>
          </c:tx>
          <c:layout>
            <c:manualLayout>
              <c:xMode val="edge"/>
              <c:yMode val="edge"/>
              <c:x val="8.4569307997210356E-3"/>
              <c:y val="0.1692599441008556"/>
            </c:manualLayout>
          </c:layout>
          <c:overlay val="0"/>
          <c:spPr>
            <a:noFill/>
            <a:ln w="25400">
              <a:noFill/>
            </a:ln>
          </c:spPr>
        </c:title>
        <c:numFmt formatCode="General" sourceLinked="1"/>
        <c:majorTickMark val="in"/>
        <c:minorTickMark val="none"/>
        <c:tickLblPos val="nextTo"/>
        <c:spPr>
          <a:ln w="25400">
            <a:solidFill>
              <a:srgbClr val="000000"/>
            </a:solidFill>
            <a:prstDash val="solid"/>
          </a:ln>
        </c:spPr>
        <c:txPr>
          <a:bodyPr rot="0" vert="horz"/>
          <a:lstStyle/>
          <a:p>
            <a:pPr>
              <a:defRPr sz="1600" b="1" i="0" u="none" strike="noStrike" baseline="0">
                <a:solidFill>
                  <a:srgbClr val="000000"/>
                </a:solidFill>
                <a:latin typeface="Book Antiqua"/>
                <a:ea typeface="Book Antiqua"/>
                <a:cs typeface="Book Antiqua"/>
              </a:defRPr>
            </a:pPr>
            <a:endParaRPr lang="en-US"/>
          </a:p>
        </c:txPr>
        <c:crossAx val="695720495"/>
        <c:crosses val="autoZero"/>
        <c:crossBetween val="midCat"/>
        <c:majorUnit val="2"/>
      </c:valAx>
      <c:spPr>
        <a:solidFill>
          <a:srgbClr val="FFFFFF"/>
        </a:solidFill>
        <a:ln w="38100">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Book Antiqua"/>
          <a:ea typeface="Book Antiqua"/>
          <a:cs typeface="Book Antiqua"/>
        </a:defRPr>
      </a:pPr>
      <a:endParaRPr lang="en-US"/>
    </a:p>
  </c:txPr>
  <c:printSettings>
    <c:headerFooter alignWithMargins="0">
      <c:oddFooter>&amp;CFigure 2</c:oddFooter>
    </c:headerFooter>
    <c:pageMargins b="3.1496062992125986" l="0.59055118110236227" r="0.59055118110236227" t="3.1496062992125986" header="0.51181102362204722" footer="0.51181102362204722"/>
    <c:pageSetup paperSize="9" orientation="portrait" horizontalDpi="0" verticalDpi="0" copies="0"/>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030981600513748"/>
          <c:y val="8.1733299508637114E-2"/>
          <c:w val="0.61198800468971859"/>
          <c:h val="0.75002321902043467"/>
        </c:manualLayout>
      </c:layout>
      <c:scatterChart>
        <c:scatterStyle val="smoothMarker"/>
        <c:varyColors val="0"/>
        <c:ser>
          <c:idx val="0"/>
          <c:order val="0"/>
          <c:spPr>
            <a:ln w="12700">
              <a:solidFill>
                <a:srgbClr val="000000"/>
              </a:solidFill>
              <a:prstDash val="solid"/>
            </a:ln>
          </c:spPr>
          <c:marker>
            <c:symbol val="none"/>
          </c:marker>
          <c:xVal>
            <c:numRef>
              <c:f>'Solver Exercise'!$A$32:$A$60</c:f>
              <c:numCache>
                <c:formatCode>General</c:formatCode>
                <c:ptCount val="29"/>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numCache>
            </c:numRef>
          </c:xVal>
          <c:yVal>
            <c:numRef>
              <c:f>'Solver Exercise'!$D$32:$D$60</c:f>
              <c:numCache>
                <c:formatCode>General</c:formatCode>
                <c:ptCount val="29"/>
                <c:pt idx="0">
                  <c:v>-1.0019907903024985</c:v>
                </c:pt>
                <c:pt idx="1">
                  <c:v>-0.31819921102546445</c:v>
                </c:pt>
                <c:pt idx="2">
                  <c:v>-0.10191495224097159</c:v>
                </c:pt>
                <c:pt idx="3">
                  <c:v>-3.339560671878903E-2</c:v>
                </c:pt>
                <c:pt idx="4">
                  <c:v>-1.151825345901427E-2</c:v>
                </c:pt>
                <c:pt idx="5">
                  <c:v>-4.416091396416277E-3</c:v>
                </c:pt>
                <c:pt idx="6">
                  <c:v>-2.0970315190582426E-3</c:v>
                </c:pt>
                <c:pt idx="7">
                  <c:v>-1.348809314450551E-3</c:v>
                </c:pt>
                <c:pt idx="8">
                  <c:v>-1.109633532799089E-3</c:v>
                </c:pt>
                <c:pt idx="9">
                  <c:v>-1.031825728439247E-3</c:v>
                </c:pt>
                <c:pt idx="10">
                  <c:v>-1.0010636769115582E-3</c:v>
                </c:pt>
                <c:pt idx="11">
                  <c:v>-9.725154214555229E-4</c:v>
                </c:pt>
                <c:pt idx="12">
                  <c:v>-9.092699235173341E-4</c:v>
                </c:pt>
                <c:pt idx="13">
                  <c:v>-7.5803746781464957E-4</c:v>
                </c:pt>
                <c:pt idx="14">
                  <c:v>-4.9722508221644146E-4</c:v>
                </c:pt>
                <c:pt idx="15">
                  <c:v>-2.3787558229473998E-4</c:v>
                </c:pt>
                <c:pt idx="16">
                  <c:v>-8.8732460507632871E-5</c:v>
                </c:pt>
                <c:pt idx="17">
                  <c:v>-2.6282658922714155E-5</c:v>
                </c:pt>
                <c:pt idx="18">
                  <c:v>3.006159918161177E-6</c:v>
                </c:pt>
                <c:pt idx="19">
                  <c:v>3.7352968064167027E-5</c:v>
                </c:pt>
                <c:pt idx="20">
                  <c:v>1.2691133669847653E-4</c:v>
                </c:pt>
                <c:pt idx="21">
                  <c:v>4.0335043380291136E-4</c:v>
                </c:pt>
                <c:pt idx="22">
                  <c:v>1.26919499977582E-3</c:v>
                </c:pt>
                <c:pt idx="23">
                  <c:v>3.9585422961262856E-3</c:v>
                </c:pt>
                <c:pt idx="24">
                  <c:v>1.2225851831248918E-2</c:v>
                </c:pt>
                <c:pt idx="25">
                  <c:v>3.7781945964958596E-2</c:v>
                </c:pt>
                <c:pt idx="26">
                  <c:v>0.11793757913083826</c:v>
                </c:pt>
                <c:pt idx="27">
                  <c:v>0.3710247101594788</c:v>
                </c:pt>
                <c:pt idx="28">
                  <c:v>1.1712002476616954</c:v>
                </c:pt>
              </c:numCache>
            </c:numRef>
          </c:yVal>
          <c:smooth val="1"/>
          <c:extLst>
            <c:ext xmlns:c16="http://schemas.microsoft.com/office/drawing/2014/chart" uri="{C3380CC4-5D6E-409C-BE32-E72D297353CC}">
              <c16:uniqueId val="{00000000-4468-40D6-BBF4-2E2EBDC3BC29}"/>
            </c:ext>
          </c:extLst>
        </c:ser>
        <c:dLbls>
          <c:showLegendKey val="0"/>
          <c:showVal val="0"/>
          <c:showCatName val="0"/>
          <c:showSerName val="0"/>
          <c:showPercent val="0"/>
          <c:showBubbleSize val="0"/>
        </c:dLbls>
        <c:axId val="695710095"/>
        <c:axId val="1"/>
      </c:scatterChart>
      <c:valAx>
        <c:axId val="695710095"/>
        <c:scaling>
          <c:orientation val="minMax"/>
          <c:max val="14"/>
        </c:scaling>
        <c:delete val="0"/>
        <c:axPos val="b"/>
        <c:title>
          <c:tx>
            <c:rich>
              <a:bodyPr/>
              <a:lstStyle/>
              <a:p>
                <a:pPr>
                  <a:defRPr sz="2000" b="1" i="0" u="none" strike="noStrike" baseline="0">
                    <a:solidFill>
                      <a:srgbClr val="000000"/>
                    </a:solidFill>
                    <a:latin typeface="Book Antiqua"/>
                    <a:ea typeface="Book Antiqua"/>
                    <a:cs typeface="Book Antiqua"/>
                  </a:defRPr>
                </a:pPr>
                <a:r>
                  <a:rPr lang="en-GB"/>
                  <a:t>pH</a:t>
                </a:r>
              </a:p>
            </c:rich>
          </c:tx>
          <c:layout>
            <c:manualLayout>
              <c:xMode val="edge"/>
              <c:yMode val="edge"/>
              <c:x val="0.54441835117508086"/>
              <c:y val="0.87502708885717373"/>
            </c:manualLayout>
          </c:layout>
          <c:overlay val="0"/>
          <c:spPr>
            <a:noFill/>
            <a:ln w="25400">
              <a:noFill/>
            </a:ln>
          </c:spPr>
        </c:title>
        <c:numFmt formatCode="General" sourceLinked="1"/>
        <c:majorTickMark val="in"/>
        <c:minorTickMark val="none"/>
        <c:tickLblPos val="nextTo"/>
        <c:spPr>
          <a:ln w="25400">
            <a:solidFill>
              <a:srgbClr val="000000"/>
            </a:solidFill>
            <a:prstDash val="solid"/>
          </a:ln>
        </c:spPr>
        <c:txPr>
          <a:bodyPr rot="0" vert="horz"/>
          <a:lstStyle/>
          <a:p>
            <a:pPr>
              <a:defRPr sz="1600" b="1" i="0" u="none" strike="noStrike" baseline="0">
                <a:solidFill>
                  <a:srgbClr val="000000"/>
                </a:solidFill>
                <a:latin typeface="Book Antiqua"/>
                <a:ea typeface="Book Antiqua"/>
                <a:cs typeface="Book Antiqua"/>
              </a:defRPr>
            </a:pPr>
            <a:endParaRPr lang="en-US"/>
          </a:p>
        </c:txPr>
        <c:crossAx val="1"/>
        <c:crosses val="autoZero"/>
        <c:crossBetween val="midCat"/>
        <c:majorUnit val="2"/>
      </c:valAx>
      <c:valAx>
        <c:axId val="1"/>
        <c:scaling>
          <c:orientation val="minMax"/>
        </c:scaling>
        <c:delete val="0"/>
        <c:axPos val="l"/>
        <c:title>
          <c:tx>
            <c:rich>
              <a:bodyPr/>
              <a:lstStyle/>
              <a:p>
                <a:pPr>
                  <a:defRPr sz="2000" b="1" i="0" u="none" strike="noStrike" baseline="0">
                    <a:solidFill>
                      <a:srgbClr val="000000"/>
                    </a:solidFill>
                    <a:latin typeface="Book Antiqua"/>
                    <a:ea typeface="Book Antiqua"/>
                    <a:cs typeface="Book Antiqua"/>
                  </a:defRPr>
                </a:pPr>
                <a:r>
                  <a:rPr lang="en-GB" sz="2000" b="1" i="0" u="none" strike="noStrike" baseline="0">
                    <a:solidFill>
                      <a:srgbClr val="000000"/>
                    </a:solidFill>
                    <a:latin typeface="Book Antiqua"/>
                  </a:rPr>
                  <a:t>f([H</a:t>
                </a:r>
                <a:r>
                  <a:rPr lang="en-GB" sz="2000" b="1" i="0" u="none" strike="noStrike" baseline="30000">
                    <a:solidFill>
                      <a:srgbClr val="000000"/>
                    </a:solidFill>
                    <a:latin typeface="Book Antiqua"/>
                  </a:rPr>
                  <a:t>+</a:t>
                </a:r>
                <a:r>
                  <a:rPr lang="en-GB" sz="2000" b="1" i="0" u="none" strike="noStrike" baseline="0">
                    <a:solidFill>
                      <a:srgbClr val="000000"/>
                    </a:solidFill>
                    <a:latin typeface="Book Antiqua"/>
                  </a:rPr>
                  <a:t>])</a:t>
                </a:r>
              </a:p>
            </c:rich>
          </c:tx>
          <c:layout>
            <c:manualLayout>
              <c:xMode val="edge"/>
              <c:yMode val="edge"/>
              <c:x val="1.5444492231917187E-2"/>
              <c:y val="0.35578024491994975"/>
            </c:manualLayout>
          </c:layout>
          <c:overlay val="0"/>
          <c:spPr>
            <a:noFill/>
            <a:ln w="25400">
              <a:noFill/>
            </a:ln>
          </c:spPr>
        </c:title>
        <c:numFmt formatCode="General" sourceLinked="1"/>
        <c:majorTickMark val="in"/>
        <c:minorTickMark val="none"/>
        <c:tickLblPos val="nextTo"/>
        <c:spPr>
          <a:ln w="25400">
            <a:solidFill>
              <a:srgbClr val="000000"/>
            </a:solidFill>
            <a:prstDash val="solid"/>
          </a:ln>
        </c:spPr>
        <c:txPr>
          <a:bodyPr rot="0" vert="horz"/>
          <a:lstStyle/>
          <a:p>
            <a:pPr>
              <a:defRPr sz="1600" b="1" i="0" u="none" strike="noStrike" baseline="0">
                <a:solidFill>
                  <a:srgbClr val="000000"/>
                </a:solidFill>
                <a:latin typeface="Book Antiqua"/>
                <a:ea typeface="Book Antiqua"/>
                <a:cs typeface="Book Antiqua"/>
              </a:defRPr>
            </a:pPr>
            <a:endParaRPr lang="en-US"/>
          </a:p>
        </c:txPr>
        <c:crossAx val="695710095"/>
        <c:crosses val="autoZero"/>
        <c:crossBetween val="midCat"/>
      </c:valAx>
      <c:spPr>
        <a:solidFill>
          <a:srgbClr val="FFFFFF"/>
        </a:solidFill>
        <a:ln w="25400">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Book Antiqua"/>
          <a:ea typeface="Book Antiqua"/>
          <a:cs typeface="Book Antiqua"/>
        </a:defRPr>
      </a:pPr>
      <a:endParaRPr lang="en-US"/>
    </a:p>
  </c:txPr>
  <c:printSettings>
    <c:headerFooter alignWithMargins="0">
      <c:oddFooter>&amp;CFigure 3</c:oddFooter>
    </c:headerFooter>
    <c:pageMargins b="3.1496062992125986" l="1.1811023622047245" r="1.1811023622047245" t="3.1496062992125986" header="0.51181102362204722" footer="0.51181102362204722"/>
    <c:pageSetup paperSize="9" orientation="portrait" horizontalDpi="0" verticalDpi="0" copies="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3460409293396626"/>
          <c:y val="9.6777401017220682E-2"/>
          <c:w val="0.61249562774353139"/>
          <c:h val="0.69464667841249517"/>
        </c:manualLayout>
      </c:layout>
      <c:scatterChart>
        <c:scatterStyle val="smoothMarker"/>
        <c:varyColors val="0"/>
        <c:ser>
          <c:idx val="0"/>
          <c:order val="0"/>
          <c:spPr>
            <a:ln w="12700">
              <a:solidFill>
                <a:srgbClr val="000080"/>
              </a:solidFill>
              <a:prstDash val="solid"/>
            </a:ln>
          </c:spPr>
          <c:marker>
            <c:symbol val="none"/>
          </c:marker>
          <c:xVal>
            <c:numRef>
              <c:f>'Solver Exercise'!$A$49:$A$50</c:f>
              <c:numCache>
                <c:formatCode>General</c:formatCode>
                <c:ptCount val="2"/>
                <c:pt idx="0">
                  <c:v>8.5</c:v>
                </c:pt>
                <c:pt idx="1">
                  <c:v>9</c:v>
                </c:pt>
              </c:numCache>
            </c:numRef>
          </c:xVal>
          <c:yVal>
            <c:numRef>
              <c:f>'Solver Exercise'!$D$49:$D$50</c:f>
              <c:numCache>
                <c:formatCode>General</c:formatCode>
                <c:ptCount val="2"/>
                <c:pt idx="0">
                  <c:v>-2.6282658922714155E-5</c:v>
                </c:pt>
                <c:pt idx="1">
                  <c:v>3.006159918161177E-6</c:v>
                </c:pt>
              </c:numCache>
            </c:numRef>
          </c:yVal>
          <c:smooth val="1"/>
          <c:extLst>
            <c:ext xmlns:c16="http://schemas.microsoft.com/office/drawing/2014/chart" uri="{C3380CC4-5D6E-409C-BE32-E72D297353CC}">
              <c16:uniqueId val="{00000000-46AE-4708-BB12-7381896A411B}"/>
            </c:ext>
          </c:extLst>
        </c:ser>
        <c:dLbls>
          <c:showLegendKey val="0"/>
          <c:showVal val="0"/>
          <c:showCatName val="0"/>
          <c:showSerName val="0"/>
          <c:showPercent val="0"/>
          <c:showBubbleSize val="0"/>
        </c:dLbls>
        <c:axId val="695714255"/>
        <c:axId val="1"/>
      </c:scatterChart>
      <c:valAx>
        <c:axId val="695714255"/>
        <c:scaling>
          <c:orientation val="minMax"/>
        </c:scaling>
        <c:delete val="0"/>
        <c:axPos val="b"/>
        <c:title>
          <c:tx>
            <c:rich>
              <a:bodyPr/>
              <a:lstStyle/>
              <a:p>
                <a:pPr>
                  <a:defRPr sz="1200" b="1" i="0" u="none" strike="noStrike" baseline="0">
                    <a:solidFill>
                      <a:srgbClr val="000000"/>
                    </a:solidFill>
                    <a:latin typeface="Book Antiqua"/>
                    <a:ea typeface="Book Antiqua"/>
                    <a:cs typeface="Book Antiqua"/>
                  </a:defRPr>
                </a:pPr>
                <a:r>
                  <a:rPr lang="en-GB"/>
                  <a:t>pH</a:t>
                </a:r>
              </a:p>
            </c:rich>
          </c:tx>
          <c:layout>
            <c:manualLayout>
              <c:xMode val="edge"/>
              <c:yMode val="edge"/>
              <c:x val="0.60304353472279792"/>
              <c:y val="0.8365868665710855"/>
            </c:manualLayout>
          </c:layout>
          <c:overlay val="0"/>
          <c:spPr>
            <a:noFill/>
            <a:ln w="25400">
              <a:noFill/>
            </a:ln>
          </c:spPr>
        </c:title>
        <c:numFmt formatCode="General" sourceLinked="1"/>
        <c:majorTickMark val="in"/>
        <c:minorTickMark val="none"/>
        <c:tickLblPos val="nextTo"/>
        <c:spPr>
          <a:ln w="25400">
            <a:solidFill>
              <a:srgbClr val="000000"/>
            </a:solidFill>
            <a:prstDash val="solid"/>
          </a:ln>
        </c:spPr>
        <c:txPr>
          <a:bodyPr rot="0" vert="horz"/>
          <a:lstStyle/>
          <a:p>
            <a:pPr>
              <a:defRPr sz="1200" b="0" i="0" u="none" strike="noStrike" baseline="0">
                <a:solidFill>
                  <a:srgbClr val="000000"/>
                </a:solidFill>
                <a:latin typeface="Book Antiqua"/>
                <a:ea typeface="Book Antiqua"/>
                <a:cs typeface="Book Antiqua"/>
              </a:defRPr>
            </a:pPr>
            <a:endParaRPr lang="en-US"/>
          </a:p>
        </c:txPr>
        <c:crossAx val="1"/>
        <c:crossesAt val="0"/>
        <c:crossBetween val="midCat"/>
      </c:valAx>
      <c:valAx>
        <c:axId val="1"/>
        <c:scaling>
          <c:orientation val="minMax"/>
          <c:max val="2.0000000000000002E-5"/>
          <c:min val="-2.0000000000000002E-5"/>
        </c:scaling>
        <c:delete val="0"/>
        <c:axPos val="l"/>
        <c:title>
          <c:tx>
            <c:rich>
              <a:bodyPr/>
              <a:lstStyle/>
              <a:p>
                <a:pPr>
                  <a:defRPr sz="1200" b="1" i="0" u="none" strike="noStrike" baseline="0">
                    <a:solidFill>
                      <a:srgbClr val="000000"/>
                    </a:solidFill>
                    <a:latin typeface="Book Antiqua"/>
                    <a:ea typeface="Book Antiqua"/>
                    <a:cs typeface="Book Antiqua"/>
                  </a:defRPr>
                </a:pPr>
                <a:r>
                  <a:rPr lang="en-GB"/>
                  <a:t>f([H+])</a:t>
                </a:r>
              </a:p>
            </c:rich>
          </c:tx>
          <c:layout>
            <c:manualLayout>
              <c:xMode val="edge"/>
              <c:yMode val="edge"/>
              <c:x val="2.8356279062200531E-2"/>
              <c:y val="0.35485047039647588"/>
            </c:manualLayout>
          </c:layout>
          <c:overlay val="0"/>
          <c:spPr>
            <a:noFill/>
            <a:ln w="25400">
              <a:noFill/>
            </a:ln>
          </c:spPr>
        </c:title>
        <c:numFmt formatCode="0.00E+00" sourceLinked="0"/>
        <c:majorTickMark val="in"/>
        <c:minorTickMark val="none"/>
        <c:tickLblPos val="nextTo"/>
        <c:spPr>
          <a:ln w="25400">
            <a:solidFill>
              <a:srgbClr val="000000"/>
            </a:solidFill>
            <a:prstDash val="solid"/>
          </a:ln>
        </c:spPr>
        <c:txPr>
          <a:bodyPr rot="0" vert="horz"/>
          <a:lstStyle/>
          <a:p>
            <a:pPr>
              <a:defRPr sz="1200" b="0" i="0" u="none" strike="noStrike" baseline="0">
                <a:solidFill>
                  <a:srgbClr val="000000"/>
                </a:solidFill>
                <a:latin typeface="Book Antiqua"/>
                <a:ea typeface="Book Antiqua"/>
                <a:cs typeface="Book Antiqua"/>
              </a:defRPr>
            </a:pPr>
            <a:endParaRPr lang="en-US"/>
          </a:p>
        </c:txPr>
        <c:crossAx val="695714255"/>
        <c:crosses val="autoZero"/>
        <c:crossBetween val="midCat"/>
        <c:majorUnit val="2.0000000000000002E-5"/>
      </c:valAx>
      <c:spPr>
        <a:solidFill>
          <a:srgbClr val="C0C0C0"/>
        </a:solidFill>
        <a:ln w="25400">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Book Antiqua"/>
          <a:ea typeface="Book Antiqua"/>
          <a:cs typeface="Book Antiqua"/>
        </a:defRPr>
      </a:pPr>
      <a:endParaRPr lang="en-US"/>
    </a:p>
  </c:txPr>
  <c:printSettings>
    <c:headerFooter alignWithMargins="0">
      <c:oddHeader>&amp;A</c:oddHeader>
      <c:oddFooter>Page &amp;P</c:oddFooter>
    </c:headerFooter>
    <c:pageMargins b="1" l="0.75" r="0.75" t="1" header="0.5" footer="0.5"/>
    <c:pageSetup paperSize="9" orientation="landscape" horizontalDpi="0" verticalDpi="0" copies="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688872486383657"/>
          <c:y val="9.3581172890439671E-2"/>
          <c:w val="0.64783303396155645"/>
          <c:h val="0.62387448593626449"/>
        </c:manualLayout>
      </c:layout>
      <c:scatterChart>
        <c:scatterStyle val="smoothMarker"/>
        <c:varyColors val="0"/>
        <c:ser>
          <c:idx val="0"/>
          <c:order val="0"/>
          <c:spPr>
            <a:ln w="12700">
              <a:solidFill>
                <a:srgbClr val="000000"/>
              </a:solidFill>
              <a:prstDash val="solid"/>
            </a:ln>
          </c:spPr>
          <c:marker>
            <c:symbol val="none"/>
          </c:marker>
          <c:xVal>
            <c:numRef>
              <c:f>'Other speciation diagrams'!$A$23:$A$51</c:f>
              <c:numCache>
                <c:formatCode>General</c:formatCode>
                <c:ptCount val="29"/>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numCache>
            </c:numRef>
          </c:xVal>
          <c:yVal>
            <c:numRef>
              <c:f>'Other speciation diagrams'!$B$23:$B$51</c:f>
              <c:numCache>
                <c:formatCode>General</c:formatCode>
                <c:ptCount val="29"/>
                <c:pt idx="0">
                  <c:v>1.0241262910616455E-21</c:v>
                </c:pt>
                <c:pt idx="1">
                  <c:v>3.1753382360175712E-20</c:v>
                </c:pt>
                <c:pt idx="2">
                  <c:v>9.4573668108742E-19</c:v>
                </c:pt>
                <c:pt idx="3">
                  <c:v>2.5261330115283748E-17</c:v>
                </c:pt>
                <c:pt idx="4">
                  <c:v>5.3569557602729009E-16</c:v>
                </c:pt>
                <c:pt idx="5">
                  <c:v>8.297126564655879E-15</c:v>
                </c:pt>
                <c:pt idx="6">
                  <c:v>1.003905907819684E-13</c:v>
                </c:pt>
                <c:pt idx="7">
                  <c:v>1.0750903360056253E-12</c:v>
                </c:pt>
                <c:pt idx="8">
                  <c:v>1.0990736031843509E-11</c:v>
                </c:pt>
                <c:pt idx="9">
                  <c:v>1.1047183900942747E-10</c:v>
                </c:pt>
                <c:pt idx="10">
                  <c:v>1.0997067120112507E-9</c:v>
                </c:pt>
                <c:pt idx="11">
                  <c:v>1.0772004568375416E-8</c:v>
                </c:pt>
                <c:pt idx="12">
                  <c:v>1.0098000341039606E-7</c:v>
                </c:pt>
                <c:pt idx="13">
                  <c:v>8.4257747170555272E-7</c:v>
                </c:pt>
                <c:pt idx="14">
                  <c:v>5.5293186374086073E-6</c:v>
                </c:pt>
                <c:pt idx="15">
                  <c:v>2.6492374350000434E-5</c:v>
                </c:pt>
                <c:pt idx="16">
                  <c:v>1.0007250922771878E-4</c:v>
                </c:pt>
                <c:pt idx="17">
                  <c:v>3.3712918426456344E-4</c:v>
                </c:pt>
                <c:pt idx="18">
                  <c:v>1.087854322469222E-3</c:v>
                </c:pt>
                <c:pt idx="19">
                  <c:v>3.455081954767071E-3</c:v>
                </c:pt>
                <c:pt idx="20">
                  <c:v>1.0867825576523271E-2</c:v>
                </c:pt>
                <c:pt idx="21">
                  <c:v>3.3599961456086097E-2</c:v>
                </c:pt>
                <c:pt idx="22">
                  <c:v>9.9074846938314573E-2</c:v>
                </c:pt>
                <c:pt idx="23">
                  <c:v>0.2580389090660653</c:v>
                </c:pt>
                <c:pt idx="24">
                  <c:v>0.52376396016752447</c:v>
                </c:pt>
                <c:pt idx="25">
                  <c:v>0.77668071396321881</c:v>
                </c:pt>
                <c:pt idx="26">
                  <c:v>0.91665339185519512</c:v>
                </c:pt>
                <c:pt idx="27">
                  <c:v>0.97205067065210637</c:v>
                </c:pt>
                <c:pt idx="28">
                  <c:v>0.99098944744380735</c:v>
                </c:pt>
              </c:numCache>
            </c:numRef>
          </c:yVal>
          <c:smooth val="1"/>
          <c:extLst>
            <c:ext xmlns:c16="http://schemas.microsoft.com/office/drawing/2014/chart" uri="{C3380CC4-5D6E-409C-BE32-E72D297353CC}">
              <c16:uniqueId val="{00000000-5428-45AC-852B-BE01285417EE}"/>
            </c:ext>
          </c:extLst>
        </c:ser>
        <c:ser>
          <c:idx val="1"/>
          <c:order val="1"/>
          <c:spPr>
            <a:ln w="12700">
              <a:solidFill>
                <a:srgbClr val="000000"/>
              </a:solidFill>
              <a:prstDash val="solid"/>
            </a:ln>
          </c:spPr>
          <c:marker>
            <c:symbol val="none"/>
          </c:marker>
          <c:xVal>
            <c:numRef>
              <c:f>'Other speciation diagrams'!$A$23:$A$51</c:f>
              <c:numCache>
                <c:formatCode>General</c:formatCode>
                <c:ptCount val="29"/>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numCache>
            </c:numRef>
          </c:xVal>
          <c:yVal>
            <c:numRef>
              <c:f>'Other speciation diagrams'!$C$23:$C$51</c:f>
              <c:numCache>
                <c:formatCode>General</c:formatCode>
                <c:ptCount val="29"/>
                <c:pt idx="0">
                  <c:v>9.3118477506712887E-10</c:v>
                </c:pt>
                <c:pt idx="1">
                  <c:v>9.1300329367600456E-9</c:v>
                </c:pt>
                <c:pt idx="2">
                  <c:v>8.5990917949992617E-8</c:v>
                </c:pt>
                <c:pt idx="3">
                  <c:v>7.2633766495429419E-7</c:v>
                </c:pt>
                <c:pt idx="4">
                  <c:v>4.8708012754005344E-6</c:v>
                </c:pt>
                <c:pt idx="5">
                  <c:v>2.3856683346836893E-5</c:v>
                </c:pt>
                <c:pt idx="6">
                  <c:v>9.1279943217995575E-5</c:v>
                </c:pt>
                <c:pt idx="7">
                  <c:v>3.0912014557649993E-4</c:v>
                </c:pt>
                <c:pt idx="8">
                  <c:v>9.9933046822038292E-4</c:v>
                </c:pt>
                <c:pt idx="9">
                  <c:v>3.1763908401943966E-3</c:v>
                </c:pt>
                <c:pt idx="10">
                  <c:v>9.9990612115080299E-3</c:v>
                </c:pt>
                <c:pt idx="11">
                  <c:v>3.0972686748339497E-2</c:v>
                </c:pt>
                <c:pt idx="12">
                  <c:v>9.1815865467638424E-2</c:v>
                </c:pt>
                <c:pt idx="13">
                  <c:v>0.24226584686901742</c:v>
                </c:pt>
                <c:pt idx="14">
                  <c:v>0.50275218755612361</c:v>
                </c:pt>
                <c:pt idx="15">
                  <c:v>0.7617338135663787</c:v>
                </c:pt>
                <c:pt idx="16">
                  <c:v>0.90990728203077931</c:v>
                </c:pt>
                <c:pt idx="17">
                  <c:v>0.96934572870538038</c:v>
                </c:pt>
                <c:pt idx="18">
                  <c:v>0.98912935974351512</c:v>
                </c:pt>
                <c:pt idx="19">
                  <c:v>0.99343785453834199</c:v>
                </c:pt>
                <c:pt idx="20">
                  <c:v>0.98815485973442896</c:v>
                </c:pt>
                <c:pt idx="21">
                  <c:v>0.96609788301694399</c:v>
                </c:pt>
                <c:pt idx="22">
                  <c:v>0.900836057684134</c:v>
                </c:pt>
                <c:pt idx="23">
                  <c:v>0.74193788618043788</c:v>
                </c:pt>
                <c:pt idx="24">
                  <c:v>0.47623132976234406</c:v>
                </c:pt>
                <c:pt idx="25">
                  <c:v>0.22331858758845133</c:v>
                </c:pt>
                <c:pt idx="26">
                  <c:v>8.3346525712600913E-2</c:v>
                </c:pt>
                <c:pt idx="27">
                  <c:v>2.7949320606500228E-2</c:v>
                </c:pt>
                <c:pt idx="28">
                  <c:v>9.0105516650222772E-3</c:v>
                </c:pt>
              </c:numCache>
            </c:numRef>
          </c:yVal>
          <c:smooth val="1"/>
          <c:extLst>
            <c:ext xmlns:c16="http://schemas.microsoft.com/office/drawing/2014/chart" uri="{C3380CC4-5D6E-409C-BE32-E72D297353CC}">
              <c16:uniqueId val="{00000001-5428-45AC-852B-BE01285417EE}"/>
            </c:ext>
          </c:extLst>
        </c:ser>
        <c:ser>
          <c:idx val="2"/>
          <c:order val="2"/>
          <c:spPr>
            <a:ln w="12700">
              <a:solidFill>
                <a:srgbClr val="000000"/>
              </a:solidFill>
              <a:prstDash val="solid"/>
            </a:ln>
          </c:spPr>
          <c:marker>
            <c:symbol val="none"/>
          </c:marker>
          <c:xVal>
            <c:numRef>
              <c:f>'Other speciation diagrams'!$A$23:$A$51</c:f>
              <c:numCache>
                <c:formatCode>General</c:formatCode>
                <c:ptCount val="29"/>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numCache>
            </c:numRef>
          </c:xVal>
          <c:yVal>
            <c:numRef>
              <c:f>'Other speciation diagrams'!$D$23:$D$51</c:f>
              <c:numCache>
                <c:formatCode>General</c:formatCode>
                <c:ptCount val="29"/>
                <c:pt idx="0">
                  <c:v>9.2096956275148668E-3</c:v>
                </c:pt>
                <c:pt idx="1">
                  <c:v>2.8554973076432347E-2</c:v>
                </c:pt>
                <c:pt idx="2">
                  <c:v>8.5047586929559216E-2</c:v>
                </c:pt>
                <c:pt idx="3">
                  <c:v>0.22716842984937521</c:v>
                </c:pt>
                <c:pt idx="4">
                  <c:v>0.481736798212968</c:v>
                </c:pt>
                <c:pt idx="5">
                  <c:v>0.74613854668485358</c:v>
                </c:pt>
                <c:pt idx="6">
                  <c:v>0.90278590935292757</c:v>
                </c:pt>
                <c:pt idx="7">
                  <c:v>0.96680017426664244</c:v>
                </c:pt>
                <c:pt idx="8">
                  <c:v>0.9883676892105725</c:v>
                </c:pt>
                <c:pt idx="9">
                  <c:v>0.99344389609797279</c:v>
                </c:pt>
                <c:pt idx="10">
                  <c:v>0.98893702715704745</c:v>
                </c:pt>
                <c:pt idx="11">
                  <c:v>0.96869774986535806</c:v>
                </c:pt>
                <c:pt idx="12">
                  <c:v>0.90808634051479642</c:v>
                </c:pt>
                <c:pt idx="13">
                  <c:v>0.75770753321496753</c:v>
                </c:pt>
                <c:pt idx="14">
                  <c:v>0.49723693378957751</c:v>
                </c:pt>
                <c:pt idx="15">
                  <c:v>0.23823888356655637</c:v>
                </c:pt>
                <c:pt idx="16">
                  <c:v>8.9992548644909909E-2</c:v>
                </c:pt>
                <c:pt idx="17">
                  <c:v>3.0317131796415427E-2</c:v>
                </c:pt>
                <c:pt idx="18">
                  <c:v>9.7827848815716795E-3</c:v>
                </c:pt>
                <c:pt idx="19">
                  <c:v>3.1070634011883163E-3</c:v>
                </c:pt>
                <c:pt idx="20">
                  <c:v>9.7731467853387943E-4</c:v>
                </c:pt>
                <c:pt idx="21">
                  <c:v>3.0215552594202081E-4</c:v>
                </c:pt>
                <c:pt idx="22">
                  <c:v>8.9095377455706502E-5</c:v>
                </c:pt>
                <c:pt idx="23">
                  <c:v>2.3204753488858367E-5</c:v>
                </c:pt>
                <c:pt idx="24">
                  <c:v>4.7100701309057271E-6</c:v>
                </c:pt>
                <c:pt idx="25">
                  <c:v>6.9844832983900015E-7</c:v>
                </c:pt>
                <c:pt idx="26">
                  <c:v>8.2432204002536498E-8</c:v>
                </c:pt>
                <c:pt idx="27">
                  <c:v>8.741393409544531E-9</c:v>
                </c:pt>
                <c:pt idx="28">
                  <c:v>8.9117047972428633E-10</c:v>
                </c:pt>
              </c:numCache>
            </c:numRef>
          </c:yVal>
          <c:smooth val="1"/>
          <c:extLst>
            <c:ext xmlns:c16="http://schemas.microsoft.com/office/drawing/2014/chart" uri="{C3380CC4-5D6E-409C-BE32-E72D297353CC}">
              <c16:uniqueId val="{00000002-5428-45AC-852B-BE01285417EE}"/>
            </c:ext>
          </c:extLst>
        </c:ser>
        <c:ser>
          <c:idx val="3"/>
          <c:order val="3"/>
          <c:spPr>
            <a:ln w="12700">
              <a:solidFill>
                <a:srgbClr val="000000"/>
              </a:solidFill>
              <a:prstDash val="solid"/>
            </a:ln>
          </c:spPr>
          <c:marker>
            <c:symbol val="none"/>
          </c:marker>
          <c:xVal>
            <c:numRef>
              <c:f>'Other speciation diagrams'!$A$23:$A$51</c:f>
              <c:numCache>
                <c:formatCode>General</c:formatCode>
                <c:ptCount val="29"/>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numCache>
            </c:numRef>
          </c:xVal>
          <c:yVal>
            <c:numRef>
              <c:f>'Other speciation diagrams'!$E$23:$E$51</c:f>
              <c:numCache>
                <c:formatCode>General</c:formatCode>
                <c:ptCount val="29"/>
                <c:pt idx="0">
                  <c:v>0.99079030344130015</c:v>
                </c:pt>
                <c:pt idx="1">
                  <c:v>0.97144501779353454</c:v>
                </c:pt>
                <c:pt idx="2">
                  <c:v>0.9149523270795229</c:v>
                </c:pt>
                <c:pt idx="3">
                  <c:v>0.77283084381295941</c:v>
                </c:pt>
                <c:pt idx="4">
                  <c:v>0.51825833098575602</c:v>
                </c:pt>
                <c:pt idx="5">
                  <c:v>0.25383759663179101</c:v>
                </c:pt>
                <c:pt idx="6">
                  <c:v>9.7122810703754003E-2</c:v>
                </c:pt>
                <c:pt idx="7">
                  <c:v>3.2890705586705912E-2</c:v>
                </c:pt>
                <c:pt idx="8">
                  <c:v>1.0632980310216433E-2</c:v>
                </c:pt>
                <c:pt idx="9">
                  <c:v>3.3797129513607944E-3</c:v>
                </c:pt>
                <c:pt idx="10">
                  <c:v>1.0639105317378056E-3</c:v>
                </c:pt>
                <c:pt idx="11">
                  <c:v>3.2955261429792312E-4</c:v>
                </c:pt>
                <c:pt idx="12">
                  <c:v>9.7693037561582806E-5</c:v>
                </c:pt>
                <c:pt idx="13">
                  <c:v>2.5777338543310312E-5</c:v>
                </c:pt>
                <c:pt idx="14">
                  <c:v>5.3493356614276647E-6</c:v>
                </c:pt>
                <c:pt idx="15">
                  <c:v>8.1049271475741141E-7</c:v>
                </c:pt>
                <c:pt idx="16">
                  <c:v>9.6815082914315689E-8</c:v>
                </c:pt>
                <c:pt idx="17">
                  <c:v>1.0313939557423443E-8</c:v>
                </c:pt>
                <c:pt idx="18">
                  <c:v>1.0524439453086284E-9</c:v>
                </c:pt>
                <c:pt idx="19">
                  <c:v>1.0570282286640241E-10</c:v>
                </c:pt>
                <c:pt idx="20">
                  <c:v>1.0514070671448538E-11</c:v>
                </c:pt>
                <c:pt idx="21">
                  <c:v>1.0279382140879036E-12</c:v>
                </c:pt>
                <c:pt idx="22">
                  <c:v>9.5849895191787765E-14</c:v>
                </c:pt>
                <c:pt idx="23">
                  <c:v>7.8942964174893614E-15</c:v>
                </c:pt>
                <c:pt idx="24">
                  <c:v>5.0671509710784479E-16</c:v>
                </c:pt>
                <c:pt idx="25">
                  <c:v>2.3761330413170997E-17</c:v>
                </c:pt>
                <c:pt idx="26">
                  <c:v>8.8681571813298727E-19</c:v>
                </c:pt>
                <c:pt idx="27">
                  <c:v>2.973836835196979E-20</c:v>
                </c:pt>
                <c:pt idx="28">
                  <c:v>9.5873208598340232E-22</c:v>
                </c:pt>
              </c:numCache>
            </c:numRef>
          </c:yVal>
          <c:smooth val="1"/>
          <c:extLst>
            <c:ext xmlns:c16="http://schemas.microsoft.com/office/drawing/2014/chart" uri="{C3380CC4-5D6E-409C-BE32-E72D297353CC}">
              <c16:uniqueId val="{00000003-5428-45AC-852B-BE01285417EE}"/>
            </c:ext>
          </c:extLst>
        </c:ser>
        <c:dLbls>
          <c:showLegendKey val="0"/>
          <c:showVal val="0"/>
          <c:showCatName val="0"/>
          <c:showSerName val="0"/>
          <c:showPercent val="0"/>
          <c:showBubbleSize val="0"/>
        </c:dLbls>
        <c:axId val="695715503"/>
        <c:axId val="1"/>
      </c:scatterChart>
      <c:valAx>
        <c:axId val="695715503"/>
        <c:scaling>
          <c:orientation val="minMax"/>
          <c:max val="14"/>
        </c:scaling>
        <c:delete val="0"/>
        <c:axPos val="b"/>
        <c:title>
          <c:tx>
            <c:rich>
              <a:bodyPr/>
              <a:lstStyle/>
              <a:p>
                <a:pPr>
                  <a:defRPr sz="2000" b="1" i="0" u="none" strike="noStrike" baseline="0">
                    <a:solidFill>
                      <a:srgbClr val="000000"/>
                    </a:solidFill>
                    <a:latin typeface="Book Antiqua"/>
                    <a:ea typeface="Book Antiqua"/>
                    <a:cs typeface="Book Antiqua"/>
                  </a:defRPr>
                </a:pPr>
                <a:r>
                  <a:rPr lang="en-GB"/>
                  <a:t>pH</a:t>
                </a:r>
              </a:p>
            </c:rich>
          </c:tx>
          <c:layout>
            <c:manualLayout>
              <c:xMode val="edge"/>
              <c:yMode val="edge"/>
              <c:x val="0.44505168889945473"/>
              <c:y val="0.85690995568304562"/>
            </c:manualLayout>
          </c:layout>
          <c:overlay val="0"/>
          <c:spPr>
            <a:noFill/>
            <a:ln w="25400">
              <a:noFill/>
            </a:ln>
          </c:spPr>
        </c:title>
        <c:numFmt formatCode="General" sourceLinked="1"/>
        <c:majorTickMark val="in"/>
        <c:minorTickMark val="none"/>
        <c:tickLblPos val="nextTo"/>
        <c:spPr>
          <a:ln w="25400">
            <a:solidFill>
              <a:srgbClr val="000000"/>
            </a:solidFill>
            <a:prstDash val="solid"/>
          </a:ln>
        </c:spPr>
        <c:txPr>
          <a:bodyPr rot="0" vert="horz"/>
          <a:lstStyle/>
          <a:p>
            <a:pPr>
              <a:defRPr sz="1600" b="1" i="0" u="none" strike="noStrike" baseline="0">
                <a:solidFill>
                  <a:srgbClr val="000000"/>
                </a:solidFill>
                <a:latin typeface="Book Antiqua"/>
                <a:ea typeface="Book Antiqua"/>
                <a:cs typeface="Book Antiqua"/>
              </a:defRPr>
            </a:pPr>
            <a:endParaRPr lang="en-US"/>
          </a:p>
        </c:txPr>
        <c:crossAx val="1"/>
        <c:crosses val="autoZero"/>
        <c:crossBetween val="midCat"/>
        <c:majorUnit val="2"/>
      </c:valAx>
      <c:valAx>
        <c:axId val="1"/>
        <c:scaling>
          <c:orientation val="minMax"/>
          <c:min val="0"/>
        </c:scaling>
        <c:delete val="0"/>
        <c:axPos val="l"/>
        <c:title>
          <c:tx>
            <c:rich>
              <a:bodyPr/>
              <a:lstStyle/>
              <a:p>
                <a:pPr>
                  <a:defRPr sz="2000" b="1" i="0" u="none" strike="noStrike" baseline="0">
                    <a:solidFill>
                      <a:srgbClr val="000000"/>
                    </a:solidFill>
                    <a:latin typeface="Book Antiqua"/>
                    <a:ea typeface="Book Antiqua"/>
                    <a:cs typeface="Book Antiqua"/>
                  </a:defRPr>
                </a:pPr>
                <a:r>
                  <a:rPr lang="en-GB"/>
                  <a:t>Fraction</a:t>
                </a:r>
              </a:p>
            </c:rich>
          </c:tx>
          <c:layout>
            <c:manualLayout>
              <c:xMode val="edge"/>
              <c:yMode val="edge"/>
              <c:x val="8.5381618973516503E-3"/>
              <c:y val="0.2605593441263222"/>
            </c:manualLayout>
          </c:layout>
          <c:overlay val="0"/>
          <c:spPr>
            <a:noFill/>
            <a:ln w="25400">
              <a:noFill/>
            </a:ln>
          </c:spPr>
        </c:title>
        <c:numFmt formatCode="General" sourceLinked="1"/>
        <c:majorTickMark val="in"/>
        <c:minorTickMark val="none"/>
        <c:tickLblPos val="nextTo"/>
        <c:spPr>
          <a:ln w="25400">
            <a:solidFill>
              <a:srgbClr val="000000"/>
            </a:solidFill>
            <a:prstDash val="solid"/>
          </a:ln>
        </c:spPr>
        <c:txPr>
          <a:bodyPr rot="0" vert="horz"/>
          <a:lstStyle/>
          <a:p>
            <a:pPr>
              <a:defRPr sz="1600" b="1" i="0" u="none" strike="noStrike" baseline="0">
                <a:solidFill>
                  <a:srgbClr val="000000"/>
                </a:solidFill>
                <a:latin typeface="Book Antiqua"/>
                <a:ea typeface="Book Antiqua"/>
                <a:cs typeface="Book Antiqua"/>
              </a:defRPr>
            </a:pPr>
            <a:endParaRPr lang="en-US"/>
          </a:p>
        </c:txPr>
        <c:crossAx val="695715503"/>
        <c:crosses val="autoZero"/>
        <c:crossBetween val="midCat"/>
        <c:majorUnit val="0.2"/>
      </c:valAx>
      <c:spPr>
        <a:solidFill>
          <a:srgbClr val="FFFFFF"/>
        </a:solidFill>
        <a:ln w="25400">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Book Antiqua"/>
          <a:ea typeface="Book Antiqua"/>
          <a:cs typeface="Book Antiqua"/>
        </a:defRPr>
      </a:pPr>
      <a:endParaRPr lang="en-US"/>
    </a:p>
  </c:txPr>
  <c:printSettings>
    <c:headerFooter alignWithMargins="0">
      <c:oddHeader>&amp;A</c:oddHeader>
      <c:oddFooter>Page &amp;P</c:oddFooter>
    </c:headerFooter>
    <c:pageMargins b="1" l="0.75" r="0.75" t="1" header="0.5" footer="0.5"/>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161456412357315"/>
          <c:y val="0.10303375862905756"/>
          <c:w val="0.7905196558952885"/>
          <c:h val="0.5858782353416998"/>
        </c:manualLayout>
      </c:layout>
      <c:scatterChart>
        <c:scatterStyle val="smoothMarker"/>
        <c:varyColors val="0"/>
        <c:ser>
          <c:idx val="0"/>
          <c:order val="0"/>
          <c:spPr>
            <a:ln w="12700">
              <a:solidFill>
                <a:srgbClr val="000000"/>
              </a:solidFill>
              <a:prstDash val="solid"/>
            </a:ln>
          </c:spPr>
          <c:marker>
            <c:symbol val="none"/>
          </c:marker>
          <c:xVal>
            <c:numRef>
              <c:f>'Other speciation diagrams'!$A$72:$A$100</c:f>
              <c:numCache>
                <c:formatCode>General</c:formatCode>
                <c:ptCount val="29"/>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numCache>
            </c:numRef>
          </c:xVal>
          <c:yVal>
            <c:numRef>
              <c:f>'Other speciation diagrams'!$B$72:$B$100</c:f>
              <c:numCache>
                <c:formatCode>General</c:formatCode>
                <c:ptCount val="29"/>
                <c:pt idx="0">
                  <c:v>0.99079030344130015</c:v>
                </c:pt>
                <c:pt idx="1">
                  <c:v>0.97144501779353454</c:v>
                </c:pt>
                <c:pt idx="2">
                  <c:v>0.9149523270795229</c:v>
                </c:pt>
                <c:pt idx="3">
                  <c:v>0.77283084381295941</c:v>
                </c:pt>
                <c:pt idx="4">
                  <c:v>0.51825833098575602</c:v>
                </c:pt>
                <c:pt idx="5">
                  <c:v>0.25383759663179101</c:v>
                </c:pt>
                <c:pt idx="6">
                  <c:v>9.7122810703754003E-2</c:v>
                </c:pt>
                <c:pt idx="7">
                  <c:v>3.2890705586705912E-2</c:v>
                </c:pt>
                <c:pt idx="8">
                  <c:v>1.0632980310216433E-2</c:v>
                </c:pt>
                <c:pt idx="9">
                  <c:v>3.3797129513607944E-3</c:v>
                </c:pt>
                <c:pt idx="10">
                  <c:v>1.0639105317378056E-3</c:v>
                </c:pt>
                <c:pt idx="11">
                  <c:v>3.2955261429792312E-4</c:v>
                </c:pt>
                <c:pt idx="12">
                  <c:v>9.7693037561582806E-5</c:v>
                </c:pt>
                <c:pt idx="13">
                  <c:v>2.5777338543310312E-5</c:v>
                </c:pt>
                <c:pt idx="14">
                  <c:v>5.3493356614276647E-6</c:v>
                </c:pt>
                <c:pt idx="15">
                  <c:v>8.1049271475741141E-7</c:v>
                </c:pt>
                <c:pt idx="16">
                  <c:v>9.6815082914315689E-8</c:v>
                </c:pt>
                <c:pt idx="17">
                  <c:v>1.0313939557423443E-8</c:v>
                </c:pt>
                <c:pt idx="18">
                  <c:v>1.0524439453086284E-9</c:v>
                </c:pt>
                <c:pt idx="19">
                  <c:v>1.0570282286640241E-10</c:v>
                </c:pt>
                <c:pt idx="20">
                  <c:v>1.0514070671448538E-11</c:v>
                </c:pt>
                <c:pt idx="21">
                  <c:v>1.0279382140879036E-12</c:v>
                </c:pt>
                <c:pt idx="22">
                  <c:v>9.5849895191787765E-14</c:v>
                </c:pt>
                <c:pt idx="23">
                  <c:v>7.8942964174893614E-15</c:v>
                </c:pt>
                <c:pt idx="24">
                  <c:v>5.0671509710784479E-16</c:v>
                </c:pt>
                <c:pt idx="25">
                  <c:v>2.3761330413170997E-17</c:v>
                </c:pt>
                <c:pt idx="26">
                  <c:v>8.8681571813298727E-19</c:v>
                </c:pt>
                <c:pt idx="27">
                  <c:v>2.973836835196979E-20</c:v>
                </c:pt>
                <c:pt idx="28">
                  <c:v>9.5873208598340232E-22</c:v>
                </c:pt>
              </c:numCache>
            </c:numRef>
          </c:yVal>
          <c:smooth val="1"/>
          <c:extLst>
            <c:ext xmlns:c16="http://schemas.microsoft.com/office/drawing/2014/chart" uri="{C3380CC4-5D6E-409C-BE32-E72D297353CC}">
              <c16:uniqueId val="{00000000-BEEC-42B9-A3AD-44A2B6039FE9}"/>
            </c:ext>
          </c:extLst>
        </c:ser>
        <c:ser>
          <c:idx val="1"/>
          <c:order val="1"/>
          <c:spPr>
            <a:ln w="12700">
              <a:solidFill>
                <a:srgbClr val="000000"/>
              </a:solidFill>
              <a:prstDash val="solid"/>
            </a:ln>
          </c:spPr>
          <c:marker>
            <c:symbol val="none"/>
          </c:marker>
          <c:xVal>
            <c:numRef>
              <c:f>'Other speciation diagrams'!$A$72:$A$100</c:f>
              <c:numCache>
                <c:formatCode>General</c:formatCode>
                <c:ptCount val="29"/>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numCache>
            </c:numRef>
          </c:xVal>
          <c:yVal>
            <c:numRef>
              <c:f>'Other speciation diagrams'!$C$72:$C$100</c:f>
              <c:numCache>
                <c:formatCode>General</c:formatCode>
                <c:ptCount val="29"/>
                <c:pt idx="0">
                  <c:v>0.99999999906881498</c:v>
                </c:pt>
                <c:pt idx="1">
                  <c:v>0.99999999086996694</c:v>
                </c:pt>
                <c:pt idx="2">
                  <c:v>0.99999991400908206</c:v>
                </c:pt>
                <c:pt idx="3">
                  <c:v>0.99999927366233465</c:v>
                </c:pt>
                <c:pt idx="4">
                  <c:v>0.99999512919872402</c:v>
                </c:pt>
                <c:pt idx="5">
                  <c:v>0.99997614331664453</c:v>
                </c:pt>
                <c:pt idx="6">
                  <c:v>0.99990872005668163</c:v>
                </c:pt>
                <c:pt idx="7">
                  <c:v>0.99969087985334837</c:v>
                </c:pt>
                <c:pt idx="8">
                  <c:v>0.99900066952078892</c:v>
                </c:pt>
                <c:pt idx="9">
                  <c:v>0.99682360904933354</c:v>
                </c:pt>
                <c:pt idx="10">
                  <c:v>0.99000093768878528</c:v>
                </c:pt>
                <c:pt idx="11">
                  <c:v>0.96902730247965596</c:v>
                </c:pt>
                <c:pt idx="12">
                  <c:v>0.90818403355235799</c:v>
                </c:pt>
                <c:pt idx="13">
                  <c:v>0.7577333105535109</c:v>
                </c:pt>
                <c:pt idx="14">
                  <c:v>0.49724228312523894</c:v>
                </c:pt>
                <c:pt idx="15">
                  <c:v>0.23823969405927112</c:v>
                </c:pt>
                <c:pt idx="16">
                  <c:v>8.9992645459992818E-2</c:v>
                </c:pt>
                <c:pt idx="17">
                  <c:v>3.0317142110354984E-2</c:v>
                </c:pt>
                <c:pt idx="18">
                  <c:v>9.782785934015624E-3</c:v>
                </c:pt>
                <c:pt idx="19">
                  <c:v>3.1070635068911391E-3</c:v>
                </c:pt>
                <c:pt idx="20">
                  <c:v>9.7731468904795017E-4</c:v>
                </c:pt>
                <c:pt idx="21">
                  <c:v>3.0215552696995901E-4</c:v>
                </c:pt>
                <c:pt idx="22">
                  <c:v>8.9095377551556398E-5</c:v>
                </c:pt>
                <c:pt idx="23">
                  <c:v>2.3204753496752663E-5</c:v>
                </c:pt>
                <c:pt idx="24">
                  <c:v>4.7100701314124426E-6</c:v>
                </c:pt>
                <c:pt idx="25">
                  <c:v>6.9844832986276143E-7</c:v>
                </c:pt>
                <c:pt idx="26">
                  <c:v>8.2432204003423315E-8</c:v>
                </c:pt>
                <c:pt idx="27">
                  <c:v>8.7413934095742698E-9</c:v>
                </c:pt>
                <c:pt idx="28">
                  <c:v>8.9117047972524503E-10</c:v>
                </c:pt>
              </c:numCache>
            </c:numRef>
          </c:yVal>
          <c:smooth val="1"/>
          <c:extLst>
            <c:ext xmlns:c16="http://schemas.microsoft.com/office/drawing/2014/chart" uri="{C3380CC4-5D6E-409C-BE32-E72D297353CC}">
              <c16:uniqueId val="{00000001-BEEC-42B9-A3AD-44A2B6039FE9}"/>
            </c:ext>
          </c:extLst>
        </c:ser>
        <c:ser>
          <c:idx val="2"/>
          <c:order val="2"/>
          <c:spPr>
            <a:ln w="12700">
              <a:solidFill>
                <a:srgbClr val="000000"/>
              </a:solidFill>
              <a:prstDash val="solid"/>
            </a:ln>
          </c:spPr>
          <c:marker>
            <c:symbol val="none"/>
          </c:marker>
          <c:xVal>
            <c:numRef>
              <c:f>'Other speciation diagrams'!$A$72:$A$100</c:f>
              <c:numCache>
                <c:formatCode>General</c:formatCode>
                <c:ptCount val="29"/>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numCache>
            </c:numRef>
          </c:xVal>
          <c:yVal>
            <c:numRef>
              <c:f>'Other speciation diagrams'!$D$72:$D$100</c:f>
              <c:numCache>
                <c:formatCode>General</c:formatCode>
                <c:ptCount val="29"/>
                <c:pt idx="0">
                  <c:v>1</c:v>
                </c:pt>
                <c:pt idx="1">
                  <c:v>1</c:v>
                </c:pt>
                <c:pt idx="2">
                  <c:v>1</c:v>
                </c:pt>
                <c:pt idx="3">
                  <c:v>1</c:v>
                </c:pt>
                <c:pt idx="4">
                  <c:v>0.99999999999999944</c:v>
                </c:pt>
                <c:pt idx="5">
                  <c:v>0.99999999999999134</c:v>
                </c:pt>
                <c:pt idx="6">
                  <c:v>0.99999999999989964</c:v>
                </c:pt>
                <c:pt idx="7">
                  <c:v>0.99999999999892486</c:v>
                </c:pt>
                <c:pt idx="8">
                  <c:v>0.99999999998900935</c:v>
                </c:pt>
                <c:pt idx="9">
                  <c:v>0.99999999988952792</c:v>
                </c:pt>
                <c:pt idx="10">
                  <c:v>0.99999999890029334</c:v>
                </c:pt>
                <c:pt idx="11">
                  <c:v>0.99999998922799549</c:v>
                </c:pt>
                <c:pt idx="12">
                  <c:v>0.99999989901999642</c:v>
                </c:pt>
                <c:pt idx="13">
                  <c:v>0.99999915742252832</c:v>
                </c:pt>
                <c:pt idx="14">
                  <c:v>0.9999944706813626</c:v>
                </c:pt>
                <c:pt idx="15">
                  <c:v>0.99997350762564985</c:v>
                </c:pt>
                <c:pt idx="16">
                  <c:v>0.99989992749077217</c:v>
                </c:pt>
                <c:pt idx="17">
                  <c:v>0.99966287081573535</c:v>
                </c:pt>
                <c:pt idx="18">
                  <c:v>0.99891214567753073</c:v>
                </c:pt>
                <c:pt idx="19">
                  <c:v>0.99654491804523315</c:v>
                </c:pt>
                <c:pt idx="20">
                  <c:v>0.9891321744234769</c:v>
                </c:pt>
                <c:pt idx="21">
                  <c:v>0.96640003854391399</c:v>
                </c:pt>
                <c:pt idx="22">
                  <c:v>0.90092515306168552</c:v>
                </c:pt>
                <c:pt idx="23">
                  <c:v>0.74196109093393459</c:v>
                </c:pt>
                <c:pt idx="24">
                  <c:v>0.47623603983247548</c:v>
                </c:pt>
                <c:pt idx="25">
                  <c:v>0.22331928603678119</c:v>
                </c:pt>
                <c:pt idx="26">
                  <c:v>8.3346608144804921E-2</c:v>
                </c:pt>
                <c:pt idx="27">
                  <c:v>2.7949329347893639E-2</c:v>
                </c:pt>
                <c:pt idx="28">
                  <c:v>9.0105525561927566E-3</c:v>
                </c:pt>
              </c:numCache>
            </c:numRef>
          </c:yVal>
          <c:smooth val="1"/>
          <c:extLst>
            <c:ext xmlns:c16="http://schemas.microsoft.com/office/drawing/2014/chart" uri="{C3380CC4-5D6E-409C-BE32-E72D297353CC}">
              <c16:uniqueId val="{00000002-BEEC-42B9-A3AD-44A2B6039FE9}"/>
            </c:ext>
          </c:extLst>
        </c:ser>
        <c:dLbls>
          <c:showLegendKey val="0"/>
          <c:showVal val="0"/>
          <c:showCatName val="0"/>
          <c:showSerName val="0"/>
          <c:showPercent val="0"/>
          <c:showBubbleSize val="0"/>
        </c:dLbls>
        <c:axId val="695722991"/>
        <c:axId val="1"/>
      </c:scatterChart>
      <c:valAx>
        <c:axId val="695722991"/>
        <c:scaling>
          <c:orientation val="minMax"/>
        </c:scaling>
        <c:delete val="0"/>
        <c:axPos val="b"/>
        <c:title>
          <c:tx>
            <c:rich>
              <a:bodyPr/>
              <a:lstStyle/>
              <a:p>
                <a:pPr>
                  <a:defRPr sz="2000" b="1" i="0" u="none" strike="noStrike" baseline="0">
                    <a:solidFill>
                      <a:srgbClr val="000000"/>
                    </a:solidFill>
                    <a:latin typeface="Book Antiqua"/>
                    <a:ea typeface="Book Antiqua"/>
                    <a:cs typeface="Book Antiqua"/>
                  </a:defRPr>
                </a:pPr>
                <a:r>
                  <a:rPr lang="en-GB"/>
                  <a:t>pH</a:t>
                </a:r>
              </a:p>
            </c:rich>
          </c:tx>
          <c:layout>
            <c:manualLayout>
              <c:xMode val="edge"/>
              <c:yMode val="edge"/>
              <c:x val="0.50438063934423316"/>
              <c:y val="0.84245249702582359"/>
            </c:manualLayout>
          </c:layout>
          <c:overlay val="0"/>
          <c:spPr>
            <a:noFill/>
            <a:ln w="25400">
              <a:noFill/>
            </a:ln>
          </c:spPr>
        </c:title>
        <c:numFmt formatCode="General" sourceLinked="1"/>
        <c:majorTickMark val="in"/>
        <c:minorTickMark val="none"/>
        <c:tickLblPos val="nextTo"/>
        <c:spPr>
          <a:ln w="25400">
            <a:solidFill>
              <a:srgbClr val="000000"/>
            </a:solidFill>
            <a:prstDash val="solid"/>
          </a:ln>
        </c:spPr>
        <c:txPr>
          <a:bodyPr rot="0" vert="horz"/>
          <a:lstStyle/>
          <a:p>
            <a:pPr>
              <a:defRPr sz="1600" b="1" i="0" u="none" strike="noStrike" baseline="0">
                <a:solidFill>
                  <a:srgbClr val="000000"/>
                </a:solidFill>
                <a:latin typeface="Book Antiqua"/>
                <a:ea typeface="Book Antiqua"/>
                <a:cs typeface="Book Antiqua"/>
              </a:defRPr>
            </a:pPr>
            <a:endParaRPr lang="en-US"/>
          </a:p>
        </c:txPr>
        <c:crossAx val="1"/>
        <c:crosses val="autoZero"/>
        <c:crossBetween val="midCat"/>
      </c:valAx>
      <c:valAx>
        <c:axId val="1"/>
        <c:scaling>
          <c:orientation val="minMax"/>
          <c:min val="0"/>
        </c:scaling>
        <c:delete val="0"/>
        <c:axPos val="l"/>
        <c:title>
          <c:tx>
            <c:rich>
              <a:bodyPr/>
              <a:lstStyle/>
              <a:p>
                <a:pPr>
                  <a:defRPr sz="2000" b="1" i="0" u="none" strike="noStrike" baseline="0">
                    <a:solidFill>
                      <a:srgbClr val="000000"/>
                    </a:solidFill>
                    <a:latin typeface="Book Antiqua"/>
                    <a:ea typeface="Book Antiqua"/>
                    <a:cs typeface="Book Antiqua"/>
                  </a:defRPr>
                </a:pPr>
                <a:r>
                  <a:rPr lang="en-GB"/>
                  <a:t>Fraction</a:t>
                </a:r>
              </a:p>
            </c:rich>
          </c:tx>
          <c:layout>
            <c:manualLayout>
              <c:xMode val="edge"/>
              <c:yMode val="edge"/>
              <c:x val="7.7597021437574333E-3"/>
              <c:y val="0.23637156391372027"/>
            </c:manualLayout>
          </c:layout>
          <c:overlay val="0"/>
          <c:spPr>
            <a:noFill/>
            <a:ln w="25400">
              <a:noFill/>
            </a:ln>
          </c:spPr>
        </c:title>
        <c:numFmt formatCode="General" sourceLinked="1"/>
        <c:majorTickMark val="in"/>
        <c:minorTickMark val="none"/>
        <c:tickLblPos val="nextTo"/>
        <c:spPr>
          <a:ln w="25400">
            <a:solidFill>
              <a:srgbClr val="000000"/>
            </a:solidFill>
            <a:prstDash val="solid"/>
          </a:ln>
        </c:spPr>
        <c:txPr>
          <a:bodyPr rot="0" vert="horz"/>
          <a:lstStyle/>
          <a:p>
            <a:pPr>
              <a:defRPr sz="1600" b="1" i="0" u="none" strike="noStrike" baseline="0">
                <a:solidFill>
                  <a:srgbClr val="000000"/>
                </a:solidFill>
                <a:latin typeface="Book Antiqua"/>
                <a:ea typeface="Book Antiqua"/>
                <a:cs typeface="Book Antiqua"/>
              </a:defRPr>
            </a:pPr>
            <a:endParaRPr lang="en-US"/>
          </a:p>
        </c:txPr>
        <c:crossAx val="695722991"/>
        <c:crosses val="autoZero"/>
        <c:crossBetween val="midCat"/>
      </c:valAx>
      <c:spPr>
        <a:solidFill>
          <a:srgbClr val="FFFFFF"/>
        </a:solidFill>
        <a:ln w="25400">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Book Antiqua"/>
          <a:ea typeface="Book Antiqua"/>
          <a:cs typeface="Book Antiqua"/>
        </a:defRPr>
      </a:pPr>
      <a:endParaRPr lang="en-US"/>
    </a:p>
  </c:txPr>
  <c:printSettings>
    <c:headerFooter alignWithMargins="0">
      <c:oddHeader>&amp;A</c:oddHeader>
      <c:oddFooter>Page &amp;P</c:oddFooter>
    </c:headerFooter>
    <c:pageMargins b="1" l="0.75" r="0.75" t="1" header="0.5" footer="0.5"/>
    <c:pageSetup/>
  </c:printSettings>
  <c:userShapes r:id="rId1"/>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_rels/drawing4.x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 Id="rId4" Type="http://schemas.openxmlformats.org/officeDocument/2006/relationships/image" Target="../media/image11.emf"/></Relationships>
</file>

<file path=xl/drawings/_rels/drawing7.xml.rels><?xml version="1.0" encoding="UTF-8" standalone="yes"?>
<Relationships xmlns="http://schemas.openxmlformats.org/package/2006/relationships"><Relationship Id="rId3" Type="http://schemas.openxmlformats.org/officeDocument/2006/relationships/image" Target="../media/image14.emf"/><Relationship Id="rId2" Type="http://schemas.openxmlformats.org/officeDocument/2006/relationships/image" Target="../media/image13.emf"/><Relationship Id="rId1" Type="http://schemas.openxmlformats.org/officeDocument/2006/relationships/image" Target="../media/image12.emf"/><Relationship Id="rId4" Type="http://schemas.openxmlformats.org/officeDocument/2006/relationships/image" Target="../media/image15.emf"/></Relationships>
</file>

<file path=xl/drawings/drawing1.xml><?xml version="1.0" encoding="utf-8"?>
<xdr:wsDr xmlns:xdr="http://schemas.openxmlformats.org/drawingml/2006/spreadsheetDrawing" xmlns:a="http://schemas.openxmlformats.org/drawingml/2006/main">
  <xdr:twoCellAnchor>
    <xdr:from>
      <xdr:col>1</xdr:col>
      <xdr:colOff>31750</xdr:colOff>
      <xdr:row>0</xdr:row>
      <xdr:rowOff>190500</xdr:rowOff>
    </xdr:from>
    <xdr:to>
      <xdr:col>4</xdr:col>
      <xdr:colOff>247650</xdr:colOff>
      <xdr:row>2</xdr:row>
      <xdr:rowOff>12700</xdr:rowOff>
    </xdr:to>
    <xdr:sp macro="" textlink="">
      <xdr:nvSpPr>
        <xdr:cNvPr id="1025" name="Text 1">
          <a:extLst>
            <a:ext uri="{FF2B5EF4-FFF2-40B4-BE49-F238E27FC236}">
              <a16:creationId xmlns:a16="http://schemas.microsoft.com/office/drawing/2014/main" id="{506BE3EC-413E-421E-8DDC-9F3305649E8F}"/>
            </a:ext>
          </a:extLst>
        </xdr:cNvPr>
        <xdr:cNvSpPr txBox="1">
          <a:spLocks noChangeArrowheads="1"/>
        </xdr:cNvSpPr>
      </xdr:nvSpPr>
      <xdr:spPr bwMode="auto">
        <a:xfrm>
          <a:off x="704850" y="190500"/>
          <a:ext cx="2235200" cy="215900"/>
        </a:xfrm>
        <a:prstGeom prst="rect">
          <a:avLst/>
        </a:prstGeom>
        <a:solidFill>
          <a:srgbClr xmlns:mc="http://schemas.openxmlformats.org/markup-compatibility/2006" xmlns:a14="http://schemas.microsoft.com/office/drawing/2010/main" val="FFFFC0" mc:Ignorable="a14" a14:legacySpreadsheetColorIndex="26"/>
        </a:solidFill>
        <a:ln w="24765" cap="flat">
          <a:solidFill>
            <a:srgbClr xmlns:mc="http://schemas.openxmlformats.org/markup-compatibility/2006" xmlns:a14="http://schemas.microsoft.com/office/drawing/2010/main" val="000000" mc:Ignorable="a14" a14:legacySpreadsheetColorIndex="8"/>
          </a:solidFill>
          <a:prstDash val="solid"/>
          <a:miter lim="800000"/>
          <a:headEnd/>
          <a:tailEnd/>
        </a:ln>
      </xdr:spPr>
      <xdr:txBody>
        <a:bodyPr vertOverflow="clip" wrap="square" lIns="36576" tIns="32004" rIns="0" bIns="0" anchor="t" upright="1"/>
        <a:lstStyle/>
        <a:p>
          <a:pPr algn="l" rtl="0">
            <a:defRPr sz="1000"/>
          </a:pPr>
          <a:r>
            <a:rPr lang="en-GB" sz="1000" b="0" i="0" u="none" strike="noStrike" baseline="0">
              <a:solidFill>
                <a:srgbClr val="000000"/>
              </a:solidFill>
              <a:latin typeface="Book Antiqua"/>
            </a:rPr>
            <a:t>Speciation diagram for phosphoric acid</a:t>
          </a:r>
        </a:p>
      </xdr:txBody>
    </xdr:sp>
    <xdr:clientData/>
  </xdr:twoCellAnchor>
  <xdr:twoCellAnchor>
    <xdr:from>
      <xdr:col>4</xdr:col>
      <xdr:colOff>0</xdr:colOff>
      <xdr:row>8</xdr:row>
      <xdr:rowOff>0</xdr:rowOff>
    </xdr:from>
    <xdr:to>
      <xdr:col>13</xdr:col>
      <xdr:colOff>0</xdr:colOff>
      <xdr:row>13</xdr:row>
      <xdr:rowOff>0</xdr:rowOff>
    </xdr:to>
    <xdr:sp macro="" textlink="">
      <xdr:nvSpPr>
        <xdr:cNvPr id="1029" name="Text 5">
          <a:extLst>
            <a:ext uri="{FF2B5EF4-FFF2-40B4-BE49-F238E27FC236}">
              <a16:creationId xmlns:a16="http://schemas.microsoft.com/office/drawing/2014/main" id="{231C44C2-6CE6-4789-870D-22771D03E944}"/>
            </a:ext>
          </a:extLst>
        </xdr:cNvPr>
        <xdr:cNvSpPr txBox="1">
          <a:spLocks noChangeArrowheads="1"/>
        </xdr:cNvSpPr>
      </xdr:nvSpPr>
      <xdr:spPr bwMode="auto">
        <a:xfrm>
          <a:off x="2692400" y="1676400"/>
          <a:ext cx="6057900" cy="1060450"/>
        </a:xfrm>
        <a:prstGeom prst="rect">
          <a:avLst/>
        </a:prstGeom>
        <a:solidFill>
          <a:srgbClr xmlns:mc="http://schemas.openxmlformats.org/markup-compatibility/2006" xmlns:a14="http://schemas.microsoft.com/office/drawing/2010/main" val="FFFF00" mc:Ignorable="a14" a14:legacySpreadsheetColorIndex="13"/>
        </a:solidFill>
        <a:ln w="17145" cap="flat">
          <a:solidFill>
            <a:srgbClr xmlns:mc="http://schemas.openxmlformats.org/markup-compatibility/2006" xmlns:a14="http://schemas.microsoft.com/office/drawing/2010/main" val="000000" mc:Ignorable="a14" a14:legacySpreadsheetColorIndex="8"/>
          </a:solidFill>
          <a:prstDash val="solid"/>
          <a:miter lim="800000"/>
          <a:headEnd/>
          <a:tailEnd/>
        </a:ln>
      </xdr:spPr>
      <xdr:txBody>
        <a:bodyPr vertOverflow="clip" wrap="square" lIns="36576" tIns="36576" rIns="0" bIns="0" anchor="t" upright="1"/>
        <a:lstStyle/>
        <a:p>
          <a:pPr algn="l" rtl="0">
            <a:defRPr sz="1000"/>
          </a:pPr>
          <a:r>
            <a:rPr lang="en-GB" sz="1200" b="0" i="0" u="none" strike="noStrike" baseline="0">
              <a:solidFill>
                <a:srgbClr val="000000"/>
              </a:solidFill>
              <a:latin typeface="Book Antiqua"/>
            </a:rPr>
            <a:t>Text boxes like this can be inserted by clicking on the text box  button. To snap the box to the gridlines press the ALT key when drawing the box. To format the box place the cursor on the box press the right hand mouse button and select Format Object. The size of the line can be changed as can the font and the fill colour.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0</xdr:rowOff>
    </xdr:from>
    <xdr:to>
      <xdr:col>8</xdr:col>
      <xdr:colOff>622300</xdr:colOff>
      <xdr:row>22</xdr:row>
      <xdr:rowOff>152400</xdr:rowOff>
    </xdr:to>
    <xdr:graphicFrame macro="">
      <xdr:nvGraphicFramePr>
        <xdr:cNvPr id="2049" name="Chart 1">
          <a:extLst>
            <a:ext uri="{FF2B5EF4-FFF2-40B4-BE49-F238E27FC236}">
              <a16:creationId xmlns:a16="http://schemas.microsoft.com/office/drawing/2014/main" id="{21C4454E-D898-41FE-8F82-13C2B45B2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666750</xdr:colOff>
      <xdr:row>0</xdr:row>
      <xdr:rowOff>69850</xdr:rowOff>
    </xdr:from>
    <xdr:to>
      <xdr:col>6</xdr:col>
      <xdr:colOff>323850</xdr:colOff>
      <xdr:row>1</xdr:row>
      <xdr:rowOff>107950</xdr:rowOff>
    </xdr:to>
    <xdr:sp macro="" textlink="">
      <xdr:nvSpPr>
        <xdr:cNvPr id="2050" name="Text 2">
          <a:extLst>
            <a:ext uri="{FF2B5EF4-FFF2-40B4-BE49-F238E27FC236}">
              <a16:creationId xmlns:a16="http://schemas.microsoft.com/office/drawing/2014/main" id="{B1D24BF8-5158-44DA-87BB-EF21C9D640C8}"/>
            </a:ext>
          </a:extLst>
        </xdr:cNvPr>
        <xdr:cNvSpPr txBox="1">
          <a:spLocks noChangeArrowheads="1"/>
        </xdr:cNvSpPr>
      </xdr:nvSpPr>
      <xdr:spPr bwMode="auto">
        <a:xfrm>
          <a:off x="666750" y="69850"/>
          <a:ext cx="3695700" cy="234950"/>
        </a:xfrm>
        <a:prstGeom prst="rect">
          <a:avLst/>
        </a:prstGeom>
        <a:solidFill>
          <a:srgbClr xmlns:mc="http://schemas.openxmlformats.org/markup-compatibility/2006" xmlns:a14="http://schemas.microsoft.com/office/drawing/2010/main" val="FFFFC0" mc:Ignorable="a14" a14:legacySpreadsheetColorIndex="26"/>
        </a:solidFill>
        <a:ln w="24765" cap="flat">
          <a:solidFill>
            <a:srgbClr xmlns:mc="http://schemas.openxmlformats.org/markup-compatibility/2006" xmlns:a14="http://schemas.microsoft.com/office/drawing/2010/main" val="000000" mc:Ignorable="a14" a14:legacySpreadsheetColorIndex="8"/>
          </a:solidFill>
          <a:prstDash val="solid"/>
          <a:miter lim="800000"/>
          <a:headEnd/>
          <a:tailEnd/>
        </a:ln>
      </xdr:spPr>
      <xdr:txBody>
        <a:bodyPr vertOverflow="clip" wrap="square" lIns="36576" tIns="32004" rIns="0" bIns="0" anchor="t" upright="1"/>
        <a:lstStyle/>
        <a:p>
          <a:pPr algn="l" rtl="0">
            <a:defRPr sz="1000"/>
          </a:pPr>
          <a:r>
            <a:rPr lang="en-GB" sz="1000" b="0" i="0" u="none" strike="noStrike" baseline="0">
              <a:solidFill>
                <a:srgbClr val="000000"/>
              </a:solidFill>
              <a:latin typeface="Book Antiqua"/>
            </a:rPr>
            <a:t>Data from the previous sheet plotted as a speciation diagram.</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0.1768</cdr:x>
      <cdr:y>0.11553</cdr:y>
    </cdr:from>
    <cdr:to>
      <cdr:x>0.23063</cdr:x>
      <cdr:y>0.18062</cdr:y>
    </cdr:to>
    <cdr:pic>
      <cdr:nvPicPr>
        <cdr:cNvPr id="3074" name="Picture 2">
          <a:extLst xmlns:a="http://schemas.openxmlformats.org/drawingml/2006/main">
            <a:ext uri="{FF2B5EF4-FFF2-40B4-BE49-F238E27FC236}">
              <a16:creationId xmlns:a16="http://schemas.microsoft.com/office/drawing/2014/main" id="{BDE25714-966D-4C52-957E-38384D6B9DEE}"/>
            </a:ext>
          </a:extLst>
        </cdr:cNvPr>
        <cdr:cNvPicPr>
          <a:picLocks xmlns:a="http://schemas.openxmlformats.org/drawingml/2006/main" noChangeAspect="1" noChangeArrowheads="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1063204" y="473181"/>
          <a:ext cx="323674" cy="266610"/>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pic>
  </cdr:relSizeAnchor>
  <cdr:relSizeAnchor xmlns:cdr="http://schemas.openxmlformats.org/drawingml/2006/chartDrawing">
    <cdr:from>
      <cdr:x>0.78166</cdr:x>
      <cdr:y>0.12187</cdr:y>
    </cdr:from>
    <cdr:to>
      <cdr:x>0.85146</cdr:x>
      <cdr:y>0.18696</cdr:y>
    </cdr:to>
    <cdr:pic>
      <cdr:nvPicPr>
        <cdr:cNvPr id="3075" name="Picture 3">
          <a:extLst xmlns:a="http://schemas.openxmlformats.org/drawingml/2006/main">
            <a:ext uri="{FF2B5EF4-FFF2-40B4-BE49-F238E27FC236}">
              <a16:creationId xmlns:a16="http://schemas.microsoft.com/office/drawing/2014/main" id="{5B42BE70-9516-4C1C-ACDA-974ADBAE1C4E}"/>
            </a:ext>
          </a:extLst>
        </cdr:cNvPr>
        <cdr:cNvPicPr>
          <a:picLocks xmlns:a="http://schemas.openxmlformats.org/drawingml/2006/main" noChangeAspect="1" noChangeArrowheads="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4700470" y="499143"/>
          <a:ext cx="419741" cy="266610"/>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pic>
  </cdr:relSizeAnchor>
  <cdr:relSizeAnchor xmlns:cdr="http://schemas.openxmlformats.org/drawingml/2006/chartDrawing">
    <cdr:from>
      <cdr:x>0.25299</cdr:x>
      <cdr:y>0.44978</cdr:y>
    </cdr:from>
    <cdr:to>
      <cdr:x>0.34688</cdr:x>
      <cdr:y>0.50561</cdr:y>
    </cdr:to>
    <cdr:pic>
      <cdr:nvPicPr>
        <cdr:cNvPr id="3079" name="Picture 7">
          <a:extLst xmlns:a="http://schemas.openxmlformats.org/drawingml/2006/main">
            <a:ext uri="{FF2B5EF4-FFF2-40B4-BE49-F238E27FC236}">
              <a16:creationId xmlns:a16="http://schemas.microsoft.com/office/drawing/2014/main" id="{B0A4CAD7-78A2-45A6-8FAD-081B24DA94BE}"/>
            </a:ext>
          </a:extLst>
        </cdr:cNvPr>
        <cdr:cNvPicPr>
          <a:picLocks xmlns:a="http://schemas.openxmlformats.org/drawingml/2006/main" noChangeAspect="1" noChangeArrowheads="1"/>
        </cdr:cNvPicPr>
      </cdr:nvPicPr>
      <cdr:blipFill>
        <a:blip xmlns:a="http://schemas.openxmlformats.org/drawingml/2006/main" xmlns:r="http://schemas.openxmlformats.org/officeDocument/2006/relationships" r:embed="rId3">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1521373" y="1842176"/>
          <a:ext cx="564581" cy="228665"/>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pic>
  </cdr:relSizeAnchor>
  <cdr:relSizeAnchor xmlns:cdr="http://schemas.openxmlformats.org/drawingml/2006/chartDrawing">
    <cdr:from>
      <cdr:x>0.35032</cdr:x>
      <cdr:y>0.30057</cdr:y>
    </cdr:from>
    <cdr:to>
      <cdr:x>0.44544</cdr:x>
      <cdr:y>0.36567</cdr:y>
    </cdr:to>
    <cdr:pic>
      <cdr:nvPicPr>
        <cdr:cNvPr id="3081" name="Picture 9">
          <a:extLst xmlns:a="http://schemas.openxmlformats.org/drawingml/2006/main">
            <a:ext uri="{FF2B5EF4-FFF2-40B4-BE49-F238E27FC236}">
              <a16:creationId xmlns:a16="http://schemas.microsoft.com/office/drawing/2014/main" id="{ADE7C13B-5A8B-4020-8469-92D9DEA5CA91}"/>
            </a:ext>
          </a:extLst>
        </cdr:cNvPr>
        <cdr:cNvPicPr>
          <a:picLocks xmlns:a="http://schemas.openxmlformats.org/drawingml/2006/main" noChangeAspect="1" noChangeArrowheads="1"/>
        </cdr:cNvPicPr>
      </cdr:nvPicPr>
      <cdr:blipFill>
        <a:blip xmlns:a="http://schemas.openxmlformats.org/drawingml/2006/main" xmlns:r="http://schemas.openxmlformats.org/officeDocument/2006/relationships" r:embed="rId4">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2106646" y="1231071"/>
          <a:ext cx="571971" cy="266610"/>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pic>
  </cdr:relSizeAnchor>
  <cdr:relSizeAnchor xmlns:cdr="http://schemas.openxmlformats.org/drawingml/2006/chartDrawing">
    <cdr:from>
      <cdr:x>0.60151</cdr:x>
      <cdr:y>0.30057</cdr:y>
    </cdr:from>
    <cdr:to>
      <cdr:x>0.69539</cdr:x>
      <cdr:y>0.36567</cdr:y>
    </cdr:to>
    <cdr:pic>
      <cdr:nvPicPr>
        <cdr:cNvPr id="3082" name="Picture 10">
          <a:extLst xmlns:a="http://schemas.openxmlformats.org/drawingml/2006/main">
            <a:ext uri="{FF2B5EF4-FFF2-40B4-BE49-F238E27FC236}">
              <a16:creationId xmlns:a16="http://schemas.microsoft.com/office/drawing/2014/main" id="{6D9241AE-077C-41E9-BC4A-2776104F9550}"/>
            </a:ext>
          </a:extLst>
        </cdr:cNvPr>
        <cdr:cNvPicPr>
          <a:picLocks xmlns:a="http://schemas.openxmlformats.org/drawingml/2006/main" noChangeAspect="1" noChangeArrowheads="1"/>
        </cdr:cNvPicPr>
      </cdr:nvPicPr>
      <cdr:blipFill>
        <a:blip xmlns:a="http://schemas.openxmlformats.org/drawingml/2006/main" xmlns:r="http://schemas.openxmlformats.org/officeDocument/2006/relationships" r:embed="rId5">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3617124" y="1231071"/>
          <a:ext cx="564581" cy="266610"/>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pic>
  </cdr:relSizeAnchor>
  <cdr:relSizeAnchor xmlns:cdr="http://schemas.openxmlformats.org/drawingml/2006/chartDrawing">
    <cdr:from>
      <cdr:x>0.68753</cdr:x>
      <cdr:y>0.45758</cdr:y>
    </cdr:from>
    <cdr:to>
      <cdr:x>0.75192</cdr:x>
      <cdr:y>0.52267</cdr:y>
    </cdr:to>
    <cdr:pic>
      <cdr:nvPicPr>
        <cdr:cNvPr id="3083" name="Picture 11">
          <a:extLst xmlns:a="http://schemas.openxmlformats.org/drawingml/2006/main">
            <a:ext uri="{FF2B5EF4-FFF2-40B4-BE49-F238E27FC236}">
              <a16:creationId xmlns:a16="http://schemas.microsoft.com/office/drawing/2014/main" id="{06791E8C-1453-4151-8AEA-6C4B9F32CB69}"/>
            </a:ext>
          </a:extLst>
        </cdr:cNvPr>
        <cdr:cNvPicPr>
          <a:picLocks xmlns:a="http://schemas.openxmlformats.org/drawingml/2006/main" noChangeAspect="1" noChangeArrowheads="1"/>
        </cdr:cNvPicPr>
      </cdr:nvPicPr>
      <cdr:blipFill>
        <a:blip xmlns:a="http://schemas.openxmlformats.org/drawingml/2006/main" xmlns:r="http://schemas.openxmlformats.org/officeDocument/2006/relationships" r:embed="rId6">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4134410" y="1874129"/>
          <a:ext cx="387227" cy="266610"/>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pic>
  </cdr:relSizeAnchor>
</c:userShapes>
</file>

<file path=xl/drawings/drawing4.xml><?xml version="1.0" encoding="utf-8"?>
<xdr:wsDr xmlns:xdr="http://schemas.openxmlformats.org/drawingml/2006/spreadsheetDrawing" xmlns:a="http://schemas.openxmlformats.org/drawingml/2006/main">
  <xdr:twoCellAnchor>
    <xdr:from>
      <xdr:col>5</xdr:col>
      <xdr:colOff>31750</xdr:colOff>
      <xdr:row>28</xdr:row>
      <xdr:rowOff>12700</xdr:rowOff>
    </xdr:from>
    <xdr:to>
      <xdr:col>9</xdr:col>
      <xdr:colOff>628650</xdr:colOff>
      <xdr:row>48</xdr:row>
      <xdr:rowOff>0</xdr:rowOff>
    </xdr:to>
    <xdr:graphicFrame macro="">
      <xdr:nvGraphicFramePr>
        <xdr:cNvPr id="4097" name="Chart 1">
          <a:extLst>
            <a:ext uri="{FF2B5EF4-FFF2-40B4-BE49-F238E27FC236}">
              <a16:creationId xmlns:a16="http://schemas.microsoft.com/office/drawing/2014/main" id="{FA3BC077-94E6-4B96-AA6C-D9A907CA6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6350</xdr:colOff>
      <xdr:row>48</xdr:row>
      <xdr:rowOff>38100</xdr:rowOff>
    </xdr:from>
    <xdr:to>
      <xdr:col>10</xdr:col>
      <xdr:colOff>0</xdr:colOff>
      <xdr:row>63</xdr:row>
      <xdr:rowOff>38100</xdr:rowOff>
    </xdr:to>
    <xdr:graphicFrame macro="">
      <xdr:nvGraphicFramePr>
        <xdr:cNvPr id="4099" name="Chart 3">
          <a:extLst>
            <a:ext uri="{FF2B5EF4-FFF2-40B4-BE49-F238E27FC236}">
              <a16:creationId xmlns:a16="http://schemas.microsoft.com/office/drawing/2014/main" id="{059D0EC3-8544-4868-9C2A-42F4750A28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139700</xdr:colOff>
      <xdr:row>1</xdr:row>
      <xdr:rowOff>12700</xdr:rowOff>
    </xdr:from>
    <xdr:to>
      <xdr:col>10</xdr:col>
      <xdr:colOff>476250</xdr:colOff>
      <xdr:row>3</xdr:row>
      <xdr:rowOff>107950</xdr:rowOff>
    </xdr:to>
    <xdr:sp macro="" textlink="">
      <xdr:nvSpPr>
        <xdr:cNvPr id="4100" name="Text 4">
          <a:extLst>
            <a:ext uri="{FF2B5EF4-FFF2-40B4-BE49-F238E27FC236}">
              <a16:creationId xmlns:a16="http://schemas.microsoft.com/office/drawing/2014/main" id="{A9A9F104-E5A2-4E7A-8C17-17AEBBBAF962}"/>
            </a:ext>
          </a:extLst>
        </xdr:cNvPr>
        <xdr:cNvSpPr txBox="1">
          <a:spLocks noChangeArrowheads="1"/>
        </xdr:cNvSpPr>
      </xdr:nvSpPr>
      <xdr:spPr bwMode="auto">
        <a:xfrm>
          <a:off x="4191000" y="266700"/>
          <a:ext cx="3028950" cy="501650"/>
        </a:xfrm>
        <a:prstGeom prst="rect">
          <a:avLst/>
        </a:prstGeom>
        <a:solidFill>
          <a:srgbClr xmlns:mc="http://schemas.openxmlformats.org/markup-compatibility/2006" xmlns:a14="http://schemas.microsoft.com/office/drawing/2010/main" val="FFFFC0" mc:Ignorable="a14" a14:legacySpreadsheetColorIndex="26"/>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0" bIns="0" anchor="t" upright="1"/>
        <a:lstStyle/>
        <a:p>
          <a:pPr algn="l" rtl="0">
            <a:defRPr sz="1000"/>
          </a:pPr>
          <a:r>
            <a:rPr lang="en-GB" sz="1000" b="0" i="0" u="none" strike="noStrike" baseline="0">
              <a:solidFill>
                <a:srgbClr val="000000"/>
              </a:solidFill>
              <a:latin typeface="Book Antiqua"/>
            </a:rPr>
            <a:t>This application uses Solver to obtain a pH value for a 10</a:t>
          </a:r>
          <a:r>
            <a:rPr lang="en-GB" sz="1000" b="0" i="0" u="none" strike="noStrike" baseline="30000">
              <a:solidFill>
                <a:srgbClr val="000000"/>
              </a:solidFill>
              <a:latin typeface="Book Antiqua"/>
            </a:rPr>
            <a:t>-3</a:t>
          </a:r>
          <a:r>
            <a:rPr lang="en-GB" sz="1000" b="0" i="0" u="none" strike="noStrike" baseline="0">
              <a:solidFill>
                <a:srgbClr val="000000"/>
              </a:solidFill>
              <a:latin typeface="Book Antiqua"/>
            </a:rPr>
            <a:t>M solution of Na</a:t>
          </a:r>
          <a:r>
            <a:rPr lang="en-GB" sz="1000" b="0" i="0" u="none" strike="noStrike" baseline="-25000">
              <a:solidFill>
                <a:srgbClr val="000000"/>
              </a:solidFill>
              <a:latin typeface="Book Antiqua"/>
            </a:rPr>
            <a:t>2</a:t>
          </a:r>
          <a:r>
            <a:rPr lang="en-GB" sz="1000" b="0" i="0" u="none" strike="noStrike" baseline="0">
              <a:solidFill>
                <a:srgbClr val="000000"/>
              </a:solidFill>
              <a:latin typeface="Book Antiqua"/>
            </a:rPr>
            <a:t>HPO</a:t>
          </a:r>
          <a:r>
            <a:rPr lang="en-GB" sz="1000" b="0" i="0" u="none" strike="noStrike" baseline="-25000">
              <a:solidFill>
                <a:srgbClr val="000000"/>
              </a:solidFill>
              <a:latin typeface="Book Antiqua"/>
            </a:rPr>
            <a:t>4</a:t>
          </a:r>
          <a:r>
            <a:rPr lang="en-GB" sz="1000" b="0" i="0" u="none" strike="noStrike" baseline="0">
              <a:solidFill>
                <a:srgbClr val="000000"/>
              </a:solidFill>
              <a:latin typeface="Book Antiqua"/>
            </a:rPr>
            <a:t>. The proton condition:</a:t>
          </a:r>
        </a:p>
        <a:p>
          <a:pPr algn="l" rtl="0">
            <a:defRPr sz="1000"/>
          </a:pPr>
          <a:endParaRPr lang="en-GB" sz="1000" b="0" i="0" u="none" strike="noStrike" baseline="0">
            <a:solidFill>
              <a:srgbClr val="000000"/>
            </a:solidFill>
            <a:latin typeface="Book Antiqua"/>
          </a:endParaRPr>
        </a:p>
      </xdr:txBody>
    </xdr:sp>
    <xdr:clientData/>
  </xdr:twoCellAnchor>
  <xdr:twoCellAnchor>
    <xdr:from>
      <xdr:col>6</xdr:col>
      <xdr:colOff>438150</xdr:colOff>
      <xdr:row>3</xdr:row>
      <xdr:rowOff>165100</xdr:rowOff>
    </xdr:from>
    <xdr:to>
      <xdr:col>9</xdr:col>
      <xdr:colOff>666750</xdr:colOff>
      <xdr:row>9</xdr:row>
      <xdr:rowOff>184150</xdr:rowOff>
    </xdr:to>
    <xdr:pic>
      <xdr:nvPicPr>
        <xdr:cNvPr id="4102" name="Picture 6">
          <a:extLst>
            <a:ext uri="{FF2B5EF4-FFF2-40B4-BE49-F238E27FC236}">
              <a16:creationId xmlns:a16="http://schemas.microsoft.com/office/drawing/2014/main" id="{2AD72E92-4448-4D89-88E9-C93E3368CAF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489450" y="825500"/>
          <a:ext cx="2247900" cy="1295400"/>
        </a:xfrm>
        <a:prstGeom prst="rect">
          <a:avLst/>
        </a:prstGeom>
        <a:solidFill>
          <a:srgbClr xmlns:mc="http://schemas.openxmlformats.org/markup-compatibility/2006" xmlns:a14="http://schemas.microsoft.com/office/drawing/2010/main" val="FFFFC0" mc:Ignorable="a14" a14:legacySpreadsheetColorIndex="26"/>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6</xdr:col>
      <xdr:colOff>76200</xdr:colOff>
      <xdr:row>10</xdr:row>
      <xdr:rowOff>44450</xdr:rowOff>
    </xdr:from>
    <xdr:to>
      <xdr:col>10</xdr:col>
      <xdr:colOff>596900</xdr:colOff>
      <xdr:row>24</xdr:row>
      <xdr:rowOff>114300</xdr:rowOff>
    </xdr:to>
    <xdr:sp macro="" textlink="">
      <xdr:nvSpPr>
        <xdr:cNvPr id="4103" name="Text 7">
          <a:extLst>
            <a:ext uri="{FF2B5EF4-FFF2-40B4-BE49-F238E27FC236}">
              <a16:creationId xmlns:a16="http://schemas.microsoft.com/office/drawing/2014/main" id="{C9F49634-BC5F-4E69-8733-F31B7A95774E}"/>
            </a:ext>
          </a:extLst>
        </xdr:cNvPr>
        <xdr:cNvSpPr txBox="1">
          <a:spLocks noChangeArrowheads="1"/>
        </xdr:cNvSpPr>
      </xdr:nvSpPr>
      <xdr:spPr bwMode="auto">
        <a:xfrm>
          <a:off x="4127500" y="2203450"/>
          <a:ext cx="3213100" cy="2825750"/>
        </a:xfrm>
        <a:prstGeom prst="rect">
          <a:avLst/>
        </a:prstGeom>
        <a:solidFill>
          <a:srgbClr xmlns:mc="http://schemas.openxmlformats.org/markup-compatibility/2006" xmlns:a14="http://schemas.microsoft.com/office/drawing/2010/main" val="FFFFC0" mc:Ignorable="a14" a14:legacySpreadsheetColorIndex="26"/>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0" bIns="0" anchor="t" upright="1"/>
        <a:lstStyle/>
        <a:p>
          <a:pPr algn="l" rtl="0">
            <a:defRPr sz="1000"/>
          </a:pPr>
          <a:r>
            <a:rPr lang="en-GB" sz="1000" b="0" i="0" u="none" strike="noStrike" baseline="0">
              <a:solidFill>
                <a:srgbClr val="000000"/>
              </a:solidFill>
              <a:latin typeface="Book Antiqua"/>
            </a:rPr>
            <a:t>is used to produce the function in E5. Select Solver from the Tools Menu. You will observed that  Solver  is requested to set the function equal to zero by altering the pH value in C5. Try entering different values for the pH, select Solver and finally click the Solve button. Solver will rapidly find an answer.</a:t>
          </a:r>
        </a:p>
        <a:p>
          <a:pPr algn="l" rtl="0">
            <a:defRPr sz="1000"/>
          </a:pPr>
          <a:r>
            <a:rPr lang="en-GB" sz="1000" b="0" i="0" u="none" strike="noStrike" baseline="0">
              <a:solidFill>
                <a:srgbClr val="000000"/>
              </a:solidFill>
              <a:latin typeface="Book Antiqua"/>
            </a:rPr>
            <a:t>Below you will find a visual method for obtaining the required pH value by finding the pH value at which the function crosses the x axis. The top graph shows the function plotted for pH values between 0 and 14. Below that the graph is an expanded view of the cross-over region.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266700</xdr:colOff>
      <xdr:row>0</xdr:row>
      <xdr:rowOff>127000</xdr:rowOff>
    </xdr:from>
    <xdr:to>
      <xdr:col>9</xdr:col>
      <xdr:colOff>158750</xdr:colOff>
      <xdr:row>18</xdr:row>
      <xdr:rowOff>44450</xdr:rowOff>
    </xdr:to>
    <xdr:graphicFrame macro="">
      <xdr:nvGraphicFramePr>
        <xdr:cNvPr id="5121" name="Chart 1">
          <a:extLst>
            <a:ext uri="{FF2B5EF4-FFF2-40B4-BE49-F238E27FC236}">
              <a16:creationId xmlns:a16="http://schemas.microsoft.com/office/drawing/2014/main" id="{58785B1F-9C3F-4971-9597-85686F035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51</xdr:row>
      <xdr:rowOff>88900</xdr:rowOff>
    </xdr:from>
    <xdr:to>
      <xdr:col>9</xdr:col>
      <xdr:colOff>488950</xdr:colOff>
      <xdr:row>67</xdr:row>
      <xdr:rowOff>82550</xdr:rowOff>
    </xdr:to>
    <xdr:graphicFrame macro="">
      <xdr:nvGraphicFramePr>
        <xdr:cNvPr id="5122" name="Chart 2">
          <a:extLst>
            <a:ext uri="{FF2B5EF4-FFF2-40B4-BE49-F238E27FC236}">
              <a16:creationId xmlns:a16="http://schemas.microsoft.com/office/drawing/2014/main" id="{8D7269C9-89F4-4A79-9E8C-AF6A61B16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0.26164</cdr:x>
      <cdr:y>0.16268</cdr:y>
    </cdr:from>
    <cdr:to>
      <cdr:x>0.34052</cdr:x>
      <cdr:y>0.22675</cdr:y>
    </cdr:to>
    <cdr:pic>
      <cdr:nvPicPr>
        <cdr:cNvPr id="6145" name="Picture 1">
          <a:extLst xmlns:a="http://schemas.openxmlformats.org/drawingml/2006/main">
            <a:ext uri="{FF2B5EF4-FFF2-40B4-BE49-F238E27FC236}">
              <a16:creationId xmlns:a16="http://schemas.microsoft.com/office/drawing/2014/main" id="{A978AFE4-98C6-4E63-B3E9-22246AA0DF00}"/>
            </a:ext>
          </a:extLst>
        </cdr:cNvPr>
        <cdr:cNvPicPr>
          <a:picLocks xmlns:a="http://schemas.openxmlformats.org/drawingml/2006/main" noChangeAspect="1" noChangeArrowheads="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1558385" y="564039"/>
          <a:ext cx="469840" cy="222123"/>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pic>
  </cdr:relSizeAnchor>
  <cdr:relSizeAnchor xmlns:cdr="http://schemas.openxmlformats.org/drawingml/2006/chartDrawing">
    <cdr:from>
      <cdr:x>0.25893</cdr:x>
      <cdr:y>0.5711</cdr:y>
    </cdr:from>
    <cdr:to>
      <cdr:x>0.3356</cdr:x>
      <cdr:y>0.62595</cdr:y>
    </cdr:to>
    <cdr:pic>
      <cdr:nvPicPr>
        <cdr:cNvPr id="6146" name="Picture 2">
          <a:extLst xmlns:a="http://schemas.openxmlformats.org/drawingml/2006/main">
            <a:ext uri="{FF2B5EF4-FFF2-40B4-BE49-F238E27FC236}">
              <a16:creationId xmlns:a16="http://schemas.microsoft.com/office/drawing/2014/main" id="{C3F69035-47E8-4FA6-B480-107859919590}"/>
            </a:ext>
          </a:extLst>
        </cdr:cNvPr>
        <cdr:cNvPicPr>
          <a:picLocks xmlns:a="http://schemas.openxmlformats.org/drawingml/2006/main" noChangeAspect="1" noChangeArrowheads="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1542285" y="1980073"/>
          <a:ext cx="456666" cy="190151"/>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pic>
  </cdr:relSizeAnchor>
  <cdr:relSizeAnchor xmlns:cdr="http://schemas.openxmlformats.org/drawingml/2006/chartDrawing">
    <cdr:from>
      <cdr:x>0.50025</cdr:x>
      <cdr:y>0.17069</cdr:y>
    </cdr:from>
    <cdr:to>
      <cdr:x>0.57692</cdr:x>
      <cdr:y>0.23476</cdr:y>
    </cdr:to>
    <cdr:pic>
      <cdr:nvPicPr>
        <cdr:cNvPr id="6147" name="Picture 3">
          <a:extLst xmlns:a="http://schemas.openxmlformats.org/drawingml/2006/main">
            <a:ext uri="{FF2B5EF4-FFF2-40B4-BE49-F238E27FC236}">
              <a16:creationId xmlns:a16="http://schemas.microsoft.com/office/drawing/2014/main" id="{DC57A8E9-D6E1-4CA4-AEF5-31D03DBF24FA}"/>
            </a:ext>
          </a:extLst>
        </cdr:cNvPr>
        <cdr:cNvPicPr>
          <a:picLocks xmlns:a="http://schemas.openxmlformats.org/drawingml/2006/main" noChangeAspect="1" noChangeArrowheads="1"/>
        </cdr:cNvPicPr>
      </cdr:nvPicPr>
      <cdr:blipFill>
        <a:blip xmlns:a="http://schemas.openxmlformats.org/drawingml/2006/main" xmlns:r="http://schemas.openxmlformats.org/officeDocument/2006/relationships" r:embed="rId3">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2979614" y="591804"/>
          <a:ext cx="456666" cy="222123"/>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pic>
  </cdr:relSizeAnchor>
  <cdr:relSizeAnchor xmlns:cdr="http://schemas.openxmlformats.org/drawingml/2006/chartDrawing">
    <cdr:from>
      <cdr:x>0.64326</cdr:x>
      <cdr:y>0.58494</cdr:y>
    </cdr:from>
    <cdr:to>
      <cdr:x>0.70077</cdr:x>
      <cdr:y>0.649</cdr:y>
    </cdr:to>
    <cdr:pic>
      <cdr:nvPicPr>
        <cdr:cNvPr id="6148" name="Picture 4">
          <a:extLst xmlns:a="http://schemas.openxmlformats.org/drawingml/2006/main">
            <a:ext uri="{FF2B5EF4-FFF2-40B4-BE49-F238E27FC236}">
              <a16:creationId xmlns:a16="http://schemas.microsoft.com/office/drawing/2014/main" id="{A66DAA1E-0514-477B-9F95-5441CE65C0EC}"/>
            </a:ext>
          </a:extLst>
        </cdr:cNvPr>
        <cdr:cNvPicPr>
          <a:picLocks xmlns:a="http://schemas.openxmlformats.org/drawingml/2006/main" noChangeAspect="1" noChangeArrowheads="1"/>
        </cdr:cNvPicPr>
      </cdr:nvPicPr>
      <cdr:blipFill>
        <a:blip xmlns:a="http://schemas.openxmlformats.org/drawingml/2006/main" xmlns:r="http://schemas.openxmlformats.org/officeDocument/2006/relationships" r:embed="rId4">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3831473" y="2028031"/>
          <a:ext cx="342499" cy="222123"/>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pic>
  </cdr:relSizeAnchor>
</c:userShapes>
</file>

<file path=xl/drawings/drawing7.xml><?xml version="1.0" encoding="utf-8"?>
<c:userShapes xmlns:c="http://schemas.openxmlformats.org/drawingml/2006/chart">
  <cdr:relSizeAnchor xmlns:cdr="http://schemas.openxmlformats.org/drawingml/2006/chartDrawing">
    <cdr:from>
      <cdr:x>0.14853</cdr:x>
      <cdr:y>0.36815</cdr:y>
    </cdr:from>
    <cdr:to>
      <cdr:x>0.20096</cdr:x>
      <cdr:y>0.43879</cdr:y>
    </cdr:to>
    <cdr:pic>
      <cdr:nvPicPr>
        <cdr:cNvPr id="7170" name="Picture 2">
          <a:extLst xmlns:a="http://schemas.openxmlformats.org/drawingml/2006/main">
            <a:ext uri="{FF2B5EF4-FFF2-40B4-BE49-F238E27FC236}">
              <a16:creationId xmlns:a16="http://schemas.microsoft.com/office/drawing/2014/main" id="{98B6939C-DAAB-4CD0-A3F0-1D8A3B05CBB3}"/>
            </a:ext>
          </a:extLst>
        </cdr:cNvPr>
        <cdr:cNvPicPr>
          <a:picLocks xmlns:a="http://schemas.openxmlformats.org/drawingml/2006/main" noChangeAspect="1" noChangeArrowheads="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973379" y="1159510"/>
          <a:ext cx="343548" cy="222504"/>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pic>
  </cdr:relSizeAnchor>
  <cdr:relSizeAnchor xmlns:cdr="http://schemas.openxmlformats.org/drawingml/2006/chartDrawing">
    <cdr:from>
      <cdr:x>0.34125</cdr:x>
      <cdr:y>0.37105</cdr:y>
    </cdr:from>
    <cdr:to>
      <cdr:x>0.4109</cdr:x>
      <cdr:y>0.44169</cdr:y>
    </cdr:to>
    <cdr:pic>
      <cdr:nvPicPr>
        <cdr:cNvPr id="7171" name="Picture 3">
          <a:extLst xmlns:a="http://schemas.openxmlformats.org/drawingml/2006/main">
            <a:ext uri="{FF2B5EF4-FFF2-40B4-BE49-F238E27FC236}">
              <a16:creationId xmlns:a16="http://schemas.microsoft.com/office/drawing/2014/main" id="{545FDC20-F72C-4563-ADD5-5702FEAF9907}"/>
            </a:ext>
          </a:extLst>
        </cdr:cNvPr>
        <cdr:cNvPicPr>
          <a:picLocks xmlns:a="http://schemas.openxmlformats.org/drawingml/2006/main" noChangeAspect="1" noChangeArrowheads="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2236280" y="1168654"/>
          <a:ext cx="456450" cy="222504"/>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pic>
  </cdr:relSizeAnchor>
  <cdr:relSizeAnchor xmlns:cdr="http://schemas.openxmlformats.org/drawingml/2006/chartDrawing">
    <cdr:from>
      <cdr:x>0.63906</cdr:x>
      <cdr:y>0.36065</cdr:y>
    </cdr:from>
    <cdr:to>
      <cdr:x>0.71068</cdr:x>
      <cdr:y>0.43129</cdr:y>
    </cdr:to>
    <cdr:pic>
      <cdr:nvPicPr>
        <cdr:cNvPr id="7172" name="Picture 4">
          <a:extLst xmlns:a="http://schemas.openxmlformats.org/drawingml/2006/main">
            <a:ext uri="{FF2B5EF4-FFF2-40B4-BE49-F238E27FC236}">
              <a16:creationId xmlns:a16="http://schemas.microsoft.com/office/drawing/2014/main" id="{A082068D-CB3E-4B25-AC77-03EB41D9E4C7}"/>
            </a:ext>
          </a:extLst>
        </cdr:cNvPr>
        <cdr:cNvPicPr>
          <a:picLocks xmlns:a="http://schemas.openxmlformats.org/drawingml/2006/main" noChangeAspect="1" noChangeArrowheads="1"/>
        </cdr:cNvPicPr>
      </cdr:nvPicPr>
      <cdr:blipFill>
        <a:blip xmlns:a="http://schemas.openxmlformats.org/drawingml/2006/main" xmlns:r="http://schemas.openxmlformats.org/officeDocument/2006/relationships" r:embed="rId3">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4187889" y="1135888"/>
          <a:ext cx="469353" cy="222504"/>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pic>
  </cdr:relSizeAnchor>
  <cdr:relSizeAnchor xmlns:cdr="http://schemas.openxmlformats.org/drawingml/2006/chartDrawing">
    <cdr:from>
      <cdr:x>0.85393</cdr:x>
      <cdr:y>0.37105</cdr:y>
    </cdr:from>
    <cdr:to>
      <cdr:x>0.92358</cdr:x>
      <cdr:y>0.43153</cdr:y>
    </cdr:to>
    <cdr:pic>
      <cdr:nvPicPr>
        <cdr:cNvPr id="7173" name="Picture 5">
          <a:extLst xmlns:a="http://schemas.openxmlformats.org/drawingml/2006/main">
            <a:ext uri="{FF2B5EF4-FFF2-40B4-BE49-F238E27FC236}">
              <a16:creationId xmlns:a16="http://schemas.microsoft.com/office/drawing/2014/main" id="{FA15CA57-2335-4865-8133-09B13A6EC2D5}"/>
            </a:ext>
          </a:extLst>
        </cdr:cNvPr>
        <cdr:cNvPicPr>
          <a:picLocks xmlns:a="http://schemas.openxmlformats.org/drawingml/2006/main" noChangeAspect="1" noChangeArrowheads="1"/>
        </cdr:cNvPicPr>
      </cdr:nvPicPr>
      <cdr:blipFill>
        <a:blip xmlns:a="http://schemas.openxmlformats.org/drawingml/2006/main" xmlns:r="http://schemas.openxmlformats.org/officeDocument/2006/relationships" r:embed="rId4">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5595950" y="1168654"/>
          <a:ext cx="456451" cy="190500"/>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pic>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5"/>
  <sheetViews>
    <sheetView tabSelected="1" workbookViewId="0"/>
  </sheetViews>
  <sheetFormatPr defaultColWidth="8.83203125" defaultRowHeight="15.5" x14ac:dyDescent="0.35"/>
  <sheetData>
    <row r="1" spans="1:17" x14ac:dyDescent="0.35">
      <c r="B1" s="14"/>
    </row>
    <row r="3" spans="1:17" ht="17.5" x14ac:dyDescent="0.45">
      <c r="D3" t="s">
        <v>0</v>
      </c>
      <c r="E3" t="s">
        <v>1</v>
      </c>
      <c r="F3" t="s">
        <v>2</v>
      </c>
    </row>
    <row r="4" spans="1:17" ht="17.5" x14ac:dyDescent="0.45">
      <c r="A4" t="s">
        <v>3</v>
      </c>
      <c r="B4" s="2">
        <f>10^-2.1</f>
        <v>7.9432823472428121E-3</v>
      </c>
      <c r="D4">
        <v>0</v>
      </c>
      <c r="E4">
        <v>1</v>
      </c>
      <c r="F4">
        <f>10^(0.5*(E4^2-D4^2)*SQRT($J$7)/(1+SQRT($J$7)))</f>
        <v>1.1702092582151526</v>
      </c>
    </row>
    <row r="5" spans="1:17" ht="17.5" x14ac:dyDescent="0.45">
      <c r="A5" t="s">
        <v>4</v>
      </c>
      <c r="B5" s="2">
        <f>10^-7.2</f>
        <v>6.3095734448019177E-8</v>
      </c>
      <c r="D5">
        <v>1</v>
      </c>
      <c r="E5">
        <v>2</v>
      </c>
      <c r="F5">
        <f t="shared" ref="F5:F7" si="0">10^(0.5*(E5^2-D5^2)*SQRT($J$7)/(1+SQRT($J$7)))</f>
        <v>1.602472514420723</v>
      </c>
      <c r="I5" t="s">
        <v>5</v>
      </c>
      <c r="J5" s="2">
        <v>1E-3</v>
      </c>
    </row>
    <row r="6" spans="1:17" x14ac:dyDescent="0.35">
      <c r="A6" t="s">
        <v>6</v>
      </c>
      <c r="B6" s="2">
        <f>10^-12.3</f>
        <v>5.0118723362727066E-13</v>
      </c>
      <c r="D6">
        <v>2</v>
      </c>
      <c r="E6">
        <v>3</v>
      </c>
      <c r="F6">
        <f>10^(0.5*(E6^2-D6^2)*SQRT($J$7)/(1+SQRT($J$7)))</f>
        <v>2.1944093686205837</v>
      </c>
    </row>
    <row r="7" spans="1:17" ht="17.5" x14ac:dyDescent="0.45">
      <c r="A7" t="s">
        <v>7</v>
      </c>
      <c r="B7" s="2">
        <v>1E-14</v>
      </c>
      <c r="D7">
        <v>0</v>
      </c>
      <c r="E7">
        <v>1</v>
      </c>
      <c r="F7">
        <f t="shared" si="0"/>
        <v>1.1702092582151526</v>
      </c>
      <c r="I7" t="s">
        <v>8</v>
      </c>
      <c r="J7">
        <v>2.5000000000000001E-2</v>
      </c>
    </row>
    <row r="9" spans="1:17" ht="17.5" x14ac:dyDescent="0.45">
      <c r="A9" t="s">
        <v>3</v>
      </c>
      <c r="B9" s="2">
        <f>B4*F4</f>
        <v>9.2953025433605285E-3</v>
      </c>
    </row>
    <row r="10" spans="1:17" ht="17.5" x14ac:dyDescent="0.45">
      <c r="A10" t="s">
        <v>4</v>
      </c>
      <c r="B10" s="2">
        <f t="shared" ref="B10:B12" si="1">B5*F5</f>
        <v>1.0110918023013953E-7</v>
      </c>
    </row>
    <row r="11" spans="1:17" x14ac:dyDescent="0.35">
      <c r="A11" t="s">
        <v>6</v>
      </c>
      <c r="B11" s="2">
        <f t="shared" si="1"/>
        <v>1.0998099609047159E-12</v>
      </c>
    </row>
    <row r="12" spans="1:17" ht="17.5" x14ac:dyDescent="0.45">
      <c r="A12" t="s">
        <v>7</v>
      </c>
      <c r="B12" s="2">
        <f t="shared" si="1"/>
        <v>1.1702092582151527E-14</v>
      </c>
    </row>
    <row r="14" spans="1:17" x14ac:dyDescent="0.35">
      <c r="J14" t="s">
        <v>9</v>
      </c>
      <c r="P14" t="s">
        <v>10</v>
      </c>
    </row>
    <row r="15" spans="1:17" ht="19.5" x14ac:dyDescent="0.45">
      <c r="A15" s="1" t="s">
        <v>11</v>
      </c>
      <c r="B15" s="1" t="s">
        <v>12</v>
      </c>
      <c r="C15" s="1" t="s">
        <v>13</v>
      </c>
      <c r="D15" s="1" t="s">
        <v>14</v>
      </c>
      <c r="E15" s="1" t="s">
        <v>15</v>
      </c>
      <c r="F15" s="1" t="s">
        <v>16</v>
      </c>
      <c r="G15" s="1" t="s">
        <v>17</v>
      </c>
      <c r="H15" s="1" t="s">
        <v>12</v>
      </c>
      <c r="I15" s="1" t="s">
        <v>13</v>
      </c>
      <c r="J15" s="1" t="s">
        <v>14</v>
      </c>
      <c r="K15" s="1" t="s">
        <v>15</v>
      </c>
      <c r="L15" s="1" t="s">
        <v>16</v>
      </c>
      <c r="M15" s="1" t="s">
        <v>17</v>
      </c>
      <c r="N15" s="1" t="s">
        <v>14</v>
      </c>
      <c r="O15" s="1" t="s">
        <v>15</v>
      </c>
      <c r="P15" s="1" t="s">
        <v>16</v>
      </c>
      <c r="Q15" s="1" t="s">
        <v>17</v>
      </c>
    </row>
    <row r="16" spans="1:17" x14ac:dyDescent="0.35">
      <c r="A16" s="1"/>
      <c r="B16" s="12">
        <f>10^-A14</f>
        <v>1</v>
      </c>
      <c r="C16">
        <f>$B$12/B16</f>
        <v>1.1702092582151527E-14</v>
      </c>
      <c r="D16">
        <f>P($J$5,$B$9,$B$10,$B$11,B16)</f>
        <v>1.0241262910616455E-24</v>
      </c>
      <c r="E16">
        <f>D16*B16/$B$11</f>
        <v>9.3118477506712886E-13</v>
      </c>
      <c r="F16">
        <f>D16*B16^2/($B$11*$B$10)</f>
        <v>9.2096956275148677E-6</v>
      </c>
      <c r="G16">
        <f>D16*B16^3/($B$11*$B$10*$B$9)</f>
        <v>9.9079030344130016E-4</v>
      </c>
      <c r="H16">
        <f t="shared" ref="H16:M16" si="2">LOG(B16)</f>
        <v>0</v>
      </c>
      <c r="I16">
        <f t="shared" si="2"/>
        <v>-13.931736470252092</v>
      </c>
      <c r="J16">
        <f t="shared" si="2"/>
        <v>-23.989646484640204</v>
      </c>
      <c r="K16">
        <f t="shared" si="2"/>
        <v>-12.03096413337974</v>
      </c>
      <c r="L16">
        <f t="shared" si="2"/>
        <v>-5.0357547226234605</v>
      </c>
      <c r="M16">
        <f t="shared" si="2"/>
        <v>-3.0040182523713677</v>
      </c>
      <c r="N16">
        <f t="shared" ref="N16:Q16" si="3">D16/$J$5</f>
        <v>1.0241262910616455E-21</v>
      </c>
      <c r="O16">
        <f t="shared" si="3"/>
        <v>9.3118477506712887E-10</v>
      </c>
      <c r="P16">
        <f t="shared" si="3"/>
        <v>9.2096956275148668E-3</v>
      </c>
      <c r="Q16">
        <f t="shared" si="3"/>
        <v>0.99079030344130015</v>
      </c>
    </row>
    <row r="17" spans="1:17" x14ac:dyDescent="0.35">
      <c r="A17">
        <v>0</v>
      </c>
      <c r="B17">
        <f t="dataTable" ref="B17:Q45" dt2D="0" dtr="0" r1="A14"/>
        <v>1</v>
      </c>
      <c r="C17">
        <v>1.1702092582151527E-14</v>
      </c>
      <c r="D17">
        <v>1.0241262910616455E-24</v>
      </c>
      <c r="E17">
        <v>9.3118477506712886E-13</v>
      </c>
      <c r="F17">
        <v>9.2096956275148677E-6</v>
      </c>
      <c r="G17">
        <v>9.9079030344130016E-4</v>
      </c>
      <c r="H17">
        <v>0</v>
      </c>
      <c r="I17">
        <v>-13.931736470252092</v>
      </c>
      <c r="J17">
        <v>-23.989646484640204</v>
      </c>
      <c r="K17">
        <v>-12.03096413337974</v>
      </c>
      <c r="L17">
        <v>-5.0357547226234605</v>
      </c>
      <c r="M17">
        <v>-3.0040182523713677</v>
      </c>
      <c r="N17">
        <v>1.0241262910616455E-21</v>
      </c>
      <c r="O17">
        <v>9.3118477506712887E-10</v>
      </c>
      <c r="P17">
        <v>9.2096956275148668E-3</v>
      </c>
      <c r="Q17">
        <v>0.99079030344130015</v>
      </c>
    </row>
    <row r="18" spans="1:17" x14ac:dyDescent="0.35">
      <c r="A18">
        <v>0.5</v>
      </c>
      <c r="B18">
        <v>0.31622776601683794</v>
      </c>
      <c r="C18">
        <v>3.7005265949759877E-14</v>
      </c>
      <c r="D18">
        <v>3.1753382360175716E-23</v>
      </c>
      <c r="E18">
        <v>9.1300329367600467E-12</v>
      </c>
      <c r="F18">
        <v>2.8554973076432346E-5</v>
      </c>
      <c r="G18">
        <v>9.7144501779353458E-4</v>
      </c>
      <c r="H18">
        <v>-0.5</v>
      </c>
      <c r="I18">
        <v>-13.431736470252092</v>
      </c>
      <c r="J18">
        <v>-22.498210006998089</v>
      </c>
      <c r="K18">
        <v>-11.039527655737624</v>
      </c>
      <c r="L18">
        <v>-4.5443182449813451</v>
      </c>
      <c r="M18">
        <v>-3.0125817747292518</v>
      </c>
      <c r="N18">
        <v>3.1753382360175712E-20</v>
      </c>
      <c r="O18">
        <v>9.1300329367600456E-9</v>
      </c>
      <c r="P18">
        <v>2.8554973076432347E-2</v>
      </c>
      <c r="Q18">
        <v>0.97144501779353454</v>
      </c>
    </row>
    <row r="19" spans="1:17" x14ac:dyDescent="0.35">
      <c r="A19">
        <v>1</v>
      </c>
      <c r="B19">
        <v>0.1</v>
      </c>
      <c r="C19">
        <v>1.1702092582151527E-13</v>
      </c>
      <c r="D19">
        <v>9.4573668108742005E-22</v>
      </c>
      <c r="E19">
        <v>8.599091794999262E-11</v>
      </c>
      <c r="F19">
        <v>8.5047586929559222E-5</v>
      </c>
      <c r="G19">
        <v>9.1495232707952288E-4</v>
      </c>
      <c r="H19">
        <v>-1</v>
      </c>
      <c r="I19">
        <v>-12.931736470252092</v>
      </c>
      <c r="J19">
        <v>-21.024229766208592</v>
      </c>
      <c r="K19">
        <v>-10.065547414948128</v>
      </c>
      <c r="L19">
        <v>-4.0703380041918473</v>
      </c>
      <c r="M19">
        <v>-3.0386015339397545</v>
      </c>
      <c r="N19">
        <v>9.4573668108742E-19</v>
      </c>
      <c r="O19">
        <v>8.5990917949992617E-8</v>
      </c>
      <c r="P19">
        <v>8.5047586929559216E-2</v>
      </c>
      <c r="Q19">
        <v>0.9149523270795229</v>
      </c>
    </row>
    <row r="20" spans="1:17" x14ac:dyDescent="0.35">
      <c r="A20">
        <v>1.5</v>
      </c>
      <c r="B20">
        <v>3.1622776601683784E-2</v>
      </c>
      <c r="C20">
        <v>3.7005265949759887E-13</v>
      </c>
      <c r="D20">
        <v>2.5261330115283749E-20</v>
      </c>
      <c r="E20">
        <v>7.2633766495429417E-10</v>
      </c>
      <c r="F20">
        <v>2.2716842984937523E-4</v>
      </c>
      <c r="G20">
        <v>7.7283084381295946E-4</v>
      </c>
      <c r="H20">
        <v>-1.5000000000000002</v>
      </c>
      <c r="I20">
        <v>-12.431736470252092</v>
      </c>
      <c r="J20">
        <v>-19.597543785747451</v>
      </c>
      <c r="K20">
        <v>-9.1388614344869836</v>
      </c>
      <c r="L20">
        <v>-3.6436520237307048</v>
      </c>
      <c r="M20">
        <v>-3.111915553478612</v>
      </c>
      <c r="N20">
        <v>2.5261330115283748E-17</v>
      </c>
      <c r="O20">
        <v>7.2633766495429419E-7</v>
      </c>
      <c r="P20">
        <v>0.22716842984937521</v>
      </c>
      <c r="Q20">
        <v>0.77283084381295941</v>
      </c>
    </row>
    <row r="21" spans="1:17" x14ac:dyDescent="0.35">
      <c r="A21">
        <v>2</v>
      </c>
      <c r="B21">
        <v>0.01</v>
      </c>
      <c r="C21">
        <v>1.1702092582151526E-12</v>
      </c>
      <c r="D21">
        <v>5.3569557602729014E-19</v>
      </c>
      <c r="E21">
        <v>4.8708012754005343E-9</v>
      </c>
      <c r="F21">
        <v>4.8173679821296802E-4</v>
      </c>
      <c r="G21">
        <v>5.1825833098575601E-4</v>
      </c>
      <c r="H21">
        <v>-2</v>
      </c>
      <c r="I21">
        <v>-11.931736470252092</v>
      </c>
      <c r="J21">
        <v>-18.271081940177204</v>
      </c>
      <c r="K21">
        <v>-8.3123995889167386</v>
      </c>
      <c r="L21">
        <v>-3.3171901781604598</v>
      </c>
      <c r="M21">
        <v>-3.2854537079083665</v>
      </c>
      <c r="N21">
        <v>5.3569557602729009E-16</v>
      </c>
      <c r="O21">
        <v>4.8708012754005344E-6</v>
      </c>
      <c r="P21">
        <v>0.481736798212968</v>
      </c>
      <c r="Q21">
        <v>0.51825833098575602</v>
      </c>
    </row>
    <row r="22" spans="1:17" x14ac:dyDescent="0.35">
      <c r="A22">
        <v>2.5</v>
      </c>
      <c r="B22">
        <v>3.1622776601683764E-3</v>
      </c>
      <c r="C22">
        <v>3.7005265949759912E-12</v>
      </c>
      <c r="D22">
        <v>8.2971265646558784E-18</v>
      </c>
      <c r="E22">
        <v>2.3856683346836895E-8</v>
      </c>
      <c r="F22">
        <v>7.4613854668485356E-4</v>
      </c>
      <c r="G22">
        <v>2.5383759663179104E-4</v>
      </c>
      <c r="H22">
        <v>-2.5000000000000004</v>
      </c>
      <c r="I22">
        <v>-11.431736470252092</v>
      </c>
      <c r="J22">
        <v>-17.081072285115074</v>
      </c>
      <c r="K22">
        <v>-7.6223899338546088</v>
      </c>
      <c r="L22">
        <v>-3.1271805230983296</v>
      </c>
      <c r="M22">
        <v>-3.5954440528462368</v>
      </c>
      <c r="N22">
        <v>8.297126564655879E-15</v>
      </c>
      <c r="O22">
        <v>2.3856683346836893E-5</v>
      </c>
      <c r="P22">
        <v>0.74613854668485358</v>
      </c>
      <c r="Q22">
        <v>0.25383759663179101</v>
      </c>
    </row>
    <row r="23" spans="1:17" x14ac:dyDescent="0.35">
      <c r="A23">
        <v>3</v>
      </c>
      <c r="B23">
        <v>1E-3</v>
      </c>
      <c r="C23">
        <v>1.1702092582151527E-11</v>
      </c>
      <c r="D23">
        <v>1.003905907819684E-16</v>
      </c>
      <c r="E23">
        <v>9.1279943217995575E-8</v>
      </c>
      <c r="F23">
        <v>9.0278590935292762E-4</v>
      </c>
      <c r="G23">
        <v>9.7122810703754002E-5</v>
      </c>
      <c r="H23">
        <v>-3</v>
      </c>
      <c r="I23">
        <v>-10.931736470252092</v>
      </c>
      <c r="J23">
        <v>-15.998306990009366</v>
      </c>
      <c r="K23">
        <v>-7.0396246387488999</v>
      </c>
      <c r="L23">
        <v>-3.0444152279926207</v>
      </c>
      <c r="M23">
        <v>-4.0126787577405274</v>
      </c>
      <c r="N23">
        <v>1.003905907819684E-13</v>
      </c>
      <c r="O23">
        <v>9.1279943217995575E-5</v>
      </c>
      <c r="P23">
        <v>0.90278590935292757</v>
      </c>
      <c r="Q23">
        <v>9.7122810703754003E-2</v>
      </c>
    </row>
    <row r="24" spans="1:17" x14ac:dyDescent="0.35">
      <c r="A24">
        <v>3.5</v>
      </c>
      <c r="B24">
        <v>3.1622776601683783E-4</v>
      </c>
      <c r="C24">
        <v>3.7005265949759891E-11</v>
      </c>
      <c r="D24">
        <v>1.0750903360056253E-15</v>
      </c>
      <c r="E24">
        <v>3.0912014557649994E-7</v>
      </c>
      <c r="F24">
        <v>9.6680017426664243E-4</v>
      </c>
      <c r="G24">
        <v>3.2890705586705916E-5</v>
      </c>
      <c r="H24">
        <v>-3.5</v>
      </c>
      <c r="I24">
        <v>-10.431736470252092</v>
      </c>
      <c r="J24">
        <v>-14.968555041999135</v>
      </c>
      <c r="K24">
        <v>-6.5098726907386695</v>
      </c>
      <c r="L24">
        <v>-3.0146632799823907</v>
      </c>
      <c r="M24">
        <v>-4.4829268097302979</v>
      </c>
      <c r="N24">
        <v>1.0750903360056253E-12</v>
      </c>
      <c r="O24">
        <v>3.0912014557649993E-4</v>
      </c>
      <c r="P24">
        <v>0.96680017426664244</v>
      </c>
      <c r="Q24">
        <v>3.2890705586705912E-2</v>
      </c>
    </row>
    <row r="25" spans="1:17" x14ac:dyDescent="0.35">
      <c r="A25">
        <v>4</v>
      </c>
      <c r="B25">
        <v>1E-4</v>
      </c>
      <c r="C25">
        <v>1.1702092582151526E-10</v>
      </c>
      <c r="D25">
        <v>1.0990736031843509E-14</v>
      </c>
      <c r="E25">
        <v>9.9933046822038304E-7</v>
      </c>
      <c r="F25">
        <v>9.8836768921057249E-4</v>
      </c>
      <c r="G25">
        <v>1.0632980310216433E-5</v>
      </c>
      <c r="H25">
        <v>-4</v>
      </c>
      <c r="I25">
        <v>-9.9317364702520923</v>
      </c>
      <c r="J25">
        <v>-13.958973222602484</v>
      </c>
      <c r="K25">
        <v>-6.0002908713420195</v>
      </c>
      <c r="L25">
        <v>-3.0050814605857399</v>
      </c>
      <c r="M25">
        <v>-4.9733449903336471</v>
      </c>
      <c r="N25">
        <v>1.0990736031843509E-11</v>
      </c>
      <c r="O25">
        <v>9.9933046822038292E-4</v>
      </c>
      <c r="P25">
        <v>0.9883676892105725</v>
      </c>
      <c r="Q25">
        <v>1.0632980310216433E-2</v>
      </c>
    </row>
    <row r="26" spans="1:17" x14ac:dyDescent="0.35">
      <c r="A26">
        <v>4.5</v>
      </c>
      <c r="B26">
        <v>3.1622776601683748E-5</v>
      </c>
      <c r="C26">
        <v>3.7005265949759933E-10</v>
      </c>
      <c r="D26">
        <v>1.1047183900942747E-13</v>
      </c>
      <c r="E26">
        <v>3.1763908401943966E-6</v>
      </c>
      <c r="F26">
        <v>9.9344389609797284E-4</v>
      </c>
      <c r="G26">
        <v>3.3797129513607946E-6</v>
      </c>
      <c r="H26">
        <v>-4.5000000000000009</v>
      </c>
      <c r="I26">
        <v>-9.4317364702520923</v>
      </c>
      <c r="J26">
        <v>-12.956748416291155</v>
      </c>
      <c r="K26">
        <v>-5.4980660650306907</v>
      </c>
      <c r="L26">
        <v>-3.002856654274412</v>
      </c>
      <c r="M26">
        <v>-5.47112018402232</v>
      </c>
      <c r="N26">
        <v>1.1047183900942747E-10</v>
      </c>
      <c r="O26">
        <v>3.1763908401943966E-3</v>
      </c>
      <c r="P26">
        <v>0.99344389609797279</v>
      </c>
      <c r="Q26">
        <v>3.3797129513607944E-3</v>
      </c>
    </row>
    <row r="27" spans="1:17" x14ac:dyDescent="0.35">
      <c r="A27">
        <v>5</v>
      </c>
      <c r="B27">
        <v>1.0000000000000001E-5</v>
      </c>
      <c r="C27">
        <v>1.1702092582151525E-9</v>
      </c>
      <c r="D27">
        <v>1.0997067120112506E-12</v>
      </c>
      <c r="E27">
        <v>9.9990612115080306E-6</v>
      </c>
      <c r="F27">
        <v>9.8893702715704751E-4</v>
      </c>
      <c r="G27">
        <v>1.0639105317378056E-6</v>
      </c>
      <c r="H27">
        <v>-5</v>
      </c>
      <c r="I27">
        <v>-8.9317364702520923</v>
      </c>
      <c r="J27">
        <v>-11.95872312424053</v>
      </c>
      <c r="K27">
        <v>-5.0000407729800642</v>
      </c>
      <c r="L27">
        <v>-3.0048313622237841</v>
      </c>
      <c r="M27">
        <v>-5.9730948919716909</v>
      </c>
      <c r="N27">
        <v>1.0997067120112507E-9</v>
      </c>
      <c r="O27">
        <v>9.9990612115080299E-3</v>
      </c>
      <c r="P27">
        <v>0.98893702715704745</v>
      </c>
      <c r="Q27">
        <v>1.0639105317378056E-3</v>
      </c>
    </row>
    <row r="28" spans="1:17" x14ac:dyDescent="0.35">
      <c r="A28">
        <v>5.5</v>
      </c>
      <c r="B28">
        <v>3.1622776601683767E-6</v>
      </c>
      <c r="C28">
        <v>3.7005265949759912E-9</v>
      </c>
      <c r="D28">
        <v>1.0772004568375416E-11</v>
      </c>
      <c r="E28">
        <v>3.0972686748339498E-5</v>
      </c>
      <c r="F28">
        <v>9.6869774986535809E-4</v>
      </c>
      <c r="G28">
        <v>3.2955261429792313E-7</v>
      </c>
      <c r="H28">
        <v>-5.5</v>
      </c>
      <c r="I28">
        <v>-8.4317364702520923</v>
      </c>
      <c r="J28">
        <v>-10.967703471077478</v>
      </c>
      <c r="K28">
        <v>-4.509021119817012</v>
      </c>
      <c r="L28">
        <v>-3.0138117090607328</v>
      </c>
      <c r="M28">
        <v>-6.4820752388086404</v>
      </c>
      <c r="N28">
        <v>1.0772004568375416E-8</v>
      </c>
      <c r="O28">
        <v>3.0972686748339497E-2</v>
      </c>
      <c r="P28">
        <v>0.96869774986535806</v>
      </c>
      <c r="Q28">
        <v>3.2955261429792312E-4</v>
      </c>
    </row>
    <row r="29" spans="1:17" x14ac:dyDescent="0.35">
      <c r="A29">
        <v>6</v>
      </c>
      <c r="B29">
        <v>9.9999999999999995E-7</v>
      </c>
      <c r="C29">
        <v>1.1702092582151528E-8</v>
      </c>
      <c r="D29">
        <v>1.0098000341039606E-10</v>
      </c>
      <c r="E29">
        <v>9.181586546763842E-5</v>
      </c>
      <c r="F29">
        <v>9.0808634051479649E-4</v>
      </c>
      <c r="G29">
        <v>9.7693037561582806E-8</v>
      </c>
      <c r="H29">
        <v>-6</v>
      </c>
      <c r="I29">
        <v>-7.9317364702520932</v>
      </c>
      <c r="J29">
        <v>-9.9957646189731122</v>
      </c>
      <c r="K29">
        <v>-4.0370822677126457</v>
      </c>
      <c r="L29">
        <v>-3.0418728569563664</v>
      </c>
      <c r="M29">
        <v>-7.0101363867042741</v>
      </c>
      <c r="N29">
        <v>1.0098000341039606E-7</v>
      </c>
      <c r="O29">
        <v>9.1815865467638424E-2</v>
      </c>
      <c r="P29">
        <v>0.90808634051479642</v>
      </c>
      <c r="Q29">
        <v>9.7693037561582806E-5</v>
      </c>
    </row>
    <row r="30" spans="1:17" x14ac:dyDescent="0.35">
      <c r="A30">
        <v>6.5</v>
      </c>
      <c r="B30">
        <v>3.1622776601683734E-7</v>
      </c>
      <c r="C30">
        <v>3.7005265949759946E-8</v>
      </c>
      <c r="D30">
        <v>8.4257747170555274E-10</v>
      </c>
      <c r="E30">
        <v>2.4226584686901743E-4</v>
      </c>
      <c r="F30">
        <v>7.5770753321496756E-4</v>
      </c>
      <c r="G30">
        <v>2.5777338543310313E-8</v>
      </c>
      <c r="H30">
        <v>-6.5000000000000009</v>
      </c>
      <c r="I30">
        <v>-7.4317364702520923</v>
      </c>
      <c r="J30">
        <v>-9.0743901569404333</v>
      </c>
      <c r="K30">
        <v>-3.615707805679969</v>
      </c>
      <c r="L30">
        <v>-3.1204983949236902</v>
      </c>
      <c r="M30">
        <v>-7.5887619246715978</v>
      </c>
      <c r="N30">
        <v>8.4257747170555272E-7</v>
      </c>
      <c r="O30">
        <v>0.24226584686901742</v>
      </c>
      <c r="P30">
        <v>0.75770753321496753</v>
      </c>
      <c r="Q30">
        <v>2.5777338543310312E-5</v>
      </c>
    </row>
    <row r="31" spans="1:17" x14ac:dyDescent="0.35">
      <c r="A31">
        <v>7</v>
      </c>
      <c r="B31">
        <v>9.9999999999999995E-8</v>
      </c>
      <c r="C31">
        <v>1.1702092582151528E-7</v>
      </c>
      <c r="D31">
        <v>5.5293186374086072E-9</v>
      </c>
      <c r="E31">
        <v>5.027521875561236E-4</v>
      </c>
      <c r="F31">
        <v>4.9723693378957753E-4</v>
      </c>
      <c r="G31">
        <v>5.3493356614276647E-9</v>
      </c>
      <c r="H31">
        <v>-7</v>
      </c>
      <c r="I31">
        <v>-6.9317364702520932</v>
      </c>
      <c r="J31">
        <v>-8.2573283823020063</v>
      </c>
      <c r="K31">
        <v>-3.2986460310415406</v>
      </c>
      <c r="L31">
        <v>-3.3034366202852614</v>
      </c>
      <c r="M31">
        <v>-8.2717001500331691</v>
      </c>
      <c r="N31">
        <v>5.5293186374086073E-6</v>
      </c>
      <c r="O31">
        <v>0.50275218755612361</v>
      </c>
      <c r="P31">
        <v>0.49723693378957751</v>
      </c>
      <c r="Q31">
        <v>5.3493356614276647E-6</v>
      </c>
    </row>
    <row r="32" spans="1:17" x14ac:dyDescent="0.35">
      <c r="A32">
        <v>7.5</v>
      </c>
      <c r="B32">
        <v>3.1622776601683699E-8</v>
      </c>
      <c r="C32">
        <v>3.700526594975999E-7</v>
      </c>
      <c r="D32">
        <v>2.6492374350000436E-8</v>
      </c>
      <c r="E32">
        <v>7.6173381356637877E-4</v>
      </c>
      <c r="F32">
        <v>2.3823888356655636E-4</v>
      </c>
      <c r="G32">
        <v>8.1049271475741146E-10</v>
      </c>
      <c r="H32">
        <v>-7.5000000000000009</v>
      </c>
      <c r="I32">
        <v>-6.4317364702520914</v>
      </c>
      <c r="J32">
        <v>-7.5768791167917344</v>
      </c>
      <c r="K32">
        <v>-3.1181967655312701</v>
      </c>
      <c r="L32">
        <v>-3.6229873547749918</v>
      </c>
      <c r="M32">
        <v>-9.0912508845228999</v>
      </c>
      <c r="N32">
        <v>2.6492374350000434E-5</v>
      </c>
      <c r="O32">
        <v>0.7617338135663787</v>
      </c>
      <c r="P32">
        <v>0.23823888356655637</v>
      </c>
      <c r="Q32">
        <v>8.1049271475741141E-7</v>
      </c>
    </row>
    <row r="33" spans="1:17" x14ac:dyDescent="0.35">
      <c r="A33">
        <v>8</v>
      </c>
      <c r="B33">
        <v>1E-8</v>
      </c>
      <c r="C33">
        <v>1.1702092582151527E-6</v>
      </c>
      <c r="D33">
        <v>1.0007250922771878E-7</v>
      </c>
      <c r="E33">
        <v>9.0990728203077932E-4</v>
      </c>
      <c r="F33">
        <v>8.9992548644909914E-5</v>
      </c>
      <c r="G33">
        <v>9.6815082914315688E-11</v>
      </c>
      <c r="H33">
        <v>-8</v>
      </c>
      <c r="I33">
        <v>-5.9317364702520932</v>
      </c>
      <c r="J33">
        <v>-6.9996852105370637</v>
      </c>
      <c r="K33">
        <v>-3.0410028592765985</v>
      </c>
      <c r="L33">
        <v>-4.0457934485203193</v>
      </c>
      <c r="M33">
        <v>-10.014056978268226</v>
      </c>
      <c r="N33">
        <v>1.0007250922771878E-4</v>
      </c>
      <c r="O33">
        <v>0.90990728203077931</v>
      </c>
      <c r="P33">
        <v>8.9992548644909909E-2</v>
      </c>
      <c r="Q33">
        <v>9.6815082914315689E-8</v>
      </c>
    </row>
    <row r="34" spans="1:17" x14ac:dyDescent="0.35">
      <c r="A34">
        <v>8.5</v>
      </c>
      <c r="B34">
        <v>3.1622776601683779E-9</v>
      </c>
      <c r="C34">
        <v>3.7005265949759896E-6</v>
      </c>
      <c r="D34">
        <v>3.3712918426456344E-7</v>
      </c>
      <c r="E34">
        <v>9.6934572870538036E-4</v>
      </c>
      <c r="F34">
        <v>3.0317131796415427E-5</v>
      </c>
      <c r="G34">
        <v>1.0313939557423444E-11</v>
      </c>
      <c r="H34">
        <v>-8.5</v>
      </c>
      <c r="I34">
        <v>-5.4317364702520923</v>
      </c>
      <c r="J34">
        <v>-6.47220365027807</v>
      </c>
      <c r="K34">
        <v>-3.0135212990176048</v>
      </c>
      <c r="L34">
        <v>-4.5183118882613256</v>
      </c>
      <c r="M34">
        <v>-10.986575418009233</v>
      </c>
      <c r="N34">
        <v>3.3712918426456344E-4</v>
      </c>
      <c r="O34">
        <v>0.96934572870538038</v>
      </c>
      <c r="P34">
        <v>3.0317131796415427E-2</v>
      </c>
      <c r="Q34">
        <v>1.0313939557423443E-8</v>
      </c>
    </row>
    <row r="35" spans="1:17" x14ac:dyDescent="0.35">
      <c r="A35">
        <v>9</v>
      </c>
      <c r="B35">
        <v>1.0000000000000001E-9</v>
      </c>
      <c r="C35">
        <v>1.1702092582151525E-5</v>
      </c>
      <c r="D35">
        <v>1.0878543224692221E-6</v>
      </c>
      <c r="E35">
        <v>9.8912935974351519E-4</v>
      </c>
      <c r="F35">
        <v>9.7827848815716798E-6</v>
      </c>
      <c r="G35">
        <v>1.0524439453086284E-12</v>
      </c>
      <c r="H35">
        <v>-9</v>
      </c>
      <c r="I35">
        <v>-4.9317364702520932</v>
      </c>
      <c r="J35">
        <v>-5.9634292582993185</v>
      </c>
      <c r="K35">
        <v>-3.0047469070388528</v>
      </c>
      <c r="L35">
        <v>-5.0095374962825732</v>
      </c>
      <c r="M35">
        <v>-11.97780102603048</v>
      </c>
      <c r="N35">
        <v>1.087854322469222E-3</v>
      </c>
      <c r="O35">
        <v>0.98912935974351512</v>
      </c>
      <c r="P35">
        <v>9.7827848815716795E-3</v>
      </c>
      <c r="Q35">
        <v>1.0524439453086284E-9</v>
      </c>
    </row>
    <row r="36" spans="1:17" x14ac:dyDescent="0.35">
      <c r="A36">
        <v>9.5</v>
      </c>
      <c r="B36">
        <v>3.1622776601683744E-10</v>
      </c>
      <c r="C36">
        <v>3.7005265949759938E-5</v>
      </c>
      <c r="D36">
        <v>3.4550819547670711E-6</v>
      </c>
      <c r="E36">
        <v>9.9343785453834201E-4</v>
      </c>
      <c r="F36">
        <v>3.1070634011883162E-6</v>
      </c>
      <c r="G36">
        <v>1.0570282286640241E-13</v>
      </c>
      <c r="H36">
        <v>-9.5</v>
      </c>
      <c r="I36">
        <v>-4.4317364702520923</v>
      </c>
      <c r="J36">
        <v>-5.4615416466744504</v>
      </c>
      <c r="K36">
        <v>-3.0028592954139857</v>
      </c>
      <c r="L36">
        <v>-5.5076498846577069</v>
      </c>
      <c r="M36">
        <v>-12.975913414405614</v>
      </c>
      <c r="N36">
        <v>3.455081954767071E-3</v>
      </c>
      <c r="O36">
        <v>0.99343785453834199</v>
      </c>
      <c r="P36">
        <v>3.1070634011883163E-3</v>
      </c>
      <c r="Q36">
        <v>1.0570282286640241E-10</v>
      </c>
    </row>
    <row r="37" spans="1:17" x14ac:dyDescent="0.35">
      <c r="A37">
        <v>10</v>
      </c>
      <c r="B37">
        <v>1E-10</v>
      </c>
      <c r="C37">
        <v>1.1702092582151526E-4</v>
      </c>
      <c r="D37">
        <v>1.0867825576523272E-5</v>
      </c>
      <c r="E37">
        <v>9.8815485973442903E-4</v>
      </c>
      <c r="F37">
        <v>9.773146785338794E-7</v>
      </c>
      <c r="G37">
        <v>1.0514070671448538E-14</v>
      </c>
      <c r="H37">
        <v>-10</v>
      </c>
      <c r="I37">
        <v>-3.9317364702520927</v>
      </c>
      <c r="J37">
        <v>-4.963857340419894</v>
      </c>
      <c r="K37">
        <v>-3.0051749891594284</v>
      </c>
      <c r="L37">
        <v>-6.0099655784031487</v>
      </c>
      <c r="M37">
        <v>-13.978229108151055</v>
      </c>
      <c r="N37">
        <v>1.0867825576523271E-2</v>
      </c>
      <c r="O37">
        <v>0.98815485973442896</v>
      </c>
      <c r="P37">
        <v>9.7731467853387943E-4</v>
      </c>
      <c r="Q37">
        <v>1.0514070671448538E-11</v>
      </c>
    </row>
    <row r="38" spans="1:17" x14ac:dyDescent="0.35">
      <c r="A38">
        <v>10.5</v>
      </c>
      <c r="B38">
        <v>3.162277660168371E-11</v>
      </c>
      <c r="C38">
        <v>3.7005265949759976E-4</v>
      </c>
      <c r="D38">
        <v>3.35999614560861E-5</v>
      </c>
      <c r="E38">
        <v>9.6609788301694403E-4</v>
      </c>
      <c r="F38">
        <v>3.0215552594202083E-7</v>
      </c>
      <c r="G38">
        <v>1.0279382140879037E-15</v>
      </c>
      <c r="H38">
        <v>-10.500000000000002</v>
      </c>
      <c r="I38">
        <v>-3.4317364702520918</v>
      </c>
      <c r="J38">
        <v>-4.4736612208071413</v>
      </c>
      <c r="K38">
        <v>-3.014978869546677</v>
      </c>
      <c r="L38">
        <v>-6.5197694587903987</v>
      </c>
      <c r="M38">
        <v>-14.988032988538308</v>
      </c>
      <c r="N38">
        <v>3.3599961456086097E-2</v>
      </c>
      <c r="O38">
        <v>0.96609788301694399</v>
      </c>
      <c r="P38">
        <v>3.0215552594202081E-4</v>
      </c>
      <c r="Q38">
        <v>1.0279382140879036E-12</v>
      </c>
    </row>
    <row r="39" spans="1:17" x14ac:dyDescent="0.35">
      <c r="A39">
        <v>11</v>
      </c>
      <c r="B39">
        <v>9.9999999999999994E-12</v>
      </c>
      <c r="C39">
        <v>1.1702092582151528E-3</v>
      </c>
      <c r="D39">
        <v>9.9074846938314572E-5</v>
      </c>
      <c r="E39">
        <v>9.0083605768413396E-4</v>
      </c>
      <c r="F39">
        <v>8.9095377455706501E-8</v>
      </c>
      <c r="G39">
        <v>9.5849895191787766E-17</v>
      </c>
      <c r="H39">
        <v>-11</v>
      </c>
      <c r="I39">
        <v>-2.9317364702520927</v>
      </c>
      <c r="J39">
        <v>-4.0040365899389831</v>
      </c>
      <c r="K39">
        <v>-3.0453542386785175</v>
      </c>
      <c r="L39">
        <v>-7.0501448279222378</v>
      </c>
      <c r="M39">
        <v>-16.018408357670147</v>
      </c>
      <c r="N39">
        <v>9.9074846938314573E-2</v>
      </c>
      <c r="O39">
        <v>0.900836057684134</v>
      </c>
      <c r="P39">
        <v>8.9095377455706502E-5</v>
      </c>
      <c r="Q39">
        <v>9.5849895191787765E-14</v>
      </c>
    </row>
    <row r="40" spans="1:17" x14ac:dyDescent="0.35">
      <c r="A40">
        <v>11.5</v>
      </c>
      <c r="B40">
        <v>3.1622776601683669E-12</v>
      </c>
      <c r="C40">
        <v>3.7005265949760025E-3</v>
      </c>
      <c r="D40">
        <v>2.580389090660653E-4</v>
      </c>
      <c r="E40">
        <v>7.4193788618043786E-4</v>
      </c>
      <c r="F40">
        <v>2.3204753488858368E-8</v>
      </c>
      <c r="G40">
        <v>7.8942964174893623E-18</v>
      </c>
      <c r="H40">
        <v>-11.500000000000002</v>
      </c>
      <c r="I40">
        <v>-2.4317364702520909</v>
      </c>
      <c r="J40">
        <v>-3.5883148028793266</v>
      </c>
      <c r="K40">
        <v>-3.1296324516188632</v>
      </c>
      <c r="L40">
        <v>-7.6344230408625853</v>
      </c>
      <c r="M40">
        <v>-17.102686570610494</v>
      </c>
      <c r="N40">
        <v>0.2580389090660653</v>
      </c>
      <c r="O40">
        <v>0.74193788618043788</v>
      </c>
      <c r="P40">
        <v>2.3204753488858367E-5</v>
      </c>
      <c r="Q40">
        <v>7.8942964174893614E-15</v>
      </c>
    </row>
    <row r="41" spans="1:17" x14ac:dyDescent="0.35">
      <c r="A41">
        <v>12</v>
      </c>
      <c r="B41">
        <v>9.9999999999999998E-13</v>
      </c>
      <c r="C41">
        <v>1.1702092582151527E-2</v>
      </c>
      <c r="D41">
        <v>5.2376396016752449E-4</v>
      </c>
      <c r="E41">
        <v>4.7623132976234409E-4</v>
      </c>
      <c r="F41">
        <v>4.7100701309057272E-9</v>
      </c>
      <c r="G41">
        <v>5.0671509710784477E-19</v>
      </c>
      <c r="H41">
        <v>-12</v>
      </c>
      <c r="I41">
        <v>-1.9317364702520929</v>
      </c>
      <c r="J41">
        <v>-3.2808643883828346</v>
      </c>
      <c r="K41">
        <v>-3.3221820371223689</v>
      </c>
      <c r="L41">
        <v>-8.3269726263660893</v>
      </c>
      <c r="M41">
        <v>-18.295236156113997</v>
      </c>
      <c r="N41">
        <v>0.52376396016752447</v>
      </c>
      <c r="O41">
        <v>0.47623132976234406</v>
      </c>
      <c r="P41">
        <v>4.7100701309057271E-6</v>
      </c>
      <c r="Q41">
        <v>5.0671509710784479E-16</v>
      </c>
    </row>
    <row r="42" spans="1:17" x14ac:dyDescent="0.35">
      <c r="A42">
        <v>12.5</v>
      </c>
      <c r="B42">
        <v>3.1622776601683746E-13</v>
      </c>
      <c r="C42">
        <v>3.7005265949759933E-2</v>
      </c>
      <c r="D42">
        <v>7.7668071396321881E-4</v>
      </c>
      <c r="E42">
        <v>2.2331858758845133E-4</v>
      </c>
      <c r="F42">
        <v>6.9844832983900016E-10</v>
      </c>
      <c r="G42">
        <v>2.3761330413170997E-20</v>
      </c>
      <c r="H42">
        <v>-12.5</v>
      </c>
      <c r="I42">
        <v>-1.4317364702520923</v>
      </c>
      <c r="J42">
        <v>-3.1097574788332891</v>
      </c>
      <c r="K42">
        <v>-3.6510751275728239</v>
      </c>
      <c r="L42">
        <v>-9.155865716816546</v>
      </c>
      <c r="M42">
        <v>-19.624129246564454</v>
      </c>
      <c r="N42">
        <v>0.77668071396321881</v>
      </c>
      <c r="O42">
        <v>0.22331858758845133</v>
      </c>
      <c r="P42">
        <v>6.9844832983900015E-7</v>
      </c>
      <c r="Q42">
        <v>2.3761330413170997E-17</v>
      </c>
    </row>
    <row r="43" spans="1:17" x14ac:dyDescent="0.35">
      <c r="A43">
        <v>13</v>
      </c>
      <c r="B43">
        <v>1E-13</v>
      </c>
      <c r="C43">
        <v>0.11702092582151527</v>
      </c>
      <c r="D43">
        <v>9.1665339185519512E-4</v>
      </c>
      <c r="E43">
        <v>8.3346525712600918E-5</v>
      </c>
      <c r="F43">
        <v>8.2432204002536497E-11</v>
      </c>
      <c r="G43">
        <v>8.8681571813298724E-22</v>
      </c>
      <c r="H43">
        <v>-13</v>
      </c>
      <c r="I43">
        <v>-0.93173647025209283</v>
      </c>
      <c r="J43">
        <v>-3.0377948502193437</v>
      </c>
      <c r="K43">
        <v>-4.0791124989588781</v>
      </c>
      <c r="L43">
        <v>-10.083903088202598</v>
      </c>
      <c r="M43">
        <v>-21.052166617950505</v>
      </c>
      <c r="N43">
        <v>0.91665339185519512</v>
      </c>
      <c r="O43">
        <v>8.3346525712600913E-2</v>
      </c>
      <c r="P43">
        <v>8.2432204002536498E-8</v>
      </c>
      <c r="Q43">
        <v>8.8681571813298727E-19</v>
      </c>
    </row>
    <row r="44" spans="1:17" x14ac:dyDescent="0.35">
      <c r="A44">
        <v>13.5</v>
      </c>
      <c r="B44">
        <v>3.1622776601683714E-14</v>
      </c>
      <c r="C44">
        <v>0.37005265949759975</v>
      </c>
      <c r="D44">
        <v>9.7205067065210635E-4</v>
      </c>
      <c r="E44">
        <v>2.794932060650023E-5</v>
      </c>
      <c r="F44">
        <v>8.7413934095445319E-12</v>
      </c>
      <c r="G44">
        <v>2.973836835196979E-23</v>
      </c>
      <c r="H44">
        <v>-13.500000000000002</v>
      </c>
      <c r="I44">
        <v>-0.43173647025209172</v>
      </c>
      <c r="J44">
        <v>-3.012311095761961</v>
      </c>
      <c r="K44">
        <v>-4.5536287445014967</v>
      </c>
      <c r="L44">
        <v>-11.058419333745219</v>
      </c>
      <c r="M44">
        <v>-22.526682863493125</v>
      </c>
      <c r="N44">
        <v>0.97205067065210637</v>
      </c>
      <c r="O44">
        <v>2.7949320606500228E-2</v>
      </c>
      <c r="P44">
        <v>8.741393409544531E-9</v>
      </c>
      <c r="Q44">
        <v>2.973836835196979E-20</v>
      </c>
    </row>
    <row r="45" spans="1:17" x14ac:dyDescent="0.35">
      <c r="A45">
        <v>14</v>
      </c>
      <c r="B45">
        <v>1E-14</v>
      </c>
      <c r="C45">
        <v>1.1702092582151526</v>
      </c>
      <c r="D45">
        <v>9.9098944744380733E-4</v>
      </c>
      <c r="E45">
        <v>9.0105516650222779E-6</v>
      </c>
      <c r="F45">
        <v>8.9117047972428637E-13</v>
      </c>
      <c r="G45">
        <v>9.5873208598340226E-25</v>
      </c>
      <c r="H45">
        <v>-14</v>
      </c>
      <c r="I45">
        <v>6.8263529747907128E-2</v>
      </c>
      <c r="J45">
        <v>-3.0039309700771111</v>
      </c>
      <c r="K45">
        <v>-5.0452486188166459</v>
      </c>
      <c r="L45">
        <v>-12.050039208060365</v>
      </c>
      <c r="M45">
        <v>-24.018302737808273</v>
      </c>
      <c r="N45">
        <v>0.99098944744380735</v>
      </c>
      <c r="O45">
        <v>9.0105516650222772E-3</v>
      </c>
      <c r="P45">
        <v>8.9117047972428633E-10</v>
      </c>
      <c r="Q45">
        <v>9.5873208598340232E-22</v>
      </c>
    </row>
  </sheetData>
  <printOptions gridLines="1" gridLinesSet="0"/>
  <pageMargins left="0.75" right="0.75" top="1" bottom="1" header="0.5" footer="0.5"/>
  <pageSetup paperSize="9" orientation="landscape" horizontalDpi="0" verticalDpi="0" copies="0" r:id="rId1"/>
  <headerFooter alignWithMargins="0">
    <oddHeader>&amp;A</oddHeader>
    <oddFooter>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83203125" defaultRowHeight="15.5" x14ac:dyDescent="0.35"/>
  <sheetData/>
  <printOptions gridLines="1" gridLinesSet="0"/>
  <pageMargins left="0.75" right="0.75" top="1" bottom="1" header="0.5" footer="0.5"/>
  <pageSetup paperSize="9" orientation="landscape" horizontalDpi="0" verticalDpi="0" copies="0" r:id="rId1"/>
  <headerFooter alignWithMargins="0">
    <oddHeader>&amp;A</oddHeader>
    <oddFooter>Page &amp;P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
  <sheetViews>
    <sheetView workbookViewId="0"/>
  </sheetViews>
  <sheetFormatPr defaultColWidth="8.83203125" defaultRowHeight="15.5" x14ac:dyDescent="0.35"/>
  <cols>
    <col min="5" max="5" width="9" customWidth="1"/>
  </cols>
  <sheetData>
    <row r="1" spans="1:11" ht="20" thickBot="1" x14ac:dyDescent="0.5">
      <c r="A1" t="s">
        <v>18</v>
      </c>
    </row>
    <row r="2" spans="1:11" ht="16" thickBot="1" x14ac:dyDescent="0.4">
      <c r="G2" s="15"/>
      <c r="H2" s="16"/>
      <c r="I2" s="16"/>
      <c r="J2" s="16"/>
      <c r="K2" s="17"/>
    </row>
    <row r="3" spans="1:11" ht="16" thickBot="1" x14ac:dyDescent="0.4">
      <c r="B3" s="5" t="s">
        <v>19</v>
      </c>
      <c r="C3" s="6"/>
      <c r="D3" s="6"/>
      <c r="E3" s="6"/>
      <c r="F3" s="7"/>
      <c r="G3" s="18"/>
      <c r="H3" s="19"/>
      <c r="I3" s="19"/>
      <c r="J3" s="19"/>
      <c r="K3" s="20"/>
    </row>
    <row r="4" spans="1:11" ht="18.5" x14ac:dyDescent="0.35">
      <c r="B4" s="10"/>
      <c r="C4" s="8" t="s">
        <v>11</v>
      </c>
      <c r="D4" s="8" t="s">
        <v>12</v>
      </c>
      <c r="E4" s="8" t="s">
        <v>20</v>
      </c>
      <c r="F4" s="9"/>
      <c r="G4" s="18"/>
      <c r="H4" s="19"/>
      <c r="I4" s="19"/>
      <c r="J4" s="19"/>
      <c r="K4" s="20"/>
    </row>
    <row r="5" spans="1:11" ht="16" thickBot="1" x14ac:dyDescent="0.4">
      <c r="B5" s="11" t="s">
        <v>21</v>
      </c>
      <c r="C5" s="3">
        <v>8.9415665948124801</v>
      </c>
      <c r="D5" s="3">
        <f>10^-C5</f>
        <v>1.1440194421707123E-9</v>
      </c>
      <c r="E5" s="3">
        <f>f(D5,B7,B8,B9,B10,E7)</f>
        <v>-5.3355217461201668E-21</v>
      </c>
      <c r="F5" s="4"/>
      <c r="G5" s="18"/>
      <c r="H5" s="19"/>
      <c r="I5" s="19"/>
      <c r="J5" s="19"/>
      <c r="K5" s="20"/>
    </row>
    <row r="6" spans="1:11" x14ac:dyDescent="0.35">
      <c r="G6" s="18"/>
      <c r="H6" s="19"/>
      <c r="I6" s="19"/>
      <c r="J6" s="19"/>
      <c r="K6" s="20"/>
    </row>
    <row r="7" spans="1:11" ht="17.5" x14ac:dyDescent="0.45">
      <c r="A7" t="s">
        <v>3</v>
      </c>
      <c r="B7" s="2">
        <f>'Speciation calculations'!B9</f>
        <v>9.2953025433605285E-3</v>
      </c>
      <c r="D7" t="s">
        <v>5</v>
      </c>
      <c r="E7" s="2">
        <v>1E-3</v>
      </c>
      <c r="G7" s="18"/>
      <c r="H7" s="19"/>
      <c r="I7" s="19"/>
      <c r="J7" s="19"/>
      <c r="K7" s="20"/>
    </row>
    <row r="8" spans="1:11" ht="17.5" x14ac:dyDescent="0.45">
      <c r="A8" t="s">
        <v>4</v>
      </c>
      <c r="B8" s="2">
        <f>'Speciation calculations'!B10</f>
        <v>1.0110918023013953E-7</v>
      </c>
      <c r="G8" s="18"/>
      <c r="H8" s="19"/>
      <c r="I8" s="19"/>
      <c r="J8" s="19"/>
      <c r="K8" s="20"/>
    </row>
    <row r="9" spans="1:11" x14ac:dyDescent="0.35">
      <c r="A9" t="s">
        <v>6</v>
      </c>
      <c r="B9" s="2">
        <f>'Speciation calculations'!B11</f>
        <v>1.0998099609047159E-12</v>
      </c>
      <c r="G9" s="18"/>
      <c r="H9" s="19"/>
      <c r="I9" s="19"/>
      <c r="J9" s="19"/>
      <c r="K9" s="20"/>
    </row>
    <row r="10" spans="1:11" ht="17.5" x14ac:dyDescent="0.45">
      <c r="A10" t="s">
        <v>7</v>
      </c>
      <c r="B10">
        <f>'Speciation calculations'!B12</f>
        <v>1.1702092582151527E-14</v>
      </c>
      <c r="G10" s="18"/>
      <c r="H10" s="19"/>
      <c r="I10" s="19"/>
      <c r="J10" s="19"/>
      <c r="K10" s="20"/>
    </row>
    <row r="11" spans="1:11" x14ac:dyDescent="0.35">
      <c r="G11" s="18"/>
      <c r="H11" s="19"/>
      <c r="I11" s="19"/>
      <c r="J11" s="19"/>
      <c r="K11" s="20"/>
    </row>
    <row r="12" spans="1:11" x14ac:dyDescent="0.35">
      <c r="G12" s="18"/>
      <c r="H12" s="19"/>
      <c r="I12" s="19"/>
      <c r="J12" s="19"/>
      <c r="K12" s="20"/>
    </row>
    <row r="13" spans="1:11" x14ac:dyDescent="0.35">
      <c r="G13" s="18"/>
      <c r="H13" s="19"/>
      <c r="I13" s="19"/>
      <c r="J13" s="19"/>
      <c r="K13" s="20"/>
    </row>
    <row r="14" spans="1:11" x14ac:dyDescent="0.35">
      <c r="G14" s="18"/>
      <c r="H14" s="19"/>
      <c r="I14" s="19"/>
      <c r="J14" s="19"/>
      <c r="K14" s="20"/>
    </row>
    <row r="15" spans="1:11" x14ac:dyDescent="0.35">
      <c r="G15" s="18"/>
      <c r="H15" s="19"/>
      <c r="I15" s="19"/>
      <c r="J15" s="19"/>
      <c r="K15" s="20"/>
    </row>
    <row r="16" spans="1:11" x14ac:dyDescent="0.35">
      <c r="G16" s="18"/>
      <c r="H16" s="19"/>
      <c r="I16" s="19"/>
      <c r="J16" s="19"/>
      <c r="K16" s="20"/>
    </row>
    <row r="17" spans="1:11" x14ac:dyDescent="0.35">
      <c r="G17" s="18"/>
      <c r="H17" s="19"/>
      <c r="I17" s="19"/>
      <c r="J17" s="19"/>
      <c r="K17" s="20"/>
    </row>
    <row r="18" spans="1:11" x14ac:dyDescent="0.35">
      <c r="G18" s="18"/>
      <c r="H18" s="19"/>
      <c r="I18" s="19"/>
      <c r="J18" s="19"/>
      <c r="K18" s="20"/>
    </row>
    <row r="19" spans="1:11" x14ac:dyDescent="0.35">
      <c r="G19" s="18"/>
      <c r="H19" s="19"/>
      <c r="I19" s="19"/>
      <c r="J19" s="19"/>
      <c r="K19" s="20"/>
    </row>
    <row r="20" spans="1:11" x14ac:dyDescent="0.35">
      <c r="G20" s="18"/>
      <c r="H20" s="19"/>
      <c r="I20" s="19"/>
      <c r="J20" s="19"/>
      <c r="K20" s="20"/>
    </row>
    <row r="21" spans="1:11" x14ac:dyDescent="0.35">
      <c r="G21" s="18"/>
      <c r="H21" s="19"/>
      <c r="I21" s="19"/>
      <c r="J21" s="19"/>
      <c r="K21" s="20"/>
    </row>
    <row r="22" spans="1:11" x14ac:dyDescent="0.35">
      <c r="G22" s="18"/>
      <c r="H22" s="19"/>
      <c r="I22" s="19"/>
      <c r="J22" s="19"/>
      <c r="K22" s="20"/>
    </row>
    <row r="23" spans="1:11" x14ac:dyDescent="0.35">
      <c r="G23" s="18"/>
      <c r="H23" s="19"/>
      <c r="I23" s="19"/>
      <c r="J23" s="19"/>
      <c r="K23" s="20"/>
    </row>
    <row r="24" spans="1:11" x14ac:dyDescent="0.35">
      <c r="G24" s="18"/>
      <c r="H24" s="19"/>
      <c r="I24" s="19"/>
      <c r="J24" s="19"/>
      <c r="K24" s="20"/>
    </row>
    <row r="25" spans="1:11" ht="16" thickBot="1" x14ac:dyDescent="0.4">
      <c r="G25" s="21"/>
      <c r="H25" s="22"/>
      <c r="I25" s="22"/>
      <c r="J25" s="22"/>
      <c r="K25" s="23"/>
    </row>
    <row r="28" spans="1:11" x14ac:dyDescent="0.35">
      <c r="A28" t="s">
        <v>22</v>
      </c>
    </row>
    <row r="30" spans="1:11" ht="18.5" x14ac:dyDescent="0.35">
      <c r="A30" t="s">
        <v>11</v>
      </c>
      <c r="B30" s="1" t="s">
        <v>12</v>
      </c>
      <c r="C30" t="s">
        <v>23</v>
      </c>
      <c r="D30" t="s">
        <v>24</v>
      </c>
    </row>
    <row r="31" spans="1:11" x14ac:dyDescent="0.35">
      <c r="B31" s="1">
        <f>10^-A29</f>
        <v>1</v>
      </c>
      <c r="C31">
        <f>$E$7/(1+B31/$B$9+B31^2/($B$8*$B$9)+B31^3/($B$7*$B$8*$B$9))</f>
        <v>1.0241262910616455E-24</v>
      </c>
      <c r="D31">
        <f>C31+$B$10/B31-C31*B31^2/($B$8*$B$9)-2*C31*B31^3/($B$7*$B$8*$B$9)-B31</f>
        <v>-1.0019907903024985</v>
      </c>
    </row>
    <row r="32" spans="1:11" x14ac:dyDescent="0.35">
      <c r="A32">
        <v>0</v>
      </c>
      <c r="B32">
        <f t="dataTable" ref="B32:D60" dt2D="0" dtr="0" r1="A29"/>
        <v>1</v>
      </c>
      <c r="C32">
        <v>1.0241262910616455E-24</v>
      </c>
      <c r="D32">
        <v>-1.0019907903024985</v>
      </c>
    </row>
    <row r="33" spans="1:4" x14ac:dyDescent="0.35">
      <c r="A33">
        <v>0.5</v>
      </c>
      <c r="B33">
        <v>0.31622776601683794</v>
      </c>
      <c r="C33">
        <v>3.1753382360175716E-23</v>
      </c>
      <c r="D33">
        <v>-0.31819921102546445</v>
      </c>
    </row>
    <row r="34" spans="1:4" x14ac:dyDescent="0.35">
      <c r="A34">
        <v>1</v>
      </c>
      <c r="B34">
        <v>0.1</v>
      </c>
      <c r="C34">
        <v>9.4573668108742005E-22</v>
      </c>
      <c r="D34">
        <v>-0.10191495224097159</v>
      </c>
    </row>
    <row r="35" spans="1:4" x14ac:dyDescent="0.35">
      <c r="A35">
        <v>1.5</v>
      </c>
      <c r="B35">
        <v>3.1622776601683784E-2</v>
      </c>
      <c r="C35">
        <v>2.5261330115283755E-20</v>
      </c>
      <c r="D35">
        <v>-3.339560671878903E-2</v>
      </c>
    </row>
    <row r="36" spans="1:4" x14ac:dyDescent="0.35">
      <c r="A36">
        <v>2</v>
      </c>
      <c r="B36">
        <v>0.01</v>
      </c>
      <c r="C36">
        <v>5.3569557602729014E-19</v>
      </c>
      <c r="D36">
        <v>-1.151825345901427E-2</v>
      </c>
    </row>
    <row r="37" spans="1:4" x14ac:dyDescent="0.35">
      <c r="A37">
        <v>2.5</v>
      </c>
      <c r="B37">
        <v>3.1622776601683764E-3</v>
      </c>
      <c r="C37">
        <v>8.29712656465588E-18</v>
      </c>
      <c r="D37">
        <v>-4.416091396416277E-3</v>
      </c>
    </row>
    <row r="38" spans="1:4" x14ac:dyDescent="0.35">
      <c r="A38">
        <v>3</v>
      </c>
      <c r="B38">
        <v>1E-3</v>
      </c>
      <c r="C38">
        <v>1.003905907819684E-16</v>
      </c>
      <c r="D38">
        <v>-2.0970315190582426E-3</v>
      </c>
    </row>
    <row r="39" spans="1:4" x14ac:dyDescent="0.35">
      <c r="A39">
        <v>3.5</v>
      </c>
      <c r="B39">
        <v>3.1622776601683783E-4</v>
      </c>
      <c r="C39">
        <v>1.0750903360056253E-15</v>
      </c>
      <c r="D39">
        <v>-1.348809314450551E-3</v>
      </c>
    </row>
    <row r="40" spans="1:4" x14ac:dyDescent="0.35">
      <c r="A40">
        <v>4</v>
      </c>
      <c r="B40">
        <v>1E-4</v>
      </c>
      <c r="C40">
        <v>1.0990736031843509E-14</v>
      </c>
      <c r="D40">
        <v>-1.109633532799089E-3</v>
      </c>
    </row>
    <row r="41" spans="1:4" x14ac:dyDescent="0.35">
      <c r="A41">
        <v>4.5</v>
      </c>
      <c r="B41">
        <v>3.1622776601683748E-5</v>
      </c>
      <c r="C41">
        <v>1.1047183900942747E-13</v>
      </c>
      <c r="D41">
        <v>-1.031825728439247E-3</v>
      </c>
    </row>
    <row r="42" spans="1:4" x14ac:dyDescent="0.35">
      <c r="A42">
        <v>5</v>
      </c>
      <c r="B42">
        <v>1.0000000000000001E-5</v>
      </c>
      <c r="C42">
        <v>1.0997067120112506E-12</v>
      </c>
      <c r="D42">
        <v>-1.0010636769115582E-3</v>
      </c>
    </row>
    <row r="43" spans="1:4" x14ac:dyDescent="0.35">
      <c r="A43">
        <v>5.5</v>
      </c>
      <c r="B43">
        <v>3.1622776601683767E-6</v>
      </c>
      <c r="C43">
        <v>1.0772004568375416E-11</v>
      </c>
      <c r="D43">
        <v>-9.725154214555229E-4</v>
      </c>
    </row>
    <row r="44" spans="1:4" x14ac:dyDescent="0.35">
      <c r="A44">
        <v>6</v>
      </c>
      <c r="B44">
        <v>9.9999999999999995E-7</v>
      </c>
      <c r="C44">
        <v>1.0098000341039606E-10</v>
      </c>
      <c r="D44">
        <v>-9.092699235173341E-4</v>
      </c>
    </row>
    <row r="45" spans="1:4" x14ac:dyDescent="0.35">
      <c r="A45">
        <v>6.5</v>
      </c>
      <c r="B45">
        <v>3.1622776601683734E-7</v>
      </c>
      <c r="C45">
        <v>8.4257747170555274E-10</v>
      </c>
      <c r="D45">
        <v>-7.5803746781464957E-4</v>
      </c>
    </row>
    <row r="46" spans="1:4" x14ac:dyDescent="0.35">
      <c r="A46">
        <v>7</v>
      </c>
      <c r="B46">
        <v>9.9999999999999995E-8</v>
      </c>
      <c r="C46">
        <v>5.5293186374086072E-9</v>
      </c>
      <c r="D46">
        <v>-4.9722508221644146E-4</v>
      </c>
    </row>
    <row r="47" spans="1:4" x14ac:dyDescent="0.35">
      <c r="A47">
        <v>7.5</v>
      </c>
      <c r="B47">
        <v>3.1622776601683699E-8</v>
      </c>
      <c r="C47">
        <v>2.6492374350000436E-8</v>
      </c>
      <c r="D47">
        <v>-2.3787558229473998E-4</v>
      </c>
    </row>
    <row r="48" spans="1:4" x14ac:dyDescent="0.35">
      <c r="A48">
        <v>8</v>
      </c>
      <c r="B48">
        <v>1E-8</v>
      </c>
      <c r="C48">
        <v>1.0007250922771878E-7</v>
      </c>
      <c r="D48">
        <v>-8.8732460507632871E-5</v>
      </c>
    </row>
    <row r="49" spans="1:5" x14ac:dyDescent="0.35">
      <c r="A49">
        <v>8.5</v>
      </c>
      <c r="B49">
        <v>3.1622776601683779E-9</v>
      </c>
      <c r="C49">
        <v>3.3712918426456344E-7</v>
      </c>
      <c r="D49">
        <v>-2.6282658922714155E-5</v>
      </c>
      <c r="E49" t="s">
        <v>25</v>
      </c>
    </row>
    <row r="50" spans="1:5" x14ac:dyDescent="0.35">
      <c r="A50">
        <v>9</v>
      </c>
      <c r="B50">
        <v>1.0000000000000001E-9</v>
      </c>
      <c r="C50">
        <v>1.0878543224692221E-6</v>
      </c>
      <c r="D50">
        <v>3.006159918161177E-6</v>
      </c>
      <c r="E50">
        <f>(D50-D49)/(A50-A49)</f>
        <v>5.8577637681750664E-5</v>
      </c>
    </row>
    <row r="51" spans="1:5" x14ac:dyDescent="0.35">
      <c r="A51">
        <v>9.5</v>
      </c>
      <c r="B51">
        <v>3.1622776601683744E-10</v>
      </c>
      <c r="C51">
        <v>3.4550819547670711E-6</v>
      </c>
      <c r="D51">
        <v>3.7352968064167027E-5</v>
      </c>
      <c r="E51">
        <f>A50-D50/E50</f>
        <v>8.9486807587821566</v>
      </c>
    </row>
    <row r="52" spans="1:5" x14ac:dyDescent="0.35">
      <c r="A52">
        <v>10</v>
      </c>
      <c r="B52">
        <v>1E-10</v>
      </c>
      <c r="C52">
        <v>1.0867825576523272E-5</v>
      </c>
      <c r="D52">
        <v>1.2691133669847653E-4</v>
      </c>
    </row>
    <row r="53" spans="1:5" x14ac:dyDescent="0.35">
      <c r="A53">
        <v>10.5</v>
      </c>
      <c r="B53">
        <v>3.162277660168371E-11</v>
      </c>
      <c r="C53">
        <v>3.35999614560861E-5</v>
      </c>
      <c r="D53">
        <v>4.0335043380291136E-4</v>
      </c>
    </row>
    <row r="54" spans="1:5" x14ac:dyDescent="0.35">
      <c r="A54">
        <v>11</v>
      </c>
      <c r="B54">
        <v>9.9999999999999994E-12</v>
      </c>
      <c r="C54">
        <v>9.9074846938314572E-5</v>
      </c>
      <c r="D54">
        <v>1.26919499977582E-3</v>
      </c>
    </row>
    <row r="55" spans="1:5" x14ac:dyDescent="0.35">
      <c r="A55">
        <v>11.5</v>
      </c>
      <c r="B55">
        <v>3.1622776601683669E-12</v>
      </c>
      <c r="C55">
        <v>2.580389090660653E-4</v>
      </c>
      <c r="D55">
        <v>3.9585422961262856E-3</v>
      </c>
    </row>
    <row r="56" spans="1:5" x14ac:dyDescent="0.35">
      <c r="A56">
        <v>12</v>
      </c>
      <c r="B56">
        <v>9.9999999999999998E-13</v>
      </c>
      <c r="C56">
        <v>5.2376396016752449E-4</v>
      </c>
      <c r="D56">
        <v>1.2225851831248918E-2</v>
      </c>
    </row>
    <row r="57" spans="1:5" x14ac:dyDescent="0.35">
      <c r="A57">
        <v>12.5</v>
      </c>
      <c r="B57">
        <v>3.1622776601683746E-13</v>
      </c>
      <c r="C57">
        <v>7.7668071396321881E-4</v>
      </c>
      <c r="D57">
        <v>3.7781945964958596E-2</v>
      </c>
    </row>
    <row r="58" spans="1:5" x14ac:dyDescent="0.35">
      <c r="A58">
        <v>13</v>
      </c>
      <c r="B58">
        <v>1E-13</v>
      </c>
      <c r="C58">
        <v>9.1665339185519512E-4</v>
      </c>
      <c r="D58">
        <v>0.11793757913083826</v>
      </c>
    </row>
    <row r="59" spans="1:5" x14ac:dyDescent="0.35">
      <c r="A59">
        <v>13.5</v>
      </c>
      <c r="B59">
        <v>3.1622776601683714E-14</v>
      </c>
      <c r="C59">
        <v>9.7205067065210635E-4</v>
      </c>
      <c r="D59">
        <v>0.3710247101594788</v>
      </c>
    </row>
    <row r="60" spans="1:5" x14ac:dyDescent="0.35">
      <c r="A60">
        <v>14</v>
      </c>
      <c r="B60">
        <v>1E-14</v>
      </c>
      <c r="C60">
        <v>9.9098944744380733E-4</v>
      </c>
      <c r="D60">
        <v>1.1712002476616954</v>
      </c>
    </row>
  </sheetData>
  <printOptions gridLines="1" gridLinesSet="0"/>
  <pageMargins left="0.75" right="0.75" top="1" bottom="1" header="0.5" footer="0.5"/>
  <pageSetup paperSize="9" orientation="landscape" horizontalDpi="0" verticalDpi="0" copies="0" r:id="rId1"/>
  <headerFooter alignWithMargins="0">
    <oddHeader>&amp;A</oddHeader>
    <oddFooter>Page &amp;P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1:E100"/>
  <sheetViews>
    <sheetView workbookViewId="0"/>
  </sheetViews>
  <sheetFormatPr defaultColWidth="8.83203125" defaultRowHeight="15.5" x14ac:dyDescent="0.35"/>
  <sheetData>
    <row r="21" spans="1:5" x14ac:dyDescent="0.35">
      <c r="A21" s="1"/>
      <c r="B21" s="1"/>
      <c r="C21" s="13"/>
      <c r="D21" s="1"/>
      <c r="E21" s="1"/>
    </row>
    <row r="22" spans="1:5" ht="17.5" x14ac:dyDescent="0.45">
      <c r="A22" s="1" t="s">
        <v>11</v>
      </c>
      <c r="B22" s="1" t="s">
        <v>26</v>
      </c>
      <c r="C22" s="1" t="s">
        <v>27</v>
      </c>
      <c r="D22" s="1" t="s">
        <v>28</v>
      </c>
      <c r="E22" s="1" t="s">
        <v>29</v>
      </c>
    </row>
    <row r="23" spans="1:5" x14ac:dyDescent="0.35">
      <c r="A23">
        <v>0</v>
      </c>
      <c r="B23">
        <v>1.0241262910616455E-21</v>
      </c>
      <c r="C23">
        <v>9.3118477506712887E-10</v>
      </c>
      <c r="D23">
        <v>9.2096956275148668E-3</v>
      </c>
      <c r="E23">
        <v>0.99079030344130015</v>
      </c>
    </row>
    <row r="24" spans="1:5" x14ac:dyDescent="0.35">
      <c r="A24">
        <v>0.5</v>
      </c>
      <c r="B24">
        <v>3.1753382360175712E-20</v>
      </c>
      <c r="C24">
        <v>9.1300329367600456E-9</v>
      </c>
      <c r="D24">
        <v>2.8554973076432347E-2</v>
      </c>
      <c r="E24">
        <v>0.97144501779353454</v>
      </c>
    </row>
    <row r="25" spans="1:5" x14ac:dyDescent="0.35">
      <c r="A25">
        <v>1</v>
      </c>
      <c r="B25">
        <v>9.4573668108742E-19</v>
      </c>
      <c r="C25">
        <v>8.5990917949992617E-8</v>
      </c>
      <c r="D25">
        <v>8.5047586929559216E-2</v>
      </c>
      <c r="E25">
        <v>0.9149523270795229</v>
      </c>
    </row>
    <row r="26" spans="1:5" x14ac:dyDescent="0.35">
      <c r="A26">
        <v>1.5</v>
      </c>
      <c r="B26">
        <v>2.5261330115283748E-17</v>
      </c>
      <c r="C26">
        <v>7.2633766495429419E-7</v>
      </c>
      <c r="D26">
        <v>0.22716842984937521</v>
      </c>
      <c r="E26">
        <v>0.77283084381295941</v>
      </c>
    </row>
    <row r="27" spans="1:5" x14ac:dyDescent="0.35">
      <c r="A27">
        <v>2</v>
      </c>
      <c r="B27">
        <v>5.3569557602729009E-16</v>
      </c>
      <c r="C27">
        <v>4.8708012754005344E-6</v>
      </c>
      <c r="D27">
        <v>0.481736798212968</v>
      </c>
      <c r="E27">
        <v>0.51825833098575602</v>
      </c>
    </row>
    <row r="28" spans="1:5" x14ac:dyDescent="0.35">
      <c r="A28">
        <v>2.5</v>
      </c>
      <c r="B28">
        <v>8.297126564655879E-15</v>
      </c>
      <c r="C28">
        <v>2.3856683346836893E-5</v>
      </c>
      <c r="D28">
        <v>0.74613854668485358</v>
      </c>
      <c r="E28">
        <v>0.25383759663179101</v>
      </c>
    </row>
    <row r="29" spans="1:5" x14ac:dyDescent="0.35">
      <c r="A29">
        <v>3</v>
      </c>
      <c r="B29">
        <v>1.003905907819684E-13</v>
      </c>
      <c r="C29">
        <v>9.1279943217995575E-5</v>
      </c>
      <c r="D29">
        <v>0.90278590935292757</v>
      </c>
      <c r="E29">
        <v>9.7122810703754003E-2</v>
      </c>
    </row>
    <row r="30" spans="1:5" x14ac:dyDescent="0.35">
      <c r="A30">
        <v>3.5</v>
      </c>
      <c r="B30">
        <v>1.0750903360056253E-12</v>
      </c>
      <c r="C30">
        <v>3.0912014557649993E-4</v>
      </c>
      <c r="D30">
        <v>0.96680017426664244</v>
      </c>
      <c r="E30">
        <v>3.2890705586705912E-2</v>
      </c>
    </row>
    <row r="31" spans="1:5" x14ac:dyDescent="0.35">
      <c r="A31">
        <v>4</v>
      </c>
      <c r="B31">
        <v>1.0990736031843509E-11</v>
      </c>
      <c r="C31">
        <v>9.9933046822038292E-4</v>
      </c>
      <c r="D31">
        <v>0.9883676892105725</v>
      </c>
      <c r="E31">
        <v>1.0632980310216433E-2</v>
      </c>
    </row>
    <row r="32" spans="1:5" x14ac:dyDescent="0.35">
      <c r="A32">
        <v>4.5</v>
      </c>
      <c r="B32">
        <v>1.1047183900942747E-10</v>
      </c>
      <c r="C32">
        <v>3.1763908401943966E-3</v>
      </c>
      <c r="D32">
        <v>0.99344389609797279</v>
      </c>
      <c r="E32">
        <v>3.3797129513607944E-3</v>
      </c>
    </row>
    <row r="33" spans="1:5" x14ac:dyDescent="0.35">
      <c r="A33">
        <v>5</v>
      </c>
      <c r="B33">
        <v>1.0997067120112507E-9</v>
      </c>
      <c r="C33">
        <v>9.9990612115080299E-3</v>
      </c>
      <c r="D33">
        <v>0.98893702715704745</v>
      </c>
      <c r="E33">
        <v>1.0639105317378056E-3</v>
      </c>
    </row>
    <row r="34" spans="1:5" x14ac:dyDescent="0.35">
      <c r="A34">
        <v>5.5</v>
      </c>
      <c r="B34">
        <v>1.0772004568375416E-8</v>
      </c>
      <c r="C34">
        <v>3.0972686748339497E-2</v>
      </c>
      <c r="D34">
        <v>0.96869774986535806</v>
      </c>
      <c r="E34">
        <v>3.2955261429792312E-4</v>
      </c>
    </row>
    <row r="35" spans="1:5" x14ac:dyDescent="0.35">
      <c r="A35">
        <v>6</v>
      </c>
      <c r="B35">
        <v>1.0098000341039606E-7</v>
      </c>
      <c r="C35">
        <v>9.1815865467638424E-2</v>
      </c>
      <c r="D35">
        <v>0.90808634051479642</v>
      </c>
      <c r="E35">
        <v>9.7693037561582806E-5</v>
      </c>
    </row>
    <row r="36" spans="1:5" x14ac:dyDescent="0.35">
      <c r="A36">
        <v>6.5</v>
      </c>
      <c r="B36">
        <v>8.4257747170555272E-7</v>
      </c>
      <c r="C36">
        <v>0.24226584686901742</v>
      </c>
      <c r="D36">
        <v>0.75770753321496753</v>
      </c>
      <c r="E36">
        <v>2.5777338543310312E-5</v>
      </c>
    </row>
    <row r="37" spans="1:5" x14ac:dyDescent="0.35">
      <c r="A37">
        <v>7</v>
      </c>
      <c r="B37">
        <v>5.5293186374086073E-6</v>
      </c>
      <c r="C37">
        <v>0.50275218755612361</v>
      </c>
      <c r="D37">
        <v>0.49723693378957751</v>
      </c>
      <c r="E37">
        <v>5.3493356614276647E-6</v>
      </c>
    </row>
    <row r="38" spans="1:5" x14ac:dyDescent="0.35">
      <c r="A38">
        <v>7.5</v>
      </c>
      <c r="B38">
        <v>2.6492374350000434E-5</v>
      </c>
      <c r="C38">
        <v>0.7617338135663787</v>
      </c>
      <c r="D38">
        <v>0.23823888356655637</v>
      </c>
      <c r="E38">
        <v>8.1049271475741141E-7</v>
      </c>
    </row>
    <row r="39" spans="1:5" x14ac:dyDescent="0.35">
      <c r="A39">
        <v>8</v>
      </c>
      <c r="B39">
        <v>1.0007250922771878E-4</v>
      </c>
      <c r="C39">
        <v>0.90990728203077931</v>
      </c>
      <c r="D39">
        <v>8.9992548644909909E-2</v>
      </c>
      <c r="E39">
        <v>9.6815082914315689E-8</v>
      </c>
    </row>
    <row r="40" spans="1:5" x14ac:dyDescent="0.35">
      <c r="A40">
        <v>8.5</v>
      </c>
      <c r="B40">
        <v>3.3712918426456344E-4</v>
      </c>
      <c r="C40">
        <v>0.96934572870538038</v>
      </c>
      <c r="D40">
        <v>3.0317131796415427E-2</v>
      </c>
      <c r="E40">
        <v>1.0313939557423443E-8</v>
      </c>
    </row>
    <row r="41" spans="1:5" x14ac:dyDescent="0.35">
      <c r="A41">
        <v>9</v>
      </c>
      <c r="B41">
        <v>1.087854322469222E-3</v>
      </c>
      <c r="C41">
        <v>0.98912935974351512</v>
      </c>
      <c r="D41">
        <v>9.7827848815716795E-3</v>
      </c>
      <c r="E41">
        <v>1.0524439453086284E-9</v>
      </c>
    </row>
    <row r="42" spans="1:5" x14ac:dyDescent="0.35">
      <c r="A42">
        <v>9.5</v>
      </c>
      <c r="B42">
        <v>3.455081954767071E-3</v>
      </c>
      <c r="C42">
        <v>0.99343785453834199</v>
      </c>
      <c r="D42">
        <v>3.1070634011883163E-3</v>
      </c>
      <c r="E42">
        <v>1.0570282286640241E-10</v>
      </c>
    </row>
    <row r="43" spans="1:5" x14ac:dyDescent="0.35">
      <c r="A43">
        <v>10</v>
      </c>
      <c r="B43">
        <v>1.0867825576523271E-2</v>
      </c>
      <c r="C43">
        <v>0.98815485973442896</v>
      </c>
      <c r="D43">
        <v>9.7731467853387943E-4</v>
      </c>
      <c r="E43">
        <v>1.0514070671448538E-11</v>
      </c>
    </row>
    <row r="44" spans="1:5" x14ac:dyDescent="0.35">
      <c r="A44">
        <v>10.5</v>
      </c>
      <c r="B44">
        <v>3.3599961456086097E-2</v>
      </c>
      <c r="C44">
        <v>0.96609788301694399</v>
      </c>
      <c r="D44">
        <v>3.0215552594202081E-4</v>
      </c>
      <c r="E44">
        <v>1.0279382140879036E-12</v>
      </c>
    </row>
    <row r="45" spans="1:5" x14ac:dyDescent="0.35">
      <c r="A45">
        <v>11</v>
      </c>
      <c r="B45">
        <v>9.9074846938314573E-2</v>
      </c>
      <c r="C45">
        <v>0.900836057684134</v>
      </c>
      <c r="D45">
        <v>8.9095377455706502E-5</v>
      </c>
      <c r="E45">
        <v>9.5849895191787765E-14</v>
      </c>
    </row>
    <row r="46" spans="1:5" x14ac:dyDescent="0.35">
      <c r="A46">
        <v>11.5</v>
      </c>
      <c r="B46">
        <v>0.2580389090660653</v>
      </c>
      <c r="C46">
        <v>0.74193788618043788</v>
      </c>
      <c r="D46">
        <v>2.3204753488858367E-5</v>
      </c>
      <c r="E46">
        <v>7.8942964174893614E-15</v>
      </c>
    </row>
    <row r="47" spans="1:5" x14ac:dyDescent="0.35">
      <c r="A47">
        <v>12</v>
      </c>
      <c r="B47">
        <v>0.52376396016752447</v>
      </c>
      <c r="C47">
        <v>0.47623132976234406</v>
      </c>
      <c r="D47">
        <v>4.7100701309057271E-6</v>
      </c>
      <c r="E47">
        <v>5.0671509710784479E-16</v>
      </c>
    </row>
    <row r="48" spans="1:5" x14ac:dyDescent="0.35">
      <c r="A48">
        <v>12.5</v>
      </c>
      <c r="B48">
        <v>0.77668071396321881</v>
      </c>
      <c r="C48">
        <v>0.22331858758845133</v>
      </c>
      <c r="D48">
        <v>6.9844832983900015E-7</v>
      </c>
      <c r="E48">
        <v>2.3761330413170997E-17</v>
      </c>
    </row>
    <row r="49" spans="1:5" x14ac:dyDescent="0.35">
      <c r="A49">
        <v>13</v>
      </c>
      <c r="B49">
        <v>0.91665339185519512</v>
      </c>
      <c r="C49">
        <v>8.3346525712600913E-2</v>
      </c>
      <c r="D49">
        <v>8.2432204002536498E-8</v>
      </c>
      <c r="E49">
        <v>8.8681571813298727E-19</v>
      </c>
    </row>
    <row r="50" spans="1:5" x14ac:dyDescent="0.35">
      <c r="A50">
        <v>13.5</v>
      </c>
      <c r="B50">
        <v>0.97205067065210637</v>
      </c>
      <c r="C50">
        <v>2.7949320606500228E-2</v>
      </c>
      <c r="D50">
        <v>8.741393409544531E-9</v>
      </c>
      <c r="E50">
        <v>2.973836835196979E-20</v>
      </c>
    </row>
    <row r="51" spans="1:5" x14ac:dyDescent="0.35">
      <c r="A51">
        <v>14</v>
      </c>
      <c r="B51">
        <v>0.99098944744380735</v>
      </c>
      <c r="C51">
        <v>9.0105516650222772E-3</v>
      </c>
      <c r="D51">
        <v>8.9117047972428633E-10</v>
      </c>
      <c r="E51">
        <v>9.5873208598340232E-22</v>
      </c>
    </row>
    <row r="69" spans="1:4" ht="17.5" x14ac:dyDescent="0.45">
      <c r="A69" s="1"/>
      <c r="B69" s="1"/>
      <c r="C69" s="1"/>
      <c r="D69" s="1" t="s">
        <v>30</v>
      </c>
    </row>
    <row r="70" spans="1:4" ht="18.5" x14ac:dyDescent="0.5">
      <c r="A70" s="1"/>
      <c r="B70" s="1"/>
      <c r="C70" s="1" t="s">
        <v>30</v>
      </c>
      <c r="D70" s="1" t="s">
        <v>31</v>
      </c>
    </row>
    <row r="71" spans="1:4" ht="18.5" x14ac:dyDescent="0.5">
      <c r="A71" s="1" t="s">
        <v>11</v>
      </c>
      <c r="B71" s="1" t="s">
        <v>26</v>
      </c>
      <c r="C71" s="1" t="s">
        <v>32</v>
      </c>
      <c r="D71" s="1" t="s">
        <v>28</v>
      </c>
    </row>
    <row r="72" spans="1:4" x14ac:dyDescent="0.35">
      <c r="A72">
        <v>0</v>
      </c>
      <c r="B72">
        <v>0.99079030344130015</v>
      </c>
      <c r="C72">
        <v>0.99999999906881498</v>
      </c>
      <c r="D72">
        <v>1</v>
      </c>
    </row>
    <row r="73" spans="1:4" x14ac:dyDescent="0.35">
      <c r="A73">
        <v>0.5</v>
      </c>
      <c r="B73">
        <v>0.97144501779353454</v>
      </c>
      <c r="C73">
        <v>0.99999999086996694</v>
      </c>
      <c r="D73">
        <v>1</v>
      </c>
    </row>
    <row r="74" spans="1:4" x14ac:dyDescent="0.35">
      <c r="A74">
        <v>1</v>
      </c>
      <c r="B74">
        <v>0.9149523270795229</v>
      </c>
      <c r="C74">
        <v>0.99999991400908206</v>
      </c>
      <c r="D74">
        <v>1</v>
      </c>
    </row>
    <row r="75" spans="1:4" x14ac:dyDescent="0.35">
      <c r="A75">
        <v>1.5</v>
      </c>
      <c r="B75">
        <v>0.77283084381295941</v>
      </c>
      <c r="C75">
        <v>0.99999927366233465</v>
      </c>
      <c r="D75">
        <v>1</v>
      </c>
    </row>
    <row r="76" spans="1:4" x14ac:dyDescent="0.35">
      <c r="A76">
        <v>2</v>
      </c>
      <c r="B76">
        <v>0.51825833098575602</v>
      </c>
      <c r="C76">
        <v>0.99999512919872402</v>
      </c>
      <c r="D76">
        <v>0.99999999999999944</v>
      </c>
    </row>
    <row r="77" spans="1:4" x14ac:dyDescent="0.35">
      <c r="A77">
        <v>2.5</v>
      </c>
      <c r="B77">
        <v>0.25383759663179101</v>
      </c>
      <c r="C77">
        <v>0.99997614331664453</v>
      </c>
      <c r="D77">
        <v>0.99999999999999134</v>
      </c>
    </row>
    <row r="78" spans="1:4" x14ac:dyDescent="0.35">
      <c r="A78">
        <v>3</v>
      </c>
      <c r="B78">
        <v>9.7122810703754003E-2</v>
      </c>
      <c r="C78">
        <v>0.99990872005668163</v>
      </c>
      <c r="D78">
        <v>0.99999999999989964</v>
      </c>
    </row>
    <row r="79" spans="1:4" x14ac:dyDescent="0.35">
      <c r="A79">
        <v>3.5</v>
      </c>
      <c r="B79">
        <v>3.2890705586705912E-2</v>
      </c>
      <c r="C79">
        <v>0.99969087985334837</v>
      </c>
      <c r="D79">
        <v>0.99999999999892486</v>
      </c>
    </row>
    <row r="80" spans="1:4" x14ac:dyDescent="0.35">
      <c r="A80">
        <v>4</v>
      </c>
      <c r="B80">
        <v>1.0632980310216433E-2</v>
      </c>
      <c r="C80">
        <v>0.99900066952078892</v>
      </c>
      <c r="D80">
        <v>0.99999999998900935</v>
      </c>
    </row>
    <row r="81" spans="1:4" x14ac:dyDescent="0.35">
      <c r="A81">
        <v>4.5</v>
      </c>
      <c r="B81">
        <v>3.3797129513607944E-3</v>
      </c>
      <c r="C81">
        <v>0.99682360904933354</v>
      </c>
      <c r="D81">
        <v>0.99999999988952792</v>
      </c>
    </row>
    <row r="82" spans="1:4" x14ac:dyDescent="0.35">
      <c r="A82">
        <v>5</v>
      </c>
      <c r="B82">
        <v>1.0639105317378056E-3</v>
      </c>
      <c r="C82">
        <v>0.99000093768878528</v>
      </c>
      <c r="D82">
        <v>0.99999999890029334</v>
      </c>
    </row>
    <row r="83" spans="1:4" x14ac:dyDescent="0.35">
      <c r="A83">
        <v>5.5</v>
      </c>
      <c r="B83">
        <v>3.2955261429792312E-4</v>
      </c>
      <c r="C83">
        <v>0.96902730247965596</v>
      </c>
      <c r="D83">
        <v>0.99999998922799549</v>
      </c>
    </row>
    <row r="84" spans="1:4" x14ac:dyDescent="0.35">
      <c r="A84">
        <v>6</v>
      </c>
      <c r="B84">
        <v>9.7693037561582806E-5</v>
      </c>
      <c r="C84">
        <v>0.90818403355235799</v>
      </c>
      <c r="D84">
        <v>0.99999989901999642</v>
      </c>
    </row>
    <row r="85" spans="1:4" x14ac:dyDescent="0.35">
      <c r="A85">
        <v>6.5</v>
      </c>
      <c r="B85">
        <v>2.5777338543310312E-5</v>
      </c>
      <c r="C85">
        <v>0.7577333105535109</v>
      </c>
      <c r="D85">
        <v>0.99999915742252832</v>
      </c>
    </row>
    <row r="86" spans="1:4" x14ac:dyDescent="0.35">
      <c r="A86">
        <v>7</v>
      </c>
      <c r="B86">
        <v>5.3493356614276647E-6</v>
      </c>
      <c r="C86">
        <v>0.49724228312523894</v>
      </c>
      <c r="D86">
        <v>0.9999944706813626</v>
      </c>
    </row>
    <row r="87" spans="1:4" x14ac:dyDescent="0.35">
      <c r="A87">
        <v>7.5</v>
      </c>
      <c r="B87">
        <v>8.1049271475741141E-7</v>
      </c>
      <c r="C87">
        <v>0.23823969405927112</v>
      </c>
      <c r="D87">
        <v>0.99997350762564985</v>
      </c>
    </row>
    <row r="88" spans="1:4" x14ac:dyDescent="0.35">
      <c r="A88">
        <v>8</v>
      </c>
      <c r="B88">
        <v>9.6815082914315689E-8</v>
      </c>
      <c r="C88">
        <v>8.9992645459992818E-2</v>
      </c>
      <c r="D88">
        <v>0.99989992749077217</v>
      </c>
    </row>
    <row r="89" spans="1:4" x14ac:dyDescent="0.35">
      <c r="A89">
        <v>8.5</v>
      </c>
      <c r="B89">
        <v>1.0313939557423443E-8</v>
      </c>
      <c r="C89">
        <v>3.0317142110354984E-2</v>
      </c>
      <c r="D89">
        <v>0.99966287081573535</v>
      </c>
    </row>
    <row r="90" spans="1:4" x14ac:dyDescent="0.35">
      <c r="A90">
        <v>9</v>
      </c>
      <c r="B90">
        <v>1.0524439453086284E-9</v>
      </c>
      <c r="C90">
        <v>9.782785934015624E-3</v>
      </c>
      <c r="D90">
        <v>0.99891214567753073</v>
      </c>
    </row>
    <row r="91" spans="1:4" x14ac:dyDescent="0.35">
      <c r="A91">
        <v>9.5</v>
      </c>
      <c r="B91">
        <v>1.0570282286640241E-10</v>
      </c>
      <c r="C91">
        <v>3.1070635068911391E-3</v>
      </c>
      <c r="D91">
        <v>0.99654491804523315</v>
      </c>
    </row>
    <row r="92" spans="1:4" x14ac:dyDescent="0.35">
      <c r="A92">
        <v>10</v>
      </c>
      <c r="B92">
        <v>1.0514070671448538E-11</v>
      </c>
      <c r="C92">
        <v>9.7731468904795017E-4</v>
      </c>
      <c r="D92">
        <v>0.9891321744234769</v>
      </c>
    </row>
    <row r="93" spans="1:4" x14ac:dyDescent="0.35">
      <c r="A93">
        <v>10.5</v>
      </c>
      <c r="B93">
        <v>1.0279382140879036E-12</v>
      </c>
      <c r="C93">
        <v>3.0215552696995901E-4</v>
      </c>
      <c r="D93">
        <v>0.96640003854391399</v>
      </c>
    </row>
    <row r="94" spans="1:4" x14ac:dyDescent="0.35">
      <c r="A94">
        <v>11</v>
      </c>
      <c r="B94">
        <v>9.5849895191787765E-14</v>
      </c>
      <c r="C94">
        <v>8.9095377551556398E-5</v>
      </c>
      <c r="D94">
        <v>0.90092515306168552</v>
      </c>
    </row>
    <row r="95" spans="1:4" x14ac:dyDescent="0.35">
      <c r="A95">
        <v>11.5</v>
      </c>
      <c r="B95">
        <v>7.8942964174893614E-15</v>
      </c>
      <c r="C95">
        <v>2.3204753496752663E-5</v>
      </c>
      <c r="D95">
        <v>0.74196109093393459</v>
      </c>
    </row>
    <row r="96" spans="1:4" x14ac:dyDescent="0.35">
      <c r="A96">
        <v>12</v>
      </c>
      <c r="B96">
        <v>5.0671509710784479E-16</v>
      </c>
      <c r="C96">
        <v>4.7100701314124426E-6</v>
      </c>
      <c r="D96">
        <v>0.47623603983247548</v>
      </c>
    </row>
    <row r="97" spans="1:4" x14ac:dyDescent="0.35">
      <c r="A97">
        <v>12.5</v>
      </c>
      <c r="B97">
        <v>2.3761330413170997E-17</v>
      </c>
      <c r="C97">
        <v>6.9844832986276143E-7</v>
      </c>
      <c r="D97">
        <v>0.22331928603678119</v>
      </c>
    </row>
    <row r="98" spans="1:4" x14ac:dyDescent="0.35">
      <c r="A98">
        <v>13</v>
      </c>
      <c r="B98">
        <v>8.8681571813298727E-19</v>
      </c>
      <c r="C98">
        <v>8.2432204003423315E-8</v>
      </c>
      <c r="D98">
        <v>8.3346608144804921E-2</v>
      </c>
    </row>
    <row r="99" spans="1:4" x14ac:dyDescent="0.35">
      <c r="A99">
        <v>13.5</v>
      </c>
      <c r="B99">
        <v>2.973836835196979E-20</v>
      </c>
      <c r="C99">
        <v>8.7413934095742698E-9</v>
      </c>
      <c r="D99">
        <v>2.7949329347893639E-2</v>
      </c>
    </row>
    <row r="100" spans="1:4" x14ac:dyDescent="0.35">
      <c r="A100">
        <v>14</v>
      </c>
      <c r="B100">
        <v>9.5873208598340232E-22</v>
      </c>
      <c r="C100">
        <v>8.9117047972524503E-10</v>
      </c>
      <c r="D100">
        <v>9.0105525561927566E-3</v>
      </c>
    </row>
  </sheetData>
  <printOptions gridLines="1" gridLinesSet="0"/>
  <pageMargins left="0.75" right="0.75" top="1" bottom="1" header="0.5" footer="0.5"/>
  <pageSetup paperSize="9" orientation="portrait" horizontalDpi="0" verticalDpi="0" copies="0" r:id="rId1"/>
  <headerFooter alignWithMargins="0">
    <oddHeader>&amp;A</oddHeader>
    <oddFooter>Page &amp;P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Speciation calculations</vt:lpstr>
      <vt:lpstr>Log Speciation Diagram</vt:lpstr>
      <vt:lpstr>Solver Exercise</vt:lpstr>
      <vt:lpstr>Other speciation diagrams</vt:lpstr>
      <vt:lpstr>Ca</vt:lpstr>
      <vt:lpstr>K1_</vt:lpstr>
      <vt:lpstr>K2_</vt:lpstr>
      <vt:lpstr>K3_</vt:lpstr>
      <vt:lpstr>Kw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Steve Leharne</dc:creator>
  <cp:keywords/>
  <dc:description/>
  <cp:lastModifiedBy>Carina Negreanu</cp:lastModifiedBy>
  <dcterms:created xsi:type="dcterms:W3CDTF">2020-01-27T11:13:24Z</dcterms:created>
  <dcterms:modified xsi:type="dcterms:W3CDTF">2020-01-27T11:13:24Z</dcterms:modified>
</cp:coreProperties>
</file>