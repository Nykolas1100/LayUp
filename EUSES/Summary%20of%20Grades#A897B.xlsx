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8CCA99-372B-41DE-B93A-E505E307C1BB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R7" i="1"/>
  <c r="S7" i="1"/>
  <c r="T7" i="1"/>
  <c r="U7" i="1"/>
  <c r="Q8" i="1"/>
  <c r="R8" i="1"/>
  <c r="S8" i="1"/>
  <c r="T8" i="1"/>
  <c r="U8" i="1"/>
  <c r="Q9" i="1"/>
  <c r="Q22" i="1" s="1"/>
  <c r="R9" i="1"/>
  <c r="R22" i="1" s="1"/>
  <c r="S9" i="1"/>
  <c r="T9" i="1"/>
  <c r="T22" i="1" s="1"/>
  <c r="U9" i="1"/>
  <c r="Q10" i="1"/>
  <c r="Q23" i="1" s="1"/>
  <c r="R10" i="1"/>
  <c r="R23" i="1" s="1"/>
  <c r="S10" i="1"/>
  <c r="S23" i="1" s="1"/>
  <c r="T10" i="1"/>
  <c r="T23" i="1" s="1"/>
  <c r="U10" i="1"/>
  <c r="U23" i="1" s="1"/>
  <c r="Q11" i="1"/>
  <c r="R11" i="1"/>
  <c r="S11" i="1"/>
  <c r="T11" i="1"/>
  <c r="U11" i="1"/>
  <c r="B12" i="1"/>
  <c r="Q12" i="1" s="1"/>
  <c r="C12" i="1"/>
  <c r="R12" i="1" s="1"/>
  <c r="D12" i="1"/>
  <c r="S12" i="1" s="1"/>
  <c r="E12" i="1"/>
  <c r="T12" i="1" s="1"/>
  <c r="F12" i="1"/>
  <c r="U12" i="1" s="1"/>
  <c r="G12" i="1"/>
  <c r="G20" i="1" s="1"/>
  <c r="H12" i="1"/>
  <c r="H20" i="1" s="1"/>
  <c r="I12" i="1"/>
  <c r="I21" i="1" s="1"/>
  <c r="J12" i="1"/>
  <c r="J20" i="1" s="1"/>
  <c r="K12" i="1"/>
  <c r="K20" i="1" s="1"/>
  <c r="L12" i="1"/>
  <c r="L20" i="1" s="1"/>
  <c r="M12" i="1"/>
  <c r="M21" i="1" s="1"/>
  <c r="N12" i="1"/>
  <c r="N20" i="1" s="1"/>
  <c r="O12" i="1"/>
  <c r="O21" i="1" s="1"/>
  <c r="P12" i="1"/>
  <c r="P21" i="1" s="1"/>
  <c r="Q13" i="1"/>
  <c r="R13" i="1"/>
  <c r="S13" i="1"/>
  <c r="T13" i="1"/>
  <c r="U13" i="1"/>
  <c r="Q14" i="1"/>
  <c r="R14" i="1"/>
  <c r="S14" i="1"/>
  <c r="T14" i="1"/>
  <c r="U14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G32" i="1"/>
  <c r="H32" i="1"/>
  <c r="I32" i="1"/>
  <c r="J32" i="1"/>
  <c r="K32" i="1"/>
  <c r="B34" i="1"/>
  <c r="G33" i="1" s="1"/>
  <c r="C34" i="1"/>
  <c r="H33" i="1" s="1"/>
  <c r="D34" i="1"/>
  <c r="I33" i="1" s="1"/>
  <c r="E34" i="1"/>
  <c r="J33" i="1" s="1"/>
  <c r="F34" i="1"/>
  <c r="K33" i="1" s="1"/>
  <c r="U20" i="1" l="1"/>
  <c r="U25" i="1"/>
  <c r="U22" i="1"/>
  <c r="U24" i="1"/>
  <c r="U21" i="1"/>
  <c r="T24" i="1"/>
  <c r="T25" i="1"/>
  <c r="T21" i="1"/>
  <c r="T20" i="1"/>
  <c r="S21" i="1"/>
  <c r="S25" i="1"/>
  <c r="S20" i="1"/>
  <c r="S22" i="1"/>
  <c r="S24" i="1"/>
  <c r="R21" i="1"/>
  <c r="R20" i="1"/>
  <c r="R25" i="1"/>
  <c r="R24" i="1"/>
  <c r="Q20" i="1"/>
  <c r="Q21" i="1"/>
  <c r="Q24" i="1"/>
  <c r="Q25" i="1"/>
  <c r="O24" i="1"/>
  <c r="M20" i="1"/>
  <c r="L21" i="1"/>
  <c r="J23" i="1"/>
  <c r="P24" i="1"/>
  <c r="P23" i="1"/>
  <c r="P22" i="1"/>
  <c r="P20" i="1"/>
  <c r="O23" i="1"/>
  <c r="O20" i="1"/>
  <c r="N24" i="1"/>
  <c r="M24" i="1"/>
  <c r="M22" i="1"/>
  <c r="K23" i="1"/>
  <c r="I25" i="1"/>
  <c r="I24" i="1"/>
  <c r="I22" i="1"/>
  <c r="I20" i="1"/>
  <c r="P25" i="1"/>
  <c r="O25" i="1"/>
  <c r="O22" i="1"/>
  <c r="N25" i="1"/>
  <c r="N23" i="1"/>
  <c r="N22" i="1"/>
  <c r="N21" i="1"/>
  <c r="M25" i="1"/>
  <c r="M23" i="1"/>
  <c r="L25" i="1"/>
  <c r="L24" i="1"/>
  <c r="L23" i="1"/>
  <c r="L22" i="1"/>
  <c r="K25" i="1"/>
  <c r="K24" i="1"/>
  <c r="K22" i="1"/>
  <c r="K21" i="1"/>
  <c r="J25" i="1"/>
  <c r="J24" i="1"/>
  <c r="J22" i="1"/>
  <c r="J21" i="1"/>
  <c r="I23" i="1"/>
  <c r="H25" i="1"/>
  <c r="H24" i="1"/>
  <c r="H23" i="1"/>
  <c r="H22" i="1"/>
  <c r="H21" i="1"/>
  <c r="G25" i="1"/>
  <c r="G24" i="1"/>
  <c r="G23" i="1"/>
  <c r="G22" i="1"/>
  <c r="G21" i="1"/>
</calcChain>
</file>

<file path=xl/sharedStrings.xml><?xml version="1.0" encoding="utf-8"?>
<sst xmlns="http://schemas.openxmlformats.org/spreadsheetml/2006/main" count="35" uniqueCount="18">
  <si>
    <t>Summary of School Grades - Duval County</t>
  </si>
  <si>
    <t>Elementary</t>
  </si>
  <si>
    <t>A</t>
  </si>
  <si>
    <t>B</t>
  </si>
  <si>
    <t>C</t>
  </si>
  <si>
    <t>D</t>
  </si>
  <si>
    <t>F</t>
  </si>
  <si>
    <t>Total</t>
  </si>
  <si>
    <t>Middle</t>
  </si>
  <si>
    <t>High</t>
  </si>
  <si>
    <t>All</t>
  </si>
  <si>
    <t>By Percent of Schools</t>
  </si>
  <si>
    <t>By Number of Schools</t>
  </si>
  <si>
    <t>A + B</t>
  </si>
  <si>
    <t>N</t>
  </si>
  <si>
    <t>I</t>
  </si>
  <si>
    <t>Charter Schools - Number</t>
  </si>
  <si>
    <t>Charter Schools -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</si>
</sst>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"/>
  </numFmts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176" fontId="1" fillId="0" borderId="13" xfId="0" applyNumberFormat="1" applyFont="1" applyBorder="1"/>
    <xf numFmtId="176" fontId="1" fillId="0" borderId="14" xfId="0" applyNumberFormat="1" applyFont="1" applyBorder="1"/>
    <xf numFmtId="176" fontId="1" fillId="0" borderId="15" xfId="0" applyNumberFormat="1" applyFont="1" applyBorder="1"/>
    <xf numFmtId="176" fontId="3" fillId="0" borderId="16" xfId="0" applyNumberFormat="1" applyFont="1" applyBorder="1" applyAlignment="1">
      <alignment horizontal="right"/>
    </xf>
    <xf numFmtId="176" fontId="3" fillId="0" borderId="17" xfId="0" applyNumberFormat="1" applyFont="1" applyBorder="1" applyAlignment="1">
      <alignment horizontal="right"/>
    </xf>
    <xf numFmtId="176" fontId="3" fillId="0" borderId="18" xfId="0" applyNumberFormat="1" applyFont="1" applyBorder="1" applyAlignment="1">
      <alignment horizontal="right"/>
    </xf>
    <xf numFmtId="176" fontId="3" fillId="0" borderId="19" xfId="0" applyNumberFormat="1" applyFont="1" applyBorder="1" applyAlignment="1">
      <alignment horizontal="right"/>
    </xf>
    <xf numFmtId="176" fontId="3" fillId="0" borderId="20" xfId="0" applyNumberFormat="1" applyFont="1" applyBorder="1" applyAlignment="1">
      <alignment horizontal="right"/>
    </xf>
    <xf numFmtId="176" fontId="3" fillId="0" borderId="21" xfId="0" applyNumberFormat="1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176" fontId="3" fillId="0" borderId="2" xfId="0" applyNumberFormat="1" applyFont="1" applyBorder="1" applyAlignment="1">
      <alignment horizontal="right"/>
    </xf>
    <xf numFmtId="176" fontId="3" fillId="0" borderId="3" xfId="0" applyNumberFormat="1" applyFont="1" applyBorder="1" applyAlignment="1">
      <alignment horizontal="right"/>
    </xf>
    <xf numFmtId="176" fontId="1" fillId="0" borderId="22" xfId="0" applyNumberFormat="1" applyFont="1" applyBorder="1"/>
    <xf numFmtId="9" fontId="1" fillId="0" borderId="18" xfId="0" applyNumberFormat="1" applyFont="1" applyBorder="1" applyAlignment="1">
      <alignment horizontal="right"/>
    </xf>
    <xf numFmtId="9" fontId="1" fillId="0" borderId="21" xfId="0" applyNumberFormat="1" applyFont="1" applyBorder="1" applyAlignment="1">
      <alignment horizontal="right"/>
    </xf>
    <xf numFmtId="9" fontId="1" fillId="0" borderId="3" xfId="0" applyNumberFormat="1" applyFont="1" applyBorder="1" applyAlignment="1">
      <alignment horizontal="right"/>
    </xf>
    <xf numFmtId="9" fontId="1" fillId="0" borderId="23" xfId="0" applyNumberFormat="1" applyFont="1" applyFill="1" applyBorder="1" applyAlignment="1">
      <alignment horizontal="right"/>
    </xf>
    <xf numFmtId="9" fontId="1" fillId="0" borderId="15" xfId="0" applyNumberFormat="1" applyFont="1" applyFill="1" applyBorder="1" applyAlignment="1">
      <alignment horizontal="right"/>
    </xf>
    <xf numFmtId="9" fontId="1" fillId="0" borderId="13" xfId="0" applyNumberFormat="1" applyFont="1" applyFill="1" applyBorder="1" applyAlignment="1">
      <alignment horizontal="right"/>
    </xf>
    <xf numFmtId="9" fontId="1" fillId="0" borderId="22" xfId="0" applyNumberFormat="1" applyFont="1" applyFill="1" applyBorder="1" applyAlignment="1">
      <alignment horizontal="right"/>
    </xf>
    <xf numFmtId="9" fontId="1" fillId="0" borderId="14" xfId="0" applyNumberFormat="1" applyFont="1" applyFill="1" applyBorder="1" applyAlignment="1">
      <alignment horizontal="right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176" fontId="0" fillId="0" borderId="16" xfId="0" applyNumberFormat="1" applyBorder="1"/>
    <xf numFmtId="176" fontId="0" fillId="0" borderId="17" xfId="0" applyNumberFormat="1" applyBorder="1"/>
    <xf numFmtId="176" fontId="0" fillId="0" borderId="18" xfId="0" applyNumberFormat="1" applyBorder="1"/>
    <xf numFmtId="176" fontId="0" fillId="0" borderId="1" xfId="0" applyNumberFormat="1" applyBorder="1"/>
    <xf numFmtId="176" fontId="0" fillId="0" borderId="2" xfId="0" applyNumberFormat="1" applyBorder="1"/>
    <xf numFmtId="176" fontId="0" fillId="0" borderId="3" xfId="0" applyNumberFormat="1" applyBorder="1"/>
    <xf numFmtId="176" fontId="1" fillId="0" borderId="23" xfId="0" applyNumberFormat="1" applyFont="1" applyBorder="1"/>
    <xf numFmtId="9" fontId="3" fillId="0" borderId="16" xfId="0" applyNumberFormat="1" applyFont="1" applyBorder="1" applyAlignment="1">
      <alignment horizontal="right"/>
    </xf>
    <xf numFmtId="9" fontId="3" fillId="0" borderId="17" xfId="0" applyNumberFormat="1" applyFont="1" applyBorder="1" applyAlignment="1">
      <alignment horizontal="right"/>
    </xf>
    <xf numFmtId="9" fontId="3" fillId="0" borderId="18" xfId="0" applyNumberFormat="1" applyFont="1" applyBorder="1" applyAlignment="1">
      <alignment horizontal="right"/>
    </xf>
    <xf numFmtId="9" fontId="3" fillId="0" borderId="19" xfId="0" applyNumberFormat="1" applyFont="1" applyBorder="1" applyAlignment="1">
      <alignment horizontal="right"/>
    </xf>
    <xf numFmtId="9" fontId="3" fillId="0" borderId="20" xfId="0" applyNumberFormat="1" applyFont="1" applyBorder="1" applyAlignment="1">
      <alignment horizontal="right"/>
    </xf>
    <xf numFmtId="9" fontId="3" fillId="0" borderId="2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9" fontId="3" fillId="0" borderId="2" xfId="0" applyNumberFormat="1" applyFont="1" applyBorder="1" applyAlignment="1">
      <alignment horizontal="right"/>
    </xf>
    <xf numFmtId="9" fontId="3" fillId="0" borderId="3" xfId="0" applyNumberFormat="1" applyFont="1" applyBorder="1" applyAlignment="1">
      <alignment horizontal="right"/>
    </xf>
    <xf numFmtId="9" fontId="1" fillId="0" borderId="24" xfId="0" applyNumberFormat="1" applyFont="1" applyBorder="1"/>
    <xf numFmtId="9" fontId="1" fillId="0" borderId="25" xfId="0" applyNumberFormat="1" applyFont="1" applyBorder="1"/>
    <xf numFmtId="176" fontId="0" fillId="0" borderId="26" xfId="0" applyNumberFormat="1" applyBorder="1"/>
    <xf numFmtId="176" fontId="0" fillId="0" borderId="0" xfId="0" applyNumberFormat="1" applyBorder="1"/>
    <xf numFmtId="176" fontId="1" fillId="0" borderId="27" xfId="0" applyNumberFormat="1" applyFont="1" applyBorder="1" applyAlignment="1">
      <alignment horizontal="right"/>
    </xf>
    <xf numFmtId="176" fontId="1" fillId="0" borderId="28" xfId="0" applyNumberFormat="1" applyFont="1" applyBorder="1" applyAlignment="1">
      <alignment horizontal="right"/>
    </xf>
    <xf numFmtId="176" fontId="1" fillId="0" borderId="11" xfId="0" applyNumberFormat="1" applyFont="1" applyBorder="1" applyAlignment="1">
      <alignment horizontal="right"/>
    </xf>
    <xf numFmtId="176" fontId="1" fillId="0" borderId="27" xfId="0" applyNumberFormat="1" applyFont="1" applyBorder="1"/>
    <xf numFmtId="176" fontId="1" fillId="0" borderId="11" xfId="0" applyNumberFormat="1" applyFont="1" applyBorder="1"/>
    <xf numFmtId="176" fontId="1" fillId="0" borderId="18" xfId="0" applyNumberFormat="1" applyFont="1" applyBorder="1" applyAlignment="1">
      <alignment horizontal="right"/>
    </xf>
    <xf numFmtId="176" fontId="1" fillId="0" borderId="21" xfId="0" applyNumberFormat="1" applyFont="1" applyBorder="1" applyAlignment="1">
      <alignment horizontal="right"/>
    </xf>
    <xf numFmtId="176" fontId="1" fillId="0" borderId="3" xfId="0" applyNumberFormat="1" applyFont="1" applyBorder="1" applyAlignment="1">
      <alignment horizontal="right"/>
    </xf>
    <xf numFmtId="176" fontId="1" fillId="0" borderId="18" xfId="0" applyNumberFormat="1" applyFont="1" applyBorder="1"/>
    <xf numFmtId="176" fontId="1" fillId="0" borderId="3" xfId="0" applyNumberFormat="1" applyFont="1" applyBorder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workbookViewId="0">
      <selection activeCell="E35" sqref="E35"/>
    </sheetView>
  </sheetViews>
  <sheetFormatPr defaultRowHeight="12.5" x14ac:dyDescent="0.25"/>
  <cols>
    <col min="1" max="1" width="7.26953125" customWidth="1"/>
    <col min="2" max="21" width="5.7265625" customWidth="1"/>
  </cols>
  <sheetData>
    <row r="1" spans="1:21" ht="15.5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6" customHeight="1" x14ac:dyDescent="0.25"/>
    <row r="3" spans="1:21" ht="13" x14ac:dyDescent="0.3">
      <c r="A3" s="74" t="s">
        <v>12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spans="1:21" ht="6" customHeight="1" x14ac:dyDescent="0.25"/>
    <row r="5" spans="1:21" ht="13" x14ac:dyDescent="0.3">
      <c r="A5" s="1"/>
      <c r="B5" s="69" t="s">
        <v>1</v>
      </c>
      <c r="C5" s="70"/>
      <c r="D5" s="70"/>
      <c r="E5" s="70"/>
      <c r="F5" s="72"/>
      <c r="G5" s="69" t="s">
        <v>8</v>
      </c>
      <c r="H5" s="70"/>
      <c r="I5" s="70"/>
      <c r="J5" s="70"/>
      <c r="K5" s="72"/>
      <c r="L5" s="69" t="s">
        <v>9</v>
      </c>
      <c r="M5" s="70"/>
      <c r="N5" s="70"/>
      <c r="O5" s="70"/>
      <c r="P5" s="72"/>
      <c r="Q5" s="69" t="s">
        <v>10</v>
      </c>
      <c r="R5" s="70"/>
      <c r="S5" s="70"/>
      <c r="T5" s="70"/>
      <c r="U5" s="71"/>
    </row>
    <row r="6" spans="1:21" ht="13" x14ac:dyDescent="0.3">
      <c r="A6" s="2"/>
      <c r="B6" s="3">
        <v>1999</v>
      </c>
      <c r="C6" s="4">
        <v>2000</v>
      </c>
      <c r="D6" s="4">
        <v>2001</v>
      </c>
      <c r="E6" s="4">
        <v>2002</v>
      </c>
      <c r="F6" s="13">
        <v>2003</v>
      </c>
      <c r="G6" s="3">
        <v>1999</v>
      </c>
      <c r="H6" s="4">
        <v>2000</v>
      </c>
      <c r="I6" s="4">
        <v>2001</v>
      </c>
      <c r="J6" s="4">
        <v>2002</v>
      </c>
      <c r="K6" s="13">
        <v>2003</v>
      </c>
      <c r="L6" s="3">
        <v>1999</v>
      </c>
      <c r="M6" s="4">
        <v>2000</v>
      </c>
      <c r="N6" s="4">
        <v>2001</v>
      </c>
      <c r="O6" s="4">
        <v>2002</v>
      </c>
      <c r="P6" s="13">
        <v>2003</v>
      </c>
      <c r="Q6" s="3">
        <v>1999</v>
      </c>
      <c r="R6" s="4">
        <v>2000</v>
      </c>
      <c r="S6" s="4">
        <v>2001</v>
      </c>
      <c r="T6" s="4">
        <v>2002</v>
      </c>
      <c r="U6" s="5">
        <v>2003</v>
      </c>
    </row>
    <row r="7" spans="1:21" ht="13" x14ac:dyDescent="0.3">
      <c r="A7" s="6" t="s">
        <v>2</v>
      </c>
      <c r="B7" s="18">
        <v>6</v>
      </c>
      <c r="C7" s="19">
        <v>14</v>
      </c>
      <c r="D7" s="19">
        <v>12</v>
      </c>
      <c r="E7" s="19">
        <v>30</v>
      </c>
      <c r="F7" s="58">
        <v>35</v>
      </c>
      <c r="G7" s="18">
        <v>2</v>
      </c>
      <c r="H7" s="19">
        <v>1</v>
      </c>
      <c r="I7" s="19">
        <v>5</v>
      </c>
      <c r="J7" s="19">
        <v>8</v>
      </c>
      <c r="K7" s="58">
        <v>7</v>
      </c>
      <c r="L7" s="18">
        <v>2</v>
      </c>
      <c r="M7" s="19">
        <v>0</v>
      </c>
      <c r="N7" s="19">
        <v>4</v>
      </c>
      <c r="O7" s="19">
        <v>3</v>
      </c>
      <c r="P7" s="58">
        <v>3</v>
      </c>
      <c r="Q7" s="18">
        <f t="shared" ref="Q7:S12" si="0">B7+G7+L7</f>
        <v>10</v>
      </c>
      <c r="R7" s="19">
        <f t="shared" si="0"/>
        <v>15</v>
      </c>
      <c r="S7" s="19">
        <f t="shared" si="0"/>
        <v>21</v>
      </c>
      <c r="T7" s="19">
        <f t="shared" ref="T7:U12" si="1">E7+J7+O7</f>
        <v>41</v>
      </c>
      <c r="U7" s="63">
        <f t="shared" ref="U7:U12" si="2">F7+K7+P7</f>
        <v>45</v>
      </c>
    </row>
    <row r="8" spans="1:21" ht="13" x14ac:dyDescent="0.3">
      <c r="A8" s="7" t="s">
        <v>3</v>
      </c>
      <c r="B8" s="21">
        <v>5</v>
      </c>
      <c r="C8" s="22">
        <v>13</v>
      </c>
      <c r="D8" s="22">
        <v>12</v>
      </c>
      <c r="E8" s="22">
        <v>18</v>
      </c>
      <c r="F8" s="59">
        <v>26</v>
      </c>
      <c r="G8" s="21">
        <v>2</v>
      </c>
      <c r="H8" s="22">
        <v>2</v>
      </c>
      <c r="I8" s="22">
        <v>1</v>
      </c>
      <c r="J8" s="22">
        <v>1</v>
      </c>
      <c r="K8" s="59">
        <v>3</v>
      </c>
      <c r="L8" s="21">
        <v>0</v>
      </c>
      <c r="M8" s="22">
        <v>0</v>
      </c>
      <c r="N8" s="22">
        <v>0</v>
      </c>
      <c r="O8" s="22">
        <v>1</v>
      </c>
      <c r="P8" s="59">
        <v>3</v>
      </c>
      <c r="Q8" s="21">
        <f t="shared" si="0"/>
        <v>7</v>
      </c>
      <c r="R8" s="22">
        <f t="shared" si="0"/>
        <v>15</v>
      </c>
      <c r="S8" s="22">
        <f t="shared" ref="S8:T12" si="3">D8+I8+N8</f>
        <v>13</v>
      </c>
      <c r="T8" s="22">
        <f t="shared" si="1"/>
        <v>20</v>
      </c>
      <c r="U8" s="22">
        <f t="shared" si="1"/>
        <v>32</v>
      </c>
    </row>
    <row r="9" spans="1:21" ht="13" x14ac:dyDescent="0.3">
      <c r="A9" s="7" t="s">
        <v>4</v>
      </c>
      <c r="B9" s="21">
        <v>48</v>
      </c>
      <c r="C9" s="22">
        <v>46</v>
      </c>
      <c r="D9" s="22">
        <v>42</v>
      </c>
      <c r="E9" s="22">
        <v>32</v>
      </c>
      <c r="F9" s="59">
        <v>26</v>
      </c>
      <c r="G9" s="21">
        <v>10</v>
      </c>
      <c r="H9" s="22">
        <v>15</v>
      </c>
      <c r="I9" s="22">
        <v>12</v>
      </c>
      <c r="J9" s="22">
        <v>9</v>
      </c>
      <c r="K9" s="59">
        <v>11</v>
      </c>
      <c r="L9" s="21">
        <v>12</v>
      </c>
      <c r="M9" s="22">
        <v>14</v>
      </c>
      <c r="N9" s="22">
        <v>13</v>
      </c>
      <c r="O9" s="22">
        <v>5</v>
      </c>
      <c r="P9" s="59">
        <v>4</v>
      </c>
      <c r="Q9" s="21">
        <f t="shared" si="0"/>
        <v>70</v>
      </c>
      <c r="R9" s="22">
        <f t="shared" si="0"/>
        <v>75</v>
      </c>
      <c r="S9" s="22">
        <f t="shared" si="3"/>
        <v>67</v>
      </c>
      <c r="T9" s="22">
        <f t="shared" si="3"/>
        <v>46</v>
      </c>
      <c r="U9" s="64">
        <f t="shared" si="2"/>
        <v>41</v>
      </c>
    </row>
    <row r="10" spans="1:21" ht="13" x14ac:dyDescent="0.3">
      <c r="A10" s="7" t="s">
        <v>5</v>
      </c>
      <c r="B10" s="21">
        <v>37</v>
      </c>
      <c r="C10" s="22">
        <v>21</v>
      </c>
      <c r="D10" s="22">
        <v>26</v>
      </c>
      <c r="E10" s="22">
        <v>12</v>
      </c>
      <c r="F10" s="59">
        <v>9</v>
      </c>
      <c r="G10" s="21">
        <v>9</v>
      </c>
      <c r="H10" s="22">
        <v>5</v>
      </c>
      <c r="I10" s="22">
        <v>5</v>
      </c>
      <c r="J10" s="22">
        <v>3</v>
      </c>
      <c r="K10" s="59">
        <v>3</v>
      </c>
      <c r="L10" s="21">
        <v>5</v>
      </c>
      <c r="M10" s="22">
        <v>5</v>
      </c>
      <c r="N10" s="22">
        <v>2</v>
      </c>
      <c r="O10" s="22">
        <v>7</v>
      </c>
      <c r="P10" s="59">
        <v>7</v>
      </c>
      <c r="Q10" s="21">
        <f t="shared" si="0"/>
        <v>51</v>
      </c>
      <c r="R10" s="22">
        <f t="shared" si="0"/>
        <v>31</v>
      </c>
      <c r="S10" s="22">
        <f t="shared" si="3"/>
        <v>33</v>
      </c>
      <c r="T10" s="22">
        <f t="shared" si="1"/>
        <v>22</v>
      </c>
      <c r="U10" s="64">
        <f t="shared" si="2"/>
        <v>19</v>
      </c>
    </row>
    <row r="11" spans="1:21" ht="13" x14ac:dyDescent="0.3">
      <c r="A11" s="8" t="s">
        <v>6</v>
      </c>
      <c r="B11" s="24">
        <v>4</v>
      </c>
      <c r="C11" s="25">
        <v>1</v>
      </c>
      <c r="D11" s="25">
        <v>0</v>
      </c>
      <c r="E11" s="25">
        <v>5</v>
      </c>
      <c r="F11" s="60">
        <v>3</v>
      </c>
      <c r="G11" s="24">
        <v>0</v>
      </c>
      <c r="H11" s="25">
        <v>0</v>
      </c>
      <c r="I11" s="25">
        <v>0</v>
      </c>
      <c r="J11" s="25">
        <v>3</v>
      </c>
      <c r="K11" s="60">
        <v>0</v>
      </c>
      <c r="L11" s="24">
        <v>0</v>
      </c>
      <c r="M11" s="25">
        <v>0</v>
      </c>
      <c r="N11" s="25">
        <v>0</v>
      </c>
      <c r="O11" s="25">
        <v>3</v>
      </c>
      <c r="P11" s="60">
        <v>1</v>
      </c>
      <c r="Q11" s="24">
        <f t="shared" si="0"/>
        <v>4</v>
      </c>
      <c r="R11" s="25">
        <f t="shared" si="0"/>
        <v>1</v>
      </c>
      <c r="S11" s="25">
        <f t="shared" si="3"/>
        <v>0</v>
      </c>
      <c r="T11" s="25">
        <f t="shared" si="1"/>
        <v>11</v>
      </c>
      <c r="U11" s="65">
        <f t="shared" si="2"/>
        <v>4</v>
      </c>
    </row>
    <row r="12" spans="1:21" ht="13" x14ac:dyDescent="0.3">
      <c r="A12" s="9" t="s">
        <v>7</v>
      </c>
      <c r="B12" s="17">
        <f t="shared" ref="B12:P12" si="4">SUM(B7:B11)</f>
        <v>100</v>
      </c>
      <c r="C12" s="17">
        <f t="shared" si="4"/>
        <v>95</v>
      </c>
      <c r="D12" s="17">
        <f t="shared" si="4"/>
        <v>92</v>
      </c>
      <c r="E12" s="17">
        <f t="shared" si="4"/>
        <v>97</v>
      </c>
      <c r="F12" s="15">
        <f t="shared" si="4"/>
        <v>99</v>
      </c>
      <c r="G12" s="27">
        <f t="shared" si="4"/>
        <v>23</v>
      </c>
      <c r="H12" s="17">
        <f t="shared" si="4"/>
        <v>23</v>
      </c>
      <c r="I12" s="17">
        <f t="shared" si="4"/>
        <v>23</v>
      </c>
      <c r="J12" s="17">
        <f t="shared" si="4"/>
        <v>24</v>
      </c>
      <c r="K12" s="15">
        <f t="shared" si="4"/>
        <v>24</v>
      </c>
      <c r="L12" s="27">
        <f t="shared" si="4"/>
        <v>19</v>
      </c>
      <c r="M12" s="17">
        <f t="shared" si="4"/>
        <v>19</v>
      </c>
      <c r="N12" s="17">
        <f t="shared" si="4"/>
        <v>19</v>
      </c>
      <c r="O12" s="17">
        <f t="shared" si="4"/>
        <v>19</v>
      </c>
      <c r="P12" s="15">
        <f t="shared" si="4"/>
        <v>18</v>
      </c>
      <c r="Q12" s="27">
        <f t="shared" si="0"/>
        <v>142</v>
      </c>
      <c r="R12" s="17">
        <f t="shared" si="0"/>
        <v>137</v>
      </c>
      <c r="S12" s="17">
        <f t="shared" si="3"/>
        <v>134</v>
      </c>
      <c r="T12" s="17">
        <f t="shared" si="1"/>
        <v>140</v>
      </c>
      <c r="U12" s="16">
        <f t="shared" si="2"/>
        <v>141</v>
      </c>
    </row>
    <row r="13" spans="1:21" ht="13" x14ac:dyDescent="0.3">
      <c r="A13" s="36" t="s">
        <v>14</v>
      </c>
      <c r="B13" s="38">
        <v>0</v>
      </c>
      <c r="C13" s="39">
        <v>0</v>
      </c>
      <c r="D13" s="39">
        <v>5</v>
      </c>
      <c r="E13" s="39">
        <v>3</v>
      </c>
      <c r="F13" s="61">
        <v>3</v>
      </c>
      <c r="G13" s="38">
        <v>0</v>
      </c>
      <c r="H13" s="39">
        <v>0</v>
      </c>
      <c r="I13" s="39">
        <v>1</v>
      </c>
      <c r="J13" s="39">
        <v>0</v>
      </c>
      <c r="K13" s="61">
        <v>1</v>
      </c>
      <c r="L13" s="38">
        <v>0</v>
      </c>
      <c r="M13" s="39">
        <v>0</v>
      </c>
      <c r="N13" s="39">
        <v>0</v>
      </c>
      <c r="O13" s="39">
        <v>0</v>
      </c>
      <c r="P13" s="61">
        <v>0</v>
      </c>
      <c r="Q13" s="38">
        <f t="shared" ref="Q13:U14" si="5">B13+G13+L13</f>
        <v>0</v>
      </c>
      <c r="R13" s="39">
        <f t="shared" si="5"/>
        <v>0</v>
      </c>
      <c r="S13" s="39">
        <f t="shared" si="5"/>
        <v>6</v>
      </c>
      <c r="T13" s="39">
        <f t="shared" si="5"/>
        <v>3</v>
      </c>
      <c r="U13" s="66">
        <f t="shared" si="5"/>
        <v>4</v>
      </c>
    </row>
    <row r="14" spans="1:21" ht="13" x14ac:dyDescent="0.3">
      <c r="A14" s="37" t="s">
        <v>15</v>
      </c>
      <c r="B14" s="41">
        <v>0</v>
      </c>
      <c r="C14" s="42">
        <v>0</v>
      </c>
      <c r="D14" s="42">
        <v>0</v>
      </c>
      <c r="E14" s="42">
        <v>0</v>
      </c>
      <c r="F14" s="62">
        <v>1</v>
      </c>
      <c r="G14" s="41">
        <v>0</v>
      </c>
      <c r="H14" s="42">
        <v>0</v>
      </c>
      <c r="I14" s="42">
        <v>0</v>
      </c>
      <c r="J14" s="42">
        <v>0</v>
      </c>
      <c r="K14" s="62">
        <v>0</v>
      </c>
      <c r="L14" s="41">
        <v>0</v>
      </c>
      <c r="M14" s="42">
        <v>0</v>
      </c>
      <c r="N14" s="42">
        <v>0</v>
      </c>
      <c r="O14" s="42">
        <v>0</v>
      </c>
      <c r="P14" s="62">
        <v>1</v>
      </c>
      <c r="Q14" s="41">
        <f t="shared" si="5"/>
        <v>0</v>
      </c>
      <c r="R14" s="42">
        <f t="shared" si="5"/>
        <v>0</v>
      </c>
      <c r="S14" s="42">
        <f t="shared" si="5"/>
        <v>0</v>
      </c>
      <c r="T14" s="42">
        <f t="shared" si="5"/>
        <v>0</v>
      </c>
      <c r="U14" s="67">
        <f t="shared" si="5"/>
        <v>2</v>
      </c>
    </row>
    <row r="15" spans="1:21" ht="11.25" customHeight="1" x14ac:dyDescent="0.25"/>
    <row r="16" spans="1:21" ht="13" x14ac:dyDescent="0.3">
      <c r="A16" s="73" t="s">
        <v>11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</row>
    <row r="17" spans="1:21" ht="6" customHeight="1" x14ac:dyDescent="0.25"/>
    <row r="18" spans="1:21" ht="13" x14ac:dyDescent="0.3">
      <c r="A18" s="1"/>
      <c r="B18" s="69" t="s">
        <v>1</v>
      </c>
      <c r="C18" s="70"/>
      <c r="D18" s="70"/>
      <c r="E18" s="70"/>
      <c r="F18" s="71"/>
      <c r="G18" s="69" t="s">
        <v>8</v>
      </c>
      <c r="H18" s="70"/>
      <c r="I18" s="70"/>
      <c r="J18" s="70"/>
      <c r="K18" s="71"/>
      <c r="L18" s="69" t="s">
        <v>9</v>
      </c>
      <c r="M18" s="70"/>
      <c r="N18" s="70"/>
      <c r="O18" s="70"/>
      <c r="P18" s="71"/>
      <c r="Q18" s="69" t="s">
        <v>10</v>
      </c>
      <c r="R18" s="70"/>
      <c r="S18" s="70"/>
      <c r="T18" s="70"/>
      <c r="U18" s="71"/>
    </row>
    <row r="19" spans="1:21" ht="13" x14ac:dyDescent="0.3">
      <c r="A19" s="2"/>
      <c r="B19" s="3">
        <v>1999</v>
      </c>
      <c r="C19" s="4">
        <v>2000</v>
      </c>
      <c r="D19" s="4">
        <v>2001</v>
      </c>
      <c r="E19" s="4">
        <v>2002</v>
      </c>
      <c r="F19" s="5">
        <v>2003</v>
      </c>
      <c r="G19" s="3">
        <v>1999</v>
      </c>
      <c r="H19" s="4">
        <v>2000</v>
      </c>
      <c r="I19" s="4">
        <v>2001</v>
      </c>
      <c r="J19" s="4">
        <v>2002</v>
      </c>
      <c r="K19" s="5">
        <v>2003</v>
      </c>
      <c r="L19" s="3">
        <v>1999</v>
      </c>
      <c r="M19" s="4">
        <v>2000</v>
      </c>
      <c r="N19" s="4">
        <v>2001</v>
      </c>
      <c r="O19" s="4">
        <v>2002</v>
      </c>
      <c r="P19" s="5">
        <v>2003</v>
      </c>
      <c r="Q19" s="3">
        <v>1999</v>
      </c>
      <c r="R19" s="4">
        <v>2000</v>
      </c>
      <c r="S19" s="4">
        <v>2001</v>
      </c>
      <c r="T19" s="4">
        <v>2002</v>
      </c>
      <c r="U19" s="5">
        <v>2003</v>
      </c>
    </row>
    <row r="20" spans="1:21" ht="13" x14ac:dyDescent="0.3">
      <c r="A20" s="10" t="s">
        <v>2</v>
      </c>
      <c r="B20" s="45">
        <f>B7/B$12</f>
        <v>0.06</v>
      </c>
      <c r="C20" s="46">
        <f t="shared" ref="C20:U24" si="6">C7/C$12</f>
        <v>0.14736842105263157</v>
      </c>
      <c r="D20" s="46">
        <f t="shared" si="6"/>
        <v>0.13043478260869565</v>
      </c>
      <c r="E20" s="46">
        <f t="shared" si="6"/>
        <v>0.30927835051546393</v>
      </c>
      <c r="F20" s="28">
        <f t="shared" si="6"/>
        <v>0.35353535353535354</v>
      </c>
      <c r="G20" s="45">
        <f t="shared" si="6"/>
        <v>8.6956521739130432E-2</v>
      </c>
      <c r="H20" s="46">
        <f t="shared" si="6"/>
        <v>4.3478260869565216E-2</v>
      </c>
      <c r="I20" s="46">
        <f t="shared" si="6"/>
        <v>0.21739130434782608</v>
      </c>
      <c r="J20" s="46">
        <f t="shared" si="6"/>
        <v>0.33333333333333331</v>
      </c>
      <c r="K20" s="28">
        <f t="shared" si="6"/>
        <v>0.29166666666666669</v>
      </c>
      <c r="L20" s="45">
        <f t="shared" si="6"/>
        <v>0.10526315789473684</v>
      </c>
      <c r="M20" s="46">
        <f t="shared" si="6"/>
        <v>0</v>
      </c>
      <c r="N20" s="46">
        <f t="shared" si="6"/>
        <v>0.21052631578947367</v>
      </c>
      <c r="O20" s="46">
        <f t="shared" si="6"/>
        <v>0.15789473684210525</v>
      </c>
      <c r="P20" s="28">
        <f t="shared" si="6"/>
        <v>0.16666666666666666</v>
      </c>
      <c r="Q20" s="45">
        <f t="shared" si="6"/>
        <v>7.0422535211267609E-2</v>
      </c>
      <c r="R20" s="46">
        <f t="shared" si="6"/>
        <v>0.10948905109489052</v>
      </c>
      <c r="S20" s="46">
        <f t="shared" si="6"/>
        <v>0.15671641791044777</v>
      </c>
      <c r="T20" s="46">
        <f t="shared" si="6"/>
        <v>0.29285714285714287</v>
      </c>
      <c r="U20" s="28">
        <f t="shared" si="6"/>
        <v>0.31914893617021278</v>
      </c>
    </row>
    <row r="21" spans="1:21" ht="13" x14ac:dyDescent="0.3">
      <c r="A21" s="12" t="s">
        <v>3</v>
      </c>
      <c r="B21" s="48">
        <f>B8/B$12</f>
        <v>0.05</v>
      </c>
      <c r="C21" s="49">
        <f t="shared" ref="C21:Q21" si="7">C8/C$12</f>
        <v>0.1368421052631579</v>
      </c>
      <c r="D21" s="49">
        <f t="shared" si="7"/>
        <v>0.13043478260869565</v>
      </c>
      <c r="E21" s="49">
        <f t="shared" si="7"/>
        <v>0.18556701030927836</v>
      </c>
      <c r="F21" s="29">
        <f t="shared" si="7"/>
        <v>0.26262626262626265</v>
      </c>
      <c r="G21" s="48">
        <f t="shared" si="7"/>
        <v>8.6956521739130432E-2</v>
      </c>
      <c r="H21" s="49">
        <f t="shared" si="7"/>
        <v>8.6956521739130432E-2</v>
      </c>
      <c r="I21" s="49">
        <f t="shared" si="7"/>
        <v>4.3478260869565216E-2</v>
      </c>
      <c r="J21" s="49">
        <f t="shared" si="7"/>
        <v>4.1666666666666664E-2</v>
      </c>
      <c r="K21" s="29">
        <f t="shared" si="7"/>
        <v>0.125</v>
      </c>
      <c r="L21" s="48">
        <f t="shared" si="7"/>
        <v>0</v>
      </c>
      <c r="M21" s="49">
        <f t="shared" si="7"/>
        <v>0</v>
      </c>
      <c r="N21" s="49">
        <f t="shared" si="7"/>
        <v>0</v>
      </c>
      <c r="O21" s="49">
        <f t="shared" si="7"/>
        <v>5.2631578947368418E-2</v>
      </c>
      <c r="P21" s="29">
        <f t="shared" si="7"/>
        <v>0.16666666666666666</v>
      </c>
      <c r="Q21" s="48">
        <f t="shared" si="7"/>
        <v>4.9295774647887321E-2</v>
      </c>
      <c r="R21" s="49">
        <f t="shared" si="6"/>
        <v>0.10948905109489052</v>
      </c>
      <c r="S21" s="49">
        <f t="shared" si="6"/>
        <v>9.7014925373134331E-2</v>
      </c>
      <c r="T21" s="49">
        <f t="shared" si="6"/>
        <v>0.14285714285714285</v>
      </c>
      <c r="U21" s="29">
        <f t="shared" si="6"/>
        <v>0.22695035460992907</v>
      </c>
    </row>
    <row r="22" spans="1:21" ht="13" x14ac:dyDescent="0.3">
      <c r="A22" s="12" t="s">
        <v>4</v>
      </c>
      <c r="B22" s="48">
        <f>B9/B$12</f>
        <v>0.48</v>
      </c>
      <c r="C22" s="49">
        <f t="shared" si="6"/>
        <v>0.48421052631578948</v>
      </c>
      <c r="D22" s="49">
        <f t="shared" si="6"/>
        <v>0.45652173913043476</v>
      </c>
      <c r="E22" s="49">
        <f t="shared" si="6"/>
        <v>0.32989690721649484</v>
      </c>
      <c r="F22" s="29">
        <f t="shared" si="6"/>
        <v>0.26262626262626265</v>
      </c>
      <c r="G22" s="48">
        <f t="shared" si="6"/>
        <v>0.43478260869565216</v>
      </c>
      <c r="H22" s="49">
        <f t="shared" si="6"/>
        <v>0.65217391304347827</v>
      </c>
      <c r="I22" s="49">
        <f t="shared" si="6"/>
        <v>0.52173913043478259</v>
      </c>
      <c r="J22" s="49">
        <f t="shared" si="6"/>
        <v>0.375</v>
      </c>
      <c r="K22" s="29">
        <f t="shared" si="6"/>
        <v>0.45833333333333331</v>
      </c>
      <c r="L22" s="48">
        <f t="shared" si="6"/>
        <v>0.63157894736842102</v>
      </c>
      <c r="M22" s="49">
        <f t="shared" si="6"/>
        <v>0.73684210526315785</v>
      </c>
      <c r="N22" s="49">
        <f t="shared" si="6"/>
        <v>0.68421052631578949</v>
      </c>
      <c r="O22" s="49">
        <f t="shared" si="6"/>
        <v>0.26315789473684209</v>
      </c>
      <c r="P22" s="29">
        <f t="shared" si="6"/>
        <v>0.22222222222222221</v>
      </c>
      <c r="Q22" s="48">
        <f t="shared" si="6"/>
        <v>0.49295774647887325</v>
      </c>
      <c r="R22" s="49">
        <f t="shared" si="6"/>
        <v>0.54744525547445255</v>
      </c>
      <c r="S22" s="49">
        <f t="shared" si="6"/>
        <v>0.5</v>
      </c>
      <c r="T22" s="49">
        <f t="shared" si="6"/>
        <v>0.32857142857142857</v>
      </c>
      <c r="U22" s="29">
        <f t="shared" si="6"/>
        <v>0.29078014184397161</v>
      </c>
    </row>
    <row r="23" spans="1:21" ht="13" x14ac:dyDescent="0.3">
      <c r="A23" s="12" t="s">
        <v>5</v>
      </c>
      <c r="B23" s="48">
        <f>B10/B$12</f>
        <v>0.37</v>
      </c>
      <c r="C23" s="49">
        <f t="shared" si="6"/>
        <v>0.22105263157894736</v>
      </c>
      <c r="D23" s="49">
        <f t="shared" si="6"/>
        <v>0.28260869565217389</v>
      </c>
      <c r="E23" s="49">
        <f t="shared" si="6"/>
        <v>0.12371134020618557</v>
      </c>
      <c r="F23" s="29">
        <f t="shared" si="6"/>
        <v>9.0909090909090912E-2</v>
      </c>
      <c r="G23" s="48">
        <f t="shared" si="6"/>
        <v>0.39130434782608697</v>
      </c>
      <c r="H23" s="49">
        <f t="shared" si="6"/>
        <v>0.21739130434782608</v>
      </c>
      <c r="I23" s="49">
        <f t="shared" si="6"/>
        <v>0.21739130434782608</v>
      </c>
      <c r="J23" s="49">
        <f t="shared" si="6"/>
        <v>0.125</v>
      </c>
      <c r="K23" s="29">
        <f t="shared" si="6"/>
        <v>0.125</v>
      </c>
      <c r="L23" s="48">
        <f t="shared" si="6"/>
        <v>0.26315789473684209</v>
      </c>
      <c r="M23" s="49">
        <f t="shared" si="6"/>
        <v>0.26315789473684209</v>
      </c>
      <c r="N23" s="49">
        <f t="shared" si="6"/>
        <v>0.10526315789473684</v>
      </c>
      <c r="O23" s="49">
        <f t="shared" si="6"/>
        <v>0.36842105263157893</v>
      </c>
      <c r="P23" s="29">
        <f t="shared" si="6"/>
        <v>0.3888888888888889</v>
      </c>
      <c r="Q23" s="48">
        <f t="shared" si="6"/>
        <v>0.35915492957746481</v>
      </c>
      <c r="R23" s="49">
        <f t="shared" si="6"/>
        <v>0.22627737226277372</v>
      </c>
      <c r="S23" s="49">
        <f t="shared" si="6"/>
        <v>0.2462686567164179</v>
      </c>
      <c r="T23" s="49">
        <f t="shared" si="6"/>
        <v>0.15714285714285714</v>
      </c>
      <c r="U23" s="29">
        <f t="shared" si="6"/>
        <v>0.13475177304964539</v>
      </c>
    </row>
    <row r="24" spans="1:21" ht="13" x14ac:dyDescent="0.3">
      <c r="A24" s="11" t="s">
        <v>6</v>
      </c>
      <c r="B24" s="51">
        <f>B11/B$12</f>
        <v>0.04</v>
      </c>
      <c r="C24" s="52">
        <f t="shared" si="6"/>
        <v>1.0526315789473684E-2</v>
      </c>
      <c r="D24" s="52">
        <f t="shared" si="6"/>
        <v>0</v>
      </c>
      <c r="E24" s="52">
        <f t="shared" si="6"/>
        <v>5.1546391752577317E-2</v>
      </c>
      <c r="F24" s="30">
        <f t="shared" si="6"/>
        <v>3.0303030303030304E-2</v>
      </c>
      <c r="G24" s="51">
        <f t="shared" si="6"/>
        <v>0</v>
      </c>
      <c r="H24" s="52">
        <f t="shared" si="6"/>
        <v>0</v>
      </c>
      <c r="I24" s="52">
        <f t="shared" si="6"/>
        <v>0</v>
      </c>
      <c r="J24" s="52">
        <f t="shared" si="6"/>
        <v>0.125</v>
      </c>
      <c r="K24" s="30">
        <f t="shared" si="6"/>
        <v>0</v>
      </c>
      <c r="L24" s="51">
        <f t="shared" si="6"/>
        <v>0</v>
      </c>
      <c r="M24" s="52">
        <f t="shared" si="6"/>
        <v>0</v>
      </c>
      <c r="N24" s="52">
        <f t="shared" si="6"/>
        <v>0</v>
      </c>
      <c r="O24" s="52">
        <f t="shared" si="6"/>
        <v>0.15789473684210525</v>
      </c>
      <c r="P24" s="30">
        <f t="shared" si="6"/>
        <v>5.5555555555555552E-2</v>
      </c>
      <c r="Q24" s="51">
        <f t="shared" si="6"/>
        <v>2.8169014084507043E-2</v>
      </c>
      <c r="R24" s="52">
        <f t="shared" si="6"/>
        <v>7.2992700729927005E-3</v>
      </c>
      <c r="S24" s="52">
        <f t="shared" si="6"/>
        <v>0</v>
      </c>
      <c r="T24" s="52">
        <f t="shared" si="6"/>
        <v>7.857142857142857E-2</v>
      </c>
      <c r="U24" s="30">
        <f t="shared" si="6"/>
        <v>2.8368794326241134E-2</v>
      </c>
    </row>
    <row r="25" spans="1:21" ht="13" x14ac:dyDescent="0.3">
      <c r="A25" s="14" t="s">
        <v>13</v>
      </c>
      <c r="B25" s="31">
        <f>(B7+B8)/B12</f>
        <v>0.11</v>
      </c>
      <c r="C25" s="32">
        <f t="shared" ref="C25:U25" si="8">(C7+C8)/C12</f>
        <v>0.28421052631578947</v>
      </c>
      <c r="D25" s="32">
        <f t="shared" si="8"/>
        <v>0.2608695652173913</v>
      </c>
      <c r="E25" s="32">
        <f t="shared" si="8"/>
        <v>0.49484536082474229</v>
      </c>
      <c r="F25" s="33">
        <f t="shared" si="8"/>
        <v>0.61616161616161613</v>
      </c>
      <c r="G25" s="34">
        <f t="shared" si="8"/>
        <v>0.17391304347826086</v>
      </c>
      <c r="H25" s="32">
        <f t="shared" si="8"/>
        <v>0.13043478260869565</v>
      </c>
      <c r="I25" s="32">
        <f t="shared" si="8"/>
        <v>0.2608695652173913</v>
      </c>
      <c r="J25" s="32">
        <f t="shared" si="8"/>
        <v>0.375</v>
      </c>
      <c r="K25" s="33">
        <f t="shared" si="8"/>
        <v>0.41666666666666669</v>
      </c>
      <c r="L25" s="34">
        <f t="shared" si="8"/>
        <v>0.10526315789473684</v>
      </c>
      <c r="M25" s="32">
        <f t="shared" si="8"/>
        <v>0</v>
      </c>
      <c r="N25" s="32">
        <f t="shared" si="8"/>
        <v>0.21052631578947367</v>
      </c>
      <c r="O25" s="32">
        <f t="shared" si="8"/>
        <v>0.21052631578947367</v>
      </c>
      <c r="P25" s="33">
        <f t="shared" si="8"/>
        <v>0.33333333333333331</v>
      </c>
      <c r="Q25" s="34">
        <f t="shared" si="8"/>
        <v>0.11971830985915492</v>
      </c>
      <c r="R25" s="32">
        <f t="shared" si="8"/>
        <v>0.21897810218978103</v>
      </c>
      <c r="S25" s="32">
        <f t="shared" si="8"/>
        <v>0.2537313432835821</v>
      </c>
      <c r="T25" s="32">
        <f t="shared" si="8"/>
        <v>0.43571428571428572</v>
      </c>
      <c r="U25" s="35">
        <f t="shared" si="8"/>
        <v>0.54609929078014185</v>
      </c>
    </row>
    <row r="26" spans="1:21" ht="28.5" customHeight="1" x14ac:dyDescent="0.25"/>
    <row r="27" spans="1:21" ht="13" x14ac:dyDescent="0.3">
      <c r="A27" s="1"/>
      <c r="B27" s="69" t="s">
        <v>16</v>
      </c>
      <c r="C27" s="70"/>
      <c r="D27" s="70"/>
      <c r="E27" s="70"/>
      <c r="F27" s="71"/>
      <c r="G27" s="69" t="s">
        <v>17</v>
      </c>
      <c r="H27" s="70"/>
      <c r="I27" s="70"/>
      <c r="J27" s="70"/>
      <c r="K27" s="71"/>
    </row>
    <row r="28" spans="1:21" ht="13" x14ac:dyDescent="0.3">
      <c r="A28" s="2"/>
      <c r="B28" s="3">
        <v>1999</v>
      </c>
      <c r="C28" s="4">
        <v>2000</v>
      </c>
      <c r="D28" s="4">
        <v>2001</v>
      </c>
      <c r="E28" s="4">
        <v>2002</v>
      </c>
      <c r="F28" s="5">
        <v>2003</v>
      </c>
      <c r="G28" s="3">
        <v>1999</v>
      </c>
      <c r="H28" s="4">
        <v>2000</v>
      </c>
      <c r="I28" s="4">
        <v>2001</v>
      </c>
      <c r="J28" s="4">
        <v>2002</v>
      </c>
      <c r="K28" s="5">
        <v>2003</v>
      </c>
    </row>
    <row r="29" spans="1:21" ht="13" x14ac:dyDescent="0.3">
      <c r="A29" s="6" t="s">
        <v>2</v>
      </c>
      <c r="B29" s="18">
        <v>0</v>
      </c>
      <c r="C29" s="19">
        <v>0</v>
      </c>
      <c r="D29" s="19">
        <v>0</v>
      </c>
      <c r="E29" s="19">
        <v>0</v>
      </c>
      <c r="F29" s="20">
        <v>0</v>
      </c>
      <c r="G29" s="45">
        <v>0</v>
      </c>
      <c r="H29" s="46">
        <v>0</v>
      </c>
      <c r="I29" s="46">
        <v>0</v>
      </c>
      <c r="J29" s="46">
        <v>0</v>
      </c>
      <c r="K29" s="47">
        <v>0</v>
      </c>
    </row>
    <row r="30" spans="1:21" ht="13" x14ac:dyDescent="0.3">
      <c r="A30" s="7" t="s">
        <v>3</v>
      </c>
      <c r="B30" s="21">
        <v>0</v>
      </c>
      <c r="C30" s="22">
        <v>0</v>
      </c>
      <c r="D30" s="22">
        <v>0</v>
      </c>
      <c r="E30" s="22">
        <v>0</v>
      </c>
      <c r="F30" s="23">
        <v>0</v>
      </c>
      <c r="G30" s="48">
        <v>0</v>
      </c>
      <c r="H30" s="49">
        <v>0</v>
      </c>
      <c r="I30" s="49">
        <v>0</v>
      </c>
      <c r="J30" s="49">
        <v>0</v>
      </c>
      <c r="K30" s="50">
        <v>0</v>
      </c>
    </row>
    <row r="31" spans="1:21" ht="13" x14ac:dyDescent="0.3">
      <c r="A31" s="7" t="s">
        <v>4</v>
      </c>
      <c r="B31" s="21">
        <v>0</v>
      </c>
      <c r="C31" s="22">
        <v>0</v>
      </c>
      <c r="D31" s="22">
        <v>0</v>
      </c>
      <c r="E31" s="22">
        <v>0</v>
      </c>
      <c r="F31" s="23">
        <v>0</v>
      </c>
      <c r="G31" s="48">
        <v>0</v>
      </c>
      <c r="H31" s="49">
        <v>0</v>
      </c>
      <c r="I31" s="49">
        <v>0</v>
      </c>
      <c r="J31" s="49">
        <v>0</v>
      </c>
      <c r="K31" s="50">
        <v>0</v>
      </c>
    </row>
    <row r="32" spans="1:21" ht="13" x14ac:dyDescent="0.3">
      <c r="A32" s="7" t="s">
        <v>5</v>
      </c>
      <c r="B32" s="21">
        <v>0</v>
      </c>
      <c r="C32" s="22">
        <v>1</v>
      </c>
      <c r="D32" s="22">
        <v>2</v>
      </c>
      <c r="E32" s="22">
        <v>1</v>
      </c>
      <c r="F32" s="23">
        <v>3</v>
      </c>
      <c r="G32" s="48">
        <f>B32/B34</f>
        <v>0</v>
      </c>
      <c r="H32" s="49">
        <f>C32/C34</f>
        <v>1</v>
      </c>
      <c r="I32" s="49">
        <f>D32/D34</f>
        <v>1</v>
      </c>
      <c r="J32" s="49">
        <f>E32/E34</f>
        <v>0.5</v>
      </c>
      <c r="K32" s="50">
        <f>F32/F34</f>
        <v>0.6</v>
      </c>
    </row>
    <row r="33" spans="1:11" ht="13" x14ac:dyDescent="0.3">
      <c r="A33" s="8" t="s">
        <v>6</v>
      </c>
      <c r="B33" s="24">
        <v>1</v>
      </c>
      <c r="C33" s="25">
        <v>0</v>
      </c>
      <c r="D33" s="25">
        <v>0</v>
      </c>
      <c r="E33" s="25">
        <v>1</v>
      </c>
      <c r="F33" s="26">
        <v>2</v>
      </c>
      <c r="G33" s="51">
        <f>B33/B34</f>
        <v>1</v>
      </c>
      <c r="H33" s="52">
        <f>C33/C34</f>
        <v>0</v>
      </c>
      <c r="I33" s="52">
        <f>D33/D34</f>
        <v>0</v>
      </c>
      <c r="J33" s="52">
        <f>E33/E34</f>
        <v>0.5</v>
      </c>
      <c r="K33" s="53">
        <f>F33/F34</f>
        <v>0.4</v>
      </c>
    </row>
    <row r="34" spans="1:11" ht="13" x14ac:dyDescent="0.3">
      <c r="A34" s="9" t="s">
        <v>7</v>
      </c>
      <c r="B34" s="44">
        <f>SUM(B29:B33)</f>
        <v>1</v>
      </c>
      <c r="C34" s="17">
        <f>SUM(C29:C33)</f>
        <v>1</v>
      </c>
      <c r="D34" s="17">
        <f>SUM(D29:D33)</f>
        <v>2</v>
      </c>
      <c r="E34" s="17">
        <f>SUM(E29:E33)</f>
        <v>2</v>
      </c>
      <c r="F34" s="16">
        <f>SUM(F29:F33)</f>
        <v>5</v>
      </c>
      <c r="G34" s="54"/>
      <c r="H34" s="55"/>
      <c r="I34" s="55"/>
      <c r="J34" s="55"/>
      <c r="K34" s="55"/>
    </row>
    <row r="35" spans="1:11" ht="13" x14ac:dyDescent="0.3">
      <c r="A35" s="36" t="s">
        <v>14</v>
      </c>
      <c r="B35" s="38">
        <v>0</v>
      </c>
      <c r="C35" s="39">
        <v>0</v>
      </c>
      <c r="D35" s="39">
        <v>0</v>
      </c>
      <c r="E35" s="39">
        <v>3</v>
      </c>
      <c r="F35" s="40">
        <v>2</v>
      </c>
      <c r="G35" s="56"/>
      <c r="H35" s="57"/>
      <c r="I35" s="57"/>
      <c r="J35" s="57"/>
      <c r="K35" s="57"/>
    </row>
    <row r="36" spans="1:11" ht="13" x14ac:dyDescent="0.3">
      <c r="A36" s="37" t="s">
        <v>15</v>
      </c>
      <c r="B36" s="41">
        <v>0</v>
      </c>
      <c r="C36" s="42">
        <v>0</v>
      </c>
      <c r="D36" s="42">
        <v>0</v>
      </c>
      <c r="E36" s="42">
        <v>0</v>
      </c>
      <c r="F36" s="43">
        <v>0</v>
      </c>
      <c r="G36" s="56"/>
      <c r="H36" s="57"/>
      <c r="I36" s="57"/>
      <c r="J36" s="57"/>
      <c r="K36" s="57"/>
    </row>
  </sheetData>
  <mergeCells count="13">
    <mergeCell ref="G18:K18"/>
    <mergeCell ref="L18:P18"/>
    <mergeCell ref="Q18:U18"/>
    <mergeCell ref="A1:U1"/>
    <mergeCell ref="Q5:U5"/>
    <mergeCell ref="B5:F5"/>
    <mergeCell ref="G5:K5"/>
    <mergeCell ref="L5:P5"/>
    <mergeCell ref="B27:F27"/>
    <mergeCell ref="G27:K27"/>
    <mergeCell ref="A16:U16"/>
    <mergeCell ref="A3:U3"/>
    <mergeCell ref="B18:F18"/>
  </mergeCells>
  <phoneticPr fontId="0" type="noConversion"/>
  <printOptions horizontalCentered="1"/>
  <pageMargins left="0.75" right="0.75" top="0.75" bottom="0.7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 Ballentine</dc:creator>
  <cp:lastModifiedBy>Carina Negreanu</cp:lastModifiedBy>
  <cp:lastPrinted>2003-06-18T14:47:11Z</cp:lastPrinted>
  <dcterms:created xsi:type="dcterms:W3CDTF">2003-05-19T15:55:00Z</dcterms:created>
  <dcterms:modified xsi:type="dcterms:W3CDTF">2020-01-27T12:43:30Z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1701450095</vt:i4>
  </property>
  <property fmtid="{D5CDD505-2E9C-101B-9397-08002B2CF9AE}" pid="3" name="_EmailSubject">
    <vt:lpwstr/>
  </property>
  <property fmtid="{D5CDD505-2E9C-101B-9397-08002B2CF9AE}" pid="4" name="_AuthorEmail">
    <vt:lpwstr>BallentinT@educationcentral.org</vt:lpwstr>
  </property>
  <property fmtid="{D5CDD505-2E9C-101B-9397-08002B2CF9AE}" pid="5" name="_AuthorEmailDisplayName">
    <vt:lpwstr>Ballentine, Tim</vt:lpwstr>
  </property>
  <property fmtid="{D5CDD505-2E9C-101B-9397-08002B2CF9AE}" pid="6" name="_ReviewingToolsShownOnce">
    <vt:lpwstr/>
  </property>
</Properties>
</file>