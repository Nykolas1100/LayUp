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39DE13-1C7C-4A67-A5D0-B0E7CF779FDA}" xr6:coauthVersionLast="45" xr6:coauthVersionMax="45" xr10:uidLastSave="{00000000-0000-0000-0000-000000000000}"/>
  <bookViews>
    <workbookView xWindow="1900" yWindow="1900" windowWidth="28800" windowHeight="15460" activeTab="4"/>
  </bookViews>
  <sheets>
    <sheet name="1999-2000" sheetId="1" r:id="rId1"/>
    <sheet name="2000-2001" sheetId="2" r:id="rId2"/>
    <sheet name="2001-2002" sheetId="4" r:id="rId3"/>
    <sheet name="2002-2003" sheetId="5" r:id="rId4"/>
    <sheet name="2003-2004" sheetId="6" r:id="rId5"/>
    <sheet name="Year Comparison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3" l="1"/>
  <c r="J7" i="3"/>
  <c r="I7" i="3"/>
  <c r="H7" i="3"/>
  <c r="B21" i="3"/>
  <c r="B14" i="3"/>
  <c r="B7" i="3"/>
  <c r="B2" i="6"/>
  <c r="B3" i="6"/>
  <c r="B4" i="6"/>
  <c r="B5" i="6"/>
  <c r="B20" i="3"/>
  <c r="B19" i="3"/>
  <c r="B13" i="3"/>
  <c r="B12" i="3"/>
  <c r="B6" i="3"/>
  <c r="B5" i="3"/>
  <c r="B4" i="3"/>
  <c r="B3" i="3"/>
  <c r="B3" i="1"/>
  <c r="B2" i="1"/>
  <c r="B3" i="2"/>
  <c r="B2" i="2"/>
  <c r="B5" i="4"/>
  <c r="B4" i="4"/>
  <c r="B3" i="4"/>
  <c r="B2" i="4"/>
  <c r="B5" i="5"/>
  <c r="B4" i="5"/>
  <c r="B3" i="5"/>
  <c r="B2" i="5"/>
</calcChain>
</file>

<file path=xl/sharedStrings.xml><?xml version="1.0" encoding="utf-8"?>
<sst xmlns="http://schemas.openxmlformats.org/spreadsheetml/2006/main" count="147" uniqueCount="26">
  <si>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</si>
  <si>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</si>
  <si>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</si>
  <si>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</si>
  <si>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</si>
  <si>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</si>
  <si>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</si>
  <si>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</si>
  <si>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</si>
  <si>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</si>
  <si>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</si>
  <si>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</si>
  <si>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Yearly Total</t>
  </si>
  <si>
    <t>Database Searches</t>
  </si>
  <si>
    <t>Database Browses</t>
  </si>
  <si>
    <t>Human Relations Area  Files</t>
  </si>
  <si>
    <t>Database Searches and Browses</t>
  </si>
  <si>
    <t>1999-2000</t>
  </si>
  <si>
    <t>2000-2001</t>
  </si>
  <si>
    <t>NA</t>
  </si>
  <si>
    <t>2001-2002</t>
  </si>
  <si>
    <t>eHRAF</t>
  </si>
  <si>
    <t>2002-2003</t>
  </si>
  <si>
    <t>Tables of Content Displays</t>
  </si>
  <si>
    <t>Full Text Accessed</t>
  </si>
  <si>
    <t>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</si>
</sst>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B5" sqref="B5"/>
    </sheetView>
  </sheetViews>
  <sheetFormatPr defaultRowHeight="14" x14ac:dyDescent="0.3"/>
  <cols>
    <col min="1" max="1" width="24.26953125" bestFit="1" customWidth="1"/>
    <col min="2" max="2" width="12.7265625" bestFit="1" customWidth="1"/>
    <col min="3" max="14" width="6.7265625" customWidth="1"/>
  </cols>
  <sheetData>
    <row r="1" spans="1:14" x14ac:dyDescent="0.3">
      <c r="A1" s="1" t="s">
        <v>15</v>
      </c>
      <c r="B1" s="2" t="s">
        <v>12</v>
      </c>
      <c r="C1" s="2" t="s">
        <v>11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s="1" t="s">
        <v>13</v>
      </c>
      <c r="B2" s="2">
        <f>SUM(C2:N2)</f>
        <v>737</v>
      </c>
      <c r="C2" s="3">
        <v>40</v>
      </c>
      <c r="D2" s="3">
        <v>0</v>
      </c>
      <c r="E2" s="3">
        <v>279</v>
      </c>
      <c r="F2" s="3">
        <v>0</v>
      </c>
      <c r="G2" s="3">
        <v>0</v>
      </c>
      <c r="H2" s="3">
        <v>6</v>
      </c>
      <c r="I2" s="3">
        <v>53</v>
      </c>
      <c r="J2" s="3">
        <v>194</v>
      </c>
      <c r="K2" s="3">
        <v>10</v>
      </c>
      <c r="L2" s="3">
        <v>81</v>
      </c>
      <c r="M2" s="3">
        <v>51</v>
      </c>
      <c r="N2" s="3">
        <v>23</v>
      </c>
    </row>
    <row r="3" spans="1:14" x14ac:dyDescent="0.3">
      <c r="A3" s="1" t="s">
        <v>14</v>
      </c>
      <c r="B3" s="2">
        <f>SUM(C3:N3)</f>
        <v>20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</v>
      </c>
      <c r="J3" s="3">
        <v>2</v>
      </c>
      <c r="K3" s="3">
        <v>0</v>
      </c>
      <c r="L3" s="3">
        <v>3</v>
      </c>
      <c r="M3" s="3">
        <v>13</v>
      </c>
      <c r="N3" s="3">
        <v>0</v>
      </c>
    </row>
  </sheetData>
  <phoneticPr fontId="0" type="noConversion"/>
  <printOptions horizontalCentered="1" verticalCentered="1" gridLines="1"/>
  <pageMargins left="0.5" right="0.5" top="1" bottom="1" header="0.5" footer="0.5"/>
  <pageSetup orientation="landscape" r:id="rId1"/>
  <headerFooter alignWithMargins="0">
    <oddHeader>&amp;CHuman Relations Area Files
Use Data
April 1999-Mar 2000</oddHeader>
    <oddFooter>&amp;LZ. Smith Reynolds Library
Wake Forest University&amp;C&amp;D&amp;ReHRAF.xls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B4" sqref="B4"/>
    </sheetView>
  </sheetViews>
  <sheetFormatPr defaultRowHeight="14" x14ac:dyDescent="0.3"/>
  <cols>
    <col min="1" max="1" width="26.7265625" bestFit="1" customWidth="1"/>
    <col min="2" max="2" width="12.7265625" customWidth="1"/>
    <col min="3" max="14" width="6.7265625" customWidth="1"/>
  </cols>
  <sheetData>
    <row r="1" spans="1:14" x14ac:dyDescent="0.3">
      <c r="A1" s="1" t="s">
        <v>15</v>
      </c>
      <c r="B1" s="2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3">
      <c r="A2" s="1" t="s">
        <v>13</v>
      </c>
      <c r="B2" s="2">
        <f>SUM(C2:N2)</f>
        <v>502</v>
      </c>
      <c r="C2" s="3">
        <v>6</v>
      </c>
      <c r="D2" s="3">
        <v>25</v>
      </c>
      <c r="E2" s="3">
        <v>9</v>
      </c>
      <c r="F2" s="3">
        <v>5</v>
      </c>
      <c r="G2" s="3">
        <v>20</v>
      </c>
      <c r="H2" s="3">
        <v>43</v>
      </c>
      <c r="I2" s="3">
        <v>46</v>
      </c>
      <c r="J2" s="3">
        <v>16</v>
      </c>
      <c r="K2" s="3">
        <v>17</v>
      </c>
      <c r="L2" s="3">
        <v>35</v>
      </c>
      <c r="M2" s="3">
        <v>118</v>
      </c>
      <c r="N2" s="3">
        <v>162</v>
      </c>
    </row>
    <row r="3" spans="1:14" x14ac:dyDescent="0.3">
      <c r="A3" s="1" t="s">
        <v>14</v>
      </c>
      <c r="B3" s="2">
        <f>SUM(C3:N3)</f>
        <v>42</v>
      </c>
      <c r="C3" s="3">
        <v>1</v>
      </c>
      <c r="D3" s="3">
        <v>1</v>
      </c>
      <c r="E3" s="3">
        <v>0</v>
      </c>
      <c r="F3" s="3">
        <v>1</v>
      </c>
      <c r="G3" s="3">
        <v>5</v>
      </c>
      <c r="H3" s="3">
        <v>8</v>
      </c>
      <c r="I3" s="3">
        <v>6</v>
      </c>
      <c r="J3" s="3">
        <v>2</v>
      </c>
      <c r="K3" s="3">
        <v>3</v>
      </c>
      <c r="L3" s="3">
        <v>6</v>
      </c>
      <c r="M3" s="3">
        <v>6</v>
      </c>
      <c r="N3" s="3">
        <v>3</v>
      </c>
    </row>
  </sheetData>
  <phoneticPr fontId="0" type="noConversion"/>
  <printOptions horizontalCentered="1" verticalCentered="1" gridLines="1"/>
  <pageMargins left="0.5" right="0.5" top="1" bottom="1" header="0.5" footer="0.5"/>
  <pageSetup orientation="landscape" r:id="rId1"/>
  <headerFooter alignWithMargins="0">
    <oddHeader>&amp;CHuman Relations Area Files
Use Data
May 2000-April 2001</oddHeader>
    <oddFooter>&amp;LZ. Smith Reynolds Library
Wake Forest University&amp;C&amp;D&amp;ReHRAF.xls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B6" sqref="B6"/>
    </sheetView>
  </sheetViews>
  <sheetFormatPr defaultRowHeight="14" x14ac:dyDescent="0.3"/>
  <cols>
    <col min="1" max="1" width="28.54296875" bestFit="1" customWidth="1"/>
    <col min="2" max="2" width="15.453125" bestFit="1" customWidth="1"/>
    <col min="3" max="14" width="6.7265625" customWidth="1"/>
  </cols>
  <sheetData>
    <row r="1" spans="1:14" s="4" customFormat="1" x14ac:dyDescent="0.3">
      <c r="A1" s="6" t="s">
        <v>21</v>
      </c>
      <c r="B1" s="5" t="s">
        <v>12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s="4" customFormat="1" x14ac:dyDescent="0.3">
      <c r="A2" s="6" t="s">
        <v>13</v>
      </c>
      <c r="B2" s="5">
        <f>SUM(C2:N2)</f>
        <v>697</v>
      </c>
      <c r="C2" s="7">
        <v>24</v>
      </c>
      <c r="D2" s="7">
        <v>25</v>
      </c>
      <c r="E2" s="7">
        <v>25</v>
      </c>
      <c r="F2" s="7">
        <v>32</v>
      </c>
      <c r="G2" s="7">
        <v>16</v>
      </c>
      <c r="H2" s="7">
        <v>37</v>
      </c>
      <c r="I2" s="7">
        <v>31</v>
      </c>
      <c r="J2" s="7" t="s">
        <v>19</v>
      </c>
      <c r="K2" s="7">
        <v>2</v>
      </c>
      <c r="L2" s="7">
        <v>96</v>
      </c>
      <c r="M2" s="7">
        <v>158</v>
      </c>
      <c r="N2" s="7">
        <v>251</v>
      </c>
    </row>
    <row r="3" spans="1:14" s="4" customFormat="1" x14ac:dyDescent="0.3">
      <c r="A3" s="6" t="s">
        <v>14</v>
      </c>
      <c r="B3" s="5">
        <f>SUM(C3:N3)</f>
        <v>177</v>
      </c>
      <c r="C3" s="7">
        <v>2</v>
      </c>
      <c r="D3" s="7">
        <v>4</v>
      </c>
      <c r="E3" s="7">
        <v>4</v>
      </c>
      <c r="F3" s="7">
        <v>8</v>
      </c>
      <c r="G3" s="7">
        <v>1</v>
      </c>
      <c r="H3" s="7">
        <v>6</v>
      </c>
      <c r="I3" s="7">
        <v>3</v>
      </c>
      <c r="J3" s="7" t="s">
        <v>19</v>
      </c>
      <c r="K3" s="7">
        <v>0</v>
      </c>
      <c r="L3" s="7">
        <v>37</v>
      </c>
      <c r="M3" s="7">
        <v>49</v>
      </c>
      <c r="N3" s="7">
        <v>63</v>
      </c>
    </row>
    <row r="4" spans="1:14" s="4" customFormat="1" x14ac:dyDescent="0.3">
      <c r="A4" s="6" t="s">
        <v>23</v>
      </c>
      <c r="B4" s="5">
        <f>SUM(C4:N4)</f>
        <v>267</v>
      </c>
      <c r="C4" s="7">
        <v>1</v>
      </c>
      <c r="D4" s="7">
        <v>6</v>
      </c>
      <c r="E4" s="7">
        <v>16</v>
      </c>
      <c r="F4" s="7">
        <v>14</v>
      </c>
      <c r="G4" s="7">
        <v>2</v>
      </c>
      <c r="H4" s="7">
        <v>13</v>
      </c>
      <c r="I4" s="7">
        <v>0</v>
      </c>
      <c r="J4" s="7" t="s">
        <v>19</v>
      </c>
      <c r="K4" s="7">
        <v>0</v>
      </c>
      <c r="L4" s="7">
        <v>27</v>
      </c>
      <c r="M4" s="7">
        <v>73</v>
      </c>
      <c r="N4" s="7">
        <v>115</v>
      </c>
    </row>
    <row r="5" spans="1:14" s="4" customFormat="1" x14ac:dyDescent="0.3">
      <c r="A5" s="6" t="s">
        <v>24</v>
      </c>
      <c r="B5" s="5">
        <f>SUM(C5:N5)</f>
        <v>438</v>
      </c>
      <c r="C5" s="7">
        <v>0</v>
      </c>
      <c r="D5" s="7">
        <v>2</v>
      </c>
      <c r="E5" s="7">
        <v>6</v>
      </c>
      <c r="F5" s="7">
        <v>5</v>
      </c>
      <c r="G5" s="7">
        <v>0</v>
      </c>
      <c r="H5" s="7">
        <v>2</v>
      </c>
      <c r="I5" s="7">
        <v>0</v>
      </c>
      <c r="J5" s="7" t="s">
        <v>19</v>
      </c>
      <c r="K5" s="7">
        <v>0</v>
      </c>
      <c r="L5" s="7">
        <v>39</v>
      </c>
      <c r="M5" s="7">
        <v>81</v>
      </c>
      <c r="N5" s="7">
        <v>303</v>
      </c>
    </row>
    <row r="6" spans="1:14" s="4" customFormat="1" x14ac:dyDescent="0.3">
      <c r="A6" s="6"/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</sheetData>
  <phoneticPr fontId="0" type="noConversion"/>
  <printOptions horizontalCentered="1" verticalCentered="1" gridLines="1"/>
  <pageMargins left="0.5" right="0.5" top="2" bottom="1.25" header="1" footer="0.5"/>
  <pageSetup orientation="landscape" r:id="rId1"/>
  <headerFooter alignWithMargins="0">
    <oddHeader>&amp;C&amp;"Times New Roman,Bold"Human Relations Area Files
Use Data
May 2001 - April 2002</oddHeader>
    <oddFooter>&amp;LZ. Smith Reynolds Library
Wake Forest University&amp;C&amp;D&amp;R&amp;F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B7" sqref="B7"/>
    </sheetView>
  </sheetViews>
  <sheetFormatPr defaultRowHeight="14" x14ac:dyDescent="0.3"/>
  <cols>
    <col min="1" max="1" width="27.7265625" bestFit="1" customWidth="1"/>
    <col min="2" max="2" width="15.453125" bestFit="1" customWidth="1"/>
    <col min="3" max="14" width="7.26953125" customWidth="1"/>
  </cols>
  <sheetData>
    <row r="1" spans="1:14" s="4" customFormat="1" x14ac:dyDescent="0.3">
      <c r="A1" s="6" t="s">
        <v>21</v>
      </c>
      <c r="B1" s="5" t="s">
        <v>12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s="4" customFormat="1" x14ac:dyDescent="0.3">
      <c r="A2" s="6" t="s">
        <v>13</v>
      </c>
      <c r="B2" s="5">
        <f>SUM(C2:N2)</f>
        <v>205</v>
      </c>
      <c r="C2" s="7">
        <v>22</v>
      </c>
      <c r="D2" s="7">
        <v>0</v>
      </c>
      <c r="E2" s="7">
        <v>0</v>
      </c>
      <c r="F2" s="7">
        <v>8</v>
      </c>
      <c r="G2" s="7">
        <v>16</v>
      </c>
      <c r="H2" s="7">
        <v>14</v>
      </c>
      <c r="I2" s="7">
        <v>29</v>
      </c>
      <c r="J2" s="7">
        <v>0</v>
      </c>
      <c r="K2" s="7">
        <v>10</v>
      </c>
      <c r="L2" s="7">
        <v>61</v>
      </c>
      <c r="M2" s="7">
        <v>11</v>
      </c>
      <c r="N2" s="7">
        <v>34</v>
      </c>
    </row>
    <row r="3" spans="1:14" s="4" customFormat="1" x14ac:dyDescent="0.3">
      <c r="A3" s="6" t="s">
        <v>14</v>
      </c>
      <c r="B3" s="5">
        <f>SUM(C3:N3)</f>
        <v>81</v>
      </c>
      <c r="C3" s="7">
        <v>0</v>
      </c>
      <c r="D3" s="7">
        <v>0</v>
      </c>
      <c r="E3" s="7">
        <v>0</v>
      </c>
      <c r="F3" s="7">
        <v>6</v>
      </c>
      <c r="G3" s="7">
        <v>0</v>
      </c>
      <c r="H3" s="7">
        <v>14</v>
      </c>
      <c r="I3" s="7">
        <v>7</v>
      </c>
      <c r="J3" s="7">
        <v>0</v>
      </c>
      <c r="K3" s="7">
        <v>4</v>
      </c>
      <c r="L3" s="7">
        <v>9</v>
      </c>
      <c r="M3" s="7">
        <v>1</v>
      </c>
      <c r="N3" s="7">
        <v>40</v>
      </c>
    </row>
    <row r="4" spans="1:14" s="4" customFormat="1" x14ac:dyDescent="0.3">
      <c r="A4" s="6" t="s">
        <v>23</v>
      </c>
      <c r="B4" s="5">
        <f>SUM(C4:N4)</f>
        <v>41</v>
      </c>
      <c r="C4" s="7">
        <v>7</v>
      </c>
      <c r="D4" s="7">
        <v>0</v>
      </c>
      <c r="E4" s="7">
        <v>0</v>
      </c>
      <c r="F4" s="7">
        <v>0</v>
      </c>
      <c r="G4" s="7">
        <v>4</v>
      </c>
      <c r="H4" s="7">
        <v>0</v>
      </c>
      <c r="I4" s="7">
        <v>0</v>
      </c>
      <c r="J4" s="7">
        <v>0</v>
      </c>
      <c r="K4" s="7">
        <v>4</v>
      </c>
      <c r="L4" s="7">
        <v>12</v>
      </c>
      <c r="M4" s="7">
        <v>2</v>
      </c>
      <c r="N4" s="7">
        <v>12</v>
      </c>
    </row>
    <row r="5" spans="1:14" s="4" customFormat="1" x14ac:dyDescent="0.3">
      <c r="A5" s="6" t="s">
        <v>24</v>
      </c>
      <c r="B5" s="5">
        <f>SUM(C5:N5)</f>
        <v>47</v>
      </c>
      <c r="C5" s="7">
        <v>22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">
        <v>0</v>
      </c>
      <c r="K5" s="7">
        <v>2</v>
      </c>
      <c r="L5" s="7">
        <v>15</v>
      </c>
      <c r="M5" s="7">
        <v>1</v>
      </c>
      <c r="N5" s="7">
        <v>6</v>
      </c>
    </row>
  </sheetData>
  <phoneticPr fontId="5" type="noConversion"/>
  <printOptions horizontalCentered="1" verticalCentered="1" gridLines="1"/>
  <pageMargins left="0.5" right="0.5" top="1.5" bottom="1.5" header="0.75" footer="0.75"/>
  <pageSetup orientation="landscape" verticalDpi="0" r:id="rId1"/>
  <headerFooter alignWithMargins="0">
    <oddHeader>&amp;C&amp;"Times New Roman,Bold"&amp;14Human Relations Area Files
Use Data
May 2002 - April 2003</oddHeader>
    <oddFooter>&amp;LZ. Smith Reynolds Library
Wake Forest University&amp;C&amp;D&amp;R&amp;F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K6" sqref="K6"/>
    </sheetView>
  </sheetViews>
  <sheetFormatPr defaultRowHeight="14" x14ac:dyDescent="0.3"/>
  <cols>
    <col min="1" max="1" width="27.7265625" bestFit="1" customWidth="1"/>
    <col min="2" max="2" width="15.453125" bestFit="1" customWidth="1"/>
    <col min="3" max="14" width="7.26953125" customWidth="1"/>
  </cols>
  <sheetData>
    <row r="1" spans="1:14" s="4" customFormat="1" x14ac:dyDescent="0.3">
      <c r="A1" s="6" t="s">
        <v>21</v>
      </c>
      <c r="B1" s="5" t="s">
        <v>12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s="4" customFormat="1" x14ac:dyDescent="0.3">
      <c r="A2" s="6" t="s">
        <v>13</v>
      </c>
      <c r="B2" s="5">
        <f>SUM(C2:N2)</f>
        <v>352</v>
      </c>
      <c r="C2" s="7">
        <v>19</v>
      </c>
      <c r="D2" s="7">
        <v>12</v>
      </c>
      <c r="E2" s="7">
        <v>22</v>
      </c>
      <c r="F2" s="7">
        <v>5</v>
      </c>
      <c r="G2" s="7">
        <v>35</v>
      </c>
      <c r="H2" s="7">
        <v>86</v>
      </c>
      <c r="I2" s="7">
        <v>57</v>
      </c>
      <c r="J2" s="7">
        <v>63</v>
      </c>
      <c r="K2" s="7">
        <v>53</v>
      </c>
      <c r="L2" s="7"/>
      <c r="M2" s="7"/>
      <c r="N2" s="7"/>
    </row>
    <row r="3" spans="1:14" s="4" customFormat="1" x14ac:dyDescent="0.3">
      <c r="A3" s="6" t="s">
        <v>14</v>
      </c>
      <c r="B3" s="5">
        <f>SUM(C3:N3)</f>
        <v>100</v>
      </c>
      <c r="C3" s="7">
        <v>0</v>
      </c>
      <c r="D3" s="7">
        <v>14</v>
      </c>
      <c r="E3" s="7">
        <v>12</v>
      </c>
      <c r="F3" s="7">
        <v>1</v>
      </c>
      <c r="G3" s="7">
        <v>18</v>
      </c>
      <c r="H3" s="7">
        <v>13</v>
      </c>
      <c r="I3" s="7">
        <v>20</v>
      </c>
      <c r="J3" s="7">
        <v>14</v>
      </c>
      <c r="K3" s="7">
        <v>8</v>
      </c>
      <c r="L3" s="7"/>
      <c r="M3" s="7"/>
      <c r="N3" s="7"/>
    </row>
    <row r="4" spans="1:14" s="4" customFormat="1" x14ac:dyDescent="0.3">
      <c r="A4" s="6" t="s">
        <v>23</v>
      </c>
      <c r="B4" s="5">
        <f>SUM(C4:N4)</f>
        <v>45</v>
      </c>
      <c r="C4" s="7">
        <v>4</v>
      </c>
      <c r="D4" s="7">
        <v>1</v>
      </c>
      <c r="E4" s="7">
        <v>6</v>
      </c>
      <c r="F4" s="7">
        <v>0</v>
      </c>
      <c r="G4" s="7">
        <v>3</v>
      </c>
      <c r="H4" s="7">
        <v>10</v>
      </c>
      <c r="I4" s="7">
        <v>6</v>
      </c>
      <c r="J4" s="7">
        <v>7</v>
      </c>
      <c r="K4" s="7">
        <v>8</v>
      </c>
      <c r="L4" s="7"/>
      <c r="M4" s="7"/>
      <c r="N4" s="7"/>
    </row>
    <row r="5" spans="1:14" s="4" customFormat="1" x14ac:dyDescent="0.3">
      <c r="A5" s="6" t="s">
        <v>24</v>
      </c>
      <c r="B5" s="5">
        <f>SUM(C5:N5)</f>
        <v>128</v>
      </c>
      <c r="C5" s="7">
        <v>3</v>
      </c>
      <c r="D5" s="7">
        <v>1</v>
      </c>
      <c r="E5" s="7">
        <v>13</v>
      </c>
      <c r="F5" s="7">
        <v>0</v>
      </c>
      <c r="G5" s="7">
        <v>7</v>
      </c>
      <c r="H5" s="7">
        <v>28</v>
      </c>
      <c r="I5" s="7">
        <v>14</v>
      </c>
      <c r="J5" s="7">
        <v>34</v>
      </c>
      <c r="K5" s="7">
        <v>28</v>
      </c>
      <c r="L5" s="7"/>
      <c r="M5" s="7"/>
      <c r="N5" s="7"/>
    </row>
  </sheetData>
  <phoneticPr fontId="5" type="noConversion"/>
  <printOptions horizontalCentered="1" verticalCentered="1" gridLines="1"/>
  <pageMargins left="0.5" right="0.5" top="1.5" bottom="1.5" header="0.75" footer="0.75"/>
  <pageSetup orientation="landscape" verticalDpi="0" r:id="rId1"/>
  <headerFooter alignWithMargins="0">
    <oddHeader>&amp;C&amp;"Times New Roman,Bold"&amp;14Human Relations Area Files
Use Data
May 2003 - April 2004</oddHeader>
    <oddFooter>&amp;LZ. Smith Reynolds Library
Wake Forest University&amp;C&amp;D&amp;R&amp;F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K22" sqref="K22"/>
    </sheetView>
  </sheetViews>
  <sheetFormatPr defaultRowHeight="14" x14ac:dyDescent="0.3"/>
  <cols>
    <col min="1" max="2" width="14.1796875" customWidth="1"/>
    <col min="3" max="14" width="7.26953125" customWidth="1"/>
  </cols>
  <sheetData>
    <row r="1" spans="1:14" s="4" customFormat="1" x14ac:dyDescent="0.3">
      <c r="A1" s="6" t="s">
        <v>21</v>
      </c>
      <c r="B1" s="6"/>
      <c r="C1" s="6" t="s">
        <v>16</v>
      </c>
    </row>
    <row r="2" spans="1:14" s="6" customFormat="1" x14ac:dyDescent="0.3">
      <c r="B2" s="5" t="s">
        <v>12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</row>
    <row r="3" spans="1:14" s="4" customFormat="1" x14ac:dyDescent="0.3">
      <c r="A3" s="6" t="s">
        <v>17</v>
      </c>
      <c r="B3" s="5">
        <f>SUM(C3:N3)</f>
        <v>759</v>
      </c>
      <c r="C3" s="7">
        <v>0</v>
      </c>
      <c r="D3" s="7">
        <v>279</v>
      </c>
      <c r="E3" s="7">
        <v>0</v>
      </c>
      <c r="F3" s="7">
        <v>0</v>
      </c>
      <c r="G3" s="7">
        <v>6</v>
      </c>
      <c r="H3" s="7">
        <v>55</v>
      </c>
      <c r="I3" s="7">
        <v>196</v>
      </c>
      <c r="J3" s="7">
        <v>10</v>
      </c>
      <c r="K3" s="7">
        <v>84</v>
      </c>
      <c r="L3" s="7">
        <v>64</v>
      </c>
      <c r="M3" s="7">
        <v>23</v>
      </c>
      <c r="N3" s="7">
        <v>42</v>
      </c>
    </row>
    <row r="4" spans="1:14" s="4" customFormat="1" x14ac:dyDescent="0.3">
      <c r="A4" s="6" t="s">
        <v>18</v>
      </c>
      <c r="B4" s="5">
        <f>SUM(C4:N4)</f>
        <v>544</v>
      </c>
      <c r="C4" s="7">
        <v>7</v>
      </c>
      <c r="D4" s="7">
        <v>26</v>
      </c>
      <c r="E4" s="7">
        <v>9</v>
      </c>
      <c r="F4" s="7">
        <v>6</v>
      </c>
      <c r="G4" s="7">
        <v>25</v>
      </c>
      <c r="H4" s="7">
        <v>51</v>
      </c>
      <c r="I4" s="7">
        <v>52</v>
      </c>
      <c r="J4" s="7">
        <v>18</v>
      </c>
      <c r="K4" s="7">
        <v>20</v>
      </c>
      <c r="L4" s="7">
        <v>41</v>
      </c>
      <c r="M4" s="7">
        <v>124</v>
      </c>
      <c r="N4" s="7">
        <v>165</v>
      </c>
    </row>
    <row r="5" spans="1:14" s="4" customFormat="1" x14ac:dyDescent="0.3">
      <c r="A5" s="6" t="s">
        <v>20</v>
      </c>
      <c r="B5" s="5">
        <f>SUM(C5:N5)</f>
        <v>875</v>
      </c>
      <c r="C5" s="7">
        <v>26</v>
      </c>
      <c r="D5" s="7">
        <v>29</v>
      </c>
      <c r="E5" s="7">
        <v>29</v>
      </c>
      <c r="F5" s="7">
        <v>40</v>
      </c>
      <c r="G5" s="7">
        <v>17</v>
      </c>
      <c r="H5" s="7">
        <v>43</v>
      </c>
      <c r="I5" s="7">
        <v>34</v>
      </c>
      <c r="J5" s="7" t="s">
        <v>19</v>
      </c>
      <c r="K5" s="7">
        <v>2</v>
      </c>
      <c r="L5" s="7">
        <v>133</v>
      </c>
      <c r="M5" s="7">
        <v>207</v>
      </c>
      <c r="N5" s="7">
        <v>315</v>
      </c>
    </row>
    <row r="6" spans="1:14" x14ac:dyDescent="0.3">
      <c r="A6" s="6" t="s">
        <v>22</v>
      </c>
      <c r="B6" s="5">
        <f>SUM(C6:N6)</f>
        <v>532</v>
      </c>
      <c r="C6" s="7">
        <v>22</v>
      </c>
      <c r="D6" s="7">
        <v>0</v>
      </c>
      <c r="E6" s="7">
        <v>0</v>
      </c>
      <c r="F6" s="7">
        <v>14</v>
      </c>
      <c r="G6" s="7">
        <v>16</v>
      </c>
      <c r="H6" s="7">
        <v>28</v>
      </c>
      <c r="I6" s="7">
        <v>36</v>
      </c>
      <c r="J6" s="7">
        <v>0</v>
      </c>
      <c r="K6" s="8">
        <v>130</v>
      </c>
      <c r="L6" s="7">
        <v>200</v>
      </c>
      <c r="M6" s="7">
        <v>12</v>
      </c>
      <c r="N6" s="7">
        <v>74</v>
      </c>
    </row>
    <row r="7" spans="1:14" x14ac:dyDescent="0.3">
      <c r="A7" s="6" t="s">
        <v>25</v>
      </c>
      <c r="B7" s="5">
        <f>SUM(C7:N7)</f>
        <v>452</v>
      </c>
      <c r="C7" s="7">
        <v>19</v>
      </c>
      <c r="D7" s="7">
        <v>26</v>
      </c>
      <c r="E7" s="7">
        <v>34</v>
      </c>
      <c r="F7" s="7">
        <v>6</v>
      </c>
      <c r="G7" s="7">
        <v>53</v>
      </c>
      <c r="H7" s="7">
        <f>86+13</f>
        <v>99</v>
      </c>
      <c r="I7" s="7">
        <f>57+20</f>
        <v>77</v>
      </c>
      <c r="J7" s="7">
        <f>63+14</f>
        <v>77</v>
      </c>
      <c r="K7" s="8">
        <f>53+8</f>
        <v>61</v>
      </c>
      <c r="L7" s="7"/>
      <c r="M7" s="7"/>
      <c r="N7" s="7"/>
    </row>
    <row r="10" spans="1:14" x14ac:dyDescent="0.3">
      <c r="C10" s="6" t="s">
        <v>23</v>
      </c>
    </row>
    <row r="11" spans="1:14" s="6" customFormat="1" x14ac:dyDescent="0.3">
      <c r="B11" s="5" t="s">
        <v>12</v>
      </c>
      <c r="C11" s="5" t="s">
        <v>0</v>
      </c>
      <c r="D11" s="5" t="s">
        <v>1</v>
      </c>
      <c r="E11" s="5" t="s">
        <v>2</v>
      </c>
      <c r="F11" s="5" t="s">
        <v>3</v>
      </c>
      <c r="G11" s="5" t="s">
        <v>4</v>
      </c>
      <c r="H11" s="5" t="s">
        <v>5</v>
      </c>
      <c r="I11" s="5" t="s">
        <v>6</v>
      </c>
      <c r="J11" s="5" t="s">
        <v>7</v>
      </c>
      <c r="K11" s="5" t="s">
        <v>8</v>
      </c>
      <c r="L11" s="5" t="s">
        <v>9</v>
      </c>
      <c r="M11" s="5" t="s">
        <v>10</v>
      </c>
      <c r="N11" s="5" t="s">
        <v>11</v>
      </c>
    </row>
    <row r="12" spans="1:14" s="4" customFormat="1" x14ac:dyDescent="0.3">
      <c r="A12" s="6" t="s">
        <v>20</v>
      </c>
      <c r="B12" s="5">
        <f>SUM(C12:N12)</f>
        <v>267</v>
      </c>
      <c r="C12" s="7">
        <v>1</v>
      </c>
      <c r="D12" s="7">
        <v>6</v>
      </c>
      <c r="E12" s="7">
        <v>16</v>
      </c>
      <c r="F12" s="7">
        <v>14</v>
      </c>
      <c r="G12" s="7">
        <v>2</v>
      </c>
      <c r="H12" s="7">
        <v>13</v>
      </c>
      <c r="I12" s="7">
        <v>0</v>
      </c>
      <c r="J12" s="7" t="s">
        <v>19</v>
      </c>
      <c r="K12" s="7">
        <v>0</v>
      </c>
      <c r="L12" s="7">
        <v>27</v>
      </c>
      <c r="M12" s="7">
        <v>73</v>
      </c>
      <c r="N12" s="7">
        <v>115</v>
      </c>
    </row>
    <row r="13" spans="1:14" x14ac:dyDescent="0.3">
      <c r="A13" s="6" t="s">
        <v>22</v>
      </c>
      <c r="B13" s="5">
        <f>SUM(C13:N13)</f>
        <v>41</v>
      </c>
      <c r="C13" s="7">
        <v>7</v>
      </c>
      <c r="D13" s="7">
        <v>0</v>
      </c>
      <c r="E13" s="7">
        <v>0</v>
      </c>
      <c r="F13" s="7">
        <v>0</v>
      </c>
      <c r="G13" s="7">
        <v>4</v>
      </c>
      <c r="H13" s="7">
        <v>0</v>
      </c>
      <c r="I13" s="7">
        <v>0</v>
      </c>
      <c r="J13" s="7">
        <v>0</v>
      </c>
      <c r="K13" s="7">
        <v>4</v>
      </c>
      <c r="L13" s="7">
        <v>12</v>
      </c>
      <c r="M13" s="7">
        <v>2</v>
      </c>
      <c r="N13" s="7">
        <v>12</v>
      </c>
    </row>
    <row r="14" spans="1:14" x14ac:dyDescent="0.3">
      <c r="A14" s="6" t="s">
        <v>25</v>
      </c>
      <c r="B14" s="5">
        <f>SUM(C14:N14)</f>
        <v>45</v>
      </c>
      <c r="C14" s="7">
        <v>4</v>
      </c>
      <c r="D14" s="7">
        <v>1</v>
      </c>
      <c r="E14" s="7">
        <v>6</v>
      </c>
      <c r="F14" s="7">
        <v>0</v>
      </c>
      <c r="G14" s="7">
        <v>3</v>
      </c>
      <c r="H14" s="7">
        <v>10</v>
      </c>
      <c r="I14" s="7">
        <v>6</v>
      </c>
      <c r="J14" s="7">
        <v>7</v>
      </c>
      <c r="K14" s="8">
        <v>8</v>
      </c>
      <c r="L14" s="7"/>
      <c r="M14" s="7"/>
      <c r="N14" s="7"/>
    </row>
    <row r="17" spans="1:14" x14ac:dyDescent="0.3">
      <c r="C17" s="6" t="s">
        <v>24</v>
      </c>
    </row>
    <row r="18" spans="1:14" s="6" customFormat="1" x14ac:dyDescent="0.3">
      <c r="B18" s="5" t="s">
        <v>12</v>
      </c>
      <c r="C18" s="5" t="s">
        <v>0</v>
      </c>
      <c r="D18" s="5" t="s">
        <v>1</v>
      </c>
      <c r="E18" s="5" t="s">
        <v>2</v>
      </c>
      <c r="F18" s="5" t="s">
        <v>3</v>
      </c>
      <c r="G18" s="5" t="s">
        <v>4</v>
      </c>
      <c r="H18" s="5" t="s">
        <v>5</v>
      </c>
      <c r="I18" s="5" t="s">
        <v>6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</row>
    <row r="19" spans="1:14" s="4" customFormat="1" x14ac:dyDescent="0.3">
      <c r="A19" s="6" t="s">
        <v>20</v>
      </c>
      <c r="B19" s="5">
        <f>SUM(C19:N19)</f>
        <v>438</v>
      </c>
      <c r="C19" s="7">
        <v>0</v>
      </c>
      <c r="D19" s="7">
        <v>2</v>
      </c>
      <c r="E19" s="7">
        <v>6</v>
      </c>
      <c r="F19" s="7">
        <v>5</v>
      </c>
      <c r="G19" s="7">
        <v>0</v>
      </c>
      <c r="H19" s="7">
        <v>2</v>
      </c>
      <c r="I19" s="7">
        <v>0</v>
      </c>
      <c r="J19" s="7" t="s">
        <v>19</v>
      </c>
      <c r="K19" s="7">
        <v>0</v>
      </c>
      <c r="L19" s="7">
        <v>39</v>
      </c>
      <c r="M19" s="7">
        <v>81</v>
      </c>
      <c r="N19" s="7">
        <v>303</v>
      </c>
    </row>
    <row r="20" spans="1:14" x14ac:dyDescent="0.3">
      <c r="A20" s="6" t="s">
        <v>22</v>
      </c>
      <c r="B20" s="5">
        <f>SUM(C20:N20)</f>
        <v>47</v>
      </c>
      <c r="C20" s="7">
        <v>22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2</v>
      </c>
      <c r="L20" s="7">
        <v>15</v>
      </c>
      <c r="M20" s="7">
        <v>1</v>
      </c>
      <c r="N20" s="7">
        <v>6</v>
      </c>
    </row>
    <row r="21" spans="1:14" x14ac:dyDescent="0.3">
      <c r="A21" s="6" t="s">
        <v>25</v>
      </c>
      <c r="B21" s="5">
        <f>SUM(C21:N21)</f>
        <v>128</v>
      </c>
      <c r="C21" s="7">
        <v>3</v>
      </c>
      <c r="D21" s="7">
        <v>1</v>
      </c>
      <c r="E21" s="7">
        <v>13</v>
      </c>
      <c r="F21" s="7">
        <v>0</v>
      </c>
      <c r="G21" s="7">
        <v>7</v>
      </c>
      <c r="H21" s="7">
        <v>28</v>
      </c>
      <c r="I21" s="7">
        <v>14</v>
      </c>
      <c r="J21" s="7">
        <v>34</v>
      </c>
      <c r="K21" s="8">
        <v>28</v>
      </c>
      <c r="L21" s="7"/>
      <c r="M21" s="7"/>
      <c r="N21" s="7"/>
    </row>
  </sheetData>
  <phoneticPr fontId="0" type="noConversion"/>
  <printOptions horizontalCentered="1" verticalCentered="1" gridLines="1"/>
  <pageMargins left="0.5" right="0.5" top="2" bottom="1" header="1" footer="0.5"/>
  <pageSetup orientation="landscape" r:id="rId1"/>
  <headerFooter alignWithMargins="0">
    <oddHeader>&amp;C&amp;"Times New Roman,Bold"&amp;14Human Relations Area Files
Use Data by Year</oddHeader>
    <oddFooter>&amp;LZ. Smith Reynolds Library
Wake Forest University&amp;C&amp;D&amp;REHRAF.xls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1999-2000</vt:lpstr>
      <vt:lpstr>2000-2001</vt:lpstr>
      <vt:lpstr>2001-2002</vt:lpstr>
      <vt:lpstr>2002-2003</vt:lpstr>
      <vt:lpstr>2003-2004</vt:lpstr>
      <vt:lpstr>Year Comparison</vt:lpstr>
    </vt:vector>
  </TitlesOfParts>
  <Company>Wake Forest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Wake Forest University</dc:creator>
  <cp:lastModifiedBy>Carina Negreanu</cp:lastModifiedBy>
  <cp:lastPrinted>2003-07-03T13:52:19Z</cp:lastPrinted>
  <dcterms:created xsi:type="dcterms:W3CDTF">2000-05-26T15:08:39Z</dcterms:created>
  <dcterms:modified xsi:type="dcterms:W3CDTF">2020-01-27T11:30:54Z</dcterms:modified>
</cp:coreProperties>
</file>