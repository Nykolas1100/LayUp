
<file path=[Content_Types].xml><?xml version="1.0" encoding="utf-8"?>
<Types xmlns="http://schemas.openxmlformats.org/package/2006/content-types">
  <Default Extension="bin" ContentType="application/vnd.openxmlformats-officedocument.spreadsheetml.printerSettings"/>
  <Default Extension="doc" ContentType="application/msword"/>
  <Default Extension="emf" ContentType="image/x-emf"/>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embeddings/oleObject1.bin" ContentType="application/vnd.openxmlformats-officedocument.oleObject"/>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codeName="ThisWorkbook"/>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7F50CB3C-D462-44F4-B59E-D96DE0CD54C0}" xr6:coauthVersionLast="45" xr6:coauthVersionMax="45" xr10:uidLastSave="{00000000-0000-0000-0000-000000000000}"/>
  <bookViews>
    <workbookView xWindow="3420" yWindow="3420" windowWidth="28800" windowHeight="15460" tabRatio="907"/>
  </bookViews>
  <sheets>
    <sheet name="TOC" sheetId="35" r:id="rId1"/>
    <sheet name="Site" sheetId="40" r:id="rId2"/>
    <sheet name="Renewables" sheetId="43" r:id="rId3"/>
    <sheet name="Bldg" sheetId="36" r:id="rId4"/>
    <sheet name="Inventory" sheetId="37" r:id="rId5"/>
    <sheet name="General" sheetId="23" r:id="rId6"/>
    <sheet name="AHU" sheetId="22" r:id="rId7"/>
    <sheet name="RTU" sheetId="29" r:id="rId8"/>
    <sheet name="Chiller" sheetId="25" r:id="rId9"/>
    <sheet name="Boiler Q" sheetId="26" r:id="rId10"/>
    <sheet name="Boiler" sheetId="31" r:id="rId11"/>
    <sheet name="Boiler Notes" sheetId="33" r:id="rId12"/>
    <sheet name="Air" sheetId="27" r:id="rId13"/>
    <sheet name="IR" sheetId="32" r:id="rId14"/>
    <sheet name="Misc" sheetId="21" r:id="rId15"/>
    <sheet name="Tools" sheetId="30" r:id="rId16"/>
    <sheet name="Agenda" sheetId="39" r:id="rId17"/>
    <sheet name="notes" sheetId="34" r:id="rId18"/>
    <sheet name="Fraction" sheetId="24" r:id="rId19"/>
    <sheet name="Condenser" sheetId="28" r:id="rId20"/>
    <sheet name="HW" sheetId="42" r:id="rId21"/>
  </sheets>
  <externalReferences>
    <externalReference r:id="rId22"/>
  </externalReferences>
  <definedNames>
    <definedName name="_ftn1" localSheetId="9">'Boiler Q'!#REF!</definedName>
    <definedName name="_ftn2" localSheetId="10">Boiler!#REF!</definedName>
    <definedName name="_ftnref1" localSheetId="9">'Boiler Q'!$A$11</definedName>
    <definedName name="_ftnref2" localSheetId="10">Boiler!#REF!</definedName>
    <definedName name="DatabaseEnd">[1]Database!#REF!</definedName>
    <definedName name="ListXMSItem">#REF!</definedName>
    <definedName name="_xlnm.Print_Area" localSheetId="6">AHU!$A$1:$C$66</definedName>
    <definedName name="_xlnm.Print_Area" localSheetId="3">Bldg!$A$1:$A$14</definedName>
    <definedName name="_xlnm.Print_Area" localSheetId="11">'Boiler Notes'!$A$1:$C$33</definedName>
    <definedName name="_xlnm.Print_Area" localSheetId="9">'Boiler Q'!$A$1:$B$53</definedName>
    <definedName name="_xlnm.Print_Area" localSheetId="8">Chiller!$A$1:$C$23</definedName>
    <definedName name="_xlnm.Print_Area" localSheetId="5">General!$A$1:$C$24</definedName>
    <definedName name="_xlnm.Print_Area" localSheetId="0">TOC!$A$1:$C$20</definedName>
    <definedName name="_xlnm.Print_Area" localSheetId="15">Tools!$D:$F</definedName>
    <definedName name="_xlnm.Print_Titles" localSheetId="6">AHU!$4:$4</definedName>
    <definedName name="_xlnm.Print_Titles" localSheetId="10">Boiler!$3:$3</definedName>
    <definedName name="_xlnm.Print_Titles" localSheetId="8">Chiller!$3:$3</definedName>
    <definedName name="_xlnm.Print_Titles" localSheetId="5">General!$3:$3</definedName>
    <definedName name="_xlnm.Print_Titles" localSheetId="7">RTU!#REF!</definedName>
  </definedNames>
  <calcPr calcId="191029" fullCalcOnLoad="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47" i="39" l="1"/>
  <c r="D48" i="39" s="1"/>
  <c r="D47" i="39"/>
  <c r="C48" i="39"/>
  <c r="C49" i="39"/>
  <c r="C50" i="39"/>
  <c r="C52" i="39"/>
  <c r="C53" i="39"/>
  <c r="C54" i="39"/>
  <c r="C55" i="39"/>
  <c r="C57" i="39"/>
  <c r="C59" i="39"/>
  <c r="C61" i="39"/>
  <c r="C63" i="39"/>
  <c r="C65" i="39"/>
  <c r="C67" i="39"/>
  <c r="D67" i="39" s="1"/>
  <c r="D68" i="39" s="1"/>
  <c r="D69" i="39" s="1"/>
  <c r="D70" i="39" s="1"/>
  <c r="D71" i="39" s="1"/>
  <c r="C68" i="39"/>
  <c r="C69" i="39"/>
  <c r="C70" i="39"/>
  <c r="C71" i="39"/>
  <c r="C73" i="39"/>
  <c r="C75" i="39"/>
  <c r="C77" i="39"/>
  <c r="C79" i="39"/>
  <c r="E80" i="39"/>
  <c r="I80" i="39"/>
  <c r="C81" i="39"/>
  <c r="C82" i="39"/>
  <c r="C83" i="39"/>
  <c r="C85" i="39"/>
  <c r="C86" i="39"/>
  <c r="C11" i="22"/>
  <c r="C12" i="22"/>
  <c r="C13" i="22"/>
  <c r="C15" i="22"/>
  <c r="C16" i="22"/>
  <c r="C17" i="22"/>
  <c r="C18" i="22"/>
  <c r="C19" i="22"/>
  <c r="C20" i="22"/>
  <c r="C23" i="22"/>
  <c r="C25" i="22"/>
  <c r="C27" i="22"/>
  <c r="C28" i="22"/>
  <c r="C29" i="22"/>
  <c r="C33" i="22"/>
  <c r="C34" i="22"/>
  <c r="C35" i="22"/>
  <c r="C5" i="25"/>
  <c r="C6" i="25"/>
  <c r="C8" i="25"/>
  <c r="C9" i="25"/>
  <c r="C11" i="25"/>
  <c r="C12" i="25"/>
  <c r="C13" i="25"/>
  <c r="C14" i="25"/>
  <c r="C16" i="25"/>
  <c r="C17" i="25"/>
  <c r="C19" i="25"/>
  <c r="C20" i="25"/>
  <c r="C5" i="23"/>
  <c r="C6" i="23"/>
  <c r="C7" i="23"/>
  <c r="C8" i="23"/>
  <c r="C14" i="23"/>
  <c r="C15" i="23"/>
  <c r="C16" i="23"/>
  <c r="C18" i="23"/>
  <c r="C19" i="23"/>
  <c r="C20" i="23"/>
  <c r="C21" i="23"/>
  <c r="C23" i="23"/>
  <c r="C24" i="23"/>
  <c r="B72" i="39" l="1"/>
  <c r="C72" i="39" s="1"/>
  <c r="D72" i="39" s="1"/>
  <c r="D73" i="39" s="1"/>
  <c r="D50" i="39"/>
  <c r="B51" i="39" s="1"/>
  <c r="C51" i="39" s="1"/>
  <c r="D49" i="39"/>
  <c r="B74" i="39" l="1"/>
  <c r="C74" i="39" s="1"/>
  <c r="D74" i="39"/>
  <c r="D75" i="39" s="1"/>
  <c r="D54" i="39"/>
  <c r="D55" i="39"/>
  <c r="B56" i="39" s="1"/>
  <c r="C56" i="39" s="1"/>
  <c r="D51" i="39"/>
  <c r="D52" i="39"/>
  <c r="D53" i="39"/>
  <c r="D57" i="39" l="1"/>
  <c r="B58" i="39" s="1"/>
  <c r="C58" i="39" s="1"/>
  <c r="D56" i="39"/>
  <c r="B76" i="39"/>
  <c r="C76" i="39" s="1"/>
  <c r="D76" i="39" s="1"/>
  <c r="D77" i="39" s="1"/>
  <c r="D58" i="39"/>
  <c r="B78" i="39" l="1"/>
  <c r="C78" i="39" s="1"/>
  <c r="D78" i="39" s="1"/>
  <c r="D79" i="39" s="1"/>
  <c r="D59" i="39"/>
  <c r="B60" i="39" s="1"/>
  <c r="C60" i="39" s="1"/>
  <c r="D60" i="39"/>
  <c r="D61" i="39"/>
  <c r="B62" i="39" s="1"/>
  <c r="C62" i="39" s="1"/>
  <c r="B80" i="39" l="1"/>
  <c r="C80" i="39" s="1"/>
  <c r="D80" i="39" s="1"/>
  <c r="D81" i="39" s="1"/>
  <c r="D82" i="39" s="1"/>
  <c r="D83" i="39" s="1"/>
  <c r="D62" i="39"/>
  <c r="D63" i="39"/>
  <c r="B64" i="39" s="1"/>
  <c r="C64" i="39" s="1"/>
  <c r="D64" i="39" s="1"/>
  <c r="B84" i="39" l="1"/>
  <c r="C84" i="39" s="1"/>
  <c r="D84" i="39" s="1"/>
  <c r="D85" i="39" s="1"/>
  <c r="D86" i="39" s="1"/>
  <c r="D65" i="39"/>
</calcChain>
</file>

<file path=xl/sharedStrings.xml><?xml version="1.0" encoding="utf-8"?>
<sst xmlns="http://schemas.openxmlformats.org/spreadsheetml/2006/main" count="843" uniqueCount="697">
  <si>
    <t>For calculation sheet see Reference 1 Appendix. B &amp; C [to be developed].</t>
  </si>
  <si>
    <t xml:space="preserve">Findings: </t>
  </si>
  <si>
    <t xml:space="preserve">Findings:  </t>
  </si>
  <si>
    <t xml:space="preserve">Thermography may be used.  </t>
  </si>
  <si>
    <t>Thermography may be used.</t>
  </si>
  <si>
    <t xml:space="preserve">Look for hot equipment.  </t>
  </si>
  <si>
    <t>gas: 76-82%</t>
  </si>
  <si>
    <t>coal: 85-88%, note: varies w/load</t>
  </si>
  <si>
    <t>oil: 78-89%</t>
  </si>
  <si>
    <t>Check Burner Flame for: 1) Shape, 2) Color, 3) Uniformity</t>
  </si>
  <si>
    <t>1.      Natural gas _________________________</t>
  </si>
  <si>
    <t>2.      Fuel Oil   ___________________________</t>
  </si>
  <si>
    <t>3.      Electricity __________________________</t>
  </si>
  <si>
    <t>4.      Compressed air ________________________</t>
  </si>
  <si>
    <t>5.      Other (i.e. water, with chemicals?)_________________</t>
  </si>
  <si>
    <t>1.      Natural gas  ________________________</t>
  </si>
  <si>
    <t>2.      Fuel Oil       __________________________</t>
  </si>
  <si>
    <t>3.      Electricity    _________________________</t>
  </si>
  <si>
    <t>5.      Other (i.e. water,  with  chemicals?)________________</t>
  </si>
  <si>
    <r>
      <t>Burner type/mfg.: (i.e. low No</t>
    </r>
    <r>
      <rPr>
        <vertAlign val="subscript"/>
        <sz val="10"/>
        <rFont val="Arial"/>
        <family val="2"/>
      </rPr>
      <t>x</t>
    </r>
    <r>
      <rPr>
        <sz val="10"/>
        <rFont val="Arial"/>
        <family val="2"/>
      </rPr>
      <t>, Ring, steam/air atomized etc.)</t>
    </r>
  </si>
  <si>
    <r>
      <t>Type of emission problems (So</t>
    </r>
    <r>
      <rPr>
        <vertAlign val="subscript"/>
        <sz val="10"/>
        <rFont val="Arial"/>
        <family val="2"/>
      </rPr>
      <t>x</t>
    </r>
    <r>
      <rPr>
        <sz val="10"/>
        <rFont val="Arial"/>
        <family val="2"/>
      </rPr>
      <t>, No</t>
    </r>
    <r>
      <rPr>
        <vertAlign val="subscript"/>
        <sz val="10"/>
        <rFont val="Arial"/>
        <family val="2"/>
      </rPr>
      <t>x</t>
    </r>
    <r>
      <rPr>
        <sz val="10"/>
        <rFont val="Arial"/>
        <family val="2"/>
      </rPr>
      <t>, particulates etc.)</t>
    </r>
  </si>
  <si>
    <r>
      <t>Explain the type of System  (i.e. lead-lag, O</t>
    </r>
    <r>
      <rPr>
        <vertAlign val="subscript"/>
        <sz val="10"/>
        <rFont val="Arial"/>
        <family val="2"/>
      </rPr>
      <t>2</t>
    </r>
    <r>
      <rPr>
        <sz val="10"/>
        <rFont val="Arial"/>
        <family val="2"/>
      </rPr>
      <t xml:space="preserve"> trim, etc.)</t>
    </r>
  </si>
  <si>
    <t>·        How identified (monitoring?)</t>
  </si>
  <si>
    <t>Note source/location of above findings in plant, and quantify energy loss if possible.</t>
  </si>
  <si>
    <t>3. O&amp;M Best Practices Guide[1]</t>
  </si>
  <si>
    <t>[1] Developed by PNNL, December 2002</t>
  </si>
  <si>
    <r>
      <t>Check Thermal Efficiency at high fire by noting (This activity may not be feasible if time and/or instrument constraints exist)</t>
    </r>
    <r>
      <rPr>
        <sz val="10"/>
        <rFont val="Arial"/>
        <family val="2"/>
      </rPr>
      <t>:</t>
    </r>
  </si>
  <si>
    <t xml:space="preserve">·   If any other mass flow leaves or enters the boiler, the mass must be measured or eliminated (i.e. no blowdowns during the test run)  </t>
  </si>
  <si>
    <t>·   Direct measurements are preferred.</t>
  </si>
  <si>
    <t>Bacharach-boiler combustion efficiency testing</t>
  </si>
  <si>
    <t>Water kit (Ph, hardness, total dissolved solids)</t>
  </si>
  <si>
    <t>Magnet (carbon vs stainless steel lines)-one set-up for doppler is magnets</t>
  </si>
  <si>
    <t>Batteries/Extension cord for power supply needs</t>
  </si>
  <si>
    <t>Vibration meter-check equipment for vibration problems (if generate heat may pick-up with thermal gun)</t>
  </si>
  <si>
    <t>Ultrasonic (sonic) gun/meter -check equipment for vibration, poor performance (i.e. steam traps)</t>
  </si>
  <si>
    <t>Safety shoes</t>
  </si>
  <si>
    <t>Tools, wrenches, screwdrivers, spanners, etc.</t>
  </si>
  <si>
    <t>Eric Richman</t>
  </si>
  <si>
    <t>Darrel Hatley</t>
  </si>
  <si>
    <t>Sue Arey</t>
  </si>
  <si>
    <t>Ray Pugh</t>
  </si>
  <si>
    <t>John Hail has pack</t>
  </si>
  <si>
    <t>Hard hat</t>
  </si>
  <si>
    <t>Safety glasses</t>
  </si>
  <si>
    <t>Tool and equipment case (roller case good idea)</t>
  </si>
  <si>
    <t xml:space="preserve">- Every 2 psig increase in operating pressure requires an additional 1% in operating energy costs. </t>
  </si>
  <si>
    <t>- Roughly 20 hp per 100 cfm at 100 psi</t>
  </si>
  <si>
    <t>- Use outside air whenever possible, is generally cooler and denser-thus easier to compress</t>
  </si>
  <si>
    <t>- Typically operate a: Reciprocating units, 1-50 Hp 100+ usually rotary or cenftugal</t>
  </si>
  <si>
    <t>- Typically if surface temperature is &gt;120F should consider insulation-especially for personnel protection)</t>
  </si>
  <si>
    <t>- A 1% efficiency gain for each 40F drop in Temp</t>
  </si>
  <si>
    <t>Air Compressor Interviewing &amp; Retuning Checklists</t>
  </si>
  <si>
    <t>Review previous notes and diagnostic data (EMCS, WBD).  Follow and fill-out checklists.</t>
  </si>
  <si>
    <t>Site-Wide and Building-Wide Interview &amp; Field Checklist</t>
  </si>
  <si>
    <t>Building# ______________ Chiller#: ___________</t>
  </si>
  <si>
    <t xml:space="preserve">Chiller Field Retuning Checklists </t>
  </si>
  <si>
    <t>Rooftop Unit Field Retuning Checklist - Mfr's instructions:</t>
  </si>
  <si>
    <t>AHU Field Retuning Checklist</t>
  </si>
  <si>
    <t>Boiler and Distribution Systems Interview Checklist</t>
  </si>
  <si>
    <t>Boiler and Distribution System Field Retuning Checklists</t>
  </si>
  <si>
    <t>Building# ______________ Compressor ID#: ___________</t>
  </si>
  <si>
    <t xml:space="preserve">Infrared Survey Checklist              </t>
  </si>
  <si>
    <t>Suggestions Checklist</t>
  </si>
  <si>
    <t>Tools Checklist</t>
  </si>
  <si>
    <t>Building# ______________</t>
  </si>
  <si>
    <t>Building# ______________ AHU#: ___________</t>
  </si>
  <si>
    <t>Building# ______________ Boiler/System#: ___________</t>
  </si>
  <si>
    <t>Bucket (volumetric container) and stop watch (measure flow)</t>
  </si>
  <si>
    <t>· Accessible for inspection and repair</t>
  </si>
  <si>
    <t>Packaged System</t>
  </si>
  <si>
    <t>No. of Systems:</t>
  </si>
  <si>
    <t>No: of  Boilers</t>
  </si>
  <si>
    <t>Make and Size of Systems</t>
  </si>
  <si>
    <t>Make and Size of Boilers</t>
  </si>
  <si>
    <t>Economizer or Stack Reclaim</t>
  </si>
  <si>
    <t>Are systems on networked (Y/N)</t>
  </si>
  <si>
    <t>No. of Systems</t>
  </si>
  <si>
    <t>No. of  Chillers</t>
  </si>
  <si>
    <t>Make and Size of chillers:</t>
  </si>
  <si>
    <t>No: of Chillers</t>
  </si>
  <si>
    <t>Make and Size of Chillers</t>
  </si>
  <si>
    <t>Economizer control:</t>
  </si>
  <si>
    <t>Are systems networked (Y/N)</t>
  </si>
  <si>
    <t>Heating System Type: ___________________________</t>
  </si>
  <si>
    <t>Packaged Cooling Systems?</t>
  </si>
  <si>
    <t>Built-up cooling systems?</t>
  </si>
  <si>
    <t>Packaged Heating Systems?</t>
  </si>
  <si>
    <t>Cooling System Type: _______________________</t>
  </si>
  <si>
    <t>Built-up System</t>
  </si>
  <si>
    <r>
      <t xml:space="preserve">Built-up Heating Systems? </t>
    </r>
    <r>
      <rPr>
        <sz val="10"/>
        <rFont val="Arial"/>
        <family val="2"/>
      </rPr>
      <t>(The boiler tabs have more detailed questions)</t>
    </r>
  </si>
  <si>
    <t>Air handler systems: ______________________________  Cooling only:_________  Cooling and Heating: ________</t>
  </si>
  <si>
    <r>
      <t xml:space="preserve">HVAC Inventory </t>
    </r>
    <r>
      <rPr>
        <sz val="10"/>
        <color indexed="8"/>
        <rFont val="Arial"/>
        <family val="2"/>
      </rPr>
      <t>(Sites may have an existing inventory to provide the ALERT team)</t>
    </r>
  </si>
  <si>
    <t>Bldg</t>
  </si>
  <si>
    <t xml:space="preserve">Total floor space of building and types of space: </t>
  </si>
  <si>
    <t xml:space="preserve">Description of Building automation system: </t>
  </si>
  <si>
    <t xml:space="preserve">Version of software: </t>
  </si>
  <si>
    <t xml:space="preserve">Comments: </t>
  </si>
  <si>
    <t xml:space="preserve">Buildings address: </t>
  </si>
  <si>
    <t xml:space="preserve">Point of Contact for Building: </t>
  </si>
  <si>
    <t xml:space="preserve">Phone number: </t>
  </si>
  <si>
    <t xml:space="preserve">e-mail: </t>
  </si>
  <si>
    <t xml:space="preserve">BAS vendor: ______________     Name of Software: </t>
  </si>
  <si>
    <t>Weather at start of inspection.   Temperature _____, Wind _____, Humidity _____, Raining _____</t>
  </si>
  <si>
    <t>Weather at end of inspection if different.   Temperature _____, Wind _____, Humidity _____, Raining _____</t>
  </si>
  <si>
    <t>Inventory</t>
  </si>
  <si>
    <t>Basic building information.</t>
  </si>
  <si>
    <t>General schedules and other info.</t>
  </si>
  <si>
    <t xml:space="preserve">HVAC inventory overview.  </t>
  </si>
  <si>
    <t>Original ALERT material.</t>
  </si>
  <si>
    <t>Original ALERT material plus Before &amp; After columns.</t>
  </si>
  <si>
    <t>Internal Notes</t>
  </si>
  <si>
    <t>Link</t>
  </si>
  <si>
    <t>Ck</t>
  </si>
  <si>
    <t xml:space="preserve">   20 amp CT split core (x1)</t>
  </si>
  <si>
    <t xml:space="preserve">   50 amp CT split core (x1)</t>
  </si>
  <si>
    <t xml:space="preserve">   100 amp CT split core (x1)</t>
  </si>
  <si>
    <t xml:space="preserve">   temp. sensor with 6 ft. cable (x2)</t>
  </si>
  <si>
    <t xml:space="preserve">   temp. sensor with 20 ft. cable (x2)</t>
  </si>
  <si>
    <t>Infrared (IR) Gun - surface temperature measurement (take mat-black tape to get good emmissivity)</t>
  </si>
  <si>
    <t xml:space="preserve">D/P measuring device (like magnehelic):  for low differential pressure measurements, used with pitot static tubes. </t>
  </si>
  <si>
    <t>Airspeed probe: Hotwire probe, with telescopic or gooseneck handle, suitable for measurements in ducts, registers or grilles.</t>
  </si>
  <si>
    <t>Airspeed probe: Vane probe, with telescopic or gooseneck handle , designed for high speed/high accuracy measurements</t>
  </si>
  <si>
    <r>
      <t xml:space="preserve">Hygrometer probe: measures relative humidity (%RH), and contains PT100 temperature sensor, designed for fast response and quick spot checks or continuous monitoring, </t>
    </r>
    <r>
      <rPr>
        <sz val="10"/>
        <color indexed="10"/>
        <rFont val="Arial"/>
        <family val="2"/>
      </rPr>
      <t>Duplicates current HOBO capability)</t>
    </r>
  </si>
  <si>
    <t>Auditing Equipment</t>
  </si>
  <si>
    <t>Other Items</t>
  </si>
  <si>
    <t>Filled-out interview forms</t>
  </si>
  <si>
    <t>Action</t>
  </si>
  <si>
    <r>
      <t xml:space="preserve">Information on the Building and HVAC system </t>
    </r>
    <r>
      <rPr>
        <sz val="10"/>
        <rFont val="Arial"/>
        <family val="2"/>
      </rPr>
      <t>(previous Interview templates should have much of this info already.)</t>
    </r>
  </si>
  <si>
    <t xml:space="preserve">- 90% of the heat loss from a hot uninsulated surface can be economically eliminated by installing insulation. </t>
  </si>
  <si>
    <t>Where's the high pressure steam?</t>
  </si>
  <si>
    <t>Where's the natural gas go on site?</t>
  </si>
  <si>
    <t>Add to Interview Questions</t>
  </si>
  <si>
    <t>If 5 bldgs/boilers, then make them priority</t>
  </si>
  <si>
    <t>units missing</t>
  </si>
  <si>
    <t>add more motor checks?</t>
  </si>
  <si>
    <t>add more pump checks?</t>
  </si>
  <si>
    <t>screening for high priority bldgs/components.</t>
  </si>
  <si>
    <t>O&amp;M contract language improvemtns</t>
  </si>
  <si>
    <t>Integrate O&amp;M Best Practice Guide</t>
  </si>
  <si>
    <t>Tablet PC approach for integration and data and calculations.</t>
  </si>
  <si>
    <t>Infrared camera</t>
  </si>
  <si>
    <t>Rooftop unit diagnostic tool - Honeywell/Rossi handtool.</t>
  </si>
  <si>
    <t>Air handler and economizer checks.</t>
  </si>
  <si>
    <t>Boiler and distribution checks.</t>
  </si>
  <si>
    <t>Boiler and distribution data to collect.</t>
  </si>
  <si>
    <t>Boiler and distribution notes and tips.</t>
  </si>
  <si>
    <t>Compressed air data and checks.</t>
  </si>
  <si>
    <t>Infrared camera tool checklist.</t>
  </si>
  <si>
    <t>In-progress development notes.</t>
  </si>
  <si>
    <t>Tab</t>
  </si>
  <si>
    <t>Content</t>
  </si>
  <si>
    <t>General</t>
  </si>
  <si>
    <t>AHU</t>
  </si>
  <si>
    <t>RTU</t>
  </si>
  <si>
    <t>Boiler Q</t>
  </si>
  <si>
    <t>Boiler</t>
  </si>
  <si>
    <t>Boiler Notes</t>
  </si>
  <si>
    <t>Air</t>
  </si>
  <si>
    <t>IR</t>
  </si>
  <si>
    <t>Tools</t>
  </si>
  <si>
    <t>notes</t>
  </si>
  <si>
    <t>Misc</t>
  </si>
  <si>
    <t>Miscellaneous checks and suggestions for site staff.</t>
  </si>
  <si>
    <t>Original ALERT material plus a few updates</t>
  </si>
  <si>
    <t>Solomat, resides in room storage rm #1414,Needs calibration</t>
  </si>
  <si>
    <t>Solomat, resides in room storage rm #1414,Needs calibration-cost $175 per sensor, perhaps more for this sensor, takes 3 weeks to 1 month</t>
  </si>
  <si>
    <t xml:space="preserve">Panametrics Transport model PT868 resides in room storage rm #1414 at least one unit is known to be calibrated </t>
  </si>
  <si>
    <t xml:space="preserve">Doppler (non-intrusive) flowmeter 0.03 to 12 m/s (0.1-40 ft/s) (with ultrasonic pipe thickness tester, metal file/sandpaper/metal brush, utility knife, allen wrench, couplant fluid)  </t>
  </si>
  <si>
    <t>same as item# 9?</t>
  </si>
  <si>
    <t>same as item# 25?</t>
  </si>
  <si>
    <t>same as item# 6&amp;7?</t>
  </si>
  <si>
    <t>Solomat data collector  (for suite of Solomat sensors)</t>
  </si>
  <si>
    <t>Orig. ALERT checks plus new checks; reformatted for Before and After retuning work.</t>
  </si>
  <si>
    <t>Orig. ALERT inteview questions plus many new questions.</t>
  </si>
  <si>
    <t>Orig. ALERT checks plus many new checks.</t>
  </si>
  <si>
    <t>New 'rules of thumb' and low-cost action suggestions.</t>
  </si>
  <si>
    <t>New topic area.</t>
  </si>
  <si>
    <t>Orig. ALERT checklist.</t>
  </si>
  <si>
    <t>Informal ALERT checklist used at PNNL with many new items added.</t>
  </si>
  <si>
    <t>Orig. ALERT checklist/suggestions.</t>
  </si>
  <si>
    <t>Casual, internal notes.</t>
  </si>
  <si>
    <t>Renewables: check for methane potentials - water treatment plants; landfills.</t>
  </si>
  <si>
    <t>Is "Take or Pay" asked in the Interview?</t>
  </si>
  <si>
    <t>Protocol Improvements</t>
  </si>
  <si>
    <t>Priority 1=high, 2=med.3=low</t>
  </si>
  <si>
    <t>redundancy check</t>
  </si>
  <si>
    <t>same as 32?</t>
  </si>
  <si>
    <t>Pressure gauge-to install in existing taps</t>
  </si>
  <si>
    <t>Thermocouple or RTD Thermometer with various probes suitable for surface and air stream direct measurement</t>
  </si>
  <si>
    <t>Single channel HOBO Temperature and Humidity Data loggers without external input capability</t>
  </si>
  <si>
    <t>Need to purchase</t>
  </si>
  <si>
    <t>Data logger external input sensors:</t>
  </si>
  <si>
    <t>Hobo H6 Motor logger On/off data loggers (x3)</t>
  </si>
  <si>
    <t>Duel Channel Hobo data Temperature and Humidity Data Loggers with duel external input capability. (x3)</t>
  </si>
  <si>
    <r>
      <t>2</t>
    </r>
    <r>
      <rPr>
        <sz val="12"/>
        <color indexed="10"/>
        <rFont val="Arial"/>
        <family val="2"/>
      </rPr>
      <t xml:space="preserve"> (3)</t>
    </r>
  </si>
  <si>
    <t>Needs new 02 cell every 6 months or so.  See Ray or Greg Sullivan.  Also large unit in 2400 storage</t>
  </si>
  <si>
    <t>Used to define bearing problems, steam trap leakage, air system leaks, underground water leaks, gas line leaks, etc.</t>
  </si>
  <si>
    <t xml:space="preserve">Instrument calibrator(????) </t>
  </si>
  <si>
    <r>
      <t>Pipe diameter tape measure</t>
    </r>
    <r>
      <rPr>
        <sz val="10"/>
        <color indexed="10"/>
        <rFont val="Arial"/>
        <family val="2"/>
      </rPr>
      <t xml:space="preserve"> (Caliper would be better for diameter)</t>
    </r>
  </si>
  <si>
    <t>Tachometer-measure rotational speed of equipment, such as motors, fans (rpm)</t>
  </si>
  <si>
    <t>Solomat has attachment probe, we do not own</t>
  </si>
  <si>
    <t>Item #</t>
  </si>
  <si>
    <t>same as 15&amp;16?</t>
  </si>
  <si>
    <t>same as 36?</t>
  </si>
  <si>
    <t>same as 13&amp;14?</t>
  </si>
  <si>
    <t xml:space="preserve">How used? </t>
  </si>
  <si>
    <t>equipment hot spot detection</t>
  </si>
  <si>
    <t>same as above, different tip design</t>
  </si>
  <si>
    <t xml:space="preserve">check actual vs. design condition, efficiency </t>
  </si>
  <si>
    <t>check actual vs. design condition, comfort  level</t>
  </si>
  <si>
    <t xml:space="preserve">indication of boiler operating condition &amp; efficiency </t>
  </si>
  <si>
    <t xml:space="preserve">indication of boiler physical condition &amp; efficiency </t>
  </si>
  <si>
    <t>effiiciency, heat recovery potential, check actual vs.design condition-reset opportunity</t>
  </si>
  <si>
    <t>may indicate source of meatl contamination, mettalurgy suitability for application</t>
  </si>
  <si>
    <t>back-up method to doppler-(see above)can use if line Is not full or turbulent flow-pipe runs are too short for Doppler</t>
  </si>
  <si>
    <t xml:space="preserve">indication of equipment physical condition &amp; efficiency </t>
  </si>
  <si>
    <t xml:space="preserve">·   Feedwater temperature can be taken at feedwater storage tank. </t>
  </si>
  <si>
    <t xml:space="preserve">·   It may be possible to estimate feedwater flow by timing level increase in boiler drum </t>
  </si>
  <si>
    <t>·   Note location of measured readings or where the readings came from if not directly measured.</t>
  </si>
  <si>
    <t>·   Provide simple drawing.</t>
  </si>
  <si>
    <t>·   The damper should move easily, show no signs of getting stuck open or closed, and follow the controls smoothly</t>
  </si>
  <si>
    <t xml:space="preserve">·   Look for wear or deformed linkage – lubrication?        </t>
  </si>
  <si>
    <t>·   Want the shape to be uniform shape that matches the type of burner (i.e. a ring burner should have ring shape, if not part of burner may be plugged).</t>
  </si>
  <si>
    <t>·   The color indicates whether burning to rich or not. Good color would be Blue with yellow tips.</t>
  </si>
  <si>
    <t>·   Is the shape ragged at the edges or flickering up and down?</t>
  </si>
  <si>
    <t>Agenda</t>
  </si>
  <si>
    <t>Generic agenda for site visit kickoff meetings.</t>
  </si>
  <si>
    <t>Site</t>
  </si>
  <si>
    <t>Basic site information.</t>
  </si>
  <si>
    <t>Basic Site Information</t>
  </si>
  <si>
    <t>Natural gas</t>
  </si>
  <si>
    <t>Electricity</t>
  </si>
  <si>
    <t>Sewer</t>
  </si>
  <si>
    <t>1.  Develop a breakout list of utility use and rates for at least gas and electricity.</t>
  </si>
  <si>
    <t>Other</t>
  </si>
  <si>
    <t>Therms or other</t>
  </si>
  <si>
    <t>kWh</t>
  </si>
  <si>
    <t>Gallons</t>
  </si>
  <si>
    <t>Site Annual Consumption</t>
  </si>
  <si>
    <t>Blended Rate</t>
  </si>
  <si>
    <t>Annual Consumption for Buildings to be Assessed</t>
  </si>
  <si>
    <t>Adapted from the Part III ALERT Interview Record revised by J. Kelley, ~August 2003</t>
  </si>
  <si>
    <t>2.  Gather monthly electricity and gas data for a 12 month period as appropriate.</t>
  </si>
  <si>
    <t xml:space="preserve">     A.  Site map with buildings and utility lines.</t>
  </si>
  <si>
    <t xml:space="preserve">     B.  1-Line diagrams of building floor plans.</t>
  </si>
  <si>
    <t xml:space="preserve">     C.  Mechanical plans.</t>
  </si>
  <si>
    <t>Dining</t>
  </si>
  <si>
    <t>Dormitory</t>
  </si>
  <si>
    <t>If fan is on a variable speed or frequency motor, note the motor command (the % speed).</t>
  </si>
  <si>
    <t xml:space="preserve">Command? </t>
  </si>
  <si>
    <t>Hospital</t>
  </si>
  <si>
    <t>Housing</t>
  </si>
  <si>
    <t>Industrial</t>
  </si>
  <si>
    <t>Offices</t>
  </si>
  <si>
    <t>Prison</t>
  </si>
  <si>
    <t>R&amp;D</t>
  </si>
  <si>
    <t>School</t>
  </si>
  <si>
    <t>Services</t>
  </si>
  <si>
    <t>Storage</t>
  </si>
  <si>
    <t>(Gallons/Day/Person)</t>
  </si>
  <si>
    <t>Cold Water Supply Temperature</t>
  </si>
  <si>
    <t>Amount of Hot Water*</t>
  </si>
  <si>
    <t>*Estimated hot water use</t>
  </si>
  <si>
    <t>Solar Hot Water</t>
  </si>
  <si>
    <t>HW Temperature</t>
  </si>
  <si>
    <t>Building &amp; HW Use</t>
  </si>
  <si>
    <t>Does facility have unshaded, south-facing flat/sloped roof or open ground for solar collectors?  How close is it to the hot water use?</t>
  </si>
  <si>
    <t>Ventilation Preheating</t>
  </si>
  <si>
    <t>1.  What are the requirements for ventilation air such as for process loads, airplane hangars, or chemical storage?</t>
  </si>
  <si>
    <t>2.  For ventilation requirements larger than 20,000 cfm: what are the cfm requirements?</t>
  </si>
  <si>
    <t>3.  How much wall space faces south, is free of doors and windows, and unshaded?</t>
  </si>
  <si>
    <t>Photovoltaic and Wind Power</t>
  </si>
  <si>
    <t>1.  What are the small and remote electrical loads?  Examples: remote monitoring stations, irrigation valves, and signboard lighting.</t>
  </si>
  <si>
    <t>2.  What are the kW and kWh/day requirements for these loads?</t>
  </si>
  <si>
    <t>3.  What site or building loads need a very reliable power?  What are those uses and the amount of power needed?</t>
  </si>
  <si>
    <t>4.  What south-facing roofs near the power use have electrical service on or near the roof?</t>
  </si>
  <si>
    <t>Renewables</t>
  </si>
  <si>
    <t>Screening questions for renewable energy opportunities.</t>
  </si>
  <si>
    <t>Internal working version, October 17, 2003</t>
  </si>
  <si>
    <t>Renewable Energy Assessment Review</t>
  </si>
  <si>
    <t>What facilities use a significant amount of hot water?  Examples: dormitories, barracks, prisons, cafeteria, gymnasiums, swimming pools.</t>
  </si>
  <si>
    <t>HW Heating Fuel</t>
  </si>
  <si>
    <t>3.  What weather data is available?  Prefer hourly dry-bulb temperature for the Typical Meteorlogical Year or Representative Year Data.</t>
  </si>
  <si>
    <t xml:space="preserve">4.  What site programs and end uses are essential or critical to maintain in the event of outages?  </t>
  </si>
  <si>
    <t>5.  Do you recharge any utility costs to the occupant programs?  What is the recharge method?</t>
  </si>
  <si>
    <t>6.  How much of the site's or buildings' electrical load can your generators provide?  Can you provide basic information on the generators, including fuel, capacity, age, and ability to generate for long hours?</t>
  </si>
  <si>
    <t>7.  What capital or expense projects have been done, are underway, and are planned for the selected buildings?</t>
  </si>
  <si>
    <t>8.  What are operating hours for the site and/or common building types?</t>
  </si>
  <si>
    <t xml:space="preserve">9.  Please provide the following: </t>
  </si>
  <si>
    <t>Trip: ____________</t>
  </si>
  <si>
    <t>·   Check that the blowdown valve is not leaking by in the closed position.</t>
  </si>
  <si>
    <t xml:space="preserve">·   Manual or automatic blowdown should not be excessive. The blowdown need only be enough to eliminate solids from the blowdown boiler. </t>
  </si>
  <si>
    <r>
      <t>·   If a blowdown is performed by while you are testing, check the blowdown water for solids</t>
    </r>
    <r>
      <rPr>
        <b/>
        <i/>
        <sz val="10"/>
        <color indexed="10"/>
        <rFont val="Arial"/>
        <family val="2"/>
      </rPr>
      <t xml:space="preserve"> </t>
    </r>
  </si>
  <si>
    <t>·   Check that the water level in the boiler is not above high water mark or below low-level mark. Also, watch as boiler operates that the level is not fluctuating significantly.</t>
  </si>
  <si>
    <t>·   It may be possible to estimate feedwater flow  or quantify amount of fluctuation of flwo by timing level increase in boiler drum.</t>
  </si>
  <si>
    <r>
      <t xml:space="preserve">1.    </t>
    </r>
    <r>
      <rPr>
        <b/>
        <sz val="10"/>
        <rFont val="Arial"/>
        <family val="2"/>
      </rPr>
      <t>Steam or water leaks</t>
    </r>
    <r>
      <rPr>
        <sz val="10"/>
        <rFont val="Arial"/>
        <family val="2"/>
      </rPr>
      <t xml:space="preserve"> and/or venting at the boiler or throughout the plant.  </t>
    </r>
  </si>
  <si>
    <t>A.      Measure temperature of the leak/venting.</t>
  </si>
  <si>
    <t xml:space="preserve">B.       Thermography may be used to measure temperature or trace back to the source to determine pressure and/or temperature.  </t>
  </si>
  <si>
    <r>
      <t xml:space="preserve">2.    </t>
    </r>
    <r>
      <rPr>
        <b/>
        <sz val="10"/>
        <rFont val="Arial"/>
        <family val="2"/>
      </rPr>
      <t>Missing insulation</t>
    </r>
    <r>
      <rPr>
        <sz val="10"/>
        <rFont val="Arial"/>
        <family val="2"/>
      </rPr>
      <t xml:space="preserve"> (Typically if surface temperature is &gt;120F, should consider insulation-especially for personnel protection)</t>
    </r>
  </si>
  <si>
    <t xml:space="preserve">A.      Quantify by noting diameter, pressure  and temperature of pipe as appropriate.  </t>
  </si>
  <si>
    <t>B.       Note source/location in plant, and quantify energy loss if possible. Temperature of space, Thermography may be used.</t>
  </si>
  <si>
    <r>
      <t xml:space="preserve">3.    </t>
    </r>
    <r>
      <rPr>
        <b/>
        <sz val="10"/>
        <rFont val="Arial"/>
        <family val="2"/>
      </rPr>
      <t>Infiltration points</t>
    </r>
    <r>
      <rPr>
        <sz val="10"/>
        <rFont val="Arial"/>
        <family val="2"/>
      </rPr>
      <t xml:space="preserve"> into the boiler and controlled spaces (i.e. heated areas)</t>
    </r>
  </si>
  <si>
    <r>
      <t xml:space="preserve">4.    </t>
    </r>
    <r>
      <rPr>
        <b/>
        <sz val="10"/>
        <rFont val="Arial"/>
        <family val="2"/>
      </rPr>
      <t>Equipment repairs</t>
    </r>
    <r>
      <rPr>
        <sz val="10"/>
        <rFont val="Arial"/>
        <family val="2"/>
      </rPr>
      <t xml:space="preserve"> needed, and/or clogged/stuck valves, and plugged heat exchangers. </t>
    </r>
  </si>
  <si>
    <r>
      <t>Check for heat recovery opportunities</t>
    </r>
    <r>
      <rPr>
        <sz val="10"/>
        <rFont val="Arial"/>
        <family val="2"/>
      </rPr>
      <t xml:space="preserve"> </t>
    </r>
  </si>
  <si>
    <r>
      <t>Check a boiler water sample.  Traces of chemicals used in the treatment or brought in with the make-up water should be identified. (If necessary, a sample may have to be analyzed at a lab)</t>
    </r>
    <r>
      <rPr>
        <b/>
        <i/>
        <sz val="10"/>
        <rFont val="Arial"/>
        <family val="2"/>
      </rPr>
      <t xml:space="preserve">   </t>
    </r>
  </si>
  <si>
    <t>Plant Aux. Eqpt.</t>
  </si>
  <si>
    <t>Interview Questions For Compressor Systems</t>
  </si>
  <si>
    <t>Compressed air audited?  (Y/ N)</t>
  </si>
  <si>
    <t>What type of compressor(s) ?</t>
  </si>
  <si>
    <t>Do you operate at full load (Y/ N) ?</t>
  </si>
  <si>
    <t>What are the loads?</t>
  </si>
  <si>
    <t>Can pressures be reduced?   (Y/ N)</t>
  </si>
  <si>
    <t>Field Checks for compressor systems</t>
  </si>
  <si>
    <t xml:space="preserve">Compressed Air System </t>
  </si>
  <si>
    <t>Air compressor operating pressures  (Every 2 psig increase in operating pressure requires an additional 1% in operating energy costs)</t>
  </si>
  <si>
    <t xml:space="preserve">Pressure </t>
  </si>
  <si>
    <t>Air compressor intake temperature, (should be from the coldest location feasible)</t>
  </si>
  <si>
    <t>Settings. ______________________</t>
  </si>
  <si>
    <t>Location within building  (note distance to outside)______________________</t>
  </si>
  <si>
    <t>Throughout the plant you may find (be able to hear) compressed air leaks. These may be easy to hear and trace back to the source.</t>
  </si>
  <si>
    <t>Diameter of pipe_________</t>
  </si>
  <si>
    <t>Pressure of pipe________</t>
  </si>
  <si>
    <t xml:space="preserve">Temperature of pipe_________ </t>
  </si>
  <si>
    <t xml:space="preserve">Operating point of compressor (electrical consumption) </t>
  </si>
  <si>
    <t>Compressor motor nameplate (bhp)__________</t>
  </si>
  <si>
    <t>Motor nameplate efficiency_________</t>
  </si>
  <si>
    <t>Motor logger (hours of operation)</t>
  </si>
  <si>
    <t>Air compressor intake source</t>
  </si>
  <si>
    <t>Rules of Thumb Related to Boiler Systems</t>
  </si>
  <si>
    <t>Combustion efficiency</t>
  </si>
  <si>
    <t xml:space="preserve">Natural gas: 76-83% </t>
  </si>
  <si>
    <t>Oil: 78-89%</t>
  </si>
  <si>
    <t>Coal: 85-88%</t>
  </si>
  <si>
    <t>Insulation</t>
  </si>
  <si>
    <t>Steam Traps</t>
  </si>
  <si>
    <t>5% failure rate is considered a good target</t>
  </si>
  <si>
    <t>Compressed air</t>
  </si>
  <si>
    <t xml:space="preserve">ABC’s of installation: </t>
  </si>
  <si>
    <t xml:space="preserve">· Below drip points </t>
  </si>
  <si>
    <t>· Close to drip point</t>
  </si>
  <si>
    <t>The following IR protocol assumes the individual performing the IR survey activity is knowledgeable of this technology to a level commensurate with recommendations by ANST for Level I certification.</t>
  </si>
  <si>
    <t>Introduce players</t>
  </si>
  <si>
    <t>Blank rows to make Max Stop formula work well</t>
  </si>
  <si>
    <t>hidden formulas</t>
  </si>
  <si>
    <t>Start</t>
  </si>
  <si>
    <t>Stop</t>
  </si>
  <si>
    <t>max Stop</t>
  </si>
  <si>
    <t>Min.</t>
  </si>
  <si>
    <t>Item</t>
  </si>
  <si>
    <t>Lead</t>
  </si>
  <si>
    <t>Close</t>
  </si>
  <si>
    <t>Plan/Confirm the assessment schedule</t>
  </si>
  <si>
    <t>Review the purpose of the ALERT assessments</t>
  </si>
  <si>
    <t>ALERT Site Visit Agenda</t>
  </si>
  <si>
    <t>site name</t>
  </si>
  <si>
    <t>date &amp; location</t>
  </si>
  <si>
    <t>Review the building priorities</t>
  </si>
  <si>
    <t>Confirm availability of site staff</t>
  </si>
  <si>
    <t>ALERT team leader</t>
  </si>
  <si>
    <t>Site leader</t>
  </si>
  <si>
    <t>Set approximate schedule for each building</t>
  </si>
  <si>
    <t>Kickoff the site visit</t>
  </si>
  <si>
    <t>Review the general lessons-learned</t>
  </si>
  <si>
    <t>Debrief</t>
  </si>
  <si>
    <t>Review the remaining needed info an tasks</t>
  </si>
  <si>
    <t>Team</t>
  </si>
  <si>
    <t>date, location</t>
  </si>
  <si>
    <t>Date</t>
  </si>
  <si>
    <t>Reconvene</t>
  </si>
  <si>
    <t>Brief tour/orientation of site &amp; targeted buildings</t>
  </si>
  <si>
    <t>Assess bldg/system _________________________</t>
  </si>
  <si>
    <t xml:space="preserve">IR survey opportunities and needs will change depending on facility design.  Use the following survey suggestions as applicable for site under examination.  If IR anomaly found, fill out information as applicable using “IR Anomaly Data Sheet”, Addendum “A”.  </t>
  </si>
  <si>
    <t>Boilers</t>
  </si>
  <si>
    <t>1. Survey fire box for evidence of refractory deterioration.</t>
  </si>
  <si>
    <t>2. Survey boiler for evidence of air inleakage or exhaust.</t>
  </si>
  <si>
    <t>3. Survey blowdown lines, relief valves, drain isolations and other possible system penetrations for evidence of improper heat loss/leakage.</t>
  </si>
  <si>
    <t>Systems</t>
  </si>
  <si>
    <t xml:space="preserve">Hot </t>
  </si>
  <si>
    <t>Water</t>
  </si>
  <si>
    <t>Pumps</t>
  </si>
  <si>
    <t xml:space="preserve">/Motors </t>
  </si>
  <si>
    <t>1. Survey for indication of alignment problems.</t>
  </si>
  <si>
    <t xml:space="preserve">2. Survey for indication of bearing overheating </t>
  </si>
  <si>
    <t>3. Survey for indication of motor overheating</t>
  </si>
  <si>
    <t>Building</t>
  </si>
  <si>
    <t>1. Survey for evidence of air loss/inadequate insulation.</t>
  </si>
  <si>
    <t>2. Survey roof if time of year and weather conditions conducive to survey needs, i.e. dry roof, clear sky, evening hours.</t>
  </si>
  <si>
    <t>1. Survey radiant floor heating for evidence of coil leakage/blockage</t>
  </si>
  <si>
    <t>2. Survey heating and cooling coils at VAV boxes and similar system heat exchangers for evidence of simultaneous heating and cooling..</t>
  </si>
  <si>
    <t>Misc.</t>
  </si>
  <si>
    <r>
      <t>Envelope</t>
    </r>
    <r>
      <rPr>
        <sz val="10"/>
        <rFont val="Arial"/>
        <family val="2"/>
      </rPr>
      <t xml:space="preserve"> </t>
    </r>
  </si>
  <si>
    <t>Steam Systems</t>
  </si>
  <si>
    <t>1. Survey system drains/blowdown lines for system heat loss.</t>
  </si>
  <si>
    <t>2. Survey system steam traps for proper operation and evidence of excessive heat loss (ensure proper trap operation).</t>
  </si>
  <si>
    <t>3. Survey System lines for evidence of inadequate insulation</t>
  </si>
  <si>
    <t>1. Survey heat exchangers for proper operation and validation of installed instrumentation.</t>
  </si>
  <si>
    <t xml:space="preserve">If anomaly found, complete information as defined on “IR Anomaly Data Sheet”, Addendum “A” </t>
  </si>
  <si>
    <t>2. Feedwater flow rate  _____gpm</t>
  </si>
  <si>
    <t>3.  Steam/water (Temperature or pressure if water or saturated steam, if superheated steam, need both parameters) ____°F</t>
  </si>
  <si>
    <t>4.  Fuel flow rate ­­­­____gpm</t>
  </si>
  <si>
    <t>5.  Fuel heating value (typically a constant-from utility/plant prior test.)  ____ Btu/cu.ft., or Btu/gal</t>
  </si>
  <si>
    <t>.</t>
  </si>
  <si>
    <t>Checking activity</t>
  </si>
  <si>
    <t>Before-Retuning Conditions</t>
  </si>
  <si>
    <t>Scheduling</t>
  </si>
  <si>
    <t xml:space="preserve">General Occupancy </t>
  </si>
  <si>
    <t xml:space="preserve">Lighting </t>
  </si>
  <si>
    <t xml:space="preserve">Fan and AHU </t>
  </si>
  <si>
    <t xml:space="preserve">Plant </t>
  </si>
  <si>
    <t xml:space="preserve"> </t>
  </si>
  <si>
    <t xml:space="preserve">Yes/No?: </t>
  </si>
  <si>
    <t xml:space="preserve">Start?: 
Stop?: </t>
  </si>
  <si>
    <t xml:space="preserve">Weekdays?:
Weekends?:  </t>
  </si>
  <si>
    <t>Weekdays?:
Weekends?:  
Shut off?:</t>
  </si>
  <si>
    <t xml:space="preserve">Amount of lighting/equipment?: </t>
  </si>
  <si>
    <t>After</t>
  </si>
  <si>
    <t xml:space="preserve">Allow for alternate work schedules with additional shift to reduce operations during the day’s peak period (usually mid-afternoon).  Instead of, say, 9am – 5pm suggest 2 shifts, say, early day (6 am to 2:30 pm) and late day (after 5 pm).  </t>
  </si>
  <si>
    <t>Never run 2 chillers at part load when one machine can carry it even if the chilled water temp slips a little.</t>
  </si>
  <si>
    <t xml:space="preserve">Turn off hall lights.  Take every second light bulb out of fixture.  </t>
  </si>
  <si>
    <t>Turn off parking lot lights away form the building and have people move their cars closer who are working late.</t>
  </si>
  <si>
    <t>Always turn off computers when not in use.</t>
  </si>
  <si>
    <t>Put a timer on all electric hot water tanks and turn them off during all the peak time windows. Storage can normally carry you through.</t>
  </si>
  <si>
    <t>Check if all of the staff’s lunch refrigerators are being used. Unplug those that are lightly used and consolidate.</t>
  </si>
  <si>
    <t>Put timer on office water coolers. Generally, there is significant storage to carry sufficient cold water through major portion of the peak period.</t>
  </si>
  <si>
    <t>Have lights been retrofitted to commercial best efficiency?  (example:T8s and electronic ballasts)</t>
  </si>
  <si>
    <t>Users</t>
  </si>
  <si>
    <t xml:space="preserve">Can occupants tolerate cycling air handlers off for 30 minutes at a time?  (or at least turning off the cooling). </t>
  </si>
  <si>
    <t xml:space="preserve">Can occupants tolerate resetting zone temperatures lower during peak times?  </t>
  </si>
  <si>
    <t>Can occupants tolerate pre-cooling strategies (extra cooling at night and, therefore, cooler in the office in the morning).</t>
  </si>
  <si>
    <t xml:space="preserve">Controls programmed accordingly?: </t>
  </si>
  <si>
    <t>Special Consideratons for Peak Load Periods</t>
  </si>
  <si>
    <t>Cooling</t>
  </si>
  <si>
    <t>Hot Water</t>
  </si>
  <si>
    <t>Lighting</t>
  </si>
  <si>
    <r>
      <t>Before-</t>
    </r>
    <r>
      <rPr>
        <sz val="12"/>
        <rFont val="Arial"/>
        <family val="2"/>
      </rPr>
      <t>Retuning Conditions</t>
    </r>
  </si>
  <si>
    <r>
      <t>After-</t>
    </r>
    <r>
      <rPr>
        <sz val="12"/>
        <rFont val="Arial"/>
        <family val="2"/>
      </rPr>
      <t>Retuning Conditions or Follow-up</t>
    </r>
  </si>
  <si>
    <t>Economizer</t>
  </si>
  <si>
    <t xml:space="preserve">Check to see that the economizer section is running at minimum fresh air settings. </t>
  </si>
  <si>
    <t>Override BAS to minimum ODA.</t>
  </si>
  <si>
    <t>Notes</t>
  </si>
  <si>
    <t xml:space="preserve">Types of heating and cooling system used.  Packaged heat pumps, central heating, central cooling, local heat cooling plant in building, all electric, etc. (If detailed data is available, then input it on the subsequent pages that call for more details.)  : 
</t>
  </si>
  <si>
    <t>No of AHU, and the CFM or HP of AHU</t>
  </si>
  <si>
    <t>1. Override ODA temp to high value</t>
  </si>
  <si>
    <t xml:space="preserve">2. Override ODA damper setting to minimum </t>
  </si>
  <si>
    <t>If ODA temperature is below 65, then is economizer running in economizer mode?</t>
  </si>
  <si>
    <t>Check to see if dampers are modulating at mixed or leaving air set points or stuck.</t>
  </si>
  <si>
    <t xml:space="preserve">Filter conditions?   </t>
  </si>
  <si>
    <t xml:space="preserve">Pressure with and w/o filter?   </t>
  </si>
  <si>
    <t xml:space="preserve">Pressure with and w/o filter?  </t>
  </si>
  <si>
    <t xml:space="preserve">Coil conditions?   </t>
  </si>
  <si>
    <t>Closed?</t>
  </si>
  <si>
    <t>If discharge temps are above 65F and chillers or cooling is operational discharge may be too warm and could use to be lowered.</t>
  </si>
  <si>
    <t xml:space="preserve">Observations?    </t>
  </si>
  <si>
    <t>Mix</t>
  </si>
  <si>
    <t>- Rtn</t>
  </si>
  <si>
    <t>=</t>
  </si>
  <si>
    <t>------------</t>
  </si>
  <si>
    <t>%</t>
  </si>
  <si>
    <t>ODA</t>
  </si>
  <si>
    <t xml:space="preserve">What is switch-over temperature? </t>
  </si>
  <si>
    <t xml:space="preserve">Temperature?: </t>
  </si>
  <si>
    <t>Yes/No?:</t>
  </si>
  <si>
    <t>3. Damper position per BAS?:</t>
  </si>
  <si>
    <t xml:space="preserve">Position?: </t>
  </si>
  <si>
    <t>Is economizer active during warm-up?  It should be off or closed during morning warm-up before staff arrives to work.</t>
  </si>
  <si>
    <r>
      <t xml:space="preserve">Take the air temperatures to verify minimum mixed air.  Check mixed air fraction by using temperatures of return, mixed and ODA.  The Fraction = Mix-Rtn/ODA-Rtn.  If above 10%, it’s getting too much ODA. Lower minimum position.   </t>
    </r>
    <r>
      <rPr>
        <i/>
        <sz val="10"/>
        <rFont val="Arial"/>
        <family val="2"/>
      </rPr>
      <t>Note: mixed air temperature set point does not play a part at this mode of operations so would not need to be checked unless mixed air temperature is below 40 degrees.  Then limiting may be in effect.</t>
    </r>
  </si>
  <si>
    <t>4. If dampers moved, what is their new position?</t>
  </si>
  <si>
    <t xml:space="preserve">Dampers modulating or stuck?  </t>
  </si>
  <si>
    <t xml:space="preserve">Is economizer active when building is unoccupied? </t>
  </si>
  <si>
    <t>Pressure is a cubed function on power.  Normally runs less then ½ inch on larger clean filter systems.  Good standard: Dp = 0.5”</t>
  </si>
  <si>
    <t xml:space="preserve">Valves leaking?  
Heating lockouts?  </t>
  </si>
  <si>
    <r>
      <t>Dual Duct or Dual Deck</t>
    </r>
    <r>
      <rPr>
        <sz val="10"/>
        <rFont val="Arial"/>
        <family val="2"/>
      </rPr>
      <t>:  Is heating section fully off and cool?  Check position of dampers and you will get an idea of the zone cooling needs.  If most or all zones are calling for full cooling then you need to walk down some zones to see at what temperature they are running.  Basically looking for zone that are heating or cooling more then required due to bad dampers or controls at the zone.</t>
    </r>
  </si>
  <si>
    <t xml:space="preserve">Total number of zones?:  
Zones not at set points?:  </t>
  </si>
  <si>
    <t>Discharge Air Checks</t>
  </si>
  <si>
    <t xml:space="preserve">Discharge air temperature?: </t>
  </si>
  <si>
    <t xml:space="preserve">Discharge pressure?:  </t>
  </si>
  <si>
    <t>Fan speed?:</t>
  </si>
  <si>
    <t>Is discharge temperature too high or low for Outdoor conditions causing heating and cooling at the same time or a building with too many zones not at set point?</t>
  </si>
  <si>
    <t xml:space="preserve">Yes/No?:  
Schedule: </t>
  </si>
  <si>
    <t xml:space="preserve">Does the reset schedule match building’s true needs?  Discharge temps are a critical balance point for the buildings current condition and thus can be changed to match building needs and minimize energy use.  Recommend: design of reset algorithm for supply air temperature.  </t>
  </si>
  <si>
    <t>ODA temperature?: 
Discharge seem correct?:</t>
  </si>
  <si>
    <t xml:space="preserve">Good standard range: &gt;55F to &lt; 70F.  </t>
  </si>
  <si>
    <t>If below 60, then it may be too low. Extra heat may be added that is not required.  Air only needs to be cool enough to cool the warmest areas served.  Ask if staff complain of sore necks or cold drafts.  Do people have paper over the diffuser to direct the air away from them?  This is a sign of too cold of air and maybe low flows.</t>
  </si>
  <si>
    <t xml:space="preserve">Fit with needs?: </t>
  </si>
  <si>
    <r>
      <t>Return Air</t>
    </r>
    <r>
      <rPr>
        <sz val="10"/>
        <rFont val="Arial"/>
        <family val="2"/>
      </rPr>
      <t>:  Check balance and sequence of air flow in comparison to supply air and mixed air.  Go through one economizer cycle and watch sequencing.</t>
    </r>
  </si>
  <si>
    <t>ODA temperature?:  
Economizer running?:</t>
  </si>
  <si>
    <t>What is the minimum position?:</t>
  </si>
  <si>
    <r>
      <t xml:space="preserve">Check </t>
    </r>
    <r>
      <rPr>
        <b/>
        <sz val="10"/>
        <rFont val="Arial"/>
        <family val="2"/>
      </rPr>
      <t>filters</t>
    </r>
    <r>
      <rPr>
        <sz val="10"/>
        <rFont val="Arial"/>
        <family val="2"/>
      </rPr>
      <t xml:space="preserve">, the dirtier the more fan power is required to pull air through them. </t>
    </r>
  </si>
  <si>
    <t>Tool list for site visits - under construction.</t>
  </si>
  <si>
    <r>
      <t xml:space="preserve">Check </t>
    </r>
    <r>
      <rPr>
        <b/>
        <sz val="10"/>
        <rFont val="Arial"/>
        <family val="2"/>
      </rPr>
      <t xml:space="preserve">cooling and heating coils </t>
    </r>
    <r>
      <rPr>
        <sz val="10"/>
        <rFont val="Arial"/>
        <family val="2"/>
      </rPr>
      <t>for clean air side passage.  If plugged or dirty causes a 2 fold effect.  Higher pressure losses and less heat transfer.  A 47 degree chilled water coil inlet temperature should get you a less then 60 degree discharge air temp from the coil.</t>
    </r>
  </si>
  <si>
    <r>
      <t xml:space="preserve">Check </t>
    </r>
    <r>
      <rPr>
        <b/>
        <sz val="10"/>
        <rFont val="Arial"/>
        <family val="2"/>
      </rPr>
      <t xml:space="preserve">cooling and heating valves </t>
    </r>
    <r>
      <rPr>
        <sz val="10"/>
        <rFont val="Arial"/>
        <family val="2"/>
      </rPr>
      <t>for leakage by touching the piping inlet to the coil.  If cooler then room or warmer then valve is leaking through.  Touch leaving piping if  there is a serious valve leakage problem and you should valve out the coil.  You may need to valve out the effected coil until peak season is over.  Primary concern is heating and cooling at same time.</t>
    </r>
  </si>
  <si>
    <r>
      <t xml:space="preserve">Check </t>
    </r>
    <r>
      <rPr>
        <b/>
        <sz val="10"/>
        <rFont val="Arial"/>
        <family val="2"/>
      </rPr>
      <t>cooling valve if 3-way</t>
    </r>
    <r>
      <rPr>
        <sz val="10"/>
        <rFont val="Arial"/>
        <family val="2"/>
      </rPr>
      <t xml:space="preserve"> is fully closed on the bypass side when in full-cooling mode.  Normally this is done by checking temperature of bypass loop and looking at valve steam position.  Check heating valve is system is in heating mode.</t>
    </r>
  </si>
  <si>
    <r>
      <t xml:space="preserve">Check </t>
    </r>
    <r>
      <rPr>
        <b/>
        <sz val="10"/>
        <rFont val="Arial"/>
        <family val="2"/>
      </rPr>
      <t>fan speed</t>
    </r>
    <r>
      <rPr>
        <sz val="10"/>
        <rFont val="Arial"/>
        <family val="2"/>
      </rPr>
      <t xml:space="preserve"> for running at 100% of speed or of vortex dampers position.  If at 100%, then it may be working to hard.  </t>
    </r>
  </si>
  <si>
    <r>
      <t xml:space="preserve">Check </t>
    </r>
    <r>
      <rPr>
        <b/>
        <sz val="10"/>
        <rFont val="Arial"/>
        <family val="2"/>
      </rPr>
      <t>discharge pressure</t>
    </r>
    <r>
      <rPr>
        <sz val="10"/>
        <rFont val="Arial"/>
        <family val="2"/>
      </rPr>
      <t>.  If above 1.5 inches ask yourself why.  Do we really need this much pressure?  If at 3 to 4” then you probably are too high.  Try a lower setting and see what areas start to complain and why.A18</t>
    </r>
  </si>
  <si>
    <r>
      <t xml:space="preserve">Check </t>
    </r>
    <r>
      <rPr>
        <b/>
        <sz val="10"/>
        <rFont val="Arial"/>
        <family val="2"/>
      </rPr>
      <t>discharge temperature</t>
    </r>
    <r>
      <rPr>
        <sz val="10"/>
        <rFont val="Arial"/>
        <family val="2"/>
      </rPr>
      <t xml:space="preserve">.  Can be from 45F to 100F.  </t>
    </r>
  </si>
  <si>
    <r>
      <t xml:space="preserve">Is there a </t>
    </r>
    <r>
      <rPr>
        <b/>
        <sz val="10"/>
        <rFont val="Arial"/>
        <family val="2"/>
      </rPr>
      <t>reset schedule</t>
    </r>
    <r>
      <rPr>
        <sz val="10"/>
        <rFont val="Arial"/>
        <family val="2"/>
      </rPr>
      <t>?  What are the settings?</t>
    </r>
  </si>
  <si>
    <t>What is the schedule?  Do systems actually shut off during non-use hours?</t>
  </si>
  <si>
    <t>Is too much lighting and equipment running for a small number of staff in building?</t>
  </si>
  <si>
    <t>What is the ventilation schedule?</t>
  </si>
  <si>
    <t>Supply, return, and exhaust fans?</t>
  </si>
  <si>
    <t>Are schedules aligned with the occupancy schedules?</t>
  </si>
  <si>
    <t>What is the heating/cooling plant schedule?</t>
  </si>
  <si>
    <t>Can the plant be shutdown or idled during none working hours?</t>
  </si>
  <si>
    <t>Are plant schedules aligned with the occupancy schedules?</t>
  </si>
  <si>
    <t>Can the temperatures float in early evening?</t>
  </si>
  <si>
    <t>What is the lighting schedule?</t>
  </si>
  <si>
    <t>Are lighting schedules aligned with the occupancy schedules?</t>
  </si>
  <si>
    <r>
      <t>Janitorial</t>
    </r>
    <r>
      <rPr>
        <sz val="10"/>
        <rFont val="Arial"/>
        <family val="2"/>
      </rPr>
      <t xml:space="preserve">:  What is the schedule? </t>
    </r>
  </si>
  <si>
    <t>What is the optimal start/stop, and does it work or is there a reset schedule?
Do systems start early to warm up the building before staff arrive?  If set for worst case winter condition, most of the time the building will be warm long before staff arrive.  Use a reset schedule.</t>
  </si>
  <si>
    <t>Check for more then 1 pump running on the same loop.  Parallel pumping may not be required.</t>
  </si>
  <si>
    <t>Are we dehumidifying? Under 50% humidity may not be a realistic goal due to energy needs.</t>
  </si>
  <si>
    <t>If cooling system is running</t>
  </si>
  <si>
    <t>Determine approach =   cond. Sat temp – ODA</t>
  </si>
  <si>
    <t>Cooling sides and water chillers should be within 10 degrees of saturation temps or no lower the 40 degrees for DX style systems</t>
  </si>
  <si>
    <t>Condenser water temperature set points should be as low as the machines can handle.  60 to 80F.  The temperature maybe as low as 60 for some  newer machines and 80 for older ones that have R-12 in them.</t>
  </si>
  <si>
    <t xml:space="preserve">Condition?:  </t>
  </si>
  <si>
    <t>What is the physical condition of coils?</t>
  </si>
  <si>
    <t xml:space="preserve">Clean?:  </t>
  </si>
  <si>
    <t xml:space="preserve">Pressure?: </t>
  </si>
  <si>
    <t>Approach</t>
  </si>
  <si>
    <t>--------------------------------</t>
  </si>
  <si>
    <t>Temperature?:</t>
  </si>
  <si>
    <t>Finding?:</t>
  </si>
  <si>
    <t xml:space="preserve">Fill conditions?:  </t>
  </si>
  <si>
    <t>Above 80F, ODA all tower fans should be running.</t>
  </si>
  <si>
    <t>ODA at which all tower fans are running?:</t>
  </si>
  <si>
    <t>- Water Tower Exit T.</t>
  </si>
  <si>
    <t>Condenser Sat. T.</t>
  </si>
  <si>
    <t xml:space="preserve">Boiler diagram from T. Koehler, 8/4/03.  </t>
  </si>
  <si>
    <t>The quantity of sensors is idealistic; the ALERT process may not provide enough time to check all the points.</t>
  </si>
  <si>
    <t>- Outdoor Air T.</t>
  </si>
  <si>
    <t>Saturation pressure in evaporator:</t>
  </si>
  <si>
    <t>Determine approach = Condenser Saturation Temperature minus Water Tower Exit:</t>
  </si>
  <si>
    <t xml:space="preserve">Derive saturation temperature in evaporator: </t>
  </si>
  <si>
    <t xml:space="preserve"> If there are 3 way valves at the air handlers then they should not be used or not installed.</t>
  </si>
  <si>
    <t>Loops open?:</t>
  </si>
  <si>
    <t xml:space="preserve">3-way valves exist &amp; used?: </t>
  </si>
  <si>
    <t xml:space="preserve">Action?: </t>
  </si>
  <si>
    <t xml:space="preserve">Pump configuration?: </t>
  </si>
  <si>
    <t>Any action?:</t>
  </si>
  <si>
    <t xml:space="preserve">Reason for de-humification?:  </t>
  </si>
  <si>
    <r>
      <t xml:space="preserve">How clean are </t>
    </r>
    <r>
      <rPr>
        <b/>
        <sz val="10"/>
        <rFont val="Arial"/>
        <family val="2"/>
      </rPr>
      <t>condenser coils</t>
    </r>
    <r>
      <rPr>
        <sz val="10"/>
        <rFont val="Arial"/>
        <family val="2"/>
      </rPr>
      <t>?</t>
    </r>
  </si>
  <si>
    <r>
      <t xml:space="preserve">Air-cooled condensers </t>
    </r>
    <r>
      <rPr>
        <sz val="10"/>
        <rFont val="Arial"/>
        <family val="2"/>
      </rPr>
      <t>saturation temps should be within 20 to max of 30 degrees of ODA temps.  Water-cooled system should be within 10 to no more then 15 degrees.  Centrifugals should be at about 10 degrees.  All tower or condenser fans should be running above about 80 ODA.</t>
    </r>
  </si>
  <si>
    <r>
      <t xml:space="preserve">Check </t>
    </r>
    <r>
      <rPr>
        <b/>
        <sz val="10"/>
        <rFont val="Arial"/>
        <family val="2"/>
      </rPr>
      <t>condenser saturation pressure</t>
    </r>
    <r>
      <rPr>
        <sz val="10"/>
        <rFont val="Arial"/>
        <family val="2"/>
      </rPr>
      <t>:</t>
    </r>
  </si>
  <si>
    <r>
      <t xml:space="preserve">Derive </t>
    </r>
    <r>
      <rPr>
        <b/>
        <sz val="10"/>
        <rFont val="Arial"/>
        <family val="2"/>
      </rPr>
      <t>condenser saturation temperature</t>
    </r>
    <r>
      <rPr>
        <sz val="10"/>
        <rFont val="Arial"/>
        <family val="2"/>
      </rPr>
      <t>:</t>
    </r>
  </si>
  <si>
    <r>
      <t xml:space="preserve">Determine </t>
    </r>
    <r>
      <rPr>
        <b/>
        <sz val="10"/>
        <rFont val="Arial"/>
        <family val="2"/>
      </rPr>
      <t>approach</t>
    </r>
    <r>
      <rPr>
        <sz val="10"/>
        <rFont val="Arial"/>
        <family val="2"/>
      </rPr>
      <t xml:space="preserve"> =  condenser saturation temperature minus ODA</t>
    </r>
  </si>
  <si>
    <r>
      <t xml:space="preserve">Check </t>
    </r>
    <r>
      <rPr>
        <b/>
        <sz val="10"/>
        <rFont val="Arial"/>
        <family val="2"/>
      </rPr>
      <t>water tower</t>
    </r>
    <r>
      <rPr>
        <sz val="10"/>
        <rFont val="Arial"/>
        <family val="2"/>
      </rPr>
      <t xml:space="preserve"> fill</t>
    </r>
  </si>
  <si>
    <r>
      <t>Water pumping systems</t>
    </r>
    <r>
      <rPr>
        <sz val="10"/>
        <rFont val="Arial"/>
        <family val="2"/>
      </rPr>
      <t xml:space="preserve">: 
Check for bypass loops partially open bypassing some water.  These should be closed anytime the system is at 50% or higher load. </t>
    </r>
  </si>
  <si>
    <t xml:space="preserve">Yes/No/Maybe?: 
Existing practice and policy?  </t>
  </si>
  <si>
    <t xml:space="preserve">Yes/No/Maybe?: </t>
  </si>
  <si>
    <r>
      <t xml:space="preserve">On </t>
    </r>
    <r>
      <rPr>
        <b/>
        <sz val="10"/>
        <rFont val="Arial"/>
        <family val="2"/>
      </rPr>
      <t xml:space="preserve">centrifugal chillers:
</t>
    </r>
    <r>
      <rPr>
        <sz val="10"/>
        <rFont val="Arial"/>
        <family val="2"/>
      </rPr>
      <t>Check if at 100% FLA and if so is the vane operator still in a modulating mode.  If fully open, chiller is probably under-charged.</t>
    </r>
  </si>
  <si>
    <t>Mode?:</t>
  </si>
  <si>
    <r>
      <t xml:space="preserve">Check </t>
    </r>
    <r>
      <rPr>
        <b/>
        <sz val="10"/>
        <rFont val="Arial"/>
        <family val="2"/>
      </rPr>
      <t>chilled water temperature set point</t>
    </r>
    <r>
      <rPr>
        <sz val="10"/>
        <rFont val="Arial"/>
        <family val="2"/>
      </rPr>
      <t>.  Good standards/common-readings: 47 to 55F.  Why is it down below 50?  Can the system run at 47 or does it really require 42 and if so what is the true driver.  This is the one setting that normally gets pushed down "just because".</t>
    </r>
  </si>
  <si>
    <t>General Suggestions for Sites</t>
  </si>
  <si>
    <t>Generic Economizer Diagram</t>
  </si>
  <si>
    <t>Auditing</t>
  </si>
  <si>
    <t>Light Meter - light level readings</t>
  </si>
  <si>
    <t>Watt Meter - simple power demand and consumption measurement</t>
  </si>
  <si>
    <t>Ballast Detector - magnetic or electronic</t>
  </si>
  <si>
    <t>Window Coating Detector -indicates low-e coating on which surface</t>
  </si>
  <si>
    <t>Digital camera</t>
  </si>
  <si>
    <t>Sue will get from Steve</t>
  </si>
  <si>
    <t>Misc/Ea. Person</t>
  </si>
  <si>
    <t>Clipboard</t>
  </si>
  <si>
    <t>Paper tablet</t>
  </si>
  <si>
    <t>Highlighter</t>
  </si>
  <si>
    <t>Post-Its</t>
  </si>
  <si>
    <t>DOE badge</t>
  </si>
  <si>
    <t>Laptop projector</t>
  </si>
  <si>
    <t>Paul King</t>
  </si>
  <si>
    <t>Powerpoint files</t>
  </si>
  <si>
    <t>Workshop binders or handouts</t>
  </si>
  <si>
    <t>Deb Beattie</t>
  </si>
  <si>
    <t>Copies of agenda</t>
  </si>
  <si>
    <t>Building and HVAC inventories</t>
  </si>
  <si>
    <t>Pre-analysed diagnostic results</t>
  </si>
  <si>
    <t xml:space="preserve">Standard tape measure </t>
  </si>
  <si>
    <t>Flashlight</t>
  </si>
  <si>
    <t>Ear plugs</t>
  </si>
  <si>
    <t>Point of Contact/Interviewee for Boiler:  ___________________________________________________</t>
  </si>
  <si>
    <t>No. of Boilers:</t>
  </si>
  <si>
    <t>Mfg./Type        Yr Built    Rated Output(lb/h,psig)   FuelType(#)[1]</t>
  </si>
  <si>
    <t xml:space="preserve">Utility Costs, Annual or Average Unit Cost (include units):                                     </t>
  </si>
  <si>
    <t>Auxiliary Equipment ( Y/N) include: steam separator, economizer, air-preheater heat exchanger (s) water softener:</t>
  </si>
  <si>
    <t>Mfg./Type                Date Built,             Rated Output</t>
  </si>
  <si>
    <t xml:space="preserve">   </t>
  </si>
  <si>
    <t>Annual Utility Usage: (Consumables-include units):</t>
  </si>
  <si>
    <t>Do you use fuel switching to save $ (Y/N)</t>
  </si>
  <si>
    <t xml:space="preserve"> Number of stack(s) for boiler(s)  ________________</t>
  </si>
  <si>
    <t xml:space="preserve"> Approximate height of the stack (s)</t>
  </si>
  <si>
    <t>Draft design (Forced, Induced, Natural or Balanced)</t>
  </si>
  <si>
    <t>Intake location for draft fans (indication of temperature)</t>
  </si>
  <si>
    <t>Nat.Gas: Atmospheric, ring, spud, low Nox</t>
  </si>
  <si>
    <t>Oil: Pressurize atomized, steam/air atomized,rotary cup</t>
  </si>
  <si>
    <t>Coal: overthrow rotor chain, grate, windbox, pulverized</t>
  </si>
  <si>
    <t>Boiler Control System Function:</t>
  </si>
  <si>
    <t>Maintain output of boiler (pressure or temperature) or Maintain combustion (i.e. air/fuel mixture)(O/C)?</t>
  </si>
  <si>
    <t xml:space="preserve">Networked System(s) (Y/N)  </t>
  </si>
  <si>
    <t>Emission problems in the plant? (Y/N)</t>
  </si>
  <si>
    <t>When was last time the burner was checked/tuned? (emission problems may indicate burner problems)</t>
  </si>
  <si>
    <t>Boiler Demand Loads:  Number, type and square footage of each building that receives steam/water from boiler plant?</t>
  </si>
  <si>
    <t>Boiler Demand Loads: Variable/Constant (V/C)</t>
  </si>
  <si>
    <t>Describe daily/seasonal variations or variations over time (increasing/decreasing loads?)</t>
  </si>
  <si>
    <t>What type of preventative maintenance program do you implement?</t>
  </si>
  <si>
    <t>Audit of equipment, valves, control systems etc.</t>
  </si>
  <si>
    <t>Calibration/repair of sensors, leaks, insulation</t>
  </si>
  <si>
    <t>Performance monitoring (including problem log (i.e. water hammer, widely varying boiler firing rate)</t>
  </si>
  <si>
    <t>Boiler Blowdowns performed (Y/N)</t>
  </si>
  <si>
    <t>Automatic, Manual or Continuous  (A/ M/ C) ?</t>
  </si>
  <si>
    <t>Frequency of blowdowns (Hrly, Daily, as needed)____________</t>
  </si>
  <si>
    <t>How is the system controlled-to avoid excessive discharge?</t>
  </si>
  <si>
    <t>Is there potential for heat recovery, blowdown energy or other?</t>
  </si>
  <si>
    <t>Condensate return to boiler plant (Y/N)</t>
  </si>
  <si>
    <t>Quantify (annual, average or %, include proper units)  _________________</t>
  </si>
  <si>
    <t>Temp and/or source. of return water  _________________</t>
  </si>
  <si>
    <t>If condensate is returned is it polished?  (Y/N)</t>
  </si>
  <si>
    <t>If condensate is returned is it monitored for contamination? (Y/N)</t>
  </si>
  <si>
    <t>Number/Type of steam traps _____________</t>
  </si>
  <si>
    <t>Steam traps audited (Y/ N)</t>
  </si>
  <si>
    <t>Frequency of audits (daily, qrtly, annually etc.)</t>
  </si>
  <si>
    <t>Number/% operating properly?  ______</t>
  </si>
  <si>
    <t>Feedwater make-up water source and temperature ___________</t>
  </si>
  <si>
    <t>Quantity of make-up water and how regulated? ___________</t>
  </si>
  <si>
    <t>[1] List all fuel types that can be burned in the boiler, use numbers of cost structure section as applicable</t>
  </si>
  <si>
    <t>e-mail: __________________</t>
  </si>
  <si>
    <t>Phone number: ________________________</t>
  </si>
  <si>
    <t>Targets</t>
  </si>
  <si>
    <t>Key</t>
  </si>
  <si>
    <t>Current values, notes</t>
  </si>
  <si>
    <t>Boiler Stack Gases</t>
  </si>
  <si>
    <t></t>
  </si>
  <si>
    <t>Check Combustion Efficiency at high fire with Bacharach:</t>
  </si>
  <si>
    <t>goal &gt;75%</t>
  </si>
  <si>
    <t>goal &gt;60%</t>
  </si>
  <si>
    <t xml:space="preserve">Feedwater Input, Fuel Input &amp; </t>
  </si>
  <si>
    <t>Steam or Water Output</t>
  </si>
  <si>
    <t>1. Temperature of feedwater ­­­____°F</t>
  </si>
  <si>
    <t>overall goal &gt;72%</t>
  </si>
  <si>
    <t>Air System</t>
  </si>
  <si>
    <t xml:space="preserve">Check Dampers: </t>
  </si>
  <si>
    <t xml:space="preserve">Boiler </t>
  </si>
  <si>
    <t>Check Blowdown Controls:</t>
  </si>
  <si>
    <t>Condition of valve/system (leaking?)____________</t>
  </si>
  <si>
    <t xml:space="preserve">Measure flow and temperature________ </t>
  </si>
  <si>
    <t>Quality of water/steam discharged (solids?)_________</t>
  </si>
  <si>
    <t xml:space="preserve">Check firebox temperature (exterior boiler walls)  </t>
  </si>
  <si>
    <t>&lt;150F</t>
  </si>
  <si>
    <t>Boiler Drum</t>
  </si>
  <si>
    <t>Check Water Level :</t>
  </si>
  <si>
    <t>Plant auxiliary equipment</t>
  </si>
  <si>
    <t>Check vibration of aux. Equipment in the plant (i.e. fans, pumps etc):</t>
  </si>
  <si>
    <t>Check temperature of aux. Equipment in the plant (i.e. fans, pumps etc):</t>
  </si>
  <si>
    <t>Check current draw of aux. equipment</t>
  </si>
  <si>
    <t xml:space="preserve">Check Housekeeping items:  Throughout the distribution system starting at the generation point. </t>
  </si>
  <si>
    <t xml:space="preserve">Check for steam use throughout the plant for possible substitution/modifications </t>
  </si>
  <si>
    <t xml:space="preserve">Steam tracing:  Observe if steam tracing is used to reduce freezing in more than 15 places,  it may be more economical to use a glycol solution.  </t>
  </si>
  <si>
    <t xml:space="preserve">Check steam distribution-should be generated/transported at highest pressure (low specific volumes-smaller piping) but used at lowest pressure (higher latent heat available). </t>
  </si>
  <si>
    <t xml:space="preserve">Quantify by noting: </t>
  </si>
  <si>
    <t xml:space="preserve">Diameter of pipe_________(pipe tape measure) </t>
  </si>
  <si>
    <t>Pressure of pipe___________(locate source, and use)</t>
  </si>
  <si>
    <t xml:space="preserve">Linear footage of heat traced pipe_________, </t>
  </si>
  <si>
    <t xml:space="preserve">(standard tape measure) </t>
  </si>
  <si>
    <t>Sketch of distribution layout with pressures and identifying source and users</t>
  </si>
  <si>
    <t>Look for any sources of heat going to the sewer or air. (Note if can be determined, the chemical composition or source of the hot medium that is being dumped to the sewer or air</t>
  </si>
  <si>
    <t>Thermography may be used to measure temperature of hot medium</t>
  </si>
  <si>
    <t xml:space="preserve">May be able to time amount filling a known volume </t>
  </si>
  <si>
    <t>Measure temperature_________(thermometer)</t>
  </si>
  <si>
    <t xml:space="preserve">Flow _______  May be able to time amount filling a known volume </t>
  </si>
  <si>
    <t>Check steam traps in the plant:</t>
  </si>
  <si>
    <t>If steam is in the pipe, a small stream may be okay, but a large stream of steam leaving the trap is typically a malfunctioning trap.</t>
  </si>
  <si>
    <t>Take temperature upstream and downstream of the trap</t>
  </si>
  <si>
    <t xml:space="preserve">Location of traps (ie.ABCs, accessible, below drip points-low pts, close as possible to drip pt) </t>
  </si>
  <si>
    <t xml:space="preserve">Note the type of trap used at the location </t>
  </si>
  <si>
    <t xml:space="preserve">Note the medium that the trap is working on </t>
  </si>
  <si>
    <t xml:space="preserve">(i.e. condensate or steam at a given pressure, if known)  </t>
  </si>
  <si>
    <t xml:space="preserve">Ultrasonic trap tester(listening device)/ level meter (conductivity) and sightglasses *vaposcopes) may also be used to check whether the trap is working </t>
  </si>
  <si>
    <t xml:space="preserve">Check feed and boiler water </t>
  </si>
  <si>
    <t xml:space="preserve">Check the water at several points throughout the feed water system. </t>
  </si>
  <si>
    <t xml:space="preserve">Check the make-up water that enters the system.  </t>
  </si>
  <si>
    <t xml:space="preserve">Water kits can be used (ph, hardness,) </t>
  </si>
  <si>
    <t>Total dissolved solids (TDS) test strip kits and/or conductivity meter</t>
  </si>
  <si>
    <t>REFERENCES:</t>
  </si>
  <si>
    <t>1. Boiler Efficiency Improvement</t>
  </si>
  <si>
    <t>2. CEM Training Course section P</t>
  </si>
  <si>
    <t>[1] A 1% efficiency gain for each 40F drop in temperature</t>
  </si>
  <si>
    <t>Follow Bacharach recommended test procedures, and note location of test sample point (i.e. before or after induced draft fan, after damper, top of stack) Provide simple drawing.</t>
  </si>
  <si>
    <t xml:space="preserve">1.  Temperature of stack gases ____°F </t>
  </si>
  <si>
    <t>2.  Ambient temperature  ______°F</t>
  </si>
  <si>
    <t>3.  Percent oxygen in the stack  ________%</t>
  </si>
  <si>
    <t>4.  Combustion efficiency reading ________ %</t>
  </si>
  <si>
    <t xml:space="preserve">Check Combustion Efficiency at low fire with Bacharach: </t>
  </si>
  <si>
    <t>Table of Contents for ALERT Protocols/Checklists</t>
  </si>
  <si>
    <t>Follow Bacharach recommended test procedures, and note location of test sample point (i.e. before or after induced draft fan, after damper, top of stack Provide simple drawing.</t>
  </si>
  <si>
    <t>1.  Temperature of stack gases[1] ____ °F</t>
  </si>
  <si>
    <t>2.  Ambient temperature ­____°F</t>
  </si>
  <si>
    <t>3.  Percent oxygen in the stack _____%</t>
  </si>
  <si>
    <t>4.  Combustion efficiency reading 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</si>
</sst>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205" formatCode="&quot;$&quot;#,##0.000"/>
    <numFmt numFmtId="224" formatCode="ddd\,\ m/d"/>
    <numFmt numFmtId="226" formatCode="[$-409]h:mm\ AM/PM;@"/>
  </numFmts>
  <fonts count="35">
    <font>
      <sz val="10"/>
      <name val="Arial"/>
    </font>
    <font>
      <sz val="10"/>
      <name val="Arial"/>
    </font>
    <font>
      <sz val="10"/>
      <name val="Arial"/>
      <family val="2"/>
    </font>
    <font>
      <b/>
      <sz val="10"/>
      <color indexed="8"/>
      <name val="Arial"/>
      <family val="2"/>
    </font>
    <font>
      <b/>
      <sz val="12"/>
      <color indexed="8"/>
      <name val="Arial"/>
      <family val="2"/>
    </font>
    <font>
      <u/>
      <sz val="10"/>
      <color indexed="56"/>
      <name val="Arial"/>
    </font>
    <font>
      <b/>
      <sz val="10"/>
      <name val="Arial"/>
      <family val="2"/>
    </font>
    <font>
      <sz val="12"/>
      <name val="Times New Roman"/>
      <family val="1"/>
    </font>
    <font>
      <b/>
      <sz val="12"/>
      <name val="Arial"/>
      <family val="2"/>
    </font>
    <font>
      <sz val="12"/>
      <name val="Arial"/>
      <family val="2"/>
    </font>
    <font>
      <i/>
      <sz val="10"/>
      <name val="Arial"/>
      <family val="2"/>
    </font>
    <font>
      <b/>
      <sz val="16"/>
      <name val="Arial"/>
      <family val="2"/>
    </font>
    <font>
      <sz val="22"/>
      <name val="Arial"/>
      <family val="2"/>
    </font>
    <font>
      <sz val="10"/>
      <name val="Helv"/>
    </font>
    <font>
      <u/>
      <sz val="10"/>
      <color indexed="56"/>
      <name val="Arial"/>
      <family val="2"/>
    </font>
    <font>
      <u/>
      <sz val="10"/>
      <name val="Arial"/>
      <family val="2"/>
    </font>
    <font>
      <vertAlign val="subscript"/>
      <sz val="10"/>
      <name val="Arial"/>
      <family val="2"/>
    </font>
    <font>
      <b/>
      <i/>
      <sz val="10"/>
      <color indexed="10"/>
      <name val="Arial"/>
      <family val="2"/>
    </font>
    <font>
      <b/>
      <i/>
      <sz val="10"/>
      <name val="Arial"/>
      <family val="2"/>
    </font>
    <font>
      <b/>
      <u/>
      <sz val="10"/>
      <name val="Arial"/>
      <family val="2"/>
    </font>
    <font>
      <b/>
      <sz val="14"/>
      <name val="Arial"/>
      <family val="2"/>
    </font>
    <font>
      <sz val="11"/>
      <name val="Arial"/>
      <family val="2"/>
    </font>
    <font>
      <b/>
      <sz val="14"/>
      <color indexed="8"/>
      <name val="Arial"/>
      <family val="2"/>
    </font>
    <font>
      <sz val="8"/>
      <name val="Arial"/>
      <family val="2"/>
    </font>
    <font>
      <sz val="8"/>
      <color indexed="10"/>
      <name val="Arial"/>
      <family val="2"/>
    </font>
    <font>
      <b/>
      <sz val="14"/>
      <color indexed="10"/>
      <name val="Arial"/>
      <family val="2"/>
    </font>
    <font>
      <sz val="12"/>
      <color indexed="10"/>
      <name val="Arial"/>
      <family val="2"/>
    </font>
    <font>
      <b/>
      <sz val="12"/>
      <color indexed="10"/>
      <name val="Arial"/>
      <family val="2"/>
    </font>
    <font>
      <sz val="10"/>
      <color indexed="10"/>
      <name val="Arial"/>
      <family val="2"/>
    </font>
    <font>
      <sz val="10"/>
      <color indexed="8"/>
      <name val="Arial"/>
      <family val="2"/>
    </font>
    <font>
      <b/>
      <sz val="8"/>
      <name val="Arial"/>
      <family val="2"/>
    </font>
    <font>
      <sz val="10"/>
      <name val="Geneva"/>
    </font>
    <font>
      <i/>
      <sz val="11"/>
      <name val="Arial"/>
      <family val="2"/>
    </font>
    <font>
      <b/>
      <sz val="11"/>
      <name val="Arial"/>
      <family val="2"/>
    </font>
    <font>
      <b/>
      <i/>
      <sz val="11"/>
      <name val="Arial"/>
      <family val="2"/>
    </font>
  </fonts>
  <fills count="6">
    <fill>
      <patternFill patternType="none"/>
    </fill>
    <fill>
      <patternFill patternType="gray125"/>
    </fill>
    <fill>
      <patternFill patternType="solid">
        <fgColor indexed="22"/>
        <bgColor indexed="64"/>
      </patternFill>
    </fill>
    <fill>
      <patternFill patternType="solid">
        <fgColor indexed="13"/>
        <bgColor indexed="64"/>
      </patternFill>
    </fill>
    <fill>
      <patternFill patternType="solid">
        <fgColor indexed="43"/>
        <bgColor indexed="64"/>
      </patternFill>
    </fill>
    <fill>
      <patternFill patternType="solid">
        <fgColor indexed="42"/>
        <bgColor indexed="64"/>
      </patternFill>
    </fill>
  </fills>
  <borders count="49">
    <border>
      <left/>
      <right/>
      <top/>
      <bottom/>
      <diagonal/>
    </border>
    <border>
      <left/>
      <right/>
      <top style="hair">
        <color indexed="64"/>
      </top>
      <bottom style="hair">
        <color indexed="64"/>
      </bottom>
      <diagonal/>
    </border>
    <border>
      <left/>
      <right/>
      <top style="hair">
        <color indexed="64"/>
      </top>
      <bottom/>
      <diagonal/>
    </border>
    <border>
      <left style="hair">
        <color indexed="64"/>
      </left>
      <right style="hair">
        <color indexed="64"/>
      </right>
      <top style="hair">
        <color indexed="64"/>
      </top>
      <bottom style="hair">
        <color indexed="64"/>
      </bottom>
      <diagonal/>
    </border>
    <border>
      <left/>
      <right/>
      <top/>
      <bottom style="thin">
        <color indexed="64"/>
      </bottom>
      <diagonal/>
    </border>
    <border>
      <left/>
      <right/>
      <top style="thin">
        <color indexed="64"/>
      </top>
      <bottom style="thin">
        <color indexed="64"/>
      </bottom>
      <diagonal/>
    </border>
    <border>
      <left/>
      <right/>
      <top/>
      <bottom style="hair">
        <color indexed="64"/>
      </bottom>
      <diagonal/>
    </border>
    <border>
      <left/>
      <right/>
      <top style="thin">
        <color indexed="64"/>
      </top>
      <bottom style="hair">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hair">
        <color indexed="64"/>
      </left>
      <right/>
      <top style="thin">
        <color indexed="64"/>
      </top>
      <bottom style="hair">
        <color indexed="64"/>
      </bottom>
      <diagonal/>
    </border>
    <border>
      <left style="hair">
        <color indexed="64"/>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style="hair">
        <color indexed="64"/>
      </left>
      <right style="hair">
        <color indexed="64"/>
      </right>
      <top/>
      <bottom/>
      <diagonal/>
    </border>
    <border>
      <left style="hair">
        <color indexed="64"/>
      </left>
      <right/>
      <top/>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style="hair">
        <color indexed="64"/>
      </left>
      <right style="hair">
        <color indexed="64"/>
      </right>
      <top style="thin">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style="hair">
        <color indexed="64"/>
      </left>
      <right style="hair">
        <color indexed="64"/>
      </right>
      <top style="thin">
        <color indexed="64"/>
      </top>
      <bottom/>
      <diagonal/>
    </border>
    <border>
      <left style="hair">
        <color indexed="64"/>
      </left>
      <right/>
      <top style="thin">
        <color indexed="64"/>
      </top>
      <bottom/>
      <diagonal/>
    </border>
    <border>
      <left style="hair">
        <color indexed="64"/>
      </left>
      <right/>
      <top style="hair">
        <color indexed="64"/>
      </top>
      <bottom style="thin">
        <color indexed="64"/>
      </bottom>
      <diagonal/>
    </border>
    <border>
      <left/>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right style="hair">
        <color indexed="64"/>
      </right>
      <top style="hair">
        <color indexed="64"/>
      </top>
      <bottom style="hair">
        <color indexed="64"/>
      </bottom>
      <diagonal/>
    </border>
    <border>
      <left style="thin">
        <color indexed="64"/>
      </left>
      <right/>
      <top style="thin">
        <color indexed="64"/>
      </top>
      <bottom style="thin">
        <color indexed="64"/>
      </bottom>
      <diagonal/>
    </border>
    <border>
      <left style="hair">
        <color indexed="64"/>
      </left>
      <right style="thin">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s>
  <cellStyleXfs count="6">
    <xf numFmtId="0" fontId="0" fillId="0" borderId="0"/>
    <xf numFmtId="0" fontId="13" fillId="0" borderId="0" applyFill="0" applyBorder="0" applyAlignment="0" applyProtection="0"/>
    <xf numFmtId="0" fontId="5" fillId="0" borderId="0" applyNumberFormat="0" applyFill="0" applyBorder="0" applyAlignment="0" applyProtection="0">
      <alignment vertical="top"/>
      <protection locked="0"/>
    </xf>
    <xf numFmtId="0" fontId="31" fillId="0" borderId="0"/>
    <xf numFmtId="0" fontId="1" fillId="0" borderId="0"/>
    <xf numFmtId="0" fontId="1" fillId="0" borderId="0"/>
  </cellStyleXfs>
  <cellXfs count="355">
    <xf numFmtId="0" fontId="0" fillId="0" borderId="0" xfId="0"/>
    <xf numFmtId="3" fontId="2" fillId="0" borderId="0" xfId="0" applyNumberFormat="1" applyFont="1" applyFill="1" applyBorder="1" applyAlignment="1">
      <alignment horizontal="left" vertical="center"/>
    </xf>
    <xf numFmtId="3" fontId="2" fillId="0" borderId="0" xfId="0" applyNumberFormat="1" applyFont="1" applyFill="1" applyBorder="1" applyAlignment="1">
      <alignment horizontal="right" vertical="center"/>
    </xf>
    <xf numFmtId="3" fontId="3" fillId="0" borderId="0" xfId="0" applyNumberFormat="1" applyFont="1" applyFill="1" applyBorder="1" applyAlignment="1">
      <alignment horizontal="right" vertical="center"/>
    </xf>
    <xf numFmtId="3" fontId="2" fillId="0" borderId="1" xfId="0" applyNumberFormat="1" applyFont="1" applyFill="1" applyBorder="1" applyAlignment="1">
      <alignment vertical="center" wrapText="1"/>
    </xf>
    <xf numFmtId="3" fontId="2" fillId="0" borderId="2" xfId="0" applyNumberFormat="1" applyFont="1" applyFill="1" applyBorder="1" applyAlignment="1">
      <alignment vertical="center" wrapText="1"/>
    </xf>
    <xf numFmtId="3" fontId="2" fillId="0" borderId="0" xfId="0" applyNumberFormat="1" applyFont="1" applyFill="1" applyBorder="1" applyAlignment="1">
      <alignment horizontal="center" vertical="center"/>
    </xf>
    <xf numFmtId="3" fontId="2" fillId="0" borderId="0" xfId="0" quotePrefix="1" applyNumberFormat="1" applyFont="1" applyFill="1" applyBorder="1" applyAlignment="1">
      <alignment horizontal="center" vertical="center"/>
    </xf>
    <xf numFmtId="3" fontId="2" fillId="0" borderId="3" xfId="0" quotePrefix="1" applyNumberFormat="1" applyFont="1" applyFill="1" applyBorder="1" applyAlignment="1">
      <alignment horizontal="center" vertical="center"/>
    </xf>
    <xf numFmtId="3" fontId="2" fillId="0" borderId="0" xfId="0" quotePrefix="1" applyNumberFormat="1" applyFont="1" applyFill="1" applyBorder="1" applyAlignment="1">
      <alignment horizontal="left" vertical="center"/>
    </xf>
    <xf numFmtId="3" fontId="2" fillId="0" borderId="3" xfId="0" quotePrefix="1" applyNumberFormat="1" applyFont="1" applyFill="1" applyBorder="1" applyAlignment="1">
      <alignment horizontal="right" vertical="center"/>
    </xf>
    <xf numFmtId="3" fontId="2" fillId="0" borderId="0" xfId="0" applyNumberFormat="1" applyFont="1" applyFill="1" applyBorder="1" applyAlignment="1">
      <alignment horizontal="right" vertical="top"/>
    </xf>
    <xf numFmtId="3" fontId="2" fillId="0" borderId="0" xfId="0" applyNumberFormat="1" applyFont="1" applyFill="1" applyBorder="1" applyAlignment="1">
      <alignment horizontal="left" vertical="top"/>
    </xf>
    <xf numFmtId="3" fontId="8" fillId="0" borderId="0" xfId="0" applyNumberFormat="1" applyFont="1" applyFill="1" applyBorder="1" applyAlignment="1">
      <alignment horizontal="right" vertical="top"/>
    </xf>
    <xf numFmtId="0" fontId="8" fillId="2" borderId="4" xfId="0" applyFont="1" applyFill="1" applyBorder="1" applyAlignment="1">
      <alignment vertical="top" wrapText="1"/>
    </xf>
    <xf numFmtId="0" fontId="8" fillId="0" borderId="5" xfId="0" applyFont="1" applyBorder="1" applyAlignment="1">
      <alignment horizontal="center" vertical="top" wrapText="1"/>
    </xf>
    <xf numFmtId="0" fontId="2" fillId="0" borderId="0" xfId="0" applyFont="1" applyBorder="1" applyAlignment="1">
      <alignment vertical="top" wrapText="1"/>
    </xf>
    <xf numFmtId="0" fontId="2" fillId="0" borderId="6" xfId="0" applyFont="1" applyBorder="1" applyAlignment="1">
      <alignment vertical="top" wrapText="1"/>
    </xf>
    <xf numFmtId="0" fontId="0" fillId="0" borderId="1" xfId="0" applyBorder="1" applyAlignment="1">
      <alignment vertical="top" wrapText="1"/>
    </xf>
    <xf numFmtId="0" fontId="2" fillId="0" borderId="1" xfId="0" applyFont="1" applyBorder="1" applyAlignment="1">
      <alignment vertical="top" wrapText="1"/>
    </xf>
    <xf numFmtId="0" fontId="2" fillId="0" borderId="7" xfId="0" applyFont="1" applyBorder="1" applyAlignment="1">
      <alignment vertical="top" wrapText="1"/>
    </xf>
    <xf numFmtId="0" fontId="2" fillId="0" borderId="5" xfId="0" applyFont="1" applyBorder="1" applyAlignment="1">
      <alignment vertical="top" wrapText="1"/>
    </xf>
    <xf numFmtId="0" fontId="8" fillId="0" borderId="4" xfId="0" applyFont="1" applyFill="1" applyBorder="1" applyAlignment="1">
      <alignment horizontal="left" vertical="top" wrapText="1"/>
    </xf>
    <xf numFmtId="0" fontId="9" fillId="0" borderId="4" xfId="0" applyFont="1" applyFill="1" applyBorder="1" applyAlignment="1">
      <alignment vertical="top" wrapText="1"/>
    </xf>
    <xf numFmtId="3" fontId="2" fillId="0" borderId="0" xfId="0" applyNumberFormat="1" applyFont="1" applyFill="1" applyBorder="1" applyAlignment="1">
      <alignment vertical="center"/>
    </xf>
    <xf numFmtId="3" fontId="2" fillId="0" borderId="0" xfId="0" quotePrefix="1" applyNumberFormat="1" applyFont="1" applyFill="1" applyBorder="1" applyAlignment="1">
      <alignment horizontal="right" vertical="center"/>
    </xf>
    <xf numFmtId="3" fontId="2" fillId="0" borderId="8" xfId="0" applyNumberFormat="1" applyFont="1" applyFill="1" applyBorder="1" applyAlignment="1">
      <alignment horizontal="right" vertical="center"/>
    </xf>
    <xf numFmtId="3" fontId="2" fillId="0" borderId="8" xfId="0" quotePrefix="1" applyNumberFormat="1" applyFont="1" applyFill="1" applyBorder="1" applyAlignment="1">
      <alignment horizontal="right" vertical="center"/>
    </xf>
    <xf numFmtId="0" fontId="2" fillId="0" borderId="2" xfId="0" applyFont="1" applyBorder="1" applyAlignment="1">
      <alignment vertical="top" wrapText="1"/>
    </xf>
    <xf numFmtId="0" fontId="8" fillId="0" borderId="4" xfId="0" applyFont="1" applyFill="1" applyBorder="1" applyAlignment="1">
      <alignment horizontal="right" vertical="center"/>
    </xf>
    <xf numFmtId="0" fontId="6" fillId="2" borderId="0" xfId="0" applyFont="1" applyFill="1" applyBorder="1" applyAlignment="1">
      <alignment vertical="top" wrapText="1"/>
    </xf>
    <xf numFmtId="3" fontId="6" fillId="0" borderId="0" xfId="0" applyNumberFormat="1" applyFont="1" applyFill="1" applyBorder="1" applyAlignment="1">
      <alignment horizontal="left" vertical="top"/>
    </xf>
    <xf numFmtId="3" fontId="8" fillId="0" borderId="0" xfId="0" applyNumberFormat="1" applyFont="1" applyFill="1" applyBorder="1" applyAlignment="1">
      <alignment horizontal="left" vertical="top"/>
    </xf>
    <xf numFmtId="0" fontId="6" fillId="0" borderId="7" xfId="0" applyFont="1" applyBorder="1" applyAlignment="1">
      <alignment vertical="top" wrapText="1"/>
    </xf>
    <xf numFmtId="0" fontId="2" fillId="0" borderId="9" xfId="0" applyFont="1" applyBorder="1" applyAlignment="1">
      <alignment vertical="top" wrapText="1"/>
    </xf>
    <xf numFmtId="0" fontId="2" fillId="0" borderId="10" xfId="0" applyFont="1" applyBorder="1" applyAlignment="1">
      <alignment vertical="top" wrapText="1"/>
    </xf>
    <xf numFmtId="0" fontId="8" fillId="0" borderId="11" xfId="0" applyFont="1" applyBorder="1" applyAlignment="1">
      <alignment horizontal="center" vertical="top" wrapText="1"/>
    </xf>
    <xf numFmtId="0" fontId="8" fillId="0" borderId="12" xfId="0" applyFont="1" applyBorder="1" applyAlignment="1">
      <alignment horizontal="center" vertical="top" wrapText="1"/>
    </xf>
    <xf numFmtId="0" fontId="6" fillId="2" borderId="13" xfId="0" applyFont="1" applyFill="1" applyBorder="1" applyAlignment="1">
      <alignment vertical="top" wrapText="1"/>
    </xf>
    <xf numFmtId="0" fontId="6" fillId="2" borderId="14" xfId="0" applyFont="1" applyFill="1" applyBorder="1" applyAlignment="1">
      <alignment vertical="top" wrapText="1"/>
    </xf>
    <xf numFmtId="0" fontId="2" fillId="0" borderId="15" xfId="0" applyFont="1" applyBorder="1" applyAlignment="1">
      <alignment vertical="top" wrapText="1"/>
    </xf>
    <xf numFmtId="0" fontId="2" fillId="0" borderId="16" xfId="0" applyFont="1" applyBorder="1" applyAlignment="1">
      <alignment vertical="top" wrapText="1"/>
    </xf>
    <xf numFmtId="0" fontId="2" fillId="0" borderId="17" xfId="0" applyFont="1" applyBorder="1" applyAlignment="1">
      <alignment vertical="top" wrapText="1"/>
    </xf>
    <xf numFmtId="0" fontId="2" fillId="0" borderId="18" xfId="0" applyFont="1" applyBorder="1" applyAlignment="1">
      <alignment vertical="top" wrapText="1"/>
    </xf>
    <xf numFmtId="0" fontId="2" fillId="0" borderId="19" xfId="0" applyFont="1" applyBorder="1" applyAlignment="1">
      <alignment vertical="top" wrapText="1"/>
    </xf>
    <xf numFmtId="3" fontId="2" fillId="0" borderId="3" xfId="0" applyNumberFormat="1" applyFont="1" applyFill="1" applyBorder="1" applyAlignment="1">
      <alignment horizontal="left" vertical="top"/>
    </xf>
    <xf numFmtId="3" fontId="2" fillId="0" borderId="20" xfId="0" applyNumberFormat="1" applyFont="1" applyBorder="1" applyAlignment="1">
      <alignment vertical="top" wrapText="1"/>
    </xf>
    <xf numFmtId="3" fontId="2" fillId="0" borderId="3" xfId="0" applyNumberFormat="1" applyFont="1" applyFill="1" applyBorder="1" applyAlignment="1">
      <alignment horizontal="right" vertical="top"/>
    </xf>
    <xf numFmtId="0" fontId="2" fillId="0" borderId="20" xfId="0" applyFont="1" applyBorder="1" applyAlignment="1">
      <alignment vertical="top" wrapText="1"/>
    </xf>
    <xf numFmtId="0" fontId="2" fillId="0" borderId="21" xfId="0" applyFont="1" applyBorder="1" applyAlignment="1">
      <alignment vertical="top" wrapText="1"/>
    </xf>
    <xf numFmtId="0" fontId="2" fillId="0" borderId="22" xfId="0" applyFont="1" applyBorder="1" applyAlignment="1">
      <alignment vertical="top" wrapText="1"/>
    </xf>
    <xf numFmtId="0" fontId="2" fillId="0" borderId="13" xfId="0" applyFont="1" applyBorder="1" applyAlignment="1">
      <alignment vertical="top" wrapText="1"/>
    </xf>
    <xf numFmtId="0" fontId="2" fillId="0" borderId="14" xfId="0" applyFont="1" applyBorder="1" applyAlignment="1">
      <alignment vertical="top" wrapText="1"/>
    </xf>
    <xf numFmtId="0" fontId="2" fillId="0" borderId="23" xfId="0" applyFont="1" applyBorder="1" applyAlignment="1">
      <alignment vertical="top" wrapText="1"/>
    </xf>
    <xf numFmtId="0" fontId="2" fillId="0" borderId="24" xfId="0" applyFont="1" applyBorder="1" applyAlignment="1">
      <alignment vertical="top" wrapText="1"/>
    </xf>
    <xf numFmtId="0" fontId="2" fillId="0" borderId="3" xfId="0" applyFont="1" applyBorder="1" applyAlignment="1">
      <alignment vertical="top" wrapText="1"/>
    </xf>
    <xf numFmtId="0" fontId="2" fillId="0" borderId="11" xfId="0" applyFont="1" applyBorder="1" applyAlignment="1">
      <alignment vertical="top" wrapText="1"/>
    </xf>
    <xf numFmtId="0" fontId="2" fillId="0" borderId="12" xfId="0" applyFont="1" applyBorder="1" applyAlignment="1">
      <alignment vertical="top" wrapText="1"/>
    </xf>
    <xf numFmtId="0" fontId="6" fillId="0" borderId="0" xfId="0" applyFont="1" applyBorder="1" applyAlignment="1">
      <alignment vertical="top"/>
    </xf>
    <xf numFmtId="0" fontId="2" fillId="0" borderId="6" xfId="0" applyFont="1" applyBorder="1" applyAlignment="1">
      <alignment horizontal="left" vertical="top" wrapText="1" indent="1"/>
    </xf>
    <xf numFmtId="0" fontId="2" fillId="0" borderId="1" xfId="0" applyFont="1" applyBorder="1" applyAlignment="1">
      <alignment horizontal="left" vertical="top" wrapText="1" indent="1"/>
    </xf>
    <xf numFmtId="0" fontId="2" fillId="0" borderId="1" xfId="0" applyFont="1" applyBorder="1" applyAlignment="1">
      <alignment horizontal="left" vertical="top" wrapText="1"/>
    </xf>
    <xf numFmtId="0" fontId="0" fillId="0" borderId="0" xfId="0" applyBorder="1" applyAlignment="1">
      <alignment vertical="top" wrapText="1"/>
    </xf>
    <xf numFmtId="0" fontId="6" fillId="0" borderId="5" xfId="0" applyFont="1" applyBorder="1" applyAlignment="1">
      <alignment vertical="top" wrapText="1"/>
    </xf>
    <xf numFmtId="0" fontId="7" fillId="2" borderId="18" xfId="0" applyFont="1" applyFill="1" applyBorder="1" applyAlignment="1">
      <alignment vertical="top" wrapText="1"/>
    </xf>
    <xf numFmtId="0" fontId="7" fillId="2" borderId="17" xfId="0" applyFont="1" applyFill="1" applyBorder="1" applyAlignment="1">
      <alignment vertical="top" wrapText="1"/>
    </xf>
    <xf numFmtId="0" fontId="0" fillId="0" borderId="15" xfId="0" applyBorder="1" applyAlignment="1">
      <alignment vertical="top" wrapText="1"/>
    </xf>
    <xf numFmtId="0" fontId="0" fillId="0" borderId="3" xfId="0" applyBorder="1" applyAlignment="1">
      <alignment vertical="top" wrapText="1"/>
    </xf>
    <xf numFmtId="0" fontId="0" fillId="0" borderId="20" xfId="0" applyBorder="1" applyAlignment="1">
      <alignment vertical="top" wrapText="1"/>
    </xf>
    <xf numFmtId="0" fontId="0" fillId="0" borderId="21" xfId="0" applyBorder="1" applyAlignment="1">
      <alignment vertical="top" wrapText="1"/>
    </xf>
    <xf numFmtId="0" fontId="0" fillId="0" borderId="22" xfId="0" applyBorder="1" applyAlignment="1">
      <alignment vertical="top" wrapText="1"/>
    </xf>
    <xf numFmtId="0" fontId="2" fillId="2" borderId="23" xfId="0" applyFont="1" applyFill="1" applyBorder="1" applyAlignment="1">
      <alignment vertical="top" wrapText="1"/>
    </xf>
    <xf numFmtId="0" fontId="2" fillId="2" borderId="24" xfId="0" applyFont="1" applyFill="1" applyBorder="1" applyAlignment="1">
      <alignment vertical="top" wrapText="1"/>
    </xf>
    <xf numFmtId="0" fontId="8" fillId="0" borderId="5" xfId="0" applyFont="1" applyBorder="1" applyAlignment="1">
      <alignment horizontal="left" vertical="top" wrapText="1"/>
    </xf>
    <xf numFmtId="0" fontId="6" fillId="2" borderId="0" xfId="0" applyFont="1" applyFill="1" applyBorder="1" applyAlignment="1">
      <alignment horizontal="left" vertical="top" wrapText="1"/>
    </xf>
    <xf numFmtId="0" fontId="2" fillId="0" borderId="6" xfId="0" applyFont="1" applyBorder="1" applyAlignment="1">
      <alignment horizontal="left" vertical="top" wrapText="1"/>
    </xf>
    <xf numFmtId="0" fontId="6" fillId="0" borderId="0" xfId="0" applyFont="1" applyBorder="1" applyAlignment="1">
      <alignment horizontal="left" vertical="top" wrapText="1"/>
    </xf>
    <xf numFmtId="0" fontId="2" fillId="0" borderId="5" xfId="0" applyFont="1" applyBorder="1" applyAlignment="1">
      <alignment horizontal="left" vertical="top" wrapText="1"/>
    </xf>
    <xf numFmtId="3" fontId="6" fillId="2" borderId="9" xfId="0" applyNumberFormat="1" applyFont="1" applyFill="1" applyBorder="1" applyAlignment="1">
      <alignment horizontal="left" vertical="top"/>
    </xf>
    <xf numFmtId="0" fontId="2" fillId="0" borderId="4" xfId="0" applyFont="1" applyBorder="1" applyAlignment="1">
      <alignment horizontal="left" vertical="top" wrapText="1"/>
    </xf>
    <xf numFmtId="0" fontId="2" fillId="2" borderId="13" xfId="0" applyFont="1" applyFill="1" applyBorder="1" applyAlignment="1">
      <alignment vertical="top" wrapText="1"/>
    </xf>
    <xf numFmtId="3" fontId="2" fillId="2" borderId="13" xfId="0" applyNumberFormat="1" applyFont="1" applyFill="1" applyBorder="1" applyAlignment="1">
      <alignment horizontal="right" vertical="center"/>
    </xf>
    <xf numFmtId="0" fontId="2" fillId="0" borderId="25" xfId="0" applyFont="1" applyBorder="1" applyAlignment="1">
      <alignment vertical="top" wrapText="1"/>
    </xf>
    <xf numFmtId="0" fontId="6" fillId="2" borderId="24" xfId="0" applyFont="1" applyFill="1" applyBorder="1" applyAlignment="1">
      <alignment vertical="top" wrapText="1"/>
    </xf>
    <xf numFmtId="3" fontId="2" fillId="0" borderId="15" xfId="0" applyNumberFormat="1" applyFont="1" applyFill="1" applyBorder="1" applyAlignment="1">
      <alignment horizontal="left" vertical="top"/>
    </xf>
    <xf numFmtId="3" fontId="2" fillId="0" borderId="16" xfId="0" applyNumberFormat="1" applyFont="1" applyBorder="1" applyAlignment="1">
      <alignment vertical="top" wrapText="1"/>
    </xf>
    <xf numFmtId="0" fontId="6" fillId="0" borderId="0" xfId="0" applyFont="1" applyBorder="1" applyAlignment="1">
      <alignment vertical="top" wrapText="1"/>
    </xf>
    <xf numFmtId="3" fontId="11" fillId="0" borderId="0" xfId="0" applyNumberFormat="1" applyFont="1" applyFill="1" applyBorder="1" applyAlignment="1">
      <alignment horizontal="left" vertical="center"/>
    </xf>
    <xf numFmtId="3" fontId="12" fillId="0" borderId="0" xfId="0" applyNumberFormat="1" applyFont="1" applyFill="1" applyBorder="1" applyAlignment="1">
      <alignment horizontal="left" vertical="center"/>
    </xf>
    <xf numFmtId="0" fontId="2" fillId="0" borderId="26" xfId="0" applyFont="1" applyBorder="1" applyAlignment="1">
      <alignment horizontal="left" vertical="top" wrapText="1"/>
    </xf>
    <xf numFmtId="0" fontId="2" fillId="0" borderId="27" xfId="0" applyFont="1" applyBorder="1" applyAlignment="1">
      <alignment vertical="top" wrapText="1"/>
    </xf>
    <xf numFmtId="0" fontId="2" fillId="0" borderId="0" xfId="0" applyFont="1" applyAlignment="1">
      <alignment horizontal="left" vertical="top"/>
    </xf>
    <xf numFmtId="0" fontId="2" fillId="0" borderId="28" xfId="0" applyFont="1" applyBorder="1" applyAlignment="1">
      <alignment horizontal="left" vertical="top" wrapText="1"/>
    </xf>
    <xf numFmtId="0" fontId="2" fillId="0" borderId="29" xfId="0" applyFont="1" applyBorder="1" applyAlignment="1">
      <alignment horizontal="left" vertical="top" wrapText="1"/>
    </xf>
    <xf numFmtId="0" fontId="14" fillId="0" borderId="0" xfId="2" applyFont="1" applyAlignment="1" applyProtection="1">
      <alignment horizontal="left" vertical="top"/>
    </xf>
    <xf numFmtId="0" fontId="6" fillId="0" borderId="0" xfId="0" applyFont="1" applyAlignment="1">
      <alignment horizontal="left" vertical="top"/>
    </xf>
    <xf numFmtId="0" fontId="2" fillId="0" borderId="30" xfId="0" applyFont="1" applyBorder="1" applyAlignment="1">
      <alignment horizontal="left" vertical="top" wrapText="1"/>
    </xf>
    <xf numFmtId="0" fontId="2" fillId="0" borderId="31" xfId="0" applyFont="1" applyBorder="1" applyAlignment="1">
      <alignment horizontal="left" vertical="top" wrapText="1"/>
    </xf>
    <xf numFmtId="0" fontId="15" fillId="0" borderId="0" xfId="0" applyFont="1" applyAlignment="1">
      <alignment horizontal="left" vertical="top"/>
    </xf>
    <xf numFmtId="0" fontId="2" fillId="0" borderId="32" xfId="0" applyFont="1" applyBorder="1" applyAlignment="1">
      <alignment horizontal="left" vertical="top" wrapText="1"/>
    </xf>
    <xf numFmtId="0" fontId="2" fillId="0" borderId="33" xfId="0" applyFont="1" applyBorder="1" applyAlignment="1">
      <alignment horizontal="left" vertical="top" wrapText="1"/>
    </xf>
    <xf numFmtId="0" fontId="15" fillId="0" borderId="32" xfId="0" applyFont="1" applyBorder="1" applyAlignment="1">
      <alignment horizontal="left" vertical="top" wrapText="1"/>
    </xf>
    <xf numFmtId="0" fontId="2" fillId="0" borderId="0" xfId="2" applyFont="1" applyAlignment="1" applyProtection="1">
      <alignment horizontal="left" vertical="top"/>
    </xf>
    <xf numFmtId="0" fontId="2" fillId="0" borderId="0" xfId="0" applyFont="1"/>
    <xf numFmtId="0" fontId="2" fillId="0" borderId="34" xfId="0" applyFont="1" applyBorder="1" applyAlignment="1">
      <alignment horizontal="center" wrapText="1"/>
    </xf>
    <xf numFmtId="0" fontId="6" fillId="0" borderId="34" xfId="0" applyFont="1" applyBorder="1" applyAlignment="1">
      <alignment horizontal="center" wrapText="1"/>
    </xf>
    <xf numFmtId="0" fontId="2" fillId="0" borderId="30" xfId="0" applyFont="1" applyBorder="1" applyAlignment="1">
      <alignment vertical="top" wrapText="1"/>
    </xf>
    <xf numFmtId="0" fontId="6" fillId="0" borderId="29" xfId="0" applyFont="1" applyBorder="1" applyAlignment="1">
      <alignment vertical="top" wrapText="1"/>
    </xf>
    <xf numFmtId="0" fontId="2" fillId="0" borderId="29" xfId="0" applyFont="1" applyBorder="1" applyAlignment="1">
      <alignment vertical="top" wrapText="1"/>
    </xf>
    <xf numFmtId="0" fontId="2" fillId="0" borderId="32" xfId="0" applyFont="1" applyBorder="1" applyAlignment="1">
      <alignment vertical="top" wrapText="1"/>
    </xf>
    <xf numFmtId="0" fontId="6" fillId="0" borderId="30" xfId="0" applyFont="1" applyBorder="1" applyAlignment="1">
      <alignment vertical="top" wrapText="1"/>
    </xf>
    <xf numFmtId="0" fontId="2" fillId="0" borderId="31" xfId="0" applyFont="1" applyBorder="1" applyAlignment="1">
      <alignment vertical="top" wrapText="1"/>
    </xf>
    <xf numFmtId="0" fontId="2" fillId="0" borderId="33" xfId="0" applyFont="1" applyBorder="1" applyAlignment="1">
      <alignment vertical="top" wrapText="1"/>
    </xf>
    <xf numFmtId="0" fontId="2" fillId="0" borderId="28" xfId="0" applyFont="1" applyBorder="1" applyAlignment="1">
      <alignment vertical="top" wrapText="1"/>
    </xf>
    <xf numFmtId="0" fontId="6" fillId="0" borderId="31" xfId="0" applyFont="1" applyBorder="1" applyAlignment="1">
      <alignment vertical="top" wrapText="1"/>
    </xf>
    <xf numFmtId="0" fontId="2" fillId="0" borderId="29" xfId="0" applyFont="1" applyBorder="1" applyAlignment="1">
      <alignment horizontal="left" vertical="top" wrapText="1" indent="1"/>
    </xf>
    <xf numFmtId="0" fontId="2" fillId="0" borderId="29" xfId="0" applyFont="1" applyBorder="1" applyAlignment="1">
      <alignment horizontal="left" vertical="top" wrapText="1" indent="4"/>
    </xf>
    <xf numFmtId="0" fontId="6" fillId="0" borderId="29" xfId="0" applyFont="1" applyBorder="1" applyAlignment="1">
      <alignment horizontal="left" vertical="top" wrapText="1" indent="1"/>
    </xf>
    <xf numFmtId="0" fontId="19" fillId="0" borderId="0" xfId="0" applyFont="1" applyAlignment="1">
      <alignment horizontal="left"/>
    </xf>
    <xf numFmtId="0" fontId="6" fillId="0" borderId="32" xfId="0" applyFont="1" applyBorder="1" applyAlignment="1">
      <alignment vertical="top" wrapText="1"/>
    </xf>
    <xf numFmtId="0" fontId="6" fillId="0" borderId="8" xfId="0" applyFont="1" applyBorder="1" applyAlignment="1">
      <alignment horizontal="left" wrapText="1"/>
    </xf>
    <xf numFmtId="0" fontId="2" fillId="0" borderId="0" xfId="0" applyFont="1" applyAlignment="1">
      <alignment horizontal="left"/>
    </xf>
    <xf numFmtId="0" fontId="6" fillId="0" borderId="0" xfId="0" applyFont="1" applyAlignment="1">
      <alignment horizontal="left"/>
    </xf>
    <xf numFmtId="0" fontId="6" fillId="0" borderId="8" xfId="0" applyFont="1" applyBorder="1" applyAlignment="1">
      <alignment horizontal="left" vertical="top" wrapText="1"/>
    </xf>
    <xf numFmtId="0" fontId="2" fillId="0" borderId="34" xfId="0" applyFont="1" applyBorder="1" applyAlignment="1">
      <alignment horizontal="center" vertical="top" wrapText="1"/>
    </xf>
    <xf numFmtId="0" fontId="6" fillId="0" borderId="34" xfId="0" applyFont="1" applyBorder="1" applyAlignment="1">
      <alignment horizontal="center" vertical="top" wrapText="1"/>
    </xf>
    <xf numFmtId="0" fontId="2" fillId="0" borderId="0" xfId="0" applyFont="1" applyBorder="1" applyAlignment="1">
      <alignment horizontal="left" vertical="center"/>
    </xf>
    <xf numFmtId="0" fontId="6" fillId="0" borderId="0" xfId="0" applyFont="1" applyBorder="1" applyAlignment="1">
      <alignment horizontal="left"/>
    </xf>
    <xf numFmtId="0" fontId="2" fillId="0" borderId="0" xfId="0" applyFont="1" applyBorder="1"/>
    <xf numFmtId="0" fontId="2" fillId="0" borderId="35" xfId="0" applyFont="1" applyBorder="1" applyAlignment="1">
      <alignment horizontal="left" vertical="center"/>
    </xf>
    <xf numFmtId="0" fontId="2" fillId="0" borderId="4" xfId="0" applyFont="1" applyBorder="1" applyAlignment="1">
      <alignment vertical="top" wrapText="1"/>
    </xf>
    <xf numFmtId="0" fontId="2" fillId="0" borderId="4" xfId="0" applyFont="1" applyBorder="1"/>
    <xf numFmtId="0" fontId="2" fillId="0" borderId="28" xfId="0" applyFont="1" applyBorder="1"/>
    <xf numFmtId="0" fontId="2" fillId="0" borderId="36" xfId="0" applyFont="1" applyBorder="1" applyAlignment="1">
      <alignment horizontal="left" vertical="center"/>
    </xf>
    <xf numFmtId="3" fontId="2" fillId="0" borderId="7" xfId="0" applyNumberFormat="1" applyFont="1" applyFill="1" applyBorder="1" applyAlignment="1">
      <alignment horizontal="right" vertical="center"/>
    </xf>
    <xf numFmtId="0" fontId="2" fillId="0" borderId="7" xfId="0" applyFont="1" applyBorder="1"/>
    <xf numFmtId="0" fontId="2" fillId="0" borderId="37" xfId="0" applyFont="1" applyBorder="1"/>
    <xf numFmtId="0" fontId="6" fillId="0" borderId="32" xfId="0" applyFont="1" applyBorder="1" applyAlignment="1">
      <alignment horizontal="left" vertical="top" wrapText="1"/>
    </xf>
    <xf numFmtId="0" fontId="6" fillId="0" borderId="33" xfId="0" applyFont="1" applyBorder="1" applyAlignment="1">
      <alignment horizontal="left" vertical="top" wrapText="1"/>
    </xf>
    <xf numFmtId="0" fontId="2" fillId="0" borderId="38" xfId="0" applyFont="1" applyBorder="1" applyAlignment="1">
      <alignment horizontal="left" vertical="center"/>
    </xf>
    <xf numFmtId="0" fontId="2" fillId="0" borderId="1" xfId="0" applyFont="1" applyBorder="1"/>
    <xf numFmtId="0" fontId="2" fillId="0" borderId="39" xfId="0" applyFont="1" applyBorder="1"/>
    <xf numFmtId="3" fontId="2" fillId="0" borderId="1" xfId="0" applyNumberFormat="1" applyFont="1" applyFill="1" applyBorder="1" applyAlignment="1">
      <alignment horizontal="right" vertical="center"/>
    </xf>
    <xf numFmtId="3" fontId="6" fillId="0" borderId="0" xfId="0" applyNumberFormat="1" applyFont="1" applyFill="1" applyBorder="1" applyAlignment="1">
      <alignment vertical="center" wrapText="1"/>
    </xf>
    <xf numFmtId="3" fontId="2" fillId="0" borderId="0" xfId="0" applyNumberFormat="1" applyFont="1" applyFill="1" applyBorder="1" applyAlignment="1">
      <alignment vertical="center" wrapText="1"/>
    </xf>
    <xf numFmtId="0" fontId="2" fillId="0" borderId="0" xfId="0" applyFont="1" applyAlignment="1"/>
    <xf numFmtId="3" fontId="2" fillId="0" borderId="0" xfId="0" applyNumberFormat="1" applyFont="1" applyFill="1" applyBorder="1" applyAlignment="1">
      <alignment horizontal="left" vertical="top" wrapText="1"/>
    </xf>
    <xf numFmtId="3" fontId="2" fillId="0" borderId="38" xfId="0" applyNumberFormat="1" applyFont="1" applyFill="1" applyBorder="1" applyAlignment="1">
      <alignment vertical="top" wrapText="1"/>
    </xf>
    <xf numFmtId="3" fontId="2" fillId="0" borderId="40" xfId="0" applyNumberFormat="1" applyFont="1" applyFill="1" applyBorder="1" applyAlignment="1">
      <alignment vertical="top"/>
    </xf>
    <xf numFmtId="3" fontId="2" fillId="0" borderId="38" xfId="0" applyNumberFormat="1" applyFont="1" applyFill="1" applyBorder="1" applyAlignment="1">
      <alignment vertical="top"/>
    </xf>
    <xf numFmtId="3" fontId="9" fillId="0" borderId="8" xfId="0" applyNumberFormat="1" applyFont="1" applyFill="1" applyBorder="1" applyAlignment="1">
      <alignment horizontal="right" vertical="center"/>
    </xf>
    <xf numFmtId="3" fontId="2" fillId="0" borderId="0" xfId="0" quotePrefix="1" applyNumberFormat="1" applyFont="1" applyFill="1" applyBorder="1" applyAlignment="1">
      <alignment vertical="center" wrapText="1"/>
    </xf>
    <xf numFmtId="4" fontId="2" fillId="0" borderId="0" xfId="0" quotePrefix="1" applyNumberFormat="1" applyFont="1" applyFill="1" applyBorder="1" applyAlignment="1">
      <alignment vertical="center" wrapText="1"/>
    </xf>
    <xf numFmtId="3" fontId="20" fillId="0" borderId="0" xfId="0" applyNumberFormat="1" applyFont="1" applyFill="1" applyBorder="1" applyAlignment="1">
      <alignment horizontal="left" vertical="center"/>
    </xf>
    <xf numFmtId="3" fontId="20" fillId="0" borderId="0" xfId="0" applyNumberFormat="1" applyFont="1" applyFill="1" applyBorder="1" applyAlignment="1">
      <alignment horizontal="center" vertical="center"/>
    </xf>
    <xf numFmtId="3" fontId="21" fillId="0" borderId="0" xfId="0" applyNumberFormat="1" applyFont="1" applyFill="1" applyBorder="1" applyAlignment="1">
      <alignment horizontal="left" vertical="center"/>
    </xf>
    <xf numFmtId="0" fontId="8" fillId="2" borderId="9" xfId="0" applyFont="1" applyFill="1" applyBorder="1" applyAlignment="1">
      <alignment vertical="top" wrapText="1"/>
    </xf>
    <xf numFmtId="3" fontId="6" fillId="0" borderId="0" xfId="0" applyNumberFormat="1" applyFont="1" applyFill="1" applyBorder="1" applyAlignment="1">
      <alignment horizontal="left" vertical="center"/>
    </xf>
    <xf numFmtId="3" fontId="2" fillId="0" borderId="6" xfId="0" applyNumberFormat="1" applyFont="1" applyFill="1" applyBorder="1" applyAlignment="1">
      <alignment vertical="center" wrapText="1"/>
    </xf>
    <xf numFmtId="3" fontId="6" fillId="0" borderId="9" xfId="0" applyNumberFormat="1" applyFont="1" applyFill="1" applyBorder="1" applyAlignment="1">
      <alignment vertical="center" wrapText="1"/>
    </xf>
    <xf numFmtId="3" fontId="22" fillId="0" borderId="0" xfId="0" applyNumberFormat="1" applyFont="1" applyFill="1" applyBorder="1" applyAlignment="1">
      <alignment horizontal="right" vertical="center"/>
    </xf>
    <xf numFmtId="0" fontId="20" fillId="0" borderId="0" xfId="0" applyFont="1" applyAlignment="1">
      <alignment horizontal="center" vertical="top"/>
    </xf>
    <xf numFmtId="3" fontId="20" fillId="0" borderId="0" xfId="0" applyNumberFormat="1" applyFont="1" applyFill="1" applyBorder="1" applyAlignment="1">
      <alignment horizontal="right" vertical="center"/>
    </xf>
    <xf numFmtId="3" fontId="4" fillId="0" borderId="0" xfId="0" applyNumberFormat="1" applyFont="1" applyFill="1" applyBorder="1" applyAlignment="1">
      <alignment vertical="center"/>
    </xf>
    <xf numFmtId="3" fontId="6" fillId="0" borderId="0" xfId="0" applyNumberFormat="1" applyFont="1" applyFill="1" applyBorder="1" applyAlignment="1">
      <alignment vertical="center"/>
    </xf>
    <xf numFmtId="3" fontId="2" fillId="0" borderId="10" xfId="0" applyNumberFormat="1" applyFont="1" applyFill="1" applyBorder="1" applyAlignment="1">
      <alignment vertical="top" wrapText="1"/>
    </xf>
    <xf numFmtId="3" fontId="2" fillId="0" borderId="20" xfId="0" applyNumberFormat="1" applyFont="1" applyFill="1" applyBorder="1" applyAlignment="1">
      <alignment vertical="top" wrapText="1"/>
    </xf>
    <xf numFmtId="3" fontId="8" fillId="0" borderId="0" xfId="0" applyNumberFormat="1" applyFont="1" applyFill="1" applyBorder="1" applyAlignment="1">
      <alignment horizontal="center" vertical="center"/>
    </xf>
    <xf numFmtId="3" fontId="28" fillId="0" borderId="38" xfId="0" applyNumberFormat="1" applyFont="1" applyFill="1" applyBorder="1" applyAlignment="1">
      <alignment vertical="top" wrapText="1"/>
    </xf>
    <xf numFmtId="3" fontId="23" fillId="0" borderId="0" xfId="0" applyNumberFormat="1" applyFont="1" applyFill="1" applyBorder="1" applyAlignment="1">
      <alignment horizontal="center" vertical="center" wrapText="1"/>
    </xf>
    <xf numFmtId="3" fontId="24" fillId="0" borderId="8" xfId="0" applyNumberFormat="1" applyFont="1" applyFill="1" applyBorder="1" applyAlignment="1">
      <alignment horizontal="right" vertical="center" wrapText="1"/>
    </xf>
    <xf numFmtId="3" fontId="25" fillId="0" borderId="0" xfId="0" applyNumberFormat="1" applyFont="1" applyFill="1" applyBorder="1" applyAlignment="1">
      <alignment vertical="center"/>
    </xf>
    <xf numFmtId="3" fontId="26" fillId="0" borderId="0" xfId="0" applyNumberFormat="1" applyFont="1" applyFill="1" applyBorder="1" applyAlignment="1">
      <alignment horizontal="right" vertical="center"/>
    </xf>
    <xf numFmtId="3" fontId="24" fillId="0" borderId="0" xfId="0" applyNumberFormat="1" applyFont="1" applyFill="1" applyBorder="1" applyAlignment="1">
      <alignment horizontal="center" vertical="center" wrapText="1"/>
    </xf>
    <xf numFmtId="3" fontId="26" fillId="0" borderId="8" xfId="0" applyNumberFormat="1" applyFont="1" applyFill="1" applyBorder="1" applyAlignment="1">
      <alignment horizontal="right" vertical="center"/>
    </xf>
    <xf numFmtId="3" fontId="27" fillId="0" borderId="4" xfId="0" applyNumberFormat="1" applyFont="1" applyFill="1" applyBorder="1" applyAlignment="1">
      <alignment horizontal="left" vertical="center"/>
    </xf>
    <xf numFmtId="3" fontId="26" fillId="0" borderId="33" xfId="0" applyNumberFormat="1" applyFont="1" applyFill="1" applyBorder="1" applyAlignment="1">
      <alignment horizontal="right" vertical="center"/>
    </xf>
    <xf numFmtId="3" fontId="4" fillId="0" borderId="0" xfId="0" applyNumberFormat="1" applyFont="1" applyFill="1" applyBorder="1" applyAlignment="1">
      <alignment horizontal="left" vertical="center"/>
    </xf>
    <xf numFmtId="3" fontId="3" fillId="0" borderId="0" xfId="0" applyNumberFormat="1" applyFont="1" applyFill="1" applyBorder="1" applyAlignment="1">
      <alignment horizontal="left" vertical="center"/>
    </xf>
    <xf numFmtId="3" fontId="4" fillId="0" borderId="0" xfId="0" applyNumberFormat="1" applyFont="1" applyFill="1" applyBorder="1" applyAlignment="1">
      <alignment vertical="top" wrapText="1"/>
    </xf>
    <xf numFmtId="3" fontId="2" fillId="0" borderId="0" xfId="0" applyNumberFormat="1" applyFont="1" applyFill="1" applyBorder="1" applyAlignment="1">
      <alignment vertical="top" wrapText="1"/>
    </xf>
    <xf numFmtId="3" fontId="2" fillId="0" borderId="32" xfId="0" applyNumberFormat="1" applyFont="1" applyFill="1" applyBorder="1" applyAlignment="1">
      <alignment vertical="top" wrapText="1"/>
    </xf>
    <xf numFmtId="3" fontId="2" fillId="0" borderId="33" xfId="0" applyNumberFormat="1" applyFont="1" applyFill="1" applyBorder="1" applyAlignment="1">
      <alignment vertical="top" wrapText="1"/>
    </xf>
    <xf numFmtId="3" fontId="6" fillId="0" borderId="8" xfId="0" applyNumberFormat="1" applyFont="1" applyFill="1" applyBorder="1" applyAlignment="1">
      <alignment vertical="top" wrapText="1"/>
    </xf>
    <xf numFmtId="3" fontId="2" fillId="0" borderId="41" xfId="0" applyNumberFormat="1" applyFont="1" applyFill="1" applyBorder="1" applyAlignment="1">
      <alignment vertical="top" wrapText="1"/>
    </xf>
    <xf numFmtId="3" fontId="2" fillId="0" borderId="42" xfId="0" applyNumberFormat="1" applyFont="1" applyFill="1" applyBorder="1" applyAlignment="1">
      <alignment vertical="top" wrapText="1"/>
    </xf>
    <xf numFmtId="3" fontId="2" fillId="0" borderId="43" xfId="0" applyNumberFormat="1" applyFont="1" applyFill="1" applyBorder="1" applyAlignment="1">
      <alignment vertical="top" wrapText="1"/>
    </xf>
    <xf numFmtId="3" fontId="9" fillId="0" borderId="0" xfId="0" applyNumberFormat="1" applyFont="1" applyFill="1" applyBorder="1" applyAlignment="1">
      <alignment vertical="top" wrapText="1"/>
    </xf>
    <xf numFmtId="3" fontId="8" fillId="0" borderId="0" xfId="0" applyNumberFormat="1" applyFont="1" applyFill="1" applyBorder="1" applyAlignment="1">
      <alignment vertical="center"/>
    </xf>
    <xf numFmtId="3" fontId="2" fillId="0" borderId="44" xfId="0" applyNumberFormat="1" applyFont="1" applyFill="1" applyBorder="1" applyAlignment="1">
      <alignment vertical="top" wrapText="1"/>
    </xf>
    <xf numFmtId="3" fontId="22" fillId="0" borderId="0" xfId="0" applyNumberFormat="1" applyFont="1" applyFill="1" applyBorder="1" applyAlignment="1">
      <alignment vertical="center"/>
    </xf>
    <xf numFmtId="3" fontId="2" fillId="0" borderId="16" xfId="0" applyNumberFormat="1" applyFont="1" applyFill="1" applyBorder="1" applyAlignment="1">
      <alignment vertical="top" wrapText="1"/>
    </xf>
    <xf numFmtId="0" fontId="8" fillId="0" borderId="0" xfId="0" applyFont="1" applyAlignment="1">
      <alignment vertical="top" wrapText="1"/>
    </xf>
    <xf numFmtId="0" fontId="2" fillId="0" borderId="0" xfId="0" applyFont="1" applyAlignment="1">
      <alignment vertical="top" wrapText="1"/>
    </xf>
    <xf numFmtId="0" fontId="2" fillId="0" borderId="42" xfId="0" applyFont="1" applyBorder="1" applyAlignment="1">
      <alignment vertical="top" wrapText="1"/>
    </xf>
    <xf numFmtId="0" fontId="2" fillId="0" borderId="41" xfId="0" applyFont="1" applyBorder="1" applyAlignment="1">
      <alignment vertical="top" wrapText="1"/>
    </xf>
    <xf numFmtId="3" fontId="9" fillId="0" borderId="0" xfId="0" applyNumberFormat="1" applyFont="1" applyFill="1" applyBorder="1" applyAlignment="1">
      <alignment vertical="center"/>
    </xf>
    <xf numFmtId="3" fontId="9" fillId="0" borderId="0" xfId="0" quotePrefix="1" applyNumberFormat="1" applyFont="1" applyFill="1" applyBorder="1" applyAlignment="1">
      <alignment vertical="center"/>
    </xf>
    <xf numFmtId="3" fontId="9" fillId="0" borderId="4" xfId="0" applyNumberFormat="1" applyFont="1" applyFill="1" applyBorder="1" applyAlignment="1">
      <alignment vertical="top" wrapText="1"/>
    </xf>
    <xf numFmtId="3" fontId="9" fillId="0" borderId="17" xfId="0" applyNumberFormat="1" applyFont="1" applyFill="1" applyBorder="1" applyAlignment="1">
      <alignment vertical="top" wrapText="1"/>
    </xf>
    <xf numFmtId="3" fontId="9" fillId="0" borderId="18" xfId="0" applyNumberFormat="1" applyFont="1" applyFill="1" applyBorder="1" applyAlignment="1">
      <alignment vertical="top" wrapText="1"/>
    </xf>
    <xf numFmtId="3" fontId="9" fillId="0" borderId="19" xfId="0" applyNumberFormat="1" applyFont="1" applyFill="1" applyBorder="1" applyAlignment="1">
      <alignment vertical="top" wrapText="1"/>
    </xf>
    <xf numFmtId="3" fontId="9" fillId="0" borderId="3" xfId="0" applyNumberFormat="1" applyFont="1" applyFill="1" applyBorder="1" applyAlignment="1">
      <alignment vertical="top" wrapText="1"/>
    </xf>
    <xf numFmtId="3" fontId="9" fillId="0" borderId="15" xfId="0" applyNumberFormat="1" applyFont="1" applyFill="1" applyBorder="1" applyAlignment="1">
      <alignment vertical="top" wrapText="1"/>
    </xf>
    <xf numFmtId="3" fontId="30" fillId="0" borderId="0" xfId="0" applyNumberFormat="1" applyFont="1" applyFill="1" applyBorder="1" applyAlignment="1">
      <alignment horizontal="center"/>
    </xf>
    <xf numFmtId="3" fontId="2" fillId="0" borderId="45" xfId="0" applyNumberFormat="1" applyFont="1" applyFill="1" applyBorder="1" applyAlignment="1">
      <alignment horizontal="left" vertical="top" wrapText="1"/>
    </xf>
    <xf numFmtId="3" fontId="2" fillId="0" borderId="1" xfId="0" applyNumberFormat="1" applyFont="1" applyFill="1" applyBorder="1" applyAlignment="1">
      <alignment vertical="top" wrapText="1"/>
    </xf>
    <xf numFmtId="3" fontId="2" fillId="0" borderId="1" xfId="0" applyNumberFormat="1" applyFont="1" applyFill="1" applyBorder="1" applyAlignment="1">
      <alignment horizontal="left" vertical="top" wrapText="1"/>
    </xf>
    <xf numFmtId="3" fontId="6" fillId="0" borderId="1" xfId="0" applyNumberFormat="1" applyFont="1" applyFill="1" applyBorder="1" applyAlignment="1">
      <alignment vertical="top" wrapText="1"/>
    </xf>
    <xf numFmtId="3" fontId="18" fillId="0" borderId="1" xfId="0" applyNumberFormat="1" applyFont="1" applyFill="1" applyBorder="1" applyAlignment="1">
      <alignment vertical="top" wrapText="1"/>
    </xf>
    <xf numFmtId="3" fontId="6" fillId="0" borderId="1" xfId="0" applyNumberFormat="1" applyFont="1" applyFill="1" applyBorder="1" applyAlignment="1">
      <alignment horizontal="left" vertical="top" wrapText="1"/>
    </xf>
    <xf numFmtId="3" fontId="2" fillId="0" borderId="45" xfId="0" applyNumberFormat="1" applyFont="1" applyFill="1" applyBorder="1" applyAlignment="1">
      <alignment vertical="top" wrapText="1"/>
    </xf>
    <xf numFmtId="3" fontId="30" fillId="0" borderId="4" xfId="0" applyNumberFormat="1" applyFont="1" applyFill="1" applyBorder="1" applyAlignment="1">
      <alignment horizontal="center"/>
    </xf>
    <xf numFmtId="3" fontId="2" fillId="0" borderId="16" xfId="0" applyNumberFormat="1" applyFont="1" applyFill="1" applyBorder="1" applyAlignment="1">
      <alignment horizontal="left" vertical="top" wrapText="1"/>
    </xf>
    <xf numFmtId="3" fontId="2" fillId="0" borderId="20" xfId="0" applyNumberFormat="1" applyFont="1" applyFill="1" applyBorder="1" applyAlignment="1">
      <alignment horizontal="left" vertical="top" wrapText="1"/>
    </xf>
    <xf numFmtId="3" fontId="2" fillId="0" borderId="0" xfId="0" applyNumberFormat="1" applyFont="1" applyFill="1" applyBorder="1" applyAlignment="1">
      <alignment horizontal="right" vertical="top" wrapText="1"/>
    </xf>
    <xf numFmtId="3" fontId="8" fillId="3" borderId="4" xfId="0" applyNumberFormat="1" applyFont="1" applyFill="1" applyBorder="1" applyAlignment="1">
      <alignment horizontal="left" vertical="top"/>
    </xf>
    <xf numFmtId="0" fontId="2" fillId="0" borderId="10" xfId="0" applyFont="1" applyBorder="1" applyAlignment="1">
      <alignment horizontal="left" vertical="top" wrapText="1"/>
    </xf>
    <xf numFmtId="0" fontId="2" fillId="0" borderId="20" xfId="0" applyFont="1" applyBorder="1" applyAlignment="1">
      <alignment horizontal="left" vertical="top" wrapText="1"/>
    </xf>
    <xf numFmtId="0" fontId="2" fillId="3" borderId="25" xfId="0" applyFont="1" applyFill="1" applyBorder="1" applyAlignment="1">
      <alignment horizontal="left" vertical="top" wrapText="1"/>
    </xf>
    <xf numFmtId="0" fontId="2" fillId="0" borderId="16" xfId="0" applyFont="1" applyBorder="1" applyAlignment="1">
      <alignment horizontal="left" vertical="top" wrapText="1"/>
    </xf>
    <xf numFmtId="0" fontId="2" fillId="0" borderId="38" xfId="0" applyFont="1" applyBorder="1" applyAlignment="1">
      <alignment vertical="top"/>
    </xf>
    <xf numFmtId="3" fontId="28" fillId="0" borderId="8" xfId="0" applyNumberFormat="1" applyFont="1" applyFill="1" applyBorder="1" applyAlignment="1">
      <alignment horizontal="right" vertical="center"/>
    </xf>
    <xf numFmtId="3" fontId="28" fillId="0" borderId="8" xfId="0" applyNumberFormat="1" applyFont="1" applyFill="1" applyBorder="1" applyAlignment="1">
      <alignment horizontal="right" vertical="center" wrapText="1"/>
    </xf>
    <xf numFmtId="0" fontId="2" fillId="3" borderId="18" xfId="0" applyFont="1" applyFill="1" applyBorder="1" applyAlignment="1">
      <alignment horizontal="left" vertical="top" wrapText="1"/>
    </xf>
    <xf numFmtId="0" fontId="6" fillId="3" borderId="18" xfId="0" applyFont="1" applyFill="1" applyBorder="1" applyAlignment="1">
      <alignment horizontal="left" vertical="top" wrapText="1"/>
    </xf>
    <xf numFmtId="3" fontId="2" fillId="0" borderId="4" xfId="0" applyNumberFormat="1" applyFont="1" applyFill="1" applyBorder="1" applyAlignment="1">
      <alignment vertical="top" wrapText="1"/>
    </xf>
    <xf numFmtId="3" fontId="14" fillId="4" borderId="6" xfId="2" applyNumberFormat="1" applyFont="1" applyFill="1" applyBorder="1" applyAlignment="1" applyProtection="1">
      <alignment vertical="top" wrapText="1"/>
    </xf>
    <xf numFmtId="3" fontId="14" fillId="4" borderId="1" xfId="2" applyNumberFormat="1" applyFont="1" applyFill="1" applyBorder="1" applyAlignment="1" applyProtection="1">
      <alignment vertical="top" wrapText="1"/>
    </xf>
    <xf numFmtId="3" fontId="14" fillId="4" borderId="7" xfId="2" applyNumberFormat="1" applyFont="1" applyFill="1" applyBorder="1" applyAlignment="1" applyProtection="1">
      <alignment vertical="top" wrapText="1"/>
    </xf>
    <xf numFmtId="3" fontId="23" fillId="0" borderId="0" xfId="0" applyNumberFormat="1" applyFont="1" applyFill="1" applyBorder="1" applyAlignment="1">
      <alignment horizontal="left" vertical="center" wrapText="1"/>
    </xf>
    <xf numFmtId="3" fontId="8" fillId="0" borderId="0" xfId="0" applyNumberFormat="1" applyFont="1" applyFill="1" applyBorder="1" applyAlignment="1">
      <alignment horizontal="left" vertical="center"/>
    </xf>
    <xf numFmtId="3" fontId="9" fillId="0" borderId="0" xfId="0" applyNumberFormat="1" applyFont="1" applyFill="1" applyBorder="1" applyAlignment="1">
      <alignment horizontal="left" vertical="center"/>
    </xf>
    <xf numFmtId="18" fontId="2" fillId="0" borderId="0" xfId="5" applyNumberFormat="1" applyFont="1" applyFill="1" applyBorder="1" applyAlignment="1">
      <alignment horizontal="right" vertical="top"/>
    </xf>
    <xf numFmtId="3" fontId="10" fillId="0" borderId="0" xfId="5" applyNumberFormat="1" applyFont="1" applyFill="1" applyBorder="1" applyAlignment="1">
      <alignment horizontal="center" vertical="top"/>
    </xf>
    <xf numFmtId="3" fontId="9" fillId="0" borderId="0" xfId="5" applyNumberFormat="1" applyFont="1" applyFill="1" applyBorder="1" applyAlignment="1">
      <alignment horizontal="left" vertical="top"/>
    </xf>
    <xf numFmtId="3" fontId="2" fillId="0" borderId="0" xfId="5" applyNumberFormat="1" applyFont="1" applyFill="1" applyBorder="1" applyAlignment="1">
      <alignment horizontal="left" vertical="top"/>
    </xf>
    <xf numFmtId="3" fontId="2" fillId="0" borderId="0" xfId="5" applyNumberFormat="1" applyFont="1" applyFill="1" applyBorder="1" applyAlignment="1">
      <alignment horizontal="right" vertical="top"/>
    </xf>
    <xf numFmtId="49" fontId="4" fillId="0" borderId="0" xfId="0" applyNumberFormat="1" applyFont="1" applyFill="1" applyBorder="1" applyAlignment="1">
      <alignment horizontal="left" vertical="center"/>
    </xf>
    <xf numFmtId="49" fontId="2" fillId="0" borderId="0" xfId="0" applyNumberFormat="1" applyFont="1" applyFill="1" applyBorder="1" applyAlignment="1">
      <alignment horizontal="left" vertical="center"/>
    </xf>
    <xf numFmtId="3" fontId="9" fillId="0" borderId="0" xfId="5" applyNumberFormat="1" applyFont="1" applyFill="1" applyBorder="1" applyAlignment="1">
      <alignment horizontal="right" vertical="top"/>
    </xf>
    <xf numFmtId="18" fontId="2" fillId="5" borderId="0" xfId="4" applyNumberFormat="1" applyFont="1" applyFill="1" applyBorder="1" applyAlignment="1">
      <alignment vertical="center"/>
    </xf>
    <xf numFmtId="18" fontId="2" fillId="5" borderId="0" xfId="4" applyNumberFormat="1" applyFont="1" applyFill="1" applyBorder="1" applyAlignment="1">
      <alignment horizontal="center" vertical="top" wrapText="1"/>
    </xf>
    <xf numFmtId="18" fontId="10" fillId="0" borderId="0" xfId="4" applyNumberFormat="1" applyFont="1" applyBorder="1" applyAlignment="1">
      <alignment horizontal="center" vertical="top" wrapText="1"/>
    </xf>
    <xf numFmtId="18" fontId="2" fillId="0" borderId="0" xfId="4" applyNumberFormat="1" applyFont="1" applyBorder="1" applyAlignment="1">
      <alignment horizontal="left" vertical="top" wrapText="1"/>
    </xf>
    <xf numFmtId="18" fontId="9" fillId="0" borderId="0" xfId="4" applyNumberFormat="1" applyFont="1" applyBorder="1" applyAlignment="1">
      <alignment horizontal="left" vertical="top" wrapText="1"/>
    </xf>
    <xf numFmtId="18" fontId="2" fillId="5" borderId="4" xfId="4" applyNumberFormat="1" applyFont="1" applyFill="1" applyBorder="1" applyAlignment="1">
      <alignment horizontal="center" vertical="top"/>
    </xf>
    <xf numFmtId="0" fontId="10" fillId="0" borderId="4" xfId="4" applyFont="1" applyBorder="1" applyAlignment="1">
      <alignment horizontal="center" vertical="top"/>
    </xf>
    <xf numFmtId="0" fontId="2" fillId="0" borderId="4" xfId="4" applyFont="1" applyBorder="1" applyAlignment="1">
      <alignment horizontal="left" vertical="top"/>
    </xf>
    <xf numFmtId="18" fontId="21" fillId="5" borderId="0" xfId="4" applyNumberFormat="1" applyFont="1" applyFill="1" applyBorder="1" applyAlignment="1">
      <alignment horizontal="right" vertical="top"/>
    </xf>
    <xf numFmtId="18" fontId="21" fillId="5" borderId="0" xfId="4" applyNumberFormat="1" applyFont="1" applyFill="1" applyBorder="1" applyAlignment="1">
      <alignment horizontal="center" vertical="top"/>
    </xf>
    <xf numFmtId="1" fontId="32" fillId="0" borderId="0" xfId="4" applyNumberFormat="1" applyFont="1" applyBorder="1" applyAlignment="1">
      <alignment horizontal="center" vertical="top"/>
    </xf>
    <xf numFmtId="0" fontId="33" fillId="0" borderId="0" xfId="3" applyFont="1" applyAlignment="1">
      <alignment horizontal="left" vertical="top"/>
    </xf>
    <xf numFmtId="3" fontId="33" fillId="0" borderId="0" xfId="5" applyNumberFormat="1" applyFont="1" applyFill="1" applyBorder="1" applyAlignment="1">
      <alignment horizontal="left" vertical="top"/>
    </xf>
    <xf numFmtId="0" fontId="33" fillId="0" borderId="0" xfId="4" applyFont="1" applyBorder="1" applyAlignment="1">
      <alignment horizontal="left" vertical="top" wrapText="1"/>
    </xf>
    <xf numFmtId="3" fontId="21" fillId="0" borderId="0" xfId="5" applyNumberFormat="1" applyFont="1" applyFill="1" applyBorder="1" applyAlignment="1">
      <alignment horizontal="left" vertical="top"/>
    </xf>
    <xf numFmtId="3" fontId="21" fillId="0" borderId="0" xfId="5" applyNumberFormat="1" applyFont="1" applyFill="1" applyBorder="1" applyAlignment="1">
      <alignment horizontal="right" vertical="top"/>
    </xf>
    <xf numFmtId="3" fontId="32" fillId="0" borderId="0" xfId="5" applyNumberFormat="1" applyFont="1" applyFill="1" applyBorder="1" applyAlignment="1">
      <alignment horizontal="center" vertical="top"/>
    </xf>
    <xf numFmtId="3" fontId="21" fillId="0" borderId="0" xfId="5" applyNumberFormat="1" applyFont="1" applyFill="1" applyBorder="1" applyAlignment="1">
      <alignment horizontal="center" vertical="top"/>
    </xf>
    <xf numFmtId="0" fontId="21" fillId="0" borderId="0" xfId="3" applyFont="1" applyAlignment="1">
      <alignment horizontal="left" vertical="top"/>
    </xf>
    <xf numFmtId="0" fontId="31" fillId="0" borderId="0" xfId="3"/>
    <xf numFmtId="0" fontId="21" fillId="0" borderId="0" xfId="4" applyFont="1" applyBorder="1" applyAlignment="1">
      <alignment horizontal="center" vertical="top"/>
    </xf>
    <xf numFmtId="0" fontId="21" fillId="0" borderId="0" xfId="4" applyFont="1" applyBorder="1" applyAlignment="1">
      <alignment horizontal="left" vertical="top"/>
    </xf>
    <xf numFmtId="0" fontId="21" fillId="0" borderId="0" xfId="3" applyFont="1" applyAlignment="1">
      <alignment horizontal="center" vertical="top"/>
    </xf>
    <xf numFmtId="0" fontId="34" fillId="0" borderId="0" xfId="4" applyFont="1" applyBorder="1" applyAlignment="1">
      <alignment horizontal="left" vertical="top"/>
    </xf>
    <xf numFmtId="3" fontId="9" fillId="0" borderId="0" xfId="5" applyNumberFormat="1" applyFont="1" applyFill="1" applyBorder="1" applyAlignment="1">
      <alignment horizontal="center" vertical="top"/>
    </xf>
    <xf numFmtId="20" fontId="2" fillId="0" borderId="4" xfId="4" applyNumberFormat="1" applyFont="1" applyBorder="1" applyAlignment="1">
      <alignment horizontal="left" vertical="top"/>
    </xf>
    <xf numFmtId="224" fontId="21" fillId="0" borderId="0" xfId="5" applyNumberFormat="1" applyFont="1" applyFill="1" applyBorder="1" applyAlignment="1">
      <alignment horizontal="left" vertical="top"/>
    </xf>
    <xf numFmtId="226" fontId="2" fillId="0" borderId="0" xfId="5" applyNumberFormat="1" applyFont="1" applyFill="1" applyBorder="1" applyAlignment="1">
      <alignment horizontal="left" vertical="top"/>
    </xf>
    <xf numFmtId="226" fontId="2" fillId="0" borderId="0" xfId="5" applyNumberFormat="1" applyFont="1" applyFill="1" applyBorder="1" applyAlignment="1">
      <alignment horizontal="right" vertical="top"/>
    </xf>
    <xf numFmtId="226" fontId="9" fillId="0" borderId="0" xfId="4" applyNumberFormat="1" applyFont="1" applyBorder="1" applyAlignment="1">
      <alignment horizontal="right" vertical="top"/>
    </xf>
    <xf numFmtId="226" fontId="2" fillId="0" borderId="4" xfId="4" applyNumberFormat="1" applyFont="1" applyBorder="1" applyAlignment="1">
      <alignment horizontal="right" vertical="top"/>
    </xf>
    <xf numFmtId="226" fontId="21" fillId="0" borderId="0" xfId="4" applyNumberFormat="1" applyFont="1" applyBorder="1" applyAlignment="1">
      <alignment horizontal="right" vertical="top"/>
    </xf>
    <xf numFmtId="226" fontId="33" fillId="0" borderId="0" xfId="4" applyNumberFormat="1" applyFont="1" applyBorder="1" applyAlignment="1">
      <alignment horizontal="right" vertical="top" wrapText="1"/>
    </xf>
    <xf numFmtId="226" fontId="21" fillId="0" borderId="0" xfId="4" applyNumberFormat="1" applyFont="1" applyFill="1" applyBorder="1" applyAlignment="1">
      <alignment horizontal="right" vertical="top"/>
    </xf>
    <xf numFmtId="18" fontId="21" fillId="0" borderId="0" xfId="4" applyNumberFormat="1" applyFont="1" applyFill="1" applyBorder="1" applyAlignment="1">
      <alignment horizontal="right" vertical="top"/>
    </xf>
    <xf numFmtId="18" fontId="21" fillId="0" borderId="0" xfId="4" applyNumberFormat="1" applyFont="1" applyFill="1" applyBorder="1" applyAlignment="1">
      <alignment horizontal="center" vertical="top"/>
    </xf>
    <xf numFmtId="0" fontId="21" fillId="0" borderId="0" xfId="3" applyFont="1" applyFill="1" applyAlignment="1">
      <alignment horizontal="center" vertical="top"/>
    </xf>
    <xf numFmtId="18" fontId="21" fillId="4" borderId="0" xfId="4" applyNumberFormat="1" applyFont="1" applyFill="1" applyBorder="1" applyAlignment="1">
      <alignment horizontal="center" vertical="top"/>
    </xf>
    <xf numFmtId="18" fontId="21" fillId="4" borderId="0" xfId="4" applyNumberFormat="1" applyFont="1" applyFill="1" applyBorder="1" applyAlignment="1">
      <alignment horizontal="right" vertical="top"/>
    </xf>
    <xf numFmtId="3" fontId="2" fillId="0" borderId="7" xfId="0" applyNumberFormat="1" applyFont="1" applyFill="1" applyBorder="1" applyAlignment="1">
      <alignment horizontal="left" vertical="center"/>
    </xf>
    <xf numFmtId="3" fontId="2" fillId="0" borderId="1" xfId="0" applyNumberFormat="1" applyFont="1" applyFill="1" applyBorder="1" applyAlignment="1">
      <alignment horizontal="left" vertical="center"/>
    </xf>
    <xf numFmtId="3" fontId="2" fillId="0" borderId="19" xfId="0" applyNumberFormat="1" applyFont="1" applyFill="1" applyBorder="1" applyAlignment="1">
      <alignment horizontal="right" vertical="center"/>
    </xf>
    <xf numFmtId="3" fontId="2" fillId="0" borderId="3" xfId="0" applyNumberFormat="1" applyFont="1" applyFill="1" applyBorder="1" applyAlignment="1">
      <alignment horizontal="right" vertical="center"/>
    </xf>
    <xf numFmtId="3" fontId="2" fillId="0" borderId="7" xfId="0" applyNumberFormat="1" applyFont="1" applyFill="1" applyBorder="1" applyAlignment="1">
      <alignment horizontal="center" vertical="center"/>
    </xf>
    <xf numFmtId="3" fontId="2" fillId="0" borderId="19" xfId="0" applyNumberFormat="1" applyFont="1" applyFill="1" applyBorder="1" applyAlignment="1">
      <alignment horizontal="center" vertical="center"/>
    </xf>
    <xf numFmtId="3" fontId="2" fillId="0" borderId="1" xfId="0" applyNumberFormat="1" applyFont="1" applyFill="1" applyBorder="1" applyAlignment="1">
      <alignment horizontal="center" vertical="center"/>
    </xf>
    <xf numFmtId="3" fontId="2" fillId="0" borderId="3" xfId="0" applyNumberFormat="1" applyFont="1" applyFill="1" applyBorder="1" applyAlignment="1">
      <alignment horizontal="center" vertical="center"/>
    </xf>
    <xf numFmtId="3" fontId="2" fillId="0" borderId="7" xfId="0" applyNumberFormat="1" applyFont="1" applyFill="1" applyBorder="1" applyAlignment="1">
      <alignment vertical="center"/>
    </xf>
    <xf numFmtId="3" fontId="2" fillId="0" borderId="1" xfId="0" applyNumberFormat="1" applyFont="1" applyFill="1" applyBorder="1" applyAlignment="1">
      <alignment vertical="center"/>
    </xf>
    <xf numFmtId="3" fontId="2" fillId="0" borderId="2" xfId="0" applyNumberFormat="1" applyFont="1" applyFill="1" applyBorder="1" applyAlignment="1">
      <alignment vertical="center"/>
    </xf>
    <xf numFmtId="3" fontId="2" fillId="0" borderId="2" xfId="0" applyNumberFormat="1" applyFont="1" applyFill="1" applyBorder="1" applyAlignment="1">
      <alignment horizontal="left" vertical="center"/>
    </xf>
    <xf numFmtId="3" fontId="2" fillId="0" borderId="2" xfId="0" applyNumberFormat="1" applyFont="1" applyFill="1" applyBorder="1" applyAlignment="1">
      <alignment horizontal="right" vertical="center"/>
    </xf>
    <xf numFmtId="3" fontId="2" fillId="0" borderId="10" xfId="0" applyNumberFormat="1" applyFont="1" applyFill="1" applyBorder="1" applyAlignment="1">
      <alignment vertical="center"/>
    </xf>
    <xf numFmtId="3" fontId="2" fillId="0" borderId="20" xfId="0" applyNumberFormat="1" applyFont="1" applyFill="1" applyBorder="1" applyAlignment="1">
      <alignment vertical="center"/>
    </xf>
    <xf numFmtId="3" fontId="2" fillId="0" borderId="22" xfId="0" applyNumberFormat="1" applyFont="1" applyFill="1" applyBorder="1" applyAlignment="1">
      <alignment vertical="center"/>
    </xf>
    <xf numFmtId="3" fontId="2" fillId="0" borderId="19" xfId="0" applyNumberFormat="1" applyFont="1" applyFill="1" applyBorder="1" applyAlignment="1">
      <alignment vertical="center"/>
    </xf>
    <xf numFmtId="3" fontId="2" fillId="0" borderId="3" xfId="0" applyNumberFormat="1" applyFont="1" applyFill="1" applyBorder="1" applyAlignment="1">
      <alignment vertical="center"/>
    </xf>
    <xf numFmtId="3" fontId="2" fillId="0" borderId="4" xfId="0" applyNumberFormat="1" applyFont="1" applyFill="1" applyBorder="1" applyAlignment="1">
      <alignment horizontal="center" vertical="center" wrapText="1"/>
    </xf>
    <xf numFmtId="3" fontId="2" fillId="0" borderId="18" xfId="0" applyNumberFormat="1" applyFont="1" applyFill="1" applyBorder="1" applyAlignment="1">
      <alignment horizontal="center" vertical="center" wrapText="1"/>
    </xf>
    <xf numFmtId="3" fontId="2" fillId="0" borderId="17" xfId="0" applyNumberFormat="1" applyFont="1" applyFill="1" applyBorder="1" applyAlignment="1">
      <alignment horizontal="center" vertical="center" wrapText="1"/>
    </xf>
    <xf numFmtId="49" fontId="2" fillId="0" borderId="0" xfId="0" applyNumberFormat="1" applyFont="1" applyFill="1" applyBorder="1" applyAlignment="1">
      <alignment horizontal="left" vertical="top"/>
    </xf>
    <xf numFmtId="3" fontId="2" fillId="0" borderId="0" xfId="0" applyNumberFormat="1" applyFont="1" applyFill="1" applyBorder="1" applyAlignment="1">
      <alignment vertical="top"/>
    </xf>
    <xf numFmtId="49" fontId="4" fillId="0" borderId="0" xfId="0" applyNumberFormat="1" applyFont="1" applyFill="1" applyBorder="1" applyAlignment="1">
      <alignment horizontal="left" vertical="top"/>
    </xf>
    <xf numFmtId="9" fontId="2" fillId="0" borderId="0" xfId="0" applyNumberFormat="1" applyFont="1" applyFill="1" applyBorder="1" applyAlignment="1">
      <alignment horizontal="right" vertical="top"/>
    </xf>
    <xf numFmtId="3" fontId="3" fillId="0" borderId="0" xfId="0" applyNumberFormat="1" applyFont="1" applyFill="1" applyBorder="1" applyAlignment="1">
      <alignment horizontal="right" vertical="top"/>
    </xf>
    <xf numFmtId="9" fontId="2" fillId="0" borderId="35" xfId="0" applyNumberFormat="1" applyFont="1" applyFill="1" applyBorder="1" applyAlignment="1">
      <alignment horizontal="left" vertical="top"/>
    </xf>
    <xf numFmtId="3" fontId="2" fillId="0" borderId="4" xfId="0" applyNumberFormat="1" applyFont="1" applyFill="1" applyBorder="1" applyAlignment="1">
      <alignment horizontal="right" vertical="top"/>
    </xf>
    <xf numFmtId="3" fontId="2" fillId="0" borderId="4" xfId="0" applyNumberFormat="1" applyFont="1" applyFill="1" applyBorder="1" applyAlignment="1">
      <alignment horizontal="left" vertical="top"/>
    </xf>
    <xf numFmtId="3" fontId="2" fillId="0" borderId="35" xfId="0" applyNumberFormat="1" applyFont="1" applyFill="1" applyBorder="1" applyAlignment="1">
      <alignment horizontal="left" vertical="top"/>
    </xf>
    <xf numFmtId="3" fontId="2" fillId="0" borderId="35" xfId="0" applyNumberFormat="1" applyFont="1" applyFill="1" applyBorder="1" applyAlignment="1">
      <alignment horizontal="right" vertical="top" wrapText="1"/>
    </xf>
    <xf numFmtId="3" fontId="2" fillId="0" borderId="46" xfId="0" applyNumberFormat="1" applyFont="1" applyFill="1" applyBorder="1" applyAlignment="1">
      <alignment horizontal="right" vertical="top"/>
    </xf>
    <xf numFmtId="3" fontId="2" fillId="0" borderId="11" xfId="0" applyNumberFormat="1" applyFont="1" applyFill="1" applyBorder="1" applyAlignment="1">
      <alignment horizontal="right" vertical="top"/>
    </xf>
    <xf numFmtId="3" fontId="2" fillId="0" borderId="12" xfId="0" applyNumberFormat="1" applyFont="1" applyFill="1" applyBorder="1" applyAlignment="1">
      <alignment horizontal="right" vertical="top"/>
    </xf>
    <xf numFmtId="3" fontId="2" fillId="0" borderId="7" xfId="0" applyNumberFormat="1" applyFont="1" applyFill="1" applyBorder="1" applyAlignment="1">
      <alignment horizontal="left" vertical="top"/>
    </xf>
    <xf numFmtId="3" fontId="2" fillId="0" borderId="36" xfId="0" applyNumberFormat="1" applyFont="1" applyFill="1" applyBorder="1" applyAlignment="1">
      <alignment horizontal="right" vertical="top"/>
    </xf>
    <xf numFmtId="3" fontId="2" fillId="0" borderId="47" xfId="0" applyNumberFormat="1" applyFont="1" applyFill="1" applyBorder="1" applyAlignment="1">
      <alignment horizontal="left" vertical="top"/>
    </xf>
    <xf numFmtId="205" fontId="2" fillId="0" borderId="36" xfId="0" applyNumberFormat="1" applyFont="1" applyFill="1" applyBorder="1" applyAlignment="1">
      <alignment horizontal="right" vertical="top"/>
    </xf>
    <xf numFmtId="3" fontId="2" fillId="0" borderId="19" xfId="0" applyNumberFormat="1" applyFont="1" applyFill="1" applyBorder="1" applyAlignment="1">
      <alignment horizontal="right" vertical="top"/>
    </xf>
    <xf numFmtId="3" fontId="2" fillId="0" borderId="10" xfId="0" applyNumberFormat="1" applyFont="1" applyFill="1" applyBorder="1" applyAlignment="1">
      <alignment horizontal="right" vertical="top"/>
    </xf>
    <xf numFmtId="3" fontId="2" fillId="0" borderId="1" xfId="0" applyNumberFormat="1" applyFont="1" applyFill="1" applyBorder="1" applyAlignment="1">
      <alignment horizontal="left" vertical="top"/>
    </xf>
    <xf numFmtId="3" fontId="2" fillId="0" borderId="38" xfId="0" applyNumberFormat="1" applyFont="1" applyFill="1" applyBorder="1" applyAlignment="1">
      <alignment horizontal="right" vertical="top"/>
    </xf>
    <xf numFmtId="3" fontId="2" fillId="0" borderId="48" xfId="0" applyNumberFormat="1" applyFont="1" applyFill="1" applyBorder="1" applyAlignment="1">
      <alignment horizontal="left" vertical="top"/>
    </xf>
    <xf numFmtId="205" fontId="2" fillId="0" borderId="38" xfId="0" applyNumberFormat="1" applyFont="1" applyFill="1" applyBorder="1" applyAlignment="1">
      <alignment horizontal="right" vertical="top"/>
    </xf>
    <xf numFmtId="3" fontId="2" fillId="0" borderId="20" xfId="0" applyNumberFormat="1" applyFont="1" applyFill="1" applyBorder="1" applyAlignment="1">
      <alignment horizontal="right" vertical="top"/>
    </xf>
    <xf numFmtId="3" fontId="20" fillId="0" borderId="0" xfId="0" applyNumberFormat="1" applyFont="1" applyFill="1" applyBorder="1" applyAlignment="1">
      <alignment vertical="center"/>
    </xf>
    <xf numFmtId="3" fontId="24" fillId="0" borderId="34" xfId="0" applyNumberFormat="1" applyFont="1" applyFill="1" applyBorder="1" applyAlignment="1">
      <alignment horizontal="left" vertical="center" wrapText="1"/>
    </xf>
    <xf numFmtId="3" fontId="9" fillId="0" borderId="7" xfId="2" applyNumberFormat="1" applyFont="1" applyFill="1" applyBorder="1" applyAlignment="1" applyProtection="1">
      <alignment vertical="top" wrapText="1"/>
    </xf>
    <xf numFmtId="3" fontId="9" fillId="0" borderId="1" xfId="2" applyNumberFormat="1" applyFont="1" applyFill="1" applyBorder="1" applyAlignment="1" applyProtection="1">
      <alignment vertical="top" wrapText="1"/>
    </xf>
    <xf numFmtId="3" fontId="9" fillId="0" borderId="6" xfId="2" applyNumberFormat="1" applyFont="1" applyFill="1" applyBorder="1" applyAlignment="1" applyProtection="1">
      <alignment vertical="top" wrapText="1"/>
    </xf>
    <xf numFmtId="49" fontId="2" fillId="0" borderId="0" xfId="0" applyNumberFormat="1" applyFont="1" applyFill="1" applyBorder="1" applyAlignment="1">
      <alignment horizontal="left" vertical="top" wrapText="1"/>
    </xf>
    <xf numFmtId="3" fontId="20" fillId="0" borderId="0" xfId="0" applyNumberFormat="1" applyFont="1" applyFill="1" applyBorder="1" applyAlignment="1">
      <alignment horizontal="center" vertical="center"/>
    </xf>
    <xf numFmtId="0" fontId="2" fillId="0" borderId="1" xfId="0" applyFont="1" applyBorder="1" applyAlignment="1">
      <alignment horizontal="left" vertical="top" wrapText="1"/>
    </xf>
    <xf numFmtId="0" fontId="2" fillId="0" borderId="9" xfId="0" applyFont="1" applyBorder="1" applyAlignment="1">
      <alignment horizontal="left" vertical="top" wrapText="1"/>
    </xf>
    <xf numFmtId="0" fontId="20" fillId="0" borderId="0" xfId="0" applyFont="1" applyAlignment="1">
      <alignment horizontal="center" vertical="top"/>
    </xf>
    <xf numFmtId="0" fontId="2" fillId="0" borderId="32" xfId="0" applyFont="1" applyBorder="1" applyAlignment="1">
      <alignment horizontal="left" vertical="top" wrapText="1"/>
    </xf>
    <xf numFmtId="0" fontId="2" fillId="0" borderId="30" xfId="0" applyFont="1" applyBorder="1" applyAlignment="1">
      <alignment horizontal="left" vertical="top" wrapText="1"/>
    </xf>
    <xf numFmtId="0" fontId="2" fillId="0" borderId="30" xfId="0" applyFont="1" applyBorder="1" applyAlignment="1">
      <alignment vertical="top" wrapText="1"/>
    </xf>
    <xf numFmtId="0" fontId="2" fillId="0" borderId="32" xfId="0" applyFont="1" applyBorder="1" applyAlignment="1">
      <alignment vertical="top" wrapText="1"/>
    </xf>
    <xf numFmtId="0" fontId="2" fillId="0" borderId="33" xfId="0" applyFont="1" applyBorder="1" applyAlignment="1">
      <alignment vertical="top" wrapText="1"/>
    </xf>
    <xf numFmtId="0" fontId="2" fillId="0" borderId="33" xfId="0" applyFont="1" applyBorder="1" applyAlignment="1">
      <alignment horizontal="left" vertical="top" wrapText="1"/>
    </xf>
    <xf numFmtId="0" fontId="6" fillId="0" borderId="30" xfId="0" applyFont="1" applyBorder="1" applyAlignment="1">
      <alignment vertical="top" wrapText="1"/>
    </xf>
    <xf numFmtId="0" fontId="6" fillId="0" borderId="33" xfId="0" applyFont="1" applyBorder="1" applyAlignment="1">
      <alignment vertical="top" wrapText="1"/>
    </xf>
    <xf numFmtId="3" fontId="20" fillId="0" borderId="0" xfId="0" applyNumberFormat="1" applyFont="1" applyFill="1" applyBorder="1" applyAlignment="1">
      <alignment horizontal="center" vertical="center" wrapText="1"/>
    </xf>
    <xf numFmtId="0" fontId="2" fillId="0" borderId="30" xfId="0" applyFont="1" applyBorder="1" applyAlignment="1">
      <alignment horizontal="center" vertical="top" wrapText="1"/>
    </xf>
    <xf numFmtId="0" fontId="2" fillId="0" borderId="32" xfId="0" applyFont="1" applyBorder="1" applyAlignment="1">
      <alignment horizontal="center" vertical="top" wrapText="1"/>
    </xf>
    <xf numFmtId="0" fontId="2" fillId="0" borderId="0" xfId="0" applyFont="1" applyAlignment="1">
      <alignment horizontal="left" vertical="center" wrapText="1"/>
    </xf>
    <xf numFmtId="0" fontId="20" fillId="0" borderId="0" xfId="0" applyFont="1" applyBorder="1" applyAlignment="1">
      <alignment horizontal="center"/>
    </xf>
    <xf numFmtId="0" fontId="6" fillId="0" borderId="30" xfId="0" applyFont="1" applyBorder="1" applyAlignment="1">
      <alignment horizontal="left" vertical="top" wrapText="1"/>
    </xf>
    <xf numFmtId="0" fontId="6" fillId="0" borderId="32" xfId="0" applyFont="1" applyBorder="1" applyAlignment="1">
      <alignment horizontal="left" vertical="top" wrapText="1"/>
    </xf>
    <xf numFmtId="0" fontId="6" fillId="0" borderId="33" xfId="0" applyFont="1" applyBorder="1" applyAlignment="1">
      <alignment horizontal="left" vertical="top" wrapText="1"/>
    </xf>
    <xf numFmtId="18" fontId="8" fillId="0" borderId="0" xfId="4" applyNumberFormat="1" applyFont="1" applyBorder="1" applyAlignment="1">
      <alignment horizontal="center" vertical="top"/>
    </xf>
    <xf numFmtId="18" fontId="9" fillId="0" borderId="0" xfId="4" applyNumberFormat="1" applyFont="1" applyBorder="1" applyAlignment="1">
      <alignment horizontal="center" vertical="top"/>
    </xf>
    <xf numFmtId="3" fontId="6" fillId="0" borderId="0" xfId="0" applyNumberFormat="1" applyFont="1" applyFill="1" applyBorder="1" applyAlignment="1">
      <alignment horizontal="center" vertical="center"/>
    </xf>
    <xf numFmtId="3" fontId="2" fillId="0" borderId="4" xfId="0" applyNumberFormat="1" applyFont="1" applyFill="1" applyBorder="1" applyAlignment="1">
      <alignment horizontal="center" vertical="center"/>
    </xf>
  </cellXfs>
  <cellStyles count="6">
    <cellStyle name="Header" xfId="1"/>
    <cellStyle name="Hyperlink" xfId="2" builtinId="8"/>
    <cellStyle name="Normal" xfId="0" builtinId="0"/>
    <cellStyle name="Normal_Agendas" xfId="3"/>
    <cellStyle name="Normal_Atlanta%20ALERT%20Agenda%2018Mar02(1)" xfId="4"/>
    <cellStyle name="Normal_SS1"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wmf"/><Relationship Id="rId1" Type="http://schemas.openxmlformats.org/officeDocument/2006/relationships/image" Target="../media/image3.emf"/></Relationships>
</file>

<file path=xl/drawings/_rels/drawing4.xml.rels><?xml version="1.0" encoding="UTF-8" standalone="yes"?>
<Relationships xmlns="http://schemas.openxmlformats.org/package/2006/relationships"><Relationship Id="rId2" Type="http://schemas.openxmlformats.org/officeDocument/2006/relationships/image" Target="../media/image9.emf"/><Relationship Id="rId1" Type="http://schemas.openxmlformats.org/officeDocument/2006/relationships/image" Target="../media/image8.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7.emf"/></Relationships>
</file>

<file path=xl/drawings/_rels/vmlDrawing4.vml.rels><?xml version="1.0" encoding="UTF-8" standalone="yes"?>
<Relationships xmlns="http://schemas.openxmlformats.org/package/2006/relationships"><Relationship Id="rId2" Type="http://schemas.openxmlformats.org/officeDocument/2006/relationships/image" Target="../media/image11.emf"/><Relationship Id="rId1" Type="http://schemas.openxmlformats.org/officeDocument/2006/relationships/image" Target="../media/image10.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1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3.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50800</xdr:colOff>
          <xdr:row>15</xdr:row>
          <xdr:rowOff>44450</xdr:rowOff>
        </xdr:from>
        <xdr:to>
          <xdr:col>1</xdr:col>
          <xdr:colOff>88900</xdr:colOff>
          <xdr:row>23</xdr:row>
          <xdr:rowOff>76200</xdr:rowOff>
        </xdr:to>
        <xdr:pic>
          <xdr:nvPicPr>
            <xdr:cNvPr id="10241" name="Picture 1">
              <a:extLst>
                <a:ext uri="{FF2B5EF4-FFF2-40B4-BE49-F238E27FC236}">
                  <a16:creationId xmlns:a16="http://schemas.microsoft.com/office/drawing/2014/main" id="{C299BC2C-18B8-49E8-8EAF-357BEF293939}"/>
                </a:ext>
              </a:extLst>
            </xdr:cNvPr>
            <xdr:cNvPicPr>
              <a:picLocks noChangeAspect="1" noChangeArrowheads="1"/>
              <a:extLst>
                <a:ext uri="{84589F7E-364E-4C9E-8A38-B11213B215E9}">
                  <a14:cameraTool cellRange="HW!$B$2:$F$9" spid="_x0000_s10242"/>
                </a:ext>
              </a:extLst>
            </xdr:cNvPicPr>
          </xdr:nvPicPr>
          <xdr:blipFill>
            <a:blip xmlns:r="http://schemas.openxmlformats.org/officeDocument/2006/relationships" r:embed="rId1"/>
            <a:srcRect/>
            <a:stretch>
              <a:fillRect/>
            </a:stretch>
          </xdr:blipFill>
          <xdr:spPr bwMode="auto">
            <a:xfrm>
              <a:off x="50800" y="4889500"/>
              <a:ext cx="1771650" cy="1301750"/>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31750</xdr:colOff>
          <xdr:row>13</xdr:row>
          <xdr:rowOff>19050</xdr:rowOff>
        </xdr:from>
        <xdr:to>
          <xdr:col>1</xdr:col>
          <xdr:colOff>2857500</xdr:colOff>
          <xdr:row>13</xdr:row>
          <xdr:rowOff>800100</xdr:rowOff>
        </xdr:to>
        <xdr:pic>
          <xdr:nvPicPr>
            <xdr:cNvPr id="1029" name="Picture 5">
              <a:extLst>
                <a:ext uri="{FF2B5EF4-FFF2-40B4-BE49-F238E27FC236}">
                  <a16:creationId xmlns:a16="http://schemas.microsoft.com/office/drawing/2014/main" id="{B6A66C42-D3FE-40D0-AF7E-F3988B4879C5}"/>
                </a:ext>
              </a:extLst>
            </xdr:cNvPr>
            <xdr:cNvPicPr>
              <a:picLocks noChangeAspect="1" noChangeArrowheads="1"/>
              <a:extLst>
                <a:ext uri="{84589F7E-364E-4C9E-8A38-B11213B215E9}">
                  <a14:cameraTool cellRange="Fraction!$A$3:$H$5" spid="_x0000_s1148"/>
                </a:ext>
              </a:extLst>
            </xdr:cNvPicPr>
          </xdr:nvPicPr>
          <xdr:blipFill>
            <a:blip xmlns:r="http://schemas.openxmlformats.org/officeDocument/2006/relationships" r:embed="rId1"/>
            <a:srcRect/>
            <a:stretch>
              <a:fillRect/>
            </a:stretch>
          </xdr:blipFill>
          <xdr:spPr bwMode="auto">
            <a:xfrm>
              <a:off x="3257550" y="3321050"/>
              <a:ext cx="2825750" cy="781050"/>
            </a:xfrm>
            <a:prstGeom prst="rect">
              <a:avLst/>
            </a:prstGeom>
            <a:solidFill>
              <a:srgbClr val="FFFFFF" mc:Ignorable="a14" a14:legacySpreadsheetColorIndex="9"/>
            </a:solidFill>
            <a:ln>
              <a:noFill/>
            </a:ln>
            <a:extLst>
              <a:ext uri="{91240B29-F687-4F45-9708-019B960494DF}">
                <a14:hiddenLine w="9525">
                  <a:solidFill>
                    <a:srgbClr val="000000" mc:Ignorable="a14" a14:legacySpreadsheetColorIndex="64"/>
                  </a:solidFill>
                  <a:miter lim="800000"/>
                  <a:headEnd/>
                  <a:tailEnd/>
                </a14:hiddenLine>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xdr:colOff>
          <xdr:row>13</xdr:row>
          <xdr:rowOff>19050</xdr:rowOff>
        </xdr:from>
        <xdr:to>
          <xdr:col>2</xdr:col>
          <xdr:colOff>2838450</xdr:colOff>
          <xdr:row>13</xdr:row>
          <xdr:rowOff>800100</xdr:rowOff>
        </xdr:to>
        <xdr:pic>
          <xdr:nvPicPr>
            <xdr:cNvPr id="1030" name="Picture 6">
              <a:extLst>
                <a:ext uri="{FF2B5EF4-FFF2-40B4-BE49-F238E27FC236}">
                  <a16:creationId xmlns:a16="http://schemas.microsoft.com/office/drawing/2014/main" id="{99D5DB3E-BCBD-4D4D-B152-CD5602EE1AE8}"/>
                </a:ext>
              </a:extLst>
            </xdr:cNvPr>
            <xdr:cNvPicPr>
              <a:picLocks noChangeAspect="1" noChangeArrowheads="1"/>
              <a:extLst>
                <a:ext uri="{84589F7E-364E-4C9E-8A38-B11213B215E9}">
                  <a14:cameraTool cellRange="Fraction!$A$3:$H$5" spid="_x0000_s1149"/>
                </a:ext>
              </a:extLst>
            </xdr:cNvPicPr>
          </xdr:nvPicPr>
          <xdr:blipFill>
            <a:blip xmlns:r="http://schemas.openxmlformats.org/officeDocument/2006/relationships" r:embed="rId1"/>
            <a:srcRect/>
            <a:stretch>
              <a:fillRect/>
            </a:stretch>
          </xdr:blipFill>
          <xdr:spPr bwMode="auto">
            <a:xfrm>
              <a:off x="6115050" y="3321050"/>
              <a:ext cx="2825750" cy="781050"/>
            </a:xfrm>
            <a:prstGeom prst="rect">
              <a:avLst/>
            </a:prstGeom>
            <a:solidFill>
              <a:srgbClr val="FFFFFF" mc:Ignorable="a14" a14:legacySpreadsheetColorIndex="9"/>
            </a:solidFill>
            <a:ln>
              <a:noFill/>
            </a:ln>
            <a:extLst>
              <a:ext uri="{91240B29-F687-4F45-9708-019B960494DF}">
                <a14:hiddenLine w="9525">
                  <a:solidFill>
                    <a:srgbClr val="000000" mc:Ignorable="a14" a14:legacySpreadsheetColorIndex="64"/>
                  </a:solidFill>
                  <a:miter lim="800000"/>
                  <a:headEnd/>
                  <a:tailEnd/>
                </a14:hiddenLine>
              </a:ext>
            </a:extLst>
          </xdr:spPr>
        </xdr:pic>
        <xdr:clientData/>
      </xdr:twoCellAnchor>
    </mc:Choice>
    <mc:Fallback/>
  </mc:AlternateContent>
  <xdr:twoCellAnchor>
    <xdr:from>
      <xdr:col>4</xdr:col>
      <xdr:colOff>0</xdr:colOff>
      <xdr:row>36</xdr:row>
      <xdr:rowOff>69845</xdr:rowOff>
    </xdr:from>
    <xdr:to>
      <xdr:col>14</xdr:col>
      <xdr:colOff>473075</xdr:colOff>
      <xdr:row>53</xdr:row>
      <xdr:rowOff>143500</xdr:rowOff>
    </xdr:to>
    <xdr:grpSp>
      <xdr:nvGrpSpPr>
        <xdr:cNvPr id="1087" name="Group 63">
          <a:extLst>
            <a:ext uri="{FF2B5EF4-FFF2-40B4-BE49-F238E27FC236}">
              <a16:creationId xmlns:a16="http://schemas.microsoft.com/office/drawing/2014/main" id="{FB9D0134-B59A-450F-9E57-AA47F18F5552}"/>
            </a:ext>
          </a:extLst>
        </xdr:cNvPr>
        <xdr:cNvGrpSpPr>
          <a:grpSpLocks/>
        </xdr:cNvGrpSpPr>
      </xdr:nvGrpSpPr>
      <xdr:grpSpPr bwMode="auto">
        <a:xfrm>
          <a:off x="9620250" y="18376895"/>
          <a:ext cx="6886575" cy="2791455"/>
          <a:chOff x="37" y="2019"/>
          <a:chExt cx="723" cy="297"/>
        </a:xfrm>
      </xdr:grpSpPr>
      <xdr:sp macro="" textlink="">
        <xdr:nvSpPr>
          <xdr:cNvPr id="1032" name="Line 8">
            <a:extLst>
              <a:ext uri="{FF2B5EF4-FFF2-40B4-BE49-F238E27FC236}">
                <a16:creationId xmlns:a16="http://schemas.microsoft.com/office/drawing/2014/main" id="{D3DBE710-EDC2-48EB-BDB3-3A767F94ED1D}"/>
              </a:ext>
            </a:extLst>
          </xdr:cNvPr>
          <xdr:cNvSpPr>
            <a:spLocks noChangeShapeType="1"/>
          </xdr:cNvSpPr>
        </xdr:nvSpPr>
        <xdr:spPr bwMode="auto">
          <a:xfrm flipV="1">
            <a:off x="303" y="2148"/>
            <a:ext cx="0" cy="120"/>
          </a:xfrm>
          <a:prstGeom prst="line">
            <a:avLst/>
          </a:prstGeom>
          <a:noFill/>
          <a:ln w="57150">
            <a:solidFill>
              <a:srgbClr val="B2B2B2"/>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000000"/>
                  </a:outerShdw>
                </a:effectLst>
              </a14:hiddenEffects>
            </a:ext>
          </a:extLst>
        </xdr:spPr>
      </xdr:sp>
      <xdr:sp macro="" textlink="">
        <xdr:nvSpPr>
          <xdr:cNvPr id="1033" name="Line 9">
            <a:extLst>
              <a:ext uri="{FF2B5EF4-FFF2-40B4-BE49-F238E27FC236}">
                <a16:creationId xmlns:a16="http://schemas.microsoft.com/office/drawing/2014/main" id="{AAC06129-7EE0-4933-AAED-891F8D471FE9}"/>
              </a:ext>
            </a:extLst>
          </xdr:cNvPr>
          <xdr:cNvSpPr>
            <a:spLocks noChangeShapeType="1"/>
          </xdr:cNvSpPr>
        </xdr:nvSpPr>
        <xdr:spPr bwMode="auto">
          <a:xfrm>
            <a:off x="236" y="2147"/>
            <a:ext cx="136" cy="0"/>
          </a:xfrm>
          <a:prstGeom prst="line">
            <a:avLst/>
          </a:prstGeom>
          <a:noFill/>
          <a:ln w="57150">
            <a:solidFill>
              <a:srgbClr val="B2B2B2"/>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000000"/>
                  </a:outerShdw>
                </a:effectLst>
              </a14:hiddenEffects>
            </a:ext>
          </a:extLst>
        </xdr:spPr>
      </xdr:sp>
      <xdr:grpSp>
        <xdr:nvGrpSpPr>
          <xdr:cNvPr id="1034" name="Group 10">
            <a:extLst>
              <a:ext uri="{FF2B5EF4-FFF2-40B4-BE49-F238E27FC236}">
                <a16:creationId xmlns:a16="http://schemas.microsoft.com/office/drawing/2014/main" id="{CCDE89E8-DEC6-457D-A8AA-02EF634994BF}"/>
              </a:ext>
            </a:extLst>
          </xdr:cNvPr>
          <xdr:cNvGrpSpPr>
            <a:grpSpLocks/>
          </xdr:cNvGrpSpPr>
        </xdr:nvGrpSpPr>
        <xdr:grpSpPr bwMode="auto">
          <a:xfrm>
            <a:off x="277" y="2120"/>
            <a:ext cx="11" cy="58"/>
            <a:chOff x="1811" y="2209"/>
            <a:chExt cx="87" cy="349"/>
          </a:xfrm>
        </xdr:grpSpPr>
        <xdr:sp macro="" textlink="">
          <xdr:nvSpPr>
            <xdr:cNvPr id="1035" name="Line 11">
              <a:extLst>
                <a:ext uri="{FF2B5EF4-FFF2-40B4-BE49-F238E27FC236}">
                  <a16:creationId xmlns:a16="http://schemas.microsoft.com/office/drawing/2014/main" id="{0D860697-524D-4681-A8B5-B70B72A9C73C}"/>
                </a:ext>
              </a:extLst>
            </xdr:cNvPr>
            <xdr:cNvSpPr>
              <a:spLocks noChangeShapeType="1"/>
            </xdr:cNvSpPr>
          </xdr:nvSpPr>
          <xdr:spPr bwMode="auto">
            <a:xfrm>
              <a:off x="1855" y="2209"/>
              <a:ext cx="1" cy="349"/>
            </a:xfrm>
            <a:prstGeom prst="line">
              <a:avLst/>
            </a:prstGeom>
            <a:noFill/>
            <a:ln w="2857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36" name="Line 12">
              <a:extLst>
                <a:ext uri="{FF2B5EF4-FFF2-40B4-BE49-F238E27FC236}">
                  <a16:creationId xmlns:a16="http://schemas.microsoft.com/office/drawing/2014/main" id="{B7544257-4269-43ED-A4A4-6E93CA70D7D1}"/>
                </a:ext>
              </a:extLst>
            </xdr:cNvPr>
            <xdr:cNvSpPr>
              <a:spLocks noChangeShapeType="1"/>
            </xdr:cNvSpPr>
          </xdr:nvSpPr>
          <xdr:spPr bwMode="auto">
            <a:xfrm flipV="1">
              <a:off x="1811" y="2242"/>
              <a:ext cx="87" cy="87"/>
            </a:xfrm>
            <a:prstGeom prst="line">
              <a:avLst/>
            </a:prstGeom>
            <a:noFill/>
            <a:ln w="2857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37" name="Line 13">
              <a:extLst>
                <a:ext uri="{FF2B5EF4-FFF2-40B4-BE49-F238E27FC236}">
                  <a16:creationId xmlns:a16="http://schemas.microsoft.com/office/drawing/2014/main" id="{3C0AC47F-D15A-4E14-BF6E-140C0F855B18}"/>
                </a:ext>
              </a:extLst>
            </xdr:cNvPr>
            <xdr:cNvSpPr>
              <a:spLocks noChangeShapeType="1"/>
            </xdr:cNvSpPr>
          </xdr:nvSpPr>
          <xdr:spPr bwMode="auto">
            <a:xfrm flipV="1">
              <a:off x="1811" y="2329"/>
              <a:ext cx="87" cy="87"/>
            </a:xfrm>
            <a:prstGeom prst="line">
              <a:avLst/>
            </a:prstGeom>
            <a:noFill/>
            <a:ln w="2857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38" name="Line 14">
              <a:extLst>
                <a:ext uri="{FF2B5EF4-FFF2-40B4-BE49-F238E27FC236}">
                  <a16:creationId xmlns:a16="http://schemas.microsoft.com/office/drawing/2014/main" id="{F3280FF7-E3C3-474F-A157-D6DCE618CEC2}"/>
                </a:ext>
              </a:extLst>
            </xdr:cNvPr>
            <xdr:cNvSpPr>
              <a:spLocks noChangeShapeType="1"/>
            </xdr:cNvSpPr>
          </xdr:nvSpPr>
          <xdr:spPr bwMode="auto">
            <a:xfrm flipV="1">
              <a:off x="1811" y="2416"/>
              <a:ext cx="87" cy="87"/>
            </a:xfrm>
            <a:prstGeom prst="line">
              <a:avLst/>
            </a:prstGeom>
            <a:noFill/>
            <a:ln w="2857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39" name="Line 15">
              <a:extLst>
                <a:ext uri="{FF2B5EF4-FFF2-40B4-BE49-F238E27FC236}">
                  <a16:creationId xmlns:a16="http://schemas.microsoft.com/office/drawing/2014/main" id="{03CBB235-0519-4C43-8C57-81B47C8BCF04}"/>
                </a:ext>
              </a:extLst>
            </xdr:cNvPr>
            <xdr:cNvSpPr>
              <a:spLocks noChangeShapeType="1"/>
            </xdr:cNvSpPr>
          </xdr:nvSpPr>
          <xdr:spPr bwMode="auto">
            <a:xfrm>
              <a:off x="1855" y="2209"/>
              <a:ext cx="1" cy="349"/>
            </a:xfrm>
            <a:prstGeom prst="line">
              <a:avLst/>
            </a:prstGeom>
            <a:noFill/>
            <a:ln w="2857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40" name="Line 16">
              <a:extLst>
                <a:ext uri="{FF2B5EF4-FFF2-40B4-BE49-F238E27FC236}">
                  <a16:creationId xmlns:a16="http://schemas.microsoft.com/office/drawing/2014/main" id="{BF822488-5BF1-49BF-A6FD-0F7C7DC9A0CD}"/>
                </a:ext>
              </a:extLst>
            </xdr:cNvPr>
            <xdr:cNvSpPr>
              <a:spLocks noChangeShapeType="1"/>
            </xdr:cNvSpPr>
          </xdr:nvSpPr>
          <xdr:spPr bwMode="auto">
            <a:xfrm flipV="1">
              <a:off x="1811" y="2242"/>
              <a:ext cx="87" cy="87"/>
            </a:xfrm>
            <a:prstGeom prst="line">
              <a:avLst/>
            </a:prstGeom>
            <a:noFill/>
            <a:ln w="2857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41" name="Line 17">
              <a:extLst>
                <a:ext uri="{FF2B5EF4-FFF2-40B4-BE49-F238E27FC236}">
                  <a16:creationId xmlns:a16="http://schemas.microsoft.com/office/drawing/2014/main" id="{77B9F52C-ADAB-4DCD-A9EC-DAB554D017CA}"/>
                </a:ext>
              </a:extLst>
            </xdr:cNvPr>
            <xdr:cNvSpPr>
              <a:spLocks noChangeShapeType="1"/>
            </xdr:cNvSpPr>
          </xdr:nvSpPr>
          <xdr:spPr bwMode="auto">
            <a:xfrm flipV="1">
              <a:off x="1811" y="2329"/>
              <a:ext cx="87" cy="87"/>
            </a:xfrm>
            <a:prstGeom prst="line">
              <a:avLst/>
            </a:prstGeom>
            <a:noFill/>
            <a:ln w="2857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42" name="Line 18">
              <a:extLst>
                <a:ext uri="{FF2B5EF4-FFF2-40B4-BE49-F238E27FC236}">
                  <a16:creationId xmlns:a16="http://schemas.microsoft.com/office/drawing/2014/main" id="{07E66C45-C21C-46E7-87A6-A6F8202BDE8C}"/>
                </a:ext>
              </a:extLst>
            </xdr:cNvPr>
            <xdr:cNvSpPr>
              <a:spLocks noChangeShapeType="1"/>
            </xdr:cNvSpPr>
          </xdr:nvSpPr>
          <xdr:spPr bwMode="auto">
            <a:xfrm flipV="1">
              <a:off x="1811" y="2416"/>
              <a:ext cx="87" cy="87"/>
            </a:xfrm>
            <a:prstGeom prst="line">
              <a:avLst/>
            </a:prstGeom>
            <a:noFill/>
            <a:ln w="28575">
              <a:solidFill>
                <a:srgbClr val="000000"/>
              </a:solidFill>
              <a:round/>
              <a:headEnd/>
              <a:tailEnd/>
            </a:ln>
            <a:extLst>
              <a:ext uri="{909E8E84-426E-40DD-AFC4-6F175D3DCCD1}">
                <a14:hiddenFill xmlns:a14="http://schemas.microsoft.com/office/drawing/2010/main">
                  <a:noFill/>
                </a14:hiddenFill>
              </a:ext>
            </a:extLst>
          </xdr:spPr>
        </xdr:sp>
      </xdr:grpSp>
      <xdr:sp macro="" textlink="">
        <xdr:nvSpPr>
          <xdr:cNvPr id="1043" name="Text Box 19">
            <a:extLst>
              <a:ext uri="{FF2B5EF4-FFF2-40B4-BE49-F238E27FC236}">
                <a16:creationId xmlns:a16="http://schemas.microsoft.com/office/drawing/2014/main" id="{1B39F78C-1EED-4D06-9DF7-D2A67710459E}"/>
              </a:ext>
            </a:extLst>
          </xdr:cNvPr>
          <xdr:cNvSpPr txBox="1">
            <a:spLocks noChangeArrowheads="1"/>
          </xdr:cNvSpPr>
        </xdr:nvSpPr>
        <xdr:spPr bwMode="auto">
          <a:xfrm>
            <a:off x="58" y="2126"/>
            <a:ext cx="220" cy="66"/>
          </a:xfrm>
          <a:prstGeom prst="rect">
            <a:avLst/>
          </a:prstGeom>
          <a:noFill/>
          <a:ln>
            <a:noFill/>
          </a:ln>
          <a:effectLst/>
          <a:extLst>
            <a:ext uri="{909E8E84-426E-40DD-AFC4-6F175D3DCCD1}">
              <a14:hiddenFill xmlns:a14="http://schemas.microsoft.com/office/drawing/2010/main">
                <a:solidFill>
                  <a:srgbClr val="00FFFF"/>
                </a:solidFill>
              </a14:hiddenFill>
            </a:ext>
            <a:ext uri="{91240B29-F687-4F45-9708-019B960494DF}">
              <a14:hiddenLine xmlns:a14="http://schemas.microsoft.com/office/drawing/2010/main" w="9525">
                <a:solidFill>
                  <a:srgbClr val="FFFFFF"/>
                </a:solidFill>
                <a:miter lim="800000"/>
                <a:headEnd/>
                <a:tailEnd/>
              </a14:hiddenLine>
            </a:ext>
            <a:ext uri="{AF507438-7753-43E0-B8FC-AC1667EBCBE1}">
              <a14:hiddenEffects xmlns:a14="http://schemas.microsoft.com/office/drawing/2010/main">
                <a:effectLst>
                  <a:outerShdw dist="35921" dir="2700000" algn="ctr" rotWithShape="0">
                    <a:srgbClr val="000000"/>
                  </a:outerShdw>
                </a:effectLst>
              </a14:hiddenEffects>
            </a:ext>
          </a:extLst>
        </xdr:spPr>
        <xdr:txBody>
          <a:bodyPr wrap="none" lIns="91440" tIns="45720" rIns="91440" bIns="45720" anchor="t" upright="1">
            <a:spAutoFit/>
          </a:bodyPr>
          <a:lstStyle/>
          <a:p>
            <a:pPr algn="l" rtl="0">
              <a:defRPr sz="1000"/>
            </a:pPr>
            <a:r>
              <a:rPr lang="en-GB" sz="1800" b="0" i="0" u="none" strike="noStrike" baseline="0">
                <a:solidFill>
                  <a:srgbClr val="000000"/>
                </a:solidFill>
                <a:latin typeface="Arial"/>
                <a:cs typeface="Arial"/>
              </a:rPr>
              <a:t>Outside Air Supply</a:t>
            </a:r>
          </a:p>
          <a:p>
            <a:pPr algn="l" rtl="0">
              <a:defRPr sz="1000"/>
            </a:pPr>
            <a:endParaRPr lang="en-GB" sz="1800" b="0" i="0" u="none" strike="noStrike" baseline="0">
              <a:solidFill>
                <a:srgbClr val="000000"/>
              </a:solidFill>
              <a:latin typeface="Arial"/>
              <a:cs typeface="Arial"/>
            </a:endParaRPr>
          </a:p>
        </xdr:txBody>
      </xdr:sp>
      <xdr:sp macro="" textlink="">
        <xdr:nvSpPr>
          <xdr:cNvPr id="1044" name="Text Box 20">
            <a:extLst>
              <a:ext uri="{FF2B5EF4-FFF2-40B4-BE49-F238E27FC236}">
                <a16:creationId xmlns:a16="http://schemas.microsoft.com/office/drawing/2014/main" id="{DE035035-2372-4A50-BF6C-54C4885E6F90}"/>
              </a:ext>
            </a:extLst>
          </xdr:cNvPr>
          <xdr:cNvSpPr txBox="1">
            <a:spLocks noChangeArrowheads="1"/>
          </xdr:cNvSpPr>
        </xdr:nvSpPr>
        <xdr:spPr bwMode="auto">
          <a:xfrm>
            <a:off x="44" y="2250"/>
            <a:ext cx="242" cy="66"/>
          </a:xfrm>
          <a:prstGeom prst="rect">
            <a:avLst/>
          </a:prstGeom>
          <a:noFill/>
          <a:ln>
            <a:noFill/>
          </a:ln>
          <a:effectLst/>
          <a:extLst>
            <a:ext uri="{909E8E84-426E-40DD-AFC4-6F175D3DCCD1}">
              <a14:hiddenFill xmlns:a14="http://schemas.microsoft.com/office/drawing/2010/main">
                <a:solidFill>
                  <a:srgbClr val="00FFFF"/>
                </a:solidFill>
              </a14:hiddenFill>
            </a:ext>
            <a:ext uri="{91240B29-F687-4F45-9708-019B960494DF}">
              <a14:hiddenLine xmlns:a14="http://schemas.microsoft.com/office/drawing/2010/main" w="9525">
                <a:solidFill>
                  <a:srgbClr val="FFFFFF"/>
                </a:solidFill>
                <a:miter lim="800000"/>
                <a:headEnd/>
                <a:tailEnd/>
              </a14:hiddenLine>
            </a:ext>
            <a:ext uri="{AF507438-7753-43E0-B8FC-AC1667EBCBE1}">
              <a14:hiddenEffects xmlns:a14="http://schemas.microsoft.com/office/drawing/2010/main">
                <a:effectLst>
                  <a:outerShdw dist="35921" dir="2700000" algn="ctr" rotWithShape="0">
                    <a:srgbClr val="000000"/>
                  </a:outerShdw>
                </a:effectLst>
              </a14:hiddenEffects>
            </a:ext>
          </a:extLst>
        </xdr:spPr>
        <xdr:txBody>
          <a:bodyPr wrap="none" lIns="91440" tIns="45720" rIns="91440" bIns="45720" anchor="t" upright="1">
            <a:spAutoFit/>
          </a:bodyPr>
          <a:lstStyle/>
          <a:p>
            <a:pPr algn="l" rtl="0">
              <a:defRPr sz="1000"/>
            </a:pPr>
            <a:r>
              <a:rPr lang="en-GB" sz="1800" b="0" i="0" u="none" strike="noStrike" baseline="0">
                <a:solidFill>
                  <a:srgbClr val="000000"/>
                </a:solidFill>
                <a:latin typeface="Arial"/>
                <a:cs typeface="Arial"/>
              </a:rPr>
              <a:t>Exhaust Air Opening</a:t>
            </a:r>
          </a:p>
          <a:p>
            <a:pPr algn="l" rtl="0">
              <a:defRPr sz="1000"/>
            </a:pPr>
            <a:endParaRPr lang="en-GB" sz="1800" b="0" i="0" u="none" strike="noStrike" baseline="0">
              <a:solidFill>
                <a:srgbClr val="000000"/>
              </a:solidFill>
              <a:latin typeface="Arial"/>
              <a:cs typeface="Arial"/>
            </a:endParaRPr>
          </a:p>
        </xdr:txBody>
      </xdr:sp>
      <xdr:sp macro="" textlink="">
        <xdr:nvSpPr>
          <xdr:cNvPr id="1045" name="Text Box 21">
            <a:extLst>
              <a:ext uri="{FF2B5EF4-FFF2-40B4-BE49-F238E27FC236}">
                <a16:creationId xmlns:a16="http://schemas.microsoft.com/office/drawing/2014/main" id="{BDD8B726-B752-4DBE-A96E-797295F6EF6F}"/>
              </a:ext>
            </a:extLst>
          </xdr:cNvPr>
          <xdr:cNvSpPr txBox="1">
            <a:spLocks noChangeArrowheads="1"/>
          </xdr:cNvSpPr>
        </xdr:nvSpPr>
        <xdr:spPr bwMode="auto">
          <a:xfrm>
            <a:off x="475" y="2231"/>
            <a:ext cx="285" cy="66"/>
          </a:xfrm>
          <a:prstGeom prst="rect">
            <a:avLst/>
          </a:prstGeom>
          <a:noFill/>
          <a:ln>
            <a:noFill/>
          </a:ln>
          <a:effectLst/>
          <a:extLst>
            <a:ext uri="{909E8E84-426E-40DD-AFC4-6F175D3DCCD1}">
              <a14:hiddenFill xmlns:a14="http://schemas.microsoft.com/office/drawing/2010/main">
                <a:solidFill>
                  <a:srgbClr val="00FFFF"/>
                </a:solidFill>
              </a14:hiddenFill>
            </a:ext>
            <a:ext uri="{91240B29-F687-4F45-9708-019B960494DF}">
              <a14:hiddenLine xmlns:a14="http://schemas.microsoft.com/office/drawing/2010/main" w="9525">
                <a:solidFill>
                  <a:srgbClr val="FFFFFF"/>
                </a:solidFill>
                <a:miter lim="800000"/>
                <a:headEnd/>
                <a:tailEnd/>
              </a14:hiddenLine>
            </a:ext>
            <a:ext uri="{AF507438-7753-43E0-B8FC-AC1667EBCBE1}">
              <a14:hiddenEffects xmlns:a14="http://schemas.microsoft.com/office/drawing/2010/main">
                <a:effectLst>
                  <a:outerShdw dist="35921" dir="2700000" algn="ctr" rotWithShape="0">
                    <a:srgbClr val="000000"/>
                  </a:outerShdw>
                </a:effectLst>
              </a14:hiddenEffects>
            </a:ext>
          </a:extLst>
        </xdr:spPr>
        <xdr:txBody>
          <a:bodyPr wrap="none" lIns="91440" tIns="45720" rIns="91440" bIns="45720" anchor="t" upright="1">
            <a:spAutoFit/>
          </a:bodyPr>
          <a:lstStyle/>
          <a:p>
            <a:pPr algn="l" rtl="0">
              <a:defRPr sz="1000"/>
            </a:pPr>
            <a:r>
              <a:rPr lang="en-GB" sz="1800" b="0" i="0" u="none" strike="noStrike" baseline="0">
                <a:solidFill>
                  <a:srgbClr val="000000"/>
                </a:solidFill>
                <a:latin typeface="Arial"/>
                <a:cs typeface="Arial"/>
              </a:rPr>
              <a:t>Return Air From Building</a:t>
            </a:r>
          </a:p>
          <a:p>
            <a:pPr algn="l" rtl="0">
              <a:defRPr sz="1000"/>
            </a:pPr>
            <a:endParaRPr lang="en-GB" sz="1800" b="0" i="0" u="none" strike="noStrike" baseline="0">
              <a:solidFill>
                <a:srgbClr val="000000"/>
              </a:solidFill>
              <a:latin typeface="Arial"/>
              <a:cs typeface="Arial"/>
            </a:endParaRPr>
          </a:p>
        </xdr:txBody>
      </xdr:sp>
      <xdr:grpSp>
        <xdr:nvGrpSpPr>
          <xdr:cNvPr id="1046" name="Group 22">
            <a:extLst>
              <a:ext uri="{FF2B5EF4-FFF2-40B4-BE49-F238E27FC236}">
                <a16:creationId xmlns:a16="http://schemas.microsoft.com/office/drawing/2014/main" id="{10A2740F-4542-4F3E-AB99-D7AC8CBD24BF}"/>
              </a:ext>
            </a:extLst>
          </xdr:cNvPr>
          <xdr:cNvGrpSpPr>
            <a:grpSpLocks/>
          </xdr:cNvGrpSpPr>
        </xdr:nvGrpSpPr>
        <xdr:grpSpPr bwMode="auto">
          <a:xfrm>
            <a:off x="401" y="2095"/>
            <a:ext cx="182" cy="103"/>
            <a:chOff x="3076" y="2652"/>
            <a:chExt cx="1405" cy="617"/>
          </a:xfrm>
        </xdr:grpSpPr>
        <xdr:sp macro="" textlink="">
          <xdr:nvSpPr>
            <xdr:cNvPr id="1047" name="Oval 23">
              <a:extLst>
                <a:ext uri="{FF2B5EF4-FFF2-40B4-BE49-F238E27FC236}">
                  <a16:creationId xmlns:a16="http://schemas.microsoft.com/office/drawing/2014/main" id="{5EF999E5-A67F-4EBF-B171-DBCED730D485}"/>
                </a:ext>
              </a:extLst>
            </xdr:cNvPr>
            <xdr:cNvSpPr>
              <a:spLocks noChangeArrowheads="1"/>
            </xdr:cNvSpPr>
          </xdr:nvSpPr>
          <xdr:spPr bwMode="auto">
            <a:xfrm>
              <a:off x="3076" y="2652"/>
              <a:ext cx="648" cy="617"/>
            </a:xfrm>
            <a:prstGeom prst="ellipse">
              <a:avLst/>
            </a:prstGeom>
            <a:solidFill>
              <a:srgbClr val="B2B2B2"/>
            </a:solidFill>
            <a:ln w="52388">
              <a:solidFill>
                <a:srgbClr val="B2B2B2"/>
              </a:solidFill>
              <a:round/>
              <a:headEnd/>
              <a:tailEnd/>
            </a:ln>
          </xdr:spPr>
        </xdr:sp>
        <xdr:sp macro="" textlink="">
          <xdr:nvSpPr>
            <xdr:cNvPr id="1048" name="Text Box 24">
              <a:extLst>
                <a:ext uri="{FF2B5EF4-FFF2-40B4-BE49-F238E27FC236}">
                  <a16:creationId xmlns:a16="http://schemas.microsoft.com/office/drawing/2014/main" id="{8B4DEFC8-CFD1-457D-899B-488D121E4540}"/>
                </a:ext>
              </a:extLst>
            </xdr:cNvPr>
            <xdr:cNvSpPr txBox="1">
              <a:spLocks noChangeArrowheads="1"/>
            </xdr:cNvSpPr>
          </xdr:nvSpPr>
          <xdr:spPr bwMode="auto">
            <a:xfrm>
              <a:off x="3102" y="2765"/>
              <a:ext cx="1379" cy="397"/>
            </a:xfrm>
            <a:prstGeom prst="rect">
              <a:avLst/>
            </a:prstGeom>
            <a:noFill/>
            <a:ln>
              <a:noFill/>
            </a:ln>
            <a:effectLst/>
            <a:extLst>
              <a:ext uri="{909E8E84-426E-40DD-AFC4-6F175D3DCCD1}">
                <a14:hiddenFill xmlns:a14="http://schemas.microsoft.com/office/drawing/2010/main">
                  <a:solidFill>
                    <a:srgbClr val="00FFFF"/>
                  </a:solidFill>
                </a14:hiddenFill>
              </a:ext>
              <a:ext uri="{91240B29-F687-4F45-9708-019B960494DF}">
                <a14:hiddenLine xmlns:a14="http://schemas.microsoft.com/office/drawing/2010/main" w="9525">
                  <a:solidFill>
                    <a:srgbClr val="FFFFFF"/>
                  </a:solidFill>
                  <a:miter lim="800000"/>
                  <a:headEnd/>
                  <a:tailEnd/>
                </a14:hiddenLine>
              </a:ext>
              <a:ext uri="{AF507438-7753-43E0-B8FC-AC1667EBCBE1}">
                <a14:hiddenEffects xmlns:a14="http://schemas.microsoft.com/office/drawing/2010/main">
                  <a:effectLst>
                    <a:outerShdw dist="35921" dir="2700000" algn="ctr" rotWithShape="0">
                      <a:srgbClr val="000000"/>
                    </a:outerShdw>
                  </a:effectLst>
                </a14:hiddenEffects>
              </a:ext>
            </a:extLst>
          </xdr:spPr>
          <xdr:txBody>
            <a:bodyPr wrap="none" lIns="91440" tIns="45720" rIns="91440" bIns="45720" anchor="t" upright="1">
              <a:spAutoFit/>
            </a:bodyPr>
            <a:lstStyle/>
            <a:p>
              <a:pPr algn="l" rtl="0">
                <a:defRPr sz="1000"/>
              </a:pPr>
              <a:r>
                <a:rPr lang="en-GB" sz="1800" b="0" i="0" u="none" strike="noStrike" baseline="0">
                  <a:solidFill>
                    <a:srgbClr val="000000"/>
                  </a:solidFill>
                  <a:latin typeface="Arial"/>
                  <a:cs typeface="Arial"/>
                </a:rPr>
                <a:t>Supply Air Fan</a:t>
              </a:r>
            </a:p>
            <a:p>
              <a:pPr algn="l" rtl="0">
                <a:defRPr sz="1000"/>
              </a:pPr>
              <a:endParaRPr lang="en-GB" sz="1800" b="0" i="0" u="none" strike="noStrike" baseline="0">
                <a:solidFill>
                  <a:srgbClr val="000000"/>
                </a:solidFill>
                <a:latin typeface="Arial"/>
                <a:cs typeface="Arial"/>
              </a:endParaRPr>
            </a:p>
          </xdr:txBody>
        </xdr:sp>
      </xdr:grpSp>
      <xdr:sp macro="" textlink="">
        <xdr:nvSpPr>
          <xdr:cNvPr id="1049" name="Text Box 25">
            <a:extLst>
              <a:ext uri="{FF2B5EF4-FFF2-40B4-BE49-F238E27FC236}">
                <a16:creationId xmlns:a16="http://schemas.microsoft.com/office/drawing/2014/main" id="{4D569C95-A242-435F-A50F-6A3AEF7799C4}"/>
              </a:ext>
            </a:extLst>
          </xdr:cNvPr>
          <xdr:cNvSpPr txBox="1">
            <a:spLocks noChangeArrowheads="1"/>
          </xdr:cNvSpPr>
        </xdr:nvSpPr>
        <xdr:spPr bwMode="auto">
          <a:xfrm>
            <a:off x="44" y="2202"/>
            <a:ext cx="225" cy="66"/>
          </a:xfrm>
          <a:prstGeom prst="rect">
            <a:avLst/>
          </a:prstGeom>
          <a:noFill/>
          <a:ln w="9525">
            <a:solidFill>
              <a:srgbClr val="FFFFFF"/>
            </a:solidFill>
            <a:miter lim="800000"/>
            <a:headEnd/>
            <a:tailEnd/>
          </a:ln>
          <a:effectLst/>
          <a:extLst>
            <a:ext uri="{909E8E84-426E-40DD-AFC4-6F175D3DCCD1}">
              <a14:hiddenFill xmlns:a14="http://schemas.microsoft.com/office/drawing/2010/main">
                <a:solidFill>
                  <a:srgbClr val="00FFFF"/>
                </a:solidFill>
              </a14:hiddenFill>
            </a:ext>
            <a:ext uri="{AF507438-7753-43E0-B8FC-AC1667EBCBE1}">
              <a14:hiddenEffects xmlns:a14="http://schemas.microsoft.com/office/drawing/2010/main">
                <a:effectLst>
                  <a:outerShdw dist="35921" dir="2700000" algn="ctr" rotWithShape="0">
                    <a:srgbClr val="000000"/>
                  </a:outerShdw>
                </a:effectLst>
              </a14:hiddenEffects>
            </a:ext>
          </a:extLst>
        </xdr:spPr>
        <xdr:txBody>
          <a:bodyPr wrap="none" lIns="91440" tIns="45720" rIns="91440" bIns="45720" anchor="t" upright="1">
            <a:spAutoFit/>
          </a:bodyPr>
          <a:lstStyle/>
          <a:p>
            <a:pPr algn="l" rtl="0">
              <a:defRPr sz="1000"/>
            </a:pPr>
            <a:r>
              <a:rPr lang="en-GB" sz="1800" b="0" i="0" u="none" strike="noStrike" baseline="0">
                <a:solidFill>
                  <a:srgbClr val="000000"/>
                </a:solidFill>
                <a:latin typeface="Arial"/>
                <a:cs typeface="Arial"/>
              </a:rPr>
              <a:t>Ductwork Dampers</a:t>
            </a:r>
          </a:p>
          <a:p>
            <a:pPr algn="l" rtl="0">
              <a:defRPr sz="1000"/>
            </a:pPr>
            <a:endParaRPr lang="en-GB" sz="1800" b="0" i="0" u="none" strike="noStrike" baseline="0">
              <a:solidFill>
                <a:srgbClr val="000000"/>
              </a:solidFill>
              <a:latin typeface="Arial"/>
              <a:cs typeface="Arial"/>
            </a:endParaRPr>
          </a:p>
        </xdr:txBody>
      </xdr:sp>
      <xdr:sp macro="" textlink="">
        <xdr:nvSpPr>
          <xdr:cNvPr id="1050" name="Text Box 26">
            <a:extLst>
              <a:ext uri="{FF2B5EF4-FFF2-40B4-BE49-F238E27FC236}">
                <a16:creationId xmlns:a16="http://schemas.microsoft.com/office/drawing/2014/main" id="{5EA3EC3A-7E2A-4631-9577-EC5789D07B50}"/>
              </a:ext>
            </a:extLst>
          </xdr:cNvPr>
          <xdr:cNvSpPr txBox="1">
            <a:spLocks noChangeArrowheads="1"/>
          </xdr:cNvSpPr>
        </xdr:nvSpPr>
        <xdr:spPr bwMode="auto">
          <a:xfrm>
            <a:off x="480" y="2063"/>
            <a:ext cx="189" cy="66"/>
          </a:xfrm>
          <a:prstGeom prst="rect">
            <a:avLst/>
          </a:prstGeom>
          <a:noFill/>
          <a:ln>
            <a:noFill/>
          </a:ln>
          <a:effectLst/>
          <a:extLst>
            <a:ext uri="{909E8E84-426E-40DD-AFC4-6F175D3DCCD1}">
              <a14:hiddenFill xmlns:a14="http://schemas.microsoft.com/office/drawing/2010/main">
                <a:solidFill>
                  <a:srgbClr val="00FFFF"/>
                </a:solidFill>
              </a14:hiddenFill>
            </a:ext>
            <a:ext uri="{91240B29-F687-4F45-9708-019B960494DF}">
              <a14:hiddenLine xmlns:a14="http://schemas.microsoft.com/office/drawing/2010/main" w="9525">
                <a:solidFill>
                  <a:srgbClr val="FFFFFF"/>
                </a:solidFill>
                <a:miter lim="800000"/>
                <a:headEnd/>
                <a:tailEnd/>
              </a14:hiddenLine>
            </a:ext>
            <a:ext uri="{AF507438-7753-43E0-B8FC-AC1667EBCBE1}">
              <a14:hiddenEffects xmlns:a14="http://schemas.microsoft.com/office/drawing/2010/main">
                <a:effectLst>
                  <a:outerShdw dist="35921" dir="2700000" algn="ctr" rotWithShape="0">
                    <a:srgbClr val="000000"/>
                  </a:outerShdw>
                </a:effectLst>
              </a14:hiddenEffects>
            </a:ext>
          </a:extLst>
        </xdr:spPr>
        <xdr:txBody>
          <a:bodyPr wrap="none" lIns="91440" tIns="45720" rIns="91440" bIns="45720" anchor="t" upright="1">
            <a:spAutoFit/>
          </a:bodyPr>
          <a:lstStyle/>
          <a:p>
            <a:pPr algn="l" rtl="0">
              <a:defRPr sz="1000"/>
            </a:pPr>
            <a:r>
              <a:rPr lang="en-GB" sz="1800" b="0" i="0" u="none" strike="noStrike" baseline="0">
                <a:solidFill>
                  <a:srgbClr val="000000"/>
                </a:solidFill>
                <a:latin typeface="Arial"/>
                <a:cs typeface="Arial"/>
              </a:rPr>
              <a:t>Air Into Building</a:t>
            </a:r>
          </a:p>
          <a:p>
            <a:pPr algn="l" rtl="0">
              <a:defRPr sz="1000"/>
            </a:pPr>
            <a:endParaRPr lang="en-GB" sz="1800" b="0" i="0" u="none" strike="noStrike" baseline="0">
              <a:solidFill>
                <a:srgbClr val="000000"/>
              </a:solidFill>
              <a:latin typeface="Arial"/>
              <a:cs typeface="Arial"/>
            </a:endParaRPr>
          </a:p>
        </xdr:txBody>
      </xdr:sp>
      <xdr:grpSp>
        <xdr:nvGrpSpPr>
          <xdr:cNvPr id="1051" name="Group 27">
            <a:extLst>
              <a:ext uri="{FF2B5EF4-FFF2-40B4-BE49-F238E27FC236}">
                <a16:creationId xmlns:a16="http://schemas.microsoft.com/office/drawing/2014/main" id="{9E4F5628-3DA8-4BDE-A7C5-7E75FC28BF6B}"/>
              </a:ext>
            </a:extLst>
          </xdr:cNvPr>
          <xdr:cNvGrpSpPr>
            <a:grpSpLocks/>
          </xdr:cNvGrpSpPr>
        </xdr:nvGrpSpPr>
        <xdr:grpSpPr bwMode="auto">
          <a:xfrm>
            <a:off x="284" y="2203"/>
            <a:ext cx="45" cy="14"/>
            <a:chOff x="1953" y="2721"/>
            <a:chExt cx="348" cy="87"/>
          </a:xfrm>
        </xdr:grpSpPr>
        <xdr:sp macro="" textlink="">
          <xdr:nvSpPr>
            <xdr:cNvPr id="1052" name="Line 28">
              <a:extLst>
                <a:ext uri="{FF2B5EF4-FFF2-40B4-BE49-F238E27FC236}">
                  <a16:creationId xmlns:a16="http://schemas.microsoft.com/office/drawing/2014/main" id="{B0AADFFA-2DC4-4B7D-A027-990161E12EED}"/>
                </a:ext>
              </a:extLst>
            </xdr:cNvPr>
            <xdr:cNvSpPr>
              <a:spLocks noChangeShapeType="1"/>
            </xdr:cNvSpPr>
          </xdr:nvSpPr>
          <xdr:spPr bwMode="auto">
            <a:xfrm>
              <a:off x="1953" y="2765"/>
              <a:ext cx="348" cy="1"/>
            </a:xfrm>
            <a:prstGeom prst="line">
              <a:avLst/>
            </a:prstGeom>
            <a:noFill/>
            <a:ln w="2857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53" name="Line 29">
              <a:extLst>
                <a:ext uri="{FF2B5EF4-FFF2-40B4-BE49-F238E27FC236}">
                  <a16:creationId xmlns:a16="http://schemas.microsoft.com/office/drawing/2014/main" id="{8EBB6125-3CBD-4A04-BF55-730090B7C8B4}"/>
                </a:ext>
              </a:extLst>
            </xdr:cNvPr>
            <xdr:cNvSpPr>
              <a:spLocks noChangeShapeType="1"/>
            </xdr:cNvSpPr>
          </xdr:nvSpPr>
          <xdr:spPr bwMode="auto">
            <a:xfrm flipH="1" flipV="1">
              <a:off x="1985" y="2721"/>
              <a:ext cx="87" cy="87"/>
            </a:xfrm>
            <a:prstGeom prst="line">
              <a:avLst/>
            </a:prstGeom>
            <a:noFill/>
            <a:ln w="2857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54" name="Line 30">
              <a:extLst>
                <a:ext uri="{FF2B5EF4-FFF2-40B4-BE49-F238E27FC236}">
                  <a16:creationId xmlns:a16="http://schemas.microsoft.com/office/drawing/2014/main" id="{6E2B9735-1126-446E-B6B4-D4017F8691F7}"/>
                </a:ext>
              </a:extLst>
            </xdr:cNvPr>
            <xdr:cNvSpPr>
              <a:spLocks noChangeShapeType="1"/>
            </xdr:cNvSpPr>
          </xdr:nvSpPr>
          <xdr:spPr bwMode="auto">
            <a:xfrm flipH="1" flipV="1">
              <a:off x="2061" y="2721"/>
              <a:ext cx="88" cy="87"/>
            </a:xfrm>
            <a:prstGeom prst="line">
              <a:avLst/>
            </a:prstGeom>
            <a:noFill/>
            <a:ln w="2857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55" name="Line 31">
              <a:extLst>
                <a:ext uri="{FF2B5EF4-FFF2-40B4-BE49-F238E27FC236}">
                  <a16:creationId xmlns:a16="http://schemas.microsoft.com/office/drawing/2014/main" id="{18C28655-F686-433F-BE21-664281075C40}"/>
                </a:ext>
              </a:extLst>
            </xdr:cNvPr>
            <xdr:cNvSpPr>
              <a:spLocks noChangeShapeType="1"/>
            </xdr:cNvSpPr>
          </xdr:nvSpPr>
          <xdr:spPr bwMode="auto">
            <a:xfrm flipH="1" flipV="1">
              <a:off x="2149" y="2721"/>
              <a:ext cx="87" cy="87"/>
            </a:xfrm>
            <a:prstGeom prst="line">
              <a:avLst/>
            </a:prstGeom>
            <a:noFill/>
            <a:ln w="2857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56" name="Line 32">
              <a:extLst>
                <a:ext uri="{FF2B5EF4-FFF2-40B4-BE49-F238E27FC236}">
                  <a16:creationId xmlns:a16="http://schemas.microsoft.com/office/drawing/2014/main" id="{83332EDC-A715-4ED9-90D7-55CFEF84A4DA}"/>
                </a:ext>
              </a:extLst>
            </xdr:cNvPr>
            <xdr:cNvSpPr>
              <a:spLocks noChangeShapeType="1"/>
            </xdr:cNvSpPr>
          </xdr:nvSpPr>
          <xdr:spPr bwMode="auto">
            <a:xfrm>
              <a:off x="1953" y="2765"/>
              <a:ext cx="348" cy="1"/>
            </a:xfrm>
            <a:prstGeom prst="line">
              <a:avLst/>
            </a:prstGeom>
            <a:noFill/>
            <a:ln w="2857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57" name="Line 33">
              <a:extLst>
                <a:ext uri="{FF2B5EF4-FFF2-40B4-BE49-F238E27FC236}">
                  <a16:creationId xmlns:a16="http://schemas.microsoft.com/office/drawing/2014/main" id="{EE89D62F-7A13-4362-B012-1F85EB590826}"/>
                </a:ext>
              </a:extLst>
            </xdr:cNvPr>
            <xdr:cNvSpPr>
              <a:spLocks noChangeShapeType="1"/>
            </xdr:cNvSpPr>
          </xdr:nvSpPr>
          <xdr:spPr bwMode="auto">
            <a:xfrm flipH="1" flipV="1">
              <a:off x="1985" y="2721"/>
              <a:ext cx="87" cy="87"/>
            </a:xfrm>
            <a:prstGeom prst="line">
              <a:avLst/>
            </a:prstGeom>
            <a:noFill/>
            <a:ln w="2857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58" name="Line 34">
              <a:extLst>
                <a:ext uri="{FF2B5EF4-FFF2-40B4-BE49-F238E27FC236}">
                  <a16:creationId xmlns:a16="http://schemas.microsoft.com/office/drawing/2014/main" id="{9D85E126-B9A2-4199-9339-A593A31F9593}"/>
                </a:ext>
              </a:extLst>
            </xdr:cNvPr>
            <xdr:cNvSpPr>
              <a:spLocks noChangeShapeType="1"/>
            </xdr:cNvSpPr>
          </xdr:nvSpPr>
          <xdr:spPr bwMode="auto">
            <a:xfrm flipH="1" flipV="1">
              <a:off x="2061" y="2721"/>
              <a:ext cx="88" cy="87"/>
            </a:xfrm>
            <a:prstGeom prst="line">
              <a:avLst/>
            </a:prstGeom>
            <a:noFill/>
            <a:ln w="2857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59" name="Line 35">
              <a:extLst>
                <a:ext uri="{FF2B5EF4-FFF2-40B4-BE49-F238E27FC236}">
                  <a16:creationId xmlns:a16="http://schemas.microsoft.com/office/drawing/2014/main" id="{42A44B59-2DAA-4AA4-BD70-2950D29E4061}"/>
                </a:ext>
              </a:extLst>
            </xdr:cNvPr>
            <xdr:cNvSpPr>
              <a:spLocks noChangeShapeType="1"/>
            </xdr:cNvSpPr>
          </xdr:nvSpPr>
          <xdr:spPr bwMode="auto">
            <a:xfrm flipH="1" flipV="1">
              <a:off x="2149" y="2721"/>
              <a:ext cx="87" cy="87"/>
            </a:xfrm>
            <a:prstGeom prst="line">
              <a:avLst/>
            </a:prstGeom>
            <a:noFill/>
            <a:ln w="28575">
              <a:solidFill>
                <a:srgbClr val="000000"/>
              </a:solidFill>
              <a:round/>
              <a:headEnd/>
              <a:tailEnd/>
            </a:ln>
            <a:extLst>
              <a:ext uri="{909E8E84-426E-40DD-AFC4-6F175D3DCCD1}">
                <a14:hiddenFill xmlns:a14="http://schemas.microsoft.com/office/drawing/2010/main">
                  <a:noFill/>
                </a14:hiddenFill>
              </a:ext>
            </a:extLst>
          </xdr:spPr>
        </xdr:sp>
      </xdr:grpSp>
      <xdr:sp macro="" textlink="">
        <xdr:nvSpPr>
          <xdr:cNvPr id="1060" name="Freeform 36">
            <a:extLst>
              <a:ext uri="{FF2B5EF4-FFF2-40B4-BE49-F238E27FC236}">
                <a16:creationId xmlns:a16="http://schemas.microsoft.com/office/drawing/2014/main" id="{71F87892-BEB4-48A2-BE02-6AF4CC9A7208}"/>
              </a:ext>
            </a:extLst>
          </xdr:cNvPr>
          <xdr:cNvSpPr>
            <a:spLocks/>
          </xdr:cNvSpPr>
        </xdr:nvSpPr>
        <xdr:spPr bwMode="auto">
          <a:xfrm>
            <a:off x="229" y="2216"/>
            <a:ext cx="52" cy="12"/>
          </a:xfrm>
          <a:custGeom>
            <a:avLst/>
            <a:gdLst>
              <a:gd name="T0" fmla="*/ 0 w 396"/>
              <a:gd name="T1" fmla="*/ 66 h 74"/>
              <a:gd name="T2" fmla="*/ 177 w 396"/>
              <a:gd name="T3" fmla="*/ 63 h 74"/>
              <a:gd name="T4" fmla="*/ 396 w 396"/>
              <a:gd name="T5" fmla="*/ 0 h 74"/>
            </a:gdLst>
            <a:ahLst/>
            <a:cxnLst>
              <a:cxn ang="0">
                <a:pos x="T0" y="T1"/>
              </a:cxn>
              <a:cxn ang="0">
                <a:pos x="T2" y="T3"/>
              </a:cxn>
              <a:cxn ang="0">
                <a:pos x="T4" y="T5"/>
              </a:cxn>
            </a:cxnLst>
            <a:rect l="0" t="0" r="r" b="b"/>
            <a:pathLst>
              <a:path w="396" h="74">
                <a:moveTo>
                  <a:pt x="0" y="66"/>
                </a:moveTo>
                <a:cubicBezTo>
                  <a:pt x="29" y="66"/>
                  <a:pt x="111" y="74"/>
                  <a:pt x="177" y="63"/>
                </a:cubicBezTo>
                <a:cubicBezTo>
                  <a:pt x="243" y="52"/>
                  <a:pt x="351" y="13"/>
                  <a:pt x="396" y="0"/>
                </a:cubicBezTo>
              </a:path>
            </a:pathLst>
          </a:custGeom>
          <a:noFill/>
          <a:ln w="9525" cap="flat" cmpd="sng">
            <a:solidFill>
              <a:srgbClr val="000000"/>
            </a:solidFill>
            <a:prstDash val="dash"/>
            <a:round/>
            <a:headEnd type="none" w="med" len="med"/>
            <a:tailEnd type="triangle" w="med" len="me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000000"/>
                  </a:outerShdw>
                </a:effectLst>
              </a14:hiddenEffects>
            </a:ext>
          </a:extLst>
        </xdr:spPr>
      </xdr:sp>
      <xdr:sp macro="" textlink="">
        <xdr:nvSpPr>
          <xdr:cNvPr id="1061" name="Line 37">
            <a:extLst>
              <a:ext uri="{FF2B5EF4-FFF2-40B4-BE49-F238E27FC236}">
                <a16:creationId xmlns:a16="http://schemas.microsoft.com/office/drawing/2014/main" id="{FA655346-0540-429C-897D-4250A87CF92C}"/>
              </a:ext>
            </a:extLst>
          </xdr:cNvPr>
          <xdr:cNvSpPr>
            <a:spLocks noChangeShapeType="1"/>
          </xdr:cNvSpPr>
        </xdr:nvSpPr>
        <xdr:spPr bwMode="auto">
          <a:xfrm flipH="1" flipV="1">
            <a:off x="236" y="2264"/>
            <a:ext cx="67" cy="1"/>
          </a:xfrm>
          <a:prstGeom prst="line">
            <a:avLst/>
          </a:prstGeom>
          <a:noFill/>
          <a:ln w="57150">
            <a:solidFill>
              <a:srgbClr val="B2B2B2"/>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000000"/>
                  </a:outerShdw>
                </a:effectLst>
              </a14:hiddenEffects>
            </a:ext>
          </a:extLst>
        </xdr:spPr>
      </xdr:sp>
      <xdr:sp macro="" textlink="">
        <xdr:nvSpPr>
          <xdr:cNvPr id="1062" name="Line 38">
            <a:extLst>
              <a:ext uri="{FF2B5EF4-FFF2-40B4-BE49-F238E27FC236}">
                <a16:creationId xmlns:a16="http://schemas.microsoft.com/office/drawing/2014/main" id="{8ED3EF30-69A9-46C5-9BC0-9DD85637AE57}"/>
              </a:ext>
            </a:extLst>
          </xdr:cNvPr>
          <xdr:cNvSpPr>
            <a:spLocks noChangeShapeType="1"/>
          </xdr:cNvSpPr>
        </xdr:nvSpPr>
        <xdr:spPr bwMode="auto">
          <a:xfrm flipH="1">
            <a:off x="305" y="2264"/>
            <a:ext cx="168" cy="0"/>
          </a:xfrm>
          <a:prstGeom prst="line">
            <a:avLst/>
          </a:prstGeom>
          <a:noFill/>
          <a:ln w="57150">
            <a:solidFill>
              <a:srgbClr val="B2B2B2"/>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000000"/>
                  </a:outerShdw>
                </a:effectLst>
              </a14:hiddenEffects>
            </a:ext>
          </a:extLst>
        </xdr:spPr>
      </xdr:sp>
      <xdr:sp macro="" textlink="">
        <xdr:nvSpPr>
          <xdr:cNvPr id="1063" name="Oval 39">
            <a:extLst>
              <a:ext uri="{FF2B5EF4-FFF2-40B4-BE49-F238E27FC236}">
                <a16:creationId xmlns:a16="http://schemas.microsoft.com/office/drawing/2014/main" id="{07F12B67-3F64-44BC-A67B-E7BD97DE3DCA}"/>
              </a:ext>
            </a:extLst>
          </xdr:cNvPr>
          <xdr:cNvSpPr>
            <a:spLocks noChangeArrowheads="1"/>
          </xdr:cNvSpPr>
        </xdr:nvSpPr>
        <xdr:spPr bwMode="auto">
          <a:xfrm>
            <a:off x="322" y="2135"/>
            <a:ext cx="19" cy="24"/>
          </a:xfrm>
          <a:prstGeom prst="ellipse">
            <a:avLst/>
          </a:prstGeom>
          <a:solidFill>
            <a:srgbClr val="FFFFFF"/>
          </a:solidFill>
          <a:ln w="28575">
            <a:solidFill>
              <a:srgbClr val="000000"/>
            </a:solidFill>
            <a:round/>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Lst>
        </xdr:spPr>
        <xdr:txBody>
          <a:bodyPr vertOverflow="clip" wrap="square" lIns="91440" tIns="45720" rIns="91440" bIns="45720" anchor="t" upright="1"/>
          <a:lstStyle/>
          <a:p>
            <a:pPr algn="l" rtl="0">
              <a:defRPr sz="1000"/>
            </a:pPr>
            <a:r>
              <a:rPr lang="en-GB" sz="1400" b="0" i="0" u="none" strike="noStrike" baseline="0">
                <a:solidFill>
                  <a:srgbClr val="000000"/>
                </a:solidFill>
                <a:latin typeface="Arial"/>
                <a:cs typeface="Arial"/>
              </a:rPr>
              <a:t>T</a:t>
            </a:r>
          </a:p>
          <a:p>
            <a:pPr algn="l" rtl="0">
              <a:defRPr sz="1000"/>
            </a:pPr>
            <a:endParaRPr lang="en-GB" sz="1400" b="0" i="0" u="none" strike="noStrike" baseline="0">
              <a:solidFill>
                <a:srgbClr val="000000"/>
              </a:solidFill>
              <a:latin typeface="Arial"/>
              <a:cs typeface="Arial"/>
            </a:endParaRPr>
          </a:p>
        </xdr:txBody>
      </xdr:sp>
      <xdr:sp macro="" textlink="">
        <xdr:nvSpPr>
          <xdr:cNvPr id="1064" name="Oval 40">
            <a:extLst>
              <a:ext uri="{FF2B5EF4-FFF2-40B4-BE49-F238E27FC236}">
                <a16:creationId xmlns:a16="http://schemas.microsoft.com/office/drawing/2014/main" id="{E4ED9554-CA45-4120-91CC-A3920A033D34}"/>
              </a:ext>
            </a:extLst>
          </xdr:cNvPr>
          <xdr:cNvSpPr>
            <a:spLocks noChangeArrowheads="1"/>
          </xdr:cNvSpPr>
        </xdr:nvSpPr>
        <xdr:spPr bwMode="auto">
          <a:xfrm>
            <a:off x="335" y="2252"/>
            <a:ext cx="18" cy="24"/>
          </a:xfrm>
          <a:prstGeom prst="ellipse">
            <a:avLst/>
          </a:prstGeom>
          <a:solidFill>
            <a:srgbClr val="FFFFFF"/>
          </a:solidFill>
          <a:ln w="28575">
            <a:solidFill>
              <a:srgbClr val="000000"/>
            </a:solidFill>
            <a:round/>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Lst>
        </xdr:spPr>
        <xdr:txBody>
          <a:bodyPr vertOverflow="clip" wrap="square" lIns="91440" tIns="45720" rIns="91440" bIns="45720" anchor="t" upright="1"/>
          <a:lstStyle/>
          <a:p>
            <a:pPr algn="l" rtl="0">
              <a:defRPr sz="1000"/>
            </a:pPr>
            <a:r>
              <a:rPr lang="en-GB" sz="1400" b="0" i="0" u="none" strike="noStrike" baseline="0">
                <a:solidFill>
                  <a:srgbClr val="000000"/>
                </a:solidFill>
                <a:latin typeface="Arial"/>
                <a:cs typeface="Arial"/>
              </a:rPr>
              <a:t>T</a:t>
            </a:r>
          </a:p>
          <a:p>
            <a:pPr algn="l" rtl="0">
              <a:defRPr sz="1000"/>
            </a:pPr>
            <a:endParaRPr lang="en-GB" sz="1400" b="0" i="0" u="none" strike="noStrike" baseline="0">
              <a:solidFill>
                <a:srgbClr val="000000"/>
              </a:solidFill>
              <a:latin typeface="Arial"/>
              <a:cs typeface="Arial"/>
            </a:endParaRPr>
          </a:p>
        </xdr:txBody>
      </xdr:sp>
      <xdr:sp macro="" textlink="">
        <xdr:nvSpPr>
          <xdr:cNvPr id="1065" name="Oval 41">
            <a:extLst>
              <a:ext uri="{FF2B5EF4-FFF2-40B4-BE49-F238E27FC236}">
                <a16:creationId xmlns:a16="http://schemas.microsoft.com/office/drawing/2014/main" id="{3BF2EBD0-7F1C-4051-A95E-7F71F43F6E9C}"/>
              </a:ext>
            </a:extLst>
          </xdr:cNvPr>
          <xdr:cNvSpPr>
            <a:spLocks noChangeArrowheads="1"/>
          </xdr:cNvSpPr>
        </xdr:nvSpPr>
        <xdr:spPr bwMode="auto">
          <a:xfrm>
            <a:off x="248" y="2135"/>
            <a:ext cx="19" cy="24"/>
          </a:xfrm>
          <a:prstGeom prst="ellipse">
            <a:avLst/>
          </a:prstGeom>
          <a:solidFill>
            <a:srgbClr val="FFFFFF"/>
          </a:solidFill>
          <a:ln w="28575">
            <a:solidFill>
              <a:srgbClr val="000000"/>
            </a:solidFill>
            <a:round/>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Lst>
        </xdr:spPr>
        <xdr:txBody>
          <a:bodyPr vertOverflow="clip" wrap="square" lIns="91440" tIns="45720" rIns="91440" bIns="45720" anchor="t" upright="1"/>
          <a:lstStyle/>
          <a:p>
            <a:pPr algn="l" rtl="0">
              <a:defRPr sz="1000"/>
            </a:pPr>
            <a:r>
              <a:rPr lang="en-GB" sz="1400" b="0" i="0" u="none" strike="noStrike" baseline="0">
                <a:solidFill>
                  <a:srgbClr val="000000"/>
                </a:solidFill>
                <a:latin typeface="Arial"/>
                <a:cs typeface="Arial"/>
              </a:rPr>
              <a:t>TT</a:t>
            </a:r>
          </a:p>
          <a:p>
            <a:pPr algn="l" rtl="0">
              <a:defRPr sz="1000"/>
            </a:pPr>
            <a:endParaRPr lang="en-GB" sz="1400" b="0" i="0" u="none" strike="noStrike" baseline="0">
              <a:solidFill>
                <a:srgbClr val="000000"/>
              </a:solidFill>
              <a:latin typeface="Arial"/>
              <a:cs typeface="Arial"/>
            </a:endParaRPr>
          </a:p>
        </xdr:txBody>
      </xdr:sp>
      <xdr:sp macro="" textlink="">
        <xdr:nvSpPr>
          <xdr:cNvPr id="1066" name="Text Box 42">
            <a:extLst>
              <a:ext uri="{FF2B5EF4-FFF2-40B4-BE49-F238E27FC236}">
                <a16:creationId xmlns:a16="http://schemas.microsoft.com/office/drawing/2014/main" id="{A32165BB-0D3B-4365-AE83-0D4AE4A2638C}"/>
              </a:ext>
            </a:extLst>
          </xdr:cNvPr>
          <xdr:cNvSpPr txBox="1">
            <a:spLocks noChangeArrowheads="1"/>
          </xdr:cNvSpPr>
        </xdr:nvSpPr>
        <xdr:spPr bwMode="auto">
          <a:xfrm>
            <a:off x="37" y="2160"/>
            <a:ext cx="254" cy="66"/>
          </a:xfrm>
          <a:prstGeom prst="rect">
            <a:avLst/>
          </a:prstGeom>
          <a:noFill/>
          <a:ln w="9525">
            <a:solidFill>
              <a:srgbClr val="FFFFFF"/>
            </a:solidFill>
            <a:miter lim="800000"/>
            <a:headEnd/>
            <a:tailEnd/>
          </a:ln>
          <a:effectLst/>
          <a:extLst>
            <a:ext uri="{909E8E84-426E-40DD-AFC4-6F175D3DCCD1}">
              <a14:hiddenFill xmlns:a14="http://schemas.microsoft.com/office/drawing/2010/main">
                <a:solidFill>
                  <a:srgbClr val="00FFFF"/>
                </a:solidFill>
              </a14:hiddenFill>
            </a:ext>
            <a:ext uri="{AF507438-7753-43E0-B8FC-AC1667EBCBE1}">
              <a14:hiddenEffects xmlns:a14="http://schemas.microsoft.com/office/drawing/2010/main">
                <a:effectLst>
                  <a:outerShdw dist="35921" dir="2700000" algn="ctr" rotWithShape="0">
                    <a:srgbClr val="000000"/>
                  </a:outerShdw>
                </a:effectLst>
              </a14:hiddenEffects>
            </a:ext>
          </a:extLst>
        </xdr:spPr>
        <xdr:txBody>
          <a:bodyPr wrap="none" lIns="91440" tIns="45720" rIns="91440" bIns="45720" anchor="t" upright="1">
            <a:spAutoFit/>
          </a:bodyPr>
          <a:lstStyle/>
          <a:p>
            <a:pPr algn="l" rtl="0">
              <a:defRPr sz="1000"/>
            </a:pPr>
            <a:r>
              <a:rPr lang="en-GB" sz="1800" b="0" i="0" u="none" strike="noStrike" baseline="0">
                <a:solidFill>
                  <a:srgbClr val="000000"/>
                </a:solidFill>
                <a:latin typeface="Arial"/>
                <a:cs typeface="Arial"/>
              </a:rPr>
              <a:t>Temperature Sensors</a:t>
            </a:r>
          </a:p>
          <a:p>
            <a:pPr algn="l" rtl="0">
              <a:defRPr sz="1000"/>
            </a:pPr>
            <a:endParaRPr lang="en-GB" sz="1800" b="0" i="0" u="none" strike="noStrike" baseline="0">
              <a:solidFill>
                <a:srgbClr val="000000"/>
              </a:solidFill>
              <a:latin typeface="Arial"/>
              <a:cs typeface="Arial"/>
            </a:endParaRPr>
          </a:p>
        </xdr:txBody>
      </xdr:sp>
      <xdr:sp macro="" textlink="">
        <xdr:nvSpPr>
          <xdr:cNvPr id="1067" name="Freeform 43">
            <a:extLst>
              <a:ext uri="{FF2B5EF4-FFF2-40B4-BE49-F238E27FC236}">
                <a16:creationId xmlns:a16="http://schemas.microsoft.com/office/drawing/2014/main" id="{795928FE-1EFA-4245-97F5-3AAD68AB63FF}"/>
              </a:ext>
            </a:extLst>
          </xdr:cNvPr>
          <xdr:cNvSpPr>
            <a:spLocks/>
          </xdr:cNvSpPr>
        </xdr:nvSpPr>
        <xdr:spPr bwMode="auto">
          <a:xfrm>
            <a:off x="231" y="2163"/>
            <a:ext cx="25" cy="23"/>
          </a:xfrm>
          <a:custGeom>
            <a:avLst/>
            <a:gdLst>
              <a:gd name="T0" fmla="*/ 0 w 198"/>
              <a:gd name="T1" fmla="*/ 141 h 141"/>
              <a:gd name="T2" fmla="*/ 135 w 198"/>
              <a:gd name="T3" fmla="*/ 117 h 141"/>
              <a:gd name="T4" fmla="*/ 198 w 198"/>
              <a:gd name="T5" fmla="*/ 0 h 141"/>
            </a:gdLst>
            <a:ahLst/>
            <a:cxnLst>
              <a:cxn ang="0">
                <a:pos x="T0" y="T1"/>
              </a:cxn>
              <a:cxn ang="0">
                <a:pos x="T2" y="T3"/>
              </a:cxn>
              <a:cxn ang="0">
                <a:pos x="T4" y="T5"/>
              </a:cxn>
            </a:cxnLst>
            <a:rect l="0" t="0" r="r" b="b"/>
            <a:pathLst>
              <a:path w="198" h="141">
                <a:moveTo>
                  <a:pt x="0" y="141"/>
                </a:moveTo>
                <a:cubicBezTo>
                  <a:pt x="22" y="137"/>
                  <a:pt x="102" y="140"/>
                  <a:pt x="135" y="117"/>
                </a:cubicBezTo>
                <a:cubicBezTo>
                  <a:pt x="168" y="94"/>
                  <a:pt x="185" y="24"/>
                  <a:pt x="198" y="0"/>
                </a:cubicBezTo>
              </a:path>
            </a:pathLst>
          </a:custGeom>
          <a:noFill/>
          <a:ln w="9525" cap="flat" cmpd="sng">
            <a:solidFill>
              <a:srgbClr val="000000"/>
            </a:solidFill>
            <a:prstDash val="dash"/>
            <a:round/>
            <a:headEnd type="none" w="med" len="med"/>
            <a:tailEnd type="triangle" w="med" len="me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000000"/>
                  </a:outerShdw>
                </a:effectLst>
              </a14:hiddenEffects>
            </a:ext>
          </a:extLst>
        </xdr:spPr>
      </xdr:sp>
      <xdr:sp macro="" textlink="">
        <xdr:nvSpPr>
          <xdr:cNvPr id="1068" name="Line 44">
            <a:extLst>
              <a:ext uri="{FF2B5EF4-FFF2-40B4-BE49-F238E27FC236}">
                <a16:creationId xmlns:a16="http://schemas.microsoft.com/office/drawing/2014/main" id="{08DA2C69-AF3B-4E71-9DB8-DE9F09AF7C2B}"/>
              </a:ext>
            </a:extLst>
          </xdr:cNvPr>
          <xdr:cNvSpPr>
            <a:spLocks noChangeShapeType="1"/>
          </xdr:cNvSpPr>
        </xdr:nvSpPr>
        <xdr:spPr bwMode="auto">
          <a:xfrm flipV="1">
            <a:off x="445" y="2097"/>
            <a:ext cx="63" cy="0"/>
          </a:xfrm>
          <a:prstGeom prst="line">
            <a:avLst/>
          </a:prstGeom>
          <a:noFill/>
          <a:ln w="57150">
            <a:solidFill>
              <a:srgbClr val="B2B2B2"/>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000000"/>
                  </a:outerShdw>
                </a:effectLst>
              </a14:hiddenEffects>
            </a:ext>
          </a:extLst>
        </xdr:spPr>
      </xdr:sp>
      <xdr:sp macro="" textlink="">
        <xdr:nvSpPr>
          <xdr:cNvPr id="1069" name="AutoShape 45">
            <a:extLst>
              <a:ext uri="{FF2B5EF4-FFF2-40B4-BE49-F238E27FC236}">
                <a16:creationId xmlns:a16="http://schemas.microsoft.com/office/drawing/2014/main" id="{951D82BF-F3CF-4E19-B133-06B267F00704}"/>
              </a:ext>
            </a:extLst>
          </xdr:cNvPr>
          <xdr:cNvSpPr>
            <a:spLocks/>
          </xdr:cNvSpPr>
        </xdr:nvSpPr>
        <xdr:spPr bwMode="auto">
          <a:xfrm rot="-5400000">
            <a:off x="279" y="2057"/>
            <a:ext cx="32" cy="100"/>
          </a:xfrm>
          <a:prstGeom prst="rightBrace">
            <a:avLst>
              <a:gd name="adj1" fmla="val 26042"/>
              <a:gd name="adj2" fmla="val 50000"/>
            </a:avLst>
          </a:prstGeom>
          <a:noFill/>
          <a:ln w="12700">
            <a:solidFill>
              <a:srgbClr val="000000"/>
            </a:solidFill>
            <a:round/>
            <a:headEnd/>
            <a:tailEn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000000"/>
                  </a:outerShdw>
                </a:effectLst>
              </a14:hiddenEffects>
            </a:ext>
          </a:extLst>
        </xdr:spPr>
      </xdr:sp>
      <xdr:grpSp>
        <xdr:nvGrpSpPr>
          <xdr:cNvPr id="1070" name="Group 46">
            <a:extLst>
              <a:ext uri="{FF2B5EF4-FFF2-40B4-BE49-F238E27FC236}">
                <a16:creationId xmlns:a16="http://schemas.microsoft.com/office/drawing/2014/main" id="{7DB3F3CC-A0CA-4E8A-9570-C9395C326FEB}"/>
              </a:ext>
            </a:extLst>
          </xdr:cNvPr>
          <xdr:cNvGrpSpPr>
            <a:grpSpLocks/>
          </xdr:cNvGrpSpPr>
        </xdr:nvGrpSpPr>
        <xdr:grpSpPr bwMode="auto">
          <a:xfrm>
            <a:off x="269" y="2019"/>
            <a:ext cx="52" cy="62"/>
            <a:chOff x="1929" y="2136"/>
            <a:chExt cx="537" cy="474"/>
          </a:xfrm>
        </xdr:grpSpPr>
        <xdr:sp macro="" textlink="">
          <xdr:nvSpPr>
            <xdr:cNvPr id="1071" name="Rectangle 47">
              <a:extLst>
                <a:ext uri="{FF2B5EF4-FFF2-40B4-BE49-F238E27FC236}">
                  <a16:creationId xmlns:a16="http://schemas.microsoft.com/office/drawing/2014/main" id="{E1FD9705-C441-44F2-82C4-3DD97AD2DE44}"/>
                </a:ext>
              </a:extLst>
            </xdr:cNvPr>
            <xdr:cNvSpPr>
              <a:spLocks noChangeArrowheads="1"/>
            </xdr:cNvSpPr>
          </xdr:nvSpPr>
          <xdr:spPr bwMode="auto">
            <a:xfrm>
              <a:off x="1989" y="2136"/>
              <a:ext cx="348" cy="291"/>
            </a:xfrm>
            <a:prstGeom prst="rect">
              <a:avLst/>
            </a:prstGeom>
            <a:solidFill>
              <a:srgbClr val="FFFFFF"/>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Lst>
          </xdr:spPr>
        </xdr:sp>
        <xdr:sp macro="" textlink="">
          <xdr:nvSpPr>
            <xdr:cNvPr id="1072" name="Rectangle 48">
              <a:extLst>
                <a:ext uri="{FF2B5EF4-FFF2-40B4-BE49-F238E27FC236}">
                  <a16:creationId xmlns:a16="http://schemas.microsoft.com/office/drawing/2014/main" id="{6CE5C114-CD7E-468B-806C-9A47D3C4040D}"/>
                </a:ext>
              </a:extLst>
            </xdr:cNvPr>
            <xdr:cNvSpPr>
              <a:spLocks noChangeArrowheads="1"/>
            </xdr:cNvSpPr>
          </xdr:nvSpPr>
          <xdr:spPr bwMode="auto">
            <a:xfrm>
              <a:off x="2027" y="2170"/>
              <a:ext cx="273" cy="222"/>
            </a:xfrm>
            <a:prstGeom prst="rect">
              <a:avLst/>
            </a:prstGeom>
            <a:solidFill>
              <a:srgbClr val="B2B2B2"/>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000000"/>
                    </a:outerShdw>
                  </a:effectLst>
                </a14:hiddenEffects>
              </a:ext>
            </a:extLst>
          </xdr:spPr>
        </xdr:sp>
        <xdr:sp macro="" textlink="">
          <xdr:nvSpPr>
            <xdr:cNvPr id="1073" name="Rectangle 49">
              <a:extLst>
                <a:ext uri="{FF2B5EF4-FFF2-40B4-BE49-F238E27FC236}">
                  <a16:creationId xmlns:a16="http://schemas.microsoft.com/office/drawing/2014/main" id="{C1282725-AE9F-4292-ACAB-96E3F9AEBFDF}"/>
                </a:ext>
              </a:extLst>
            </xdr:cNvPr>
            <xdr:cNvSpPr>
              <a:spLocks noChangeArrowheads="1"/>
            </xdr:cNvSpPr>
          </xdr:nvSpPr>
          <xdr:spPr bwMode="auto">
            <a:xfrm>
              <a:off x="1929" y="2448"/>
              <a:ext cx="471" cy="138"/>
            </a:xfrm>
            <a:prstGeom prst="rect">
              <a:avLst/>
            </a:prstGeom>
            <a:solidFill>
              <a:srgbClr val="FFFFFF"/>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Lst>
          </xdr:spPr>
        </xdr:sp>
        <xdr:sp macro="" textlink="">
          <xdr:nvSpPr>
            <xdr:cNvPr id="1074" name="Line 50">
              <a:extLst>
                <a:ext uri="{FF2B5EF4-FFF2-40B4-BE49-F238E27FC236}">
                  <a16:creationId xmlns:a16="http://schemas.microsoft.com/office/drawing/2014/main" id="{0FF61A6C-0F74-4EE8-BDE9-AF1052E9967F}"/>
                </a:ext>
              </a:extLst>
            </xdr:cNvPr>
            <xdr:cNvSpPr>
              <a:spLocks noChangeShapeType="1"/>
            </xdr:cNvSpPr>
          </xdr:nvSpPr>
          <xdr:spPr bwMode="auto">
            <a:xfrm>
              <a:off x="2244" y="2481"/>
              <a:ext cx="105" cy="0"/>
            </a:xfrm>
            <a:prstGeom prst="line">
              <a:avLst/>
            </a:prstGeom>
            <a:noFill/>
            <a:ln w="2857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000000"/>
                    </a:outerShdw>
                  </a:effectLst>
                </a14:hiddenEffects>
              </a:ext>
            </a:extLst>
          </xdr:spPr>
        </xdr:sp>
        <xdr:sp macro="" textlink="">
          <xdr:nvSpPr>
            <xdr:cNvPr id="1075" name="AutoShape 51">
              <a:extLst>
                <a:ext uri="{FF2B5EF4-FFF2-40B4-BE49-F238E27FC236}">
                  <a16:creationId xmlns:a16="http://schemas.microsoft.com/office/drawing/2014/main" id="{9BA6BB31-3FED-4F55-8C7E-9D9914470955}"/>
                </a:ext>
              </a:extLst>
            </xdr:cNvPr>
            <xdr:cNvSpPr>
              <a:spLocks noChangeArrowheads="1"/>
            </xdr:cNvSpPr>
          </xdr:nvSpPr>
          <xdr:spPr bwMode="auto">
            <a:xfrm flipV="1">
              <a:off x="1941" y="2540"/>
              <a:ext cx="525" cy="70"/>
            </a:xfrm>
            <a:custGeom>
              <a:avLst/>
              <a:gdLst>
                <a:gd name="G0" fmla="+- 1773 0 0"/>
                <a:gd name="G1" fmla="+- 21600 0 1773"/>
                <a:gd name="G2" fmla="*/ 1773 1 2"/>
                <a:gd name="G3" fmla="+- 21600 0 G2"/>
                <a:gd name="G4" fmla="+/ 1773 21600 2"/>
                <a:gd name="G5" fmla="+/ G1 0 2"/>
                <a:gd name="G6" fmla="*/ 21600 21600 1773"/>
                <a:gd name="G7" fmla="*/ G6 1 2"/>
                <a:gd name="G8" fmla="+- 21600 0 G7"/>
                <a:gd name="G9" fmla="*/ 21600 1 2"/>
                <a:gd name="G10" fmla="+- 1773 0 G9"/>
                <a:gd name="G11" fmla="?: G10 G8 0"/>
                <a:gd name="G12" fmla="?: G10 G7 21600"/>
                <a:gd name="T0" fmla="*/ 20713 w 21600"/>
                <a:gd name="T1" fmla="*/ 10800 h 21600"/>
                <a:gd name="T2" fmla="*/ 10800 w 21600"/>
                <a:gd name="T3" fmla="*/ 21600 h 21600"/>
                <a:gd name="T4" fmla="*/ 887 w 21600"/>
                <a:gd name="T5" fmla="*/ 10800 h 21600"/>
                <a:gd name="T6" fmla="*/ 10800 w 21600"/>
                <a:gd name="T7" fmla="*/ 0 h 21600"/>
                <a:gd name="T8" fmla="*/ 2687 w 21600"/>
                <a:gd name="T9" fmla="*/ 2687 h 21600"/>
                <a:gd name="T10" fmla="*/ 18913 w 21600"/>
                <a:gd name="T11" fmla="*/ 18913 h 21600"/>
              </a:gdLst>
              <a:ahLst/>
              <a:cxnLst>
                <a:cxn ang="0">
                  <a:pos x="T0" y="T1"/>
                </a:cxn>
                <a:cxn ang="0">
                  <a:pos x="T2" y="T3"/>
                </a:cxn>
                <a:cxn ang="0">
                  <a:pos x="T4" y="T5"/>
                </a:cxn>
                <a:cxn ang="0">
                  <a:pos x="T6" y="T7"/>
                </a:cxn>
              </a:cxnLst>
              <a:rect l="T8" t="T9" r="T10" b="T11"/>
              <a:pathLst>
                <a:path w="21600" h="21600">
                  <a:moveTo>
                    <a:pt x="0" y="0"/>
                  </a:moveTo>
                  <a:lnTo>
                    <a:pt x="1773" y="21600"/>
                  </a:lnTo>
                  <a:lnTo>
                    <a:pt x="19827" y="21600"/>
                  </a:lnTo>
                  <a:lnTo>
                    <a:pt x="21600" y="0"/>
                  </a:lnTo>
                  <a:close/>
                </a:path>
              </a:pathLst>
            </a:custGeom>
            <a:solidFill>
              <a:srgbClr val="FFFFFF"/>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Lst>
          </xdr:spPr>
        </xdr:sp>
      </xdr:grpSp>
      <xdr:sp macro="" textlink="">
        <xdr:nvSpPr>
          <xdr:cNvPr id="1076" name="Text Box 52">
            <a:extLst>
              <a:ext uri="{FF2B5EF4-FFF2-40B4-BE49-F238E27FC236}">
                <a16:creationId xmlns:a16="http://schemas.microsoft.com/office/drawing/2014/main" id="{0CF4B8AC-2E36-4DE1-8BDF-77FD31A627F9}"/>
              </a:ext>
            </a:extLst>
          </xdr:cNvPr>
          <xdr:cNvSpPr txBox="1">
            <a:spLocks noChangeArrowheads="1"/>
          </xdr:cNvSpPr>
        </xdr:nvSpPr>
        <xdr:spPr bwMode="auto">
          <a:xfrm>
            <a:off x="120" y="2022"/>
            <a:ext cx="110" cy="66"/>
          </a:xfrm>
          <a:prstGeom prst="rect">
            <a:avLst/>
          </a:prstGeom>
          <a:noFill/>
          <a:ln w="9525">
            <a:solidFill>
              <a:srgbClr val="FFFFFF"/>
            </a:solidFill>
            <a:miter lim="800000"/>
            <a:headEnd/>
            <a:tailEnd/>
          </a:ln>
          <a:effectLst/>
          <a:extLst>
            <a:ext uri="{909E8E84-426E-40DD-AFC4-6F175D3DCCD1}">
              <a14:hiddenFill xmlns:a14="http://schemas.microsoft.com/office/drawing/2010/main">
                <a:solidFill>
                  <a:srgbClr val="00FFFF"/>
                </a:solidFill>
              </a14:hiddenFill>
            </a:ext>
            <a:ext uri="{AF507438-7753-43E0-B8FC-AC1667EBCBE1}">
              <a14:hiddenEffects xmlns:a14="http://schemas.microsoft.com/office/drawing/2010/main">
                <a:effectLst>
                  <a:outerShdw dist="35921" dir="2700000" algn="ctr" rotWithShape="0">
                    <a:srgbClr val="000000"/>
                  </a:outerShdw>
                </a:effectLst>
              </a14:hiddenEffects>
            </a:ext>
          </a:extLst>
        </xdr:spPr>
        <xdr:txBody>
          <a:bodyPr wrap="none" lIns="91440" tIns="45720" rIns="91440" bIns="45720" anchor="t" upright="1">
            <a:spAutoFit/>
          </a:bodyPr>
          <a:lstStyle/>
          <a:p>
            <a:pPr algn="l" rtl="0">
              <a:defRPr sz="1000"/>
            </a:pPr>
            <a:r>
              <a:rPr lang="en-GB" sz="1800" b="0" i="0" u="none" strike="noStrike" baseline="0">
                <a:solidFill>
                  <a:srgbClr val="000000"/>
                </a:solidFill>
                <a:latin typeface="Arial"/>
                <a:cs typeface="Arial"/>
              </a:rPr>
              <a:t>Controls</a:t>
            </a:r>
          </a:p>
          <a:p>
            <a:pPr algn="l" rtl="0">
              <a:defRPr sz="1000"/>
            </a:pPr>
            <a:endParaRPr lang="en-GB" sz="1800" b="0" i="0" u="none" strike="noStrike" baseline="0">
              <a:solidFill>
                <a:srgbClr val="000000"/>
              </a:solidFill>
              <a:latin typeface="Arial"/>
              <a:cs typeface="Arial"/>
            </a:endParaRPr>
          </a:p>
        </xdr:txBody>
      </xdr:sp>
      <xdr:grpSp>
        <xdr:nvGrpSpPr>
          <xdr:cNvPr id="1077" name="Group 53">
            <a:extLst>
              <a:ext uri="{FF2B5EF4-FFF2-40B4-BE49-F238E27FC236}">
                <a16:creationId xmlns:a16="http://schemas.microsoft.com/office/drawing/2014/main" id="{C0D869B2-8B2E-4CB7-8FE6-2C203B52BF0B}"/>
              </a:ext>
            </a:extLst>
          </xdr:cNvPr>
          <xdr:cNvGrpSpPr>
            <a:grpSpLocks/>
          </xdr:cNvGrpSpPr>
        </xdr:nvGrpSpPr>
        <xdr:grpSpPr bwMode="auto">
          <a:xfrm>
            <a:off x="273" y="2241"/>
            <a:ext cx="12" cy="58"/>
            <a:chOff x="1811" y="2209"/>
            <a:chExt cx="87" cy="349"/>
          </a:xfrm>
        </xdr:grpSpPr>
        <xdr:sp macro="" textlink="">
          <xdr:nvSpPr>
            <xdr:cNvPr id="1078" name="Line 54">
              <a:extLst>
                <a:ext uri="{FF2B5EF4-FFF2-40B4-BE49-F238E27FC236}">
                  <a16:creationId xmlns:a16="http://schemas.microsoft.com/office/drawing/2014/main" id="{65EB07B4-8B22-4F1C-9131-AE99E5C2A0E5}"/>
                </a:ext>
              </a:extLst>
            </xdr:cNvPr>
            <xdr:cNvSpPr>
              <a:spLocks noChangeShapeType="1"/>
            </xdr:cNvSpPr>
          </xdr:nvSpPr>
          <xdr:spPr bwMode="auto">
            <a:xfrm>
              <a:off x="1855" y="2209"/>
              <a:ext cx="1" cy="349"/>
            </a:xfrm>
            <a:prstGeom prst="line">
              <a:avLst/>
            </a:prstGeom>
            <a:noFill/>
            <a:ln w="2857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79" name="Line 55">
              <a:extLst>
                <a:ext uri="{FF2B5EF4-FFF2-40B4-BE49-F238E27FC236}">
                  <a16:creationId xmlns:a16="http://schemas.microsoft.com/office/drawing/2014/main" id="{658B5CBE-8A76-4A45-B804-570F901B70DE}"/>
                </a:ext>
              </a:extLst>
            </xdr:cNvPr>
            <xdr:cNvSpPr>
              <a:spLocks noChangeShapeType="1"/>
            </xdr:cNvSpPr>
          </xdr:nvSpPr>
          <xdr:spPr bwMode="auto">
            <a:xfrm flipV="1">
              <a:off x="1811" y="2242"/>
              <a:ext cx="87" cy="87"/>
            </a:xfrm>
            <a:prstGeom prst="line">
              <a:avLst/>
            </a:prstGeom>
            <a:noFill/>
            <a:ln w="2857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80" name="Line 56">
              <a:extLst>
                <a:ext uri="{FF2B5EF4-FFF2-40B4-BE49-F238E27FC236}">
                  <a16:creationId xmlns:a16="http://schemas.microsoft.com/office/drawing/2014/main" id="{D0CEEEBD-1260-4809-9739-2C9EA431D646}"/>
                </a:ext>
              </a:extLst>
            </xdr:cNvPr>
            <xdr:cNvSpPr>
              <a:spLocks noChangeShapeType="1"/>
            </xdr:cNvSpPr>
          </xdr:nvSpPr>
          <xdr:spPr bwMode="auto">
            <a:xfrm flipV="1">
              <a:off x="1811" y="2329"/>
              <a:ext cx="87" cy="87"/>
            </a:xfrm>
            <a:prstGeom prst="line">
              <a:avLst/>
            </a:prstGeom>
            <a:noFill/>
            <a:ln w="2857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81" name="Line 57">
              <a:extLst>
                <a:ext uri="{FF2B5EF4-FFF2-40B4-BE49-F238E27FC236}">
                  <a16:creationId xmlns:a16="http://schemas.microsoft.com/office/drawing/2014/main" id="{2EF16033-9F7F-4527-816B-2D1C4C1DC1F7}"/>
                </a:ext>
              </a:extLst>
            </xdr:cNvPr>
            <xdr:cNvSpPr>
              <a:spLocks noChangeShapeType="1"/>
            </xdr:cNvSpPr>
          </xdr:nvSpPr>
          <xdr:spPr bwMode="auto">
            <a:xfrm flipV="1">
              <a:off x="1811" y="2416"/>
              <a:ext cx="87" cy="87"/>
            </a:xfrm>
            <a:prstGeom prst="line">
              <a:avLst/>
            </a:prstGeom>
            <a:noFill/>
            <a:ln w="2857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82" name="Line 58">
              <a:extLst>
                <a:ext uri="{FF2B5EF4-FFF2-40B4-BE49-F238E27FC236}">
                  <a16:creationId xmlns:a16="http://schemas.microsoft.com/office/drawing/2014/main" id="{E968176B-30CC-4E31-A775-F0DB3914E1A8}"/>
                </a:ext>
              </a:extLst>
            </xdr:cNvPr>
            <xdr:cNvSpPr>
              <a:spLocks noChangeShapeType="1"/>
            </xdr:cNvSpPr>
          </xdr:nvSpPr>
          <xdr:spPr bwMode="auto">
            <a:xfrm>
              <a:off x="1855" y="2209"/>
              <a:ext cx="1" cy="349"/>
            </a:xfrm>
            <a:prstGeom prst="line">
              <a:avLst/>
            </a:prstGeom>
            <a:noFill/>
            <a:ln w="2857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83" name="Line 59">
              <a:extLst>
                <a:ext uri="{FF2B5EF4-FFF2-40B4-BE49-F238E27FC236}">
                  <a16:creationId xmlns:a16="http://schemas.microsoft.com/office/drawing/2014/main" id="{4588E393-D707-4480-A6FE-2558A3EBBA17}"/>
                </a:ext>
              </a:extLst>
            </xdr:cNvPr>
            <xdr:cNvSpPr>
              <a:spLocks noChangeShapeType="1"/>
            </xdr:cNvSpPr>
          </xdr:nvSpPr>
          <xdr:spPr bwMode="auto">
            <a:xfrm flipV="1">
              <a:off x="1811" y="2242"/>
              <a:ext cx="87" cy="87"/>
            </a:xfrm>
            <a:prstGeom prst="line">
              <a:avLst/>
            </a:prstGeom>
            <a:noFill/>
            <a:ln w="2857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84" name="Line 60">
              <a:extLst>
                <a:ext uri="{FF2B5EF4-FFF2-40B4-BE49-F238E27FC236}">
                  <a16:creationId xmlns:a16="http://schemas.microsoft.com/office/drawing/2014/main" id="{5F1B8A4B-A3AE-4CF1-962A-70A23947EF67}"/>
                </a:ext>
              </a:extLst>
            </xdr:cNvPr>
            <xdr:cNvSpPr>
              <a:spLocks noChangeShapeType="1"/>
            </xdr:cNvSpPr>
          </xdr:nvSpPr>
          <xdr:spPr bwMode="auto">
            <a:xfrm flipV="1">
              <a:off x="1811" y="2329"/>
              <a:ext cx="87" cy="87"/>
            </a:xfrm>
            <a:prstGeom prst="line">
              <a:avLst/>
            </a:prstGeom>
            <a:noFill/>
            <a:ln w="2857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85" name="Line 61">
              <a:extLst>
                <a:ext uri="{FF2B5EF4-FFF2-40B4-BE49-F238E27FC236}">
                  <a16:creationId xmlns:a16="http://schemas.microsoft.com/office/drawing/2014/main" id="{6A8A4029-D328-427E-9025-E791300C69BC}"/>
                </a:ext>
              </a:extLst>
            </xdr:cNvPr>
            <xdr:cNvSpPr>
              <a:spLocks noChangeShapeType="1"/>
            </xdr:cNvSpPr>
          </xdr:nvSpPr>
          <xdr:spPr bwMode="auto">
            <a:xfrm flipV="1">
              <a:off x="1811" y="2416"/>
              <a:ext cx="87" cy="87"/>
            </a:xfrm>
            <a:prstGeom prst="line">
              <a:avLst/>
            </a:prstGeom>
            <a:noFill/>
            <a:ln w="28575">
              <a:solidFill>
                <a:srgbClr val="000000"/>
              </a:solidFill>
              <a:round/>
              <a:headEnd/>
              <a:tailEnd/>
            </a:ln>
            <a:extLst>
              <a:ext uri="{909E8E84-426E-40DD-AFC4-6F175D3DCCD1}">
                <a14:hiddenFill xmlns:a14="http://schemas.microsoft.com/office/drawing/2010/main">
                  <a:noFill/>
                </a14:hiddenFill>
              </a:ext>
            </a:extLst>
          </xdr:spPr>
        </xdr:sp>
      </xdr:grpSp>
      <xdr:pic>
        <xdr:nvPicPr>
          <xdr:cNvPr id="1086" name="Picture 62">
            <a:extLst>
              <a:ext uri="{FF2B5EF4-FFF2-40B4-BE49-F238E27FC236}">
                <a16:creationId xmlns:a16="http://schemas.microsoft.com/office/drawing/2014/main" id="{12A5E0A6-490D-409C-B19C-4771837C76B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74" y="2091"/>
            <a:ext cx="24" cy="114"/>
          </a:xfrm>
          <a:prstGeom prst="rect">
            <a:avLst/>
          </a:prstGeom>
          <a:noFill/>
          <a:ln>
            <a:noFill/>
          </a:ln>
          <a:effectLst/>
          <a:extLst>
            <a:ext uri="{909E8E84-426E-40DD-AFC4-6F175D3DCCD1}">
              <a14:hiddenFill xmlns:a14="http://schemas.microsoft.com/office/drawing/2010/main">
                <a:solidFill>
                  <a:srgbClr val="00CC99"/>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grpSp>
    <xdr:clientData/>
  </xdr:twoCellAnchor>
  <xdr:twoCellAnchor editAs="oneCell">
    <xdr:from>
      <xdr:col>0</xdr:col>
      <xdr:colOff>6350</xdr:colOff>
      <xdr:row>37</xdr:row>
      <xdr:rowOff>69850</xdr:rowOff>
    </xdr:from>
    <xdr:to>
      <xdr:col>2</xdr:col>
      <xdr:colOff>1968500</xdr:colOff>
      <xdr:row>65</xdr:row>
      <xdr:rowOff>101600</xdr:rowOff>
    </xdr:to>
    <xdr:pic>
      <xdr:nvPicPr>
        <xdr:cNvPr id="1147" name="Picture 123">
          <a:extLst>
            <a:ext uri="{FF2B5EF4-FFF2-40B4-BE49-F238E27FC236}">
              <a16:creationId xmlns:a16="http://schemas.microsoft.com/office/drawing/2014/main" id="{B3D3822F-E54B-4DF6-AC6B-11A0A08C870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350" y="18542000"/>
          <a:ext cx="8064500" cy="4489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412750</xdr:colOff>
          <xdr:row>1</xdr:row>
          <xdr:rowOff>114300</xdr:rowOff>
        </xdr:from>
        <xdr:to>
          <xdr:col>0</xdr:col>
          <xdr:colOff>1365250</xdr:colOff>
          <xdr:row>6</xdr:row>
          <xdr:rowOff>57150</xdr:rowOff>
        </xdr:to>
        <xdr:sp macro="" textlink="">
          <xdr:nvSpPr>
            <xdr:cNvPr id="3077" name="Object 5" hidden="1">
              <a:extLst>
                <a:ext uri="{63B3BB69-23CF-44E3-9099-C40C66FF867C}">
                  <a14:compatExt spid="_x0000_s3077"/>
                </a:ext>
                <a:ext uri="{FF2B5EF4-FFF2-40B4-BE49-F238E27FC236}">
                  <a16:creationId xmlns:a16="http://schemas.microsoft.com/office/drawing/2014/main" id="{737C3E66-1092-4CDC-9543-A886A69B2F8C}"/>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215900</xdr:colOff>
          <xdr:row>9</xdr:row>
          <xdr:rowOff>69850</xdr:rowOff>
        </xdr:from>
        <xdr:to>
          <xdr:col>1</xdr:col>
          <xdr:colOff>2482850</xdr:colOff>
          <xdr:row>9</xdr:row>
          <xdr:rowOff>1003300</xdr:rowOff>
        </xdr:to>
        <xdr:pic>
          <xdr:nvPicPr>
            <xdr:cNvPr id="2049" name="Picture 1">
              <a:extLst>
                <a:ext uri="{FF2B5EF4-FFF2-40B4-BE49-F238E27FC236}">
                  <a16:creationId xmlns:a16="http://schemas.microsoft.com/office/drawing/2014/main" id="{5303FB3D-D172-4EE7-B841-8D63AA0F505E}"/>
                </a:ext>
              </a:extLst>
            </xdr:cNvPr>
            <xdr:cNvPicPr>
              <a:picLocks noChangeAspect="1" noChangeArrowheads="1"/>
              <a:extLst>
                <a:ext uri="{84589F7E-364E-4C9E-8A38-B11213B215E9}">
                  <a14:cameraTool cellRange="Condenser!$B$4:$D$8" spid="_x0000_s2053"/>
                </a:ext>
              </a:extLst>
            </xdr:cNvPicPr>
          </xdr:nvPicPr>
          <xdr:blipFill>
            <a:blip xmlns:r="http://schemas.openxmlformats.org/officeDocument/2006/relationships" r:embed="rId1"/>
            <a:srcRect/>
            <a:stretch>
              <a:fillRect/>
            </a:stretch>
          </xdr:blipFill>
          <xdr:spPr bwMode="auto">
            <a:xfrm>
              <a:off x="2978150" y="4565650"/>
              <a:ext cx="2266950" cy="933450"/>
            </a:xfrm>
            <a:prstGeom prst="rect">
              <a:avLst/>
            </a:prstGeom>
            <a:solidFill>
              <a:srgbClr val="FFFFFF" mc:Ignorable="a14" a14:legacySpreadsheetColorIndex="9"/>
            </a:solidFill>
            <a:ln>
              <a:noFill/>
            </a:ln>
            <a:extLst>
              <a:ext uri="{91240B29-F687-4F45-9708-019B960494DF}">
                <a14:hiddenLine w="9525">
                  <a:solidFill>
                    <a:srgbClr val="000000" mc:Ignorable="a14" a14:legacySpreadsheetColorIndex="64"/>
                  </a:solidFill>
                  <a:miter lim="800000"/>
                  <a:headEnd/>
                  <a:tailEnd/>
                </a14:hiddenLine>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215900</xdr:colOff>
          <xdr:row>9</xdr:row>
          <xdr:rowOff>69850</xdr:rowOff>
        </xdr:from>
        <xdr:to>
          <xdr:col>2</xdr:col>
          <xdr:colOff>2482850</xdr:colOff>
          <xdr:row>9</xdr:row>
          <xdr:rowOff>1003300</xdr:rowOff>
        </xdr:to>
        <xdr:pic>
          <xdr:nvPicPr>
            <xdr:cNvPr id="2050" name="Picture 2">
              <a:extLst>
                <a:ext uri="{FF2B5EF4-FFF2-40B4-BE49-F238E27FC236}">
                  <a16:creationId xmlns:a16="http://schemas.microsoft.com/office/drawing/2014/main" id="{8DD11775-D092-4B1C-B2DB-5B8C0A695E10}"/>
                </a:ext>
              </a:extLst>
            </xdr:cNvPr>
            <xdr:cNvPicPr>
              <a:picLocks noChangeAspect="1" noChangeArrowheads="1"/>
              <a:extLst>
                <a:ext uri="{84589F7E-364E-4C9E-8A38-B11213B215E9}">
                  <a14:cameraTool cellRange="Condenser!$B$4:$D$8" spid="_x0000_s2054"/>
                </a:ext>
              </a:extLst>
            </xdr:cNvPicPr>
          </xdr:nvPicPr>
          <xdr:blipFill>
            <a:blip xmlns:r="http://schemas.openxmlformats.org/officeDocument/2006/relationships" r:embed="rId1"/>
            <a:srcRect/>
            <a:stretch>
              <a:fillRect/>
            </a:stretch>
          </xdr:blipFill>
          <xdr:spPr bwMode="auto">
            <a:xfrm>
              <a:off x="6083300" y="4565650"/>
              <a:ext cx="2266950" cy="933450"/>
            </a:xfrm>
            <a:prstGeom prst="rect">
              <a:avLst/>
            </a:prstGeom>
            <a:solidFill>
              <a:srgbClr val="FFFFFF" mc:Ignorable="a14" a14:legacySpreadsheetColorIndex="9"/>
            </a:solidFill>
            <a:ln>
              <a:noFill/>
            </a:ln>
            <a:extLst>
              <a:ext uri="{91240B29-F687-4F45-9708-019B960494DF}">
                <a14:hiddenLine w="9525">
                  <a:solidFill>
                    <a:srgbClr val="000000" mc:Ignorable="a14" a14:legacySpreadsheetColorIndex="64"/>
                  </a:solidFill>
                  <a:miter lim="800000"/>
                  <a:headEnd/>
                  <a:tailEnd/>
                </a14:hiddenLine>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17</xdr:row>
          <xdr:rowOff>44450</xdr:rowOff>
        </xdr:from>
        <xdr:to>
          <xdr:col>1</xdr:col>
          <xdr:colOff>2286000</xdr:colOff>
          <xdr:row>17</xdr:row>
          <xdr:rowOff>977900</xdr:rowOff>
        </xdr:to>
        <xdr:pic>
          <xdr:nvPicPr>
            <xdr:cNvPr id="2051" name="Picture 3">
              <a:extLst>
                <a:ext uri="{FF2B5EF4-FFF2-40B4-BE49-F238E27FC236}">
                  <a16:creationId xmlns:a16="http://schemas.microsoft.com/office/drawing/2014/main" id="{8C3E3A9B-0B07-4B3F-90DF-D8537CB211FE}"/>
                </a:ext>
              </a:extLst>
            </xdr:cNvPr>
            <xdr:cNvPicPr>
              <a:picLocks noChangeAspect="1" noChangeArrowheads="1"/>
              <a:extLst>
                <a:ext uri="{84589F7E-364E-4C9E-8A38-B11213B215E9}">
                  <a14:cameraTool cellRange="Condenser!$B$11:$D$15" spid="_x0000_s2055"/>
                </a:ext>
              </a:extLst>
            </xdr:cNvPicPr>
          </xdr:nvPicPr>
          <xdr:blipFill>
            <a:blip xmlns:r="http://schemas.openxmlformats.org/officeDocument/2006/relationships" r:embed="rId2"/>
            <a:srcRect/>
            <a:stretch>
              <a:fillRect/>
            </a:stretch>
          </xdr:blipFill>
          <xdr:spPr bwMode="auto">
            <a:xfrm>
              <a:off x="2781300" y="9296400"/>
              <a:ext cx="2266950" cy="933450"/>
            </a:xfrm>
            <a:prstGeom prst="rect">
              <a:avLst/>
            </a:prstGeom>
            <a:solidFill>
              <a:srgbClr val="FFFFFF" mc:Ignorable="a14" a14:legacySpreadsheetColorIndex="9"/>
            </a:solidFill>
            <a:ln>
              <a:noFill/>
            </a:ln>
            <a:extLst>
              <a:ext uri="{91240B29-F687-4F45-9708-019B960494DF}">
                <a14:hiddenLine w="9525">
                  <a:solidFill>
                    <a:srgbClr val="000000" mc:Ignorable="a14" a14:legacySpreadsheetColorIndex="64"/>
                  </a:solidFill>
                  <a:miter lim="800000"/>
                  <a:headEnd/>
                  <a:tailEnd/>
                </a14:hiddenLine>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17</xdr:row>
          <xdr:rowOff>25400</xdr:rowOff>
        </xdr:from>
        <xdr:to>
          <xdr:col>2</xdr:col>
          <xdr:colOff>2286000</xdr:colOff>
          <xdr:row>17</xdr:row>
          <xdr:rowOff>958850</xdr:rowOff>
        </xdr:to>
        <xdr:pic>
          <xdr:nvPicPr>
            <xdr:cNvPr id="2052" name="Picture 4">
              <a:extLst>
                <a:ext uri="{FF2B5EF4-FFF2-40B4-BE49-F238E27FC236}">
                  <a16:creationId xmlns:a16="http://schemas.microsoft.com/office/drawing/2014/main" id="{C0D11778-373F-4873-B4E1-92DBCB9AA1B3}"/>
                </a:ext>
              </a:extLst>
            </xdr:cNvPr>
            <xdr:cNvPicPr>
              <a:picLocks noChangeAspect="1" noChangeArrowheads="1"/>
              <a:extLst>
                <a:ext uri="{84589F7E-364E-4C9E-8A38-B11213B215E9}">
                  <a14:cameraTool cellRange="Condenser!$B$11:$D$15" spid="_x0000_s2056"/>
                </a:ext>
              </a:extLst>
            </xdr:cNvPicPr>
          </xdr:nvPicPr>
          <xdr:blipFill>
            <a:blip xmlns:r="http://schemas.openxmlformats.org/officeDocument/2006/relationships" r:embed="rId2"/>
            <a:srcRect/>
            <a:stretch>
              <a:fillRect/>
            </a:stretch>
          </xdr:blipFill>
          <xdr:spPr bwMode="auto">
            <a:xfrm>
              <a:off x="5886450" y="9277350"/>
              <a:ext cx="2266950" cy="933450"/>
            </a:xfrm>
            <a:prstGeom prst="rect">
              <a:avLst/>
            </a:prstGeom>
            <a:solidFill>
              <a:srgbClr val="FFFFFF" mc:Ignorable="a14" a14:legacySpreadsheetColorIndex="9"/>
            </a:solidFill>
            <a:ln>
              <a:noFill/>
            </a:ln>
            <a:extLst>
              <a:ext uri="{91240B29-F687-4F45-9708-019B960494DF}">
                <a14:hiddenLine w="9525">
                  <a:solidFill>
                    <a:srgbClr val="000000" mc:Ignorable="a14" a14:legacySpreadsheetColorIndex="64"/>
                  </a:solidFill>
                  <a:miter lim="800000"/>
                  <a:headEnd/>
                  <a:tailEnd/>
                </a14:hiddenLine>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xdr:twoCellAnchor>
    <xdr:from>
      <xdr:col>2</xdr:col>
      <xdr:colOff>264583</xdr:colOff>
      <xdr:row>90</xdr:row>
      <xdr:rowOff>86783</xdr:rowOff>
    </xdr:from>
    <xdr:to>
      <xdr:col>4</xdr:col>
      <xdr:colOff>1688433</xdr:colOff>
      <xdr:row>116</xdr:row>
      <xdr:rowOff>101600</xdr:rowOff>
    </xdr:to>
    <xdr:grpSp>
      <xdr:nvGrpSpPr>
        <xdr:cNvPr id="8760" name="Group 568">
          <a:extLst>
            <a:ext uri="{FF2B5EF4-FFF2-40B4-BE49-F238E27FC236}">
              <a16:creationId xmlns:a16="http://schemas.microsoft.com/office/drawing/2014/main" id="{9FC04BB3-7221-4DE4-952D-45725CCAA74A}"/>
            </a:ext>
          </a:extLst>
        </xdr:cNvPr>
        <xdr:cNvGrpSpPr>
          <a:grpSpLocks/>
        </xdr:cNvGrpSpPr>
      </xdr:nvGrpSpPr>
      <xdr:grpSpPr bwMode="auto">
        <a:xfrm>
          <a:off x="1238250" y="23818850"/>
          <a:ext cx="5784183" cy="4197350"/>
          <a:chOff x="1800" y="1264"/>
          <a:chExt cx="8676" cy="6730"/>
        </a:xfrm>
      </xdr:grpSpPr>
      <xdr:sp macro="" textlink="">
        <xdr:nvSpPr>
          <xdr:cNvPr id="8761" name="AutoShape 569">
            <a:extLst>
              <a:ext uri="{FF2B5EF4-FFF2-40B4-BE49-F238E27FC236}">
                <a16:creationId xmlns:a16="http://schemas.microsoft.com/office/drawing/2014/main" id="{7CA10F2E-2B67-48D7-98AD-430D13B75142}"/>
              </a:ext>
            </a:extLst>
          </xdr:cNvPr>
          <xdr:cNvSpPr>
            <a:spLocks noChangeAspect="1" noChangeArrowheads="1" noTextEdit="1"/>
          </xdr:cNvSpPr>
        </xdr:nvSpPr>
        <xdr:spPr bwMode="auto">
          <a:xfrm>
            <a:off x="1800" y="1264"/>
            <a:ext cx="8676" cy="67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8762" name="Rectangle 570">
            <a:extLst>
              <a:ext uri="{FF2B5EF4-FFF2-40B4-BE49-F238E27FC236}">
                <a16:creationId xmlns:a16="http://schemas.microsoft.com/office/drawing/2014/main" id="{D7E524D1-F1A1-41E1-910F-8EEEA67E1492}"/>
              </a:ext>
            </a:extLst>
          </xdr:cNvPr>
          <xdr:cNvSpPr>
            <a:spLocks noChangeArrowheads="1"/>
          </xdr:cNvSpPr>
        </xdr:nvSpPr>
        <xdr:spPr bwMode="auto">
          <a:xfrm>
            <a:off x="5044" y="2820"/>
            <a:ext cx="719" cy="2195"/>
          </a:xfrm>
          <a:prstGeom prst="rect">
            <a:avLst/>
          </a:prstGeom>
          <a:solidFill>
            <a:srgbClr val="B2B2B2"/>
          </a:solidFill>
          <a:ln w="5715">
            <a:solidFill>
              <a:srgbClr val="000000"/>
            </a:solidFill>
            <a:miter lim="800000"/>
            <a:headEnd/>
            <a:tailEnd/>
          </a:ln>
        </xdr:spPr>
      </xdr:sp>
      <xdr:sp macro="" textlink="">
        <xdr:nvSpPr>
          <xdr:cNvPr id="8763" name="Rectangle 571">
            <a:extLst>
              <a:ext uri="{FF2B5EF4-FFF2-40B4-BE49-F238E27FC236}">
                <a16:creationId xmlns:a16="http://schemas.microsoft.com/office/drawing/2014/main" id="{B58AB1AA-DAAE-4032-B502-17574910086A}"/>
              </a:ext>
            </a:extLst>
          </xdr:cNvPr>
          <xdr:cNvSpPr>
            <a:spLocks noChangeArrowheads="1"/>
          </xdr:cNvSpPr>
        </xdr:nvSpPr>
        <xdr:spPr bwMode="auto">
          <a:xfrm>
            <a:off x="5116" y="4164"/>
            <a:ext cx="432" cy="709"/>
          </a:xfrm>
          <a:prstGeom prst="rect">
            <a:avLst/>
          </a:prstGeom>
          <a:solidFill>
            <a:srgbClr val="FFCCFF"/>
          </a:solidFill>
          <a:ln w="17145">
            <a:solidFill>
              <a:srgbClr val="000000"/>
            </a:solidFill>
            <a:miter lim="800000"/>
            <a:headEnd/>
            <a:tailEnd/>
          </a:ln>
        </xdr:spPr>
      </xdr:sp>
      <xdr:sp macro="" textlink="">
        <xdr:nvSpPr>
          <xdr:cNvPr id="8764" name="Rectangle 572">
            <a:extLst>
              <a:ext uri="{FF2B5EF4-FFF2-40B4-BE49-F238E27FC236}">
                <a16:creationId xmlns:a16="http://schemas.microsoft.com/office/drawing/2014/main" id="{3B5518BA-A8E3-42F2-94CE-747279DC0536}"/>
              </a:ext>
            </a:extLst>
          </xdr:cNvPr>
          <xdr:cNvSpPr>
            <a:spLocks noChangeArrowheads="1"/>
          </xdr:cNvSpPr>
        </xdr:nvSpPr>
        <xdr:spPr bwMode="auto">
          <a:xfrm>
            <a:off x="6192" y="3103"/>
            <a:ext cx="289" cy="1063"/>
          </a:xfrm>
          <a:prstGeom prst="rect">
            <a:avLst/>
          </a:prstGeom>
          <a:solidFill>
            <a:srgbClr val="FFCCFF"/>
          </a:solidFill>
          <a:ln w="17145">
            <a:solidFill>
              <a:srgbClr val="000000"/>
            </a:solidFill>
            <a:miter lim="800000"/>
            <a:headEnd/>
            <a:tailEnd/>
          </a:ln>
        </xdr:spPr>
      </xdr:sp>
      <xdr:grpSp>
        <xdr:nvGrpSpPr>
          <xdr:cNvPr id="8765" name="Group 573">
            <a:extLst>
              <a:ext uri="{FF2B5EF4-FFF2-40B4-BE49-F238E27FC236}">
                <a16:creationId xmlns:a16="http://schemas.microsoft.com/office/drawing/2014/main" id="{15AEE142-B1FA-4DC8-BC61-43F78DAE6646}"/>
              </a:ext>
            </a:extLst>
          </xdr:cNvPr>
          <xdr:cNvGrpSpPr>
            <a:grpSpLocks/>
          </xdr:cNvGrpSpPr>
        </xdr:nvGrpSpPr>
        <xdr:grpSpPr bwMode="auto">
          <a:xfrm>
            <a:off x="6896" y="2382"/>
            <a:ext cx="1319" cy="1513"/>
            <a:chOff x="6896" y="2558"/>
            <a:chExt cx="1319" cy="1513"/>
          </a:xfrm>
        </xdr:grpSpPr>
        <xdr:sp macro="" textlink="">
          <xdr:nvSpPr>
            <xdr:cNvPr id="8766" name="Freeform 574">
              <a:extLst>
                <a:ext uri="{FF2B5EF4-FFF2-40B4-BE49-F238E27FC236}">
                  <a16:creationId xmlns:a16="http://schemas.microsoft.com/office/drawing/2014/main" id="{82CE12A5-67F7-4F88-A1ED-06D786AA5321}"/>
                </a:ext>
              </a:extLst>
            </xdr:cNvPr>
            <xdr:cNvSpPr>
              <a:spLocks noEditPoints="1"/>
            </xdr:cNvSpPr>
          </xdr:nvSpPr>
          <xdr:spPr bwMode="auto">
            <a:xfrm>
              <a:off x="6896" y="2558"/>
              <a:ext cx="1319" cy="1513"/>
            </a:xfrm>
            <a:custGeom>
              <a:avLst/>
              <a:gdLst>
                <a:gd name="T0" fmla="*/ 409 w 1319"/>
                <a:gd name="T1" fmla="*/ 15 h 1513"/>
                <a:gd name="T2" fmla="*/ 244 w 1319"/>
                <a:gd name="T3" fmla="*/ 44 h 1513"/>
                <a:gd name="T4" fmla="*/ 87 w 1319"/>
                <a:gd name="T5" fmla="*/ 99 h 1513"/>
                <a:gd name="T6" fmla="*/ 24 w 1319"/>
                <a:gd name="T7" fmla="*/ 144 h 1513"/>
                <a:gd name="T8" fmla="*/ 5 w 1319"/>
                <a:gd name="T9" fmla="*/ 175 h 1513"/>
                <a:gd name="T10" fmla="*/ 0 w 1319"/>
                <a:gd name="T11" fmla="*/ 1314 h 1513"/>
                <a:gd name="T12" fmla="*/ 8 w 1319"/>
                <a:gd name="T13" fmla="*/ 1347 h 1513"/>
                <a:gd name="T14" fmla="*/ 33 w 1319"/>
                <a:gd name="T15" fmla="*/ 1379 h 1513"/>
                <a:gd name="T16" fmla="*/ 118 w 1319"/>
                <a:gd name="T17" fmla="*/ 1431 h 1513"/>
                <a:gd name="T18" fmla="*/ 293 w 1319"/>
                <a:gd name="T19" fmla="*/ 1480 h 1513"/>
                <a:gd name="T20" fmla="*/ 467 w 1319"/>
                <a:gd name="T21" fmla="*/ 1504 h 1513"/>
                <a:gd name="T22" fmla="*/ 725 w 1319"/>
                <a:gd name="T23" fmla="*/ 1512 h 1513"/>
                <a:gd name="T24" fmla="*/ 968 w 1319"/>
                <a:gd name="T25" fmla="*/ 1491 h 1513"/>
                <a:gd name="T26" fmla="*/ 1122 w 1319"/>
                <a:gd name="T27" fmla="*/ 1458 h 1513"/>
                <a:gd name="T28" fmla="*/ 1261 w 1319"/>
                <a:gd name="T29" fmla="*/ 1400 h 1513"/>
                <a:gd name="T30" fmla="*/ 1303 w 1319"/>
                <a:gd name="T31" fmla="*/ 1361 h 1513"/>
                <a:gd name="T32" fmla="*/ 1317 w 1319"/>
                <a:gd name="T33" fmla="*/ 1329 h 1513"/>
                <a:gd name="T34" fmla="*/ 1317 w 1319"/>
                <a:gd name="T35" fmla="*/ 190 h 1513"/>
                <a:gd name="T36" fmla="*/ 1306 w 1319"/>
                <a:gd name="T37" fmla="*/ 157 h 1513"/>
                <a:gd name="T38" fmla="*/ 1265 w 1319"/>
                <a:gd name="T39" fmla="*/ 117 h 1513"/>
                <a:gd name="T40" fmla="*/ 1163 w 1319"/>
                <a:gd name="T41" fmla="*/ 69 h 1513"/>
                <a:gd name="T42" fmla="*/ 1021 w 1319"/>
                <a:gd name="T43" fmla="*/ 32 h 1513"/>
                <a:gd name="T44" fmla="*/ 790 w 1319"/>
                <a:gd name="T45" fmla="*/ 5 h 1513"/>
                <a:gd name="T46" fmla="*/ 660 w 1319"/>
                <a:gd name="T47" fmla="*/ 27 h 1513"/>
                <a:gd name="T48" fmla="*/ 911 w 1319"/>
                <a:gd name="T49" fmla="*/ 42 h 1513"/>
                <a:gd name="T50" fmla="*/ 1015 w 1319"/>
                <a:gd name="T51" fmla="*/ 59 h 1513"/>
                <a:gd name="T52" fmla="*/ 1190 w 1319"/>
                <a:gd name="T53" fmla="*/ 108 h 1513"/>
                <a:gd name="T54" fmla="*/ 1246 w 1319"/>
                <a:gd name="T55" fmla="*/ 136 h 1513"/>
                <a:gd name="T56" fmla="*/ 1292 w 1319"/>
                <a:gd name="T57" fmla="*/ 162 h 1513"/>
                <a:gd name="T58" fmla="*/ 1292 w 1319"/>
                <a:gd name="T59" fmla="*/ 195 h 1513"/>
                <a:gd name="T60" fmla="*/ 1292 w 1319"/>
                <a:gd name="T61" fmla="*/ 1314 h 1513"/>
                <a:gd name="T62" fmla="*/ 1289 w 1319"/>
                <a:gd name="T63" fmla="*/ 1328 h 1513"/>
                <a:gd name="T64" fmla="*/ 1283 w 1319"/>
                <a:gd name="T65" fmla="*/ 1341 h 1513"/>
                <a:gd name="T66" fmla="*/ 1255 w 1319"/>
                <a:gd name="T67" fmla="*/ 1386 h 1513"/>
                <a:gd name="T68" fmla="*/ 1153 w 1319"/>
                <a:gd name="T69" fmla="*/ 1419 h 1513"/>
                <a:gd name="T70" fmla="*/ 1021 w 1319"/>
                <a:gd name="T71" fmla="*/ 1468 h 1513"/>
                <a:gd name="T72" fmla="*/ 853 w 1319"/>
                <a:gd name="T73" fmla="*/ 1477 h 1513"/>
                <a:gd name="T74" fmla="*/ 594 w 1319"/>
                <a:gd name="T75" fmla="*/ 1485 h 1513"/>
                <a:gd name="T76" fmla="*/ 352 w 1319"/>
                <a:gd name="T77" fmla="*/ 1464 h 1513"/>
                <a:gd name="T78" fmla="*/ 255 w 1319"/>
                <a:gd name="T79" fmla="*/ 1444 h 1513"/>
                <a:gd name="T80" fmla="*/ 98 w 1319"/>
                <a:gd name="T81" fmla="*/ 1389 h 1513"/>
                <a:gd name="T82" fmla="*/ 53 w 1319"/>
                <a:gd name="T83" fmla="*/ 1359 h 1513"/>
                <a:gd name="T84" fmla="*/ 39 w 1319"/>
                <a:gd name="T85" fmla="*/ 1346 h 1513"/>
                <a:gd name="T86" fmla="*/ 15 w 1319"/>
                <a:gd name="T87" fmla="*/ 1323 h 1513"/>
                <a:gd name="T88" fmla="*/ 29 w 1319"/>
                <a:gd name="T89" fmla="*/ 190 h 1513"/>
                <a:gd name="T90" fmla="*/ 33 w 1319"/>
                <a:gd name="T91" fmla="*/ 177 h 1513"/>
                <a:gd name="T92" fmla="*/ 44 w 1319"/>
                <a:gd name="T93" fmla="*/ 163 h 1513"/>
                <a:gd name="T94" fmla="*/ 69 w 1319"/>
                <a:gd name="T95" fmla="*/ 139 h 1513"/>
                <a:gd name="T96" fmla="*/ 208 w 1319"/>
                <a:gd name="T97" fmla="*/ 81 h 1513"/>
                <a:gd name="T98" fmla="*/ 298 w 1319"/>
                <a:gd name="T99" fmla="*/ 59 h 1513"/>
                <a:gd name="T100" fmla="*/ 530 w 1319"/>
                <a:gd name="T101" fmla="*/ 32 h 151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Lst>
              <a:rect l="0" t="0" r="r" b="b"/>
              <a:pathLst>
                <a:path w="1319" h="1513">
                  <a:moveTo>
                    <a:pt x="594" y="2"/>
                  </a:moveTo>
                  <a:lnTo>
                    <a:pt x="530" y="5"/>
                  </a:lnTo>
                  <a:lnTo>
                    <a:pt x="467" y="9"/>
                  </a:lnTo>
                  <a:lnTo>
                    <a:pt x="409" y="15"/>
                  </a:lnTo>
                  <a:lnTo>
                    <a:pt x="352" y="23"/>
                  </a:lnTo>
                  <a:lnTo>
                    <a:pt x="298" y="32"/>
                  </a:lnTo>
                  <a:lnTo>
                    <a:pt x="293" y="33"/>
                  </a:lnTo>
                  <a:lnTo>
                    <a:pt x="244" y="44"/>
                  </a:lnTo>
                  <a:lnTo>
                    <a:pt x="198" y="56"/>
                  </a:lnTo>
                  <a:lnTo>
                    <a:pt x="156" y="69"/>
                  </a:lnTo>
                  <a:lnTo>
                    <a:pt x="118" y="82"/>
                  </a:lnTo>
                  <a:lnTo>
                    <a:pt x="87" y="99"/>
                  </a:lnTo>
                  <a:lnTo>
                    <a:pt x="59" y="114"/>
                  </a:lnTo>
                  <a:lnTo>
                    <a:pt x="54" y="117"/>
                  </a:lnTo>
                  <a:lnTo>
                    <a:pt x="33" y="135"/>
                  </a:lnTo>
                  <a:lnTo>
                    <a:pt x="24" y="144"/>
                  </a:lnTo>
                  <a:lnTo>
                    <a:pt x="17" y="153"/>
                  </a:lnTo>
                  <a:lnTo>
                    <a:pt x="14" y="157"/>
                  </a:lnTo>
                  <a:lnTo>
                    <a:pt x="8" y="166"/>
                  </a:lnTo>
                  <a:lnTo>
                    <a:pt x="5" y="175"/>
                  </a:lnTo>
                  <a:lnTo>
                    <a:pt x="2" y="184"/>
                  </a:lnTo>
                  <a:lnTo>
                    <a:pt x="2" y="190"/>
                  </a:lnTo>
                  <a:lnTo>
                    <a:pt x="0" y="199"/>
                  </a:lnTo>
                  <a:lnTo>
                    <a:pt x="0" y="1314"/>
                  </a:lnTo>
                  <a:lnTo>
                    <a:pt x="2" y="1323"/>
                  </a:lnTo>
                  <a:lnTo>
                    <a:pt x="2" y="1329"/>
                  </a:lnTo>
                  <a:lnTo>
                    <a:pt x="5" y="1338"/>
                  </a:lnTo>
                  <a:lnTo>
                    <a:pt x="8" y="1347"/>
                  </a:lnTo>
                  <a:lnTo>
                    <a:pt x="14" y="1356"/>
                  </a:lnTo>
                  <a:lnTo>
                    <a:pt x="17" y="1361"/>
                  </a:lnTo>
                  <a:lnTo>
                    <a:pt x="24" y="1370"/>
                  </a:lnTo>
                  <a:lnTo>
                    <a:pt x="33" y="1379"/>
                  </a:lnTo>
                  <a:lnTo>
                    <a:pt x="54" y="1397"/>
                  </a:lnTo>
                  <a:lnTo>
                    <a:pt x="59" y="1400"/>
                  </a:lnTo>
                  <a:lnTo>
                    <a:pt x="87" y="1415"/>
                  </a:lnTo>
                  <a:lnTo>
                    <a:pt x="118" y="1431"/>
                  </a:lnTo>
                  <a:lnTo>
                    <a:pt x="156" y="1444"/>
                  </a:lnTo>
                  <a:lnTo>
                    <a:pt x="198" y="1458"/>
                  </a:lnTo>
                  <a:lnTo>
                    <a:pt x="244" y="1470"/>
                  </a:lnTo>
                  <a:lnTo>
                    <a:pt x="293" y="1480"/>
                  </a:lnTo>
                  <a:lnTo>
                    <a:pt x="298" y="1482"/>
                  </a:lnTo>
                  <a:lnTo>
                    <a:pt x="352" y="1491"/>
                  </a:lnTo>
                  <a:lnTo>
                    <a:pt x="409" y="1498"/>
                  </a:lnTo>
                  <a:lnTo>
                    <a:pt x="467" y="1504"/>
                  </a:lnTo>
                  <a:lnTo>
                    <a:pt x="530" y="1509"/>
                  </a:lnTo>
                  <a:lnTo>
                    <a:pt x="594" y="1512"/>
                  </a:lnTo>
                  <a:lnTo>
                    <a:pt x="660" y="1513"/>
                  </a:lnTo>
                  <a:lnTo>
                    <a:pt x="725" y="1512"/>
                  </a:lnTo>
                  <a:lnTo>
                    <a:pt x="790" y="1509"/>
                  </a:lnTo>
                  <a:lnTo>
                    <a:pt x="853" y="1504"/>
                  </a:lnTo>
                  <a:lnTo>
                    <a:pt x="911" y="1498"/>
                  </a:lnTo>
                  <a:lnTo>
                    <a:pt x="968" y="1491"/>
                  </a:lnTo>
                  <a:lnTo>
                    <a:pt x="1021" y="1482"/>
                  </a:lnTo>
                  <a:lnTo>
                    <a:pt x="1026" y="1480"/>
                  </a:lnTo>
                  <a:lnTo>
                    <a:pt x="1075" y="1470"/>
                  </a:lnTo>
                  <a:lnTo>
                    <a:pt x="1122" y="1458"/>
                  </a:lnTo>
                  <a:lnTo>
                    <a:pt x="1163" y="1444"/>
                  </a:lnTo>
                  <a:lnTo>
                    <a:pt x="1201" y="1431"/>
                  </a:lnTo>
                  <a:lnTo>
                    <a:pt x="1232" y="1415"/>
                  </a:lnTo>
                  <a:lnTo>
                    <a:pt x="1261" y="1400"/>
                  </a:lnTo>
                  <a:lnTo>
                    <a:pt x="1265" y="1397"/>
                  </a:lnTo>
                  <a:lnTo>
                    <a:pt x="1286" y="1379"/>
                  </a:lnTo>
                  <a:lnTo>
                    <a:pt x="1295" y="1370"/>
                  </a:lnTo>
                  <a:lnTo>
                    <a:pt x="1303" y="1361"/>
                  </a:lnTo>
                  <a:lnTo>
                    <a:pt x="1306" y="1356"/>
                  </a:lnTo>
                  <a:lnTo>
                    <a:pt x="1311" y="1347"/>
                  </a:lnTo>
                  <a:lnTo>
                    <a:pt x="1314" y="1338"/>
                  </a:lnTo>
                  <a:lnTo>
                    <a:pt x="1317" y="1329"/>
                  </a:lnTo>
                  <a:lnTo>
                    <a:pt x="1317" y="1323"/>
                  </a:lnTo>
                  <a:lnTo>
                    <a:pt x="1319" y="1314"/>
                  </a:lnTo>
                  <a:lnTo>
                    <a:pt x="1319" y="199"/>
                  </a:lnTo>
                  <a:lnTo>
                    <a:pt x="1317" y="190"/>
                  </a:lnTo>
                  <a:lnTo>
                    <a:pt x="1317" y="184"/>
                  </a:lnTo>
                  <a:lnTo>
                    <a:pt x="1314" y="175"/>
                  </a:lnTo>
                  <a:lnTo>
                    <a:pt x="1311" y="166"/>
                  </a:lnTo>
                  <a:lnTo>
                    <a:pt x="1306" y="157"/>
                  </a:lnTo>
                  <a:lnTo>
                    <a:pt x="1303" y="153"/>
                  </a:lnTo>
                  <a:lnTo>
                    <a:pt x="1295" y="144"/>
                  </a:lnTo>
                  <a:lnTo>
                    <a:pt x="1286" y="135"/>
                  </a:lnTo>
                  <a:lnTo>
                    <a:pt x="1265" y="117"/>
                  </a:lnTo>
                  <a:lnTo>
                    <a:pt x="1261" y="114"/>
                  </a:lnTo>
                  <a:lnTo>
                    <a:pt x="1232" y="99"/>
                  </a:lnTo>
                  <a:lnTo>
                    <a:pt x="1201" y="82"/>
                  </a:lnTo>
                  <a:lnTo>
                    <a:pt x="1163" y="69"/>
                  </a:lnTo>
                  <a:lnTo>
                    <a:pt x="1122" y="56"/>
                  </a:lnTo>
                  <a:lnTo>
                    <a:pt x="1075" y="44"/>
                  </a:lnTo>
                  <a:lnTo>
                    <a:pt x="1026" y="33"/>
                  </a:lnTo>
                  <a:lnTo>
                    <a:pt x="1021" y="32"/>
                  </a:lnTo>
                  <a:lnTo>
                    <a:pt x="968" y="23"/>
                  </a:lnTo>
                  <a:lnTo>
                    <a:pt x="911" y="15"/>
                  </a:lnTo>
                  <a:lnTo>
                    <a:pt x="853" y="9"/>
                  </a:lnTo>
                  <a:lnTo>
                    <a:pt x="790" y="5"/>
                  </a:lnTo>
                  <a:lnTo>
                    <a:pt x="725" y="2"/>
                  </a:lnTo>
                  <a:lnTo>
                    <a:pt x="660" y="0"/>
                  </a:lnTo>
                  <a:lnTo>
                    <a:pt x="594" y="2"/>
                  </a:lnTo>
                  <a:close/>
                  <a:moveTo>
                    <a:pt x="660" y="27"/>
                  </a:moveTo>
                  <a:lnTo>
                    <a:pt x="725" y="29"/>
                  </a:lnTo>
                  <a:lnTo>
                    <a:pt x="790" y="32"/>
                  </a:lnTo>
                  <a:lnTo>
                    <a:pt x="853" y="36"/>
                  </a:lnTo>
                  <a:lnTo>
                    <a:pt x="911" y="42"/>
                  </a:lnTo>
                  <a:lnTo>
                    <a:pt x="968" y="50"/>
                  </a:lnTo>
                  <a:lnTo>
                    <a:pt x="1021" y="59"/>
                  </a:lnTo>
                  <a:lnTo>
                    <a:pt x="1021" y="45"/>
                  </a:lnTo>
                  <a:lnTo>
                    <a:pt x="1015" y="59"/>
                  </a:lnTo>
                  <a:lnTo>
                    <a:pt x="1065" y="69"/>
                  </a:lnTo>
                  <a:lnTo>
                    <a:pt x="1111" y="81"/>
                  </a:lnTo>
                  <a:lnTo>
                    <a:pt x="1153" y="94"/>
                  </a:lnTo>
                  <a:lnTo>
                    <a:pt x="1190" y="108"/>
                  </a:lnTo>
                  <a:lnTo>
                    <a:pt x="1222" y="124"/>
                  </a:lnTo>
                  <a:lnTo>
                    <a:pt x="1250" y="139"/>
                  </a:lnTo>
                  <a:lnTo>
                    <a:pt x="1255" y="127"/>
                  </a:lnTo>
                  <a:lnTo>
                    <a:pt x="1246" y="136"/>
                  </a:lnTo>
                  <a:lnTo>
                    <a:pt x="1267" y="154"/>
                  </a:lnTo>
                  <a:lnTo>
                    <a:pt x="1276" y="163"/>
                  </a:lnTo>
                  <a:lnTo>
                    <a:pt x="1283" y="172"/>
                  </a:lnTo>
                  <a:lnTo>
                    <a:pt x="1292" y="162"/>
                  </a:lnTo>
                  <a:lnTo>
                    <a:pt x="1280" y="168"/>
                  </a:lnTo>
                  <a:lnTo>
                    <a:pt x="1286" y="177"/>
                  </a:lnTo>
                  <a:lnTo>
                    <a:pt x="1289" y="186"/>
                  </a:lnTo>
                  <a:lnTo>
                    <a:pt x="1292" y="195"/>
                  </a:lnTo>
                  <a:lnTo>
                    <a:pt x="1304" y="190"/>
                  </a:lnTo>
                  <a:lnTo>
                    <a:pt x="1291" y="190"/>
                  </a:lnTo>
                  <a:lnTo>
                    <a:pt x="1292" y="199"/>
                  </a:lnTo>
                  <a:lnTo>
                    <a:pt x="1292" y="1314"/>
                  </a:lnTo>
                  <a:lnTo>
                    <a:pt x="1291" y="1323"/>
                  </a:lnTo>
                  <a:lnTo>
                    <a:pt x="1304" y="1323"/>
                  </a:lnTo>
                  <a:lnTo>
                    <a:pt x="1292" y="1319"/>
                  </a:lnTo>
                  <a:lnTo>
                    <a:pt x="1289" y="1328"/>
                  </a:lnTo>
                  <a:lnTo>
                    <a:pt x="1286" y="1337"/>
                  </a:lnTo>
                  <a:lnTo>
                    <a:pt x="1280" y="1346"/>
                  </a:lnTo>
                  <a:lnTo>
                    <a:pt x="1292" y="1352"/>
                  </a:lnTo>
                  <a:lnTo>
                    <a:pt x="1283" y="1341"/>
                  </a:lnTo>
                  <a:lnTo>
                    <a:pt x="1276" y="1350"/>
                  </a:lnTo>
                  <a:lnTo>
                    <a:pt x="1267" y="1359"/>
                  </a:lnTo>
                  <a:lnTo>
                    <a:pt x="1246" y="1377"/>
                  </a:lnTo>
                  <a:lnTo>
                    <a:pt x="1255" y="1386"/>
                  </a:lnTo>
                  <a:lnTo>
                    <a:pt x="1250" y="1374"/>
                  </a:lnTo>
                  <a:lnTo>
                    <a:pt x="1222" y="1389"/>
                  </a:lnTo>
                  <a:lnTo>
                    <a:pt x="1190" y="1406"/>
                  </a:lnTo>
                  <a:lnTo>
                    <a:pt x="1153" y="1419"/>
                  </a:lnTo>
                  <a:lnTo>
                    <a:pt x="1111" y="1432"/>
                  </a:lnTo>
                  <a:lnTo>
                    <a:pt x="1065" y="1444"/>
                  </a:lnTo>
                  <a:lnTo>
                    <a:pt x="1015" y="1455"/>
                  </a:lnTo>
                  <a:lnTo>
                    <a:pt x="1021" y="1468"/>
                  </a:lnTo>
                  <a:lnTo>
                    <a:pt x="1021" y="1455"/>
                  </a:lnTo>
                  <a:lnTo>
                    <a:pt x="968" y="1464"/>
                  </a:lnTo>
                  <a:lnTo>
                    <a:pt x="911" y="1471"/>
                  </a:lnTo>
                  <a:lnTo>
                    <a:pt x="853" y="1477"/>
                  </a:lnTo>
                  <a:lnTo>
                    <a:pt x="790" y="1482"/>
                  </a:lnTo>
                  <a:lnTo>
                    <a:pt x="725" y="1485"/>
                  </a:lnTo>
                  <a:lnTo>
                    <a:pt x="660" y="1486"/>
                  </a:lnTo>
                  <a:lnTo>
                    <a:pt x="594" y="1485"/>
                  </a:lnTo>
                  <a:lnTo>
                    <a:pt x="530" y="1482"/>
                  </a:lnTo>
                  <a:lnTo>
                    <a:pt x="467" y="1477"/>
                  </a:lnTo>
                  <a:lnTo>
                    <a:pt x="409" y="1471"/>
                  </a:lnTo>
                  <a:lnTo>
                    <a:pt x="352" y="1464"/>
                  </a:lnTo>
                  <a:lnTo>
                    <a:pt x="298" y="1455"/>
                  </a:lnTo>
                  <a:lnTo>
                    <a:pt x="298" y="1468"/>
                  </a:lnTo>
                  <a:lnTo>
                    <a:pt x="304" y="1455"/>
                  </a:lnTo>
                  <a:lnTo>
                    <a:pt x="255" y="1444"/>
                  </a:lnTo>
                  <a:lnTo>
                    <a:pt x="208" y="1432"/>
                  </a:lnTo>
                  <a:lnTo>
                    <a:pt x="166" y="1419"/>
                  </a:lnTo>
                  <a:lnTo>
                    <a:pt x="129" y="1406"/>
                  </a:lnTo>
                  <a:lnTo>
                    <a:pt x="98" y="1389"/>
                  </a:lnTo>
                  <a:lnTo>
                    <a:pt x="69" y="1374"/>
                  </a:lnTo>
                  <a:lnTo>
                    <a:pt x="65" y="1386"/>
                  </a:lnTo>
                  <a:lnTo>
                    <a:pt x="74" y="1377"/>
                  </a:lnTo>
                  <a:lnTo>
                    <a:pt x="53" y="1359"/>
                  </a:lnTo>
                  <a:lnTo>
                    <a:pt x="44" y="1350"/>
                  </a:lnTo>
                  <a:lnTo>
                    <a:pt x="36" y="1341"/>
                  </a:lnTo>
                  <a:lnTo>
                    <a:pt x="27" y="1352"/>
                  </a:lnTo>
                  <a:lnTo>
                    <a:pt x="39" y="1346"/>
                  </a:lnTo>
                  <a:lnTo>
                    <a:pt x="33" y="1337"/>
                  </a:lnTo>
                  <a:lnTo>
                    <a:pt x="30" y="1328"/>
                  </a:lnTo>
                  <a:lnTo>
                    <a:pt x="27" y="1319"/>
                  </a:lnTo>
                  <a:lnTo>
                    <a:pt x="15" y="1323"/>
                  </a:lnTo>
                  <a:lnTo>
                    <a:pt x="29" y="1323"/>
                  </a:lnTo>
                  <a:lnTo>
                    <a:pt x="27" y="1314"/>
                  </a:lnTo>
                  <a:lnTo>
                    <a:pt x="27" y="199"/>
                  </a:lnTo>
                  <a:lnTo>
                    <a:pt x="29" y="190"/>
                  </a:lnTo>
                  <a:lnTo>
                    <a:pt x="15" y="190"/>
                  </a:lnTo>
                  <a:lnTo>
                    <a:pt x="27" y="195"/>
                  </a:lnTo>
                  <a:lnTo>
                    <a:pt x="30" y="186"/>
                  </a:lnTo>
                  <a:lnTo>
                    <a:pt x="33" y="177"/>
                  </a:lnTo>
                  <a:lnTo>
                    <a:pt x="39" y="168"/>
                  </a:lnTo>
                  <a:lnTo>
                    <a:pt x="27" y="162"/>
                  </a:lnTo>
                  <a:lnTo>
                    <a:pt x="36" y="172"/>
                  </a:lnTo>
                  <a:lnTo>
                    <a:pt x="44" y="163"/>
                  </a:lnTo>
                  <a:lnTo>
                    <a:pt x="53" y="154"/>
                  </a:lnTo>
                  <a:lnTo>
                    <a:pt x="74" y="136"/>
                  </a:lnTo>
                  <a:lnTo>
                    <a:pt x="65" y="127"/>
                  </a:lnTo>
                  <a:lnTo>
                    <a:pt x="69" y="139"/>
                  </a:lnTo>
                  <a:lnTo>
                    <a:pt x="98" y="124"/>
                  </a:lnTo>
                  <a:lnTo>
                    <a:pt x="129" y="108"/>
                  </a:lnTo>
                  <a:lnTo>
                    <a:pt x="166" y="94"/>
                  </a:lnTo>
                  <a:lnTo>
                    <a:pt x="208" y="81"/>
                  </a:lnTo>
                  <a:lnTo>
                    <a:pt x="255" y="69"/>
                  </a:lnTo>
                  <a:lnTo>
                    <a:pt x="304" y="59"/>
                  </a:lnTo>
                  <a:lnTo>
                    <a:pt x="298" y="45"/>
                  </a:lnTo>
                  <a:lnTo>
                    <a:pt x="298" y="59"/>
                  </a:lnTo>
                  <a:lnTo>
                    <a:pt x="352" y="50"/>
                  </a:lnTo>
                  <a:lnTo>
                    <a:pt x="409" y="42"/>
                  </a:lnTo>
                  <a:lnTo>
                    <a:pt x="467" y="36"/>
                  </a:lnTo>
                  <a:lnTo>
                    <a:pt x="530" y="32"/>
                  </a:lnTo>
                  <a:lnTo>
                    <a:pt x="594" y="29"/>
                  </a:lnTo>
                  <a:lnTo>
                    <a:pt x="660" y="27"/>
                  </a:lnTo>
                  <a:close/>
                </a:path>
              </a:pathLst>
            </a:custGeom>
            <a:solidFill>
              <a:srgbClr val="000000"/>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8767" name="Freeform 575">
              <a:extLst>
                <a:ext uri="{FF2B5EF4-FFF2-40B4-BE49-F238E27FC236}">
                  <a16:creationId xmlns:a16="http://schemas.microsoft.com/office/drawing/2014/main" id="{19850D36-A4D3-48D0-A19E-B8E871759729}"/>
                </a:ext>
              </a:extLst>
            </xdr:cNvPr>
            <xdr:cNvSpPr>
              <a:spLocks/>
            </xdr:cNvSpPr>
          </xdr:nvSpPr>
          <xdr:spPr bwMode="auto">
            <a:xfrm>
              <a:off x="6896" y="2757"/>
              <a:ext cx="1319" cy="199"/>
            </a:xfrm>
            <a:custGeom>
              <a:avLst/>
              <a:gdLst>
                <a:gd name="T0" fmla="*/ 0 w 1319"/>
                <a:gd name="T1" fmla="*/ 0 h 199"/>
                <a:gd name="T2" fmla="*/ 2 w 1319"/>
                <a:gd name="T3" fmla="*/ 15 h 199"/>
                <a:gd name="T4" fmla="*/ 8 w 1319"/>
                <a:gd name="T5" fmla="*/ 34 h 199"/>
                <a:gd name="T6" fmla="*/ 17 w 1319"/>
                <a:gd name="T7" fmla="*/ 48 h 199"/>
                <a:gd name="T8" fmla="*/ 33 w 1319"/>
                <a:gd name="T9" fmla="*/ 66 h 199"/>
                <a:gd name="T10" fmla="*/ 59 w 1319"/>
                <a:gd name="T11" fmla="*/ 85 h 199"/>
                <a:gd name="T12" fmla="*/ 118 w 1319"/>
                <a:gd name="T13" fmla="*/ 117 h 199"/>
                <a:gd name="T14" fmla="*/ 198 w 1319"/>
                <a:gd name="T15" fmla="*/ 144 h 199"/>
                <a:gd name="T16" fmla="*/ 293 w 1319"/>
                <a:gd name="T17" fmla="*/ 166 h 199"/>
                <a:gd name="T18" fmla="*/ 352 w 1319"/>
                <a:gd name="T19" fmla="*/ 177 h 199"/>
                <a:gd name="T20" fmla="*/ 467 w 1319"/>
                <a:gd name="T21" fmla="*/ 190 h 199"/>
                <a:gd name="T22" fmla="*/ 594 w 1319"/>
                <a:gd name="T23" fmla="*/ 197 h 199"/>
                <a:gd name="T24" fmla="*/ 725 w 1319"/>
                <a:gd name="T25" fmla="*/ 197 h 199"/>
                <a:gd name="T26" fmla="*/ 853 w 1319"/>
                <a:gd name="T27" fmla="*/ 191 h 199"/>
                <a:gd name="T28" fmla="*/ 968 w 1319"/>
                <a:gd name="T29" fmla="*/ 177 h 199"/>
                <a:gd name="T30" fmla="*/ 1026 w 1319"/>
                <a:gd name="T31" fmla="*/ 166 h 199"/>
                <a:gd name="T32" fmla="*/ 1122 w 1319"/>
                <a:gd name="T33" fmla="*/ 144 h 199"/>
                <a:gd name="T34" fmla="*/ 1201 w 1319"/>
                <a:gd name="T35" fmla="*/ 117 h 199"/>
                <a:gd name="T36" fmla="*/ 1261 w 1319"/>
                <a:gd name="T37" fmla="*/ 85 h 199"/>
                <a:gd name="T38" fmla="*/ 1286 w 1319"/>
                <a:gd name="T39" fmla="*/ 66 h 199"/>
                <a:gd name="T40" fmla="*/ 1303 w 1319"/>
                <a:gd name="T41" fmla="*/ 48 h 199"/>
                <a:gd name="T42" fmla="*/ 1311 w 1319"/>
                <a:gd name="T43" fmla="*/ 34 h 199"/>
                <a:gd name="T44" fmla="*/ 1317 w 1319"/>
                <a:gd name="T45" fmla="*/ 15 h 199"/>
                <a:gd name="T46" fmla="*/ 1319 w 1319"/>
                <a:gd name="T47" fmla="*/ 0 h 199"/>
                <a:gd name="T48" fmla="*/ 1291 w 1319"/>
                <a:gd name="T49" fmla="*/ 9 h 199"/>
                <a:gd name="T50" fmla="*/ 1292 w 1319"/>
                <a:gd name="T51" fmla="*/ 5 h 199"/>
                <a:gd name="T52" fmla="*/ 1286 w 1319"/>
                <a:gd name="T53" fmla="*/ 24 h 199"/>
                <a:gd name="T54" fmla="*/ 1292 w 1319"/>
                <a:gd name="T55" fmla="*/ 37 h 199"/>
                <a:gd name="T56" fmla="*/ 1276 w 1319"/>
                <a:gd name="T57" fmla="*/ 37 h 199"/>
                <a:gd name="T58" fmla="*/ 1246 w 1319"/>
                <a:gd name="T59" fmla="*/ 63 h 199"/>
                <a:gd name="T60" fmla="*/ 1250 w 1319"/>
                <a:gd name="T61" fmla="*/ 60 h 199"/>
                <a:gd name="T62" fmla="*/ 1190 w 1319"/>
                <a:gd name="T63" fmla="*/ 91 h 199"/>
                <a:gd name="T64" fmla="*/ 1111 w 1319"/>
                <a:gd name="T65" fmla="*/ 118 h 199"/>
                <a:gd name="T66" fmla="*/ 1015 w 1319"/>
                <a:gd name="T67" fmla="*/ 141 h 199"/>
                <a:gd name="T68" fmla="*/ 1021 w 1319"/>
                <a:gd name="T69" fmla="*/ 141 h 199"/>
                <a:gd name="T70" fmla="*/ 911 w 1319"/>
                <a:gd name="T71" fmla="*/ 157 h 199"/>
                <a:gd name="T72" fmla="*/ 790 w 1319"/>
                <a:gd name="T73" fmla="*/ 169 h 199"/>
                <a:gd name="T74" fmla="*/ 660 w 1319"/>
                <a:gd name="T75" fmla="*/ 172 h 199"/>
                <a:gd name="T76" fmla="*/ 530 w 1319"/>
                <a:gd name="T77" fmla="*/ 169 h 199"/>
                <a:gd name="T78" fmla="*/ 409 w 1319"/>
                <a:gd name="T79" fmla="*/ 157 h 199"/>
                <a:gd name="T80" fmla="*/ 298 w 1319"/>
                <a:gd name="T81" fmla="*/ 141 h 199"/>
                <a:gd name="T82" fmla="*/ 304 w 1319"/>
                <a:gd name="T83" fmla="*/ 141 h 199"/>
                <a:gd name="T84" fmla="*/ 208 w 1319"/>
                <a:gd name="T85" fmla="*/ 118 h 199"/>
                <a:gd name="T86" fmla="*/ 129 w 1319"/>
                <a:gd name="T87" fmla="*/ 91 h 199"/>
                <a:gd name="T88" fmla="*/ 69 w 1319"/>
                <a:gd name="T89" fmla="*/ 60 h 199"/>
                <a:gd name="T90" fmla="*/ 74 w 1319"/>
                <a:gd name="T91" fmla="*/ 63 h 199"/>
                <a:gd name="T92" fmla="*/ 44 w 1319"/>
                <a:gd name="T93" fmla="*/ 37 h 199"/>
                <a:gd name="T94" fmla="*/ 27 w 1319"/>
                <a:gd name="T95" fmla="*/ 37 h 199"/>
                <a:gd name="T96" fmla="*/ 33 w 1319"/>
                <a:gd name="T97" fmla="*/ 24 h 199"/>
                <a:gd name="T98" fmla="*/ 27 w 1319"/>
                <a:gd name="T99" fmla="*/ 5 h 199"/>
                <a:gd name="T100" fmla="*/ 29 w 1319"/>
                <a:gd name="T101" fmla="*/ 9 h 19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Lst>
              <a:rect l="0" t="0" r="r" b="b"/>
              <a:pathLst>
                <a:path w="1319" h="199">
                  <a:moveTo>
                    <a:pt x="27" y="0"/>
                  </a:moveTo>
                  <a:lnTo>
                    <a:pt x="0" y="0"/>
                  </a:lnTo>
                  <a:lnTo>
                    <a:pt x="2" y="9"/>
                  </a:lnTo>
                  <a:lnTo>
                    <a:pt x="2" y="15"/>
                  </a:lnTo>
                  <a:lnTo>
                    <a:pt x="5" y="24"/>
                  </a:lnTo>
                  <a:lnTo>
                    <a:pt x="8" y="34"/>
                  </a:lnTo>
                  <a:lnTo>
                    <a:pt x="14" y="43"/>
                  </a:lnTo>
                  <a:lnTo>
                    <a:pt x="17" y="48"/>
                  </a:lnTo>
                  <a:lnTo>
                    <a:pt x="24" y="57"/>
                  </a:lnTo>
                  <a:lnTo>
                    <a:pt x="33" y="66"/>
                  </a:lnTo>
                  <a:lnTo>
                    <a:pt x="54" y="82"/>
                  </a:lnTo>
                  <a:lnTo>
                    <a:pt x="59" y="85"/>
                  </a:lnTo>
                  <a:lnTo>
                    <a:pt x="87" y="102"/>
                  </a:lnTo>
                  <a:lnTo>
                    <a:pt x="118" y="117"/>
                  </a:lnTo>
                  <a:lnTo>
                    <a:pt x="156" y="132"/>
                  </a:lnTo>
                  <a:lnTo>
                    <a:pt x="198" y="144"/>
                  </a:lnTo>
                  <a:lnTo>
                    <a:pt x="244" y="156"/>
                  </a:lnTo>
                  <a:lnTo>
                    <a:pt x="293" y="166"/>
                  </a:lnTo>
                  <a:lnTo>
                    <a:pt x="298" y="168"/>
                  </a:lnTo>
                  <a:lnTo>
                    <a:pt x="352" y="177"/>
                  </a:lnTo>
                  <a:lnTo>
                    <a:pt x="409" y="184"/>
                  </a:lnTo>
                  <a:lnTo>
                    <a:pt x="467" y="190"/>
                  </a:lnTo>
                  <a:lnTo>
                    <a:pt x="530" y="196"/>
                  </a:lnTo>
                  <a:lnTo>
                    <a:pt x="594" y="197"/>
                  </a:lnTo>
                  <a:lnTo>
                    <a:pt x="660" y="199"/>
                  </a:lnTo>
                  <a:lnTo>
                    <a:pt x="725" y="197"/>
                  </a:lnTo>
                  <a:lnTo>
                    <a:pt x="790" y="196"/>
                  </a:lnTo>
                  <a:lnTo>
                    <a:pt x="853" y="191"/>
                  </a:lnTo>
                  <a:lnTo>
                    <a:pt x="911" y="184"/>
                  </a:lnTo>
                  <a:lnTo>
                    <a:pt x="968" y="177"/>
                  </a:lnTo>
                  <a:lnTo>
                    <a:pt x="1021" y="168"/>
                  </a:lnTo>
                  <a:lnTo>
                    <a:pt x="1026" y="166"/>
                  </a:lnTo>
                  <a:lnTo>
                    <a:pt x="1075" y="156"/>
                  </a:lnTo>
                  <a:lnTo>
                    <a:pt x="1122" y="144"/>
                  </a:lnTo>
                  <a:lnTo>
                    <a:pt x="1163" y="132"/>
                  </a:lnTo>
                  <a:lnTo>
                    <a:pt x="1201" y="117"/>
                  </a:lnTo>
                  <a:lnTo>
                    <a:pt x="1232" y="102"/>
                  </a:lnTo>
                  <a:lnTo>
                    <a:pt x="1261" y="85"/>
                  </a:lnTo>
                  <a:lnTo>
                    <a:pt x="1265" y="82"/>
                  </a:lnTo>
                  <a:lnTo>
                    <a:pt x="1286" y="66"/>
                  </a:lnTo>
                  <a:lnTo>
                    <a:pt x="1295" y="57"/>
                  </a:lnTo>
                  <a:lnTo>
                    <a:pt x="1303" y="48"/>
                  </a:lnTo>
                  <a:lnTo>
                    <a:pt x="1306" y="43"/>
                  </a:lnTo>
                  <a:lnTo>
                    <a:pt x="1311" y="34"/>
                  </a:lnTo>
                  <a:lnTo>
                    <a:pt x="1314" y="24"/>
                  </a:lnTo>
                  <a:lnTo>
                    <a:pt x="1317" y="15"/>
                  </a:lnTo>
                  <a:lnTo>
                    <a:pt x="1317" y="9"/>
                  </a:lnTo>
                  <a:lnTo>
                    <a:pt x="1319" y="0"/>
                  </a:lnTo>
                  <a:lnTo>
                    <a:pt x="1292" y="0"/>
                  </a:lnTo>
                  <a:lnTo>
                    <a:pt x="1291" y="9"/>
                  </a:lnTo>
                  <a:lnTo>
                    <a:pt x="1304" y="9"/>
                  </a:lnTo>
                  <a:lnTo>
                    <a:pt x="1292" y="5"/>
                  </a:lnTo>
                  <a:lnTo>
                    <a:pt x="1289" y="14"/>
                  </a:lnTo>
                  <a:lnTo>
                    <a:pt x="1286" y="24"/>
                  </a:lnTo>
                  <a:lnTo>
                    <a:pt x="1280" y="33"/>
                  </a:lnTo>
                  <a:lnTo>
                    <a:pt x="1292" y="37"/>
                  </a:lnTo>
                  <a:lnTo>
                    <a:pt x="1283" y="29"/>
                  </a:lnTo>
                  <a:lnTo>
                    <a:pt x="1276" y="37"/>
                  </a:lnTo>
                  <a:lnTo>
                    <a:pt x="1267" y="46"/>
                  </a:lnTo>
                  <a:lnTo>
                    <a:pt x="1246" y="63"/>
                  </a:lnTo>
                  <a:lnTo>
                    <a:pt x="1255" y="73"/>
                  </a:lnTo>
                  <a:lnTo>
                    <a:pt x="1250" y="60"/>
                  </a:lnTo>
                  <a:lnTo>
                    <a:pt x="1222" y="76"/>
                  </a:lnTo>
                  <a:lnTo>
                    <a:pt x="1190" y="91"/>
                  </a:lnTo>
                  <a:lnTo>
                    <a:pt x="1153" y="106"/>
                  </a:lnTo>
                  <a:lnTo>
                    <a:pt x="1111" y="118"/>
                  </a:lnTo>
                  <a:lnTo>
                    <a:pt x="1065" y="130"/>
                  </a:lnTo>
                  <a:lnTo>
                    <a:pt x="1015" y="141"/>
                  </a:lnTo>
                  <a:lnTo>
                    <a:pt x="1021" y="154"/>
                  </a:lnTo>
                  <a:lnTo>
                    <a:pt x="1021" y="141"/>
                  </a:lnTo>
                  <a:lnTo>
                    <a:pt x="968" y="150"/>
                  </a:lnTo>
                  <a:lnTo>
                    <a:pt x="911" y="157"/>
                  </a:lnTo>
                  <a:lnTo>
                    <a:pt x="853" y="165"/>
                  </a:lnTo>
                  <a:lnTo>
                    <a:pt x="790" y="169"/>
                  </a:lnTo>
                  <a:lnTo>
                    <a:pt x="725" y="171"/>
                  </a:lnTo>
                  <a:lnTo>
                    <a:pt x="660" y="172"/>
                  </a:lnTo>
                  <a:lnTo>
                    <a:pt x="594" y="171"/>
                  </a:lnTo>
                  <a:lnTo>
                    <a:pt x="530" y="169"/>
                  </a:lnTo>
                  <a:lnTo>
                    <a:pt x="467" y="163"/>
                  </a:lnTo>
                  <a:lnTo>
                    <a:pt x="409" y="157"/>
                  </a:lnTo>
                  <a:lnTo>
                    <a:pt x="352" y="150"/>
                  </a:lnTo>
                  <a:lnTo>
                    <a:pt x="298" y="141"/>
                  </a:lnTo>
                  <a:lnTo>
                    <a:pt x="298" y="154"/>
                  </a:lnTo>
                  <a:lnTo>
                    <a:pt x="304" y="141"/>
                  </a:lnTo>
                  <a:lnTo>
                    <a:pt x="255" y="130"/>
                  </a:lnTo>
                  <a:lnTo>
                    <a:pt x="208" y="118"/>
                  </a:lnTo>
                  <a:lnTo>
                    <a:pt x="166" y="106"/>
                  </a:lnTo>
                  <a:lnTo>
                    <a:pt x="129" y="91"/>
                  </a:lnTo>
                  <a:lnTo>
                    <a:pt x="98" y="76"/>
                  </a:lnTo>
                  <a:lnTo>
                    <a:pt x="69" y="60"/>
                  </a:lnTo>
                  <a:lnTo>
                    <a:pt x="65" y="73"/>
                  </a:lnTo>
                  <a:lnTo>
                    <a:pt x="74" y="63"/>
                  </a:lnTo>
                  <a:lnTo>
                    <a:pt x="53" y="46"/>
                  </a:lnTo>
                  <a:lnTo>
                    <a:pt x="44" y="37"/>
                  </a:lnTo>
                  <a:lnTo>
                    <a:pt x="36" y="29"/>
                  </a:lnTo>
                  <a:lnTo>
                    <a:pt x="27" y="37"/>
                  </a:lnTo>
                  <a:lnTo>
                    <a:pt x="39" y="33"/>
                  </a:lnTo>
                  <a:lnTo>
                    <a:pt x="33" y="24"/>
                  </a:lnTo>
                  <a:lnTo>
                    <a:pt x="30" y="14"/>
                  </a:lnTo>
                  <a:lnTo>
                    <a:pt x="27" y="5"/>
                  </a:lnTo>
                  <a:lnTo>
                    <a:pt x="15" y="9"/>
                  </a:lnTo>
                  <a:lnTo>
                    <a:pt x="29" y="9"/>
                  </a:lnTo>
                  <a:lnTo>
                    <a:pt x="27" y="0"/>
                  </a:lnTo>
                  <a:close/>
                </a:path>
              </a:pathLst>
            </a:custGeom>
            <a:solidFill>
              <a:srgbClr val="000000"/>
            </a:solidFill>
            <a:ln>
              <a:noFill/>
            </a:ln>
            <a:extLst>
              <a:ext uri="{91240B29-F687-4F45-9708-019B960494DF}">
                <a14:hiddenLine xmlns:a14="http://schemas.microsoft.com/office/drawing/2010/main" w="9525">
                  <a:solidFill>
                    <a:srgbClr val="000000"/>
                  </a:solidFill>
                  <a:round/>
                  <a:headEnd/>
                  <a:tailEnd/>
                </a14:hiddenLine>
              </a:ext>
            </a:extLst>
          </xdr:spPr>
        </xdr:sp>
      </xdr:grpSp>
      <xdr:sp macro="" textlink="">
        <xdr:nvSpPr>
          <xdr:cNvPr id="8768" name="Rectangle 576">
            <a:extLst>
              <a:ext uri="{FF2B5EF4-FFF2-40B4-BE49-F238E27FC236}">
                <a16:creationId xmlns:a16="http://schemas.microsoft.com/office/drawing/2014/main" id="{2CFCEF13-D52A-41C2-9899-2F6E30D3410C}"/>
              </a:ext>
            </a:extLst>
          </xdr:cNvPr>
          <xdr:cNvSpPr>
            <a:spLocks noChangeArrowheads="1"/>
          </xdr:cNvSpPr>
        </xdr:nvSpPr>
        <xdr:spPr bwMode="auto">
          <a:xfrm>
            <a:off x="6192" y="2820"/>
            <a:ext cx="791" cy="284"/>
          </a:xfrm>
          <a:prstGeom prst="rect">
            <a:avLst/>
          </a:prstGeom>
          <a:solidFill>
            <a:srgbClr val="FFCCFF"/>
          </a:solidFill>
          <a:ln w="17145">
            <a:solidFill>
              <a:srgbClr val="000000"/>
            </a:solidFill>
            <a:miter lim="800000"/>
            <a:headEnd/>
            <a:tailEnd/>
          </a:ln>
        </xdr:spPr>
      </xdr:sp>
      <xdr:sp macro="" textlink="">
        <xdr:nvSpPr>
          <xdr:cNvPr id="8769" name="Rectangle 577">
            <a:extLst>
              <a:ext uri="{FF2B5EF4-FFF2-40B4-BE49-F238E27FC236}">
                <a16:creationId xmlns:a16="http://schemas.microsoft.com/office/drawing/2014/main" id="{8D9B87B4-5FED-45C3-B94F-AA5F914B4790}"/>
              </a:ext>
            </a:extLst>
          </xdr:cNvPr>
          <xdr:cNvSpPr>
            <a:spLocks noChangeArrowheads="1"/>
          </xdr:cNvSpPr>
        </xdr:nvSpPr>
        <xdr:spPr bwMode="auto">
          <a:xfrm>
            <a:off x="7340" y="3882"/>
            <a:ext cx="289" cy="2265"/>
          </a:xfrm>
          <a:prstGeom prst="rect">
            <a:avLst/>
          </a:prstGeom>
          <a:solidFill>
            <a:srgbClr val="EAEAEA"/>
          </a:solidFill>
          <a:ln w="17145">
            <a:solidFill>
              <a:srgbClr val="000000"/>
            </a:solidFill>
            <a:miter lim="800000"/>
            <a:headEnd/>
            <a:tailEnd/>
          </a:ln>
        </xdr:spPr>
      </xdr:sp>
      <xdr:sp macro="" textlink="">
        <xdr:nvSpPr>
          <xdr:cNvPr id="8770" name="Rectangle 578">
            <a:extLst>
              <a:ext uri="{FF2B5EF4-FFF2-40B4-BE49-F238E27FC236}">
                <a16:creationId xmlns:a16="http://schemas.microsoft.com/office/drawing/2014/main" id="{02A50B26-E94B-4FBD-B4C2-30DE8087F493}"/>
              </a:ext>
            </a:extLst>
          </xdr:cNvPr>
          <xdr:cNvSpPr>
            <a:spLocks noChangeArrowheads="1"/>
          </xdr:cNvSpPr>
        </xdr:nvSpPr>
        <xdr:spPr bwMode="auto">
          <a:xfrm>
            <a:off x="6120" y="6145"/>
            <a:ext cx="1509" cy="284"/>
          </a:xfrm>
          <a:prstGeom prst="rect">
            <a:avLst/>
          </a:prstGeom>
          <a:solidFill>
            <a:srgbClr val="EAEAEA"/>
          </a:solidFill>
          <a:ln w="22860">
            <a:solidFill>
              <a:srgbClr val="000000"/>
            </a:solidFill>
            <a:miter lim="800000"/>
            <a:headEnd/>
            <a:tailEnd/>
          </a:ln>
        </xdr:spPr>
      </xdr:sp>
      <xdr:sp macro="" textlink="">
        <xdr:nvSpPr>
          <xdr:cNvPr id="8771" name="Oval 579">
            <a:extLst>
              <a:ext uri="{FF2B5EF4-FFF2-40B4-BE49-F238E27FC236}">
                <a16:creationId xmlns:a16="http://schemas.microsoft.com/office/drawing/2014/main" id="{27CA3132-8870-44C8-83F2-FD89BF4226F4}"/>
              </a:ext>
            </a:extLst>
          </xdr:cNvPr>
          <xdr:cNvSpPr>
            <a:spLocks noChangeArrowheads="1"/>
          </xdr:cNvSpPr>
        </xdr:nvSpPr>
        <xdr:spPr bwMode="auto">
          <a:xfrm>
            <a:off x="4255" y="4871"/>
            <a:ext cx="2154" cy="1842"/>
          </a:xfrm>
          <a:prstGeom prst="ellipse">
            <a:avLst/>
          </a:prstGeom>
          <a:solidFill>
            <a:srgbClr val="EAEAEA"/>
          </a:solidFill>
          <a:ln w="22860">
            <a:solidFill>
              <a:srgbClr val="000000"/>
            </a:solidFill>
            <a:round/>
            <a:headEnd/>
            <a:tailEnd/>
          </a:ln>
        </xdr:spPr>
      </xdr:sp>
      <xdr:sp macro="" textlink="">
        <xdr:nvSpPr>
          <xdr:cNvPr id="8772" name="Rectangle 580">
            <a:extLst>
              <a:ext uri="{FF2B5EF4-FFF2-40B4-BE49-F238E27FC236}">
                <a16:creationId xmlns:a16="http://schemas.microsoft.com/office/drawing/2014/main" id="{3ED9F84A-1F40-4755-ACD6-5A0D3756D3CB}"/>
              </a:ext>
            </a:extLst>
          </xdr:cNvPr>
          <xdr:cNvSpPr>
            <a:spLocks noChangeArrowheads="1"/>
          </xdr:cNvSpPr>
        </xdr:nvSpPr>
        <xdr:spPr bwMode="auto">
          <a:xfrm>
            <a:off x="3609" y="6003"/>
            <a:ext cx="719" cy="73"/>
          </a:xfrm>
          <a:prstGeom prst="rect">
            <a:avLst/>
          </a:prstGeom>
          <a:solidFill>
            <a:srgbClr val="EAEAEA"/>
          </a:solidFill>
          <a:ln w="5715">
            <a:solidFill>
              <a:srgbClr val="000000"/>
            </a:solidFill>
            <a:miter lim="800000"/>
            <a:headEnd/>
            <a:tailEnd/>
          </a:ln>
        </xdr:spPr>
      </xdr:sp>
      <xdr:sp macro="" textlink="">
        <xdr:nvSpPr>
          <xdr:cNvPr id="8773" name="Rectangle 581">
            <a:extLst>
              <a:ext uri="{FF2B5EF4-FFF2-40B4-BE49-F238E27FC236}">
                <a16:creationId xmlns:a16="http://schemas.microsoft.com/office/drawing/2014/main" id="{ADC0AEF4-A34E-40EF-B777-CABD30D371FC}"/>
              </a:ext>
            </a:extLst>
          </xdr:cNvPr>
          <xdr:cNvSpPr>
            <a:spLocks noChangeArrowheads="1"/>
          </xdr:cNvSpPr>
        </xdr:nvSpPr>
        <xdr:spPr bwMode="auto">
          <a:xfrm>
            <a:off x="3322" y="5863"/>
            <a:ext cx="288" cy="354"/>
          </a:xfrm>
          <a:prstGeom prst="rect">
            <a:avLst/>
          </a:prstGeom>
          <a:solidFill>
            <a:srgbClr val="EAEAEA"/>
          </a:solidFill>
          <a:ln w="5715">
            <a:solidFill>
              <a:srgbClr val="000000"/>
            </a:solidFill>
            <a:miter lim="800000"/>
            <a:headEnd/>
            <a:tailEnd/>
          </a:ln>
        </xdr:spPr>
      </xdr:sp>
      <xdr:sp macro="" textlink="">
        <xdr:nvSpPr>
          <xdr:cNvPr id="8774" name="Rectangle 582">
            <a:extLst>
              <a:ext uri="{FF2B5EF4-FFF2-40B4-BE49-F238E27FC236}">
                <a16:creationId xmlns:a16="http://schemas.microsoft.com/office/drawing/2014/main" id="{D66EE47B-FC24-4648-BDCD-55F34EC4F058}"/>
              </a:ext>
            </a:extLst>
          </xdr:cNvPr>
          <xdr:cNvSpPr>
            <a:spLocks noChangeArrowheads="1"/>
          </xdr:cNvSpPr>
        </xdr:nvSpPr>
        <xdr:spPr bwMode="auto">
          <a:xfrm>
            <a:off x="2748" y="6003"/>
            <a:ext cx="575" cy="73"/>
          </a:xfrm>
          <a:prstGeom prst="rect">
            <a:avLst/>
          </a:prstGeom>
          <a:solidFill>
            <a:srgbClr val="EAEAEA"/>
          </a:solidFill>
          <a:ln w="5715">
            <a:solidFill>
              <a:srgbClr val="000000"/>
            </a:solidFill>
            <a:miter lim="800000"/>
            <a:headEnd/>
            <a:tailEnd/>
          </a:ln>
        </xdr:spPr>
      </xdr:sp>
      <xdr:sp macro="" textlink="">
        <xdr:nvSpPr>
          <xdr:cNvPr id="8775" name="Rectangle 583">
            <a:extLst>
              <a:ext uri="{FF2B5EF4-FFF2-40B4-BE49-F238E27FC236}">
                <a16:creationId xmlns:a16="http://schemas.microsoft.com/office/drawing/2014/main" id="{A0698D07-7946-4E24-A3DA-E69FB5687427}"/>
              </a:ext>
            </a:extLst>
          </xdr:cNvPr>
          <xdr:cNvSpPr>
            <a:spLocks noChangeArrowheads="1"/>
          </xdr:cNvSpPr>
        </xdr:nvSpPr>
        <xdr:spPr bwMode="auto">
          <a:xfrm>
            <a:off x="8202" y="2820"/>
            <a:ext cx="934" cy="284"/>
          </a:xfrm>
          <a:prstGeom prst="rect">
            <a:avLst/>
          </a:prstGeom>
          <a:solidFill>
            <a:srgbClr val="FFCCFF"/>
          </a:solidFill>
          <a:ln w="17145">
            <a:solidFill>
              <a:srgbClr val="000000"/>
            </a:solidFill>
            <a:miter lim="800000"/>
            <a:headEnd/>
            <a:tailEnd/>
          </a:ln>
        </xdr:spPr>
      </xdr:sp>
      <xdr:grpSp>
        <xdr:nvGrpSpPr>
          <xdr:cNvPr id="8776" name="Group 584">
            <a:extLst>
              <a:ext uri="{FF2B5EF4-FFF2-40B4-BE49-F238E27FC236}">
                <a16:creationId xmlns:a16="http://schemas.microsoft.com/office/drawing/2014/main" id="{7B356C68-2A0F-4B82-AD06-ACC48D23D5CD}"/>
              </a:ext>
            </a:extLst>
          </xdr:cNvPr>
          <xdr:cNvGrpSpPr>
            <a:grpSpLocks/>
          </xdr:cNvGrpSpPr>
        </xdr:nvGrpSpPr>
        <xdr:grpSpPr bwMode="auto">
          <a:xfrm>
            <a:off x="2518" y="2098"/>
            <a:ext cx="2466" cy="1307"/>
            <a:chOff x="2518" y="2274"/>
            <a:chExt cx="2466" cy="1307"/>
          </a:xfrm>
        </xdr:grpSpPr>
        <xdr:sp macro="" textlink="">
          <xdr:nvSpPr>
            <xdr:cNvPr id="8777" name="Freeform 585">
              <a:extLst>
                <a:ext uri="{FF2B5EF4-FFF2-40B4-BE49-F238E27FC236}">
                  <a16:creationId xmlns:a16="http://schemas.microsoft.com/office/drawing/2014/main" id="{3B4340D9-A578-43EE-B329-DFBA367C7A92}"/>
                </a:ext>
              </a:extLst>
            </xdr:cNvPr>
            <xdr:cNvSpPr>
              <a:spLocks/>
            </xdr:cNvSpPr>
          </xdr:nvSpPr>
          <xdr:spPr bwMode="auto">
            <a:xfrm>
              <a:off x="2531" y="2288"/>
              <a:ext cx="2440" cy="1279"/>
            </a:xfrm>
            <a:custGeom>
              <a:avLst/>
              <a:gdLst>
                <a:gd name="T0" fmla="*/ 2 w 2440"/>
                <a:gd name="T1" fmla="*/ 701 h 1279"/>
                <a:gd name="T2" fmla="*/ 14 w 2440"/>
                <a:gd name="T3" fmla="*/ 825 h 1279"/>
                <a:gd name="T4" fmla="*/ 36 w 2440"/>
                <a:gd name="T5" fmla="*/ 939 h 1279"/>
                <a:gd name="T6" fmla="*/ 69 w 2440"/>
                <a:gd name="T7" fmla="*/ 1040 h 1279"/>
                <a:gd name="T8" fmla="*/ 109 w 2440"/>
                <a:gd name="T9" fmla="*/ 1127 h 1279"/>
                <a:gd name="T10" fmla="*/ 157 w 2440"/>
                <a:gd name="T11" fmla="*/ 1196 h 1279"/>
                <a:gd name="T12" fmla="*/ 212 w 2440"/>
                <a:gd name="T13" fmla="*/ 1244 h 1279"/>
                <a:gd name="T14" fmla="*/ 241 w 2440"/>
                <a:gd name="T15" fmla="*/ 1260 h 1279"/>
                <a:gd name="T16" fmla="*/ 271 w 2440"/>
                <a:gd name="T17" fmla="*/ 1270 h 1279"/>
                <a:gd name="T18" fmla="*/ 302 w 2440"/>
                <a:gd name="T19" fmla="*/ 1273 h 1279"/>
                <a:gd name="T20" fmla="*/ 2148 w 2440"/>
                <a:gd name="T21" fmla="*/ 1279 h 1279"/>
                <a:gd name="T22" fmla="*/ 2178 w 2440"/>
                <a:gd name="T23" fmla="*/ 1272 h 1279"/>
                <a:gd name="T24" fmla="*/ 2208 w 2440"/>
                <a:gd name="T25" fmla="*/ 1260 h 1279"/>
                <a:gd name="T26" fmla="*/ 2251 w 2440"/>
                <a:gd name="T27" fmla="*/ 1230 h 1279"/>
                <a:gd name="T28" fmla="*/ 2304 w 2440"/>
                <a:gd name="T29" fmla="*/ 1172 h 1279"/>
                <a:gd name="T30" fmla="*/ 2349 w 2440"/>
                <a:gd name="T31" fmla="*/ 1094 h 1279"/>
                <a:gd name="T32" fmla="*/ 2386 w 2440"/>
                <a:gd name="T33" fmla="*/ 1000 h 1279"/>
                <a:gd name="T34" fmla="*/ 2414 w 2440"/>
                <a:gd name="T35" fmla="*/ 892 h 1279"/>
                <a:gd name="T36" fmla="*/ 2434 w 2440"/>
                <a:gd name="T37" fmla="*/ 773 h 1279"/>
                <a:gd name="T38" fmla="*/ 2440 w 2440"/>
                <a:gd name="T39" fmla="*/ 644 h 1279"/>
                <a:gd name="T40" fmla="*/ 2434 w 2440"/>
                <a:gd name="T41" fmla="*/ 515 h 1279"/>
                <a:gd name="T42" fmla="*/ 2417 w 2440"/>
                <a:gd name="T43" fmla="*/ 396 h 1279"/>
                <a:gd name="T44" fmla="*/ 2389 w 2440"/>
                <a:gd name="T45" fmla="*/ 288 h 1279"/>
                <a:gd name="T46" fmla="*/ 2352 w 2440"/>
                <a:gd name="T47" fmla="*/ 194 h 1279"/>
                <a:gd name="T48" fmla="*/ 2307 w 2440"/>
                <a:gd name="T49" fmla="*/ 116 h 1279"/>
                <a:gd name="T50" fmla="*/ 2256 w 2440"/>
                <a:gd name="T51" fmla="*/ 56 h 1279"/>
                <a:gd name="T52" fmla="*/ 2214 w 2440"/>
                <a:gd name="T53" fmla="*/ 27 h 1279"/>
                <a:gd name="T54" fmla="*/ 2184 w 2440"/>
                <a:gd name="T55" fmla="*/ 13 h 1279"/>
                <a:gd name="T56" fmla="*/ 2153 w 2440"/>
                <a:gd name="T57" fmla="*/ 7 h 1279"/>
                <a:gd name="T58" fmla="*/ 308 w 2440"/>
                <a:gd name="T59" fmla="*/ 0 h 1279"/>
                <a:gd name="T60" fmla="*/ 277 w 2440"/>
                <a:gd name="T61" fmla="*/ 3 h 1279"/>
                <a:gd name="T62" fmla="*/ 247 w 2440"/>
                <a:gd name="T63" fmla="*/ 12 h 1279"/>
                <a:gd name="T64" fmla="*/ 217 w 2440"/>
                <a:gd name="T65" fmla="*/ 28 h 1279"/>
                <a:gd name="T66" fmla="*/ 162 w 2440"/>
                <a:gd name="T67" fmla="*/ 76 h 1279"/>
                <a:gd name="T68" fmla="*/ 114 w 2440"/>
                <a:gd name="T69" fmla="*/ 143 h 1279"/>
                <a:gd name="T70" fmla="*/ 72 w 2440"/>
                <a:gd name="T71" fmla="*/ 230 h 1279"/>
                <a:gd name="T72" fmla="*/ 37 w 2440"/>
                <a:gd name="T73" fmla="*/ 332 h 1279"/>
                <a:gd name="T74" fmla="*/ 15 w 2440"/>
                <a:gd name="T75" fmla="*/ 445 h 1279"/>
                <a:gd name="T76" fmla="*/ 2 w 2440"/>
                <a:gd name="T77" fmla="*/ 569 h 127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Lst>
              <a:rect l="0" t="0" r="r" b="b"/>
              <a:pathLst>
                <a:path w="2440" h="1279">
                  <a:moveTo>
                    <a:pt x="0" y="635"/>
                  </a:moveTo>
                  <a:lnTo>
                    <a:pt x="2" y="701"/>
                  </a:lnTo>
                  <a:lnTo>
                    <a:pt x="6" y="764"/>
                  </a:lnTo>
                  <a:lnTo>
                    <a:pt x="14" y="825"/>
                  </a:lnTo>
                  <a:lnTo>
                    <a:pt x="22" y="883"/>
                  </a:lnTo>
                  <a:lnTo>
                    <a:pt x="36" y="939"/>
                  </a:lnTo>
                  <a:lnTo>
                    <a:pt x="51" y="991"/>
                  </a:lnTo>
                  <a:lnTo>
                    <a:pt x="69" y="1040"/>
                  </a:lnTo>
                  <a:lnTo>
                    <a:pt x="88" y="1085"/>
                  </a:lnTo>
                  <a:lnTo>
                    <a:pt x="109" y="1127"/>
                  </a:lnTo>
                  <a:lnTo>
                    <a:pt x="133" y="1163"/>
                  </a:lnTo>
                  <a:lnTo>
                    <a:pt x="157" y="1196"/>
                  </a:lnTo>
                  <a:lnTo>
                    <a:pt x="184" y="1223"/>
                  </a:lnTo>
                  <a:lnTo>
                    <a:pt x="212" y="1244"/>
                  </a:lnTo>
                  <a:lnTo>
                    <a:pt x="226" y="1252"/>
                  </a:lnTo>
                  <a:lnTo>
                    <a:pt x="241" y="1260"/>
                  </a:lnTo>
                  <a:lnTo>
                    <a:pt x="256" y="1266"/>
                  </a:lnTo>
                  <a:lnTo>
                    <a:pt x="271" y="1270"/>
                  </a:lnTo>
                  <a:lnTo>
                    <a:pt x="287" y="1272"/>
                  </a:lnTo>
                  <a:lnTo>
                    <a:pt x="302" y="1273"/>
                  </a:lnTo>
                  <a:lnTo>
                    <a:pt x="2132" y="1279"/>
                  </a:lnTo>
                  <a:lnTo>
                    <a:pt x="2148" y="1279"/>
                  </a:lnTo>
                  <a:lnTo>
                    <a:pt x="2163" y="1276"/>
                  </a:lnTo>
                  <a:lnTo>
                    <a:pt x="2178" y="1272"/>
                  </a:lnTo>
                  <a:lnTo>
                    <a:pt x="2193" y="1267"/>
                  </a:lnTo>
                  <a:lnTo>
                    <a:pt x="2208" y="1260"/>
                  </a:lnTo>
                  <a:lnTo>
                    <a:pt x="2223" y="1251"/>
                  </a:lnTo>
                  <a:lnTo>
                    <a:pt x="2251" y="1230"/>
                  </a:lnTo>
                  <a:lnTo>
                    <a:pt x="2278" y="1203"/>
                  </a:lnTo>
                  <a:lnTo>
                    <a:pt x="2304" y="1172"/>
                  </a:lnTo>
                  <a:lnTo>
                    <a:pt x="2326" y="1136"/>
                  </a:lnTo>
                  <a:lnTo>
                    <a:pt x="2349" y="1094"/>
                  </a:lnTo>
                  <a:lnTo>
                    <a:pt x="2368" y="1049"/>
                  </a:lnTo>
                  <a:lnTo>
                    <a:pt x="2386" y="1000"/>
                  </a:lnTo>
                  <a:lnTo>
                    <a:pt x="2402" y="948"/>
                  </a:lnTo>
                  <a:lnTo>
                    <a:pt x="2414" y="892"/>
                  </a:lnTo>
                  <a:lnTo>
                    <a:pt x="2425" y="834"/>
                  </a:lnTo>
                  <a:lnTo>
                    <a:pt x="2434" y="773"/>
                  </a:lnTo>
                  <a:lnTo>
                    <a:pt x="2438" y="710"/>
                  </a:lnTo>
                  <a:lnTo>
                    <a:pt x="2440" y="644"/>
                  </a:lnTo>
                  <a:lnTo>
                    <a:pt x="2438" y="580"/>
                  </a:lnTo>
                  <a:lnTo>
                    <a:pt x="2434" y="515"/>
                  </a:lnTo>
                  <a:lnTo>
                    <a:pt x="2426" y="454"/>
                  </a:lnTo>
                  <a:lnTo>
                    <a:pt x="2417" y="396"/>
                  </a:lnTo>
                  <a:lnTo>
                    <a:pt x="2404" y="341"/>
                  </a:lnTo>
                  <a:lnTo>
                    <a:pt x="2389" y="288"/>
                  </a:lnTo>
                  <a:lnTo>
                    <a:pt x="2371" y="239"/>
                  </a:lnTo>
                  <a:lnTo>
                    <a:pt x="2352" y="194"/>
                  </a:lnTo>
                  <a:lnTo>
                    <a:pt x="2331" y="152"/>
                  </a:lnTo>
                  <a:lnTo>
                    <a:pt x="2307" y="116"/>
                  </a:lnTo>
                  <a:lnTo>
                    <a:pt x="2283" y="83"/>
                  </a:lnTo>
                  <a:lnTo>
                    <a:pt x="2256" y="56"/>
                  </a:lnTo>
                  <a:lnTo>
                    <a:pt x="2228" y="36"/>
                  </a:lnTo>
                  <a:lnTo>
                    <a:pt x="2214" y="27"/>
                  </a:lnTo>
                  <a:lnTo>
                    <a:pt x="2199" y="19"/>
                  </a:lnTo>
                  <a:lnTo>
                    <a:pt x="2184" y="13"/>
                  </a:lnTo>
                  <a:lnTo>
                    <a:pt x="2169" y="9"/>
                  </a:lnTo>
                  <a:lnTo>
                    <a:pt x="2153" y="7"/>
                  </a:lnTo>
                  <a:lnTo>
                    <a:pt x="2138" y="6"/>
                  </a:lnTo>
                  <a:lnTo>
                    <a:pt x="308" y="0"/>
                  </a:lnTo>
                  <a:lnTo>
                    <a:pt x="293" y="0"/>
                  </a:lnTo>
                  <a:lnTo>
                    <a:pt x="277" y="3"/>
                  </a:lnTo>
                  <a:lnTo>
                    <a:pt x="262" y="7"/>
                  </a:lnTo>
                  <a:lnTo>
                    <a:pt x="247" y="12"/>
                  </a:lnTo>
                  <a:lnTo>
                    <a:pt x="232" y="19"/>
                  </a:lnTo>
                  <a:lnTo>
                    <a:pt x="217" y="28"/>
                  </a:lnTo>
                  <a:lnTo>
                    <a:pt x="188" y="49"/>
                  </a:lnTo>
                  <a:lnTo>
                    <a:pt x="162" y="76"/>
                  </a:lnTo>
                  <a:lnTo>
                    <a:pt x="136" y="107"/>
                  </a:lnTo>
                  <a:lnTo>
                    <a:pt x="114" y="143"/>
                  </a:lnTo>
                  <a:lnTo>
                    <a:pt x="91" y="185"/>
                  </a:lnTo>
                  <a:lnTo>
                    <a:pt x="72" y="230"/>
                  </a:lnTo>
                  <a:lnTo>
                    <a:pt x="54" y="279"/>
                  </a:lnTo>
                  <a:lnTo>
                    <a:pt x="37" y="332"/>
                  </a:lnTo>
                  <a:lnTo>
                    <a:pt x="25" y="387"/>
                  </a:lnTo>
                  <a:lnTo>
                    <a:pt x="15" y="445"/>
                  </a:lnTo>
                  <a:lnTo>
                    <a:pt x="8" y="506"/>
                  </a:lnTo>
                  <a:lnTo>
                    <a:pt x="2" y="569"/>
                  </a:lnTo>
                  <a:lnTo>
                    <a:pt x="0" y="635"/>
                  </a:lnTo>
                  <a:close/>
                </a:path>
              </a:pathLst>
            </a:custGeom>
            <a:solidFill>
              <a:srgbClr val="EAEAEA"/>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8778" name="Freeform 586">
              <a:extLst>
                <a:ext uri="{FF2B5EF4-FFF2-40B4-BE49-F238E27FC236}">
                  <a16:creationId xmlns:a16="http://schemas.microsoft.com/office/drawing/2014/main" id="{B34CD6EE-FBCE-434F-A6D1-F7D3F6881A29}"/>
                </a:ext>
              </a:extLst>
            </xdr:cNvPr>
            <xdr:cNvSpPr>
              <a:spLocks/>
            </xdr:cNvSpPr>
          </xdr:nvSpPr>
          <xdr:spPr bwMode="auto">
            <a:xfrm>
              <a:off x="2531" y="2288"/>
              <a:ext cx="610" cy="1273"/>
            </a:xfrm>
            <a:custGeom>
              <a:avLst/>
              <a:gdLst>
                <a:gd name="T0" fmla="*/ 318 w 610"/>
                <a:gd name="T1" fmla="*/ 1272 h 1273"/>
                <a:gd name="T2" fmla="*/ 348 w 610"/>
                <a:gd name="T3" fmla="*/ 1266 h 1273"/>
                <a:gd name="T4" fmla="*/ 378 w 610"/>
                <a:gd name="T5" fmla="*/ 1254 h 1273"/>
                <a:gd name="T6" fmla="*/ 422 w 610"/>
                <a:gd name="T7" fmla="*/ 1224 h 1273"/>
                <a:gd name="T8" fmla="*/ 474 w 610"/>
                <a:gd name="T9" fmla="*/ 1164 h 1273"/>
                <a:gd name="T10" fmla="*/ 519 w 610"/>
                <a:gd name="T11" fmla="*/ 1088 h 1273"/>
                <a:gd name="T12" fmla="*/ 556 w 610"/>
                <a:gd name="T13" fmla="*/ 994 h 1273"/>
                <a:gd name="T14" fmla="*/ 585 w 610"/>
                <a:gd name="T15" fmla="*/ 885 h 1273"/>
                <a:gd name="T16" fmla="*/ 604 w 610"/>
                <a:gd name="T17" fmla="*/ 765 h 1273"/>
                <a:gd name="T18" fmla="*/ 610 w 610"/>
                <a:gd name="T19" fmla="*/ 637 h 1273"/>
                <a:gd name="T20" fmla="*/ 604 w 610"/>
                <a:gd name="T21" fmla="*/ 508 h 1273"/>
                <a:gd name="T22" fmla="*/ 588 w 610"/>
                <a:gd name="T23" fmla="*/ 388 h 1273"/>
                <a:gd name="T24" fmla="*/ 559 w 610"/>
                <a:gd name="T25" fmla="*/ 281 h 1273"/>
                <a:gd name="T26" fmla="*/ 522 w 610"/>
                <a:gd name="T27" fmla="*/ 187 h 1273"/>
                <a:gd name="T28" fmla="*/ 477 w 610"/>
                <a:gd name="T29" fmla="*/ 109 h 1273"/>
                <a:gd name="T30" fmla="*/ 426 w 610"/>
                <a:gd name="T31" fmla="*/ 51 h 1273"/>
                <a:gd name="T32" fmla="*/ 384 w 610"/>
                <a:gd name="T33" fmla="*/ 19 h 1273"/>
                <a:gd name="T34" fmla="*/ 354 w 610"/>
                <a:gd name="T35" fmla="*/ 7 h 1273"/>
                <a:gd name="T36" fmla="*/ 323 w 610"/>
                <a:gd name="T37" fmla="*/ 1 h 1273"/>
                <a:gd name="T38" fmla="*/ 293 w 610"/>
                <a:gd name="T39" fmla="*/ 0 h 1273"/>
                <a:gd name="T40" fmla="*/ 262 w 610"/>
                <a:gd name="T41" fmla="*/ 7 h 1273"/>
                <a:gd name="T42" fmla="*/ 232 w 610"/>
                <a:gd name="T43" fmla="*/ 19 h 1273"/>
                <a:gd name="T44" fmla="*/ 188 w 610"/>
                <a:gd name="T45" fmla="*/ 49 h 1273"/>
                <a:gd name="T46" fmla="*/ 136 w 610"/>
                <a:gd name="T47" fmla="*/ 107 h 1273"/>
                <a:gd name="T48" fmla="*/ 91 w 610"/>
                <a:gd name="T49" fmla="*/ 185 h 1273"/>
                <a:gd name="T50" fmla="*/ 54 w 610"/>
                <a:gd name="T51" fmla="*/ 279 h 1273"/>
                <a:gd name="T52" fmla="*/ 25 w 610"/>
                <a:gd name="T53" fmla="*/ 387 h 1273"/>
                <a:gd name="T54" fmla="*/ 8 w 610"/>
                <a:gd name="T55" fmla="*/ 506 h 1273"/>
                <a:gd name="T56" fmla="*/ 0 w 610"/>
                <a:gd name="T57" fmla="*/ 635 h 1273"/>
                <a:gd name="T58" fmla="*/ 6 w 610"/>
                <a:gd name="T59" fmla="*/ 764 h 1273"/>
                <a:gd name="T60" fmla="*/ 22 w 610"/>
                <a:gd name="T61" fmla="*/ 883 h 1273"/>
                <a:gd name="T62" fmla="*/ 51 w 610"/>
                <a:gd name="T63" fmla="*/ 991 h 1273"/>
                <a:gd name="T64" fmla="*/ 88 w 610"/>
                <a:gd name="T65" fmla="*/ 1085 h 1273"/>
                <a:gd name="T66" fmla="*/ 133 w 610"/>
                <a:gd name="T67" fmla="*/ 1163 h 1273"/>
                <a:gd name="T68" fmla="*/ 184 w 610"/>
                <a:gd name="T69" fmla="*/ 1223 h 1273"/>
                <a:gd name="T70" fmla="*/ 226 w 610"/>
                <a:gd name="T71" fmla="*/ 1252 h 1273"/>
                <a:gd name="T72" fmla="*/ 256 w 610"/>
                <a:gd name="T73" fmla="*/ 1266 h 1273"/>
                <a:gd name="T74" fmla="*/ 287 w 610"/>
                <a:gd name="T75" fmla="*/ 1272 h 127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Lst>
              <a:rect l="0" t="0" r="r" b="b"/>
              <a:pathLst>
                <a:path w="610" h="1273">
                  <a:moveTo>
                    <a:pt x="302" y="1273"/>
                  </a:moveTo>
                  <a:lnTo>
                    <a:pt x="318" y="1272"/>
                  </a:lnTo>
                  <a:lnTo>
                    <a:pt x="333" y="1270"/>
                  </a:lnTo>
                  <a:lnTo>
                    <a:pt x="348" y="1266"/>
                  </a:lnTo>
                  <a:lnTo>
                    <a:pt x="363" y="1260"/>
                  </a:lnTo>
                  <a:lnTo>
                    <a:pt x="378" y="1254"/>
                  </a:lnTo>
                  <a:lnTo>
                    <a:pt x="393" y="1245"/>
                  </a:lnTo>
                  <a:lnTo>
                    <a:pt x="422" y="1224"/>
                  </a:lnTo>
                  <a:lnTo>
                    <a:pt x="449" y="1197"/>
                  </a:lnTo>
                  <a:lnTo>
                    <a:pt x="474" y="1164"/>
                  </a:lnTo>
                  <a:lnTo>
                    <a:pt x="496" y="1128"/>
                  </a:lnTo>
                  <a:lnTo>
                    <a:pt x="519" y="1088"/>
                  </a:lnTo>
                  <a:lnTo>
                    <a:pt x="538" y="1042"/>
                  </a:lnTo>
                  <a:lnTo>
                    <a:pt x="556" y="994"/>
                  </a:lnTo>
                  <a:lnTo>
                    <a:pt x="573" y="940"/>
                  </a:lnTo>
                  <a:lnTo>
                    <a:pt x="585" y="885"/>
                  </a:lnTo>
                  <a:lnTo>
                    <a:pt x="595" y="826"/>
                  </a:lnTo>
                  <a:lnTo>
                    <a:pt x="604" y="765"/>
                  </a:lnTo>
                  <a:lnTo>
                    <a:pt x="609" y="702"/>
                  </a:lnTo>
                  <a:lnTo>
                    <a:pt x="610" y="637"/>
                  </a:lnTo>
                  <a:lnTo>
                    <a:pt x="609" y="572"/>
                  </a:lnTo>
                  <a:lnTo>
                    <a:pt x="604" y="508"/>
                  </a:lnTo>
                  <a:lnTo>
                    <a:pt x="597" y="447"/>
                  </a:lnTo>
                  <a:lnTo>
                    <a:pt x="588" y="388"/>
                  </a:lnTo>
                  <a:lnTo>
                    <a:pt x="574" y="333"/>
                  </a:lnTo>
                  <a:lnTo>
                    <a:pt x="559" y="281"/>
                  </a:lnTo>
                  <a:lnTo>
                    <a:pt x="541" y="231"/>
                  </a:lnTo>
                  <a:lnTo>
                    <a:pt x="522" y="187"/>
                  </a:lnTo>
                  <a:lnTo>
                    <a:pt x="501" y="145"/>
                  </a:lnTo>
                  <a:lnTo>
                    <a:pt x="477" y="109"/>
                  </a:lnTo>
                  <a:lnTo>
                    <a:pt x="453" y="77"/>
                  </a:lnTo>
                  <a:lnTo>
                    <a:pt x="426" y="51"/>
                  </a:lnTo>
                  <a:lnTo>
                    <a:pt x="398" y="28"/>
                  </a:lnTo>
                  <a:lnTo>
                    <a:pt x="384" y="19"/>
                  </a:lnTo>
                  <a:lnTo>
                    <a:pt x="369" y="13"/>
                  </a:lnTo>
                  <a:lnTo>
                    <a:pt x="354" y="7"/>
                  </a:lnTo>
                  <a:lnTo>
                    <a:pt x="339" y="3"/>
                  </a:lnTo>
                  <a:lnTo>
                    <a:pt x="323" y="1"/>
                  </a:lnTo>
                  <a:lnTo>
                    <a:pt x="308" y="0"/>
                  </a:lnTo>
                  <a:lnTo>
                    <a:pt x="293" y="0"/>
                  </a:lnTo>
                  <a:lnTo>
                    <a:pt x="277" y="3"/>
                  </a:lnTo>
                  <a:lnTo>
                    <a:pt x="262" y="7"/>
                  </a:lnTo>
                  <a:lnTo>
                    <a:pt x="247" y="12"/>
                  </a:lnTo>
                  <a:lnTo>
                    <a:pt x="232" y="19"/>
                  </a:lnTo>
                  <a:lnTo>
                    <a:pt x="217" y="28"/>
                  </a:lnTo>
                  <a:lnTo>
                    <a:pt x="188" y="49"/>
                  </a:lnTo>
                  <a:lnTo>
                    <a:pt x="162" y="76"/>
                  </a:lnTo>
                  <a:lnTo>
                    <a:pt x="136" y="107"/>
                  </a:lnTo>
                  <a:lnTo>
                    <a:pt x="114" y="143"/>
                  </a:lnTo>
                  <a:lnTo>
                    <a:pt x="91" y="185"/>
                  </a:lnTo>
                  <a:lnTo>
                    <a:pt x="72" y="230"/>
                  </a:lnTo>
                  <a:lnTo>
                    <a:pt x="54" y="279"/>
                  </a:lnTo>
                  <a:lnTo>
                    <a:pt x="37" y="332"/>
                  </a:lnTo>
                  <a:lnTo>
                    <a:pt x="25" y="387"/>
                  </a:lnTo>
                  <a:lnTo>
                    <a:pt x="15" y="445"/>
                  </a:lnTo>
                  <a:lnTo>
                    <a:pt x="8" y="506"/>
                  </a:lnTo>
                  <a:lnTo>
                    <a:pt x="2" y="569"/>
                  </a:lnTo>
                  <a:lnTo>
                    <a:pt x="0" y="635"/>
                  </a:lnTo>
                  <a:lnTo>
                    <a:pt x="2" y="701"/>
                  </a:lnTo>
                  <a:lnTo>
                    <a:pt x="6" y="764"/>
                  </a:lnTo>
                  <a:lnTo>
                    <a:pt x="14" y="825"/>
                  </a:lnTo>
                  <a:lnTo>
                    <a:pt x="22" y="883"/>
                  </a:lnTo>
                  <a:lnTo>
                    <a:pt x="36" y="939"/>
                  </a:lnTo>
                  <a:lnTo>
                    <a:pt x="51" y="991"/>
                  </a:lnTo>
                  <a:lnTo>
                    <a:pt x="69" y="1040"/>
                  </a:lnTo>
                  <a:lnTo>
                    <a:pt x="88" y="1085"/>
                  </a:lnTo>
                  <a:lnTo>
                    <a:pt x="109" y="1127"/>
                  </a:lnTo>
                  <a:lnTo>
                    <a:pt x="133" y="1163"/>
                  </a:lnTo>
                  <a:lnTo>
                    <a:pt x="157" y="1196"/>
                  </a:lnTo>
                  <a:lnTo>
                    <a:pt x="184" y="1223"/>
                  </a:lnTo>
                  <a:lnTo>
                    <a:pt x="212" y="1244"/>
                  </a:lnTo>
                  <a:lnTo>
                    <a:pt x="226" y="1252"/>
                  </a:lnTo>
                  <a:lnTo>
                    <a:pt x="241" y="1260"/>
                  </a:lnTo>
                  <a:lnTo>
                    <a:pt x="256" y="1266"/>
                  </a:lnTo>
                  <a:lnTo>
                    <a:pt x="271" y="1270"/>
                  </a:lnTo>
                  <a:lnTo>
                    <a:pt x="287" y="1272"/>
                  </a:lnTo>
                  <a:lnTo>
                    <a:pt x="302" y="1273"/>
                  </a:lnTo>
                  <a:close/>
                </a:path>
              </a:pathLst>
            </a:custGeom>
            <a:solidFill>
              <a:srgbClr val="EFEFEF"/>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8779" name="Freeform 587">
              <a:extLst>
                <a:ext uri="{FF2B5EF4-FFF2-40B4-BE49-F238E27FC236}">
                  <a16:creationId xmlns:a16="http://schemas.microsoft.com/office/drawing/2014/main" id="{FC7B041C-A766-490E-9688-A74DEDD08F45}"/>
                </a:ext>
              </a:extLst>
            </xdr:cNvPr>
            <xdr:cNvSpPr>
              <a:spLocks noEditPoints="1"/>
            </xdr:cNvSpPr>
          </xdr:nvSpPr>
          <xdr:spPr bwMode="auto">
            <a:xfrm>
              <a:off x="2518" y="2274"/>
              <a:ext cx="2466" cy="1307"/>
            </a:xfrm>
            <a:custGeom>
              <a:avLst/>
              <a:gdLst>
                <a:gd name="T0" fmla="*/ 22 w 2466"/>
                <a:gd name="T1" fmla="*/ 897 h 1307"/>
                <a:gd name="T2" fmla="*/ 68 w 2466"/>
                <a:gd name="T3" fmla="*/ 1059 h 1307"/>
                <a:gd name="T4" fmla="*/ 136 w 2466"/>
                <a:gd name="T5" fmla="*/ 1187 h 1307"/>
                <a:gd name="T6" fmla="*/ 219 w 2466"/>
                <a:gd name="T7" fmla="*/ 1271 h 1307"/>
                <a:gd name="T8" fmla="*/ 279 w 2466"/>
                <a:gd name="T9" fmla="*/ 1296 h 1307"/>
                <a:gd name="T10" fmla="*/ 2145 w 2466"/>
                <a:gd name="T11" fmla="*/ 1307 h 1307"/>
                <a:gd name="T12" fmla="*/ 2197 w 2466"/>
                <a:gd name="T13" fmla="*/ 1299 h 1307"/>
                <a:gd name="T14" fmla="*/ 2245 w 2466"/>
                <a:gd name="T15" fmla="*/ 1275 h 1307"/>
                <a:gd name="T16" fmla="*/ 2329 w 2466"/>
                <a:gd name="T17" fmla="*/ 1192 h 1307"/>
                <a:gd name="T18" fmla="*/ 2412 w 2466"/>
                <a:gd name="T19" fmla="*/ 1020 h 1307"/>
                <a:gd name="T20" fmla="*/ 2451 w 2466"/>
                <a:gd name="T21" fmla="*/ 848 h 1307"/>
                <a:gd name="T22" fmla="*/ 2465 w 2466"/>
                <a:gd name="T23" fmla="*/ 594 h 1307"/>
                <a:gd name="T24" fmla="*/ 2442 w 2466"/>
                <a:gd name="T25" fmla="*/ 405 h 1307"/>
                <a:gd name="T26" fmla="*/ 2378 w 2466"/>
                <a:gd name="T27" fmla="*/ 202 h 1307"/>
                <a:gd name="T28" fmla="*/ 2305 w 2466"/>
                <a:gd name="T29" fmla="*/ 88 h 1307"/>
                <a:gd name="T30" fmla="*/ 2232 w 2466"/>
                <a:gd name="T31" fmla="*/ 27 h 1307"/>
                <a:gd name="T32" fmla="*/ 2182 w 2466"/>
                <a:gd name="T33" fmla="*/ 9 h 1307"/>
                <a:gd name="T34" fmla="*/ 306 w 2466"/>
                <a:gd name="T35" fmla="*/ 0 h 1307"/>
                <a:gd name="T36" fmla="*/ 254 w 2466"/>
                <a:gd name="T37" fmla="*/ 14 h 1307"/>
                <a:gd name="T38" fmla="*/ 192 w 2466"/>
                <a:gd name="T39" fmla="*/ 53 h 1307"/>
                <a:gd name="T40" fmla="*/ 113 w 2466"/>
                <a:gd name="T41" fmla="*/ 153 h 1307"/>
                <a:gd name="T42" fmla="*/ 38 w 2466"/>
                <a:gd name="T43" fmla="*/ 340 h 1307"/>
                <a:gd name="T44" fmla="*/ 7 w 2466"/>
                <a:gd name="T45" fmla="*/ 520 h 1307"/>
                <a:gd name="T46" fmla="*/ 27 w 2466"/>
                <a:gd name="T47" fmla="*/ 649 h 1307"/>
                <a:gd name="T48" fmla="*/ 52 w 2466"/>
                <a:gd name="T49" fmla="*/ 401 h 1307"/>
                <a:gd name="T50" fmla="*/ 79 w 2466"/>
                <a:gd name="T51" fmla="*/ 298 h 1307"/>
                <a:gd name="T52" fmla="*/ 163 w 2466"/>
                <a:gd name="T53" fmla="*/ 126 h 1307"/>
                <a:gd name="T54" fmla="*/ 212 w 2466"/>
                <a:gd name="T55" fmla="*/ 72 h 1307"/>
                <a:gd name="T56" fmla="*/ 249 w 2466"/>
                <a:gd name="T57" fmla="*/ 45 h 1307"/>
                <a:gd name="T58" fmla="*/ 290 w 2466"/>
                <a:gd name="T59" fmla="*/ 17 h 1307"/>
                <a:gd name="T60" fmla="*/ 2151 w 2466"/>
                <a:gd name="T61" fmla="*/ 33 h 1307"/>
                <a:gd name="T62" fmla="*/ 2176 w 2466"/>
                <a:gd name="T63" fmla="*/ 36 h 1307"/>
                <a:gd name="T64" fmla="*/ 2236 w 2466"/>
                <a:gd name="T65" fmla="*/ 62 h 1307"/>
                <a:gd name="T66" fmla="*/ 2285 w 2466"/>
                <a:gd name="T67" fmla="*/ 108 h 1307"/>
                <a:gd name="T68" fmla="*/ 2332 w 2466"/>
                <a:gd name="T69" fmla="*/ 172 h 1307"/>
                <a:gd name="T70" fmla="*/ 2405 w 2466"/>
                <a:gd name="T71" fmla="*/ 361 h 1307"/>
                <a:gd name="T72" fmla="*/ 2426 w 2466"/>
                <a:gd name="T73" fmla="*/ 468 h 1307"/>
                <a:gd name="T74" fmla="*/ 2438 w 2466"/>
                <a:gd name="T75" fmla="*/ 724 h 1307"/>
                <a:gd name="T76" fmla="*/ 2427 w 2466"/>
                <a:gd name="T77" fmla="*/ 906 h 1307"/>
                <a:gd name="T78" fmla="*/ 2369 w 2466"/>
                <a:gd name="T79" fmla="*/ 1059 h 1307"/>
                <a:gd name="T80" fmla="*/ 2317 w 2466"/>
                <a:gd name="T81" fmla="*/ 1186 h 1307"/>
                <a:gd name="T82" fmla="*/ 2226 w 2466"/>
                <a:gd name="T83" fmla="*/ 1256 h 1307"/>
                <a:gd name="T84" fmla="*/ 2202 w 2466"/>
                <a:gd name="T85" fmla="*/ 1268 h 1307"/>
                <a:gd name="T86" fmla="*/ 2176 w 2466"/>
                <a:gd name="T87" fmla="*/ 1277 h 1307"/>
                <a:gd name="T88" fmla="*/ 300 w 2466"/>
                <a:gd name="T89" fmla="*/ 1272 h 1307"/>
                <a:gd name="T90" fmla="*/ 275 w 2466"/>
                <a:gd name="T91" fmla="*/ 1266 h 1307"/>
                <a:gd name="T92" fmla="*/ 225 w 2466"/>
                <a:gd name="T93" fmla="*/ 1258 h 1307"/>
                <a:gd name="T94" fmla="*/ 155 w 2466"/>
                <a:gd name="T95" fmla="*/ 1168 h 1307"/>
                <a:gd name="T96" fmla="*/ 113 w 2466"/>
                <a:gd name="T97" fmla="*/ 1095 h 1307"/>
                <a:gd name="T98" fmla="*/ 49 w 2466"/>
                <a:gd name="T99" fmla="*/ 891 h 1307"/>
                <a:gd name="T100" fmla="*/ 32 w 2466"/>
                <a:gd name="T101" fmla="*/ 778 h 130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Lst>
              <a:rect l="0" t="0" r="r" b="b"/>
              <a:pathLst>
                <a:path w="2466" h="1307">
                  <a:moveTo>
                    <a:pt x="1" y="715"/>
                  </a:moveTo>
                  <a:lnTo>
                    <a:pt x="6" y="778"/>
                  </a:lnTo>
                  <a:lnTo>
                    <a:pt x="13" y="839"/>
                  </a:lnTo>
                  <a:lnTo>
                    <a:pt x="22" y="897"/>
                  </a:lnTo>
                  <a:lnTo>
                    <a:pt x="24" y="902"/>
                  </a:lnTo>
                  <a:lnTo>
                    <a:pt x="35" y="957"/>
                  </a:lnTo>
                  <a:lnTo>
                    <a:pt x="50" y="1011"/>
                  </a:lnTo>
                  <a:lnTo>
                    <a:pt x="68" y="1059"/>
                  </a:lnTo>
                  <a:lnTo>
                    <a:pt x="88" y="1105"/>
                  </a:lnTo>
                  <a:lnTo>
                    <a:pt x="110" y="1145"/>
                  </a:lnTo>
                  <a:lnTo>
                    <a:pt x="133" y="1183"/>
                  </a:lnTo>
                  <a:lnTo>
                    <a:pt x="136" y="1187"/>
                  </a:lnTo>
                  <a:lnTo>
                    <a:pt x="161" y="1219"/>
                  </a:lnTo>
                  <a:lnTo>
                    <a:pt x="188" y="1246"/>
                  </a:lnTo>
                  <a:lnTo>
                    <a:pt x="215" y="1268"/>
                  </a:lnTo>
                  <a:lnTo>
                    <a:pt x="219" y="1271"/>
                  </a:lnTo>
                  <a:lnTo>
                    <a:pt x="234" y="1280"/>
                  </a:lnTo>
                  <a:lnTo>
                    <a:pt x="249" y="1287"/>
                  </a:lnTo>
                  <a:lnTo>
                    <a:pt x="264" y="1292"/>
                  </a:lnTo>
                  <a:lnTo>
                    <a:pt x="279" y="1296"/>
                  </a:lnTo>
                  <a:lnTo>
                    <a:pt x="284" y="1298"/>
                  </a:lnTo>
                  <a:lnTo>
                    <a:pt x="300" y="1299"/>
                  </a:lnTo>
                  <a:lnTo>
                    <a:pt x="315" y="1301"/>
                  </a:lnTo>
                  <a:lnTo>
                    <a:pt x="2145" y="1307"/>
                  </a:lnTo>
                  <a:lnTo>
                    <a:pt x="2161" y="1307"/>
                  </a:lnTo>
                  <a:lnTo>
                    <a:pt x="2176" y="1304"/>
                  </a:lnTo>
                  <a:lnTo>
                    <a:pt x="2181" y="1304"/>
                  </a:lnTo>
                  <a:lnTo>
                    <a:pt x="2197" y="1299"/>
                  </a:lnTo>
                  <a:lnTo>
                    <a:pt x="2212" y="1293"/>
                  </a:lnTo>
                  <a:lnTo>
                    <a:pt x="2227" y="1287"/>
                  </a:lnTo>
                  <a:lnTo>
                    <a:pt x="2241" y="1278"/>
                  </a:lnTo>
                  <a:lnTo>
                    <a:pt x="2245" y="1275"/>
                  </a:lnTo>
                  <a:lnTo>
                    <a:pt x="2273" y="1255"/>
                  </a:lnTo>
                  <a:lnTo>
                    <a:pt x="2300" y="1228"/>
                  </a:lnTo>
                  <a:lnTo>
                    <a:pt x="2326" y="1196"/>
                  </a:lnTo>
                  <a:lnTo>
                    <a:pt x="2329" y="1192"/>
                  </a:lnTo>
                  <a:lnTo>
                    <a:pt x="2353" y="1154"/>
                  </a:lnTo>
                  <a:lnTo>
                    <a:pt x="2375" y="1114"/>
                  </a:lnTo>
                  <a:lnTo>
                    <a:pt x="2395" y="1069"/>
                  </a:lnTo>
                  <a:lnTo>
                    <a:pt x="2412" y="1020"/>
                  </a:lnTo>
                  <a:lnTo>
                    <a:pt x="2427" y="967"/>
                  </a:lnTo>
                  <a:lnTo>
                    <a:pt x="2441" y="912"/>
                  </a:lnTo>
                  <a:lnTo>
                    <a:pt x="2441" y="906"/>
                  </a:lnTo>
                  <a:lnTo>
                    <a:pt x="2451" y="848"/>
                  </a:lnTo>
                  <a:lnTo>
                    <a:pt x="2460" y="787"/>
                  </a:lnTo>
                  <a:lnTo>
                    <a:pt x="2465" y="724"/>
                  </a:lnTo>
                  <a:lnTo>
                    <a:pt x="2466" y="658"/>
                  </a:lnTo>
                  <a:lnTo>
                    <a:pt x="2465" y="594"/>
                  </a:lnTo>
                  <a:lnTo>
                    <a:pt x="2460" y="529"/>
                  </a:lnTo>
                  <a:lnTo>
                    <a:pt x="2453" y="468"/>
                  </a:lnTo>
                  <a:lnTo>
                    <a:pt x="2444" y="410"/>
                  </a:lnTo>
                  <a:lnTo>
                    <a:pt x="2442" y="405"/>
                  </a:lnTo>
                  <a:lnTo>
                    <a:pt x="2430" y="350"/>
                  </a:lnTo>
                  <a:lnTo>
                    <a:pt x="2415" y="296"/>
                  </a:lnTo>
                  <a:lnTo>
                    <a:pt x="2398" y="248"/>
                  </a:lnTo>
                  <a:lnTo>
                    <a:pt x="2378" y="202"/>
                  </a:lnTo>
                  <a:lnTo>
                    <a:pt x="2357" y="162"/>
                  </a:lnTo>
                  <a:lnTo>
                    <a:pt x="2333" y="124"/>
                  </a:lnTo>
                  <a:lnTo>
                    <a:pt x="2330" y="120"/>
                  </a:lnTo>
                  <a:lnTo>
                    <a:pt x="2305" y="88"/>
                  </a:lnTo>
                  <a:lnTo>
                    <a:pt x="2278" y="62"/>
                  </a:lnTo>
                  <a:lnTo>
                    <a:pt x="2251" y="39"/>
                  </a:lnTo>
                  <a:lnTo>
                    <a:pt x="2247" y="36"/>
                  </a:lnTo>
                  <a:lnTo>
                    <a:pt x="2232" y="27"/>
                  </a:lnTo>
                  <a:lnTo>
                    <a:pt x="2217" y="21"/>
                  </a:lnTo>
                  <a:lnTo>
                    <a:pt x="2202" y="15"/>
                  </a:lnTo>
                  <a:lnTo>
                    <a:pt x="2187" y="11"/>
                  </a:lnTo>
                  <a:lnTo>
                    <a:pt x="2182" y="9"/>
                  </a:lnTo>
                  <a:lnTo>
                    <a:pt x="2166" y="8"/>
                  </a:lnTo>
                  <a:lnTo>
                    <a:pt x="2151" y="6"/>
                  </a:lnTo>
                  <a:lnTo>
                    <a:pt x="321" y="0"/>
                  </a:lnTo>
                  <a:lnTo>
                    <a:pt x="306" y="0"/>
                  </a:lnTo>
                  <a:lnTo>
                    <a:pt x="290" y="3"/>
                  </a:lnTo>
                  <a:lnTo>
                    <a:pt x="285" y="5"/>
                  </a:lnTo>
                  <a:lnTo>
                    <a:pt x="269" y="8"/>
                  </a:lnTo>
                  <a:lnTo>
                    <a:pt x="254" y="14"/>
                  </a:lnTo>
                  <a:lnTo>
                    <a:pt x="239" y="20"/>
                  </a:lnTo>
                  <a:lnTo>
                    <a:pt x="225" y="29"/>
                  </a:lnTo>
                  <a:lnTo>
                    <a:pt x="221" y="32"/>
                  </a:lnTo>
                  <a:lnTo>
                    <a:pt x="192" y="53"/>
                  </a:lnTo>
                  <a:lnTo>
                    <a:pt x="166" y="79"/>
                  </a:lnTo>
                  <a:lnTo>
                    <a:pt x="140" y="111"/>
                  </a:lnTo>
                  <a:lnTo>
                    <a:pt x="137" y="115"/>
                  </a:lnTo>
                  <a:lnTo>
                    <a:pt x="113" y="153"/>
                  </a:lnTo>
                  <a:lnTo>
                    <a:pt x="92" y="193"/>
                  </a:lnTo>
                  <a:lnTo>
                    <a:pt x="71" y="238"/>
                  </a:lnTo>
                  <a:lnTo>
                    <a:pt x="53" y="287"/>
                  </a:lnTo>
                  <a:lnTo>
                    <a:pt x="38" y="340"/>
                  </a:lnTo>
                  <a:lnTo>
                    <a:pt x="25" y="395"/>
                  </a:lnTo>
                  <a:lnTo>
                    <a:pt x="25" y="401"/>
                  </a:lnTo>
                  <a:lnTo>
                    <a:pt x="15" y="459"/>
                  </a:lnTo>
                  <a:lnTo>
                    <a:pt x="7" y="520"/>
                  </a:lnTo>
                  <a:lnTo>
                    <a:pt x="1" y="583"/>
                  </a:lnTo>
                  <a:lnTo>
                    <a:pt x="0" y="649"/>
                  </a:lnTo>
                  <a:lnTo>
                    <a:pt x="1" y="715"/>
                  </a:lnTo>
                  <a:close/>
                  <a:moveTo>
                    <a:pt x="27" y="649"/>
                  </a:moveTo>
                  <a:lnTo>
                    <a:pt x="28" y="583"/>
                  </a:lnTo>
                  <a:lnTo>
                    <a:pt x="34" y="520"/>
                  </a:lnTo>
                  <a:lnTo>
                    <a:pt x="41" y="459"/>
                  </a:lnTo>
                  <a:lnTo>
                    <a:pt x="52" y="401"/>
                  </a:lnTo>
                  <a:lnTo>
                    <a:pt x="38" y="401"/>
                  </a:lnTo>
                  <a:lnTo>
                    <a:pt x="50" y="405"/>
                  </a:lnTo>
                  <a:lnTo>
                    <a:pt x="64" y="350"/>
                  </a:lnTo>
                  <a:lnTo>
                    <a:pt x="79" y="298"/>
                  </a:lnTo>
                  <a:lnTo>
                    <a:pt x="97" y="248"/>
                  </a:lnTo>
                  <a:lnTo>
                    <a:pt x="118" y="204"/>
                  </a:lnTo>
                  <a:lnTo>
                    <a:pt x="139" y="163"/>
                  </a:lnTo>
                  <a:lnTo>
                    <a:pt x="163" y="126"/>
                  </a:lnTo>
                  <a:lnTo>
                    <a:pt x="149" y="121"/>
                  </a:lnTo>
                  <a:lnTo>
                    <a:pt x="160" y="130"/>
                  </a:lnTo>
                  <a:lnTo>
                    <a:pt x="185" y="99"/>
                  </a:lnTo>
                  <a:lnTo>
                    <a:pt x="212" y="72"/>
                  </a:lnTo>
                  <a:lnTo>
                    <a:pt x="240" y="51"/>
                  </a:lnTo>
                  <a:lnTo>
                    <a:pt x="230" y="42"/>
                  </a:lnTo>
                  <a:lnTo>
                    <a:pt x="236" y="54"/>
                  </a:lnTo>
                  <a:lnTo>
                    <a:pt x="249" y="45"/>
                  </a:lnTo>
                  <a:lnTo>
                    <a:pt x="264" y="39"/>
                  </a:lnTo>
                  <a:lnTo>
                    <a:pt x="279" y="33"/>
                  </a:lnTo>
                  <a:lnTo>
                    <a:pt x="296" y="30"/>
                  </a:lnTo>
                  <a:lnTo>
                    <a:pt x="290" y="17"/>
                  </a:lnTo>
                  <a:lnTo>
                    <a:pt x="290" y="30"/>
                  </a:lnTo>
                  <a:lnTo>
                    <a:pt x="306" y="27"/>
                  </a:lnTo>
                  <a:lnTo>
                    <a:pt x="321" y="27"/>
                  </a:lnTo>
                  <a:lnTo>
                    <a:pt x="2151" y="33"/>
                  </a:lnTo>
                  <a:lnTo>
                    <a:pt x="2166" y="35"/>
                  </a:lnTo>
                  <a:lnTo>
                    <a:pt x="2182" y="36"/>
                  </a:lnTo>
                  <a:lnTo>
                    <a:pt x="2182" y="23"/>
                  </a:lnTo>
                  <a:lnTo>
                    <a:pt x="2176" y="36"/>
                  </a:lnTo>
                  <a:lnTo>
                    <a:pt x="2191" y="41"/>
                  </a:lnTo>
                  <a:lnTo>
                    <a:pt x="2206" y="47"/>
                  </a:lnTo>
                  <a:lnTo>
                    <a:pt x="2221" y="53"/>
                  </a:lnTo>
                  <a:lnTo>
                    <a:pt x="2236" y="62"/>
                  </a:lnTo>
                  <a:lnTo>
                    <a:pt x="2241" y="50"/>
                  </a:lnTo>
                  <a:lnTo>
                    <a:pt x="2232" y="59"/>
                  </a:lnTo>
                  <a:lnTo>
                    <a:pt x="2259" y="81"/>
                  </a:lnTo>
                  <a:lnTo>
                    <a:pt x="2285" y="108"/>
                  </a:lnTo>
                  <a:lnTo>
                    <a:pt x="2311" y="139"/>
                  </a:lnTo>
                  <a:lnTo>
                    <a:pt x="2320" y="130"/>
                  </a:lnTo>
                  <a:lnTo>
                    <a:pt x="2308" y="135"/>
                  </a:lnTo>
                  <a:lnTo>
                    <a:pt x="2332" y="172"/>
                  </a:lnTo>
                  <a:lnTo>
                    <a:pt x="2353" y="213"/>
                  </a:lnTo>
                  <a:lnTo>
                    <a:pt x="2372" y="259"/>
                  </a:lnTo>
                  <a:lnTo>
                    <a:pt x="2390" y="307"/>
                  </a:lnTo>
                  <a:lnTo>
                    <a:pt x="2405" y="361"/>
                  </a:lnTo>
                  <a:lnTo>
                    <a:pt x="2417" y="416"/>
                  </a:lnTo>
                  <a:lnTo>
                    <a:pt x="2430" y="410"/>
                  </a:lnTo>
                  <a:lnTo>
                    <a:pt x="2417" y="410"/>
                  </a:lnTo>
                  <a:lnTo>
                    <a:pt x="2426" y="468"/>
                  </a:lnTo>
                  <a:lnTo>
                    <a:pt x="2433" y="529"/>
                  </a:lnTo>
                  <a:lnTo>
                    <a:pt x="2438" y="594"/>
                  </a:lnTo>
                  <a:lnTo>
                    <a:pt x="2439" y="658"/>
                  </a:lnTo>
                  <a:lnTo>
                    <a:pt x="2438" y="724"/>
                  </a:lnTo>
                  <a:lnTo>
                    <a:pt x="2433" y="787"/>
                  </a:lnTo>
                  <a:lnTo>
                    <a:pt x="2424" y="848"/>
                  </a:lnTo>
                  <a:lnTo>
                    <a:pt x="2414" y="906"/>
                  </a:lnTo>
                  <a:lnTo>
                    <a:pt x="2427" y="906"/>
                  </a:lnTo>
                  <a:lnTo>
                    <a:pt x="2415" y="902"/>
                  </a:lnTo>
                  <a:lnTo>
                    <a:pt x="2402" y="957"/>
                  </a:lnTo>
                  <a:lnTo>
                    <a:pt x="2387" y="1009"/>
                  </a:lnTo>
                  <a:lnTo>
                    <a:pt x="2369" y="1059"/>
                  </a:lnTo>
                  <a:lnTo>
                    <a:pt x="2350" y="1104"/>
                  </a:lnTo>
                  <a:lnTo>
                    <a:pt x="2327" y="1144"/>
                  </a:lnTo>
                  <a:lnTo>
                    <a:pt x="2303" y="1181"/>
                  </a:lnTo>
                  <a:lnTo>
                    <a:pt x="2317" y="1186"/>
                  </a:lnTo>
                  <a:lnTo>
                    <a:pt x="2306" y="1177"/>
                  </a:lnTo>
                  <a:lnTo>
                    <a:pt x="2281" y="1208"/>
                  </a:lnTo>
                  <a:lnTo>
                    <a:pt x="2254" y="1235"/>
                  </a:lnTo>
                  <a:lnTo>
                    <a:pt x="2226" y="1256"/>
                  </a:lnTo>
                  <a:lnTo>
                    <a:pt x="2236" y="1265"/>
                  </a:lnTo>
                  <a:lnTo>
                    <a:pt x="2230" y="1253"/>
                  </a:lnTo>
                  <a:lnTo>
                    <a:pt x="2217" y="1262"/>
                  </a:lnTo>
                  <a:lnTo>
                    <a:pt x="2202" y="1268"/>
                  </a:lnTo>
                  <a:lnTo>
                    <a:pt x="2187" y="1274"/>
                  </a:lnTo>
                  <a:lnTo>
                    <a:pt x="2170" y="1278"/>
                  </a:lnTo>
                  <a:lnTo>
                    <a:pt x="2176" y="1290"/>
                  </a:lnTo>
                  <a:lnTo>
                    <a:pt x="2176" y="1277"/>
                  </a:lnTo>
                  <a:lnTo>
                    <a:pt x="2161" y="1280"/>
                  </a:lnTo>
                  <a:lnTo>
                    <a:pt x="2145" y="1280"/>
                  </a:lnTo>
                  <a:lnTo>
                    <a:pt x="315" y="1274"/>
                  </a:lnTo>
                  <a:lnTo>
                    <a:pt x="300" y="1272"/>
                  </a:lnTo>
                  <a:lnTo>
                    <a:pt x="284" y="1271"/>
                  </a:lnTo>
                  <a:lnTo>
                    <a:pt x="284" y="1284"/>
                  </a:lnTo>
                  <a:lnTo>
                    <a:pt x="290" y="1271"/>
                  </a:lnTo>
                  <a:lnTo>
                    <a:pt x="275" y="1266"/>
                  </a:lnTo>
                  <a:lnTo>
                    <a:pt x="260" y="1262"/>
                  </a:lnTo>
                  <a:lnTo>
                    <a:pt x="245" y="1255"/>
                  </a:lnTo>
                  <a:lnTo>
                    <a:pt x="230" y="1246"/>
                  </a:lnTo>
                  <a:lnTo>
                    <a:pt x="225" y="1258"/>
                  </a:lnTo>
                  <a:lnTo>
                    <a:pt x="234" y="1249"/>
                  </a:lnTo>
                  <a:lnTo>
                    <a:pt x="207" y="1226"/>
                  </a:lnTo>
                  <a:lnTo>
                    <a:pt x="180" y="1199"/>
                  </a:lnTo>
                  <a:lnTo>
                    <a:pt x="155" y="1168"/>
                  </a:lnTo>
                  <a:lnTo>
                    <a:pt x="146" y="1177"/>
                  </a:lnTo>
                  <a:lnTo>
                    <a:pt x="158" y="1172"/>
                  </a:lnTo>
                  <a:lnTo>
                    <a:pt x="136" y="1135"/>
                  </a:lnTo>
                  <a:lnTo>
                    <a:pt x="113" y="1095"/>
                  </a:lnTo>
                  <a:lnTo>
                    <a:pt x="94" y="1048"/>
                  </a:lnTo>
                  <a:lnTo>
                    <a:pt x="76" y="1000"/>
                  </a:lnTo>
                  <a:lnTo>
                    <a:pt x="61" y="947"/>
                  </a:lnTo>
                  <a:lnTo>
                    <a:pt x="49" y="891"/>
                  </a:lnTo>
                  <a:lnTo>
                    <a:pt x="35" y="897"/>
                  </a:lnTo>
                  <a:lnTo>
                    <a:pt x="49" y="897"/>
                  </a:lnTo>
                  <a:lnTo>
                    <a:pt x="40" y="839"/>
                  </a:lnTo>
                  <a:lnTo>
                    <a:pt x="32" y="778"/>
                  </a:lnTo>
                  <a:lnTo>
                    <a:pt x="28" y="715"/>
                  </a:lnTo>
                  <a:lnTo>
                    <a:pt x="27" y="649"/>
                  </a:lnTo>
                  <a:close/>
                </a:path>
              </a:pathLst>
            </a:custGeom>
            <a:solidFill>
              <a:srgbClr val="000000"/>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8780" name="Freeform 588">
              <a:extLst>
                <a:ext uri="{FF2B5EF4-FFF2-40B4-BE49-F238E27FC236}">
                  <a16:creationId xmlns:a16="http://schemas.microsoft.com/office/drawing/2014/main" id="{EB4CA9D4-543D-4CCE-B9FC-69DFBEC35833}"/>
                </a:ext>
              </a:extLst>
            </xdr:cNvPr>
            <xdr:cNvSpPr>
              <a:spLocks/>
            </xdr:cNvSpPr>
          </xdr:nvSpPr>
          <xdr:spPr bwMode="auto">
            <a:xfrm>
              <a:off x="2833" y="2274"/>
              <a:ext cx="321" cy="1301"/>
            </a:xfrm>
            <a:custGeom>
              <a:avLst/>
              <a:gdLst>
                <a:gd name="T0" fmla="*/ 0 w 321"/>
                <a:gd name="T1" fmla="*/ 1301 h 1301"/>
                <a:gd name="T2" fmla="*/ 31 w 321"/>
                <a:gd name="T3" fmla="*/ 1298 h 1301"/>
                <a:gd name="T4" fmla="*/ 52 w 321"/>
                <a:gd name="T5" fmla="*/ 1293 h 1301"/>
                <a:gd name="T6" fmla="*/ 82 w 321"/>
                <a:gd name="T7" fmla="*/ 1280 h 1301"/>
                <a:gd name="T8" fmla="*/ 100 w 321"/>
                <a:gd name="T9" fmla="*/ 1268 h 1301"/>
                <a:gd name="T10" fmla="*/ 156 w 321"/>
                <a:gd name="T11" fmla="*/ 1220 h 1301"/>
                <a:gd name="T12" fmla="*/ 184 w 321"/>
                <a:gd name="T13" fmla="*/ 1184 h 1301"/>
                <a:gd name="T14" fmla="*/ 230 w 321"/>
                <a:gd name="T15" fmla="*/ 1107 h 1301"/>
                <a:gd name="T16" fmla="*/ 268 w 321"/>
                <a:gd name="T17" fmla="*/ 1012 h 1301"/>
                <a:gd name="T18" fmla="*/ 296 w 321"/>
                <a:gd name="T19" fmla="*/ 905 h 1301"/>
                <a:gd name="T20" fmla="*/ 307 w 321"/>
                <a:gd name="T21" fmla="*/ 840 h 1301"/>
                <a:gd name="T22" fmla="*/ 320 w 321"/>
                <a:gd name="T23" fmla="*/ 716 h 1301"/>
                <a:gd name="T24" fmla="*/ 320 w 321"/>
                <a:gd name="T25" fmla="*/ 586 h 1301"/>
                <a:gd name="T26" fmla="*/ 308 w 321"/>
                <a:gd name="T27" fmla="*/ 461 h 1301"/>
                <a:gd name="T28" fmla="*/ 298 w 321"/>
                <a:gd name="T29" fmla="*/ 398 h 1301"/>
                <a:gd name="T30" fmla="*/ 271 w 321"/>
                <a:gd name="T31" fmla="*/ 289 h 1301"/>
                <a:gd name="T32" fmla="*/ 233 w 321"/>
                <a:gd name="T33" fmla="*/ 195 h 1301"/>
                <a:gd name="T34" fmla="*/ 188 w 321"/>
                <a:gd name="T35" fmla="*/ 117 h 1301"/>
                <a:gd name="T36" fmla="*/ 160 w 321"/>
                <a:gd name="T37" fmla="*/ 81 h 1301"/>
                <a:gd name="T38" fmla="*/ 106 w 321"/>
                <a:gd name="T39" fmla="*/ 33 h 1301"/>
                <a:gd name="T40" fmla="*/ 87 w 321"/>
                <a:gd name="T41" fmla="*/ 21 h 1301"/>
                <a:gd name="T42" fmla="*/ 57 w 321"/>
                <a:gd name="T43" fmla="*/ 8 h 1301"/>
                <a:gd name="T44" fmla="*/ 37 w 321"/>
                <a:gd name="T45" fmla="*/ 3 h 1301"/>
                <a:gd name="T46" fmla="*/ 6 w 321"/>
                <a:gd name="T47" fmla="*/ 0 h 1301"/>
                <a:gd name="T48" fmla="*/ 21 w 321"/>
                <a:gd name="T49" fmla="*/ 29 h 1301"/>
                <a:gd name="T50" fmla="*/ 37 w 321"/>
                <a:gd name="T51" fmla="*/ 17 h 1301"/>
                <a:gd name="T52" fmla="*/ 46 w 321"/>
                <a:gd name="T53" fmla="*/ 33 h 1301"/>
                <a:gd name="T54" fmla="*/ 76 w 321"/>
                <a:gd name="T55" fmla="*/ 47 h 1301"/>
                <a:gd name="T56" fmla="*/ 96 w 321"/>
                <a:gd name="T57" fmla="*/ 42 h 1301"/>
                <a:gd name="T58" fmla="*/ 114 w 321"/>
                <a:gd name="T59" fmla="*/ 73 h 1301"/>
                <a:gd name="T60" fmla="*/ 166 w 321"/>
                <a:gd name="T61" fmla="*/ 132 h 1301"/>
                <a:gd name="T62" fmla="*/ 163 w 321"/>
                <a:gd name="T63" fmla="*/ 127 h 1301"/>
                <a:gd name="T64" fmla="*/ 208 w 321"/>
                <a:gd name="T65" fmla="*/ 205 h 1301"/>
                <a:gd name="T66" fmla="*/ 245 w 321"/>
                <a:gd name="T67" fmla="*/ 299 h 1301"/>
                <a:gd name="T68" fmla="*/ 272 w 321"/>
                <a:gd name="T69" fmla="*/ 408 h 1301"/>
                <a:gd name="T70" fmla="*/ 272 w 321"/>
                <a:gd name="T71" fmla="*/ 402 h 1301"/>
                <a:gd name="T72" fmla="*/ 289 w 321"/>
                <a:gd name="T73" fmla="*/ 522 h 1301"/>
                <a:gd name="T74" fmla="*/ 295 w 321"/>
                <a:gd name="T75" fmla="*/ 651 h 1301"/>
                <a:gd name="T76" fmla="*/ 289 w 321"/>
                <a:gd name="T77" fmla="*/ 779 h 1301"/>
                <a:gd name="T78" fmla="*/ 269 w 321"/>
                <a:gd name="T79" fmla="*/ 899 h 1301"/>
                <a:gd name="T80" fmla="*/ 271 w 321"/>
                <a:gd name="T81" fmla="*/ 894 h 1301"/>
                <a:gd name="T82" fmla="*/ 242 w 321"/>
                <a:gd name="T83" fmla="*/ 1002 h 1301"/>
                <a:gd name="T84" fmla="*/ 205 w 321"/>
                <a:gd name="T85" fmla="*/ 1096 h 1301"/>
                <a:gd name="T86" fmla="*/ 158 w 321"/>
                <a:gd name="T87" fmla="*/ 1174 h 1301"/>
                <a:gd name="T88" fmla="*/ 161 w 321"/>
                <a:gd name="T89" fmla="*/ 1169 h 1301"/>
                <a:gd name="T90" fmla="*/ 109 w 321"/>
                <a:gd name="T91" fmla="*/ 1228 h 1301"/>
                <a:gd name="T92" fmla="*/ 91 w 321"/>
                <a:gd name="T93" fmla="*/ 1259 h 1301"/>
                <a:gd name="T94" fmla="*/ 72 w 321"/>
                <a:gd name="T95" fmla="*/ 1255 h 1301"/>
                <a:gd name="T96" fmla="*/ 42 w 321"/>
                <a:gd name="T97" fmla="*/ 1268 h 1301"/>
                <a:gd name="T98" fmla="*/ 31 w 321"/>
                <a:gd name="T99" fmla="*/ 1284 h 1301"/>
                <a:gd name="T100" fmla="*/ 16 w 321"/>
                <a:gd name="T101" fmla="*/ 1272 h 130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Lst>
              <a:rect l="0" t="0" r="r" b="b"/>
              <a:pathLst>
                <a:path w="321" h="1301">
                  <a:moveTo>
                    <a:pt x="0" y="1274"/>
                  </a:moveTo>
                  <a:lnTo>
                    <a:pt x="0" y="1301"/>
                  </a:lnTo>
                  <a:lnTo>
                    <a:pt x="16" y="1299"/>
                  </a:lnTo>
                  <a:lnTo>
                    <a:pt x="31" y="1298"/>
                  </a:lnTo>
                  <a:lnTo>
                    <a:pt x="36" y="1296"/>
                  </a:lnTo>
                  <a:lnTo>
                    <a:pt x="52" y="1293"/>
                  </a:lnTo>
                  <a:lnTo>
                    <a:pt x="67" y="1287"/>
                  </a:lnTo>
                  <a:lnTo>
                    <a:pt x="82" y="1280"/>
                  </a:lnTo>
                  <a:lnTo>
                    <a:pt x="96" y="1271"/>
                  </a:lnTo>
                  <a:lnTo>
                    <a:pt x="100" y="1268"/>
                  </a:lnTo>
                  <a:lnTo>
                    <a:pt x="129" y="1247"/>
                  </a:lnTo>
                  <a:lnTo>
                    <a:pt x="156" y="1220"/>
                  </a:lnTo>
                  <a:lnTo>
                    <a:pt x="181" y="1189"/>
                  </a:lnTo>
                  <a:lnTo>
                    <a:pt x="184" y="1184"/>
                  </a:lnTo>
                  <a:lnTo>
                    <a:pt x="208" y="1147"/>
                  </a:lnTo>
                  <a:lnTo>
                    <a:pt x="230" y="1107"/>
                  </a:lnTo>
                  <a:lnTo>
                    <a:pt x="250" y="1062"/>
                  </a:lnTo>
                  <a:lnTo>
                    <a:pt x="268" y="1012"/>
                  </a:lnTo>
                  <a:lnTo>
                    <a:pt x="283" y="960"/>
                  </a:lnTo>
                  <a:lnTo>
                    <a:pt x="296" y="905"/>
                  </a:lnTo>
                  <a:lnTo>
                    <a:pt x="296" y="899"/>
                  </a:lnTo>
                  <a:lnTo>
                    <a:pt x="307" y="840"/>
                  </a:lnTo>
                  <a:lnTo>
                    <a:pt x="315" y="779"/>
                  </a:lnTo>
                  <a:lnTo>
                    <a:pt x="320" y="716"/>
                  </a:lnTo>
                  <a:lnTo>
                    <a:pt x="321" y="651"/>
                  </a:lnTo>
                  <a:lnTo>
                    <a:pt x="320" y="586"/>
                  </a:lnTo>
                  <a:lnTo>
                    <a:pt x="315" y="522"/>
                  </a:lnTo>
                  <a:lnTo>
                    <a:pt x="308" y="461"/>
                  </a:lnTo>
                  <a:lnTo>
                    <a:pt x="299" y="402"/>
                  </a:lnTo>
                  <a:lnTo>
                    <a:pt x="298" y="398"/>
                  </a:lnTo>
                  <a:lnTo>
                    <a:pt x="286" y="343"/>
                  </a:lnTo>
                  <a:lnTo>
                    <a:pt x="271" y="289"/>
                  </a:lnTo>
                  <a:lnTo>
                    <a:pt x="253" y="241"/>
                  </a:lnTo>
                  <a:lnTo>
                    <a:pt x="233" y="195"/>
                  </a:lnTo>
                  <a:lnTo>
                    <a:pt x="212" y="154"/>
                  </a:lnTo>
                  <a:lnTo>
                    <a:pt x="188" y="117"/>
                  </a:lnTo>
                  <a:lnTo>
                    <a:pt x="185" y="112"/>
                  </a:lnTo>
                  <a:lnTo>
                    <a:pt x="160" y="81"/>
                  </a:lnTo>
                  <a:lnTo>
                    <a:pt x="133" y="54"/>
                  </a:lnTo>
                  <a:lnTo>
                    <a:pt x="106" y="33"/>
                  </a:lnTo>
                  <a:lnTo>
                    <a:pt x="102" y="30"/>
                  </a:lnTo>
                  <a:lnTo>
                    <a:pt x="87" y="21"/>
                  </a:lnTo>
                  <a:lnTo>
                    <a:pt x="72" y="14"/>
                  </a:lnTo>
                  <a:lnTo>
                    <a:pt x="57" y="8"/>
                  </a:lnTo>
                  <a:lnTo>
                    <a:pt x="42" y="5"/>
                  </a:lnTo>
                  <a:lnTo>
                    <a:pt x="37" y="3"/>
                  </a:lnTo>
                  <a:lnTo>
                    <a:pt x="21" y="2"/>
                  </a:lnTo>
                  <a:lnTo>
                    <a:pt x="6" y="0"/>
                  </a:lnTo>
                  <a:lnTo>
                    <a:pt x="6" y="27"/>
                  </a:lnTo>
                  <a:lnTo>
                    <a:pt x="21" y="29"/>
                  </a:lnTo>
                  <a:lnTo>
                    <a:pt x="37" y="30"/>
                  </a:lnTo>
                  <a:lnTo>
                    <a:pt x="37" y="17"/>
                  </a:lnTo>
                  <a:lnTo>
                    <a:pt x="31" y="30"/>
                  </a:lnTo>
                  <a:lnTo>
                    <a:pt x="46" y="33"/>
                  </a:lnTo>
                  <a:lnTo>
                    <a:pt x="61" y="39"/>
                  </a:lnTo>
                  <a:lnTo>
                    <a:pt x="76" y="47"/>
                  </a:lnTo>
                  <a:lnTo>
                    <a:pt x="91" y="56"/>
                  </a:lnTo>
                  <a:lnTo>
                    <a:pt x="96" y="42"/>
                  </a:lnTo>
                  <a:lnTo>
                    <a:pt x="87" y="53"/>
                  </a:lnTo>
                  <a:lnTo>
                    <a:pt x="114" y="73"/>
                  </a:lnTo>
                  <a:lnTo>
                    <a:pt x="141" y="100"/>
                  </a:lnTo>
                  <a:lnTo>
                    <a:pt x="166" y="132"/>
                  </a:lnTo>
                  <a:lnTo>
                    <a:pt x="175" y="123"/>
                  </a:lnTo>
                  <a:lnTo>
                    <a:pt x="163" y="127"/>
                  </a:lnTo>
                  <a:lnTo>
                    <a:pt x="187" y="165"/>
                  </a:lnTo>
                  <a:lnTo>
                    <a:pt x="208" y="205"/>
                  </a:lnTo>
                  <a:lnTo>
                    <a:pt x="227" y="251"/>
                  </a:lnTo>
                  <a:lnTo>
                    <a:pt x="245" y="299"/>
                  </a:lnTo>
                  <a:lnTo>
                    <a:pt x="260" y="353"/>
                  </a:lnTo>
                  <a:lnTo>
                    <a:pt x="272" y="408"/>
                  </a:lnTo>
                  <a:lnTo>
                    <a:pt x="286" y="402"/>
                  </a:lnTo>
                  <a:lnTo>
                    <a:pt x="272" y="402"/>
                  </a:lnTo>
                  <a:lnTo>
                    <a:pt x="281" y="461"/>
                  </a:lnTo>
                  <a:lnTo>
                    <a:pt x="289" y="522"/>
                  </a:lnTo>
                  <a:lnTo>
                    <a:pt x="293" y="586"/>
                  </a:lnTo>
                  <a:lnTo>
                    <a:pt x="295" y="651"/>
                  </a:lnTo>
                  <a:lnTo>
                    <a:pt x="293" y="716"/>
                  </a:lnTo>
                  <a:lnTo>
                    <a:pt x="289" y="779"/>
                  </a:lnTo>
                  <a:lnTo>
                    <a:pt x="280" y="840"/>
                  </a:lnTo>
                  <a:lnTo>
                    <a:pt x="269" y="899"/>
                  </a:lnTo>
                  <a:lnTo>
                    <a:pt x="283" y="899"/>
                  </a:lnTo>
                  <a:lnTo>
                    <a:pt x="271" y="894"/>
                  </a:lnTo>
                  <a:lnTo>
                    <a:pt x="257" y="950"/>
                  </a:lnTo>
                  <a:lnTo>
                    <a:pt x="242" y="1002"/>
                  </a:lnTo>
                  <a:lnTo>
                    <a:pt x="224" y="1051"/>
                  </a:lnTo>
                  <a:lnTo>
                    <a:pt x="205" y="1096"/>
                  </a:lnTo>
                  <a:lnTo>
                    <a:pt x="182" y="1136"/>
                  </a:lnTo>
                  <a:lnTo>
                    <a:pt x="158" y="1174"/>
                  </a:lnTo>
                  <a:lnTo>
                    <a:pt x="172" y="1178"/>
                  </a:lnTo>
                  <a:lnTo>
                    <a:pt x="161" y="1169"/>
                  </a:lnTo>
                  <a:lnTo>
                    <a:pt x="136" y="1201"/>
                  </a:lnTo>
                  <a:lnTo>
                    <a:pt x="109" y="1228"/>
                  </a:lnTo>
                  <a:lnTo>
                    <a:pt x="81" y="1249"/>
                  </a:lnTo>
                  <a:lnTo>
                    <a:pt x="91" y="1259"/>
                  </a:lnTo>
                  <a:lnTo>
                    <a:pt x="85" y="1246"/>
                  </a:lnTo>
                  <a:lnTo>
                    <a:pt x="72" y="1255"/>
                  </a:lnTo>
                  <a:lnTo>
                    <a:pt x="57" y="1262"/>
                  </a:lnTo>
                  <a:lnTo>
                    <a:pt x="42" y="1268"/>
                  </a:lnTo>
                  <a:lnTo>
                    <a:pt x="25" y="1271"/>
                  </a:lnTo>
                  <a:lnTo>
                    <a:pt x="31" y="1284"/>
                  </a:lnTo>
                  <a:lnTo>
                    <a:pt x="31" y="1271"/>
                  </a:lnTo>
                  <a:lnTo>
                    <a:pt x="16" y="1272"/>
                  </a:lnTo>
                  <a:lnTo>
                    <a:pt x="0" y="1274"/>
                  </a:lnTo>
                  <a:close/>
                </a:path>
              </a:pathLst>
            </a:custGeom>
            <a:solidFill>
              <a:srgbClr val="000000"/>
            </a:solidFill>
            <a:ln>
              <a:noFill/>
            </a:ln>
            <a:extLst>
              <a:ext uri="{91240B29-F687-4F45-9708-019B960494DF}">
                <a14:hiddenLine xmlns:a14="http://schemas.microsoft.com/office/drawing/2010/main" w="9525">
                  <a:solidFill>
                    <a:srgbClr val="000000"/>
                  </a:solidFill>
                  <a:round/>
                  <a:headEnd/>
                  <a:tailEnd/>
                </a14:hiddenLine>
              </a:ext>
            </a:extLst>
          </xdr:spPr>
        </xdr:sp>
      </xdr:grpSp>
      <xdr:sp macro="" textlink="">
        <xdr:nvSpPr>
          <xdr:cNvPr id="8781" name="Oval 589">
            <a:extLst>
              <a:ext uri="{FF2B5EF4-FFF2-40B4-BE49-F238E27FC236}">
                <a16:creationId xmlns:a16="http://schemas.microsoft.com/office/drawing/2014/main" id="{60EEB9BC-3AE3-47B9-9B0C-00FB5B9B9682}"/>
              </a:ext>
            </a:extLst>
          </xdr:cNvPr>
          <xdr:cNvSpPr>
            <a:spLocks noChangeArrowheads="1"/>
          </xdr:cNvSpPr>
        </xdr:nvSpPr>
        <xdr:spPr bwMode="auto">
          <a:xfrm>
            <a:off x="2748" y="3810"/>
            <a:ext cx="719" cy="638"/>
          </a:xfrm>
          <a:prstGeom prst="ellipse">
            <a:avLst/>
          </a:prstGeom>
          <a:solidFill>
            <a:srgbClr val="EAEAEA"/>
          </a:solidFill>
          <a:ln w="5715">
            <a:solidFill>
              <a:srgbClr val="000000"/>
            </a:solidFill>
            <a:round/>
            <a:headEnd/>
            <a:tailEnd/>
          </a:ln>
        </xdr:spPr>
      </xdr:sp>
      <xdr:sp macro="" textlink="">
        <xdr:nvSpPr>
          <xdr:cNvPr id="8782" name="Rectangle 590">
            <a:extLst>
              <a:ext uri="{FF2B5EF4-FFF2-40B4-BE49-F238E27FC236}">
                <a16:creationId xmlns:a16="http://schemas.microsoft.com/office/drawing/2014/main" id="{13468155-523D-40CD-A17C-13400C36862B}"/>
              </a:ext>
            </a:extLst>
          </xdr:cNvPr>
          <xdr:cNvSpPr>
            <a:spLocks noChangeArrowheads="1"/>
          </xdr:cNvSpPr>
        </xdr:nvSpPr>
        <xdr:spPr bwMode="auto">
          <a:xfrm>
            <a:off x="2748" y="4094"/>
            <a:ext cx="73" cy="1982"/>
          </a:xfrm>
          <a:prstGeom prst="rect">
            <a:avLst/>
          </a:prstGeom>
          <a:solidFill>
            <a:srgbClr val="EAEAEA"/>
          </a:solidFill>
          <a:ln w="5715">
            <a:solidFill>
              <a:srgbClr val="000000"/>
            </a:solidFill>
            <a:miter lim="800000"/>
            <a:headEnd/>
            <a:tailEnd/>
          </a:ln>
        </xdr:spPr>
      </xdr:sp>
      <xdr:sp macro="" textlink="">
        <xdr:nvSpPr>
          <xdr:cNvPr id="8783" name="Rectangle 591">
            <a:extLst>
              <a:ext uri="{FF2B5EF4-FFF2-40B4-BE49-F238E27FC236}">
                <a16:creationId xmlns:a16="http://schemas.microsoft.com/office/drawing/2014/main" id="{8264FA1A-06C5-4F7A-932A-D37150BF594B}"/>
              </a:ext>
            </a:extLst>
          </xdr:cNvPr>
          <xdr:cNvSpPr>
            <a:spLocks noChangeArrowheads="1"/>
          </xdr:cNvSpPr>
        </xdr:nvSpPr>
        <xdr:spPr bwMode="auto">
          <a:xfrm>
            <a:off x="3035" y="3387"/>
            <a:ext cx="73" cy="779"/>
          </a:xfrm>
          <a:prstGeom prst="rect">
            <a:avLst/>
          </a:prstGeom>
          <a:solidFill>
            <a:srgbClr val="EAEAEA"/>
          </a:solidFill>
          <a:ln w="5715">
            <a:solidFill>
              <a:srgbClr val="000000"/>
            </a:solidFill>
            <a:miter lim="800000"/>
            <a:headEnd/>
            <a:tailEnd/>
          </a:ln>
        </xdr:spPr>
      </xdr:sp>
      <xdr:sp macro="" textlink="">
        <xdr:nvSpPr>
          <xdr:cNvPr id="8784" name="Oval 592">
            <a:extLst>
              <a:ext uri="{FF2B5EF4-FFF2-40B4-BE49-F238E27FC236}">
                <a16:creationId xmlns:a16="http://schemas.microsoft.com/office/drawing/2014/main" id="{31EE4BA2-D840-4C3B-95E0-BCE025B96473}"/>
              </a:ext>
            </a:extLst>
          </xdr:cNvPr>
          <xdr:cNvSpPr>
            <a:spLocks noChangeArrowheads="1"/>
          </xdr:cNvSpPr>
        </xdr:nvSpPr>
        <xdr:spPr bwMode="auto">
          <a:xfrm>
            <a:off x="5044" y="6003"/>
            <a:ext cx="576" cy="426"/>
          </a:xfrm>
          <a:prstGeom prst="ellipse">
            <a:avLst/>
          </a:prstGeom>
          <a:solidFill>
            <a:srgbClr val="B2B2B2"/>
          </a:solidFill>
          <a:ln w="5715">
            <a:solidFill>
              <a:srgbClr val="000000"/>
            </a:solidFill>
            <a:round/>
            <a:headEnd/>
            <a:tailEnd/>
          </a:ln>
        </xdr:spPr>
      </xdr:sp>
      <xdr:sp macro="" textlink="">
        <xdr:nvSpPr>
          <xdr:cNvPr id="8785" name="Freeform 593">
            <a:extLst>
              <a:ext uri="{FF2B5EF4-FFF2-40B4-BE49-F238E27FC236}">
                <a16:creationId xmlns:a16="http://schemas.microsoft.com/office/drawing/2014/main" id="{6186DA4D-2365-4066-ACFE-4F9EFA3DEE5C}"/>
              </a:ext>
            </a:extLst>
          </xdr:cNvPr>
          <xdr:cNvSpPr>
            <a:spLocks/>
          </xdr:cNvSpPr>
        </xdr:nvSpPr>
        <xdr:spPr bwMode="auto">
          <a:xfrm>
            <a:off x="5325" y="6275"/>
            <a:ext cx="4312" cy="450"/>
          </a:xfrm>
          <a:custGeom>
            <a:avLst/>
            <a:gdLst>
              <a:gd name="T0" fmla="*/ 12 w 4312"/>
              <a:gd name="T1" fmla="*/ 0 h 450"/>
              <a:gd name="T2" fmla="*/ 0 w 4312"/>
              <a:gd name="T3" fmla="*/ 24 h 450"/>
              <a:gd name="T4" fmla="*/ 861 w 4312"/>
              <a:gd name="T5" fmla="*/ 449 h 450"/>
              <a:gd name="T6" fmla="*/ 863 w 4312"/>
              <a:gd name="T7" fmla="*/ 449 h 450"/>
              <a:gd name="T8" fmla="*/ 867 w 4312"/>
              <a:gd name="T9" fmla="*/ 450 h 450"/>
              <a:gd name="T10" fmla="*/ 4312 w 4312"/>
              <a:gd name="T11" fmla="*/ 450 h 450"/>
              <a:gd name="T12" fmla="*/ 4312 w 4312"/>
              <a:gd name="T13" fmla="*/ 423 h 450"/>
              <a:gd name="T14" fmla="*/ 867 w 4312"/>
              <a:gd name="T15" fmla="*/ 423 h 450"/>
              <a:gd name="T16" fmla="*/ 867 w 4312"/>
              <a:gd name="T17" fmla="*/ 437 h 450"/>
              <a:gd name="T18" fmla="*/ 873 w 4312"/>
              <a:gd name="T19" fmla="*/ 425 h 450"/>
              <a:gd name="T20" fmla="*/ 12 w 4312"/>
              <a:gd name="T21" fmla="*/ 0 h 45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Lst>
            <a:rect l="0" t="0" r="r" b="b"/>
            <a:pathLst>
              <a:path w="4312" h="450">
                <a:moveTo>
                  <a:pt x="12" y="0"/>
                </a:moveTo>
                <a:lnTo>
                  <a:pt x="0" y="24"/>
                </a:lnTo>
                <a:lnTo>
                  <a:pt x="861" y="449"/>
                </a:lnTo>
                <a:lnTo>
                  <a:pt x="863" y="449"/>
                </a:lnTo>
                <a:lnTo>
                  <a:pt x="867" y="450"/>
                </a:lnTo>
                <a:lnTo>
                  <a:pt x="4312" y="450"/>
                </a:lnTo>
                <a:lnTo>
                  <a:pt x="4312" y="423"/>
                </a:lnTo>
                <a:lnTo>
                  <a:pt x="867" y="423"/>
                </a:lnTo>
                <a:lnTo>
                  <a:pt x="867" y="437"/>
                </a:lnTo>
                <a:lnTo>
                  <a:pt x="873" y="425"/>
                </a:lnTo>
                <a:lnTo>
                  <a:pt x="12" y="0"/>
                </a:lnTo>
                <a:close/>
              </a:path>
            </a:pathLst>
          </a:custGeom>
          <a:solidFill>
            <a:srgbClr val="000000"/>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8786" name="Rectangle 594">
            <a:extLst>
              <a:ext uri="{FF2B5EF4-FFF2-40B4-BE49-F238E27FC236}">
                <a16:creationId xmlns:a16="http://schemas.microsoft.com/office/drawing/2014/main" id="{01F439FB-4CEF-47CD-8D67-C17AED26496C}"/>
              </a:ext>
            </a:extLst>
          </xdr:cNvPr>
          <xdr:cNvSpPr>
            <a:spLocks noChangeArrowheads="1"/>
          </xdr:cNvSpPr>
        </xdr:nvSpPr>
        <xdr:spPr bwMode="auto">
          <a:xfrm>
            <a:off x="2174" y="6075"/>
            <a:ext cx="2010" cy="7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8787" name="Rectangle 595">
            <a:extLst>
              <a:ext uri="{FF2B5EF4-FFF2-40B4-BE49-F238E27FC236}">
                <a16:creationId xmlns:a16="http://schemas.microsoft.com/office/drawing/2014/main" id="{C302B589-F9DD-4435-A6A8-0B5183F29449}"/>
              </a:ext>
            </a:extLst>
          </xdr:cNvPr>
          <xdr:cNvSpPr>
            <a:spLocks noChangeArrowheads="1"/>
          </xdr:cNvSpPr>
        </xdr:nvSpPr>
        <xdr:spPr bwMode="auto">
          <a:xfrm>
            <a:off x="2248" y="6131"/>
            <a:ext cx="1189" cy="6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upright="1">
            <a:spAutoFit/>
          </a:bodyPr>
          <a:lstStyle/>
          <a:p>
            <a:pPr algn="l" rtl="0">
              <a:defRPr sz="1000"/>
            </a:pPr>
            <a:r>
              <a:rPr lang="en-GB" sz="1400" b="0" i="0" u="none" strike="noStrike" baseline="0">
                <a:solidFill>
                  <a:srgbClr val="000000"/>
                </a:solidFill>
                <a:latin typeface="Times New Roman"/>
                <a:cs typeface="Times New Roman"/>
              </a:rPr>
              <a:t>Feedwater </a:t>
            </a:r>
            <a:endParaRPr lang="en-GB" sz="1200" b="0" i="0" u="none" strike="noStrike" baseline="0">
              <a:solidFill>
                <a:srgbClr val="000000"/>
              </a:solidFill>
              <a:latin typeface="Times New Roman"/>
              <a:cs typeface="Times New Roman"/>
            </a:endParaRPr>
          </a:p>
          <a:p>
            <a:pPr algn="l" rtl="0">
              <a:defRPr sz="1000"/>
            </a:pPr>
            <a:endParaRPr lang="en-GB" sz="1200" b="0" i="0" u="none" strike="noStrike" baseline="0">
              <a:solidFill>
                <a:srgbClr val="000000"/>
              </a:solidFill>
              <a:latin typeface="Times New Roman"/>
              <a:cs typeface="Times New Roman"/>
            </a:endParaRPr>
          </a:p>
        </xdr:txBody>
      </xdr:sp>
      <xdr:sp macro="" textlink="">
        <xdr:nvSpPr>
          <xdr:cNvPr id="8788" name="Rectangle 596">
            <a:extLst>
              <a:ext uri="{FF2B5EF4-FFF2-40B4-BE49-F238E27FC236}">
                <a16:creationId xmlns:a16="http://schemas.microsoft.com/office/drawing/2014/main" id="{93E14B9E-B124-454A-8F96-D8D42CE9A9A3}"/>
              </a:ext>
            </a:extLst>
          </xdr:cNvPr>
          <xdr:cNvSpPr>
            <a:spLocks noChangeArrowheads="1"/>
          </xdr:cNvSpPr>
        </xdr:nvSpPr>
        <xdr:spPr bwMode="auto">
          <a:xfrm>
            <a:off x="2248" y="6487"/>
            <a:ext cx="1533" cy="6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upright="1">
            <a:spAutoFit/>
          </a:bodyPr>
          <a:lstStyle/>
          <a:p>
            <a:pPr algn="l" rtl="0">
              <a:defRPr sz="1000"/>
            </a:pPr>
            <a:r>
              <a:rPr lang="en-GB" sz="1400" b="0" i="0" u="none" strike="noStrike" baseline="0">
                <a:solidFill>
                  <a:srgbClr val="000000"/>
                </a:solidFill>
                <a:latin typeface="Times New Roman"/>
                <a:cs typeface="Times New Roman"/>
              </a:rPr>
              <a:t>Control Valve</a:t>
            </a:r>
            <a:endParaRPr lang="en-GB" sz="1200" b="0" i="0" u="none" strike="noStrike" baseline="0">
              <a:solidFill>
                <a:srgbClr val="000000"/>
              </a:solidFill>
              <a:latin typeface="Times New Roman"/>
              <a:cs typeface="Times New Roman"/>
            </a:endParaRPr>
          </a:p>
          <a:p>
            <a:pPr algn="l" rtl="0">
              <a:defRPr sz="1000"/>
            </a:pPr>
            <a:endParaRPr lang="en-GB" sz="1200" b="0" i="0" u="none" strike="noStrike" baseline="0">
              <a:solidFill>
                <a:srgbClr val="000000"/>
              </a:solidFill>
              <a:latin typeface="Times New Roman"/>
              <a:cs typeface="Times New Roman"/>
            </a:endParaRPr>
          </a:p>
        </xdr:txBody>
      </xdr:sp>
      <xdr:sp macro="" textlink="">
        <xdr:nvSpPr>
          <xdr:cNvPr id="8789" name="Rectangle 597">
            <a:extLst>
              <a:ext uri="{FF2B5EF4-FFF2-40B4-BE49-F238E27FC236}">
                <a16:creationId xmlns:a16="http://schemas.microsoft.com/office/drawing/2014/main" id="{CFD75F24-F986-4F35-86F4-3C81DE11147D}"/>
              </a:ext>
            </a:extLst>
          </xdr:cNvPr>
          <xdr:cNvSpPr>
            <a:spLocks noChangeArrowheads="1"/>
          </xdr:cNvSpPr>
        </xdr:nvSpPr>
        <xdr:spPr bwMode="auto">
          <a:xfrm>
            <a:off x="8058" y="3315"/>
            <a:ext cx="1150" cy="6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8790" name="Rectangle 598">
            <a:extLst>
              <a:ext uri="{FF2B5EF4-FFF2-40B4-BE49-F238E27FC236}">
                <a16:creationId xmlns:a16="http://schemas.microsoft.com/office/drawing/2014/main" id="{59E05FCA-7E6A-4A94-8BCF-A4F8D9B3B143}"/>
              </a:ext>
            </a:extLst>
          </xdr:cNvPr>
          <xdr:cNvSpPr>
            <a:spLocks noChangeArrowheads="1"/>
          </xdr:cNvSpPr>
        </xdr:nvSpPr>
        <xdr:spPr bwMode="auto">
          <a:xfrm>
            <a:off x="8401" y="3382"/>
            <a:ext cx="582" cy="5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upright="1">
            <a:spAutoFit/>
          </a:bodyPr>
          <a:lstStyle/>
          <a:p>
            <a:pPr algn="l" rtl="0">
              <a:defRPr sz="1000"/>
            </a:pPr>
            <a:r>
              <a:rPr lang="en-GB" sz="1100" b="0" i="0" u="none" strike="noStrike" baseline="0">
                <a:solidFill>
                  <a:srgbClr val="000000"/>
                </a:solidFill>
                <a:latin typeface="Times New Roman"/>
                <a:cs typeface="Times New Roman"/>
              </a:rPr>
              <a:t>Steam </a:t>
            </a:r>
            <a:endParaRPr lang="en-GB" sz="1200" b="0" i="0" u="none" strike="noStrike" baseline="0">
              <a:solidFill>
                <a:srgbClr val="000000"/>
              </a:solidFill>
              <a:latin typeface="Times New Roman"/>
              <a:cs typeface="Times New Roman"/>
            </a:endParaRPr>
          </a:p>
          <a:p>
            <a:pPr algn="l" rtl="0">
              <a:defRPr sz="1000"/>
            </a:pPr>
            <a:endParaRPr lang="en-GB" sz="1200" b="0" i="0" u="none" strike="noStrike" baseline="0">
              <a:solidFill>
                <a:srgbClr val="000000"/>
              </a:solidFill>
              <a:latin typeface="Times New Roman"/>
              <a:cs typeface="Times New Roman"/>
            </a:endParaRPr>
          </a:p>
        </xdr:txBody>
      </xdr:sp>
      <xdr:sp macro="" textlink="">
        <xdr:nvSpPr>
          <xdr:cNvPr id="8791" name="Rectangle 599">
            <a:extLst>
              <a:ext uri="{FF2B5EF4-FFF2-40B4-BE49-F238E27FC236}">
                <a16:creationId xmlns:a16="http://schemas.microsoft.com/office/drawing/2014/main" id="{4CBAFB63-E079-4330-BA5E-9D9715625C14}"/>
              </a:ext>
            </a:extLst>
          </xdr:cNvPr>
          <xdr:cNvSpPr>
            <a:spLocks noChangeArrowheads="1"/>
          </xdr:cNvSpPr>
        </xdr:nvSpPr>
        <xdr:spPr bwMode="auto">
          <a:xfrm>
            <a:off x="8353" y="3636"/>
            <a:ext cx="543" cy="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upright="1">
            <a:spAutoFit/>
          </a:bodyPr>
          <a:lstStyle/>
          <a:p>
            <a:pPr algn="l" rtl="0">
              <a:defRPr sz="1000"/>
            </a:pPr>
            <a:r>
              <a:rPr lang="en-GB" sz="1100" b="0" i="0" u="none" strike="noStrike" baseline="0">
                <a:solidFill>
                  <a:srgbClr val="000000"/>
                </a:solidFill>
                <a:latin typeface="Times New Roman"/>
                <a:cs typeface="Times New Roman"/>
              </a:rPr>
              <a:t>Outlet</a:t>
            </a:r>
            <a:endParaRPr lang="en-GB" sz="1200" b="0" i="0" u="none" strike="noStrike" baseline="0">
              <a:solidFill>
                <a:srgbClr val="000000"/>
              </a:solidFill>
              <a:latin typeface="Times New Roman"/>
              <a:cs typeface="Times New Roman"/>
            </a:endParaRPr>
          </a:p>
          <a:p>
            <a:pPr algn="l" rtl="0">
              <a:defRPr sz="1000"/>
            </a:pPr>
            <a:endParaRPr lang="en-GB" sz="1200" b="0" i="0" u="none" strike="noStrike" baseline="0">
              <a:solidFill>
                <a:srgbClr val="000000"/>
              </a:solidFill>
              <a:latin typeface="Times New Roman"/>
              <a:cs typeface="Times New Roman"/>
            </a:endParaRPr>
          </a:p>
        </xdr:txBody>
      </xdr:sp>
      <xdr:sp macro="" textlink="">
        <xdr:nvSpPr>
          <xdr:cNvPr id="8792" name="Rectangle 600">
            <a:extLst>
              <a:ext uri="{FF2B5EF4-FFF2-40B4-BE49-F238E27FC236}">
                <a16:creationId xmlns:a16="http://schemas.microsoft.com/office/drawing/2014/main" id="{FB6C17EE-7D6F-44F5-8310-574FCFF40EA1}"/>
              </a:ext>
            </a:extLst>
          </xdr:cNvPr>
          <xdr:cNvSpPr>
            <a:spLocks noChangeArrowheads="1"/>
          </xdr:cNvSpPr>
        </xdr:nvSpPr>
        <xdr:spPr bwMode="auto">
          <a:xfrm>
            <a:off x="4759" y="5366"/>
            <a:ext cx="1507" cy="4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8793" name="Rectangle 601">
            <a:extLst>
              <a:ext uri="{FF2B5EF4-FFF2-40B4-BE49-F238E27FC236}">
                <a16:creationId xmlns:a16="http://schemas.microsoft.com/office/drawing/2014/main" id="{F5532F91-3B97-4CB4-B831-058DBC4C6CEB}"/>
              </a:ext>
            </a:extLst>
          </xdr:cNvPr>
          <xdr:cNvSpPr>
            <a:spLocks noChangeArrowheads="1"/>
          </xdr:cNvSpPr>
        </xdr:nvSpPr>
        <xdr:spPr bwMode="auto">
          <a:xfrm>
            <a:off x="4867" y="5428"/>
            <a:ext cx="972" cy="6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upright="1">
            <a:spAutoFit/>
          </a:bodyPr>
          <a:lstStyle/>
          <a:p>
            <a:pPr algn="l" rtl="0">
              <a:defRPr sz="1000"/>
            </a:pPr>
            <a:r>
              <a:rPr lang="en-GB" sz="1400" b="0" i="0" u="none" strike="noStrike" baseline="0">
                <a:solidFill>
                  <a:srgbClr val="000000"/>
                </a:solidFill>
                <a:latin typeface="Times New Roman"/>
                <a:cs typeface="Times New Roman"/>
              </a:rPr>
              <a:t>BOILER</a:t>
            </a:r>
            <a:endParaRPr lang="en-GB" sz="1200" b="0" i="0" u="none" strike="noStrike" baseline="0">
              <a:solidFill>
                <a:srgbClr val="000000"/>
              </a:solidFill>
              <a:latin typeface="Times New Roman"/>
              <a:cs typeface="Times New Roman"/>
            </a:endParaRPr>
          </a:p>
          <a:p>
            <a:pPr algn="l" rtl="0">
              <a:defRPr sz="1000"/>
            </a:pPr>
            <a:endParaRPr lang="en-GB" sz="1200" b="0" i="0" u="none" strike="noStrike" baseline="0">
              <a:solidFill>
                <a:srgbClr val="000000"/>
              </a:solidFill>
              <a:latin typeface="Times New Roman"/>
              <a:cs typeface="Times New Roman"/>
            </a:endParaRPr>
          </a:p>
        </xdr:txBody>
      </xdr:sp>
      <xdr:sp macro="" textlink="">
        <xdr:nvSpPr>
          <xdr:cNvPr id="8794" name="Rectangle 602">
            <a:extLst>
              <a:ext uri="{FF2B5EF4-FFF2-40B4-BE49-F238E27FC236}">
                <a16:creationId xmlns:a16="http://schemas.microsoft.com/office/drawing/2014/main" id="{63F48E1E-44C1-4880-917D-94EEC99A4851}"/>
              </a:ext>
            </a:extLst>
          </xdr:cNvPr>
          <xdr:cNvSpPr>
            <a:spLocks noChangeArrowheads="1"/>
          </xdr:cNvSpPr>
        </xdr:nvSpPr>
        <xdr:spPr bwMode="auto">
          <a:xfrm>
            <a:off x="6911" y="2891"/>
            <a:ext cx="1291" cy="6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8795" name="Rectangle 603">
            <a:extLst>
              <a:ext uri="{FF2B5EF4-FFF2-40B4-BE49-F238E27FC236}">
                <a16:creationId xmlns:a16="http://schemas.microsoft.com/office/drawing/2014/main" id="{50EA1635-2094-473B-A3D3-A6FD53AFE22C}"/>
              </a:ext>
            </a:extLst>
          </xdr:cNvPr>
          <xdr:cNvSpPr>
            <a:spLocks noChangeArrowheads="1"/>
          </xdr:cNvSpPr>
        </xdr:nvSpPr>
        <xdr:spPr bwMode="auto">
          <a:xfrm>
            <a:off x="7267" y="2944"/>
            <a:ext cx="635" cy="5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upright="1">
            <a:spAutoFit/>
          </a:bodyPr>
          <a:lstStyle/>
          <a:p>
            <a:pPr algn="l" rtl="0">
              <a:defRPr sz="1000"/>
            </a:pPr>
            <a:r>
              <a:rPr lang="en-GB" sz="1200" b="0" i="0" u="none" strike="noStrike" baseline="0">
                <a:solidFill>
                  <a:srgbClr val="000000"/>
                </a:solidFill>
                <a:latin typeface="Times New Roman"/>
                <a:cs typeface="Times New Roman"/>
              </a:rPr>
              <a:t>Steam </a:t>
            </a:r>
          </a:p>
          <a:p>
            <a:pPr algn="l" rtl="0">
              <a:defRPr sz="1000"/>
            </a:pPr>
            <a:endParaRPr lang="en-GB" sz="1200" b="0" i="0" u="none" strike="noStrike" baseline="0">
              <a:solidFill>
                <a:srgbClr val="000000"/>
              </a:solidFill>
              <a:latin typeface="Times New Roman"/>
              <a:cs typeface="Times New Roman"/>
            </a:endParaRPr>
          </a:p>
        </xdr:txBody>
      </xdr:sp>
      <xdr:sp macro="" textlink="">
        <xdr:nvSpPr>
          <xdr:cNvPr id="8796" name="Rectangle 604">
            <a:extLst>
              <a:ext uri="{FF2B5EF4-FFF2-40B4-BE49-F238E27FC236}">
                <a16:creationId xmlns:a16="http://schemas.microsoft.com/office/drawing/2014/main" id="{E9C2C017-AAD1-4F53-B074-548F5F4DB79B}"/>
              </a:ext>
            </a:extLst>
          </xdr:cNvPr>
          <xdr:cNvSpPr>
            <a:spLocks noChangeArrowheads="1"/>
          </xdr:cNvSpPr>
        </xdr:nvSpPr>
        <xdr:spPr bwMode="auto">
          <a:xfrm>
            <a:off x="7048" y="3249"/>
            <a:ext cx="884" cy="5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upright="1">
            <a:spAutoFit/>
          </a:bodyPr>
          <a:lstStyle/>
          <a:p>
            <a:pPr algn="l" rtl="0">
              <a:defRPr sz="1000"/>
            </a:pPr>
            <a:r>
              <a:rPr lang="en-GB" sz="1200" b="0" i="0" u="none" strike="noStrike" baseline="0">
                <a:solidFill>
                  <a:srgbClr val="000000"/>
                </a:solidFill>
                <a:latin typeface="Times New Roman"/>
                <a:cs typeface="Times New Roman"/>
              </a:rPr>
              <a:t>Separator</a:t>
            </a:r>
          </a:p>
          <a:p>
            <a:pPr algn="l" rtl="0">
              <a:defRPr sz="1000"/>
            </a:pPr>
            <a:endParaRPr lang="en-GB" sz="1200" b="0" i="0" u="none" strike="noStrike" baseline="0">
              <a:solidFill>
                <a:srgbClr val="000000"/>
              </a:solidFill>
              <a:latin typeface="Times New Roman"/>
              <a:cs typeface="Times New Roman"/>
            </a:endParaRPr>
          </a:p>
        </xdr:txBody>
      </xdr:sp>
      <xdr:sp macro="" textlink="">
        <xdr:nvSpPr>
          <xdr:cNvPr id="8797" name="Rectangle 605">
            <a:extLst>
              <a:ext uri="{FF2B5EF4-FFF2-40B4-BE49-F238E27FC236}">
                <a16:creationId xmlns:a16="http://schemas.microsoft.com/office/drawing/2014/main" id="{377038D9-2B75-47F5-A9E6-AB5874A63679}"/>
              </a:ext>
            </a:extLst>
          </xdr:cNvPr>
          <xdr:cNvSpPr>
            <a:spLocks noChangeArrowheads="1"/>
          </xdr:cNvSpPr>
        </xdr:nvSpPr>
        <xdr:spPr bwMode="auto">
          <a:xfrm>
            <a:off x="7556" y="5015"/>
            <a:ext cx="1363" cy="6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8798" name="Rectangle 606">
            <a:extLst>
              <a:ext uri="{FF2B5EF4-FFF2-40B4-BE49-F238E27FC236}">
                <a16:creationId xmlns:a16="http://schemas.microsoft.com/office/drawing/2014/main" id="{5AE41A2F-B930-44A0-97B7-7F61088821F1}"/>
              </a:ext>
            </a:extLst>
          </xdr:cNvPr>
          <xdr:cNvSpPr>
            <a:spLocks noChangeArrowheads="1"/>
          </xdr:cNvSpPr>
        </xdr:nvSpPr>
        <xdr:spPr bwMode="auto">
          <a:xfrm>
            <a:off x="7648" y="5082"/>
            <a:ext cx="942" cy="5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upright="1">
            <a:spAutoFit/>
          </a:bodyPr>
          <a:lstStyle/>
          <a:p>
            <a:pPr algn="l" rtl="0">
              <a:defRPr sz="1000"/>
            </a:pPr>
            <a:r>
              <a:rPr lang="en-GB" sz="1200" b="0" i="0" u="none" strike="noStrike" baseline="0">
                <a:solidFill>
                  <a:srgbClr val="000000"/>
                </a:solidFill>
                <a:latin typeface="Times New Roman"/>
                <a:cs typeface="Times New Roman"/>
              </a:rPr>
              <a:t>Separator </a:t>
            </a:r>
          </a:p>
          <a:p>
            <a:pPr algn="l" rtl="0">
              <a:defRPr sz="1000"/>
            </a:pPr>
            <a:endParaRPr lang="en-GB" sz="1200" b="0" i="0" u="none" strike="noStrike" baseline="0">
              <a:solidFill>
                <a:srgbClr val="000000"/>
              </a:solidFill>
              <a:latin typeface="Times New Roman"/>
              <a:cs typeface="Times New Roman"/>
            </a:endParaRPr>
          </a:p>
        </xdr:txBody>
      </xdr:sp>
      <xdr:sp macro="" textlink="">
        <xdr:nvSpPr>
          <xdr:cNvPr id="8799" name="Rectangle 607">
            <a:extLst>
              <a:ext uri="{FF2B5EF4-FFF2-40B4-BE49-F238E27FC236}">
                <a16:creationId xmlns:a16="http://schemas.microsoft.com/office/drawing/2014/main" id="{B5A8E6E1-C36E-459D-A27B-DD427A59749F}"/>
              </a:ext>
            </a:extLst>
          </xdr:cNvPr>
          <xdr:cNvSpPr>
            <a:spLocks noChangeArrowheads="1"/>
          </xdr:cNvSpPr>
        </xdr:nvSpPr>
        <xdr:spPr bwMode="auto">
          <a:xfrm>
            <a:off x="7648" y="5367"/>
            <a:ext cx="628" cy="5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upright="1">
            <a:spAutoFit/>
          </a:bodyPr>
          <a:lstStyle/>
          <a:p>
            <a:pPr algn="l" rtl="0">
              <a:defRPr sz="1000"/>
            </a:pPr>
            <a:r>
              <a:rPr lang="en-GB" sz="1200" b="0" i="0" u="none" strike="noStrike" baseline="0">
                <a:solidFill>
                  <a:srgbClr val="000000"/>
                </a:solidFill>
                <a:latin typeface="Times New Roman"/>
                <a:cs typeface="Times New Roman"/>
              </a:rPr>
              <a:t>Return</a:t>
            </a:r>
          </a:p>
          <a:p>
            <a:pPr algn="l" rtl="0">
              <a:defRPr sz="1000"/>
            </a:pPr>
            <a:endParaRPr lang="en-GB" sz="1200" b="0" i="0" u="none" strike="noStrike" baseline="0">
              <a:solidFill>
                <a:srgbClr val="000000"/>
              </a:solidFill>
              <a:latin typeface="Times New Roman"/>
              <a:cs typeface="Times New Roman"/>
            </a:endParaRPr>
          </a:p>
        </xdr:txBody>
      </xdr:sp>
      <xdr:sp macro="" textlink="">
        <xdr:nvSpPr>
          <xdr:cNvPr id="8800" name="Rectangle 608">
            <a:extLst>
              <a:ext uri="{FF2B5EF4-FFF2-40B4-BE49-F238E27FC236}">
                <a16:creationId xmlns:a16="http://schemas.microsoft.com/office/drawing/2014/main" id="{932861B9-A0E8-4E04-86D0-BB7428CE2ADE}"/>
              </a:ext>
            </a:extLst>
          </xdr:cNvPr>
          <xdr:cNvSpPr>
            <a:spLocks noChangeArrowheads="1"/>
          </xdr:cNvSpPr>
        </xdr:nvSpPr>
        <xdr:spPr bwMode="auto">
          <a:xfrm>
            <a:off x="5835" y="4164"/>
            <a:ext cx="1507" cy="5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8801" name="Rectangle 609">
            <a:extLst>
              <a:ext uri="{FF2B5EF4-FFF2-40B4-BE49-F238E27FC236}">
                <a16:creationId xmlns:a16="http://schemas.microsoft.com/office/drawing/2014/main" id="{62CF8FE3-7559-4099-89DA-CC898321C50C}"/>
              </a:ext>
            </a:extLst>
          </xdr:cNvPr>
          <xdr:cNvSpPr>
            <a:spLocks noChangeArrowheads="1"/>
          </xdr:cNvSpPr>
        </xdr:nvSpPr>
        <xdr:spPr bwMode="auto">
          <a:xfrm>
            <a:off x="5943" y="4217"/>
            <a:ext cx="1487" cy="5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upright="1">
            <a:spAutoFit/>
          </a:bodyPr>
          <a:lstStyle/>
          <a:p>
            <a:pPr algn="l" rtl="0">
              <a:defRPr sz="1000"/>
            </a:pPr>
            <a:r>
              <a:rPr lang="en-GB" sz="1200" b="0" i="0" u="none" strike="noStrike" baseline="0">
                <a:solidFill>
                  <a:srgbClr val="000000"/>
                </a:solidFill>
                <a:latin typeface="Times New Roman"/>
                <a:cs typeface="Times New Roman"/>
              </a:rPr>
              <a:t>Exhaust (stack) </a:t>
            </a:r>
          </a:p>
          <a:p>
            <a:pPr algn="l" rtl="0">
              <a:defRPr sz="1000"/>
            </a:pPr>
            <a:endParaRPr lang="en-GB" sz="1200" b="0" i="0" u="none" strike="noStrike" baseline="0">
              <a:solidFill>
                <a:srgbClr val="000000"/>
              </a:solidFill>
              <a:latin typeface="Times New Roman"/>
              <a:cs typeface="Times New Roman"/>
            </a:endParaRPr>
          </a:p>
        </xdr:txBody>
      </xdr:sp>
      <xdr:sp macro="" textlink="">
        <xdr:nvSpPr>
          <xdr:cNvPr id="8802" name="Rectangle 610">
            <a:extLst>
              <a:ext uri="{FF2B5EF4-FFF2-40B4-BE49-F238E27FC236}">
                <a16:creationId xmlns:a16="http://schemas.microsoft.com/office/drawing/2014/main" id="{E3D250C5-12BF-402D-8EAE-562DD9E05787}"/>
              </a:ext>
            </a:extLst>
          </xdr:cNvPr>
          <xdr:cNvSpPr>
            <a:spLocks noChangeArrowheads="1"/>
          </xdr:cNvSpPr>
        </xdr:nvSpPr>
        <xdr:spPr bwMode="auto">
          <a:xfrm>
            <a:off x="5943" y="4451"/>
            <a:ext cx="743" cy="5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upright="1">
            <a:spAutoFit/>
          </a:bodyPr>
          <a:lstStyle/>
          <a:p>
            <a:pPr algn="l" rtl="0">
              <a:defRPr sz="1000"/>
            </a:pPr>
            <a:r>
              <a:rPr lang="en-GB" sz="1200" b="0" i="0" u="none" strike="noStrike" baseline="0">
                <a:solidFill>
                  <a:srgbClr val="000000"/>
                </a:solidFill>
                <a:latin typeface="Times New Roman"/>
                <a:cs typeface="Times New Roman"/>
              </a:rPr>
              <a:t>Damper</a:t>
            </a:r>
          </a:p>
          <a:p>
            <a:pPr algn="l" rtl="0">
              <a:defRPr sz="1000"/>
            </a:pPr>
            <a:endParaRPr lang="en-GB" sz="1200" b="0" i="0" u="none" strike="noStrike" baseline="0">
              <a:solidFill>
                <a:srgbClr val="000000"/>
              </a:solidFill>
              <a:latin typeface="Times New Roman"/>
              <a:cs typeface="Times New Roman"/>
            </a:endParaRPr>
          </a:p>
        </xdr:txBody>
      </xdr:sp>
      <xdr:sp macro="" textlink="">
        <xdr:nvSpPr>
          <xdr:cNvPr id="8803" name="Oval 611">
            <a:extLst>
              <a:ext uri="{FF2B5EF4-FFF2-40B4-BE49-F238E27FC236}">
                <a16:creationId xmlns:a16="http://schemas.microsoft.com/office/drawing/2014/main" id="{789CF031-3340-40CD-953A-AB921A2FD3B7}"/>
              </a:ext>
            </a:extLst>
          </xdr:cNvPr>
          <xdr:cNvSpPr>
            <a:spLocks noChangeArrowheads="1"/>
          </xdr:cNvSpPr>
        </xdr:nvSpPr>
        <xdr:spPr bwMode="auto">
          <a:xfrm>
            <a:off x="2533" y="5650"/>
            <a:ext cx="503" cy="284"/>
          </a:xfrm>
          <a:prstGeom prst="ellipse">
            <a:avLst/>
          </a:prstGeom>
          <a:solidFill>
            <a:srgbClr val="FFFF99"/>
          </a:solidFill>
          <a:ln w="5715">
            <a:solidFill>
              <a:srgbClr val="000000"/>
            </a:solidFill>
            <a:round/>
            <a:headEnd/>
            <a:tailEnd/>
          </a:ln>
        </xdr:spPr>
      </xdr:sp>
      <xdr:sp macro="" textlink="">
        <xdr:nvSpPr>
          <xdr:cNvPr id="8804" name="Rectangle 612">
            <a:extLst>
              <a:ext uri="{FF2B5EF4-FFF2-40B4-BE49-F238E27FC236}">
                <a16:creationId xmlns:a16="http://schemas.microsoft.com/office/drawing/2014/main" id="{197F45E5-3947-461B-9225-C40971B1F6B5}"/>
              </a:ext>
            </a:extLst>
          </xdr:cNvPr>
          <xdr:cNvSpPr>
            <a:spLocks noChangeArrowheads="1"/>
          </xdr:cNvSpPr>
        </xdr:nvSpPr>
        <xdr:spPr bwMode="auto">
          <a:xfrm>
            <a:off x="3177" y="2396"/>
            <a:ext cx="1725" cy="7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8805" name="Rectangle 613">
            <a:extLst>
              <a:ext uri="{FF2B5EF4-FFF2-40B4-BE49-F238E27FC236}">
                <a16:creationId xmlns:a16="http://schemas.microsoft.com/office/drawing/2014/main" id="{B0BC545C-AAA8-4C8B-A4FF-E38F7644D1B2}"/>
              </a:ext>
            </a:extLst>
          </xdr:cNvPr>
          <xdr:cNvSpPr>
            <a:spLocks noChangeArrowheads="1"/>
          </xdr:cNvSpPr>
        </xdr:nvSpPr>
        <xdr:spPr bwMode="auto">
          <a:xfrm>
            <a:off x="3257" y="2455"/>
            <a:ext cx="1324" cy="6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upright="1">
            <a:spAutoFit/>
          </a:bodyPr>
          <a:lstStyle/>
          <a:p>
            <a:pPr algn="l" rtl="0">
              <a:defRPr sz="1000"/>
            </a:pPr>
            <a:r>
              <a:rPr lang="en-GB" sz="1400" b="0" i="0" u="none" strike="noStrike" baseline="0">
                <a:solidFill>
                  <a:srgbClr val="000000"/>
                </a:solidFill>
                <a:latin typeface="Times New Roman"/>
                <a:cs typeface="Times New Roman"/>
              </a:rPr>
              <a:t>Condensate </a:t>
            </a:r>
            <a:endParaRPr lang="en-GB" sz="1200" b="0" i="0" u="none" strike="noStrike" baseline="0">
              <a:solidFill>
                <a:srgbClr val="000000"/>
              </a:solidFill>
              <a:latin typeface="Times New Roman"/>
              <a:cs typeface="Times New Roman"/>
            </a:endParaRPr>
          </a:p>
          <a:p>
            <a:pPr algn="l" rtl="0">
              <a:defRPr sz="1000"/>
            </a:pPr>
            <a:endParaRPr lang="en-GB" sz="1200" b="0" i="0" u="none" strike="noStrike" baseline="0">
              <a:solidFill>
                <a:srgbClr val="000000"/>
              </a:solidFill>
              <a:latin typeface="Times New Roman"/>
              <a:cs typeface="Times New Roman"/>
            </a:endParaRPr>
          </a:p>
        </xdr:txBody>
      </xdr:sp>
      <xdr:sp macro="" textlink="">
        <xdr:nvSpPr>
          <xdr:cNvPr id="8806" name="Rectangle 614">
            <a:extLst>
              <a:ext uri="{FF2B5EF4-FFF2-40B4-BE49-F238E27FC236}">
                <a16:creationId xmlns:a16="http://schemas.microsoft.com/office/drawing/2014/main" id="{ECC796F8-BC2E-4976-855B-BC4180389271}"/>
              </a:ext>
            </a:extLst>
          </xdr:cNvPr>
          <xdr:cNvSpPr>
            <a:spLocks noChangeArrowheads="1"/>
          </xdr:cNvSpPr>
        </xdr:nvSpPr>
        <xdr:spPr bwMode="auto">
          <a:xfrm>
            <a:off x="3257" y="2791"/>
            <a:ext cx="553" cy="6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upright="1">
            <a:spAutoFit/>
          </a:bodyPr>
          <a:lstStyle/>
          <a:p>
            <a:pPr algn="l" rtl="0">
              <a:defRPr sz="1000"/>
            </a:pPr>
            <a:r>
              <a:rPr lang="en-GB" sz="1400" b="0" i="0" u="none" strike="noStrike" baseline="0">
                <a:solidFill>
                  <a:srgbClr val="000000"/>
                </a:solidFill>
                <a:latin typeface="Times New Roman"/>
                <a:cs typeface="Times New Roman"/>
              </a:rPr>
              <a:t>Tank</a:t>
            </a:r>
            <a:endParaRPr lang="en-GB" sz="1200" b="0" i="0" u="none" strike="noStrike" baseline="0">
              <a:solidFill>
                <a:srgbClr val="000000"/>
              </a:solidFill>
              <a:latin typeface="Times New Roman"/>
              <a:cs typeface="Times New Roman"/>
            </a:endParaRPr>
          </a:p>
          <a:p>
            <a:pPr algn="l" rtl="0">
              <a:defRPr sz="1000"/>
            </a:pPr>
            <a:endParaRPr lang="en-GB" sz="1200" b="0" i="0" u="none" strike="noStrike" baseline="0">
              <a:solidFill>
                <a:srgbClr val="000000"/>
              </a:solidFill>
              <a:latin typeface="Times New Roman"/>
              <a:cs typeface="Times New Roman"/>
            </a:endParaRPr>
          </a:p>
        </xdr:txBody>
      </xdr:sp>
      <xdr:sp macro="" textlink="">
        <xdr:nvSpPr>
          <xdr:cNvPr id="8807" name="Rectangle 615">
            <a:extLst>
              <a:ext uri="{FF2B5EF4-FFF2-40B4-BE49-F238E27FC236}">
                <a16:creationId xmlns:a16="http://schemas.microsoft.com/office/drawing/2014/main" id="{65864E1F-5DE5-446F-9E8A-A585F056B6AC}"/>
              </a:ext>
            </a:extLst>
          </xdr:cNvPr>
          <xdr:cNvSpPr>
            <a:spLocks noChangeArrowheads="1"/>
          </xdr:cNvSpPr>
        </xdr:nvSpPr>
        <xdr:spPr bwMode="auto">
          <a:xfrm>
            <a:off x="1815" y="3529"/>
            <a:ext cx="1078" cy="7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8808" name="Rectangle 616">
            <a:extLst>
              <a:ext uri="{FF2B5EF4-FFF2-40B4-BE49-F238E27FC236}">
                <a16:creationId xmlns:a16="http://schemas.microsoft.com/office/drawing/2014/main" id="{FF8FDC6E-0DDC-4815-B775-1CB1CC6AC669}"/>
              </a:ext>
            </a:extLst>
          </xdr:cNvPr>
          <xdr:cNvSpPr>
            <a:spLocks noChangeArrowheads="1"/>
          </xdr:cNvSpPr>
        </xdr:nvSpPr>
        <xdr:spPr bwMode="auto">
          <a:xfrm>
            <a:off x="2076" y="3585"/>
            <a:ext cx="591" cy="6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upright="1">
            <a:spAutoFit/>
          </a:bodyPr>
          <a:lstStyle/>
          <a:p>
            <a:pPr algn="l" rtl="0">
              <a:defRPr sz="1000"/>
            </a:pPr>
            <a:r>
              <a:rPr lang="en-GB" sz="1400" b="0" i="0" u="none" strike="noStrike" baseline="0">
                <a:solidFill>
                  <a:srgbClr val="000000"/>
                </a:solidFill>
                <a:latin typeface="Times New Roman"/>
                <a:cs typeface="Times New Roman"/>
              </a:rPr>
              <a:t>Feed </a:t>
            </a:r>
            <a:endParaRPr lang="en-GB" sz="1200" b="0" i="0" u="none" strike="noStrike" baseline="0">
              <a:solidFill>
                <a:srgbClr val="000000"/>
              </a:solidFill>
              <a:latin typeface="Times New Roman"/>
              <a:cs typeface="Times New Roman"/>
            </a:endParaRPr>
          </a:p>
          <a:p>
            <a:pPr algn="l" rtl="0">
              <a:defRPr sz="1000"/>
            </a:pPr>
            <a:endParaRPr lang="en-GB" sz="1200" b="0" i="0" u="none" strike="noStrike" baseline="0">
              <a:solidFill>
                <a:srgbClr val="000000"/>
              </a:solidFill>
              <a:latin typeface="Times New Roman"/>
              <a:cs typeface="Times New Roman"/>
            </a:endParaRPr>
          </a:p>
        </xdr:txBody>
      </xdr:sp>
      <xdr:sp macro="" textlink="">
        <xdr:nvSpPr>
          <xdr:cNvPr id="8809" name="Rectangle 617">
            <a:extLst>
              <a:ext uri="{FF2B5EF4-FFF2-40B4-BE49-F238E27FC236}">
                <a16:creationId xmlns:a16="http://schemas.microsoft.com/office/drawing/2014/main" id="{E4C10092-8D51-45B4-B99D-42C30FA6220B}"/>
              </a:ext>
            </a:extLst>
          </xdr:cNvPr>
          <xdr:cNvSpPr>
            <a:spLocks noChangeArrowheads="1"/>
          </xdr:cNvSpPr>
        </xdr:nvSpPr>
        <xdr:spPr bwMode="auto">
          <a:xfrm>
            <a:off x="2019" y="3942"/>
            <a:ext cx="629" cy="7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upright="1">
            <a:spAutoFit/>
          </a:bodyPr>
          <a:lstStyle/>
          <a:p>
            <a:pPr algn="l" rtl="0">
              <a:defRPr sz="1000"/>
            </a:pPr>
            <a:r>
              <a:rPr lang="en-GB" sz="1400" b="0" i="0" u="none" strike="noStrike" baseline="0">
                <a:solidFill>
                  <a:srgbClr val="000000"/>
                </a:solidFill>
                <a:latin typeface="Times New Roman"/>
                <a:cs typeface="Times New Roman"/>
              </a:rPr>
              <a:t>Pump</a:t>
            </a:r>
            <a:endParaRPr lang="en-GB" sz="1200" b="0" i="0" u="none" strike="noStrike" baseline="0">
              <a:solidFill>
                <a:srgbClr val="000000"/>
              </a:solidFill>
              <a:latin typeface="Times New Roman"/>
              <a:cs typeface="Times New Roman"/>
            </a:endParaRPr>
          </a:p>
          <a:p>
            <a:pPr algn="l" rtl="0">
              <a:defRPr sz="1000"/>
            </a:pPr>
            <a:endParaRPr lang="en-GB" sz="1200" b="0" i="0" u="none" strike="noStrike" baseline="0">
              <a:solidFill>
                <a:srgbClr val="000000"/>
              </a:solidFill>
              <a:latin typeface="Times New Roman"/>
              <a:cs typeface="Times New Roman"/>
            </a:endParaRPr>
          </a:p>
        </xdr:txBody>
      </xdr:sp>
      <xdr:sp macro="" textlink="">
        <xdr:nvSpPr>
          <xdr:cNvPr id="8810" name="Line 618">
            <a:extLst>
              <a:ext uri="{FF2B5EF4-FFF2-40B4-BE49-F238E27FC236}">
                <a16:creationId xmlns:a16="http://schemas.microsoft.com/office/drawing/2014/main" id="{4F41192A-C072-4547-A3A6-3661FFB94CEB}"/>
              </a:ext>
            </a:extLst>
          </xdr:cNvPr>
          <xdr:cNvSpPr>
            <a:spLocks noChangeShapeType="1"/>
          </xdr:cNvSpPr>
        </xdr:nvSpPr>
        <xdr:spPr bwMode="auto">
          <a:xfrm>
            <a:off x="3322" y="5863"/>
            <a:ext cx="287" cy="352"/>
          </a:xfrm>
          <a:prstGeom prst="line">
            <a:avLst/>
          </a:prstGeom>
          <a:noFill/>
          <a:ln w="571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811" name="Line 619">
            <a:extLst>
              <a:ext uri="{FF2B5EF4-FFF2-40B4-BE49-F238E27FC236}">
                <a16:creationId xmlns:a16="http://schemas.microsoft.com/office/drawing/2014/main" id="{FF1A3DE1-E65E-417E-93BF-5CC9EF87F979}"/>
              </a:ext>
            </a:extLst>
          </xdr:cNvPr>
          <xdr:cNvSpPr>
            <a:spLocks noChangeShapeType="1"/>
          </xdr:cNvSpPr>
        </xdr:nvSpPr>
        <xdr:spPr bwMode="auto">
          <a:xfrm flipH="1">
            <a:off x="3322" y="5863"/>
            <a:ext cx="287" cy="352"/>
          </a:xfrm>
          <a:prstGeom prst="line">
            <a:avLst/>
          </a:prstGeom>
          <a:noFill/>
          <a:ln w="571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812" name="Line 620">
            <a:extLst>
              <a:ext uri="{FF2B5EF4-FFF2-40B4-BE49-F238E27FC236}">
                <a16:creationId xmlns:a16="http://schemas.microsoft.com/office/drawing/2014/main" id="{7407AFA1-A0F3-4144-9EBB-1BC2685DE414}"/>
              </a:ext>
            </a:extLst>
          </xdr:cNvPr>
          <xdr:cNvSpPr>
            <a:spLocks noChangeShapeType="1"/>
          </xdr:cNvSpPr>
        </xdr:nvSpPr>
        <xdr:spPr bwMode="auto">
          <a:xfrm>
            <a:off x="4542" y="5156"/>
            <a:ext cx="1578" cy="1"/>
          </a:xfrm>
          <a:prstGeom prst="line">
            <a:avLst/>
          </a:prstGeom>
          <a:noFill/>
          <a:ln w="762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813" name="Rectangle 621">
            <a:extLst>
              <a:ext uri="{FF2B5EF4-FFF2-40B4-BE49-F238E27FC236}">
                <a16:creationId xmlns:a16="http://schemas.microsoft.com/office/drawing/2014/main" id="{3CBB3ABC-6ED7-45C5-B69F-70A000E34E64}"/>
              </a:ext>
            </a:extLst>
          </xdr:cNvPr>
          <xdr:cNvSpPr>
            <a:spLocks noChangeArrowheads="1"/>
          </xdr:cNvSpPr>
        </xdr:nvSpPr>
        <xdr:spPr bwMode="auto">
          <a:xfrm>
            <a:off x="3250" y="5085"/>
            <a:ext cx="1151" cy="4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8814" name="Rectangle 622">
            <a:extLst>
              <a:ext uri="{FF2B5EF4-FFF2-40B4-BE49-F238E27FC236}">
                <a16:creationId xmlns:a16="http://schemas.microsoft.com/office/drawing/2014/main" id="{CF2D6E20-6418-4A64-9E02-1F2AF154A2C1}"/>
              </a:ext>
            </a:extLst>
          </xdr:cNvPr>
          <xdr:cNvSpPr>
            <a:spLocks noChangeArrowheads="1"/>
          </xdr:cNvSpPr>
        </xdr:nvSpPr>
        <xdr:spPr bwMode="auto">
          <a:xfrm>
            <a:off x="3572" y="5153"/>
            <a:ext cx="509" cy="4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upright="1">
            <a:spAutoFit/>
          </a:bodyPr>
          <a:lstStyle/>
          <a:p>
            <a:pPr algn="l" rtl="0">
              <a:defRPr sz="1000"/>
            </a:pPr>
            <a:r>
              <a:rPr lang="en-GB" sz="800" b="0" i="0" u="none" strike="noStrike" baseline="0">
                <a:solidFill>
                  <a:srgbClr val="000000"/>
                </a:solidFill>
                <a:latin typeface="Times New Roman"/>
                <a:cs typeface="Times New Roman"/>
              </a:rPr>
              <a:t>Control </a:t>
            </a:r>
            <a:endParaRPr lang="en-GB" sz="1200" b="0" i="0" u="none" strike="noStrike" baseline="0">
              <a:solidFill>
                <a:srgbClr val="000000"/>
              </a:solidFill>
              <a:latin typeface="Times New Roman"/>
              <a:cs typeface="Times New Roman"/>
            </a:endParaRPr>
          </a:p>
          <a:p>
            <a:pPr algn="l" rtl="0">
              <a:defRPr sz="1000"/>
            </a:pPr>
            <a:endParaRPr lang="en-GB" sz="1200" b="0" i="0" u="none" strike="noStrike" baseline="0">
              <a:solidFill>
                <a:srgbClr val="000000"/>
              </a:solidFill>
              <a:latin typeface="Times New Roman"/>
              <a:cs typeface="Times New Roman"/>
            </a:endParaRPr>
          </a:p>
        </xdr:txBody>
      </xdr:sp>
      <xdr:sp macro="" textlink="">
        <xdr:nvSpPr>
          <xdr:cNvPr id="8815" name="Rectangle 623">
            <a:extLst>
              <a:ext uri="{FF2B5EF4-FFF2-40B4-BE49-F238E27FC236}">
                <a16:creationId xmlns:a16="http://schemas.microsoft.com/office/drawing/2014/main" id="{CA0ECA9B-3AD2-4998-82FF-A85AD3FEAAF2}"/>
              </a:ext>
            </a:extLst>
          </xdr:cNvPr>
          <xdr:cNvSpPr>
            <a:spLocks noChangeArrowheads="1"/>
          </xdr:cNvSpPr>
        </xdr:nvSpPr>
        <xdr:spPr bwMode="auto">
          <a:xfrm>
            <a:off x="3495" y="5337"/>
            <a:ext cx="590" cy="4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upright="1">
            <a:spAutoFit/>
          </a:bodyPr>
          <a:lstStyle/>
          <a:p>
            <a:pPr algn="l" rtl="0">
              <a:defRPr sz="1000"/>
            </a:pPr>
            <a:r>
              <a:rPr lang="en-GB" sz="800" b="0" i="0" u="none" strike="noStrike" baseline="0">
                <a:solidFill>
                  <a:srgbClr val="000000"/>
                </a:solidFill>
                <a:latin typeface="Times New Roman"/>
                <a:cs typeface="Times New Roman"/>
              </a:rPr>
              <a:t>Feedback</a:t>
            </a:r>
            <a:endParaRPr lang="en-GB" sz="1200" b="0" i="0" u="none" strike="noStrike" baseline="0">
              <a:solidFill>
                <a:srgbClr val="000000"/>
              </a:solidFill>
              <a:latin typeface="Times New Roman"/>
              <a:cs typeface="Times New Roman"/>
            </a:endParaRPr>
          </a:p>
          <a:p>
            <a:pPr algn="l" rtl="0">
              <a:defRPr sz="1000"/>
            </a:pPr>
            <a:endParaRPr lang="en-GB" sz="1200" b="0" i="0" u="none" strike="noStrike" baseline="0">
              <a:solidFill>
                <a:srgbClr val="000000"/>
              </a:solidFill>
              <a:latin typeface="Times New Roman"/>
              <a:cs typeface="Times New Roman"/>
            </a:endParaRPr>
          </a:p>
        </xdr:txBody>
      </xdr:sp>
      <xdr:grpSp>
        <xdr:nvGrpSpPr>
          <xdr:cNvPr id="8816" name="Group 624">
            <a:extLst>
              <a:ext uri="{FF2B5EF4-FFF2-40B4-BE49-F238E27FC236}">
                <a16:creationId xmlns:a16="http://schemas.microsoft.com/office/drawing/2014/main" id="{BC93C33F-92D8-404E-8CF6-F0E634CCE834}"/>
              </a:ext>
            </a:extLst>
          </xdr:cNvPr>
          <xdr:cNvGrpSpPr>
            <a:grpSpLocks/>
          </xdr:cNvGrpSpPr>
        </xdr:nvGrpSpPr>
        <xdr:grpSpPr bwMode="auto">
          <a:xfrm>
            <a:off x="4183" y="5179"/>
            <a:ext cx="431" cy="95"/>
            <a:chOff x="4183" y="5355"/>
            <a:chExt cx="431" cy="95"/>
          </a:xfrm>
        </xdr:grpSpPr>
        <xdr:sp macro="" textlink="">
          <xdr:nvSpPr>
            <xdr:cNvPr id="8817" name="Line 625">
              <a:extLst>
                <a:ext uri="{FF2B5EF4-FFF2-40B4-BE49-F238E27FC236}">
                  <a16:creationId xmlns:a16="http://schemas.microsoft.com/office/drawing/2014/main" id="{6A5CA9F6-89FB-4D56-A967-2D7C1A3AE042}"/>
                </a:ext>
              </a:extLst>
            </xdr:cNvPr>
            <xdr:cNvSpPr>
              <a:spLocks noChangeShapeType="1"/>
            </xdr:cNvSpPr>
          </xdr:nvSpPr>
          <xdr:spPr bwMode="auto">
            <a:xfrm>
              <a:off x="4183" y="5402"/>
              <a:ext cx="341" cy="1"/>
            </a:xfrm>
            <a:prstGeom prst="line">
              <a:avLst/>
            </a:prstGeom>
            <a:noFill/>
            <a:ln w="571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818" name="Freeform 626">
              <a:extLst>
                <a:ext uri="{FF2B5EF4-FFF2-40B4-BE49-F238E27FC236}">
                  <a16:creationId xmlns:a16="http://schemas.microsoft.com/office/drawing/2014/main" id="{0240AD24-68C3-4F82-B138-BB33C0789076}"/>
                </a:ext>
              </a:extLst>
            </xdr:cNvPr>
            <xdr:cNvSpPr>
              <a:spLocks/>
            </xdr:cNvSpPr>
          </xdr:nvSpPr>
          <xdr:spPr bwMode="auto">
            <a:xfrm>
              <a:off x="4521" y="5355"/>
              <a:ext cx="93" cy="95"/>
            </a:xfrm>
            <a:custGeom>
              <a:avLst/>
              <a:gdLst>
                <a:gd name="T0" fmla="*/ 0 w 93"/>
                <a:gd name="T1" fmla="*/ 95 h 95"/>
                <a:gd name="T2" fmla="*/ 93 w 93"/>
                <a:gd name="T3" fmla="*/ 47 h 95"/>
                <a:gd name="T4" fmla="*/ 0 w 93"/>
                <a:gd name="T5" fmla="*/ 0 h 95"/>
                <a:gd name="T6" fmla="*/ 0 w 93"/>
                <a:gd name="T7" fmla="*/ 95 h 95"/>
              </a:gdLst>
              <a:ahLst/>
              <a:cxnLst>
                <a:cxn ang="0">
                  <a:pos x="T0" y="T1"/>
                </a:cxn>
                <a:cxn ang="0">
                  <a:pos x="T2" y="T3"/>
                </a:cxn>
                <a:cxn ang="0">
                  <a:pos x="T4" y="T5"/>
                </a:cxn>
                <a:cxn ang="0">
                  <a:pos x="T6" y="T7"/>
                </a:cxn>
              </a:cxnLst>
              <a:rect l="0" t="0" r="r" b="b"/>
              <a:pathLst>
                <a:path w="93" h="95">
                  <a:moveTo>
                    <a:pt x="0" y="95"/>
                  </a:moveTo>
                  <a:lnTo>
                    <a:pt x="93" y="47"/>
                  </a:lnTo>
                  <a:lnTo>
                    <a:pt x="0" y="0"/>
                  </a:lnTo>
                  <a:lnTo>
                    <a:pt x="0" y="95"/>
                  </a:lnTo>
                  <a:close/>
                </a:path>
              </a:pathLst>
            </a:custGeom>
            <a:solidFill>
              <a:srgbClr val="000000"/>
            </a:solidFill>
            <a:ln>
              <a:noFill/>
            </a:ln>
            <a:extLst>
              <a:ext uri="{91240B29-F687-4F45-9708-019B960494DF}">
                <a14:hiddenLine xmlns:a14="http://schemas.microsoft.com/office/drawing/2010/main" w="9525">
                  <a:solidFill>
                    <a:srgbClr val="000000"/>
                  </a:solidFill>
                  <a:round/>
                  <a:headEnd/>
                  <a:tailEnd/>
                </a14:hiddenLine>
              </a:ext>
            </a:extLst>
          </xdr:spPr>
        </xdr:sp>
      </xdr:grpSp>
      <xdr:grpSp>
        <xdr:nvGrpSpPr>
          <xdr:cNvPr id="8819" name="Group 627">
            <a:extLst>
              <a:ext uri="{FF2B5EF4-FFF2-40B4-BE49-F238E27FC236}">
                <a16:creationId xmlns:a16="http://schemas.microsoft.com/office/drawing/2014/main" id="{B8C01DEF-FEEE-478D-AFA9-70B5C78E086A}"/>
              </a:ext>
            </a:extLst>
          </xdr:cNvPr>
          <xdr:cNvGrpSpPr>
            <a:grpSpLocks/>
          </xdr:cNvGrpSpPr>
        </xdr:nvGrpSpPr>
        <xdr:grpSpPr bwMode="auto">
          <a:xfrm>
            <a:off x="3419" y="5438"/>
            <a:ext cx="94" cy="425"/>
            <a:chOff x="3419" y="5614"/>
            <a:chExt cx="94" cy="425"/>
          </a:xfrm>
        </xdr:grpSpPr>
        <xdr:sp macro="" textlink="">
          <xdr:nvSpPr>
            <xdr:cNvPr id="8820" name="Line 628">
              <a:extLst>
                <a:ext uri="{FF2B5EF4-FFF2-40B4-BE49-F238E27FC236}">
                  <a16:creationId xmlns:a16="http://schemas.microsoft.com/office/drawing/2014/main" id="{025457A1-E26C-4B79-9F2A-4D6E393CDB17}"/>
                </a:ext>
              </a:extLst>
            </xdr:cNvPr>
            <xdr:cNvSpPr>
              <a:spLocks noChangeShapeType="1"/>
            </xdr:cNvSpPr>
          </xdr:nvSpPr>
          <xdr:spPr bwMode="auto">
            <a:xfrm>
              <a:off x="3465" y="5614"/>
              <a:ext cx="1" cy="335"/>
            </a:xfrm>
            <a:prstGeom prst="line">
              <a:avLst/>
            </a:prstGeom>
            <a:noFill/>
            <a:ln w="571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821" name="Freeform 629">
              <a:extLst>
                <a:ext uri="{FF2B5EF4-FFF2-40B4-BE49-F238E27FC236}">
                  <a16:creationId xmlns:a16="http://schemas.microsoft.com/office/drawing/2014/main" id="{B5B2B566-9FDE-473C-9E55-45DAC76ED937}"/>
                </a:ext>
              </a:extLst>
            </xdr:cNvPr>
            <xdr:cNvSpPr>
              <a:spLocks/>
            </xdr:cNvSpPr>
          </xdr:nvSpPr>
          <xdr:spPr bwMode="auto">
            <a:xfrm>
              <a:off x="3419" y="5946"/>
              <a:ext cx="94" cy="93"/>
            </a:xfrm>
            <a:custGeom>
              <a:avLst/>
              <a:gdLst>
                <a:gd name="T0" fmla="*/ 0 w 94"/>
                <a:gd name="T1" fmla="*/ 0 h 93"/>
                <a:gd name="T2" fmla="*/ 46 w 94"/>
                <a:gd name="T3" fmla="*/ 93 h 93"/>
                <a:gd name="T4" fmla="*/ 94 w 94"/>
                <a:gd name="T5" fmla="*/ 0 h 93"/>
                <a:gd name="T6" fmla="*/ 0 w 94"/>
                <a:gd name="T7" fmla="*/ 0 h 93"/>
              </a:gdLst>
              <a:ahLst/>
              <a:cxnLst>
                <a:cxn ang="0">
                  <a:pos x="T0" y="T1"/>
                </a:cxn>
                <a:cxn ang="0">
                  <a:pos x="T2" y="T3"/>
                </a:cxn>
                <a:cxn ang="0">
                  <a:pos x="T4" y="T5"/>
                </a:cxn>
                <a:cxn ang="0">
                  <a:pos x="T6" y="T7"/>
                </a:cxn>
              </a:cxnLst>
              <a:rect l="0" t="0" r="r" b="b"/>
              <a:pathLst>
                <a:path w="94" h="93">
                  <a:moveTo>
                    <a:pt x="0" y="0"/>
                  </a:moveTo>
                  <a:lnTo>
                    <a:pt x="46" y="93"/>
                  </a:lnTo>
                  <a:lnTo>
                    <a:pt x="94" y="0"/>
                  </a:lnTo>
                  <a:lnTo>
                    <a:pt x="0" y="0"/>
                  </a:lnTo>
                  <a:close/>
                </a:path>
              </a:pathLst>
            </a:custGeom>
            <a:solidFill>
              <a:srgbClr val="000000"/>
            </a:solidFill>
            <a:ln>
              <a:noFill/>
            </a:ln>
            <a:extLst>
              <a:ext uri="{91240B29-F687-4F45-9708-019B960494DF}">
                <a14:hiddenLine xmlns:a14="http://schemas.microsoft.com/office/drawing/2010/main" w="9525">
                  <a:solidFill>
                    <a:srgbClr val="000000"/>
                  </a:solidFill>
                  <a:round/>
                  <a:headEnd/>
                  <a:tailEnd/>
                </a14:hiddenLine>
              </a:ext>
            </a:extLst>
          </xdr:spPr>
        </xdr:sp>
      </xdr:grpSp>
      <xdr:sp macro="" textlink="">
        <xdr:nvSpPr>
          <xdr:cNvPr id="8822" name="Oval 630">
            <a:extLst>
              <a:ext uri="{FF2B5EF4-FFF2-40B4-BE49-F238E27FC236}">
                <a16:creationId xmlns:a16="http://schemas.microsoft.com/office/drawing/2014/main" id="{ABFEB6AA-8626-4878-BBA6-D4E4791D972D}"/>
              </a:ext>
            </a:extLst>
          </xdr:cNvPr>
          <xdr:cNvSpPr>
            <a:spLocks noChangeArrowheads="1"/>
          </xdr:cNvSpPr>
        </xdr:nvSpPr>
        <xdr:spPr bwMode="auto">
          <a:xfrm>
            <a:off x="9708" y="2466"/>
            <a:ext cx="361" cy="286"/>
          </a:xfrm>
          <a:prstGeom prst="ellipse">
            <a:avLst/>
          </a:prstGeom>
          <a:solidFill>
            <a:srgbClr val="FFFF99"/>
          </a:solidFill>
          <a:ln w="11430">
            <a:solidFill>
              <a:srgbClr val="000000"/>
            </a:solidFill>
            <a:round/>
            <a:headEnd/>
            <a:tailEnd/>
          </a:ln>
        </xdr:spPr>
      </xdr:sp>
      <xdr:sp macro="" textlink="">
        <xdr:nvSpPr>
          <xdr:cNvPr id="8823" name="Rectangle 631">
            <a:extLst>
              <a:ext uri="{FF2B5EF4-FFF2-40B4-BE49-F238E27FC236}">
                <a16:creationId xmlns:a16="http://schemas.microsoft.com/office/drawing/2014/main" id="{06CBDFAE-D0A9-405B-B522-CDA29E3DA90B}"/>
              </a:ext>
            </a:extLst>
          </xdr:cNvPr>
          <xdr:cNvSpPr>
            <a:spLocks noChangeArrowheads="1"/>
          </xdr:cNvSpPr>
        </xdr:nvSpPr>
        <xdr:spPr bwMode="auto">
          <a:xfrm>
            <a:off x="9777" y="2466"/>
            <a:ext cx="223" cy="3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8824" name="Rectangle 632">
            <a:extLst>
              <a:ext uri="{FF2B5EF4-FFF2-40B4-BE49-F238E27FC236}">
                <a16:creationId xmlns:a16="http://schemas.microsoft.com/office/drawing/2014/main" id="{A96DE7E7-05B9-4FD6-80A6-8D7D81215037}"/>
              </a:ext>
            </a:extLst>
          </xdr:cNvPr>
          <xdr:cNvSpPr>
            <a:spLocks noChangeArrowheads="1"/>
          </xdr:cNvSpPr>
        </xdr:nvSpPr>
        <xdr:spPr bwMode="auto">
          <a:xfrm>
            <a:off x="9868" y="2506"/>
            <a:ext cx="124" cy="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upright="1">
            <a:spAutoFit/>
          </a:bodyPr>
          <a:lstStyle/>
          <a:p>
            <a:pPr algn="l" rtl="0">
              <a:defRPr sz="1000"/>
            </a:pPr>
            <a:r>
              <a:rPr lang="en-GB" sz="1100" b="0" i="0" u="none" strike="noStrike" baseline="0">
                <a:solidFill>
                  <a:srgbClr val="000000"/>
                </a:solidFill>
                <a:latin typeface="Times New Roman"/>
                <a:cs typeface="Times New Roman"/>
              </a:rPr>
              <a:t>P</a:t>
            </a:r>
            <a:endParaRPr lang="en-GB" sz="1200" b="0" i="0" u="none" strike="noStrike" baseline="0">
              <a:solidFill>
                <a:srgbClr val="000000"/>
              </a:solidFill>
              <a:latin typeface="Times New Roman"/>
              <a:cs typeface="Times New Roman"/>
            </a:endParaRPr>
          </a:p>
          <a:p>
            <a:pPr algn="l" rtl="0">
              <a:defRPr sz="1000"/>
            </a:pPr>
            <a:endParaRPr lang="en-GB" sz="1200" b="0" i="0" u="none" strike="noStrike" baseline="0">
              <a:solidFill>
                <a:srgbClr val="000000"/>
              </a:solidFill>
              <a:latin typeface="Times New Roman"/>
              <a:cs typeface="Times New Roman"/>
            </a:endParaRPr>
          </a:p>
        </xdr:txBody>
      </xdr:sp>
      <xdr:sp macro="" textlink="">
        <xdr:nvSpPr>
          <xdr:cNvPr id="8825" name="Oval 633">
            <a:extLst>
              <a:ext uri="{FF2B5EF4-FFF2-40B4-BE49-F238E27FC236}">
                <a16:creationId xmlns:a16="http://schemas.microsoft.com/office/drawing/2014/main" id="{CA9620F0-7917-4490-9DAA-160369DA6541}"/>
              </a:ext>
            </a:extLst>
          </xdr:cNvPr>
          <xdr:cNvSpPr>
            <a:spLocks noChangeArrowheads="1"/>
          </xdr:cNvSpPr>
        </xdr:nvSpPr>
        <xdr:spPr bwMode="auto">
          <a:xfrm>
            <a:off x="9708" y="2466"/>
            <a:ext cx="361" cy="286"/>
          </a:xfrm>
          <a:prstGeom prst="ellipse">
            <a:avLst/>
          </a:prstGeom>
          <a:solidFill>
            <a:srgbClr val="FFFF99"/>
          </a:solidFill>
          <a:ln w="11430">
            <a:solidFill>
              <a:srgbClr val="000000"/>
            </a:solidFill>
            <a:round/>
            <a:headEnd/>
            <a:tailEnd/>
          </a:ln>
        </xdr:spPr>
      </xdr:sp>
      <xdr:sp macro="" textlink="">
        <xdr:nvSpPr>
          <xdr:cNvPr id="8826" name="Rectangle 634">
            <a:extLst>
              <a:ext uri="{FF2B5EF4-FFF2-40B4-BE49-F238E27FC236}">
                <a16:creationId xmlns:a16="http://schemas.microsoft.com/office/drawing/2014/main" id="{16234110-38D7-4803-A90F-70D1CEBD7BFE}"/>
              </a:ext>
            </a:extLst>
          </xdr:cNvPr>
          <xdr:cNvSpPr>
            <a:spLocks noChangeArrowheads="1"/>
          </xdr:cNvSpPr>
        </xdr:nvSpPr>
        <xdr:spPr bwMode="auto">
          <a:xfrm>
            <a:off x="9777" y="2466"/>
            <a:ext cx="223" cy="3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8827" name="Rectangle 635">
            <a:extLst>
              <a:ext uri="{FF2B5EF4-FFF2-40B4-BE49-F238E27FC236}">
                <a16:creationId xmlns:a16="http://schemas.microsoft.com/office/drawing/2014/main" id="{57CBD3A1-E193-4E5D-BF9D-85C4E95CAD07}"/>
              </a:ext>
            </a:extLst>
          </xdr:cNvPr>
          <xdr:cNvSpPr>
            <a:spLocks noChangeArrowheads="1"/>
          </xdr:cNvSpPr>
        </xdr:nvSpPr>
        <xdr:spPr bwMode="auto">
          <a:xfrm>
            <a:off x="9868" y="2506"/>
            <a:ext cx="124" cy="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upright="1">
            <a:spAutoFit/>
          </a:bodyPr>
          <a:lstStyle/>
          <a:p>
            <a:pPr algn="l" rtl="0">
              <a:defRPr sz="1000"/>
            </a:pPr>
            <a:r>
              <a:rPr lang="en-GB" sz="1100" b="0" i="0" u="none" strike="noStrike" baseline="0">
                <a:solidFill>
                  <a:srgbClr val="000000"/>
                </a:solidFill>
                <a:latin typeface="Times New Roman"/>
                <a:cs typeface="Times New Roman"/>
              </a:rPr>
              <a:t>P</a:t>
            </a:r>
            <a:endParaRPr lang="en-GB" sz="1200" b="0" i="0" u="none" strike="noStrike" baseline="0">
              <a:solidFill>
                <a:srgbClr val="000000"/>
              </a:solidFill>
              <a:latin typeface="Times New Roman"/>
              <a:cs typeface="Times New Roman"/>
            </a:endParaRPr>
          </a:p>
          <a:p>
            <a:pPr algn="l" rtl="0">
              <a:defRPr sz="1000"/>
            </a:pPr>
            <a:endParaRPr lang="en-GB" sz="1200" b="0" i="0" u="none" strike="noStrike" baseline="0">
              <a:solidFill>
                <a:srgbClr val="000000"/>
              </a:solidFill>
              <a:latin typeface="Times New Roman"/>
              <a:cs typeface="Times New Roman"/>
            </a:endParaRPr>
          </a:p>
        </xdr:txBody>
      </xdr:sp>
      <xdr:sp macro="" textlink="">
        <xdr:nvSpPr>
          <xdr:cNvPr id="8828" name="Freeform 636">
            <a:extLst>
              <a:ext uri="{FF2B5EF4-FFF2-40B4-BE49-F238E27FC236}">
                <a16:creationId xmlns:a16="http://schemas.microsoft.com/office/drawing/2014/main" id="{FA23FAD5-37BC-4F49-97A7-1BBD3F78A2BD}"/>
              </a:ext>
            </a:extLst>
          </xdr:cNvPr>
          <xdr:cNvSpPr>
            <a:spLocks/>
          </xdr:cNvSpPr>
        </xdr:nvSpPr>
        <xdr:spPr bwMode="auto">
          <a:xfrm>
            <a:off x="2317" y="2325"/>
            <a:ext cx="503" cy="850"/>
          </a:xfrm>
          <a:custGeom>
            <a:avLst/>
            <a:gdLst>
              <a:gd name="T0" fmla="*/ 503 w 503"/>
              <a:gd name="T1" fmla="*/ 0 h 850"/>
              <a:gd name="T2" fmla="*/ 0 w 503"/>
              <a:gd name="T3" fmla="*/ 0 h 850"/>
              <a:gd name="T4" fmla="*/ 0 w 503"/>
              <a:gd name="T5" fmla="*/ 850 h 850"/>
              <a:gd name="T6" fmla="*/ 503 w 503"/>
              <a:gd name="T7" fmla="*/ 850 h 850"/>
            </a:gdLst>
            <a:ahLst/>
            <a:cxnLst>
              <a:cxn ang="0">
                <a:pos x="T0" y="T1"/>
              </a:cxn>
              <a:cxn ang="0">
                <a:pos x="T2" y="T3"/>
              </a:cxn>
              <a:cxn ang="0">
                <a:pos x="T4" y="T5"/>
              </a:cxn>
              <a:cxn ang="0">
                <a:pos x="T6" y="T7"/>
              </a:cxn>
            </a:cxnLst>
            <a:rect l="0" t="0" r="r" b="b"/>
            <a:pathLst>
              <a:path w="503" h="850">
                <a:moveTo>
                  <a:pt x="503" y="0"/>
                </a:moveTo>
                <a:lnTo>
                  <a:pt x="0" y="0"/>
                </a:lnTo>
                <a:lnTo>
                  <a:pt x="0" y="850"/>
                </a:lnTo>
                <a:lnTo>
                  <a:pt x="503" y="850"/>
                </a:lnTo>
              </a:path>
            </a:pathLst>
          </a:custGeom>
          <a:noFill/>
          <a:ln w="5715">
            <a:solidFill>
              <a:srgbClr val="000000"/>
            </a:solidFill>
            <a:prstDash val="solid"/>
            <a:round/>
            <a:headEnd/>
            <a:tailEnd/>
          </a:ln>
          <a:extLst>
            <a:ext uri="{909E8E84-426E-40DD-AFC4-6F175D3DCCD1}">
              <a14:hiddenFill xmlns:a14="http://schemas.microsoft.com/office/drawing/2010/main">
                <a:solidFill>
                  <a:srgbClr val="FFFFFF"/>
                </a:solidFill>
              </a14:hiddenFill>
            </a:ext>
          </a:extLst>
        </xdr:spPr>
      </xdr:sp>
      <xdr:sp macro="" textlink="">
        <xdr:nvSpPr>
          <xdr:cNvPr id="8829" name="Oval 637">
            <a:extLst>
              <a:ext uri="{FF2B5EF4-FFF2-40B4-BE49-F238E27FC236}">
                <a16:creationId xmlns:a16="http://schemas.microsoft.com/office/drawing/2014/main" id="{AC8D8728-2010-449A-A8F0-9428A80A4D08}"/>
              </a:ext>
            </a:extLst>
          </xdr:cNvPr>
          <xdr:cNvSpPr>
            <a:spLocks noChangeArrowheads="1"/>
          </xdr:cNvSpPr>
        </xdr:nvSpPr>
        <xdr:spPr bwMode="auto">
          <a:xfrm>
            <a:off x="2102" y="2608"/>
            <a:ext cx="432" cy="284"/>
          </a:xfrm>
          <a:prstGeom prst="ellipse">
            <a:avLst/>
          </a:prstGeom>
          <a:solidFill>
            <a:srgbClr val="FFFF99"/>
          </a:solidFill>
          <a:ln w="5715">
            <a:solidFill>
              <a:srgbClr val="000000"/>
            </a:solidFill>
            <a:round/>
            <a:headEnd/>
            <a:tailEnd/>
          </a:ln>
        </xdr:spPr>
      </xdr:sp>
      <xdr:sp macro="" textlink="">
        <xdr:nvSpPr>
          <xdr:cNvPr id="8830" name="Rectangle 638">
            <a:extLst>
              <a:ext uri="{FF2B5EF4-FFF2-40B4-BE49-F238E27FC236}">
                <a16:creationId xmlns:a16="http://schemas.microsoft.com/office/drawing/2014/main" id="{72A0F098-048C-4CB4-AAA7-78279468BC43}"/>
              </a:ext>
            </a:extLst>
          </xdr:cNvPr>
          <xdr:cNvSpPr>
            <a:spLocks noChangeArrowheads="1"/>
          </xdr:cNvSpPr>
        </xdr:nvSpPr>
        <xdr:spPr bwMode="auto">
          <a:xfrm>
            <a:off x="2100" y="2538"/>
            <a:ext cx="578" cy="3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8831" name="Rectangle 639">
            <a:extLst>
              <a:ext uri="{FF2B5EF4-FFF2-40B4-BE49-F238E27FC236}">
                <a16:creationId xmlns:a16="http://schemas.microsoft.com/office/drawing/2014/main" id="{BF0D9BFA-C593-4A2F-B9F1-ABD300D78B80}"/>
              </a:ext>
            </a:extLst>
          </xdr:cNvPr>
          <xdr:cNvSpPr>
            <a:spLocks noChangeArrowheads="1"/>
          </xdr:cNvSpPr>
        </xdr:nvSpPr>
        <xdr:spPr bwMode="auto">
          <a:xfrm>
            <a:off x="2191" y="2608"/>
            <a:ext cx="259" cy="5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upright="1">
            <a:spAutoFit/>
          </a:bodyPr>
          <a:lstStyle/>
          <a:p>
            <a:pPr algn="l" rtl="0">
              <a:defRPr sz="1000"/>
            </a:pPr>
            <a:r>
              <a:rPr lang="en-GB" sz="1100" b="0" i="0" u="none" strike="noStrike" baseline="0">
                <a:solidFill>
                  <a:srgbClr val="000000"/>
                </a:solidFill>
                <a:latin typeface="Times New Roman"/>
                <a:cs typeface="Times New Roman"/>
              </a:rPr>
              <a:t>LT</a:t>
            </a:r>
            <a:endParaRPr lang="en-GB" sz="1200" b="0" i="0" u="none" strike="noStrike" baseline="0">
              <a:solidFill>
                <a:srgbClr val="000000"/>
              </a:solidFill>
              <a:latin typeface="Times New Roman"/>
              <a:cs typeface="Times New Roman"/>
            </a:endParaRPr>
          </a:p>
          <a:p>
            <a:pPr algn="l" rtl="0">
              <a:defRPr sz="1000"/>
            </a:pPr>
            <a:endParaRPr lang="en-GB" sz="1200" b="0" i="0" u="none" strike="noStrike" baseline="0">
              <a:solidFill>
                <a:srgbClr val="000000"/>
              </a:solidFill>
              <a:latin typeface="Times New Roman"/>
              <a:cs typeface="Times New Roman"/>
            </a:endParaRPr>
          </a:p>
        </xdr:txBody>
      </xdr:sp>
      <xdr:sp macro="" textlink="">
        <xdr:nvSpPr>
          <xdr:cNvPr id="8832" name="Oval 640">
            <a:extLst>
              <a:ext uri="{FF2B5EF4-FFF2-40B4-BE49-F238E27FC236}">
                <a16:creationId xmlns:a16="http://schemas.microsoft.com/office/drawing/2014/main" id="{9D38EE99-8361-4C3E-81BD-7283DFB16126}"/>
              </a:ext>
            </a:extLst>
          </xdr:cNvPr>
          <xdr:cNvSpPr>
            <a:spLocks noChangeArrowheads="1"/>
          </xdr:cNvSpPr>
        </xdr:nvSpPr>
        <xdr:spPr bwMode="auto">
          <a:xfrm>
            <a:off x="4039" y="2962"/>
            <a:ext cx="504" cy="214"/>
          </a:xfrm>
          <a:prstGeom prst="ellipse">
            <a:avLst/>
          </a:prstGeom>
          <a:solidFill>
            <a:srgbClr val="FFFF99"/>
          </a:solidFill>
          <a:ln w="5715">
            <a:solidFill>
              <a:srgbClr val="000000"/>
            </a:solidFill>
            <a:round/>
            <a:headEnd/>
            <a:tailEnd/>
          </a:ln>
        </xdr:spPr>
      </xdr:sp>
      <xdr:sp macro="" textlink="">
        <xdr:nvSpPr>
          <xdr:cNvPr id="8833" name="Rectangle 641">
            <a:extLst>
              <a:ext uri="{FF2B5EF4-FFF2-40B4-BE49-F238E27FC236}">
                <a16:creationId xmlns:a16="http://schemas.microsoft.com/office/drawing/2014/main" id="{7F12B02C-7DAB-4438-A573-FCC1865B6B74}"/>
              </a:ext>
            </a:extLst>
          </xdr:cNvPr>
          <xdr:cNvSpPr>
            <a:spLocks noChangeArrowheads="1"/>
          </xdr:cNvSpPr>
        </xdr:nvSpPr>
        <xdr:spPr bwMode="auto">
          <a:xfrm>
            <a:off x="4111" y="2891"/>
            <a:ext cx="307" cy="3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8834" name="Rectangle 642">
            <a:extLst>
              <a:ext uri="{FF2B5EF4-FFF2-40B4-BE49-F238E27FC236}">
                <a16:creationId xmlns:a16="http://schemas.microsoft.com/office/drawing/2014/main" id="{FC790B44-9CAE-48C5-BF38-F138F22C995B}"/>
              </a:ext>
            </a:extLst>
          </xdr:cNvPr>
          <xdr:cNvSpPr>
            <a:spLocks noChangeArrowheads="1"/>
          </xdr:cNvSpPr>
        </xdr:nvSpPr>
        <xdr:spPr bwMode="auto">
          <a:xfrm>
            <a:off x="4210" y="2944"/>
            <a:ext cx="129" cy="5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upright="1">
            <a:spAutoFit/>
          </a:bodyPr>
          <a:lstStyle/>
          <a:p>
            <a:pPr algn="l" rtl="0">
              <a:defRPr sz="1000"/>
            </a:pPr>
            <a:r>
              <a:rPr lang="en-GB" sz="1100" b="0" i="0" u="none" strike="noStrike" baseline="0">
                <a:solidFill>
                  <a:srgbClr val="000000"/>
                </a:solidFill>
                <a:latin typeface="Times New Roman"/>
                <a:cs typeface="Times New Roman"/>
              </a:rPr>
              <a:t>T</a:t>
            </a:r>
            <a:endParaRPr lang="en-GB" sz="1200" b="0" i="0" u="none" strike="noStrike" baseline="0">
              <a:solidFill>
                <a:srgbClr val="000000"/>
              </a:solidFill>
              <a:latin typeface="Times New Roman"/>
              <a:cs typeface="Times New Roman"/>
            </a:endParaRPr>
          </a:p>
          <a:p>
            <a:pPr algn="l" rtl="0">
              <a:defRPr sz="1000"/>
            </a:pPr>
            <a:endParaRPr lang="en-GB" sz="1200" b="0" i="0" u="none" strike="noStrike" baseline="0">
              <a:solidFill>
                <a:srgbClr val="000000"/>
              </a:solidFill>
              <a:latin typeface="Times New Roman"/>
              <a:cs typeface="Times New Roman"/>
            </a:endParaRPr>
          </a:p>
        </xdr:txBody>
      </xdr:sp>
      <xdr:sp macro="" textlink="">
        <xdr:nvSpPr>
          <xdr:cNvPr id="8835" name="Oval 643">
            <a:extLst>
              <a:ext uri="{FF2B5EF4-FFF2-40B4-BE49-F238E27FC236}">
                <a16:creationId xmlns:a16="http://schemas.microsoft.com/office/drawing/2014/main" id="{55766653-A42A-4ED3-BC3C-3A3E21E6F83B}"/>
              </a:ext>
            </a:extLst>
          </xdr:cNvPr>
          <xdr:cNvSpPr>
            <a:spLocks noChangeArrowheads="1"/>
          </xdr:cNvSpPr>
        </xdr:nvSpPr>
        <xdr:spPr bwMode="auto">
          <a:xfrm>
            <a:off x="3465" y="4093"/>
            <a:ext cx="504" cy="285"/>
          </a:xfrm>
          <a:prstGeom prst="ellipse">
            <a:avLst/>
          </a:prstGeom>
          <a:solidFill>
            <a:srgbClr val="FFFF99"/>
          </a:solidFill>
          <a:ln w="5715">
            <a:solidFill>
              <a:srgbClr val="000000"/>
            </a:solidFill>
            <a:round/>
            <a:headEnd/>
            <a:tailEnd/>
          </a:ln>
        </xdr:spPr>
      </xdr:sp>
      <xdr:sp macro="" textlink="">
        <xdr:nvSpPr>
          <xdr:cNvPr id="8836" name="Rectangle 644">
            <a:extLst>
              <a:ext uri="{FF2B5EF4-FFF2-40B4-BE49-F238E27FC236}">
                <a16:creationId xmlns:a16="http://schemas.microsoft.com/office/drawing/2014/main" id="{42E50159-7477-4E7C-8526-42235334369D}"/>
              </a:ext>
            </a:extLst>
          </xdr:cNvPr>
          <xdr:cNvSpPr>
            <a:spLocks noChangeArrowheads="1"/>
          </xdr:cNvSpPr>
        </xdr:nvSpPr>
        <xdr:spPr bwMode="auto">
          <a:xfrm>
            <a:off x="3609" y="4022"/>
            <a:ext cx="294" cy="3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8837" name="Rectangle 645">
            <a:extLst>
              <a:ext uri="{FF2B5EF4-FFF2-40B4-BE49-F238E27FC236}">
                <a16:creationId xmlns:a16="http://schemas.microsoft.com/office/drawing/2014/main" id="{4C451EBC-77FA-4D0F-8266-44D2C9A50CA9}"/>
              </a:ext>
            </a:extLst>
          </xdr:cNvPr>
          <xdr:cNvSpPr>
            <a:spLocks noChangeArrowheads="1"/>
          </xdr:cNvSpPr>
        </xdr:nvSpPr>
        <xdr:spPr bwMode="auto">
          <a:xfrm>
            <a:off x="3696" y="4074"/>
            <a:ext cx="133" cy="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upright="1">
            <a:spAutoFit/>
          </a:bodyPr>
          <a:lstStyle/>
          <a:p>
            <a:pPr algn="l" rtl="0">
              <a:defRPr sz="1000"/>
            </a:pPr>
            <a:r>
              <a:rPr lang="en-GB" sz="1100" b="0" i="0" u="none" strike="noStrike" baseline="0">
                <a:solidFill>
                  <a:srgbClr val="000000"/>
                </a:solidFill>
                <a:latin typeface="Times New Roman"/>
                <a:cs typeface="Times New Roman"/>
              </a:rPr>
              <a:t>P</a:t>
            </a:r>
            <a:endParaRPr lang="en-GB" sz="1200" b="0" i="0" u="none" strike="noStrike" baseline="0">
              <a:solidFill>
                <a:srgbClr val="000000"/>
              </a:solidFill>
              <a:latin typeface="Times New Roman"/>
              <a:cs typeface="Times New Roman"/>
            </a:endParaRPr>
          </a:p>
          <a:p>
            <a:pPr algn="l" rtl="0">
              <a:defRPr sz="1000"/>
            </a:pPr>
            <a:endParaRPr lang="en-GB" sz="1200" b="0" i="0" u="none" strike="noStrike" baseline="0">
              <a:solidFill>
                <a:srgbClr val="000000"/>
              </a:solidFill>
              <a:latin typeface="Times New Roman"/>
              <a:cs typeface="Times New Roman"/>
            </a:endParaRPr>
          </a:p>
        </xdr:txBody>
      </xdr:sp>
      <xdr:sp macro="" textlink="">
        <xdr:nvSpPr>
          <xdr:cNvPr id="8838" name="Oval 646">
            <a:extLst>
              <a:ext uri="{FF2B5EF4-FFF2-40B4-BE49-F238E27FC236}">
                <a16:creationId xmlns:a16="http://schemas.microsoft.com/office/drawing/2014/main" id="{5A6FB0F9-AF31-4AE3-98E9-C8F89C958872}"/>
              </a:ext>
            </a:extLst>
          </xdr:cNvPr>
          <xdr:cNvSpPr>
            <a:spLocks noChangeArrowheads="1"/>
          </xdr:cNvSpPr>
        </xdr:nvSpPr>
        <xdr:spPr bwMode="auto">
          <a:xfrm>
            <a:off x="3465" y="4093"/>
            <a:ext cx="504" cy="285"/>
          </a:xfrm>
          <a:prstGeom prst="ellipse">
            <a:avLst/>
          </a:prstGeom>
          <a:solidFill>
            <a:srgbClr val="FFFF99"/>
          </a:solidFill>
          <a:ln w="5715">
            <a:solidFill>
              <a:srgbClr val="000000"/>
            </a:solidFill>
            <a:round/>
            <a:headEnd/>
            <a:tailEnd/>
          </a:ln>
        </xdr:spPr>
      </xdr:sp>
      <xdr:sp macro="" textlink="">
        <xdr:nvSpPr>
          <xdr:cNvPr id="8839" name="Rectangle 647">
            <a:extLst>
              <a:ext uri="{FF2B5EF4-FFF2-40B4-BE49-F238E27FC236}">
                <a16:creationId xmlns:a16="http://schemas.microsoft.com/office/drawing/2014/main" id="{C6EDB749-9366-40EF-8785-698EEA43F51F}"/>
              </a:ext>
            </a:extLst>
          </xdr:cNvPr>
          <xdr:cNvSpPr>
            <a:spLocks noChangeArrowheads="1"/>
          </xdr:cNvSpPr>
        </xdr:nvSpPr>
        <xdr:spPr bwMode="auto">
          <a:xfrm>
            <a:off x="3609" y="4022"/>
            <a:ext cx="294" cy="3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8840" name="Rectangle 648">
            <a:extLst>
              <a:ext uri="{FF2B5EF4-FFF2-40B4-BE49-F238E27FC236}">
                <a16:creationId xmlns:a16="http://schemas.microsoft.com/office/drawing/2014/main" id="{7169E825-C305-48E3-84CA-F301F069EF91}"/>
              </a:ext>
            </a:extLst>
          </xdr:cNvPr>
          <xdr:cNvSpPr>
            <a:spLocks noChangeArrowheads="1"/>
          </xdr:cNvSpPr>
        </xdr:nvSpPr>
        <xdr:spPr bwMode="auto">
          <a:xfrm>
            <a:off x="3696" y="4074"/>
            <a:ext cx="133" cy="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upright="1">
            <a:spAutoFit/>
          </a:bodyPr>
          <a:lstStyle/>
          <a:p>
            <a:pPr algn="l" rtl="0">
              <a:defRPr sz="1000"/>
            </a:pPr>
            <a:r>
              <a:rPr lang="en-GB" sz="1100" b="0" i="0" u="none" strike="noStrike" baseline="0">
                <a:solidFill>
                  <a:srgbClr val="000000"/>
                </a:solidFill>
                <a:latin typeface="Times New Roman"/>
                <a:cs typeface="Times New Roman"/>
              </a:rPr>
              <a:t>P</a:t>
            </a:r>
            <a:endParaRPr lang="en-GB" sz="1200" b="0" i="0" u="none" strike="noStrike" baseline="0">
              <a:solidFill>
                <a:srgbClr val="000000"/>
              </a:solidFill>
              <a:latin typeface="Times New Roman"/>
              <a:cs typeface="Times New Roman"/>
            </a:endParaRPr>
          </a:p>
          <a:p>
            <a:pPr algn="l" rtl="0">
              <a:defRPr sz="1000"/>
            </a:pPr>
            <a:endParaRPr lang="en-GB" sz="1200" b="0" i="0" u="none" strike="noStrike" baseline="0">
              <a:solidFill>
                <a:srgbClr val="000000"/>
              </a:solidFill>
              <a:latin typeface="Times New Roman"/>
              <a:cs typeface="Times New Roman"/>
            </a:endParaRPr>
          </a:p>
        </xdr:txBody>
      </xdr:sp>
      <xdr:sp macro="" textlink="">
        <xdr:nvSpPr>
          <xdr:cNvPr id="8841" name="Rectangle 649">
            <a:extLst>
              <a:ext uri="{FF2B5EF4-FFF2-40B4-BE49-F238E27FC236}">
                <a16:creationId xmlns:a16="http://schemas.microsoft.com/office/drawing/2014/main" id="{FD60655E-1C9A-4A57-A6D5-90ACB8AE56A8}"/>
              </a:ext>
            </a:extLst>
          </xdr:cNvPr>
          <xdr:cNvSpPr>
            <a:spLocks noChangeArrowheads="1"/>
          </xdr:cNvSpPr>
        </xdr:nvSpPr>
        <xdr:spPr bwMode="auto">
          <a:xfrm>
            <a:off x="2606" y="5650"/>
            <a:ext cx="294" cy="3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8842" name="Rectangle 650">
            <a:extLst>
              <a:ext uri="{FF2B5EF4-FFF2-40B4-BE49-F238E27FC236}">
                <a16:creationId xmlns:a16="http://schemas.microsoft.com/office/drawing/2014/main" id="{334AAAF6-2057-435F-A2CB-E0AB455168F4}"/>
              </a:ext>
            </a:extLst>
          </xdr:cNvPr>
          <xdr:cNvSpPr>
            <a:spLocks noChangeArrowheads="1"/>
          </xdr:cNvSpPr>
        </xdr:nvSpPr>
        <xdr:spPr bwMode="auto">
          <a:xfrm>
            <a:off x="2705" y="5724"/>
            <a:ext cx="118" cy="5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upright="1">
            <a:spAutoFit/>
          </a:bodyPr>
          <a:lstStyle/>
          <a:p>
            <a:pPr algn="l" rtl="0">
              <a:defRPr sz="1000"/>
            </a:pPr>
            <a:r>
              <a:rPr lang="en-GB" sz="1100" b="0" i="0" u="none" strike="noStrike" baseline="0">
                <a:solidFill>
                  <a:srgbClr val="000000"/>
                </a:solidFill>
                <a:latin typeface="Times New Roman"/>
                <a:cs typeface="Times New Roman"/>
              </a:rPr>
              <a:t>F</a:t>
            </a:r>
            <a:endParaRPr lang="en-GB" sz="1200" b="0" i="0" u="none" strike="noStrike" baseline="0">
              <a:solidFill>
                <a:srgbClr val="000000"/>
              </a:solidFill>
              <a:latin typeface="Times New Roman"/>
              <a:cs typeface="Times New Roman"/>
            </a:endParaRPr>
          </a:p>
          <a:p>
            <a:pPr algn="l" rtl="0">
              <a:defRPr sz="1000"/>
            </a:pPr>
            <a:endParaRPr lang="en-GB" sz="1200" b="0" i="0" u="none" strike="noStrike" baseline="0">
              <a:solidFill>
                <a:srgbClr val="000000"/>
              </a:solidFill>
              <a:latin typeface="Times New Roman"/>
              <a:cs typeface="Times New Roman"/>
            </a:endParaRPr>
          </a:p>
        </xdr:txBody>
      </xdr:sp>
      <xdr:sp macro="" textlink="">
        <xdr:nvSpPr>
          <xdr:cNvPr id="8843" name="Freeform 651">
            <a:extLst>
              <a:ext uri="{FF2B5EF4-FFF2-40B4-BE49-F238E27FC236}">
                <a16:creationId xmlns:a16="http://schemas.microsoft.com/office/drawing/2014/main" id="{6A627558-C88F-4EB5-B172-3F823D77DA34}"/>
              </a:ext>
            </a:extLst>
          </xdr:cNvPr>
          <xdr:cNvSpPr>
            <a:spLocks noEditPoints="1"/>
          </xdr:cNvSpPr>
        </xdr:nvSpPr>
        <xdr:spPr bwMode="auto">
          <a:xfrm>
            <a:off x="4313" y="1745"/>
            <a:ext cx="480" cy="386"/>
          </a:xfrm>
          <a:custGeom>
            <a:avLst/>
            <a:gdLst>
              <a:gd name="T0" fmla="*/ 480 w 480"/>
              <a:gd name="T1" fmla="*/ 249 h 386"/>
              <a:gd name="T2" fmla="*/ 386 w 480"/>
              <a:gd name="T3" fmla="*/ 249 h 386"/>
              <a:gd name="T4" fmla="*/ 399 w 480"/>
              <a:gd name="T5" fmla="*/ 262 h 386"/>
              <a:gd name="T6" fmla="*/ 398 w 480"/>
              <a:gd name="T7" fmla="*/ 196 h 386"/>
              <a:gd name="T8" fmla="*/ 395 w 480"/>
              <a:gd name="T9" fmla="*/ 171 h 386"/>
              <a:gd name="T10" fmla="*/ 384 w 480"/>
              <a:gd name="T11" fmla="*/ 133 h 386"/>
              <a:gd name="T12" fmla="*/ 368 w 480"/>
              <a:gd name="T13" fmla="*/ 99 h 386"/>
              <a:gd name="T14" fmla="*/ 342 w 480"/>
              <a:gd name="T15" fmla="*/ 63 h 386"/>
              <a:gd name="T16" fmla="*/ 314 w 480"/>
              <a:gd name="T17" fmla="*/ 39 h 386"/>
              <a:gd name="T18" fmla="*/ 295 w 480"/>
              <a:gd name="T19" fmla="*/ 26 h 386"/>
              <a:gd name="T20" fmla="*/ 262 w 480"/>
              <a:gd name="T21" fmla="*/ 11 h 386"/>
              <a:gd name="T22" fmla="*/ 239 w 480"/>
              <a:gd name="T23" fmla="*/ 5 h 386"/>
              <a:gd name="T24" fmla="*/ 202 w 480"/>
              <a:gd name="T25" fmla="*/ 0 h 386"/>
              <a:gd name="T26" fmla="*/ 0 w 480"/>
              <a:gd name="T27" fmla="*/ 0 h 386"/>
              <a:gd name="T28" fmla="*/ 0 w 480"/>
              <a:gd name="T29" fmla="*/ 120 h 386"/>
              <a:gd name="T30" fmla="*/ 14 w 480"/>
              <a:gd name="T31" fmla="*/ 133 h 386"/>
              <a:gd name="T32" fmla="*/ 214 w 480"/>
              <a:gd name="T33" fmla="*/ 135 h 386"/>
              <a:gd name="T34" fmla="*/ 208 w 480"/>
              <a:gd name="T35" fmla="*/ 135 h 386"/>
              <a:gd name="T36" fmla="*/ 224 w 480"/>
              <a:gd name="T37" fmla="*/ 127 h 386"/>
              <a:gd name="T38" fmla="*/ 224 w 480"/>
              <a:gd name="T39" fmla="*/ 147 h 386"/>
              <a:gd name="T40" fmla="*/ 242 w 480"/>
              <a:gd name="T41" fmla="*/ 148 h 386"/>
              <a:gd name="T42" fmla="*/ 238 w 480"/>
              <a:gd name="T43" fmla="*/ 168 h 386"/>
              <a:gd name="T44" fmla="*/ 256 w 480"/>
              <a:gd name="T45" fmla="*/ 180 h 386"/>
              <a:gd name="T46" fmla="*/ 245 w 480"/>
              <a:gd name="T47" fmla="*/ 198 h 386"/>
              <a:gd name="T48" fmla="*/ 247 w 480"/>
              <a:gd name="T49" fmla="*/ 262 h 386"/>
              <a:gd name="T50" fmla="*/ 260 w 480"/>
              <a:gd name="T51" fmla="*/ 249 h 386"/>
              <a:gd name="T52" fmla="*/ 166 w 480"/>
              <a:gd name="T53" fmla="*/ 249 h 386"/>
              <a:gd name="T54" fmla="*/ 314 w 480"/>
              <a:gd name="T55" fmla="*/ 379 h 386"/>
              <a:gd name="T56" fmla="*/ 332 w 480"/>
              <a:gd name="T57" fmla="*/ 379 h 386"/>
              <a:gd name="T58" fmla="*/ 314 w 480"/>
              <a:gd name="T59" fmla="*/ 359 h 386"/>
              <a:gd name="T60" fmla="*/ 332 w 480"/>
              <a:gd name="T61" fmla="*/ 359 h 386"/>
              <a:gd name="T62" fmla="*/ 202 w 480"/>
              <a:gd name="T63" fmla="*/ 262 h 386"/>
              <a:gd name="T64" fmla="*/ 260 w 480"/>
              <a:gd name="T65" fmla="*/ 275 h 386"/>
              <a:gd name="T66" fmla="*/ 274 w 480"/>
              <a:gd name="T67" fmla="*/ 262 h 386"/>
              <a:gd name="T68" fmla="*/ 272 w 480"/>
              <a:gd name="T69" fmla="*/ 198 h 386"/>
              <a:gd name="T70" fmla="*/ 268 w 480"/>
              <a:gd name="T71" fmla="*/ 174 h 386"/>
              <a:gd name="T72" fmla="*/ 256 w 480"/>
              <a:gd name="T73" fmla="*/ 144 h 386"/>
              <a:gd name="T74" fmla="*/ 244 w 480"/>
              <a:gd name="T75" fmla="*/ 127 h 386"/>
              <a:gd name="T76" fmla="*/ 229 w 480"/>
              <a:gd name="T77" fmla="*/ 116 h 386"/>
              <a:gd name="T78" fmla="*/ 214 w 480"/>
              <a:gd name="T79" fmla="*/ 108 h 386"/>
              <a:gd name="T80" fmla="*/ 14 w 480"/>
              <a:gd name="T81" fmla="*/ 107 h 386"/>
              <a:gd name="T82" fmla="*/ 27 w 480"/>
              <a:gd name="T83" fmla="*/ 120 h 386"/>
              <a:gd name="T84" fmla="*/ 14 w 480"/>
              <a:gd name="T85" fmla="*/ 14 h 386"/>
              <a:gd name="T86" fmla="*/ 202 w 480"/>
              <a:gd name="T87" fmla="*/ 27 h 386"/>
              <a:gd name="T88" fmla="*/ 239 w 480"/>
              <a:gd name="T89" fmla="*/ 32 h 386"/>
              <a:gd name="T90" fmla="*/ 233 w 480"/>
              <a:gd name="T91" fmla="*/ 30 h 386"/>
              <a:gd name="T92" fmla="*/ 268 w 480"/>
              <a:gd name="T93" fmla="*/ 42 h 386"/>
              <a:gd name="T94" fmla="*/ 299 w 480"/>
              <a:gd name="T95" fmla="*/ 62 h 386"/>
              <a:gd name="T96" fmla="*/ 295 w 480"/>
              <a:gd name="T97" fmla="*/ 59 h 386"/>
              <a:gd name="T98" fmla="*/ 323 w 480"/>
              <a:gd name="T99" fmla="*/ 83 h 386"/>
              <a:gd name="T100" fmla="*/ 354 w 480"/>
              <a:gd name="T101" fmla="*/ 104 h 386"/>
              <a:gd name="T102" fmla="*/ 351 w 480"/>
              <a:gd name="T103" fmla="*/ 126 h 386"/>
              <a:gd name="T104" fmla="*/ 365 w 480"/>
              <a:gd name="T105" fmla="*/ 162 h 386"/>
              <a:gd name="T106" fmla="*/ 383 w 480"/>
              <a:gd name="T107" fmla="*/ 177 h 386"/>
              <a:gd name="T108" fmla="*/ 371 w 480"/>
              <a:gd name="T109" fmla="*/ 196 h 386"/>
              <a:gd name="T110" fmla="*/ 372 w 480"/>
              <a:gd name="T111" fmla="*/ 262 h 386"/>
              <a:gd name="T112" fmla="*/ 386 w 480"/>
              <a:gd name="T113" fmla="*/ 275 h 386"/>
              <a:gd name="T114" fmla="*/ 444 w 480"/>
              <a:gd name="T115" fmla="*/ 262 h 386"/>
              <a:gd name="T116" fmla="*/ 314 w 480"/>
              <a:gd name="T117" fmla="*/ 359 h 38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 ang="0">
                <a:pos x="T116" y="T117"/>
              </a:cxn>
            </a:cxnLst>
            <a:rect l="0" t="0" r="r" b="b"/>
            <a:pathLst>
              <a:path w="480" h="386">
                <a:moveTo>
                  <a:pt x="453" y="272"/>
                </a:moveTo>
                <a:lnTo>
                  <a:pt x="480" y="249"/>
                </a:lnTo>
                <a:lnTo>
                  <a:pt x="444" y="249"/>
                </a:lnTo>
                <a:lnTo>
                  <a:pt x="386" y="249"/>
                </a:lnTo>
                <a:lnTo>
                  <a:pt x="386" y="262"/>
                </a:lnTo>
                <a:lnTo>
                  <a:pt x="399" y="262"/>
                </a:lnTo>
                <a:lnTo>
                  <a:pt x="399" y="217"/>
                </a:lnTo>
                <a:lnTo>
                  <a:pt x="398" y="196"/>
                </a:lnTo>
                <a:lnTo>
                  <a:pt x="396" y="177"/>
                </a:lnTo>
                <a:lnTo>
                  <a:pt x="395" y="171"/>
                </a:lnTo>
                <a:lnTo>
                  <a:pt x="390" y="151"/>
                </a:lnTo>
                <a:lnTo>
                  <a:pt x="384" y="133"/>
                </a:lnTo>
                <a:lnTo>
                  <a:pt x="377" y="116"/>
                </a:lnTo>
                <a:lnTo>
                  <a:pt x="368" y="99"/>
                </a:lnTo>
                <a:lnTo>
                  <a:pt x="365" y="95"/>
                </a:lnTo>
                <a:lnTo>
                  <a:pt x="342" y="63"/>
                </a:lnTo>
                <a:lnTo>
                  <a:pt x="329" y="51"/>
                </a:lnTo>
                <a:lnTo>
                  <a:pt x="314" y="39"/>
                </a:lnTo>
                <a:lnTo>
                  <a:pt x="310" y="36"/>
                </a:lnTo>
                <a:lnTo>
                  <a:pt x="295" y="26"/>
                </a:lnTo>
                <a:lnTo>
                  <a:pt x="278" y="17"/>
                </a:lnTo>
                <a:lnTo>
                  <a:pt x="262" y="11"/>
                </a:lnTo>
                <a:lnTo>
                  <a:pt x="244" y="5"/>
                </a:lnTo>
                <a:lnTo>
                  <a:pt x="239" y="5"/>
                </a:lnTo>
                <a:lnTo>
                  <a:pt x="221" y="2"/>
                </a:lnTo>
                <a:lnTo>
                  <a:pt x="202" y="0"/>
                </a:lnTo>
                <a:lnTo>
                  <a:pt x="14" y="0"/>
                </a:lnTo>
                <a:lnTo>
                  <a:pt x="0" y="0"/>
                </a:lnTo>
                <a:lnTo>
                  <a:pt x="0" y="14"/>
                </a:lnTo>
                <a:lnTo>
                  <a:pt x="0" y="120"/>
                </a:lnTo>
                <a:lnTo>
                  <a:pt x="0" y="133"/>
                </a:lnTo>
                <a:lnTo>
                  <a:pt x="14" y="133"/>
                </a:lnTo>
                <a:lnTo>
                  <a:pt x="202" y="133"/>
                </a:lnTo>
                <a:lnTo>
                  <a:pt x="214" y="135"/>
                </a:lnTo>
                <a:lnTo>
                  <a:pt x="214" y="121"/>
                </a:lnTo>
                <a:lnTo>
                  <a:pt x="208" y="135"/>
                </a:lnTo>
                <a:lnTo>
                  <a:pt x="218" y="141"/>
                </a:lnTo>
                <a:lnTo>
                  <a:pt x="224" y="127"/>
                </a:lnTo>
                <a:lnTo>
                  <a:pt x="214" y="138"/>
                </a:lnTo>
                <a:lnTo>
                  <a:pt x="224" y="147"/>
                </a:lnTo>
                <a:lnTo>
                  <a:pt x="233" y="159"/>
                </a:lnTo>
                <a:lnTo>
                  <a:pt x="242" y="148"/>
                </a:lnTo>
                <a:lnTo>
                  <a:pt x="230" y="154"/>
                </a:lnTo>
                <a:lnTo>
                  <a:pt x="238" y="168"/>
                </a:lnTo>
                <a:lnTo>
                  <a:pt x="242" y="184"/>
                </a:lnTo>
                <a:lnTo>
                  <a:pt x="256" y="180"/>
                </a:lnTo>
                <a:lnTo>
                  <a:pt x="242" y="180"/>
                </a:lnTo>
                <a:lnTo>
                  <a:pt x="245" y="198"/>
                </a:lnTo>
                <a:lnTo>
                  <a:pt x="247" y="217"/>
                </a:lnTo>
                <a:lnTo>
                  <a:pt x="247" y="262"/>
                </a:lnTo>
                <a:lnTo>
                  <a:pt x="260" y="262"/>
                </a:lnTo>
                <a:lnTo>
                  <a:pt x="260" y="249"/>
                </a:lnTo>
                <a:lnTo>
                  <a:pt x="202" y="249"/>
                </a:lnTo>
                <a:lnTo>
                  <a:pt x="166" y="249"/>
                </a:lnTo>
                <a:lnTo>
                  <a:pt x="193" y="272"/>
                </a:lnTo>
                <a:lnTo>
                  <a:pt x="314" y="379"/>
                </a:lnTo>
                <a:lnTo>
                  <a:pt x="323" y="386"/>
                </a:lnTo>
                <a:lnTo>
                  <a:pt x="332" y="379"/>
                </a:lnTo>
                <a:lnTo>
                  <a:pt x="453" y="272"/>
                </a:lnTo>
                <a:close/>
                <a:moveTo>
                  <a:pt x="314" y="359"/>
                </a:moveTo>
                <a:lnTo>
                  <a:pt x="323" y="368"/>
                </a:lnTo>
                <a:lnTo>
                  <a:pt x="332" y="359"/>
                </a:lnTo>
                <a:lnTo>
                  <a:pt x="211" y="253"/>
                </a:lnTo>
                <a:lnTo>
                  <a:pt x="202" y="262"/>
                </a:lnTo>
                <a:lnTo>
                  <a:pt x="202" y="275"/>
                </a:lnTo>
                <a:lnTo>
                  <a:pt x="260" y="275"/>
                </a:lnTo>
                <a:lnTo>
                  <a:pt x="274" y="275"/>
                </a:lnTo>
                <a:lnTo>
                  <a:pt x="274" y="262"/>
                </a:lnTo>
                <a:lnTo>
                  <a:pt x="274" y="217"/>
                </a:lnTo>
                <a:lnTo>
                  <a:pt x="272" y="198"/>
                </a:lnTo>
                <a:lnTo>
                  <a:pt x="269" y="180"/>
                </a:lnTo>
                <a:lnTo>
                  <a:pt x="268" y="174"/>
                </a:lnTo>
                <a:lnTo>
                  <a:pt x="263" y="157"/>
                </a:lnTo>
                <a:lnTo>
                  <a:pt x="256" y="144"/>
                </a:lnTo>
                <a:lnTo>
                  <a:pt x="253" y="139"/>
                </a:lnTo>
                <a:lnTo>
                  <a:pt x="244" y="127"/>
                </a:lnTo>
                <a:lnTo>
                  <a:pt x="233" y="119"/>
                </a:lnTo>
                <a:lnTo>
                  <a:pt x="229" y="116"/>
                </a:lnTo>
                <a:lnTo>
                  <a:pt x="218" y="110"/>
                </a:lnTo>
                <a:lnTo>
                  <a:pt x="214" y="108"/>
                </a:lnTo>
                <a:lnTo>
                  <a:pt x="202" y="107"/>
                </a:lnTo>
                <a:lnTo>
                  <a:pt x="14" y="107"/>
                </a:lnTo>
                <a:lnTo>
                  <a:pt x="14" y="120"/>
                </a:lnTo>
                <a:lnTo>
                  <a:pt x="27" y="120"/>
                </a:lnTo>
                <a:lnTo>
                  <a:pt x="27" y="14"/>
                </a:lnTo>
                <a:lnTo>
                  <a:pt x="14" y="14"/>
                </a:lnTo>
                <a:lnTo>
                  <a:pt x="14" y="27"/>
                </a:lnTo>
                <a:lnTo>
                  <a:pt x="202" y="27"/>
                </a:lnTo>
                <a:lnTo>
                  <a:pt x="221" y="29"/>
                </a:lnTo>
                <a:lnTo>
                  <a:pt x="239" y="32"/>
                </a:lnTo>
                <a:lnTo>
                  <a:pt x="239" y="18"/>
                </a:lnTo>
                <a:lnTo>
                  <a:pt x="233" y="30"/>
                </a:lnTo>
                <a:lnTo>
                  <a:pt x="251" y="36"/>
                </a:lnTo>
                <a:lnTo>
                  <a:pt x="268" y="42"/>
                </a:lnTo>
                <a:lnTo>
                  <a:pt x="284" y="51"/>
                </a:lnTo>
                <a:lnTo>
                  <a:pt x="299" y="62"/>
                </a:lnTo>
                <a:lnTo>
                  <a:pt x="305" y="48"/>
                </a:lnTo>
                <a:lnTo>
                  <a:pt x="295" y="59"/>
                </a:lnTo>
                <a:lnTo>
                  <a:pt x="310" y="71"/>
                </a:lnTo>
                <a:lnTo>
                  <a:pt x="323" y="83"/>
                </a:lnTo>
                <a:lnTo>
                  <a:pt x="345" y="114"/>
                </a:lnTo>
                <a:lnTo>
                  <a:pt x="354" y="104"/>
                </a:lnTo>
                <a:lnTo>
                  <a:pt x="342" y="110"/>
                </a:lnTo>
                <a:lnTo>
                  <a:pt x="351" y="126"/>
                </a:lnTo>
                <a:lnTo>
                  <a:pt x="359" y="144"/>
                </a:lnTo>
                <a:lnTo>
                  <a:pt x="365" y="162"/>
                </a:lnTo>
                <a:lnTo>
                  <a:pt x="369" y="181"/>
                </a:lnTo>
                <a:lnTo>
                  <a:pt x="383" y="177"/>
                </a:lnTo>
                <a:lnTo>
                  <a:pt x="369" y="177"/>
                </a:lnTo>
                <a:lnTo>
                  <a:pt x="371" y="196"/>
                </a:lnTo>
                <a:lnTo>
                  <a:pt x="372" y="217"/>
                </a:lnTo>
                <a:lnTo>
                  <a:pt x="372" y="262"/>
                </a:lnTo>
                <a:lnTo>
                  <a:pt x="372" y="275"/>
                </a:lnTo>
                <a:lnTo>
                  <a:pt x="386" y="275"/>
                </a:lnTo>
                <a:lnTo>
                  <a:pt x="444" y="275"/>
                </a:lnTo>
                <a:lnTo>
                  <a:pt x="444" y="262"/>
                </a:lnTo>
                <a:lnTo>
                  <a:pt x="435" y="253"/>
                </a:lnTo>
                <a:lnTo>
                  <a:pt x="314" y="359"/>
                </a:lnTo>
                <a:close/>
              </a:path>
            </a:pathLst>
          </a:custGeom>
          <a:solidFill>
            <a:srgbClr val="000000"/>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8844" name="Oval 652">
            <a:extLst>
              <a:ext uri="{FF2B5EF4-FFF2-40B4-BE49-F238E27FC236}">
                <a16:creationId xmlns:a16="http://schemas.microsoft.com/office/drawing/2014/main" id="{7802AE85-EA22-4DE9-B66D-FD650A634E65}"/>
              </a:ext>
            </a:extLst>
          </xdr:cNvPr>
          <xdr:cNvSpPr>
            <a:spLocks noChangeArrowheads="1"/>
          </xdr:cNvSpPr>
        </xdr:nvSpPr>
        <xdr:spPr bwMode="auto">
          <a:xfrm>
            <a:off x="3968" y="1689"/>
            <a:ext cx="504" cy="284"/>
          </a:xfrm>
          <a:prstGeom prst="ellipse">
            <a:avLst/>
          </a:prstGeom>
          <a:solidFill>
            <a:srgbClr val="FFFF99"/>
          </a:solidFill>
          <a:ln w="5715">
            <a:solidFill>
              <a:srgbClr val="000000"/>
            </a:solidFill>
            <a:round/>
            <a:headEnd/>
            <a:tailEnd/>
          </a:ln>
        </xdr:spPr>
      </xdr:sp>
      <xdr:sp macro="" textlink="">
        <xdr:nvSpPr>
          <xdr:cNvPr id="8845" name="Freeform 653">
            <a:extLst>
              <a:ext uri="{FF2B5EF4-FFF2-40B4-BE49-F238E27FC236}">
                <a16:creationId xmlns:a16="http://schemas.microsoft.com/office/drawing/2014/main" id="{021B4EE6-C3BD-462D-AABA-0388A17AAE84}"/>
              </a:ext>
            </a:extLst>
          </xdr:cNvPr>
          <xdr:cNvSpPr>
            <a:spLocks/>
          </xdr:cNvSpPr>
        </xdr:nvSpPr>
        <xdr:spPr bwMode="auto">
          <a:xfrm>
            <a:off x="5690" y="4943"/>
            <a:ext cx="861" cy="848"/>
          </a:xfrm>
          <a:custGeom>
            <a:avLst/>
            <a:gdLst>
              <a:gd name="T0" fmla="*/ 0 w 861"/>
              <a:gd name="T1" fmla="*/ 0 h 848"/>
              <a:gd name="T2" fmla="*/ 861 w 861"/>
              <a:gd name="T3" fmla="*/ 0 h 848"/>
              <a:gd name="T4" fmla="*/ 861 w 861"/>
              <a:gd name="T5" fmla="*/ 848 h 848"/>
              <a:gd name="T6" fmla="*/ 430 w 861"/>
              <a:gd name="T7" fmla="*/ 848 h 848"/>
            </a:gdLst>
            <a:ahLst/>
            <a:cxnLst>
              <a:cxn ang="0">
                <a:pos x="T0" y="T1"/>
              </a:cxn>
              <a:cxn ang="0">
                <a:pos x="T2" y="T3"/>
              </a:cxn>
              <a:cxn ang="0">
                <a:pos x="T4" y="T5"/>
              </a:cxn>
              <a:cxn ang="0">
                <a:pos x="T6" y="T7"/>
              </a:cxn>
            </a:cxnLst>
            <a:rect l="0" t="0" r="r" b="b"/>
            <a:pathLst>
              <a:path w="861" h="848">
                <a:moveTo>
                  <a:pt x="0" y="0"/>
                </a:moveTo>
                <a:lnTo>
                  <a:pt x="861" y="0"/>
                </a:lnTo>
                <a:lnTo>
                  <a:pt x="861" y="848"/>
                </a:lnTo>
                <a:lnTo>
                  <a:pt x="430" y="848"/>
                </a:lnTo>
              </a:path>
            </a:pathLst>
          </a:custGeom>
          <a:noFill/>
          <a:ln w="5715">
            <a:solidFill>
              <a:srgbClr val="000000"/>
            </a:solidFill>
            <a:prstDash val="solid"/>
            <a:round/>
            <a:headEnd/>
            <a:tailEnd/>
          </a:ln>
          <a:extLst>
            <a:ext uri="{909E8E84-426E-40DD-AFC4-6F175D3DCCD1}">
              <a14:hiddenFill xmlns:a14="http://schemas.microsoft.com/office/drawing/2010/main">
                <a:solidFill>
                  <a:srgbClr val="FFFFFF"/>
                </a:solidFill>
              </a14:hiddenFill>
            </a:ext>
          </a:extLst>
        </xdr:spPr>
      </xdr:sp>
      <xdr:sp macro="" textlink="">
        <xdr:nvSpPr>
          <xdr:cNvPr id="8846" name="Oval 654">
            <a:extLst>
              <a:ext uri="{FF2B5EF4-FFF2-40B4-BE49-F238E27FC236}">
                <a16:creationId xmlns:a16="http://schemas.microsoft.com/office/drawing/2014/main" id="{7224F91E-8988-4B59-B582-4D7EED246121}"/>
              </a:ext>
            </a:extLst>
          </xdr:cNvPr>
          <xdr:cNvSpPr>
            <a:spLocks noChangeArrowheads="1"/>
          </xdr:cNvSpPr>
        </xdr:nvSpPr>
        <xdr:spPr bwMode="auto">
          <a:xfrm>
            <a:off x="6336" y="5226"/>
            <a:ext cx="432" cy="284"/>
          </a:xfrm>
          <a:prstGeom prst="ellipse">
            <a:avLst/>
          </a:prstGeom>
          <a:solidFill>
            <a:srgbClr val="FFFF99"/>
          </a:solidFill>
          <a:ln w="5715">
            <a:solidFill>
              <a:srgbClr val="000000"/>
            </a:solidFill>
            <a:round/>
            <a:headEnd/>
            <a:tailEnd/>
          </a:ln>
        </xdr:spPr>
      </xdr:sp>
      <xdr:sp macro="" textlink="">
        <xdr:nvSpPr>
          <xdr:cNvPr id="8847" name="Rectangle 655">
            <a:extLst>
              <a:ext uri="{FF2B5EF4-FFF2-40B4-BE49-F238E27FC236}">
                <a16:creationId xmlns:a16="http://schemas.microsoft.com/office/drawing/2014/main" id="{D3A53824-75D7-44CD-99A0-C76F1F6B2AAE}"/>
              </a:ext>
            </a:extLst>
          </xdr:cNvPr>
          <xdr:cNvSpPr>
            <a:spLocks noChangeArrowheads="1"/>
          </xdr:cNvSpPr>
        </xdr:nvSpPr>
        <xdr:spPr bwMode="auto">
          <a:xfrm>
            <a:off x="6336" y="5154"/>
            <a:ext cx="577" cy="3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8848" name="Rectangle 656">
            <a:extLst>
              <a:ext uri="{FF2B5EF4-FFF2-40B4-BE49-F238E27FC236}">
                <a16:creationId xmlns:a16="http://schemas.microsoft.com/office/drawing/2014/main" id="{EBE274DC-716E-44C8-99CF-D158170B0CA6}"/>
              </a:ext>
            </a:extLst>
          </xdr:cNvPr>
          <xdr:cNvSpPr>
            <a:spLocks noChangeArrowheads="1"/>
          </xdr:cNvSpPr>
        </xdr:nvSpPr>
        <xdr:spPr bwMode="auto">
          <a:xfrm>
            <a:off x="6439" y="5214"/>
            <a:ext cx="259" cy="5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upright="1">
            <a:spAutoFit/>
          </a:bodyPr>
          <a:lstStyle/>
          <a:p>
            <a:pPr algn="l" rtl="0">
              <a:defRPr sz="1000"/>
            </a:pPr>
            <a:r>
              <a:rPr lang="en-GB" sz="1100" b="0" i="0" u="none" strike="noStrike" baseline="0">
                <a:solidFill>
                  <a:srgbClr val="000000"/>
                </a:solidFill>
                <a:latin typeface="Times New Roman"/>
                <a:cs typeface="Times New Roman"/>
              </a:rPr>
              <a:t>LT</a:t>
            </a:r>
            <a:endParaRPr lang="en-GB" sz="1200" b="0" i="0" u="none" strike="noStrike" baseline="0">
              <a:solidFill>
                <a:srgbClr val="000000"/>
              </a:solidFill>
              <a:latin typeface="Times New Roman"/>
              <a:cs typeface="Times New Roman"/>
            </a:endParaRPr>
          </a:p>
          <a:p>
            <a:pPr algn="l" rtl="0">
              <a:defRPr sz="1000"/>
            </a:pPr>
            <a:endParaRPr lang="en-GB" sz="1200" b="0" i="0" u="none" strike="noStrike" baseline="0">
              <a:solidFill>
                <a:srgbClr val="000000"/>
              </a:solidFill>
              <a:latin typeface="Times New Roman"/>
              <a:cs typeface="Times New Roman"/>
            </a:endParaRPr>
          </a:p>
        </xdr:txBody>
      </xdr:sp>
      <xdr:sp macro="" textlink="">
        <xdr:nvSpPr>
          <xdr:cNvPr id="8849" name="Rectangle 657">
            <a:extLst>
              <a:ext uri="{FF2B5EF4-FFF2-40B4-BE49-F238E27FC236}">
                <a16:creationId xmlns:a16="http://schemas.microsoft.com/office/drawing/2014/main" id="{4BF7A177-5BBB-4D87-B2BC-E6565CEA1FDC}"/>
              </a:ext>
            </a:extLst>
          </xdr:cNvPr>
          <xdr:cNvSpPr>
            <a:spLocks noChangeArrowheads="1"/>
          </xdr:cNvSpPr>
        </xdr:nvSpPr>
        <xdr:spPr bwMode="auto">
          <a:xfrm>
            <a:off x="8590" y="6594"/>
            <a:ext cx="27" cy="261"/>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8850" name="Rectangle 658">
            <a:extLst>
              <a:ext uri="{FF2B5EF4-FFF2-40B4-BE49-F238E27FC236}">
                <a16:creationId xmlns:a16="http://schemas.microsoft.com/office/drawing/2014/main" id="{0FC8F8FF-EC32-463B-8561-F0C229FF1A61}"/>
              </a:ext>
            </a:extLst>
          </xdr:cNvPr>
          <xdr:cNvSpPr>
            <a:spLocks noChangeArrowheads="1"/>
          </xdr:cNvSpPr>
        </xdr:nvSpPr>
        <xdr:spPr bwMode="auto">
          <a:xfrm>
            <a:off x="8877" y="6595"/>
            <a:ext cx="27" cy="262"/>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8851" name="Freeform 659">
            <a:extLst>
              <a:ext uri="{FF2B5EF4-FFF2-40B4-BE49-F238E27FC236}">
                <a16:creationId xmlns:a16="http://schemas.microsoft.com/office/drawing/2014/main" id="{041B8C68-70F2-4C50-9402-DE51E3AF4E81}"/>
              </a:ext>
            </a:extLst>
          </xdr:cNvPr>
          <xdr:cNvSpPr>
            <a:spLocks/>
          </xdr:cNvSpPr>
        </xdr:nvSpPr>
        <xdr:spPr bwMode="auto">
          <a:xfrm>
            <a:off x="8595" y="6586"/>
            <a:ext cx="305" cy="281"/>
          </a:xfrm>
          <a:custGeom>
            <a:avLst/>
            <a:gdLst>
              <a:gd name="T0" fmla="*/ 305 w 305"/>
              <a:gd name="T1" fmla="*/ 20 h 281"/>
              <a:gd name="T2" fmla="*/ 287 w 305"/>
              <a:gd name="T3" fmla="*/ 0 h 281"/>
              <a:gd name="T4" fmla="*/ 0 w 305"/>
              <a:gd name="T5" fmla="*/ 262 h 281"/>
              <a:gd name="T6" fmla="*/ 18 w 305"/>
              <a:gd name="T7" fmla="*/ 281 h 281"/>
              <a:gd name="T8" fmla="*/ 305 w 305"/>
              <a:gd name="T9" fmla="*/ 20 h 281"/>
            </a:gdLst>
            <a:ahLst/>
            <a:cxnLst>
              <a:cxn ang="0">
                <a:pos x="T0" y="T1"/>
              </a:cxn>
              <a:cxn ang="0">
                <a:pos x="T2" y="T3"/>
              </a:cxn>
              <a:cxn ang="0">
                <a:pos x="T4" y="T5"/>
              </a:cxn>
              <a:cxn ang="0">
                <a:pos x="T6" y="T7"/>
              </a:cxn>
              <a:cxn ang="0">
                <a:pos x="T8" y="T9"/>
              </a:cxn>
            </a:cxnLst>
            <a:rect l="0" t="0" r="r" b="b"/>
            <a:pathLst>
              <a:path w="305" h="281">
                <a:moveTo>
                  <a:pt x="305" y="20"/>
                </a:moveTo>
                <a:lnTo>
                  <a:pt x="287" y="0"/>
                </a:lnTo>
                <a:lnTo>
                  <a:pt x="0" y="262"/>
                </a:lnTo>
                <a:lnTo>
                  <a:pt x="18" y="281"/>
                </a:lnTo>
                <a:lnTo>
                  <a:pt x="305" y="20"/>
                </a:lnTo>
                <a:close/>
              </a:path>
            </a:pathLst>
          </a:custGeom>
          <a:solidFill>
            <a:srgbClr val="000000"/>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8852" name="Freeform 660">
            <a:extLst>
              <a:ext uri="{FF2B5EF4-FFF2-40B4-BE49-F238E27FC236}">
                <a16:creationId xmlns:a16="http://schemas.microsoft.com/office/drawing/2014/main" id="{34264C26-7E07-428B-B789-A07F447DE1D2}"/>
              </a:ext>
            </a:extLst>
          </xdr:cNvPr>
          <xdr:cNvSpPr>
            <a:spLocks/>
          </xdr:cNvSpPr>
        </xdr:nvSpPr>
        <xdr:spPr bwMode="auto">
          <a:xfrm>
            <a:off x="8595" y="6586"/>
            <a:ext cx="305" cy="281"/>
          </a:xfrm>
          <a:custGeom>
            <a:avLst/>
            <a:gdLst>
              <a:gd name="T0" fmla="*/ 18 w 305"/>
              <a:gd name="T1" fmla="*/ 0 h 281"/>
              <a:gd name="T2" fmla="*/ 0 w 305"/>
              <a:gd name="T3" fmla="*/ 20 h 281"/>
              <a:gd name="T4" fmla="*/ 287 w 305"/>
              <a:gd name="T5" fmla="*/ 281 h 281"/>
              <a:gd name="T6" fmla="*/ 305 w 305"/>
              <a:gd name="T7" fmla="*/ 262 h 281"/>
              <a:gd name="T8" fmla="*/ 18 w 305"/>
              <a:gd name="T9" fmla="*/ 0 h 281"/>
            </a:gdLst>
            <a:ahLst/>
            <a:cxnLst>
              <a:cxn ang="0">
                <a:pos x="T0" y="T1"/>
              </a:cxn>
              <a:cxn ang="0">
                <a:pos x="T2" y="T3"/>
              </a:cxn>
              <a:cxn ang="0">
                <a:pos x="T4" y="T5"/>
              </a:cxn>
              <a:cxn ang="0">
                <a:pos x="T6" y="T7"/>
              </a:cxn>
              <a:cxn ang="0">
                <a:pos x="T8" y="T9"/>
              </a:cxn>
            </a:cxnLst>
            <a:rect l="0" t="0" r="r" b="b"/>
            <a:pathLst>
              <a:path w="305" h="281">
                <a:moveTo>
                  <a:pt x="18" y="0"/>
                </a:moveTo>
                <a:lnTo>
                  <a:pt x="0" y="20"/>
                </a:lnTo>
                <a:lnTo>
                  <a:pt x="287" y="281"/>
                </a:lnTo>
                <a:lnTo>
                  <a:pt x="305" y="262"/>
                </a:lnTo>
                <a:lnTo>
                  <a:pt x="18" y="0"/>
                </a:lnTo>
                <a:close/>
              </a:path>
            </a:pathLst>
          </a:custGeom>
          <a:solidFill>
            <a:srgbClr val="000000"/>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8853" name="Rectangle 661">
            <a:extLst>
              <a:ext uri="{FF2B5EF4-FFF2-40B4-BE49-F238E27FC236}">
                <a16:creationId xmlns:a16="http://schemas.microsoft.com/office/drawing/2014/main" id="{27C6656F-B8E1-4B2E-AA38-24C3157FF340}"/>
              </a:ext>
            </a:extLst>
          </xdr:cNvPr>
          <xdr:cNvSpPr>
            <a:spLocks noChangeArrowheads="1"/>
          </xdr:cNvSpPr>
        </xdr:nvSpPr>
        <xdr:spPr bwMode="auto">
          <a:xfrm>
            <a:off x="8725" y="6523"/>
            <a:ext cx="27" cy="190"/>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grpSp>
        <xdr:nvGrpSpPr>
          <xdr:cNvPr id="8854" name="Group 662">
            <a:extLst>
              <a:ext uri="{FF2B5EF4-FFF2-40B4-BE49-F238E27FC236}">
                <a16:creationId xmlns:a16="http://schemas.microsoft.com/office/drawing/2014/main" id="{258044A2-7456-4BA6-8F7C-BBAB12140874}"/>
              </a:ext>
            </a:extLst>
          </xdr:cNvPr>
          <xdr:cNvGrpSpPr>
            <a:grpSpLocks/>
          </xdr:cNvGrpSpPr>
        </xdr:nvGrpSpPr>
        <xdr:grpSpPr bwMode="auto">
          <a:xfrm>
            <a:off x="8547" y="6413"/>
            <a:ext cx="381" cy="125"/>
            <a:chOff x="8547" y="6589"/>
            <a:chExt cx="381" cy="125"/>
          </a:xfrm>
        </xdr:grpSpPr>
        <xdr:sp macro="" textlink="">
          <xdr:nvSpPr>
            <xdr:cNvPr id="8855" name="Freeform 663">
              <a:extLst>
                <a:ext uri="{FF2B5EF4-FFF2-40B4-BE49-F238E27FC236}">
                  <a16:creationId xmlns:a16="http://schemas.microsoft.com/office/drawing/2014/main" id="{F872E2F3-960D-46BA-B310-38DC96FAC32A}"/>
                </a:ext>
              </a:extLst>
            </xdr:cNvPr>
            <xdr:cNvSpPr>
              <a:spLocks/>
            </xdr:cNvSpPr>
          </xdr:nvSpPr>
          <xdr:spPr bwMode="auto">
            <a:xfrm>
              <a:off x="8560" y="6602"/>
              <a:ext cx="355" cy="99"/>
            </a:xfrm>
            <a:custGeom>
              <a:avLst/>
              <a:gdLst>
                <a:gd name="T0" fmla="*/ 0 w 355"/>
                <a:gd name="T1" fmla="*/ 0 h 99"/>
                <a:gd name="T2" fmla="*/ 0 w 355"/>
                <a:gd name="T3" fmla="*/ 96 h 99"/>
                <a:gd name="T4" fmla="*/ 355 w 355"/>
                <a:gd name="T5" fmla="*/ 99 h 99"/>
                <a:gd name="T6" fmla="*/ 355 w 355"/>
                <a:gd name="T7" fmla="*/ 3 h 99"/>
                <a:gd name="T8" fmla="*/ 0 w 355"/>
                <a:gd name="T9" fmla="*/ 0 h 99"/>
              </a:gdLst>
              <a:ahLst/>
              <a:cxnLst>
                <a:cxn ang="0">
                  <a:pos x="T0" y="T1"/>
                </a:cxn>
                <a:cxn ang="0">
                  <a:pos x="T2" y="T3"/>
                </a:cxn>
                <a:cxn ang="0">
                  <a:pos x="T4" y="T5"/>
                </a:cxn>
                <a:cxn ang="0">
                  <a:pos x="T6" y="T7"/>
                </a:cxn>
                <a:cxn ang="0">
                  <a:pos x="T8" y="T9"/>
                </a:cxn>
              </a:cxnLst>
              <a:rect l="0" t="0" r="r" b="b"/>
              <a:pathLst>
                <a:path w="355" h="99">
                  <a:moveTo>
                    <a:pt x="0" y="0"/>
                  </a:moveTo>
                  <a:lnTo>
                    <a:pt x="0" y="96"/>
                  </a:lnTo>
                  <a:lnTo>
                    <a:pt x="355" y="99"/>
                  </a:lnTo>
                  <a:lnTo>
                    <a:pt x="355" y="3"/>
                  </a:lnTo>
                  <a:lnTo>
                    <a:pt x="0" y="0"/>
                  </a:lnTo>
                  <a:close/>
                </a:path>
              </a:pathLst>
            </a:custGeom>
            <a:solidFill>
              <a:srgbClr val="EAEAEA"/>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8856" name="Freeform 664">
              <a:extLst>
                <a:ext uri="{FF2B5EF4-FFF2-40B4-BE49-F238E27FC236}">
                  <a16:creationId xmlns:a16="http://schemas.microsoft.com/office/drawing/2014/main" id="{D3B56653-A46C-48C6-8F1A-FF65F7DCE35D}"/>
                </a:ext>
              </a:extLst>
            </xdr:cNvPr>
            <xdr:cNvSpPr>
              <a:spLocks noEditPoints="1"/>
            </xdr:cNvSpPr>
          </xdr:nvSpPr>
          <xdr:spPr bwMode="auto">
            <a:xfrm>
              <a:off x="8547" y="6589"/>
              <a:ext cx="381" cy="125"/>
            </a:xfrm>
            <a:custGeom>
              <a:avLst/>
              <a:gdLst>
                <a:gd name="T0" fmla="*/ 0 w 381"/>
                <a:gd name="T1" fmla="*/ 109 h 125"/>
                <a:gd name="T2" fmla="*/ 0 w 381"/>
                <a:gd name="T3" fmla="*/ 122 h 125"/>
                <a:gd name="T4" fmla="*/ 13 w 381"/>
                <a:gd name="T5" fmla="*/ 122 h 125"/>
                <a:gd name="T6" fmla="*/ 368 w 381"/>
                <a:gd name="T7" fmla="*/ 125 h 125"/>
                <a:gd name="T8" fmla="*/ 381 w 381"/>
                <a:gd name="T9" fmla="*/ 125 h 125"/>
                <a:gd name="T10" fmla="*/ 381 w 381"/>
                <a:gd name="T11" fmla="*/ 112 h 125"/>
                <a:gd name="T12" fmla="*/ 381 w 381"/>
                <a:gd name="T13" fmla="*/ 16 h 125"/>
                <a:gd name="T14" fmla="*/ 381 w 381"/>
                <a:gd name="T15" fmla="*/ 3 h 125"/>
                <a:gd name="T16" fmla="*/ 368 w 381"/>
                <a:gd name="T17" fmla="*/ 3 h 125"/>
                <a:gd name="T18" fmla="*/ 13 w 381"/>
                <a:gd name="T19" fmla="*/ 0 h 125"/>
                <a:gd name="T20" fmla="*/ 0 w 381"/>
                <a:gd name="T21" fmla="*/ 0 h 125"/>
                <a:gd name="T22" fmla="*/ 0 w 381"/>
                <a:gd name="T23" fmla="*/ 13 h 125"/>
                <a:gd name="T24" fmla="*/ 0 w 381"/>
                <a:gd name="T25" fmla="*/ 109 h 125"/>
                <a:gd name="T26" fmla="*/ 27 w 381"/>
                <a:gd name="T27" fmla="*/ 13 h 125"/>
                <a:gd name="T28" fmla="*/ 13 w 381"/>
                <a:gd name="T29" fmla="*/ 13 h 125"/>
                <a:gd name="T30" fmla="*/ 13 w 381"/>
                <a:gd name="T31" fmla="*/ 27 h 125"/>
                <a:gd name="T32" fmla="*/ 368 w 381"/>
                <a:gd name="T33" fmla="*/ 30 h 125"/>
                <a:gd name="T34" fmla="*/ 368 w 381"/>
                <a:gd name="T35" fmla="*/ 16 h 125"/>
                <a:gd name="T36" fmla="*/ 354 w 381"/>
                <a:gd name="T37" fmla="*/ 16 h 125"/>
                <a:gd name="T38" fmla="*/ 354 w 381"/>
                <a:gd name="T39" fmla="*/ 112 h 125"/>
                <a:gd name="T40" fmla="*/ 368 w 381"/>
                <a:gd name="T41" fmla="*/ 112 h 125"/>
                <a:gd name="T42" fmla="*/ 368 w 381"/>
                <a:gd name="T43" fmla="*/ 99 h 125"/>
                <a:gd name="T44" fmla="*/ 13 w 381"/>
                <a:gd name="T45" fmla="*/ 96 h 125"/>
                <a:gd name="T46" fmla="*/ 13 w 381"/>
                <a:gd name="T47" fmla="*/ 109 h 125"/>
                <a:gd name="T48" fmla="*/ 27 w 381"/>
                <a:gd name="T49" fmla="*/ 109 h 125"/>
                <a:gd name="T50" fmla="*/ 27 w 381"/>
                <a:gd name="T51" fmla="*/ 13 h 12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Lst>
              <a:rect l="0" t="0" r="r" b="b"/>
              <a:pathLst>
                <a:path w="381" h="125">
                  <a:moveTo>
                    <a:pt x="0" y="109"/>
                  </a:moveTo>
                  <a:lnTo>
                    <a:pt x="0" y="122"/>
                  </a:lnTo>
                  <a:lnTo>
                    <a:pt x="13" y="122"/>
                  </a:lnTo>
                  <a:lnTo>
                    <a:pt x="368" y="125"/>
                  </a:lnTo>
                  <a:lnTo>
                    <a:pt x="381" y="125"/>
                  </a:lnTo>
                  <a:lnTo>
                    <a:pt x="381" y="112"/>
                  </a:lnTo>
                  <a:lnTo>
                    <a:pt x="381" y="16"/>
                  </a:lnTo>
                  <a:lnTo>
                    <a:pt x="381" y="3"/>
                  </a:lnTo>
                  <a:lnTo>
                    <a:pt x="368" y="3"/>
                  </a:lnTo>
                  <a:lnTo>
                    <a:pt x="13" y="0"/>
                  </a:lnTo>
                  <a:lnTo>
                    <a:pt x="0" y="0"/>
                  </a:lnTo>
                  <a:lnTo>
                    <a:pt x="0" y="13"/>
                  </a:lnTo>
                  <a:lnTo>
                    <a:pt x="0" y="109"/>
                  </a:lnTo>
                  <a:close/>
                  <a:moveTo>
                    <a:pt x="27" y="13"/>
                  </a:moveTo>
                  <a:lnTo>
                    <a:pt x="13" y="13"/>
                  </a:lnTo>
                  <a:lnTo>
                    <a:pt x="13" y="27"/>
                  </a:lnTo>
                  <a:lnTo>
                    <a:pt x="368" y="30"/>
                  </a:lnTo>
                  <a:lnTo>
                    <a:pt x="368" y="16"/>
                  </a:lnTo>
                  <a:lnTo>
                    <a:pt x="354" y="16"/>
                  </a:lnTo>
                  <a:lnTo>
                    <a:pt x="354" y="112"/>
                  </a:lnTo>
                  <a:lnTo>
                    <a:pt x="368" y="112"/>
                  </a:lnTo>
                  <a:lnTo>
                    <a:pt x="368" y="99"/>
                  </a:lnTo>
                  <a:lnTo>
                    <a:pt x="13" y="96"/>
                  </a:lnTo>
                  <a:lnTo>
                    <a:pt x="13" y="109"/>
                  </a:lnTo>
                  <a:lnTo>
                    <a:pt x="27" y="109"/>
                  </a:lnTo>
                  <a:lnTo>
                    <a:pt x="27" y="13"/>
                  </a:lnTo>
                  <a:close/>
                </a:path>
              </a:pathLst>
            </a:custGeom>
            <a:solidFill>
              <a:srgbClr val="000000"/>
            </a:solidFill>
            <a:ln>
              <a:noFill/>
            </a:ln>
            <a:extLst>
              <a:ext uri="{91240B29-F687-4F45-9708-019B960494DF}">
                <a14:hiddenLine xmlns:a14="http://schemas.microsoft.com/office/drawing/2010/main" w="9525">
                  <a:solidFill>
                    <a:srgbClr val="000000"/>
                  </a:solidFill>
                  <a:round/>
                  <a:headEnd/>
                  <a:tailEnd/>
                </a14:hiddenLine>
              </a:ext>
            </a:extLst>
          </xdr:spPr>
        </xdr:sp>
      </xdr:grpSp>
      <xdr:sp macro="" textlink="">
        <xdr:nvSpPr>
          <xdr:cNvPr id="8857" name="Rectangle 665">
            <a:extLst>
              <a:ext uri="{FF2B5EF4-FFF2-40B4-BE49-F238E27FC236}">
                <a16:creationId xmlns:a16="http://schemas.microsoft.com/office/drawing/2014/main" id="{62021C95-2F40-4FB6-9527-3690028318F7}"/>
              </a:ext>
            </a:extLst>
          </xdr:cNvPr>
          <xdr:cNvSpPr>
            <a:spLocks noChangeArrowheads="1"/>
          </xdr:cNvSpPr>
        </xdr:nvSpPr>
        <xdr:spPr bwMode="auto">
          <a:xfrm>
            <a:off x="8590" y="6594"/>
            <a:ext cx="27" cy="261"/>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8858" name="Rectangle 666">
            <a:extLst>
              <a:ext uri="{FF2B5EF4-FFF2-40B4-BE49-F238E27FC236}">
                <a16:creationId xmlns:a16="http://schemas.microsoft.com/office/drawing/2014/main" id="{C17778D2-1519-4404-9855-6282582F628A}"/>
              </a:ext>
            </a:extLst>
          </xdr:cNvPr>
          <xdr:cNvSpPr>
            <a:spLocks noChangeArrowheads="1"/>
          </xdr:cNvSpPr>
        </xdr:nvSpPr>
        <xdr:spPr bwMode="auto">
          <a:xfrm>
            <a:off x="8877" y="6595"/>
            <a:ext cx="27" cy="262"/>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8859" name="Freeform 667">
            <a:extLst>
              <a:ext uri="{FF2B5EF4-FFF2-40B4-BE49-F238E27FC236}">
                <a16:creationId xmlns:a16="http://schemas.microsoft.com/office/drawing/2014/main" id="{A4B2AB46-8DCB-4513-8644-0E8CCB2B4452}"/>
              </a:ext>
            </a:extLst>
          </xdr:cNvPr>
          <xdr:cNvSpPr>
            <a:spLocks/>
          </xdr:cNvSpPr>
        </xdr:nvSpPr>
        <xdr:spPr bwMode="auto">
          <a:xfrm>
            <a:off x="8595" y="6586"/>
            <a:ext cx="305" cy="281"/>
          </a:xfrm>
          <a:custGeom>
            <a:avLst/>
            <a:gdLst>
              <a:gd name="T0" fmla="*/ 305 w 305"/>
              <a:gd name="T1" fmla="*/ 20 h 281"/>
              <a:gd name="T2" fmla="*/ 287 w 305"/>
              <a:gd name="T3" fmla="*/ 0 h 281"/>
              <a:gd name="T4" fmla="*/ 0 w 305"/>
              <a:gd name="T5" fmla="*/ 262 h 281"/>
              <a:gd name="T6" fmla="*/ 18 w 305"/>
              <a:gd name="T7" fmla="*/ 281 h 281"/>
              <a:gd name="T8" fmla="*/ 305 w 305"/>
              <a:gd name="T9" fmla="*/ 20 h 281"/>
            </a:gdLst>
            <a:ahLst/>
            <a:cxnLst>
              <a:cxn ang="0">
                <a:pos x="T0" y="T1"/>
              </a:cxn>
              <a:cxn ang="0">
                <a:pos x="T2" y="T3"/>
              </a:cxn>
              <a:cxn ang="0">
                <a:pos x="T4" y="T5"/>
              </a:cxn>
              <a:cxn ang="0">
                <a:pos x="T6" y="T7"/>
              </a:cxn>
              <a:cxn ang="0">
                <a:pos x="T8" y="T9"/>
              </a:cxn>
            </a:cxnLst>
            <a:rect l="0" t="0" r="r" b="b"/>
            <a:pathLst>
              <a:path w="305" h="281">
                <a:moveTo>
                  <a:pt x="305" y="20"/>
                </a:moveTo>
                <a:lnTo>
                  <a:pt x="287" y="0"/>
                </a:lnTo>
                <a:lnTo>
                  <a:pt x="0" y="262"/>
                </a:lnTo>
                <a:lnTo>
                  <a:pt x="18" y="281"/>
                </a:lnTo>
                <a:lnTo>
                  <a:pt x="305" y="20"/>
                </a:lnTo>
                <a:close/>
              </a:path>
            </a:pathLst>
          </a:custGeom>
          <a:solidFill>
            <a:srgbClr val="000000"/>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8860" name="Freeform 668">
            <a:extLst>
              <a:ext uri="{FF2B5EF4-FFF2-40B4-BE49-F238E27FC236}">
                <a16:creationId xmlns:a16="http://schemas.microsoft.com/office/drawing/2014/main" id="{9E35339D-302F-4779-9BBB-7DA99FB66F39}"/>
              </a:ext>
            </a:extLst>
          </xdr:cNvPr>
          <xdr:cNvSpPr>
            <a:spLocks/>
          </xdr:cNvSpPr>
        </xdr:nvSpPr>
        <xdr:spPr bwMode="auto">
          <a:xfrm>
            <a:off x="8595" y="6586"/>
            <a:ext cx="305" cy="281"/>
          </a:xfrm>
          <a:custGeom>
            <a:avLst/>
            <a:gdLst>
              <a:gd name="T0" fmla="*/ 18 w 305"/>
              <a:gd name="T1" fmla="*/ 0 h 281"/>
              <a:gd name="T2" fmla="*/ 0 w 305"/>
              <a:gd name="T3" fmla="*/ 20 h 281"/>
              <a:gd name="T4" fmla="*/ 287 w 305"/>
              <a:gd name="T5" fmla="*/ 281 h 281"/>
              <a:gd name="T6" fmla="*/ 305 w 305"/>
              <a:gd name="T7" fmla="*/ 262 h 281"/>
              <a:gd name="T8" fmla="*/ 18 w 305"/>
              <a:gd name="T9" fmla="*/ 0 h 281"/>
            </a:gdLst>
            <a:ahLst/>
            <a:cxnLst>
              <a:cxn ang="0">
                <a:pos x="T0" y="T1"/>
              </a:cxn>
              <a:cxn ang="0">
                <a:pos x="T2" y="T3"/>
              </a:cxn>
              <a:cxn ang="0">
                <a:pos x="T4" y="T5"/>
              </a:cxn>
              <a:cxn ang="0">
                <a:pos x="T6" y="T7"/>
              </a:cxn>
              <a:cxn ang="0">
                <a:pos x="T8" y="T9"/>
              </a:cxn>
            </a:cxnLst>
            <a:rect l="0" t="0" r="r" b="b"/>
            <a:pathLst>
              <a:path w="305" h="281">
                <a:moveTo>
                  <a:pt x="18" y="0"/>
                </a:moveTo>
                <a:lnTo>
                  <a:pt x="0" y="20"/>
                </a:lnTo>
                <a:lnTo>
                  <a:pt x="287" y="281"/>
                </a:lnTo>
                <a:lnTo>
                  <a:pt x="305" y="262"/>
                </a:lnTo>
                <a:lnTo>
                  <a:pt x="18" y="0"/>
                </a:lnTo>
                <a:close/>
              </a:path>
            </a:pathLst>
          </a:custGeom>
          <a:solidFill>
            <a:srgbClr val="000000"/>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8861" name="Rectangle 669">
            <a:extLst>
              <a:ext uri="{FF2B5EF4-FFF2-40B4-BE49-F238E27FC236}">
                <a16:creationId xmlns:a16="http://schemas.microsoft.com/office/drawing/2014/main" id="{D58AD558-1D1F-4799-8281-3FD46B5D3320}"/>
              </a:ext>
            </a:extLst>
          </xdr:cNvPr>
          <xdr:cNvSpPr>
            <a:spLocks noChangeArrowheads="1"/>
          </xdr:cNvSpPr>
        </xdr:nvSpPr>
        <xdr:spPr bwMode="auto">
          <a:xfrm>
            <a:off x="8725" y="6523"/>
            <a:ext cx="27" cy="190"/>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grpSp>
        <xdr:nvGrpSpPr>
          <xdr:cNvPr id="8862" name="Group 670">
            <a:extLst>
              <a:ext uri="{FF2B5EF4-FFF2-40B4-BE49-F238E27FC236}">
                <a16:creationId xmlns:a16="http://schemas.microsoft.com/office/drawing/2014/main" id="{1DF21D4E-6F20-4EE2-A801-1D8E13A1035C}"/>
              </a:ext>
            </a:extLst>
          </xdr:cNvPr>
          <xdr:cNvGrpSpPr>
            <a:grpSpLocks/>
          </xdr:cNvGrpSpPr>
        </xdr:nvGrpSpPr>
        <xdr:grpSpPr bwMode="auto">
          <a:xfrm>
            <a:off x="8547" y="6413"/>
            <a:ext cx="381" cy="125"/>
            <a:chOff x="8547" y="6589"/>
            <a:chExt cx="381" cy="125"/>
          </a:xfrm>
        </xdr:grpSpPr>
        <xdr:sp macro="" textlink="">
          <xdr:nvSpPr>
            <xdr:cNvPr id="8863" name="Freeform 671">
              <a:extLst>
                <a:ext uri="{FF2B5EF4-FFF2-40B4-BE49-F238E27FC236}">
                  <a16:creationId xmlns:a16="http://schemas.microsoft.com/office/drawing/2014/main" id="{6E4DFFB3-9817-434B-A85C-E75381695C00}"/>
                </a:ext>
              </a:extLst>
            </xdr:cNvPr>
            <xdr:cNvSpPr>
              <a:spLocks/>
            </xdr:cNvSpPr>
          </xdr:nvSpPr>
          <xdr:spPr bwMode="auto">
            <a:xfrm>
              <a:off x="8560" y="6602"/>
              <a:ext cx="355" cy="99"/>
            </a:xfrm>
            <a:custGeom>
              <a:avLst/>
              <a:gdLst>
                <a:gd name="T0" fmla="*/ 0 w 355"/>
                <a:gd name="T1" fmla="*/ 0 h 99"/>
                <a:gd name="T2" fmla="*/ 0 w 355"/>
                <a:gd name="T3" fmla="*/ 96 h 99"/>
                <a:gd name="T4" fmla="*/ 355 w 355"/>
                <a:gd name="T5" fmla="*/ 99 h 99"/>
                <a:gd name="T6" fmla="*/ 355 w 355"/>
                <a:gd name="T7" fmla="*/ 3 h 99"/>
                <a:gd name="T8" fmla="*/ 0 w 355"/>
                <a:gd name="T9" fmla="*/ 0 h 99"/>
              </a:gdLst>
              <a:ahLst/>
              <a:cxnLst>
                <a:cxn ang="0">
                  <a:pos x="T0" y="T1"/>
                </a:cxn>
                <a:cxn ang="0">
                  <a:pos x="T2" y="T3"/>
                </a:cxn>
                <a:cxn ang="0">
                  <a:pos x="T4" y="T5"/>
                </a:cxn>
                <a:cxn ang="0">
                  <a:pos x="T6" y="T7"/>
                </a:cxn>
                <a:cxn ang="0">
                  <a:pos x="T8" y="T9"/>
                </a:cxn>
              </a:cxnLst>
              <a:rect l="0" t="0" r="r" b="b"/>
              <a:pathLst>
                <a:path w="355" h="99">
                  <a:moveTo>
                    <a:pt x="0" y="0"/>
                  </a:moveTo>
                  <a:lnTo>
                    <a:pt x="0" y="96"/>
                  </a:lnTo>
                  <a:lnTo>
                    <a:pt x="355" y="99"/>
                  </a:lnTo>
                  <a:lnTo>
                    <a:pt x="355" y="3"/>
                  </a:lnTo>
                  <a:lnTo>
                    <a:pt x="0" y="0"/>
                  </a:lnTo>
                  <a:close/>
                </a:path>
              </a:pathLst>
            </a:custGeom>
            <a:solidFill>
              <a:srgbClr val="EAEAEA"/>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8864" name="Freeform 672">
              <a:extLst>
                <a:ext uri="{FF2B5EF4-FFF2-40B4-BE49-F238E27FC236}">
                  <a16:creationId xmlns:a16="http://schemas.microsoft.com/office/drawing/2014/main" id="{8F540072-8615-4F68-BF6D-4B87BBDCC2D8}"/>
                </a:ext>
              </a:extLst>
            </xdr:cNvPr>
            <xdr:cNvSpPr>
              <a:spLocks noEditPoints="1"/>
            </xdr:cNvSpPr>
          </xdr:nvSpPr>
          <xdr:spPr bwMode="auto">
            <a:xfrm>
              <a:off x="8547" y="6589"/>
              <a:ext cx="381" cy="125"/>
            </a:xfrm>
            <a:custGeom>
              <a:avLst/>
              <a:gdLst>
                <a:gd name="T0" fmla="*/ 0 w 381"/>
                <a:gd name="T1" fmla="*/ 109 h 125"/>
                <a:gd name="T2" fmla="*/ 0 w 381"/>
                <a:gd name="T3" fmla="*/ 122 h 125"/>
                <a:gd name="T4" fmla="*/ 13 w 381"/>
                <a:gd name="T5" fmla="*/ 122 h 125"/>
                <a:gd name="T6" fmla="*/ 368 w 381"/>
                <a:gd name="T7" fmla="*/ 125 h 125"/>
                <a:gd name="T8" fmla="*/ 381 w 381"/>
                <a:gd name="T9" fmla="*/ 125 h 125"/>
                <a:gd name="T10" fmla="*/ 381 w 381"/>
                <a:gd name="T11" fmla="*/ 112 h 125"/>
                <a:gd name="T12" fmla="*/ 381 w 381"/>
                <a:gd name="T13" fmla="*/ 16 h 125"/>
                <a:gd name="T14" fmla="*/ 381 w 381"/>
                <a:gd name="T15" fmla="*/ 3 h 125"/>
                <a:gd name="T16" fmla="*/ 368 w 381"/>
                <a:gd name="T17" fmla="*/ 3 h 125"/>
                <a:gd name="T18" fmla="*/ 13 w 381"/>
                <a:gd name="T19" fmla="*/ 0 h 125"/>
                <a:gd name="T20" fmla="*/ 0 w 381"/>
                <a:gd name="T21" fmla="*/ 0 h 125"/>
                <a:gd name="T22" fmla="*/ 0 w 381"/>
                <a:gd name="T23" fmla="*/ 13 h 125"/>
                <a:gd name="T24" fmla="*/ 0 w 381"/>
                <a:gd name="T25" fmla="*/ 109 h 125"/>
                <a:gd name="T26" fmla="*/ 27 w 381"/>
                <a:gd name="T27" fmla="*/ 13 h 125"/>
                <a:gd name="T28" fmla="*/ 13 w 381"/>
                <a:gd name="T29" fmla="*/ 13 h 125"/>
                <a:gd name="T30" fmla="*/ 13 w 381"/>
                <a:gd name="T31" fmla="*/ 27 h 125"/>
                <a:gd name="T32" fmla="*/ 368 w 381"/>
                <a:gd name="T33" fmla="*/ 30 h 125"/>
                <a:gd name="T34" fmla="*/ 368 w 381"/>
                <a:gd name="T35" fmla="*/ 16 h 125"/>
                <a:gd name="T36" fmla="*/ 354 w 381"/>
                <a:gd name="T37" fmla="*/ 16 h 125"/>
                <a:gd name="T38" fmla="*/ 354 w 381"/>
                <a:gd name="T39" fmla="*/ 112 h 125"/>
                <a:gd name="T40" fmla="*/ 368 w 381"/>
                <a:gd name="T41" fmla="*/ 112 h 125"/>
                <a:gd name="T42" fmla="*/ 368 w 381"/>
                <a:gd name="T43" fmla="*/ 99 h 125"/>
                <a:gd name="T44" fmla="*/ 13 w 381"/>
                <a:gd name="T45" fmla="*/ 96 h 125"/>
                <a:gd name="T46" fmla="*/ 13 w 381"/>
                <a:gd name="T47" fmla="*/ 109 h 125"/>
                <a:gd name="T48" fmla="*/ 27 w 381"/>
                <a:gd name="T49" fmla="*/ 109 h 125"/>
                <a:gd name="T50" fmla="*/ 27 w 381"/>
                <a:gd name="T51" fmla="*/ 13 h 12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Lst>
              <a:rect l="0" t="0" r="r" b="b"/>
              <a:pathLst>
                <a:path w="381" h="125">
                  <a:moveTo>
                    <a:pt x="0" y="109"/>
                  </a:moveTo>
                  <a:lnTo>
                    <a:pt x="0" y="122"/>
                  </a:lnTo>
                  <a:lnTo>
                    <a:pt x="13" y="122"/>
                  </a:lnTo>
                  <a:lnTo>
                    <a:pt x="368" y="125"/>
                  </a:lnTo>
                  <a:lnTo>
                    <a:pt x="381" y="125"/>
                  </a:lnTo>
                  <a:lnTo>
                    <a:pt x="381" y="112"/>
                  </a:lnTo>
                  <a:lnTo>
                    <a:pt x="381" y="16"/>
                  </a:lnTo>
                  <a:lnTo>
                    <a:pt x="381" y="3"/>
                  </a:lnTo>
                  <a:lnTo>
                    <a:pt x="368" y="3"/>
                  </a:lnTo>
                  <a:lnTo>
                    <a:pt x="13" y="0"/>
                  </a:lnTo>
                  <a:lnTo>
                    <a:pt x="0" y="0"/>
                  </a:lnTo>
                  <a:lnTo>
                    <a:pt x="0" y="13"/>
                  </a:lnTo>
                  <a:lnTo>
                    <a:pt x="0" y="109"/>
                  </a:lnTo>
                  <a:close/>
                  <a:moveTo>
                    <a:pt x="27" y="13"/>
                  </a:moveTo>
                  <a:lnTo>
                    <a:pt x="13" y="13"/>
                  </a:lnTo>
                  <a:lnTo>
                    <a:pt x="13" y="27"/>
                  </a:lnTo>
                  <a:lnTo>
                    <a:pt x="368" y="30"/>
                  </a:lnTo>
                  <a:lnTo>
                    <a:pt x="368" y="16"/>
                  </a:lnTo>
                  <a:lnTo>
                    <a:pt x="354" y="16"/>
                  </a:lnTo>
                  <a:lnTo>
                    <a:pt x="354" y="112"/>
                  </a:lnTo>
                  <a:lnTo>
                    <a:pt x="368" y="112"/>
                  </a:lnTo>
                  <a:lnTo>
                    <a:pt x="368" y="99"/>
                  </a:lnTo>
                  <a:lnTo>
                    <a:pt x="13" y="96"/>
                  </a:lnTo>
                  <a:lnTo>
                    <a:pt x="13" y="109"/>
                  </a:lnTo>
                  <a:lnTo>
                    <a:pt x="27" y="109"/>
                  </a:lnTo>
                  <a:lnTo>
                    <a:pt x="27" y="13"/>
                  </a:lnTo>
                  <a:close/>
                </a:path>
              </a:pathLst>
            </a:custGeom>
            <a:solidFill>
              <a:srgbClr val="000000"/>
            </a:solidFill>
            <a:ln>
              <a:noFill/>
            </a:ln>
            <a:extLst>
              <a:ext uri="{91240B29-F687-4F45-9708-019B960494DF}">
                <a14:hiddenLine xmlns:a14="http://schemas.microsoft.com/office/drawing/2010/main" w="9525">
                  <a:solidFill>
                    <a:srgbClr val="000000"/>
                  </a:solidFill>
                  <a:round/>
                  <a:headEnd/>
                  <a:tailEnd/>
                </a14:hiddenLine>
              </a:ext>
            </a:extLst>
          </xdr:spPr>
        </xdr:sp>
      </xdr:grpSp>
      <xdr:sp macro="" textlink="">
        <xdr:nvSpPr>
          <xdr:cNvPr id="8865" name="Oval 673">
            <a:extLst>
              <a:ext uri="{FF2B5EF4-FFF2-40B4-BE49-F238E27FC236}">
                <a16:creationId xmlns:a16="http://schemas.microsoft.com/office/drawing/2014/main" id="{BDE83DCC-56F0-4175-8E11-0F1977AB2055}"/>
              </a:ext>
            </a:extLst>
          </xdr:cNvPr>
          <xdr:cNvSpPr>
            <a:spLocks noChangeArrowheads="1"/>
          </xdr:cNvSpPr>
        </xdr:nvSpPr>
        <xdr:spPr bwMode="auto">
          <a:xfrm>
            <a:off x="8991" y="6558"/>
            <a:ext cx="504" cy="285"/>
          </a:xfrm>
          <a:prstGeom prst="ellipse">
            <a:avLst/>
          </a:prstGeom>
          <a:solidFill>
            <a:srgbClr val="FFFF99"/>
          </a:solidFill>
          <a:ln w="5715">
            <a:solidFill>
              <a:srgbClr val="000000"/>
            </a:solidFill>
            <a:round/>
            <a:headEnd/>
            <a:tailEnd/>
          </a:ln>
        </xdr:spPr>
      </xdr:sp>
      <xdr:sp macro="" textlink="">
        <xdr:nvSpPr>
          <xdr:cNvPr id="8866" name="Rectangle 674">
            <a:extLst>
              <a:ext uri="{FF2B5EF4-FFF2-40B4-BE49-F238E27FC236}">
                <a16:creationId xmlns:a16="http://schemas.microsoft.com/office/drawing/2014/main" id="{5F8AD1B1-1F7E-45F4-94CA-0FE114819472}"/>
              </a:ext>
            </a:extLst>
          </xdr:cNvPr>
          <xdr:cNvSpPr>
            <a:spLocks noChangeArrowheads="1"/>
          </xdr:cNvSpPr>
        </xdr:nvSpPr>
        <xdr:spPr bwMode="auto">
          <a:xfrm>
            <a:off x="9064" y="6558"/>
            <a:ext cx="295" cy="3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8867" name="Rectangle 675">
            <a:extLst>
              <a:ext uri="{FF2B5EF4-FFF2-40B4-BE49-F238E27FC236}">
                <a16:creationId xmlns:a16="http://schemas.microsoft.com/office/drawing/2014/main" id="{DC11B6F9-CBE0-4582-9714-FDDDED4FDF64}"/>
              </a:ext>
            </a:extLst>
          </xdr:cNvPr>
          <xdr:cNvSpPr>
            <a:spLocks noChangeArrowheads="1"/>
          </xdr:cNvSpPr>
        </xdr:nvSpPr>
        <xdr:spPr bwMode="auto">
          <a:xfrm>
            <a:off x="9182" y="6619"/>
            <a:ext cx="118" cy="5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upright="1">
            <a:spAutoFit/>
          </a:bodyPr>
          <a:lstStyle/>
          <a:p>
            <a:pPr algn="l" rtl="0">
              <a:defRPr sz="1000"/>
            </a:pPr>
            <a:r>
              <a:rPr lang="en-GB" sz="1100" b="0" i="0" u="none" strike="noStrike" baseline="0">
                <a:solidFill>
                  <a:srgbClr val="000000"/>
                </a:solidFill>
                <a:latin typeface="Times New Roman"/>
                <a:cs typeface="Times New Roman"/>
              </a:rPr>
              <a:t>F</a:t>
            </a:r>
            <a:endParaRPr lang="en-GB" sz="1200" b="0" i="0" u="none" strike="noStrike" baseline="0">
              <a:solidFill>
                <a:srgbClr val="000000"/>
              </a:solidFill>
              <a:latin typeface="Times New Roman"/>
              <a:cs typeface="Times New Roman"/>
            </a:endParaRPr>
          </a:p>
          <a:p>
            <a:pPr algn="l" rtl="0">
              <a:defRPr sz="1000"/>
            </a:pPr>
            <a:endParaRPr lang="en-GB" sz="1200" b="0" i="0" u="none" strike="noStrike" baseline="0">
              <a:solidFill>
                <a:srgbClr val="000000"/>
              </a:solidFill>
              <a:latin typeface="Times New Roman"/>
              <a:cs typeface="Times New Roman"/>
            </a:endParaRPr>
          </a:p>
        </xdr:txBody>
      </xdr:sp>
      <xdr:sp macro="" textlink="">
        <xdr:nvSpPr>
          <xdr:cNvPr id="8868" name="Oval 676">
            <a:extLst>
              <a:ext uri="{FF2B5EF4-FFF2-40B4-BE49-F238E27FC236}">
                <a16:creationId xmlns:a16="http://schemas.microsoft.com/office/drawing/2014/main" id="{FA5ED2F2-8B62-4D97-9019-F359359E4ECE}"/>
              </a:ext>
            </a:extLst>
          </xdr:cNvPr>
          <xdr:cNvSpPr>
            <a:spLocks noChangeArrowheads="1"/>
          </xdr:cNvSpPr>
        </xdr:nvSpPr>
        <xdr:spPr bwMode="auto">
          <a:xfrm>
            <a:off x="8991" y="6558"/>
            <a:ext cx="504" cy="285"/>
          </a:xfrm>
          <a:prstGeom prst="ellipse">
            <a:avLst/>
          </a:prstGeom>
          <a:solidFill>
            <a:srgbClr val="FFFF99"/>
          </a:solidFill>
          <a:ln w="5715">
            <a:solidFill>
              <a:srgbClr val="000000"/>
            </a:solidFill>
            <a:round/>
            <a:headEnd/>
            <a:tailEnd/>
          </a:ln>
        </xdr:spPr>
      </xdr:sp>
      <xdr:sp macro="" textlink="">
        <xdr:nvSpPr>
          <xdr:cNvPr id="8869" name="Rectangle 677">
            <a:extLst>
              <a:ext uri="{FF2B5EF4-FFF2-40B4-BE49-F238E27FC236}">
                <a16:creationId xmlns:a16="http://schemas.microsoft.com/office/drawing/2014/main" id="{E78ADC7C-308E-46DC-AFB2-9C75AADB4462}"/>
              </a:ext>
            </a:extLst>
          </xdr:cNvPr>
          <xdr:cNvSpPr>
            <a:spLocks noChangeArrowheads="1"/>
          </xdr:cNvSpPr>
        </xdr:nvSpPr>
        <xdr:spPr bwMode="auto">
          <a:xfrm>
            <a:off x="9064" y="6558"/>
            <a:ext cx="295" cy="3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8870" name="Rectangle 678">
            <a:extLst>
              <a:ext uri="{FF2B5EF4-FFF2-40B4-BE49-F238E27FC236}">
                <a16:creationId xmlns:a16="http://schemas.microsoft.com/office/drawing/2014/main" id="{2F153115-3B81-41D9-87A7-7B5DD4A3D968}"/>
              </a:ext>
            </a:extLst>
          </xdr:cNvPr>
          <xdr:cNvSpPr>
            <a:spLocks noChangeArrowheads="1"/>
          </xdr:cNvSpPr>
        </xdr:nvSpPr>
        <xdr:spPr bwMode="auto">
          <a:xfrm>
            <a:off x="9182" y="6619"/>
            <a:ext cx="118" cy="5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upright="1">
            <a:spAutoFit/>
          </a:bodyPr>
          <a:lstStyle/>
          <a:p>
            <a:pPr algn="l" rtl="0">
              <a:defRPr sz="1000"/>
            </a:pPr>
            <a:r>
              <a:rPr lang="en-GB" sz="1100" b="0" i="0" u="none" strike="noStrike" baseline="0">
                <a:solidFill>
                  <a:srgbClr val="000000"/>
                </a:solidFill>
                <a:latin typeface="Times New Roman"/>
                <a:cs typeface="Times New Roman"/>
              </a:rPr>
              <a:t>F</a:t>
            </a:r>
            <a:endParaRPr lang="en-GB" sz="1200" b="0" i="0" u="none" strike="noStrike" baseline="0">
              <a:solidFill>
                <a:srgbClr val="000000"/>
              </a:solidFill>
              <a:latin typeface="Times New Roman"/>
              <a:cs typeface="Times New Roman"/>
            </a:endParaRPr>
          </a:p>
          <a:p>
            <a:pPr algn="l" rtl="0">
              <a:defRPr sz="1000"/>
            </a:pPr>
            <a:endParaRPr lang="en-GB" sz="1200" b="0" i="0" u="none" strike="noStrike" baseline="0">
              <a:solidFill>
                <a:srgbClr val="000000"/>
              </a:solidFill>
              <a:latin typeface="Times New Roman"/>
              <a:cs typeface="Times New Roman"/>
            </a:endParaRPr>
          </a:p>
        </xdr:txBody>
      </xdr:sp>
      <xdr:sp macro="" textlink="">
        <xdr:nvSpPr>
          <xdr:cNvPr id="8871" name="Rectangle 679">
            <a:extLst>
              <a:ext uri="{FF2B5EF4-FFF2-40B4-BE49-F238E27FC236}">
                <a16:creationId xmlns:a16="http://schemas.microsoft.com/office/drawing/2014/main" id="{7D787955-C96D-4CC3-9E49-DC8506AA5508}"/>
              </a:ext>
            </a:extLst>
          </xdr:cNvPr>
          <xdr:cNvSpPr>
            <a:spLocks noChangeArrowheads="1"/>
          </xdr:cNvSpPr>
        </xdr:nvSpPr>
        <xdr:spPr bwMode="auto">
          <a:xfrm>
            <a:off x="5116" y="3882"/>
            <a:ext cx="1078" cy="284"/>
          </a:xfrm>
          <a:prstGeom prst="rect">
            <a:avLst/>
          </a:prstGeom>
          <a:solidFill>
            <a:srgbClr val="FFCCFF"/>
          </a:solidFill>
          <a:ln w="17145">
            <a:solidFill>
              <a:srgbClr val="000000"/>
            </a:solidFill>
            <a:miter lim="800000"/>
            <a:headEnd/>
            <a:tailEnd/>
          </a:ln>
        </xdr:spPr>
      </xdr:sp>
      <xdr:sp macro="" textlink="">
        <xdr:nvSpPr>
          <xdr:cNvPr id="8872" name="Oval 680">
            <a:extLst>
              <a:ext uri="{FF2B5EF4-FFF2-40B4-BE49-F238E27FC236}">
                <a16:creationId xmlns:a16="http://schemas.microsoft.com/office/drawing/2014/main" id="{7B265C38-7AAE-48A2-BACE-965EF536D8B9}"/>
              </a:ext>
            </a:extLst>
          </xdr:cNvPr>
          <xdr:cNvSpPr>
            <a:spLocks noChangeArrowheads="1"/>
          </xdr:cNvSpPr>
        </xdr:nvSpPr>
        <xdr:spPr bwMode="auto">
          <a:xfrm>
            <a:off x="5116" y="3457"/>
            <a:ext cx="504" cy="214"/>
          </a:xfrm>
          <a:prstGeom prst="ellipse">
            <a:avLst/>
          </a:prstGeom>
          <a:solidFill>
            <a:srgbClr val="FFFF99"/>
          </a:solidFill>
          <a:ln w="5715">
            <a:solidFill>
              <a:srgbClr val="000000"/>
            </a:solidFill>
            <a:round/>
            <a:headEnd/>
            <a:tailEnd/>
          </a:ln>
        </xdr:spPr>
      </xdr:sp>
      <xdr:sp macro="" textlink="">
        <xdr:nvSpPr>
          <xdr:cNvPr id="8873" name="Rectangle 681">
            <a:extLst>
              <a:ext uri="{FF2B5EF4-FFF2-40B4-BE49-F238E27FC236}">
                <a16:creationId xmlns:a16="http://schemas.microsoft.com/office/drawing/2014/main" id="{0DFD7F42-D76D-49F4-9C38-CFF940D9956A}"/>
              </a:ext>
            </a:extLst>
          </xdr:cNvPr>
          <xdr:cNvSpPr>
            <a:spLocks noChangeArrowheads="1"/>
          </xdr:cNvSpPr>
        </xdr:nvSpPr>
        <xdr:spPr bwMode="auto">
          <a:xfrm>
            <a:off x="5188" y="3387"/>
            <a:ext cx="306" cy="3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8874" name="Rectangle 682">
            <a:extLst>
              <a:ext uri="{FF2B5EF4-FFF2-40B4-BE49-F238E27FC236}">
                <a16:creationId xmlns:a16="http://schemas.microsoft.com/office/drawing/2014/main" id="{BAB75261-7C64-47C1-9071-3BAE38DF9C12}"/>
              </a:ext>
            </a:extLst>
          </xdr:cNvPr>
          <xdr:cNvSpPr>
            <a:spLocks noChangeArrowheads="1"/>
          </xdr:cNvSpPr>
        </xdr:nvSpPr>
        <xdr:spPr bwMode="auto">
          <a:xfrm>
            <a:off x="5286" y="3433"/>
            <a:ext cx="129" cy="5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upright="1">
            <a:spAutoFit/>
          </a:bodyPr>
          <a:lstStyle/>
          <a:p>
            <a:pPr algn="l" rtl="0">
              <a:defRPr sz="1000"/>
            </a:pPr>
            <a:r>
              <a:rPr lang="en-GB" sz="1100" b="0" i="0" u="none" strike="noStrike" baseline="0">
                <a:solidFill>
                  <a:srgbClr val="000000"/>
                </a:solidFill>
                <a:latin typeface="Times New Roman"/>
                <a:cs typeface="Times New Roman"/>
              </a:rPr>
              <a:t>T</a:t>
            </a:r>
            <a:endParaRPr lang="en-GB" sz="1200" b="0" i="0" u="none" strike="noStrike" baseline="0">
              <a:solidFill>
                <a:srgbClr val="000000"/>
              </a:solidFill>
              <a:latin typeface="Times New Roman"/>
              <a:cs typeface="Times New Roman"/>
            </a:endParaRPr>
          </a:p>
          <a:p>
            <a:pPr algn="l" rtl="0">
              <a:defRPr sz="1000"/>
            </a:pPr>
            <a:endParaRPr lang="en-GB" sz="1200" b="0" i="0" u="none" strike="noStrike" baseline="0">
              <a:solidFill>
                <a:srgbClr val="000000"/>
              </a:solidFill>
              <a:latin typeface="Times New Roman"/>
              <a:cs typeface="Times New Roman"/>
            </a:endParaRPr>
          </a:p>
        </xdr:txBody>
      </xdr:sp>
      <xdr:sp macro="" textlink="">
        <xdr:nvSpPr>
          <xdr:cNvPr id="8875" name="Oval 683">
            <a:extLst>
              <a:ext uri="{FF2B5EF4-FFF2-40B4-BE49-F238E27FC236}">
                <a16:creationId xmlns:a16="http://schemas.microsoft.com/office/drawing/2014/main" id="{F404BCA1-567E-48CF-A00A-5692501ADD5D}"/>
              </a:ext>
            </a:extLst>
          </xdr:cNvPr>
          <xdr:cNvSpPr>
            <a:spLocks noChangeArrowheads="1"/>
          </xdr:cNvSpPr>
        </xdr:nvSpPr>
        <xdr:spPr bwMode="auto">
          <a:xfrm>
            <a:off x="5116" y="3173"/>
            <a:ext cx="504" cy="286"/>
          </a:xfrm>
          <a:prstGeom prst="ellipse">
            <a:avLst/>
          </a:prstGeom>
          <a:solidFill>
            <a:srgbClr val="FFFF99"/>
          </a:solidFill>
          <a:ln w="5715">
            <a:solidFill>
              <a:srgbClr val="000000"/>
            </a:solidFill>
            <a:round/>
            <a:headEnd/>
            <a:tailEnd/>
          </a:ln>
        </xdr:spPr>
      </xdr:sp>
      <xdr:sp macro="" textlink="">
        <xdr:nvSpPr>
          <xdr:cNvPr id="8876" name="Rectangle 684">
            <a:extLst>
              <a:ext uri="{FF2B5EF4-FFF2-40B4-BE49-F238E27FC236}">
                <a16:creationId xmlns:a16="http://schemas.microsoft.com/office/drawing/2014/main" id="{66163FB8-718D-4CE8-A060-9C0296C43CFF}"/>
              </a:ext>
            </a:extLst>
          </xdr:cNvPr>
          <xdr:cNvSpPr>
            <a:spLocks noChangeArrowheads="1"/>
          </xdr:cNvSpPr>
        </xdr:nvSpPr>
        <xdr:spPr bwMode="auto">
          <a:xfrm>
            <a:off x="5189" y="3103"/>
            <a:ext cx="414" cy="3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8877" name="Rectangle 685">
            <a:extLst>
              <a:ext uri="{FF2B5EF4-FFF2-40B4-BE49-F238E27FC236}">
                <a16:creationId xmlns:a16="http://schemas.microsoft.com/office/drawing/2014/main" id="{FEEBBB33-41AF-4CE8-9D4A-7B9DDB6AD0C1}"/>
              </a:ext>
            </a:extLst>
          </xdr:cNvPr>
          <xdr:cNvSpPr>
            <a:spLocks noChangeArrowheads="1"/>
          </xdr:cNvSpPr>
        </xdr:nvSpPr>
        <xdr:spPr bwMode="auto">
          <a:xfrm>
            <a:off x="5276" y="3168"/>
            <a:ext cx="153" cy="5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upright="1">
            <a:spAutoFit/>
          </a:bodyPr>
          <a:lstStyle/>
          <a:p>
            <a:pPr algn="l" rtl="0">
              <a:defRPr sz="1000"/>
            </a:pPr>
            <a:r>
              <a:rPr lang="en-GB" sz="1100" b="0" i="0" u="none" strike="noStrike" baseline="0">
                <a:solidFill>
                  <a:srgbClr val="000000"/>
                </a:solidFill>
                <a:latin typeface="Times New Roman"/>
                <a:cs typeface="Times New Roman"/>
              </a:rPr>
              <a:t>O</a:t>
            </a:r>
            <a:endParaRPr lang="en-GB" sz="1200" b="0" i="0" u="none" strike="noStrike" baseline="0">
              <a:solidFill>
                <a:srgbClr val="000000"/>
              </a:solidFill>
              <a:latin typeface="Times New Roman"/>
              <a:cs typeface="Times New Roman"/>
            </a:endParaRPr>
          </a:p>
          <a:p>
            <a:pPr algn="l" rtl="0">
              <a:defRPr sz="1000"/>
            </a:pPr>
            <a:endParaRPr lang="en-GB" sz="1200" b="0" i="0" u="none" strike="noStrike" baseline="0">
              <a:solidFill>
                <a:srgbClr val="000000"/>
              </a:solidFill>
              <a:latin typeface="Times New Roman"/>
              <a:cs typeface="Times New Roman"/>
            </a:endParaRPr>
          </a:p>
        </xdr:txBody>
      </xdr:sp>
      <xdr:sp macro="" textlink="">
        <xdr:nvSpPr>
          <xdr:cNvPr id="8878" name="Rectangle 686">
            <a:extLst>
              <a:ext uri="{FF2B5EF4-FFF2-40B4-BE49-F238E27FC236}">
                <a16:creationId xmlns:a16="http://schemas.microsoft.com/office/drawing/2014/main" id="{BBF0FFE2-55D8-46C7-BD1A-F451FE833521}"/>
              </a:ext>
            </a:extLst>
          </xdr:cNvPr>
          <xdr:cNvSpPr>
            <a:spLocks noChangeArrowheads="1"/>
          </xdr:cNvSpPr>
        </xdr:nvSpPr>
        <xdr:spPr bwMode="auto">
          <a:xfrm>
            <a:off x="5467" y="3270"/>
            <a:ext cx="76" cy="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upright="1">
            <a:spAutoFit/>
          </a:bodyPr>
          <a:lstStyle/>
          <a:p>
            <a:pPr algn="l" rtl="0">
              <a:defRPr sz="1000"/>
            </a:pPr>
            <a:r>
              <a:rPr lang="en-GB" sz="700" b="0" i="0" u="none" strike="noStrike" baseline="0">
                <a:solidFill>
                  <a:srgbClr val="000000"/>
                </a:solidFill>
                <a:latin typeface="Times New Roman"/>
                <a:cs typeface="Times New Roman"/>
              </a:rPr>
              <a:t>2</a:t>
            </a:r>
            <a:endParaRPr lang="en-GB" sz="1200" b="0" i="0" u="none" strike="noStrike" baseline="0">
              <a:solidFill>
                <a:srgbClr val="000000"/>
              </a:solidFill>
              <a:latin typeface="Times New Roman"/>
              <a:cs typeface="Times New Roman"/>
            </a:endParaRPr>
          </a:p>
          <a:p>
            <a:pPr algn="l" rtl="0">
              <a:defRPr sz="1000"/>
            </a:pPr>
            <a:endParaRPr lang="en-GB" sz="1200" b="0" i="0" u="none" strike="noStrike" baseline="0">
              <a:solidFill>
                <a:srgbClr val="000000"/>
              </a:solidFill>
              <a:latin typeface="Times New Roman"/>
              <a:cs typeface="Times New Roman"/>
            </a:endParaRPr>
          </a:p>
        </xdr:txBody>
      </xdr:sp>
      <xdr:sp macro="" textlink="">
        <xdr:nvSpPr>
          <xdr:cNvPr id="8879" name="Oval 687">
            <a:extLst>
              <a:ext uri="{FF2B5EF4-FFF2-40B4-BE49-F238E27FC236}">
                <a16:creationId xmlns:a16="http://schemas.microsoft.com/office/drawing/2014/main" id="{9C28CB3D-AD74-49DB-89BD-03D2EF002A8B}"/>
              </a:ext>
            </a:extLst>
          </xdr:cNvPr>
          <xdr:cNvSpPr>
            <a:spLocks noChangeArrowheads="1"/>
          </xdr:cNvSpPr>
        </xdr:nvSpPr>
        <xdr:spPr bwMode="auto">
          <a:xfrm>
            <a:off x="5116" y="3173"/>
            <a:ext cx="504" cy="286"/>
          </a:xfrm>
          <a:prstGeom prst="ellipse">
            <a:avLst/>
          </a:prstGeom>
          <a:solidFill>
            <a:srgbClr val="FFFF99"/>
          </a:solidFill>
          <a:ln w="5715">
            <a:solidFill>
              <a:srgbClr val="000000"/>
            </a:solidFill>
            <a:round/>
            <a:headEnd/>
            <a:tailEnd/>
          </a:ln>
        </xdr:spPr>
      </xdr:sp>
      <xdr:sp macro="" textlink="">
        <xdr:nvSpPr>
          <xdr:cNvPr id="8880" name="Rectangle 688">
            <a:extLst>
              <a:ext uri="{FF2B5EF4-FFF2-40B4-BE49-F238E27FC236}">
                <a16:creationId xmlns:a16="http://schemas.microsoft.com/office/drawing/2014/main" id="{14834DB2-A856-470D-80E5-47428138C021}"/>
              </a:ext>
            </a:extLst>
          </xdr:cNvPr>
          <xdr:cNvSpPr>
            <a:spLocks noChangeArrowheads="1"/>
          </xdr:cNvSpPr>
        </xdr:nvSpPr>
        <xdr:spPr bwMode="auto">
          <a:xfrm>
            <a:off x="5189" y="3103"/>
            <a:ext cx="414" cy="3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8881" name="Rectangle 689">
            <a:extLst>
              <a:ext uri="{FF2B5EF4-FFF2-40B4-BE49-F238E27FC236}">
                <a16:creationId xmlns:a16="http://schemas.microsoft.com/office/drawing/2014/main" id="{CAE561FC-B104-4BC1-AF2F-E4780426D7CD}"/>
              </a:ext>
            </a:extLst>
          </xdr:cNvPr>
          <xdr:cNvSpPr>
            <a:spLocks noChangeArrowheads="1"/>
          </xdr:cNvSpPr>
        </xdr:nvSpPr>
        <xdr:spPr bwMode="auto">
          <a:xfrm>
            <a:off x="5276" y="3168"/>
            <a:ext cx="153" cy="5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upright="1">
            <a:spAutoFit/>
          </a:bodyPr>
          <a:lstStyle/>
          <a:p>
            <a:pPr algn="l" rtl="0">
              <a:defRPr sz="1000"/>
            </a:pPr>
            <a:r>
              <a:rPr lang="en-GB" sz="1100" b="0" i="0" u="none" strike="noStrike" baseline="0">
                <a:solidFill>
                  <a:srgbClr val="000000"/>
                </a:solidFill>
                <a:latin typeface="Times New Roman"/>
                <a:cs typeface="Times New Roman"/>
              </a:rPr>
              <a:t>O</a:t>
            </a:r>
            <a:endParaRPr lang="en-GB" sz="1200" b="0" i="0" u="none" strike="noStrike" baseline="0">
              <a:solidFill>
                <a:srgbClr val="000000"/>
              </a:solidFill>
              <a:latin typeface="Times New Roman"/>
              <a:cs typeface="Times New Roman"/>
            </a:endParaRPr>
          </a:p>
          <a:p>
            <a:pPr algn="l" rtl="0">
              <a:defRPr sz="1000"/>
            </a:pPr>
            <a:endParaRPr lang="en-GB" sz="1200" b="0" i="0" u="none" strike="noStrike" baseline="0">
              <a:solidFill>
                <a:srgbClr val="000000"/>
              </a:solidFill>
              <a:latin typeface="Times New Roman"/>
              <a:cs typeface="Times New Roman"/>
            </a:endParaRPr>
          </a:p>
        </xdr:txBody>
      </xdr:sp>
      <xdr:sp macro="" textlink="">
        <xdr:nvSpPr>
          <xdr:cNvPr id="8882" name="Rectangle 690">
            <a:extLst>
              <a:ext uri="{FF2B5EF4-FFF2-40B4-BE49-F238E27FC236}">
                <a16:creationId xmlns:a16="http://schemas.microsoft.com/office/drawing/2014/main" id="{5A570AF1-D688-4DDA-9BA1-F516824D10A8}"/>
              </a:ext>
            </a:extLst>
          </xdr:cNvPr>
          <xdr:cNvSpPr>
            <a:spLocks noChangeArrowheads="1"/>
          </xdr:cNvSpPr>
        </xdr:nvSpPr>
        <xdr:spPr bwMode="auto">
          <a:xfrm>
            <a:off x="5467" y="3270"/>
            <a:ext cx="76" cy="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upright="1">
            <a:spAutoFit/>
          </a:bodyPr>
          <a:lstStyle/>
          <a:p>
            <a:pPr algn="l" rtl="0">
              <a:defRPr sz="1000"/>
            </a:pPr>
            <a:r>
              <a:rPr lang="en-GB" sz="700" b="0" i="0" u="none" strike="noStrike" baseline="0">
                <a:solidFill>
                  <a:srgbClr val="000000"/>
                </a:solidFill>
                <a:latin typeface="Times New Roman"/>
                <a:cs typeface="Times New Roman"/>
              </a:rPr>
              <a:t>2</a:t>
            </a:r>
            <a:endParaRPr lang="en-GB" sz="1200" b="0" i="0" u="none" strike="noStrike" baseline="0">
              <a:solidFill>
                <a:srgbClr val="000000"/>
              </a:solidFill>
              <a:latin typeface="Times New Roman"/>
              <a:cs typeface="Times New Roman"/>
            </a:endParaRPr>
          </a:p>
          <a:p>
            <a:pPr algn="l" rtl="0">
              <a:defRPr sz="1000"/>
            </a:pPr>
            <a:endParaRPr lang="en-GB" sz="1200" b="0" i="0" u="none" strike="noStrike" baseline="0">
              <a:solidFill>
                <a:srgbClr val="000000"/>
              </a:solidFill>
              <a:latin typeface="Times New Roman"/>
              <a:cs typeface="Times New Roman"/>
            </a:endParaRPr>
          </a:p>
        </xdr:txBody>
      </xdr:sp>
      <xdr:sp macro="" textlink="">
        <xdr:nvSpPr>
          <xdr:cNvPr id="8883" name="Oval 691">
            <a:extLst>
              <a:ext uri="{FF2B5EF4-FFF2-40B4-BE49-F238E27FC236}">
                <a16:creationId xmlns:a16="http://schemas.microsoft.com/office/drawing/2014/main" id="{D86B2013-4049-4825-96E4-18CED7D2DCD8}"/>
              </a:ext>
            </a:extLst>
          </xdr:cNvPr>
          <xdr:cNvSpPr>
            <a:spLocks noChangeArrowheads="1"/>
          </xdr:cNvSpPr>
        </xdr:nvSpPr>
        <xdr:spPr bwMode="auto">
          <a:xfrm>
            <a:off x="9708" y="6770"/>
            <a:ext cx="504" cy="286"/>
          </a:xfrm>
          <a:prstGeom prst="ellipse">
            <a:avLst/>
          </a:prstGeom>
          <a:solidFill>
            <a:srgbClr val="FFFF99"/>
          </a:solidFill>
          <a:ln w="5715">
            <a:solidFill>
              <a:srgbClr val="000000"/>
            </a:solidFill>
            <a:round/>
            <a:headEnd/>
            <a:tailEnd/>
          </a:ln>
        </xdr:spPr>
      </xdr:sp>
      <xdr:sp macro="" textlink="">
        <xdr:nvSpPr>
          <xdr:cNvPr id="8884" name="Rectangle 692">
            <a:extLst>
              <a:ext uri="{FF2B5EF4-FFF2-40B4-BE49-F238E27FC236}">
                <a16:creationId xmlns:a16="http://schemas.microsoft.com/office/drawing/2014/main" id="{CB040745-1902-4130-82F5-78F66842BDA8}"/>
              </a:ext>
            </a:extLst>
          </xdr:cNvPr>
          <xdr:cNvSpPr>
            <a:spLocks noChangeArrowheads="1"/>
          </xdr:cNvSpPr>
        </xdr:nvSpPr>
        <xdr:spPr bwMode="auto">
          <a:xfrm>
            <a:off x="9852" y="6700"/>
            <a:ext cx="294" cy="3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8885" name="Rectangle 693">
            <a:extLst>
              <a:ext uri="{FF2B5EF4-FFF2-40B4-BE49-F238E27FC236}">
                <a16:creationId xmlns:a16="http://schemas.microsoft.com/office/drawing/2014/main" id="{5E979DD4-983E-40D4-BAF0-65EA6037C32A}"/>
              </a:ext>
            </a:extLst>
          </xdr:cNvPr>
          <xdr:cNvSpPr>
            <a:spLocks noChangeArrowheads="1"/>
          </xdr:cNvSpPr>
        </xdr:nvSpPr>
        <xdr:spPr bwMode="auto">
          <a:xfrm>
            <a:off x="9954" y="6762"/>
            <a:ext cx="123" cy="6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upright="1">
            <a:spAutoFit/>
          </a:bodyPr>
          <a:lstStyle/>
          <a:p>
            <a:pPr algn="l" rtl="0">
              <a:defRPr sz="1000"/>
            </a:pPr>
            <a:r>
              <a:rPr lang="en-GB" sz="1100" b="0" i="0" u="none" strike="noStrike" baseline="0">
                <a:solidFill>
                  <a:srgbClr val="000000"/>
                </a:solidFill>
                <a:latin typeface="Times New Roman"/>
                <a:cs typeface="Times New Roman"/>
              </a:rPr>
              <a:t>P</a:t>
            </a:r>
            <a:endParaRPr lang="en-GB" sz="1200" b="0" i="0" u="none" strike="noStrike" baseline="0">
              <a:solidFill>
                <a:srgbClr val="000000"/>
              </a:solidFill>
              <a:latin typeface="Times New Roman"/>
              <a:cs typeface="Times New Roman"/>
            </a:endParaRPr>
          </a:p>
          <a:p>
            <a:pPr algn="l" rtl="0">
              <a:defRPr sz="1000"/>
            </a:pPr>
            <a:endParaRPr lang="en-GB" sz="1200" b="0" i="0" u="none" strike="noStrike" baseline="0">
              <a:solidFill>
                <a:srgbClr val="000000"/>
              </a:solidFill>
              <a:latin typeface="Times New Roman"/>
              <a:cs typeface="Times New Roman"/>
            </a:endParaRPr>
          </a:p>
        </xdr:txBody>
      </xdr:sp>
      <xdr:sp macro="" textlink="">
        <xdr:nvSpPr>
          <xdr:cNvPr id="8886" name="Oval 694">
            <a:extLst>
              <a:ext uri="{FF2B5EF4-FFF2-40B4-BE49-F238E27FC236}">
                <a16:creationId xmlns:a16="http://schemas.microsoft.com/office/drawing/2014/main" id="{77EDCD55-4059-4D30-9391-BAEC2AEADD96}"/>
              </a:ext>
            </a:extLst>
          </xdr:cNvPr>
          <xdr:cNvSpPr>
            <a:spLocks noChangeArrowheads="1"/>
          </xdr:cNvSpPr>
        </xdr:nvSpPr>
        <xdr:spPr bwMode="auto">
          <a:xfrm>
            <a:off x="9708" y="7054"/>
            <a:ext cx="504" cy="214"/>
          </a:xfrm>
          <a:prstGeom prst="ellipse">
            <a:avLst/>
          </a:prstGeom>
          <a:solidFill>
            <a:srgbClr val="FFFF99"/>
          </a:solidFill>
          <a:ln w="5715">
            <a:solidFill>
              <a:srgbClr val="000000"/>
            </a:solidFill>
            <a:round/>
            <a:headEnd/>
            <a:tailEnd/>
          </a:ln>
        </xdr:spPr>
      </xdr:sp>
      <xdr:sp macro="" textlink="">
        <xdr:nvSpPr>
          <xdr:cNvPr id="8887" name="Rectangle 695">
            <a:extLst>
              <a:ext uri="{FF2B5EF4-FFF2-40B4-BE49-F238E27FC236}">
                <a16:creationId xmlns:a16="http://schemas.microsoft.com/office/drawing/2014/main" id="{36DC521A-843C-4320-BACC-C2DC77051CBF}"/>
              </a:ext>
            </a:extLst>
          </xdr:cNvPr>
          <xdr:cNvSpPr>
            <a:spLocks noChangeArrowheads="1"/>
          </xdr:cNvSpPr>
        </xdr:nvSpPr>
        <xdr:spPr bwMode="auto">
          <a:xfrm>
            <a:off x="9782" y="6981"/>
            <a:ext cx="306" cy="3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8888" name="Rectangle 696">
            <a:extLst>
              <a:ext uri="{FF2B5EF4-FFF2-40B4-BE49-F238E27FC236}">
                <a16:creationId xmlns:a16="http://schemas.microsoft.com/office/drawing/2014/main" id="{1340FCDA-6556-48C6-9321-2BD74D7B4F58}"/>
              </a:ext>
            </a:extLst>
          </xdr:cNvPr>
          <xdr:cNvSpPr>
            <a:spLocks noChangeArrowheads="1"/>
          </xdr:cNvSpPr>
        </xdr:nvSpPr>
        <xdr:spPr bwMode="auto">
          <a:xfrm>
            <a:off x="9906" y="7067"/>
            <a:ext cx="129" cy="5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upright="1">
            <a:spAutoFit/>
          </a:bodyPr>
          <a:lstStyle/>
          <a:p>
            <a:pPr algn="l" rtl="0">
              <a:defRPr sz="1000"/>
            </a:pPr>
            <a:r>
              <a:rPr lang="en-GB" sz="1100" b="0" i="0" u="none" strike="noStrike" baseline="0">
                <a:solidFill>
                  <a:srgbClr val="000000"/>
                </a:solidFill>
                <a:latin typeface="Times New Roman"/>
                <a:cs typeface="Times New Roman"/>
              </a:rPr>
              <a:t>T</a:t>
            </a:r>
            <a:endParaRPr lang="en-GB" sz="1200" b="0" i="0" u="none" strike="noStrike" baseline="0">
              <a:solidFill>
                <a:srgbClr val="000000"/>
              </a:solidFill>
              <a:latin typeface="Times New Roman"/>
              <a:cs typeface="Times New Roman"/>
            </a:endParaRPr>
          </a:p>
          <a:p>
            <a:pPr algn="l" rtl="0">
              <a:defRPr sz="1000"/>
            </a:pPr>
            <a:endParaRPr lang="en-GB" sz="1200" b="0" i="0" u="none" strike="noStrike" baseline="0">
              <a:solidFill>
                <a:srgbClr val="000000"/>
              </a:solidFill>
              <a:latin typeface="Times New Roman"/>
              <a:cs typeface="Times New Roman"/>
            </a:endParaRPr>
          </a:p>
        </xdr:txBody>
      </xdr:sp>
      <xdr:sp macro="" textlink="">
        <xdr:nvSpPr>
          <xdr:cNvPr id="8889" name="Oval 697">
            <a:extLst>
              <a:ext uri="{FF2B5EF4-FFF2-40B4-BE49-F238E27FC236}">
                <a16:creationId xmlns:a16="http://schemas.microsoft.com/office/drawing/2014/main" id="{BA4FB182-BAD5-4EDD-9E14-43B508E32A0C}"/>
              </a:ext>
            </a:extLst>
          </xdr:cNvPr>
          <xdr:cNvSpPr>
            <a:spLocks noChangeArrowheads="1"/>
          </xdr:cNvSpPr>
        </xdr:nvSpPr>
        <xdr:spPr bwMode="auto">
          <a:xfrm>
            <a:off x="9708" y="6770"/>
            <a:ext cx="504" cy="286"/>
          </a:xfrm>
          <a:prstGeom prst="ellipse">
            <a:avLst/>
          </a:prstGeom>
          <a:solidFill>
            <a:srgbClr val="FFFF99"/>
          </a:solidFill>
          <a:ln w="5715">
            <a:solidFill>
              <a:srgbClr val="000000"/>
            </a:solidFill>
            <a:round/>
            <a:headEnd/>
            <a:tailEnd/>
          </a:ln>
        </xdr:spPr>
      </xdr:sp>
      <xdr:sp macro="" textlink="">
        <xdr:nvSpPr>
          <xdr:cNvPr id="8890" name="Rectangle 698">
            <a:extLst>
              <a:ext uri="{FF2B5EF4-FFF2-40B4-BE49-F238E27FC236}">
                <a16:creationId xmlns:a16="http://schemas.microsoft.com/office/drawing/2014/main" id="{84F8FC47-4194-49B8-A988-FB283833D02E}"/>
              </a:ext>
            </a:extLst>
          </xdr:cNvPr>
          <xdr:cNvSpPr>
            <a:spLocks noChangeArrowheads="1"/>
          </xdr:cNvSpPr>
        </xdr:nvSpPr>
        <xdr:spPr bwMode="auto">
          <a:xfrm>
            <a:off x="9852" y="6700"/>
            <a:ext cx="294" cy="3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8891" name="Rectangle 699">
            <a:extLst>
              <a:ext uri="{FF2B5EF4-FFF2-40B4-BE49-F238E27FC236}">
                <a16:creationId xmlns:a16="http://schemas.microsoft.com/office/drawing/2014/main" id="{24DBAD32-192F-4092-874B-524C9204B42E}"/>
              </a:ext>
            </a:extLst>
          </xdr:cNvPr>
          <xdr:cNvSpPr>
            <a:spLocks noChangeArrowheads="1"/>
          </xdr:cNvSpPr>
        </xdr:nvSpPr>
        <xdr:spPr bwMode="auto">
          <a:xfrm>
            <a:off x="9954" y="6762"/>
            <a:ext cx="123" cy="6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upright="1">
            <a:spAutoFit/>
          </a:bodyPr>
          <a:lstStyle/>
          <a:p>
            <a:pPr algn="l" rtl="0">
              <a:defRPr sz="1000"/>
            </a:pPr>
            <a:r>
              <a:rPr lang="en-GB" sz="1100" b="0" i="0" u="none" strike="noStrike" baseline="0">
                <a:solidFill>
                  <a:srgbClr val="000000"/>
                </a:solidFill>
                <a:latin typeface="Times New Roman"/>
                <a:cs typeface="Times New Roman"/>
              </a:rPr>
              <a:t>P</a:t>
            </a:r>
            <a:endParaRPr lang="en-GB" sz="1200" b="0" i="0" u="none" strike="noStrike" baseline="0">
              <a:solidFill>
                <a:srgbClr val="000000"/>
              </a:solidFill>
              <a:latin typeface="Times New Roman"/>
              <a:cs typeface="Times New Roman"/>
            </a:endParaRPr>
          </a:p>
          <a:p>
            <a:pPr algn="l" rtl="0">
              <a:defRPr sz="1000"/>
            </a:pPr>
            <a:endParaRPr lang="en-GB" sz="1200" b="0" i="0" u="none" strike="noStrike" baseline="0">
              <a:solidFill>
                <a:srgbClr val="000000"/>
              </a:solidFill>
              <a:latin typeface="Times New Roman"/>
              <a:cs typeface="Times New Roman"/>
            </a:endParaRPr>
          </a:p>
        </xdr:txBody>
      </xdr:sp>
      <xdr:sp macro="" textlink="">
        <xdr:nvSpPr>
          <xdr:cNvPr id="8892" name="Oval 700">
            <a:extLst>
              <a:ext uri="{FF2B5EF4-FFF2-40B4-BE49-F238E27FC236}">
                <a16:creationId xmlns:a16="http://schemas.microsoft.com/office/drawing/2014/main" id="{30A7E61E-A5C9-486B-BBA0-E8926427988B}"/>
              </a:ext>
            </a:extLst>
          </xdr:cNvPr>
          <xdr:cNvSpPr>
            <a:spLocks noChangeArrowheads="1"/>
          </xdr:cNvSpPr>
        </xdr:nvSpPr>
        <xdr:spPr bwMode="auto">
          <a:xfrm>
            <a:off x="9708" y="7054"/>
            <a:ext cx="504" cy="214"/>
          </a:xfrm>
          <a:prstGeom prst="ellipse">
            <a:avLst/>
          </a:prstGeom>
          <a:solidFill>
            <a:srgbClr val="FFFF99"/>
          </a:solidFill>
          <a:ln w="5715">
            <a:solidFill>
              <a:srgbClr val="000000"/>
            </a:solidFill>
            <a:round/>
            <a:headEnd/>
            <a:tailEnd/>
          </a:ln>
        </xdr:spPr>
      </xdr:sp>
      <xdr:sp macro="" textlink="">
        <xdr:nvSpPr>
          <xdr:cNvPr id="8893" name="Rectangle 701">
            <a:extLst>
              <a:ext uri="{FF2B5EF4-FFF2-40B4-BE49-F238E27FC236}">
                <a16:creationId xmlns:a16="http://schemas.microsoft.com/office/drawing/2014/main" id="{8BE374D2-BF9D-4765-8702-420BFCB4F23E}"/>
              </a:ext>
            </a:extLst>
          </xdr:cNvPr>
          <xdr:cNvSpPr>
            <a:spLocks noChangeArrowheads="1"/>
          </xdr:cNvSpPr>
        </xdr:nvSpPr>
        <xdr:spPr bwMode="auto">
          <a:xfrm>
            <a:off x="9782" y="6981"/>
            <a:ext cx="306" cy="3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8894" name="Rectangle 702">
            <a:extLst>
              <a:ext uri="{FF2B5EF4-FFF2-40B4-BE49-F238E27FC236}">
                <a16:creationId xmlns:a16="http://schemas.microsoft.com/office/drawing/2014/main" id="{503EBAAA-32A6-4BA2-BB44-C7BF45F0402C}"/>
              </a:ext>
            </a:extLst>
          </xdr:cNvPr>
          <xdr:cNvSpPr>
            <a:spLocks noChangeArrowheads="1"/>
          </xdr:cNvSpPr>
        </xdr:nvSpPr>
        <xdr:spPr bwMode="auto">
          <a:xfrm>
            <a:off x="9906" y="7067"/>
            <a:ext cx="129" cy="5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upright="1">
            <a:spAutoFit/>
          </a:bodyPr>
          <a:lstStyle/>
          <a:p>
            <a:pPr algn="l" rtl="0">
              <a:defRPr sz="1000"/>
            </a:pPr>
            <a:r>
              <a:rPr lang="en-GB" sz="1100" b="0" i="0" u="none" strike="noStrike" baseline="0">
                <a:solidFill>
                  <a:srgbClr val="000000"/>
                </a:solidFill>
                <a:latin typeface="Times New Roman"/>
                <a:cs typeface="Times New Roman"/>
              </a:rPr>
              <a:t>T</a:t>
            </a:r>
            <a:endParaRPr lang="en-GB" sz="1200" b="0" i="0" u="none" strike="noStrike" baseline="0">
              <a:solidFill>
                <a:srgbClr val="000000"/>
              </a:solidFill>
              <a:latin typeface="Times New Roman"/>
              <a:cs typeface="Times New Roman"/>
            </a:endParaRPr>
          </a:p>
          <a:p>
            <a:pPr algn="l" rtl="0">
              <a:defRPr sz="1000"/>
            </a:pPr>
            <a:endParaRPr lang="en-GB" sz="1200" b="0" i="0" u="none" strike="noStrike" baseline="0">
              <a:solidFill>
                <a:srgbClr val="000000"/>
              </a:solidFill>
              <a:latin typeface="Times New Roman"/>
              <a:cs typeface="Times New Roman"/>
            </a:endParaRPr>
          </a:p>
        </xdr:txBody>
      </xdr:sp>
      <xdr:sp macro="" textlink="">
        <xdr:nvSpPr>
          <xdr:cNvPr id="8895" name="Oval 703">
            <a:extLst>
              <a:ext uri="{FF2B5EF4-FFF2-40B4-BE49-F238E27FC236}">
                <a16:creationId xmlns:a16="http://schemas.microsoft.com/office/drawing/2014/main" id="{0AF23A94-5858-4C19-9BD1-AAEC10A1BAA2}"/>
              </a:ext>
            </a:extLst>
          </xdr:cNvPr>
          <xdr:cNvSpPr>
            <a:spLocks noChangeArrowheads="1"/>
          </xdr:cNvSpPr>
        </xdr:nvSpPr>
        <xdr:spPr bwMode="auto">
          <a:xfrm>
            <a:off x="4542" y="7148"/>
            <a:ext cx="504" cy="286"/>
          </a:xfrm>
          <a:prstGeom prst="ellipse">
            <a:avLst/>
          </a:prstGeom>
          <a:solidFill>
            <a:srgbClr val="FFFF99"/>
          </a:solidFill>
          <a:ln w="5715">
            <a:solidFill>
              <a:srgbClr val="000000"/>
            </a:solidFill>
            <a:round/>
            <a:headEnd/>
            <a:tailEnd/>
          </a:ln>
        </xdr:spPr>
      </xdr:sp>
      <xdr:sp macro="" textlink="">
        <xdr:nvSpPr>
          <xdr:cNvPr id="8896" name="Rectangle 704">
            <a:extLst>
              <a:ext uri="{FF2B5EF4-FFF2-40B4-BE49-F238E27FC236}">
                <a16:creationId xmlns:a16="http://schemas.microsoft.com/office/drawing/2014/main" id="{ACA7FF7A-2D24-4665-B05C-3B8C8C41B5A8}"/>
              </a:ext>
            </a:extLst>
          </xdr:cNvPr>
          <xdr:cNvSpPr>
            <a:spLocks noChangeArrowheads="1"/>
          </xdr:cNvSpPr>
        </xdr:nvSpPr>
        <xdr:spPr bwMode="auto">
          <a:xfrm>
            <a:off x="4612" y="7078"/>
            <a:ext cx="307" cy="3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8897" name="Rectangle 705">
            <a:extLst>
              <a:ext uri="{FF2B5EF4-FFF2-40B4-BE49-F238E27FC236}">
                <a16:creationId xmlns:a16="http://schemas.microsoft.com/office/drawing/2014/main" id="{39BAE914-46E7-4285-90B2-C264A2CE24B8}"/>
              </a:ext>
            </a:extLst>
          </xdr:cNvPr>
          <xdr:cNvSpPr>
            <a:spLocks noChangeArrowheads="1"/>
          </xdr:cNvSpPr>
        </xdr:nvSpPr>
        <xdr:spPr bwMode="auto">
          <a:xfrm>
            <a:off x="4705" y="7129"/>
            <a:ext cx="129" cy="5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upright="1">
            <a:spAutoFit/>
          </a:bodyPr>
          <a:lstStyle/>
          <a:p>
            <a:pPr algn="l" rtl="0">
              <a:defRPr sz="1000"/>
            </a:pPr>
            <a:r>
              <a:rPr lang="en-GB" sz="1100" b="0" i="0" u="none" strike="noStrike" baseline="0">
                <a:solidFill>
                  <a:srgbClr val="000000"/>
                </a:solidFill>
                <a:latin typeface="Times New Roman"/>
                <a:cs typeface="Times New Roman"/>
              </a:rPr>
              <a:t>T</a:t>
            </a:r>
            <a:endParaRPr lang="en-GB" sz="1200" b="0" i="0" u="none" strike="noStrike" baseline="0">
              <a:solidFill>
                <a:srgbClr val="000000"/>
              </a:solidFill>
              <a:latin typeface="Times New Roman"/>
              <a:cs typeface="Times New Roman"/>
            </a:endParaRPr>
          </a:p>
          <a:p>
            <a:pPr algn="l" rtl="0">
              <a:defRPr sz="1000"/>
            </a:pPr>
            <a:endParaRPr lang="en-GB" sz="1200" b="0" i="0" u="none" strike="noStrike" baseline="0">
              <a:solidFill>
                <a:srgbClr val="000000"/>
              </a:solidFill>
              <a:latin typeface="Times New Roman"/>
              <a:cs typeface="Times New Roman"/>
            </a:endParaRPr>
          </a:p>
        </xdr:txBody>
      </xdr:sp>
      <xdr:sp macro="" textlink="">
        <xdr:nvSpPr>
          <xdr:cNvPr id="8898" name="Rectangle 706">
            <a:extLst>
              <a:ext uri="{FF2B5EF4-FFF2-40B4-BE49-F238E27FC236}">
                <a16:creationId xmlns:a16="http://schemas.microsoft.com/office/drawing/2014/main" id="{A3EEC4C0-CDDD-4DE7-B0D1-9E3C289CE5D7}"/>
              </a:ext>
            </a:extLst>
          </xdr:cNvPr>
          <xdr:cNvSpPr>
            <a:spLocks noChangeArrowheads="1"/>
          </xdr:cNvSpPr>
        </xdr:nvSpPr>
        <xdr:spPr bwMode="auto">
          <a:xfrm>
            <a:off x="4759" y="7290"/>
            <a:ext cx="1219" cy="3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8899" name="Rectangle 707">
            <a:extLst>
              <a:ext uri="{FF2B5EF4-FFF2-40B4-BE49-F238E27FC236}">
                <a16:creationId xmlns:a16="http://schemas.microsoft.com/office/drawing/2014/main" id="{73A4E4D3-B1A8-4E01-9836-1115B646570E}"/>
              </a:ext>
            </a:extLst>
          </xdr:cNvPr>
          <xdr:cNvSpPr>
            <a:spLocks noChangeArrowheads="1"/>
          </xdr:cNvSpPr>
        </xdr:nvSpPr>
        <xdr:spPr bwMode="auto">
          <a:xfrm>
            <a:off x="4867" y="7342"/>
            <a:ext cx="686" cy="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upright="1">
            <a:spAutoFit/>
          </a:bodyPr>
          <a:lstStyle/>
          <a:p>
            <a:pPr algn="l" rtl="0">
              <a:defRPr sz="1000"/>
            </a:pPr>
            <a:r>
              <a:rPr lang="en-GB" sz="1100" b="0" i="0" u="none" strike="noStrike" baseline="0">
                <a:solidFill>
                  <a:srgbClr val="000000"/>
                </a:solidFill>
                <a:latin typeface="Times New Roman"/>
                <a:cs typeface="Times New Roman"/>
              </a:rPr>
              <a:t>ambient</a:t>
            </a:r>
            <a:endParaRPr lang="en-GB" sz="1200" b="0" i="0" u="none" strike="noStrike" baseline="0">
              <a:solidFill>
                <a:srgbClr val="000000"/>
              </a:solidFill>
              <a:latin typeface="Times New Roman"/>
              <a:cs typeface="Times New Roman"/>
            </a:endParaRPr>
          </a:p>
          <a:p>
            <a:pPr algn="l" rtl="0">
              <a:defRPr sz="1000"/>
            </a:pPr>
            <a:endParaRPr lang="en-GB" sz="1200" b="0" i="0" u="none" strike="noStrike" baseline="0">
              <a:solidFill>
                <a:srgbClr val="000000"/>
              </a:solidFill>
              <a:latin typeface="Times New Roman"/>
              <a:cs typeface="Times New Roman"/>
            </a:endParaRPr>
          </a:p>
        </xdr:txBody>
      </xdr:sp>
      <xdr:sp macro="" textlink="">
        <xdr:nvSpPr>
          <xdr:cNvPr id="8900" name="Rectangle 708">
            <a:extLst>
              <a:ext uri="{FF2B5EF4-FFF2-40B4-BE49-F238E27FC236}">
                <a16:creationId xmlns:a16="http://schemas.microsoft.com/office/drawing/2014/main" id="{57F65698-2EDB-41D0-9E50-0FF7D43BC793}"/>
              </a:ext>
            </a:extLst>
          </xdr:cNvPr>
          <xdr:cNvSpPr>
            <a:spLocks noChangeArrowheads="1"/>
          </xdr:cNvSpPr>
        </xdr:nvSpPr>
        <xdr:spPr bwMode="auto">
          <a:xfrm>
            <a:off x="5188" y="1476"/>
            <a:ext cx="4807" cy="8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grpSp>
        <xdr:nvGrpSpPr>
          <xdr:cNvPr id="8901" name="Group 709">
            <a:extLst>
              <a:ext uri="{FF2B5EF4-FFF2-40B4-BE49-F238E27FC236}">
                <a16:creationId xmlns:a16="http://schemas.microsoft.com/office/drawing/2014/main" id="{F45DA47C-48E3-45C8-87F6-CED8DD2C0611}"/>
              </a:ext>
            </a:extLst>
          </xdr:cNvPr>
          <xdr:cNvGrpSpPr>
            <a:grpSpLocks/>
          </xdr:cNvGrpSpPr>
        </xdr:nvGrpSpPr>
        <xdr:grpSpPr bwMode="auto">
          <a:xfrm>
            <a:off x="1815" y="5070"/>
            <a:ext cx="2368" cy="27"/>
            <a:chOff x="1815" y="5246"/>
            <a:chExt cx="2368" cy="27"/>
          </a:xfrm>
        </xdr:grpSpPr>
        <xdr:sp macro="" textlink="">
          <xdr:nvSpPr>
            <xdr:cNvPr id="8902" name="Rectangle 710">
              <a:extLst>
                <a:ext uri="{FF2B5EF4-FFF2-40B4-BE49-F238E27FC236}">
                  <a16:creationId xmlns:a16="http://schemas.microsoft.com/office/drawing/2014/main" id="{D3B7DA34-8D38-4D30-BFA8-EAC6ADDCF1A8}"/>
                </a:ext>
              </a:extLst>
            </xdr:cNvPr>
            <xdr:cNvSpPr>
              <a:spLocks noChangeArrowheads="1"/>
            </xdr:cNvSpPr>
          </xdr:nvSpPr>
          <xdr:spPr bwMode="auto">
            <a:xfrm>
              <a:off x="1815" y="5246"/>
              <a:ext cx="108" cy="27"/>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8903" name="Rectangle 711">
              <a:extLst>
                <a:ext uri="{FF2B5EF4-FFF2-40B4-BE49-F238E27FC236}">
                  <a16:creationId xmlns:a16="http://schemas.microsoft.com/office/drawing/2014/main" id="{0E096012-409C-426E-896A-EF654829C935}"/>
                </a:ext>
              </a:extLst>
            </xdr:cNvPr>
            <xdr:cNvSpPr>
              <a:spLocks noChangeArrowheads="1"/>
            </xdr:cNvSpPr>
          </xdr:nvSpPr>
          <xdr:spPr bwMode="auto">
            <a:xfrm>
              <a:off x="2003" y="5246"/>
              <a:ext cx="108" cy="27"/>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8904" name="Rectangle 712">
              <a:extLst>
                <a:ext uri="{FF2B5EF4-FFF2-40B4-BE49-F238E27FC236}">
                  <a16:creationId xmlns:a16="http://schemas.microsoft.com/office/drawing/2014/main" id="{69A0AF67-A76E-4C93-9BC3-3692FF8B0382}"/>
                </a:ext>
              </a:extLst>
            </xdr:cNvPr>
            <xdr:cNvSpPr>
              <a:spLocks noChangeArrowheads="1"/>
            </xdr:cNvSpPr>
          </xdr:nvSpPr>
          <xdr:spPr bwMode="auto">
            <a:xfrm>
              <a:off x="2192" y="5246"/>
              <a:ext cx="107" cy="27"/>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8905" name="Rectangle 713">
              <a:extLst>
                <a:ext uri="{FF2B5EF4-FFF2-40B4-BE49-F238E27FC236}">
                  <a16:creationId xmlns:a16="http://schemas.microsoft.com/office/drawing/2014/main" id="{D4FA813F-2BAD-48B6-B897-F987F42CE2B4}"/>
                </a:ext>
              </a:extLst>
            </xdr:cNvPr>
            <xdr:cNvSpPr>
              <a:spLocks noChangeArrowheads="1"/>
            </xdr:cNvSpPr>
          </xdr:nvSpPr>
          <xdr:spPr bwMode="auto">
            <a:xfrm>
              <a:off x="2380" y="5246"/>
              <a:ext cx="108" cy="27"/>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8906" name="Rectangle 714">
              <a:extLst>
                <a:ext uri="{FF2B5EF4-FFF2-40B4-BE49-F238E27FC236}">
                  <a16:creationId xmlns:a16="http://schemas.microsoft.com/office/drawing/2014/main" id="{F87401F1-D810-4794-BCAD-DFE3E49B4A6D}"/>
                </a:ext>
              </a:extLst>
            </xdr:cNvPr>
            <xdr:cNvSpPr>
              <a:spLocks noChangeArrowheads="1"/>
            </xdr:cNvSpPr>
          </xdr:nvSpPr>
          <xdr:spPr bwMode="auto">
            <a:xfrm>
              <a:off x="2568" y="5246"/>
              <a:ext cx="108" cy="27"/>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8907" name="Rectangle 715">
              <a:extLst>
                <a:ext uri="{FF2B5EF4-FFF2-40B4-BE49-F238E27FC236}">
                  <a16:creationId xmlns:a16="http://schemas.microsoft.com/office/drawing/2014/main" id="{5CD6C1E3-B8B7-4042-8B27-301EBA6502FA}"/>
                </a:ext>
              </a:extLst>
            </xdr:cNvPr>
            <xdr:cNvSpPr>
              <a:spLocks noChangeArrowheads="1"/>
            </xdr:cNvSpPr>
          </xdr:nvSpPr>
          <xdr:spPr bwMode="auto">
            <a:xfrm>
              <a:off x="2757" y="5246"/>
              <a:ext cx="107" cy="27"/>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8908" name="Rectangle 716">
              <a:extLst>
                <a:ext uri="{FF2B5EF4-FFF2-40B4-BE49-F238E27FC236}">
                  <a16:creationId xmlns:a16="http://schemas.microsoft.com/office/drawing/2014/main" id="{923848C2-BCF3-486D-9ABC-3188270347AD}"/>
                </a:ext>
              </a:extLst>
            </xdr:cNvPr>
            <xdr:cNvSpPr>
              <a:spLocks noChangeArrowheads="1"/>
            </xdr:cNvSpPr>
          </xdr:nvSpPr>
          <xdr:spPr bwMode="auto">
            <a:xfrm>
              <a:off x="2945" y="5246"/>
              <a:ext cx="108" cy="27"/>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8909" name="Rectangle 717">
              <a:extLst>
                <a:ext uri="{FF2B5EF4-FFF2-40B4-BE49-F238E27FC236}">
                  <a16:creationId xmlns:a16="http://schemas.microsoft.com/office/drawing/2014/main" id="{304E3C5B-100F-4CB7-8548-2BB80E194FB8}"/>
                </a:ext>
              </a:extLst>
            </xdr:cNvPr>
            <xdr:cNvSpPr>
              <a:spLocks noChangeArrowheads="1"/>
            </xdr:cNvSpPr>
          </xdr:nvSpPr>
          <xdr:spPr bwMode="auto">
            <a:xfrm>
              <a:off x="3134" y="5246"/>
              <a:ext cx="107" cy="27"/>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8910" name="Rectangle 718">
              <a:extLst>
                <a:ext uri="{FF2B5EF4-FFF2-40B4-BE49-F238E27FC236}">
                  <a16:creationId xmlns:a16="http://schemas.microsoft.com/office/drawing/2014/main" id="{3BB0899D-6DB2-4895-8369-7E69988AAC4F}"/>
                </a:ext>
              </a:extLst>
            </xdr:cNvPr>
            <xdr:cNvSpPr>
              <a:spLocks noChangeArrowheads="1"/>
            </xdr:cNvSpPr>
          </xdr:nvSpPr>
          <xdr:spPr bwMode="auto">
            <a:xfrm>
              <a:off x="3322" y="5246"/>
              <a:ext cx="108" cy="27"/>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8911" name="Rectangle 719">
              <a:extLst>
                <a:ext uri="{FF2B5EF4-FFF2-40B4-BE49-F238E27FC236}">
                  <a16:creationId xmlns:a16="http://schemas.microsoft.com/office/drawing/2014/main" id="{B7594A74-D406-4A89-ABFB-FF5D1C74DA63}"/>
                </a:ext>
              </a:extLst>
            </xdr:cNvPr>
            <xdr:cNvSpPr>
              <a:spLocks noChangeArrowheads="1"/>
            </xdr:cNvSpPr>
          </xdr:nvSpPr>
          <xdr:spPr bwMode="auto">
            <a:xfrm>
              <a:off x="3510" y="5246"/>
              <a:ext cx="108" cy="27"/>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8912" name="Rectangle 720">
              <a:extLst>
                <a:ext uri="{FF2B5EF4-FFF2-40B4-BE49-F238E27FC236}">
                  <a16:creationId xmlns:a16="http://schemas.microsoft.com/office/drawing/2014/main" id="{0F404761-B183-4375-8DFF-F66E1A6C9F11}"/>
                </a:ext>
              </a:extLst>
            </xdr:cNvPr>
            <xdr:cNvSpPr>
              <a:spLocks noChangeArrowheads="1"/>
            </xdr:cNvSpPr>
          </xdr:nvSpPr>
          <xdr:spPr bwMode="auto">
            <a:xfrm>
              <a:off x="3699" y="5246"/>
              <a:ext cx="107" cy="27"/>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8913" name="Rectangle 721">
              <a:extLst>
                <a:ext uri="{FF2B5EF4-FFF2-40B4-BE49-F238E27FC236}">
                  <a16:creationId xmlns:a16="http://schemas.microsoft.com/office/drawing/2014/main" id="{663A9E62-7565-46E9-9882-3F85746337E9}"/>
                </a:ext>
              </a:extLst>
            </xdr:cNvPr>
            <xdr:cNvSpPr>
              <a:spLocks noChangeArrowheads="1"/>
            </xdr:cNvSpPr>
          </xdr:nvSpPr>
          <xdr:spPr bwMode="auto">
            <a:xfrm>
              <a:off x="3887" y="5246"/>
              <a:ext cx="108" cy="27"/>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8914" name="Rectangle 722">
              <a:extLst>
                <a:ext uri="{FF2B5EF4-FFF2-40B4-BE49-F238E27FC236}">
                  <a16:creationId xmlns:a16="http://schemas.microsoft.com/office/drawing/2014/main" id="{F30C5C91-6C2D-4821-AF7D-599AF23E5C43}"/>
                </a:ext>
              </a:extLst>
            </xdr:cNvPr>
            <xdr:cNvSpPr>
              <a:spLocks noChangeArrowheads="1"/>
            </xdr:cNvSpPr>
          </xdr:nvSpPr>
          <xdr:spPr bwMode="auto">
            <a:xfrm>
              <a:off x="4075" y="5246"/>
              <a:ext cx="108" cy="27"/>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grpSp>
      <xdr:sp macro="" textlink="">
        <xdr:nvSpPr>
          <xdr:cNvPr id="8915" name="Rectangle 723">
            <a:extLst>
              <a:ext uri="{FF2B5EF4-FFF2-40B4-BE49-F238E27FC236}">
                <a16:creationId xmlns:a16="http://schemas.microsoft.com/office/drawing/2014/main" id="{BB4DCEA1-994F-42FA-A580-6BD5364E6C15}"/>
              </a:ext>
            </a:extLst>
          </xdr:cNvPr>
          <xdr:cNvSpPr>
            <a:spLocks noChangeArrowheads="1"/>
          </xdr:cNvSpPr>
        </xdr:nvSpPr>
        <xdr:spPr bwMode="auto">
          <a:xfrm>
            <a:off x="3465" y="3598"/>
            <a:ext cx="863" cy="3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8916" name="Rectangle 724">
            <a:extLst>
              <a:ext uri="{FF2B5EF4-FFF2-40B4-BE49-F238E27FC236}">
                <a16:creationId xmlns:a16="http://schemas.microsoft.com/office/drawing/2014/main" id="{AC21288B-D8B4-437C-8E81-C673BAABB96B}"/>
              </a:ext>
            </a:extLst>
          </xdr:cNvPr>
          <xdr:cNvSpPr>
            <a:spLocks noChangeArrowheads="1"/>
          </xdr:cNvSpPr>
        </xdr:nvSpPr>
        <xdr:spPr bwMode="auto">
          <a:xfrm>
            <a:off x="3562" y="3646"/>
            <a:ext cx="419" cy="6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upright="1">
            <a:spAutoFit/>
          </a:bodyPr>
          <a:lstStyle/>
          <a:p>
            <a:pPr algn="l" rtl="0">
              <a:defRPr sz="1000"/>
            </a:pPr>
            <a:r>
              <a:rPr lang="en-GB" sz="1100" b="0" i="0" u="none" strike="noStrike" baseline="0">
                <a:solidFill>
                  <a:srgbClr val="000000"/>
                </a:solidFill>
                <a:latin typeface="Times New Roman"/>
                <a:cs typeface="Times New Roman"/>
              </a:rPr>
              <a:t>BOP</a:t>
            </a:r>
            <a:endParaRPr lang="en-GB" sz="1200" b="0" i="0" u="none" strike="noStrike" baseline="0">
              <a:solidFill>
                <a:srgbClr val="000000"/>
              </a:solidFill>
              <a:latin typeface="Times New Roman"/>
              <a:cs typeface="Times New Roman"/>
            </a:endParaRPr>
          </a:p>
          <a:p>
            <a:pPr algn="l" rtl="0">
              <a:defRPr sz="1000"/>
            </a:pPr>
            <a:endParaRPr lang="en-GB" sz="1200" b="0" i="0" u="none" strike="noStrike" baseline="0">
              <a:solidFill>
                <a:srgbClr val="000000"/>
              </a:solidFill>
              <a:latin typeface="Times New Roman"/>
              <a:cs typeface="Times New Roman"/>
            </a:endParaRPr>
          </a:p>
        </xdr:txBody>
      </xdr:sp>
      <xdr:sp macro="" textlink="">
        <xdr:nvSpPr>
          <xdr:cNvPr id="8917" name="Line 725">
            <a:extLst>
              <a:ext uri="{FF2B5EF4-FFF2-40B4-BE49-F238E27FC236}">
                <a16:creationId xmlns:a16="http://schemas.microsoft.com/office/drawing/2014/main" id="{7F0E76FA-56C3-4E66-A355-BCD58D259BC3}"/>
              </a:ext>
            </a:extLst>
          </xdr:cNvPr>
          <xdr:cNvSpPr>
            <a:spLocks noChangeShapeType="1"/>
          </xdr:cNvSpPr>
        </xdr:nvSpPr>
        <xdr:spPr bwMode="auto">
          <a:xfrm>
            <a:off x="3554" y="3883"/>
            <a:ext cx="439" cy="1"/>
          </a:xfrm>
          <a:prstGeom prst="line">
            <a:avLst/>
          </a:prstGeom>
          <a:noFill/>
          <a:ln w="63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918" name="Rectangle 726">
            <a:extLst>
              <a:ext uri="{FF2B5EF4-FFF2-40B4-BE49-F238E27FC236}">
                <a16:creationId xmlns:a16="http://schemas.microsoft.com/office/drawing/2014/main" id="{5E3F3F9E-D166-4E20-B281-AA82EDD4D7FF}"/>
              </a:ext>
            </a:extLst>
          </xdr:cNvPr>
          <xdr:cNvSpPr>
            <a:spLocks noChangeArrowheads="1"/>
          </xdr:cNvSpPr>
        </xdr:nvSpPr>
        <xdr:spPr bwMode="auto">
          <a:xfrm>
            <a:off x="3552" y="3873"/>
            <a:ext cx="444" cy="22"/>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8919" name="Rectangle 727">
            <a:extLst>
              <a:ext uri="{FF2B5EF4-FFF2-40B4-BE49-F238E27FC236}">
                <a16:creationId xmlns:a16="http://schemas.microsoft.com/office/drawing/2014/main" id="{8357C2E2-5952-456D-8989-37F9FE25E151}"/>
              </a:ext>
            </a:extLst>
          </xdr:cNvPr>
          <xdr:cNvSpPr>
            <a:spLocks noChangeArrowheads="1"/>
          </xdr:cNvSpPr>
        </xdr:nvSpPr>
        <xdr:spPr bwMode="auto">
          <a:xfrm>
            <a:off x="8417" y="3882"/>
            <a:ext cx="1691" cy="3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8920" name="Rectangle 728">
            <a:extLst>
              <a:ext uri="{FF2B5EF4-FFF2-40B4-BE49-F238E27FC236}">
                <a16:creationId xmlns:a16="http://schemas.microsoft.com/office/drawing/2014/main" id="{864DB126-C590-479E-B8C7-8D1CEF803D89}"/>
              </a:ext>
            </a:extLst>
          </xdr:cNvPr>
          <xdr:cNvSpPr>
            <a:spLocks noChangeArrowheads="1"/>
          </xdr:cNvSpPr>
        </xdr:nvSpPr>
        <xdr:spPr bwMode="auto">
          <a:xfrm>
            <a:off x="8503" y="4157"/>
            <a:ext cx="1341" cy="12"/>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8921" name="Rectangle 729">
            <a:extLst>
              <a:ext uri="{FF2B5EF4-FFF2-40B4-BE49-F238E27FC236}">
                <a16:creationId xmlns:a16="http://schemas.microsoft.com/office/drawing/2014/main" id="{04A5E448-2F2F-464F-8009-2DFD15DD9B1E}"/>
              </a:ext>
            </a:extLst>
          </xdr:cNvPr>
          <xdr:cNvSpPr>
            <a:spLocks noChangeArrowheads="1"/>
          </xdr:cNvSpPr>
        </xdr:nvSpPr>
        <xdr:spPr bwMode="auto">
          <a:xfrm>
            <a:off x="8417" y="3882"/>
            <a:ext cx="1691" cy="3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8922" name="Rectangle 730">
            <a:extLst>
              <a:ext uri="{FF2B5EF4-FFF2-40B4-BE49-F238E27FC236}">
                <a16:creationId xmlns:a16="http://schemas.microsoft.com/office/drawing/2014/main" id="{A9B65C80-A059-40D0-A292-409107D87A12}"/>
              </a:ext>
            </a:extLst>
          </xdr:cNvPr>
          <xdr:cNvSpPr>
            <a:spLocks noChangeArrowheads="1"/>
          </xdr:cNvSpPr>
        </xdr:nvSpPr>
        <xdr:spPr bwMode="auto">
          <a:xfrm>
            <a:off x="4971" y="2820"/>
            <a:ext cx="880" cy="3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8923" name="Rectangle 731">
            <a:extLst>
              <a:ext uri="{FF2B5EF4-FFF2-40B4-BE49-F238E27FC236}">
                <a16:creationId xmlns:a16="http://schemas.microsoft.com/office/drawing/2014/main" id="{7EE52CC5-AB14-4937-89BD-7CCA3F96FC9B}"/>
              </a:ext>
            </a:extLst>
          </xdr:cNvPr>
          <xdr:cNvSpPr>
            <a:spLocks noChangeArrowheads="1"/>
          </xdr:cNvSpPr>
        </xdr:nvSpPr>
        <xdr:spPr bwMode="auto">
          <a:xfrm>
            <a:off x="5058" y="2873"/>
            <a:ext cx="694" cy="5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upright="1">
            <a:spAutoFit/>
          </a:bodyPr>
          <a:lstStyle/>
          <a:p>
            <a:pPr algn="l" rtl="0">
              <a:defRPr sz="1000"/>
            </a:pPr>
            <a:r>
              <a:rPr lang="en-GB" sz="1100" b="0" i="0" u="none" strike="noStrike" baseline="0">
                <a:solidFill>
                  <a:srgbClr val="000000"/>
                </a:solidFill>
                <a:latin typeface="Times New Roman"/>
                <a:cs typeface="Times New Roman"/>
              </a:rPr>
              <a:t>STACK</a:t>
            </a:r>
            <a:endParaRPr lang="en-GB" sz="1200" b="0" i="0" u="none" strike="noStrike" baseline="0">
              <a:solidFill>
                <a:srgbClr val="000000"/>
              </a:solidFill>
              <a:latin typeface="Times New Roman"/>
              <a:cs typeface="Times New Roman"/>
            </a:endParaRPr>
          </a:p>
          <a:p>
            <a:pPr algn="l" rtl="0">
              <a:defRPr sz="1000"/>
            </a:pPr>
            <a:endParaRPr lang="en-GB" sz="1200" b="0" i="0" u="none" strike="noStrike" baseline="0">
              <a:solidFill>
                <a:srgbClr val="000000"/>
              </a:solidFill>
              <a:latin typeface="Times New Roman"/>
              <a:cs typeface="Times New Roman"/>
            </a:endParaRPr>
          </a:p>
        </xdr:txBody>
      </xdr:sp>
      <xdr:sp macro="" textlink="">
        <xdr:nvSpPr>
          <xdr:cNvPr id="8924" name="Rectangle 732">
            <a:extLst>
              <a:ext uri="{FF2B5EF4-FFF2-40B4-BE49-F238E27FC236}">
                <a16:creationId xmlns:a16="http://schemas.microsoft.com/office/drawing/2014/main" id="{88C8921D-B02E-409D-A31A-3AAB23D4F08A}"/>
              </a:ext>
            </a:extLst>
          </xdr:cNvPr>
          <xdr:cNvSpPr>
            <a:spLocks noChangeArrowheads="1"/>
          </xdr:cNvSpPr>
        </xdr:nvSpPr>
        <xdr:spPr bwMode="auto">
          <a:xfrm>
            <a:off x="4041" y="1618"/>
            <a:ext cx="502" cy="3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8925" name="Rectangle 733">
            <a:extLst>
              <a:ext uri="{FF2B5EF4-FFF2-40B4-BE49-F238E27FC236}">
                <a16:creationId xmlns:a16="http://schemas.microsoft.com/office/drawing/2014/main" id="{FAFEED87-D82C-49FE-B40D-50A44D2C4E73}"/>
              </a:ext>
            </a:extLst>
          </xdr:cNvPr>
          <xdr:cNvSpPr>
            <a:spLocks noChangeArrowheads="1"/>
          </xdr:cNvSpPr>
        </xdr:nvSpPr>
        <xdr:spPr bwMode="auto">
          <a:xfrm>
            <a:off x="4143" y="1671"/>
            <a:ext cx="118" cy="5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upright="1">
            <a:spAutoFit/>
          </a:bodyPr>
          <a:lstStyle/>
          <a:p>
            <a:pPr algn="l" rtl="0">
              <a:defRPr sz="1000"/>
            </a:pPr>
            <a:r>
              <a:rPr lang="en-GB" sz="1100" b="0" i="0" u="none" strike="noStrike" baseline="0">
                <a:solidFill>
                  <a:srgbClr val="000000"/>
                </a:solidFill>
                <a:latin typeface="Times New Roman"/>
                <a:cs typeface="Times New Roman"/>
              </a:rPr>
              <a:t>F</a:t>
            </a:r>
            <a:endParaRPr lang="en-GB" sz="1200" b="0" i="0" u="none" strike="noStrike" baseline="0">
              <a:solidFill>
                <a:srgbClr val="000000"/>
              </a:solidFill>
              <a:latin typeface="Times New Roman"/>
              <a:cs typeface="Times New Roman"/>
            </a:endParaRPr>
          </a:p>
          <a:p>
            <a:pPr algn="l" rtl="0">
              <a:defRPr sz="1000"/>
            </a:pPr>
            <a:endParaRPr lang="en-GB" sz="1200" b="0" i="0" u="none" strike="noStrike" baseline="0">
              <a:solidFill>
                <a:srgbClr val="000000"/>
              </a:solidFill>
              <a:latin typeface="Times New Roman"/>
              <a:cs typeface="Times New Roman"/>
            </a:endParaRPr>
          </a:p>
        </xdr:txBody>
      </xdr:sp>
      <xdr:sp macro="" textlink="">
        <xdr:nvSpPr>
          <xdr:cNvPr id="8926" name="Rectangle 734">
            <a:extLst>
              <a:ext uri="{FF2B5EF4-FFF2-40B4-BE49-F238E27FC236}">
                <a16:creationId xmlns:a16="http://schemas.microsoft.com/office/drawing/2014/main" id="{04676203-54DA-48AE-A9D3-509B622A0414}"/>
              </a:ext>
            </a:extLst>
          </xdr:cNvPr>
          <xdr:cNvSpPr>
            <a:spLocks noChangeArrowheads="1"/>
          </xdr:cNvSpPr>
        </xdr:nvSpPr>
        <xdr:spPr bwMode="auto">
          <a:xfrm>
            <a:off x="2818" y="1264"/>
            <a:ext cx="1078" cy="6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8927" name="Rectangle 735">
            <a:extLst>
              <a:ext uri="{FF2B5EF4-FFF2-40B4-BE49-F238E27FC236}">
                <a16:creationId xmlns:a16="http://schemas.microsoft.com/office/drawing/2014/main" id="{A4448003-C75A-4DFD-AA12-6028A7453A92}"/>
              </a:ext>
            </a:extLst>
          </xdr:cNvPr>
          <xdr:cNvSpPr>
            <a:spLocks noChangeArrowheads="1"/>
          </xdr:cNvSpPr>
        </xdr:nvSpPr>
        <xdr:spPr bwMode="auto">
          <a:xfrm>
            <a:off x="2953" y="1315"/>
            <a:ext cx="482" cy="5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upright="1">
            <a:spAutoFit/>
          </a:bodyPr>
          <a:lstStyle/>
          <a:p>
            <a:pPr algn="l" rtl="0">
              <a:defRPr sz="1000"/>
            </a:pPr>
            <a:r>
              <a:rPr lang="en-GB" sz="1100" b="0" i="0" u="none" strike="noStrike" baseline="0">
                <a:solidFill>
                  <a:srgbClr val="000000"/>
                </a:solidFill>
                <a:latin typeface="Times New Roman"/>
                <a:cs typeface="Times New Roman"/>
              </a:rPr>
              <a:t>Make</a:t>
            </a:r>
            <a:endParaRPr lang="en-GB" sz="1200" b="0" i="0" u="none" strike="noStrike" baseline="0">
              <a:solidFill>
                <a:srgbClr val="000000"/>
              </a:solidFill>
              <a:latin typeface="Times New Roman"/>
              <a:cs typeface="Times New Roman"/>
            </a:endParaRPr>
          </a:p>
          <a:p>
            <a:pPr algn="l" rtl="0">
              <a:defRPr sz="1000"/>
            </a:pPr>
            <a:endParaRPr lang="en-GB" sz="1200" b="0" i="0" u="none" strike="noStrike" baseline="0">
              <a:solidFill>
                <a:srgbClr val="000000"/>
              </a:solidFill>
              <a:latin typeface="Times New Roman"/>
              <a:cs typeface="Times New Roman"/>
            </a:endParaRPr>
          </a:p>
        </xdr:txBody>
      </xdr:sp>
      <xdr:sp macro="" textlink="">
        <xdr:nvSpPr>
          <xdr:cNvPr id="8928" name="Rectangle 736">
            <a:extLst>
              <a:ext uri="{FF2B5EF4-FFF2-40B4-BE49-F238E27FC236}">
                <a16:creationId xmlns:a16="http://schemas.microsoft.com/office/drawing/2014/main" id="{4B078888-90D0-4963-8BF0-CD35F1F637A6}"/>
              </a:ext>
            </a:extLst>
          </xdr:cNvPr>
          <xdr:cNvSpPr>
            <a:spLocks noChangeArrowheads="1"/>
          </xdr:cNvSpPr>
        </xdr:nvSpPr>
        <xdr:spPr bwMode="auto">
          <a:xfrm>
            <a:off x="3457" y="1315"/>
            <a:ext cx="77" cy="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upright="1">
            <a:spAutoFit/>
          </a:bodyPr>
          <a:lstStyle/>
          <a:p>
            <a:pPr algn="l" rtl="0">
              <a:defRPr sz="1000"/>
            </a:pPr>
            <a:r>
              <a:rPr lang="en-GB" sz="1100" b="0" i="0" u="none" strike="noStrike" baseline="0">
                <a:solidFill>
                  <a:srgbClr val="000000"/>
                </a:solidFill>
                <a:latin typeface="Times New Roman"/>
                <a:cs typeface="Times New Roman"/>
              </a:rPr>
              <a:t>-</a:t>
            </a:r>
            <a:endParaRPr lang="en-GB" sz="1200" b="0" i="0" u="none" strike="noStrike" baseline="0">
              <a:solidFill>
                <a:srgbClr val="000000"/>
              </a:solidFill>
              <a:latin typeface="Times New Roman"/>
              <a:cs typeface="Times New Roman"/>
            </a:endParaRPr>
          </a:p>
          <a:p>
            <a:pPr algn="l" rtl="0">
              <a:defRPr sz="1000"/>
            </a:pPr>
            <a:endParaRPr lang="en-GB" sz="1200" b="0" i="0" u="none" strike="noStrike" baseline="0">
              <a:solidFill>
                <a:srgbClr val="000000"/>
              </a:solidFill>
              <a:latin typeface="Times New Roman"/>
              <a:cs typeface="Times New Roman"/>
            </a:endParaRPr>
          </a:p>
        </xdr:txBody>
      </xdr:sp>
      <xdr:sp macro="" textlink="">
        <xdr:nvSpPr>
          <xdr:cNvPr id="8929" name="Rectangle 737">
            <a:extLst>
              <a:ext uri="{FF2B5EF4-FFF2-40B4-BE49-F238E27FC236}">
                <a16:creationId xmlns:a16="http://schemas.microsoft.com/office/drawing/2014/main" id="{4F54EABB-C855-4BB1-9572-15806E61D24A}"/>
              </a:ext>
            </a:extLst>
          </xdr:cNvPr>
          <xdr:cNvSpPr>
            <a:spLocks noChangeArrowheads="1"/>
          </xdr:cNvSpPr>
        </xdr:nvSpPr>
        <xdr:spPr bwMode="auto">
          <a:xfrm>
            <a:off x="3543" y="1315"/>
            <a:ext cx="264" cy="5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upright="1">
            <a:spAutoFit/>
          </a:bodyPr>
          <a:lstStyle/>
          <a:p>
            <a:pPr algn="l" rtl="0">
              <a:defRPr sz="1000"/>
            </a:pPr>
            <a:r>
              <a:rPr lang="en-GB" sz="1100" b="0" i="0" u="none" strike="noStrike" baseline="0">
                <a:solidFill>
                  <a:srgbClr val="000000"/>
                </a:solidFill>
                <a:latin typeface="Times New Roman"/>
                <a:cs typeface="Times New Roman"/>
              </a:rPr>
              <a:t>up </a:t>
            </a:r>
            <a:endParaRPr lang="en-GB" sz="1200" b="0" i="0" u="none" strike="noStrike" baseline="0">
              <a:solidFill>
                <a:srgbClr val="000000"/>
              </a:solidFill>
              <a:latin typeface="Times New Roman"/>
              <a:cs typeface="Times New Roman"/>
            </a:endParaRPr>
          </a:p>
          <a:p>
            <a:pPr algn="l" rtl="0">
              <a:defRPr sz="1000"/>
            </a:pPr>
            <a:endParaRPr lang="en-GB" sz="1200" b="0" i="0" u="none" strike="noStrike" baseline="0">
              <a:solidFill>
                <a:srgbClr val="000000"/>
              </a:solidFill>
              <a:latin typeface="Times New Roman"/>
              <a:cs typeface="Times New Roman"/>
            </a:endParaRPr>
          </a:p>
        </xdr:txBody>
      </xdr:sp>
      <xdr:sp macro="" textlink="">
        <xdr:nvSpPr>
          <xdr:cNvPr id="8930" name="Rectangle 738">
            <a:extLst>
              <a:ext uri="{FF2B5EF4-FFF2-40B4-BE49-F238E27FC236}">
                <a16:creationId xmlns:a16="http://schemas.microsoft.com/office/drawing/2014/main" id="{6D0FA543-A213-4522-960B-DC7CB7EE3E2F}"/>
              </a:ext>
            </a:extLst>
          </xdr:cNvPr>
          <xdr:cNvSpPr>
            <a:spLocks noChangeArrowheads="1"/>
          </xdr:cNvSpPr>
        </xdr:nvSpPr>
        <xdr:spPr bwMode="auto">
          <a:xfrm>
            <a:off x="3105" y="1569"/>
            <a:ext cx="470" cy="5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upright="1">
            <a:spAutoFit/>
          </a:bodyPr>
          <a:lstStyle/>
          <a:p>
            <a:pPr algn="l" rtl="0">
              <a:defRPr sz="1000"/>
            </a:pPr>
            <a:r>
              <a:rPr lang="en-GB" sz="1100" b="0" i="0" u="none" strike="noStrike" baseline="0">
                <a:solidFill>
                  <a:srgbClr val="000000"/>
                </a:solidFill>
                <a:latin typeface="Times New Roman"/>
                <a:cs typeface="Times New Roman"/>
              </a:rPr>
              <a:t>water</a:t>
            </a:r>
            <a:endParaRPr lang="en-GB" sz="1200" b="0" i="0" u="none" strike="noStrike" baseline="0">
              <a:solidFill>
                <a:srgbClr val="000000"/>
              </a:solidFill>
              <a:latin typeface="Times New Roman"/>
              <a:cs typeface="Times New Roman"/>
            </a:endParaRPr>
          </a:p>
          <a:p>
            <a:pPr algn="l" rtl="0">
              <a:defRPr sz="1000"/>
            </a:pPr>
            <a:endParaRPr lang="en-GB" sz="1200" b="0" i="0" u="none" strike="noStrike" baseline="0">
              <a:solidFill>
                <a:srgbClr val="000000"/>
              </a:solidFill>
              <a:latin typeface="Times New Roman"/>
              <a:cs typeface="Times New Roman"/>
            </a:endParaRPr>
          </a:p>
        </xdr:txBody>
      </xdr:sp>
      <xdr:sp macro="" textlink="">
        <xdr:nvSpPr>
          <xdr:cNvPr id="8931" name="Freeform 739">
            <a:extLst>
              <a:ext uri="{FF2B5EF4-FFF2-40B4-BE49-F238E27FC236}">
                <a16:creationId xmlns:a16="http://schemas.microsoft.com/office/drawing/2014/main" id="{55F6DDA1-A9BD-4F29-B828-8E5F161EA4D3}"/>
              </a:ext>
            </a:extLst>
          </xdr:cNvPr>
          <xdr:cNvSpPr>
            <a:spLocks/>
          </xdr:cNvSpPr>
        </xdr:nvSpPr>
        <xdr:spPr bwMode="auto">
          <a:xfrm>
            <a:off x="2604" y="1759"/>
            <a:ext cx="431" cy="354"/>
          </a:xfrm>
          <a:custGeom>
            <a:avLst/>
            <a:gdLst>
              <a:gd name="T0" fmla="*/ 0 w 431"/>
              <a:gd name="T1" fmla="*/ 266 h 354"/>
              <a:gd name="T2" fmla="*/ 108 w 431"/>
              <a:gd name="T3" fmla="*/ 266 h 354"/>
              <a:gd name="T4" fmla="*/ 108 w 431"/>
              <a:gd name="T5" fmla="*/ 0 h 354"/>
              <a:gd name="T6" fmla="*/ 323 w 431"/>
              <a:gd name="T7" fmla="*/ 0 h 354"/>
              <a:gd name="T8" fmla="*/ 323 w 431"/>
              <a:gd name="T9" fmla="*/ 266 h 354"/>
              <a:gd name="T10" fmla="*/ 431 w 431"/>
              <a:gd name="T11" fmla="*/ 266 h 354"/>
              <a:gd name="T12" fmla="*/ 216 w 431"/>
              <a:gd name="T13" fmla="*/ 354 h 354"/>
              <a:gd name="T14" fmla="*/ 0 w 431"/>
              <a:gd name="T15" fmla="*/ 266 h 354"/>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431" h="354">
                <a:moveTo>
                  <a:pt x="0" y="266"/>
                </a:moveTo>
                <a:lnTo>
                  <a:pt x="108" y="266"/>
                </a:lnTo>
                <a:lnTo>
                  <a:pt x="108" y="0"/>
                </a:lnTo>
                <a:lnTo>
                  <a:pt x="323" y="0"/>
                </a:lnTo>
                <a:lnTo>
                  <a:pt x="323" y="266"/>
                </a:lnTo>
                <a:lnTo>
                  <a:pt x="431" y="266"/>
                </a:lnTo>
                <a:lnTo>
                  <a:pt x="216" y="354"/>
                </a:lnTo>
                <a:lnTo>
                  <a:pt x="0" y="266"/>
                </a:lnTo>
                <a:close/>
              </a:path>
            </a:pathLst>
          </a:custGeom>
          <a:solidFill>
            <a:srgbClr val="CCCCFF"/>
          </a:solidFill>
          <a:ln w="5715">
            <a:solidFill>
              <a:srgbClr val="000000"/>
            </a:solidFill>
            <a:prstDash val="solid"/>
            <a:round/>
            <a:headEnd/>
            <a:tailEnd/>
          </a:ln>
        </xdr:spPr>
      </xdr:sp>
      <xdr:sp macro="" textlink="">
        <xdr:nvSpPr>
          <xdr:cNvPr id="8932" name="Rectangle 740">
            <a:extLst>
              <a:ext uri="{FF2B5EF4-FFF2-40B4-BE49-F238E27FC236}">
                <a16:creationId xmlns:a16="http://schemas.microsoft.com/office/drawing/2014/main" id="{661F278B-3C36-43D6-9A70-68341F53B213}"/>
              </a:ext>
            </a:extLst>
          </xdr:cNvPr>
          <xdr:cNvSpPr>
            <a:spLocks noChangeArrowheads="1"/>
          </xdr:cNvSpPr>
        </xdr:nvSpPr>
        <xdr:spPr bwMode="auto">
          <a:xfrm>
            <a:off x="2030" y="1264"/>
            <a:ext cx="936" cy="6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8933" name="Rectangle 741">
            <a:extLst>
              <a:ext uri="{FF2B5EF4-FFF2-40B4-BE49-F238E27FC236}">
                <a16:creationId xmlns:a16="http://schemas.microsoft.com/office/drawing/2014/main" id="{817E5680-0426-459F-95DA-94D8A408F5F2}"/>
              </a:ext>
            </a:extLst>
          </xdr:cNvPr>
          <xdr:cNvSpPr>
            <a:spLocks noChangeArrowheads="1"/>
          </xdr:cNvSpPr>
        </xdr:nvSpPr>
        <xdr:spPr bwMode="auto">
          <a:xfrm>
            <a:off x="2229" y="1315"/>
            <a:ext cx="458" cy="5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upright="1">
            <a:spAutoFit/>
          </a:bodyPr>
          <a:lstStyle/>
          <a:p>
            <a:pPr algn="l" rtl="0">
              <a:defRPr sz="1000"/>
            </a:pPr>
            <a:r>
              <a:rPr lang="en-GB" sz="1100" b="0" i="0" u="none" strike="noStrike" baseline="0">
                <a:solidFill>
                  <a:srgbClr val="000000"/>
                </a:solidFill>
                <a:latin typeface="Times New Roman"/>
                <a:cs typeface="Times New Roman"/>
              </a:rPr>
              <a:t>Cond</a:t>
            </a:r>
            <a:endParaRPr lang="en-GB" sz="1200" b="0" i="0" u="none" strike="noStrike" baseline="0">
              <a:solidFill>
                <a:srgbClr val="000000"/>
              </a:solidFill>
              <a:latin typeface="Times New Roman"/>
              <a:cs typeface="Times New Roman"/>
            </a:endParaRPr>
          </a:p>
          <a:p>
            <a:pPr algn="l" rtl="0">
              <a:defRPr sz="1000"/>
            </a:pPr>
            <a:endParaRPr lang="en-GB" sz="1200" b="0" i="0" u="none" strike="noStrike" baseline="0">
              <a:solidFill>
                <a:srgbClr val="000000"/>
              </a:solidFill>
              <a:latin typeface="Times New Roman"/>
              <a:cs typeface="Times New Roman"/>
            </a:endParaRPr>
          </a:p>
        </xdr:txBody>
      </xdr:sp>
      <xdr:sp macro="" textlink="">
        <xdr:nvSpPr>
          <xdr:cNvPr id="8934" name="Rectangle 742">
            <a:extLst>
              <a:ext uri="{FF2B5EF4-FFF2-40B4-BE49-F238E27FC236}">
                <a16:creationId xmlns:a16="http://schemas.microsoft.com/office/drawing/2014/main" id="{D3D597D1-336E-4234-9777-7BA0EB12E5C4}"/>
              </a:ext>
            </a:extLst>
          </xdr:cNvPr>
          <xdr:cNvSpPr>
            <a:spLocks noChangeArrowheads="1"/>
          </xdr:cNvSpPr>
        </xdr:nvSpPr>
        <xdr:spPr bwMode="auto">
          <a:xfrm>
            <a:off x="2724" y="1315"/>
            <a:ext cx="106" cy="5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upright="1">
            <a:spAutoFit/>
          </a:bodyPr>
          <a:lstStyle/>
          <a:p>
            <a:pPr algn="l" rtl="0">
              <a:defRPr sz="1000"/>
            </a:pPr>
            <a:r>
              <a:rPr lang="en-GB" sz="1100" b="0" i="0" u="none" strike="noStrike" baseline="0">
                <a:solidFill>
                  <a:srgbClr val="000000"/>
                </a:solidFill>
                <a:latin typeface="Times New Roman"/>
                <a:cs typeface="Times New Roman"/>
              </a:rPr>
              <a:t>. </a:t>
            </a:r>
            <a:endParaRPr lang="en-GB" sz="1200" b="0" i="0" u="none" strike="noStrike" baseline="0">
              <a:solidFill>
                <a:srgbClr val="000000"/>
              </a:solidFill>
              <a:latin typeface="Times New Roman"/>
              <a:cs typeface="Times New Roman"/>
            </a:endParaRPr>
          </a:p>
          <a:p>
            <a:pPr algn="l" rtl="0">
              <a:defRPr sz="1000"/>
            </a:pPr>
            <a:endParaRPr lang="en-GB" sz="1200" b="0" i="0" u="none" strike="noStrike" baseline="0">
              <a:solidFill>
                <a:srgbClr val="000000"/>
              </a:solidFill>
              <a:latin typeface="Times New Roman"/>
              <a:cs typeface="Times New Roman"/>
            </a:endParaRPr>
          </a:p>
        </xdr:txBody>
      </xdr:sp>
      <xdr:sp macro="" textlink="">
        <xdr:nvSpPr>
          <xdr:cNvPr id="8935" name="Rectangle 743">
            <a:extLst>
              <a:ext uri="{FF2B5EF4-FFF2-40B4-BE49-F238E27FC236}">
                <a16:creationId xmlns:a16="http://schemas.microsoft.com/office/drawing/2014/main" id="{C3DF6D50-09D2-4979-95B4-3D38617AF67B}"/>
              </a:ext>
            </a:extLst>
          </xdr:cNvPr>
          <xdr:cNvSpPr>
            <a:spLocks noChangeArrowheads="1"/>
          </xdr:cNvSpPr>
        </xdr:nvSpPr>
        <xdr:spPr bwMode="auto">
          <a:xfrm>
            <a:off x="2162" y="1569"/>
            <a:ext cx="581" cy="6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upright="1">
            <a:spAutoFit/>
          </a:bodyPr>
          <a:lstStyle/>
          <a:p>
            <a:pPr algn="l" rtl="0">
              <a:defRPr sz="1000"/>
            </a:pPr>
            <a:r>
              <a:rPr lang="en-GB" sz="1100" b="0" i="0" u="none" strike="noStrike" baseline="0">
                <a:solidFill>
                  <a:srgbClr val="000000"/>
                </a:solidFill>
                <a:latin typeface="Times New Roman"/>
                <a:cs typeface="Times New Roman"/>
              </a:rPr>
              <a:t>Return</a:t>
            </a:r>
            <a:endParaRPr lang="en-GB" sz="1200" b="0" i="0" u="none" strike="noStrike" baseline="0">
              <a:solidFill>
                <a:srgbClr val="000000"/>
              </a:solidFill>
              <a:latin typeface="Times New Roman"/>
              <a:cs typeface="Times New Roman"/>
            </a:endParaRPr>
          </a:p>
          <a:p>
            <a:pPr algn="l" rtl="0">
              <a:defRPr sz="1000"/>
            </a:pPr>
            <a:endParaRPr lang="en-GB" sz="1200" b="0" i="0" u="none" strike="noStrike" baseline="0">
              <a:solidFill>
                <a:srgbClr val="000000"/>
              </a:solidFill>
              <a:latin typeface="Times New Roman"/>
              <a:cs typeface="Times New Roman"/>
            </a:endParaRPr>
          </a:p>
        </xdr:txBody>
      </xdr:sp>
      <xdr:sp macro="" textlink="">
        <xdr:nvSpPr>
          <xdr:cNvPr id="8936" name="Freeform 744">
            <a:extLst>
              <a:ext uri="{FF2B5EF4-FFF2-40B4-BE49-F238E27FC236}">
                <a16:creationId xmlns:a16="http://schemas.microsoft.com/office/drawing/2014/main" id="{AD0F7EC5-CA94-42B7-8B75-4EF5FFB959E1}"/>
              </a:ext>
            </a:extLst>
          </xdr:cNvPr>
          <xdr:cNvSpPr>
            <a:spLocks/>
          </xdr:cNvSpPr>
        </xdr:nvSpPr>
        <xdr:spPr bwMode="auto">
          <a:xfrm>
            <a:off x="5318" y="6277"/>
            <a:ext cx="2309" cy="948"/>
          </a:xfrm>
          <a:custGeom>
            <a:avLst/>
            <a:gdLst>
              <a:gd name="T0" fmla="*/ 28 w 2309"/>
              <a:gd name="T1" fmla="*/ 0 h 948"/>
              <a:gd name="T2" fmla="*/ 0 w 2309"/>
              <a:gd name="T3" fmla="*/ 21 h 948"/>
              <a:gd name="T4" fmla="*/ 646 w 2309"/>
              <a:gd name="T5" fmla="*/ 940 h 948"/>
              <a:gd name="T6" fmla="*/ 647 w 2309"/>
              <a:gd name="T7" fmla="*/ 942 h 948"/>
              <a:gd name="T8" fmla="*/ 652 w 2309"/>
              <a:gd name="T9" fmla="*/ 946 h 948"/>
              <a:gd name="T10" fmla="*/ 659 w 2309"/>
              <a:gd name="T11" fmla="*/ 948 h 948"/>
              <a:gd name="T12" fmla="*/ 2309 w 2309"/>
              <a:gd name="T13" fmla="*/ 948 h 948"/>
              <a:gd name="T14" fmla="*/ 2309 w 2309"/>
              <a:gd name="T15" fmla="*/ 912 h 948"/>
              <a:gd name="T16" fmla="*/ 659 w 2309"/>
              <a:gd name="T17" fmla="*/ 912 h 948"/>
              <a:gd name="T18" fmla="*/ 671 w 2309"/>
              <a:gd name="T19" fmla="*/ 918 h 948"/>
              <a:gd name="T20" fmla="*/ 666 w 2309"/>
              <a:gd name="T21" fmla="*/ 913 h 948"/>
              <a:gd name="T22" fmla="*/ 659 w 2309"/>
              <a:gd name="T23" fmla="*/ 930 h 948"/>
              <a:gd name="T24" fmla="*/ 674 w 2309"/>
              <a:gd name="T25" fmla="*/ 919 h 948"/>
              <a:gd name="T26" fmla="*/ 28 w 2309"/>
              <a:gd name="T27" fmla="*/ 0 h 94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Lst>
            <a:rect l="0" t="0" r="r" b="b"/>
            <a:pathLst>
              <a:path w="2309" h="948">
                <a:moveTo>
                  <a:pt x="28" y="0"/>
                </a:moveTo>
                <a:lnTo>
                  <a:pt x="0" y="21"/>
                </a:lnTo>
                <a:lnTo>
                  <a:pt x="646" y="940"/>
                </a:lnTo>
                <a:lnTo>
                  <a:pt x="647" y="942"/>
                </a:lnTo>
                <a:lnTo>
                  <a:pt x="652" y="946"/>
                </a:lnTo>
                <a:lnTo>
                  <a:pt x="659" y="948"/>
                </a:lnTo>
                <a:lnTo>
                  <a:pt x="2309" y="948"/>
                </a:lnTo>
                <a:lnTo>
                  <a:pt x="2309" y="912"/>
                </a:lnTo>
                <a:lnTo>
                  <a:pt x="659" y="912"/>
                </a:lnTo>
                <a:lnTo>
                  <a:pt x="671" y="918"/>
                </a:lnTo>
                <a:lnTo>
                  <a:pt x="666" y="913"/>
                </a:lnTo>
                <a:lnTo>
                  <a:pt x="659" y="930"/>
                </a:lnTo>
                <a:lnTo>
                  <a:pt x="674" y="919"/>
                </a:lnTo>
                <a:lnTo>
                  <a:pt x="28" y="0"/>
                </a:lnTo>
                <a:close/>
              </a:path>
            </a:pathLst>
          </a:custGeom>
          <a:solidFill>
            <a:srgbClr val="000000"/>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8937" name="Oval 745">
            <a:extLst>
              <a:ext uri="{FF2B5EF4-FFF2-40B4-BE49-F238E27FC236}">
                <a16:creationId xmlns:a16="http://schemas.microsoft.com/office/drawing/2014/main" id="{95491572-D27D-4BE3-82E1-98D8B9C9AE2E}"/>
              </a:ext>
            </a:extLst>
          </xdr:cNvPr>
          <xdr:cNvSpPr>
            <a:spLocks noChangeArrowheads="1"/>
          </xdr:cNvSpPr>
        </xdr:nvSpPr>
        <xdr:spPr bwMode="auto">
          <a:xfrm>
            <a:off x="6196" y="7069"/>
            <a:ext cx="496" cy="276"/>
          </a:xfrm>
          <a:prstGeom prst="ellipse">
            <a:avLst/>
          </a:prstGeom>
          <a:solidFill>
            <a:srgbClr val="FFFF99"/>
          </a:solidFill>
          <a:ln w="5715">
            <a:solidFill>
              <a:srgbClr val="000000"/>
            </a:solidFill>
            <a:round/>
            <a:headEnd/>
            <a:tailEnd/>
          </a:ln>
        </xdr:spPr>
      </xdr:sp>
      <xdr:sp macro="" textlink="">
        <xdr:nvSpPr>
          <xdr:cNvPr id="8938" name="Rectangle 746">
            <a:extLst>
              <a:ext uri="{FF2B5EF4-FFF2-40B4-BE49-F238E27FC236}">
                <a16:creationId xmlns:a16="http://schemas.microsoft.com/office/drawing/2014/main" id="{4A0A7B54-7E02-40F6-8BDB-083DB4D4788D}"/>
              </a:ext>
            </a:extLst>
          </xdr:cNvPr>
          <xdr:cNvSpPr>
            <a:spLocks noChangeArrowheads="1"/>
          </xdr:cNvSpPr>
        </xdr:nvSpPr>
        <xdr:spPr bwMode="auto">
          <a:xfrm>
            <a:off x="6264" y="7065"/>
            <a:ext cx="295" cy="3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8939" name="Rectangle 747">
            <a:extLst>
              <a:ext uri="{FF2B5EF4-FFF2-40B4-BE49-F238E27FC236}">
                <a16:creationId xmlns:a16="http://schemas.microsoft.com/office/drawing/2014/main" id="{44A4F640-1E2D-4A49-8439-D6B5B329C5B8}"/>
              </a:ext>
            </a:extLst>
          </xdr:cNvPr>
          <xdr:cNvSpPr>
            <a:spLocks noChangeArrowheads="1"/>
          </xdr:cNvSpPr>
        </xdr:nvSpPr>
        <xdr:spPr bwMode="auto">
          <a:xfrm>
            <a:off x="6363" y="7118"/>
            <a:ext cx="118" cy="5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upright="1">
            <a:spAutoFit/>
          </a:bodyPr>
          <a:lstStyle/>
          <a:p>
            <a:pPr algn="l" rtl="0">
              <a:defRPr sz="1000"/>
            </a:pPr>
            <a:r>
              <a:rPr lang="en-GB" sz="1100" b="0" i="0" u="none" strike="noStrike" baseline="0">
                <a:solidFill>
                  <a:srgbClr val="000000"/>
                </a:solidFill>
                <a:latin typeface="Times New Roman"/>
                <a:cs typeface="Times New Roman"/>
              </a:rPr>
              <a:t>F</a:t>
            </a:r>
            <a:endParaRPr lang="en-GB" sz="1200" b="0" i="0" u="none" strike="noStrike" baseline="0">
              <a:solidFill>
                <a:srgbClr val="000000"/>
              </a:solidFill>
              <a:latin typeface="Times New Roman"/>
              <a:cs typeface="Times New Roman"/>
            </a:endParaRPr>
          </a:p>
          <a:p>
            <a:pPr algn="l" rtl="0">
              <a:defRPr sz="1000"/>
            </a:pPr>
            <a:endParaRPr lang="en-GB" sz="1200" b="0" i="0" u="none" strike="noStrike" baseline="0">
              <a:solidFill>
                <a:srgbClr val="000000"/>
              </a:solidFill>
              <a:latin typeface="Times New Roman"/>
              <a:cs typeface="Times New Roman"/>
            </a:endParaRPr>
          </a:p>
        </xdr:txBody>
      </xdr:sp>
      <xdr:sp macro="" textlink="">
        <xdr:nvSpPr>
          <xdr:cNvPr id="8940" name="Rectangle 748">
            <a:extLst>
              <a:ext uri="{FF2B5EF4-FFF2-40B4-BE49-F238E27FC236}">
                <a16:creationId xmlns:a16="http://schemas.microsoft.com/office/drawing/2014/main" id="{83664AD2-0D73-4108-A746-28364C9D7FDF}"/>
              </a:ext>
            </a:extLst>
          </xdr:cNvPr>
          <xdr:cNvSpPr>
            <a:spLocks noChangeArrowheads="1"/>
          </xdr:cNvSpPr>
        </xdr:nvSpPr>
        <xdr:spPr bwMode="auto">
          <a:xfrm>
            <a:off x="7412" y="6923"/>
            <a:ext cx="863" cy="7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8941" name="Rectangle 749">
            <a:extLst>
              <a:ext uri="{FF2B5EF4-FFF2-40B4-BE49-F238E27FC236}">
                <a16:creationId xmlns:a16="http://schemas.microsoft.com/office/drawing/2014/main" id="{4B17E3CC-CD65-44AD-B2FA-9EE832B1A1F4}"/>
              </a:ext>
            </a:extLst>
          </xdr:cNvPr>
          <xdr:cNvSpPr>
            <a:spLocks noChangeArrowheads="1"/>
          </xdr:cNvSpPr>
        </xdr:nvSpPr>
        <xdr:spPr bwMode="auto">
          <a:xfrm>
            <a:off x="7553" y="6986"/>
            <a:ext cx="588" cy="4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upright="1">
            <a:spAutoFit/>
          </a:bodyPr>
          <a:lstStyle/>
          <a:p>
            <a:pPr algn="l" rtl="0">
              <a:defRPr sz="1000"/>
            </a:pPr>
            <a:r>
              <a:rPr lang="en-GB" sz="1000" b="0" i="0" u="none" strike="noStrike" baseline="0">
                <a:solidFill>
                  <a:srgbClr val="000000"/>
                </a:solidFill>
                <a:latin typeface="Times New Roman"/>
                <a:cs typeface="Times New Roman"/>
              </a:rPr>
              <a:t>#2 fuel </a:t>
            </a:r>
          </a:p>
          <a:p>
            <a:pPr algn="l" rtl="0">
              <a:defRPr sz="1000"/>
            </a:pPr>
            <a:endParaRPr lang="en-GB" sz="1000" b="0" i="0" u="none" strike="noStrike" baseline="0">
              <a:solidFill>
                <a:srgbClr val="000000"/>
              </a:solidFill>
              <a:latin typeface="Times New Roman"/>
              <a:cs typeface="Times New Roman"/>
            </a:endParaRPr>
          </a:p>
        </xdr:txBody>
      </xdr:sp>
      <xdr:sp macro="" textlink="">
        <xdr:nvSpPr>
          <xdr:cNvPr id="8942" name="Rectangle 750">
            <a:extLst>
              <a:ext uri="{FF2B5EF4-FFF2-40B4-BE49-F238E27FC236}">
                <a16:creationId xmlns:a16="http://schemas.microsoft.com/office/drawing/2014/main" id="{BE282EC1-CAF2-450F-B8EC-D00D2A42854C}"/>
              </a:ext>
            </a:extLst>
          </xdr:cNvPr>
          <xdr:cNvSpPr>
            <a:spLocks noChangeArrowheads="1"/>
          </xdr:cNvSpPr>
        </xdr:nvSpPr>
        <xdr:spPr bwMode="auto">
          <a:xfrm>
            <a:off x="7744" y="7210"/>
            <a:ext cx="301" cy="5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upright="1">
            <a:spAutoFit/>
          </a:bodyPr>
          <a:lstStyle/>
          <a:p>
            <a:pPr algn="l" rtl="0">
              <a:defRPr sz="1000"/>
            </a:pPr>
            <a:r>
              <a:rPr lang="en-GB" sz="1200" b="0" i="0" u="none" strike="noStrike" baseline="0">
                <a:solidFill>
                  <a:srgbClr val="000000"/>
                </a:solidFill>
                <a:latin typeface="Times New Roman"/>
                <a:cs typeface="Times New Roman"/>
              </a:rPr>
              <a:t>oil </a:t>
            </a:r>
          </a:p>
          <a:p>
            <a:pPr algn="l" rtl="0">
              <a:defRPr sz="1000"/>
            </a:pPr>
            <a:endParaRPr lang="en-GB" sz="1200" b="0" i="0" u="none" strike="noStrike" baseline="0">
              <a:solidFill>
                <a:srgbClr val="000000"/>
              </a:solidFill>
              <a:latin typeface="Times New Roman"/>
              <a:cs typeface="Times New Roman"/>
            </a:endParaRPr>
          </a:p>
        </xdr:txBody>
      </xdr:sp>
      <xdr:sp macro="" textlink="">
        <xdr:nvSpPr>
          <xdr:cNvPr id="8943" name="Rectangle 751">
            <a:extLst>
              <a:ext uri="{FF2B5EF4-FFF2-40B4-BE49-F238E27FC236}">
                <a16:creationId xmlns:a16="http://schemas.microsoft.com/office/drawing/2014/main" id="{EDAD08EC-6EE4-4CA4-A4C3-E4A5E1E3F8C8}"/>
              </a:ext>
            </a:extLst>
          </xdr:cNvPr>
          <xdr:cNvSpPr>
            <a:spLocks noChangeArrowheads="1"/>
          </xdr:cNvSpPr>
        </xdr:nvSpPr>
        <xdr:spPr bwMode="auto">
          <a:xfrm>
            <a:off x="9423" y="5638"/>
            <a:ext cx="1005" cy="6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8944" name="Rectangle 752">
            <a:extLst>
              <a:ext uri="{FF2B5EF4-FFF2-40B4-BE49-F238E27FC236}">
                <a16:creationId xmlns:a16="http://schemas.microsoft.com/office/drawing/2014/main" id="{6FB7DBC0-A8EE-44E7-8772-E64AACB7A062}"/>
              </a:ext>
            </a:extLst>
          </xdr:cNvPr>
          <xdr:cNvSpPr>
            <a:spLocks noChangeArrowheads="1"/>
          </xdr:cNvSpPr>
        </xdr:nvSpPr>
        <xdr:spPr bwMode="auto">
          <a:xfrm>
            <a:off x="9534" y="5724"/>
            <a:ext cx="382" cy="5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upright="1">
            <a:spAutoFit/>
          </a:bodyPr>
          <a:lstStyle/>
          <a:p>
            <a:pPr algn="l" rtl="0">
              <a:defRPr sz="1000"/>
            </a:pPr>
            <a:r>
              <a:rPr lang="en-GB" sz="1100" b="0" i="0" u="none" strike="noStrike" baseline="0">
                <a:solidFill>
                  <a:srgbClr val="000000"/>
                </a:solidFill>
                <a:latin typeface="Times New Roman"/>
                <a:cs typeface="Times New Roman"/>
              </a:rPr>
              <a:t>Gas </a:t>
            </a:r>
            <a:endParaRPr lang="en-GB" sz="1200" b="0" i="0" u="none" strike="noStrike" baseline="0">
              <a:solidFill>
                <a:srgbClr val="000000"/>
              </a:solidFill>
              <a:latin typeface="Times New Roman"/>
              <a:cs typeface="Times New Roman"/>
            </a:endParaRPr>
          </a:p>
          <a:p>
            <a:pPr algn="l" rtl="0">
              <a:defRPr sz="1000"/>
            </a:pPr>
            <a:endParaRPr lang="en-GB" sz="1200" b="0" i="0" u="none" strike="noStrike" baseline="0">
              <a:solidFill>
                <a:srgbClr val="000000"/>
              </a:solidFill>
              <a:latin typeface="Times New Roman"/>
              <a:cs typeface="Times New Roman"/>
            </a:endParaRPr>
          </a:p>
        </xdr:txBody>
      </xdr:sp>
      <xdr:sp macro="" textlink="">
        <xdr:nvSpPr>
          <xdr:cNvPr id="8945" name="Rectangle 753">
            <a:extLst>
              <a:ext uri="{FF2B5EF4-FFF2-40B4-BE49-F238E27FC236}">
                <a16:creationId xmlns:a16="http://schemas.microsoft.com/office/drawing/2014/main" id="{A617F109-01B7-47B7-866F-AE1F73A62A94}"/>
              </a:ext>
            </a:extLst>
          </xdr:cNvPr>
          <xdr:cNvSpPr>
            <a:spLocks noChangeArrowheads="1"/>
          </xdr:cNvSpPr>
        </xdr:nvSpPr>
        <xdr:spPr bwMode="auto">
          <a:xfrm>
            <a:off x="9534" y="5978"/>
            <a:ext cx="620" cy="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upright="1">
            <a:spAutoFit/>
          </a:bodyPr>
          <a:lstStyle/>
          <a:p>
            <a:pPr algn="l" rtl="0">
              <a:defRPr sz="1000"/>
            </a:pPr>
            <a:r>
              <a:rPr lang="en-GB" sz="1100" b="0" i="0" u="none" strike="noStrike" baseline="0">
                <a:solidFill>
                  <a:srgbClr val="000000"/>
                </a:solidFill>
                <a:latin typeface="Times New Roman"/>
                <a:cs typeface="Times New Roman"/>
              </a:rPr>
              <a:t>Header</a:t>
            </a:r>
            <a:endParaRPr lang="en-GB" sz="1200" b="0" i="0" u="none" strike="noStrike" baseline="0">
              <a:solidFill>
                <a:srgbClr val="000000"/>
              </a:solidFill>
              <a:latin typeface="Times New Roman"/>
              <a:cs typeface="Times New Roman"/>
            </a:endParaRPr>
          </a:p>
          <a:p>
            <a:pPr algn="l" rtl="0">
              <a:defRPr sz="1000"/>
            </a:pPr>
            <a:endParaRPr lang="en-GB" sz="1200" b="0" i="0" u="none" strike="noStrike" baseline="0">
              <a:solidFill>
                <a:srgbClr val="000000"/>
              </a:solidFill>
              <a:latin typeface="Times New Roman"/>
              <a:cs typeface="Times New Roman"/>
            </a:endParaRPr>
          </a:p>
        </xdr:txBody>
      </xdr:sp>
      <xdr:sp macro="" textlink="">
        <xdr:nvSpPr>
          <xdr:cNvPr id="8946" name="Freeform 754">
            <a:extLst>
              <a:ext uri="{FF2B5EF4-FFF2-40B4-BE49-F238E27FC236}">
                <a16:creationId xmlns:a16="http://schemas.microsoft.com/office/drawing/2014/main" id="{62D67DE9-F64C-4DBB-B554-AD08BA36ADA7}"/>
              </a:ext>
            </a:extLst>
          </xdr:cNvPr>
          <xdr:cNvSpPr>
            <a:spLocks/>
          </xdr:cNvSpPr>
        </xdr:nvSpPr>
        <xdr:spPr bwMode="auto">
          <a:xfrm>
            <a:off x="8273" y="6500"/>
            <a:ext cx="287" cy="212"/>
          </a:xfrm>
          <a:custGeom>
            <a:avLst/>
            <a:gdLst>
              <a:gd name="T0" fmla="*/ 287 w 287"/>
              <a:gd name="T1" fmla="*/ 0 h 212"/>
              <a:gd name="T2" fmla="*/ 0 w 287"/>
              <a:gd name="T3" fmla="*/ 0 h 212"/>
              <a:gd name="T4" fmla="*/ 0 w 287"/>
              <a:gd name="T5" fmla="*/ 212 h 212"/>
            </a:gdLst>
            <a:ahLst/>
            <a:cxnLst>
              <a:cxn ang="0">
                <a:pos x="T0" y="T1"/>
              </a:cxn>
              <a:cxn ang="0">
                <a:pos x="T2" y="T3"/>
              </a:cxn>
              <a:cxn ang="0">
                <a:pos x="T4" y="T5"/>
              </a:cxn>
            </a:cxnLst>
            <a:rect l="0" t="0" r="r" b="b"/>
            <a:pathLst>
              <a:path w="287" h="212">
                <a:moveTo>
                  <a:pt x="287" y="0"/>
                </a:moveTo>
                <a:lnTo>
                  <a:pt x="0" y="0"/>
                </a:lnTo>
                <a:lnTo>
                  <a:pt x="0" y="212"/>
                </a:lnTo>
              </a:path>
            </a:pathLst>
          </a:custGeom>
          <a:noFill/>
          <a:ln w="5715">
            <a:solidFill>
              <a:srgbClr val="000000"/>
            </a:solidFill>
            <a:prstDash val="solid"/>
            <a:round/>
            <a:headEnd/>
            <a:tailEnd/>
          </a:ln>
          <a:extLst>
            <a:ext uri="{909E8E84-426E-40DD-AFC4-6F175D3DCCD1}">
              <a14:hiddenFill xmlns:a14="http://schemas.microsoft.com/office/drawing/2010/main">
                <a:solidFill>
                  <a:srgbClr val="FFFFFF"/>
                </a:solidFill>
              </a14:hiddenFill>
            </a:ext>
          </a:extLst>
        </xdr:spPr>
      </xdr:sp>
      <xdr:sp macro="" textlink="">
        <xdr:nvSpPr>
          <xdr:cNvPr id="8947" name="Rectangle 755">
            <a:extLst>
              <a:ext uri="{FF2B5EF4-FFF2-40B4-BE49-F238E27FC236}">
                <a16:creationId xmlns:a16="http://schemas.microsoft.com/office/drawing/2014/main" id="{8D3C9C05-90BD-4DC3-A69C-375E0E09C86C}"/>
              </a:ext>
            </a:extLst>
          </xdr:cNvPr>
          <xdr:cNvSpPr>
            <a:spLocks noChangeArrowheads="1"/>
          </xdr:cNvSpPr>
        </xdr:nvSpPr>
        <xdr:spPr bwMode="auto">
          <a:xfrm>
            <a:off x="7801" y="6594"/>
            <a:ext cx="27" cy="261"/>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8948" name="Rectangle 756">
            <a:extLst>
              <a:ext uri="{FF2B5EF4-FFF2-40B4-BE49-F238E27FC236}">
                <a16:creationId xmlns:a16="http://schemas.microsoft.com/office/drawing/2014/main" id="{20845119-3860-4E7B-9E71-EB057CD0DF08}"/>
              </a:ext>
            </a:extLst>
          </xdr:cNvPr>
          <xdr:cNvSpPr>
            <a:spLocks noChangeArrowheads="1"/>
          </xdr:cNvSpPr>
        </xdr:nvSpPr>
        <xdr:spPr bwMode="auto">
          <a:xfrm>
            <a:off x="8088" y="6595"/>
            <a:ext cx="27" cy="262"/>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8949" name="Freeform 757">
            <a:extLst>
              <a:ext uri="{FF2B5EF4-FFF2-40B4-BE49-F238E27FC236}">
                <a16:creationId xmlns:a16="http://schemas.microsoft.com/office/drawing/2014/main" id="{25F4CD05-E49A-48D1-8D16-9A00847C4F97}"/>
              </a:ext>
            </a:extLst>
          </xdr:cNvPr>
          <xdr:cNvSpPr>
            <a:spLocks/>
          </xdr:cNvSpPr>
        </xdr:nvSpPr>
        <xdr:spPr bwMode="auto">
          <a:xfrm>
            <a:off x="7805" y="6586"/>
            <a:ext cx="305" cy="281"/>
          </a:xfrm>
          <a:custGeom>
            <a:avLst/>
            <a:gdLst>
              <a:gd name="T0" fmla="*/ 305 w 305"/>
              <a:gd name="T1" fmla="*/ 20 h 281"/>
              <a:gd name="T2" fmla="*/ 287 w 305"/>
              <a:gd name="T3" fmla="*/ 0 h 281"/>
              <a:gd name="T4" fmla="*/ 0 w 305"/>
              <a:gd name="T5" fmla="*/ 262 h 281"/>
              <a:gd name="T6" fmla="*/ 18 w 305"/>
              <a:gd name="T7" fmla="*/ 281 h 281"/>
              <a:gd name="T8" fmla="*/ 305 w 305"/>
              <a:gd name="T9" fmla="*/ 20 h 281"/>
            </a:gdLst>
            <a:ahLst/>
            <a:cxnLst>
              <a:cxn ang="0">
                <a:pos x="T0" y="T1"/>
              </a:cxn>
              <a:cxn ang="0">
                <a:pos x="T2" y="T3"/>
              </a:cxn>
              <a:cxn ang="0">
                <a:pos x="T4" y="T5"/>
              </a:cxn>
              <a:cxn ang="0">
                <a:pos x="T6" y="T7"/>
              </a:cxn>
              <a:cxn ang="0">
                <a:pos x="T8" y="T9"/>
              </a:cxn>
            </a:cxnLst>
            <a:rect l="0" t="0" r="r" b="b"/>
            <a:pathLst>
              <a:path w="305" h="281">
                <a:moveTo>
                  <a:pt x="305" y="20"/>
                </a:moveTo>
                <a:lnTo>
                  <a:pt x="287" y="0"/>
                </a:lnTo>
                <a:lnTo>
                  <a:pt x="0" y="262"/>
                </a:lnTo>
                <a:lnTo>
                  <a:pt x="18" y="281"/>
                </a:lnTo>
                <a:lnTo>
                  <a:pt x="305" y="20"/>
                </a:lnTo>
                <a:close/>
              </a:path>
            </a:pathLst>
          </a:custGeom>
          <a:solidFill>
            <a:srgbClr val="000000"/>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8950" name="Freeform 758">
            <a:extLst>
              <a:ext uri="{FF2B5EF4-FFF2-40B4-BE49-F238E27FC236}">
                <a16:creationId xmlns:a16="http://schemas.microsoft.com/office/drawing/2014/main" id="{D432F3B5-3B14-4F84-8B3E-BEB434B81E0D}"/>
              </a:ext>
            </a:extLst>
          </xdr:cNvPr>
          <xdr:cNvSpPr>
            <a:spLocks/>
          </xdr:cNvSpPr>
        </xdr:nvSpPr>
        <xdr:spPr bwMode="auto">
          <a:xfrm>
            <a:off x="7805" y="6586"/>
            <a:ext cx="305" cy="281"/>
          </a:xfrm>
          <a:custGeom>
            <a:avLst/>
            <a:gdLst>
              <a:gd name="T0" fmla="*/ 18 w 305"/>
              <a:gd name="T1" fmla="*/ 0 h 281"/>
              <a:gd name="T2" fmla="*/ 0 w 305"/>
              <a:gd name="T3" fmla="*/ 20 h 281"/>
              <a:gd name="T4" fmla="*/ 287 w 305"/>
              <a:gd name="T5" fmla="*/ 281 h 281"/>
              <a:gd name="T6" fmla="*/ 305 w 305"/>
              <a:gd name="T7" fmla="*/ 262 h 281"/>
              <a:gd name="T8" fmla="*/ 18 w 305"/>
              <a:gd name="T9" fmla="*/ 0 h 281"/>
            </a:gdLst>
            <a:ahLst/>
            <a:cxnLst>
              <a:cxn ang="0">
                <a:pos x="T0" y="T1"/>
              </a:cxn>
              <a:cxn ang="0">
                <a:pos x="T2" y="T3"/>
              </a:cxn>
              <a:cxn ang="0">
                <a:pos x="T4" y="T5"/>
              </a:cxn>
              <a:cxn ang="0">
                <a:pos x="T6" y="T7"/>
              </a:cxn>
              <a:cxn ang="0">
                <a:pos x="T8" y="T9"/>
              </a:cxn>
            </a:cxnLst>
            <a:rect l="0" t="0" r="r" b="b"/>
            <a:pathLst>
              <a:path w="305" h="281">
                <a:moveTo>
                  <a:pt x="18" y="0"/>
                </a:moveTo>
                <a:lnTo>
                  <a:pt x="0" y="20"/>
                </a:lnTo>
                <a:lnTo>
                  <a:pt x="287" y="281"/>
                </a:lnTo>
                <a:lnTo>
                  <a:pt x="305" y="262"/>
                </a:lnTo>
                <a:lnTo>
                  <a:pt x="18" y="0"/>
                </a:lnTo>
                <a:close/>
              </a:path>
            </a:pathLst>
          </a:custGeom>
          <a:solidFill>
            <a:srgbClr val="000000"/>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8951" name="Rectangle 759">
            <a:extLst>
              <a:ext uri="{FF2B5EF4-FFF2-40B4-BE49-F238E27FC236}">
                <a16:creationId xmlns:a16="http://schemas.microsoft.com/office/drawing/2014/main" id="{74A94AE4-6A9E-4119-A828-98919F82490B}"/>
              </a:ext>
            </a:extLst>
          </xdr:cNvPr>
          <xdr:cNvSpPr>
            <a:spLocks noChangeArrowheads="1"/>
          </xdr:cNvSpPr>
        </xdr:nvSpPr>
        <xdr:spPr bwMode="auto">
          <a:xfrm>
            <a:off x="7935" y="6523"/>
            <a:ext cx="27" cy="190"/>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grpSp>
        <xdr:nvGrpSpPr>
          <xdr:cNvPr id="8952" name="Group 760">
            <a:extLst>
              <a:ext uri="{FF2B5EF4-FFF2-40B4-BE49-F238E27FC236}">
                <a16:creationId xmlns:a16="http://schemas.microsoft.com/office/drawing/2014/main" id="{E9689CCF-E4E0-4540-84DD-62BE2862F2C4}"/>
              </a:ext>
            </a:extLst>
          </xdr:cNvPr>
          <xdr:cNvGrpSpPr>
            <a:grpSpLocks/>
          </xdr:cNvGrpSpPr>
        </xdr:nvGrpSpPr>
        <xdr:grpSpPr bwMode="auto">
          <a:xfrm>
            <a:off x="7757" y="6413"/>
            <a:ext cx="382" cy="125"/>
            <a:chOff x="7757" y="6589"/>
            <a:chExt cx="382" cy="125"/>
          </a:xfrm>
        </xdr:grpSpPr>
        <xdr:sp macro="" textlink="">
          <xdr:nvSpPr>
            <xdr:cNvPr id="8953" name="Freeform 761">
              <a:extLst>
                <a:ext uri="{FF2B5EF4-FFF2-40B4-BE49-F238E27FC236}">
                  <a16:creationId xmlns:a16="http://schemas.microsoft.com/office/drawing/2014/main" id="{6FABF309-94A2-4E0F-995F-882D752BCB64}"/>
                </a:ext>
              </a:extLst>
            </xdr:cNvPr>
            <xdr:cNvSpPr>
              <a:spLocks/>
            </xdr:cNvSpPr>
          </xdr:nvSpPr>
          <xdr:spPr bwMode="auto">
            <a:xfrm>
              <a:off x="7771" y="6602"/>
              <a:ext cx="354" cy="99"/>
            </a:xfrm>
            <a:custGeom>
              <a:avLst/>
              <a:gdLst>
                <a:gd name="T0" fmla="*/ 0 w 354"/>
                <a:gd name="T1" fmla="*/ 0 h 99"/>
                <a:gd name="T2" fmla="*/ 0 w 354"/>
                <a:gd name="T3" fmla="*/ 96 h 99"/>
                <a:gd name="T4" fmla="*/ 354 w 354"/>
                <a:gd name="T5" fmla="*/ 99 h 99"/>
                <a:gd name="T6" fmla="*/ 354 w 354"/>
                <a:gd name="T7" fmla="*/ 3 h 99"/>
                <a:gd name="T8" fmla="*/ 0 w 354"/>
                <a:gd name="T9" fmla="*/ 0 h 99"/>
              </a:gdLst>
              <a:ahLst/>
              <a:cxnLst>
                <a:cxn ang="0">
                  <a:pos x="T0" y="T1"/>
                </a:cxn>
                <a:cxn ang="0">
                  <a:pos x="T2" y="T3"/>
                </a:cxn>
                <a:cxn ang="0">
                  <a:pos x="T4" y="T5"/>
                </a:cxn>
                <a:cxn ang="0">
                  <a:pos x="T6" y="T7"/>
                </a:cxn>
                <a:cxn ang="0">
                  <a:pos x="T8" y="T9"/>
                </a:cxn>
              </a:cxnLst>
              <a:rect l="0" t="0" r="r" b="b"/>
              <a:pathLst>
                <a:path w="354" h="99">
                  <a:moveTo>
                    <a:pt x="0" y="0"/>
                  </a:moveTo>
                  <a:lnTo>
                    <a:pt x="0" y="96"/>
                  </a:lnTo>
                  <a:lnTo>
                    <a:pt x="354" y="99"/>
                  </a:lnTo>
                  <a:lnTo>
                    <a:pt x="354" y="3"/>
                  </a:lnTo>
                  <a:lnTo>
                    <a:pt x="0" y="0"/>
                  </a:lnTo>
                  <a:close/>
                </a:path>
              </a:pathLst>
            </a:custGeom>
            <a:solidFill>
              <a:srgbClr val="EAEAEA"/>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8954" name="Freeform 762">
              <a:extLst>
                <a:ext uri="{FF2B5EF4-FFF2-40B4-BE49-F238E27FC236}">
                  <a16:creationId xmlns:a16="http://schemas.microsoft.com/office/drawing/2014/main" id="{F1F28A6F-8682-4868-A4A8-7DB1C2D47B97}"/>
                </a:ext>
              </a:extLst>
            </xdr:cNvPr>
            <xdr:cNvSpPr>
              <a:spLocks noEditPoints="1"/>
            </xdr:cNvSpPr>
          </xdr:nvSpPr>
          <xdr:spPr bwMode="auto">
            <a:xfrm>
              <a:off x="7757" y="6589"/>
              <a:ext cx="382" cy="125"/>
            </a:xfrm>
            <a:custGeom>
              <a:avLst/>
              <a:gdLst>
                <a:gd name="T0" fmla="*/ 0 w 382"/>
                <a:gd name="T1" fmla="*/ 109 h 125"/>
                <a:gd name="T2" fmla="*/ 0 w 382"/>
                <a:gd name="T3" fmla="*/ 122 h 125"/>
                <a:gd name="T4" fmla="*/ 14 w 382"/>
                <a:gd name="T5" fmla="*/ 122 h 125"/>
                <a:gd name="T6" fmla="*/ 368 w 382"/>
                <a:gd name="T7" fmla="*/ 125 h 125"/>
                <a:gd name="T8" fmla="*/ 382 w 382"/>
                <a:gd name="T9" fmla="*/ 125 h 125"/>
                <a:gd name="T10" fmla="*/ 382 w 382"/>
                <a:gd name="T11" fmla="*/ 112 h 125"/>
                <a:gd name="T12" fmla="*/ 382 w 382"/>
                <a:gd name="T13" fmla="*/ 16 h 125"/>
                <a:gd name="T14" fmla="*/ 382 w 382"/>
                <a:gd name="T15" fmla="*/ 3 h 125"/>
                <a:gd name="T16" fmla="*/ 368 w 382"/>
                <a:gd name="T17" fmla="*/ 3 h 125"/>
                <a:gd name="T18" fmla="*/ 14 w 382"/>
                <a:gd name="T19" fmla="*/ 0 h 125"/>
                <a:gd name="T20" fmla="*/ 0 w 382"/>
                <a:gd name="T21" fmla="*/ 0 h 125"/>
                <a:gd name="T22" fmla="*/ 0 w 382"/>
                <a:gd name="T23" fmla="*/ 13 h 125"/>
                <a:gd name="T24" fmla="*/ 0 w 382"/>
                <a:gd name="T25" fmla="*/ 109 h 125"/>
                <a:gd name="T26" fmla="*/ 27 w 382"/>
                <a:gd name="T27" fmla="*/ 13 h 125"/>
                <a:gd name="T28" fmla="*/ 14 w 382"/>
                <a:gd name="T29" fmla="*/ 13 h 125"/>
                <a:gd name="T30" fmla="*/ 14 w 382"/>
                <a:gd name="T31" fmla="*/ 27 h 125"/>
                <a:gd name="T32" fmla="*/ 368 w 382"/>
                <a:gd name="T33" fmla="*/ 30 h 125"/>
                <a:gd name="T34" fmla="*/ 368 w 382"/>
                <a:gd name="T35" fmla="*/ 16 h 125"/>
                <a:gd name="T36" fmla="*/ 355 w 382"/>
                <a:gd name="T37" fmla="*/ 16 h 125"/>
                <a:gd name="T38" fmla="*/ 355 w 382"/>
                <a:gd name="T39" fmla="*/ 112 h 125"/>
                <a:gd name="T40" fmla="*/ 368 w 382"/>
                <a:gd name="T41" fmla="*/ 112 h 125"/>
                <a:gd name="T42" fmla="*/ 368 w 382"/>
                <a:gd name="T43" fmla="*/ 99 h 125"/>
                <a:gd name="T44" fmla="*/ 14 w 382"/>
                <a:gd name="T45" fmla="*/ 96 h 125"/>
                <a:gd name="T46" fmla="*/ 14 w 382"/>
                <a:gd name="T47" fmla="*/ 109 h 125"/>
                <a:gd name="T48" fmla="*/ 27 w 382"/>
                <a:gd name="T49" fmla="*/ 109 h 125"/>
                <a:gd name="T50" fmla="*/ 27 w 382"/>
                <a:gd name="T51" fmla="*/ 13 h 12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Lst>
              <a:rect l="0" t="0" r="r" b="b"/>
              <a:pathLst>
                <a:path w="382" h="125">
                  <a:moveTo>
                    <a:pt x="0" y="109"/>
                  </a:moveTo>
                  <a:lnTo>
                    <a:pt x="0" y="122"/>
                  </a:lnTo>
                  <a:lnTo>
                    <a:pt x="14" y="122"/>
                  </a:lnTo>
                  <a:lnTo>
                    <a:pt x="368" y="125"/>
                  </a:lnTo>
                  <a:lnTo>
                    <a:pt x="382" y="125"/>
                  </a:lnTo>
                  <a:lnTo>
                    <a:pt x="382" y="112"/>
                  </a:lnTo>
                  <a:lnTo>
                    <a:pt x="382" y="16"/>
                  </a:lnTo>
                  <a:lnTo>
                    <a:pt x="382" y="3"/>
                  </a:lnTo>
                  <a:lnTo>
                    <a:pt x="368" y="3"/>
                  </a:lnTo>
                  <a:lnTo>
                    <a:pt x="14" y="0"/>
                  </a:lnTo>
                  <a:lnTo>
                    <a:pt x="0" y="0"/>
                  </a:lnTo>
                  <a:lnTo>
                    <a:pt x="0" y="13"/>
                  </a:lnTo>
                  <a:lnTo>
                    <a:pt x="0" y="109"/>
                  </a:lnTo>
                  <a:close/>
                  <a:moveTo>
                    <a:pt x="27" y="13"/>
                  </a:moveTo>
                  <a:lnTo>
                    <a:pt x="14" y="13"/>
                  </a:lnTo>
                  <a:lnTo>
                    <a:pt x="14" y="27"/>
                  </a:lnTo>
                  <a:lnTo>
                    <a:pt x="368" y="30"/>
                  </a:lnTo>
                  <a:lnTo>
                    <a:pt x="368" y="16"/>
                  </a:lnTo>
                  <a:lnTo>
                    <a:pt x="355" y="16"/>
                  </a:lnTo>
                  <a:lnTo>
                    <a:pt x="355" y="112"/>
                  </a:lnTo>
                  <a:lnTo>
                    <a:pt x="368" y="112"/>
                  </a:lnTo>
                  <a:lnTo>
                    <a:pt x="368" y="99"/>
                  </a:lnTo>
                  <a:lnTo>
                    <a:pt x="14" y="96"/>
                  </a:lnTo>
                  <a:lnTo>
                    <a:pt x="14" y="109"/>
                  </a:lnTo>
                  <a:lnTo>
                    <a:pt x="27" y="109"/>
                  </a:lnTo>
                  <a:lnTo>
                    <a:pt x="27" y="13"/>
                  </a:lnTo>
                  <a:close/>
                </a:path>
              </a:pathLst>
            </a:custGeom>
            <a:solidFill>
              <a:srgbClr val="000000"/>
            </a:solidFill>
            <a:ln>
              <a:noFill/>
            </a:ln>
            <a:extLst>
              <a:ext uri="{91240B29-F687-4F45-9708-019B960494DF}">
                <a14:hiddenLine xmlns:a14="http://schemas.microsoft.com/office/drawing/2010/main" w="9525">
                  <a:solidFill>
                    <a:srgbClr val="000000"/>
                  </a:solidFill>
                  <a:round/>
                  <a:headEnd/>
                  <a:tailEnd/>
                </a14:hiddenLine>
              </a:ext>
            </a:extLst>
          </xdr:spPr>
        </xdr:sp>
      </xdr:grpSp>
      <xdr:sp macro="" textlink="">
        <xdr:nvSpPr>
          <xdr:cNvPr id="8955" name="Rectangle 763">
            <a:extLst>
              <a:ext uri="{FF2B5EF4-FFF2-40B4-BE49-F238E27FC236}">
                <a16:creationId xmlns:a16="http://schemas.microsoft.com/office/drawing/2014/main" id="{520E2612-AF9B-42F6-9D16-B0251D429417}"/>
              </a:ext>
            </a:extLst>
          </xdr:cNvPr>
          <xdr:cNvSpPr>
            <a:spLocks noChangeArrowheads="1"/>
          </xdr:cNvSpPr>
        </xdr:nvSpPr>
        <xdr:spPr bwMode="auto">
          <a:xfrm>
            <a:off x="7801" y="6594"/>
            <a:ext cx="27" cy="261"/>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8956" name="Rectangle 764">
            <a:extLst>
              <a:ext uri="{FF2B5EF4-FFF2-40B4-BE49-F238E27FC236}">
                <a16:creationId xmlns:a16="http://schemas.microsoft.com/office/drawing/2014/main" id="{6BB7ADE4-5AC4-4793-8874-9DC379D5415F}"/>
              </a:ext>
            </a:extLst>
          </xdr:cNvPr>
          <xdr:cNvSpPr>
            <a:spLocks noChangeArrowheads="1"/>
          </xdr:cNvSpPr>
        </xdr:nvSpPr>
        <xdr:spPr bwMode="auto">
          <a:xfrm>
            <a:off x="8088" y="6595"/>
            <a:ext cx="27" cy="262"/>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8957" name="Freeform 765">
            <a:extLst>
              <a:ext uri="{FF2B5EF4-FFF2-40B4-BE49-F238E27FC236}">
                <a16:creationId xmlns:a16="http://schemas.microsoft.com/office/drawing/2014/main" id="{EABDE819-B12A-4D61-96A1-21D95E07C7C8}"/>
              </a:ext>
            </a:extLst>
          </xdr:cNvPr>
          <xdr:cNvSpPr>
            <a:spLocks/>
          </xdr:cNvSpPr>
        </xdr:nvSpPr>
        <xdr:spPr bwMode="auto">
          <a:xfrm>
            <a:off x="7805" y="6586"/>
            <a:ext cx="305" cy="281"/>
          </a:xfrm>
          <a:custGeom>
            <a:avLst/>
            <a:gdLst>
              <a:gd name="T0" fmla="*/ 305 w 305"/>
              <a:gd name="T1" fmla="*/ 20 h 281"/>
              <a:gd name="T2" fmla="*/ 287 w 305"/>
              <a:gd name="T3" fmla="*/ 0 h 281"/>
              <a:gd name="T4" fmla="*/ 0 w 305"/>
              <a:gd name="T5" fmla="*/ 262 h 281"/>
              <a:gd name="T6" fmla="*/ 18 w 305"/>
              <a:gd name="T7" fmla="*/ 281 h 281"/>
              <a:gd name="T8" fmla="*/ 305 w 305"/>
              <a:gd name="T9" fmla="*/ 20 h 281"/>
            </a:gdLst>
            <a:ahLst/>
            <a:cxnLst>
              <a:cxn ang="0">
                <a:pos x="T0" y="T1"/>
              </a:cxn>
              <a:cxn ang="0">
                <a:pos x="T2" y="T3"/>
              </a:cxn>
              <a:cxn ang="0">
                <a:pos x="T4" y="T5"/>
              </a:cxn>
              <a:cxn ang="0">
                <a:pos x="T6" y="T7"/>
              </a:cxn>
              <a:cxn ang="0">
                <a:pos x="T8" y="T9"/>
              </a:cxn>
            </a:cxnLst>
            <a:rect l="0" t="0" r="r" b="b"/>
            <a:pathLst>
              <a:path w="305" h="281">
                <a:moveTo>
                  <a:pt x="305" y="20"/>
                </a:moveTo>
                <a:lnTo>
                  <a:pt x="287" y="0"/>
                </a:lnTo>
                <a:lnTo>
                  <a:pt x="0" y="262"/>
                </a:lnTo>
                <a:lnTo>
                  <a:pt x="18" y="281"/>
                </a:lnTo>
                <a:lnTo>
                  <a:pt x="305" y="20"/>
                </a:lnTo>
                <a:close/>
              </a:path>
            </a:pathLst>
          </a:custGeom>
          <a:solidFill>
            <a:srgbClr val="000000"/>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8958" name="Freeform 766">
            <a:extLst>
              <a:ext uri="{FF2B5EF4-FFF2-40B4-BE49-F238E27FC236}">
                <a16:creationId xmlns:a16="http://schemas.microsoft.com/office/drawing/2014/main" id="{587EB54A-29D0-498D-919C-12CC8EEFE62C}"/>
              </a:ext>
            </a:extLst>
          </xdr:cNvPr>
          <xdr:cNvSpPr>
            <a:spLocks/>
          </xdr:cNvSpPr>
        </xdr:nvSpPr>
        <xdr:spPr bwMode="auto">
          <a:xfrm>
            <a:off x="7805" y="6586"/>
            <a:ext cx="305" cy="281"/>
          </a:xfrm>
          <a:custGeom>
            <a:avLst/>
            <a:gdLst>
              <a:gd name="T0" fmla="*/ 18 w 305"/>
              <a:gd name="T1" fmla="*/ 0 h 281"/>
              <a:gd name="T2" fmla="*/ 0 w 305"/>
              <a:gd name="T3" fmla="*/ 20 h 281"/>
              <a:gd name="T4" fmla="*/ 287 w 305"/>
              <a:gd name="T5" fmla="*/ 281 h 281"/>
              <a:gd name="T6" fmla="*/ 305 w 305"/>
              <a:gd name="T7" fmla="*/ 262 h 281"/>
              <a:gd name="T8" fmla="*/ 18 w 305"/>
              <a:gd name="T9" fmla="*/ 0 h 281"/>
            </a:gdLst>
            <a:ahLst/>
            <a:cxnLst>
              <a:cxn ang="0">
                <a:pos x="T0" y="T1"/>
              </a:cxn>
              <a:cxn ang="0">
                <a:pos x="T2" y="T3"/>
              </a:cxn>
              <a:cxn ang="0">
                <a:pos x="T4" y="T5"/>
              </a:cxn>
              <a:cxn ang="0">
                <a:pos x="T6" y="T7"/>
              </a:cxn>
              <a:cxn ang="0">
                <a:pos x="T8" y="T9"/>
              </a:cxn>
            </a:cxnLst>
            <a:rect l="0" t="0" r="r" b="b"/>
            <a:pathLst>
              <a:path w="305" h="281">
                <a:moveTo>
                  <a:pt x="18" y="0"/>
                </a:moveTo>
                <a:lnTo>
                  <a:pt x="0" y="20"/>
                </a:lnTo>
                <a:lnTo>
                  <a:pt x="287" y="281"/>
                </a:lnTo>
                <a:lnTo>
                  <a:pt x="305" y="262"/>
                </a:lnTo>
                <a:lnTo>
                  <a:pt x="18" y="0"/>
                </a:lnTo>
                <a:close/>
              </a:path>
            </a:pathLst>
          </a:custGeom>
          <a:solidFill>
            <a:srgbClr val="000000"/>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8959" name="Rectangle 767">
            <a:extLst>
              <a:ext uri="{FF2B5EF4-FFF2-40B4-BE49-F238E27FC236}">
                <a16:creationId xmlns:a16="http://schemas.microsoft.com/office/drawing/2014/main" id="{320F82DE-1AEE-4512-BD31-6DFBB7443C2E}"/>
              </a:ext>
            </a:extLst>
          </xdr:cNvPr>
          <xdr:cNvSpPr>
            <a:spLocks noChangeArrowheads="1"/>
          </xdr:cNvSpPr>
        </xdr:nvSpPr>
        <xdr:spPr bwMode="auto">
          <a:xfrm>
            <a:off x="7935" y="6523"/>
            <a:ext cx="27" cy="190"/>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grpSp>
        <xdr:nvGrpSpPr>
          <xdr:cNvPr id="8960" name="Group 768">
            <a:extLst>
              <a:ext uri="{FF2B5EF4-FFF2-40B4-BE49-F238E27FC236}">
                <a16:creationId xmlns:a16="http://schemas.microsoft.com/office/drawing/2014/main" id="{8C4C32D5-8E31-41D6-9D33-69FB2852476A}"/>
              </a:ext>
            </a:extLst>
          </xdr:cNvPr>
          <xdr:cNvGrpSpPr>
            <a:grpSpLocks/>
          </xdr:cNvGrpSpPr>
        </xdr:nvGrpSpPr>
        <xdr:grpSpPr bwMode="auto">
          <a:xfrm>
            <a:off x="7757" y="6413"/>
            <a:ext cx="382" cy="125"/>
            <a:chOff x="7757" y="6589"/>
            <a:chExt cx="382" cy="125"/>
          </a:xfrm>
        </xdr:grpSpPr>
        <xdr:sp macro="" textlink="">
          <xdr:nvSpPr>
            <xdr:cNvPr id="8961" name="Freeform 769">
              <a:extLst>
                <a:ext uri="{FF2B5EF4-FFF2-40B4-BE49-F238E27FC236}">
                  <a16:creationId xmlns:a16="http://schemas.microsoft.com/office/drawing/2014/main" id="{F367B5DB-7F14-463B-92DD-CF3EC0A8F8D0}"/>
                </a:ext>
              </a:extLst>
            </xdr:cNvPr>
            <xdr:cNvSpPr>
              <a:spLocks/>
            </xdr:cNvSpPr>
          </xdr:nvSpPr>
          <xdr:spPr bwMode="auto">
            <a:xfrm>
              <a:off x="7771" y="6602"/>
              <a:ext cx="354" cy="99"/>
            </a:xfrm>
            <a:custGeom>
              <a:avLst/>
              <a:gdLst>
                <a:gd name="T0" fmla="*/ 0 w 354"/>
                <a:gd name="T1" fmla="*/ 0 h 99"/>
                <a:gd name="T2" fmla="*/ 0 w 354"/>
                <a:gd name="T3" fmla="*/ 96 h 99"/>
                <a:gd name="T4" fmla="*/ 354 w 354"/>
                <a:gd name="T5" fmla="*/ 99 h 99"/>
                <a:gd name="T6" fmla="*/ 354 w 354"/>
                <a:gd name="T7" fmla="*/ 3 h 99"/>
                <a:gd name="T8" fmla="*/ 0 w 354"/>
                <a:gd name="T9" fmla="*/ 0 h 99"/>
              </a:gdLst>
              <a:ahLst/>
              <a:cxnLst>
                <a:cxn ang="0">
                  <a:pos x="T0" y="T1"/>
                </a:cxn>
                <a:cxn ang="0">
                  <a:pos x="T2" y="T3"/>
                </a:cxn>
                <a:cxn ang="0">
                  <a:pos x="T4" y="T5"/>
                </a:cxn>
                <a:cxn ang="0">
                  <a:pos x="T6" y="T7"/>
                </a:cxn>
                <a:cxn ang="0">
                  <a:pos x="T8" y="T9"/>
                </a:cxn>
              </a:cxnLst>
              <a:rect l="0" t="0" r="r" b="b"/>
              <a:pathLst>
                <a:path w="354" h="99">
                  <a:moveTo>
                    <a:pt x="0" y="0"/>
                  </a:moveTo>
                  <a:lnTo>
                    <a:pt x="0" y="96"/>
                  </a:lnTo>
                  <a:lnTo>
                    <a:pt x="354" y="99"/>
                  </a:lnTo>
                  <a:lnTo>
                    <a:pt x="354" y="3"/>
                  </a:lnTo>
                  <a:lnTo>
                    <a:pt x="0" y="0"/>
                  </a:lnTo>
                  <a:close/>
                </a:path>
              </a:pathLst>
            </a:custGeom>
            <a:solidFill>
              <a:srgbClr val="EAEAEA"/>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8962" name="Freeform 770">
              <a:extLst>
                <a:ext uri="{FF2B5EF4-FFF2-40B4-BE49-F238E27FC236}">
                  <a16:creationId xmlns:a16="http://schemas.microsoft.com/office/drawing/2014/main" id="{4B694563-164A-402C-8755-074B08CCB181}"/>
                </a:ext>
              </a:extLst>
            </xdr:cNvPr>
            <xdr:cNvSpPr>
              <a:spLocks noEditPoints="1"/>
            </xdr:cNvSpPr>
          </xdr:nvSpPr>
          <xdr:spPr bwMode="auto">
            <a:xfrm>
              <a:off x="7757" y="6589"/>
              <a:ext cx="382" cy="125"/>
            </a:xfrm>
            <a:custGeom>
              <a:avLst/>
              <a:gdLst>
                <a:gd name="T0" fmla="*/ 0 w 382"/>
                <a:gd name="T1" fmla="*/ 109 h 125"/>
                <a:gd name="T2" fmla="*/ 0 w 382"/>
                <a:gd name="T3" fmla="*/ 122 h 125"/>
                <a:gd name="T4" fmla="*/ 14 w 382"/>
                <a:gd name="T5" fmla="*/ 122 h 125"/>
                <a:gd name="T6" fmla="*/ 368 w 382"/>
                <a:gd name="T7" fmla="*/ 125 h 125"/>
                <a:gd name="T8" fmla="*/ 382 w 382"/>
                <a:gd name="T9" fmla="*/ 125 h 125"/>
                <a:gd name="T10" fmla="*/ 382 w 382"/>
                <a:gd name="T11" fmla="*/ 112 h 125"/>
                <a:gd name="T12" fmla="*/ 382 w 382"/>
                <a:gd name="T13" fmla="*/ 16 h 125"/>
                <a:gd name="T14" fmla="*/ 382 w 382"/>
                <a:gd name="T15" fmla="*/ 3 h 125"/>
                <a:gd name="T16" fmla="*/ 368 w 382"/>
                <a:gd name="T17" fmla="*/ 3 h 125"/>
                <a:gd name="T18" fmla="*/ 14 w 382"/>
                <a:gd name="T19" fmla="*/ 0 h 125"/>
                <a:gd name="T20" fmla="*/ 0 w 382"/>
                <a:gd name="T21" fmla="*/ 0 h 125"/>
                <a:gd name="T22" fmla="*/ 0 w 382"/>
                <a:gd name="T23" fmla="*/ 13 h 125"/>
                <a:gd name="T24" fmla="*/ 0 w 382"/>
                <a:gd name="T25" fmla="*/ 109 h 125"/>
                <a:gd name="T26" fmla="*/ 27 w 382"/>
                <a:gd name="T27" fmla="*/ 13 h 125"/>
                <a:gd name="T28" fmla="*/ 14 w 382"/>
                <a:gd name="T29" fmla="*/ 13 h 125"/>
                <a:gd name="T30" fmla="*/ 14 w 382"/>
                <a:gd name="T31" fmla="*/ 27 h 125"/>
                <a:gd name="T32" fmla="*/ 368 w 382"/>
                <a:gd name="T33" fmla="*/ 30 h 125"/>
                <a:gd name="T34" fmla="*/ 368 w 382"/>
                <a:gd name="T35" fmla="*/ 16 h 125"/>
                <a:gd name="T36" fmla="*/ 355 w 382"/>
                <a:gd name="T37" fmla="*/ 16 h 125"/>
                <a:gd name="T38" fmla="*/ 355 w 382"/>
                <a:gd name="T39" fmla="*/ 112 h 125"/>
                <a:gd name="T40" fmla="*/ 368 w 382"/>
                <a:gd name="T41" fmla="*/ 112 h 125"/>
                <a:gd name="T42" fmla="*/ 368 w 382"/>
                <a:gd name="T43" fmla="*/ 99 h 125"/>
                <a:gd name="T44" fmla="*/ 14 w 382"/>
                <a:gd name="T45" fmla="*/ 96 h 125"/>
                <a:gd name="T46" fmla="*/ 14 w 382"/>
                <a:gd name="T47" fmla="*/ 109 h 125"/>
                <a:gd name="T48" fmla="*/ 27 w 382"/>
                <a:gd name="T49" fmla="*/ 109 h 125"/>
                <a:gd name="T50" fmla="*/ 27 w 382"/>
                <a:gd name="T51" fmla="*/ 13 h 12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Lst>
              <a:rect l="0" t="0" r="r" b="b"/>
              <a:pathLst>
                <a:path w="382" h="125">
                  <a:moveTo>
                    <a:pt x="0" y="109"/>
                  </a:moveTo>
                  <a:lnTo>
                    <a:pt x="0" y="122"/>
                  </a:lnTo>
                  <a:lnTo>
                    <a:pt x="14" y="122"/>
                  </a:lnTo>
                  <a:lnTo>
                    <a:pt x="368" y="125"/>
                  </a:lnTo>
                  <a:lnTo>
                    <a:pt x="382" y="125"/>
                  </a:lnTo>
                  <a:lnTo>
                    <a:pt x="382" y="112"/>
                  </a:lnTo>
                  <a:lnTo>
                    <a:pt x="382" y="16"/>
                  </a:lnTo>
                  <a:lnTo>
                    <a:pt x="382" y="3"/>
                  </a:lnTo>
                  <a:lnTo>
                    <a:pt x="368" y="3"/>
                  </a:lnTo>
                  <a:lnTo>
                    <a:pt x="14" y="0"/>
                  </a:lnTo>
                  <a:lnTo>
                    <a:pt x="0" y="0"/>
                  </a:lnTo>
                  <a:lnTo>
                    <a:pt x="0" y="13"/>
                  </a:lnTo>
                  <a:lnTo>
                    <a:pt x="0" y="109"/>
                  </a:lnTo>
                  <a:close/>
                  <a:moveTo>
                    <a:pt x="27" y="13"/>
                  </a:moveTo>
                  <a:lnTo>
                    <a:pt x="14" y="13"/>
                  </a:lnTo>
                  <a:lnTo>
                    <a:pt x="14" y="27"/>
                  </a:lnTo>
                  <a:lnTo>
                    <a:pt x="368" y="30"/>
                  </a:lnTo>
                  <a:lnTo>
                    <a:pt x="368" y="16"/>
                  </a:lnTo>
                  <a:lnTo>
                    <a:pt x="355" y="16"/>
                  </a:lnTo>
                  <a:lnTo>
                    <a:pt x="355" y="112"/>
                  </a:lnTo>
                  <a:lnTo>
                    <a:pt x="368" y="112"/>
                  </a:lnTo>
                  <a:lnTo>
                    <a:pt x="368" y="99"/>
                  </a:lnTo>
                  <a:lnTo>
                    <a:pt x="14" y="96"/>
                  </a:lnTo>
                  <a:lnTo>
                    <a:pt x="14" y="109"/>
                  </a:lnTo>
                  <a:lnTo>
                    <a:pt x="27" y="109"/>
                  </a:lnTo>
                  <a:lnTo>
                    <a:pt x="27" y="13"/>
                  </a:lnTo>
                  <a:close/>
                </a:path>
              </a:pathLst>
            </a:custGeom>
            <a:solidFill>
              <a:srgbClr val="000000"/>
            </a:solidFill>
            <a:ln>
              <a:noFill/>
            </a:ln>
            <a:extLst>
              <a:ext uri="{91240B29-F687-4F45-9708-019B960494DF}">
                <a14:hiddenLine xmlns:a14="http://schemas.microsoft.com/office/drawing/2010/main" w="9525">
                  <a:solidFill>
                    <a:srgbClr val="000000"/>
                  </a:solidFill>
                  <a:round/>
                  <a:headEnd/>
                  <a:tailEnd/>
                </a14:hiddenLine>
              </a:ext>
            </a:extLst>
          </xdr:spPr>
        </xdr:sp>
      </xdr:grpSp>
      <xdr:sp macro="" textlink="">
        <xdr:nvSpPr>
          <xdr:cNvPr id="8963" name="Rectangle 771">
            <a:extLst>
              <a:ext uri="{FF2B5EF4-FFF2-40B4-BE49-F238E27FC236}">
                <a16:creationId xmlns:a16="http://schemas.microsoft.com/office/drawing/2014/main" id="{87FB5977-6F11-4403-827A-1ADB9B0EF7AE}"/>
              </a:ext>
            </a:extLst>
          </xdr:cNvPr>
          <xdr:cNvSpPr>
            <a:spLocks noChangeArrowheads="1"/>
          </xdr:cNvSpPr>
        </xdr:nvSpPr>
        <xdr:spPr bwMode="auto">
          <a:xfrm>
            <a:off x="8489" y="6145"/>
            <a:ext cx="647" cy="3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8964" name="Rectangle 772">
            <a:extLst>
              <a:ext uri="{FF2B5EF4-FFF2-40B4-BE49-F238E27FC236}">
                <a16:creationId xmlns:a16="http://schemas.microsoft.com/office/drawing/2014/main" id="{5CBCD893-ACC1-4CDA-BC39-B8985A5FA26B}"/>
              </a:ext>
            </a:extLst>
          </xdr:cNvPr>
          <xdr:cNvSpPr>
            <a:spLocks noChangeArrowheads="1"/>
          </xdr:cNvSpPr>
        </xdr:nvSpPr>
        <xdr:spPr bwMode="auto">
          <a:xfrm>
            <a:off x="8591" y="6192"/>
            <a:ext cx="343" cy="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upright="1">
            <a:spAutoFit/>
          </a:bodyPr>
          <a:lstStyle/>
          <a:p>
            <a:pPr algn="l" rtl="0">
              <a:defRPr sz="1000"/>
            </a:pPr>
            <a:r>
              <a:rPr lang="en-GB" sz="1100" b="0" i="0" u="none" strike="noStrike" baseline="0">
                <a:solidFill>
                  <a:srgbClr val="000000"/>
                </a:solidFill>
                <a:latin typeface="Times New Roman"/>
                <a:cs typeface="Times New Roman"/>
              </a:rPr>
              <a:t>Reg</a:t>
            </a:r>
            <a:endParaRPr lang="en-GB" sz="1200" b="0" i="0" u="none" strike="noStrike" baseline="0">
              <a:solidFill>
                <a:srgbClr val="000000"/>
              </a:solidFill>
              <a:latin typeface="Times New Roman"/>
              <a:cs typeface="Times New Roman"/>
            </a:endParaRPr>
          </a:p>
          <a:p>
            <a:pPr algn="l" rtl="0">
              <a:defRPr sz="1000"/>
            </a:pPr>
            <a:endParaRPr lang="en-GB" sz="1200" b="0" i="0" u="none" strike="noStrike" baseline="0">
              <a:solidFill>
                <a:srgbClr val="000000"/>
              </a:solidFill>
              <a:latin typeface="Times New Roman"/>
              <a:cs typeface="Times New Roman"/>
            </a:endParaRPr>
          </a:p>
        </xdr:txBody>
      </xdr:sp>
      <xdr:sp macro="" textlink="">
        <xdr:nvSpPr>
          <xdr:cNvPr id="8965" name="Rectangle 773">
            <a:extLst>
              <a:ext uri="{FF2B5EF4-FFF2-40B4-BE49-F238E27FC236}">
                <a16:creationId xmlns:a16="http://schemas.microsoft.com/office/drawing/2014/main" id="{DC46442C-54A6-4508-B9D3-69923671AA74}"/>
              </a:ext>
            </a:extLst>
          </xdr:cNvPr>
          <xdr:cNvSpPr>
            <a:spLocks noChangeArrowheads="1"/>
          </xdr:cNvSpPr>
        </xdr:nvSpPr>
        <xdr:spPr bwMode="auto">
          <a:xfrm>
            <a:off x="8202" y="7189"/>
            <a:ext cx="358" cy="36"/>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8966" name="Rectangle 774">
            <a:extLst>
              <a:ext uri="{FF2B5EF4-FFF2-40B4-BE49-F238E27FC236}">
                <a16:creationId xmlns:a16="http://schemas.microsoft.com/office/drawing/2014/main" id="{70A2E601-942F-4F35-80B1-5949DF80670E}"/>
              </a:ext>
            </a:extLst>
          </xdr:cNvPr>
          <xdr:cNvSpPr>
            <a:spLocks noChangeArrowheads="1"/>
          </xdr:cNvSpPr>
        </xdr:nvSpPr>
        <xdr:spPr bwMode="auto">
          <a:xfrm>
            <a:off x="8489" y="7035"/>
            <a:ext cx="935" cy="6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8967" name="Rectangle 775">
            <a:extLst>
              <a:ext uri="{FF2B5EF4-FFF2-40B4-BE49-F238E27FC236}">
                <a16:creationId xmlns:a16="http://schemas.microsoft.com/office/drawing/2014/main" id="{90BE3251-95DB-49D4-A827-8FE02FAF93A7}"/>
              </a:ext>
            </a:extLst>
          </xdr:cNvPr>
          <xdr:cNvSpPr>
            <a:spLocks noChangeArrowheads="1"/>
          </xdr:cNvSpPr>
        </xdr:nvSpPr>
        <xdr:spPr bwMode="auto">
          <a:xfrm>
            <a:off x="8591" y="7088"/>
            <a:ext cx="488" cy="5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upright="1">
            <a:spAutoFit/>
          </a:bodyPr>
          <a:lstStyle/>
          <a:p>
            <a:pPr algn="l" rtl="0">
              <a:defRPr sz="1000"/>
            </a:pPr>
            <a:r>
              <a:rPr lang="en-GB" sz="1100" b="0" i="0" u="none" strike="noStrike" baseline="0">
                <a:solidFill>
                  <a:srgbClr val="000000"/>
                </a:solidFill>
                <a:latin typeface="Times New Roman"/>
                <a:cs typeface="Times New Roman"/>
              </a:rPr>
              <a:t>Tank </a:t>
            </a:r>
            <a:endParaRPr lang="en-GB" sz="1200" b="0" i="0" u="none" strike="noStrike" baseline="0">
              <a:solidFill>
                <a:srgbClr val="000000"/>
              </a:solidFill>
              <a:latin typeface="Times New Roman"/>
              <a:cs typeface="Times New Roman"/>
            </a:endParaRPr>
          </a:p>
          <a:p>
            <a:pPr algn="l" rtl="0">
              <a:defRPr sz="1000"/>
            </a:pPr>
            <a:endParaRPr lang="en-GB" sz="1200" b="0" i="0" u="none" strike="noStrike" baseline="0">
              <a:solidFill>
                <a:srgbClr val="000000"/>
              </a:solidFill>
              <a:latin typeface="Times New Roman"/>
              <a:cs typeface="Times New Roman"/>
            </a:endParaRPr>
          </a:p>
        </xdr:txBody>
      </xdr:sp>
      <xdr:sp macro="" textlink="">
        <xdr:nvSpPr>
          <xdr:cNvPr id="8968" name="Rectangle 776">
            <a:extLst>
              <a:ext uri="{FF2B5EF4-FFF2-40B4-BE49-F238E27FC236}">
                <a16:creationId xmlns:a16="http://schemas.microsoft.com/office/drawing/2014/main" id="{09496B0F-DFA2-405F-AA3A-FF3C33E8372C}"/>
              </a:ext>
            </a:extLst>
          </xdr:cNvPr>
          <xdr:cNvSpPr>
            <a:spLocks noChangeArrowheads="1"/>
          </xdr:cNvSpPr>
        </xdr:nvSpPr>
        <xdr:spPr bwMode="auto">
          <a:xfrm>
            <a:off x="8591" y="7342"/>
            <a:ext cx="572" cy="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upright="1">
            <a:spAutoFit/>
          </a:bodyPr>
          <a:lstStyle/>
          <a:p>
            <a:pPr algn="l" rtl="0">
              <a:defRPr sz="1000"/>
            </a:pPr>
            <a:r>
              <a:rPr lang="en-GB" sz="1100" b="0" i="0" u="none" strike="noStrike" baseline="0">
                <a:solidFill>
                  <a:srgbClr val="000000"/>
                </a:solidFill>
                <a:latin typeface="Times New Roman"/>
                <a:cs typeface="Times New Roman"/>
              </a:rPr>
              <a:t>Levels</a:t>
            </a:r>
            <a:endParaRPr lang="en-GB" sz="1200" b="0" i="0" u="none" strike="noStrike" baseline="0">
              <a:solidFill>
                <a:srgbClr val="000000"/>
              </a:solidFill>
              <a:latin typeface="Times New Roman"/>
              <a:cs typeface="Times New Roman"/>
            </a:endParaRPr>
          </a:p>
          <a:p>
            <a:pPr algn="l" rtl="0">
              <a:defRPr sz="1000"/>
            </a:pPr>
            <a:endParaRPr lang="en-GB" sz="1200" b="0" i="0" u="none" strike="noStrike" baseline="0">
              <a:solidFill>
                <a:srgbClr val="000000"/>
              </a:solidFill>
              <a:latin typeface="Times New Roman"/>
              <a:cs typeface="Times New Roman"/>
            </a:endParaRPr>
          </a:p>
        </xdr:txBody>
      </xdr:sp>
      <xdr:grpSp>
        <xdr:nvGrpSpPr>
          <xdr:cNvPr id="8969" name="Group 777">
            <a:extLst>
              <a:ext uri="{FF2B5EF4-FFF2-40B4-BE49-F238E27FC236}">
                <a16:creationId xmlns:a16="http://schemas.microsoft.com/office/drawing/2014/main" id="{A0F2B585-86C0-49C8-8E7E-E33F21844BB5}"/>
              </a:ext>
            </a:extLst>
          </xdr:cNvPr>
          <xdr:cNvGrpSpPr>
            <a:grpSpLocks/>
          </xdr:cNvGrpSpPr>
        </xdr:nvGrpSpPr>
        <xdr:grpSpPr bwMode="auto">
          <a:xfrm>
            <a:off x="4685" y="4589"/>
            <a:ext cx="359" cy="424"/>
            <a:chOff x="4685" y="4765"/>
            <a:chExt cx="359" cy="424"/>
          </a:xfrm>
        </xdr:grpSpPr>
        <xdr:sp macro="" textlink="">
          <xdr:nvSpPr>
            <xdr:cNvPr id="8970" name="Line 778">
              <a:extLst>
                <a:ext uri="{FF2B5EF4-FFF2-40B4-BE49-F238E27FC236}">
                  <a16:creationId xmlns:a16="http://schemas.microsoft.com/office/drawing/2014/main" id="{5428F3DA-49AC-4C86-AB6F-EC7D1664677B}"/>
                </a:ext>
              </a:extLst>
            </xdr:cNvPr>
            <xdr:cNvSpPr>
              <a:spLocks noChangeShapeType="1"/>
            </xdr:cNvSpPr>
          </xdr:nvSpPr>
          <xdr:spPr bwMode="auto">
            <a:xfrm>
              <a:off x="4685" y="4765"/>
              <a:ext cx="302" cy="357"/>
            </a:xfrm>
            <a:prstGeom prst="line">
              <a:avLst/>
            </a:prstGeom>
            <a:noFill/>
            <a:ln w="571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971" name="Freeform 779">
              <a:extLst>
                <a:ext uri="{FF2B5EF4-FFF2-40B4-BE49-F238E27FC236}">
                  <a16:creationId xmlns:a16="http://schemas.microsoft.com/office/drawing/2014/main" id="{236DEADA-E54B-4BAD-9E18-E4DF42A04789}"/>
                </a:ext>
              </a:extLst>
            </xdr:cNvPr>
            <xdr:cNvSpPr>
              <a:spLocks/>
            </xdr:cNvSpPr>
          </xdr:nvSpPr>
          <xdr:spPr bwMode="auto">
            <a:xfrm>
              <a:off x="4948" y="5088"/>
              <a:ext cx="96" cy="101"/>
            </a:xfrm>
            <a:custGeom>
              <a:avLst/>
              <a:gdLst>
                <a:gd name="T0" fmla="*/ 0 w 96"/>
                <a:gd name="T1" fmla="*/ 61 h 101"/>
                <a:gd name="T2" fmla="*/ 96 w 96"/>
                <a:gd name="T3" fmla="*/ 101 h 101"/>
                <a:gd name="T4" fmla="*/ 72 w 96"/>
                <a:gd name="T5" fmla="*/ 0 h 101"/>
                <a:gd name="T6" fmla="*/ 0 w 96"/>
                <a:gd name="T7" fmla="*/ 61 h 101"/>
              </a:gdLst>
              <a:ahLst/>
              <a:cxnLst>
                <a:cxn ang="0">
                  <a:pos x="T0" y="T1"/>
                </a:cxn>
                <a:cxn ang="0">
                  <a:pos x="T2" y="T3"/>
                </a:cxn>
                <a:cxn ang="0">
                  <a:pos x="T4" y="T5"/>
                </a:cxn>
                <a:cxn ang="0">
                  <a:pos x="T6" y="T7"/>
                </a:cxn>
              </a:cxnLst>
              <a:rect l="0" t="0" r="r" b="b"/>
              <a:pathLst>
                <a:path w="96" h="101">
                  <a:moveTo>
                    <a:pt x="0" y="61"/>
                  </a:moveTo>
                  <a:lnTo>
                    <a:pt x="96" y="101"/>
                  </a:lnTo>
                  <a:lnTo>
                    <a:pt x="72" y="0"/>
                  </a:lnTo>
                  <a:lnTo>
                    <a:pt x="0" y="61"/>
                  </a:lnTo>
                  <a:close/>
                </a:path>
              </a:pathLst>
            </a:custGeom>
            <a:solidFill>
              <a:srgbClr val="000000"/>
            </a:solidFill>
            <a:ln>
              <a:noFill/>
            </a:ln>
            <a:extLst>
              <a:ext uri="{91240B29-F687-4F45-9708-019B960494DF}">
                <a14:hiddenLine xmlns:a14="http://schemas.microsoft.com/office/drawing/2010/main" w="9525">
                  <a:solidFill>
                    <a:srgbClr val="000000"/>
                  </a:solidFill>
                  <a:round/>
                  <a:headEnd/>
                  <a:tailEnd/>
                </a14:hiddenLine>
              </a:ext>
            </a:extLst>
          </xdr:spPr>
        </xdr:sp>
      </xdr:grpSp>
      <xdr:sp macro="" textlink="">
        <xdr:nvSpPr>
          <xdr:cNvPr id="8972" name="Rectangle 780">
            <a:extLst>
              <a:ext uri="{FF2B5EF4-FFF2-40B4-BE49-F238E27FC236}">
                <a16:creationId xmlns:a16="http://schemas.microsoft.com/office/drawing/2014/main" id="{504433B0-E7F1-4C94-9AE6-DE7C4283D9E2}"/>
              </a:ext>
            </a:extLst>
          </xdr:cNvPr>
          <xdr:cNvSpPr>
            <a:spLocks noChangeArrowheads="1"/>
          </xdr:cNvSpPr>
        </xdr:nvSpPr>
        <xdr:spPr bwMode="auto">
          <a:xfrm>
            <a:off x="3894" y="4235"/>
            <a:ext cx="1295" cy="3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8973" name="Rectangle 781">
            <a:extLst>
              <a:ext uri="{FF2B5EF4-FFF2-40B4-BE49-F238E27FC236}">
                <a16:creationId xmlns:a16="http://schemas.microsoft.com/office/drawing/2014/main" id="{DE7D568C-0895-4C4E-973D-CB15AB0E170F}"/>
              </a:ext>
            </a:extLst>
          </xdr:cNvPr>
          <xdr:cNvSpPr>
            <a:spLocks noChangeArrowheads="1"/>
          </xdr:cNvSpPr>
        </xdr:nvSpPr>
        <xdr:spPr bwMode="auto">
          <a:xfrm>
            <a:off x="3981" y="4288"/>
            <a:ext cx="1067" cy="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upright="1">
            <a:spAutoFit/>
          </a:bodyPr>
          <a:lstStyle/>
          <a:p>
            <a:pPr algn="l" rtl="0">
              <a:defRPr sz="1000"/>
            </a:pPr>
            <a:r>
              <a:rPr lang="en-GB" sz="1100" b="0" i="0" u="none" strike="noStrike" baseline="0">
                <a:solidFill>
                  <a:srgbClr val="000000"/>
                </a:solidFill>
                <a:latin typeface="Times New Roman"/>
                <a:cs typeface="Times New Roman"/>
              </a:rPr>
              <a:t>Boiler Draft</a:t>
            </a:r>
            <a:endParaRPr lang="en-GB" sz="1200" b="0" i="0" u="none" strike="noStrike" baseline="0">
              <a:solidFill>
                <a:srgbClr val="000000"/>
              </a:solidFill>
              <a:latin typeface="Times New Roman"/>
              <a:cs typeface="Times New Roman"/>
            </a:endParaRPr>
          </a:p>
          <a:p>
            <a:pPr algn="l" rtl="0">
              <a:defRPr sz="1000"/>
            </a:pPr>
            <a:endParaRPr lang="en-GB" sz="1200" b="0" i="0" u="none" strike="noStrike" baseline="0">
              <a:solidFill>
                <a:srgbClr val="000000"/>
              </a:solidFill>
              <a:latin typeface="Times New Roman"/>
              <a:cs typeface="Times New Roman"/>
            </a:endParaRPr>
          </a:p>
        </xdr:txBody>
      </xdr:sp>
      <xdr:grpSp>
        <xdr:nvGrpSpPr>
          <xdr:cNvPr id="8974" name="Group 782">
            <a:extLst>
              <a:ext uri="{FF2B5EF4-FFF2-40B4-BE49-F238E27FC236}">
                <a16:creationId xmlns:a16="http://schemas.microsoft.com/office/drawing/2014/main" id="{CFBA445A-9501-4464-9C65-EC105FE5DC66}"/>
              </a:ext>
            </a:extLst>
          </xdr:cNvPr>
          <xdr:cNvGrpSpPr>
            <a:grpSpLocks/>
          </xdr:cNvGrpSpPr>
        </xdr:nvGrpSpPr>
        <xdr:grpSpPr bwMode="auto">
          <a:xfrm>
            <a:off x="4609" y="6287"/>
            <a:ext cx="650" cy="432"/>
            <a:chOff x="4609" y="6463"/>
            <a:chExt cx="650" cy="432"/>
          </a:xfrm>
        </xdr:grpSpPr>
        <xdr:sp macro="" textlink="">
          <xdr:nvSpPr>
            <xdr:cNvPr id="8975" name="Freeform 783">
              <a:extLst>
                <a:ext uri="{FF2B5EF4-FFF2-40B4-BE49-F238E27FC236}">
                  <a16:creationId xmlns:a16="http://schemas.microsoft.com/office/drawing/2014/main" id="{19F13BDE-8F50-43B8-8939-BD900305858A}"/>
                </a:ext>
              </a:extLst>
            </xdr:cNvPr>
            <xdr:cNvSpPr>
              <a:spLocks/>
            </xdr:cNvSpPr>
          </xdr:nvSpPr>
          <xdr:spPr bwMode="auto">
            <a:xfrm>
              <a:off x="4609" y="6516"/>
              <a:ext cx="564" cy="379"/>
            </a:xfrm>
            <a:custGeom>
              <a:avLst/>
              <a:gdLst>
                <a:gd name="T0" fmla="*/ 0 w 564"/>
                <a:gd name="T1" fmla="*/ 364 h 379"/>
                <a:gd name="T2" fmla="*/ 11 w 564"/>
                <a:gd name="T3" fmla="*/ 379 h 379"/>
                <a:gd name="T4" fmla="*/ 564 w 564"/>
                <a:gd name="T5" fmla="*/ 15 h 379"/>
                <a:gd name="T6" fmla="*/ 553 w 564"/>
                <a:gd name="T7" fmla="*/ 0 h 379"/>
                <a:gd name="T8" fmla="*/ 0 w 564"/>
                <a:gd name="T9" fmla="*/ 364 h 379"/>
              </a:gdLst>
              <a:ahLst/>
              <a:cxnLst>
                <a:cxn ang="0">
                  <a:pos x="T0" y="T1"/>
                </a:cxn>
                <a:cxn ang="0">
                  <a:pos x="T2" y="T3"/>
                </a:cxn>
                <a:cxn ang="0">
                  <a:pos x="T4" y="T5"/>
                </a:cxn>
                <a:cxn ang="0">
                  <a:pos x="T6" y="T7"/>
                </a:cxn>
                <a:cxn ang="0">
                  <a:pos x="T8" y="T9"/>
                </a:cxn>
              </a:cxnLst>
              <a:rect l="0" t="0" r="r" b="b"/>
              <a:pathLst>
                <a:path w="564" h="379">
                  <a:moveTo>
                    <a:pt x="0" y="364"/>
                  </a:moveTo>
                  <a:lnTo>
                    <a:pt x="11" y="379"/>
                  </a:lnTo>
                  <a:lnTo>
                    <a:pt x="564" y="15"/>
                  </a:lnTo>
                  <a:lnTo>
                    <a:pt x="553" y="0"/>
                  </a:lnTo>
                  <a:lnTo>
                    <a:pt x="0" y="364"/>
                  </a:lnTo>
                  <a:close/>
                </a:path>
              </a:pathLst>
            </a:custGeom>
            <a:solidFill>
              <a:srgbClr val="000000"/>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8976" name="Freeform 784">
              <a:extLst>
                <a:ext uri="{FF2B5EF4-FFF2-40B4-BE49-F238E27FC236}">
                  <a16:creationId xmlns:a16="http://schemas.microsoft.com/office/drawing/2014/main" id="{AD7B674C-7398-4AF8-9156-39AE2E7AB785}"/>
                </a:ext>
              </a:extLst>
            </xdr:cNvPr>
            <xdr:cNvSpPr>
              <a:spLocks/>
            </xdr:cNvSpPr>
          </xdr:nvSpPr>
          <xdr:spPr bwMode="auto">
            <a:xfrm>
              <a:off x="5131" y="6463"/>
              <a:ext cx="128" cy="114"/>
            </a:xfrm>
            <a:custGeom>
              <a:avLst/>
              <a:gdLst>
                <a:gd name="T0" fmla="*/ 64 w 128"/>
                <a:gd name="T1" fmla="*/ 114 h 114"/>
                <a:gd name="T2" fmla="*/ 128 w 128"/>
                <a:gd name="T3" fmla="*/ 0 h 114"/>
                <a:gd name="T4" fmla="*/ 0 w 128"/>
                <a:gd name="T5" fmla="*/ 17 h 114"/>
                <a:gd name="T6" fmla="*/ 64 w 128"/>
                <a:gd name="T7" fmla="*/ 114 h 114"/>
              </a:gdLst>
              <a:ahLst/>
              <a:cxnLst>
                <a:cxn ang="0">
                  <a:pos x="T0" y="T1"/>
                </a:cxn>
                <a:cxn ang="0">
                  <a:pos x="T2" y="T3"/>
                </a:cxn>
                <a:cxn ang="0">
                  <a:pos x="T4" y="T5"/>
                </a:cxn>
                <a:cxn ang="0">
                  <a:pos x="T6" y="T7"/>
                </a:cxn>
              </a:cxnLst>
              <a:rect l="0" t="0" r="r" b="b"/>
              <a:pathLst>
                <a:path w="128" h="114">
                  <a:moveTo>
                    <a:pt x="64" y="114"/>
                  </a:moveTo>
                  <a:lnTo>
                    <a:pt x="128" y="0"/>
                  </a:lnTo>
                  <a:lnTo>
                    <a:pt x="0" y="17"/>
                  </a:lnTo>
                  <a:lnTo>
                    <a:pt x="64" y="114"/>
                  </a:lnTo>
                  <a:close/>
                </a:path>
              </a:pathLst>
            </a:custGeom>
            <a:solidFill>
              <a:srgbClr val="000000"/>
            </a:solidFill>
            <a:ln>
              <a:noFill/>
            </a:ln>
            <a:extLst>
              <a:ext uri="{91240B29-F687-4F45-9708-019B960494DF}">
                <a14:hiddenLine xmlns:a14="http://schemas.microsoft.com/office/drawing/2010/main" w="9525">
                  <a:solidFill>
                    <a:srgbClr val="000000"/>
                  </a:solidFill>
                  <a:round/>
                  <a:headEnd/>
                  <a:tailEnd/>
                </a14:hiddenLine>
              </a:ext>
            </a:extLst>
          </xdr:spPr>
        </xdr:sp>
      </xdr:grpSp>
      <xdr:sp macro="" textlink="">
        <xdr:nvSpPr>
          <xdr:cNvPr id="8977" name="Rectangle 785">
            <a:extLst>
              <a:ext uri="{FF2B5EF4-FFF2-40B4-BE49-F238E27FC236}">
                <a16:creationId xmlns:a16="http://schemas.microsoft.com/office/drawing/2014/main" id="{0FBB7D3A-5BD4-4E75-B61E-A5AA703962ED}"/>
              </a:ext>
            </a:extLst>
          </xdr:cNvPr>
          <xdr:cNvSpPr>
            <a:spLocks noChangeArrowheads="1"/>
          </xdr:cNvSpPr>
        </xdr:nvSpPr>
        <xdr:spPr bwMode="auto">
          <a:xfrm>
            <a:off x="3824" y="6640"/>
            <a:ext cx="1365" cy="3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8978" name="Rectangle 786">
            <a:extLst>
              <a:ext uri="{FF2B5EF4-FFF2-40B4-BE49-F238E27FC236}">
                <a16:creationId xmlns:a16="http://schemas.microsoft.com/office/drawing/2014/main" id="{011A916F-8075-4C62-8E5E-13EB47C45AA2}"/>
              </a:ext>
            </a:extLst>
          </xdr:cNvPr>
          <xdr:cNvSpPr>
            <a:spLocks noChangeArrowheads="1"/>
          </xdr:cNvSpPr>
        </xdr:nvSpPr>
        <xdr:spPr bwMode="auto">
          <a:xfrm>
            <a:off x="3915" y="6701"/>
            <a:ext cx="1133" cy="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upright="1">
            <a:spAutoFit/>
          </a:bodyPr>
          <a:lstStyle/>
          <a:p>
            <a:pPr algn="l" rtl="0">
              <a:defRPr sz="1000"/>
            </a:pPr>
            <a:r>
              <a:rPr lang="en-GB" sz="1100" b="0" i="0" u="none" strike="noStrike" baseline="0">
                <a:solidFill>
                  <a:srgbClr val="000000"/>
                </a:solidFill>
                <a:latin typeface="Times New Roman"/>
                <a:cs typeface="Times New Roman"/>
              </a:rPr>
              <a:t>Inlet Damper</a:t>
            </a:r>
            <a:endParaRPr lang="en-GB" sz="1200" b="0" i="0" u="none" strike="noStrike" baseline="0">
              <a:solidFill>
                <a:srgbClr val="000000"/>
              </a:solidFill>
              <a:latin typeface="Times New Roman"/>
              <a:cs typeface="Times New Roman"/>
            </a:endParaRPr>
          </a:p>
          <a:p>
            <a:pPr algn="l" rtl="0">
              <a:defRPr sz="1000"/>
            </a:pPr>
            <a:endParaRPr lang="en-GB" sz="1200" b="0" i="0" u="none" strike="noStrike" baseline="0">
              <a:solidFill>
                <a:srgbClr val="000000"/>
              </a:solidFill>
              <a:latin typeface="Times New Roman"/>
              <a:cs typeface="Times New Roman"/>
            </a:endParaRPr>
          </a:p>
        </xdr:txBody>
      </xdr:sp>
      <xdr:grpSp>
        <xdr:nvGrpSpPr>
          <xdr:cNvPr id="8979" name="Group 787">
            <a:extLst>
              <a:ext uri="{FF2B5EF4-FFF2-40B4-BE49-F238E27FC236}">
                <a16:creationId xmlns:a16="http://schemas.microsoft.com/office/drawing/2014/main" id="{57EE656B-3408-4905-B470-426314C0285F}"/>
              </a:ext>
            </a:extLst>
          </xdr:cNvPr>
          <xdr:cNvGrpSpPr>
            <a:grpSpLocks/>
          </xdr:cNvGrpSpPr>
        </xdr:nvGrpSpPr>
        <xdr:grpSpPr bwMode="auto">
          <a:xfrm>
            <a:off x="5618" y="4652"/>
            <a:ext cx="505" cy="175"/>
            <a:chOff x="5618" y="4828"/>
            <a:chExt cx="505" cy="175"/>
          </a:xfrm>
        </xdr:grpSpPr>
        <xdr:sp macro="" textlink="">
          <xdr:nvSpPr>
            <xdr:cNvPr id="8980" name="Freeform 788">
              <a:extLst>
                <a:ext uri="{FF2B5EF4-FFF2-40B4-BE49-F238E27FC236}">
                  <a16:creationId xmlns:a16="http://schemas.microsoft.com/office/drawing/2014/main" id="{6C77990F-97B4-494B-A1F3-668EAD65DDD4}"/>
                </a:ext>
              </a:extLst>
            </xdr:cNvPr>
            <xdr:cNvSpPr>
              <a:spLocks/>
            </xdr:cNvSpPr>
          </xdr:nvSpPr>
          <xdr:spPr bwMode="auto">
            <a:xfrm>
              <a:off x="5724" y="4828"/>
              <a:ext cx="399" cy="127"/>
            </a:xfrm>
            <a:custGeom>
              <a:avLst/>
              <a:gdLst>
                <a:gd name="T0" fmla="*/ 399 w 399"/>
                <a:gd name="T1" fmla="*/ 16 h 127"/>
                <a:gd name="T2" fmla="*/ 395 w 399"/>
                <a:gd name="T3" fmla="*/ 0 h 127"/>
                <a:gd name="T4" fmla="*/ 0 w 399"/>
                <a:gd name="T5" fmla="*/ 110 h 127"/>
                <a:gd name="T6" fmla="*/ 5 w 399"/>
                <a:gd name="T7" fmla="*/ 127 h 127"/>
                <a:gd name="T8" fmla="*/ 399 w 399"/>
                <a:gd name="T9" fmla="*/ 16 h 127"/>
              </a:gdLst>
              <a:ahLst/>
              <a:cxnLst>
                <a:cxn ang="0">
                  <a:pos x="T0" y="T1"/>
                </a:cxn>
                <a:cxn ang="0">
                  <a:pos x="T2" y="T3"/>
                </a:cxn>
                <a:cxn ang="0">
                  <a:pos x="T4" y="T5"/>
                </a:cxn>
                <a:cxn ang="0">
                  <a:pos x="T6" y="T7"/>
                </a:cxn>
                <a:cxn ang="0">
                  <a:pos x="T8" y="T9"/>
                </a:cxn>
              </a:cxnLst>
              <a:rect l="0" t="0" r="r" b="b"/>
              <a:pathLst>
                <a:path w="399" h="127">
                  <a:moveTo>
                    <a:pt x="399" y="16"/>
                  </a:moveTo>
                  <a:lnTo>
                    <a:pt x="395" y="0"/>
                  </a:lnTo>
                  <a:lnTo>
                    <a:pt x="0" y="110"/>
                  </a:lnTo>
                  <a:lnTo>
                    <a:pt x="5" y="127"/>
                  </a:lnTo>
                  <a:lnTo>
                    <a:pt x="399" y="16"/>
                  </a:lnTo>
                  <a:close/>
                </a:path>
              </a:pathLst>
            </a:custGeom>
            <a:solidFill>
              <a:srgbClr val="000000"/>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8981" name="Freeform 789">
              <a:extLst>
                <a:ext uri="{FF2B5EF4-FFF2-40B4-BE49-F238E27FC236}">
                  <a16:creationId xmlns:a16="http://schemas.microsoft.com/office/drawing/2014/main" id="{D23F230A-7B1E-4E95-86D5-86437F7DA4A3}"/>
                </a:ext>
              </a:extLst>
            </xdr:cNvPr>
            <xdr:cNvSpPr>
              <a:spLocks/>
            </xdr:cNvSpPr>
          </xdr:nvSpPr>
          <xdr:spPr bwMode="auto">
            <a:xfrm>
              <a:off x="5618" y="4890"/>
              <a:ext cx="129" cy="113"/>
            </a:xfrm>
            <a:custGeom>
              <a:avLst/>
              <a:gdLst>
                <a:gd name="T0" fmla="*/ 97 w 129"/>
                <a:gd name="T1" fmla="*/ 0 h 113"/>
                <a:gd name="T2" fmla="*/ 0 w 129"/>
                <a:gd name="T3" fmla="*/ 87 h 113"/>
                <a:gd name="T4" fmla="*/ 129 w 129"/>
                <a:gd name="T5" fmla="*/ 113 h 113"/>
                <a:gd name="T6" fmla="*/ 97 w 129"/>
                <a:gd name="T7" fmla="*/ 0 h 113"/>
              </a:gdLst>
              <a:ahLst/>
              <a:cxnLst>
                <a:cxn ang="0">
                  <a:pos x="T0" y="T1"/>
                </a:cxn>
                <a:cxn ang="0">
                  <a:pos x="T2" y="T3"/>
                </a:cxn>
                <a:cxn ang="0">
                  <a:pos x="T4" y="T5"/>
                </a:cxn>
                <a:cxn ang="0">
                  <a:pos x="T6" y="T7"/>
                </a:cxn>
              </a:cxnLst>
              <a:rect l="0" t="0" r="r" b="b"/>
              <a:pathLst>
                <a:path w="129" h="113">
                  <a:moveTo>
                    <a:pt x="97" y="0"/>
                  </a:moveTo>
                  <a:lnTo>
                    <a:pt x="0" y="87"/>
                  </a:lnTo>
                  <a:lnTo>
                    <a:pt x="129" y="113"/>
                  </a:lnTo>
                  <a:lnTo>
                    <a:pt x="97" y="0"/>
                  </a:lnTo>
                  <a:close/>
                </a:path>
              </a:pathLst>
            </a:custGeom>
            <a:solidFill>
              <a:srgbClr val="000000"/>
            </a:solidFill>
            <a:ln>
              <a:noFill/>
            </a:ln>
            <a:extLst>
              <a:ext uri="{91240B29-F687-4F45-9708-019B960494DF}">
                <a14:hiddenLine xmlns:a14="http://schemas.microsoft.com/office/drawing/2010/main" w="9525">
                  <a:solidFill>
                    <a:srgbClr val="000000"/>
                  </a:solidFill>
                  <a:round/>
                  <a:headEnd/>
                  <a:tailEnd/>
                </a14:hiddenLine>
              </a:ext>
            </a:extLst>
          </xdr:spPr>
        </xdr:sp>
      </xdr:grpSp>
      <xdr:sp macro="" textlink="">
        <xdr:nvSpPr>
          <xdr:cNvPr id="8982" name="Oval 790">
            <a:extLst>
              <a:ext uri="{FF2B5EF4-FFF2-40B4-BE49-F238E27FC236}">
                <a16:creationId xmlns:a16="http://schemas.microsoft.com/office/drawing/2014/main" id="{497D8DAF-187D-472D-87C9-26092B75C56D}"/>
              </a:ext>
            </a:extLst>
          </xdr:cNvPr>
          <xdr:cNvSpPr>
            <a:spLocks noChangeArrowheads="1"/>
          </xdr:cNvSpPr>
        </xdr:nvSpPr>
        <xdr:spPr bwMode="auto">
          <a:xfrm>
            <a:off x="4402" y="4026"/>
            <a:ext cx="496" cy="278"/>
          </a:xfrm>
          <a:prstGeom prst="ellipse">
            <a:avLst/>
          </a:prstGeom>
          <a:solidFill>
            <a:srgbClr val="FFFF99"/>
          </a:solidFill>
          <a:ln w="5715">
            <a:solidFill>
              <a:srgbClr val="000000"/>
            </a:solidFill>
            <a:round/>
            <a:headEnd/>
            <a:tailEnd/>
          </a:ln>
        </xdr:spPr>
      </xdr:sp>
      <xdr:sp macro="" textlink="">
        <xdr:nvSpPr>
          <xdr:cNvPr id="8983" name="Rectangle 791">
            <a:extLst>
              <a:ext uri="{FF2B5EF4-FFF2-40B4-BE49-F238E27FC236}">
                <a16:creationId xmlns:a16="http://schemas.microsoft.com/office/drawing/2014/main" id="{AFFC6383-424F-4E7F-BACD-E0C62AE5985A}"/>
              </a:ext>
            </a:extLst>
          </xdr:cNvPr>
          <xdr:cNvSpPr>
            <a:spLocks noChangeArrowheads="1"/>
          </xdr:cNvSpPr>
        </xdr:nvSpPr>
        <xdr:spPr bwMode="auto">
          <a:xfrm>
            <a:off x="4542" y="3954"/>
            <a:ext cx="294" cy="3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8984" name="Rectangle 792">
            <a:extLst>
              <a:ext uri="{FF2B5EF4-FFF2-40B4-BE49-F238E27FC236}">
                <a16:creationId xmlns:a16="http://schemas.microsoft.com/office/drawing/2014/main" id="{53C2A249-DC56-4C71-A66B-81C720DA67D8}"/>
              </a:ext>
            </a:extLst>
          </xdr:cNvPr>
          <xdr:cNvSpPr>
            <a:spLocks noChangeArrowheads="1"/>
          </xdr:cNvSpPr>
        </xdr:nvSpPr>
        <xdr:spPr bwMode="auto">
          <a:xfrm>
            <a:off x="4638" y="4013"/>
            <a:ext cx="124" cy="6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upright="1">
            <a:spAutoFit/>
          </a:bodyPr>
          <a:lstStyle/>
          <a:p>
            <a:pPr algn="l" rtl="0">
              <a:defRPr sz="1000"/>
            </a:pPr>
            <a:r>
              <a:rPr lang="en-GB" sz="1100" b="0" i="0" u="none" strike="noStrike" baseline="0">
                <a:solidFill>
                  <a:srgbClr val="000000"/>
                </a:solidFill>
                <a:latin typeface="Times New Roman"/>
                <a:cs typeface="Times New Roman"/>
              </a:rPr>
              <a:t>P</a:t>
            </a:r>
            <a:endParaRPr lang="en-GB" sz="1200" b="0" i="0" u="none" strike="noStrike" baseline="0">
              <a:solidFill>
                <a:srgbClr val="000000"/>
              </a:solidFill>
              <a:latin typeface="Times New Roman"/>
              <a:cs typeface="Times New Roman"/>
            </a:endParaRPr>
          </a:p>
          <a:p>
            <a:pPr algn="l" rtl="0">
              <a:defRPr sz="1000"/>
            </a:pPr>
            <a:endParaRPr lang="en-GB" sz="1200" b="0" i="0" u="none" strike="noStrike" baseline="0">
              <a:solidFill>
                <a:srgbClr val="000000"/>
              </a:solidFill>
              <a:latin typeface="Times New Roman"/>
              <a:cs typeface="Times New Roman"/>
            </a:endParaRPr>
          </a:p>
        </xdr:txBody>
      </xdr:sp>
      <xdr:grpSp>
        <xdr:nvGrpSpPr>
          <xdr:cNvPr id="8985" name="Group 793">
            <a:extLst>
              <a:ext uri="{FF2B5EF4-FFF2-40B4-BE49-F238E27FC236}">
                <a16:creationId xmlns:a16="http://schemas.microsoft.com/office/drawing/2014/main" id="{485D54BA-555C-446D-94B9-5A1D3B632DD7}"/>
              </a:ext>
            </a:extLst>
          </xdr:cNvPr>
          <xdr:cNvGrpSpPr>
            <a:grpSpLocks/>
          </xdr:cNvGrpSpPr>
        </xdr:nvGrpSpPr>
        <xdr:grpSpPr bwMode="auto">
          <a:xfrm>
            <a:off x="8332" y="2113"/>
            <a:ext cx="26" cy="1414"/>
            <a:chOff x="8332" y="2289"/>
            <a:chExt cx="26" cy="1414"/>
          </a:xfrm>
        </xdr:grpSpPr>
        <xdr:sp macro="" textlink="">
          <xdr:nvSpPr>
            <xdr:cNvPr id="8986" name="Rectangle 794">
              <a:extLst>
                <a:ext uri="{FF2B5EF4-FFF2-40B4-BE49-F238E27FC236}">
                  <a16:creationId xmlns:a16="http://schemas.microsoft.com/office/drawing/2014/main" id="{36E4EB13-AE8D-449E-8032-8C60A3D0ED73}"/>
                </a:ext>
              </a:extLst>
            </xdr:cNvPr>
            <xdr:cNvSpPr>
              <a:spLocks noChangeArrowheads="1"/>
            </xdr:cNvSpPr>
          </xdr:nvSpPr>
          <xdr:spPr bwMode="auto">
            <a:xfrm>
              <a:off x="8332" y="2289"/>
              <a:ext cx="26" cy="108"/>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8987" name="Rectangle 795">
              <a:extLst>
                <a:ext uri="{FF2B5EF4-FFF2-40B4-BE49-F238E27FC236}">
                  <a16:creationId xmlns:a16="http://schemas.microsoft.com/office/drawing/2014/main" id="{444B6626-9D31-4346-A279-DF6E5786648A}"/>
                </a:ext>
              </a:extLst>
            </xdr:cNvPr>
            <xdr:cNvSpPr>
              <a:spLocks noChangeArrowheads="1"/>
            </xdr:cNvSpPr>
          </xdr:nvSpPr>
          <xdr:spPr bwMode="auto">
            <a:xfrm>
              <a:off x="8332" y="2478"/>
              <a:ext cx="26" cy="107"/>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8988" name="Rectangle 796">
              <a:extLst>
                <a:ext uri="{FF2B5EF4-FFF2-40B4-BE49-F238E27FC236}">
                  <a16:creationId xmlns:a16="http://schemas.microsoft.com/office/drawing/2014/main" id="{6C409356-232B-4E6B-B713-84C6C5FBBE30}"/>
                </a:ext>
              </a:extLst>
            </xdr:cNvPr>
            <xdr:cNvSpPr>
              <a:spLocks noChangeArrowheads="1"/>
            </xdr:cNvSpPr>
          </xdr:nvSpPr>
          <xdr:spPr bwMode="auto">
            <a:xfrm>
              <a:off x="8332" y="2666"/>
              <a:ext cx="26" cy="108"/>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8989" name="Rectangle 797">
              <a:extLst>
                <a:ext uri="{FF2B5EF4-FFF2-40B4-BE49-F238E27FC236}">
                  <a16:creationId xmlns:a16="http://schemas.microsoft.com/office/drawing/2014/main" id="{9AE9B913-03B4-4706-B685-0E7E9278E1BF}"/>
                </a:ext>
              </a:extLst>
            </xdr:cNvPr>
            <xdr:cNvSpPr>
              <a:spLocks noChangeArrowheads="1"/>
            </xdr:cNvSpPr>
          </xdr:nvSpPr>
          <xdr:spPr bwMode="auto">
            <a:xfrm>
              <a:off x="8332" y="2854"/>
              <a:ext cx="26" cy="108"/>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8990" name="Rectangle 798">
              <a:extLst>
                <a:ext uri="{FF2B5EF4-FFF2-40B4-BE49-F238E27FC236}">
                  <a16:creationId xmlns:a16="http://schemas.microsoft.com/office/drawing/2014/main" id="{A1E6D7DC-6FD9-4B4D-82B4-2BCA3C4985B4}"/>
                </a:ext>
              </a:extLst>
            </xdr:cNvPr>
            <xdr:cNvSpPr>
              <a:spLocks noChangeArrowheads="1"/>
            </xdr:cNvSpPr>
          </xdr:nvSpPr>
          <xdr:spPr bwMode="auto">
            <a:xfrm>
              <a:off x="8332" y="3043"/>
              <a:ext cx="26" cy="107"/>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8991" name="Rectangle 799">
              <a:extLst>
                <a:ext uri="{FF2B5EF4-FFF2-40B4-BE49-F238E27FC236}">
                  <a16:creationId xmlns:a16="http://schemas.microsoft.com/office/drawing/2014/main" id="{DC193621-679E-4A96-A1F1-A47BEB92B2E8}"/>
                </a:ext>
              </a:extLst>
            </xdr:cNvPr>
            <xdr:cNvSpPr>
              <a:spLocks noChangeArrowheads="1"/>
            </xdr:cNvSpPr>
          </xdr:nvSpPr>
          <xdr:spPr bwMode="auto">
            <a:xfrm>
              <a:off x="8332" y="3231"/>
              <a:ext cx="26" cy="108"/>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8992" name="Rectangle 800">
              <a:extLst>
                <a:ext uri="{FF2B5EF4-FFF2-40B4-BE49-F238E27FC236}">
                  <a16:creationId xmlns:a16="http://schemas.microsoft.com/office/drawing/2014/main" id="{D01B46E9-FC07-4950-B786-2D7C1928DCF9}"/>
                </a:ext>
              </a:extLst>
            </xdr:cNvPr>
            <xdr:cNvSpPr>
              <a:spLocks noChangeArrowheads="1"/>
            </xdr:cNvSpPr>
          </xdr:nvSpPr>
          <xdr:spPr bwMode="auto">
            <a:xfrm>
              <a:off x="8332" y="3419"/>
              <a:ext cx="26" cy="108"/>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8993" name="Rectangle 801">
              <a:extLst>
                <a:ext uri="{FF2B5EF4-FFF2-40B4-BE49-F238E27FC236}">
                  <a16:creationId xmlns:a16="http://schemas.microsoft.com/office/drawing/2014/main" id="{57600A9A-CC15-4025-AB17-DC8CD9505374}"/>
                </a:ext>
              </a:extLst>
            </xdr:cNvPr>
            <xdr:cNvSpPr>
              <a:spLocks noChangeArrowheads="1"/>
            </xdr:cNvSpPr>
          </xdr:nvSpPr>
          <xdr:spPr bwMode="auto">
            <a:xfrm>
              <a:off x="8332" y="3608"/>
              <a:ext cx="26" cy="95"/>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grpSp>
      <xdr:grpSp>
        <xdr:nvGrpSpPr>
          <xdr:cNvPr id="8994" name="Group 802">
            <a:extLst>
              <a:ext uri="{FF2B5EF4-FFF2-40B4-BE49-F238E27FC236}">
                <a16:creationId xmlns:a16="http://schemas.microsoft.com/office/drawing/2014/main" id="{E0923371-7C03-474E-9E00-4DD67A49046D}"/>
              </a:ext>
            </a:extLst>
          </xdr:cNvPr>
          <xdr:cNvGrpSpPr>
            <a:grpSpLocks/>
          </xdr:cNvGrpSpPr>
        </xdr:nvGrpSpPr>
        <xdr:grpSpPr bwMode="auto">
          <a:xfrm>
            <a:off x="8332" y="6003"/>
            <a:ext cx="26" cy="1615"/>
            <a:chOff x="8332" y="6179"/>
            <a:chExt cx="26" cy="1615"/>
          </a:xfrm>
        </xdr:grpSpPr>
        <xdr:sp macro="" textlink="">
          <xdr:nvSpPr>
            <xdr:cNvPr id="8995" name="Rectangle 803">
              <a:extLst>
                <a:ext uri="{FF2B5EF4-FFF2-40B4-BE49-F238E27FC236}">
                  <a16:creationId xmlns:a16="http://schemas.microsoft.com/office/drawing/2014/main" id="{1FBF5A51-4711-4CF0-B371-FAF5F4D0F972}"/>
                </a:ext>
              </a:extLst>
            </xdr:cNvPr>
            <xdr:cNvSpPr>
              <a:spLocks noChangeArrowheads="1"/>
            </xdr:cNvSpPr>
          </xdr:nvSpPr>
          <xdr:spPr bwMode="auto">
            <a:xfrm>
              <a:off x="8332" y="6179"/>
              <a:ext cx="26" cy="108"/>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8996" name="Rectangle 804">
              <a:extLst>
                <a:ext uri="{FF2B5EF4-FFF2-40B4-BE49-F238E27FC236}">
                  <a16:creationId xmlns:a16="http://schemas.microsoft.com/office/drawing/2014/main" id="{FA4ADD2B-2630-4A1F-A4AA-9035F0B9EBE2}"/>
                </a:ext>
              </a:extLst>
            </xdr:cNvPr>
            <xdr:cNvSpPr>
              <a:spLocks noChangeArrowheads="1"/>
            </xdr:cNvSpPr>
          </xdr:nvSpPr>
          <xdr:spPr bwMode="auto">
            <a:xfrm>
              <a:off x="8332" y="6368"/>
              <a:ext cx="26" cy="107"/>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8997" name="Rectangle 805">
              <a:extLst>
                <a:ext uri="{FF2B5EF4-FFF2-40B4-BE49-F238E27FC236}">
                  <a16:creationId xmlns:a16="http://schemas.microsoft.com/office/drawing/2014/main" id="{464695BE-88BF-4B0F-8364-CC88B414CA56}"/>
                </a:ext>
              </a:extLst>
            </xdr:cNvPr>
            <xdr:cNvSpPr>
              <a:spLocks noChangeArrowheads="1"/>
            </xdr:cNvSpPr>
          </xdr:nvSpPr>
          <xdr:spPr bwMode="auto">
            <a:xfrm>
              <a:off x="8332" y="6556"/>
              <a:ext cx="26" cy="108"/>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8998" name="Rectangle 806">
              <a:extLst>
                <a:ext uri="{FF2B5EF4-FFF2-40B4-BE49-F238E27FC236}">
                  <a16:creationId xmlns:a16="http://schemas.microsoft.com/office/drawing/2014/main" id="{8B4DAE6F-2FF8-40AA-8CA8-D12CA4B0DA84}"/>
                </a:ext>
              </a:extLst>
            </xdr:cNvPr>
            <xdr:cNvSpPr>
              <a:spLocks noChangeArrowheads="1"/>
            </xdr:cNvSpPr>
          </xdr:nvSpPr>
          <xdr:spPr bwMode="auto">
            <a:xfrm>
              <a:off x="8332" y="6744"/>
              <a:ext cx="26" cy="108"/>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8999" name="Rectangle 807">
              <a:extLst>
                <a:ext uri="{FF2B5EF4-FFF2-40B4-BE49-F238E27FC236}">
                  <a16:creationId xmlns:a16="http://schemas.microsoft.com/office/drawing/2014/main" id="{A1F63EEF-9CFB-420A-8800-15FC0096315C}"/>
                </a:ext>
              </a:extLst>
            </xdr:cNvPr>
            <xdr:cNvSpPr>
              <a:spLocks noChangeArrowheads="1"/>
            </xdr:cNvSpPr>
          </xdr:nvSpPr>
          <xdr:spPr bwMode="auto">
            <a:xfrm>
              <a:off x="8332" y="6933"/>
              <a:ext cx="26" cy="107"/>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9000" name="Rectangle 808">
              <a:extLst>
                <a:ext uri="{FF2B5EF4-FFF2-40B4-BE49-F238E27FC236}">
                  <a16:creationId xmlns:a16="http://schemas.microsoft.com/office/drawing/2014/main" id="{046FAEE6-A737-42B3-9DD9-FE21487BCD5A}"/>
                </a:ext>
              </a:extLst>
            </xdr:cNvPr>
            <xdr:cNvSpPr>
              <a:spLocks noChangeArrowheads="1"/>
            </xdr:cNvSpPr>
          </xdr:nvSpPr>
          <xdr:spPr bwMode="auto">
            <a:xfrm>
              <a:off x="8332" y="7121"/>
              <a:ext cx="26" cy="108"/>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9001" name="Rectangle 809">
              <a:extLst>
                <a:ext uri="{FF2B5EF4-FFF2-40B4-BE49-F238E27FC236}">
                  <a16:creationId xmlns:a16="http://schemas.microsoft.com/office/drawing/2014/main" id="{23E7731D-3216-40A9-AFAD-B6F9F043003D}"/>
                </a:ext>
              </a:extLst>
            </xdr:cNvPr>
            <xdr:cNvSpPr>
              <a:spLocks noChangeArrowheads="1"/>
            </xdr:cNvSpPr>
          </xdr:nvSpPr>
          <xdr:spPr bwMode="auto">
            <a:xfrm>
              <a:off x="8332" y="7309"/>
              <a:ext cx="26" cy="108"/>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9002" name="Rectangle 810">
              <a:extLst>
                <a:ext uri="{FF2B5EF4-FFF2-40B4-BE49-F238E27FC236}">
                  <a16:creationId xmlns:a16="http://schemas.microsoft.com/office/drawing/2014/main" id="{24CEBDB1-8E30-401C-9F79-8D4C7B657ABD}"/>
                </a:ext>
              </a:extLst>
            </xdr:cNvPr>
            <xdr:cNvSpPr>
              <a:spLocks noChangeArrowheads="1"/>
            </xdr:cNvSpPr>
          </xdr:nvSpPr>
          <xdr:spPr bwMode="auto">
            <a:xfrm>
              <a:off x="8332" y="7498"/>
              <a:ext cx="26" cy="107"/>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9003" name="Rectangle 811">
              <a:extLst>
                <a:ext uri="{FF2B5EF4-FFF2-40B4-BE49-F238E27FC236}">
                  <a16:creationId xmlns:a16="http://schemas.microsoft.com/office/drawing/2014/main" id="{F62570C7-0F50-4D67-9C34-A67371C2E45A}"/>
                </a:ext>
              </a:extLst>
            </xdr:cNvPr>
            <xdr:cNvSpPr>
              <a:spLocks noChangeArrowheads="1"/>
            </xdr:cNvSpPr>
          </xdr:nvSpPr>
          <xdr:spPr bwMode="auto">
            <a:xfrm>
              <a:off x="8332" y="7686"/>
              <a:ext cx="26" cy="108"/>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grpSp>
      <xdr:sp macro="" textlink="">
        <xdr:nvSpPr>
          <xdr:cNvPr id="9004" name="Rectangle 812">
            <a:extLst>
              <a:ext uri="{FF2B5EF4-FFF2-40B4-BE49-F238E27FC236}">
                <a16:creationId xmlns:a16="http://schemas.microsoft.com/office/drawing/2014/main" id="{F7784413-B63B-4FA8-9529-AB4A1DF1BA68}"/>
              </a:ext>
            </a:extLst>
          </xdr:cNvPr>
          <xdr:cNvSpPr>
            <a:spLocks noChangeArrowheads="1"/>
          </xdr:cNvSpPr>
        </xdr:nvSpPr>
        <xdr:spPr bwMode="auto">
          <a:xfrm>
            <a:off x="8130" y="5579"/>
            <a:ext cx="1580" cy="3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9005" name="Rectangle 813">
            <a:extLst>
              <a:ext uri="{FF2B5EF4-FFF2-40B4-BE49-F238E27FC236}">
                <a16:creationId xmlns:a16="http://schemas.microsoft.com/office/drawing/2014/main" id="{50345822-99AF-41AB-9827-B034120A6322}"/>
              </a:ext>
            </a:extLst>
          </xdr:cNvPr>
          <xdr:cNvSpPr>
            <a:spLocks noChangeArrowheads="1"/>
          </xdr:cNvSpPr>
        </xdr:nvSpPr>
        <xdr:spPr bwMode="auto">
          <a:xfrm>
            <a:off x="8239" y="5622"/>
            <a:ext cx="829" cy="6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upright="1">
            <a:spAutoFit/>
          </a:bodyPr>
          <a:lstStyle/>
          <a:p>
            <a:pPr algn="l" rtl="0">
              <a:defRPr sz="1000"/>
            </a:pPr>
            <a:r>
              <a:rPr lang="en-GB" sz="1100" b="0" i="0" u="none" strike="noStrike" baseline="0">
                <a:solidFill>
                  <a:srgbClr val="000000"/>
                </a:solidFill>
                <a:latin typeface="Times New Roman"/>
                <a:cs typeface="Times New Roman"/>
              </a:rPr>
              <a:t>Fuel Inlet</a:t>
            </a:r>
            <a:endParaRPr lang="en-GB" sz="1200" b="0" i="0" u="none" strike="noStrike" baseline="0">
              <a:solidFill>
                <a:srgbClr val="000000"/>
              </a:solidFill>
              <a:latin typeface="Times New Roman"/>
              <a:cs typeface="Times New Roman"/>
            </a:endParaRPr>
          </a:p>
          <a:p>
            <a:pPr algn="l" rtl="0">
              <a:defRPr sz="1000"/>
            </a:pPr>
            <a:endParaRPr lang="en-GB" sz="1200" b="0" i="0" u="none" strike="noStrike" baseline="0">
              <a:solidFill>
                <a:srgbClr val="000000"/>
              </a:solidFill>
              <a:latin typeface="Times New Roman"/>
              <a:cs typeface="Times New Roman"/>
            </a:endParaRPr>
          </a:p>
        </xdr:txBody>
      </xdr:sp>
      <xdr:sp macro="" textlink="">
        <xdr:nvSpPr>
          <xdr:cNvPr id="9006" name="Rectangle 814">
            <a:extLst>
              <a:ext uri="{FF2B5EF4-FFF2-40B4-BE49-F238E27FC236}">
                <a16:creationId xmlns:a16="http://schemas.microsoft.com/office/drawing/2014/main" id="{30CBE04E-F742-4776-8007-950EB7D9413A}"/>
              </a:ext>
            </a:extLst>
          </xdr:cNvPr>
          <xdr:cNvSpPr>
            <a:spLocks noChangeArrowheads="1"/>
          </xdr:cNvSpPr>
        </xdr:nvSpPr>
        <xdr:spPr bwMode="auto">
          <a:xfrm>
            <a:off x="1815" y="5084"/>
            <a:ext cx="1363" cy="6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9007" name="Rectangle 815">
            <a:extLst>
              <a:ext uri="{FF2B5EF4-FFF2-40B4-BE49-F238E27FC236}">
                <a16:creationId xmlns:a16="http://schemas.microsoft.com/office/drawing/2014/main" id="{B13EE6F4-8879-4A13-8D3D-3A7B430BC07C}"/>
              </a:ext>
            </a:extLst>
          </xdr:cNvPr>
          <xdr:cNvSpPr>
            <a:spLocks noChangeArrowheads="1"/>
          </xdr:cNvSpPr>
        </xdr:nvSpPr>
        <xdr:spPr bwMode="auto">
          <a:xfrm>
            <a:off x="2048" y="5153"/>
            <a:ext cx="934" cy="5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upright="1">
            <a:spAutoFit/>
          </a:bodyPr>
          <a:lstStyle/>
          <a:p>
            <a:pPr algn="l" rtl="0">
              <a:defRPr sz="1000"/>
            </a:pPr>
            <a:r>
              <a:rPr lang="en-GB" sz="1100" b="0" i="0" u="none" strike="noStrike" baseline="0">
                <a:solidFill>
                  <a:srgbClr val="000000"/>
                </a:solidFill>
                <a:latin typeface="Times New Roman"/>
                <a:cs typeface="Times New Roman"/>
              </a:rPr>
              <a:t>Feedwater </a:t>
            </a:r>
            <a:endParaRPr lang="en-GB" sz="1200" b="0" i="0" u="none" strike="noStrike" baseline="0">
              <a:solidFill>
                <a:srgbClr val="000000"/>
              </a:solidFill>
              <a:latin typeface="Times New Roman"/>
              <a:cs typeface="Times New Roman"/>
            </a:endParaRPr>
          </a:p>
          <a:p>
            <a:pPr algn="l" rtl="0">
              <a:defRPr sz="1000"/>
            </a:pPr>
            <a:endParaRPr lang="en-GB" sz="1200" b="0" i="0" u="none" strike="noStrike" baseline="0">
              <a:solidFill>
                <a:srgbClr val="000000"/>
              </a:solidFill>
              <a:latin typeface="Times New Roman"/>
              <a:cs typeface="Times New Roman"/>
            </a:endParaRPr>
          </a:p>
        </xdr:txBody>
      </xdr:sp>
      <xdr:sp macro="" textlink="">
        <xdr:nvSpPr>
          <xdr:cNvPr id="9008" name="Rectangle 816">
            <a:extLst>
              <a:ext uri="{FF2B5EF4-FFF2-40B4-BE49-F238E27FC236}">
                <a16:creationId xmlns:a16="http://schemas.microsoft.com/office/drawing/2014/main" id="{6CE76E60-8D38-4C10-AD82-0C635759D6D7}"/>
              </a:ext>
            </a:extLst>
          </xdr:cNvPr>
          <xdr:cNvSpPr>
            <a:spLocks noChangeArrowheads="1"/>
          </xdr:cNvSpPr>
        </xdr:nvSpPr>
        <xdr:spPr bwMode="auto">
          <a:xfrm>
            <a:off x="2286" y="5408"/>
            <a:ext cx="400" cy="6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upright="1">
            <a:spAutoFit/>
          </a:bodyPr>
          <a:lstStyle/>
          <a:p>
            <a:pPr algn="l" rtl="0">
              <a:defRPr sz="1000"/>
            </a:pPr>
            <a:r>
              <a:rPr lang="en-GB" sz="1100" b="0" i="0" u="none" strike="noStrike" baseline="0">
                <a:solidFill>
                  <a:srgbClr val="000000"/>
                </a:solidFill>
                <a:latin typeface="Times New Roman"/>
                <a:cs typeface="Times New Roman"/>
              </a:rPr>
              <a:t>Inlet</a:t>
            </a:r>
            <a:endParaRPr lang="en-GB" sz="1200" b="0" i="0" u="none" strike="noStrike" baseline="0">
              <a:solidFill>
                <a:srgbClr val="000000"/>
              </a:solidFill>
              <a:latin typeface="Times New Roman"/>
              <a:cs typeface="Times New Roman"/>
            </a:endParaRPr>
          </a:p>
          <a:p>
            <a:pPr algn="l" rtl="0">
              <a:defRPr sz="1000"/>
            </a:pPr>
            <a:endParaRPr lang="en-GB" sz="1200" b="0" i="0" u="none" strike="noStrike" baseline="0">
              <a:solidFill>
                <a:srgbClr val="000000"/>
              </a:solidFill>
              <a:latin typeface="Times New Roman"/>
              <a:cs typeface="Times New Roman"/>
            </a:endParaRPr>
          </a:p>
        </xdr:txBody>
      </xdr:sp>
      <xdr:sp macro="" textlink="">
        <xdr:nvSpPr>
          <xdr:cNvPr id="9009" name="Rectangle 817">
            <a:extLst>
              <a:ext uri="{FF2B5EF4-FFF2-40B4-BE49-F238E27FC236}">
                <a16:creationId xmlns:a16="http://schemas.microsoft.com/office/drawing/2014/main" id="{5CA00F87-3F75-428B-9E2D-8B8947B7160A}"/>
              </a:ext>
            </a:extLst>
          </xdr:cNvPr>
          <xdr:cNvSpPr>
            <a:spLocks noChangeArrowheads="1"/>
          </xdr:cNvSpPr>
        </xdr:nvSpPr>
        <xdr:spPr bwMode="auto">
          <a:xfrm>
            <a:off x="2061" y="4508"/>
            <a:ext cx="1859" cy="385"/>
          </a:xfrm>
          <a:prstGeom prst="rect">
            <a:avLst/>
          </a:prstGeom>
          <a:solidFill>
            <a:srgbClr val="EAEAEA"/>
          </a:solidFill>
          <a:ln w="5715">
            <a:solidFill>
              <a:srgbClr val="000000"/>
            </a:solidFill>
            <a:miter lim="800000"/>
            <a:headEnd/>
            <a:tailEnd/>
          </a:ln>
        </xdr:spPr>
      </xdr:sp>
      <xdr:sp macro="" textlink="">
        <xdr:nvSpPr>
          <xdr:cNvPr id="9010" name="Rectangle 818">
            <a:extLst>
              <a:ext uri="{FF2B5EF4-FFF2-40B4-BE49-F238E27FC236}">
                <a16:creationId xmlns:a16="http://schemas.microsoft.com/office/drawing/2014/main" id="{7C912809-5FA0-43F0-A242-6599DC4D3D75}"/>
              </a:ext>
            </a:extLst>
          </xdr:cNvPr>
          <xdr:cNvSpPr>
            <a:spLocks noChangeArrowheads="1"/>
          </xdr:cNvSpPr>
        </xdr:nvSpPr>
        <xdr:spPr bwMode="auto">
          <a:xfrm>
            <a:off x="2174" y="4517"/>
            <a:ext cx="1795" cy="2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9011" name="Rectangle 819">
            <a:extLst>
              <a:ext uri="{FF2B5EF4-FFF2-40B4-BE49-F238E27FC236}">
                <a16:creationId xmlns:a16="http://schemas.microsoft.com/office/drawing/2014/main" id="{5A7973AE-5442-4605-BC6A-F5C87DC88423}"/>
              </a:ext>
            </a:extLst>
          </xdr:cNvPr>
          <xdr:cNvSpPr>
            <a:spLocks noChangeArrowheads="1"/>
          </xdr:cNvSpPr>
        </xdr:nvSpPr>
        <xdr:spPr bwMode="auto">
          <a:xfrm>
            <a:off x="2248" y="4573"/>
            <a:ext cx="1123" cy="4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upright="1">
            <a:spAutoFit/>
          </a:bodyPr>
          <a:lstStyle/>
          <a:p>
            <a:pPr algn="l" rtl="0">
              <a:defRPr sz="1000"/>
            </a:pPr>
            <a:r>
              <a:rPr lang="en-GB" sz="800" b="0" i="0" u="none" strike="noStrike" baseline="0">
                <a:solidFill>
                  <a:srgbClr val="000000"/>
                </a:solidFill>
                <a:latin typeface="Times New Roman"/>
                <a:cs typeface="Times New Roman"/>
              </a:rPr>
              <a:t>Feedwater Header</a:t>
            </a:r>
            <a:endParaRPr lang="en-GB" sz="1200" b="0" i="0" u="none" strike="noStrike" baseline="0">
              <a:solidFill>
                <a:srgbClr val="000000"/>
              </a:solidFill>
              <a:latin typeface="Times New Roman"/>
              <a:cs typeface="Times New Roman"/>
            </a:endParaRPr>
          </a:p>
          <a:p>
            <a:pPr algn="l" rtl="0">
              <a:defRPr sz="1000"/>
            </a:pPr>
            <a:endParaRPr lang="en-GB" sz="1200" b="0" i="0" u="none" strike="noStrike" baseline="0">
              <a:solidFill>
                <a:srgbClr val="000000"/>
              </a:solidFill>
              <a:latin typeface="Times New Roman"/>
              <a:cs typeface="Times New Roman"/>
            </a:endParaRPr>
          </a:p>
        </xdr:txBody>
      </xdr:sp>
      <xdr:grpSp>
        <xdr:nvGrpSpPr>
          <xdr:cNvPr id="9012" name="Group 820">
            <a:extLst>
              <a:ext uri="{FF2B5EF4-FFF2-40B4-BE49-F238E27FC236}">
                <a16:creationId xmlns:a16="http://schemas.microsoft.com/office/drawing/2014/main" id="{C3044DBA-AE5A-4272-B492-DD31756D80E7}"/>
              </a:ext>
            </a:extLst>
          </xdr:cNvPr>
          <xdr:cNvGrpSpPr>
            <a:grpSpLocks/>
          </xdr:cNvGrpSpPr>
        </xdr:nvGrpSpPr>
        <xdr:grpSpPr bwMode="auto">
          <a:xfrm>
            <a:off x="3681" y="4613"/>
            <a:ext cx="358" cy="94"/>
            <a:chOff x="3681" y="4789"/>
            <a:chExt cx="358" cy="94"/>
          </a:xfrm>
        </xdr:grpSpPr>
        <xdr:sp macro="" textlink="">
          <xdr:nvSpPr>
            <xdr:cNvPr id="9013" name="Line 821">
              <a:extLst>
                <a:ext uri="{FF2B5EF4-FFF2-40B4-BE49-F238E27FC236}">
                  <a16:creationId xmlns:a16="http://schemas.microsoft.com/office/drawing/2014/main" id="{46F3DA3B-65CE-4462-A888-9B6B678F3574}"/>
                </a:ext>
              </a:extLst>
            </xdr:cNvPr>
            <xdr:cNvSpPr>
              <a:spLocks noChangeShapeType="1"/>
            </xdr:cNvSpPr>
          </xdr:nvSpPr>
          <xdr:spPr bwMode="auto">
            <a:xfrm>
              <a:off x="3681" y="4835"/>
              <a:ext cx="269" cy="1"/>
            </a:xfrm>
            <a:prstGeom prst="line">
              <a:avLst/>
            </a:prstGeom>
            <a:noFill/>
            <a:ln w="571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014" name="Freeform 822">
              <a:extLst>
                <a:ext uri="{FF2B5EF4-FFF2-40B4-BE49-F238E27FC236}">
                  <a16:creationId xmlns:a16="http://schemas.microsoft.com/office/drawing/2014/main" id="{0C126567-AD78-4B78-B448-530D7AA81CFF}"/>
                </a:ext>
              </a:extLst>
            </xdr:cNvPr>
            <xdr:cNvSpPr>
              <a:spLocks/>
            </xdr:cNvSpPr>
          </xdr:nvSpPr>
          <xdr:spPr bwMode="auto">
            <a:xfrm>
              <a:off x="3947" y="4789"/>
              <a:ext cx="92" cy="94"/>
            </a:xfrm>
            <a:custGeom>
              <a:avLst/>
              <a:gdLst>
                <a:gd name="T0" fmla="*/ 0 w 92"/>
                <a:gd name="T1" fmla="*/ 94 h 94"/>
                <a:gd name="T2" fmla="*/ 92 w 92"/>
                <a:gd name="T3" fmla="*/ 48 h 94"/>
                <a:gd name="T4" fmla="*/ 0 w 92"/>
                <a:gd name="T5" fmla="*/ 0 h 94"/>
                <a:gd name="T6" fmla="*/ 0 w 92"/>
                <a:gd name="T7" fmla="*/ 94 h 94"/>
              </a:gdLst>
              <a:ahLst/>
              <a:cxnLst>
                <a:cxn ang="0">
                  <a:pos x="T0" y="T1"/>
                </a:cxn>
                <a:cxn ang="0">
                  <a:pos x="T2" y="T3"/>
                </a:cxn>
                <a:cxn ang="0">
                  <a:pos x="T4" y="T5"/>
                </a:cxn>
                <a:cxn ang="0">
                  <a:pos x="T6" y="T7"/>
                </a:cxn>
              </a:cxnLst>
              <a:rect l="0" t="0" r="r" b="b"/>
              <a:pathLst>
                <a:path w="92" h="94">
                  <a:moveTo>
                    <a:pt x="0" y="94"/>
                  </a:moveTo>
                  <a:lnTo>
                    <a:pt x="92" y="48"/>
                  </a:lnTo>
                  <a:lnTo>
                    <a:pt x="0" y="0"/>
                  </a:lnTo>
                  <a:lnTo>
                    <a:pt x="0" y="94"/>
                  </a:lnTo>
                  <a:close/>
                </a:path>
              </a:pathLst>
            </a:custGeom>
            <a:solidFill>
              <a:srgbClr val="000000"/>
            </a:solidFill>
            <a:ln>
              <a:noFill/>
            </a:ln>
            <a:extLst>
              <a:ext uri="{91240B29-F687-4F45-9708-019B960494DF}">
                <a14:hiddenLine xmlns:a14="http://schemas.microsoft.com/office/drawing/2010/main" w="9525">
                  <a:solidFill>
                    <a:srgbClr val="000000"/>
                  </a:solidFill>
                  <a:round/>
                  <a:headEnd/>
                  <a:tailEnd/>
                </a14:hiddenLine>
              </a:ext>
            </a:extLst>
          </xdr:spPr>
        </xdr:sp>
      </xdr:grpSp>
      <xdr:grpSp>
        <xdr:nvGrpSpPr>
          <xdr:cNvPr id="9015" name="Group 823">
            <a:extLst>
              <a:ext uri="{FF2B5EF4-FFF2-40B4-BE49-F238E27FC236}">
                <a16:creationId xmlns:a16="http://schemas.microsoft.com/office/drawing/2014/main" id="{DE75468F-E71D-4B65-A0D5-D9F3F9E67F34}"/>
              </a:ext>
            </a:extLst>
          </xdr:cNvPr>
          <xdr:cNvGrpSpPr>
            <a:grpSpLocks/>
          </xdr:cNvGrpSpPr>
        </xdr:nvGrpSpPr>
        <xdr:grpSpPr bwMode="auto">
          <a:xfrm>
            <a:off x="1815" y="4613"/>
            <a:ext cx="359" cy="94"/>
            <a:chOff x="1815" y="4789"/>
            <a:chExt cx="359" cy="94"/>
          </a:xfrm>
        </xdr:grpSpPr>
        <xdr:sp macro="" textlink="">
          <xdr:nvSpPr>
            <xdr:cNvPr id="9016" name="Line 824">
              <a:extLst>
                <a:ext uri="{FF2B5EF4-FFF2-40B4-BE49-F238E27FC236}">
                  <a16:creationId xmlns:a16="http://schemas.microsoft.com/office/drawing/2014/main" id="{F1BD3A84-2281-4499-BDCD-BE598C047A59}"/>
                </a:ext>
              </a:extLst>
            </xdr:cNvPr>
            <xdr:cNvSpPr>
              <a:spLocks noChangeShapeType="1"/>
            </xdr:cNvSpPr>
          </xdr:nvSpPr>
          <xdr:spPr bwMode="auto">
            <a:xfrm flipH="1">
              <a:off x="1905" y="4835"/>
              <a:ext cx="269" cy="1"/>
            </a:xfrm>
            <a:prstGeom prst="line">
              <a:avLst/>
            </a:prstGeom>
            <a:noFill/>
            <a:ln w="571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017" name="Freeform 825">
              <a:extLst>
                <a:ext uri="{FF2B5EF4-FFF2-40B4-BE49-F238E27FC236}">
                  <a16:creationId xmlns:a16="http://schemas.microsoft.com/office/drawing/2014/main" id="{822EC2D4-45E6-4F02-BAD1-B97231232B3B}"/>
                </a:ext>
              </a:extLst>
            </xdr:cNvPr>
            <xdr:cNvSpPr>
              <a:spLocks/>
            </xdr:cNvSpPr>
          </xdr:nvSpPr>
          <xdr:spPr bwMode="auto">
            <a:xfrm>
              <a:off x="1815" y="4789"/>
              <a:ext cx="94" cy="94"/>
            </a:xfrm>
            <a:custGeom>
              <a:avLst/>
              <a:gdLst>
                <a:gd name="T0" fmla="*/ 94 w 94"/>
                <a:gd name="T1" fmla="*/ 0 h 94"/>
                <a:gd name="T2" fmla="*/ 0 w 94"/>
                <a:gd name="T3" fmla="*/ 48 h 94"/>
                <a:gd name="T4" fmla="*/ 94 w 94"/>
                <a:gd name="T5" fmla="*/ 94 h 94"/>
                <a:gd name="T6" fmla="*/ 94 w 94"/>
                <a:gd name="T7" fmla="*/ 0 h 94"/>
              </a:gdLst>
              <a:ahLst/>
              <a:cxnLst>
                <a:cxn ang="0">
                  <a:pos x="T0" y="T1"/>
                </a:cxn>
                <a:cxn ang="0">
                  <a:pos x="T2" y="T3"/>
                </a:cxn>
                <a:cxn ang="0">
                  <a:pos x="T4" y="T5"/>
                </a:cxn>
                <a:cxn ang="0">
                  <a:pos x="T6" y="T7"/>
                </a:cxn>
              </a:cxnLst>
              <a:rect l="0" t="0" r="r" b="b"/>
              <a:pathLst>
                <a:path w="94" h="94">
                  <a:moveTo>
                    <a:pt x="94" y="0"/>
                  </a:moveTo>
                  <a:lnTo>
                    <a:pt x="0" y="48"/>
                  </a:lnTo>
                  <a:lnTo>
                    <a:pt x="94" y="94"/>
                  </a:lnTo>
                  <a:lnTo>
                    <a:pt x="94" y="0"/>
                  </a:lnTo>
                  <a:close/>
                </a:path>
              </a:pathLst>
            </a:custGeom>
            <a:solidFill>
              <a:srgbClr val="000000"/>
            </a:solidFill>
            <a:ln>
              <a:noFill/>
            </a:ln>
            <a:extLst>
              <a:ext uri="{91240B29-F687-4F45-9708-019B960494DF}">
                <a14:hiddenLine xmlns:a14="http://schemas.microsoft.com/office/drawing/2010/main" w="9525">
                  <a:solidFill>
                    <a:srgbClr val="000000"/>
                  </a:solidFill>
                  <a:round/>
                  <a:headEnd/>
                  <a:tailEnd/>
                </a14:hiddenLine>
              </a:ext>
            </a:extLst>
          </xdr:spPr>
        </xdr:sp>
      </xdr:grpSp>
      <xdr:sp macro="" textlink="">
        <xdr:nvSpPr>
          <xdr:cNvPr id="9018" name="Line 826">
            <a:extLst>
              <a:ext uri="{FF2B5EF4-FFF2-40B4-BE49-F238E27FC236}">
                <a16:creationId xmlns:a16="http://schemas.microsoft.com/office/drawing/2014/main" id="{9EFBAF93-3E4E-4060-BAEA-58FE5538D0DF}"/>
              </a:ext>
            </a:extLst>
          </xdr:cNvPr>
          <xdr:cNvSpPr>
            <a:spLocks noChangeShapeType="1"/>
          </xdr:cNvSpPr>
        </xdr:nvSpPr>
        <xdr:spPr bwMode="auto">
          <a:xfrm>
            <a:off x="3681" y="4377"/>
            <a:ext cx="1" cy="212"/>
          </a:xfrm>
          <a:prstGeom prst="line">
            <a:avLst/>
          </a:prstGeom>
          <a:noFill/>
          <a:ln w="571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019" name="Rectangle 827">
            <a:extLst>
              <a:ext uri="{FF2B5EF4-FFF2-40B4-BE49-F238E27FC236}">
                <a16:creationId xmlns:a16="http://schemas.microsoft.com/office/drawing/2014/main" id="{DCF46122-0F58-4D53-A03B-9A7D447CDAFF}"/>
              </a:ext>
            </a:extLst>
          </xdr:cNvPr>
          <xdr:cNvSpPr>
            <a:spLocks noChangeArrowheads="1"/>
          </xdr:cNvSpPr>
        </xdr:nvSpPr>
        <xdr:spPr bwMode="auto">
          <a:xfrm>
            <a:off x="9138" y="2187"/>
            <a:ext cx="424" cy="1480"/>
          </a:xfrm>
          <a:prstGeom prst="rect">
            <a:avLst/>
          </a:prstGeom>
          <a:solidFill>
            <a:srgbClr val="FFCCFF"/>
          </a:solidFill>
          <a:ln w="5715">
            <a:solidFill>
              <a:srgbClr val="000000"/>
            </a:solidFill>
            <a:miter lim="800000"/>
            <a:headEnd/>
            <a:tailEnd/>
          </a:ln>
        </xdr:spPr>
      </xdr:sp>
      <xdr:sp macro="" textlink="">
        <xdr:nvSpPr>
          <xdr:cNvPr id="9020" name="Line 828">
            <a:extLst>
              <a:ext uri="{FF2B5EF4-FFF2-40B4-BE49-F238E27FC236}">
                <a16:creationId xmlns:a16="http://schemas.microsoft.com/office/drawing/2014/main" id="{4A419EBA-7D67-4E80-B0E3-86F4253FE35C}"/>
              </a:ext>
            </a:extLst>
          </xdr:cNvPr>
          <xdr:cNvSpPr>
            <a:spLocks noChangeShapeType="1"/>
          </xdr:cNvSpPr>
        </xdr:nvSpPr>
        <xdr:spPr bwMode="auto">
          <a:xfrm flipH="1">
            <a:off x="9421" y="2608"/>
            <a:ext cx="287" cy="1"/>
          </a:xfrm>
          <a:prstGeom prst="line">
            <a:avLst/>
          </a:prstGeom>
          <a:noFill/>
          <a:ln w="571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021" name="Rectangle 829">
            <a:extLst>
              <a:ext uri="{FF2B5EF4-FFF2-40B4-BE49-F238E27FC236}">
                <a16:creationId xmlns:a16="http://schemas.microsoft.com/office/drawing/2014/main" id="{A2E5D916-0B16-4CAA-9A5E-1B9B94E84669}"/>
              </a:ext>
            </a:extLst>
          </xdr:cNvPr>
          <xdr:cNvSpPr>
            <a:spLocks noChangeArrowheads="1"/>
          </xdr:cNvSpPr>
        </xdr:nvSpPr>
        <xdr:spPr bwMode="auto">
          <a:xfrm rot="16200000">
            <a:off x="9236" y="2297"/>
            <a:ext cx="1275" cy="5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upright="1">
            <a:spAutoFit/>
          </a:bodyPr>
          <a:lstStyle/>
          <a:p>
            <a:pPr algn="l" rtl="0">
              <a:defRPr sz="1000"/>
            </a:pPr>
            <a:r>
              <a:rPr lang="en-GB" sz="1100" b="0" i="0" u="none" strike="noStrike" baseline="0">
                <a:solidFill>
                  <a:srgbClr val="000000"/>
                </a:solidFill>
                <a:latin typeface="Times New Roman"/>
                <a:cs typeface="Times New Roman"/>
              </a:rPr>
              <a:t>Steam Header</a:t>
            </a:r>
            <a:endParaRPr lang="en-GB" sz="1200" b="0" i="0" u="none" strike="noStrike" baseline="0">
              <a:solidFill>
                <a:srgbClr val="000000"/>
              </a:solidFill>
              <a:latin typeface="Times New Roman"/>
              <a:cs typeface="Times New Roman"/>
            </a:endParaRPr>
          </a:p>
          <a:p>
            <a:pPr algn="l" rtl="0">
              <a:defRPr sz="1000"/>
            </a:pPr>
            <a:endParaRPr lang="en-GB" sz="1200" b="0" i="0" u="none" strike="noStrike" baseline="0">
              <a:solidFill>
                <a:srgbClr val="000000"/>
              </a:solidFill>
              <a:latin typeface="Times New Roman"/>
              <a:cs typeface="Times New Roman"/>
            </a:endParaRPr>
          </a:p>
        </xdr:txBody>
      </xdr:sp>
      <xdr:sp macro="" textlink="">
        <xdr:nvSpPr>
          <xdr:cNvPr id="9022" name="Oval 830">
            <a:extLst>
              <a:ext uri="{FF2B5EF4-FFF2-40B4-BE49-F238E27FC236}">
                <a16:creationId xmlns:a16="http://schemas.microsoft.com/office/drawing/2014/main" id="{8B8BD68C-546C-4323-B1A7-279BE8697D9A}"/>
              </a:ext>
            </a:extLst>
          </xdr:cNvPr>
          <xdr:cNvSpPr>
            <a:spLocks noChangeArrowheads="1"/>
          </xdr:cNvSpPr>
        </xdr:nvSpPr>
        <xdr:spPr bwMode="auto">
          <a:xfrm>
            <a:off x="3541" y="1693"/>
            <a:ext cx="496" cy="276"/>
          </a:xfrm>
          <a:prstGeom prst="ellipse">
            <a:avLst/>
          </a:prstGeom>
          <a:solidFill>
            <a:srgbClr val="FFFF99"/>
          </a:solidFill>
          <a:ln w="5715">
            <a:solidFill>
              <a:srgbClr val="000000"/>
            </a:solidFill>
            <a:round/>
            <a:headEnd/>
            <a:tailEnd/>
          </a:ln>
        </xdr:spPr>
      </xdr:sp>
      <xdr:sp macro="" textlink="">
        <xdr:nvSpPr>
          <xdr:cNvPr id="9023" name="Rectangle 831">
            <a:extLst>
              <a:ext uri="{FF2B5EF4-FFF2-40B4-BE49-F238E27FC236}">
                <a16:creationId xmlns:a16="http://schemas.microsoft.com/office/drawing/2014/main" id="{98DDD0A2-52B4-404D-8402-9C6758887137}"/>
              </a:ext>
            </a:extLst>
          </xdr:cNvPr>
          <xdr:cNvSpPr>
            <a:spLocks noChangeArrowheads="1"/>
          </xdr:cNvSpPr>
        </xdr:nvSpPr>
        <xdr:spPr bwMode="auto">
          <a:xfrm>
            <a:off x="3609" y="1689"/>
            <a:ext cx="504" cy="3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9024" name="Rectangle 832">
            <a:extLst>
              <a:ext uri="{FF2B5EF4-FFF2-40B4-BE49-F238E27FC236}">
                <a16:creationId xmlns:a16="http://schemas.microsoft.com/office/drawing/2014/main" id="{33A345C5-5C20-44A3-9A94-6EF17BDBEE69}"/>
              </a:ext>
            </a:extLst>
          </xdr:cNvPr>
          <xdr:cNvSpPr>
            <a:spLocks noChangeArrowheads="1"/>
          </xdr:cNvSpPr>
        </xdr:nvSpPr>
        <xdr:spPr bwMode="auto">
          <a:xfrm>
            <a:off x="3695" y="1732"/>
            <a:ext cx="143" cy="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upright="1">
            <a:spAutoFit/>
          </a:bodyPr>
          <a:lstStyle/>
          <a:p>
            <a:pPr algn="l" rtl="0">
              <a:defRPr sz="1000"/>
            </a:pPr>
            <a:r>
              <a:rPr lang="en-GB" sz="1100" b="0" i="0" u="none" strike="noStrike" baseline="0">
                <a:solidFill>
                  <a:srgbClr val="000000"/>
                </a:solidFill>
                <a:latin typeface="Times New Roman"/>
                <a:cs typeface="Times New Roman"/>
              </a:rPr>
              <a:t>C</a:t>
            </a:r>
            <a:endParaRPr lang="en-GB" sz="1200" b="0" i="0" u="none" strike="noStrike" baseline="0">
              <a:solidFill>
                <a:srgbClr val="000000"/>
              </a:solidFill>
              <a:latin typeface="Times New Roman"/>
              <a:cs typeface="Times New Roman"/>
            </a:endParaRPr>
          </a:p>
          <a:p>
            <a:pPr algn="l" rtl="0">
              <a:defRPr sz="1000"/>
            </a:pPr>
            <a:endParaRPr lang="en-GB" sz="1200" b="0" i="0" u="none" strike="noStrike" baseline="0">
              <a:solidFill>
                <a:srgbClr val="000000"/>
              </a:solidFill>
              <a:latin typeface="Times New Roman"/>
              <a:cs typeface="Times New Roman"/>
            </a:endParaRPr>
          </a:p>
        </xdr:txBody>
      </xdr:sp>
      <xdr:sp macro="" textlink="">
        <xdr:nvSpPr>
          <xdr:cNvPr id="9025" name="Oval 833">
            <a:extLst>
              <a:ext uri="{FF2B5EF4-FFF2-40B4-BE49-F238E27FC236}">
                <a16:creationId xmlns:a16="http://schemas.microsoft.com/office/drawing/2014/main" id="{C4271F83-20BD-4EA1-8FB5-CEFC8382751C}"/>
              </a:ext>
            </a:extLst>
          </xdr:cNvPr>
          <xdr:cNvSpPr>
            <a:spLocks noChangeArrowheads="1"/>
          </xdr:cNvSpPr>
        </xdr:nvSpPr>
        <xdr:spPr bwMode="auto">
          <a:xfrm>
            <a:off x="3900" y="4735"/>
            <a:ext cx="496" cy="276"/>
          </a:xfrm>
          <a:prstGeom prst="ellipse">
            <a:avLst/>
          </a:prstGeom>
          <a:solidFill>
            <a:srgbClr val="FFFF99"/>
          </a:solidFill>
          <a:ln w="5715">
            <a:solidFill>
              <a:srgbClr val="000000"/>
            </a:solidFill>
            <a:round/>
            <a:headEnd/>
            <a:tailEnd/>
          </a:ln>
        </xdr:spPr>
      </xdr:sp>
      <xdr:sp macro="" textlink="">
        <xdr:nvSpPr>
          <xdr:cNvPr id="9026" name="Rectangle 834">
            <a:extLst>
              <a:ext uri="{FF2B5EF4-FFF2-40B4-BE49-F238E27FC236}">
                <a16:creationId xmlns:a16="http://schemas.microsoft.com/office/drawing/2014/main" id="{F3B3A7C0-8D92-4DBC-B5DB-888BFA3D9D59}"/>
              </a:ext>
            </a:extLst>
          </xdr:cNvPr>
          <xdr:cNvSpPr>
            <a:spLocks noChangeArrowheads="1"/>
          </xdr:cNvSpPr>
        </xdr:nvSpPr>
        <xdr:spPr bwMode="auto">
          <a:xfrm>
            <a:off x="3894" y="4659"/>
            <a:ext cx="557" cy="3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9027" name="Rectangle 835">
            <a:extLst>
              <a:ext uri="{FF2B5EF4-FFF2-40B4-BE49-F238E27FC236}">
                <a16:creationId xmlns:a16="http://schemas.microsoft.com/office/drawing/2014/main" id="{FF637A8A-DB7B-46BD-9E33-BF31FBEF765F}"/>
              </a:ext>
            </a:extLst>
          </xdr:cNvPr>
          <xdr:cNvSpPr>
            <a:spLocks noChangeArrowheads="1"/>
          </xdr:cNvSpPr>
        </xdr:nvSpPr>
        <xdr:spPr bwMode="auto">
          <a:xfrm>
            <a:off x="3981" y="4705"/>
            <a:ext cx="259" cy="5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upright="1">
            <a:spAutoFit/>
          </a:bodyPr>
          <a:lstStyle/>
          <a:p>
            <a:pPr algn="l" rtl="0">
              <a:defRPr sz="1000"/>
            </a:pPr>
            <a:r>
              <a:rPr lang="en-GB" sz="1100" b="0" i="0" u="none" strike="noStrike" baseline="0">
                <a:solidFill>
                  <a:srgbClr val="000000"/>
                </a:solidFill>
                <a:latin typeface="Times New Roman"/>
                <a:cs typeface="Times New Roman"/>
              </a:rPr>
              <a:t>pH</a:t>
            </a:r>
            <a:endParaRPr lang="en-GB" sz="1200" b="0" i="0" u="none" strike="noStrike" baseline="0">
              <a:solidFill>
                <a:srgbClr val="000000"/>
              </a:solidFill>
              <a:latin typeface="Times New Roman"/>
              <a:cs typeface="Times New Roman"/>
            </a:endParaRPr>
          </a:p>
          <a:p>
            <a:pPr algn="l" rtl="0">
              <a:defRPr sz="1000"/>
            </a:pPr>
            <a:endParaRPr lang="en-GB" sz="1200" b="0" i="0" u="none" strike="noStrike" baseline="0">
              <a:solidFill>
                <a:srgbClr val="000000"/>
              </a:solidFill>
              <a:latin typeface="Times New Roman"/>
              <a:cs typeface="Times New Roman"/>
            </a:endParaRPr>
          </a:p>
        </xdr:txBody>
      </xdr:sp>
      <xdr:sp macro="" textlink="">
        <xdr:nvSpPr>
          <xdr:cNvPr id="9028" name="Freeform 836">
            <a:extLst>
              <a:ext uri="{FF2B5EF4-FFF2-40B4-BE49-F238E27FC236}">
                <a16:creationId xmlns:a16="http://schemas.microsoft.com/office/drawing/2014/main" id="{502A344F-7DC7-459D-BE42-ABE9BC700F69}"/>
              </a:ext>
            </a:extLst>
          </xdr:cNvPr>
          <xdr:cNvSpPr>
            <a:spLocks/>
          </xdr:cNvSpPr>
        </xdr:nvSpPr>
        <xdr:spPr bwMode="auto">
          <a:xfrm>
            <a:off x="3609" y="4731"/>
            <a:ext cx="287" cy="140"/>
          </a:xfrm>
          <a:custGeom>
            <a:avLst/>
            <a:gdLst>
              <a:gd name="T0" fmla="*/ 0 w 287"/>
              <a:gd name="T1" fmla="*/ 0 h 140"/>
              <a:gd name="T2" fmla="*/ 0 w 287"/>
              <a:gd name="T3" fmla="*/ 140 h 140"/>
              <a:gd name="T4" fmla="*/ 287 w 287"/>
              <a:gd name="T5" fmla="*/ 140 h 140"/>
            </a:gdLst>
            <a:ahLst/>
            <a:cxnLst>
              <a:cxn ang="0">
                <a:pos x="T0" y="T1"/>
              </a:cxn>
              <a:cxn ang="0">
                <a:pos x="T2" y="T3"/>
              </a:cxn>
              <a:cxn ang="0">
                <a:pos x="T4" y="T5"/>
              </a:cxn>
            </a:cxnLst>
            <a:rect l="0" t="0" r="r" b="b"/>
            <a:pathLst>
              <a:path w="287" h="140">
                <a:moveTo>
                  <a:pt x="0" y="0"/>
                </a:moveTo>
                <a:lnTo>
                  <a:pt x="0" y="140"/>
                </a:lnTo>
                <a:lnTo>
                  <a:pt x="287" y="140"/>
                </a:lnTo>
              </a:path>
            </a:pathLst>
          </a:custGeom>
          <a:noFill/>
          <a:ln w="5715">
            <a:solidFill>
              <a:srgbClr val="000000"/>
            </a:solidFill>
            <a:prstDash val="solid"/>
            <a:round/>
            <a:headEnd/>
            <a:tailEnd/>
          </a:ln>
          <a:extLst>
            <a:ext uri="{909E8E84-426E-40DD-AFC4-6F175D3DCCD1}">
              <a14:hiddenFill xmlns:a14="http://schemas.microsoft.com/office/drawing/2010/main">
                <a:solidFill>
                  <a:srgbClr val="FFFFFF"/>
                </a:solidFill>
              </a14:hiddenFill>
            </a:ext>
          </a:extLst>
        </xdr:spPr>
      </xdr:sp>
      <xdr:sp macro="" textlink="">
        <xdr:nvSpPr>
          <xdr:cNvPr id="9029" name="Rectangle 837">
            <a:extLst>
              <a:ext uri="{FF2B5EF4-FFF2-40B4-BE49-F238E27FC236}">
                <a16:creationId xmlns:a16="http://schemas.microsoft.com/office/drawing/2014/main" id="{9780F96E-2FDD-4655-BC20-7712B2DC4797}"/>
              </a:ext>
            </a:extLst>
          </xdr:cNvPr>
          <xdr:cNvSpPr>
            <a:spLocks noChangeArrowheads="1"/>
          </xdr:cNvSpPr>
        </xdr:nvSpPr>
        <xdr:spPr bwMode="auto">
          <a:xfrm>
            <a:off x="7488" y="6927"/>
            <a:ext cx="711" cy="702"/>
          </a:xfrm>
          <a:prstGeom prst="rect">
            <a:avLst/>
          </a:prstGeom>
          <a:noFill/>
          <a:ln w="571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9030" name="Oval 838">
            <a:extLst>
              <a:ext uri="{FF2B5EF4-FFF2-40B4-BE49-F238E27FC236}">
                <a16:creationId xmlns:a16="http://schemas.microsoft.com/office/drawing/2014/main" id="{C27A2A6D-7AFE-4370-8B3A-7A0C925DCF33}"/>
              </a:ext>
            </a:extLst>
          </xdr:cNvPr>
          <xdr:cNvSpPr>
            <a:spLocks noChangeArrowheads="1"/>
          </xdr:cNvSpPr>
        </xdr:nvSpPr>
        <xdr:spPr bwMode="auto">
          <a:xfrm>
            <a:off x="8493" y="2329"/>
            <a:ext cx="495" cy="277"/>
          </a:xfrm>
          <a:prstGeom prst="ellipse">
            <a:avLst/>
          </a:prstGeom>
          <a:solidFill>
            <a:srgbClr val="FFFF99"/>
          </a:solidFill>
          <a:ln w="5715">
            <a:solidFill>
              <a:srgbClr val="000000"/>
            </a:solidFill>
            <a:round/>
            <a:headEnd/>
            <a:tailEnd/>
          </a:ln>
        </xdr:spPr>
      </xdr:sp>
      <xdr:sp macro="" textlink="">
        <xdr:nvSpPr>
          <xdr:cNvPr id="9031" name="Rectangle 839">
            <a:extLst>
              <a:ext uri="{FF2B5EF4-FFF2-40B4-BE49-F238E27FC236}">
                <a16:creationId xmlns:a16="http://schemas.microsoft.com/office/drawing/2014/main" id="{F2E8BA0F-7208-4170-A902-8C74840A3F00}"/>
              </a:ext>
            </a:extLst>
          </xdr:cNvPr>
          <xdr:cNvSpPr>
            <a:spLocks noChangeArrowheads="1"/>
          </xdr:cNvSpPr>
        </xdr:nvSpPr>
        <xdr:spPr bwMode="auto">
          <a:xfrm>
            <a:off x="8559" y="2324"/>
            <a:ext cx="294" cy="3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9032" name="Rectangle 840">
            <a:extLst>
              <a:ext uri="{FF2B5EF4-FFF2-40B4-BE49-F238E27FC236}">
                <a16:creationId xmlns:a16="http://schemas.microsoft.com/office/drawing/2014/main" id="{CE8B753F-455A-4BAD-8E60-6645E49E56EC}"/>
              </a:ext>
            </a:extLst>
          </xdr:cNvPr>
          <xdr:cNvSpPr>
            <a:spLocks noChangeArrowheads="1"/>
          </xdr:cNvSpPr>
        </xdr:nvSpPr>
        <xdr:spPr bwMode="auto">
          <a:xfrm>
            <a:off x="8648" y="2374"/>
            <a:ext cx="118" cy="5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upright="1">
            <a:spAutoFit/>
          </a:bodyPr>
          <a:lstStyle/>
          <a:p>
            <a:pPr algn="l" rtl="0">
              <a:defRPr sz="1000"/>
            </a:pPr>
            <a:r>
              <a:rPr lang="en-GB" sz="1100" b="0" i="0" u="none" strike="noStrike" baseline="0">
                <a:solidFill>
                  <a:srgbClr val="000000"/>
                </a:solidFill>
                <a:latin typeface="Times New Roman"/>
                <a:cs typeface="Times New Roman"/>
              </a:rPr>
              <a:t>F</a:t>
            </a:r>
            <a:endParaRPr lang="en-GB" sz="1200" b="0" i="0" u="none" strike="noStrike" baseline="0">
              <a:solidFill>
                <a:srgbClr val="000000"/>
              </a:solidFill>
              <a:latin typeface="Times New Roman"/>
              <a:cs typeface="Times New Roman"/>
            </a:endParaRPr>
          </a:p>
          <a:p>
            <a:pPr algn="l" rtl="0">
              <a:defRPr sz="1000"/>
            </a:pPr>
            <a:endParaRPr lang="en-GB" sz="1200" b="0" i="0" u="none" strike="noStrike" baseline="0">
              <a:solidFill>
                <a:srgbClr val="000000"/>
              </a:solidFill>
              <a:latin typeface="Times New Roman"/>
              <a:cs typeface="Times New Roman"/>
            </a:endParaRPr>
          </a:p>
        </xdr:txBody>
      </xdr:sp>
      <xdr:sp macro="" textlink="">
        <xdr:nvSpPr>
          <xdr:cNvPr id="9033" name="Line 841">
            <a:extLst>
              <a:ext uri="{FF2B5EF4-FFF2-40B4-BE49-F238E27FC236}">
                <a16:creationId xmlns:a16="http://schemas.microsoft.com/office/drawing/2014/main" id="{301D333F-9D45-41E6-9F81-12AA308B5CA3}"/>
              </a:ext>
            </a:extLst>
          </xdr:cNvPr>
          <xdr:cNvSpPr>
            <a:spLocks noChangeShapeType="1"/>
          </xdr:cNvSpPr>
        </xdr:nvSpPr>
        <xdr:spPr bwMode="auto">
          <a:xfrm>
            <a:off x="8704" y="2608"/>
            <a:ext cx="1" cy="283"/>
          </a:xfrm>
          <a:prstGeom prst="line">
            <a:avLst/>
          </a:prstGeom>
          <a:noFill/>
          <a:ln w="571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034" name="Rectangle 842">
            <a:extLst>
              <a:ext uri="{FF2B5EF4-FFF2-40B4-BE49-F238E27FC236}">
                <a16:creationId xmlns:a16="http://schemas.microsoft.com/office/drawing/2014/main" id="{9512E0D9-3300-4FE7-A79B-C0DCFB062319}"/>
              </a:ext>
            </a:extLst>
          </xdr:cNvPr>
          <xdr:cNvSpPr>
            <a:spLocks noChangeArrowheads="1"/>
          </xdr:cNvSpPr>
        </xdr:nvSpPr>
        <xdr:spPr bwMode="auto">
          <a:xfrm>
            <a:off x="5618" y="7065"/>
            <a:ext cx="504" cy="3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9035" name="Rectangle 843">
            <a:extLst>
              <a:ext uri="{FF2B5EF4-FFF2-40B4-BE49-F238E27FC236}">
                <a16:creationId xmlns:a16="http://schemas.microsoft.com/office/drawing/2014/main" id="{CE15DDBC-F504-494D-A411-838F2A4AD6FB}"/>
              </a:ext>
            </a:extLst>
          </xdr:cNvPr>
          <xdr:cNvSpPr>
            <a:spLocks noChangeArrowheads="1"/>
          </xdr:cNvSpPr>
        </xdr:nvSpPr>
        <xdr:spPr bwMode="auto">
          <a:xfrm>
            <a:off x="5715" y="7118"/>
            <a:ext cx="247" cy="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upright="1">
            <a:spAutoFit/>
          </a:bodyPr>
          <a:lstStyle/>
          <a:p>
            <a:pPr algn="l" rtl="0">
              <a:defRPr sz="1000"/>
            </a:pPr>
            <a:r>
              <a:rPr lang="en-GB" sz="1100" b="0" i="0" u="none" strike="noStrike" baseline="0">
                <a:solidFill>
                  <a:srgbClr val="000000"/>
                </a:solidFill>
                <a:latin typeface="Times New Roman"/>
                <a:cs typeface="Times New Roman"/>
              </a:rPr>
              <a:t>oil</a:t>
            </a:r>
            <a:endParaRPr lang="en-GB" sz="1200" b="0" i="0" u="none" strike="noStrike" baseline="0">
              <a:solidFill>
                <a:srgbClr val="000000"/>
              </a:solidFill>
              <a:latin typeface="Times New Roman"/>
              <a:cs typeface="Times New Roman"/>
            </a:endParaRPr>
          </a:p>
          <a:p>
            <a:pPr algn="l" rtl="0">
              <a:defRPr sz="1000"/>
            </a:pPr>
            <a:endParaRPr lang="en-GB" sz="1200" b="0" i="0" u="none" strike="noStrike" baseline="0">
              <a:solidFill>
                <a:srgbClr val="000000"/>
              </a:solidFill>
              <a:latin typeface="Times New Roman"/>
              <a:cs typeface="Times New Roman"/>
            </a:endParaRPr>
          </a:p>
        </xdr:txBody>
      </xdr:sp>
      <xdr:sp macro="" textlink="">
        <xdr:nvSpPr>
          <xdr:cNvPr id="9036" name="Rectangle 844">
            <a:extLst>
              <a:ext uri="{FF2B5EF4-FFF2-40B4-BE49-F238E27FC236}">
                <a16:creationId xmlns:a16="http://schemas.microsoft.com/office/drawing/2014/main" id="{C130EA49-73D7-4C47-BFD2-977E5ED9C5AE}"/>
              </a:ext>
            </a:extLst>
          </xdr:cNvPr>
          <xdr:cNvSpPr>
            <a:spLocks noChangeArrowheads="1"/>
          </xdr:cNvSpPr>
        </xdr:nvSpPr>
        <xdr:spPr bwMode="auto">
          <a:xfrm>
            <a:off x="6336" y="6570"/>
            <a:ext cx="647" cy="3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9037" name="Rectangle 845">
            <a:extLst>
              <a:ext uri="{FF2B5EF4-FFF2-40B4-BE49-F238E27FC236}">
                <a16:creationId xmlns:a16="http://schemas.microsoft.com/office/drawing/2014/main" id="{842628FB-DBB6-4CD9-8BD6-CB2D9140F974}"/>
              </a:ext>
            </a:extLst>
          </xdr:cNvPr>
          <xdr:cNvSpPr>
            <a:spLocks noChangeArrowheads="1"/>
          </xdr:cNvSpPr>
        </xdr:nvSpPr>
        <xdr:spPr bwMode="auto">
          <a:xfrm>
            <a:off x="6419" y="6619"/>
            <a:ext cx="282" cy="5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upright="1">
            <a:spAutoFit/>
          </a:bodyPr>
          <a:lstStyle/>
          <a:p>
            <a:pPr algn="l" rtl="0">
              <a:defRPr sz="1000"/>
            </a:pPr>
            <a:r>
              <a:rPr lang="en-GB" sz="1100" b="0" i="0" u="none" strike="noStrike" baseline="0">
                <a:solidFill>
                  <a:srgbClr val="000000"/>
                </a:solidFill>
                <a:latin typeface="Times New Roman"/>
                <a:cs typeface="Times New Roman"/>
              </a:rPr>
              <a:t>gas</a:t>
            </a:r>
            <a:endParaRPr lang="en-GB" sz="1200" b="0" i="0" u="none" strike="noStrike" baseline="0">
              <a:solidFill>
                <a:srgbClr val="000000"/>
              </a:solidFill>
              <a:latin typeface="Times New Roman"/>
              <a:cs typeface="Times New Roman"/>
            </a:endParaRPr>
          </a:p>
          <a:p>
            <a:pPr algn="l" rtl="0">
              <a:defRPr sz="1000"/>
            </a:pPr>
            <a:endParaRPr lang="en-GB" sz="1200" b="0" i="0" u="none" strike="noStrike" baseline="0">
              <a:solidFill>
                <a:srgbClr val="000000"/>
              </a:solidFill>
              <a:latin typeface="Times New Roman"/>
              <a:cs typeface="Times New Roman"/>
            </a:endParaRPr>
          </a:p>
        </xdr:txBody>
      </xdr:sp>
      <xdr:sp macro="" textlink="">
        <xdr:nvSpPr>
          <xdr:cNvPr id="9038" name="Rectangle 846">
            <a:extLst>
              <a:ext uri="{FF2B5EF4-FFF2-40B4-BE49-F238E27FC236}">
                <a16:creationId xmlns:a16="http://schemas.microsoft.com/office/drawing/2014/main" id="{8B55CD5F-ED6E-49FC-B1A8-76AB4F96E3C5}"/>
              </a:ext>
            </a:extLst>
          </xdr:cNvPr>
          <xdr:cNvSpPr>
            <a:spLocks noChangeArrowheads="1"/>
          </xdr:cNvSpPr>
        </xdr:nvSpPr>
        <xdr:spPr bwMode="auto">
          <a:xfrm>
            <a:off x="4111" y="4729"/>
            <a:ext cx="283" cy="3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9039" name="Rectangle 847">
            <a:extLst>
              <a:ext uri="{FF2B5EF4-FFF2-40B4-BE49-F238E27FC236}">
                <a16:creationId xmlns:a16="http://schemas.microsoft.com/office/drawing/2014/main" id="{586E792B-BA2D-4787-AA90-BD4CD20B6DAD}"/>
              </a:ext>
            </a:extLst>
          </xdr:cNvPr>
          <xdr:cNvSpPr>
            <a:spLocks noChangeArrowheads="1"/>
          </xdr:cNvSpPr>
        </xdr:nvSpPr>
        <xdr:spPr bwMode="auto">
          <a:xfrm>
            <a:off x="4210" y="4787"/>
            <a:ext cx="114" cy="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upright="1">
            <a:spAutoFit/>
          </a:bodyPr>
          <a:lstStyle/>
          <a:p>
            <a:pPr algn="l" rtl="0">
              <a:defRPr sz="1000"/>
            </a:pPr>
            <a:r>
              <a:rPr lang="en-GB" sz="1100" b="0" i="0" u="none" strike="noStrike" baseline="0">
                <a:solidFill>
                  <a:srgbClr val="000000"/>
                </a:solidFill>
                <a:latin typeface="Times New Roman"/>
                <a:cs typeface="Times New Roman"/>
              </a:rPr>
              <a:t>*</a:t>
            </a:r>
            <a:endParaRPr lang="en-GB" sz="1200" b="0" i="0" u="none" strike="noStrike" baseline="0">
              <a:solidFill>
                <a:srgbClr val="000000"/>
              </a:solidFill>
              <a:latin typeface="Times New Roman"/>
              <a:cs typeface="Times New Roman"/>
            </a:endParaRPr>
          </a:p>
          <a:p>
            <a:pPr algn="l" rtl="0">
              <a:defRPr sz="1000"/>
            </a:pPr>
            <a:endParaRPr lang="en-GB" sz="1200" b="0" i="0" u="none" strike="noStrike" baseline="0">
              <a:solidFill>
                <a:srgbClr val="000000"/>
              </a:solidFill>
              <a:latin typeface="Times New Roman"/>
              <a:cs typeface="Times New Roman"/>
            </a:endParaRPr>
          </a:p>
        </xdr:txBody>
      </xdr:sp>
      <xdr:sp macro="" textlink="">
        <xdr:nvSpPr>
          <xdr:cNvPr id="9040" name="Rectangle 848">
            <a:extLst>
              <a:ext uri="{FF2B5EF4-FFF2-40B4-BE49-F238E27FC236}">
                <a16:creationId xmlns:a16="http://schemas.microsoft.com/office/drawing/2014/main" id="{8AA35D3D-4B64-4AC0-AED4-C6DEB4CF9025}"/>
              </a:ext>
            </a:extLst>
          </xdr:cNvPr>
          <xdr:cNvSpPr>
            <a:spLocks noChangeArrowheads="1"/>
          </xdr:cNvSpPr>
        </xdr:nvSpPr>
        <xdr:spPr bwMode="auto">
          <a:xfrm>
            <a:off x="3752" y="1689"/>
            <a:ext cx="283" cy="3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9041" name="Rectangle 849">
            <a:extLst>
              <a:ext uri="{FF2B5EF4-FFF2-40B4-BE49-F238E27FC236}">
                <a16:creationId xmlns:a16="http://schemas.microsoft.com/office/drawing/2014/main" id="{6CFE0CE0-E14F-4B5D-BC05-3423812BA0C6}"/>
              </a:ext>
            </a:extLst>
          </xdr:cNvPr>
          <xdr:cNvSpPr>
            <a:spLocks noChangeArrowheads="1"/>
          </xdr:cNvSpPr>
        </xdr:nvSpPr>
        <xdr:spPr bwMode="auto">
          <a:xfrm>
            <a:off x="3838" y="1743"/>
            <a:ext cx="115" cy="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upright="1">
            <a:spAutoFit/>
          </a:bodyPr>
          <a:lstStyle/>
          <a:p>
            <a:pPr algn="l" rtl="0">
              <a:defRPr sz="1000"/>
            </a:pPr>
            <a:r>
              <a:rPr lang="en-GB" sz="1100" b="0" i="0" u="none" strike="noStrike" baseline="0">
                <a:solidFill>
                  <a:srgbClr val="000000"/>
                </a:solidFill>
                <a:latin typeface="Times New Roman"/>
                <a:cs typeface="Times New Roman"/>
              </a:rPr>
              <a:t>*</a:t>
            </a:r>
            <a:endParaRPr lang="en-GB" sz="1200" b="0" i="0" u="none" strike="noStrike" baseline="0">
              <a:solidFill>
                <a:srgbClr val="000000"/>
              </a:solidFill>
              <a:latin typeface="Times New Roman"/>
              <a:cs typeface="Times New Roman"/>
            </a:endParaRPr>
          </a:p>
          <a:p>
            <a:pPr algn="l" rtl="0">
              <a:defRPr sz="1000"/>
            </a:pPr>
            <a:endParaRPr lang="en-GB" sz="1200" b="0" i="0" u="none" strike="noStrike" baseline="0">
              <a:solidFill>
                <a:srgbClr val="000000"/>
              </a:solidFill>
              <a:latin typeface="Times New Roman"/>
              <a:cs typeface="Times New Roman"/>
            </a:endParaRPr>
          </a:p>
        </xdr:txBody>
      </xdr:sp>
    </xdr:grp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absolute">
        <xdr:from>
          <xdr:col>2</xdr:col>
          <xdr:colOff>0</xdr:colOff>
          <xdr:row>1</xdr:row>
          <xdr:rowOff>133350</xdr:rowOff>
        </xdr:from>
        <xdr:to>
          <xdr:col>2</xdr:col>
          <xdr:colOff>3384550</xdr:colOff>
          <xdr:row>29</xdr:row>
          <xdr:rowOff>120650</xdr:rowOff>
        </xdr:to>
        <xdr:sp macro="" textlink="">
          <xdr:nvSpPr>
            <xdr:cNvPr id="4099" name="Object 3" hidden="1">
              <a:extLst>
                <a:ext uri="{63B3BB69-23CF-44E3-9099-C40C66FF867C}">
                  <a14:compatExt spid="_x0000_s4099"/>
                </a:ext>
                <a:ext uri="{FF2B5EF4-FFF2-40B4-BE49-F238E27FC236}">
                  <a16:creationId xmlns:a16="http://schemas.microsoft.com/office/drawing/2014/main" id="{A5511839-9A25-42AC-95D9-06C138F7EA5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88900</xdr:colOff>
          <xdr:row>29</xdr:row>
          <xdr:rowOff>25400</xdr:rowOff>
        </xdr:from>
        <xdr:to>
          <xdr:col>4</xdr:col>
          <xdr:colOff>3625850</xdr:colOff>
          <xdr:row>67</xdr:row>
          <xdr:rowOff>44450</xdr:rowOff>
        </xdr:to>
        <xdr:sp macro="" textlink="">
          <xdr:nvSpPr>
            <xdr:cNvPr id="5121" name="Object 1" hidden="1">
              <a:extLst>
                <a:ext uri="{63B3BB69-23CF-44E3-9099-C40C66FF867C}">
                  <a14:compatExt spid="_x0000_s5121"/>
                </a:ext>
                <a:ext uri="{FF2B5EF4-FFF2-40B4-BE49-F238E27FC236}">
                  <a16:creationId xmlns:a16="http://schemas.microsoft.com/office/drawing/2014/main" id="{7602BD66-5DB4-459F-9EC5-09C66B04CD3B}"/>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nl4\femp\Documents%20and%20Settings\d3e600\Start%20Menu\0%20Hail's%20Data\Energy\0%20FEMP%20Services%20Network\ESPC\0%20National\Travel%20PF%20Conf%20March%20200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s"/>
      <sheetName val="Plan (2)"/>
      <sheetName val="Checklist2"/>
      <sheetName val="Checklist"/>
      <sheetName val="TravelEstimate"/>
      <sheetName val="TravelEstimate2"/>
      <sheetName val="XMS Input"/>
      <sheetName val="Per Diem"/>
      <sheetName val="Cash All"/>
      <sheetName val="Database"/>
      <sheetName val="Personal"/>
      <sheetName val="FEMP charges"/>
      <sheetName val="ETR"/>
      <sheetName val="Flight Time"/>
      <sheetName val="Tips"/>
      <sheetName val="HOBOs"/>
      <sheetName val="labels"/>
      <sheetName val="labels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8.bin"/><Relationship Id="rId5" Type="http://schemas.openxmlformats.org/officeDocument/2006/relationships/image" Target="../media/image7.emf"/><Relationship Id="rId4" Type="http://schemas.openxmlformats.org/officeDocument/2006/relationships/oleObject" Target="../embeddings/oleObject1.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6.xml"/><Relationship Id="rId1" Type="http://schemas.openxmlformats.org/officeDocument/2006/relationships/printerSettings" Target="../printerSettings/printerSettings12.bin"/><Relationship Id="rId5" Type="http://schemas.openxmlformats.org/officeDocument/2006/relationships/image" Target="../media/image12.emf"/><Relationship Id="rId4" Type="http://schemas.openxmlformats.org/officeDocument/2006/relationships/oleObject" Target="../embeddings/Microsoft_Word_97_-_2003_Document.doc"/></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7.xml"/><Relationship Id="rId1" Type="http://schemas.openxmlformats.org/officeDocument/2006/relationships/printerSettings" Target="../printerSettings/printerSettings14.bin"/><Relationship Id="rId5" Type="http://schemas.openxmlformats.org/officeDocument/2006/relationships/image" Target="../media/image13.emf"/><Relationship Id="rId4" Type="http://schemas.openxmlformats.org/officeDocument/2006/relationships/oleObject" Target="../embeddings/Microsoft_Word_97_-_2003_Document1.doc"/></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I20"/>
  <sheetViews>
    <sheetView showGridLines="0" tabSelected="1" workbookViewId="0">
      <selection sqref="A1:C1"/>
    </sheetView>
  </sheetViews>
  <sheetFormatPr defaultColWidth="14.7265625" defaultRowHeight="15.5" outlineLevelCol="1"/>
  <cols>
    <col min="1" max="1" width="14.7265625" style="196" customWidth="1"/>
    <col min="2" max="2" width="9.7265625" style="196" hidden="1" customWidth="1" outlineLevel="1"/>
    <col min="3" max="3" width="56.1796875" style="196" customWidth="1" collapsed="1"/>
    <col min="4" max="4" width="59.1796875" style="196" hidden="1" customWidth="1" outlineLevel="1"/>
    <col min="5" max="5" width="14.7265625" style="196" customWidth="1" collapsed="1"/>
    <col min="6" max="16384" width="14.7265625" style="196"/>
  </cols>
  <sheetData>
    <row r="1" spans="1:9">
      <c r="A1" s="163" t="s">
        <v>691</v>
      </c>
      <c r="B1" s="163"/>
      <c r="C1" s="163"/>
      <c r="I1" s="163"/>
    </row>
    <row r="2" spans="1:9">
      <c r="A2" s="196" t="s">
        <v>278</v>
      </c>
      <c r="C2" s="197"/>
    </row>
    <row r="4" spans="1:9">
      <c r="A4" s="198" t="s">
        <v>149</v>
      </c>
      <c r="B4" s="226" t="s">
        <v>111</v>
      </c>
      <c r="C4" s="199" t="s">
        <v>150</v>
      </c>
      <c r="D4" s="200" t="s">
        <v>110</v>
      </c>
    </row>
    <row r="5" spans="1:9" ht="27" customHeight="1">
      <c r="A5" s="327" t="s">
        <v>227</v>
      </c>
      <c r="B5" s="229"/>
      <c r="C5" s="201" t="s">
        <v>228</v>
      </c>
      <c r="D5" s="165" t="s">
        <v>108</v>
      </c>
    </row>
    <row r="6" spans="1:9" ht="31">
      <c r="A6" s="328" t="s">
        <v>276</v>
      </c>
      <c r="B6" s="228" t="s">
        <v>92</v>
      </c>
      <c r="C6" s="202" t="s">
        <v>277</v>
      </c>
      <c r="D6" s="165" t="s">
        <v>108</v>
      </c>
    </row>
    <row r="7" spans="1:9" ht="27" customHeight="1">
      <c r="A7" s="328" t="s">
        <v>92</v>
      </c>
      <c r="B7" s="228" t="s">
        <v>92</v>
      </c>
      <c r="C7" s="202" t="s">
        <v>105</v>
      </c>
      <c r="D7" s="165" t="s">
        <v>108</v>
      </c>
    </row>
    <row r="8" spans="1:9" ht="27" customHeight="1">
      <c r="A8" s="328" t="s">
        <v>104</v>
      </c>
      <c r="B8" s="228" t="s">
        <v>104</v>
      </c>
      <c r="C8" s="202" t="s">
        <v>107</v>
      </c>
      <c r="D8" s="166" t="s">
        <v>109</v>
      </c>
    </row>
    <row r="9" spans="1:9" ht="27" customHeight="1">
      <c r="A9" s="329" t="s">
        <v>151</v>
      </c>
      <c r="B9" s="227" t="s">
        <v>151</v>
      </c>
      <c r="C9" s="203" t="s">
        <v>106</v>
      </c>
      <c r="D9" s="191" t="s">
        <v>163</v>
      </c>
    </row>
    <row r="10" spans="1:9" ht="27" customHeight="1">
      <c r="A10" s="328" t="s">
        <v>152</v>
      </c>
      <c r="B10" s="228" t="s">
        <v>152</v>
      </c>
      <c r="C10" s="202" t="s">
        <v>142</v>
      </c>
      <c r="D10" s="166" t="s">
        <v>172</v>
      </c>
    </row>
    <row r="11" spans="1:9" ht="27" customHeight="1">
      <c r="A11" s="328" t="s">
        <v>153</v>
      </c>
      <c r="B11" s="228" t="s">
        <v>153</v>
      </c>
      <c r="C11" s="202" t="s">
        <v>141</v>
      </c>
      <c r="D11" s="166" t="s">
        <v>176</v>
      </c>
    </row>
    <row r="12" spans="1:9" ht="27" customHeight="1">
      <c r="A12" s="328" t="s">
        <v>154</v>
      </c>
      <c r="B12" s="228" t="s">
        <v>154</v>
      </c>
      <c r="C12" s="202" t="s">
        <v>144</v>
      </c>
      <c r="D12" s="166" t="s">
        <v>173</v>
      </c>
    </row>
    <row r="13" spans="1:9" ht="27" customHeight="1">
      <c r="A13" s="328" t="s">
        <v>155</v>
      </c>
      <c r="B13" s="228" t="s">
        <v>155</v>
      </c>
      <c r="C13" s="202" t="s">
        <v>143</v>
      </c>
      <c r="D13" s="166" t="s">
        <v>174</v>
      </c>
    </row>
    <row r="14" spans="1:9" ht="27" customHeight="1">
      <c r="A14" s="328" t="s">
        <v>156</v>
      </c>
      <c r="B14" s="228" t="s">
        <v>156</v>
      </c>
      <c r="C14" s="202" t="s">
        <v>145</v>
      </c>
      <c r="D14" s="166" t="s">
        <v>175</v>
      </c>
    </row>
    <row r="15" spans="1:9" ht="27" customHeight="1">
      <c r="A15" s="328" t="s">
        <v>157</v>
      </c>
      <c r="B15" s="228" t="s">
        <v>157</v>
      </c>
      <c r="C15" s="202" t="s">
        <v>146</v>
      </c>
      <c r="D15" s="166" t="s">
        <v>176</v>
      </c>
    </row>
    <row r="16" spans="1:9" ht="27" customHeight="1">
      <c r="A16" s="328" t="s">
        <v>158</v>
      </c>
      <c r="B16" s="228" t="s">
        <v>158</v>
      </c>
      <c r="C16" s="202" t="s">
        <v>147</v>
      </c>
      <c r="D16" s="166" t="s">
        <v>177</v>
      </c>
    </row>
    <row r="17" spans="1:4" ht="27" customHeight="1">
      <c r="A17" s="328" t="s">
        <v>161</v>
      </c>
      <c r="B17" s="228" t="s">
        <v>161</v>
      </c>
      <c r="C17" s="202" t="s">
        <v>162</v>
      </c>
      <c r="D17" s="166" t="s">
        <v>179</v>
      </c>
    </row>
    <row r="18" spans="1:4" ht="27" customHeight="1">
      <c r="A18" s="328" t="s">
        <v>225</v>
      </c>
      <c r="B18" s="228"/>
      <c r="C18" s="202" t="s">
        <v>226</v>
      </c>
      <c r="D18" s="166"/>
    </row>
    <row r="19" spans="1:4" ht="27" customHeight="1">
      <c r="A19" s="328" t="s">
        <v>159</v>
      </c>
      <c r="B19" s="228" t="s">
        <v>159</v>
      </c>
      <c r="C19" s="202" t="s">
        <v>488</v>
      </c>
      <c r="D19" s="166" t="s">
        <v>178</v>
      </c>
    </row>
    <row r="20" spans="1:4" ht="27" customHeight="1">
      <c r="A20" s="328" t="s">
        <v>439</v>
      </c>
      <c r="B20" s="228" t="s">
        <v>160</v>
      </c>
      <c r="C20" s="202" t="s">
        <v>148</v>
      </c>
      <c r="D20" s="166" t="s">
        <v>180</v>
      </c>
    </row>
  </sheetData>
  <phoneticPr fontId="0" type="noConversion"/>
  <hyperlinks>
    <hyperlink ref="B19" location="Tools!A1" display="ALERT tool list."/>
    <hyperlink ref="B20" location="notes!A1" display="In-progress development notes."/>
    <hyperlink ref="B9" location="General!A1" display="General data to collect and control settings to check."/>
    <hyperlink ref="B10" location="AHU!A1" display="Air handler and economizer checks."/>
    <hyperlink ref="B11" location="RTU!A1" display="Rooftop unit diagnostic tool - Honeywell/Rossi handtool."/>
    <hyperlink ref="B12" location="'Boiler Q'!A1" display="Boiler and distribution data to collect."/>
    <hyperlink ref="B13" location="Boiler!A1" display="Boiler and distribution checks."/>
    <hyperlink ref="B14" location="'Boiler Notes'!A1" display="Boiler and distribution notes and tips."/>
    <hyperlink ref="B15" location="Air!A1" display="Compressed air data and checks."/>
    <hyperlink ref="B16" location="IR!A1" display="Infrared camera tool checklist."/>
    <hyperlink ref="B17" location="Misc!A1" display="Misc"/>
    <hyperlink ref="B8" location="Inventory!A1" display="Inventory!A1"/>
    <hyperlink ref="B7" location="Bldg!A1" display="Bldg!A1"/>
    <hyperlink ref="B6" location="Bldg!A1" display="Bldg!A1"/>
  </hyperlinks>
  <printOptions horizontalCentered="1" verticalCentered="1"/>
  <pageMargins left="0.5" right="0.5" top="0.5" bottom="0.77" header="0.5" footer="0.5"/>
  <pageSetup orientation="landscape" r:id="rId1"/>
  <headerFooter alignWithMargins="0">
    <oddFooter>&amp;L&amp;"Arial,Italic"&amp;9&amp;F,  Tab:  &amp;A  &amp;D, &amp;T  PNNL&amp;R&amp;"Arial,Italic"&amp;9Page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L23"/>
  <sheetViews>
    <sheetView showGridLines="0" zoomScale="75" workbookViewId="0">
      <selection sqref="A1:C1"/>
    </sheetView>
  </sheetViews>
  <sheetFormatPr defaultColWidth="9.26953125" defaultRowHeight="12.5"/>
  <cols>
    <col min="1" max="1" width="10.7265625" style="301" customWidth="1"/>
    <col min="2" max="2" width="14.7265625" style="12" customWidth="1"/>
    <col min="3" max="3" width="13.81640625" style="11" customWidth="1"/>
    <col min="4" max="4" width="7.7265625" style="11" customWidth="1"/>
    <col min="5" max="5" width="9.26953125" style="304" customWidth="1"/>
    <col min="6" max="16384" width="9.26953125" style="11"/>
  </cols>
  <sheetData>
    <row r="1" spans="1:12" ht="21" customHeight="1">
      <c r="A1" s="303" t="s">
        <v>229</v>
      </c>
      <c r="G1" s="305"/>
      <c r="I1" s="305"/>
    </row>
    <row r="2" spans="1:12">
      <c r="A2" s="301" t="s">
        <v>241</v>
      </c>
    </row>
    <row r="3" spans="1:12" ht="6" customHeight="1"/>
    <row r="4" spans="1:12">
      <c r="A4" s="301" t="s">
        <v>233</v>
      </c>
    </row>
    <row r="5" spans="1:12">
      <c r="E5" s="306" t="s">
        <v>240</v>
      </c>
      <c r="F5" s="307"/>
      <c r="G5" s="307"/>
      <c r="H5" s="307"/>
      <c r="I5" s="307"/>
      <c r="J5" s="307"/>
      <c r="K5" s="307"/>
    </row>
    <row r="6" spans="1:12" ht="25">
      <c r="A6" s="308"/>
      <c r="B6" s="309" t="s">
        <v>238</v>
      </c>
      <c r="C6" s="307"/>
      <c r="D6" s="310" t="s">
        <v>239</v>
      </c>
      <c r="E6" s="311"/>
      <c r="F6" s="312"/>
      <c r="G6" s="312"/>
      <c r="H6" s="312"/>
      <c r="I6" s="312"/>
      <c r="J6" s="312"/>
      <c r="K6" s="313"/>
      <c r="L6" s="313"/>
    </row>
    <row r="7" spans="1:12" ht="17.25" customHeight="1">
      <c r="A7" s="314" t="s">
        <v>230</v>
      </c>
      <c r="B7" s="315"/>
      <c r="C7" s="316" t="s">
        <v>235</v>
      </c>
      <c r="D7" s="317">
        <v>0</v>
      </c>
      <c r="E7" s="315"/>
      <c r="F7" s="318"/>
      <c r="G7" s="318"/>
      <c r="H7" s="318"/>
      <c r="I7" s="318"/>
      <c r="J7" s="318"/>
      <c r="K7" s="319"/>
      <c r="L7" s="319"/>
    </row>
    <row r="8" spans="1:12" ht="17.25" customHeight="1">
      <c r="A8" s="320" t="s">
        <v>231</v>
      </c>
      <c r="B8" s="321"/>
      <c r="C8" s="322" t="s">
        <v>236</v>
      </c>
      <c r="D8" s="323"/>
      <c r="E8" s="321"/>
      <c r="F8" s="47"/>
      <c r="G8" s="47"/>
      <c r="H8" s="47"/>
      <c r="I8" s="47"/>
      <c r="J8" s="47"/>
      <c r="K8" s="324"/>
      <c r="L8" s="324"/>
    </row>
    <row r="9" spans="1:12" ht="17.25" customHeight="1">
      <c r="A9" s="320" t="s">
        <v>378</v>
      </c>
      <c r="B9" s="321"/>
      <c r="C9" s="322" t="s">
        <v>237</v>
      </c>
      <c r="D9" s="323"/>
      <c r="E9" s="321"/>
      <c r="F9" s="47"/>
      <c r="G9" s="47"/>
      <c r="H9" s="47"/>
      <c r="I9" s="47"/>
      <c r="J9" s="47"/>
      <c r="K9" s="324"/>
      <c r="L9" s="324"/>
    </row>
    <row r="10" spans="1:12" ht="17.25" customHeight="1">
      <c r="A10" s="320" t="s">
        <v>232</v>
      </c>
      <c r="B10" s="321"/>
      <c r="C10" s="322"/>
      <c r="D10" s="323"/>
      <c r="E10" s="321"/>
      <c r="F10" s="47"/>
      <c r="G10" s="47"/>
      <c r="H10" s="47"/>
      <c r="I10" s="47"/>
      <c r="J10" s="47"/>
      <c r="K10" s="324"/>
      <c r="L10" s="324"/>
    </row>
    <row r="11" spans="1:12" ht="17.25" customHeight="1">
      <c r="A11" s="320" t="s">
        <v>234</v>
      </c>
      <c r="B11" s="321"/>
      <c r="C11" s="322"/>
      <c r="D11" s="323"/>
      <c r="E11" s="321"/>
      <c r="F11" s="47"/>
      <c r="G11" s="47"/>
      <c r="H11" s="47"/>
      <c r="I11" s="47"/>
      <c r="J11" s="47"/>
      <c r="K11" s="324"/>
      <c r="L11" s="324"/>
    </row>
    <row r="13" spans="1:12" ht="36" customHeight="1">
      <c r="A13" s="301" t="s">
        <v>242</v>
      </c>
    </row>
    <row r="14" spans="1:12" ht="36" customHeight="1">
      <c r="A14" s="301" t="s">
        <v>282</v>
      </c>
    </row>
    <row r="15" spans="1:12" ht="36" customHeight="1">
      <c r="A15" s="301" t="s">
        <v>283</v>
      </c>
    </row>
    <row r="16" spans="1:12" ht="36" customHeight="1">
      <c r="A16" s="301" t="s">
        <v>284</v>
      </c>
    </row>
    <row r="17" spans="1:12" ht="36" customHeight="1">
      <c r="A17" s="330" t="s">
        <v>285</v>
      </c>
      <c r="B17" s="330"/>
      <c r="C17" s="330"/>
      <c r="D17" s="330"/>
      <c r="E17" s="330"/>
      <c r="F17" s="330"/>
      <c r="G17" s="330"/>
      <c r="H17" s="330"/>
      <c r="I17" s="330"/>
      <c r="J17" s="330"/>
      <c r="K17" s="330"/>
      <c r="L17" s="330"/>
    </row>
    <row r="18" spans="1:12" ht="36" customHeight="1">
      <c r="A18" s="301" t="s">
        <v>286</v>
      </c>
    </row>
    <row r="19" spans="1:12" ht="36" customHeight="1">
      <c r="A19" s="301" t="s">
        <v>287</v>
      </c>
    </row>
    <row r="20" spans="1:12">
      <c r="A20" s="301" t="s">
        <v>288</v>
      </c>
    </row>
    <row r="21" spans="1:12">
      <c r="A21" s="301" t="s">
        <v>243</v>
      </c>
    </row>
    <row r="22" spans="1:12">
      <c r="A22" s="301" t="s">
        <v>244</v>
      </c>
    </row>
    <row r="23" spans="1:12">
      <c r="A23" s="301" t="s">
        <v>245</v>
      </c>
    </row>
  </sheetData>
  <mergeCells count="1">
    <mergeCell ref="A17:L17"/>
  </mergeCells>
  <phoneticPr fontId="0" type="noConversion"/>
  <printOptions horizontalCentered="1" verticalCentered="1"/>
  <pageMargins left="0.5" right="0.5" top="0.5" bottom="0.77" header="0.5" footer="0.5"/>
  <pageSetup orientation="landscape" r:id="rId1"/>
  <headerFooter alignWithMargins="0">
    <oddFooter>&amp;L&amp;"Arial,Italic"&amp;9&amp;F,  Tab:  &amp;A  &amp;D, &amp;T  PNNL&amp;R&amp;"Arial,Italic"&amp;9Page &amp;P of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2"/>
  <dimension ref="A1:G33"/>
  <sheetViews>
    <sheetView showGridLines="0" zoomScale="75" workbookViewId="0">
      <selection activeCell="H11" sqref="H11:I11"/>
    </sheetView>
  </sheetViews>
  <sheetFormatPr defaultColWidth="9.26953125" defaultRowHeight="12.5"/>
  <cols>
    <col min="1" max="1" width="24.81640625" style="239" customWidth="1"/>
    <col min="2" max="2" width="10.7265625" style="1" customWidth="1"/>
    <col min="3" max="3" width="11.453125" style="2" customWidth="1"/>
    <col min="4" max="4" width="10.54296875" style="2" customWidth="1"/>
    <col min="5" max="5" width="11.54296875" style="2" customWidth="1"/>
    <col min="6" max="6" width="52.1796875" style="24" customWidth="1"/>
    <col min="7" max="16384" width="9.26953125" style="2"/>
  </cols>
  <sheetData>
    <row r="1" spans="1:7" ht="21" customHeight="1">
      <c r="A1" s="238" t="s">
        <v>279</v>
      </c>
    </row>
    <row r="2" spans="1:7">
      <c r="A2" s="239" t="s">
        <v>241</v>
      </c>
    </row>
    <row r="3" spans="1:7">
      <c r="A3" s="1"/>
    </row>
    <row r="4" spans="1:7" ht="15.5">
      <c r="A4" s="231" t="s">
        <v>263</v>
      </c>
    </row>
    <row r="5" spans="1:7">
      <c r="A5" s="1" t="s">
        <v>280</v>
      </c>
    </row>
    <row r="7" spans="1:7" ht="37.5">
      <c r="A7" s="298" t="s">
        <v>265</v>
      </c>
      <c r="B7" s="300" t="s">
        <v>261</v>
      </c>
      <c r="C7" s="300" t="s">
        <v>264</v>
      </c>
      <c r="D7" s="300" t="s">
        <v>281</v>
      </c>
      <c r="E7" s="300" t="s">
        <v>260</v>
      </c>
      <c r="F7" s="299" t="s">
        <v>266</v>
      </c>
      <c r="G7" s="144"/>
    </row>
    <row r="8" spans="1:7" ht="35.25" customHeight="1">
      <c r="A8" s="284"/>
      <c r="B8" s="285"/>
      <c r="C8" s="282"/>
      <c r="D8" s="282"/>
      <c r="E8" s="296"/>
      <c r="F8" s="293"/>
    </row>
    <row r="9" spans="1:7" ht="35.25" customHeight="1">
      <c r="A9" s="286"/>
      <c r="B9" s="287"/>
      <c r="C9" s="283"/>
      <c r="D9" s="283"/>
      <c r="E9" s="297"/>
      <c r="F9" s="294"/>
    </row>
    <row r="10" spans="1:7" ht="35.25" customHeight="1">
      <c r="A10" s="286"/>
      <c r="B10" s="287"/>
      <c r="C10" s="283"/>
      <c r="D10" s="283"/>
      <c r="E10" s="297"/>
      <c r="F10" s="294"/>
    </row>
    <row r="11" spans="1:7" ht="35.25" customHeight="1">
      <c r="A11" s="286"/>
      <c r="B11" s="287"/>
      <c r="C11" s="283"/>
      <c r="D11" s="283"/>
      <c r="E11" s="297"/>
      <c r="F11" s="294"/>
    </row>
    <row r="12" spans="1:7" ht="35.25" customHeight="1">
      <c r="A12" s="286"/>
      <c r="B12" s="287"/>
      <c r="C12" s="283"/>
      <c r="D12" s="283"/>
      <c r="E12" s="297"/>
      <c r="F12" s="294"/>
    </row>
    <row r="13" spans="1:7" ht="35.25" customHeight="1">
      <c r="A13" s="286"/>
      <c r="B13" s="287"/>
      <c r="C13" s="283"/>
      <c r="D13" s="283"/>
      <c r="E13" s="297"/>
      <c r="F13" s="294"/>
    </row>
    <row r="14" spans="1:7" ht="35.25" customHeight="1">
      <c r="A14" s="286"/>
      <c r="B14" s="287"/>
      <c r="C14" s="283"/>
      <c r="D14" s="283"/>
      <c r="E14" s="297"/>
      <c r="F14" s="294"/>
    </row>
    <row r="15" spans="1:7">
      <c r="A15" s="2"/>
      <c r="B15" s="2"/>
      <c r="E15" s="24"/>
    </row>
    <row r="16" spans="1:7">
      <c r="A16" s="2"/>
      <c r="B16" s="2"/>
      <c r="E16" s="24"/>
    </row>
    <row r="25" spans="1:6" ht="15.5">
      <c r="A25" s="231" t="s">
        <v>267</v>
      </c>
    </row>
    <row r="26" spans="1:6" s="11" customFormat="1" ht="61.5" customHeight="1">
      <c r="A26" s="301" t="s">
        <v>268</v>
      </c>
      <c r="B26" s="12"/>
      <c r="F26" s="302"/>
    </row>
    <row r="27" spans="1:6" s="11" customFormat="1" ht="64.5" customHeight="1">
      <c r="A27" s="301" t="s">
        <v>269</v>
      </c>
      <c r="B27" s="12"/>
      <c r="F27" s="302"/>
    </row>
    <row r="28" spans="1:6" s="11" customFormat="1" ht="64.5" customHeight="1">
      <c r="A28" s="301" t="s">
        <v>270</v>
      </c>
      <c r="B28" s="12"/>
      <c r="F28" s="302"/>
    </row>
    <row r="29" spans="1:6" s="11" customFormat="1" ht="15.5">
      <c r="A29" s="32" t="s">
        <v>271</v>
      </c>
      <c r="B29" s="12"/>
      <c r="F29" s="302"/>
    </row>
    <row r="30" spans="1:6" s="11" customFormat="1" ht="64.5" customHeight="1">
      <c r="A30" s="301" t="s">
        <v>272</v>
      </c>
      <c r="B30" s="12"/>
      <c r="F30" s="302"/>
    </row>
    <row r="31" spans="1:6" s="11" customFormat="1" ht="64.5" customHeight="1">
      <c r="A31" s="301" t="s">
        <v>273</v>
      </c>
      <c r="B31" s="12"/>
      <c r="F31" s="302"/>
    </row>
    <row r="32" spans="1:6" s="11" customFormat="1" ht="64.5" customHeight="1">
      <c r="A32" s="301" t="s">
        <v>274</v>
      </c>
      <c r="B32" s="12"/>
      <c r="F32" s="302"/>
    </row>
    <row r="33" spans="1:6" s="11" customFormat="1" ht="64.5" customHeight="1">
      <c r="A33" s="301" t="s">
        <v>275</v>
      </c>
      <c r="B33" s="12"/>
      <c r="F33" s="302"/>
    </row>
  </sheetData>
  <phoneticPr fontId="0" type="noConversion"/>
  <printOptions horizontalCentered="1" verticalCentered="1"/>
  <pageMargins left="0.5" right="0.5" top="0.5" bottom="0.77" header="0.5" footer="0.5"/>
  <pageSetup orientation="landscape" r:id="rId1"/>
  <headerFooter alignWithMargins="0">
    <oddFooter>&amp;L&amp;"Arial,Italic"&amp;9&amp;F,  Tab:  &amp;A  &amp;D, &amp;T  PNNL&amp;R&amp;"Arial,Italic"&amp;9Page &amp;P of &amp;N</oddFooter>
  </headerFooter>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G22"/>
  <sheetViews>
    <sheetView showGridLines="0" workbookViewId="0">
      <selection sqref="A1:C1"/>
    </sheetView>
  </sheetViews>
  <sheetFormatPr defaultColWidth="9.1796875" defaultRowHeight="12.5"/>
  <cols>
    <col min="1" max="1" width="125.1796875" style="146" customWidth="1"/>
    <col min="2" max="2" width="9.1796875" style="1"/>
    <col min="3" max="3" width="14.1796875" style="1" customWidth="1"/>
    <col min="4" max="16384" width="9.1796875" style="1"/>
  </cols>
  <sheetData>
    <row r="1" spans="1:7" ht="21" customHeight="1">
      <c r="A1" s="192" t="s">
        <v>127</v>
      </c>
      <c r="B1" s="103"/>
      <c r="G1" s="178"/>
    </row>
    <row r="2" spans="1:7" ht="25.5" customHeight="1">
      <c r="A2" s="194" t="s">
        <v>97</v>
      </c>
      <c r="B2" s="103"/>
    </row>
    <row r="3" spans="1:7" ht="19.5" customHeight="1">
      <c r="A3" s="109" t="s">
        <v>98</v>
      </c>
      <c r="B3" s="103"/>
    </row>
    <row r="4" spans="1:7" ht="19.5" customHeight="1">
      <c r="A4" s="109" t="s">
        <v>99</v>
      </c>
      <c r="B4" s="103"/>
    </row>
    <row r="5" spans="1:7" ht="19.5" customHeight="1">
      <c r="A5" s="195" t="s">
        <v>100</v>
      </c>
      <c r="B5" s="103"/>
    </row>
    <row r="6" spans="1:7" ht="48" customHeight="1">
      <c r="A6" s="195" t="s">
        <v>93</v>
      </c>
      <c r="B6" s="103"/>
    </row>
    <row r="7" spans="1:7" ht="24.75" customHeight="1">
      <c r="A7" s="109" t="s">
        <v>94</v>
      </c>
      <c r="B7" s="103"/>
    </row>
    <row r="8" spans="1:7" ht="24.75" customHeight="1">
      <c r="A8" s="109" t="s">
        <v>101</v>
      </c>
      <c r="B8" s="103"/>
    </row>
    <row r="9" spans="1:7" ht="27.75" customHeight="1">
      <c r="A9" s="195" t="s">
        <v>95</v>
      </c>
      <c r="B9" s="103"/>
    </row>
    <row r="10" spans="1:7" ht="26.25" customHeight="1">
      <c r="A10" s="109" t="s">
        <v>102</v>
      </c>
      <c r="B10" s="103"/>
    </row>
    <row r="11" spans="1:7" ht="26.25" customHeight="1">
      <c r="A11" s="195" t="s">
        <v>96</v>
      </c>
    </row>
    <row r="12" spans="1:7" ht="26.25" customHeight="1">
      <c r="A12" s="109" t="s">
        <v>103</v>
      </c>
      <c r="B12" s="103"/>
    </row>
    <row r="13" spans="1:7" ht="26.25" customHeight="1">
      <c r="A13" s="195" t="s">
        <v>96</v>
      </c>
    </row>
    <row r="14" spans="1:7" ht="92.25" customHeight="1">
      <c r="A14" s="112" t="s">
        <v>440</v>
      </c>
      <c r="B14" s="103"/>
    </row>
    <row r="15" spans="1:7">
      <c r="A15" s="193"/>
      <c r="B15" s="103"/>
    </row>
    <row r="16" spans="1:7">
      <c r="A16" s="193"/>
      <c r="B16" s="103"/>
    </row>
    <row r="17" spans="1:2">
      <c r="A17" s="193"/>
      <c r="B17" s="103"/>
    </row>
    <row r="18" spans="1:2">
      <c r="A18" s="193"/>
      <c r="B18" s="103"/>
    </row>
    <row r="19" spans="1:2">
      <c r="A19" s="193"/>
      <c r="B19" s="103"/>
    </row>
    <row r="20" spans="1:2">
      <c r="A20" s="193"/>
      <c r="B20" s="103"/>
    </row>
    <row r="21" spans="1:2">
      <c r="A21" s="193"/>
      <c r="B21" s="103"/>
    </row>
    <row r="22" spans="1:2">
      <c r="A22" s="193"/>
      <c r="B22" s="103"/>
    </row>
  </sheetData>
  <phoneticPr fontId="0" type="noConversion"/>
  <printOptions horizontalCentered="1" verticalCentered="1"/>
  <pageMargins left="0.5" right="0.5" top="0.5" bottom="0.77" header="0.5" footer="0.5"/>
  <pageSetup orientation="landscape" r:id="rId1"/>
  <headerFooter alignWithMargins="0">
    <oddFooter>&amp;L&amp;"Arial,Italic"&amp;9&amp;F,  Tab:  &amp;A  &amp;D, &amp;T  PNNL&amp;R&amp;"Arial,Italic"&amp;9Page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H23"/>
  <sheetViews>
    <sheetView showGridLines="0" workbookViewId="0">
      <selection sqref="A1:C1"/>
    </sheetView>
  </sheetViews>
  <sheetFormatPr defaultColWidth="9.1796875" defaultRowHeight="12.5"/>
  <cols>
    <col min="1" max="1" width="60.54296875" style="180" customWidth="1"/>
    <col min="2" max="2" width="4.54296875" style="180" customWidth="1"/>
    <col min="3" max="3" width="60.54296875" style="180" customWidth="1"/>
    <col min="4" max="16384" width="9.1796875" style="180"/>
  </cols>
  <sheetData>
    <row r="1" spans="1:8" ht="18">
      <c r="A1" s="190" t="s">
        <v>91</v>
      </c>
    </row>
    <row r="3" spans="1:8" s="187" customFormat="1" ht="25.5" customHeight="1">
      <c r="A3" s="163" t="s">
        <v>83</v>
      </c>
      <c r="B3" s="179"/>
      <c r="H3" s="179"/>
    </row>
    <row r="4" spans="1:8" ht="25.5">
      <c r="A4" s="183" t="s">
        <v>86</v>
      </c>
      <c r="C4" s="183" t="s">
        <v>89</v>
      </c>
    </row>
    <row r="5" spans="1:8" ht="42.75" customHeight="1">
      <c r="A5" s="185" t="s">
        <v>70</v>
      </c>
      <c r="C5" s="185" t="s">
        <v>71</v>
      </c>
    </row>
    <row r="6" spans="1:8" ht="42.75" customHeight="1">
      <c r="A6" s="186" t="s">
        <v>72</v>
      </c>
      <c r="C6" s="181" t="s">
        <v>73</v>
      </c>
    </row>
    <row r="7" spans="1:8" ht="42.75" customHeight="1">
      <c r="A7" s="186" t="s">
        <v>74</v>
      </c>
      <c r="C7" s="181"/>
    </row>
    <row r="8" spans="1:8" ht="42.75" customHeight="1">
      <c r="A8" s="182" t="s">
        <v>75</v>
      </c>
      <c r="C8" s="182"/>
    </row>
    <row r="10" spans="1:8" s="187" customFormat="1" ht="25.5" customHeight="1">
      <c r="A10" s="188" t="s">
        <v>87</v>
      </c>
    </row>
    <row r="11" spans="1:8" ht="13">
      <c r="A11" s="183" t="s">
        <v>84</v>
      </c>
      <c r="C11" s="183" t="s">
        <v>85</v>
      </c>
    </row>
    <row r="12" spans="1:8" ht="39" customHeight="1">
      <c r="A12" s="185" t="s">
        <v>76</v>
      </c>
      <c r="C12" s="185" t="s">
        <v>77</v>
      </c>
    </row>
    <row r="13" spans="1:8" ht="39" customHeight="1">
      <c r="A13" s="189" t="s">
        <v>72</v>
      </c>
      <c r="C13" s="181" t="s">
        <v>78</v>
      </c>
    </row>
    <row r="14" spans="1:8" ht="39" customHeight="1">
      <c r="A14" s="184"/>
      <c r="C14" s="181"/>
    </row>
    <row r="15" spans="1:8" ht="39" customHeight="1">
      <c r="A15" s="182" t="s">
        <v>75</v>
      </c>
      <c r="C15" s="182"/>
    </row>
    <row r="17" spans="1:3" s="187" customFormat="1" ht="25.5" customHeight="1">
      <c r="A17" s="188" t="s">
        <v>90</v>
      </c>
    </row>
    <row r="18" spans="1:3" ht="13">
      <c r="A18" s="183" t="s">
        <v>69</v>
      </c>
      <c r="C18" s="183" t="s">
        <v>88</v>
      </c>
    </row>
    <row r="19" spans="1:3" ht="39" customHeight="1">
      <c r="A19" s="184" t="s">
        <v>70</v>
      </c>
      <c r="C19" s="185" t="s">
        <v>79</v>
      </c>
    </row>
    <row r="20" spans="1:3" ht="39" customHeight="1">
      <c r="A20" s="186" t="s">
        <v>72</v>
      </c>
      <c r="C20" s="186" t="s">
        <v>80</v>
      </c>
    </row>
    <row r="21" spans="1:3" ht="39" customHeight="1">
      <c r="A21" s="186" t="s">
        <v>81</v>
      </c>
      <c r="C21" s="186" t="s">
        <v>441</v>
      </c>
    </row>
    <row r="22" spans="1:3" ht="39" customHeight="1">
      <c r="A22" s="182" t="s">
        <v>82</v>
      </c>
      <c r="C22" s="182" t="s">
        <v>81</v>
      </c>
    </row>
    <row r="23" spans="1:3">
      <c r="A23" s="180" t="s">
        <v>409</v>
      </c>
    </row>
  </sheetData>
  <phoneticPr fontId="0" type="noConversion"/>
  <printOptions horizontalCentered="1" verticalCentered="1"/>
  <pageMargins left="0.5" right="0.5" top="0.5" bottom="0.77" header="0.5" footer="0.5"/>
  <pageSetup orientation="landscape" r:id="rId1"/>
  <headerFooter alignWithMargins="0">
    <oddFooter>&amp;L&amp;"Arial,Italic"&amp;9&amp;F,  Tab:  &amp;A  &amp;D, &amp;T  PNNL&amp;R&amp;"Arial,Italic"&amp;9Page &amp;P of &amp;N</oddFooter>
  </headerFooter>
  <rowBreaks count="1" manualBreakCount="1">
    <brk id="16"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C24"/>
  <sheetViews>
    <sheetView showGridLines="0" zoomScale="75" zoomScaleNormal="75" workbookViewId="0">
      <selection sqref="A1:C1"/>
    </sheetView>
  </sheetViews>
  <sheetFormatPr defaultColWidth="9.1796875" defaultRowHeight="12.5"/>
  <cols>
    <col min="1" max="1" width="42" style="1" customWidth="1"/>
    <col min="2" max="3" width="42" style="2" customWidth="1"/>
    <col min="4" max="16384" width="9.1796875" style="2"/>
  </cols>
  <sheetData>
    <row r="1" spans="1:3" s="162" customFormat="1" ht="18">
      <c r="A1" s="331" t="s">
        <v>53</v>
      </c>
      <c r="B1" s="331"/>
      <c r="C1" s="331"/>
    </row>
    <row r="2" spans="1:3" ht="15.5">
      <c r="A2" s="22" t="s">
        <v>404</v>
      </c>
      <c r="B2" s="23"/>
      <c r="C2" s="29" t="s">
        <v>64</v>
      </c>
    </row>
    <row r="3" spans="1:3" ht="16.5" customHeight="1">
      <c r="A3" s="73" t="s">
        <v>402</v>
      </c>
      <c r="B3" s="36" t="s">
        <v>403</v>
      </c>
      <c r="C3" s="37" t="s">
        <v>415</v>
      </c>
    </row>
    <row r="4" spans="1:3" ht="13">
      <c r="A4" s="74" t="s">
        <v>405</v>
      </c>
      <c r="B4" s="80" t="s">
        <v>409</v>
      </c>
      <c r="C4" s="72" t="s">
        <v>409</v>
      </c>
    </row>
    <row r="5" spans="1:3" ht="52.5" customHeight="1">
      <c r="A5" s="75" t="s">
        <v>496</v>
      </c>
      <c r="B5" s="40" t="s">
        <v>413</v>
      </c>
      <c r="C5" s="41" t="str">
        <f>+B5</f>
        <v>Weekdays?:
Weekends?:  
Shut off?:</v>
      </c>
    </row>
    <row r="6" spans="1:3" ht="87.5">
      <c r="A6" s="61" t="s">
        <v>508</v>
      </c>
      <c r="B6" s="55" t="s">
        <v>411</v>
      </c>
      <c r="C6" s="41" t="str">
        <f>+B6</f>
        <v xml:space="preserve">Start?: 
Stop?: </v>
      </c>
    </row>
    <row r="7" spans="1:3" ht="47.25" customHeight="1">
      <c r="A7" s="76" t="s">
        <v>507</v>
      </c>
      <c r="B7" s="51" t="s">
        <v>412</v>
      </c>
      <c r="C7" s="52" t="str">
        <f>+B7</f>
        <v xml:space="preserve">Weekdays?:
Weekends?:  </v>
      </c>
    </row>
    <row r="8" spans="1:3" ht="60.75" customHeight="1">
      <c r="A8" s="77" t="s">
        <v>497</v>
      </c>
      <c r="B8" s="56" t="s">
        <v>414</v>
      </c>
      <c r="C8" s="57" t="str">
        <f>+B8</f>
        <v xml:space="preserve">Amount of lighting/equipment?: </v>
      </c>
    </row>
    <row r="9" spans="1:3" ht="13">
      <c r="A9" s="78" t="s">
        <v>430</v>
      </c>
      <c r="B9" s="81"/>
      <c r="C9" s="72"/>
    </row>
    <row r="10" spans="1:3" ht="57" customHeight="1">
      <c r="A10" s="75" t="s">
        <v>427</v>
      </c>
      <c r="B10" s="40" t="s">
        <v>548</v>
      </c>
      <c r="C10" s="41" t="s">
        <v>429</v>
      </c>
    </row>
    <row r="11" spans="1:3" ht="57" customHeight="1">
      <c r="A11" s="61" t="s">
        <v>426</v>
      </c>
      <c r="B11" s="55" t="s">
        <v>548</v>
      </c>
      <c r="C11" s="48" t="s">
        <v>429</v>
      </c>
    </row>
    <row r="12" spans="1:3" ht="57" customHeight="1">
      <c r="A12" s="79" t="s">
        <v>428</v>
      </c>
      <c r="B12" s="42" t="s">
        <v>548</v>
      </c>
      <c r="C12" s="82" t="s">
        <v>429</v>
      </c>
    </row>
    <row r="13" spans="1:3" ht="13">
      <c r="A13" s="74" t="s">
        <v>407</v>
      </c>
      <c r="B13" s="80"/>
      <c r="C13" s="72"/>
    </row>
    <row r="14" spans="1:3" ht="50.25" customHeight="1">
      <c r="A14" s="75" t="s">
        <v>498</v>
      </c>
      <c r="B14" s="40" t="s">
        <v>412</v>
      </c>
      <c r="C14" s="41" t="str">
        <f>+B14</f>
        <v xml:space="preserve">Weekdays?:
Weekends?:  </v>
      </c>
    </row>
    <row r="15" spans="1:3" ht="50.25" customHeight="1">
      <c r="A15" s="61" t="s">
        <v>499</v>
      </c>
      <c r="B15" s="40" t="s">
        <v>412</v>
      </c>
      <c r="C15" s="41" t="str">
        <f>+B15</f>
        <v xml:space="preserve">Weekdays?:
Weekends?:  </v>
      </c>
    </row>
    <row r="16" spans="1:3" ht="50.25" customHeight="1">
      <c r="A16" s="79" t="s">
        <v>500</v>
      </c>
      <c r="B16" s="42" t="s">
        <v>410</v>
      </c>
      <c r="C16" s="41" t="str">
        <f>+B16</f>
        <v xml:space="preserve">Yes/No?: </v>
      </c>
    </row>
    <row r="17" spans="1:3" ht="13">
      <c r="A17" s="74" t="s">
        <v>408</v>
      </c>
      <c r="B17" s="38"/>
      <c r="C17" s="83"/>
    </row>
    <row r="18" spans="1:3" ht="50.25" customHeight="1">
      <c r="A18" s="75" t="s">
        <v>501</v>
      </c>
      <c r="B18" s="40" t="s">
        <v>412</v>
      </c>
      <c r="C18" s="41" t="str">
        <f>+B18</f>
        <v xml:space="preserve">Weekdays?:
Weekends?:  </v>
      </c>
    </row>
    <row r="19" spans="1:3" ht="50.25" customHeight="1">
      <c r="A19" s="61" t="s">
        <v>502</v>
      </c>
      <c r="B19" s="55" t="s">
        <v>549</v>
      </c>
      <c r="C19" s="48" t="str">
        <f>+B19</f>
        <v xml:space="preserve">Yes/No/Maybe?: </v>
      </c>
    </row>
    <row r="20" spans="1:3" ht="50.25" customHeight="1">
      <c r="A20" s="61" t="s">
        <v>503</v>
      </c>
      <c r="B20" s="55" t="s">
        <v>410</v>
      </c>
      <c r="C20" s="48" t="str">
        <f>+B20</f>
        <v xml:space="preserve">Yes/No?: </v>
      </c>
    </row>
    <row r="21" spans="1:3" ht="50.25" customHeight="1">
      <c r="A21" s="79" t="s">
        <v>504</v>
      </c>
      <c r="B21" s="42" t="s">
        <v>549</v>
      </c>
      <c r="C21" s="82" t="str">
        <f>+B21</f>
        <v xml:space="preserve">Yes/No/Maybe?: </v>
      </c>
    </row>
    <row r="22" spans="1:3" ht="13">
      <c r="A22" s="74" t="s">
        <v>406</v>
      </c>
      <c r="B22" s="38"/>
      <c r="C22" s="83"/>
    </row>
    <row r="23" spans="1:3" ht="50.25" customHeight="1">
      <c r="A23" s="75" t="s">
        <v>505</v>
      </c>
      <c r="B23" s="40" t="s">
        <v>412</v>
      </c>
      <c r="C23" s="41" t="str">
        <f>+B23</f>
        <v xml:space="preserve">Weekdays?:
Weekends?:  </v>
      </c>
    </row>
    <row r="24" spans="1:3" ht="50.25" customHeight="1">
      <c r="A24" s="89" t="s">
        <v>506</v>
      </c>
      <c r="B24" s="90" t="s">
        <v>410</v>
      </c>
      <c r="C24" s="82" t="str">
        <f>+B24</f>
        <v xml:space="preserve">Yes/No?: </v>
      </c>
    </row>
  </sheetData>
  <mergeCells count="1">
    <mergeCell ref="A1:C1"/>
  </mergeCells>
  <phoneticPr fontId="0" type="noConversion"/>
  <printOptions horizontalCentered="1" verticalCentered="1"/>
  <pageMargins left="0.5" right="0.5" top="0.5" bottom="0.77" header="0.5" footer="0.5"/>
  <pageSetup orientation="landscape" r:id="rId1"/>
  <headerFooter alignWithMargins="0">
    <oddFooter>&amp;L&amp;"Arial,Italic"&amp;9&amp;F,  Tab:  &amp;A  &amp;D, &amp;T  PNNL&amp;R&amp;"Arial,Italic"&amp;9Page &amp;P of &amp;N</oddFooter>
  </headerFooter>
  <rowBreaks count="1" manualBreakCount="1">
    <brk id="12" max="16383" man="1"/>
  </row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dimension ref="A1:C40"/>
  <sheetViews>
    <sheetView showGridLines="0" zoomScaleNormal="100" workbookViewId="0">
      <selection sqref="A1:C1"/>
    </sheetView>
  </sheetViews>
  <sheetFormatPr defaultColWidth="9.1796875" defaultRowHeight="12.5"/>
  <cols>
    <col min="1" max="1" width="46.1796875" style="12" customWidth="1"/>
    <col min="2" max="3" width="41.1796875" style="11" customWidth="1"/>
    <col min="4" max="16384" width="9.1796875" style="11"/>
  </cols>
  <sheetData>
    <row r="1" spans="1:3" s="162" customFormat="1" ht="18">
      <c r="A1" s="331" t="s">
        <v>57</v>
      </c>
      <c r="B1" s="331"/>
      <c r="C1" s="331"/>
    </row>
    <row r="2" spans="1:3" s="2" customFormat="1" ht="14">
      <c r="A2" s="155" t="s">
        <v>52</v>
      </c>
    </row>
    <row r="3" spans="1:3" ht="15.5">
      <c r="A3" s="32"/>
      <c r="C3" s="13" t="s">
        <v>65</v>
      </c>
    </row>
    <row r="4" spans="1:3" ht="15.5">
      <c r="A4" s="15" t="s">
        <v>402</v>
      </c>
      <c r="B4" s="36" t="s">
        <v>434</v>
      </c>
      <c r="C4" s="37" t="s">
        <v>435</v>
      </c>
    </row>
    <row r="5" spans="1:3" ht="15.5">
      <c r="A5" s="14" t="s">
        <v>436</v>
      </c>
      <c r="B5" s="65"/>
      <c r="C5" s="64"/>
    </row>
    <row r="6" spans="1:3" ht="13">
      <c r="A6" s="58" t="s">
        <v>437</v>
      </c>
      <c r="B6" s="51"/>
      <c r="C6" s="52"/>
    </row>
    <row r="7" spans="1:3">
      <c r="A7" s="16" t="s">
        <v>438</v>
      </c>
      <c r="B7" s="51" t="s">
        <v>463</v>
      </c>
      <c r="C7" s="52" t="s">
        <v>463</v>
      </c>
    </row>
    <row r="8" spans="1:3">
      <c r="A8" s="59" t="s">
        <v>442</v>
      </c>
      <c r="B8" s="40"/>
      <c r="C8" s="41"/>
    </row>
    <row r="9" spans="1:3">
      <c r="A9" s="60" t="s">
        <v>443</v>
      </c>
      <c r="B9" s="55"/>
      <c r="C9" s="48"/>
    </row>
    <row r="10" spans="1:3">
      <c r="A10" s="60" t="s">
        <v>462</v>
      </c>
      <c r="B10" s="67"/>
      <c r="C10" s="48"/>
    </row>
    <row r="11" spans="1:3" ht="39.75" customHeight="1">
      <c r="A11" s="59" t="s">
        <v>466</v>
      </c>
      <c r="B11" s="66" t="s">
        <v>463</v>
      </c>
      <c r="C11" s="41" t="str">
        <f>+B11</f>
        <v xml:space="preserve">Position?: </v>
      </c>
    </row>
    <row r="12" spans="1:3" ht="39.75" customHeight="1">
      <c r="A12" s="19" t="s">
        <v>459</v>
      </c>
      <c r="B12" s="67" t="s">
        <v>460</v>
      </c>
      <c r="C12" s="68" t="str">
        <f>+B12</f>
        <v xml:space="preserve">Temperature?: </v>
      </c>
    </row>
    <row r="13" spans="1:3" ht="39.75" customHeight="1">
      <c r="A13" s="19" t="s">
        <v>464</v>
      </c>
      <c r="B13" s="67" t="s">
        <v>461</v>
      </c>
      <c r="C13" s="68" t="str">
        <f>+B13</f>
        <v>Yes/No?:</v>
      </c>
    </row>
    <row r="14" spans="1:3" ht="93" customHeight="1">
      <c r="A14" s="332" t="s">
        <v>465</v>
      </c>
      <c r="B14" s="69"/>
      <c r="C14" s="70"/>
    </row>
    <row r="15" spans="1:3">
      <c r="A15" s="332"/>
      <c r="B15" s="40" t="s">
        <v>486</v>
      </c>
      <c r="C15" s="41" t="str">
        <f t="shared" ref="C15:C20" si="0">+B15</f>
        <v>What is the minimum position?:</v>
      </c>
    </row>
    <row r="16" spans="1:3" ht="39.75" customHeight="1">
      <c r="A16" s="19" t="s">
        <v>444</v>
      </c>
      <c r="B16" s="55" t="s">
        <v>485</v>
      </c>
      <c r="C16" s="48" t="str">
        <f t="shared" si="0"/>
        <v>ODA temperature?:  
Economizer running?:</v>
      </c>
    </row>
    <row r="17" spans="1:3" ht="39.75" customHeight="1">
      <c r="A17" s="19" t="s">
        <v>445</v>
      </c>
      <c r="B17" s="55" t="s">
        <v>467</v>
      </c>
      <c r="C17" s="48" t="str">
        <f t="shared" si="0"/>
        <v xml:space="preserve">Dampers modulating or stuck?  </v>
      </c>
    </row>
    <row r="18" spans="1:3" ht="27" customHeight="1">
      <c r="A18" s="19" t="s">
        <v>248</v>
      </c>
      <c r="B18" s="55" t="s">
        <v>249</v>
      </c>
      <c r="C18" s="48" t="str">
        <f t="shared" si="0"/>
        <v xml:space="preserve">Command? </v>
      </c>
    </row>
    <row r="19" spans="1:3" ht="27" customHeight="1">
      <c r="A19" s="18" t="s">
        <v>468</v>
      </c>
      <c r="B19" s="55" t="s">
        <v>461</v>
      </c>
      <c r="C19" s="48" t="str">
        <f t="shared" si="0"/>
        <v>Yes/No?:</v>
      </c>
    </row>
    <row r="20" spans="1:3" ht="42" customHeight="1">
      <c r="A20" s="17" t="s">
        <v>487</v>
      </c>
      <c r="B20" s="40" t="s">
        <v>446</v>
      </c>
      <c r="C20" s="41" t="str">
        <f t="shared" si="0"/>
        <v xml:space="preserve">Filter conditions?   </v>
      </c>
    </row>
    <row r="21" spans="1:3" ht="42" customHeight="1">
      <c r="A21" s="62" t="s">
        <v>469</v>
      </c>
      <c r="B21" s="51" t="s">
        <v>447</v>
      </c>
      <c r="C21" s="52" t="s">
        <v>448</v>
      </c>
    </row>
    <row r="22" spans="1:3" ht="101.25" customHeight="1">
      <c r="A22" s="21" t="s">
        <v>489</v>
      </c>
      <c r="B22" s="56" t="s">
        <v>449</v>
      </c>
      <c r="C22" s="57" t="s">
        <v>449</v>
      </c>
    </row>
    <row r="23" spans="1:3" ht="101.25" customHeight="1">
      <c r="A23" s="20" t="s">
        <v>490</v>
      </c>
      <c r="B23" s="44" t="s">
        <v>470</v>
      </c>
      <c r="C23" s="35" t="str">
        <f>+B23</f>
        <v xml:space="preserve">Valves leaking?  
Heating lockouts?  </v>
      </c>
    </row>
    <row r="24" spans="1:3" ht="101.25" customHeight="1">
      <c r="A24" s="16" t="s">
        <v>491</v>
      </c>
      <c r="B24" s="51" t="s">
        <v>450</v>
      </c>
      <c r="C24" s="52" t="s">
        <v>450</v>
      </c>
    </row>
    <row r="25" spans="1:3" ht="101.25" customHeight="1">
      <c r="A25" s="63" t="s">
        <v>471</v>
      </c>
      <c r="B25" s="56" t="s">
        <v>472</v>
      </c>
      <c r="C25" s="57" t="str">
        <f>+B25</f>
        <v xml:space="preserve">Total number of zones?:  
Zones not at set points?:  </v>
      </c>
    </row>
    <row r="26" spans="1:3" ht="15.5">
      <c r="A26" s="156" t="s">
        <v>473</v>
      </c>
      <c r="B26" s="71"/>
      <c r="C26" s="72"/>
    </row>
    <row r="27" spans="1:3" ht="38">
      <c r="A27" s="17" t="s">
        <v>492</v>
      </c>
      <c r="B27" s="40" t="s">
        <v>476</v>
      </c>
      <c r="C27" s="41" t="str">
        <f>+B27</f>
        <v>Fan speed?:</v>
      </c>
    </row>
    <row r="28" spans="1:3" ht="63">
      <c r="A28" s="19" t="s">
        <v>493</v>
      </c>
      <c r="B28" s="55" t="s">
        <v>475</v>
      </c>
      <c r="C28" s="48" t="str">
        <f>+B28</f>
        <v xml:space="preserve">Discharge pressure?:  </v>
      </c>
    </row>
    <row r="29" spans="1:3" ht="25.5">
      <c r="A29" s="28" t="s">
        <v>494</v>
      </c>
      <c r="B29" s="51" t="s">
        <v>474</v>
      </c>
      <c r="C29" s="54" t="str">
        <f>+B29</f>
        <v xml:space="preserve">Discharge air temperature?: </v>
      </c>
    </row>
    <row r="30" spans="1:3">
      <c r="A30" s="17" t="s">
        <v>481</v>
      </c>
      <c r="B30" s="51"/>
      <c r="C30" s="52"/>
    </row>
    <row r="31" spans="1:3" ht="87.5">
      <c r="A31" s="17" t="s">
        <v>482</v>
      </c>
      <c r="B31" s="51"/>
      <c r="C31" s="52"/>
    </row>
    <row r="32" spans="1:3" ht="37.5">
      <c r="A32" s="17" t="s">
        <v>451</v>
      </c>
      <c r="B32" s="40"/>
      <c r="C32" s="41"/>
    </row>
    <row r="33" spans="1:3" ht="37.5">
      <c r="A33" s="19" t="s">
        <v>477</v>
      </c>
      <c r="B33" s="55" t="s">
        <v>480</v>
      </c>
      <c r="C33" s="48" t="str">
        <f>+B33</f>
        <v>ODA temperature?: 
Discharge seem correct?:</v>
      </c>
    </row>
    <row r="34" spans="1:3" ht="25">
      <c r="A34" s="19" t="s">
        <v>495</v>
      </c>
      <c r="B34" s="55" t="s">
        <v>478</v>
      </c>
      <c r="C34" s="48" t="str">
        <f>+B34</f>
        <v xml:space="preserve">Yes/No?:  
Schedule: </v>
      </c>
    </row>
    <row r="35" spans="1:3" ht="75">
      <c r="A35" s="28" t="s">
        <v>479</v>
      </c>
      <c r="B35" s="49" t="s">
        <v>483</v>
      </c>
      <c r="C35" s="50" t="str">
        <f>+B35</f>
        <v xml:space="preserve">Fit with needs?: </v>
      </c>
    </row>
    <row r="36" spans="1:3" ht="38">
      <c r="A36" s="63" t="s">
        <v>484</v>
      </c>
      <c r="B36" s="56" t="s">
        <v>452</v>
      </c>
      <c r="C36" s="57" t="s">
        <v>452</v>
      </c>
    </row>
    <row r="37" spans="1:3" ht="13">
      <c r="A37" s="31" t="s">
        <v>554</v>
      </c>
      <c r="B37" s="16"/>
      <c r="C37" s="16"/>
    </row>
    <row r="38" spans="1:3" ht="13">
      <c r="A38" s="86"/>
      <c r="B38" s="16"/>
      <c r="C38" s="16"/>
    </row>
    <row r="39" spans="1:3" ht="13">
      <c r="A39" s="86"/>
      <c r="B39" s="16"/>
      <c r="C39" s="16"/>
    </row>
    <row r="40" spans="1:3">
      <c r="A40" s="11"/>
    </row>
  </sheetData>
  <mergeCells count="2">
    <mergeCell ref="A14:A15"/>
    <mergeCell ref="A1:C1"/>
  </mergeCells>
  <phoneticPr fontId="0" type="noConversion"/>
  <printOptions horizontalCentered="1" verticalCentered="1"/>
  <pageMargins left="0.5" right="0.5" top="0.5" bottom="0.77" header="0.5" footer="0.5"/>
  <pageSetup orientation="landscape" r:id="rId1"/>
  <headerFooter alignWithMargins="0">
    <oddFooter>&amp;L&amp;"Arial,Italic"&amp;9&amp;F,  Tab:  &amp;A  &amp;D, &amp;T  PNNL&amp;R&amp;"Arial,Italic"&amp;9Page &amp;P of &amp;N</oddFooter>
  </headerFooter>
  <rowBreaks count="2" manualBreakCount="2">
    <brk id="19" max="16383" man="1"/>
    <brk id="25" max="16383"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9"/>
  <dimension ref="A1:A2"/>
  <sheetViews>
    <sheetView showGridLines="0" zoomScale="75" zoomScaleNormal="100" workbookViewId="0">
      <selection activeCell="B18" sqref="B18"/>
    </sheetView>
  </sheetViews>
  <sheetFormatPr defaultColWidth="9.1796875" defaultRowHeight="12.5"/>
  <cols>
    <col min="1" max="1" width="39.54296875" style="12" customWidth="1"/>
    <col min="2" max="3" width="44.453125" style="11" customWidth="1"/>
    <col min="4" max="16384" width="9.1796875" style="11"/>
  </cols>
  <sheetData>
    <row r="1" spans="1:1" s="162" customFormat="1" ht="18">
      <c r="A1" s="153" t="s">
        <v>56</v>
      </c>
    </row>
    <row r="2" spans="1:1" s="2" customFormat="1" ht="9.75" customHeight="1">
      <c r="A2" s="88"/>
    </row>
  </sheetData>
  <phoneticPr fontId="0" type="noConversion"/>
  <printOptions horizontalCentered="1" verticalCentered="1"/>
  <pageMargins left="0.5" right="0.5" top="0.5" bottom="0.77" header="0.5" footer="0.5"/>
  <pageSetup orientation="landscape" r:id="rId1"/>
  <headerFooter alignWithMargins="0">
    <oddFooter>&amp;L&amp;"Arial,Italic"&amp;9&amp;F,  Tab:  &amp;A  &amp;D, &amp;T  PNNL&amp;R&amp;"Arial,Italic"&amp;9Page &amp;P of &amp;N</oddFooter>
  </headerFooter>
  <drawing r:id="rId2"/>
  <legacyDrawing r:id="rId3"/>
  <oleObjects>
    <mc:AlternateContent xmlns:mc="http://schemas.openxmlformats.org/markup-compatibility/2006">
      <mc:Choice Requires="x14">
        <oleObject progId="Outlook.FileAttach" shapeId="3077" r:id="rId4">
          <objectPr defaultSize="0" r:id="rId5">
            <anchor moveWithCells="1">
              <from>
                <xdr:col>0</xdr:col>
                <xdr:colOff>412750</xdr:colOff>
                <xdr:row>1</xdr:row>
                <xdr:rowOff>114300</xdr:rowOff>
              </from>
              <to>
                <xdr:col>0</xdr:col>
                <xdr:colOff>1365250</xdr:colOff>
                <xdr:row>6</xdr:row>
                <xdr:rowOff>57150</xdr:rowOff>
              </to>
            </anchor>
          </objectPr>
        </oleObject>
      </mc:Choice>
      <mc:Fallback>
        <oleObject progId="Outlook.FileAttach" shapeId="3077" r:id="rId4"/>
      </mc:Fallback>
    </mc:AlternateContent>
  </oleObjec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0"/>
  <dimension ref="A1:C23"/>
  <sheetViews>
    <sheetView showGridLines="0" topLeftCell="A2" zoomScale="75" zoomScaleNormal="75" workbookViewId="0">
      <selection sqref="A1:C1"/>
    </sheetView>
  </sheetViews>
  <sheetFormatPr defaultColWidth="9.1796875" defaultRowHeight="12.5"/>
  <cols>
    <col min="1" max="1" width="39.54296875" style="12" customWidth="1"/>
    <col min="2" max="3" width="44.453125" style="11" customWidth="1"/>
    <col min="4" max="16384" width="9.1796875" style="11"/>
  </cols>
  <sheetData>
    <row r="1" spans="1:3" s="162" customFormat="1" ht="18">
      <c r="A1" s="331" t="s">
        <v>55</v>
      </c>
      <c r="B1" s="331"/>
      <c r="C1" s="331"/>
    </row>
    <row r="2" spans="1:3" s="2" customFormat="1" ht="15.5">
      <c r="A2" s="22"/>
      <c r="B2" s="23"/>
      <c r="C2" s="13" t="s">
        <v>54</v>
      </c>
    </row>
    <row r="3" spans="1:3" ht="15.5">
      <c r="A3" s="15" t="s">
        <v>402</v>
      </c>
      <c r="B3" s="36" t="s">
        <v>434</v>
      </c>
      <c r="C3" s="37" t="s">
        <v>435</v>
      </c>
    </row>
    <row r="4" spans="1:3" ht="13">
      <c r="A4" s="30" t="s">
        <v>511</v>
      </c>
      <c r="B4" s="38"/>
      <c r="C4" s="39"/>
    </row>
    <row r="5" spans="1:3" ht="51" customHeight="1">
      <c r="A5" s="17" t="s">
        <v>541</v>
      </c>
      <c r="B5" s="40" t="s">
        <v>517</v>
      </c>
      <c r="C5" s="41" t="str">
        <f>+B5</f>
        <v xml:space="preserve">Clean?:  </v>
      </c>
    </row>
    <row r="6" spans="1:3" ht="51" customHeight="1">
      <c r="A6" s="16" t="s">
        <v>516</v>
      </c>
      <c r="B6" s="42" t="s">
        <v>515</v>
      </c>
      <c r="C6" s="43" t="str">
        <f>+B6</f>
        <v xml:space="preserve">Condition?:  </v>
      </c>
    </row>
    <row r="7" spans="1:3" ht="88">
      <c r="A7" s="33" t="s">
        <v>542</v>
      </c>
      <c r="B7" s="44"/>
      <c r="C7" s="35"/>
    </row>
    <row r="8" spans="1:3" ht="51" customHeight="1">
      <c r="A8" s="19" t="s">
        <v>543</v>
      </c>
      <c r="B8" s="45" t="s">
        <v>518</v>
      </c>
      <c r="C8" s="46" t="str">
        <f>+B8</f>
        <v xml:space="preserve">Pressure?: </v>
      </c>
    </row>
    <row r="9" spans="1:3" ht="51" customHeight="1">
      <c r="A9" s="19" t="s">
        <v>544</v>
      </c>
      <c r="B9" s="45" t="s">
        <v>521</v>
      </c>
      <c r="C9" s="46" t="str">
        <f>+B9</f>
        <v>Temperature?:</v>
      </c>
    </row>
    <row r="10" spans="1:3" ht="81" customHeight="1">
      <c r="A10" s="19" t="s">
        <v>545</v>
      </c>
      <c r="B10" s="47"/>
      <c r="C10" s="48"/>
    </row>
    <row r="11" spans="1:3" ht="42.75" customHeight="1">
      <c r="A11" s="28" t="s">
        <v>513</v>
      </c>
      <c r="B11" s="49" t="s">
        <v>522</v>
      </c>
      <c r="C11" s="50" t="str">
        <f>+B11</f>
        <v>Finding?:</v>
      </c>
    </row>
    <row r="12" spans="1:3" ht="51.75" customHeight="1">
      <c r="A12" s="20" t="s">
        <v>546</v>
      </c>
      <c r="B12" s="44" t="s">
        <v>523</v>
      </c>
      <c r="C12" s="35" t="str">
        <f>+B12</f>
        <v xml:space="preserve">Fill conditions?:  </v>
      </c>
    </row>
    <row r="13" spans="1:3" ht="46.5" customHeight="1">
      <c r="A13" s="28" t="s">
        <v>524</v>
      </c>
      <c r="B13" s="49" t="s">
        <v>525</v>
      </c>
      <c r="C13" s="50" t="str">
        <f>+B13</f>
        <v>ODA at which all tower fans are running?:</v>
      </c>
    </row>
    <row r="14" spans="1:3" ht="50.5">
      <c r="A14" s="34" t="s">
        <v>550</v>
      </c>
      <c r="B14" s="53" t="s">
        <v>551</v>
      </c>
      <c r="C14" s="54" t="str">
        <f>+B14</f>
        <v>Mode?:</v>
      </c>
    </row>
    <row r="15" spans="1:3" ht="30.75" customHeight="1">
      <c r="A15" s="333" t="s">
        <v>552</v>
      </c>
      <c r="B15" s="333"/>
      <c r="C15" s="333"/>
    </row>
    <row r="16" spans="1:3" ht="36" customHeight="1">
      <c r="A16" s="17" t="s">
        <v>531</v>
      </c>
      <c r="B16" s="84" t="s">
        <v>518</v>
      </c>
      <c r="C16" s="85" t="str">
        <f>+B16</f>
        <v xml:space="preserve">Pressure?: </v>
      </c>
    </row>
    <row r="17" spans="1:3" ht="36" customHeight="1">
      <c r="A17" s="19" t="s">
        <v>533</v>
      </c>
      <c r="B17" s="45" t="s">
        <v>521</v>
      </c>
      <c r="C17" s="46" t="str">
        <f>+B17</f>
        <v>Temperature?:</v>
      </c>
    </row>
    <row r="18" spans="1:3" ht="114.75" customHeight="1">
      <c r="A18" s="19" t="s">
        <v>532</v>
      </c>
      <c r="B18" s="47"/>
      <c r="C18" s="48"/>
    </row>
    <row r="19" spans="1:3" ht="62.5">
      <c r="A19" s="34" t="s">
        <v>514</v>
      </c>
      <c r="B19" s="53" t="s">
        <v>521</v>
      </c>
      <c r="C19" s="54" t="str">
        <f>+B19</f>
        <v>Temperature?:</v>
      </c>
    </row>
    <row r="20" spans="1:3" ht="80.25" customHeight="1">
      <c r="A20" s="33" t="s">
        <v>547</v>
      </c>
      <c r="B20" s="44" t="s">
        <v>535</v>
      </c>
      <c r="C20" s="35" t="str">
        <f>+B20</f>
        <v>Loops open?:</v>
      </c>
    </row>
    <row r="21" spans="1:3" ht="80.25" customHeight="1">
      <c r="A21" s="19" t="s">
        <v>534</v>
      </c>
      <c r="B21" s="55" t="s">
        <v>536</v>
      </c>
      <c r="C21" s="48" t="s">
        <v>537</v>
      </c>
    </row>
    <row r="22" spans="1:3" ht="80.25" customHeight="1">
      <c r="A22" s="16" t="s">
        <v>509</v>
      </c>
      <c r="B22" s="51" t="s">
        <v>538</v>
      </c>
      <c r="C22" s="52" t="s">
        <v>539</v>
      </c>
    </row>
    <row r="23" spans="1:3" ht="80.25" customHeight="1">
      <c r="A23" s="21" t="s">
        <v>510</v>
      </c>
      <c r="B23" s="56" t="s">
        <v>540</v>
      </c>
      <c r="C23" s="57" t="s">
        <v>539</v>
      </c>
    </row>
  </sheetData>
  <mergeCells count="2">
    <mergeCell ref="A15:C15"/>
    <mergeCell ref="A1:C1"/>
  </mergeCells>
  <phoneticPr fontId="0" type="noConversion"/>
  <printOptions horizontalCentered="1" verticalCentered="1"/>
  <pageMargins left="0.5" right="0.5" top="0.5" bottom="0.77" header="0.5" footer="0.5"/>
  <pageSetup orientation="landscape" r:id="rId1"/>
  <headerFooter alignWithMargins="0">
    <oddFooter>&amp;L&amp;"Arial,Italic"&amp;9&amp;F,  Tab:  &amp;A  &amp;D, &amp;T  PNNL&amp;R&amp;"Arial,Italic"&amp;9Page &amp;P of &amp;N</oddFooter>
  </headerFooter>
  <rowBreaks count="2" manualBreakCount="2">
    <brk id="11" max="16383" man="1"/>
    <brk id="19" max="16383" man="1"/>
  </rowBreaks>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IV53"/>
  <sheetViews>
    <sheetView showGridLines="0" zoomScale="75" zoomScaleNormal="75" workbookViewId="0">
      <selection sqref="A1:C1"/>
    </sheetView>
  </sheetViews>
  <sheetFormatPr defaultColWidth="9.1796875" defaultRowHeight="12.5"/>
  <cols>
    <col min="1" max="2" width="61.453125" style="12" customWidth="1"/>
    <col min="3" max="16384" width="9.1796875" style="2"/>
  </cols>
  <sheetData>
    <row r="1" spans="1:2" s="162" customFormat="1" ht="18">
      <c r="A1" s="334" t="s">
        <v>58</v>
      </c>
      <c r="B1" s="334"/>
    </row>
    <row r="2" spans="1:2" s="162" customFormat="1" ht="18">
      <c r="A2" s="161"/>
      <c r="B2" s="161"/>
    </row>
    <row r="3" spans="1:2" ht="15.5">
      <c r="A3" s="95"/>
      <c r="B3" s="13" t="s">
        <v>66</v>
      </c>
    </row>
    <row r="4" spans="1:2">
      <c r="A4" s="91"/>
      <c r="B4" s="91"/>
    </row>
    <row r="5" spans="1:2">
      <c r="A5" s="91" t="s">
        <v>579</v>
      </c>
      <c r="B5" s="91"/>
    </row>
    <row r="6" spans="1:2">
      <c r="A6" s="91"/>
      <c r="B6" s="91"/>
    </row>
    <row r="7" spans="1:2">
      <c r="A7" s="91" t="s">
        <v>625</v>
      </c>
      <c r="B7" s="91" t="s">
        <v>624</v>
      </c>
    </row>
    <row r="8" spans="1:2">
      <c r="A8" s="91"/>
      <c r="B8" s="91"/>
    </row>
    <row r="9" spans="1:2">
      <c r="A9" s="91"/>
      <c r="B9" s="91"/>
    </row>
    <row r="10" spans="1:2">
      <c r="A10" s="96" t="s">
        <v>580</v>
      </c>
      <c r="B10" s="97" t="s">
        <v>582</v>
      </c>
    </row>
    <row r="11" spans="1:2">
      <c r="A11" s="98" t="s">
        <v>581</v>
      </c>
      <c r="B11" s="99" t="s">
        <v>10</v>
      </c>
    </row>
    <row r="12" spans="1:2">
      <c r="A12" s="99"/>
      <c r="B12" s="93" t="s">
        <v>11</v>
      </c>
    </row>
    <row r="13" spans="1:2">
      <c r="A13" s="99"/>
      <c r="B13" s="93" t="s">
        <v>12</v>
      </c>
    </row>
    <row r="14" spans="1:2">
      <c r="A14" s="99"/>
      <c r="B14" s="93" t="s">
        <v>13</v>
      </c>
    </row>
    <row r="15" spans="1:2">
      <c r="A15" s="99"/>
      <c r="B15" s="93" t="s">
        <v>14</v>
      </c>
    </row>
    <row r="16" spans="1:2">
      <c r="A16" s="100"/>
      <c r="B16" s="92"/>
    </row>
    <row r="17" spans="1:256" ht="25">
      <c r="A17" s="99" t="s">
        <v>583</v>
      </c>
      <c r="B17" s="93" t="s">
        <v>586</v>
      </c>
    </row>
    <row r="18" spans="1:256">
      <c r="A18" s="101" t="s">
        <v>584</v>
      </c>
      <c r="B18" s="93" t="s">
        <v>15</v>
      </c>
    </row>
    <row r="19" spans="1:256">
      <c r="A19" s="99"/>
      <c r="B19" s="93" t="s">
        <v>16</v>
      </c>
    </row>
    <row r="20" spans="1:256">
      <c r="A20" s="99"/>
      <c r="B20" s="93" t="s">
        <v>17</v>
      </c>
    </row>
    <row r="21" spans="1:256">
      <c r="A21" s="99"/>
      <c r="B21" s="93" t="s">
        <v>13</v>
      </c>
    </row>
    <row r="22" spans="1:256">
      <c r="A22" s="99"/>
      <c r="B22" s="93" t="s">
        <v>18</v>
      </c>
    </row>
    <row r="23" spans="1:256">
      <c r="A23" s="99"/>
      <c r="B23" s="93" t="s">
        <v>587</v>
      </c>
    </row>
    <row r="24" spans="1:256">
      <c r="A24" s="99"/>
      <c r="B24" s="93"/>
    </row>
    <row r="25" spans="1:256">
      <c r="A25" s="100" t="s">
        <v>585</v>
      </c>
      <c r="B25" s="92"/>
    </row>
    <row r="26" spans="1:256">
      <c r="A26" s="102" t="s">
        <v>623</v>
      </c>
      <c r="B26" s="94"/>
      <c r="C26" s="94"/>
      <c r="D26" s="94"/>
      <c r="E26" s="94"/>
      <c r="F26" s="94"/>
      <c r="G26" s="94"/>
      <c r="H26" s="94"/>
      <c r="I26" s="94"/>
      <c r="J26" s="94"/>
      <c r="K26" s="94"/>
      <c r="L26" s="94"/>
      <c r="M26" s="94"/>
      <c r="N26" s="94"/>
      <c r="O26" s="94"/>
      <c r="P26" s="94"/>
      <c r="Q26" s="94"/>
      <c r="R26" s="94"/>
      <c r="S26" s="94"/>
      <c r="T26" s="94"/>
      <c r="U26" s="94"/>
      <c r="V26" s="94"/>
      <c r="W26" s="94"/>
      <c r="X26" s="94"/>
      <c r="Y26" s="94"/>
      <c r="Z26" s="94"/>
      <c r="AA26" s="94"/>
      <c r="AB26" s="94"/>
      <c r="AC26" s="94"/>
      <c r="AD26" s="94"/>
      <c r="AE26" s="94"/>
      <c r="AF26" s="94"/>
      <c r="AG26" s="94"/>
      <c r="AH26" s="94"/>
      <c r="AI26" s="94"/>
      <c r="AJ26" s="94"/>
      <c r="AK26" s="94"/>
      <c r="AL26" s="94"/>
      <c r="AM26" s="94"/>
      <c r="AN26" s="94"/>
      <c r="AO26" s="94"/>
      <c r="AP26" s="94"/>
      <c r="AQ26" s="94"/>
      <c r="AR26" s="94"/>
      <c r="AS26" s="94"/>
      <c r="AT26" s="94"/>
      <c r="AU26" s="94"/>
      <c r="AV26" s="94"/>
      <c r="AW26" s="94"/>
      <c r="AX26" s="94"/>
      <c r="AY26" s="94"/>
      <c r="AZ26" s="94"/>
      <c r="BA26" s="94"/>
      <c r="BB26" s="94"/>
      <c r="BC26" s="94"/>
      <c r="BD26" s="94"/>
      <c r="BE26" s="94"/>
      <c r="BF26" s="94"/>
      <c r="BG26" s="94"/>
      <c r="BH26" s="94"/>
      <c r="BI26" s="94"/>
      <c r="BJ26" s="94"/>
      <c r="BK26" s="94"/>
      <c r="BL26" s="94"/>
      <c r="BM26" s="94"/>
      <c r="BN26" s="94"/>
      <c r="BO26" s="94"/>
      <c r="BP26" s="94"/>
      <c r="BQ26" s="94"/>
      <c r="BR26" s="94"/>
      <c r="BS26" s="94"/>
      <c r="BT26" s="94"/>
      <c r="BU26" s="94"/>
      <c r="BV26" s="94"/>
      <c r="BW26" s="94"/>
      <c r="BX26" s="94"/>
      <c r="BY26" s="94"/>
      <c r="BZ26" s="94"/>
      <c r="CA26" s="94"/>
      <c r="CB26" s="94"/>
      <c r="CC26" s="94"/>
      <c r="CD26" s="94"/>
      <c r="CE26" s="94"/>
      <c r="CF26" s="94"/>
      <c r="CG26" s="94"/>
      <c r="CH26" s="94"/>
      <c r="CI26" s="94"/>
      <c r="CJ26" s="94"/>
      <c r="CK26" s="94"/>
      <c r="CL26" s="94"/>
      <c r="CM26" s="94"/>
      <c r="CN26" s="94"/>
      <c r="CO26" s="94"/>
      <c r="CP26" s="94"/>
      <c r="CQ26" s="94"/>
      <c r="CR26" s="94"/>
      <c r="CS26" s="94"/>
      <c r="CT26" s="94"/>
      <c r="CU26" s="94"/>
      <c r="CV26" s="94"/>
      <c r="CW26" s="94"/>
      <c r="CX26" s="94"/>
      <c r="CY26" s="94"/>
      <c r="CZ26" s="94"/>
      <c r="DA26" s="94"/>
      <c r="DB26" s="94"/>
      <c r="DC26" s="94"/>
      <c r="DD26" s="94"/>
      <c r="DE26" s="94"/>
      <c r="DF26" s="94"/>
      <c r="DG26" s="94"/>
      <c r="DH26" s="94"/>
      <c r="DI26" s="94"/>
      <c r="DJ26" s="94"/>
      <c r="DK26" s="94"/>
      <c r="DL26" s="94"/>
      <c r="DM26" s="94"/>
      <c r="DN26" s="94"/>
      <c r="DO26" s="94"/>
      <c r="DP26" s="94"/>
      <c r="DQ26" s="94"/>
      <c r="DR26" s="94"/>
      <c r="DS26" s="94"/>
      <c r="DT26" s="94"/>
      <c r="DU26" s="94"/>
      <c r="DV26" s="94"/>
      <c r="DW26" s="94"/>
      <c r="DX26" s="94"/>
      <c r="DY26" s="94"/>
      <c r="DZ26" s="94"/>
      <c r="EA26" s="94"/>
      <c r="EB26" s="94"/>
      <c r="EC26" s="94"/>
      <c r="ED26" s="94"/>
      <c r="EE26" s="94"/>
      <c r="EF26" s="94"/>
      <c r="EG26" s="94"/>
      <c r="EH26" s="94"/>
      <c r="EI26" s="94"/>
      <c r="EJ26" s="94"/>
      <c r="EK26" s="94"/>
      <c r="EL26" s="94"/>
      <c r="EM26" s="94"/>
      <c r="EN26" s="94"/>
      <c r="EO26" s="94"/>
      <c r="EP26" s="94"/>
      <c r="EQ26" s="94"/>
      <c r="ER26" s="94"/>
      <c r="ES26" s="94"/>
      <c r="ET26" s="94"/>
      <c r="EU26" s="94"/>
      <c r="EV26" s="94"/>
      <c r="EW26" s="94"/>
      <c r="EX26" s="94"/>
      <c r="EY26" s="94"/>
      <c r="EZ26" s="94"/>
      <c r="FA26" s="94"/>
      <c r="FB26" s="94"/>
      <c r="FC26" s="94"/>
      <c r="FD26" s="94"/>
      <c r="FE26" s="94"/>
      <c r="FF26" s="94"/>
      <c r="FG26" s="94"/>
      <c r="FH26" s="94"/>
      <c r="FI26" s="94"/>
      <c r="FJ26" s="94"/>
      <c r="FK26" s="94"/>
      <c r="FL26" s="94"/>
      <c r="FM26" s="94"/>
      <c r="FN26" s="94"/>
      <c r="FO26" s="94"/>
      <c r="FP26" s="94"/>
      <c r="FQ26" s="94"/>
      <c r="FR26" s="94"/>
      <c r="FS26" s="94"/>
      <c r="FT26" s="94"/>
      <c r="FU26" s="94"/>
      <c r="FV26" s="94"/>
      <c r="FW26" s="94"/>
      <c r="FX26" s="94"/>
      <c r="FY26" s="94"/>
      <c r="FZ26" s="94"/>
      <c r="GA26" s="94"/>
      <c r="GB26" s="94"/>
      <c r="GC26" s="94"/>
      <c r="GD26" s="94"/>
      <c r="GE26" s="94"/>
      <c r="GF26" s="94"/>
      <c r="GG26" s="94"/>
      <c r="GH26" s="94"/>
      <c r="GI26" s="94"/>
      <c r="GJ26" s="94"/>
      <c r="GK26" s="94"/>
      <c r="GL26" s="94"/>
      <c r="GM26" s="94"/>
      <c r="GN26" s="94"/>
      <c r="GO26" s="94"/>
      <c r="GP26" s="94"/>
      <c r="GQ26" s="94"/>
      <c r="GR26" s="94"/>
      <c r="GS26" s="94"/>
      <c r="GT26" s="94"/>
      <c r="GU26" s="94"/>
      <c r="GV26" s="94"/>
      <c r="GW26" s="94"/>
      <c r="GX26" s="94"/>
      <c r="GY26" s="94"/>
      <c r="GZ26" s="94"/>
      <c r="HA26" s="94"/>
      <c r="HB26" s="94"/>
      <c r="HC26" s="94"/>
      <c r="HD26" s="94"/>
      <c r="HE26" s="94"/>
      <c r="HF26" s="94"/>
      <c r="HG26" s="94"/>
      <c r="HH26" s="94"/>
      <c r="HI26" s="94"/>
      <c r="HJ26" s="94"/>
      <c r="HK26" s="94"/>
      <c r="HL26" s="94"/>
      <c r="HM26" s="94"/>
      <c r="HN26" s="94"/>
      <c r="HO26" s="94"/>
      <c r="HP26" s="94"/>
      <c r="HQ26" s="94"/>
      <c r="HR26" s="94"/>
      <c r="HS26" s="94"/>
      <c r="HT26" s="94"/>
      <c r="HU26" s="94"/>
      <c r="HV26" s="94"/>
      <c r="HW26" s="94"/>
      <c r="HX26" s="94"/>
      <c r="HY26" s="94"/>
      <c r="HZ26" s="94"/>
      <c r="IA26" s="94"/>
      <c r="IB26" s="94"/>
      <c r="IC26" s="94"/>
      <c r="ID26" s="94"/>
      <c r="IE26" s="94"/>
      <c r="IF26" s="94"/>
      <c r="IG26" s="94"/>
      <c r="IH26" s="94"/>
      <c r="II26" s="94"/>
      <c r="IJ26" s="94"/>
      <c r="IK26" s="94"/>
      <c r="IL26" s="94"/>
      <c r="IM26" s="94"/>
      <c r="IN26" s="94"/>
      <c r="IO26" s="94"/>
      <c r="IP26" s="94"/>
      <c r="IQ26" s="94"/>
      <c r="IR26" s="94"/>
      <c r="IS26" s="94"/>
      <c r="IT26" s="94"/>
      <c r="IU26" s="94"/>
      <c r="IV26" s="94"/>
    </row>
    <row r="27" spans="1:256" ht="15.5">
      <c r="A27" s="99" t="s">
        <v>588</v>
      </c>
      <c r="B27" s="93" t="s">
        <v>19</v>
      </c>
    </row>
    <row r="28" spans="1:256">
      <c r="A28" s="99" t="s">
        <v>589</v>
      </c>
      <c r="B28" s="93" t="s">
        <v>592</v>
      </c>
    </row>
    <row r="29" spans="1:256">
      <c r="A29" s="99" t="s">
        <v>590</v>
      </c>
      <c r="B29" s="93" t="s">
        <v>593</v>
      </c>
    </row>
    <row r="30" spans="1:256">
      <c r="A30" s="99"/>
      <c r="B30" s="93" t="s">
        <v>594</v>
      </c>
    </row>
    <row r="31" spans="1:256">
      <c r="A31" s="100" t="s">
        <v>591</v>
      </c>
      <c r="B31" s="92"/>
    </row>
    <row r="32" spans="1:256">
      <c r="A32" s="99" t="s">
        <v>595</v>
      </c>
      <c r="B32" s="93" t="s">
        <v>598</v>
      </c>
    </row>
    <row r="33" spans="1:2" ht="25">
      <c r="A33" s="99" t="s">
        <v>596</v>
      </c>
      <c r="B33" s="93" t="s">
        <v>20</v>
      </c>
    </row>
    <row r="34" spans="1:2" ht="15.5">
      <c r="A34" s="99" t="s">
        <v>21</v>
      </c>
      <c r="B34" s="93" t="s">
        <v>22</v>
      </c>
    </row>
    <row r="35" spans="1:2" ht="25">
      <c r="A35" s="100" t="s">
        <v>597</v>
      </c>
      <c r="B35" s="92" t="s">
        <v>599</v>
      </c>
    </row>
    <row r="36" spans="1:2" ht="25">
      <c r="A36" s="99" t="s">
        <v>600</v>
      </c>
      <c r="B36" s="93" t="s">
        <v>603</v>
      </c>
    </row>
    <row r="37" spans="1:2">
      <c r="A37" s="99"/>
      <c r="B37" s="93" t="s">
        <v>604</v>
      </c>
    </row>
    <row r="38" spans="1:2">
      <c r="A38" s="99" t="s">
        <v>601</v>
      </c>
      <c r="B38" s="93" t="s">
        <v>605</v>
      </c>
    </row>
    <row r="39" spans="1:2" ht="25">
      <c r="A39" s="100" t="s">
        <v>602</v>
      </c>
      <c r="B39" s="92" t="s">
        <v>606</v>
      </c>
    </row>
    <row r="40" spans="1:2">
      <c r="A40" s="99" t="s">
        <v>607</v>
      </c>
      <c r="B40" s="93" t="s">
        <v>612</v>
      </c>
    </row>
    <row r="41" spans="1:2" ht="25">
      <c r="A41" s="99" t="s">
        <v>608</v>
      </c>
      <c r="B41" s="93" t="s">
        <v>613</v>
      </c>
    </row>
    <row r="42" spans="1:2">
      <c r="A42" s="99" t="s">
        <v>609</v>
      </c>
      <c r="B42" s="93" t="s">
        <v>614</v>
      </c>
    </row>
    <row r="43" spans="1:2">
      <c r="A43" s="99"/>
      <c r="B43" s="93" t="s">
        <v>615</v>
      </c>
    </row>
    <row r="44" spans="1:2">
      <c r="A44" s="99" t="s">
        <v>610</v>
      </c>
      <c r="B44" s="93" t="s">
        <v>616</v>
      </c>
    </row>
    <row r="45" spans="1:2">
      <c r="A45" s="99"/>
      <c r="B45" s="93"/>
    </row>
    <row r="46" spans="1:2">
      <c r="A46" s="99" t="s">
        <v>611</v>
      </c>
      <c r="B46" s="93"/>
    </row>
    <row r="47" spans="1:2">
      <c r="A47" s="100"/>
      <c r="B47" s="92"/>
    </row>
    <row r="48" spans="1:2">
      <c r="A48" s="99" t="s">
        <v>617</v>
      </c>
      <c r="B48" s="93" t="s">
        <v>621</v>
      </c>
    </row>
    <row r="49" spans="1:2">
      <c r="A49" s="99" t="s">
        <v>618</v>
      </c>
      <c r="B49" s="93" t="s">
        <v>622</v>
      </c>
    </row>
    <row r="50" spans="1:2">
      <c r="A50" s="99" t="s">
        <v>619</v>
      </c>
      <c r="B50" s="93"/>
    </row>
    <row r="51" spans="1:2">
      <c r="A51" s="99" t="s">
        <v>620</v>
      </c>
      <c r="B51" s="93"/>
    </row>
    <row r="52" spans="1:2">
      <c r="A52" s="99"/>
      <c r="B52" s="93"/>
    </row>
    <row r="53" spans="1:2">
      <c r="A53" s="100"/>
      <c r="B53" s="92"/>
    </row>
  </sheetData>
  <mergeCells count="1">
    <mergeCell ref="A1:B1"/>
  </mergeCells>
  <phoneticPr fontId="0" type="noConversion"/>
  <printOptions horizontalCentered="1" verticalCentered="1"/>
  <pageMargins left="0.5" right="0.5" top="0.5" bottom="0.77" header="0.5" footer="0.5"/>
  <pageSetup orientation="landscape" r:id="rId1"/>
  <headerFooter alignWithMargins="0">
    <oddFooter>&amp;L&amp;"Arial,Italic"&amp;9&amp;F,  Tab:  &amp;A  &amp;D, &amp;T  PNNL&amp;R&amp;"Arial,Italic"&amp;9Page &amp;P of &amp;N</oddFooter>
  </headerFooter>
  <rowBreaks count="1" manualBreakCount="1">
    <brk id="26"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E89"/>
  <sheetViews>
    <sheetView showGridLines="0" topLeftCell="A88" zoomScale="75" zoomScaleNormal="100" zoomScaleSheetLayoutView="100" workbookViewId="0">
      <selection sqref="A1:C1"/>
    </sheetView>
  </sheetViews>
  <sheetFormatPr defaultColWidth="9.1796875" defaultRowHeight="12.5"/>
  <cols>
    <col min="1" max="1" width="9.1796875" style="1"/>
    <col min="2" max="2" width="4.7265625" style="2" customWidth="1"/>
    <col min="3" max="3" width="53.1796875" style="2" customWidth="1"/>
    <col min="4" max="4" width="9.1796875" style="2"/>
    <col min="5" max="5" width="53.1796875" style="2" customWidth="1"/>
    <col min="6" max="7" width="9.1796875" style="2"/>
    <col min="8" max="8" width="39" style="2" customWidth="1"/>
    <col min="9" max="16384" width="9.1796875" style="2"/>
  </cols>
  <sheetData>
    <row r="1" spans="1:5" s="162" customFormat="1" ht="18">
      <c r="A1" s="331" t="s">
        <v>59</v>
      </c>
      <c r="B1" s="331"/>
      <c r="C1" s="331"/>
      <c r="D1" s="331"/>
      <c r="E1" s="331"/>
    </row>
    <row r="2" spans="1:5" ht="15.5">
      <c r="A2" s="95"/>
      <c r="E2" s="13" t="s">
        <v>66</v>
      </c>
    </row>
    <row r="3" spans="1:5" ht="13">
      <c r="A3" s="120" t="s">
        <v>626</v>
      </c>
      <c r="B3" s="104"/>
      <c r="C3" s="105" t="s">
        <v>402</v>
      </c>
      <c r="D3" s="105" t="s">
        <v>627</v>
      </c>
      <c r="E3" s="105" t="s">
        <v>628</v>
      </c>
    </row>
    <row r="4" spans="1:5" ht="23.25" customHeight="1">
      <c r="A4" s="335" t="s">
        <v>629</v>
      </c>
      <c r="B4" s="337" t="s">
        <v>630</v>
      </c>
      <c r="C4" s="107" t="s">
        <v>631</v>
      </c>
      <c r="D4" s="337" t="s">
        <v>632</v>
      </c>
      <c r="E4" s="108" t="s">
        <v>686</v>
      </c>
    </row>
    <row r="5" spans="1:5" ht="19.5" customHeight="1">
      <c r="A5" s="335"/>
      <c r="B5" s="338"/>
      <c r="C5" s="335" t="s">
        <v>685</v>
      </c>
      <c r="D5" s="338"/>
      <c r="E5" s="108" t="s">
        <v>687</v>
      </c>
    </row>
    <row r="6" spans="1:5" ht="19.5" customHeight="1">
      <c r="A6" s="99"/>
      <c r="B6" s="338"/>
      <c r="C6" s="335"/>
      <c r="D6" s="338"/>
      <c r="E6" s="108" t="s">
        <v>688</v>
      </c>
    </row>
    <row r="7" spans="1:5" ht="19.5" customHeight="1">
      <c r="A7" s="99"/>
      <c r="B7" s="338"/>
      <c r="C7" s="335"/>
      <c r="D7" s="338"/>
      <c r="E7" s="108" t="s">
        <v>689</v>
      </c>
    </row>
    <row r="8" spans="1:5" ht="20.25" customHeight="1">
      <c r="A8" s="99"/>
      <c r="B8" s="337" t="s">
        <v>630</v>
      </c>
      <c r="C8" s="110" t="s">
        <v>690</v>
      </c>
      <c r="D8" s="337" t="s">
        <v>633</v>
      </c>
      <c r="E8" s="111" t="s">
        <v>693</v>
      </c>
    </row>
    <row r="9" spans="1:5" ht="20.25" customHeight="1">
      <c r="A9" s="99"/>
      <c r="B9" s="338"/>
      <c r="C9" s="335" t="s">
        <v>692</v>
      </c>
      <c r="D9" s="338"/>
      <c r="E9" s="108" t="s">
        <v>694</v>
      </c>
    </row>
    <row r="10" spans="1:5" ht="20.25" customHeight="1">
      <c r="A10" s="99"/>
      <c r="B10" s="338"/>
      <c r="C10" s="335"/>
      <c r="D10" s="338"/>
      <c r="E10" s="108" t="s">
        <v>695</v>
      </c>
    </row>
    <row r="11" spans="1:5" ht="20.25" customHeight="1">
      <c r="A11" s="100"/>
      <c r="B11" s="339"/>
      <c r="C11" s="340"/>
      <c r="D11" s="339"/>
      <c r="E11" s="113" t="s">
        <v>696</v>
      </c>
    </row>
    <row r="12" spans="1:5" ht="27.75" customHeight="1">
      <c r="A12" s="99" t="s">
        <v>634</v>
      </c>
      <c r="B12" s="337" t="s">
        <v>630</v>
      </c>
      <c r="C12" s="107" t="s">
        <v>26</v>
      </c>
      <c r="D12" s="108" t="s">
        <v>637</v>
      </c>
      <c r="E12" s="108" t="s">
        <v>636</v>
      </c>
    </row>
    <row r="13" spans="1:5" ht="27.75" customHeight="1">
      <c r="A13" s="99" t="s">
        <v>635</v>
      </c>
      <c r="B13" s="338"/>
      <c r="C13" s="108" t="s">
        <v>27</v>
      </c>
      <c r="D13" s="108"/>
      <c r="E13" s="108" t="s">
        <v>397</v>
      </c>
    </row>
    <row r="14" spans="1:5" ht="27.75" customHeight="1">
      <c r="A14" s="99"/>
      <c r="B14" s="338"/>
      <c r="C14" s="108" t="s">
        <v>28</v>
      </c>
      <c r="D14" s="108" t="s">
        <v>6</v>
      </c>
      <c r="E14" s="108" t="s">
        <v>398</v>
      </c>
    </row>
    <row r="15" spans="1:5" ht="27.75" customHeight="1">
      <c r="A15" s="99"/>
      <c r="B15" s="338"/>
      <c r="C15" s="108" t="s">
        <v>216</v>
      </c>
      <c r="D15" s="108" t="s">
        <v>8</v>
      </c>
      <c r="E15" s="108" t="s">
        <v>399</v>
      </c>
    </row>
    <row r="16" spans="1:5" ht="27.75" customHeight="1">
      <c r="A16" s="99"/>
      <c r="B16" s="338"/>
      <c r="C16" s="108" t="s">
        <v>217</v>
      </c>
      <c r="D16" s="108" t="s">
        <v>7</v>
      </c>
      <c r="E16" s="108" t="s">
        <v>400</v>
      </c>
    </row>
    <row r="17" spans="1:5" ht="27.75" customHeight="1">
      <c r="A17" s="99"/>
      <c r="B17" s="338"/>
      <c r="C17" s="108" t="s">
        <v>218</v>
      </c>
      <c r="D17" s="108"/>
      <c r="E17" s="108" t="s">
        <v>0</v>
      </c>
    </row>
    <row r="18" spans="1:5" ht="15" customHeight="1">
      <c r="A18" s="100"/>
      <c r="B18" s="339"/>
      <c r="C18" s="113" t="s">
        <v>219</v>
      </c>
      <c r="D18" s="113"/>
      <c r="E18" s="113"/>
    </row>
    <row r="19" spans="1:5" ht="18" customHeight="1">
      <c r="A19" s="336" t="s">
        <v>638</v>
      </c>
      <c r="B19" s="337" t="s">
        <v>630</v>
      </c>
      <c r="C19" s="114" t="s">
        <v>639</v>
      </c>
      <c r="D19" s="337"/>
      <c r="E19" s="337" t="s">
        <v>1</v>
      </c>
    </row>
    <row r="20" spans="1:5" ht="23.25" customHeight="1">
      <c r="A20" s="335"/>
      <c r="B20" s="338"/>
      <c r="C20" s="108" t="s">
        <v>220</v>
      </c>
      <c r="D20" s="338"/>
      <c r="E20" s="338"/>
    </row>
    <row r="21" spans="1:5" ht="15.75" customHeight="1">
      <c r="A21" s="100"/>
      <c r="B21" s="339"/>
      <c r="C21" s="113" t="s">
        <v>221</v>
      </c>
      <c r="D21" s="339"/>
      <c r="E21" s="339"/>
    </row>
    <row r="22" spans="1:5" ht="15" customHeight="1">
      <c r="A22" s="99" t="s">
        <v>640</v>
      </c>
      <c r="B22" s="338" t="s">
        <v>630</v>
      </c>
      <c r="C22" s="119" t="s">
        <v>9</v>
      </c>
      <c r="D22" s="338"/>
      <c r="E22" s="338" t="s">
        <v>2</v>
      </c>
    </row>
    <row r="23" spans="1:5" ht="37.5">
      <c r="A23" s="99"/>
      <c r="B23" s="338"/>
      <c r="C23" s="109" t="s">
        <v>222</v>
      </c>
      <c r="D23" s="338"/>
      <c r="E23" s="338"/>
    </row>
    <row r="24" spans="1:5" ht="25">
      <c r="A24" s="99"/>
      <c r="B24" s="338"/>
      <c r="C24" s="109" t="s">
        <v>223</v>
      </c>
      <c r="D24" s="338"/>
      <c r="E24" s="338"/>
    </row>
    <row r="25" spans="1:5" ht="15" customHeight="1">
      <c r="A25" s="99"/>
      <c r="B25" s="338"/>
      <c r="C25" s="109" t="s">
        <v>224</v>
      </c>
      <c r="D25" s="338"/>
      <c r="E25" s="338"/>
    </row>
    <row r="26" spans="1:5" ht="13">
      <c r="A26" s="99"/>
      <c r="B26" s="337" t="s">
        <v>630</v>
      </c>
      <c r="C26" s="110" t="s">
        <v>641</v>
      </c>
      <c r="D26" s="337"/>
      <c r="E26" s="111" t="s">
        <v>642</v>
      </c>
    </row>
    <row r="27" spans="1:5" ht="25">
      <c r="A27" s="99"/>
      <c r="B27" s="338"/>
      <c r="C27" s="109" t="s">
        <v>290</v>
      </c>
      <c r="D27" s="338"/>
      <c r="E27" s="108" t="s">
        <v>643</v>
      </c>
    </row>
    <row r="28" spans="1:5" ht="37.5">
      <c r="A28" s="99"/>
      <c r="B28" s="338"/>
      <c r="C28" s="109" t="s">
        <v>291</v>
      </c>
      <c r="D28" s="338"/>
      <c r="E28" s="108" t="s">
        <v>644</v>
      </c>
    </row>
    <row r="29" spans="1:5" ht="25">
      <c r="A29" s="100"/>
      <c r="B29" s="339"/>
      <c r="C29" s="112" t="s">
        <v>292</v>
      </c>
      <c r="D29" s="339"/>
      <c r="E29" s="113"/>
    </row>
    <row r="30" spans="1:5" ht="13">
      <c r="A30" s="336" t="s">
        <v>640</v>
      </c>
      <c r="B30" s="337" t="s">
        <v>630</v>
      </c>
      <c r="C30" s="107" t="s">
        <v>645</v>
      </c>
      <c r="D30" s="337" t="s">
        <v>646</v>
      </c>
      <c r="E30" s="337"/>
    </row>
    <row r="31" spans="1:5">
      <c r="A31" s="340"/>
      <c r="B31" s="339"/>
      <c r="C31" s="113" t="s">
        <v>3</v>
      </c>
      <c r="D31" s="339"/>
      <c r="E31" s="339"/>
    </row>
    <row r="32" spans="1:5" ht="14.25" customHeight="1">
      <c r="A32" s="336" t="s">
        <v>647</v>
      </c>
      <c r="B32" s="337" t="s">
        <v>630</v>
      </c>
      <c r="C32" s="107" t="s">
        <v>648</v>
      </c>
      <c r="D32" s="337"/>
      <c r="E32" s="337"/>
    </row>
    <row r="33" spans="1:5" ht="37.5">
      <c r="A33" s="335"/>
      <c r="B33" s="338"/>
      <c r="C33" s="108" t="s">
        <v>293</v>
      </c>
      <c r="D33" s="338"/>
      <c r="E33" s="338"/>
    </row>
    <row r="34" spans="1:5" ht="37.5">
      <c r="A34" s="100"/>
      <c r="B34" s="339"/>
      <c r="C34" s="113" t="s">
        <v>294</v>
      </c>
      <c r="D34" s="339"/>
      <c r="E34" s="339"/>
    </row>
    <row r="35" spans="1:5">
      <c r="A35" s="336" t="s">
        <v>649</v>
      </c>
      <c r="B35" s="337" t="s">
        <v>630</v>
      </c>
      <c r="C35" s="341" t="s">
        <v>650</v>
      </c>
      <c r="D35" s="337"/>
      <c r="E35" s="337"/>
    </row>
    <row r="36" spans="1:5">
      <c r="A36" s="335"/>
      <c r="B36" s="339"/>
      <c r="C36" s="342"/>
      <c r="D36" s="339"/>
      <c r="E36" s="339"/>
    </row>
    <row r="37" spans="1:5" ht="26">
      <c r="A37" s="335"/>
      <c r="B37" s="337" t="s">
        <v>630</v>
      </c>
      <c r="C37" s="107" t="s">
        <v>651</v>
      </c>
      <c r="D37" s="337"/>
      <c r="E37" s="337"/>
    </row>
    <row r="38" spans="1:5">
      <c r="A38" s="335"/>
      <c r="B38" s="338"/>
      <c r="C38" s="108" t="s">
        <v>4</v>
      </c>
      <c r="D38" s="338"/>
      <c r="E38" s="338"/>
    </row>
    <row r="39" spans="1:5" ht="13">
      <c r="A39" s="336" t="s">
        <v>649</v>
      </c>
      <c r="B39" s="337" t="s">
        <v>630</v>
      </c>
      <c r="C39" s="110" t="s">
        <v>652</v>
      </c>
      <c r="D39" s="337"/>
      <c r="E39" s="337"/>
    </row>
    <row r="40" spans="1:5">
      <c r="A40" s="335"/>
      <c r="B40" s="338"/>
      <c r="C40" s="108" t="s">
        <v>5</v>
      </c>
      <c r="D40" s="338"/>
      <c r="E40" s="338"/>
    </row>
    <row r="41" spans="1:5">
      <c r="A41" s="340"/>
      <c r="B41" s="339"/>
      <c r="C41" s="113"/>
      <c r="D41" s="339"/>
      <c r="E41" s="339"/>
    </row>
    <row r="42" spans="1:5">
      <c r="A42" s="121" t="s">
        <v>684</v>
      </c>
      <c r="B42" s="103"/>
      <c r="C42" s="103"/>
      <c r="D42" s="103"/>
      <c r="E42" s="103"/>
    </row>
    <row r="43" spans="1:5" ht="26">
      <c r="A43" s="336" t="s">
        <v>305</v>
      </c>
      <c r="B43" s="337" t="s">
        <v>630</v>
      </c>
      <c r="C43" s="114" t="s">
        <v>653</v>
      </c>
      <c r="D43" s="337"/>
      <c r="E43" s="337"/>
    </row>
    <row r="44" spans="1:5" ht="25.5">
      <c r="A44" s="335"/>
      <c r="B44" s="338"/>
      <c r="C44" s="115" t="s">
        <v>295</v>
      </c>
      <c r="D44" s="338"/>
      <c r="E44" s="338"/>
    </row>
    <row r="45" spans="1:5">
      <c r="A45" s="335"/>
      <c r="B45" s="338"/>
      <c r="C45" s="116" t="s">
        <v>296</v>
      </c>
      <c r="D45" s="338"/>
      <c r="E45" s="338"/>
    </row>
    <row r="46" spans="1:5" ht="37.5">
      <c r="A46" s="335"/>
      <c r="B46" s="338"/>
      <c r="C46" s="116" t="s">
        <v>297</v>
      </c>
      <c r="D46" s="338"/>
      <c r="E46" s="338"/>
    </row>
    <row r="47" spans="1:5" ht="27.75" customHeight="1">
      <c r="A47" s="335"/>
      <c r="B47" s="338"/>
      <c r="C47" s="115" t="s">
        <v>298</v>
      </c>
      <c r="D47" s="338"/>
      <c r="E47" s="338"/>
    </row>
    <row r="48" spans="1:5" ht="25">
      <c r="A48" s="335"/>
      <c r="B48" s="338"/>
      <c r="C48" s="116" t="s">
        <v>299</v>
      </c>
      <c r="D48" s="338"/>
      <c r="E48" s="338"/>
    </row>
    <row r="49" spans="1:5" ht="37.5">
      <c r="A49" s="335"/>
      <c r="B49" s="338"/>
      <c r="C49" s="116" t="s">
        <v>300</v>
      </c>
      <c r="D49" s="338"/>
      <c r="E49" s="338"/>
    </row>
    <row r="50" spans="1:5" ht="25.5">
      <c r="A50" s="335"/>
      <c r="B50" s="338"/>
      <c r="C50" s="115" t="s">
        <v>301</v>
      </c>
      <c r="D50" s="338"/>
      <c r="E50" s="338"/>
    </row>
    <row r="51" spans="1:5" ht="25.5">
      <c r="A51" s="335"/>
      <c r="B51" s="338"/>
      <c r="C51" s="115" t="s">
        <v>302</v>
      </c>
      <c r="D51" s="338"/>
      <c r="E51" s="338"/>
    </row>
    <row r="52" spans="1:5" ht="25">
      <c r="A52" s="335"/>
      <c r="B52" s="338"/>
      <c r="C52" s="108" t="s">
        <v>23</v>
      </c>
      <c r="D52" s="338"/>
      <c r="E52" s="338"/>
    </row>
    <row r="53" spans="1:5">
      <c r="A53" s="335"/>
      <c r="B53" s="339"/>
      <c r="C53" s="113"/>
      <c r="D53" s="339"/>
      <c r="E53" s="339"/>
    </row>
    <row r="54" spans="1:5" ht="26">
      <c r="A54" s="335"/>
      <c r="B54" s="337" t="s">
        <v>630</v>
      </c>
      <c r="C54" s="107" t="s">
        <v>654</v>
      </c>
      <c r="D54" s="337"/>
      <c r="E54" s="108" t="s">
        <v>657</v>
      </c>
    </row>
    <row r="55" spans="1:5" ht="13">
      <c r="A55" s="335"/>
      <c r="B55" s="338"/>
      <c r="C55" s="107"/>
      <c r="D55" s="338"/>
      <c r="E55" s="108" t="s">
        <v>658</v>
      </c>
    </row>
    <row r="56" spans="1:5" ht="37.5">
      <c r="A56" s="335"/>
      <c r="B56" s="338"/>
      <c r="C56" s="115" t="s">
        <v>655</v>
      </c>
      <c r="D56" s="338"/>
      <c r="E56" s="108"/>
    </row>
    <row r="57" spans="1:5" ht="52">
      <c r="A57" s="335"/>
      <c r="B57" s="338"/>
      <c r="C57" s="117" t="s">
        <v>656</v>
      </c>
      <c r="D57" s="338"/>
      <c r="E57" s="108" t="s">
        <v>659</v>
      </c>
    </row>
    <row r="58" spans="1:5" ht="13">
      <c r="A58" s="335"/>
      <c r="B58" s="338"/>
      <c r="C58" s="107"/>
      <c r="D58" s="338"/>
      <c r="E58" s="108" t="s">
        <v>660</v>
      </c>
    </row>
    <row r="59" spans="1:5" ht="13">
      <c r="A59" s="335"/>
      <c r="B59" s="338"/>
      <c r="C59" s="107"/>
      <c r="D59" s="338"/>
      <c r="E59" s="108" t="s">
        <v>661</v>
      </c>
    </row>
    <row r="60" spans="1:5" ht="25">
      <c r="A60" s="335"/>
      <c r="B60" s="338"/>
      <c r="C60" s="108"/>
      <c r="D60" s="338"/>
      <c r="E60" s="108" t="s">
        <v>662</v>
      </c>
    </row>
    <row r="61" spans="1:5">
      <c r="A61" s="340"/>
      <c r="B61" s="339"/>
      <c r="C61" s="108"/>
      <c r="D61" s="338"/>
      <c r="E61" s="108"/>
    </row>
    <row r="62" spans="1:5" ht="25">
      <c r="A62" s="336" t="s">
        <v>305</v>
      </c>
      <c r="B62" s="337" t="s">
        <v>630</v>
      </c>
      <c r="C62" s="110" t="s">
        <v>303</v>
      </c>
      <c r="D62" s="337"/>
      <c r="E62" s="111" t="s">
        <v>664</v>
      </c>
    </row>
    <row r="63" spans="1:5" ht="37.5">
      <c r="A63" s="335"/>
      <c r="B63" s="338"/>
      <c r="C63" s="109" t="s">
        <v>663</v>
      </c>
      <c r="D63" s="338"/>
      <c r="E63" s="108"/>
    </row>
    <row r="64" spans="1:5">
      <c r="A64" s="335"/>
      <c r="B64" s="338"/>
      <c r="C64" s="109"/>
      <c r="D64" s="338"/>
      <c r="E64" s="108" t="s">
        <v>665</v>
      </c>
    </row>
    <row r="65" spans="1:5">
      <c r="A65" s="335"/>
      <c r="B65" s="338"/>
      <c r="C65" s="109"/>
      <c r="D65" s="338"/>
      <c r="E65" s="108"/>
    </row>
    <row r="66" spans="1:5">
      <c r="A66" s="335"/>
      <c r="B66" s="338"/>
      <c r="C66" s="109"/>
      <c r="D66" s="338"/>
      <c r="E66" s="108" t="s">
        <v>666</v>
      </c>
    </row>
    <row r="67" spans="1:5" ht="25">
      <c r="A67" s="335"/>
      <c r="B67" s="338"/>
      <c r="C67" s="109"/>
      <c r="D67" s="338"/>
      <c r="E67" s="108" t="s">
        <v>667</v>
      </c>
    </row>
    <row r="68" spans="1:5">
      <c r="A68" s="335"/>
      <c r="B68" s="338"/>
      <c r="C68" s="109"/>
      <c r="D68" s="338"/>
      <c r="E68" s="108"/>
    </row>
    <row r="69" spans="1:5">
      <c r="A69" s="335"/>
      <c r="B69" s="339"/>
      <c r="C69" s="112"/>
      <c r="D69" s="339"/>
      <c r="E69" s="113"/>
    </row>
    <row r="70" spans="1:5" ht="13">
      <c r="A70" s="335"/>
      <c r="B70" s="337" t="s">
        <v>630</v>
      </c>
      <c r="C70" s="107" t="s">
        <v>668</v>
      </c>
      <c r="D70" s="337"/>
      <c r="E70" s="115" t="s">
        <v>672</v>
      </c>
    </row>
    <row r="71" spans="1:5" ht="37.5">
      <c r="A71" s="335"/>
      <c r="B71" s="338"/>
      <c r="C71" s="108" t="s">
        <v>669</v>
      </c>
      <c r="D71" s="338"/>
      <c r="E71" s="115" t="s">
        <v>673</v>
      </c>
    </row>
    <row r="72" spans="1:5">
      <c r="A72" s="335"/>
      <c r="B72" s="338"/>
      <c r="C72" s="108" t="s">
        <v>670</v>
      </c>
      <c r="D72" s="338"/>
      <c r="E72" s="108" t="s">
        <v>674</v>
      </c>
    </row>
    <row r="73" spans="1:5" ht="37.5">
      <c r="A73" s="335"/>
      <c r="B73" s="338"/>
      <c r="C73" s="108" t="s">
        <v>671</v>
      </c>
      <c r="D73" s="338"/>
      <c r="E73" s="115" t="s">
        <v>675</v>
      </c>
    </row>
    <row r="74" spans="1:5">
      <c r="A74" s="335"/>
      <c r="B74" s="339"/>
      <c r="C74" s="113"/>
      <c r="D74" s="339"/>
      <c r="E74" s="113"/>
    </row>
    <row r="75" spans="1:5" ht="13">
      <c r="A75" s="335"/>
      <c r="B75" s="337" t="s">
        <v>630</v>
      </c>
      <c r="C75" s="107" t="s">
        <v>676</v>
      </c>
      <c r="D75" s="337"/>
      <c r="E75" s="115" t="s">
        <v>679</v>
      </c>
    </row>
    <row r="76" spans="1:5" ht="25">
      <c r="A76" s="335"/>
      <c r="B76" s="338"/>
      <c r="C76" s="108" t="s">
        <v>677</v>
      </c>
      <c r="D76" s="338"/>
      <c r="E76" s="115" t="s">
        <v>680</v>
      </c>
    </row>
    <row r="77" spans="1:5">
      <c r="A77" s="335"/>
      <c r="B77" s="338"/>
      <c r="C77" s="108" t="s">
        <v>678</v>
      </c>
      <c r="D77" s="338"/>
      <c r="E77" s="108"/>
    </row>
    <row r="78" spans="1:5" ht="50">
      <c r="A78" s="340"/>
      <c r="B78" s="339"/>
      <c r="C78" s="113" t="s">
        <v>304</v>
      </c>
      <c r="D78" s="339"/>
      <c r="E78" s="113"/>
    </row>
    <row r="79" spans="1:5">
      <c r="A79" s="121"/>
      <c r="B79" s="103"/>
      <c r="C79" s="103"/>
      <c r="D79" s="103"/>
      <c r="E79" s="103"/>
    </row>
    <row r="80" spans="1:5" ht="13">
      <c r="A80" s="118" t="s">
        <v>681</v>
      </c>
      <c r="B80" s="103"/>
      <c r="C80" s="103"/>
      <c r="D80" s="103"/>
      <c r="E80" s="103"/>
    </row>
    <row r="81" spans="1:5">
      <c r="A81" s="121" t="s">
        <v>682</v>
      </c>
      <c r="B81" s="103"/>
      <c r="C81" s="103"/>
      <c r="D81" s="103"/>
      <c r="E81" s="103"/>
    </row>
    <row r="82" spans="1:5">
      <c r="A82" s="121" t="s">
        <v>683</v>
      </c>
      <c r="B82" s="103"/>
      <c r="C82" s="103"/>
      <c r="D82" s="103"/>
      <c r="E82" s="103"/>
    </row>
    <row r="83" spans="1:5">
      <c r="A83" s="121" t="s">
        <v>24</v>
      </c>
      <c r="B83" s="103"/>
      <c r="C83" s="103"/>
      <c r="D83" s="103"/>
      <c r="E83" s="103"/>
    </row>
    <row r="84" spans="1:5">
      <c r="A84" s="121"/>
      <c r="B84" s="103"/>
      <c r="C84" s="103"/>
      <c r="D84" s="103"/>
      <c r="E84" s="103"/>
    </row>
    <row r="85" spans="1:5">
      <c r="A85" s="121" t="s">
        <v>25</v>
      </c>
      <c r="B85" s="103"/>
      <c r="C85" s="103"/>
      <c r="D85" s="103"/>
      <c r="E85" s="103"/>
    </row>
    <row r="87" spans="1:5" ht="15.5">
      <c r="A87" s="231"/>
    </row>
    <row r="88" spans="1:5" ht="15.5">
      <c r="A88" s="231" t="s">
        <v>528</v>
      </c>
    </row>
    <row r="89" spans="1:5" ht="15.5">
      <c r="A89" s="232" t="s">
        <v>529</v>
      </c>
    </row>
  </sheetData>
  <mergeCells count="54">
    <mergeCell ref="A1:E1"/>
    <mergeCell ref="B26:B29"/>
    <mergeCell ref="D26:D29"/>
    <mergeCell ref="E19:E21"/>
    <mergeCell ref="E22:E25"/>
    <mergeCell ref="B4:B7"/>
    <mergeCell ref="D4:D7"/>
    <mergeCell ref="B8:B11"/>
    <mergeCell ref="B12:B18"/>
    <mergeCell ref="B19:B21"/>
    <mergeCell ref="A75:A78"/>
    <mergeCell ref="B75:B78"/>
    <mergeCell ref="D75:D78"/>
    <mergeCell ref="A62:A69"/>
    <mergeCell ref="B62:B69"/>
    <mergeCell ref="D62:D69"/>
    <mergeCell ref="A70:A74"/>
    <mergeCell ref="B70:B74"/>
    <mergeCell ref="D70:D74"/>
    <mergeCell ref="C9:C11"/>
    <mergeCell ref="D43:D53"/>
    <mergeCell ref="E43:E53"/>
    <mergeCell ref="E37:E38"/>
    <mergeCell ref="D8:D11"/>
    <mergeCell ref="D19:D21"/>
    <mergeCell ref="E32:E34"/>
    <mergeCell ref="E35:E36"/>
    <mergeCell ref="E39:E41"/>
    <mergeCell ref="D30:D31"/>
    <mergeCell ref="E30:E31"/>
    <mergeCell ref="B37:B38"/>
    <mergeCell ref="B39:B41"/>
    <mergeCell ref="D39:D41"/>
    <mergeCell ref="A54:A61"/>
    <mergeCell ref="B54:B61"/>
    <mergeCell ref="D54:D61"/>
    <mergeCell ref="D37:D38"/>
    <mergeCell ref="A39:A41"/>
    <mergeCell ref="B22:B25"/>
    <mergeCell ref="D22:D25"/>
    <mergeCell ref="C35:C36"/>
    <mergeCell ref="D35:D36"/>
    <mergeCell ref="B32:B34"/>
    <mergeCell ref="D32:D34"/>
    <mergeCell ref="C5:C7"/>
    <mergeCell ref="A4:A5"/>
    <mergeCell ref="A19:A20"/>
    <mergeCell ref="A43:A53"/>
    <mergeCell ref="B43:B53"/>
    <mergeCell ref="A30:A31"/>
    <mergeCell ref="B30:B31"/>
    <mergeCell ref="A32:A33"/>
    <mergeCell ref="A35:A38"/>
    <mergeCell ref="B35:B36"/>
  </mergeCells>
  <phoneticPr fontId="0" type="noConversion"/>
  <printOptions horizontalCentered="1" verticalCentered="1"/>
  <pageMargins left="0.5" right="0.5" top="0.5" bottom="0.77" header="0.5" footer="0.5"/>
  <pageSetup orientation="landscape" r:id="rId1"/>
  <headerFooter alignWithMargins="0">
    <oddFooter>&amp;L&amp;"Arial,Italic"&amp;9&amp;F,  Tab:  &amp;A  &amp;D, &amp;T  PNNL&amp;R&amp;"Arial,Italic"&amp;9Page &amp;P of &amp;N</oddFooter>
  </headerFooter>
  <rowBreaks count="4" manualBreakCount="4">
    <brk id="21" max="16383" man="1"/>
    <brk id="42" max="16383" man="1"/>
    <brk id="61" max="16383" man="1"/>
    <brk id="86" max="16383" man="1"/>
  </row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C24"/>
  <sheetViews>
    <sheetView showGridLines="0" workbookViewId="0">
      <selection sqref="A1:C1"/>
    </sheetView>
  </sheetViews>
  <sheetFormatPr defaultColWidth="9.1796875" defaultRowHeight="12.5"/>
  <cols>
    <col min="1" max="1" width="59" style="144" customWidth="1"/>
    <col min="2" max="2" width="4" style="1" customWidth="1"/>
    <col min="3" max="3" width="55" style="1" customWidth="1"/>
    <col min="4" max="16384" width="9.1796875" style="1"/>
  </cols>
  <sheetData>
    <row r="1" spans="1:3" s="153" customFormat="1" ht="18">
      <c r="A1" s="343" t="s">
        <v>328</v>
      </c>
      <c r="B1" s="343"/>
      <c r="C1" s="343"/>
    </row>
    <row r="3" spans="1:3" ht="13">
      <c r="A3" s="143" t="s">
        <v>329</v>
      </c>
    </row>
    <row r="4" spans="1:3">
      <c r="A4" s="144" t="s">
        <v>330</v>
      </c>
    </row>
    <row r="5" spans="1:3">
      <c r="A5" s="144" t="s">
        <v>331</v>
      </c>
    </row>
    <row r="6" spans="1:3">
      <c r="A6" s="144" t="s">
        <v>332</v>
      </c>
    </row>
    <row r="7" spans="1:3">
      <c r="A7" s="151" t="s">
        <v>50</v>
      </c>
    </row>
    <row r="9" spans="1:3" ht="13">
      <c r="A9" s="143" t="s">
        <v>333</v>
      </c>
    </row>
    <row r="10" spans="1:3" ht="25">
      <c r="A10" s="151" t="s">
        <v>49</v>
      </c>
    </row>
    <row r="11" spans="1:3" ht="25">
      <c r="A11" s="151" t="s">
        <v>128</v>
      </c>
    </row>
    <row r="13" spans="1:3" ht="13">
      <c r="A13" s="143" t="s">
        <v>334</v>
      </c>
    </row>
    <row r="14" spans="1:3">
      <c r="A14" s="144" t="s">
        <v>337</v>
      </c>
    </row>
    <row r="15" spans="1:3">
      <c r="A15" s="144" t="s">
        <v>68</v>
      </c>
    </row>
    <row r="16" spans="1:3">
      <c r="A16" s="144" t="s">
        <v>338</v>
      </c>
    </row>
    <row r="17" spans="1:1">
      <c r="A17" s="144" t="s">
        <v>339</v>
      </c>
    </row>
    <row r="18" spans="1:1">
      <c r="A18" s="144" t="s">
        <v>335</v>
      </c>
    </row>
    <row r="20" spans="1:1" ht="13">
      <c r="A20" s="143" t="s">
        <v>336</v>
      </c>
    </row>
    <row r="21" spans="1:1" ht="25">
      <c r="A21" s="151" t="s">
        <v>45</v>
      </c>
    </row>
    <row r="22" spans="1:1">
      <c r="A22" s="151" t="s">
        <v>46</v>
      </c>
    </row>
    <row r="23" spans="1:1" ht="25">
      <c r="A23" s="151" t="s">
        <v>47</v>
      </c>
    </row>
    <row r="24" spans="1:1" ht="25">
      <c r="A24" s="152" t="s">
        <v>48</v>
      </c>
    </row>
  </sheetData>
  <mergeCells count="1">
    <mergeCell ref="A1:C1"/>
  </mergeCells>
  <phoneticPr fontId="0" type="noConversion"/>
  <printOptions horizontalCentered="1" verticalCentered="1"/>
  <pageMargins left="0.5" right="0.5" top="0.5" bottom="0.77" header="0.5" footer="0.5"/>
  <pageSetup orientation="landscape" r:id="rId1"/>
  <headerFooter alignWithMargins="0">
    <oddFooter>&amp;L&amp;"Arial,Italic"&amp;9&amp;F,  Tab:  &amp;A  &amp;D, &amp;T  PNNL&amp;R&amp;"Arial,Italic"&amp;9Page &amp;P of &amp;N</oddFooter>
  </headerFooter>
  <drawing r:id="rId2"/>
  <legacyDrawing r:id="rId3"/>
  <oleObjects>
    <mc:AlternateContent xmlns:mc="http://schemas.openxmlformats.org/markup-compatibility/2006">
      <mc:Choice Requires="x14">
        <oleObject progId="Word.Document.8" shapeId="4099" r:id="rId4">
          <objectPr defaultSize="0" r:id="rId5">
            <anchor>
              <from>
                <xdr:col>2</xdr:col>
                <xdr:colOff>0</xdr:colOff>
                <xdr:row>1</xdr:row>
                <xdr:rowOff>133350</xdr:rowOff>
              </from>
              <to>
                <xdr:col>2</xdr:col>
                <xdr:colOff>3384550</xdr:colOff>
                <xdr:row>29</xdr:row>
                <xdr:rowOff>120650</xdr:rowOff>
              </to>
            </anchor>
          </objectPr>
        </oleObject>
      </mc:Choice>
      <mc:Fallback>
        <oleObject progId="Word.Document.8" shapeId="4099" r:id="rId4"/>
      </mc:Fallback>
    </mc:AlternateContent>
  </oleObjec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E25"/>
  <sheetViews>
    <sheetView showGridLines="0" workbookViewId="0">
      <selection sqref="A1:C1"/>
    </sheetView>
  </sheetViews>
  <sheetFormatPr defaultColWidth="9.1796875" defaultRowHeight="12.5"/>
  <cols>
    <col min="1" max="1" width="9.1796875" style="1"/>
    <col min="2" max="2" width="6.7265625" style="2" customWidth="1"/>
    <col min="3" max="3" width="48.1796875" style="2" customWidth="1"/>
    <col min="4" max="4" width="9.1796875" style="2"/>
    <col min="5" max="5" width="48.1796875" style="2" customWidth="1"/>
    <col min="6" max="16384" width="9.1796875" style="2"/>
  </cols>
  <sheetData>
    <row r="1" spans="1:5" s="162" customFormat="1" ht="18">
      <c r="A1" s="331" t="s">
        <v>51</v>
      </c>
      <c r="B1" s="331"/>
      <c r="C1" s="331"/>
      <c r="D1" s="331"/>
      <c r="E1" s="331"/>
    </row>
    <row r="2" spans="1:5" ht="18">
      <c r="A2" s="154"/>
      <c r="B2" s="154"/>
      <c r="C2" s="154"/>
      <c r="D2" s="154"/>
      <c r="E2" s="13" t="s">
        <v>60</v>
      </c>
    </row>
    <row r="3" spans="1:5" ht="13">
      <c r="A3" s="127" t="s">
        <v>306</v>
      </c>
      <c r="B3" s="128"/>
      <c r="C3" s="128"/>
      <c r="D3" s="103"/>
      <c r="E3" s="103"/>
    </row>
    <row r="4" spans="1:5" ht="15" customHeight="1">
      <c r="A4" s="133" t="s">
        <v>307</v>
      </c>
      <c r="B4" s="134"/>
      <c r="C4" s="135"/>
      <c r="D4" s="135"/>
      <c r="E4" s="136"/>
    </row>
    <row r="5" spans="1:5" ht="15" customHeight="1">
      <c r="A5" s="139" t="s">
        <v>308</v>
      </c>
      <c r="B5" s="19"/>
      <c r="C5" s="140"/>
      <c r="D5" s="140"/>
      <c r="E5" s="141"/>
    </row>
    <row r="6" spans="1:5" ht="15" customHeight="1">
      <c r="A6" s="139" t="s">
        <v>619</v>
      </c>
      <c r="B6" s="142"/>
      <c r="C6" s="140"/>
      <c r="D6" s="140"/>
      <c r="E6" s="141"/>
    </row>
    <row r="7" spans="1:5" ht="15" customHeight="1">
      <c r="A7" s="139" t="s">
        <v>309</v>
      </c>
      <c r="B7" s="142"/>
      <c r="C7" s="140"/>
      <c r="D7" s="140"/>
      <c r="E7" s="141"/>
    </row>
    <row r="8" spans="1:5" ht="15" customHeight="1">
      <c r="A8" s="139" t="s">
        <v>310</v>
      </c>
      <c r="B8" s="142"/>
      <c r="C8" s="140"/>
      <c r="D8" s="140"/>
      <c r="E8" s="141"/>
    </row>
    <row r="9" spans="1:5" ht="15" customHeight="1">
      <c r="A9" s="129" t="s">
        <v>311</v>
      </c>
      <c r="B9" s="130"/>
      <c r="C9" s="131"/>
      <c r="D9" s="131"/>
      <c r="E9" s="132"/>
    </row>
    <row r="10" spans="1:5">
      <c r="A10" s="126"/>
      <c r="B10" s="16"/>
      <c r="C10" s="103"/>
      <c r="D10" s="103"/>
      <c r="E10" s="103"/>
    </row>
    <row r="11" spans="1:5" ht="13">
      <c r="A11" s="122" t="s">
        <v>312</v>
      </c>
      <c r="B11" s="103"/>
      <c r="C11" s="103"/>
      <c r="D11" s="103"/>
      <c r="E11" s="103"/>
    </row>
    <row r="12" spans="1:5" ht="13">
      <c r="A12" s="123" t="s">
        <v>626</v>
      </c>
      <c r="B12" s="124"/>
      <c r="C12" s="125" t="s">
        <v>402</v>
      </c>
      <c r="D12" s="124"/>
      <c r="E12" s="125" t="s">
        <v>628</v>
      </c>
    </row>
    <row r="13" spans="1:5" ht="42.75" customHeight="1">
      <c r="A13" s="344" t="s">
        <v>313</v>
      </c>
      <c r="B13" s="337" t="s">
        <v>630</v>
      </c>
      <c r="C13" s="337" t="s">
        <v>314</v>
      </c>
      <c r="D13" s="337"/>
      <c r="E13" s="108" t="s">
        <v>315</v>
      </c>
    </row>
    <row r="14" spans="1:5">
      <c r="A14" s="345"/>
      <c r="B14" s="339"/>
      <c r="C14" s="339"/>
      <c r="D14" s="339"/>
      <c r="E14" s="113"/>
    </row>
    <row r="15" spans="1:5" ht="48" customHeight="1">
      <c r="A15" s="345"/>
      <c r="B15" s="106" t="s">
        <v>630</v>
      </c>
      <c r="C15" s="106" t="s">
        <v>316</v>
      </c>
      <c r="D15" s="106"/>
      <c r="E15" s="108" t="s">
        <v>317</v>
      </c>
    </row>
    <row r="16" spans="1:5" ht="25">
      <c r="A16" s="99"/>
      <c r="B16" s="337" t="s">
        <v>630</v>
      </c>
      <c r="C16" s="106" t="s">
        <v>327</v>
      </c>
      <c r="D16" s="337"/>
      <c r="E16" s="111" t="s">
        <v>318</v>
      </c>
    </row>
    <row r="17" spans="1:5">
      <c r="A17" s="100"/>
      <c r="B17" s="339"/>
      <c r="C17" s="112"/>
      <c r="D17" s="339"/>
      <c r="E17" s="113"/>
    </row>
    <row r="18" spans="1:5" ht="17.25" customHeight="1">
      <c r="A18" s="336"/>
      <c r="B18" s="337" t="s">
        <v>630</v>
      </c>
      <c r="C18" s="337" t="s">
        <v>319</v>
      </c>
      <c r="D18" s="337"/>
      <c r="E18" s="108" t="s">
        <v>320</v>
      </c>
    </row>
    <row r="19" spans="1:5" ht="17.25" customHeight="1">
      <c r="A19" s="335"/>
      <c r="B19" s="338"/>
      <c r="C19" s="338"/>
      <c r="D19" s="338"/>
      <c r="E19" s="108" t="s">
        <v>321</v>
      </c>
    </row>
    <row r="20" spans="1:5" ht="17.25" customHeight="1">
      <c r="A20" s="340"/>
      <c r="B20" s="339"/>
      <c r="C20" s="339"/>
      <c r="D20" s="339"/>
      <c r="E20" s="113" t="s">
        <v>322</v>
      </c>
    </row>
    <row r="21" spans="1:5" ht="17.25" customHeight="1">
      <c r="A21" s="336"/>
      <c r="B21" s="337" t="s">
        <v>630</v>
      </c>
      <c r="C21" s="108" t="s">
        <v>323</v>
      </c>
      <c r="D21" s="337"/>
      <c r="E21" s="108" t="s">
        <v>324</v>
      </c>
    </row>
    <row r="22" spans="1:5" ht="17.25" customHeight="1">
      <c r="A22" s="335"/>
      <c r="B22" s="338"/>
      <c r="C22" s="108"/>
      <c r="D22" s="338"/>
      <c r="E22" s="108" t="s">
        <v>325</v>
      </c>
    </row>
    <row r="23" spans="1:5" ht="17.25" customHeight="1">
      <c r="A23" s="340"/>
      <c r="B23" s="339"/>
      <c r="C23" s="113"/>
      <c r="D23" s="339"/>
      <c r="E23" s="113" t="s">
        <v>326</v>
      </c>
    </row>
    <row r="24" spans="1:5">
      <c r="A24" s="121"/>
      <c r="B24" s="103"/>
      <c r="C24" s="103"/>
      <c r="D24" s="103"/>
      <c r="E24" s="103"/>
    </row>
    <row r="25" spans="1:5">
      <c r="A25" s="121"/>
      <c r="B25" s="103"/>
      <c r="C25" s="103"/>
      <c r="D25" s="103"/>
      <c r="E25" s="103"/>
    </row>
  </sheetData>
  <mergeCells count="14">
    <mergeCell ref="A1:E1"/>
    <mergeCell ref="B13:B14"/>
    <mergeCell ref="C13:C14"/>
    <mergeCell ref="D13:D14"/>
    <mergeCell ref="A21:A23"/>
    <mergeCell ref="B21:B23"/>
    <mergeCell ref="D21:D23"/>
    <mergeCell ref="A13:A15"/>
    <mergeCell ref="B16:B17"/>
    <mergeCell ref="D16:D17"/>
    <mergeCell ref="A18:A20"/>
    <mergeCell ref="B18:B20"/>
    <mergeCell ref="C18:C20"/>
    <mergeCell ref="D18:D20"/>
  </mergeCells>
  <phoneticPr fontId="0" type="noConversion"/>
  <printOptions horizontalCentered="1" verticalCentered="1"/>
  <pageMargins left="0.5" right="0.5" top="0.5" bottom="0.77" header="0.5" footer="0.5"/>
  <pageSetup orientation="landscape" r:id="rId1"/>
  <headerFooter alignWithMargins="0">
    <oddFooter>&amp;L&amp;"Arial,Italic"&amp;9&amp;F,  Tab:  &amp;A  &amp;D, &amp;T  PNNL&amp;R&amp;"Arial,Italic"&amp;9Page &amp;P of &amp;N</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4"/>
  <dimension ref="A1:F27"/>
  <sheetViews>
    <sheetView showGridLines="0" topLeftCell="A36" workbookViewId="0">
      <selection sqref="A1:C1"/>
    </sheetView>
  </sheetViews>
  <sheetFormatPr defaultColWidth="9.1796875" defaultRowHeight="12.5"/>
  <cols>
    <col min="1" max="1" width="9.1796875" style="1"/>
    <col min="2" max="2" width="4.7265625" style="2" customWidth="1"/>
    <col min="3" max="3" width="54.1796875" style="24" customWidth="1"/>
    <col min="4" max="4" width="4.1796875" style="2" customWidth="1"/>
    <col min="5" max="5" width="54.1796875" style="1" customWidth="1"/>
    <col min="6" max="16384" width="9.1796875" style="2"/>
  </cols>
  <sheetData>
    <row r="1" spans="1:6" s="162" customFormat="1" ht="18">
      <c r="A1" s="347" t="s">
        <v>61</v>
      </c>
      <c r="B1" s="347"/>
      <c r="C1" s="347"/>
      <c r="D1" s="347"/>
      <c r="E1" s="347"/>
      <c r="F1" s="160"/>
    </row>
    <row r="2" spans="1:6" ht="30.75" customHeight="1">
      <c r="A2" s="346" t="s">
        <v>340</v>
      </c>
      <c r="B2" s="346"/>
      <c r="C2" s="346"/>
      <c r="D2" s="346"/>
      <c r="E2" s="346"/>
    </row>
    <row r="3" spans="1:6" ht="27.75" customHeight="1">
      <c r="A3" s="346" t="s">
        <v>371</v>
      </c>
      <c r="B3" s="346"/>
      <c r="C3" s="346"/>
      <c r="D3" s="346"/>
      <c r="E3" s="346"/>
    </row>
    <row r="4" spans="1:6">
      <c r="A4" s="121"/>
      <c r="B4" s="103"/>
      <c r="C4" s="145"/>
      <c r="D4" s="103"/>
      <c r="E4" s="121"/>
    </row>
    <row r="5" spans="1:6">
      <c r="A5" s="348" t="s">
        <v>372</v>
      </c>
      <c r="B5" s="337" t="s">
        <v>630</v>
      </c>
      <c r="C5" s="111" t="s">
        <v>373</v>
      </c>
      <c r="D5" s="111"/>
      <c r="E5" s="336" t="s">
        <v>396</v>
      </c>
    </row>
    <row r="6" spans="1:6">
      <c r="A6" s="349"/>
      <c r="B6" s="338"/>
      <c r="C6" s="108" t="s">
        <v>374</v>
      </c>
      <c r="D6" s="108" t="s">
        <v>409</v>
      </c>
      <c r="E6" s="335"/>
    </row>
    <row r="7" spans="1:6" ht="37.5">
      <c r="A7" s="349"/>
      <c r="B7" s="338"/>
      <c r="C7" s="108" t="s">
        <v>375</v>
      </c>
      <c r="D7" s="108"/>
      <c r="E7" s="335"/>
    </row>
    <row r="8" spans="1:6">
      <c r="A8" s="350"/>
      <c r="B8" s="339"/>
      <c r="C8" s="113"/>
      <c r="D8" s="113"/>
      <c r="E8" s="340"/>
    </row>
    <row r="9" spans="1:6" ht="12.75" customHeight="1">
      <c r="A9" s="348" t="s">
        <v>391</v>
      </c>
      <c r="B9" s="337" t="s">
        <v>630</v>
      </c>
      <c r="C9" s="108" t="s">
        <v>392</v>
      </c>
      <c r="D9" s="337"/>
      <c r="E9" s="336" t="s">
        <v>396</v>
      </c>
    </row>
    <row r="10" spans="1:6" ht="25">
      <c r="A10" s="349"/>
      <c r="B10" s="338"/>
      <c r="C10" s="108" t="s">
        <v>393</v>
      </c>
      <c r="D10" s="338"/>
      <c r="E10" s="335"/>
    </row>
    <row r="11" spans="1:6">
      <c r="A11" s="99"/>
      <c r="B11" s="338"/>
      <c r="C11" s="108" t="s">
        <v>394</v>
      </c>
      <c r="D11" s="338"/>
      <c r="E11" s="335"/>
    </row>
    <row r="12" spans="1:6">
      <c r="A12" s="100"/>
      <c r="B12" s="339"/>
      <c r="C12" s="113"/>
      <c r="D12" s="339"/>
      <c r="E12" s="340"/>
    </row>
    <row r="13" spans="1:6" ht="13">
      <c r="A13" s="137" t="s">
        <v>377</v>
      </c>
      <c r="B13" s="337" t="s">
        <v>630</v>
      </c>
      <c r="C13" s="337" t="s">
        <v>395</v>
      </c>
      <c r="D13" s="337"/>
      <c r="E13" s="336" t="s">
        <v>396</v>
      </c>
    </row>
    <row r="14" spans="1:6" ht="13">
      <c r="A14" s="137" t="s">
        <v>378</v>
      </c>
      <c r="B14" s="338"/>
      <c r="C14" s="338"/>
      <c r="D14" s="338"/>
      <c r="E14" s="335"/>
    </row>
    <row r="15" spans="1:6" ht="13">
      <c r="A15" s="138" t="s">
        <v>376</v>
      </c>
      <c r="B15" s="339"/>
      <c r="C15" s="339"/>
      <c r="D15" s="339"/>
      <c r="E15" s="340"/>
    </row>
    <row r="16" spans="1:6" ht="12.75" customHeight="1">
      <c r="A16" s="137" t="s">
        <v>379</v>
      </c>
      <c r="B16" s="337" t="s">
        <v>630</v>
      </c>
      <c r="C16" s="108" t="s">
        <v>381</v>
      </c>
      <c r="D16" s="337"/>
      <c r="E16" s="336" t="s">
        <v>396</v>
      </c>
    </row>
    <row r="17" spans="1:5" ht="13">
      <c r="A17" s="137" t="s">
        <v>380</v>
      </c>
      <c r="B17" s="338"/>
      <c r="C17" s="108" t="s">
        <v>382</v>
      </c>
      <c r="D17" s="338"/>
      <c r="E17" s="335"/>
    </row>
    <row r="18" spans="1:5">
      <c r="A18" s="99"/>
      <c r="B18" s="338"/>
      <c r="C18" s="108" t="s">
        <v>383</v>
      </c>
      <c r="D18" s="338"/>
      <c r="E18" s="335"/>
    </row>
    <row r="19" spans="1:5">
      <c r="A19" s="100"/>
      <c r="B19" s="339"/>
      <c r="C19" s="113"/>
      <c r="D19" s="339"/>
      <c r="E19" s="340"/>
    </row>
    <row r="20" spans="1:5" ht="13">
      <c r="A20" s="137" t="s">
        <v>384</v>
      </c>
      <c r="B20" s="337" t="s">
        <v>630</v>
      </c>
      <c r="C20" s="108" t="s">
        <v>385</v>
      </c>
      <c r="D20" s="337"/>
      <c r="E20" s="336" t="s">
        <v>396</v>
      </c>
    </row>
    <row r="21" spans="1:5" ht="25">
      <c r="A21" s="137" t="s">
        <v>390</v>
      </c>
      <c r="B21" s="338"/>
      <c r="C21" s="108" t="s">
        <v>386</v>
      </c>
      <c r="D21" s="338"/>
      <c r="E21" s="335"/>
    </row>
    <row r="22" spans="1:5">
      <c r="A22" s="100"/>
      <c r="B22" s="339"/>
      <c r="C22" s="113"/>
      <c r="D22" s="339"/>
      <c r="E22" s="340"/>
    </row>
    <row r="23" spans="1:5" ht="25">
      <c r="A23" s="348" t="s">
        <v>389</v>
      </c>
      <c r="B23" s="337" t="s">
        <v>630</v>
      </c>
      <c r="C23" s="108" t="s">
        <v>387</v>
      </c>
      <c r="D23" s="337"/>
      <c r="E23" s="336" t="s">
        <v>396</v>
      </c>
    </row>
    <row r="24" spans="1:5" ht="37.5">
      <c r="A24" s="349"/>
      <c r="B24" s="338"/>
      <c r="C24" s="108" t="s">
        <v>388</v>
      </c>
      <c r="D24" s="338"/>
      <c r="E24" s="335"/>
    </row>
    <row r="25" spans="1:5">
      <c r="A25" s="350"/>
      <c r="B25" s="339"/>
      <c r="C25" s="113"/>
      <c r="D25" s="339"/>
      <c r="E25" s="340"/>
    </row>
    <row r="26" spans="1:5">
      <c r="A26" s="121"/>
      <c r="B26" s="103"/>
      <c r="C26" s="145"/>
      <c r="D26" s="103"/>
      <c r="E26" s="121"/>
    </row>
    <row r="27" spans="1:5">
      <c r="A27" s="121"/>
      <c r="B27" s="103"/>
      <c r="C27" s="145"/>
      <c r="D27" s="103"/>
      <c r="E27" s="121"/>
    </row>
  </sheetData>
  <mergeCells count="24">
    <mergeCell ref="A5:A8"/>
    <mergeCell ref="B5:B8"/>
    <mergeCell ref="E5:E8"/>
    <mergeCell ref="B9:B12"/>
    <mergeCell ref="D9:D12"/>
    <mergeCell ref="E9:E12"/>
    <mergeCell ref="A9:A10"/>
    <mergeCell ref="B20:B22"/>
    <mergeCell ref="D20:D22"/>
    <mergeCell ref="E20:E22"/>
    <mergeCell ref="B13:B15"/>
    <mergeCell ref="C13:C15"/>
    <mergeCell ref="D13:D15"/>
    <mergeCell ref="E13:E15"/>
    <mergeCell ref="A3:E3"/>
    <mergeCell ref="A2:E2"/>
    <mergeCell ref="A1:E1"/>
    <mergeCell ref="A23:A25"/>
    <mergeCell ref="B23:B25"/>
    <mergeCell ref="D23:D25"/>
    <mergeCell ref="E23:E25"/>
    <mergeCell ref="B16:B19"/>
    <mergeCell ref="D16:D19"/>
    <mergeCell ref="E16:E19"/>
  </mergeCells>
  <phoneticPr fontId="0" type="noConversion"/>
  <printOptions horizontalCentered="1" verticalCentered="1"/>
  <pageMargins left="0.5" right="0.5" top="0.5" bottom="0.77" header="0.5" footer="0.5"/>
  <pageSetup orientation="landscape" r:id="rId1"/>
  <headerFooter alignWithMargins="0">
    <oddFooter>&amp;L&amp;"Arial,Italic"&amp;9&amp;F,  Tab:  &amp;A  &amp;D, &amp;T  PNNL&amp;R&amp;"Arial,Italic"&amp;9Page &amp;P of &amp;N</oddFooter>
  </headerFooter>
  <drawing r:id="rId2"/>
  <legacyDrawing r:id="rId3"/>
  <oleObjects>
    <mc:AlternateContent xmlns:mc="http://schemas.openxmlformats.org/markup-compatibility/2006">
      <mc:Choice Requires="x14">
        <oleObject progId="Word.Document.8" shapeId="5121" r:id="rId4">
          <objectPr defaultSize="0" autoPict="0" r:id="rId5">
            <anchor moveWithCells="1">
              <from>
                <xdr:col>0</xdr:col>
                <xdr:colOff>88900</xdr:colOff>
                <xdr:row>29</xdr:row>
                <xdr:rowOff>25400</xdr:rowOff>
              </from>
              <to>
                <xdr:col>4</xdr:col>
                <xdr:colOff>3625850</xdr:colOff>
                <xdr:row>67</xdr:row>
                <xdr:rowOff>44450</xdr:rowOff>
              </to>
            </anchor>
          </objectPr>
        </oleObject>
      </mc:Choice>
      <mc:Fallback>
        <oleObject progId="Word.Document.8" shapeId="5121" r:id="rId4"/>
      </mc:Fallback>
    </mc:AlternateContent>
  </oleObjec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A16"/>
  <sheetViews>
    <sheetView showGridLines="0" zoomScaleNormal="100" workbookViewId="0">
      <selection sqref="A1:C1"/>
    </sheetView>
  </sheetViews>
  <sheetFormatPr defaultColWidth="9.1796875" defaultRowHeight="12.5"/>
  <cols>
    <col min="1" max="1" width="115.453125" style="1" customWidth="1"/>
    <col min="2" max="16384" width="9.1796875" style="2"/>
  </cols>
  <sheetData>
    <row r="1" spans="1:1" s="162" customFormat="1" ht="18">
      <c r="A1" s="154" t="s">
        <v>62</v>
      </c>
    </row>
    <row r="2" spans="1:1" ht="20">
      <c r="A2" s="87"/>
    </row>
    <row r="3" spans="1:1" ht="26.25" customHeight="1">
      <c r="A3" s="157" t="s">
        <v>553</v>
      </c>
    </row>
    <row r="4" spans="1:1" ht="15.75" customHeight="1">
      <c r="A4" s="159" t="s">
        <v>431</v>
      </c>
    </row>
    <row r="5" spans="1:1" ht="15.75" customHeight="1">
      <c r="A5" s="144" t="s">
        <v>417</v>
      </c>
    </row>
    <row r="6" spans="1:1" ht="15.75" customHeight="1">
      <c r="A6" s="159" t="s">
        <v>432</v>
      </c>
    </row>
    <row r="7" spans="1:1" ht="15.75" customHeight="1">
      <c r="A7" s="144" t="s">
        <v>421</v>
      </c>
    </row>
    <row r="8" spans="1:1" ht="15.75" customHeight="1">
      <c r="A8" s="159" t="s">
        <v>433</v>
      </c>
    </row>
    <row r="9" spans="1:1" ht="15.75" customHeight="1">
      <c r="A9" s="158" t="s">
        <v>418</v>
      </c>
    </row>
    <row r="10" spans="1:1" ht="15.75" customHeight="1">
      <c r="A10" s="4" t="s">
        <v>419</v>
      </c>
    </row>
    <row r="11" spans="1:1" ht="15.75" customHeight="1">
      <c r="A11" s="5" t="s">
        <v>424</v>
      </c>
    </row>
    <row r="12" spans="1:1" ht="15.75" customHeight="1">
      <c r="A12" s="159" t="s">
        <v>425</v>
      </c>
    </row>
    <row r="13" spans="1:1" ht="15.75" customHeight="1">
      <c r="A13" s="158" t="s">
        <v>420</v>
      </c>
    </row>
    <row r="14" spans="1:1" ht="15.75" customHeight="1">
      <c r="A14" s="4" t="s">
        <v>422</v>
      </c>
    </row>
    <row r="15" spans="1:1" ht="26.25" customHeight="1">
      <c r="A15" s="4" t="s">
        <v>423</v>
      </c>
    </row>
    <row r="16" spans="1:1" ht="26.25" customHeight="1">
      <c r="A16" s="4" t="s">
        <v>416</v>
      </c>
    </row>
  </sheetData>
  <phoneticPr fontId="0" type="noConversion"/>
  <printOptions horizontalCentered="1" verticalCentered="1"/>
  <pageMargins left="0.5" right="0.5" top="0.5" bottom="0.77" header="0.5" footer="0.5"/>
  <pageSetup orientation="landscape" r:id="rId1"/>
  <headerFooter alignWithMargins="0">
    <oddFooter>&amp;L&amp;"Arial,Italic"&amp;9&amp;F,  Tab:  &amp;A  &amp;D, &amp;T  PNNL&amp;R&amp;"Arial,Italic"&amp;9Page &amp;P of &amp;N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J526"/>
  <sheetViews>
    <sheetView showGridLines="0" topLeftCell="D1" workbookViewId="0">
      <pane ySplit="3" topLeftCell="A4" activePane="bottomLeft" state="frozen"/>
      <selection sqref="A1:C1"/>
      <selection pane="bottomLeft" sqref="A1:C1"/>
    </sheetView>
  </sheetViews>
  <sheetFormatPr defaultColWidth="9.1796875" defaultRowHeight="15.5" outlineLevelRow="1" outlineLevelCol="1"/>
  <cols>
    <col min="1" max="1" width="9.1796875" style="2" hidden="1" customWidth="1" outlineLevel="1"/>
    <col min="2" max="2" width="5.7265625" style="2" hidden="1" customWidth="1" outlineLevel="1"/>
    <col min="3" max="3" width="9.1796875" style="172" hidden="1" customWidth="1" outlineLevel="1"/>
    <col min="4" max="4" width="3.1796875" style="172" customWidth="1" collapsed="1"/>
    <col min="5" max="5" width="53.453125" style="24" customWidth="1"/>
    <col min="6" max="6" width="29.453125" style="1" customWidth="1"/>
    <col min="7" max="7" width="23.26953125" style="1" hidden="1" customWidth="1" outlineLevel="1"/>
    <col min="8" max="8" width="9.1796875" style="2" collapsed="1"/>
    <col min="9" max="16384" width="9.1796875" style="2"/>
  </cols>
  <sheetData>
    <row r="1" spans="1:10" s="162" customFormat="1" ht="18">
      <c r="C1" s="171"/>
      <c r="D1" s="325" t="s">
        <v>63</v>
      </c>
      <c r="F1" s="153" t="s">
        <v>289</v>
      </c>
      <c r="G1" s="153"/>
    </row>
    <row r="2" spans="1:10">
      <c r="D2" s="212" t="s">
        <v>112</v>
      </c>
      <c r="E2" s="216" t="s">
        <v>123</v>
      </c>
      <c r="F2" s="225" t="s">
        <v>126</v>
      </c>
    </row>
    <row r="3" spans="1:10" ht="40" hidden="1" outlineLevel="1">
      <c r="A3" s="169" t="s">
        <v>201</v>
      </c>
      <c r="B3" s="169" t="s">
        <v>184</v>
      </c>
      <c r="C3" s="173" t="s">
        <v>185</v>
      </c>
      <c r="D3" s="204" t="s">
        <v>112</v>
      </c>
      <c r="E3" s="167" t="s">
        <v>555</v>
      </c>
      <c r="G3" s="230" t="s">
        <v>205</v>
      </c>
      <c r="H3" s="1"/>
      <c r="I3" s="1"/>
      <c r="J3" s="1"/>
    </row>
    <row r="4" spans="1:10" ht="25" collapsed="1">
      <c r="A4" s="150">
        <v>1</v>
      </c>
      <c r="B4" s="150">
        <v>1</v>
      </c>
      <c r="C4" s="174"/>
      <c r="D4" s="222"/>
      <c r="E4" s="205" t="s">
        <v>118</v>
      </c>
      <c r="F4" s="217" t="s">
        <v>38</v>
      </c>
      <c r="G4" s="326" t="s">
        <v>206</v>
      </c>
    </row>
    <row r="5" spans="1:10" ht="30">
      <c r="A5" s="150">
        <v>2</v>
      </c>
      <c r="B5" s="150">
        <v>1</v>
      </c>
      <c r="C5" s="170"/>
      <c r="D5" s="223"/>
      <c r="E5" s="207" t="s">
        <v>188</v>
      </c>
      <c r="F5" s="218" t="s">
        <v>164</v>
      </c>
      <c r="G5" s="326" t="s">
        <v>212</v>
      </c>
    </row>
    <row r="6" spans="1:10" ht="20">
      <c r="A6" s="150">
        <v>3</v>
      </c>
      <c r="B6" s="150">
        <v>2</v>
      </c>
      <c r="C6" s="174"/>
      <c r="D6" s="222"/>
      <c r="E6" s="206" t="s">
        <v>556</v>
      </c>
      <c r="F6" s="218" t="s">
        <v>37</v>
      </c>
      <c r="G6" s="326" t="s">
        <v>209</v>
      </c>
    </row>
    <row r="7" spans="1:10" ht="25">
      <c r="A7" s="150">
        <v>4</v>
      </c>
      <c r="B7" s="150" t="s">
        <v>194</v>
      </c>
      <c r="C7" s="174"/>
      <c r="D7" s="222"/>
      <c r="E7" s="206" t="s">
        <v>557</v>
      </c>
      <c r="F7" s="218"/>
      <c r="G7" s="326" t="s">
        <v>208</v>
      </c>
    </row>
    <row r="8" spans="1:10" ht="25">
      <c r="A8" s="150">
        <v>5</v>
      </c>
      <c r="B8" s="150">
        <v>3</v>
      </c>
      <c r="C8" s="174"/>
      <c r="D8" s="222"/>
      <c r="E8" s="207" t="s">
        <v>199</v>
      </c>
      <c r="F8" s="218" t="s">
        <v>200</v>
      </c>
    </row>
    <row r="9" spans="1:10" ht="26">
      <c r="A9" s="150">
        <v>6</v>
      </c>
      <c r="B9" s="150">
        <v>1</v>
      </c>
      <c r="C9" s="170" t="s">
        <v>202</v>
      </c>
      <c r="D9" s="223"/>
      <c r="E9" s="208" t="s">
        <v>189</v>
      </c>
      <c r="F9" s="218" t="s">
        <v>41</v>
      </c>
    </row>
    <row r="10" spans="1:10" ht="26">
      <c r="A10" s="150">
        <v>7</v>
      </c>
      <c r="B10" s="150">
        <v>1</v>
      </c>
      <c r="C10" s="174"/>
      <c r="D10" s="222"/>
      <c r="E10" s="209" t="s">
        <v>193</v>
      </c>
      <c r="F10" s="218" t="s">
        <v>190</v>
      </c>
    </row>
    <row r="11" spans="1:10">
      <c r="A11" s="150">
        <v>8</v>
      </c>
      <c r="B11" s="150">
        <v>1</v>
      </c>
      <c r="C11" s="174"/>
      <c r="D11" s="222"/>
      <c r="E11" s="210" t="s">
        <v>192</v>
      </c>
      <c r="F11" s="218" t="s">
        <v>190</v>
      </c>
    </row>
    <row r="12" spans="1:10">
      <c r="A12" s="150">
        <v>9</v>
      </c>
      <c r="B12" s="150"/>
      <c r="C12" s="174"/>
      <c r="D12" s="222"/>
      <c r="E12" s="209" t="s">
        <v>191</v>
      </c>
      <c r="F12" s="218" t="s">
        <v>190</v>
      </c>
    </row>
    <row r="13" spans="1:10">
      <c r="A13" s="150">
        <v>10</v>
      </c>
      <c r="B13" s="150">
        <v>2</v>
      </c>
      <c r="C13" s="174"/>
      <c r="D13" s="222"/>
      <c r="E13" s="209" t="s">
        <v>113</v>
      </c>
      <c r="F13" s="218" t="s">
        <v>190</v>
      </c>
    </row>
    <row r="14" spans="1:10">
      <c r="A14" s="150">
        <v>11</v>
      </c>
      <c r="B14" s="150">
        <v>2</v>
      </c>
      <c r="C14" s="174"/>
      <c r="D14" s="222"/>
      <c r="E14" s="209" t="s">
        <v>114</v>
      </c>
      <c r="F14" s="218" t="s">
        <v>190</v>
      </c>
    </row>
    <row r="15" spans="1:10">
      <c r="A15" s="150">
        <v>12</v>
      </c>
      <c r="B15" s="150">
        <v>2</v>
      </c>
      <c r="C15" s="174"/>
      <c r="D15" s="222"/>
      <c r="E15" s="209" t="s">
        <v>115</v>
      </c>
      <c r="F15" s="218" t="s">
        <v>190</v>
      </c>
    </row>
    <row r="16" spans="1:10">
      <c r="A16" s="150">
        <v>13</v>
      </c>
      <c r="B16" s="150">
        <v>1</v>
      </c>
      <c r="C16" s="174"/>
      <c r="D16" s="222"/>
      <c r="E16" s="209" t="s">
        <v>116</v>
      </c>
      <c r="F16" s="218" t="s">
        <v>190</v>
      </c>
    </row>
    <row r="17" spans="1:7">
      <c r="A17" s="150">
        <v>14</v>
      </c>
      <c r="B17" s="150">
        <v>1</v>
      </c>
      <c r="C17" s="174"/>
      <c r="D17" s="222"/>
      <c r="E17" s="209" t="s">
        <v>117</v>
      </c>
      <c r="F17" s="218" t="s">
        <v>190</v>
      </c>
    </row>
    <row r="18" spans="1:7">
      <c r="A18" s="150">
        <v>15</v>
      </c>
      <c r="B18" s="150">
        <v>3</v>
      </c>
      <c r="C18" s="174"/>
      <c r="D18" s="222"/>
      <c r="E18" s="206" t="s">
        <v>558</v>
      </c>
      <c r="F18" s="218"/>
    </row>
    <row r="19" spans="1:7" ht="25">
      <c r="A19" s="150">
        <v>16</v>
      </c>
      <c r="B19" s="150">
        <v>3</v>
      </c>
      <c r="C19" s="174"/>
      <c r="D19" s="222"/>
      <c r="E19" s="206" t="s">
        <v>559</v>
      </c>
      <c r="F19" s="218"/>
    </row>
    <row r="20" spans="1:7">
      <c r="A20" s="150">
        <v>17</v>
      </c>
      <c r="B20" s="150"/>
      <c r="C20" s="174"/>
      <c r="D20" s="222"/>
      <c r="E20" s="206"/>
      <c r="F20" s="218"/>
    </row>
    <row r="21" spans="1:7">
      <c r="A21" s="150">
        <v>18</v>
      </c>
      <c r="B21" s="150">
        <v>3</v>
      </c>
      <c r="C21" s="174"/>
      <c r="D21" s="222"/>
      <c r="E21" s="146" t="s">
        <v>187</v>
      </c>
      <c r="F21" s="218"/>
    </row>
    <row r="22" spans="1:7" ht="25">
      <c r="A22" s="150">
        <v>19</v>
      </c>
      <c r="B22" s="150">
        <v>2</v>
      </c>
      <c r="C22" s="170"/>
      <c r="D22" s="223"/>
      <c r="E22" s="205" t="s">
        <v>119</v>
      </c>
      <c r="F22" s="218"/>
    </row>
    <row r="23" spans="1:7">
      <c r="A23" s="150">
        <v>20</v>
      </c>
      <c r="B23" s="150">
        <v>1</v>
      </c>
      <c r="C23" s="174"/>
      <c r="D23" s="222"/>
      <c r="E23" s="206" t="s">
        <v>140</v>
      </c>
      <c r="F23" s="218" t="s">
        <v>39</v>
      </c>
    </row>
    <row r="24" spans="1:7">
      <c r="A24" s="150">
        <v>21</v>
      </c>
      <c r="B24" s="150">
        <v>1</v>
      </c>
      <c r="C24" s="174"/>
      <c r="D24" s="222"/>
      <c r="E24" s="211" t="s">
        <v>560</v>
      </c>
      <c r="F24" s="218" t="s">
        <v>561</v>
      </c>
    </row>
    <row r="25" spans="1:7" ht="37.5">
      <c r="A25" s="150">
        <v>22</v>
      </c>
      <c r="B25" s="150">
        <v>1</v>
      </c>
      <c r="C25" s="174"/>
      <c r="D25" s="222"/>
      <c r="E25" s="207" t="s">
        <v>29</v>
      </c>
      <c r="F25" s="218" t="s">
        <v>195</v>
      </c>
      <c r="G25" s="326" t="s">
        <v>210</v>
      </c>
    </row>
    <row r="26" spans="1:7" ht="25">
      <c r="A26" s="150">
        <v>23</v>
      </c>
      <c r="B26" s="150">
        <v>2</v>
      </c>
      <c r="C26" s="174"/>
      <c r="D26" s="222"/>
      <c r="E26" s="207" t="s">
        <v>30</v>
      </c>
      <c r="F26" s="218" t="s">
        <v>164</v>
      </c>
      <c r="G26" s="326" t="s">
        <v>211</v>
      </c>
    </row>
    <row r="27" spans="1:7" ht="25">
      <c r="A27" s="150">
        <v>24</v>
      </c>
      <c r="B27" s="150"/>
      <c r="C27" s="170" t="s">
        <v>170</v>
      </c>
      <c r="D27" s="223"/>
      <c r="E27" s="207" t="s">
        <v>171</v>
      </c>
      <c r="F27" s="218" t="s">
        <v>164</v>
      </c>
      <c r="G27" s="326"/>
    </row>
    <row r="28" spans="1:7" ht="30">
      <c r="A28" s="150">
        <v>25</v>
      </c>
      <c r="B28" s="150">
        <v>2</v>
      </c>
      <c r="C28" s="170" t="s">
        <v>169</v>
      </c>
      <c r="D28" s="223"/>
      <c r="E28" s="207" t="s">
        <v>120</v>
      </c>
      <c r="F28" s="218" t="s">
        <v>164</v>
      </c>
      <c r="G28" s="326" t="s">
        <v>212</v>
      </c>
    </row>
    <row r="29" spans="1:7" ht="25">
      <c r="A29" s="150">
        <v>26</v>
      </c>
      <c r="B29" s="150">
        <v>3</v>
      </c>
      <c r="C29" s="170"/>
      <c r="D29" s="223"/>
      <c r="E29" s="207" t="s">
        <v>121</v>
      </c>
      <c r="F29" s="218" t="s">
        <v>164</v>
      </c>
      <c r="G29" s="326" t="s">
        <v>207</v>
      </c>
    </row>
    <row r="30" spans="1:7" ht="62.5">
      <c r="A30" s="150">
        <v>27</v>
      </c>
      <c r="B30" s="150">
        <v>3</v>
      </c>
      <c r="C30" s="170" t="s">
        <v>168</v>
      </c>
      <c r="D30" s="223"/>
      <c r="E30" s="207" t="s">
        <v>122</v>
      </c>
      <c r="F30" s="218" t="s">
        <v>165</v>
      </c>
      <c r="G30" s="326" t="s">
        <v>212</v>
      </c>
    </row>
    <row r="31" spans="1:7" ht="50">
      <c r="A31" s="150">
        <v>28</v>
      </c>
      <c r="B31" s="150">
        <v>3</v>
      </c>
      <c r="C31" s="174"/>
      <c r="D31" s="222"/>
      <c r="E31" s="206" t="s">
        <v>167</v>
      </c>
      <c r="F31" s="218" t="s">
        <v>166</v>
      </c>
      <c r="G31" s="326" t="s">
        <v>212</v>
      </c>
    </row>
    <row r="32" spans="1:7" ht="40">
      <c r="A32" s="150">
        <v>29</v>
      </c>
      <c r="B32" s="174">
        <v>10</v>
      </c>
      <c r="C32" s="170" t="s">
        <v>186</v>
      </c>
      <c r="D32" s="223"/>
      <c r="E32" s="206" t="s">
        <v>67</v>
      </c>
      <c r="F32" s="218"/>
      <c r="G32" s="326" t="s">
        <v>214</v>
      </c>
    </row>
    <row r="33" spans="1:7" ht="30">
      <c r="A33" s="150">
        <v>30</v>
      </c>
      <c r="B33" s="150">
        <v>3</v>
      </c>
      <c r="C33" s="174"/>
      <c r="D33" s="222"/>
      <c r="E33" s="206" t="s">
        <v>31</v>
      </c>
      <c r="F33" s="218"/>
      <c r="G33" s="326" t="s">
        <v>213</v>
      </c>
    </row>
    <row r="34" spans="1:7" ht="40">
      <c r="A34" s="150">
        <v>31</v>
      </c>
      <c r="B34" s="150">
        <v>1</v>
      </c>
      <c r="C34" s="170" t="s">
        <v>203</v>
      </c>
      <c r="D34" s="223"/>
      <c r="E34" s="147" t="s">
        <v>34</v>
      </c>
      <c r="F34" s="218" t="s">
        <v>40</v>
      </c>
      <c r="G34" s="326" t="s">
        <v>196</v>
      </c>
    </row>
    <row r="35" spans="1:7" ht="25">
      <c r="A35" s="150">
        <v>32</v>
      </c>
      <c r="B35" s="150"/>
      <c r="C35" s="174"/>
      <c r="D35" s="222"/>
      <c r="E35" s="147" t="s">
        <v>33</v>
      </c>
      <c r="F35" s="218"/>
      <c r="G35" s="326" t="s">
        <v>215</v>
      </c>
    </row>
    <row r="36" spans="1:7">
      <c r="A36" s="150">
        <v>33</v>
      </c>
      <c r="C36" s="175"/>
      <c r="D36" s="175"/>
      <c r="E36" s="216" t="s">
        <v>562</v>
      </c>
      <c r="F36" s="224"/>
    </row>
    <row r="37" spans="1:7">
      <c r="A37" s="150">
        <v>34</v>
      </c>
      <c r="B37" s="150">
        <v>1</v>
      </c>
      <c r="C37" s="174"/>
      <c r="D37" s="174"/>
      <c r="E37" s="147" t="s">
        <v>563</v>
      </c>
      <c r="F37" s="220"/>
    </row>
    <row r="38" spans="1:7">
      <c r="A38" s="150">
        <v>35</v>
      </c>
      <c r="B38" s="150">
        <v>1</v>
      </c>
      <c r="C38" s="174"/>
      <c r="D38" s="174"/>
      <c r="E38" s="147" t="s">
        <v>564</v>
      </c>
      <c r="F38" s="218"/>
    </row>
    <row r="39" spans="1:7">
      <c r="A39" s="150">
        <v>36</v>
      </c>
      <c r="B39" s="2">
        <v>2</v>
      </c>
      <c r="C39" s="174"/>
      <c r="D39" s="174"/>
      <c r="E39" s="147" t="s">
        <v>565</v>
      </c>
      <c r="F39" s="218"/>
    </row>
    <row r="40" spans="1:7" ht="20">
      <c r="A40" s="150">
        <v>37</v>
      </c>
      <c r="C40" s="170" t="s">
        <v>204</v>
      </c>
      <c r="D40" s="174"/>
      <c r="E40" s="147" t="s">
        <v>566</v>
      </c>
      <c r="F40" s="218"/>
    </row>
    <row r="41" spans="1:7">
      <c r="A41" s="150">
        <v>38</v>
      </c>
      <c r="C41" s="174"/>
      <c r="D41" s="174"/>
      <c r="E41" s="147" t="s">
        <v>577</v>
      </c>
      <c r="F41" s="218"/>
    </row>
    <row r="42" spans="1:7" ht="25">
      <c r="A42" s="150">
        <v>39</v>
      </c>
      <c r="C42" s="174"/>
      <c r="D42" s="174"/>
      <c r="E42" s="147" t="s">
        <v>198</v>
      </c>
      <c r="F42" s="218"/>
    </row>
    <row r="43" spans="1:7">
      <c r="A43" s="150">
        <v>40</v>
      </c>
      <c r="C43" s="174"/>
      <c r="D43" s="174"/>
      <c r="E43" s="147" t="s">
        <v>567</v>
      </c>
      <c r="F43" s="218"/>
    </row>
    <row r="44" spans="1:7">
      <c r="A44" s="150">
        <v>41</v>
      </c>
      <c r="C44" s="174"/>
      <c r="D44" s="174"/>
      <c r="E44" s="147" t="s">
        <v>576</v>
      </c>
      <c r="F44" s="218"/>
    </row>
    <row r="45" spans="1:7">
      <c r="A45" s="150">
        <v>42</v>
      </c>
      <c r="C45" s="174"/>
      <c r="D45" s="174"/>
      <c r="E45" s="147" t="s">
        <v>32</v>
      </c>
      <c r="F45" s="218"/>
    </row>
    <row r="46" spans="1:7">
      <c r="A46" s="150">
        <v>43</v>
      </c>
      <c r="C46" s="174"/>
      <c r="D46" s="174"/>
      <c r="E46" s="147" t="s">
        <v>42</v>
      </c>
      <c r="F46" s="218"/>
    </row>
    <row r="47" spans="1:7">
      <c r="A47" s="150">
        <v>44</v>
      </c>
      <c r="C47" s="174"/>
      <c r="D47" s="174"/>
      <c r="E47" s="147" t="s">
        <v>43</v>
      </c>
      <c r="F47" s="218"/>
    </row>
    <row r="48" spans="1:7">
      <c r="A48" s="150">
        <v>45</v>
      </c>
      <c r="C48" s="174"/>
      <c r="D48" s="174"/>
      <c r="E48" s="147" t="s">
        <v>35</v>
      </c>
      <c r="F48" s="218"/>
    </row>
    <row r="49" spans="1:6">
      <c r="A49" s="150">
        <v>46</v>
      </c>
      <c r="C49" s="174"/>
      <c r="D49" s="174"/>
      <c r="E49" s="147" t="s">
        <v>578</v>
      </c>
      <c r="F49" s="218"/>
    </row>
    <row r="50" spans="1:6">
      <c r="A50" s="150">
        <v>47</v>
      </c>
      <c r="C50" s="174"/>
      <c r="D50" s="174"/>
      <c r="E50" s="147" t="s">
        <v>36</v>
      </c>
      <c r="F50" s="218"/>
    </row>
    <row r="51" spans="1:6">
      <c r="A51" s="150">
        <v>48</v>
      </c>
      <c r="C51" s="174"/>
      <c r="D51" s="174"/>
      <c r="E51" s="147" t="s">
        <v>44</v>
      </c>
      <c r="F51" s="218"/>
    </row>
    <row r="52" spans="1:6">
      <c r="A52" s="150">
        <v>49</v>
      </c>
      <c r="C52" s="174"/>
      <c r="D52" s="174"/>
      <c r="E52" s="168" t="s">
        <v>197</v>
      </c>
      <c r="F52" s="218"/>
    </row>
    <row r="53" spans="1:6">
      <c r="A53" s="150"/>
      <c r="C53" s="174"/>
      <c r="D53" s="174"/>
      <c r="E53" s="147"/>
      <c r="F53" s="218"/>
    </row>
    <row r="54" spans="1:6">
      <c r="A54" s="150"/>
      <c r="C54" s="174"/>
      <c r="D54" s="174"/>
      <c r="E54" s="147"/>
      <c r="F54" s="218"/>
    </row>
    <row r="55" spans="1:6">
      <c r="A55" s="150"/>
      <c r="C55" s="174"/>
      <c r="D55" s="174"/>
      <c r="E55" s="147"/>
      <c r="F55" s="218"/>
    </row>
    <row r="56" spans="1:6">
      <c r="A56" s="150">
        <v>50</v>
      </c>
      <c r="C56" s="175"/>
      <c r="D56" s="175"/>
      <c r="E56" s="216" t="s">
        <v>124</v>
      </c>
      <c r="F56" s="219"/>
    </row>
    <row r="57" spans="1:6">
      <c r="A57" s="150">
        <v>55</v>
      </c>
      <c r="C57" s="174"/>
      <c r="D57" s="174"/>
      <c r="E57" s="149" t="s">
        <v>574</v>
      </c>
      <c r="F57" s="214"/>
    </row>
    <row r="58" spans="1:6">
      <c r="A58" s="150"/>
      <c r="C58" s="176"/>
      <c r="D58" s="174"/>
      <c r="E58" s="148" t="s">
        <v>125</v>
      </c>
      <c r="F58" s="213"/>
    </row>
    <row r="59" spans="1:6">
      <c r="A59" s="150"/>
      <c r="C59" s="174"/>
      <c r="D59" s="174"/>
      <c r="E59" s="149" t="s">
        <v>575</v>
      </c>
      <c r="F59" s="214"/>
    </row>
    <row r="60" spans="1:6">
      <c r="A60" s="150"/>
      <c r="C60" s="174"/>
      <c r="D60" s="174"/>
      <c r="E60" s="149"/>
      <c r="F60" s="214"/>
    </row>
    <row r="61" spans="1:6">
      <c r="A61" s="150"/>
      <c r="C61" s="176"/>
      <c r="D61" s="174"/>
      <c r="E61" s="148" t="s">
        <v>568</v>
      </c>
      <c r="F61" s="213" t="s">
        <v>569</v>
      </c>
    </row>
    <row r="62" spans="1:6">
      <c r="A62" s="150"/>
      <c r="C62" s="174"/>
      <c r="D62" s="174"/>
      <c r="E62" s="149" t="s">
        <v>570</v>
      </c>
      <c r="F62" s="214"/>
    </row>
    <row r="63" spans="1:6">
      <c r="A63" s="150"/>
      <c r="C63" s="174"/>
      <c r="D63" s="174"/>
      <c r="E63" s="221" t="s">
        <v>571</v>
      </c>
      <c r="F63" s="218" t="s">
        <v>572</v>
      </c>
    </row>
    <row r="64" spans="1:6">
      <c r="A64" s="150"/>
      <c r="C64" s="174"/>
      <c r="D64" s="174"/>
      <c r="E64" s="149" t="s">
        <v>573</v>
      </c>
      <c r="F64" s="218"/>
    </row>
    <row r="65" spans="1:6">
      <c r="A65" s="150"/>
      <c r="C65" s="174"/>
      <c r="D65" s="174"/>
      <c r="E65" s="149"/>
      <c r="F65" s="214"/>
    </row>
    <row r="66" spans="1:6">
      <c r="A66" s="150"/>
      <c r="C66" s="174"/>
      <c r="D66" s="174"/>
      <c r="E66" s="149"/>
      <c r="F66" s="214"/>
    </row>
    <row r="67" spans="1:6">
      <c r="A67" s="150"/>
      <c r="C67" s="174"/>
      <c r="D67" s="174"/>
      <c r="E67" s="149"/>
      <c r="F67" s="214"/>
    </row>
    <row r="68" spans="1:6">
      <c r="A68" s="150"/>
      <c r="C68" s="174"/>
      <c r="D68" s="174"/>
      <c r="E68" s="149"/>
      <c r="F68" s="214"/>
    </row>
    <row r="69" spans="1:6">
      <c r="F69" s="146"/>
    </row>
    <row r="70" spans="1:6">
      <c r="E70" s="1"/>
      <c r="F70" s="146"/>
    </row>
    <row r="71" spans="1:6">
      <c r="E71" s="1"/>
      <c r="F71" s="146"/>
    </row>
    <row r="72" spans="1:6">
      <c r="E72" s="1"/>
      <c r="F72" s="146"/>
    </row>
    <row r="73" spans="1:6">
      <c r="E73" s="2"/>
      <c r="F73" s="146"/>
    </row>
    <row r="74" spans="1:6">
      <c r="E74" s="1"/>
      <c r="F74" s="146"/>
    </row>
    <row r="75" spans="1:6">
      <c r="E75" s="2"/>
      <c r="F75" s="146"/>
    </row>
    <row r="76" spans="1:6">
      <c r="E76" s="1"/>
      <c r="F76" s="146"/>
    </row>
    <row r="77" spans="1:6">
      <c r="E77" s="1"/>
      <c r="F77" s="146"/>
    </row>
    <row r="78" spans="1:6">
      <c r="E78" s="1"/>
      <c r="F78" s="146"/>
    </row>
    <row r="79" spans="1:6">
      <c r="E79" s="1"/>
      <c r="F79" s="146"/>
    </row>
    <row r="80" spans="1:6">
      <c r="E80" s="1"/>
      <c r="F80" s="146"/>
    </row>
    <row r="81" spans="5:6">
      <c r="E81" s="1"/>
      <c r="F81" s="146"/>
    </row>
    <row r="82" spans="5:6">
      <c r="F82" s="146"/>
    </row>
    <row r="83" spans="5:6">
      <c r="F83" s="146"/>
    </row>
    <row r="84" spans="5:6">
      <c r="F84" s="146"/>
    </row>
    <row r="85" spans="5:6">
      <c r="F85" s="146"/>
    </row>
    <row r="86" spans="5:6">
      <c r="E86" s="1"/>
      <c r="F86" s="215"/>
    </row>
    <row r="87" spans="5:6">
      <c r="E87" s="1"/>
      <c r="F87" s="215"/>
    </row>
    <row r="88" spans="5:6">
      <c r="E88" s="1"/>
      <c r="F88" s="215"/>
    </row>
    <row r="89" spans="5:6">
      <c r="E89" s="1"/>
      <c r="F89" s="215"/>
    </row>
    <row r="90" spans="5:6">
      <c r="E90" s="1"/>
      <c r="F90" s="215"/>
    </row>
    <row r="91" spans="5:6">
      <c r="E91" s="1"/>
      <c r="F91" s="215"/>
    </row>
    <row r="92" spans="5:6">
      <c r="E92" s="1"/>
      <c r="F92" s="215"/>
    </row>
    <row r="93" spans="5:6">
      <c r="E93" s="1"/>
      <c r="F93" s="215"/>
    </row>
    <row r="94" spans="5:6">
      <c r="E94" s="1"/>
      <c r="F94" s="215"/>
    </row>
    <row r="95" spans="5:6">
      <c r="E95" s="1"/>
      <c r="F95" s="215"/>
    </row>
    <row r="96" spans="5:6">
      <c r="E96" s="1"/>
      <c r="F96" s="215"/>
    </row>
    <row r="97" spans="5:6">
      <c r="E97" s="1"/>
      <c r="F97" s="215"/>
    </row>
    <row r="98" spans="5:6">
      <c r="E98" s="1"/>
      <c r="F98" s="215"/>
    </row>
    <row r="99" spans="5:6">
      <c r="E99" s="1"/>
      <c r="F99" s="215"/>
    </row>
    <row r="100" spans="5:6">
      <c r="E100" s="1"/>
      <c r="F100" s="215"/>
    </row>
    <row r="101" spans="5:6">
      <c r="E101" s="1"/>
      <c r="F101" s="215"/>
    </row>
    <row r="102" spans="5:6">
      <c r="E102" s="1"/>
      <c r="F102" s="215"/>
    </row>
    <row r="103" spans="5:6">
      <c r="E103" s="1"/>
      <c r="F103" s="215"/>
    </row>
    <row r="104" spans="5:6">
      <c r="E104" s="1"/>
      <c r="F104" s="215"/>
    </row>
    <row r="105" spans="5:6">
      <c r="F105" s="146"/>
    </row>
    <row r="106" spans="5:6">
      <c r="F106" s="146"/>
    </row>
    <row r="107" spans="5:6">
      <c r="F107" s="146"/>
    </row>
    <row r="108" spans="5:6">
      <c r="F108" s="146"/>
    </row>
    <row r="109" spans="5:6">
      <c r="F109" s="146"/>
    </row>
    <row r="110" spans="5:6">
      <c r="F110" s="146"/>
    </row>
    <row r="111" spans="5:6">
      <c r="F111" s="146"/>
    </row>
    <row r="112" spans="5:6">
      <c r="F112" s="146"/>
    </row>
    <row r="113" spans="6:6">
      <c r="F113" s="146"/>
    </row>
    <row r="114" spans="6:6">
      <c r="F114" s="146"/>
    </row>
    <row r="115" spans="6:6">
      <c r="F115" s="146"/>
    </row>
    <row r="116" spans="6:6">
      <c r="F116" s="146"/>
    </row>
    <row r="117" spans="6:6">
      <c r="F117" s="146"/>
    </row>
    <row r="118" spans="6:6">
      <c r="F118" s="146"/>
    </row>
    <row r="119" spans="6:6">
      <c r="F119" s="146"/>
    </row>
    <row r="120" spans="6:6">
      <c r="F120" s="146"/>
    </row>
    <row r="121" spans="6:6">
      <c r="F121" s="146"/>
    </row>
    <row r="122" spans="6:6">
      <c r="F122" s="146"/>
    </row>
    <row r="123" spans="6:6">
      <c r="F123" s="146"/>
    </row>
    <row r="124" spans="6:6">
      <c r="F124" s="146"/>
    </row>
    <row r="125" spans="6:6">
      <c r="F125" s="146"/>
    </row>
    <row r="126" spans="6:6">
      <c r="F126" s="146"/>
    </row>
    <row r="127" spans="6:6">
      <c r="F127" s="146"/>
    </row>
    <row r="128" spans="6:6">
      <c r="F128" s="146"/>
    </row>
    <row r="129" spans="6:6">
      <c r="F129" s="146"/>
    </row>
    <row r="130" spans="6:6">
      <c r="F130" s="146"/>
    </row>
    <row r="131" spans="6:6">
      <c r="F131" s="146"/>
    </row>
    <row r="132" spans="6:6">
      <c r="F132" s="146"/>
    </row>
    <row r="133" spans="6:6">
      <c r="F133" s="146"/>
    </row>
    <row r="134" spans="6:6">
      <c r="F134" s="146"/>
    </row>
    <row r="135" spans="6:6">
      <c r="F135" s="146"/>
    </row>
    <row r="136" spans="6:6">
      <c r="F136" s="146"/>
    </row>
    <row r="137" spans="6:6">
      <c r="F137" s="146"/>
    </row>
    <row r="138" spans="6:6">
      <c r="F138" s="146"/>
    </row>
    <row r="139" spans="6:6">
      <c r="F139" s="12"/>
    </row>
    <row r="140" spans="6:6">
      <c r="F140" s="12"/>
    </row>
    <row r="141" spans="6:6">
      <c r="F141" s="12"/>
    </row>
    <row r="142" spans="6:6">
      <c r="F142" s="12"/>
    </row>
    <row r="143" spans="6:6">
      <c r="F143" s="12"/>
    </row>
    <row r="144" spans="6:6">
      <c r="F144" s="12"/>
    </row>
    <row r="145" spans="6:6">
      <c r="F145" s="12"/>
    </row>
    <row r="146" spans="6:6">
      <c r="F146" s="12"/>
    </row>
    <row r="147" spans="6:6">
      <c r="F147" s="12"/>
    </row>
    <row r="148" spans="6:6">
      <c r="F148" s="12"/>
    </row>
    <row r="149" spans="6:6">
      <c r="F149" s="12"/>
    </row>
    <row r="150" spans="6:6">
      <c r="F150" s="12"/>
    </row>
    <row r="151" spans="6:6">
      <c r="F151" s="12"/>
    </row>
    <row r="152" spans="6:6">
      <c r="F152" s="12"/>
    </row>
    <row r="153" spans="6:6">
      <c r="F153" s="12"/>
    </row>
    <row r="154" spans="6:6">
      <c r="F154" s="12"/>
    </row>
    <row r="155" spans="6:6">
      <c r="F155" s="12"/>
    </row>
    <row r="156" spans="6:6">
      <c r="F156" s="12"/>
    </row>
    <row r="157" spans="6:6">
      <c r="F157" s="12"/>
    </row>
    <row r="158" spans="6:6">
      <c r="F158" s="12"/>
    </row>
    <row r="159" spans="6:6">
      <c r="F159" s="12"/>
    </row>
    <row r="160" spans="6:6">
      <c r="F160" s="12"/>
    </row>
    <row r="161" spans="6:6">
      <c r="F161" s="12"/>
    </row>
    <row r="162" spans="6:6">
      <c r="F162" s="12"/>
    </row>
    <row r="163" spans="6:6">
      <c r="F163" s="12"/>
    </row>
    <row r="164" spans="6:6">
      <c r="F164" s="12"/>
    </row>
    <row r="165" spans="6:6">
      <c r="F165" s="12"/>
    </row>
    <row r="166" spans="6:6">
      <c r="F166" s="12"/>
    </row>
    <row r="167" spans="6:6">
      <c r="F167" s="12"/>
    </row>
    <row r="168" spans="6:6">
      <c r="F168" s="12"/>
    </row>
    <row r="169" spans="6:6">
      <c r="F169" s="12"/>
    </row>
    <row r="170" spans="6:6">
      <c r="F170" s="12"/>
    </row>
    <row r="171" spans="6:6">
      <c r="F171" s="12"/>
    </row>
    <row r="172" spans="6:6">
      <c r="F172" s="12"/>
    </row>
    <row r="173" spans="6:6">
      <c r="F173" s="12"/>
    </row>
    <row r="174" spans="6:6">
      <c r="F174" s="12"/>
    </row>
    <row r="175" spans="6:6">
      <c r="F175" s="12"/>
    </row>
    <row r="176" spans="6:6">
      <c r="F176" s="12"/>
    </row>
    <row r="177" spans="6:6">
      <c r="F177" s="12"/>
    </row>
    <row r="178" spans="6:6">
      <c r="F178" s="12"/>
    </row>
    <row r="179" spans="6:6">
      <c r="F179" s="12"/>
    </row>
    <row r="180" spans="6:6">
      <c r="F180" s="12"/>
    </row>
    <row r="181" spans="6:6">
      <c r="F181" s="12"/>
    </row>
    <row r="182" spans="6:6">
      <c r="F182" s="12"/>
    </row>
    <row r="183" spans="6:6">
      <c r="F183" s="12"/>
    </row>
    <row r="184" spans="6:6">
      <c r="F184" s="12"/>
    </row>
    <row r="185" spans="6:6">
      <c r="F185" s="12"/>
    </row>
    <row r="186" spans="6:6">
      <c r="F186" s="12"/>
    </row>
    <row r="187" spans="6:6">
      <c r="F187" s="12"/>
    </row>
    <row r="188" spans="6:6">
      <c r="F188" s="12"/>
    </row>
    <row r="189" spans="6:6">
      <c r="F189" s="12"/>
    </row>
    <row r="190" spans="6:6">
      <c r="F190" s="12"/>
    </row>
    <row r="191" spans="6:6">
      <c r="F191" s="12"/>
    </row>
    <row r="192" spans="6:6">
      <c r="F192" s="12"/>
    </row>
    <row r="193" spans="6:6">
      <c r="F193" s="12"/>
    </row>
    <row r="194" spans="6:6">
      <c r="F194" s="12"/>
    </row>
    <row r="195" spans="6:6">
      <c r="F195" s="12"/>
    </row>
    <row r="196" spans="6:6">
      <c r="F196" s="12"/>
    </row>
    <row r="197" spans="6:6">
      <c r="F197" s="12"/>
    </row>
    <row r="198" spans="6:6">
      <c r="F198" s="12"/>
    </row>
    <row r="199" spans="6:6">
      <c r="F199" s="12"/>
    </row>
    <row r="200" spans="6:6">
      <c r="F200" s="12"/>
    </row>
    <row r="201" spans="6:6">
      <c r="F201" s="12"/>
    </row>
    <row r="202" spans="6:6">
      <c r="F202" s="12"/>
    </row>
    <row r="203" spans="6:6">
      <c r="F203" s="12"/>
    </row>
    <row r="204" spans="6:6">
      <c r="F204" s="12"/>
    </row>
    <row r="205" spans="6:6">
      <c r="F205" s="12"/>
    </row>
    <row r="206" spans="6:6">
      <c r="F206" s="12"/>
    </row>
    <row r="207" spans="6:6">
      <c r="F207" s="12"/>
    </row>
    <row r="208" spans="6:6">
      <c r="F208" s="12"/>
    </row>
    <row r="209" spans="6:6">
      <c r="F209" s="12"/>
    </row>
    <row r="210" spans="6:6">
      <c r="F210" s="12"/>
    </row>
    <row r="211" spans="6:6">
      <c r="F211" s="12"/>
    </row>
    <row r="212" spans="6:6">
      <c r="F212" s="12"/>
    </row>
    <row r="213" spans="6:6">
      <c r="F213" s="12"/>
    </row>
    <row r="214" spans="6:6">
      <c r="F214" s="12"/>
    </row>
    <row r="215" spans="6:6">
      <c r="F215" s="12"/>
    </row>
    <row r="216" spans="6:6">
      <c r="F216" s="12"/>
    </row>
    <row r="217" spans="6:6">
      <c r="F217" s="12"/>
    </row>
    <row r="218" spans="6:6">
      <c r="F218" s="12"/>
    </row>
    <row r="219" spans="6:6">
      <c r="F219" s="12"/>
    </row>
    <row r="220" spans="6:6">
      <c r="F220" s="12"/>
    </row>
    <row r="221" spans="6:6">
      <c r="F221" s="12"/>
    </row>
    <row r="222" spans="6:6">
      <c r="F222" s="12"/>
    </row>
    <row r="223" spans="6:6">
      <c r="F223" s="12"/>
    </row>
    <row r="224" spans="6:6">
      <c r="F224" s="12"/>
    </row>
    <row r="225" spans="6:6">
      <c r="F225" s="12"/>
    </row>
    <row r="226" spans="6:6">
      <c r="F226" s="12"/>
    </row>
    <row r="227" spans="6:6">
      <c r="F227" s="12"/>
    </row>
    <row r="228" spans="6:6">
      <c r="F228" s="12"/>
    </row>
    <row r="229" spans="6:6">
      <c r="F229" s="12"/>
    </row>
    <row r="230" spans="6:6">
      <c r="F230" s="12"/>
    </row>
    <row r="231" spans="6:6">
      <c r="F231" s="12"/>
    </row>
    <row r="232" spans="6:6">
      <c r="F232" s="12"/>
    </row>
    <row r="233" spans="6:6">
      <c r="F233" s="12"/>
    </row>
    <row r="234" spans="6:6">
      <c r="F234" s="12"/>
    </row>
    <row r="235" spans="6:6">
      <c r="F235" s="12"/>
    </row>
    <row r="236" spans="6:6">
      <c r="F236" s="12"/>
    </row>
    <row r="237" spans="6:6">
      <c r="F237" s="12"/>
    </row>
    <row r="238" spans="6:6">
      <c r="F238" s="12"/>
    </row>
    <row r="239" spans="6:6">
      <c r="F239" s="12"/>
    </row>
    <row r="240" spans="6:6">
      <c r="F240" s="12"/>
    </row>
    <row r="241" spans="6:6">
      <c r="F241" s="12"/>
    </row>
    <row r="242" spans="6:6">
      <c r="F242" s="12"/>
    </row>
    <row r="243" spans="6:6">
      <c r="F243" s="12"/>
    </row>
    <row r="244" spans="6:6">
      <c r="F244" s="12"/>
    </row>
    <row r="245" spans="6:6">
      <c r="F245" s="12"/>
    </row>
    <row r="246" spans="6:6">
      <c r="F246" s="12"/>
    </row>
    <row r="247" spans="6:6">
      <c r="F247" s="12"/>
    </row>
    <row r="248" spans="6:6">
      <c r="F248" s="12"/>
    </row>
    <row r="249" spans="6:6">
      <c r="F249" s="12"/>
    </row>
    <row r="250" spans="6:6">
      <c r="F250" s="12"/>
    </row>
    <row r="251" spans="6:6">
      <c r="F251" s="12"/>
    </row>
    <row r="252" spans="6:6">
      <c r="F252" s="12"/>
    </row>
    <row r="253" spans="6:6">
      <c r="F253" s="12"/>
    </row>
    <row r="254" spans="6:6">
      <c r="F254" s="12"/>
    </row>
    <row r="255" spans="6:6">
      <c r="F255" s="12"/>
    </row>
    <row r="256" spans="6:6">
      <c r="F256" s="12"/>
    </row>
    <row r="257" spans="6:6">
      <c r="F257" s="12"/>
    </row>
    <row r="258" spans="6:6">
      <c r="F258" s="12"/>
    </row>
    <row r="259" spans="6:6">
      <c r="F259" s="12"/>
    </row>
    <row r="260" spans="6:6">
      <c r="F260" s="12"/>
    </row>
    <row r="261" spans="6:6">
      <c r="F261" s="12"/>
    </row>
    <row r="262" spans="6:6">
      <c r="F262" s="12"/>
    </row>
    <row r="263" spans="6:6">
      <c r="F263" s="12"/>
    </row>
    <row r="264" spans="6:6">
      <c r="F264" s="12"/>
    </row>
    <row r="265" spans="6:6">
      <c r="F265" s="12"/>
    </row>
    <row r="266" spans="6:6">
      <c r="F266" s="12"/>
    </row>
    <row r="267" spans="6:6">
      <c r="F267" s="12"/>
    </row>
    <row r="268" spans="6:6">
      <c r="F268" s="12"/>
    </row>
    <row r="269" spans="6:6">
      <c r="F269" s="12"/>
    </row>
    <row r="270" spans="6:6">
      <c r="F270" s="12"/>
    </row>
    <row r="271" spans="6:6">
      <c r="F271" s="12"/>
    </row>
    <row r="272" spans="6:6">
      <c r="F272" s="12"/>
    </row>
    <row r="273" spans="6:6">
      <c r="F273" s="12"/>
    </row>
    <row r="274" spans="6:6">
      <c r="F274" s="12"/>
    </row>
    <row r="275" spans="6:6">
      <c r="F275" s="12"/>
    </row>
    <row r="276" spans="6:6">
      <c r="F276" s="12"/>
    </row>
    <row r="277" spans="6:6">
      <c r="F277" s="12"/>
    </row>
    <row r="278" spans="6:6">
      <c r="F278" s="12"/>
    </row>
    <row r="279" spans="6:6">
      <c r="F279" s="12"/>
    </row>
    <row r="280" spans="6:6">
      <c r="F280" s="12"/>
    </row>
    <row r="281" spans="6:6">
      <c r="F281" s="12"/>
    </row>
    <row r="282" spans="6:6">
      <c r="F282" s="12"/>
    </row>
    <row r="283" spans="6:6">
      <c r="F283" s="12"/>
    </row>
    <row r="284" spans="6:6">
      <c r="F284" s="12"/>
    </row>
    <row r="285" spans="6:6">
      <c r="F285" s="12"/>
    </row>
    <row r="286" spans="6:6">
      <c r="F286" s="12"/>
    </row>
    <row r="287" spans="6:6">
      <c r="F287" s="12"/>
    </row>
    <row r="288" spans="6:6">
      <c r="F288" s="12"/>
    </row>
    <row r="289" spans="6:6">
      <c r="F289" s="12"/>
    </row>
    <row r="290" spans="6:6">
      <c r="F290" s="12"/>
    </row>
    <row r="291" spans="6:6">
      <c r="F291" s="12"/>
    </row>
    <row r="292" spans="6:6">
      <c r="F292" s="12"/>
    </row>
    <row r="293" spans="6:6">
      <c r="F293" s="12"/>
    </row>
    <row r="294" spans="6:6">
      <c r="F294" s="12"/>
    </row>
    <row r="295" spans="6:6">
      <c r="F295" s="12"/>
    </row>
    <row r="296" spans="6:6">
      <c r="F296" s="12"/>
    </row>
    <row r="297" spans="6:6">
      <c r="F297" s="12"/>
    </row>
    <row r="298" spans="6:6">
      <c r="F298" s="12"/>
    </row>
    <row r="299" spans="6:6">
      <c r="F299" s="12"/>
    </row>
    <row r="300" spans="6:6">
      <c r="F300" s="12"/>
    </row>
    <row r="301" spans="6:6">
      <c r="F301" s="12"/>
    </row>
    <row r="302" spans="6:6">
      <c r="F302" s="12"/>
    </row>
    <row r="303" spans="6:6">
      <c r="F303" s="12"/>
    </row>
    <row r="304" spans="6:6">
      <c r="F304" s="12"/>
    </row>
    <row r="305" spans="6:6">
      <c r="F305" s="12"/>
    </row>
    <row r="306" spans="6:6">
      <c r="F306" s="12"/>
    </row>
    <row r="307" spans="6:6">
      <c r="F307" s="12"/>
    </row>
    <row r="308" spans="6:6">
      <c r="F308" s="12"/>
    </row>
    <row r="309" spans="6:6">
      <c r="F309" s="12"/>
    </row>
    <row r="310" spans="6:6">
      <c r="F310" s="12"/>
    </row>
    <row r="311" spans="6:6">
      <c r="F311" s="12"/>
    </row>
    <row r="312" spans="6:6">
      <c r="F312" s="12"/>
    </row>
    <row r="313" spans="6:6">
      <c r="F313" s="12"/>
    </row>
    <row r="314" spans="6:6">
      <c r="F314" s="12"/>
    </row>
    <row r="315" spans="6:6">
      <c r="F315" s="12"/>
    </row>
    <row r="316" spans="6:6">
      <c r="F316" s="12"/>
    </row>
    <row r="317" spans="6:6">
      <c r="F317" s="12"/>
    </row>
    <row r="318" spans="6:6">
      <c r="F318" s="12"/>
    </row>
    <row r="319" spans="6:6">
      <c r="F319" s="12"/>
    </row>
    <row r="320" spans="6:6">
      <c r="F320" s="12"/>
    </row>
    <row r="321" spans="6:6">
      <c r="F321" s="12"/>
    </row>
    <row r="322" spans="6:6">
      <c r="F322" s="12"/>
    </row>
    <row r="323" spans="6:6">
      <c r="F323" s="12"/>
    </row>
    <row r="324" spans="6:6">
      <c r="F324" s="12"/>
    </row>
    <row r="325" spans="6:6">
      <c r="F325" s="12"/>
    </row>
    <row r="326" spans="6:6">
      <c r="F326" s="12"/>
    </row>
    <row r="327" spans="6:6">
      <c r="F327" s="12"/>
    </row>
    <row r="328" spans="6:6">
      <c r="F328" s="12"/>
    </row>
    <row r="329" spans="6:6">
      <c r="F329" s="12"/>
    </row>
    <row r="330" spans="6:6">
      <c r="F330" s="12"/>
    </row>
    <row r="331" spans="6:6">
      <c r="F331" s="12"/>
    </row>
    <row r="332" spans="6:6">
      <c r="F332" s="12"/>
    </row>
    <row r="333" spans="6:6">
      <c r="F333" s="12"/>
    </row>
    <row r="334" spans="6:6">
      <c r="F334" s="12"/>
    </row>
    <row r="335" spans="6:6">
      <c r="F335" s="12"/>
    </row>
    <row r="336" spans="6:6">
      <c r="F336" s="12"/>
    </row>
    <row r="337" spans="6:6">
      <c r="F337" s="12"/>
    </row>
    <row r="338" spans="6:6">
      <c r="F338" s="12"/>
    </row>
    <row r="339" spans="6:6">
      <c r="F339" s="12"/>
    </row>
    <row r="340" spans="6:6">
      <c r="F340" s="12"/>
    </row>
    <row r="341" spans="6:6">
      <c r="F341" s="12"/>
    </row>
    <row r="342" spans="6:6">
      <c r="F342" s="12"/>
    </row>
    <row r="343" spans="6:6">
      <c r="F343" s="12"/>
    </row>
    <row r="344" spans="6:6">
      <c r="F344" s="12"/>
    </row>
    <row r="345" spans="6:6">
      <c r="F345" s="12"/>
    </row>
    <row r="346" spans="6:6">
      <c r="F346" s="12"/>
    </row>
    <row r="347" spans="6:6">
      <c r="F347" s="12"/>
    </row>
    <row r="348" spans="6:6">
      <c r="F348" s="12"/>
    </row>
    <row r="349" spans="6:6">
      <c r="F349" s="12"/>
    </row>
    <row r="350" spans="6:6">
      <c r="F350" s="12"/>
    </row>
    <row r="351" spans="6:6">
      <c r="F351" s="12"/>
    </row>
    <row r="352" spans="6:6">
      <c r="F352" s="12"/>
    </row>
    <row r="353" spans="6:6">
      <c r="F353" s="12"/>
    </row>
    <row r="354" spans="6:6">
      <c r="F354" s="12"/>
    </row>
    <row r="355" spans="6:6">
      <c r="F355" s="12"/>
    </row>
    <row r="356" spans="6:6">
      <c r="F356" s="12"/>
    </row>
    <row r="357" spans="6:6">
      <c r="F357" s="12"/>
    </row>
    <row r="358" spans="6:6">
      <c r="F358" s="12"/>
    </row>
    <row r="359" spans="6:6">
      <c r="F359" s="12"/>
    </row>
    <row r="360" spans="6:6">
      <c r="F360" s="12"/>
    </row>
    <row r="361" spans="6:6">
      <c r="F361" s="12"/>
    </row>
    <row r="362" spans="6:6">
      <c r="F362" s="12"/>
    </row>
    <row r="363" spans="6:6">
      <c r="F363" s="12"/>
    </row>
    <row r="364" spans="6:6">
      <c r="F364" s="12"/>
    </row>
    <row r="365" spans="6:6">
      <c r="F365" s="12"/>
    </row>
    <row r="366" spans="6:6">
      <c r="F366" s="12"/>
    </row>
    <row r="367" spans="6:6">
      <c r="F367" s="12"/>
    </row>
    <row r="368" spans="6:6">
      <c r="F368" s="12"/>
    </row>
    <row r="369" spans="6:6">
      <c r="F369" s="12"/>
    </row>
    <row r="370" spans="6:6">
      <c r="F370" s="12"/>
    </row>
    <row r="371" spans="6:6">
      <c r="F371" s="12"/>
    </row>
    <row r="372" spans="6:6">
      <c r="F372" s="12"/>
    </row>
    <row r="373" spans="6:6">
      <c r="F373" s="12"/>
    </row>
    <row r="374" spans="6:6">
      <c r="F374" s="12"/>
    </row>
    <row r="375" spans="6:6">
      <c r="F375" s="12"/>
    </row>
    <row r="376" spans="6:6">
      <c r="F376" s="12"/>
    </row>
    <row r="377" spans="6:6">
      <c r="F377" s="12"/>
    </row>
    <row r="378" spans="6:6">
      <c r="F378" s="12"/>
    </row>
    <row r="379" spans="6:6">
      <c r="F379" s="12"/>
    </row>
    <row r="380" spans="6:6">
      <c r="F380" s="12"/>
    </row>
    <row r="381" spans="6:6">
      <c r="F381" s="12"/>
    </row>
    <row r="382" spans="6:6">
      <c r="F382" s="12"/>
    </row>
    <row r="383" spans="6:6">
      <c r="F383" s="12"/>
    </row>
    <row r="384" spans="6:6">
      <c r="F384" s="12"/>
    </row>
    <row r="385" spans="6:6">
      <c r="F385" s="12"/>
    </row>
    <row r="386" spans="6:6">
      <c r="F386" s="12"/>
    </row>
    <row r="387" spans="6:6">
      <c r="F387" s="12"/>
    </row>
    <row r="388" spans="6:6">
      <c r="F388" s="12"/>
    </row>
    <row r="389" spans="6:6">
      <c r="F389" s="12"/>
    </row>
    <row r="390" spans="6:6">
      <c r="F390" s="12"/>
    </row>
    <row r="391" spans="6:6">
      <c r="F391" s="12"/>
    </row>
    <row r="392" spans="6:6">
      <c r="F392" s="12"/>
    </row>
    <row r="393" spans="6:6">
      <c r="F393" s="12"/>
    </row>
    <row r="394" spans="6:6">
      <c r="F394" s="12"/>
    </row>
    <row r="395" spans="6:6">
      <c r="F395" s="12"/>
    </row>
    <row r="396" spans="6:6">
      <c r="F396" s="12"/>
    </row>
    <row r="397" spans="6:6">
      <c r="F397" s="12"/>
    </row>
    <row r="398" spans="6:6">
      <c r="F398" s="12"/>
    </row>
    <row r="399" spans="6:6">
      <c r="F399" s="12"/>
    </row>
    <row r="400" spans="6:6">
      <c r="F400" s="12"/>
    </row>
    <row r="401" spans="6:6">
      <c r="F401" s="12"/>
    </row>
    <row r="402" spans="6:6">
      <c r="F402" s="12"/>
    </row>
    <row r="403" spans="6:6">
      <c r="F403" s="12"/>
    </row>
    <row r="404" spans="6:6">
      <c r="F404" s="12"/>
    </row>
    <row r="405" spans="6:6">
      <c r="F405" s="12"/>
    </row>
    <row r="406" spans="6:6">
      <c r="F406" s="12"/>
    </row>
    <row r="407" spans="6:6">
      <c r="F407" s="12"/>
    </row>
    <row r="408" spans="6:6">
      <c r="F408" s="12"/>
    </row>
    <row r="409" spans="6:6">
      <c r="F409" s="12"/>
    </row>
    <row r="410" spans="6:6">
      <c r="F410" s="12"/>
    </row>
    <row r="411" spans="6:6">
      <c r="F411" s="12"/>
    </row>
    <row r="412" spans="6:6">
      <c r="F412" s="12"/>
    </row>
    <row r="413" spans="6:6">
      <c r="F413" s="12"/>
    </row>
    <row r="414" spans="6:6">
      <c r="F414" s="12"/>
    </row>
    <row r="415" spans="6:6">
      <c r="F415" s="12"/>
    </row>
    <row r="416" spans="6:6">
      <c r="F416" s="12"/>
    </row>
    <row r="417" spans="6:6">
      <c r="F417" s="12"/>
    </row>
    <row r="418" spans="6:6">
      <c r="F418" s="12"/>
    </row>
    <row r="419" spans="6:6">
      <c r="F419" s="12"/>
    </row>
    <row r="420" spans="6:6">
      <c r="F420" s="12"/>
    </row>
    <row r="421" spans="6:6">
      <c r="F421" s="12"/>
    </row>
    <row r="422" spans="6:6">
      <c r="F422" s="12"/>
    </row>
    <row r="423" spans="6:6">
      <c r="F423" s="12"/>
    </row>
    <row r="424" spans="6:6">
      <c r="F424" s="12"/>
    </row>
    <row r="425" spans="6:6">
      <c r="F425" s="12"/>
    </row>
    <row r="426" spans="6:6">
      <c r="F426" s="12"/>
    </row>
    <row r="427" spans="6:6">
      <c r="F427" s="12"/>
    </row>
    <row r="428" spans="6:6">
      <c r="F428" s="12"/>
    </row>
    <row r="429" spans="6:6">
      <c r="F429" s="12"/>
    </row>
    <row r="430" spans="6:6">
      <c r="F430" s="12"/>
    </row>
    <row r="431" spans="6:6">
      <c r="F431" s="12"/>
    </row>
    <row r="432" spans="6:6">
      <c r="F432" s="12"/>
    </row>
    <row r="433" spans="6:6">
      <c r="F433" s="12"/>
    </row>
    <row r="434" spans="6:6">
      <c r="F434" s="12"/>
    </row>
    <row r="435" spans="6:6">
      <c r="F435" s="12"/>
    </row>
    <row r="436" spans="6:6">
      <c r="F436" s="12"/>
    </row>
    <row r="437" spans="6:6">
      <c r="F437" s="12"/>
    </row>
    <row r="438" spans="6:6">
      <c r="F438" s="12"/>
    </row>
    <row r="439" spans="6:6">
      <c r="F439" s="12"/>
    </row>
    <row r="440" spans="6:6">
      <c r="F440" s="12"/>
    </row>
    <row r="441" spans="6:6">
      <c r="F441" s="12"/>
    </row>
    <row r="442" spans="6:6">
      <c r="F442" s="12"/>
    </row>
    <row r="443" spans="6:6">
      <c r="F443" s="12"/>
    </row>
    <row r="444" spans="6:6">
      <c r="F444" s="12"/>
    </row>
    <row r="445" spans="6:6">
      <c r="F445" s="12"/>
    </row>
    <row r="446" spans="6:6">
      <c r="F446" s="12"/>
    </row>
    <row r="447" spans="6:6">
      <c r="F447" s="12"/>
    </row>
    <row r="448" spans="6:6">
      <c r="F448" s="12"/>
    </row>
    <row r="449" spans="6:6">
      <c r="F449" s="12"/>
    </row>
    <row r="450" spans="6:6">
      <c r="F450" s="12"/>
    </row>
    <row r="451" spans="6:6">
      <c r="F451" s="12"/>
    </row>
    <row r="452" spans="6:6">
      <c r="F452" s="12"/>
    </row>
    <row r="453" spans="6:6">
      <c r="F453" s="12"/>
    </row>
    <row r="454" spans="6:6">
      <c r="F454" s="12"/>
    </row>
    <row r="455" spans="6:6">
      <c r="F455" s="12"/>
    </row>
    <row r="456" spans="6:6">
      <c r="F456" s="12"/>
    </row>
    <row r="457" spans="6:6">
      <c r="F457" s="12"/>
    </row>
    <row r="458" spans="6:6">
      <c r="F458" s="12"/>
    </row>
    <row r="459" spans="6:6">
      <c r="F459" s="12"/>
    </row>
    <row r="460" spans="6:6">
      <c r="F460" s="12"/>
    </row>
    <row r="461" spans="6:6">
      <c r="F461" s="12"/>
    </row>
    <row r="462" spans="6:6">
      <c r="F462" s="12"/>
    </row>
    <row r="463" spans="6:6">
      <c r="F463" s="12"/>
    </row>
    <row r="464" spans="6:6">
      <c r="F464" s="12"/>
    </row>
    <row r="465" spans="6:6">
      <c r="F465" s="12"/>
    </row>
    <row r="466" spans="6:6">
      <c r="F466" s="12"/>
    </row>
    <row r="467" spans="6:6">
      <c r="F467" s="12"/>
    </row>
    <row r="468" spans="6:6">
      <c r="F468" s="12"/>
    </row>
    <row r="469" spans="6:6">
      <c r="F469" s="12"/>
    </row>
    <row r="470" spans="6:6">
      <c r="F470" s="12"/>
    </row>
    <row r="471" spans="6:6">
      <c r="F471" s="12"/>
    </row>
    <row r="472" spans="6:6">
      <c r="F472" s="12"/>
    </row>
    <row r="473" spans="6:6">
      <c r="F473" s="12"/>
    </row>
    <row r="474" spans="6:6">
      <c r="F474" s="12"/>
    </row>
    <row r="475" spans="6:6">
      <c r="F475" s="12"/>
    </row>
    <row r="476" spans="6:6">
      <c r="F476" s="12"/>
    </row>
    <row r="477" spans="6:6">
      <c r="F477" s="12"/>
    </row>
    <row r="478" spans="6:6">
      <c r="F478" s="12"/>
    </row>
    <row r="479" spans="6:6">
      <c r="F479" s="12"/>
    </row>
    <row r="480" spans="6:6">
      <c r="F480" s="12"/>
    </row>
    <row r="481" spans="6:6">
      <c r="F481" s="12"/>
    </row>
    <row r="482" spans="6:6">
      <c r="F482" s="12"/>
    </row>
    <row r="483" spans="6:6">
      <c r="F483" s="12"/>
    </row>
    <row r="484" spans="6:6">
      <c r="F484" s="12"/>
    </row>
    <row r="485" spans="6:6">
      <c r="F485" s="12"/>
    </row>
    <row r="486" spans="6:6">
      <c r="F486" s="12"/>
    </row>
    <row r="487" spans="6:6">
      <c r="F487" s="12"/>
    </row>
    <row r="488" spans="6:6">
      <c r="F488" s="12"/>
    </row>
    <row r="489" spans="6:6">
      <c r="F489" s="12"/>
    </row>
    <row r="490" spans="6:6">
      <c r="F490" s="12"/>
    </row>
    <row r="491" spans="6:6">
      <c r="F491" s="12"/>
    </row>
    <row r="492" spans="6:6">
      <c r="F492" s="12"/>
    </row>
    <row r="493" spans="6:6">
      <c r="F493" s="12"/>
    </row>
    <row r="494" spans="6:6">
      <c r="F494" s="12"/>
    </row>
    <row r="495" spans="6:6">
      <c r="F495" s="12"/>
    </row>
    <row r="496" spans="6:6">
      <c r="F496" s="12"/>
    </row>
    <row r="497" spans="6:6">
      <c r="F497" s="12"/>
    </row>
    <row r="498" spans="6:6">
      <c r="F498" s="12"/>
    </row>
    <row r="499" spans="6:6">
      <c r="F499" s="12"/>
    </row>
    <row r="500" spans="6:6">
      <c r="F500" s="12"/>
    </row>
    <row r="501" spans="6:6">
      <c r="F501" s="12"/>
    </row>
    <row r="502" spans="6:6">
      <c r="F502" s="12"/>
    </row>
    <row r="503" spans="6:6">
      <c r="F503" s="12"/>
    </row>
    <row r="504" spans="6:6">
      <c r="F504" s="12"/>
    </row>
    <row r="505" spans="6:6">
      <c r="F505" s="12"/>
    </row>
    <row r="506" spans="6:6">
      <c r="F506" s="12"/>
    </row>
    <row r="507" spans="6:6">
      <c r="F507" s="12"/>
    </row>
    <row r="508" spans="6:6">
      <c r="F508" s="12"/>
    </row>
    <row r="509" spans="6:6">
      <c r="F509" s="12"/>
    </row>
    <row r="510" spans="6:6">
      <c r="F510" s="12"/>
    </row>
    <row r="511" spans="6:6">
      <c r="F511" s="12"/>
    </row>
    <row r="512" spans="6:6">
      <c r="F512" s="12"/>
    </row>
    <row r="513" spans="6:6">
      <c r="F513" s="12"/>
    </row>
    <row r="514" spans="6:6">
      <c r="F514" s="12"/>
    </row>
    <row r="515" spans="6:6">
      <c r="F515" s="12"/>
    </row>
    <row r="516" spans="6:6">
      <c r="F516" s="12"/>
    </row>
    <row r="517" spans="6:6">
      <c r="F517" s="12"/>
    </row>
    <row r="518" spans="6:6">
      <c r="F518" s="12"/>
    </row>
    <row r="519" spans="6:6">
      <c r="F519" s="12"/>
    </row>
    <row r="520" spans="6:6">
      <c r="F520" s="12"/>
    </row>
    <row r="521" spans="6:6">
      <c r="F521" s="12"/>
    </row>
    <row r="522" spans="6:6">
      <c r="F522" s="12"/>
    </row>
    <row r="523" spans="6:6">
      <c r="F523" s="12"/>
    </row>
    <row r="524" spans="6:6">
      <c r="F524" s="12"/>
    </row>
    <row r="525" spans="6:6">
      <c r="F525" s="12"/>
    </row>
    <row r="526" spans="6:6">
      <c r="F526" s="12"/>
    </row>
  </sheetData>
  <phoneticPr fontId="0" type="noConversion"/>
  <printOptions horizontalCentered="1" verticalCentered="1"/>
  <pageMargins left="0.5" right="0.5" top="0.5" bottom="0.77" header="0.5" footer="0.5"/>
  <pageSetup fitToHeight="3" orientation="portrait" r:id="rId1"/>
  <headerFooter alignWithMargins="0">
    <oddFooter>&amp;L&amp;"Arial,Italic"&amp;9&amp;F,  Tab:  &amp;A  &amp;D, &amp;T  PNNL&amp;R&amp;"Arial,Italic"&amp;9Page &amp;P of &amp;N</oddFooter>
  </headerFooter>
  <rowBreaks count="1" manualBreakCount="1">
    <brk id="35" min="3" max="5"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X86"/>
  <sheetViews>
    <sheetView showGridLines="0" topLeftCell="A42" zoomScaleNormal="75" zoomScaleSheetLayoutView="100" workbookViewId="0">
      <pane ySplit="5" topLeftCell="A47" activePane="bottomLeft" state="frozen"/>
      <selection sqref="A1:C1"/>
      <selection pane="bottomLeft" sqref="A1:C1"/>
    </sheetView>
  </sheetViews>
  <sheetFormatPr defaultColWidth="9.1796875" defaultRowHeight="15.5" outlineLevelCol="2"/>
  <cols>
    <col min="1" max="1" width="11.7265625" style="237" bestFit="1" customWidth="1"/>
    <col min="2" max="2" width="10" style="269" customWidth="1"/>
    <col min="3" max="3" width="10.81640625" style="233" hidden="1" customWidth="1" outlineLevel="1"/>
    <col min="4" max="4" width="10.81640625" style="233" hidden="1" customWidth="1" outlineLevel="2"/>
    <col min="5" max="5" width="5.54296875" style="234" customWidth="1" collapsed="1"/>
    <col min="6" max="6" width="4.7265625" style="235" customWidth="1"/>
    <col min="7" max="7" width="3.54296875" style="236" customWidth="1"/>
    <col min="8" max="8" width="44.54296875" style="236" customWidth="1"/>
    <col min="9" max="9" width="19.81640625" style="235" customWidth="1"/>
    <col min="10" max="10" width="9.1796875" style="236"/>
    <col min="11" max="16384" width="9.1796875" style="237"/>
  </cols>
  <sheetData>
    <row r="1" spans="2:2" ht="12" hidden="1" customHeight="1">
      <c r="B1" s="268" t="s">
        <v>342</v>
      </c>
    </row>
    <row r="2" spans="2:2" ht="3.75" hidden="1" customHeight="1">
      <c r="B2" s="268"/>
    </row>
    <row r="3" spans="2:2" ht="3.75" hidden="1" customHeight="1">
      <c r="B3" s="268"/>
    </row>
    <row r="4" spans="2:2" ht="3.75" hidden="1" customHeight="1">
      <c r="B4" s="268"/>
    </row>
    <row r="5" spans="2:2" ht="3.75" hidden="1" customHeight="1">
      <c r="B5" s="268"/>
    </row>
    <row r="6" spans="2:2" ht="3.75" hidden="1" customHeight="1">
      <c r="B6" s="268"/>
    </row>
    <row r="7" spans="2:2" ht="3.75" hidden="1" customHeight="1">
      <c r="B7" s="268"/>
    </row>
    <row r="8" spans="2:2" ht="3.75" hidden="1" customHeight="1">
      <c r="B8" s="268"/>
    </row>
    <row r="9" spans="2:2" ht="3.75" hidden="1" customHeight="1">
      <c r="B9" s="268"/>
    </row>
    <row r="10" spans="2:2" ht="3.75" hidden="1" customHeight="1">
      <c r="B10" s="268"/>
    </row>
    <row r="11" spans="2:2" ht="3.75" hidden="1" customHeight="1">
      <c r="B11" s="268"/>
    </row>
    <row r="12" spans="2:2" ht="3.75" hidden="1" customHeight="1">
      <c r="B12" s="268"/>
    </row>
    <row r="13" spans="2:2" ht="3.75" hidden="1" customHeight="1">
      <c r="B13" s="268"/>
    </row>
    <row r="14" spans="2:2" ht="3.75" hidden="1" customHeight="1">
      <c r="B14" s="268"/>
    </row>
    <row r="15" spans="2:2" ht="3.75" hidden="1" customHeight="1">
      <c r="B15" s="268"/>
    </row>
    <row r="16" spans="2:2" ht="3.75" hidden="1" customHeight="1">
      <c r="B16" s="268"/>
    </row>
    <row r="17" spans="2:2" ht="3.75" hidden="1" customHeight="1">
      <c r="B17" s="268"/>
    </row>
    <row r="18" spans="2:2" ht="3.75" hidden="1" customHeight="1">
      <c r="B18" s="268"/>
    </row>
    <row r="19" spans="2:2" ht="3.75" hidden="1" customHeight="1">
      <c r="B19" s="268"/>
    </row>
    <row r="20" spans="2:2" ht="3.75" hidden="1" customHeight="1">
      <c r="B20" s="268"/>
    </row>
    <row r="21" spans="2:2" ht="3.75" hidden="1" customHeight="1">
      <c r="B21" s="268"/>
    </row>
    <row r="22" spans="2:2" ht="3.75" hidden="1" customHeight="1">
      <c r="B22" s="268"/>
    </row>
    <row r="23" spans="2:2" ht="3.75" hidden="1" customHeight="1">
      <c r="B23" s="268"/>
    </row>
    <row r="24" spans="2:2" ht="3.75" hidden="1" customHeight="1">
      <c r="B24" s="268"/>
    </row>
    <row r="25" spans="2:2" ht="3.75" hidden="1" customHeight="1">
      <c r="B25" s="268"/>
    </row>
    <row r="26" spans="2:2" ht="3.75" hidden="1" customHeight="1">
      <c r="B26" s="268"/>
    </row>
    <row r="27" spans="2:2" ht="3.75" hidden="1" customHeight="1">
      <c r="B27" s="268"/>
    </row>
    <row r="28" spans="2:2" ht="3.75" hidden="1" customHeight="1">
      <c r="B28" s="268"/>
    </row>
    <row r="29" spans="2:2" ht="3.75" hidden="1" customHeight="1">
      <c r="B29" s="268"/>
    </row>
    <row r="30" spans="2:2" ht="3.75" hidden="1" customHeight="1">
      <c r="B30" s="268"/>
    </row>
    <row r="31" spans="2:2" ht="3.75" hidden="1" customHeight="1">
      <c r="B31" s="268"/>
    </row>
    <row r="32" spans="2:2" ht="3.75" hidden="1" customHeight="1"/>
    <row r="33" spans="1:10" ht="3.75" hidden="1" customHeight="1"/>
    <row r="34" spans="1:10" ht="3.75" hidden="1" customHeight="1"/>
    <row r="35" spans="1:10" ht="3.75" hidden="1" customHeight="1"/>
    <row r="36" spans="1:10" ht="3.75" hidden="1" customHeight="1"/>
    <row r="37" spans="1:10" ht="3.75" hidden="1" customHeight="1"/>
    <row r="38" spans="1:10" ht="3.75" hidden="1" customHeight="1"/>
    <row r="39" spans="1:10" ht="3.75" hidden="1" customHeight="1"/>
    <row r="40" spans="1:10" ht="3.75" hidden="1" customHeight="1"/>
    <row r="41" spans="1:10" ht="3.75" hidden="1" customHeight="1"/>
    <row r="42" spans="1:10" s="240" customFormat="1">
      <c r="A42" s="351" t="s">
        <v>353</v>
      </c>
      <c r="B42" s="351"/>
      <c r="C42" s="351"/>
      <c r="D42" s="351"/>
      <c r="E42" s="351"/>
      <c r="F42" s="351"/>
      <c r="G42" s="351"/>
      <c r="H42" s="351"/>
      <c r="I42" s="351"/>
      <c r="J42" s="235"/>
    </row>
    <row r="43" spans="1:10" s="240" customFormat="1">
      <c r="A43" s="352" t="s">
        <v>354</v>
      </c>
      <c r="B43" s="352" t="s">
        <v>354</v>
      </c>
      <c r="C43" s="352"/>
      <c r="D43" s="352"/>
      <c r="E43" s="352"/>
      <c r="F43" s="352"/>
      <c r="G43" s="352"/>
      <c r="H43" s="352"/>
      <c r="I43" s="352"/>
      <c r="J43" s="235"/>
    </row>
    <row r="44" spans="1:10" s="240" customFormat="1">
      <c r="A44" s="352" t="s">
        <v>366</v>
      </c>
      <c r="B44" s="352" t="s">
        <v>355</v>
      </c>
      <c r="C44" s="352"/>
      <c r="D44" s="352"/>
      <c r="E44" s="352"/>
      <c r="F44" s="352"/>
      <c r="G44" s="352"/>
      <c r="H44" s="352"/>
      <c r="I44" s="352"/>
      <c r="J44" s="235"/>
    </row>
    <row r="45" spans="1:10">
      <c r="B45" s="270"/>
      <c r="C45" s="241" t="s">
        <v>343</v>
      </c>
      <c r="D45" s="242"/>
      <c r="E45" s="243"/>
      <c r="F45" s="244"/>
      <c r="G45" s="245"/>
      <c r="H45" s="245"/>
      <c r="I45" s="245"/>
    </row>
    <row r="46" spans="1:10" ht="13">
      <c r="A46" s="266" t="s">
        <v>367</v>
      </c>
      <c r="B46" s="271" t="s">
        <v>344</v>
      </c>
      <c r="C46" s="246" t="s">
        <v>345</v>
      </c>
      <c r="D46" s="246" t="s">
        <v>346</v>
      </c>
      <c r="E46" s="247" t="s">
        <v>347</v>
      </c>
      <c r="F46" s="248" t="s">
        <v>348</v>
      </c>
      <c r="G46" s="248"/>
      <c r="H46" s="248"/>
      <c r="I46" s="248" t="s">
        <v>349</v>
      </c>
    </row>
    <row r="47" spans="1:10" s="256" customFormat="1" ht="15.75" customHeight="1">
      <c r="A47" s="267">
        <v>37922</v>
      </c>
      <c r="B47" s="272">
        <v>0.375</v>
      </c>
      <c r="C47" s="249">
        <f>IF(ISNUMBER(B47),+B47+TIME(0,E47,0),"…")</f>
        <v>0.39583333333333331</v>
      </c>
      <c r="D47" s="250">
        <f t="shared" ref="D47:D65" si="0">MAX(C17:C47)</f>
        <v>0.39583333333333331</v>
      </c>
      <c r="E47" s="251">
        <v>30</v>
      </c>
      <c r="F47" s="252" t="s">
        <v>361</v>
      </c>
      <c r="G47" s="253"/>
      <c r="H47" s="254"/>
      <c r="I47" s="255"/>
      <c r="J47" s="255"/>
    </row>
    <row r="48" spans="1:10" s="256" customFormat="1" ht="14.5">
      <c r="B48" s="272"/>
      <c r="C48" s="249" t="str">
        <f t="shared" ref="C48:C58" si="1">IF(ISNUMBER(B48),+B48+TIME(0,E48,0),"…")</f>
        <v>…</v>
      </c>
      <c r="D48" s="250">
        <f t="shared" si="0"/>
        <v>0.39583333333333331</v>
      </c>
      <c r="E48" s="257"/>
      <c r="F48" s="258"/>
      <c r="G48" s="259" t="s">
        <v>341</v>
      </c>
      <c r="H48" s="259"/>
      <c r="I48" s="255"/>
      <c r="J48" s="255"/>
    </row>
    <row r="49" spans="2:232" s="256" customFormat="1" ht="15.75" customHeight="1">
      <c r="B49" s="272"/>
      <c r="C49" s="249" t="str">
        <f t="shared" si="1"/>
        <v>…</v>
      </c>
      <c r="D49" s="250">
        <f t="shared" si="0"/>
        <v>0.39583333333333331</v>
      </c>
      <c r="E49" s="257"/>
      <c r="F49" s="258"/>
      <c r="G49" s="259" t="s">
        <v>352</v>
      </c>
      <c r="H49" s="259"/>
      <c r="I49" s="255" t="s">
        <v>358</v>
      </c>
      <c r="J49" s="255"/>
    </row>
    <row r="50" spans="2:232" s="256" customFormat="1" ht="14.5">
      <c r="B50" s="272"/>
      <c r="C50" s="249" t="str">
        <f t="shared" si="1"/>
        <v>…</v>
      </c>
      <c r="D50" s="250">
        <f t="shared" si="0"/>
        <v>0.39583333333333331</v>
      </c>
      <c r="E50" s="257"/>
      <c r="F50" s="255"/>
      <c r="G50" s="259"/>
      <c r="H50" s="259"/>
      <c r="I50" s="255"/>
      <c r="J50" s="260"/>
    </row>
    <row r="51" spans="2:232" s="256" customFormat="1" ht="14.25" customHeight="1">
      <c r="B51" s="272">
        <f>+D50</f>
        <v>0.39583333333333331</v>
      </c>
      <c r="C51" s="249">
        <f t="shared" si="1"/>
        <v>0.41666666666666663</v>
      </c>
      <c r="D51" s="250">
        <f t="shared" si="0"/>
        <v>0.41666666666666663</v>
      </c>
      <c r="E51" s="251">
        <v>30</v>
      </c>
      <c r="F51" s="252" t="s">
        <v>351</v>
      </c>
      <c r="G51" s="252"/>
      <c r="H51" s="252"/>
      <c r="I51" s="255" t="s">
        <v>358</v>
      </c>
      <c r="J51" s="255"/>
    </row>
    <row r="52" spans="2:232" s="256" customFormat="1" ht="14.5">
      <c r="B52" s="272"/>
      <c r="C52" s="249" t="str">
        <f t="shared" si="1"/>
        <v>…</v>
      </c>
      <c r="D52" s="250">
        <f t="shared" si="0"/>
        <v>0.41666666666666663</v>
      </c>
      <c r="E52" s="251"/>
      <c r="F52" s="261"/>
      <c r="G52" s="262" t="s">
        <v>356</v>
      </c>
      <c r="H52" s="262"/>
      <c r="I52" s="255"/>
      <c r="J52" s="255"/>
    </row>
    <row r="53" spans="2:232" s="256" customFormat="1" ht="14.5">
      <c r="B53" s="272"/>
      <c r="C53" s="249" t="str">
        <f t="shared" si="1"/>
        <v>…</v>
      </c>
      <c r="D53" s="250">
        <f t="shared" si="0"/>
        <v>0.41666666666666663</v>
      </c>
      <c r="E53" s="251"/>
      <c r="F53" s="261"/>
      <c r="G53" s="262" t="s">
        <v>360</v>
      </c>
      <c r="H53" s="262"/>
      <c r="I53" s="255"/>
      <c r="J53" s="255"/>
    </row>
    <row r="54" spans="2:232" s="256" customFormat="1" ht="14.5">
      <c r="B54" s="272"/>
      <c r="C54" s="249" t="str">
        <f t="shared" si="1"/>
        <v>…</v>
      </c>
      <c r="D54" s="250">
        <f t="shared" si="0"/>
        <v>0.41666666666666663</v>
      </c>
      <c r="E54" s="251"/>
      <c r="F54" s="261"/>
      <c r="G54" s="262" t="s">
        <v>357</v>
      </c>
      <c r="H54" s="262"/>
      <c r="I54" s="255"/>
      <c r="J54" s="255"/>
    </row>
    <row r="55" spans="2:232" s="256" customFormat="1" ht="14.5">
      <c r="B55" s="272"/>
      <c r="C55" s="249" t="str">
        <f t="shared" si="1"/>
        <v>…</v>
      </c>
      <c r="D55" s="250">
        <f t="shared" si="0"/>
        <v>0.41666666666666663</v>
      </c>
      <c r="E55" s="251"/>
      <c r="F55" s="263"/>
      <c r="G55" s="255"/>
      <c r="H55" s="255"/>
      <c r="I55" s="255"/>
      <c r="J55" s="255"/>
    </row>
    <row r="56" spans="2:232" s="256" customFormat="1" ht="15" customHeight="1">
      <c r="B56" s="272">
        <f>+D55</f>
        <v>0.41666666666666663</v>
      </c>
      <c r="C56" s="249">
        <f t="shared" si="1"/>
        <v>0.43749999999999994</v>
      </c>
      <c r="D56" s="250">
        <f t="shared" si="0"/>
        <v>0.43749999999999994</v>
      </c>
      <c r="E56" s="251">
        <v>30</v>
      </c>
      <c r="F56" s="252" t="s">
        <v>369</v>
      </c>
      <c r="G56" s="252"/>
      <c r="H56" s="253"/>
      <c r="I56" s="255" t="s">
        <v>359</v>
      </c>
      <c r="J56" s="255"/>
    </row>
    <row r="57" spans="2:232" s="256" customFormat="1" ht="14">
      <c r="B57" s="273"/>
      <c r="C57" s="249" t="str">
        <f t="shared" si="1"/>
        <v>…</v>
      </c>
      <c r="D57" s="250">
        <f t="shared" si="0"/>
        <v>0.43749999999999994</v>
      </c>
      <c r="E57" s="264"/>
      <c r="F57" s="255"/>
      <c r="G57" s="255"/>
      <c r="H57" s="255"/>
      <c r="I57" s="255"/>
      <c r="J57" s="254"/>
      <c r="K57" s="254"/>
      <c r="L57" s="254"/>
      <c r="M57" s="254"/>
      <c r="N57" s="254"/>
      <c r="O57" s="254"/>
      <c r="P57" s="254"/>
      <c r="Q57" s="254"/>
      <c r="R57" s="254"/>
      <c r="S57" s="254"/>
      <c r="T57" s="254"/>
      <c r="U57" s="254"/>
      <c r="V57" s="254"/>
      <c r="W57" s="254"/>
      <c r="X57" s="254"/>
      <c r="Y57" s="254"/>
      <c r="Z57" s="254"/>
      <c r="AA57" s="254"/>
      <c r="AB57" s="254"/>
      <c r="AC57" s="254"/>
      <c r="AD57" s="254"/>
      <c r="AE57" s="254"/>
      <c r="AF57" s="254"/>
      <c r="AG57" s="254"/>
      <c r="AH57" s="254"/>
      <c r="AI57" s="254"/>
      <c r="AJ57" s="254"/>
      <c r="AK57" s="254"/>
      <c r="AL57" s="254"/>
      <c r="AM57" s="254"/>
      <c r="AN57" s="254"/>
      <c r="AO57" s="254"/>
      <c r="AP57" s="254"/>
      <c r="AQ57" s="254"/>
      <c r="AR57" s="254"/>
      <c r="AS57" s="254"/>
      <c r="AT57" s="254"/>
      <c r="AU57" s="254"/>
      <c r="AV57" s="254"/>
      <c r="AW57" s="254"/>
      <c r="AX57" s="254"/>
      <c r="AY57" s="254"/>
      <c r="AZ57" s="254"/>
      <c r="BA57" s="254"/>
      <c r="BB57" s="254"/>
      <c r="BC57" s="254"/>
      <c r="BD57" s="254"/>
      <c r="BE57" s="254"/>
      <c r="BF57" s="254"/>
      <c r="BG57" s="254"/>
      <c r="BH57" s="254"/>
      <c r="BI57" s="254"/>
      <c r="BJ57" s="254"/>
      <c r="BK57" s="254"/>
      <c r="BL57" s="254"/>
      <c r="BM57" s="254"/>
      <c r="BN57" s="254"/>
      <c r="BO57" s="254"/>
      <c r="BP57" s="254"/>
      <c r="BQ57" s="254"/>
      <c r="BR57" s="254"/>
      <c r="BS57" s="254"/>
      <c r="BT57" s="254"/>
      <c r="BU57" s="254"/>
      <c r="BV57" s="254"/>
      <c r="BW57" s="254"/>
      <c r="BX57" s="254"/>
      <c r="BY57" s="254"/>
      <c r="BZ57" s="254"/>
      <c r="CA57" s="254"/>
      <c r="CB57" s="254"/>
      <c r="CC57" s="254"/>
      <c r="CD57" s="254"/>
      <c r="CE57" s="254"/>
      <c r="CF57" s="254"/>
      <c r="CG57" s="254"/>
      <c r="CH57" s="254"/>
      <c r="CI57" s="254"/>
      <c r="CJ57" s="254"/>
      <c r="CK57" s="254"/>
      <c r="CL57" s="254"/>
      <c r="CM57" s="254"/>
      <c r="CN57" s="254"/>
      <c r="CO57" s="254"/>
      <c r="CP57" s="254"/>
      <c r="CQ57" s="254"/>
      <c r="CR57" s="254"/>
      <c r="CS57" s="254"/>
      <c r="CT57" s="254"/>
      <c r="CU57" s="254"/>
      <c r="CV57" s="254"/>
      <c r="CW57" s="254"/>
      <c r="CX57" s="254"/>
      <c r="CY57" s="254"/>
      <c r="CZ57" s="254"/>
      <c r="DA57" s="254"/>
      <c r="DB57" s="254"/>
      <c r="DC57" s="254"/>
      <c r="DD57" s="254"/>
      <c r="DE57" s="254"/>
      <c r="DF57" s="254"/>
      <c r="DG57" s="254"/>
      <c r="DH57" s="254"/>
      <c r="DI57" s="254"/>
      <c r="DJ57" s="254"/>
      <c r="DK57" s="254"/>
      <c r="DL57" s="254"/>
      <c r="DM57" s="254"/>
      <c r="DN57" s="254"/>
      <c r="DO57" s="254"/>
      <c r="DP57" s="254"/>
      <c r="DQ57" s="254"/>
      <c r="DR57" s="254"/>
      <c r="DS57" s="254"/>
      <c r="DT57" s="254"/>
      <c r="DU57" s="254"/>
      <c r="DV57" s="254"/>
      <c r="DW57" s="254"/>
      <c r="DX57" s="254"/>
      <c r="DY57" s="254"/>
      <c r="DZ57" s="254"/>
      <c r="EA57" s="254"/>
      <c r="EB57" s="254"/>
      <c r="EC57" s="254"/>
      <c r="ED57" s="254"/>
      <c r="EE57" s="254"/>
      <c r="EF57" s="254"/>
      <c r="EG57" s="254"/>
      <c r="EH57" s="254"/>
      <c r="EI57" s="254"/>
      <c r="EJ57" s="254"/>
      <c r="EK57" s="254"/>
      <c r="EL57" s="254"/>
      <c r="EM57" s="254"/>
      <c r="EN57" s="254"/>
      <c r="EO57" s="254"/>
      <c r="EP57" s="254"/>
      <c r="EQ57" s="254"/>
      <c r="ER57" s="254"/>
      <c r="ES57" s="254"/>
      <c r="ET57" s="254"/>
      <c r="EU57" s="254"/>
      <c r="EV57" s="254"/>
      <c r="EW57" s="254"/>
      <c r="EX57" s="254"/>
      <c r="EY57" s="254"/>
      <c r="EZ57" s="254"/>
      <c r="FA57" s="254"/>
      <c r="FB57" s="254"/>
      <c r="FC57" s="254"/>
      <c r="FD57" s="254"/>
      <c r="FE57" s="254"/>
      <c r="FF57" s="254"/>
      <c r="FG57" s="254"/>
      <c r="FH57" s="254"/>
      <c r="FI57" s="254"/>
      <c r="FJ57" s="254"/>
      <c r="FK57" s="254"/>
      <c r="FL57" s="254"/>
      <c r="FM57" s="254"/>
      <c r="FN57" s="254"/>
      <c r="FO57" s="254"/>
      <c r="FP57" s="254"/>
      <c r="FQ57" s="254"/>
      <c r="FR57" s="254"/>
      <c r="FS57" s="254"/>
      <c r="FT57" s="254"/>
      <c r="FU57" s="254"/>
      <c r="FV57" s="254"/>
      <c r="FW57" s="254"/>
      <c r="FX57" s="254"/>
      <c r="FY57" s="254"/>
      <c r="FZ57" s="254"/>
      <c r="GA57" s="254"/>
      <c r="GB57" s="254"/>
      <c r="GC57" s="254"/>
      <c r="GD57" s="254"/>
      <c r="GE57" s="254"/>
      <c r="GF57" s="254"/>
      <c r="GG57" s="254"/>
      <c r="GH57" s="254"/>
      <c r="GI57" s="254"/>
      <c r="GJ57" s="254"/>
      <c r="GK57" s="254"/>
      <c r="GL57" s="254"/>
      <c r="GM57" s="254"/>
      <c r="GN57" s="254"/>
      <c r="GO57" s="254"/>
      <c r="GP57" s="254"/>
      <c r="GQ57" s="254"/>
      <c r="GR57" s="254"/>
      <c r="GS57" s="254"/>
      <c r="GT57" s="254"/>
      <c r="GU57" s="254"/>
      <c r="GV57" s="254"/>
      <c r="GW57" s="254"/>
      <c r="GX57" s="254"/>
      <c r="GY57" s="254"/>
      <c r="GZ57" s="254"/>
      <c r="HA57" s="254"/>
      <c r="HB57" s="254"/>
      <c r="HC57" s="254"/>
      <c r="HD57" s="254"/>
      <c r="HE57" s="254"/>
      <c r="HF57" s="254"/>
      <c r="HG57" s="254"/>
      <c r="HH57" s="254"/>
      <c r="HI57" s="254"/>
      <c r="HJ57" s="254"/>
      <c r="HK57" s="254"/>
      <c r="HL57" s="254"/>
      <c r="HM57" s="254"/>
      <c r="HN57" s="254"/>
      <c r="HO57" s="254"/>
      <c r="HP57" s="254"/>
      <c r="HQ57" s="254"/>
      <c r="HR57" s="254"/>
      <c r="HS57" s="254"/>
      <c r="HT57" s="254"/>
      <c r="HU57" s="254"/>
      <c r="HV57" s="254"/>
      <c r="HW57" s="254"/>
      <c r="HX57" s="254"/>
    </row>
    <row r="58" spans="2:232" s="256" customFormat="1" ht="14.5">
      <c r="B58" s="272">
        <f>+D57</f>
        <v>0.43749999999999994</v>
      </c>
      <c r="C58" s="249">
        <f t="shared" si="1"/>
        <v>0.52083333333333326</v>
      </c>
      <c r="D58" s="250">
        <f t="shared" si="0"/>
        <v>0.52083333333333326</v>
      </c>
      <c r="E58" s="251">
        <v>120</v>
      </c>
      <c r="F58" s="252" t="s">
        <v>370</v>
      </c>
      <c r="G58" s="253"/>
      <c r="H58" s="253"/>
      <c r="I58" s="255" t="s">
        <v>365</v>
      </c>
      <c r="J58" s="255"/>
    </row>
    <row r="59" spans="2:232" s="256" customFormat="1" ht="14.5">
      <c r="B59" s="272"/>
      <c r="C59" s="249" t="str">
        <f t="shared" ref="C59:C65" si="2">IF(ISNUMBER(B59),+B59+TIME(0,E59,0),"…")</f>
        <v>…</v>
      </c>
      <c r="D59" s="250">
        <f t="shared" si="0"/>
        <v>0.52083333333333326</v>
      </c>
      <c r="E59" s="257"/>
      <c r="F59" s="263"/>
      <c r="G59" s="255"/>
      <c r="H59" s="255"/>
      <c r="I59" s="255"/>
      <c r="J59" s="255"/>
    </row>
    <row r="60" spans="2:232" s="256" customFormat="1" ht="14.5">
      <c r="B60" s="272">
        <f>+D59</f>
        <v>0.52083333333333326</v>
      </c>
      <c r="C60" s="249">
        <f t="shared" si="2"/>
        <v>0.60416666666666663</v>
      </c>
      <c r="D60" s="250">
        <f t="shared" si="0"/>
        <v>0.60416666666666663</v>
      </c>
      <c r="E60" s="251">
        <v>120</v>
      </c>
      <c r="F60" s="252" t="s">
        <v>370</v>
      </c>
      <c r="G60" s="253"/>
      <c r="H60" s="253"/>
      <c r="I60" s="255" t="s">
        <v>365</v>
      </c>
      <c r="J60" s="255"/>
    </row>
    <row r="61" spans="2:232" s="256" customFormat="1" ht="14.5">
      <c r="B61" s="272"/>
      <c r="C61" s="249" t="str">
        <f t="shared" si="2"/>
        <v>…</v>
      </c>
      <c r="D61" s="250">
        <f t="shared" si="0"/>
        <v>0.60416666666666663</v>
      </c>
      <c r="E61" s="251"/>
      <c r="F61" s="252"/>
      <c r="G61" s="253"/>
      <c r="H61" s="253"/>
      <c r="I61" s="255"/>
      <c r="J61" s="255"/>
    </row>
    <row r="62" spans="2:232" s="256" customFormat="1" ht="14.5">
      <c r="B62" s="272">
        <f>+D61</f>
        <v>0.60416666666666663</v>
      </c>
      <c r="C62" s="249">
        <f t="shared" si="2"/>
        <v>0.6875</v>
      </c>
      <c r="D62" s="250">
        <f t="shared" si="0"/>
        <v>0.6875</v>
      </c>
      <c r="E62" s="251">
        <v>120</v>
      </c>
      <c r="F62" s="252" t="s">
        <v>370</v>
      </c>
      <c r="G62" s="253"/>
      <c r="H62" s="253"/>
      <c r="I62" s="255" t="s">
        <v>365</v>
      </c>
      <c r="J62" s="255"/>
    </row>
    <row r="63" spans="2:232" s="256" customFormat="1" ht="14.5">
      <c r="B63" s="272"/>
      <c r="C63" s="249" t="str">
        <f t="shared" si="2"/>
        <v>…</v>
      </c>
      <c r="D63" s="250">
        <f t="shared" si="0"/>
        <v>0.6875</v>
      </c>
      <c r="E63" s="257"/>
      <c r="F63" s="263"/>
      <c r="G63" s="255"/>
      <c r="H63" s="255"/>
      <c r="I63" s="255"/>
      <c r="J63" s="255"/>
    </row>
    <row r="64" spans="2:232" s="256" customFormat="1" ht="14.5">
      <c r="B64" s="272">
        <f>+D63</f>
        <v>0.6875</v>
      </c>
      <c r="C64" s="249">
        <f t="shared" si="2"/>
        <v>0.77083333333333337</v>
      </c>
      <c r="D64" s="250">
        <f t="shared" si="0"/>
        <v>0.77083333333333337</v>
      </c>
      <c r="E64" s="251">
        <v>120</v>
      </c>
      <c r="F64" s="252" t="s">
        <v>370</v>
      </c>
      <c r="G64" s="253"/>
      <c r="H64" s="253"/>
      <c r="I64" s="255" t="s">
        <v>365</v>
      </c>
      <c r="J64" s="255"/>
    </row>
    <row r="65" spans="1:10" s="256" customFormat="1" ht="14.5">
      <c r="B65" s="272"/>
      <c r="C65" s="249" t="str">
        <f t="shared" si="2"/>
        <v>…</v>
      </c>
      <c r="D65" s="250">
        <f t="shared" si="0"/>
        <v>0.77083333333333337</v>
      </c>
      <c r="E65" s="251"/>
      <c r="F65" s="252"/>
      <c r="G65" s="253"/>
      <c r="H65" s="253"/>
      <c r="I65" s="255"/>
      <c r="J65" s="255"/>
    </row>
    <row r="66" spans="1:10" s="256" customFormat="1" ht="14.5">
      <c r="B66" s="274"/>
      <c r="C66" s="275"/>
      <c r="D66" s="276"/>
      <c r="E66" s="257"/>
      <c r="F66" s="277"/>
      <c r="G66" s="255"/>
      <c r="H66" s="255"/>
      <c r="I66" s="255"/>
      <c r="J66" s="255"/>
    </row>
    <row r="67" spans="1:10" s="256" customFormat="1" ht="14.5">
      <c r="A67" s="267">
        <v>37923</v>
      </c>
      <c r="B67" s="272">
        <v>0.33333333333333331</v>
      </c>
      <c r="C67" s="279">
        <f>IF(ISNUMBER(B67),+B67+TIME(0,E67,0),"…")</f>
        <v>0.35416666666666663</v>
      </c>
      <c r="D67" s="278">
        <f>MAX(D66,C67)</f>
        <v>0.35416666666666663</v>
      </c>
      <c r="E67" s="251">
        <v>30</v>
      </c>
      <c r="F67" s="252" t="s">
        <v>368</v>
      </c>
      <c r="G67" s="253"/>
      <c r="H67" s="253"/>
      <c r="I67" s="255" t="s">
        <v>365</v>
      </c>
      <c r="J67" s="255"/>
    </row>
    <row r="68" spans="1:10" s="256" customFormat="1" ht="14.5">
      <c r="B68" s="272"/>
      <c r="C68" s="279" t="str">
        <f t="shared" ref="C68:C78" si="3">IF(ISNUMBER(B68),+B68+TIME(0,E68,0),"…")</f>
        <v>…</v>
      </c>
      <c r="D68" s="278">
        <f t="shared" ref="D68:D78" si="4">MAX(D67,C68)</f>
        <v>0.35416666666666663</v>
      </c>
      <c r="E68" s="251"/>
      <c r="F68" s="261"/>
      <c r="G68" s="262" t="s">
        <v>356</v>
      </c>
      <c r="H68" s="262"/>
      <c r="I68" s="255"/>
      <c r="J68" s="255"/>
    </row>
    <row r="69" spans="1:10" s="256" customFormat="1" ht="14.5">
      <c r="B69" s="272"/>
      <c r="C69" s="279" t="str">
        <f t="shared" si="3"/>
        <v>…</v>
      </c>
      <c r="D69" s="278">
        <f t="shared" si="4"/>
        <v>0.35416666666666663</v>
      </c>
      <c r="E69" s="251"/>
      <c r="F69" s="261"/>
      <c r="G69" s="262" t="s">
        <v>360</v>
      </c>
      <c r="H69" s="262"/>
      <c r="I69" s="255"/>
      <c r="J69" s="255"/>
    </row>
    <row r="70" spans="1:10" s="256" customFormat="1" ht="14.5">
      <c r="B70" s="272"/>
      <c r="C70" s="279" t="str">
        <f t="shared" si="3"/>
        <v>…</v>
      </c>
      <c r="D70" s="278">
        <f t="shared" si="4"/>
        <v>0.35416666666666663</v>
      </c>
      <c r="E70" s="251"/>
      <c r="F70" s="261"/>
      <c r="G70" s="262" t="s">
        <v>357</v>
      </c>
      <c r="H70" s="262"/>
      <c r="I70" s="255"/>
      <c r="J70" s="255"/>
    </row>
    <row r="71" spans="1:10" s="256" customFormat="1" ht="14.5">
      <c r="B71" s="272"/>
      <c r="C71" s="279" t="str">
        <f t="shared" si="3"/>
        <v>…</v>
      </c>
      <c r="D71" s="278">
        <f t="shared" si="4"/>
        <v>0.35416666666666663</v>
      </c>
      <c r="E71" s="257"/>
      <c r="F71" s="263"/>
      <c r="G71" s="255"/>
      <c r="H71" s="255"/>
      <c r="I71" s="255"/>
      <c r="J71" s="255"/>
    </row>
    <row r="72" spans="1:10" s="256" customFormat="1" ht="14.5">
      <c r="B72" s="272">
        <f>+D71</f>
        <v>0.35416666666666663</v>
      </c>
      <c r="C72" s="279">
        <f t="shared" si="3"/>
        <v>0.43749999999999994</v>
      </c>
      <c r="D72" s="278">
        <f t="shared" si="4"/>
        <v>0.43749999999999994</v>
      </c>
      <c r="E72" s="251">
        <v>120</v>
      </c>
      <c r="F72" s="252" t="s">
        <v>370</v>
      </c>
      <c r="G72" s="253"/>
      <c r="H72" s="253"/>
      <c r="I72" s="255" t="s">
        <v>365</v>
      </c>
      <c r="J72" s="255"/>
    </row>
    <row r="73" spans="1:10" s="256" customFormat="1" ht="14.5">
      <c r="B73" s="272"/>
      <c r="C73" s="279" t="str">
        <f t="shared" si="3"/>
        <v>…</v>
      </c>
      <c r="D73" s="278">
        <f t="shared" si="4"/>
        <v>0.43749999999999994</v>
      </c>
      <c r="E73" s="257"/>
      <c r="F73" s="263"/>
      <c r="G73" s="255"/>
      <c r="H73" s="255"/>
      <c r="I73" s="255"/>
      <c r="J73" s="255"/>
    </row>
    <row r="74" spans="1:10" s="256" customFormat="1" ht="14.5">
      <c r="B74" s="272">
        <f>+D73</f>
        <v>0.43749999999999994</v>
      </c>
      <c r="C74" s="279">
        <f t="shared" si="3"/>
        <v>0.52083333333333326</v>
      </c>
      <c r="D74" s="278">
        <f t="shared" si="4"/>
        <v>0.52083333333333326</v>
      </c>
      <c r="E74" s="251">
        <v>120</v>
      </c>
      <c r="F74" s="252" t="s">
        <v>370</v>
      </c>
      <c r="G74" s="253"/>
      <c r="H74" s="253"/>
      <c r="I74" s="255" t="s">
        <v>365</v>
      </c>
      <c r="J74" s="255"/>
    </row>
    <row r="75" spans="1:10" s="256" customFormat="1" ht="14.5">
      <c r="B75" s="272"/>
      <c r="C75" s="279" t="str">
        <f t="shared" si="3"/>
        <v>…</v>
      </c>
      <c r="D75" s="278">
        <f t="shared" si="4"/>
        <v>0.52083333333333326</v>
      </c>
      <c r="E75" s="257"/>
      <c r="F75" s="263"/>
      <c r="G75" s="255"/>
      <c r="H75" s="255"/>
      <c r="I75" s="255"/>
      <c r="J75" s="255"/>
    </row>
    <row r="76" spans="1:10" s="256" customFormat="1" ht="14.5">
      <c r="B76" s="272">
        <f>+D75</f>
        <v>0.52083333333333326</v>
      </c>
      <c r="C76" s="279">
        <f t="shared" si="3"/>
        <v>0.60416666666666663</v>
      </c>
      <c r="D76" s="278">
        <f t="shared" si="4"/>
        <v>0.60416666666666663</v>
      </c>
      <c r="E76" s="251">
        <v>120</v>
      </c>
      <c r="F76" s="252" t="s">
        <v>370</v>
      </c>
      <c r="G76" s="253"/>
      <c r="H76" s="253"/>
      <c r="I76" s="255" t="s">
        <v>365</v>
      </c>
      <c r="J76" s="255"/>
    </row>
    <row r="77" spans="1:10" s="256" customFormat="1" ht="14.5">
      <c r="B77" s="272"/>
      <c r="C77" s="279" t="str">
        <f t="shared" si="3"/>
        <v>…</v>
      </c>
      <c r="D77" s="278">
        <f t="shared" si="4"/>
        <v>0.60416666666666663</v>
      </c>
      <c r="E77" s="257"/>
      <c r="F77" s="263"/>
      <c r="G77" s="255"/>
      <c r="H77" s="255"/>
      <c r="I77" s="255"/>
      <c r="J77" s="255"/>
    </row>
    <row r="78" spans="1:10" s="256" customFormat="1" ht="14.5">
      <c r="B78" s="272">
        <f>+D77</f>
        <v>0.60416666666666663</v>
      </c>
      <c r="C78" s="279">
        <f t="shared" si="3"/>
        <v>0.6875</v>
      </c>
      <c r="D78" s="278">
        <f t="shared" si="4"/>
        <v>0.6875</v>
      </c>
      <c r="E78" s="251">
        <v>120</v>
      </c>
      <c r="F78" s="252" t="s">
        <v>370</v>
      </c>
      <c r="G78" s="253"/>
      <c r="H78" s="253"/>
      <c r="I78" s="255" t="s">
        <v>365</v>
      </c>
      <c r="J78" s="255"/>
    </row>
    <row r="79" spans="1:10" s="256" customFormat="1" ht="14.5">
      <c r="B79" s="272"/>
      <c r="C79" s="279" t="str">
        <f t="shared" ref="C79:C86" si="5">IF(ISNUMBER(B79),+B79+TIME(0,E79,0),"…")</f>
        <v>…</v>
      </c>
      <c r="D79" s="278">
        <f t="shared" ref="D79:D86" si="6">MAX(D78,C79)</f>
        <v>0.6875</v>
      </c>
      <c r="E79" s="257"/>
      <c r="F79" s="263"/>
      <c r="G79" s="255"/>
      <c r="H79" s="255"/>
      <c r="I79" s="255"/>
      <c r="J79" s="255"/>
    </row>
    <row r="80" spans="1:10" s="256" customFormat="1" ht="14.5">
      <c r="B80" s="272">
        <f>+D79</f>
        <v>0.6875</v>
      </c>
      <c r="C80" s="279">
        <f t="shared" si="5"/>
        <v>0.70833333333333337</v>
      </c>
      <c r="D80" s="278">
        <f t="shared" si="6"/>
        <v>0.70833333333333337</v>
      </c>
      <c r="E80" s="251">
        <f>SUM(F81:F83)</f>
        <v>30</v>
      </c>
      <c r="F80" s="252" t="s">
        <v>363</v>
      </c>
      <c r="G80" s="255"/>
      <c r="H80" s="255"/>
      <c r="I80" s="255" t="str">
        <f>+I51</f>
        <v>ALERT team leader</v>
      </c>
      <c r="J80" s="255"/>
    </row>
    <row r="81" spans="2:9" ht="14">
      <c r="C81" s="279" t="str">
        <f t="shared" si="5"/>
        <v>…</v>
      </c>
      <c r="D81" s="278">
        <f t="shared" si="6"/>
        <v>0.70833333333333337</v>
      </c>
      <c r="F81" s="258">
        <v>15</v>
      </c>
      <c r="G81" s="255" t="s">
        <v>362</v>
      </c>
      <c r="H81" s="255"/>
      <c r="I81" s="255"/>
    </row>
    <row r="82" spans="2:9">
      <c r="C82" s="279" t="str">
        <f t="shared" si="5"/>
        <v>…</v>
      </c>
      <c r="D82" s="278">
        <f t="shared" si="6"/>
        <v>0.70833333333333337</v>
      </c>
      <c r="F82" s="265">
        <v>15</v>
      </c>
      <c r="G82" s="255" t="s">
        <v>364</v>
      </c>
      <c r="I82" s="255"/>
    </row>
    <row r="83" spans="2:9">
      <c r="C83" s="279" t="str">
        <f t="shared" si="5"/>
        <v>…</v>
      </c>
      <c r="D83" s="278">
        <f t="shared" si="6"/>
        <v>0.70833333333333337</v>
      </c>
      <c r="G83" s="255"/>
      <c r="I83" s="255"/>
    </row>
    <row r="84" spans="2:9" ht="14.5">
      <c r="B84" s="272">
        <f>+D83</f>
        <v>0.70833333333333337</v>
      </c>
      <c r="C84" s="279">
        <f t="shared" si="5"/>
        <v>0.70833333333333337</v>
      </c>
      <c r="D84" s="278">
        <f t="shared" si="6"/>
        <v>0.70833333333333337</v>
      </c>
      <c r="E84" s="251"/>
      <c r="F84" s="253" t="s">
        <v>350</v>
      </c>
      <c r="I84" s="255"/>
    </row>
    <row r="85" spans="2:9">
      <c r="C85" s="279" t="str">
        <f t="shared" si="5"/>
        <v>…</v>
      </c>
      <c r="D85" s="278">
        <f t="shared" si="6"/>
        <v>0.70833333333333337</v>
      </c>
      <c r="I85" s="255"/>
    </row>
    <row r="86" spans="2:9">
      <c r="C86" s="279" t="str">
        <f t="shared" si="5"/>
        <v>…</v>
      </c>
      <c r="D86" s="278">
        <f t="shared" si="6"/>
        <v>0.70833333333333337</v>
      </c>
    </row>
  </sheetData>
  <mergeCells count="3">
    <mergeCell ref="A42:I42"/>
    <mergeCell ref="A43:I43"/>
    <mergeCell ref="A44:I44"/>
  </mergeCells>
  <phoneticPr fontId="1" type="noConversion"/>
  <printOptions horizontalCentered="1" verticalCentered="1"/>
  <pageMargins left="0.5" right="0.45" top="0.5" bottom="0.77" header="0.5" footer="0.5"/>
  <pageSetup scale="98" orientation="portrait" r:id="rId1"/>
  <headerFooter alignWithMargins="0">
    <oddFooter>&amp;L&amp;"Arial,Italic"&amp;9&amp;F,  Tab:  &amp;A  &amp;D, &amp;T  PNNL&amp;R&amp;"Arial,Italic"&amp;9Page &amp;P of &amp;N</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G19"/>
  <sheetViews>
    <sheetView showGridLines="0" workbookViewId="0">
      <selection sqref="A1:C1"/>
    </sheetView>
  </sheetViews>
  <sheetFormatPr defaultColWidth="9.1796875" defaultRowHeight="12.5"/>
  <cols>
    <col min="1" max="1" width="5.7265625" style="24" customWidth="1"/>
    <col min="2" max="3" width="9.1796875" style="24"/>
    <col min="4" max="16384" width="9.1796875" style="2"/>
  </cols>
  <sheetData>
    <row r="1" spans="1:7" ht="21" customHeight="1">
      <c r="A1" s="163" t="s">
        <v>401</v>
      </c>
      <c r="G1" s="3"/>
    </row>
    <row r="2" spans="1:7" ht="13">
      <c r="A2" s="164" t="s">
        <v>131</v>
      </c>
    </row>
    <row r="3" spans="1:7" ht="14.25" customHeight="1">
      <c r="A3" s="24" t="s">
        <v>130</v>
      </c>
    </row>
    <row r="4" spans="1:7">
      <c r="B4" s="24" t="s">
        <v>132</v>
      </c>
    </row>
    <row r="6" spans="1:7">
      <c r="A6" s="24" t="s">
        <v>129</v>
      </c>
    </row>
    <row r="8" spans="1:7">
      <c r="A8" s="24" t="s">
        <v>181</v>
      </c>
    </row>
    <row r="9" spans="1:7">
      <c r="A9" s="24" t="s">
        <v>182</v>
      </c>
    </row>
    <row r="12" spans="1:7" ht="13">
      <c r="A12" s="164" t="s">
        <v>183</v>
      </c>
    </row>
    <row r="13" spans="1:7">
      <c r="B13" s="24" t="s">
        <v>133</v>
      </c>
    </row>
    <row r="14" spans="1:7">
      <c r="B14" s="24" t="s">
        <v>134</v>
      </c>
    </row>
    <row r="15" spans="1:7">
      <c r="B15" s="24" t="s">
        <v>135</v>
      </c>
    </row>
    <row r="16" spans="1:7">
      <c r="B16" s="24" t="s">
        <v>136</v>
      </c>
    </row>
    <row r="17" spans="2:2">
      <c r="B17" s="24" t="s">
        <v>137</v>
      </c>
    </row>
    <row r="18" spans="2:2">
      <c r="B18" s="24" t="s">
        <v>138</v>
      </c>
    </row>
    <row r="19" spans="2:2">
      <c r="B19" s="24" t="s">
        <v>139</v>
      </c>
    </row>
  </sheetData>
  <phoneticPr fontId="0" type="noConversion"/>
  <printOptions horizontalCentered="1" verticalCentered="1"/>
  <pageMargins left="0.5" right="0.5" top="0.5" bottom="0.77" header="0.5" footer="0.5"/>
  <pageSetup orientation="portrait" r:id="rId1"/>
  <headerFooter alignWithMargins="0">
    <oddFooter>&amp;L&amp;"Arial,Italic"&amp;9&amp;F,  Tab:  &amp;A  &amp;D, &amp;T  PNNL&amp;R&amp;"Arial,Italic"&amp;9Page &amp;P of &amp;N</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3:H6"/>
  <sheetViews>
    <sheetView showGridLines="0" zoomScale="75" zoomScaleNormal="100" workbookViewId="0">
      <selection sqref="A1:C1"/>
    </sheetView>
  </sheetViews>
  <sheetFormatPr defaultColWidth="9.7265625" defaultRowHeight="12.5"/>
  <cols>
    <col min="1" max="1" width="4.81640625" style="2" customWidth="1"/>
    <col min="2" max="2" width="6.7265625" style="2" customWidth="1"/>
    <col min="3" max="3" width="4.54296875" style="1" customWidth="1"/>
    <col min="4" max="4" width="6.7265625" style="2" customWidth="1"/>
    <col min="5" max="5" width="2" style="6" customWidth="1"/>
    <col min="6" max="6" width="6.7265625" style="2" customWidth="1"/>
    <col min="7" max="7" width="2" style="2" customWidth="1"/>
    <col min="8" max="8" width="6.7265625" style="2" customWidth="1"/>
    <col min="9" max="16384" width="9.7265625" style="2"/>
  </cols>
  <sheetData>
    <row r="3" spans="1:8" ht="20.25" customHeight="1">
      <c r="A3" s="2" t="s">
        <v>453</v>
      </c>
      <c r="B3" s="8"/>
      <c r="C3" s="9" t="s">
        <v>454</v>
      </c>
      <c r="D3" s="8"/>
      <c r="E3" s="7" t="s">
        <v>455</v>
      </c>
      <c r="F3" s="8"/>
    </row>
    <row r="4" spans="1:8" ht="20.25" customHeight="1">
      <c r="F4" s="7" t="s">
        <v>456</v>
      </c>
      <c r="G4" s="7" t="s">
        <v>455</v>
      </c>
      <c r="H4" s="10" t="s">
        <v>457</v>
      </c>
    </row>
    <row r="5" spans="1:8" ht="20.25" customHeight="1">
      <c r="A5" s="2" t="s">
        <v>458</v>
      </c>
      <c r="B5" s="8"/>
      <c r="C5" s="9" t="s">
        <v>454</v>
      </c>
      <c r="D5" s="8"/>
      <c r="E5" s="7" t="s">
        <v>455</v>
      </c>
      <c r="F5" s="8"/>
      <c r="H5" s="7"/>
    </row>
    <row r="6" spans="1:8">
      <c r="B6" s="6"/>
    </row>
  </sheetData>
  <phoneticPr fontId="0" type="noConversion"/>
  <printOptions horizontalCentered="1" verticalCentered="1"/>
  <pageMargins left="0.5" right="0.5" top="0.5" bottom="0.77" header="0.5" footer="0.5"/>
  <pageSetup orientation="portrait" r:id="rId1"/>
  <headerFooter alignWithMargins="0">
    <oddFooter>&amp;L&amp;"Arial,Italic"&amp;9&amp;F,  Tab:  &amp;A  &amp;D, &amp;T  PNNL&amp;R&amp;"Arial,Italic"&amp;9Page &amp;P of &amp;N</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2:E15"/>
  <sheetViews>
    <sheetView showGridLines="0" zoomScale="75" zoomScaleNormal="100" workbookViewId="0">
      <selection activeCell="A14" sqref="A14:A15"/>
    </sheetView>
  </sheetViews>
  <sheetFormatPr defaultColWidth="9.7265625" defaultRowHeight="12.5"/>
  <cols>
    <col min="1" max="1" width="8.81640625" style="2" customWidth="1"/>
    <col min="2" max="2" width="20.54296875" style="1" customWidth="1"/>
    <col min="3" max="3" width="2.54296875" style="1" customWidth="1"/>
    <col min="4" max="4" width="9.1796875" style="2" customWidth="1"/>
    <col min="5" max="5" width="2" style="6" customWidth="1"/>
    <col min="6" max="6" width="6.7265625" style="2" customWidth="1"/>
    <col min="7" max="7" width="2" style="2" customWidth="1"/>
    <col min="8" max="8" width="6.7265625" style="2" customWidth="1"/>
    <col min="9" max="16384" width="9.7265625" style="2"/>
  </cols>
  <sheetData>
    <row r="2" spans="1:4">
      <c r="A2" s="24" t="s">
        <v>512</v>
      </c>
    </row>
    <row r="3" spans="1:4">
      <c r="B3" s="9"/>
    </row>
    <row r="4" spans="1:4" ht="20.25" customHeight="1">
      <c r="B4" s="2" t="s">
        <v>527</v>
      </c>
      <c r="C4" s="7" t="s">
        <v>455</v>
      </c>
      <c r="D4" s="26"/>
    </row>
    <row r="5" spans="1:4" ht="4.5" customHeight="1">
      <c r="B5" s="2"/>
      <c r="C5" s="7"/>
    </row>
    <row r="6" spans="1:4" ht="20.25" customHeight="1">
      <c r="B6" s="25" t="s">
        <v>530</v>
      </c>
      <c r="C6" s="7" t="s">
        <v>455</v>
      </c>
      <c r="D6" s="27"/>
    </row>
    <row r="7" spans="1:4" ht="7.5" customHeight="1">
      <c r="B7" s="25" t="s">
        <v>520</v>
      </c>
      <c r="C7" s="7" t="s">
        <v>455</v>
      </c>
      <c r="D7" s="25" t="s">
        <v>520</v>
      </c>
    </row>
    <row r="8" spans="1:4" ht="20.25" customHeight="1">
      <c r="B8" s="2" t="s">
        <v>519</v>
      </c>
      <c r="C8" s="7" t="s">
        <v>455</v>
      </c>
      <c r="D8" s="26"/>
    </row>
    <row r="11" spans="1:4" ht="20.25" customHeight="1">
      <c r="B11" s="2" t="s">
        <v>527</v>
      </c>
      <c r="C11" s="7" t="s">
        <v>455</v>
      </c>
      <c r="D11" s="26"/>
    </row>
    <row r="12" spans="1:4" ht="4.5" customHeight="1">
      <c r="B12" s="2"/>
      <c r="C12" s="7"/>
    </row>
    <row r="13" spans="1:4" ht="20.25" customHeight="1">
      <c r="B13" s="25" t="s">
        <v>526</v>
      </c>
      <c r="C13" s="7" t="s">
        <v>455</v>
      </c>
      <c r="D13" s="27"/>
    </row>
    <row r="14" spans="1:4" ht="7.5" customHeight="1">
      <c r="B14" s="25" t="s">
        <v>520</v>
      </c>
      <c r="C14" s="7" t="s">
        <v>455</v>
      </c>
      <c r="D14" s="25" t="s">
        <v>520</v>
      </c>
    </row>
    <row r="15" spans="1:4" ht="20.25" customHeight="1">
      <c r="B15" s="2" t="s">
        <v>519</v>
      </c>
      <c r="C15" s="7" t="s">
        <v>455</v>
      </c>
      <c r="D15" s="26"/>
    </row>
  </sheetData>
  <phoneticPr fontId="0" type="noConversion"/>
  <printOptions horizontalCentered="1" verticalCentered="1"/>
  <pageMargins left="0.5" right="0.5" top="0.5" bottom="0.77" header="0.5" footer="0.5"/>
  <pageSetup orientation="portrait" r:id="rId1"/>
  <headerFooter alignWithMargins="0">
    <oddFooter>&amp;L&amp;"Arial,Italic"&amp;9&amp;F,  Tab:  &amp;A  &amp;D, &amp;T  PNNL&amp;R&amp;"Arial,Italic"&amp;9Page &amp;P of &amp;N</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G9"/>
  <sheetViews>
    <sheetView showGridLines="0" workbookViewId="0">
      <selection activeCell="A14" sqref="A14"/>
    </sheetView>
  </sheetViews>
  <sheetFormatPr defaultColWidth="9.1796875" defaultRowHeight="12.5"/>
  <cols>
    <col min="1" max="1" width="5.7265625" style="1" customWidth="1"/>
    <col min="2" max="2" width="8.7265625" style="2" customWidth="1"/>
    <col min="3" max="3" width="3.7265625" style="2" customWidth="1"/>
    <col min="4" max="4" width="2.1796875" style="2" customWidth="1"/>
    <col min="5" max="5" width="7.54296875" style="2" customWidth="1"/>
    <col min="6" max="6" width="3.1796875" style="2" customWidth="1"/>
    <col min="7" max="16384" width="9.1796875" style="2"/>
  </cols>
  <sheetData>
    <row r="1" spans="1:7" ht="21" customHeight="1">
      <c r="A1" s="177" t="s">
        <v>401</v>
      </c>
      <c r="G1" s="3"/>
    </row>
    <row r="2" spans="1:7" ht="14.25" customHeight="1">
      <c r="B2" s="353" t="s">
        <v>262</v>
      </c>
      <c r="C2" s="353"/>
      <c r="D2" s="353"/>
      <c r="E2" s="353"/>
      <c r="F2" s="353"/>
    </row>
    <row r="3" spans="1:7">
      <c r="B3" s="354" t="s">
        <v>259</v>
      </c>
      <c r="C3" s="354"/>
      <c r="D3" s="354"/>
      <c r="E3" s="354"/>
      <c r="F3" s="354"/>
    </row>
    <row r="4" spans="1:7">
      <c r="B4" s="280" t="s">
        <v>246</v>
      </c>
      <c r="C4" s="288">
        <v>20</v>
      </c>
      <c r="D4" s="293"/>
      <c r="E4" s="280" t="s">
        <v>254</v>
      </c>
      <c r="F4" s="134">
        <v>34</v>
      </c>
    </row>
    <row r="5" spans="1:7">
      <c r="B5" s="281" t="s">
        <v>247</v>
      </c>
      <c r="C5" s="289">
        <v>34</v>
      </c>
      <c r="D5" s="294"/>
      <c r="E5" s="281" t="s">
        <v>255</v>
      </c>
      <c r="F5" s="142">
        <v>7</v>
      </c>
    </row>
    <row r="6" spans="1:7">
      <c r="B6" s="281" t="s">
        <v>250</v>
      </c>
      <c r="C6" s="289">
        <v>34</v>
      </c>
      <c r="D6" s="294"/>
      <c r="E6" s="281" t="s">
        <v>256</v>
      </c>
      <c r="F6" s="142">
        <v>2</v>
      </c>
    </row>
    <row r="7" spans="1:7">
      <c r="B7" s="281" t="s">
        <v>251</v>
      </c>
      <c r="C7" s="289">
        <v>15</v>
      </c>
      <c r="D7" s="294"/>
      <c r="E7" s="281" t="s">
        <v>257</v>
      </c>
      <c r="F7" s="142">
        <v>2</v>
      </c>
    </row>
    <row r="8" spans="1:7">
      <c r="B8" s="281" t="s">
        <v>252</v>
      </c>
      <c r="C8" s="289">
        <v>4</v>
      </c>
      <c r="D8" s="294"/>
      <c r="E8" s="281" t="s">
        <v>258</v>
      </c>
      <c r="F8" s="142">
        <v>2</v>
      </c>
    </row>
    <row r="9" spans="1:7">
      <c r="B9" s="291" t="s">
        <v>253</v>
      </c>
      <c r="C9" s="290">
        <v>3</v>
      </c>
      <c r="D9" s="295"/>
      <c r="E9" s="291" t="s">
        <v>234</v>
      </c>
      <c r="F9" s="292">
        <v>3</v>
      </c>
    </row>
  </sheetData>
  <mergeCells count="2">
    <mergeCell ref="B2:F2"/>
    <mergeCell ref="B3:F3"/>
  </mergeCells>
  <phoneticPr fontId="0" type="noConversion"/>
  <printOptions horizontalCentered="1" verticalCentered="1"/>
  <pageMargins left="0.5" right="0.5" top="0.5" bottom="0.77" header="0.5" footer="0.5"/>
  <pageSetup orientation="portrait" r:id="rId1"/>
  <headerFooter alignWithMargins="0">
    <oddFooter>&amp;L&amp;"Arial,Italic"&amp;9&amp;F,  Tab:  &amp;A  &amp;D, &amp;T  PNNL&amp;R&amp;"Arial,Italic"&amp;9Page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13</vt:i4>
      </vt:variant>
    </vt:vector>
  </HeadingPairs>
  <TitlesOfParts>
    <vt:vector size="34" baseType="lpstr">
      <vt:lpstr>TOC</vt:lpstr>
      <vt:lpstr>Site</vt:lpstr>
      <vt:lpstr>Renewables</vt:lpstr>
      <vt:lpstr>Bldg</vt:lpstr>
      <vt:lpstr>Inventory</vt:lpstr>
      <vt:lpstr>General</vt:lpstr>
      <vt:lpstr>AHU</vt:lpstr>
      <vt:lpstr>RTU</vt:lpstr>
      <vt:lpstr>Chiller</vt:lpstr>
      <vt:lpstr>Boiler Q</vt:lpstr>
      <vt:lpstr>Boiler</vt:lpstr>
      <vt:lpstr>Boiler Notes</vt:lpstr>
      <vt:lpstr>Air</vt:lpstr>
      <vt:lpstr>IR</vt:lpstr>
      <vt:lpstr>Misc</vt:lpstr>
      <vt:lpstr>Tools</vt:lpstr>
      <vt:lpstr>Agenda</vt:lpstr>
      <vt:lpstr>notes</vt:lpstr>
      <vt:lpstr>Fraction</vt:lpstr>
      <vt:lpstr>Condenser</vt:lpstr>
      <vt:lpstr>HW</vt:lpstr>
      <vt:lpstr>'Boiler Q'!_ftnref1</vt:lpstr>
      <vt:lpstr>AHU!Print_Area</vt:lpstr>
      <vt:lpstr>Bldg!Print_Area</vt:lpstr>
      <vt:lpstr>'Boiler Notes'!Print_Area</vt:lpstr>
      <vt:lpstr>'Boiler Q'!Print_Area</vt:lpstr>
      <vt:lpstr>Chiller!Print_Area</vt:lpstr>
      <vt:lpstr>General!Print_Area</vt:lpstr>
      <vt:lpstr>TOC!Print_Area</vt:lpstr>
      <vt:lpstr>Tools!Print_Area</vt:lpstr>
      <vt:lpstr>AHU!Print_Titles</vt:lpstr>
      <vt:lpstr>Boiler!Print_Titles</vt:lpstr>
      <vt:lpstr>Chiller!Print_Titles</vt:lpstr>
      <vt:lpstr>General!Print_Titles</vt:lpstr>
    </vt:vector>
  </TitlesOfParts>
  <Company>Battelle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JC Hail</dc:creator>
  <cp:lastModifiedBy>Carina Negreanu</cp:lastModifiedBy>
  <cp:lastPrinted>2003-10-17T22:28:40Z</cp:lastPrinted>
  <dcterms:created xsi:type="dcterms:W3CDTF">1999-07-02T19:46:36Z</dcterms:created>
  <dcterms:modified xsi:type="dcterms:W3CDTF">2020-01-27T10:27:57Z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1561148479</vt:i4>
  </property>
  <property fmtid="{D5CDD505-2E9C-101B-9397-08002B2CF9AE}" pid="3" name="_EmailSubject">
    <vt:lpwstr>toolbox</vt:lpwstr>
  </property>
  <property fmtid="{D5CDD505-2E9C-101B-9397-08002B2CF9AE}" pid="4" name="_AuthorEmail">
    <vt:lpwstr>r.pugh@pnl.gov</vt:lpwstr>
  </property>
  <property fmtid="{D5CDD505-2E9C-101B-9397-08002B2CF9AE}" pid="5" name="_AuthorEmailDisplayName">
    <vt:lpwstr>Pugh, Ray</vt:lpwstr>
  </property>
  <property fmtid="{D5CDD505-2E9C-101B-9397-08002B2CF9AE}" pid="6" name="_PreviousAdHocReviewCycleID">
    <vt:i4>-67521013</vt:i4>
  </property>
  <property fmtid="{D5CDD505-2E9C-101B-9397-08002B2CF9AE}" pid="7" name="_ReviewingToolsShownOnce">
    <vt:lpwstr/>
  </property>
</Properties>
</file>