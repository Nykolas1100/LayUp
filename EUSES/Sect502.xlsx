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8B987BB-3EC0-4246-93AE-5EF82293B0BC}" xr6:coauthVersionLast="45" xr6:coauthVersionMax="45" xr10:uidLastSave="{00000000-0000-0000-0000-000000000000}"/>
  <bookViews>
    <workbookView xWindow="1520" yWindow="15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" i="1" l="1"/>
  <c r="C2" i="1" s="1"/>
  <c r="B2" i="1" s="1"/>
  <c r="W2" i="1"/>
  <c r="AE2" i="1"/>
  <c r="AI2" i="1"/>
  <c r="AM2" i="1"/>
  <c r="AN2" i="1"/>
  <c r="AL2" i="1" s="1"/>
  <c r="W3" i="1"/>
  <c r="D3" i="1" s="1"/>
  <c r="C3" i="1" s="1"/>
  <c r="B3" i="1" s="1"/>
  <c r="AE3" i="1"/>
  <c r="AI3" i="1"/>
  <c r="AM3" i="1"/>
  <c r="AN3" i="1"/>
  <c r="AL3" i="1" s="1"/>
  <c r="W4" i="1"/>
  <c r="D4" i="1" s="1"/>
  <c r="C4" i="1" s="1"/>
  <c r="B4" i="1" s="1"/>
  <c r="AE4" i="1"/>
  <c r="AI4" i="1"/>
  <c r="AM4" i="1"/>
  <c r="AN4" i="1"/>
  <c r="AL4" i="1" s="1"/>
  <c r="W5" i="1"/>
  <c r="D5" i="1" s="1"/>
  <c r="C5" i="1" s="1"/>
  <c r="B5" i="1" s="1"/>
  <c r="AE5" i="1"/>
  <c r="AI5" i="1"/>
  <c r="AL5" i="1"/>
  <c r="AM5" i="1"/>
  <c r="AN5" i="1"/>
  <c r="W6" i="1"/>
  <c r="D6" i="1" s="1"/>
  <c r="C6" i="1" s="1"/>
  <c r="B6" i="1" s="1"/>
  <c r="AE6" i="1"/>
  <c r="AI6" i="1"/>
  <c r="AL6" i="1"/>
  <c r="AM6" i="1"/>
  <c r="AN6" i="1"/>
  <c r="W7" i="1"/>
  <c r="D7" i="1" s="1"/>
  <c r="C7" i="1" s="1"/>
  <c r="B7" i="1" s="1"/>
  <c r="AE7" i="1"/>
  <c r="AI7" i="1"/>
  <c r="AM7" i="1"/>
  <c r="AN7" i="1"/>
  <c r="AL7" i="1" s="1"/>
  <c r="W8" i="1"/>
  <c r="AE8" i="1"/>
  <c r="D8" i="1" s="1"/>
  <c r="C8" i="1" s="1"/>
  <c r="B8" i="1" s="1"/>
  <c r="AI8" i="1"/>
  <c r="AM8" i="1"/>
  <c r="AN8" i="1"/>
  <c r="AL8" i="1" s="1"/>
  <c r="W9" i="1"/>
  <c r="D9" i="1" s="1"/>
  <c r="C9" i="1" s="1"/>
  <c r="B9" i="1" s="1"/>
  <c r="AE9" i="1"/>
  <c r="AI9" i="1"/>
  <c r="AM9" i="1"/>
  <c r="AN9" i="1"/>
  <c r="AL9" i="1" s="1"/>
  <c r="W10" i="1"/>
  <c r="D10" i="1" s="1"/>
  <c r="C10" i="1" s="1"/>
  <c r="B10" i="1" s="1"/>
  <c r="AE10" i="1"/>
  <c r="AI10" i="1"/>
  <c r="AM10" i="1"/>
  <c r="AL10" i="1" s="1"/>
  <c r="AN10" i="1"/>
  <c r="W11" i="1"/>
  <c r="AE11" i="1"/>
  <c r="AI11" i="1"/>
  <c r="D11" i="1" s="1"/>
  <c r="C11" i="1" s="1"/>
  <c r="B11" i="1" s="1"/>
  <c r="AM11" i="1"/>
  <c r="AL11" i="1" s="1"/>
  <c r="AN11" i="1"/>
  <c r="W12" i="1"/>
  <c r="D12" i="1" s="1"/>
  <c r="C12" i="1" s="1"/>
  <c r="B12" i="1" s="1"/>
  <c r="AE12" i="1"/>
  <c r="AI12" i="1"/>
  <c r="AM12" i="1"/>
  <c r="AN12" i="1"/>
  <c r="AL12" i="1" s="1"/>
  <c r="W13" i="1"/>
  <c r="D13" i="1" s="1"/>
  <c r="C13" i="1" s="1"/>
  <c r="B13" i="1" s="1"/>
  <c r="AE13" i="1"/>
  <c r="AI13" i="1"/>
  <c r="AM13" i="1"/>
  <c r="AN13" i="1"/>
  <c r="AL13" i="1" s="1"/>
  <c r="W14" i="1"/>
  <c r="D14" i="1" s="1"/>
  <c r="C14" i="1" s="1"/>
  <c r="B14" i="1" s="1"/>
  <c r="AE14" i="1"/>
  <c r="AI14" i="1"/>
  <c r="AM14" i="1"/>
  <c r="AN14" i="1"/>
  <c r="AL14" i="1" s="1"/>
  <c r="D15" i="1"/>
  <c r="C15" i="1" s="1"/>
  <c r="B15" i="1" s="1"/>
  <c r="W15" i="1"/>
  <c r="AE15" i="1"/>
  <c r="AI15" i="1"/>
  <c r="AL15" i="1"/>
  <c r="AM15" i="1"/>
  <c r="AN15" i="1"/>
  <c r="W16" i="1"/>
  <c r="D16" i="1" s="1"/>
  <c r="C16" i="1" s="1"/>
  <c r="B16" i="1" s="1"/>
  <c r="AE16" i="1"/>
  <c r="AI16" i="1"/>
  <c r="AM16" i="1"/>
  <c r="AL16" i="1" s="1"/>
  <c r="AN16" i="1"/>
  <c r="W17" i="1"/>
  <c r="D17" i="1" s="1"/>
  <c r="C17" i="1" s="1"/>
  <c r="B17" i="1" s="1"/>
  <c r="AE17" i="1"/>
  <c r="AI17" i="1"/>
  <c r="AM17" i="1"/>
  <c r="AN17" i="1"/>
  <c r="AL17" i="1" s="1"/>
  <c r="W18" i="1"/>
  <c r="D18" i="1" s="1"/>
  <c r="C18" i="1" s="1"/>
  <c r="B18" i="1" s="1"/>
  <c r="AE18" i="1"/>
  <c r="AI18" i="1"/>
  <c r="AM18" i="1"/>
  <c r="AN18" i="1"/>
  <c r="AL18" i="1" s="1"/>
  <c r="W19" i="1"/>
  <c r="D19" i="1" s="1"/>
  <c r="C19" i="1" s="1"/>
  <c r="B19" i="1" s="1"/>
  <c r="AE19" i="1"/>
  <c r="AI19" i="1"/>
  <c r="AL19" i="1"/>
  <c r="AM19" i="1"/>
  <c r="AN19" i="1"/>
  <c r="W20" i="1"/>
  <c r="AE20" i="1"/>
  <c r="D20" i="1" s="1"/>
  <c r="C20" i="1" s="1"/>
  <c r="B20" i="1" s="1"/>
  <c r="AI20" i="1"/>
  <c r="AM20" i="1"/>
  <c r="AL20" i="1" s="1"/>
  <c r="AN20" i="1"/>
  <c r="D21" i="1"/>
  <c r="C21" i="1" s="1"/>
  <c r="B21" i="1" s="1"/>
  <c r="W21" i="1"/>
  <c r="AE21" i="1"/>
  <c r="AI21" i="1"/>
  <c r="AM21" i="1"/>
  <c r="AN21" i="1"/>
  <c r="AL21" i="1" s="1"/>
  <c r="D22" i="1"/>
  <c r="C22" i="1" s="1"/>
  <c r="B22" i="1" s="1"/>
  <c r="W22" i="1"/>
  <c r="AE22" i="1"/>
  <c r="AI22" i="1"/>
  <c r="AM22" i="1"/>
  <c r="AN22" i="1"/>
  <c r="AL22" i="1" s="1"/>
  <c r="W23" i="1"/>
  <c r="D23" i="1" s="1"/>
  <c r="C23" i="1" s="1"/>
  <c r="B23" i="1" s="1"/>
  <c r="AE23" i="1"/>
  <c r="AI23" i="1"/>
  <c r="AM23" i="1"/>
  <c r="AN23" i="1"/>
  <c r="AL23" i="1" s="1"/>
  <c r="W24" i="1"/>
  <c r="AE24" i="1"/>
  <c r="D24" i="1" s="1"/>
  <c r="C24" i="1" s="1"/>
  <c r="B24" i="1" s="1"/>
  <c r="AI24" i="1"/>
  <c r="AM24" i="1"/>
  <c r="AN24" i="1"/>
  <c r="AL24" i="1" s="1"/>
  <c r="W25" i="1"/>
  <c r="AE25" i="1"/>
  <c r="D25" i="1" s="1"/>
  <c r="C25" i="1" s="1"/>
  <c r="B25" i="1" s="1"/>
  <c r="AI25" i="1"/>
  <c r="AL25" i="1"/>
  <c r="AM25" i="1"/>
  <c r="AN25" i="1"/>
  <c r="W26" i="1"/>
  <c r="D26" i="1" s="1"/>
  <c r="C26" i="1" s="1"/>
  <c r="B26" i="1" s="1"/>
  <c r="AE26" i="1"/>
  <c r="AI26" i="1"/>
  <c r="AL26" i="1"/>
  <c r="AM26" i="1"/>
  <c r="AN26" i="1"/>
  <c r="W27" i="1"/>
  <c r="D27" i="1" s="1"/>
  <c r="C27" i="1" s="1"/>
  <c r="B27" i="1" s="1"/>
  <c r="AE27" i="1"/>
  <c r="AI27" i="1"/>
  <c r="AM27" i="1"/>
  <c r="AN27" i="1"/>
  <c r="AL27" i="1" s="1"/>
  <c r="W28" i="1"/>
  <c r="D28" i="1" s="1"/>
  <c r="C28" i="1" s="1"/>
  <c r="B28" i="1" s="1"/>
  <c r="AE28" i="1"/>
  <c r="AI28" i="1"/>
  <c r="AM28" i="1"/>
  <c r="AN28" i="1"/>
  <c r="AL28" i="1" s="1"/>
  <c r="W29" i="1"/>
  <c r="D29" i="1" s="1"/>
  <c r="C29" i="1" s="1"/>
  <c r="B29" i="1" s="1"/>
  <c r="AE29" i="1"/>
  <c r="AI29" i="1"/>
  <c r="AM29" i="1"/>
  <c r="AN29" i="1"/>
  <c r="AL29" i="1" s="1"/>
  <c r="W30" i="1"/>
  <c r="D30" i="1" s="1"/>
  <c r="C30" i="1" s="1"/>
  <c r="B30" i="1" s="1"/>
  <c r="AE30" i="1"/>
  <c r="AI30" i="1"/>
  <c r="AM30" i="1"/>
  <c r="AL30" i="1" s="1"/>
  <c r="AN30" i="1"/>
  <c r="W31" i="1"/>
  <c r="AE31" i="1"/>
  <c r="AI31" i="1"/>
  <c r="D31" i="1" s="1"/>
  <c r="C31" i="1" s="1"/>
  <c r="B31" i="1" s="1"/>
  <c r="AM31" i="1"/>
  <c r="AN31" i="1"/>
  <c r="AL31" i="1" s="1"/>
  <c r="W32" i="1"/>
  <c r="D32" i="1" s="1"/>
  <c r="C32" i="1" s="1"/>
  <c r="B32" i="1" s="1"/>
  <c r="AE32" i="1"/>
  <c r="AI32" i="1"/>
  <c r="AM32" i="1"/>
  <c r="AN32" i="1"/>
  <c r="AL32" i="1" s="1"/>
  <c r="W33" i="1"/>
  <c r="D33" i="1" s="1"/>
  <c r="C33" i="1" s="1"/>
  <c r="B33" i="1" s="1"/>
  <c r="AE33" i="1"/>
  <c r="AI33" i="1"/>
  <c r="AM33" i="1"/>
  <c r="AN33" i="1"/>
  <c r="AL33" i="1" s="1"/>
  <c r="W34" i="1"/>
  <c r="D34" i="1" s="1"/>
  <c r="C34" i="1" s="1"/>
  <c r="B34" i="1" s="1"/>
  <c r="AE34" i="1"/>
  <c r="AI34" i="1"/>
  <c r="AM34" i="1"/>
  <c r="AN34" i="1"/>
  <c r="AL34" i="1" s="1"/>
  <c r="D35" i="1"/>
  <c r="C35" i="1" s="1"/>
  <c r="B35" i="1" s="1"/>
  <c r="W35" i="1"/>
  <c r="AE35" i="1"/>
  <c r="AI35" i="1"/>
  <c r="AL35" i="1"/>
  <c r="AM35" i="1"/>
  <c r="AN35" i="1"/>
  <c r="W36" i="1"/>
  <c r="D36" i="1" s="1"/>
  <c r="C36" i="1" s="1"/>
  <c r="B36" i="1" s="1"/>
  <c r="AE36" i="1"/>
  <c r="AI36" i="1"/>
  <c r="AM36" i="1"/>
  <c r="AL36" i="1" s="1"/>
  <c r="AN36" i="1"/>
  <c r="W37" i="1"/>
  <c r="D37" i="1" s="1"/>
  <c r="C37" i="1" s="1"/>
  <c r="B37" i="1" s="1"/>
  <c r="AE37" i="1"/>
  <c r="AI37" i="1"/>
  <c r="AM37" i="1"/>
  <c r="AN37" i="1"/>
  <c r="AL37" i="1" s="1"/>
  <c r="W38" i="1"/>
  <c r="D38" i="1" s="1"/>
  <c r="C38" i="1" s="1"/>
  <c r="B38" i="1" s="1"/>
  <c r="AE38" i="1"/>
  <c r="AI38" i="1"/>
  <c r="AM38" i="1"/>
  <c r="AN38" i="1"/>
  <c r="AL38" i="1" s="1"/>
  <c r="W39" i="1"/>
  <c r="D39" i="1" s="1"/>
  <c r="C39" i="1" s="1"/>
  <c r="B39" i="1" s="1"/>
  <c r="AE39" i="1"/>
  <c r="AI39" i="1"/>
  <c r="AL39" i="1"/>
  <c r="AM39" i="1"/>
  <c r="AN39" i="1"/>
  <c r="W40" i="1"/>
  <c r="AE40" i="1"/>
  <c r="D40" i="1" s="1"/>
  <c r="C40" i="1" s="1"/>
  <c r="B40" i="1" s="1"/>
  <c r="AI40" i="1"/>
  <c r="AM40" i="1"/>
  <c r="AL40" i="1" s="1"/>
  <c r="AN40" i="1"/>
  <c r="D41" i="1"/>
  <c r="C41" i="1" s="1"/>
  <c r="B41" i="1" s="1"/>
  <c r="W41" i="1"/>
  <c r="AE41" i="1"/>
  <c r="AI41" i="1"/>
  <c r="AM41" i="1"/>
  <c r="AN41" i="1"/>
  <c r="AL41" i="1" s="1"/>
  <c r="D42" i="1"/>
  <c r="C42" i="1" s="1"/>
  <c r="B42" i="1" s="1"/>
  <c r="W42" i="1"/>
  <c r="AE42" i="1"/>
  <c r="AI42" i="1"/>
  <c r="AM42" i="1"/>
  <c r="AN42" i="1"/>
  <c r="AL42" i="1" s="1"/>
  <c r="W43" i="1"/>
  <c r="D43" i="1" s="1"/>
  <c r="C43" i="1" s="1"/>
  <c r="B43" i="1" s="1"/>
  <c r="AE43" i="1"/>
  <c r="AI43" i="1"/>
  <c r="AM43" i="1"/>
  <c r="AN43" i="1"/>
  <c r="AL43" i="1" s="1"/>
  <c r="W44" i="1"/>
  <c r="AE44" i="1"/>
  <c r="D44" i="1" s="1"/>
  <c r="C44" i="1" s="1"/>
  <c r="B44" i="1" s="1"/>
  <c r="AI44" i="1"/>
  <c r="AM44" i="1"/>
  <c r="AN44" i="1"/>
  <c r="AL44" i="1" s="1"/>
  <c r="W45" i="1"/>
  <c r="AE45" i="1"/>
  <c r="D45" i="1" s="1"/>
  <c r="C45" i="1" s="1"/>
  <c r="B45" i="1" s="1"/>
  <c r="AI45" i="1"/>
  <c r="AL45" i="1"/>
  <c r="AM45" i="1"/>
  <c r="AN45" i="1"/>
  <c r="W46" i="1"/>
  <c r="D46" i="1" s="1"/>
  <c r="C46" i="1" s="1"/>
  <c r="B46" i="1" s="1"/>
  <c r="AE46" i="1"/>
  <c r="AI46" i="1"/>
  <c r="AL46" i="1"/>
  <c r="AM46" i="1"/>
  <c r="AN46" i="1"/>
  <c r="W47" i="1"/>
  <c r="D47" i="1" s="1"/>
  <c r="C47" i="1" s="1"/>
  <c r="B47" i="1" s="1"/>
  <c r="AE47" i="1"/>
  <c r="AI47" i="1"/>
  <c r="AM47" i="1"/>
  <c r="AN47" i="1"/>
  <c r="AL47" i="1" s="1"/>
  <c r="W48" i="1"/>
  <c r="D48" i="1" s="1"/>
  <c r="C48" i="1" s="1"/>
  <c r="B48" i="1" s="1"/>
  <c r="AE48" i="1"/>
  <c r="AI48" i="1"/>
  <c r="AM48" i="1"/>
  <c r="AN48" i="1"/>
  <c r="AL48" i="1" s="1"/>
  <c r="W49" i="1"/>
  <c r="D49" i="1" s="1"/>
  <c r="C49" i="1" s="1"/>
  <c r="B49" i="1" s="1"/>
  <c r="AE49" i="1"/>
  <c r="AI49" i="1"/>
  <c r="AM49" i="1"/>
  <c r="AN49" i="1"/>
  <c r="AL49" i="1" s="1"/>
  <c r="W50" i="1"/>
  <c r="D50" i="1" s="1"/>
  <c r="C50" i="1" s="1"/>
  <c r="B50" i="1" s="1"/>
  <c r="AE50" i="1"/>
  <c r="AI50" i="1"/>
  <c r="AM50" i="1"/>
  <c r="AL50" i="1" s="1"/>
  <c r="AN50" i="1"/>
  <c r="C51" i="1"/>
  <c r="B51" i="1" s="1"/>
  <c r="D51" i="1"/>
  <c r="W51" i="1"/>
  <c r="AE51" i="1"/>
  <c r="AI51" i="1"/>
  <c r="AM51" i="1"/>
  <c r="AN51" i="1"/>
  <c r="AL51" i="1" s="1"/>
</calcChain>
</file>

<file path=xl/sharedStrings.xml><?xml version="1.0" encoding="utf-8"?>
<sst xmlns="http://schemas.openxmlformats.org/spreadsheetml/2006/main" count="70" uniqueCount="69">
  <si>
    <t>Student Number</t>
  </si>
  <si>
    <t>FINAL GRADE</t>
  </si>
  <si>
    <t>Adjusted pre final</t>
  </si>
  <si>
    <t>Unadjusted pre final</t>
  </si>
  <si>
    <t>Algebra Review</t>
  </si>
  <si>
    <t>Web Chapter Aa</t>
  </si>
  <si>
    <t>Web Chapter Ab</t>
  </si>
  <si>
    <t>Chapter 3b</t>
  </si>
  <si>
    <t>Chapter 4b</t>
  </si>
  <si>
    <t>Chapter 4c</t>
  </si>
  <si>
    <t>Chapter 4d</t>
  </si>
  <si>
    <t>Chapter 7c</t>
  </si>
  <si>
    <t>Chapter 8a</t>
  </si>
  <si>
    <t>Chapter 8b</t>
  </si>
  <si>
    <t>In Class Average</t>
  </si>
  <si>
    <t>HW Average</t>
  </si>
  <si>
    <t>Exam 1</t>
  </si>
  <si>
    <t>Exam 2</t>
  </si>
  <si>
    <t>Exam 3</t>
  </si>
  <si>
    <t>Test Average</t>
  </si>
  <si>
    <t>Final Exam</t>
  </si>
  <si>
    <t>Excused Absences</t>
  </si>
  <si>
    <t>Unexcused Absenses</t>
  </si>
  <si>
    <t>September 3rd</t>
  </si>
  <si>
    <t>September 5th</t>
  </si>
  <si>
    <t>September 10th</t>
  </si>
  <si>
    <t>September 12th</t>
  </si>
  <si>
    <t>Chapter 2A</t>
  </si>
  <si>
    <t>September 17th</t>
  </si>
  <si>
    <t>September 19th</t>
  </si>
  <si>
    <t>September 24th</t>
  </si>
  <si>
    <t>September 26th</t>
  </si>
  <si>
    <t>October 1st</t>
  </si>
  <si>
    <t>October 3rd</t>
  </si>
  <si>
    <t>October 8th</t>
  </si>
  <si>
    <t>October 10th</t>
  </si>
  <si>
    <t>October 15th</t>
  </si>
  <si>
    <t>October 17th</t>
  </si>
  <si>
    <t>October 22nd</t>
  </si>
  <si>
    <t>October 24th</t>
  </si>
  <si>
    <t>Chapter 2B</t>
  </si>
  <si>
    <t>Homework Ch. 2</t>
  </si>
  <si>
    <t>Homework Web Ch.</t>
  </si>
  <si>
    <t>Chapter 3c</t>
  </si>
  <si>
    <t>Homework - Demand Analysis</t>
  </si>
  <si>
    <t>October 29th</t>
  </si>
  <si>
    <t>October 31st</t>
  </si>
  <si>
    <t>November 5th</t>
  </si>
  <si>
    <t>November 7th</t>
  </si>
  <si>
    <t>November 12th</t>
  </si>
  <si>
    <t xml:space="preserve">November 14th </t>
  </si>
  <si>
    <t>Chapter 4e</t>
  </si>
  <si>
    <t>Chapter 5a</t>
  </si>
  <si>
    <t>Chapter 5b</t>
  </si>
  <si>
    <t>Chapter 7</t>
  </si>
  <si>
    <t>Homework Ch. 4</t>
  </si>
  <si>
    <t>Homework Ch 5</t>
  </si>
  <si>
    <t>Chapter 7b</t>
  </si>
  <si>
    <t>November 21st</t>
  </si>
  <si>
    <t>November 19th</t>
  </si>
  <si>
    <t>November 26th</t>
  </si>
  <si>
    <t>Homework Ch 7</t>
  </si>
  <si>
    <t>November 28th</t>
  </si>
  <si>
    <t>December 3rd</t>
  </si>
  <si>
    <t>Decmber 5th</t>
  </si>
  <si>
    <t>December 10th</t>
  </si>
  <si>
    <t>December 13th</t>
  </si>
  <si>
    <t>Homework Ch 6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</si>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</sst>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5" formatCode="00000"/>
  </numFmts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Fill="1" applyAlignment="1">
      <alignment wrapText="1"/>
    </xf>
    <xf numFmtId="175" fontId="1" fillId="0" borderId="0" xfId="0" applyNumberFormat="1" applyFont="1" applyFill="1" applyAlignment="1">
      <alignment wrapText="1"/>
    </xf>
    <xf numFmtId="0" fontId="0" fillId="0" borderId="0" xfId="0" applyFill="1"/>
    <xf numFmtId="49" fontId="2" fillId="0" borderId="1" xfId="0" applyNumberFormat="1" applyFont="1" applyFill="1" applyBorder="1" applyAlignment="1">
      <alignment horizontal="center" textRotation="90"/>
    </xf>
    <xf numFmtId="1" fontId="2" fillId="0" borderId="1" xfId="0" applyNumberFormat="1" applyFont="1" applyFill="1" applyBorder="1" applyAlignment="1">
      <alignment horizontal="right" textRotation="90"/>
    </xf>
    <xf numFmtId="0" fontId="1" fillId="0" borderId="1" xfId="0" applyFont="1" applyFill="1" applyBorder="1" applyAlignment="1">
      <alignment horizontal="right" textRotation="90"/>
    </xf>
    <xf numFmtId="0" fontId="2" fillId="0" borderId="1" xfId="0" applyFont="1" applyFill="1" applyBorder="1" applyAlignment="1">
      <alignment horizontal="right" textRotation="90"/>
    </xf>
    <xf numFmtId="1" fontId="1" fillId="0" borderId="1" xfId="0" applyNumberFormat="1" applyFont="1" applyFill="1" applyBorder="1" applyAlignment="1">
      <alignment horizontal="right" textRotation="90"/>
    </xf>
    <xf numFmtId="0" fontId="1" fillId="0" borderId="0" xfId="0" applyFont="1" applyFill="1" applyAlignment="1">
      <alignment textRotation="90"/>
    </xf>
    <xf numFmtId="0" fontId="2" fillId="0" borderId="0" xfId="0" applyFont="1" applyFill="1" applyAlignment="1">
      <alignment horizontal="center"/>
    </xf>
    <xf numFmtId="0" fontId="2" fillId="0" borderId="0" xfId="0" applyFont="1"/>
    <xf numFmtId="0" fontId="1" fillId="0" borderId="0" xfId="0" applyFont="1" applyFill="1" applyAlignment="1">
      <alignment horizontal="center" textRotation="90"/>
    </xf>
    <xf numFmtId="0" fontId="0" fillId="0" borderId="0" xfId="0" applyAlignment="1">
      <alignment textRotation="90"/>
    </xf>
    <xf numFmtId="0" fontId="2" fillId="0" borderId="0" xfId="0" applyFont="1" applyFill="1" applyAlignment="1">
      <alignment wrapText="1"/>
    </xf>
    <xf numFmtId="0" fontId="2" fillId="0" borderId="0" xfId="0" applyFon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82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15" customHeight="1" x14ac:dyDescent="0.3"/>
  <cols>
    <col min="1" max="1" width="7.453125" customWidth="1"/>
    <col min="2" max="2" width="3.7265625" style="11" customWidth="1"/>
    <col min="3" max="15" width="3.7265625" customWidth="1"/>
    <col min="16" max="16" width="4" style="16" bestFit="1" customWidth="1"/>
    <col min="17" max="22" width="3.7265625" customWidth="1"/>
    <col min="23" max="23" width="3.7265625" style="11" customWidth="1"/>
    <col min="24" max="24" width="3.7265625" customWidth="1"/>
    <col min="25" max="25" width="5" bestFit="1" customWidth="1"/>
    <col min="26" max="30" width="3.7265625" customWidth="1"/>
    <col min="31" max="31" width="3.7265625" style="11" customWidth="1"/>
    <col min="32" max="32" width="3.7265625" customWidth="1"/>
    <col min="33" max="33" width="5" bestFit="1" customWidth="1"/>
    <col min="34" max="34" width="3.7265625" customWidth="1"/>
    <col min="35" max="37" width="3.7265625" style="11" customWidth="1"/>
    <col min="38" max="69" width="3.7265625" customWidth="1"/>
    <col min="70" max="70" width="3.7265625" style="13" customWidth="1"/>
    <col min="71" max="71" width="3.26953125" bestFit="1" customWidth="1"/>
    <col min="72" max="72" width="9.26953125" customWidth="1"/>
  </cols>
  <sheetData>
    <row r="1" spans="1:71" s="10" customFormat="1" ht="138.5" x14ac:dyDescent="0.3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27</v>
      </c>
      <c r="G1" s="6" t="s">
        <v>40</v>
      </c>
      <c r="H1" s="6" t="s">
        <v>5</v>
      </c>
      <c r="I1" s="6" t="s">
        <v>6</v>
      </c>
      <c r="J1" s="6" t="s">
        <v>7</v>
      </c>
      <c r="K1" s="6" t="s">
        <v>43</v>
      </c>
      <c r="L1" s="6" t="s">
        <v>8</v>
      </c>
      <c r="M1" s="6" t="s">
        <v>9</v>
      </c>
      <c r="N1" s="6" t="s">
        <v>10</v>
      </c>
      <c r="O1" s="6" t="s">
        <v>51</v>
      </c>
      <c r="P1" s="8" t="s">
        <v>52</v>
      </c>
      <c r="Q1" s="6" t="s">
        <v>53</v>
      </c>
      <c r="R1" s="6" t="s">
        <v>54</v>
      </c>
      <c r="S1" s="6" t="s">
        <v>57</v>
      </c>
      <c r="T1" s="6" t="s">
        <v>11</v>
      </c>
      <c r="U1" s="6" t="s">
        <v>12</v>
      </c>
      <c r="V1" s="6" t="s">
        <v>13</v>
      </c>
      <c r="W1" s="7" t="s">
        <v>14</v>
      </c>
      <c r="X1" s="6" t="s">
        <v>41</v>
      </c>
      <c r="Y1" s="6" t="s">
        <v>42</v>
      </c>
      <c r="Z1" s="6" t="s">
        <v>44</v>
      </c>
      <c r="AA1" s="6" t="s">
        <v>55</v>
      </c>
      <c r="AB1" s="6" t="s">
        <v>56</v>
      </c>
      <c r="AC1" s="6" t="s">
        <v>67</v>
      </c>
      <c r="AD1" s="6" t="s">
        <v>61</v>
      </c>
      <c r="AE1" s="5" t="s">
        <v>15</v>
      </c>
      <c r="AF1" s="6" t="s">
        <v>16</v>
      </c>
      <c r="AG1" s="6" t="s">
        <v>17</v>
      </c>
      <c r="AH1" s="6" t="s">
        <v>18</v>
      </c>
      <c r="AI1" s="5" t="s">
        <v>19</v>
      </c>
      <c r="AJ1" s="7" t="s">
        <v>20</v>
      </c>
      <c r="AK1" s="7"/>
      <c r="AL1" s="7" t="s">
        <v>21</v>
      </c>
      <c r="AM1" s="7" t="s">
        <v>22</v>
      </c>
      <c r="AN1" s="7" t="s">
        <v>68</v>
      </c>
      <c r="AO1" s="8" t="s">
        <v>23</v>
      </c>
      <c r="AP1" s="8" t="s">
        <v>24</v>
      </c>
      <c r="AQ1" s="8" t="s">
        <v>25</v>
      </c>
      <c r="AR1" s="8" t="s">
        <v>26</v>
      </c>
      <c r="AS1" s="8" t="s">
        <v>28</v>
      </c>
      <c r="AT1" s="8" t="s">
        <v>29</v>
      </c>
      <c r="AU1" s="8" t="s">
        <v>30</v>
      </c>
      <c r="AV1" s="8" t="s">
        <v>31</v>
      </c>
      <c r="AW1" s="8" t="s">
        <v>32</v>
      </c>
      <c r="AX1" s="8" t="s">
        <v>33</v>
      </c>
      <c r="AY1" s="8" t="s">
        <v>34</v>
      </c>
      <c r="AZ1" s="8" t="s">
        <v>34</v>
      </c>
      <c r="BA1" s="8" t="s">
        <v>35</v>
      </c>
      <c r="BB1" s="8" t="s">
        <v>36</v>
      </c>
      <c r="BC1" s="8" t="s">
        <v>37</v>
      </c>
      <c r="BD1" s="8" t="s">
        <v>38</v>
      </c>
      <c r="BE1" s="8" t="s">
        <v>39</v>
      </c>
      <c r="BF1" s="8" t="s">
        <v>45</v>
      </c>
      <c r="BG1" s="8" t="s">
        <v>46</v>
      </c>
      <c r="BH1" s="8" t="s">
        <v>47</v>
      </c>
      <c r="BI1" s="8" t="s">
        <v>48</v>
      </c>
      <c r="BJ1" s="8" t="s">
        <v>49</v>
      </c>
      <c r="BK1" s="9" t="s">
        <v>50</v>
      </c>
      <c r="BL1" s="9" t="s">
        <v>59</v>
      </c>
      <c r="BM1" s="12" t="s">
        <v>58</v>
      </c>
      <c r="BN1" s="12" t="s">
        <v>60</v>
      </c>
      <c r="BO1" s="12" t="s">
        <v>62</v>
      </c>
      <c r="BP1" s="12" t="s">
        <v>63</v>
      </c>
      <c r="BQ1" s="12" t="s">
        <v>64</v>
      </c>
      <c r="BR1" s="12" t="s">
        <v>65</v>
      </c>
      <c r="BS1" s="12" t="s">
        <v>66</v>
      </c>
    </row>
    <row r="2" spans="1:71" ht="14.15" customHeight="1" x14ac:dyDescent="0.3">
      <c r="A2" s="2">
        <v>2925</v>
      </c>
      <c r="B2" s="14">
        <f t="shared" ref="B2:B51" si="0">C2*0.8+AJ2*0.2</f>
        <v>85.602380952380969</v>
      </c>
      <c r="C2" s="1">
        <f t="shared" ref="C2:C51" si="1">IF(AJ2&gt;84,D2*1.1,D2)</f>
        <v>86.252976190476204</v>
      </c>
      <c r="D2" s="1">
        <f t="shared" ref="D2:D51" si="2">W2*0.25+AE2*0.125+AI2*0.625</f>
        <v>86.252976190476204</v>
      </c>
      <c r="E2">
        <v>96</v>
      </c>
      <c r="F2">
        <v>100</v>
      </c>
      <c r="G2">
        <v>96</v>
      </c>
      <c r="H2">
        <v>96</v>
      </c>
      <c r="I2">
        <v>100</v>
      </c>
      <c r="J2">
        <v>96</v>
      </c>
      <c r="K2">
        <v>100</v>
      </c>
      <c r="L2">
        <v>100</v>
      </c>
      <c r="M2">
        <v>96</v>
      </c>
      <c r="N2">
        <v>96</v>
      </c>
      <c r="O2">
        <v>91</v>
      </c>
      <c r="P2" s="16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 s="11">
        <f t="shared" ref="W2:W33" si="3">AVERAGE(E2:V2)</f>
        <v>98.166666666666671</v>
      </c>
      <c r="X2">
        <v>84</v>
      </c>
      <c r="Y2">
        <v>92</v>
      </c>
      <c r="Z2">
        <v>95</v>
      </c>
      <c r="AA2">
        <v>91</v>
      </c>
      <c r="AB2">
        <v>100</v>
      </c>
      <c r="AC2">
        <v>90</v>
      </c>
      <c r="AD2">
        <v>98</v>
      </c>
      <c r="AE2" s="11">
        <f t="shared" ref="AE2:AE51" si="4">AVERAGE(X2:AD2)</f>
        <v>92.857142857142861</v>
      </c>
      <c r="AF2">
        <v>83</v>
      </c>
      <c r="AG2">
        <v>88</v>
      </c>
      <c r="AH2">
        <v>69.5</v>
      </c>
      <c r="AI2" s="11">
        <f t="shared" ref="AI2:AI51" si="5">AVERAGE(AF2:AH2)</f>
        <v>80.166666666666671</v>
      </c>
      <c r="AJ2" s="11">
        <v>83</v>
      </c>
      <c r="AL2">
        <f t="shared" ref="AL2:AL51" si="6">AN2-AM2</f>
        <v>0</v>
      </c>
      <c r="AM2">
        <f t="shared" ref="AM2:AM51" si="7">SUM(AO2:BS2)</f>
        <v>0</v>
      </c>
      <c r="AN2">
        <f t="shared" ref="AN2:AN51" si="8">COUNT(AO2:BS2)</f>
        <v>0</v>
      </c>
    </row>
    <row r="3" spans="1:71" ht="14.15" customHeight="1" x14ac:dyDescent="0.3">
      <c r="A3" s="2">
        <v>5848</v>
      </c>
      <c r="B3" s="14">
        <f t="shared" si="0"/>
        <v>84.36904761904762</v>
      </c>
      <c r="C3" s="1">
        <f t="shared" si="1"/>
        <v>84.711309523809518</v>
      </c>
      <c r="D3" s="1">
        <f t="shared" si="2"/>
        <v>84.711309523809518</v>
      </c>
      <c r="E3">
        <v>96</v>
      </c>
      <c r="F3">
        <v>92</v>
      </c>
      <c r="G3">
        <v>0</v>
      </c>
      <c r="H3">
        <v>92</v>
      </c>
      <c r="I3">
        <v>100</v>
      </c>
      <c r="J3">
        <v>98</v>
      </c>
      <c r="K3">
        <v>100</v>
      </c>
      <c r="L3">
        <v>100</v>
      </c>
      <c r="M3">
        <v>98</v>
      </c>
      <c r="N3">
        <v>100</v>
      </c>
      <c r="O3">
        <v>96</v>
      </c>
      <c r="P3" s="16">
        <v>87.5</v>
      </c>
      <c r="Q3">
        <v>100</v>
      </c>
      <c r="R3">
        <v>100</v>
      </c>
      <c r="S3">
        <v>100</v>
      </c>
      <c r="T3">
        <v>98</v>
      </c>
      <c r="U3">
        <v>100</v>
      </c>
      <c r="V3">
        <v>100</v>
      </c>
      <c r="W3" s="11">
        <f t="shared" si="3"/>
        <v>92.083333333333329</v>
      </c>
      <c r="X3">
        <v>82</v>
      </c>
      <c r="Y3">
        <v>84</v>
      </c>
      <c r="Z3">
        <v>98</v>
      </c>
      <c r="AA3">
        <v>87</v>
      </c>
      <c r="AB3">
        <v>100</v>
      </c>
      <c r="AC3">
        <v>93</v>
      </c>
      <c r="AD3">
        <v>99</v>
      </c>
      <c r="AE3" s="11">
        <f t="shared" si="4"/>
        <v>91.857142857142861</v>
      </c>
      <c r="AF3">
        <v>82</v>
      </c>
      <c r="AG3">
        <v>76</v>
      </c>
      <c r="AH3">
        <v>83</v>
      </c>
      <c r="AI3" s="11">
        <f t="shared" si="5"/>
        <v>80.333333333333329</v>
      </c>
      <c r="AJ3" s="11">
        <v>83</v>
      </c>
      <c r="AL3">
        <f t="shared" si="6"/>
        <v>0</v>
      </c>
      <c r="AM3">
        <f t="shared" si="7"/>
        <v>0</v>
      </c>
      <c r="AN3">
        <f t="shared" si="8"/>
        <v>0</v>
      </c>
    </row>
    <row r="4" spans="1:71" ht="14.15" customHeight="1" x14ac:dyDescent="0.3">
      <c r="A4" s="1">
        <v>10349</v>
      </c>
      <c r="B4" s="14">
        <f t="shared" si="0"/>
        <v>68.390476190476193</v>
      </c>
      <c r="C4" s="1">
        <f t="shared" si="1"/>
        <v>66.738095238095241</v>
      </c>
      <c r="D4" s="1">
        <f t="shared" si="2"/>
        <v>66.738095238095241</v>
      </c>
      <c r="E4">
        <v>98</v>
      </c>
      <c r="F4">
        <v>0</v>
      </c>
      <c r="G4">
        <v>0</v>
      </c>
      <c r="H4">
        <v>92</v>
      </c>
      <c r="I4">
        <v>94</v>
      </c>
      <c r="J4">
        <v>94</v>
      </c>
      <c r="K4">
        <v>100</v>
      </c>
      <c r="L4">
        <v>100</v>
      </c>
      <c r="M4">
        <v>98</v>
      </c>
      <c r="N4">
        <v>0</v>
      </c>
      <c r="O4">
        <v>96</v>
      </c>
      <c r="P4" s="16">
        <v>96</v>
      </c>
      <c r="Q4">
        <v>100</v>
      </c>
      <c r="R4">
        <v>96</v>
      </c>
      <c r="S4">
        <v>100</v>
      </c>
      <c r="T4">
        <v>100</v>
      </c>
      <c r="U4">
        <v>100</v>
      </c>
      <c r="V4">
        <v>100</v>
      </c>
      <c r="W4" s="11">
        <f t="shared" si="3"/>
        <v>81.333333333333329</v>
      </c>
      <c r="X4">
        <v>47</v>
      </c>
      <c r="Y4">
        <v>96</v>
      </c>
      <c r="Z4">
        <v>99</v>
      </c>
      <c r="AA4">
        <v>93</v>
      </c>
      <c r="AB4">
        <v>100</v>
      </c>
      <c r="AC4">
        <v>94</v>
      </c>
      <c r="AD4">
        <v>98</v>
      </c>
      <c r="AE4" s="11">
        <f t="shared" si="4"/>
        <v>89.571428571428569</v>
      </c>
      <c r="AF4">
        <v>50</v>
      </c>
      <c r="AG4">
        <v>46</v>
      </c>
      <c r="AH4">
        <v>73</v>
      </c>
      <c r="AI4" s="11">
        <f t="shared" si="5"/>
        <v>56.333333333333336</v>
      </c>
      <c r="AJ4" s="11">
        <v>75</v>
      </c>
      <c r="AL4">
        <f t="shared" si="6"/>
        <v>0</v>
      </c>
      <c r="AM4">
        <f t="shared" si="7"/>
        <v>4</v>
      </c>
      <c r="AN4">
        <f t="shared" si="8"/>
        <v>4</v>
      </c>
      <c r="AQ4">
        <v>1</v>
      </c>
      <c r="AR4">
        <v>1</v>
      </c>
      <c r="AX4">
        <v>1</v>
      </c>
      <c r="BD4">
        <v>1</v>
      </c>
    </row>
    <row r="5" spans="1:71" ht="14.15" customHeight="1" x14ac:dyDescent="0.3">
      <c r="A5" s="2">
        <v>11092</v>
      </c>
      <c r="B5" s="14">
        <f t="shared" si="0"/>
        <v>9.4333333333333336</v>
      </c>
      <c r="C5" s="1">
        <f t="shared" si="1"/>
        <v>11.791666666666666</v>
      </c>
      <c r="D5" s="1">
        <f t="shared" si="2"/>
        <v>11.791666666666666</v>
      </c>
      <c r="E5">
        <v>91</v>
      </c>
      <c r="F5">
        <v>88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s="16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 s="11">
        <f t="shared" si="3"/>
        <v>15.5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s="11">
        <f t="shared" si="4"/>
        <v>0</v>
      </c>
      <c r="AF5">
        <v>38</v>
      </c>
      <c r="AG5">
        <v>0</v>
      </c>
      <c r="AH5">
        <v>0</v>
      </c>
      <c r="AI5" s="11">
        <f t="shared" si="5"/>
        <v>12.666666666666666</v>
      </c>
      <c r="AJ5" s="11">
        <v>0</v>
      </c>
      <c r="AL5">
        <f t="shared" si="6"/>
        <v>0</v>
      </c>
      <c r="AM5">
        <f t="shared" si="7"/>
        <v>19</v>
      </c>
      <c r="AN5">
        <f t="shared" si="8"/>
        <v>19</v>
      </c>
      <c r="AP5">
        <v>1</v>
      </c>
      <c r="AR5">
        <v>1</v>
      </c>
      <c r="AS5">
        <v>1</v>
      </c>
      <c r="AU5">
        <v>1</v>
      </c>
      <c r="AV5">
        <v>1</v>
      </c>
      <c r="AW5">
        <v>1</v>
      </c>
      <c r="AX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</row>
    <row r="6" spans="1:71" ht="14.15" customHeight="1" x14ac:dyDescent="0.3">
      <c r="A6" s="1">
        <v>13633</v>
      </c>
      <c r="B6" s="14">
        <f t="shared" si="0"/>
        <v>77.297619047619037</v>
      </c>
      <c r="C6" s="1">
        <f t="shared" si="1"/>
        <v>80.622023809523796</v>
      </c>
      <c r="D6" s="1">
        <f t="shared" si="2"/>
        <v>80.622023809523796</v>
      </c>
      <c r="E6">
        <v>100</v>
      </c>
      <c r="F6">
        <v>98</v>
      </c>
      <c r="G6">
        <v>100</v>
      </c>
      <c r="H6">
        <v>100</v>
      </c>
      <c r="I6">
        <v>100</v>
      </c>
      <c r="J6">
        <v>96</v>
      </c>
      <c r="K6">
        <v>100</v>
      </c>
      <c r="L6">
        <v>100</v>
      </c>
      <c r="M6">
        <v>96</v>
      </c>
      <c r="N6">
        <v>98</v>
      </c>
      <c r="O6">
        <v>94</v>
      </c>
      <c r="P6" s="16">
        <v>100</v>
      </c>
      <c r="Q6">
        <v>100</v>
      </c>
      <c r="R6">
        <v>98</v>
      </c>
      <c r="S6">
        <v>100</v>
      </c>
      <c r="T6">
        <v>0</v>
      </c>
      <c r="U6">
        <v>100</v>
      </c>
      <c r="V6">
        <v>100</v>
      </c>
      <c r="W6" s="11">
        <f t="shared" si="3"/>
        <v>93.333333333333329</v>
      </c>
      <c r="X6">
        <v>82</v>
      </c>
      <c r="Y6">
        <v>0</v>
      </c>
      <c r="Z6">
        <v>85</v>
      </c>
      <c r="AA6">
        <v>49</v>
      </c>
      <c r="AB6">
        <v>100</v>
      </c>
      <c r="AC6">
        <v>38</v>
      </c>
      <c r="AD6">
        <v>95</v>
      </c>
      <c r="AE6" s="11">
        <f t="shared" si="4"/>
        <v>64.142857142857139</v>
      </c>
      <c r="AF6">
        <v>82</v>
      </c>
      <c r="AG6">
        <v>75</v>
      </c>
      <c r="AH6">
        <v>79.5</v>
      </c>
      <c r="AI6" s="11">
        <f t="shared" si="5"/>
        <v>78.833333333333329</v>
      </c>
      <c r="AJ6" s="11">
        <v>64</v>
      </c>
      <c r="AL6">
        <f t="shared" si="6"/>
        <v>0</v>
      </c>
      <c r="AM6">
        <f t="shared" si="7"/>
        <v>1</v>
      </c>
      <c r="AN6">
        <f t="shared" si="8"/>
        <v>1</v>
      </c>
      <c r="BK6">
        <v>1</v>
      </c>
    </row>
    <row r="7" spans="1:71" ht="14.15" customHeight="1" x14ac:dyDescent="0.3">
      <c r="A7" s="1">
        <v>13779</v>
      </c>
      <c r="B7" s="14">
        <f t="shared" si="0"/>
        <v>73.457936507936509</v>
      </c>
      <c r="C7" s="1">
        <f t="shared" si="1"/>
        <v>74.572420634920633</v>
      </c>
      <c r="D7" s="1">
        <f t="shared" si="2"/>
        <v>74.572420634920633</v>
      </c>
      <c r="E7">
        <v>90</v>
      </c>
      <c r="F7">
        <v>100</v>
      </c>
      <c r="G7">
        <v>96</v>
      </c>
      <c r="H7">
        <v>96</v>
      </c>
      <c r="I7">
        <v>100</v>
      </c>
      <c r="J7">
        <v>100</v>
      </c>
      <c r="K7">
        <v>100</v>
      </c>
      <c r="L7">
        <v>100</v>
      </c>
      <c r="M7">
        <v>100</v>
      </c>
      <c r="N7">
        <v>96</v>
      </c>
      <c r="O7">
        <v>98</v>
      </c>
      <c r="P7" s="16">
        <v>100</v>
      </c>
      <c r="Q7">
        <v>100</v>
      </c>
      <c r="R7">
        <v>98</v>
      </c>
      <c r="S7">
        <v>100</v>
      </c>
      <c r="T7">
        <v>98</v>
      </c>
      <c r="U7">
        <v>100</v>
      </c>
      <c r="V7">
        <v>100</v>
      </c>
      <c r="W7" s="11">
        <f t="shared" si="3"/>
        <v>98.444444444444443</v>
      </c>
      <c r="X7">
        <v>70</v>
      </c>
      <c r="Y7">
        <v>70</v>
      </c>
      <c r="Z7">
        <v>96</v>
      </c>
      <c r="AA7">
        <v>84</v>
      </c>
      <c r="AB7">
        <v>95</v>
      </c>
      <c r="AC7">
        <v>76</v>
      </c>
      <c r="AD7">
        <v>96</v>
      </c>
      <c r="AE7" s="11">
        <f t="shared" si="4"/>
        <v>83.857142857142861</v>
      </c>
      <c r="AF7">
        <v>69</v>
      </c>
      <c r="AG7">
        <v>67</v>
      </c>
      <c r="AH7">
        <v>53.5</v>
      </c>
      <c r="AI7" s="11">
        <f t="shared" si="5"/>
        <v>63.166666666666664</v>
      </c>
      <c r="AJ7" s="11">
        <v>69</v>
      </c>
      <c r="AL7">
        <f t="shared" si="6"/>
        <v>0</v>
      </c>
      <c r="AM7">
        <f t="shared" si="7"/>
        <v>0</v>
      </c>
      <c r="AN7">
        <f t="shared" si="8"/>
        <v>0</v>
      </c>
    </row>
    <row r="8" spans="1:71" ht="14.15" customHeight="1" x14ac:dyDescent="0.3">
      <c r="A8" s="1">
        <v>16079</v>
      </c>
      <c r="B8" s="14">
        <f t="shared" si="0"/>
        <v>72.056162464985988</v>
      </c>
      <c r="C8" s="1">
        <f t="shared" si="1"/>
        <v>75.570203081232478</v>
      </c>
      <c r="D8" s="1">
        <f t="shared" si="2"/>
        <v>75.570203081232478</v>
      </c>
      <c r="E8">
        <v>0</v>
      </c>
      <c r="F8">
        <v>100</v>
      </c>
      <c r="G8">
        <v>96</v>
      </c>
      <c r="H8">
        <v>96</v>
      </c>
      <c r="I8">
        <v>100</v>
      </c>
      <c r="J8">
        <v>0</v>
      </c>
      <c r="L8">
        <v>100</v>
      </c>
      <c r="M8">
        <v>100</v>
      </c>
      <c r="N8">
        <v>96</v>
      </c>
      <c r="O8">
        <v>98</v>
      </c>
      <c r="P8" s="16">
        <v>100</v>
      </c>
      <c r="Q8">
        <v>100</v>
      </c>
      <c r="R8">
        <v>98</v>
      </c>
      <c r="S8">
        <v>100</v>
      </c>
      <c r="T8">
        <v>0</v>
      </c>
      <c r="U8">
        <v>100</v>
      </c>
      <c r="V8">
        <v>100</v>
      </c>
      <c r="W8" s="11">
        <f t="shared" si="3"/>
        <v>81.411764705882348</v>
      </c>
      <c r="X8">
        <v>42</v>
      </c>
      <c r="Y8">
        <v>70</v>
      </c>
      <c r="Z8">
        <v>86</v>
      </c>
      <c r="AA8">
        <v>84</v>
      </c>
      <c r="AB8">
        <v>95</v>
      </c>
      <c r="AC8">
        <v>0</v>
      </c>
      <c r="AD8">
        <v>96</v>
      </c>
      <c r="AE8" s="11">
        <f t="shared" si="4"/>
        <v>67.571428571428569</v>
      </c>
      <c r="AF8">
        <v>70</v>
      </c>
      <c r="AG8">
        <v>78</v>
      </c>
      <c r="AH8">
        <v>76.5</v>
      </c>
      <c r="AI8" s="11">
        <f t="shared" si="5"/>
        <v>74.833333333333329</v>
      </c>
      <c r="AJ8" s="11">
        <v>58</v>
      </c>
      <c r="AL8">
        <f t="shared" si="6"/>
        <v>0</v>
      </c>
      <c r="AM8">
        <f t="shared" si="7"/>
        <v>2</v>
      </c>
      <c r="AN8">
        <f t="shared" si="8"/>
        <v>2</v>
      </c>
      <c r="AV8">
        <v>1</v>
      </c>
      <c r="BK8">
        <v>1</v>
      </c>
    </row>
    <row r="9" spans="1:71" ht="14.15" customHeight="1" x14ac:dyDescent="0.3">
      <c r="A9" s="1">
        <v>18548</v>
      </c>
      <c r="B9" s="14">
        <f t="shared" si="0"/>
        <v>26.736507936507941</v>
      </c>
      <c r="C9" s="1">
        <f t="shared" si="1"/>
        <v>33.420634920634924</v>
      </c>
      <c r="D9" s="1">
        <f t="shared" si="2"/>
        <v>33.420634920634924</v>
      </c>
      <c r="E9">
        <v>100</v>
      </c>
      <c r="F9">
        <v>88</v>
      </c>
      <c r="G9">
        <v>96</v>
      </c>
      <c r="H9">
        <v>92</v>
      </c>
      <c r="I9">
        <v>100</v>
      </c>
      <c r="J9">
        <v>100</v>
      </c>
      <c r="K9">
        <v>100</v>
      </c>
      <c r="L9">
        <v>100</v>
      </c>
      <c r="M9">
        <v>80</v>
      </c>
      <c r="N9">
        <v>100</v>
      </c>
      <c r="O9">
        <v>98</v>
      </c>
      <c r="P9" s="16">
        <v>100</v>
      </c>
      <c r="Q9">
        <v>100</v>
      </c>
      <c r="R9">
        <v>98</v>
      </c>
      <c r="S9">
        <v>0</v>
      </c>
      <c r="T9">
        <v>0</v>
      </c>
      <c r="U9">
        <v>0</v>
      </c>
      <c r="V9">
        <v>0</v>
      </c>
      <c r="W9" s="11">
        <f t="shared" si="3"/>
        <v>75.111111111111114</v>
      </c>
      <c r="X9">
        <v>30</v>
      </c>
      <c r="Y9">
        <v>50</v>
      </c>
      <c r="Z9">
        <v>96</v>
      </c>
      <c r="AA9">
        <v>84</v>
      </c>
      <c r="AB9">
        <v>0</v>
      </c>
      <c r="AC9">
        <v>0</v>
      </c>
      <c r="AD9">
        <v>0</v>
      </c>
      <c r="AE9" s="11">
        <f t="shared" si="4"/>
        <v>37.142857142857146</v>
      </c>
      <c r="AF9">
        <v>48</v>
      </c>
      <c r="AG9">
        <v>0</v>
      </c>
      <c r="AH9">
        <v>0</v>
      </c>
      <c r="AI9" s="11">
        <f t="shared" si="5"/>
        <v>16</v>
      </c>
      <c r="AJ9" s="11">
        <v>0</v>
      </c>
      <c r="AL9">
        <f t="shared" si="6"/>
        <v>0</v>
      </c>
      <c r="AM9">
        <f t="shared" si="7"/>
        <v>6</v>
      </c>
      <c r="AN9">
        <f t="shared" si="8"/>
        <v>6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</row>
    <row r="10" spans="1:71" ht="14.15" customHeight="1" x14ac:dyDescent="0.3">
      <c r="A10" s="1">
        <v>18841</v>
      </c>
      <c r="B10" s="14">
        <f t="shared" si="0"/>
        <v>98.600317460317484</v>
      </c>
      <c r="C10" s="1">
        <f t="shared" si="1"/>
        <v>100.75039682539685</v>
      </c>
      <c r="D10" s="1">
        <f t="shared" si="2"/>
        <v>91.591269841269849</v>
      </c>
      <c r="E10">
        <v>97</v>
      </c>
      <c r="F10">
        <v>100</v>
      </c>
      <c r="G10">
        <v>96</v>
      </c>
      <c r="H10">
        <v>100</v>
      </c>
      <c r="I10">
        <v>100</v>
      </c>
      <c r="J10">
        <v>96</v>
      </c>
      <c r="K10">
        <v>100</v>
      </c>
      <c r="L10">
        <v>100</v>
      </c>
      <c r="M10">
        <v>100</v>
      </c>
      <c r="N10">
        <v>96</v>
      </c>
      <c r="O10">
        <v>98</v>
      </c>
      <c r="P10" s="16">
        <v>100</v>
      </c>
      <c r="Q10">
        <v>100</v>
      </c>
      <c r="R10">
        <v>100</v>
      </c>
      <c r="S10">
        <v>100</v>
      </c>
      <c r="T10">
        <v>100</v>
      </c>
      <c r="U10">
        <v>100</v>
      </c>
      <c r="V10">
        <v>100</v>
      </c>
      <c r="W10" s="11">
        <f t="shared" si="3"/>
        <v>99.055555555555557</v>
      </c>
      <c r="X10">
        <v>58</v>
      </c>
      <c r="Y10">
        <v>50</v>
      </c>
      <c r="Z10">
        <v>93</v>
      </c>
      <c r="AA10">
        <v>81</v>
      </c>
      <c r="AB10">
        <v>100</v>
      </c>
      <c r="AC10">
        <v>90</v>
      </c>
      <c r="AD10">
        <v>97</v>
      </c>
      <c r="AE10" s="11">
        <f t="shared" si="4"/>
        <v>81.285714285714292</v>
      </c>
      <c r="AF10">
        <v>90</v>
      </c>
      <c r="AG10">
        <v>95</v>
      </c>
      <c r="AH10">
        <v>87</v>
      </c>
      <c r="AI10" s="11">
        <f t="shared" si="5"/>
        <v>90.666666666666671</v>
      </c>
      <c r="AJ10" s="11">
        <v>90</v>
      </c>
      <c r="AL10">
        <f t="shared" si="6"/>
        <v>0</v>
      </c>
      <c r="AM10">
        <f t="shared" si="7"/>
        <v>0</v>
      </c>
      <c r="AN10">
        <f t="shared" si="8"/>
        <v>0</v>
      </c>
    </row>
    <row r="11" spans="1:71" ht="14.15" customHeight="1" x14ac:dyDescent="0.3">
      <c r="A11" s="1">
        <v>19562</v>
      </c>
      <c r="B11" s="14">
        <f t="shared" si="0"/>
        <v>92.675158730158742</v>
      </c>
      <c r="C11" s="1">
        <f t="shared" si="1"/>
        <v>93.343948412698424</v>
      </c>
      <c r="D11" s="1">
        <f t="shared" si="2"/>
        <v>84.858134920634924</v>
      </c>
      <c r="E11">
        <v>100</v>
      </c>
      <c r="F11">
        <v>96</v>
      </c>
      <c r="G11">
        <v>96</v>
      </c>
      <c r="H11">
        <v>100</v>
      </c>
      <c r="I11">
        <v>100</v>
      </c>
      <c r="J11">
        <v>94</v>
      </c>
      <c r="K11">
        <v>100</v>
      </c>
      <c r="L11">
        <v>95</v>
      </c>
      <c r="M11">
        <v>82</v>
      </c>
      <c r="N11">
        <v>94</v>
      </c>
      <c r="O11">
        <v>0</v>
      </c>
      <c r="P11" s="16">
        <v>100</v>
      </c>
      <c r="Q11">
        <v>100</v>
      </c>
      <c r="R11">
        <v>100</v>
      </c>
      <c r="S11">
        <v>98</v>
      </c>
      <c r="T11">
        <v>100</v>
      </c>
      <c r="U11">
        <v>100</v>
      </c>
      <c r="V11">
        <v>100</v>
      </c>
      <c r="W11" s="11">
        <f t="shared" si="3"/>
        <v>91.944444444444443</v>
      </c>
      <c r="X11">
        <v>70</v>
      </c>
      <c r="Y11">
        <v>81</v>
      </c>
      <c r="Z11">
        <v>97</v>
      </c>
      <c r="AA11">
        <v>86</v>
      </c>
      <c r="AB11">
        <v>100</v>
      </c>
      <c r="AC11">
        <v>85</v>
      </c>
      <c r="AD11">
        <v>70</v>
      </c>
      <c r="AE11" s="11">
        <f t="shared" si="4"/>
        <v>84.142857142857139</v>
      </c>
      <c r="AF11">
        <v>73</v>
      </c>
      <c r="AG11">
        <v>88</v>
      </c>
      <c r="AH11">
        <v>85.5</v>
      </c>
      <c r="AI11" s="11">
        <f t="shared" si="5"/>
        <v>82.166666666666671</v>
      </c>
      <c r="AJ11" s="11">
        <v>90</v>
      </c>
      <c r="AL11">
        <f t="shared" si="6"/>
        <v>0</v>
      </c>
      <c r="AM11">
        <f t="shared" si="7"/>
        <v>4</v>
      </c>
      <c r="AN11">
        <f t="shared" si="8"/>
        <v>4</v>
      </c>
      <c r="AO11">
        <v>1</v>
      </c>
      <c r="AU11">
        <v>1</v>
      </c>
      <c r="BE11">
        <v>1</v>
      </c>
      <c r="BN11">
        <v>1</v>
      </c>
    </row>
    <row r="12" spans="1:71" ht="14.15" customHeight="1" x14ac:dyDescent="0.3">
      <c r="A12" s="1">
        <v>19735</v>
      </c>
      <c r="B12" s="14">
        <f t="shared" si="0"/>
        <v>75.412698412698404</v>
      </c>
      <c r="C12" s="1">
        <f t="shared" si="1"/>
        <v>74.765873015873012</v>
      </c>
      <c r="D12" s="1">
        <f t="shared" si="2"/>
        <v>74.765873015873012</v>
      </c>
      <c r="E12">
        <v>95</v>
      </c>
      <c r="F12">
        <v>0</v>
      </c>
      <c r="G12">
        <v>96</v>
      </c>
      <c r="H12">
        <v>100</v>
      </c>
      <c r="I12">
        <v>100</v>
      </c>
      <c r="J12">
        <v>96</v>
      </c>
      <c r="K12">
        <v>100</v>
      </c>
      <c r="L12">
        <v>0</v>
      </c>
      <c r="M12">
        <v>100</v>
      </c>
      <c r="N12">
        <v>96</v>
      </c>
      <c r="O12">
        <v>98</v>
      </c>
      <c r="P12" s="16">
        <v>100</v>
      </c>
      <c r="Q12">
        <v>100</v>
      </c>
      <c r="R12">
        <v>100</v>
      </c>
      <c r="S12">
        <v>100</v>
      </c>
      <c r="T12">
        <v>100</v>
      </c>
      <c r="U12">
        <v>0</v>
      </c>
      <c r="V12">
        <v>100</v>
      </c>
      <c r="W12" s="11">
        <f t="shared" si="3"/>
        <v>82.277777777777771</v>
      </c>
      <c r="X12">
        <v>70</v>
      </c>
      <c r="Y12">
        <v>50</v>
      </c>
      <c r="Z12">
        <v>98</v>
      </c>
      <c r="AA12">
        <v>84</v>
      </c>
      <c r="AB12">
        <v>100</v>
      </c>
      <c r="AC12">
        <v>88</v>
      </c>
      <c r="AD12">
        <v>95</v>
      </c>
      <c r="AE12" s="11">
        <f t="shared" si="4"/>
        <v>83.571428571428569</v>
      </c>
      <c r="AF12">
        <v>62</v>
      </c>
      <c r="AG12">
        <v>91</v>
      </c>
      <c r="AH12">
        <v>57</v>
      </c>
      <c r="AI12" s="11">
        <f t="shared" si="5"/>
        <v>70</v>
      </c>
      <c r="AJ12" s="11">
        <v>78</v>
      </c>
      <c r="AL12">
        <f t="shared" si="6"/>
        <v>0</v>
      </c>
      <c r="AM12">
        <f t="shared" si="7"/>
        <v>4</v>
      </c>
      <c r="AN12">
        <f t="shared" si="8"/>
        <v>4</v>
      </c>
      <c r="AQ12">
        <v>1</v>
      </c>
      <c r="AX12">
        <v>1</v>
      </c>
      <c r="BL12">
        <v>1</v>
      </c>
      <c r="BN12">
        <v>1</v>
      </c>
    </row>
    <row r="13" spans="1:71" ht="14.15" customHeight="1" x14ac:dyDescent="0.3">
      <c r="A13" s="1">
        <v>19893</v>
      </c>
      <c r="B13" s="14">
        <f t="shared" si="0"/>
        <v>55.855555555555561</v>
      </c>
      <c r="C13" s="1">
        <f t="shared" si="1"/>
        <v>57.069444444444443</v>
      </c>
      <c r="D13" s="1">
        <f t="shared" si="2"/>
        <v>57.069444444444443</v>
      </c>
      <c r="E13">
        <v>94</v>
      </c>
      <c r="F13">
        <v>0</v>
      </c>
      <c r="G13">
        <v>0</v>
      </c>
      <c r="H13">
        <v>96</v>
      </c>
      <c r="I13">
        <v>100</v>
      </c>
      <c r="J13">
        <v>94</v>
      </c>
      <c r="K13">
        <v>100</v>
      </c>
      <c r="L13">
        <v>100</v>
      </c>
      <c r="M13">
        <v>0</v>
      </c>
      <c r="N13">
        <v>96</v>
      </c>
      <c r="O13">
        <v>96</v>
      </c>
      <c r="P13" s="16">
        <v>0</v>
      </c>
      <c r="Q13">
        <v>100</v>
      </c>
      <c r="R13">
        <v>100</v>
      </c>
      <c r="S13">
        <v>0</v>
      </c>
      <c r="T13">
        <v>98</v>
      </c>
      <c r="U13">
        <v>100</v>
      </c>
      <c r="V13">
        <v>100</v>
      </c>
      <c r="W13" s="11">
        <f t="shared" si="3"/>
        <v>70.777777777777771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s="11">
        <f t="shared" si="4"/>
        <v>0</v>
      </c>
      <c r="AF13">
        <v>61</v>
      </c>
      <c r="AG13">
        <v>68</v>
      </c>
      <c r="AH13">
        <v>60</v>
      </c>
      <c r="AI13" s="11">
        <f t="shared" si="5"/>
        <v>63</v>
      </c>
      <c r="AJ13" s="11">
        <v>51</v>
      </c>
      <c r="AL13">
        <f t="shared" si="6"/>
        <v>0</v>
      </c>
      <c r="AM13">
        <f t="shared" si="7"/>
        <v>5</v>
      </c>
      <c r="AN13">
        <f t="shared" si="8"/>
        <v>5</v>
      </c>
      <c r="AQ13">
        <v>1</v>
      </c>
      <c r="AR13">
        <v>1</v>
      </c>
      <c r="BB13">
        <v>1</v>
      </c>
      <c r="BF13">
        <v>1</v>
      </c>
      <c r="BJ13">
        <v>1</v>
      </c>
    </row>
    <row r="14" spans="1:71" ht="14.15" customHeight="1" x14ac:dyDescent="0.3">
      <c r="A14" s="2">
        <v>26040</v>
      </c>
      <c r="B14" s="14">
        <f t="shared" si="0"/>
        <v>96.830952380952397</v>
      </c>
      <c r="C14" s="1">
        <f t="shared" si="1"/>
        <v>97.788690476190482</v>
      </c>
      <c r="D14" s="1">
        <f t="shared" si="2"/>
        <v>88.898809523809518</v>
      </c>
      <c r="E14">
        <v>96</v>
      </c>
      <c r="F14">
        <v>96</v>
      </c>
      <c r="G14">
        <v>96</v>
      </c>
      <c r="H14">
        <v>100</v>
      </c>
      <c r="I14">
        <v>100</v>
      </c>
      <c r="J14">
        <v>94</v>
      </c>
      <c r="K14">
        <v>100</v>
      </c>
      <c r="L14">
        <v>0</v>
      </c>
      <c r="M14">
        <v>82</v>
      </c>
      <c r="N14">
        <v>94</v>
      </c>
      <c r="O14">
        <v>94</v>
      </c>
      <c r="P14" s="16">
        <v>100</v>
      </c>
      <c r="Q14">
        <v>100</v>
      </c>
      <c r="R14">
        <v>100</v>
      </c>
      <c r="S14">
        <v>98</v>
      </c>
      <c r="T14">
        <v>100</v>
      </c>
      <c r="U14">
        <v>100</v>
      </c>
      <c r="V14">
        <v>100</v>
      </c>
      <c r="W14" s="11">
        <f t="shared" si="3"/>
        <v>91.666666666666671</v>
      </c>
      <c r="X14">
        <v>84</v>
      </c>
      <c r="Y14">
        <v>92</v>
      </c>
      <c r="Z14">
        <v>95</v>
      </c>
      <c r="AA14">
        <v>91</v>
      </c>
      <c r="AB14">
        <v>100</v>
      </c>
      <c r="AC14">
        <v>90</v>
      </c>
      <c r="AD14">
        <v>98</v>
      </c>
      <c r="AE14" s="11">
        <f t="shared" si="4"/>
        <v>92.857142857142861</v>
      </c>
      <c r="AF14">
        <v>93</v>
      </c>
      <c r="AG14">
        <v>92</v>
      </c>
      <c r="AH14">
        <v>76</v>
      </c>
      <c r="AI14" s="11">
        <f t="shared" si="5"/>
        <v>87</v>
      </c>
      <c r="AJ14" s="11">
        <v>93</v>
      </c>
      <c r="AL14">
        <f t="shared" si="6"/>
        <v>2</v>
      </c>
      <c r="AM14">
        <f t="shared" si="7"/>
        <v>0</v>
      </c>
      <c r="AN14">
        <f t="shared" si="8"/>
        <v>2</v>
      </c>
      <c r="AZ14">
        <v>0</v>
      </c>
      <c r="BA14">
        <v>0</v>
      </c>
    </row>
    <row r="15" spans="1:71" ht="14.15" customHeight="1" x14ac:dyDescent="0.3">
      <c r="A15" s="1">
        <v>28662</v>
      </c>
      <c r="B15" s="14">
        <f t="shared" si="0"/>
        <v>81.275396825396825</v>
      </c>
      <c r="C15" s="1">
        <f t="shared" si="1"/>
        <v>85.844246031746025</v>
      </c>
      <c r="D15" s="1">
        <f t="shared" si="2"/>
        <v>85.844246031746025</v>
      </c>
      <c r="E15">
        <v>100</v>
      </c>
      <c r="F15">
        <v>96</v>
      </c>
      <c r="G15">
        <v>100</v>
      </c>
      <c r="H15">
        <v>100</v>
      </c>
      <c r="I15">
        <v>100</v>
      </c>
      <c r="J15">
        <v>94</v>
      </c>
      <c r="K15">
        <v>100</v>
      </c>
      <c r="L15">
        <v>95</v>
      </c>
      <c r="M15">
        <v>82</v>
      </c>
      <c r="N15">
        <v>94</v>
      </c>
      <c r="O15">
        <v>94</v>
      </c>
      <c r="P15" s="16">
        <v>100</v>
      </c>
      <c r="Q15">
        <v>100</v>
      </c>
      <c r="R15">
        <v>0</v>
      </c>
      <c r="S15">
        <v>98</v>
      </c>
      <c r="T15">
        <v>100</v>
      </c>
      <c r="U15">
        <v>100</v>
      </c>
      <c r="V15">
        <v>98</v>
      </c>
      <c r="W15" s="11">
        <f t="shared" si="3"/>
        <v>91.722222222222229</v>
      </c>
      <c r="X15">
        <v>70</v>
      </c>
      <c r="Y15">
        <v>81</v>
      </c>
      <c r="Z15">
        <v>97</v>
      </c>
      <c r="AA15">
        <v>86</v>
      </c>
      <c r="AB15">
        <v>100</v>
      </c>
      <c r="AC15">
        <v>85</v>
      </c>
      <c r="AD15">
        <v>70</v>
      </c>
      <c r="AE15" s="11">
        <f t="shared" si="4"/>
        <v>84.142857142857139</v>
      </c>
      <c r="AF15">
        <v>87</v>
      </c>
      <c r="AG15">
        <v>86</v>
      </c>
      <c r="AH15">
        <v>78.5</v>
      </c>
      <c r="AI15" s="11">
        <f t="shared" si="5"/>
        <v>83.833333333333329</v>
      </c>
      <c r="AJ15" s="11">
        <v>63</v>
      </c>
      <c r="AL15">
        <f t="shared" si="6"/>
        <v>0</v>
      </c>
      <c r="AM15">
        <f t="shared" si="7"/>
        <v>2</v>
      </c>
      <c r="AN15">
        <f t="shared" si="8"/>
        <v>2</v>
      </c>
      <c r="AO15">
        <v>1</v>
      </c>
      <c r="BH15">
        <v>1</v>
      </c>
    </row>
    <row r="16" spans="1:71" ht="14.15" customHeight="1" x14ac:dyDescent="0.3">
      <c r="A16" s="1">
        <v>31265</v>
      </c>
      <c r="B16" s="14">
        <f t="shared" si="0"/>
        <v>66.065873015873024</v>
      </c>
      <c r="C16" s="1">
        <f t="shared" si="1"/>
        <v>67.58234126984128</v>
      </c>
      <c r="D16" s="1">
        <f t="shared" si="2"/>
        <v>67.58234126984128</v>
      </c>
      <c r="E16">
        <v>100</v>
      </c>
      <c r="F16">
        <v>92</v>
      </c>
      <c r="G16">
        <v>100</v>
      </c>
      <c r="H16">
        <v>92</v>
      </c>
      <c r="I16">
        <v>84</v>
      </c>
      <c r="J16">
        <v>94</v>
      </c>
      <c r="K16">
        <v>100</v>
      </c>
      <c r="L16">
        <v>0</v>
      </c>
      <c r="M16">
        <v>98</v>
      </c>
      <c r="N16">
        <v>0</v>
      </c>
      <c r="O16">
        <v>96</v>
      </c>
      <c r="P16" s="16">
        <v>100</v>
      </c>
      <c r="Q16">
        <v>0</v>
      </c>
      <c r="R16">
        <v>0</v>
      </c>
      <c r="S16">
        <v>88</v>
      </c>
      <c r="T16">
        <v>0</v>
      </c>
      <c r="U16">
        <v>100</v>
      </c>
      <c r="V16">
        <v>0</v>
      </c>
      <c r="W16" s="11">
        <f t="shared" si="3"/>
        <v>63.555555555555557</v>
      </c>
      <c r="X16">
        <v>70</v>
      </c>
      <c r="Y16">
        <v>94</v>
      </c>
      <c r="Z16">
        <v>100</v>
      </c>
      <c r="AA16">
        <v>0</v>
      </c>
      <c r="AB16">
        <v>0</v>
      </c>
      <c r="AC16">
        <v>0</v>
      </c>
      <c r="AD16">
        <v>0</v>
      </c>
      <c r="AE16" s="11">
        <f t="shared" si="4"/>
        <v>37.714285714285715</v>
      </c>
      <c r="AF16">
        <v>62</v>
      </c>
      <c r="AG16">
        <v>90</v>
      </c>
      <c r="AH16">
        <v>73.5</v>
      </c>
      <c r="AI16" s="11">
        <f t="shared" si="5"/>
        <v>75.166666666666671</v>
      </c>
      <c r="AJ16" s="11">
        <v>60</v>
      </c>
      <c r="AL16">
        <f t="shared" si="6"/>
        <v>0</v>
      </c>
      <c r="AM16">
        <f t="shared" si="7"/>
        <v>6</v>
      </c>
      <c r="AN16">
        <f t="shared" si="8"/>
        <v>6</v>
      </c>
      <c r="BD16">
        <v>1</v>
      </c>
      <c r="BG16">
        <v>1</v>
      </c>
      <c r="BH16">
        <v>1</v>
      </c>
      <c r="BK16">
        <v>1</v>
      </c>
      <c r="BM16">
        <v>1</v>
      </c>
      <c r="BN16">
        <v>1</v>
      </c>
    </row>
    <row r="17" spans="1:66" ht="14.15" customHeight="1" x14ac:dyDescent="0.3">
      <c r="A17" s="1">
        <v>36030</v>
      </c>
      <c r="B17" s="14">
        <f t="shared" si="0"/>
        <v>72.578571428571422</v>
      </c>
      <c r="C17" s="1">
        <f t="shared" si="1"/>
        <v>77.473214285714278</v>
      </c>
      <c r="D17" s="1">
        <f t="shared" si="2"/>
        <v>77.473214285714278</v>
      </c>
      <c r="E17">
        <v>99</v>
      </c>
      <c r="F17">
        <v>88</v>
      </c>
      <c r="G17">
        <v>96</v>
      </c>
      <c r="H17">
        <v>80</v>
      </c>
      <c r="I17">
        <v>100</v>
      </c>
      <c r="J17">
        <v>92</v>
      </c>
      <c r="K17">
        <v>100</v>
      </c>
      <c r="L17">
        <v>100</v>
      </c>
      <c r="M17">
        <v>90</v>
      </c>
      <c r="N17">
        <v>96</v>
      </c>
      <c r="O17">
        <v>100</v>
      </c>
      <c r="P17" s="16">
        <v>96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 s="11">
        <f t="shared" si="3"/>
        <v>96.5</v>
      </c>
      <c r="X17">
        <v>58</v>
      </c>
      <c r="Y17">
        <v>50</v>
      </c>
      <c r="Z17">
        <v>79</v>
      </c>
      <c r="AA17">
        <v>81</v>
      </c>
      <c r="AB17">
        <v>100</v>
      </c>
      <c r="AC17">
        <v>90</v>
      </c>
      <c r="AD17">
        <v>97</v>
      </c>
      <c r="AE17" s="11">
        <f t="shared" si="4"/>
        <v>79.285714285714292</v>
      </c>
      <c r="AF17">
        <v>53</v>
      </c>
      <c r="AG17">
        <v>79</v>
      </c>
      <c r="AH17">
        <v>76.5</v>
      </c>
      <c r="AI17" s="11">
        <f t="shared" si="5"/>
        <v>69.5</v>
      </c>
      <c r="AJ17" s="11">
        <v>53</v>
      </c>
      <c r="AL17">
        <f t="shared" si="6"/>
        <v>0</v>
      </c>
      <c r="AM17">
        <f t="shared" si="7"/>
        <v>0</v>
      </c>
      <c r="AN17">
        <f t="shared" si="8"/>
        <v>0</v>
      </c>
    </row>
    <row r="18" spans="1:66" ht="14.15" customHeight="1" x14ac:dyDescent="0.3">
      <c r="A18" s="1">
        <v>37682</v>
      </c>
      <c r="B18" s="14">
        <f t="shared" si="0"/>
        <v>91.434206349206349</v>
      </c>
      <c r="C18" s="1">
        <f t="shared" si="1"/>
        <v>93.04275793650794</v>
      </c>
      <c r="D18" s="1">
        <f t="shared" si="2"/>
        <v>84.584325396825392</v>
      </c>
      <c r="E18">
        <v>98</v>
      </c>
      <c r="F18">
        <v>88</v>
      </c>
      <c r="G18">
        <v>96</v>
      </c>
      <c r="H18">
        <v>80</v>
      </c>
      <c r="I18">
        <v>100</v>
      </c>
      <c r="J18">
        <v>92</v>
      </c>
      <c r="K18">
        <v>100</v>
      </c>
      <c r="L18">
        <v>100</v>
      </c>
      <c r="M18">
        <v>90</v>
      </c>
      <c r="N18">
        <v>96</v>
      </c>
      <c r="O18">
        <v>100</v>
      </c>
      <c r="P18" s="16">
        <v>96</v>
      </c>
      <c r="Q18">
        <v>100</v>
      </c>
      <c r="R18">
        <v>100</v>
      </c>
      <c r="S18">
        <v>100</v>
      </c>
      <c r="T18">
        <v>100</v>
      </c>
      <c r="U18">
        <v>100</v>
      </c>
      <c r="V18">
        <v>100</v>
      </c>
      <c r="W18" s="11">
        <f t="shared" si="3"/>
        <v>96.444444444444443</v>
      </c>
      <c r="X18">
        <v>58</v>
      </c>
      <c r="Y18">
        <v>50</v>
      </c>
      <c r="Z18">
        <v>93</v>
      </c>
      <c r="AA18">
        <v>81</v>
      </c>
      <c r="AB18">
        <v>100</v>
      </c>
      <c r="AC18">
        <v>90</v>
      </c>
      <c r="AD18">
        <v>97</v>
      </c>
      <c r="AE18" s="11">
        <f t="shared" si="4"/>
        <v>81.285714285714292</v>
      </c>
      <c r="AF18">
        <v>85</v>
      </c>
      <c r="AG18">
        <v>76</v>
      </c>
      <c r="AH18">
        <v>80.5</v>
      </c>
      <c r="AI18" s="11">
        <f t="shared" si="5"/>
        <v>80.5</v>
      </c>
      <c r="AJ18" s="11">
        <v>85</v>
      </c>
      <c r="AL18">
        <f t="shared" si="6"/>
        <v>0</v>
      </c>
      <c r="AM18">
        <f t="shared" si="7"/>
        <v>0</v>
      </c>
      <c r="AN18">
        <f t="shared" si="8"/>
        <v>0</v>
      </c>
    </row>
    <row r="19" spans="1:66" ht="14.15" customHeight="1" x14ac:dyDescent="0.3">
      <c r="A19" s="1">
        <v>37788</v>
      </c>
      <c r="B19" s="14">
        <f>C19*0.8+AJ19*0.2</f>
        <v>80.57619047619049</v>
      </c>
      <c r="C19" s="1">
        <f>IF(AJ19&gt;84,D19*1.1,D19)</f>
        <v>82.970238095238102</v>
      </c>
      <c r="D19" s="1">
        <f>W19*0.25+AE19*0.125+AI19*0.625</f>
        <v>82.970238095238102</v>
      </c>
      <c r="E19">
        <v>99</v>
      </c>
      <c r="F19">
        <v>88</v>
      </c>
      <c r="G19">
        <v>96</v>
      </c>
      <c r="H19">
        <v>80</v>
      </c>
      <c r="I19">
        <v>100</v>
      </c>
      <c r="J19">
        <v>92</v>
      </c>
      <c r="K19">
        <v>100</v>
      </c>
      <c r="L19">
        <v>100</v>
      </c>
      <c r="M19">
        <v>90</v>
      </c>
      <c r="N19">
        <v>96</v>
      </c>
      <c r="O19">
        <v>100</v>
      </c>
      <c r="P19" s="16">
        <v>96</v>
      </c>
      <c r="Q19">
        <v>100</v>
      </c>
      <c r="R19">
        <v>100</v>
      </c>
      <c r="S19">
        <v>100</v>
      </c>
      <c r="T19">
        <v>100</v>
      </c>
      <c r="U19">
        <v>100</v>
      </c>
      <c r="V19">
        <v>100</v>
      </c>
      <c r="W19" s="11">
        <f t="shared" si="3"/>
        <v>96.5</v>
      </c>
      <c r="X19">
        <v>0</v>
      </c>
      <c r="Y19">
        <v>50</v>
      </c>
      <c r="Z19">
        <v>93</v>
      </c>
      <c r="AA19">
        <v>84</v>
      </c>
      <c r="AB19">
        <v>100</v>
      </c>
      <c r="AC19">
        <v>90</v>
      </c>
      <c r="AD19">
        <v>90</v>
      </c>
      <c r="AE19" s="11">
        <f>AVERAGE(X19:AD19)</f>
        <v>72.428571428571431</v>
      </c>
      <c r="AF19">
        <v>71</v>
      </c>
      <c r="AG19">
        <v>74</v>
      </c>
      <c r="AH19">
        <v>94</v>
      </c>
      <c r="AI19" s="11">
        <f>AVERAGE(AF19:AH19)</f>
        <v>79.666666666666671</v>
      </c>
      <c r="AJ19" s="11">
        <v>71</v>
      </c>
      <c r="AL19">
        <f>AN19-AM19</f>
        <v>0</v>
      </c>
      <c r="AM19">
        <f>SUM(AO19:BS19)</f>
        <v>0</v>
      </c>
      <c r="AN19">
        <f>COUNT(AO19:BS19)</f>
        <v>0</v>
      </c>
    </row>
    <row r="20" spans="1:66" ht="14.15" customHeight="1" x14ac:dyDescent="0.3">
      <c r="A20" s="1">
        <v>50930</v>
      </c>
      <c r="B20" s="14">
        <f t="shared" si="0"/>
        <v>79.276190476190479</v>
      </c>
      <c r="C20" s="1">
        <f t="shared" si="1"/>
        <v>80.345238095238102</v>
      </c>
      <c r="D20" s="1">
        <f t="shared" si="2"/>
        <v>80.345238095238102</v>
      </c>
      <c r="E20">
        <v>98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88</v>
      </c>
      <c r="N20">
        <v>96</v>
      </c>
      <c r="O20">
        <v>98</v>
      </c>
      <c r="P20" s="16">
        <v>100</v>
      </c>
      <c r="Q20">
        <v>96</v>
      </c>
      <c r="R20">
        <v>100</v>
      </c>
      <c r="S20">
        <v>100</v>
      </c>
      <c r="T20">
        <v>100</v>
      </c>
      <c r="U20">
        <v>100</v>
      </c>
      <c r="V20">
        <v>100</v>
      </c>
      <c r="W20" s="11">
        <f t="shared" si="3"/>
        <v>98.666666666666671</v>
      </c>
      <c r="X20">
        <v>94</v>
      </c>
      <c r="Y20">
        <v>90</v>
      </c>
      <c r="Z20">
        <v>99</v>
      </c>
      <c r="AA20">
        <v>89</v>
      </c>
      <c r="AB20">
        <v>0</v>
      </c>
      <c r="AC20">
        <v>92</v>
      </c>
      <c r="AD20">
        <v>99</v>
      </c>
      <c r="AE20" s="11">
        <f t="shared" si="4"/>
        <v>80.428571428571431</v>
      </c>
      <c r="AF20">
        <v>75</v>
      </c>
      <c r="AG20">
        <v>73</v>
      </c>
      <c r="AH20">
        <v>71</v>
      </c>
      <c r="AI20" s="11">
        <f t="shared" si="5"/>
        <v>73</v>
      </c>
      <c r="AJ20" s="11">
        <v>75</v>
      </c>
      <c r="AL20">
        <f t="shared" si="6"/>
        <v>0</v>
      </c>
      <c r="AM20">
        <f t="shared" si="7"/>
        <v>1</v>
      </c>
      <c r="AN20">
        <f t="shared" si="8"/>
        <v>1</v>
      </c>
      <c r="AX20">
        <v>1</v>
      </c>
    </row>
    <row r="21" spans="1:66" ht="14.15" customHeight="1" x14ac:dyDescent="0.3">
      <c r="A21" s="1">
        <v>50984</v>
      </c>
      <c r="B21" s="14">
        <f t="shared" si="0"/>
        <v>82.545238095238105</v>
      </c>
      <c r="C21" s="1">
        <f t="shared" si="1"/>
        <v>82.68154761904762</v>
      </c>
      <c r="D21" s="1">
        <f t="shared" si="2"/>
        <v>82.68154761904762</v>
      </c>
      <c r="E21">
        <v>100</v>
      </c>
      <c r="F21">
        <v>88</v>
      </c>
      <c r="G21">
        <v>96</v>
      </c>
      <c r="H21">
        <v>92</v>
      </c>
      <c r="I21">
        <v>100</v>
      </c>
      <c r="J21">
        <v>100</v>
      </c>
      <c r="K21">
        <v>100</v>
      </c>
      <c r="L21">
        <v>100</v>
      </c>
      <c r="M21">
        <v>80</v>
      </c>
      <c r="N21">
        <v>100</v>
      </c>
      <c r="O21">
        <v>0</v>
      </c>
      <c r="P21" s="16">
        <v>100</v>
      </c>
      <c r="Q21">
        <v>100</v>
      </c>
      <c r="R21">
        <v>98</v>
      </c>
      <c r="S21">
        <v>100</v>
      </c>
      <c r="T21">
        <v>100</v>
      </c>
      <c r="U21">
        <v>100</v>
      </c>
      <c r="V21">
        <v>0</v>
      </c>
      <c r="W21" s="11">
        <f t="shared" si="3"/>
        <v>86.333333333333329</v>
      </c>
      <c r="X21">
        <v>58</v>
      </c>
      <c r="Y21">
        <v>50</v>
      </c>
      <c r="Z21">
        <v>93</v>
      </c>
      <c r="AA21">
        <v>81</v>
      </c>
      <c r="AB21">
        <v>100</v>
      </c>
      <c r="AC21">
        <v>90</v>
      </c>
      <c r="AD21">
        <v>97</v>
      </c>
      <c r="AE21" s="11">
        <f t="shared" si="4"/>
        <v>81.285714285714292</v>
      </c>
      <c r="AF21">
        <v>82</v>
      </c>
      <c r="AG21">
        <v>93</v>
      </c>
      <c r="AH21">
        <v>69.5</v>
      </c>
      <c r="AI21" s="11">
        <f t="shared" si="5"/>
        <v>81.5</v>
      </c>
      <c r="AJ21" s="11">
        <v>82</v>
      </c>
      <c r="AL21">
        <f t="shared" si="6"/>
        <v>0</v>
      </c>
      <c r="AM21">
        <f t="shared" si="7"/>
        <v>2</v>
      </c>
      <c r="AN21">
        <f t="shared" si="8"/>
        <v>2</v>
      </c>
      <c r="BE21">
        <v>1</v>
      </c>
      <c r="BM21">
        <v>1</v>
      </c>
    </row>
    <row r="22" spans="1:66" ht="14.15" customHeight="1" x14ac:dyDescent="0.3">
      <c r="A22" s="1">
        <v>51240</v>
      </c>
      <c r="B22" s="14">
        <f t="shared" si="0"/>
        <v>70.595238095238102</v>
      </c>
      <c r="C22" s="1">
        <f t="shared" si="1"/>
        <v>73.74404761904762</v>
      </c>
      <c r="D22" s="1">
        <f t="shared" si="2"/>
        <v>73.74404761904762</v>
      </c>
      <c r="E22">
        <v>100</v>
      </c>
      <c r="F22">
        <v>0</v>
      </c>
      <c r="G22">
        <v>100</v>
      </c>
      <c r="H22">
        <v>0</v>
      </c>
      <c r="I22">
        <v>84</v>
      </c>
      <c r="J22">
        <v>94</v>
      </c>
      <c r="K22">
        <v>100</v>
      </c>
      <c r="L22">
        <v>91</v>
      </c>
      <c r="M22">
        <v>98</v>
      </c>
      <c r="N22">
        <v>0</v>
      </c>
      <c r="O22">
        <v>0</v>
      </c>
      <c r="P22" s="16">
        <v>100</v>
      </c>
      <c r="Q22">
        <v>100</v>
      </c>
      <c r="R22">
        <v>0</v>
      </c>
      <c r="S22">
        <v>98</v>
      </c>
      <c r="T22">
        <v>98</v>
      </c>
      <c r="U22">
        <v>0</v>
      </c>
      <c r="V22">
        <v>98</v>
      </c>
      <c r="W22" s="11">
        <f t="shared" si="3"/>
        <v>64.5</v>
      </c>
      <c r="X22">
        <v>57</v>
      </c>
      <c r="Y22">
        <v>100</v>
      </c>
      <c r="Z22">
        <v>84</v>
      </c>
      <c r="AA22">
        <v>83</v>
      </c>
      <c r="AB22">
        <v>100</v>
      </c>
      <c r="AC22">
        <v>96</v>
      </c>
      <c r="AD22">
        <v>0</v>
      </c>
      <c r="AE22" s="11">
        <f t="shared" si="4"/>
        <v>74.285714285714292</v>
      </c>
      <c r="AF22">
        <v>83</v>
      </c>
      <c r="AG22">
        <v>74</v>
      </c>
      <c r="AH22">
        <v>75</v>
      </c>
      <c r="AI22" s="11">
        <f t="shared" si="5"/>
        <v>77.333333333333329</v>
      </c>
      <c r="AJ22" s="11">
        <v>58</v>
      </c>
      <c r="AL22">
        <f t="shared" si="6"/>
        <v>0</v>
      </c>
      <c r="AM22">
        <f t="shared" si="7"/>
        <v>7</v>
      </c>
      <c r="AN22">
        <f t="shared" si="8"/>
        <v>7</v>
      </c>
      <c r="AQ22">
        <v>1</v>
      </c>
      <c r="AS22">
        <v>1</v>
      </c>
      <c r="BD22">
        <v>1</v>
      </c>
      <c r="BE22">
        <v>1</v>
      </c>
      <c r="BH22">
        <v>1</v>
      </c>
      <c r="BL22">
        <v>1</v>
      </c>
      <c r="BN22">
        <v>1</v>
      </c>
    </row>
    <row r="23" spans="1:66" ht="14.15" customHeight="1" x14ac:dyDescent="0.3">
      <c r="A23" s="1">
        <v>51667</v>
      </c>
      <c r="B23" s="14">
        <f t="shared" si="0"/>
        <v>66.04603174603173</v>
      </c>
      <c r="C23" s="1">
        <f t="shared" si="1"/>
        <v>71.307539682539669</v>
      </c>
      <c r="D23" s="1">
        <f t="shared" si="2"/>
        <v>71.307539682539669</v>
      </c>
      <c r="E23">
        <v>97</v>
      </c>
      <c r="F23">
        <v>92</v>
      </c>
      <c r="G23">
        <v>100</v>
      </c>
      <c r="H23">
        <v>92</v>
      </c>
      <c r="I23">
        <v>84</v>
      </c>
      <c r="J23">
        <v>94</v>
      </c>
      <c r="K23">
        <v>100</v>
      </c>
      <c r="L23">
        <v>100</v>
      </c>
      <c r="M23">
        <v>98</v>
      </c>
      <c r="N23">
        <v>98</v>
      </c>
      <c r="O23">
        <v>0</v>
      </c>
      <c r="P23" s="16">
        <v>96</v>
      </c>
      <c r="Q23">
        <v>100</v>
      </c>
      <c r="R23">
        <v>96</v>
      </c>
      <c r="S23">
        <v>0</v>
      </c>
      <c r="T23">
        <v>98</v>
      </c>
      <c r="U23">
        <v>0</v>
      </c>
      <c r="V23">
        <v>100</v>
      </c>
      <c r="W23" s="11">
        <f t="shared" si="3"/>
        <v>80.277777777777771</v>
      </c>
      <c r="X23">
        <v>96</v>
      </c>
      <c r="Y23">
        <v>96</v>
      </c>
      <c r="Z23">
        <v>99</v>
      </c>
      <c r="AA23">
        <v>93</v>
      </c>
      <c r="AB23">
        <v>100</v>
      </c>
      <c r="AC23">
        <v>94</v>
      </c>
      <c r="AD23">
        <v>98</v>
      </c>
      <c r="AE23" s="11">
        <f t="shared" si="4"/>
        <v>96.571428571428569</v>
      </c>
      <c r="AF23">
        <v>47</v>
      </c>
      <c r="AG23">
        <v>61</v>
      </c>
      <c r="AH23">
        <v>80</v>
      </c>
      <c r="AI23" s="11">
        <f t="shared" si="5"/>
        <v>62.666666666666664</v>
      </c>
      <c r="AJ23" s="11">
        <v>45</v>
      </c>
      <c r="AL23">
        <f t="shared" si="6"/>
        <v>0</v>
      </c>
      <c r="AM23">
        <f t="shared" si="7"/>
        <v>3</v>
      </c>
      <c r="AN23">
        <f t="shared" si="8"/>
        <v>3</v>
      </c>
      <c r="BJ23">
        <v>1</v>
      </c>
      <c r="BL23">
        <v>1</v>
      </c>
      <c r="BN23">
        <v>1</v>
      </c>
    </row>
    <row r="24" spans="1:66" ht="14.15" customHeight="1" x14ac:dyDescent="0.3">
      <c r="A24" s="1">
        <v>51768</v>
      </c>
      <c r="B24" s="14">
        <f t="shared" si="0"/>
        <v>95.078650793650809</v>
      </c>
      <c r="C24" s="1">
        <f t="shared" si="1"/>
        <v>96.098313492063497</v>
      </c>
      <c r="D24" s="1">
        <f t="shared" si="2"/>
        <v>87.362103174603178</v>
      </c>
      <c r="E24">
        <v>100</v>
      </c>
      <c r="F24">
        <v>88</v>
      </c>
      <c r="G24">
        <v>96</v>
      </c>
      <c r="H24">
        <v>96</v>
      </c>
      <c r="I24">
        <v>100</v>
      </c>
      <c r="J24">
        <v>98</v>
      </c>
      <c r="K24">
        <v>100</v>
      </c>
      <c r="L24">
        <v>100</v>
      </c>
      <c r="M24">
        <v>98</v>
      </c>
      <c r="N24">
        <v>100</v>
      </c>
      <c r="O24">
        <v>100</v>
      </c>
      <c r="P24" s="16">
        <v>100</v>
      </c>
      <c r="Q24">
        <v>100</v>
      </c>
      <c r="R24">
        <v>100</v>
      </c>
      <c r="S24">
        <v>100</v>
      </c>
      <c r="T24">
        <v>98</v>
      </c>
      <c r="U24">
        <v>100</v>
      </c>
      <c r="V24">
        <v>100</v>
      </c>
      <c r="W24" s="11">
        <f t="shared" si="3"/>
        <v>98.555555555555557</v>
      </c>
      <c r="X24">
        <v>82</v>
      </c>
      <c r="Y24">
        <v>64.5</v>
      </c>
      <c r="Z24">
        <v>95</v>
      </c>
      <c r="AA24">
        <v>91</v>
      </c>
      <c r="AB24">
        <v>100</v>
      </c>
      <c r="AC24">
        <v>78</v>
      </c>
      <c r="AD24">
        <v>97</v>
      </c>
      <c r="AE24" s="11">
        <f t="shared" si="4"/>
        <v>86.785714285714292</v>
      </c>
      <c r="AF24">
        <v>91</v>
      </c>
      <c r="AG24">
        <v>81</v>
      </c>
      <c r="AH24">
        <v>77</v>
      </c>
      <c r="AI24" s="11">
        <f t="shared" si="5"/>
        <v>83</v>
      </c>
      <c r="AJ24" s="11">
        <v>91</v>
      </c>
      <c r="AL24">
        <f t="shared" si="6"/>
        <v>0</v>
      </c>
      <c r="AM24">
        <f t="shared" si="7"/>
        <v>0</v>
      </c>
      <c r="AN24">
        <f t="shared" si="8"/>
        <v>0</v>
      </c>
    </row>
    <row r="25" spans="1:66" ht="14.15" customHeight="1" x14ac:dyDescent="0.3">
      <c r="A25" s="1">
        <v>52942</v>
      </c>
      <c r="B25" s="14">
        <f t="shared" si="0"/>
        <v>53.522222222222219</v>
      </c>
      <c r="C25" s="1">
        <f t="shared" si="1"/>
        <v>58.152777777777771</v>
      </c>
      <c r="D25" s="1">
        <f t="shared" si="2"/>
        <v>58.152777777777771</v>
      </c>
      <c r="E25">
        <v>96</v>
      </c>
      <c r="F25">
        <v>92</v>
      </c>
      <c r="G25">
        <v>0</v>
      </c>
      <c r="H25">
        <v>92</v>
      </c>
      <c r="I25">
        <v>100</v>
      </c>
      <c r="J25">
        <v>92</v>
      </c>
      <c r="K25">
        <v>0</v>
      </c>
      <c r="L25">
        <v>100</v>
      </c>
      <c r="M25">
        <v>84</v>
      </c>
      <c r="N25">
        <v>92</v>
      </c>
      <c r="O25">
        <v>98</v>
      </c>
      <c r="P25" s="16">
        <v>96</v>
      </c>
      <c r="Q25">
        <v>100</v>
      </c>
      <c r="R25">
        <v>98</v>
      </c>
      <c r="S25">
        <v>100</v>
      </c>
      <c r="T25">
        <v>98</v>
      </c>
      <c r="U25">
        <v>100</v>
      </c>
      <c r="V25">
        <v>100</v>
      </c>
      <c r="W25" s="11">
        <f t="shared" si="3"/>
        <v>85.444444444444443</v>
      </c>
      <c r="X25">
        <v>80</v>
      </c>
      <c r="Y25">
        <v>41</v>
      </c>
      <c r="Z25">
        <v>97</v>
      </c>
      <c r="AA25">
        <v>87</v>
      </c>
      <c r="AB25">
        <v>100</v>
      </c>
      <c r="AC25">
        <v>92</v>
      </c>
      <c r="AD25">
        <v>70</v>
      </c>
      <c r="AE25" s="11">
        <f t="shared" si="4"/>
        <v>81</v>
      </c>
      <c r="AF25">
        <v>35</v>
      </c>
      <c r="AG25">
        <v>47</v>
      </c>
      <c r="AH25">
        <v>46</v>
      </c>
      <c r="AI25" s="11">
        <f t="shared" si="5"/>
        <v>42.666666666666664</v>
      </c>
      <c r="AJ25" s="11">
        <v>35</v>
      </c>
      <c r="AL25">
        <f t="shared" si="6"/>
        <v>0</v>
      </c>
      <c r="AM25">
        <f t="shared" si="7"/>
        <v>2</v>
      </c>
      <c r="AN25">
        <f t="shared" si="8"/>
        <v>2</v>
      </c>
      <c r="AR25">
        <v>1</v>
      </c>
      <c r="AW25">
        <v>1</v>
      </c>
    </row>
    <row r="26" spans="1:66" ht="14.15" customHeight="1" x14ac:dyDescent="0.3">
      <c r="A26" s="1">
        <v>53365</v>
      </c>
      <c r="B26" s="14">
        <f t="shared" si="0"/>
        <v>97.445952380952406</v>
      </c>
      <c r="C26" s="1">
        <f t="shared" si="1"/>
        <v>100.05744047619049</v>
      </c>
      <c r="D26" s="1">
        <f t="shared" si="2"/>
        <v>90.961309523809533</v>
      </c>
      <c r="E26">
        <v>100</v>
      </c>
      <c r="F26">
        <v>98</v>
      </c>
      <c r="G26">
        <v>100</v>
      </c>
      <c r="H26">
        <v>100</v>
      </c>
      <c r="I26">
        <v>100</v>
      </c>
      <c r="J26">
        <v>96</v>
      </c>
      <c r="K26">
        <v>100</v>
      </c>
      <c r="L26">
        <v>100</v>
      </c>
      <c r="M26">
        <v>90</v>
      </c>
      <c r="N26">
        <v>98</v>
      </c>
      <c r="O26">
        <v>94</v>
      </c>
      <c r="P26" s="16">
        <v>100</v>
      </c>
      <c r="Q26">
        <v>100</v>
      </c>
      <c r="R26">
        <v>98</v>
      </c>
      <c r="S26">
        <v>100</v>
      </c>
      <c r="T26">
        <v>100</v>
      </c>
      <c r="U26">
        <v>100</v>
      </c>
      <c r="V26">
        <v>0</v>
      </c>
      <c r="W26" s="11">
        <f t="shared" si="3"/>
        <v>93</v>
      </c>
      <c r="X26">
        <v>87</v>
      </c>
      <c r="Y26">
        <v>99</v>
      </c>
      <c r="Z26">
        <v>98</v>
      </c>
      <c r="AA26">
        <v>94</v>
      </c>
      <c r="AB26">
        <v>100</v>
      </c>
      <c r="AC26">
        <v>93</v>
      </c>
      <c r="AD26">
        <v>100</v>
      </c>
      <c r="AE26" s="11">
        <f t="shared" si="4"/>
        <v>95.857142857142861</v>
      </c>
      <c r="AF26">
        <v>87</v>
      </c>
      <c r="AG26">
        <v>87</v>
      </c>
      <c r="AH26">
        <v>93.5</v>
      </c>
      <c r="AI26" s="11">
        <f t="shared" si="5"/>
        <v>89.166666666666671</v>
      </c>
      <c r="AJ26" s="11">
        <v>87</v>
      </c>
      <c r="AL26">
        <f t="shared" si="6"/>
        <v>0</v>
      </c>
      <c r="AM26">
        <f t="shared" si="7"/>
        <v>0</v>
      </c>
      <c r="AN26">
        <f t="shared" si="8"/>
        <v>0</v>
      </c>
    </row>
    <row r="27" spans="1:66" ht="14.15" customHeight="1" x14ac:dyDescent="0.3">
      <c r="A27" s="1">
        <v>54770</v>
      </c>
      <c r="B27" s="14">
        <f t="shared" si="0"/>
        <v>75.208730158730177</v>
      </c>
      <c r="C27" s="1">
        <f t="shared" si="1"/>
        <v>78.01091269841271</v>
      </c>
      <c r="D27" s="1">
        <f t="shared" si="2"/>
        <v>78.01091269841271</v>
      </c>
      <c r="E27">
        <v>100</v>
      </c>
      <c r="F27">
        <v>96</v>
      </c>
      <c r="G27">
        <v>100</v>
      </c>
      <c r="H27">
        <v>100</v>
      </c>
      <c r="I27">
        <v>100</v>
      </c>
      <c r="J27">
        <v>94</v>
      </c>
      <c r="K27">
        <v>100</v>
      </c>
      <c r="L27">
        <v>95</v>
      </c>
      <c r="M27">
        <v>82</v>
      </c>
      <c r="N27">
        <v>94</v>
      </c>
      <c r="O27">
        <v>0</v>
      </c>
      <c r="P27" s="16">
        <v>100</v>
      </c>
      <c r="Q27">
        <v>100</v>
      </c>
      <c r="R27">
        <v>100</v>
      </c>
      <c r="S27">
        <v>98</v>
      </c>
      <c r="T27">
        <v>100</v>
      </c>
      <c r="U27">
        <v>100</v>
      </c>
      <c r="V27">
        <v>98</v>
      </c>
      <c r="W27" s="11">
        <f t="shared" si="3"/>
        <v>92.055555555555557</v>
      </c>
      <c r="X27">
        <v>70</v>
      </c>
      <c r="Y27">
        <v>81</v>
      </c>
      <c r="Z27">
        <v>97</v>
      </c>
      <c r="AA27">
        <v>86</v>
      </c>
      <c r="AB27">
        <v>100</v>
      </c>
      <c r="AC27">
        <v>85</v>
      </c>
      <c r="AD27">
        <v>70</v>
      </c>
      <c r="AE27" s="11">
        <f t="shared" si="4"/>
        <v>84.142857142857139</v>
      </c>
      <c r="AF27">
        <v>66</v>
      </c>
      <c r="AG27">
        <v>80</v>
      </c>
      <c r="AH27">
        <v>67.5</v>
      </c>
      <c r="AI27" s="11">
        <f t="shared" si="5"/>
        <v>71.166666666666671</v>
      </c>
      <c r="AJ27" s="11">
        <v>64</v>
      </c>
      <c r="AL27">
        <f t="shared" si="6"/>
        <v>1</v>
      </c>
      <c r="AM27">
        <f t="shared" si="7"/>
        <v>2</v>
      </c>
      <c r="AN27">
        <f t="shared" si="8"/>
        <v>3</v>
      </c>
      <c r="AO27">
        <v>1</v>
      </c>
      <c r="BE27">
        <v>1</v>
      </c>
      <c r="BG27">
        <v>0</v>
      </c>
    </row>
    <row r="28" spans="1:66" ht="14.15" customHeight="1" x14ac:dyDescent="0.3">
      <c r="A28" s="1">
        <v>56605</v>
      </c>
      <c r="B28" s="14">
        <f t="shared" si="0"/>
        <v>79.63015873015874</v>
      </c>
      <c r="C28" s="1">
        <f t="shared" si="1"/>
        <v>82.037698412698418</v>
      </c>
      <c r="D28" s="1">
        <f t="shared" si="2"/>
        <v>82.037698412698418</v>
      </c>
      <c r="E28">
        <v>94</v>
      </c>
      <c r="F28">
        <v>92</v>
      </c>
      <c r="G28">
        <v>100</v>
      </c>
      <c r="H28">
        <v>92</v>
      </c>
      <c r="I28">
        <v>100</v>
      </c>
      <c r="J28">
        <v>0</v>
      </c>
      <c r="K28">
        <v>100</v>
      </c>
      <c r="L28">
        <v>0</v>
      </c>
      <c r="M28">
        <v>98</v>
      </c>
      <c r="N28">
        <v>100</v>
      </c>
      <c r="O28">
        <v>96</v>
      </c>
      <c r="P28" s="16">
        <v>100</v>
      </c>
      <c r="Q28">
        <v>100</v>
      </c>
      <c r="R28">
        <v>100</v>
      </c>
      <c r="S28">
        <v>100</v>
      </c>
      <c r="T28">
        <v>98</v>
      </c>
      <c r="U28">
        <v>100</v>
      </c>
      <c r="V28">
        <v>100</v>
      </c>
      <c r="W28" s="11">
        <f t="shared" si="3"/>
        <v>87.222222222222229</v>
      </c>
      <c r="X28">
        <v>82</v>
      </c>
      <c r="Y28">
        <v>84</v>
      </c>
      <c r="Z28">
        <v>98</v>
      </c>
      <c r="AA28">
        <v>87</v>
      </c>
      <c r="AB28">
        <v>100</v>
      </c>
      <c r="AC28">
        <v>93</v>
      </c>
      <c r="AD28">
        <v>99</v>
      </c>
      <c r="AE28" s="11">
        <f t="shared" si="4"/>
        <v>91.857142857142861</v>
      </c>
      <c r="AF28">
        <v>71</v>
      </c>
      <c r="AG28">
        <v>83</v>
      </c>
      <c r="AH28">
        <v>80</v>
      </c>
      <c r="AI28" s="11">
        <f t="shared" si="5"/>
        <v>78</v>
      </c>
      <c r="AJ28" s="11">
        <v>70</v>
      </c>
      <c r="AL28">
        <f t="shared" si="6"/>
        <v>0</v>
      </c>
      <c r="AM28">
        <f t="shared" si="7"/>
        <v>1</v>
      </c>
      <c r="AN28">
        <f t="shared" si="8"/>
        <v>1</v>
      </c>
      <c r="AV28">
        <v>1</v>
      </c>
    </row>
    <row r="29" spans="1:66" ht="14.15" customHeight="1" x14ac:dyDescent="0.3">
      <c r="A29" s="1">
        <v>56778</v>
      </c>
      <c r="B29" s="14">
        <f t="shared" si="0"/>
        <v>70.51666666666668</v>
      </c>
      <c r="C29" s="1">
        <f t="shared" si="1"/>
        <v>72.395833333333343</v>
      </c>
      <c r="D29" s="1">
        <f t="shared" si="2"/>
        <v>72.395833333333343</v>
      </c>
      <c r="E29">
        <v>0</v>
      </c>
      <c r="F29">
        <v>0</v>
      </c>
      <c r="G29">
        <v>96</v>
      </c>
      <c r="H29">
        <v>100</v>
      </c>
      <c r="I29">
        <v>100</v>
      </c>
      <c r="J29">
        <v>94</v>
      </c>
      <c r="K29">
        <v>100</v>
      </c>
      <c r="L29">
        <v>95</v>
      </c>
      <c r="M29">
        <v>0</v>
      </c>
      <c r="N29">
        <v>94</v>
      </c>
      <c r="O29">
        <v>94</v>
      </c>
      <c r="P29" s="16">
        <v>100</v>
      </c>
      <c r="Q29">
        <v>100</v>
      </c>
      <c r="R29">
        <v>100</v>
      </c>
      <c r="S29">
        <v>98</v>
      </c>
      <c r="T29">
        <v>100</v>
      </c>
      <c r="U29">
        <v>0</v>
      </c>
      <c r="V29">
        <v>100</v>
      </c>
      <c r="W29" s="11">
        <f t="shared" si="3"/>
        <v>76.166666666666671</v>
      </c>
      <c r="X29">
        <v>70</v>
      </c>
      <c r="Y29">
        <v>75</v>
      </c>
      <c r="Z29">
        <v>97</v>
      </c>
      <c r="AA29">
        <v>0</v>
      </c>
      <c r="AB29">
        <v>100</v>
      </c>
      <c r="AC29">
        <v>85</v>
      </c>
      <c r="AD29">
        <v>0</v>
      </c>
      <c r="AE29" s="11">
        <f t="shared" si="4"/>
        <v>61</v>
      </c>
      <c r="AF29">
        <v>76</v>
      </c>
      <c r="AG29">
        <v>71</v>
      </c>
      <c r="AH29">
        <v>72.5</v>
      </c>
      <c r="AI29" s="11">
        <f t="shared" si="5"/>
        <v>73.166666666666671</v>
      </c>
      <c r="AJ29" s="11">
        <v>63</v>
      </c>
      <c r="AL29">
        <f t="shared" si="6"/>
        <v>0</v>
      </c>
      <c r="AM29">
        <f t="shared" si="7"/>
        <v>5</v>
      </c>
      <c r="AN29">
        <f t="shared" si="8"/>
        <v>5</v>
      </c>
      <c r="AO29">
        <v>1</v>
      </c>
      <c r="AP29">
        <v>1</v>
      </c>
      <c r="AQ29">
        <v>1</v>
      </c>
      <c r="BC29">
        <v>1</v>
      </c>
      <c r="BL29">
        <v>1</v>
      </c>
    </row>
    <row r="30" spans="1:66" ht="14.15" customHeight="1" x14ac:dyDescent="0.3">
      <c r="A30" s="1">
        <v>58297</v>
      </c>
      <c r="B30" s="14">
        <f t="shared" si="0"/>
        <v>76.920634920634939</v>
      </c>
      <c r="C30" s="1">
        <f t="shared" si="1"/>
        <v>76.150793650793659</v>
      </c>
      <c r="D30" s="1">
        <f t="shared" si="2"/>
        <v>76.150793650793659</v>
      </c>
      <c r="E30">
        <v>99</v>
      </c>
      <c r="F30">
        <v>100</v>
      </c>
      <c r="G30">
        <v>100</v>
      </c>
      <c r="H30">
        <v>100</v>
      </c>
      <c r="I30">
        <v>100</v>
      </c>
      <c r="J30">
        <v>0</v>
      </c>
      <c r="K30">
        <v>100</v>
      </c>
      <c r="L30">
        <v>100</v>
      </c>
      <c r="M30">
        <v>88</v>
      </c>
      <c r="N30">
        <v>96</v>
      </c>
      <c r="O30">
        <v>0</v>
      </c>
      <c r="P30" s="16">
        <v>100</v>
      </c>
      <c r="Q30">
        <v>96</v>
      </c>
      <c r="R30">
        <v>100</v>
      </c>
      <c r="S30">
        <v>100</v>
      </c>
      <c r="T30">
        <v>100</v>
      </c>
      <c r="U30">
        <v>100</v>
      </c>
      <c r="V30">
        <v>100</v>
      </c>
      <c r="W30" s="11">
        <f t="shared" si="3"/>
        <v>87.722222222222229</v>
      </c>
      <c r="X30">
        <v>94</v>
      </c>
      <c r="Y30">
        <v>90</v>
      </c>
      <c r="Z30">
        <v>99</v>
      </c>
      <c r="AA30">
        <v>89</v>
      </c>
      <c r="AB30">
        <v>0</v>
      </c>
      <c r="AC30">
        <v>92</v>
      </c>
      <c r="AD30">
        <v>99</v>
      </c>
      <c r="AE30" s="11">
        <f t="shared" si="4"/>
        <v>80.428571428571431</v>
      </c>
      <c r="AF30">
        <v>80</v>
      </c>
      <c r="AG30">
        <v>67</v>
      </c>
      <c r="AH30">
        <v>65</v>
      </c>
      <c r="AI30" s="11">
        <f t="shared" si="5"/>
        <v>70.666666666666671</v>
      </c>
      <c r="AJ30" s="11">
        <v>80</v>
      </c>
      <c r="AL30">
        <f t="shared" si="6"/>
        <v>0</v>
      </c>
      <c r="AM30">
        <f t="shared" si="7"/>
        <v>2</v>
      </c>
      <c r="AN30">
        <f t="shared" si="8"/>
        <v>2</v>
      </c>
      <c r="AV30">
        <v>1</v>
      </c>
      <c r="BE30">
        <v>1</v>
      </c>
    </row>
    <row r="31" spans="1:66" ht="14.15" customHeight="1" x14ac:dyDescent="0.3">
      <c r="A31" s="1">
        <v>58360</v>
      </c>
      <c r="B31" s="14">
        <f t="shared" si="0"/>
        <v>93.655396825396849</v>
      </c>
      <c r="C31" s="1">
        <f t="shared" si="1"/>
        <v>95.069246031746047</v>
      </c>
      <c r="D31" s="1">
        <f t="shared" si="2"/>
        <v>86.426587301587304</v>
      </c>
      <c r="E31">
        <v>92</v>
      </c>
      <c r="F31">
        <v>92</v>
      </c>
      <c r="G31">
        <v>100</v>
      </c>
      <c r="H31">
        <v>92</v>
      </c>
      <c r="I31">
        <v>100</v>
      </c>
      <c r="J31">
        <v>98</v>
      </c>
      <c r="K31">
        <v>100</v>
      </c>
      <c r="L31">
        <v>100</v>
      </c>
      <c r="M31">
        <v>98</v>
      </c>
      <c r="N31">
        <v>100</v>
      </c>
      <c r="O31">
        <v>96</v>
      </c>
      <c r="P31" s="16">
        <v>100</v>
      </c>
      <c r="Q31">
        <v>100</v>
      </c>
      <c r="R31">
        <v>100</v>
      </c>
      <c r="S31">
        <v>100</v>
      </c>
      <c r="T31">
        <v>98</v>
      </c>
      <c r="U31">
        <v>100</v>
      </c>
      <c r="V31">
        <v>100</v>
      </c>
      <c r="W31" s="11">
        <f t="shared" si="3"/>
        <v>98.111111111111114</v>
      </c>
      <c r="X31">
        <v>82</v>
      </c>
      <c r="Y31">
        <v>84</v>
      </c>
      <c r="Z31">
        <v>98</v>
      </c>
      <c r="AA31">
        <v>87</v>
      </c>
      <c r="AB31">
        <v>100</v>
      </c>
      <c r="AC31">
        <v>93</v>
      </c>
      <c r="AD31">
        <v>99</v>
      </c>
      <c r="AE31" s="11">
        <f t="shared" si="4"/>
        <v>91.857142857142861</v>
      </c>
      <c r="AF31">
        <v>88</v>
      </c>
      <c r="AG31">
        <v>76</v>
      </c>
      <c r="AH31">
        <v>78</v>
      </c>
      <c r="AI31" s="11">
        <f t="shared" si="5"/>
        <v>80.666666666666671</v>
      </c>
      <c r="AJ31" s="11">
        <v>88</v>
      </c>
      <c r="AL31">
        <f t="shared" si="6"/>
        <v>0</v>
      </c>
      <c r="AM31">
        <f t="shared" si="7"/>
        <v>0</v>
      </c>
      <c r="AN31">
        <f t="shared" si="8"/>
        <v>0</v>
      </c>
    </row>
    <row r="32" spans="1:66" ht="14.15" customHeight="1" x14ac:dyDescent="0.3">
      <c r="A32" s="1">
        <v>58660</v>
      </c>
      <c r="B32" s="14">
        <f t="shared" si="0"/>
        <v>87.929365079365084</v>
      </c>
      <c r="C32" s="1">
        <f t="shared" si="1"/>
        <v>89.661706349206355</v>
      </c>
      <c r="D32" s="1">
        <f t="shared" si="2"/>
        <v>89.661706349206355</v>
      </c>
      <c r="E32">
        <v>100</v>
      </c>
      <c r="F32">
        <v>92</v>
      </c>
      <c r="G32">
        <v>100</v>
      </c>
      <c r="H32">
        <v>92</v>
      </c>
      <c r="I32">
        <v>94</v>
      </c>
      <c r="J32">
        <v>94</v>
      </c>
      <c r="K32">
        <v>100</v>
      </c>
      <c r="L32">
        <v>100</v>
      </c>
      <c r="M32">
        <v>98</v>
      </c>
      <c r="N32">
        <v>98</v>
      </c>
      <c r="O32">
        <v>96</v>
      </c>
      <c r="P32" s="16">
        <v>96</v>
      </c>
      <c r="Q32">
        <v>100</v>
      </c>
      <c r="R32">
        <v>96</v>
      </c>
      <c r="S32">
        <v>100</v>
      </c>
      <c r="T32">
        <v>98</v>
      </c>
      <c r="U32">
        <v>100</v>
      </c>
      <c r="V32">
        <v>100</v>
      </c>
      <c r="W32" s="11">
        <f t="shared" si="3"/>
        <v>97.444444444444443</v>
      </c>
      <c r="X32">
        <v>96</v>
      </c>
      <c r="Y32">
        <v>96</v>
      </c>
      <c r="Z32">
        <v>99</v>
      </c>
      <c r="AA32">
        <v>93</v>
      </c>
      <c r="AB32">
        <v>100</v>
      </c>
      <c r="AC32">
        <v>94</v>
      </c>
      <c r="AD32">
        <v>98</v>
      </c>
      <c r="AE32" s="11">
        <f t="shared" si="4"/>
        <v>96.571428571428569</v>
      </c>
      <c r="AF32">
        <v>81</v>
      </c>
      <c r="AG32">
        <v>84</v>
      </c>
      <c r="AH32">
        <v>90.5</v>
      </c>
      <c r="AI32" s="11">
        <f t="shared" si="5"/>
        <v>85.166666666666671</v>
      </c>
      <c r="AJ32" s="11">
        <v>81</v>
      </c>
      <c r="AL32">
        <f t="shared" si="6"/>
        <v>0</v>
      </c>
      <c r="AM32">
        <f t="shared" si="7"/>
        <v>0</v>
      </c>
      <c r="AN32">
        <f t="shared" si="8"/>
        <v>0</v>
      </c>
    </row>
    <row r="33" spans="1:66" ht="14.15" customHeight="1" x14ac:dyDescent="0.3">
      <c r="A33" s="1">
        <v>58921</v>
      </c>
      <c r="B33" s="14">
        <f t="shared" si="0"/>
        <v>77.272222222222211</v>
      </c>
      <c r="C33" s="1">
        <f t="shared" si="1"/>
        <v>77.840277777777771</v>
      </c>
      <c r="D33" s="1">
        <f t="shared" si="2"/>
        <v>77.840277777777771</v>
      </c>
      <c r="E33">
        <v>93</v>
      </c>
      <c r="F33">
        <v>92</v>
      </c>
      <c r="G33">
        <v>98</v>
      </c>
      <c r="H33">
        <v>92</v>
      </c>
      <c r="I33">
        <v>100</v>
      </c>
      <c r="J33">
        <v>92</v>
      </c>
      <c r="K33">
        <v>100</v>
      </c>
      <c r="L33">
        <v>100</v>
      </c>
      <c r="M33">
        <v>84</v>
      </c>
      <c r="N33">
        <v>92</v>
      </c>
      <c r="O33">
        <v>98</v>
      </c>
      <c r="P33" s="16">
        <v>96</v>
      </c>
      <c r="Q33">
        <v>100</v>
      </c>
      <c r="R33">
        <v>98</v>
      </c>
      <c r="S33">
        <v>100</v>
      </c>
      <c r="T33">
        <v>98</v>
      </c>
      <c r="U33">
        <v>100</v>
      </c>
      <c r="V33">
        <v>100</v>
      </c>
      <c r="W33" s="11">
        <f t="shared" si="3"/>
        <v>96.277777777777771</v>
      </c>
      <c r="X33">
        <v>80</v>
      </c>
      <c r="Y33">
        <v>41</v>
      </c>
      <c r="Z33">
        <v>97</v>
      </c>
      <c r="AA33">
        <v>87</v>
      </c>
      <c r="AB33">
        <v>100</v>
      </c>
      <c r="AC33">
        <v>92</v>
      </c>
      <c r="AD33">
        <v>0</v>
      </c>
      <c r="AE33" s="11">
        <f t="shared" si="4"/>
        <v>71</v>
      </c>
      <c r="AF33">
        <v>75</v>
      </c>
      <c r="AG33">
        <v>78</v>
      </c>
      <c r="AH33">
        <v>62.5</v>
      </c>
      <c r="AI33" s="11">
        <f t="shared" si="5"/>
        <v>71.833333333333329</v>
      </c>
      <c r="AJ33" s="11">
        <v>75</v>
      </c>
      <c r="AL33">
        <f t="shared" si="6"/>
        <v>0</v>
      </c>
      <c r="AM33">
        <f t="shared" si="7"/>
        <v>0</v>
      </c>
      <c r="AN33">
        <f t="shared" si="8"/>
        <v>0</v>
      </c>
    </row>
    <row r="34" spans="1:66" ht="14.15" customHeight="1" x14ac:dyDescent="0.3">
      <c r="A34" s="1">
        <v>62880</v>
      </c>
      <c r="B34" s="14">
        <f t="shared" si="0"/>
        <v>88.496031746031761</v>
      </c>
      <c r="C34" s="1">
        <f t="shared" si="1"/>
        <v>88.120039682539698</v>
      </c>
      <c r="D34" s="1">
        <f t="shared" si="2"/>
        <v>80.109126984126988</v>
      </c>
      <c r="E34">
        <v>100</v>
      </c>
      <c r="F34">
        <v>100</v>
      </c>
      <c r="G34">
        <v>96</v>
      </c>
      <c r="H34">
        <v>96</v>
      </c>
      <c r="I34">
        <v>100</v>
      </c>
      <c r="J34">
        <v>100</v>
      </c>
      <c r="K34">
        <v>100</v>
      </c>
      <c r="L34">
        <v>100</v>
      </c>
      <c r="M34">
        <v>100</v>
      </c>
      <c r="N34">
        <v>98</v>
      </c>
      <c r="O34">
        <v>100</v>
      </c>
      <c r="P34" s="16">
        <v>100</v>
      </c>
      <c r="Q34">
        <v>100</v>
      </c>
      <c r="R34">
        <v>98</v>
      </c>
      <c r="S34">
        <v>100</v>
      </c>
      <c r="T34">
        <v>98</v>
      </c>
      <c r="U34">
        <v>100</v>
      </c>
      <c r="V34">
        <v>100</v>
      </c>
      <c r="W34" s="11">
        <f t="shared" ref="W34:W51" si="9">AVERAGE(E34:V34)</f>
        <v>99.222222222222229</v>
      </c>
      <c r="X34">
        <v>70</v>
      </c>
      <c r="Y34">
        <v>70</v>
      </c>
      <c r="Z34">
        <v>86</v>
      </c>
      <c r="AA34">
        <v>84</v>
      </c>
      <c r="AB34">
        <v>95</v>
      </c>
      <c r="AC34">
        <v>76</v>
      </c>
      <c r="AD34">
        <v>96</v>
      </c>
      <c r="AE34" s="11">
        <f t="shared" si="4"/>
        <v>82.428571428571431</v>
      </c>
      <c r="AF34">
        <v>59</v>
      </c>
      <c r="AG34">
        <v>77</v>
      </c>
      <c r="AH34">
        <v>80</v>
      </c>
      <c r="AI34" s="11">
        <f t="shared" si="5"/>
        <v>72</v>
      </c>
      <c r="AJ34" s="11">
        <v>90</v>
      </c>
      <c r="AL34">
        <f t="shared" si="6"/>
        <v>4</v>
      </c>
      <c r="AM34">
        <f t="shared" si="7"/>
        <v>3</v>
      </c>
      <c r="AN34">
        <f t="shared" si="8"/>
        <v>7</v>
      </c>
      <c r="AP34">
        <v>0</v>
      </c>
      <c r="AQ34">
        <v>0</v>
      </c>
      <c r="AX34">
        <v>0</v>
      </c>
      <c r="BD34">
        <v>1</v>
      </c>
      <c r="BE34">
        <v>0</v>
      </c>
      <c r="BK34">
        <v>1</v>
      </c>
      <c r="BL34">
        <v>1</v>
      </c>
    </row>
    <row r="35" spans="1:66" ht="14.15" customHeight="1" x14ac:dyDescent="0.3">
      <c r="A35" s="1">
        <v>70990</v>
      </c>
      <c r="B35" s="14">
        <f t="shared" si="0"/>
        <v>85.256349206349199</v>
      </c>
      <c r="C35" s="1">
        <f t="shared" si="1"/>
        <v>87.070436507936506</v>
      </c>
      <c r="D35" s="1">
        <f t="shared" si="2"/>
        <v>87.070436507936506</v>
      </c>
      <c r="E35">
        <v>96</v>
      </c>
      <c r="F35">
        <v>92</v>
      </c>
      <c r="G35">
        <v>100</v>
      </c>
      <c r="H35">
        <v>92</v>
      </c>
      <c r="I35">
        <v>100</v>
      </c>
      <c r="J35">
        <v>92</v>
      </c>
      <c r="K35">
        <v>100</v>
      </c>
      <c r="L35">
        <v>100</v>
      </c>
      <c r="M35">
        <v>84</v>
      </c>
      <c r="N35">
        <v>92</v>
      </c>
      <c r="O35">
        <v>98</v>
      </c>
      <c r="P35" s="16">
        <v>96</v>
      </c>
      <c r="Q35">
        <v>100</v>
      </c>
      <c r="R35">
        <v>98</v>
      </c>
      <c r="S35">
        <v>100</v>
      </c>
      <c r="T35">
        <v>98</v>
      </c>
      <c r="U35">
        <v>100</v>
      </c>
      <c r="V35">
        <v>100</v>
      </c>
      <c r="W35" s="11">
        <f t="shared" si="9"/>
        <v>96.555555555555557</v>
      </c>
      <c r="X35">
        <v>51</v>
      </c>
      <c r="Y35">
        <v>56</v>
      </c>
      <c r="Z35">
        <v>97</v>
      </c>
      <c r="AA35">
        <v>87</v>
      </c>
      <c r="AB35">
        <v>90</v>
      </c>
      <c r="AC35">
        <v>90</v>
      </c>
      <c r="AD35">
        <v>84</v>
      </c>
      <c r="AE35" s="11">
        <f t="shared" si="4"/>
        <v>79.285714285714292</v>
      </c>
      <c r="AF35">
        <v>80</v>
      </c>
      <c r="AG35">
        <v>89</v>
      </c>
      <c r="AH35">
        <v>85.5</v>
      </c>
      <c r="AI35" s="11">
        <f t="shared" si="5"/>
        <v>84.833333333333329</v>
      </c>
      <c r="AJ35" s="11">
        <v>78</v>
      </c>
      <c r="AL35">
        <f t="shared" si="6"/>
        <v>0</v>
      </c>
      <c r="AM35">
        <f t="shared" si="7"/>
        <v>0</v>
      </c>
      <c r="AN35">
        <f t="shared" si="8"/>
        <v>0</v>
      </c>
    </row>
    <row r="36" spans="1:66" ht="14.15" customHeight="1" x14ac:dyDescent="0.3">
      <c r="A36" s="1">
        <v>71039</v>
      </c>
      <c r="B36" s="14">
        <f t="shared" si="0"/>
        <v>94.608888888888899</v>
      </c>
      <c r="C36" s="1">
        <f t="shared" si="1"/>
        <v>95.76111111111112</v>
      </c>
      <c r="D36" s="1">
        <f t="shared" si="2"/>
        <v>87.055555555555557</v>
      </c>
      <c r="E36">
        <v>96</v>
      </c>
      <c r="F36">
        <v>100</v>
      </c>
      <c r="G36">
        <v>96</v>
      </c>
      <c r="H36">
        <v>96</v>
      </c>
      <c r="I36">
        <v>100</v>
      </c>
      <c r="J36">
        <v>94</v>
      </c>
      <c r="K36">
        <v>100</v>
      </c>
      <c r="L36">
        <v>100</v>
      </c>
      <c r="M36">
        <v>96</v>
      </c>
      <c r="N36">
        <v>96</v>
      </c>
      <c r="O36">
        <v>96</v>
      </c>
      <c r="P36" s="16">
        <v>100</v>
      </c>
      <c r="Q36">
        <v>100</v>
      </c>
      <c r="R36">
        <v>100</v>
      </c>
      <c r="S36">
        <v>100</v>
      </c>
      <c r="T36">
        <v>98</v>
      </c>
      <c r="U36">
        <v>100</v>
      </c>
      <c r="V36">
        <v>100</v>
      </c>
      <c r="W36" s="11">
        <f t="shared" si="9"/>
        <v>98.222222222222229</v>
      </c>
      <c r="X36">
        <v>61</v>
      </c>
      <c r="Y36">
        <v>79</v>
      </c>
      <c r="Z36">
        <v>92</v>
      </c>
      <c r="AA36">
        <v>60</v>
      </c>
      <c r="AB36">
        <v>100</v>
      </c>
      <c r="AC36">
        <v>74</v>
      </c>
      <c r="AD36">
        <v>94</v>
      </c>
      <c r="AE36" s="11">
        <f t="shared" si="4"/>
        <v>80</v>
      </c>
      <c r="AF36">
        <v>90</v>
      </c>
      <c r="AG36">
        <v>79</v>
      </c>
      <c r="AH36">
        <v>83</v>
      </c>
      <c r="AI36" s="11">
        <f t="shared" si="5"/>
        <v>84</v>
      </c>
      <c r="AJ36" s="11">
        <v>90</v>
      </c>
      <c r="AL36">
        <f t="shared" si="6"/>
        <v>0</v>
      </c>
      <c r="AM36">
        <f t="shared" si="7"/>
        <v>0</v>
      </c>
      <c r="AN36">
        <f t="shared" si="8"/>
        <v>0</v>
      </c>
    </row>
    <row r="37" spans="1:66" ht="14.15" customHeight="1" x14ac:dyDescent="0.3">
      <c r="A37" s="1">
        <v>72578</v>
      </c>
      <c r="B37" s="14">
        <f t="shared" si="0"/>
        <v>75.611111111111114</v>
      </c>
      <c r="C37" s="1">
        <f t="shared" si="1"/>
        <v>79.513888888888886</v>
      </c>
      <c r="D37" s="1">
        <f t="shared" si="2"/>
        <v>79.513888888888886</v>
      </c>
      <c r="E37">
        <v>100</v>
      </c>
      <c r="F37">
        <v>100</v>
      </c>
      <c r="G37">
        <v>100</v>
      </c>
      <c r="H37">
        <v>90</v>
      </c>
      <c r="I37">
        <v>100</v>
      </c>
      <c r="J37">
        <v>98</v>
      </c>
      <c r="K37">
        <v>100</v>
      </c>
      <c r="L37">
        <v>100</v>
      </c>
      <c r="M37">
        <v>100</v>
      </c>
      <c r="N37">
        <v>100</v>
      </c>
      <c r="O37">
        <v>100</v>
      </c>
      <c r="P37" s="16">
        <v>100</v>
      </c>
      <c r="Q37">
        <v>100</v>
      </c>
      <c r="R37">
        <v>98</v>
      </c>
      <c r="S37">
        <v>100</v>
      </c>
      <c r="T37">
        <v>100</v>
      </c>
      <c r="U37">
        <v>100</v>
      </c>
      <c r="V37">
        <v>100</v>
      </c>
      <c r="W37" s="11">
        <f t="shared" si="9"/>
        <v>99.222222222222229</v>
      </c>
      <c r="X37">
        <v>96</v>
      </c>
      <c r="Y37">
        <v>91</v>
      </c>
      <c r="Z37">
        <v>99</v>
      </c>
      <c r="AA37">
        <v>93</v>
      </c>
      <c r="AB37">
        <v>100</v>
      </c>
      <c r="AC37">
        <v>96</v>
      </c>
      <c r="AD37">
        <v>97</v>
      </c>
      <c r="AE37" s="11">
        <f t="shared" si="4"/>
        <v>96</v>
      </c>
      <c r="AF37">
        <v>63</v>
      </c>
      <c r="AG37">
        <v>80</v>
      </c>
      <c r="AH37">
        <v>62</v>
      </c>
      <c r="AI37" s="11">
        <f t="shared" si="5"/>
        <v>68.333333333333329</v>
      </c>
      <c r="AJ37" s="11">
        <v>60</v>
      </c>
      <c r="AL37">
        <f t="shared" si="6"/>
        <v>1</v>
      </c>
      <c r="AM37">
        <f t="shared" si="7"/>
        <v>0</v>
      </c>
      <c r="AN37">
        <f t="shared" si="8"/>
        <v>1</v>
      </c>
      <c r="BB37">
        <v>0</v>
      </c>
    </row>
    <row r="38" spans="1:66" ht="14.15" customHeight="1" x14ac:dyDescent="0.3">
      <c r="A38" s="1">
        <v>74747</v>
      </c>
      <c r="B38" s="14">
        <f t="shared" si="0"/>
        <v>75.292063492063505</v>
      </c>
      <c r="C38" s="1">
        <f t="shared" si="1"/>
        <v>77.115079365079367</v>
      </c>
      <c r="D38" s="1">
        <f t="shared" si="2"/>
        <v>77.115079365079367</v>
      </c>
      <c r="E38">
        <v>96</v>
      </c>
      <c r="F38">
        <v>100</v>
      </c>
      <c r="G38">
        <v>96</v>
      </c>
      <c r="H38">
        <v>96</v>
      </c>
      <c r="I38">
        <v>100</v>
      </c>
      <c r="J38">
        <v>94</v>
      </c>
      <c r="K38">
        <v>100</v>
      </c>
      <c r="L38">
        <v>100</v>
      </c>
      <c r="M38">
        <v>96</v>
      </c>
      <c r="N38">
        <v>96</v>
      </c>
      <c r="O38">
        <v>96</v>
      </c>
      <c r="P38" s="16">
        <v>100</v>
      </c>
      <c r="Q38">
        <v>100</v>
      </c>
      <c r="R38">
        <v>100</v>
      </c>
      <c r="S38">
        <v>100</v>
      </c>
      <c r="T38">
        <v>98</v>
      </c>
      <c r="U38">
        <v>100</v>
      </c>
      <c r="V38">
        <v>100</v>
      </c>
      <c r="W38" s="11">
        <f t="shared" si="9"/>
        <v>98.222222222222229</v>
      </c>
      <c r="X38">
        <v>59</v>
      </c>
      <c r="Y38">
        <v>72</v>
      </c>
      <c r="Z38">
        <v>73</v>
      </c>
      <c r="AA38">
        <v>61</v>
      </c>
      <c r="AB38">
        <v>100</v>
      </c>
      <c r="AC38">
        <v>0</v>
      </c>
      <c r="AD38">
        <v>0</v>
      </c>
      <c r="AE38" s="11">
        <f>AVERAGE(X38:AD38)</f>
        <v>52.142857142857146</v>
      </c>
      <c r="AF38">
        <v>64</v>
      </c>
      <c r="AG38">
        <v>89</v>
      </c>
      <c r="AH38">
        <v>68</v>
      </c>
      <c r="AI38" s="11">
        <f t="shared" si="5"/>
        <v>73.666666666666671</v>
      </c>
      <c r="AJ38" s="11">
        <v>68</v>
      </c>
      <c r="AL38">
        <f t="shared" si="6"/>
        <v>0</v>
      </c>
      <c r="AM38">
        <f t="shared" si="7"/>
        <v>1</v>
      </c>
      <c r="AN38">
        <f t="shared" si="8"/>
        <v>1</v>
      </c>
      <c r="AV38">
        <v>1</v>
      </c>
    </row>
    <row r="39" spans="1:66" ht="14.15" customHeight="1" x14ac:dyDescent="0.3">
      <c r="A39" s="1">
        <v>75077</v>
      </c>
      <c r="B39" s="14">
        <f t="shared" si="0"/>
        <v>75.080952380952382</v>
      </c>
      <c r="C39" s="1">
        <f t="shared" si="1"/>
        <v>75.351190476190482</v>
      </c>
      <c r="D39" s="1">
        <f t="shared" si="2"/>
        <v>75.351190476190482</v>
      </c>
      <c r="E39">
        <v>100</v>
      </c>
      <c r="F39">
        <v>96</v>
      </c>
      <c r="G39">
        <v>100</v>
      </c>
      <c r="H39">
        <v>100</v>
      </c>
      <c r="I39">
        <v>100</v>
      </c>
      <c r="J39">
        <v>0</v>
      </c>
      <c r="K39">
        <v>100</v>
      </c>
      <c r="L39">
        <v>0</v>
      </c>
      <c r="M39">
        <v>72</v>
      </c>
      <c r="N39">
        <v>0</v>
      </c>
      <c r="O39">
        <v>0</v>
      </c>
      <c r="P39" s="16">
        <v>100</v>
      </c>
      <c r="Q39">
        <v>0</v>
      </c>
      <c r="R39">
        <v>0</v>
      </c>
      <c r="S39">
        <v>0</v>
      </c>
      <c r="T39">
        <v>100</v>
      </c>
      <c r="U39">
        <v>100</v>
      </c>
      <c r="V39">
        <v>100</v>
      </c>
      <c r="W39" s="11">
        <f t="shared" si="9"/>
        <v>59.333333333333336</v>
      </c>
      <c r="X39">
        <v>70</v>
      </c>
      <c r="Y39">
        <v>81</v>
      </c>
      <c r="Z39">
        <v>97</v>
      </c>
      <c r="AA39">
        <v>86</v>
      </c>
      <c r="AB39">
        <v>100</v>
      </c>
      <c r="AC39">
        <v>85</v>
      </c>
      <c r="AD39">
        <v>0</v>
      </c>
      <c r="AE39" s="11">
        <f t="shared" si="4"/>
        <v>74.142857142857139</v>
      </c>
      <c r="AF39">
        <v>73</v>
      </c>
      <c r="AG39">
        <v>96</v>
      </c>
      <c r="AH39">
        <v>77</v>
      </c>
      <c r="AI39" s="11">
        <f t="shared" si="5"/>
        <v>82</v>
      </c>
      <c r="AJ39" s="11">
        <v>74</v>
      </c>
      <c r="AL39">
        <f t="shared" si="6"/>
        <v>1</v>
      </c>
      <c r="AM39">
        <f t="shared" si="7"/>
        <v>7</v>
      </c>
      <c r="AN39">
        <f t="shared" si="8"/>
        <v>8</v>
      </c>
      <c r="AS39">
        <v>0</v>
      </c>
      <c r="AV39">
        <v>1</v>
      </c>
      <c r="BD39">
        <v>1</v>
      </c>
      <c r="BE39">
        <v>1</v>
      </c>
      <c r="BG39">
        <v>1</v>
      </c>
      <c r="BJ39">
        <v>1</v>
      </c>
      <c r="BM39">
        <v>1</v>
      </c>
      <c r="BN39">
        <v>1</v>
      </c>
    </row>
    <row r="40" spans="1:66" ht="14.15" customHeight="1" x14ac:dyDescent="0.3">
      <c r="A40" s="2">
        <v>75340</v>
      </c>
      <c r="B40" s="14">
        <f t="shared" si="0"/>
        <v>71.224603174603175</v>
      </c>
      <c r="C40" s="1">
        <f t="shared" si="1"/>
        <v>72.030753968253975</v>
      </c>
      <c r="D40" s="1">
        <f t="shared" si="2"/>
        <v>72.030753968253975</v>
      </c>
      <c r="E40">
        <v>96</v>
      </c>
      <c r="F40">
        <v>100</v>
      </c>
      <c r="G40">
        <v>96</v>
      </c>
      <c r="H40">
        <v>96</v>
      </c>
      <c r="I40">
        <v>100</v>
      </c>
      <c r="J40">
        <v>96</v>
      </c>
      <c r="K40">
        <v>100</v>
      </c>
      <c r="L40">
        <v>0</v>
      </c>
      <c r="M40">
        <v>96</v>
      </c>
      <c r="N40">
        <v>95</v>
      </c>
      <c r="O40">
        <v>91</v>
      </c>
      <c r="P40" s="16">
        <v>95</v>
      </c>
      <c r="Q40">
        <v>100</v>
      </c>
      <c r="R40">
        <v>100</v>
      </c>
      <c r="S40">
        <v>100</v>
      </c>
      <c r="T40">
        <v>100</v>
      </c>
      <c r="U40">
        <v>100</v>
      </c>
      <c r="V40">
        <v>100</v>
      </c>
      <c r="W40" s="11">
        <f t="shared" si="9"/>
        <v>92.277777777777771</v>
      </c>
      <c r="X40">
        <v>82</v>
      </c>
      <c r="Y40">
        <v>0</v>
      </c>
      <c r="Z40">
        <v>99</v>
      </c>
      <c r="AA40">
        <v>90</v>
      </c>
      <c r="AB40">
        <v>80</v>
      </c>
      <c r="AC40">
        <v>50</v>
      </c>
      <c r="AD40">
        <v>95</v>
      </c>
      <c r="AE40" s="11">
        <f t="shared" si="4"/>
        <v>70.857142857142861</v>
      </c>
      <c r="AF40">
        <v>68</v>
      </c>
      <c r="AG40">
        <v>56.5</v>
      </c>
      <c r="AH40">
        <v>68</v>
      </c>
      <c r="AI40" s="11">
        <f t="shared" si="5"/>
        <v>64.166666666666671</v>
      </c>
      <c r="AJ40" s="11">
        <v>68</v>
      </c>
      <c r="AL40">
        <f t="shared" si="6"/>
        <v>4</v>
      </c>
      <c r="AM40">
        <f t="shared" si="7"/>
        <v>2</v>
      </c>
      <c r="AN40">
        <f t="shared" si="8"/>
        <v>6</v>
      </c>
      <c r="AP40">
        <v>0</v>
      </c>
      <c r="AU40">
        <v>1</v>
      </c>
      <c r="AX40">
        <v>0</v>
      </c>
      <c r="BD40">
        <v>1</v>
      </c>
      <c r="BF40">
        <v>0</v>
      </c>
      <c r="BN40">
        <v>0</v>
      </c>
    </row>
    <row r="41" spans="1:66" ht="14.15" customHeight="1" x14ac:dyDescent="0.3">
      <c r="A41" s="1">
        <v>76065</v>
      </c>
      <c r="B41" s="14">
        <f t="shared" si="0"/>
        <v>86.180952380952391</v>
      </c>
      <c r="C41" s="1">
        <f t="shared" si="1"/>
        <v>86.976190476190482</v>
      </c>
      <c r="D41" s="1">
        <f t="shared" si="2"/>
        <v>86.976190476190482</v>
      </c>
      <c r="E41">
        <v>100</v>
      </c>
      <c r="F41">
        <v>98</v>
      </c>
      <c r="G41">
        <v>100</v>
      </c>
      <c r="H41">
        <v>100</v>
      </c>
      <c r="I41">
        <v>100</v>
      </c>
      <c r="J41">
        <v>96</v>
      </c>
      <c r="K41">
        <v>100</v>
      </c>
      <c r="L41">
        <v>90</v>
      </c>
      <c r="M41">
        <v>96</v>
      </c>
      <c r="N41">
        <v>98</v>
      </c>
      <c r="O41">
        <v>94</v>
      </c>
      <c r="P41" s="16">
        <v>100</v>
      </c>
      <c r="Q41">
        <v>100</v>
      </c>
      <c r="R41">
        <v>98</v>
      </c>
      <c r="S41">
        <v>100</v>
      </c>
      <c r="T41">
        <v>100</v>
      </c>
      <c r="U41">
        <v>100</v>
      </c>
      <c r="V41">
        <v>100</v>
      </c>
      <c r="W41" s="11">
        <f t="shared" si="9"/>
        <v>98.333333333333329</v>
      </c>
      <c r="X41">
        <v>82</v>
      </c>
      <c r="Y41">
        <v>0</v>
      </c>
      <c r="Z41">
        <v>85</v>
      </c>
      <c r="AA41">
        <v>49</v>
      </c>
      <c r="AB41">
        <v>100</v>
      </c>
      <c r="AC41">
        <v>38</v>
      </c>
      <c r="AD41">
        <v>95</v>
      </c>
      <c r="AE41" s="11">
        <f t="shared" si="4"/>
        <v>64.142857142857139</v>
      </c>
      <c r="AF41">
        <v>83</v>
      </c>
      <c r="AG41">
        <v>91</v>
      </c>
      <c r="AH41">
        <v>87</v>
      </c>
      <c r="AI41" s="11">
        <f t="shared" si="5"/>
        <v>87</v>
      </c>
      <c r="AJ41" s="11">
        <v>83</v>
      </c>
      <c r="AL41">
        <f t="shared" si="6"/>
        <v>0</v>
      </c>
      <c r="AM41">
        <f t="shared" si="7"/>
        <v>0</v>
      </c>
      <c r="AN41">
        <f t="shared" si="8"/>
        <v>0</v>
      </c>
    </row>
    <row r="42" spans="1:66" ht="14.15" customHeight="1" x14ac:dyDescent="0.3">
      <c r="A42" s="1">
        <v>76182</v>
      </c>
      <c r="B42" s="14">
        <f t="shared" si="0"/>
        <v>80.716666666666669</v>
      </c>
      <c r="C42" s="1">
        <f t="shared" si="1"/>
        <v>81.645833333333329</v>
      </c>
      <c r="D42" s="1">
        <f t="shared" si="2"/>
        <v>81.645833333333329</v>
      </c>
      <c r="E42">
        <v>98</v>
      </c>
      <c r="F42">
        <v>100</v>
      </c>
      <c r="G42">
        <v>100</v>
      </c>
      <c r="H42">
        <v>90</v>
      </c>
      <c r="I42">
        <v>100</v>
      </c>
      <c r="J42">
        <v>98</v>
      </c>
      <c r="K42">
        <v>100</v>
      </c>
      <c r="L42">
        <v>100</v>
      </c>
      <c r="M42">
        <v>98</v>
      </c>
      <c r="N42">
        <v>100</v>
      </c>
      <c r="O42">
        <v>100</v>
      </c>
      <c r="P42" s="16">
        <v>100</v>
      </c>
      <c r="Q42">
        <v>100</v>
      </c>
      <c r="R42">
        <v>98</v>
      </c>
      <c r="S42">
        <v>100</v>
      </c>
      <c r="T42">
        <v>100</v>
      </c>
      <c r="U42">
        <v>100</v>
      </c>
      <c r="V42">
        <v>100</v>
      </c>
      <c r="W42" s="11">
        <f t="shared" si="9"/>
        <v>99</v>
      </c>
      <c r="X42">
        <v>96</v>
      </c>
      <c r="Y42">
        <v>91</v>
      </c>
      <c r="Z42">
        <v>99</v>
      </c>
      <c r="AA42">
        <v>93</v>
      </c>
      <c r="AB42">
        <v>100</v>
      </c>
      <c r="AC42">
        <v>96</v>
      </c>
      <c r="AD42">
        <v>97</v>
      </c>
      <c r="AE42" s="11">
        <f t="shared" si="4"/>
        <v>96</v>
      </c>
      <c r="AF42">
        <v>77</v>
      </c>
      <c r="AG42">
        <v>74</v>
      </c>
      <c r="AH42">
        <v>64.5</v>
      </c>
      <c r="AI42" s="11">
        <f t="shared" si="5"/>
        <v>71.833333333333329</v>
      </c>
      <c r="AJ42" s="11">
        <v>77</v>
      </c>
      <c r="AL42">
        <f t="shared" si="6"/>
        <v>0</v>
      </c>
      <c r="AM42">
        <f t="shared" si="7"/>
        <v>0</v>
      </c>
      <c r="AN42">
        <f t="shared" si="8"/>
        <v>0</v>
      </c>
    </row>
    <row r="43" spans="1:66" ht="14.15" customHeight="1" x14ac:dyDescent="0.3">
      <c r="A43" s="1">
        <v>78078</v>
      </c>
      <c r="B43" s="14">
        <f t="shared" si="0"/>
        <v>73.084126984126996</v>
      </c>
      <c r="C43" s="1">
        <f t="shared" si="1"/>
        <v>71.605158730158735</v>
      </c>
      <c r="D43" s="1">
        <f t="shared" si="2"/>
        <v>71.605158730158735</v>
      </c>
      <c r="E43">
        <v>98</v>
      </c>
      <c r="F43">
        <v>88</v>
      </c>
      <c r="G43">
        <v>96</v>
      </c>
      <c r="H43">
        <v>96</v>
      </c>
      <c r="I43">
        <v>100</v>
      </c>
      <c r="J43">
        <v>98</v>
      </c>
      <c r="K43">
        <v>100</v>
      </c>
      <c r="L43">
        <v>100</v>
      </c>
      <c r="M43">
        <v>98</v>
      </c>
      <c r="N43">
        <v>100</v>
      </c>
      <c r="O43">
        <v>100</v>
      </c>
      <c r="P43" s="16">
        <v>100</v>
      </c>
      <c r="Q43">
        <v>100</v>
      </c>
      <c r="R43">
        <v>100</v>
      </c>
      <c r="S43">
        <v>100</v>
      </c>
      <c r="T43">
        <v>98</v>
      </c>
      <c r="U43">
        <v>100</v>
      </c>
      <c r="V43">
        <v>100</v>
      </c>
      <c r="W43" s="11">
        <f t="shared" si="9"/>
        <v>98.444444444444443</v>
      </c>
      <c r="X43">
        <v>82</v>
      </c>
      <c r="Y43">
        <v>64.5</v>
      </c>
      <c r="Z43">
        <v>95</v>
      </c>
      <c r="AA43">
        <v>91</v>
      </c>
      <c r="AB43">
        <v>100</v>
      </c>
      <c r="AC43">
        <v>78</v>
      </c>
      <c r="AD43">
        <v>97</v>
      </c>
      <c r="AE43" s="11">
        <f t="shared" si="4"/>
        <v>86.785714285714292</v>
      </c>
      <c r="AF43">
        <v>79</v>
      </c>
      <c r="AG43">
        <v>40.5</v>
      </c>
      <c r="AH43">
        <v>54</v>
      </c>
      <c r="AI43" s="11">
        <f t="shared" si="5"/>
        <v>57.833333333333336</v>
      </c>
      <c r="AJ43" s="11">
        <v>79</v>
      </c>
      <c r="AL43">
        <f t="shared" si="6"/>
        <v>0</v>
      </c>
      <c r="AM43">
        <f t="shared" si="7"/>
        <v>0</v>
      </c>
      <c r="AN43">
        <f t="shared" si="8"/>
        <v>0</v>
      </c>
    </row>
    <row r="44" spans="1:66" ht="14.15" customHeight="1" x14ac:dyDescent="0.3">
      <c r="A44" s="1">
        <v>78546</v>
      </c>
      <c r="B44" s="14">
        <f t="shared" si="0"/>
        <v>96.367619047619058</v>
      </c>
      <c r="C44" s="1">
        <f t="shared" si="1"/>
        <v>99.209523809523816</v>
      </c>
      <c r="D44" s="1">
        <f t="shared" si="2"/>
        <v>90.19047619047619</v>
      </c>
      <c r="E44">
        <v>95</v>
      </c>
      <c r="F44">
        <v>100</v>
      </c>
      <c r="G44">
        <v>96</v>
      </c>
      <c r="H44">
        <v>100</v>
      </c>
      <c r="I44">
        <v>100</v>
      </c>
      <c r="J44">
        <v>96</v>
      </c>
      <c r="K44">
        <v>100</v>
      </c>
      <c r="L44">
        <v>90</v>
      </c>
      <c r="M44">
        <v>100</v>
      </c>
      <c r="N44">
        <v>96</v>
      </c>
      <c r="O44">
        <v>98</v>
      </c>
      <c r="P44" s="16">
        <v>100</v>
      </c>
      <c r="Q44">
        <v>100</v>
      </c>
      <c r="R44">
        <v>0</v>
      </c>
      <c r="S44">
        <v>100</v>
      </c>
      <c r="T44">
        <v>100</v>
      </c>
      <c r="U44">
        <v>100</v>
      </c>
      <c r="V44">
        <v>100</v>
      </c>
      <c r="W44" s="11">
        <f t="shared" si="9"/>
        <v>92.833333333333329</v>
      </c>
      <c r="X44">
        <v>87</v>
      </c>
      <c r="Y44">
        <v>99</v>
      </c>
      <c r="Z44">
        <v>98</v>
      </c>
      <c r="AA44">
        <v>94</v>
      </c>
      <c r="AB44">
        <v>100</v>
      </c>
      <c r="AC44">
        <v>93</v>
      </c>
      <c r="AD44">
        <v>100</v>
      </c>
      <c r="AE44" s="11">
        <f t="shared" si="4"/>
        <v>95.857142857142861</v>
      </c>
      <c r="AF44">
        <v>85</v>
      </c>
      <c r="AG44">
        <v>85</v>
      </c>
      <c r="AH44">
        <v>94</v>
      </c>
      <c r="AI44" s="11">
        <f t="shared" si="5"/>
        <v>88</v>
      </c>
      <c r="AJ44" s="11">
        <v>85</v>
      </c>
      <c r="AL44">
        <f t="shared" si="6"/>
        <v>0</v>
      </c>
      <c r="AM44">
        <f t="shared" si="7"/>
        <v>1</v>
      </c>
      <c r="AN44">
        <f t="shared" si="8"/>
        <v>1</v>
      </c>
      <c r="BH44">
        <v>1</v>
      </c>
    </row>
    <row r="45" spans="1:66" ht="14.15" customHeight="1" x14ac:dyDescent="0.3">
      <c r="A45" s="1">
        <v>79421</v>
      </c>
      <c r="B45" s="14">
        <f t="shared" si="0"/>
        <v>93.900396825396825</v>
      </c>
      <c r="C45" s="1">
        <f t="shared" si="1"/>
        <v>93.625496031746025</v>
      </c>
      <c r="D45" s="1">
        <f t="shared" si="2"/>
        <v>85.11408730158729</v>
      </c>
      <c r="E45">
        <v>91</v>
      </c>
      <c r="F45">
        <v>92</v>
      </c>
      <c r="G45">
        <v>100</v>
      </c>
      <c r="H45">
        <v>92</v>
      </c>
      <c r="I45">
        <v>84</v>
      </c>
      <c r="J45">
        <v>94</v>
      </c>
      <c r="K45">
        <v>100</v>
      </c>
      <c r="L45">
        <v>91</v>
      </c>
      <c r="M45">
        <v>98</v>
      </c>
      <c r="N45">
        <v>96</v>
      </c>
      <c r="O45">
        <v>96</v>
      </c>
      <c r="P45" s="16">
        <v>100</v>
      </c>
      <c r="Q45">
        <v>100</v>
      </c>
      <c r="R45">
        <v>98</v>
      </c>
      <c r="S45">
        <v>0</v>
      </c>
      <c r="T45">
        <v>98</v>
      </c>
      <c r="U45">
        <v>100</v>
      </c>
      <c r="V45">
        <v>98</v>
      </c>
      <c r="W45" s="11">
        <f t="shared" si="9"/>
        <v>90.444444444444443</v>
      </c>
      <c r="X45">
        <v>74</v>
      </c>
      <c r="Y45">
        <v>100</v>
      </c>
      <c r="Z45">
        <v>97</v>
      </c>
      <c r="AA45">
        <v>88</v>
      </c>
      <c r="AB45">
        <v>100</v>
      </c>
      <c r="AC45">
        <v>87</v>
      </c>
      <c r="AD45">
        <v>90</v>
      </c>
      <c r="AE45" s="11">
        <f t="shared" si="4"/>
        <v>90.857142857142861</v>
      </c>
      <c r="AF45">
        <v>95</v>
      </c>
      <c r="AG45">
        <v>71</v>
      </c>
      <c r="AH45">
        <v>79.5</v>
      </c>
      <c r="AI45" s="11">
        <f t="shared" si="5"/>
        <v>81.833333333333329</v>
      </c>
      <c r="AJ45" s="11">
        <v>95</v>
      </c>
      <c r="AL45">
        <f t="shared" si="6"/>
        <v>0</v>
      </c>
      <c r="AM45">
        <f t="shared" si="7"/>
        <v>0</v>
      </c>
      <c r="AN45">
        <f t="shared" si="8"/>
        <v>0</v>
      </c>
    </row>
    <row r="46" spans="1:66" ht="14.15" customHeight="1" x14ac:dyDescent="0.3">
      <c r="A46" s="1">
        <v>87469</v>
      </c>
      <c r="B46" s="14">
        <f t="shared" si="0"/>
        <v>98.869206349206365</v>
      </c>
      <c r="C46" s="1">
        <f t="shared" si="1"/>
        <v>101.08650793650794</v>
      </c>
      <c r="D46" s="1">
        <f t="shared" si="2"/>
        <v>91.896825396825392</v>
      </c>
      <c r="E46">
        <v>100</v>
      </c>
      <c r="F46">
        <v>100</v>
      </c>
      <c r="G46">
        <v>100</v>
      </c>
      <c r="H46">
        <v>90</v>
      </c>
      <c r="I46">
        <v>100</v>
      </c>
      <c r="J46">
        <v>98</v>
      </c>
      <c r="K46">
        <v>100</v>
      </c>
      <c r="L46">
        <v>100</v>
      </c>
      <c r="M46">
        <v>88</v>
      </c>
      <c r="N46">
        <v>100</v>
      </c>
      <c r="O46">
        <v>100</v>
      </c>
      <c r="P46" s="16">
        <v>100</v>
      </c>
      <c r="Q46">
        <v>100</v>
      </c>
      <c r="R46">
        <v>0</v>
      </c>
      <c r="S46">
        <v>100</v>
      </c>
      <c r="T46">
        <v>100</v>
      </c>
      <c r="U46">
        <v>100</v>
      </c>
      <c r="V46">
        <v>100</v>
      </c>
      <c r="W46" s="11">
        <f t="shared" si="9"/>
        <v>93.111111111111114</v>
      </c>
      <c r="X46">
        <v>74</v>
      </c>
      <c r="Y46">
        <v>100</v>
      </c>
      <c r="Z46">
        <v>97</v>
      </c>
      <c r="AA46">
        <v>88</v>
      </c>
      <c r="AB46">
        <v>100</v>
      </c>
      <c r="AC46">
        <v>87</v>
      </c>
      <c r="AD46">
        <v>100</v>
      </c>
      <c r="AE46" s="11">
        <f t="shared" si="4"/>
        <v>92.285714285714292</v>
      </c>
      <c r="AF46">
        <v>95</v>
      </c>
      <c r="AG46">
        <v>89</v>
      </c>
      <c r="AH46">
        <v>90</v>
      </c>
      <c r="AI46" s="11">
        <f t="shared" si="5"/>
        <v>91.333333333333329</v>
      </c>
      <c r="AJ46" s="11">
        <v>90</v>
      </c>
      <c r="AL46">
        <f t="shared" si="6"/>
        <v>1</v>
      </c>
      <c r="AM46">
        <f t="shared" si="7"/>
        <v>0</v>
      </c>
      <c r="AN46">
        <f t="shared" si="8"/>
        <v>1</v>
      </c>
      <c r="BC46">
        <v>0</v>
      </c>
    </row>
    <row r="47" spans="1:66" ht="14.15" customHeight="1" x14ac:dyDescent="0.3">
      <c r="A47" s="1">
        <v>91674</v>
      </c>
      <c r="B47" s="14">
        <f t="shared" si="0"/>
        <v>93.105476190476196</v>
      </c>
      <c r="C47" s="1">
        <f t="shared" si="1"/>
        <v>94.131845238095238</v>
      </c>
      <c r="D47" s="1">
        <f t="shared" si="2"/>
        <v>85.574404761904759</v>
      </c>
      <c r="E47">
        <v>97</v>
      </c>
      <c r="F47">
        <v>100</v>
      </c>
      <c r="G47">
        <v>100</v>
      </c>
      <c r="H47">
        <v>0</v>
      </c>
      <c r="I47">
        <v>100</v>
      </c>
      <c r="J47">
        <v>100</v>
      </c>
      <c r="K47">
        <v>100</v>
      </c>
      <c r="L47">
        <v>100</v>
      </c>
      <c r="M47">
        <v>88</v>
      </c>
      <c r="N47">
        <v>96</v>
      </c>
      <c r="O47">
        <v>98</v>
      </c>
      <c r="P47" s="16">
        <v>100</v>
      </c>
      <c r="Q47">
        <v>96</v>
      </c>
      <c r="R47">
        <v>100</v>
      </c>
      <c r="S47">
        <v>100</v>
      </c>
      <c r="T47">
        <v>0</v>
      </c>
      <c r="U47">
        <v>100</v>
      </c>
      <c r="V47">
        <v>100</v>
      </c>
      <c r="W47" s="11">
        <f t="shared" si="9"/>
        <v>87.5</v>
      </c>
      <c r="X47">
        <v>94</v>
      </c>
      <c r="Y47">
        <v>90</v>
      </c>
      <c r="Z47">
        <v>99</v>
      </c>
      <c r="AA47">
        <v>89</v>
      </c>
      <c r="AB47">
        <v>0</v>
      </c>
      <c r="AC47">
        <v>92</v>
      </c>
      <c r="AD47">
        <v>99</v>
      </c>
      <c r="AE47" s="11">
        <f t="shared" si="4"/>
        <v>80.428571428571431</v>
      </c>
      <c r="AF47">
        <v>89</v>
      </c>
      <c r="AG47">
        <v>83</v>
      </c>
      <c r="AH47">
        <v>85.5</v>
      </c>
      <c r="AI47" s="11">
        <f t="shared" si="5"/>
        <v>85.833333333333329</v>
      </c>
      <c r="AJ47" s="11">
        <v>89</v>
      </c>
      <c r="AL47">
        <f t="shared" si="6"/>
        <v>0</v>
      </c>
      <c r="AM47">
        <f t="shared" si="7"/>
        <v>2</v>
      </c>
      <c r="AN47">
        <f t="shared" si="8"/>
        <v>2</v>
      </c>
      <c r="AS47">
        <v>1</v>
      </c>
      <c r="BK47">
        <v>1</v>
      </c>
    </row>
    <row r="48" spans="1:66" ht="14.15" customHeight="1" x14ac:dyDescent="0.3">
      <c r="A48" s="1">
        <v>96590</v>
      </c>
      <c r="B48" s="14">
        <f t="shared" si="0"/>
        <v>74.01666666666668</v>
      </c>
      <c r="C48" s="1">
        <f t="shared" si="1"/>
        <v>77.520833333333343</v>
      </c>
      <c r="D48" s="1">
        <f t="shared" si="2"/>
        <v>77.520833333333343</v>
      </c>
      <c r="E48">
        <v>91</v>
      </c>
      <c r="F48">
        <v>100</v>
      </c>
      <c r="G48">
        <v>96</v>
      </c>
      <c r="H48">
        <v>100</v>
      </c>
      <c r="I48">
        <v>100</v>
      </c>
      <c r="J48">
        <v>96</v>
      </c>
      <c r="K48">
        <v>100</v>
      </c>
      <c r="L48">
        <v>100</v>
      </c>
      <c r="M48">
        <v>100</v>
      </c>
      <c r="N48">
        <v>96</v>
      </c>
      <c r="O48">
        <v>98</v>
      </c>
      <c r="P48" s="16">
        <v>100</v>
      </c>
      <c r="Q48">
        <v>100</v>
      </c>
      <c r="R48">
        <v>100</v>
      </c>
      <c r="S48">
        <v>100</v>
      </c>
      <c r="T48">
        <v>100</v>
      </c>
      <c r="U48">
        <v>100</v>
      </c>
      <c r="V48">
        <v>0</v>
      </c>
      <c r="W48" s="11">
        <f t="shared" si="9"/>
        <v>93.166666666666671</v>
      </c>
      <c r="X48">
        <v>66</v>
      </c>
      <c r="Y48">
        <v>50</v>
      </c>
      <c r="Z48">
        <v>96</v>
      </c>
      <c r="AA48">
        <v>83</v>
      </c>
      <c r="AB48">
        <v>99</v>
      </c>
      <c r="AC48">
        <v>90</v>
      </c>
      <c r="AD48">
        <v>97</v>
      </c>
      <c r="AE48" s="11">
        <f t="shared" si="4"/>
        <v>83</v>
      </c>
      <c r="AF48">
        <v>62</v>
      </c>
      <c r="AG48">
        <v>77</v>
      </c>
      <c r="AH48">
        <v>71.5</v>
      </c>
      <c r="AI48" s="11">
        <f t="shared" si="5"/>
        <v>70.166666666666671</v>
      </c>
      <c r="AJ48" s="11">
        <v>60</v>
      </c>
      <c r="AL48">
        <f t="shared" si="6"/>
        <v>0</v>
      </c>
      <c r="AM48">
        <f t="shared" si="7"/>
        <v>1</v>
      </c>
      <c r="AN48">
        <f t="shared" si="8"/>
        <v>1</v>
      </c>
      <c r="BM48">
        <v>1</v>
      </c>
    </row>
    <row r="49" spans="1:69" ht="14.15" customHeight="1" x14ac:dyDescent="0.3">
      <c r="A49" s="1">
        <v>97064</v>
      </c>
      <c r="B49" s="14">
        <f t="shared" si="0"/>
        <v>90.920873015873028</v>
      </c>
      <c r="C49" s="1">
        <f t="shared" si="1"/>
        <v>92.401091269841288</v>
      </c>
      <c r="D49" s="1">
        <f t="shared" si="2"/>
        <v>84.000992063492077</v>
      </c>
      <c r="E49">
        <v>100</v>
      </c>
      <c r="F49">
        <v>88</v>
      </c>
      <c r="G49">
        <v>96</v>
      </c>
      <c r="H49">
        <v>96</v>
      </c>
      <c r="I49">
        <v>100</v>
      </c>
      <c r="J49">
        <v>98</v>
      </c>
      <c r="K49">
        <v>100</v>
      </c>
      <c r="L49">
        <v>100</v>
      </c>
      <c r="M49">
        <v>96</v>
      </c>
      <c r="N49">
        <v>100</v>
      </c>
      <c r="O49">
        <v>100</v>
      </c>
      <c r="P49" s="16">
        <v>100</v>
      </c>
      <c r="Q49">
        <v>100</v>
      </c>
      <c r="R49">
        <v>100</v>
      </c>
      <c r="S49">
        <v>100</v>
      </c>
      <c r="T49">
        <v>98</v>
      </c>
      <c r="U49">
        <v>100</v>
      </c>
      <c r="V49">
        <v>100</v>
      </c>
      <c r="W49" s="11">
        <f t="shared" si="9"/>
        <v>98.444444444444443</v>
      </c>
      <c r="X49">
        <v>82</v>
      </c>
      <c r="Y49">
        <v>64.5</v>
      </c>
      <c r="Z49">
        <v>95</v>
      </c>
      <c r="AA49">
        <v>91</v>
      </c>
      <c r="AB49">
        <v>100</v>
      </c>
      <c r="AC49">
        <v>78</v>
      </c>
      <c r="AD49">
        <v>97</v>
      </c>
      <c r="AE49" s="11">
        <f t="shared" si="4"/>
        <v>86.785714285714292</v>
      </c>
      <c r="AF49">
        <v>62</v>
      </c>
      <c r="AG49">
        <v>86</v>
      </c>
      <c r="AH49">
        <v>85</v>
      </c>
      <c r="AI49" s="11">
        <f t="shared" si="5"/>
        <v>77.666666666666671</v>
      </c>
      <c r="AJ49" s="11">
        <v>85</v>
      </c>
      <c r="AL49">
        <f t="shared" si="6"/>
        <v>1</v>
      </c>
      <c r="AM49">
        <f t="shared" si="7"/>
        <v>1</v>
      </c>
      <c r="AN49">
        <f t="shared" si="8"/>
        <v>2</v>
      </c>
      <c r="AU49">
        <v>1</v>
      </c>
      <c r="BQ49">
        <v>0</v>
      </c>
    </row>
    <row r="50" spans="1:69" ht="14.15" customHeight="1" x14ac:dyDescent="0.3">
      <c r="A50" s="1">
        <v>97638</v>
      </c>
      <c r="B50" s="14">
        <f t="shared" si="0"/>
        <v>83.209523809523816</v>
      </c>
      <c r="C50" s="1">
        <f t="shared" si="1"/>
        <v>84.011904761904759</v>
      </c>
      <c r="D50" s="1">
        <f t="shared" si="2"/>
        <v>84.011904761904759</v>
      </c>
      <c r="E50">
        <v>100</v>
      </c>
      <c r="F50">
        <v>100</v>
      </c>
      <c r="G50">
        <v>96</v>
      </c>
      <c r="H50">
        <v>96</v>
      </c>
      <c r="I50">
        <v>100</v>
      </c>
      <c r="J50">
        <v>100</v>
      </c>
      <c r="K50">
        <v>100</v>
      </c>
      <c r="L50">
        <v>100</v>
      </c>
      <c r="M50">
        <v>100</v>
      </c>
      <c r="N50">
        <v>96</v>
      </c>
      <c r="O50">
        <v>98</v>
      </c>
      <c r="P50" s="16">
        <v>100</v>
      </c>
      <c r="Q50">
        <v>100</v>
      </c>
      <c r="R50">
        <v>98</v>
      </c>
      <c r="S50">
        <v>100</v>
      </c>
      <c r="T50">
        <v>98</v>
      </c>
      <c r="U50">
        <v>100</v>
      </c>
      <c r="V50">
        <v>100</v>
      </c>
      <c r="W50" s="11">
        <f t="shared" si="9"/>
        <v>99</v>
      </c>
      <c r="X50">
        <v>70</v>
      </c>
      <c r="Y50">
        <v>70</v>
      </c>
      <c r="Z50">
        <v>86</v>
      </c>
      <c r="AA50">
        <v>84</v>
      </c>
      <c r="AB50">
        <v>95</v>
      </c>
      <c r="AC50">
        <v>76</v>
      </c>
      <c r="AD50">
        <v>96</v>
      </c>
      <c r="AE50" s="11">
        <f t="shared" si="4"/>
        <v>82.428571428571431</v>
      </c>
      <c r="AF50">
        <v>76</v>
      </c>
      <c r="AG50">
        <v>80</v>
      </c>
      <c r="AH50">
        <v>79</v>
      </c>
      <c r="AI50" s="11">
        <f t="shared" si="5"/>
        <v>78.333333333333329</v>
      </c>
      <c r="AJ50" s="11">
        <v>80</v>
      </c>
      <c r="AL50">
        <f t="shared" si="6"/>
        <v>1</v>
      </c>
      <c r="AM50">
        <f t="shared" si="7"/>
        <v>0</v>
      </c>
      <c r="AN50">
        <f t="shared" si="8"/>
        <v>1</v>
      </c>
      <c r="BJ50">
        <v>0</v>
      </c>
    </row>
    <row r="51" spans="1:69" ht="14.15" customHeight="1" x14ac:dyDescent="0.3">
      <c r="A51" s="1">
        <v>98979</v>
      </c>
      <c r="B51" s="14">
        <f t="shared" si="0"/>
        <v>79.177777777777777</v>
      </c>
      <c r="C51" s="1">
        <f t="shared" si="1"/>
        <v>80.972222222222214</v>
      </c>
      <c r="D51" s="1">
        <f t="shared" si="2"/>
        <v>80.972222222222214</v>
      </c>
      <c r="E51">
        <v>96</v>
      </c>
      <c r="F51">
        <v>100</v>
      </c>
      <c r="G51">
        <v>96</v>
      </c>
      <c r="H51">
        <v>96</v>
      </c>
      <c r="I51">
        <v>100</v>
      </c>
      <c r="J51">
        <v>96</v>
      </c>
      <c r="K51">
        <v>100</v>
      </c>
      <c r="L51">
        <v>0</v>
      </c>
      <c r="M51">
        <v>96</v>
      </c>
      <c r="N51">
        <v>96</v>
      </c>
      <c r="O51">
        <v>0</v>
      </c>
      <c r="P51" s="16">
        <v>100</v>
      </c>
      <c r="Q51">
        <v>100</v>
      </c>
      <c r="R51">
        <v>100</v>
      </c>
      <c r="S51">
        <v>100</v>
      </c>
      <c r="T51">
        <v>100</v>
      </c>
      <c r="U51">
        <v>100</v>
      </c>
      <c r="V51">
        <v>100</v>
      </c>
      <c r="W51" s="11">
        <f t="shared" si="9"/>
        <v>87.555555555555557</v>
      </c>
      <c r="X51">
        <v>80</v>
      </c>
      <c r="Y51">
        <v>41</v>
      </c>
      <c r="Z51">
        <v>97</v>
      </c>
      <c r="AA51">
        <v>87</v>
      </c>
      <c r="AB51">
        <v>100</v>
      </c>
      <c r="AC51">
        <v>92</v>
      </c>
      <c r="AD51">
        <v>0</v>
      </c>
      <c r="AE51" s="11">
        <f t="shared" si="4"/>
        <v>71</v>
      </c>
      <c r="AF51">
        <v>80</v>
      </c>
      <c r="AG51">
        <v>86</v>
      </c>
      <c r="AH51">
        <v>75</v>
      </c>
      <c r="AI51" s="11">
        <f t="shared" si="5"/>
        <v>80.333333333333329</v>
      </c>
      <c r="AJ51" s="11">
        <v>72</v>
      </c>
      <c r="AL51">
        <f t="shared" si="6"/>
        <v>0</v>
      </c>
      <c r="AM51">
        <f t="shared" si="7"/>
        <v>2</v>
      </c>
      <c r="AN51">
        <f t="shared" si="8"/>
        <v>2</v>
      </c>
      <c r="BE51">
        <v>1</v>
      </c>
      <c r="BN51">
        <v>1</v>
      </c>
    </row>
    <row r="52" spans="1:69" ht="14.15" customHeight="1" x14ac:dyDescent="0.3">
      <c r="A52" s="1"/>
      <c r="B52" s="14"/>
      <c r="C52" s="1"/>
      <c r="D52" s="1"/>
    </row>
    <row r="53" spans="1:69" ht="14.15" customHeight="1" x14ac:dyDescent="0.3">
      <c r="A53" s="3"/>
      <c r="B53" s="15"/>
      <c r="C53" s="3"/>
      <c r="D53" s="1"/>
    </row>
    <row r="54" spans="1:69" ht="14.15" customHeight="1" x14ac:dyDescent="0.3">
      <c r="A54" s="3"/>
      <c r="B54" s="15"/>
      <c r="C54" s="3"/>
      <c r="D54" s="1"/>
    </row>
    <row r="55" spans="1:69" ht="14.15" customHeight="1" x14ac:dyDescent="0.3">
      <c r="D55" s="1"/>
    </row>
    <row r="56" spans="1:69" ht="14.15" customHeight="1" x14ac:dyDescent="0.3">
      <c r="D56" s="1"/>
    </row>
    <row r="57" spans="1:69" ht="14.15" customHeight="1" x14ac:dyDescent="0.3">
      <c r="D57" s="1"/>
    </row>
    <row r="58" spans="1:69" ht="14.15" customHeight="1" x14ac:dyDescent="0.3">
      <c r="D58" s="1"/>
    </row>
    <row r="59" spans="1:69" ht="14.15" customHeight="1" x14ac:dyDescent="0.3">
      <c r="D59" s="1"/>
    </row>
    <row r="60" spans="1:69" ht="14.15" customHeight="1" x14ac:dyDescent="0.3">
      <c r="D60" s="1"/>
    </row>
    <row r="61" spans="1:69" ht="14.15" customHeight="1" x14ac:dyDescent="0.3">
      <c r="D61" s="1"/>
    </row>
    <row r="62" spans="1:69" ht="14.15" customHeight="1" x14ac:dyDescent="0.3">
      <c r="D62" s="1"/>
    </row>
    <row r="63" spans="1:69" ht="14.15" customHeight="1" x14ac:dyDescent="0.3">
      <c r="D63" s="1"/>
    </row>
    <row r="64" spans="1:69" ht="14.15" customHeight="1" x14ac:dyDescent="0.3">
      <c r="D64" s="1"/>
    </row>
    <row r="65" spans="4:4" ht="14.15" customHeight="1" x14ac:dyDescent="0.3">
      <c r="D65" s="1"/>
    </row>
    <row r="66" spans="4:4" ht="14.15" customHeight="1" x14ac:dyDescent="0.3">
      <c r="D66" s="1"/>
    </row>
    <row r="67" spans="4:4" ht="14.15" customHeight="1" x14ac:dyDescent="0.3">
      <c r="D67" s="1"/>
    </row>
    <row r="68" spans="4:4" ht="14.15" customHeight="1" x14ac:dyDescent="0.3">
      <c r="D68" s="1"/>
    </row>
    <row r="69" spans="4:4" ht="14.15" customHeight="1" x14ac:dyDescent="0.3">
      <c r="D69" s="1"/>
    </row>
    <row r="70" spans="4:4" ht="14.15" customHeight="1" x14ac:dyDescent="0.3">
      <c r="D70" s="1"/>
    </row>
    <row r="71" spans="4:4" ht="14.15" customHeight="1" x14ac:dyDescent="0.3">
      <c r="D71" s="1"/>
    </row>
    <row r="72" spans="4:4" ht="14.15" customHeight="1" x14ac:dyDescent="0.3">
      <c r="D72" s="1"/>
    </row>
    <row r="73" spans="4:4" ht="14.15" customHeight="1" x14ac:dyDescent="0.3">
      <c r="D73" s="1"/>
    </row>
    <row r="74" spans="4:4" ht="14.15" customHeight="1" x14ac:dyDescent="0.3">
      <c r="D74" s="1"/>
    </row>
    <row r="75" spans="4:4" ht="14.15" customHeight="1" x14ac:dyDescent="0.3">
      <c r="D75" s="1"/>
    </row>
    <row r="76" spans="4:4" ht="14.15" customHeight="1" x14ac:dyDescent="0.3">
      <c r="D76" s="1"/>
    </row>
    <row r="77" spans="4:4" ht="14.15" customHeight="1" x14ac:dyDescent="0.3">
      <c r="D77" s="1"/>
    </row>
    <row r="78" spans="4:4" ht="14.15" customHeight="1" x14ac:dyDescent="0.3">
      <c r="D78" s="1"/>
    </row>
    <row r="79" spans="4:4" ht="14.15" customHeight="1" x14ac:dyDescent="0.3">
      <c r="D79" s="1"/>
    </row>
    <row r="80" spans="4:4" ht="14.15" customHeight="1" x14ac:dyDescent="0.3">
      <c r="D80" s="1"/>
    </row>
    <row r="81" spans="4:4" ht="14.15" customHeight="1" x14ac:dyDescent="0.3">
      <c r="D81" s="1"/>
    </row>
    <row r="82" spans="4:4" ht="14.15" customHeight="1" x14ac:dyDescent="0.3">
      <c r="D82" s="1"/>
    </row>
    <row r="83" spans="4:4" ht="14.15" customHeight="1" x14ac:dyDescent="0.3">
      <c r="D83" s="1"/>
    </row>
    <row r="84" spans="4:4" ht="14.15" customHeight="1" x14ac:dyDescent="0.3">
      <c r="D84" s="1"/>
    </row>
    <row r="85" spans="4:4" ht="14.15" customHeight="1" x14ac:dyDescent="0.3">
      <c r="D85" s="1"/>
    </row>
    <row r="86" spans="4:4" ht="14.15" customHeight="1" x14ac:dyDescent="0.3">
      <c r="D86" s="1"/>
    </row>
    <row r="87" spans="4:4" ht="14.15" customHeight="1" x14ac:dyDescent="0.3">
      <c r="D87" s="1"/>
    </row>
    <row r="88" spans="4:4" ht="14.15" customHeight="1" x14ac:dyDescent="0.3">
      <c r="D88" s="1"/>
    </row>
    <row r="89" spans="4:4" ht="14.15" customHeight="1" x14ac:dyDescent="0.3">
      <c r="D89" s="1"/>
    </row>
    <row r="90" spans="4:4" ht="14.15" customHeight="1" x14ac:dyDescent="0.3">
      <c r="D90" s="1"/>
    </row>
    <row r="91" spans="4:4" ht="14.15" customHeight="1" x14ac:dyDescent="0.3">
      <c r="D91" s="1"/>
    </row>
    <row r="92" spans="4:4" ht="14.15" customHeight="1" x14ac:dyDescent="0.3">
      <c r="D92" s="1"/>
    </row>
    <row r="93" spans="4:4" ht="14.15" customHeight="1" x14ac:dyDescent="0.3">
      <c r="D93" s="1"/>
    </row>
    <row r="94" spans="4:4" ht="14.15" customHeight="1" x14ac:dyDescent="0.3">
      <c r="D94" s="1"/>
    </row>
    <row r="95" spans="4:4" ht="14.15" customHeight="1" x14ac:dyDescent="0.3">
      <c r="D95" s="1"/>
    </row>
    <row r="96" spans="4:4" ht="14.15" customHeight="1" x14ac:dyDescent="0.3">
      <c r="D96" s="1"/>
    </row>
    <row r="97" spans="4:4" ht="14.15" customHeight="1" x14ac:dyDescent="0.3">
      <c r="D97" s="1"/>
    </row>
    <row r="98" spans="4:4" ht="14.15" customHeight="1" x14ac:dyDescent="0.3">
      <c r="D98" s="1"/>
    </row>
    <row r="99" spans="4:4" ht="14.15" customHeight="1" x14ac:dyDescent="0.3">
      <c r="D99" s="1"/>
    </row>
    <row r="100" spans="4:4" ht="14.15" customHeight="1" x14ac:dyDescent="0.3">
      <c r="D100" s="1"/>
    </row>
    <row r="101" spans="4:4" ht="14.15" customHeight="1" x14ac:dyDescent="0.3">
      <c r="D101" s="1"/>
    </row>
    <row r="102" spans="4:4" ht="14.15" customHeight="1" x14ac:dyDescent="0.3">
      <c r="D102" s="1"/>
    </row>
    <row r="103" spans="4:4" ht="14.15" customHeight="1" x14ac:dyDescent="0.3">
      <c r="D103" s="1"/>
    </row>
    <row r="104" spans="4:4" ht="14.15" customHeight="1" x14ac:dyDescent="0.3">
      <c r="D104" s="1"/>
    </row>
    <row r="105" spans="4:4" ht="14.15" customHeight="1" x14ac:dyDescent="0.3">
      <c r="D105" s="1"/>
    </row>
    <row r="106" spans="4:4" ht="14.15" customHeight="1" x14ac:dyDescent="0.3">
      <c r="D106" s="1"/>
    </row>
    <row r="107" spans="4:4" ht="14.15" customHeight="1" x14ac:dyDescent="0.3">
      <c r="D107" s="1"/>
    </row>
    <row r="108" spans="4:4" ht="14.15" customHeight="1" x14ac:dyDescent="0.3">
      <c r="D108" s="1"/>
    </row>
    <row r="109" spans="4:4" ht="14.15" customHeight="1" x14ac:dyDescent="0.3">
      <c r="D109" s="1"/>
    </row>
    <row r="110" spans="4:4" ht="14.15" customHeight="1" x14ac:dyDescent="0.3">
      <c r="D110" s="1"/>
    </row>
    <row r="111" spans="4:4" ht="14.15" customHeight="1" x14ac:dyDescent="0.3">
      <c r="D111" s="1"/>
    </row>
    <row r="112" spans="4:4" ht="14.15" customHeight="1" x14ac:dyDescent="0.3">
      <c r="D112" s="1"/>
    </row>
    <row r="113" spans="4:4" ht="14.15" customHeight="1" x14ac:dyDescent="0.3">
      <c r="D113" s="1"/>
    </row>
    <row r="114" spans="4:4" ht="14.15" customHeight="1" x14ac:dyDescent="0.3">
      <c r="D114" s="1"/>
    </row>
    <row r="115" spans="4:4" ht="14.15" customHeight="1" x14ac:dyDescent="0.3">
      <c r="D115" s="1"/>
    </row>
    <row r="116" spans="4:4" ht="14.15" customHeight="1" x14ac:dyDescent="0.3">
      <c r="D116" s="1"/>
    </row>
    <row r="117" spans="4:4" ht="14.15" customHeight="1" x14ac:dyDescent="0.3">
      <c r="D117" s="1"/>
    </row>
    <row r="118" spans="4:4" ht="14.15" customHeight="1" x14ac:dyDescent="0.3">
      <c r="D118" s="1"/>
    </row>
    <row r="119" spans="4:4" ht="14.15" customHeight="1" x14ac:dyDescent="0.3">
      <c r="D119" s="1"/>
    </row>
    <row r="120" spans="4:4" ht="14.15" customHeight="1" x14ac:dyDescent="0.3">
      <c r="D120" s="1"/>
    </row>
    <row r="121" spans="4:4" ht="14.15" customHeight="1" x14ac:dyDescent="0.3">
      <c r="D121" s="1"/>
    </row>
    <row r="122" spans="4:4" ht="14.15" customHeight="1" x14ac:dyDescent="0.3">
      <c r="D122" s="1"/>
    </row>
    <row r="123" spans="4:4" ht="14.15" customHeight="1" x14ac:dyDescent="0.3">
      <c r="D123" s="1"/>
    </row>
    <row r="124" spans="4:4" ht="14.15" customHeight="1" x14ac:dyDescent="0.3">
      <c r="D124" s="1"/>
    </row>
    <row r="125" spans="4:4" ht="14.15" customHeight="1" x14ac:dyDescent="0.3">
      <c r="D125" s="1"/>
    </row>
    <row r="126" spans="4:4" ht="14.15" customHeight="1" x14ac:dyDescent="0.3">
      <c r="D126" s="1"/>
    </row>
    <row r="127" spans="4:4" ht="14.15" customHeight="1" x14ac:dyDescent="0.3">
      <c r="D127" s="1"/>
    </row>
    <row r="128" spans="4:4" ht="14.15" customHeight="1" x14ac:dyDescent="0.3">
      <c r="D128" s="1"/>
    </row>
    <row r="129" spans="4:4" ht="14.15" customHeight="1" x14ac:dyDescent="0.3">
      <c r="D129" s="1"/>
    </row>
    <row r="130" spans="4:4" ht="14.15" customHeight="1" x14ac:dyDescent="0.3">
      <c r="D130" s="1"/>
    </row>
    <row r="131" spans="4:4" ht="14.15" customHeight="1" x14ac:dyDescent="0.3">
      <c r="D131" s="1"/>
    </row>
    <row r="132" spans="4:4" ht="14.15" customHeight="1" x14ac:dyDescent="0.3">
      <c r="D132" s="1"/>
    </row>
    <row r="133" spans="4:4" ht="14.15" customHeight="1" x14ac:dyDescent="0.3">
      <c r="D133" s="1"/>
    </row>
    <row r="134" spans="4:4" ht="14.15" customHeight="1" x14ac:dyDescent="0.3">
      <c r="D134" s="1"/>
    </row>
    <row r="135" spans="4:4" ht="14.15" customHeight="1" x14ac:dyDescent="0.3">
      <c r="D135" s="1"/>
    </row>
    <row r="136" spans="4:4" ht="14.15" customHeight="1" x14ac:dyDescent="0.3">
      <c r="D136" s="1"/>
    </row>
    <row r="137" spans="4:4" ht="14.15" customHeight="1" x14ac:dyDescent="0.3">
      <c r="D137" s="1"/>
    </row>
    <row r="138" spans="4:4" ht="14.15" customHeight="1" x14ac:dyDescent="0.3">
      <c r="D138" s="1"/>
    </row>
    <row r="139" spans="4:4" ht="14.15" customHeight="1" x14ac:dyDescent="0.3">
      <c r="D139" s="1"/>
    </row>
    <row r="140" spans="4:4" ht="14.15" customHeight="1" x14ac:dyDescent="0.3">
      <c r="D140" s="1"/>
    </row>
    <row r="141" spans="4:4" ht="14.15" customHeight="1" x14ac:dyDescent="0.3">
      <c r="D141" s="1"/>
    </row>
    <row r="142" spans="4:4" ht="14.15" customHeight="1" x14ac:dyDescent="0.3">
      <c r="D142" s="1"/>
    </row>
    <row r="143" spans="4:4" ht="14.15" customHeight="1" x14ac:dyDescent="0.3">
      <c r="D143" s="1"/>
    </row>
    <row r="144" spans="4:4" ht="14.15" customHeight="1" x14ac:dyDescent="0.3">
      <c r="D144" s="1"/>
    </row>
    <row r="145" spans="4:4" ht="14.15" customHeight="1" x14ac:dyDescent="0.3">
      <c r="D145" s="1"/>
    </row>
    <row r="146" spans="4:4" ht="14.15" customHeight="1" x14ac:dyDescent="0.3">
      <c r="D146" s="1"/>
    </row>
    <row r="147" spans="4:4" ht="14.15" customHeight="1" x14ac:dyDescent="0.3">
      <c r="D147" s="1"/>
    </row>
    <row r="148" spans="4:4" ht="14.15" customHeight="1" x14ac:dyDescent="0.3">
      <c r="D148" s="1"/>
    </row>
    <row r="149" spans="4:4" ht="14.15" customHeight="1" x14ac:dyDescent="0.3">
      <c r="D149" s="1"/>
    </row>
    <row r="150" spans="4:4" ht="14.15" customHeight="1" x14ac:dyDescent="0.3">
      <c r="D150" s="1"/>
    </row>
    <row r="151" spans="4:4" ht="14.15" customHeight="1" x14ac:dyDescent="0.3">
      <c r="D151" s="1"/>
    </row>
    <row r="152" spans="4:4" ht="14.15" customHeight="1" x14ac:dyDescent="0.3">
      <c r="D152" s="1"/>
    </row>
    <row r="153" spans="4:4" ht="14.15" customHeight="1" x14ac:dyDescent="0.3">
      <c r="D153" s="1"/>
    </row>
    <row r="154" spans="4:4" ht="14.15" customHeight="1" x14ac:dyDescent="0.3">
      <c r="D154" s="1"/>
    </row>
    <row r="155" spans="4:4" ht="14.15" customHeight="1" x14ac:dyDescent="0.3">
      <c r="D155" s="1"/>
    </row>
    <row r="156" spans="4:4" ht="14.15" customHeight="1" x14ac:dyDescent="0.3">
      <c r="D156" s="1"/>
    </row>
    <row r="157" spans="4:4" ht="14.15" customHeight="1" x14ac:dyDescent="0.3">
      <c r="D157" s="1"/>
    </row>
    <row r="158" spans="4:4" ht="14.15" customHeight="1" x14ac:dyDescent="0.3">
      <c r="D158" s="1"/>
    </row>
    <row r="159" spans="4:4" ht="14.15" customHeight="1" x14ac:dyDescent="0.3">
      <c r="D159" s="1"/>
    </row>
    <row r="160" spans="4:4" ht="14.15" customHeight="1" x14ac:dyDescent="0.3">
      <c r="D160" s="1"/>
    </row>
    <row r="161" spans="4:4" ht="14.15" customHeight="1" x14ac:dyDescent="0.3">
      <c r="D161" s="1"/>
    </row>
    <row r="162" spans="4:4" ht="14.15" customHeight="1" x14ac:dyDescent="0.3">
      <c r="D162" s="1"/>
    </row>
    <row r="163" spans="4:4" ht="14.15" customHeight="1" x14ac:dyDescent="0.3">
      <c r="D163" s="1"/>
    </row>
    <row r="164" spans="4:4" ht="14.15" customHeight="1" x14ac:dyDescent="0.3">
      <c r="D164" s="1"/>
    </row>
    <row r="165" spans="4:4" ht="14.15" customHeight="1" x14ac:dyDescent="0.3">
      <c r="D165" s="1"/>
    </row>
    <row r="166" spans="4:4" ht="14.15" customHeight="1" x14ac:dyDescent="0.3">
      <c r="D166" s="1"/>
    </row>
    <row r="167" spans="4:4" ht="14.15" customHeight="1" x14ac:dyDescent="0.3">
      <c r="D167" s="1"/>
    </row>
    <row r="168" spans="4:4" ht="14.15" customHeight="1" x14ac:dyDescent="0.3">
      <c r="D168" s="1"/>
    </row>
    <row r="169" spans="4:4" ht="14.15" customHeight="1" x14ac:dyDescent="0.3">
      <c r="D169" s="1"/>
    </row>
    <row r="170" spans="4:4" ht="14.15" customHeight="1" x14ac:dyDescent="0.3">
      <c r="D170" s="1"/>
    </row>
    <row r="171" spans="4:4" ht="14.15" customHeight="1" x14ac:dyDescent="0.3">
      <c r="D171" s="1"/>
    </row>
    <row r="172" spans="4:4" ht="14.15" customHeight="1" x14ac:dyDescent="0.3">
      <c r="D172" s="1"/>
    </row>
    <row r="173" spans="4:4" ht="14.15" customHeight="1" x14ac:dyDescent="0.3">
      <c r="D173" s="1"/>
    </row>
    <row r="174" spans="4:4" ht="14.15" customHeight="1" x14ac:dyDescent="0.3">
      <c r="D174" s="1"/>
    </row>
    <row r="175" spans="4:4" ht="14.15" customHeight="1" x14ac:dyDescent="0.3">
      <c r="D175" s="1"/>
    </row>
    <row r="176" spans="4:4" ht="14.15" customHeight="1" x14ac:dyDescent="0.3">
      <c r="D176" s="1"/>
    </row>
    <row r="177" spans="4:4" ht="14.15" customHeight="1" x14ac:dyDescent="0.3">
      <c r="D177" s="1"/>
    </row>
    <row r="178" spans="4:4" ht="14.15" customHeight="1" x14ac:dyDescent="0.3">
      <c r="D178" s="1"/>
    </row>
    <row r="179" spans="4:4" ht="14.15" customHeight="1" x14ac:dyDescent="0.3">
      <c r="D179" s="1"/>
    </row>
    <row r="180" spans="4:4" ht="14.15" customHeight="1" x14ac:dyDescent="0.3">
      <c r="D180" s="1"/>
    </row>
    <row r="181" spans="4:4" ht="14.15" customHeight="1" x14ac:dyDescent="0.3">
      <c r="D181" s="1"/>
    </row>
    <row r="182" spans="4:4" ht="14.15" customHeight="1" x14ac:dyDescent="0.3">
      <c r="D182" s="1"/>
    </row>
    <row r="183" spans="4:4" ht="14.15" customHeight="1" x14ac:dyDescent="0.3">
      <c r="D183" s="1"/>
    </row>
    <row r="184" spans="4:4" ht="14.15" customHeight="1" x14ac:dyDescent="0.3">
      <c r="D184" s="1"/>
    </row>
    <row r="185" spans="4:4" ht="14.15" customHeight="1" x14ac:dyDescent="0.3">
      <c r="D185" s="1"/>
    </row>
    <row r="186" spans="4:4" ht="14.15" customHeight="1" x14ac:dyDescent="0.3">
      <c r="D186" s="1"/>
    </row>
    <row r="187" spans="4:4" ht="14.15" customHeight="1" x14ac:dyDescent="0.3">
      <c r="D187" s="1"/>
    </row>
    <row r="188" spans="4:4" ht="14.15" customHeight="1" x14ac:dyDescent="0.3">
      <c r="D188" s="1"/>
    </row>
    <row r="189" spans="4:4" ht="14.15" customHeight="1" x14ac:dyDescent="0.3">
      <c r="D189" s="1"/>
    </row>
    <row r="190" spans="4:4" ht="14.15" customHeight="1" x14ac:dyDescent="0.3">
      <c r="D190" s="1"/>
    </row>
    <row r="191" spans="4:4" ht="14.15" customHeight="1" x14ac:dyDescent="0.3">
      <c r="D191" s="1"/>
    </row>
    <row r="192" spans="4:4" ht="14.15" customHeight="1" x14ac:dyDescent="0.3">
      <c r="D192" s="1"/>
    </row>
    <row r="193" spans="4:4" ht="14.15" customHeight="1" x14ac:dyDescent="0.3">
      <c r="D193" s="1"/>
    </row>
    <row r="194" spans="4:4" ht="14.15" customHeight="1" x14ac:dyDescent="0.3">
      <c r="D194" s="1"/>
    </row>
    <row r="195" spans="4:4" ht="14.15" customHeight="1" x14ac:dyDescent="0.3">
      <c r="D195" s="1"/>
    </row>
    <row r="196" spans="4:4" ht="14.15" customHeight="1" x14ac:dyDescent="0.3">
      <c r="D196" s="1"/>
    </row>
    <row r="197" spans="4:4" ht="14.15" customHeight="1" x14ac:dyDescent="0.3">
      <c r="D197" s="1"/>
    </row>
    <row r="198" spans="4:4" ht="14.15" customHeight="1" x14ac:dyDescent="0.3">
      <c r="D198" s="1"/>
    </row>
    <row r="199" spans="4:4" ht="14.15" customHeight="1" x14ac:dyDescent="0.3">
      <c r="D199" s="1"/>
    </row>
    <row r="200" spans="4:4" ht="14.15" customHeight="1" x14ac:dyDescent="0.3">
      <c r="D200" s="1"/>
    </row>
    <row r="201" spans="4:4" ht="14.15" customHeight="1" x14ac:dyDescent="0.3">
      <c r="D201" s="1"/>
    </row>
    <row r="202" spans="4:4" ht="14.15" customHeight="1" x14ac:dyDescent="0.3">
      <c r="D202" s="1"/>
    </row>
    <row r="203" spans="4:4" ht="14.15" customHeight="1" x14ac:dyDescent="0.3">
      <c r="D203" s="1"/>
    </row>
    <row r="204" spans="4:4" ht="14.15" customHeight="1" x14ac:dyDescent="0.3">
      <c r="D204" s="1"/>
    </row>
    <row r="205" spans="4:4" ht="14.15" customHeight="1" x14ac:dyDescent="0.3">
      <c r="D205" s="1"/>
    </row>
    <row r="206" spans="4:4" ht="14.15" customHeight="1" x14ac:dyDescent="0.3">
      <c r="D206" s="1"/>
    </row>
    <row r="207" spans="4:4" ht="14.15" customHeight="1" x14ac:dyDescent="0.3">
      <c r="D207" s="1"/>
    </row>
    <row r="208" spans="4:4" ht="14.15" customHeight="1" x14ac:dyDescent="0.3">
      <c r="D208" s="1"/>
    </row>
    <row r="209" spans="4:4" ht="14.15" customHeight="1" x14ac:dyDescent="0.3">
      <c r="D209" s="1"/>
    </row>
    <row r="210" spans="4:4" ht="14.15" customHeight="1" x14ac:dyDescent="0.3">
      <c r="D210" s="1"/>
    </row>
    <row r="211" spans="4:4" ht="14.15" customHeight="1" x14ac:dyDescent="0.3">
      <c r="D211" s="1"/>
    </row>
    <row r="212" spans="4:4" ht="14.15" customHeight="1" x14ac:dyDescent="0.3">
      <c r="D212" s="1"/>
    </row>
    <row r="213" spans="4:4" ht="14.15" customHeight="1" x14ac:dyDescent="0.3">
      <c r="D213" s="1"/>
    </row>
    <row r="214" spans="4:4" ht="14.15" customHeight="1" x14ac:dyDescent="0.3">
      <c r="D214" s="1"/>
    </row>
    <row r="215" spans="4:4" ht="14.15" customHeight="1" x14ac:dyDescent="0.3">
      <c r="D215" s="1"/>
    </row>
    <row r="216" spans="4:4" ht="14.15" customHeight="1" x14ac:dyDescent="0.3">
      <c r="D216" s="1"/>
    </row>
    <row r="217" spans="4:4" ht="14.15" customHeight="1" x14ac:dyDescent="0.3">
      <c r="D217" s="1"/>
    </row>
    <row r="218" spans="4:4" ht="14.15" customHeight="1" x14ac:dyDescent="0.3">
      <c r="D218" s="1"/>
    </row>
    <row r="219" spans="4:4" ht="14.15" customHeight="1" x14ac:dyDescent="0.3">
      <c r="D219" s="1"/>
    </row>
    <row r="220" spans="4:4" ht="14.15" customHeight="1" x14ac:dyDescent="0.3">
      <c r="D220" s="1"/>
    </row>
    <row r="221" spans="4:4" ht="14.15" customHeight="1" x14ac:dyDescent="0.3">
      <c r="D221" s="1"/>
    </row>
    <row r="222" spans="4:4" ht="14.15" customHeight="1" x14ac:dyDescent="0.3">
      <c r="D222" s="1"/>
    </row>
    <row r="223" spans="4:4" ht="14.15" customHeight="1" x14ac:dyDescent="0.3">
      <c r="D223" s="1"/>
    </row>
    <row r="224" spans="4:4" ht="14.15" customHeight="1" x14ac:dyDescent="0.3">
      <c r="D224" s="1"/>
    </row>
    <row r="225" spans="4:4" ht="14.15" customHeight="1" x14ac:dyDescent="0.3">
      <c r="D225" s="1"/>
    </row>
    <row r="226" spans="4:4" ht="14.15" customHeight="1" x14ac:dyDescent="0.3">
      <c r="D226" s="1"/>
    </row>
    <row r="227" spans="4:4" ht="14.15" customHeight="1" x14ac:dyDescent="0.3">
      <c r="D227" s="1"/>
    </row>
    <row r="228" spans="4:4" ht="14.15" customHeight="1" x14ac:dyDescent="0.3">
      <c r="D228" s="1"/>
    </row>
    <row r="229" spans="4:4" ht="14.15" customHeight="1" x14ac:dyDescent="0.3">
      <c r="D229" s="1"/>
    </row>
    <row r="230" spans="4:4" ht="14.15" customHeight="1" x14ac:dyDescent="0.3">
      <c r="D230" s="1"/>
    </row>
    <row r="231" spans="4:4" ht="14.15" customHeight="1" x14ac:dyDescent="0.3">
      <c r="D231" s="1"/>
    </row>
    <row r="232" spans="4:4" ht="14.15" customHeight="1" x14ac:dyDescent="0.3">
      <c r="D232" s="1"/>
    </row>
    <row r="233" spans="4:4" ht="14.15" customHeight="1" x14ac:dyDescent="0.3">
      <c r="D233" s="1"/>
    </row>
    <row r="234" spans="4:4" ht="14.15" customHeight="1" x14ac:dyDescent="0.3">
      <c r="D234" s="1"/>
    </row>
    <row r="235" spans="4:4" ht="14.15" customHeight="1" x14ac:dyDescent="0.3">
      <c r="D235" s="1"/>
    </row>
    <row r="236" spans="4:4" ht="14.15" customHeight="1" x14ac:dyDescent="0.3">
      <c r="D236" s="1"/>
    </row>
    <row r="237" spans="4:4" ht="14.15" customHeight="1" x14ac:dyDescent="0.3">
      <c r="D237" s="1"/>
    </row>
    <row r="238" spans="4:4" ht="14.15" customHeight="1" x14ac:dyDescent="0.3">
      <c r="D238" s="1"/>
    </row>
    <row r="239" spans="4:4" ht="14.15" customHeight="1" x14ac:dyDescent="0.3">
      <c r="D239" s="1"/>
    </row>
    <row r="240" spans="4:4" ht="14.15" customHeight="1" x14ac:dyDescent="0.3">
      <c r="D240" s="1"/>
    </row>
    <row r="241" spans="4:4" ht="14.15" customHeight="1" x14ac:dyDescent="0.3">
      <c r="D241" s="1"/>
    </row>
    <row r="242" spans="4:4" ht="14.15" customHeight="1" x14ac:dyDescent="0.3">
      <c r="D242" s="1"/>
    </row>
    <row r="243" spans="4:4" ht="14.15" customHeight="1" x14ac:dyDescent="0.3">
      <c r="D243" s="1"/>
    </row>
    <row r="244" spans="4:4" ht="14.15" customHeight="1" x14ac:dyDescent="0.3">
      <c r="D244" s="1"/>
    </row>
    <row r="245" spans="4:4" ht="14.15" customHeight="1" x14ac:dyDescent="0.3">
      <c r="D245" s="1"/>
    </row>
    <row r="246" spans="4:4" ht="14.15" customHeight="1" x14ac:dyDescent="0.3">
      <c r="D246" s="1"/>
    </row>
    <row r="247" spans="4:4" ht="14.15" customHeight="1" x14ac:dyDescent="0.3">
      <c r="D247" s="1"/>
    </row>
    <row r="248" spans="4:4" ht="14.15" customHeight="1" x14ac:dyDescent="0.3">
      <c r="D248" s="1"/>
    </row>
    <row r="249" spans="4:4" ht="14.15" customHeight="1" x14ac:dyDescent="0.3">
      <c r="D249" s="1"/>
    </row>
    <row r="250" spans="4:4" ht="14.15" customHeight="1" x14ac:dyDescent="0.3">
      <c r="D250" s="1"/>
    </row>
    <row r="251" spans="4:4" ht="14.15" customHeight="1" x14ac:dyDescent="0.3">
      <c r="D251" s="1"/>
    </row>
    <row r="252" spans="4:4" ht="14.15" customHeight="1" x14ac:dyDescent="0.3">
      <c r="D252" s="1"/>
    </row>
    <row r="253" spans="4:4" ht="14.15" customHeight="1" x14ac:dyDescent="0.3">
      <c r="D253" s="1"/>
    </row>
    <row r="254" spans="4:4" ht="14.15" customHeight="1" x14ac:dyDescent="0.3">
      <c r="D254" s="1"/>
    </row>
    <row r="255" spans="4:4" ht="14.15" customHeight="1" x14ac:dyDescent="0.3">
      <c r="D255" s="1"/>
    </row>
    <row r="256" spans="4:4" ht="14.15" customHeight="1" x14ac:dyDescent="0.3">
      <c r="D256" s="1"/>
    </row>
    <row r="257" spans="4:4" ht="14.15" customHeight="1" x14ac:dyDescent="0.3">
      <c r="D257" s="1"/>
    </row>
    <row r="258" spans="4:4" ht="14.15" customHeight="1" x14ac:dyDescent="0.3">
      <c r="D258" s="1"/>
    </row>
    <row r="259" spans="4:4" ht="14.15" customHeight="1" x14ac:dyDescent="0.3">
      <c r="D259" s="1"/>
    </row>
    <row r="260" spans="4:4" ht="14.15" customHeight="1" x14ac:dyDescent="0.3">
      <c r="D260" s="1"/>
    </row>
    <row r="261" spans="4:4" ht="14.15" customHeight="1" x14ac:dyDescent="0.3">
      <c r="D261" s="1"/>
    </row>
    <row r="262" spans="4:4" ht="14.15" customHeight="1" x14ac:dyDescent="0.3">
      <c r="D262" s="1"/>
    </row>
    <row r="263" spans="4:4" ht="14.15" customHeight="1" x14ac:dyDescent="0.3">
      <c r="D263" s="1"/>
    </row>
    <row r="264" spans="4:4" ht="14.15" customHeight="1" x14ac:dyDescent="0.3">
      <c r="D264" s="1"/>
    </row>
    <row r="265" spans="4:4" ht="14.15" customHeight="1" x14ac:dyDescent="0.3">
      <c r="D265" s="1"/>
    </row>
    <row r="266" spans="4:4" ht="14.15" customHeight="1" x14ac:dyDescent="0.3">
      <c r="D266" s="1"/>
    </row>
    <row r="267" spans="4:4" ht="14.15" customHeight="1" x14ac:dyDescent="0.3">
      <c r="D267" s="1"/>
    </row>
    <row r="268" spans="4:4" ht="14.15" customHeight="1" x14ac:dyDescent="0.3">
      <c r="D268" s="1"/>
    </row>
    <row r="269" spans="4:4" ht="14.15" customHeight="1" x14ac:dyDescent="0.3">
      <c r="D269" s="1"/>
    </row>
    <row r="270" spans="4:4" ht="14.15" customHeight="1" x14ac:dyDescent="0.3">
      <c r="D270" s="1"/>
    </row>
    <row r="271" spans="4:4" ht="14.15" customHeight="1" x14ac:dyDescent="0.3">
      <c r="D271" s="1"/>
    </row>
    <row r="272" spans="4:4" ht="14.15" customHeight="1" x14ac:dyDescent="0.3">
      <c r="D272" s="1"/>
    </row>
    <row r="273" spans="4:4" ht="14.15" customHeight="1" x14ac:dyDescent="0.3">
      <c r="D273" s="1"/>
    </row>
    <row r="274" spans="4:4" ht="14.15" customHeight="1" x14ac:dyDescent="0.3">
      <c r="D274" s="1"/>
    </row>
    <row r="275" spans="4:4" ht="14.15" customHeight="1" x14ac:dyDescent="0.3">
      <c r="D275" s="1"/>
    </row>
    <row r="276" spans="4:4" ht="14.15" customHeight="1" x14ac:dyDescent="0.3">
      <c r="D276" s="1"/>
    </row>
    <row r="277" spans="4:4" ht="14.15" customHeight="1" x14ac:dyDescent="0.3">
      <c r="D277" s="1"/>
    </row>
    <row r="278" spans="4:4" ht="14.15" customHeight="1" x14ac:dyDescent="0.3">
      <c r="D278" s="1"/>
    </row>
    <row r="279" spans="4:4" ht="14.15" customHeight="1" x14ac:dyDescent="0.3">
      <c r="D279" s="1"/>
    </row>
    <row r="280" spans="4:4" ht="14.15" customHeight="1" x14ac:dyDescent="0.3">
      <c r="D280" s="1"/>
    </row>
    <row r="281" spans="4:4" ht="14.15" customHeight="1" x14ac:dyDescent="0.3">
      <c r="D281" s="1"/>
    </row>
    <row r="282" spans="4:4" ht="14.15" customHeight="1" x14ac:dyDescent="0.3">
      <c r="D282" s="1"/>
    </row>
    <row r="283" spans="4:4" ht="14.15" customHeight="1" x14ac:dyDescent="0.3">
      <c r="D283" s="1"/>
    </row>
    <row r="284" spans="4:4" ht="14.15" customHeight="1" x14ac:dyDescent="0.3">
      <c r="D284" s="1"/>
    </row>
    <row r="285" spans="4:4" ht="14.15" customHeight="1" x14ac:dyDescent="0.3">
      <c r="D285" s="1"/>
    </row>
    <row r="286" spans="4:4" ht="14.15" customHeight="1" x14ac:dyDescent="0.3">
      <c r="D286" s="1"/>
    </row>
    <row r="287" spans="4:4" ht="14.15" customHeight="1" x14ac:dyDescent="0.3">
      <c r="D287" s="1"/>
    </row>
    <row r="288" spans="4:4" ht="14.15" customHeight="1" x14ac:dyDescent="0.3">
      <c r="D288" s="1"/>
    </row>
    <row r="289" spans="4:4" ht="14.15" customHeight="1" x14ac:dyDescent="0.3">
      <c r="D289" s="1"/>
    </row>
    <row r="290" spans="4:4" ht="14.15" customHeight="1" x14ac:dyDescent="0.3">
      <c r="D290" s="1"/>
    </row>
    <row r="291" spans="4:4" ht="14.15" customHeight="1" x14ac:dyDescent="0.3">
      <c r="D291" s="1"/>
    </row>
    <row r="292" spans="4:4" ht="14.15" customHeight="1" x14ac:dyDescent="0.3">
      <c r="D292" s="1"/>
    </row>
    <row r="293" spans="4:4" ht="14.15" customHeight="1" x14ac:dyDescent="0.3">
      <c r="D293" s="1"/>
    </row>
    <row r="294" spans="4:4" ht="14.15" customHeight="1" x14ac:dyDescent="0.3">
      <c r="D294" s="1"/>
    </row>
    <row r="295" spans="4:4" ht="14.15" customHeight="1" x14ac:dyDescent="0.3">
      <c r="D295" s="1"/>
    </row>
    <row r="296" spans="4:4" ht="14.15" customHeight="1" x14ac:dyDescent="0.3">
      <c r="D296" s="1"/>
    </row>
    <row r="297" spans="4:4" ht="14.15" customHeight="1" x14ac:dyDescent="0.3">
      <c r="D297" s="1"/>
    </row>
    <row r="298" spans="4:4" ht="14.15" customHeight="1" x14ac:dyDescent="0.3">
      <c r="D298" s="1"/>
    </row>
    <row r="299" spans="4:4" ht="14.15" customHeight="1" x14ac:dyDescent="0.3">
      <c r="D299" s="1"/>
    </row>
    <row r="300" spans="4:4" ht="14.15" customHeight="1" x14ac:dyDescent="0.3">
      <c r="D300" s="1"/>
    </row>
    <row r="301" spans="4:4" ht="14.15" customHeight="1" x14ac:dyDescent="0.3">
      <c r="D301" s="1"/>
    </row>
    <row r="302" spans="4:4" ht="14.15" customHeight="1" x14ac:dyDescent="0.3">
      <c r="D302" s="1"/>
    </row>
    <row r="303" spans="4:4" ht="14.15" customHeight="1" x14ac:dyDescent="0.3">
      <c r="D303" s="1"/>
    </row>
    <row r="304" spans="4:4" ht="14.15" customHeight="1" x14ac:dyDescent="0.3">
      <c r="D304" s="1"/>
    </row>
    <row r="305" spans="4:4" ht="14.15" customHeight="1" x14ac:dyDescent="0.3">
      <c r="D305" s="1"/>
    </row>
    <row r="306" spans="4:4" ht="14.15" customHeight="1" x14ac:dyDescent="0.3">
      <c r="D306" s="1"/>
    </row>
    <row r="307" spans="4:4" ht="14.15" customHeight="1" x14ac:dyDescent="0.3">
      <c r="D307" s="1"/>
    </row>
    <row r="308" spans="4:4" ht="14.15" customHeight="1" x14ac:dyDescent="0.3">
      <c r="D308" s="1"/>
    </row>
    <row r="309" spans="4:4" ht="14.15" customHeight="1" x14ac:dyDescent="0.3">
      <c r="D309" s="1"/>
    </row>
    <row r="310" spans="4:4" ht="14.15" customHeight="1" x14ac:dyDescent="0.3">
      <c r="D310" s="1"/>
    </row>
    <row r="311" spans="4:4" ht="14.15" customHeight="1" x14ac:dyDescent="0.3">
      <c r="D311" s="1"/>
    </row>
    <row r="312" spans="4:4" ht="14.15" customHeight="1" x14ac:dyDescent="0.3">
      <c r="D312" s="1"/>
    </row>
    <row r="313" spans="4:4" ht="14.15" customHeight="1" x14ac:dyDescent="0.3">
      <c r="D313" s="1"/>
    </row>
    <row r="314" spans="4:4" ht="14.15" customHeight="1" x14ac:dyDescent="0.3">
      <c r="D314" s="1"/>
    </row>
    <row r="315" spans="4:4" ht="14.15" customHeight="1" x14ac:dyDescent="0.3">
      <c r="D315" s="1"/>
    </row>
    <row r="316" spans="4:4" ht="14.15" customHeight="1" x14ac:dyDescent="0.3">
      <c r="D316" s="1"/>
    </row>
    <row r="317" spans="4:4" ht="14.15" customHeight="1" x14ac:dyDescent="0.3">
      <c r="D317" s="1"/>
    </row>
    <row r="318" spans="4:4" ht="14.15" customHeight="1" x14ac:dyDescent="0.3">
      <c r="D318" s="1"/>
    </row>
    <row r="319" spans="4:4" ht="14.15" customHeight="1" x14ac:dyDescent="0.3">
      <c r="D319" s="1"/>
    </row>
    <row r="320" spans="4:4" ht="14.15" customHeight="1" x14ac:dyDescent="0.3">
      <c r="D320" s="1"/>
    </row>
    <row r="321" spans="4:4" ht="14.15" customHeight="1" x14ac:dyDescent="0.3">
      <c r="D321" s="1"/>
    </row>
    <row r="322" spans="4:4" ht="14.15" customHeight="1" x14ac:dyDescent="0.3">
      <c r="D322" s="1"/>
    </row>
    <row r="323" spans="4:4" ht="14.15" customHeight="1" x14ac:dyDescent="0.3">
      <c r="D323" s="1"/>
    </row>
    <row r="324" spans="4:4" ht="14.15" customHeight="1" x14ac:dyDescent="0.3">
      <c r="D324" s="1"/>
    </row>
    <row r="325" spans="4:4" ht="14.15" customHeight="1" x14ac:dyDescent="0.3">
      <c r="D325" s="1"/>
    </row>
    <row r="326" spans="4:4" ht="14.15" customHeight="1" x14ac:dyDescent="0.3">
      <c r="D326" s="1"/>
    </row>
    <row r="327" spans="4:4" ht="14.15" customHeight="1" x14ac:dyDescent="0.3">
      <c r="D327" s="1"/>
    </row>
    <row r="328" spans="4:4" ht="14.15" customHeight="1" x14ac:dyDescent="0.3">
      <c r="D328" s="1"/>
    </row>
    <row r="329" spans="4:4" ht="14.15" customHeight="1" x14ac:dyDescent="0.3">
      <c r="D329" s="1"/>
    </row>
    <row r="330" spans="4:4" ht="14.15" customHeight="1" x14ac:dyDescent="0.3">
      <c r="D330" s="1"/>
    </row>
    <row r="331" spans="4:4" ht="14.15" customHeight="1" x14ac:dyDescent="0.3">
      <c r="D331" s="1"/>
    </row>
    <row r="332" spans="4:4" ht="14.15" customHeight="1" x14ac:dyDescent="0.3">
      <c r="D332" s="1"/>
    </row>
    <row r="333" spans="4:4" ht="14.15" customHeight="1" x14ac:dyDescent="0.3">
      <c r="D333" s="1"/>
    </row>
    <row r="334" spans="4:4" ht="14.15" customHeight="1" x14ac:dyDescent="0.3">
      <c r="D334" s="1"/>
    </row>
    <row r="335" spans="4:4" ht="14.15" customHeight="1" x14ac:dyDescent="0.3">
      <c r="D335" s="1"/>
    </row>
    <row r="336" spans="4:4" ht="14.15" customHeight="1" x14ac:dyDescent="0.3">
      <c r="D336" s="1"/>
    </row>
    <row r="337" spans="4:4" ht="14.15" customHeight="1" x14ac:dyDescent="0.3">
      <c r="D337" s="1"/>
    </row>
    <row r="338" spans="4:4" ht="14.15" customHeight="1" x14ac:dyDescent="0.3">
      <c r="D338" s="1"/>
    </row>
    <row r="339" spans="4:4" ht="14.15" customHeight="1" x14ac:dyDescent="0.3">
      <c r="D339" s="1"/>
    </row>
    <row r="340" spans="4:4" ht="14.15" customHeight="1" x14ac:dyDescent="0.3">
      <c r="D340" s="1"/>
    </row>
    <row r="341" spans="4:4" ht="14.15" customHeight="1" x14ac:dyDescent="0.3">
      <c r="D341" s="1"/>
    </row>
    <row r="342" spans="4:4" ht="14.15" customHeight="1" x14ac:dyDescent="0.3">
      <c r="D342" s="1"/>
    </row>
    <row r="343" spans="4:4" ht="14.15" customHeight="1" x14ac:dyDescent="0.3">
      <c r="D343" s="1"/>
    </row>
    <row r="344" spans="4:4" ht="14.15" customHeight="1" x14ac:dyDescent="0.3">
      <c r="D344" s="1"/>
    </row>
    <row r="345" spans="4:4" ht="14.15" customHeight="1" x14ac:dyDescent="0.3">
      <c r="D345" s="1"/>
    </row>
    <row r="346" spans="4:4" ht="14.15" customHeight="1" x14ac:dyDescent="0.3">
      <c r="D346" s="1"/>
    </row>
    <row r="347" spans="4:4" ht="14.15" customHeight="1" x14ac:dyDescent="0.3">
      <c r="D347" s="1"/>
    </row>
    <row r="348" spans="4:4" ht="14.15" customHeight="1" x14ac:dyDescent="0.3">
      <c r="D348" s="1"/>
    </row>
    <row r="349" spans="4:4" ht="14.15" customHeight="1" x14ac:dyDescent="0.3">
      <c r="D349" s="1"/>
    </row>
    <row r="350" spans="4:4" ht="14.15" customHeight="1" x14ac:dyDescent="0.3">
      <c r="D350" s="1"/>
    </row>
    <row r="351" spans="4:4" ht="14.15" customHeight="1" x14ac:dyDescent="0.3">
      <c r="D351" s="1"/>
    </row>
    <row r="352" spans="4:4" ht="14.15" customHeight="1" x14ac:dyDescent="0.3">
      <c r="D352" s="1"/>
    </row>
    <row r="353" spans="4:4" ht="14.15" customHeight="1" x14ac:dyDescent="0.3">
      <c r="D353" s="1"/>
    </row>
    <row r="354" spans="4:4" ht="14.15" customHeight="1" x14ac:dyDescent="0.3">
      <c r="D354" s="1"/>
    </row>
    <row r="355" spans="4:4" ht="14.15" customHeight="1" x14ac:dyDescent="0.3">
      <c r="D355" s="1"/>
    </row>
    <row r="356" spans="4:4" ht="14.15" customHeight="1" x14ac:dyDescent="0.3">
      <c r="D356" s="1"/>
    </row>
    <row r="357" spans="4:4" ht="14.15" customHeight="1" x14ac:dyDescent="0.3">
      <c r="D357" s="1"/>
    </row>
    <row r="358" spans="4:4" ht="14.15" customHeight="1" x14ac:dyDescent="0.3">
      <c r="D358" s="1"/>
    </row>
    <row r="359" spans="4:4" ht="14.15" customHeight="1" x14ac:dyDescent="0.3">
      <c r="D359" s="1"/>
    </row>
    <row r="360" spans="4:4" ht="14.15" customHeight="1" x14ac:dyDescent="0.3">
      <c r="D360" s="1"/>
    </row>
    <row r="361" spans="4:4" ht="14.15" customHeight="1" x14ac:dyDescent="0.3">
      <c r="D361" s="1"/>
    </row>
    <row r="362" spans="4:4" ht="14.15" customHeight="1" x14ac:dyDescent="0.3">
      <c r="D362" s="1"/>
    </row>
    <row r="363" spans="4:4" ht="14.15" customHeight="1" x14ac:dyDescent="0.3">
      <c r="D363" s="1"/>
    </row>
    <row r="364" spans="4:4" ht="14.15" customHeight="1" x14ac:dyDescent="0.3">
      <c r="D364" s="1"/>
    </row>
    <row r="365" spans="4:4" ht="14.15" customHeight="1" x14ac:dyDescent="0.3">
      <c r="D365" s="1"/>
    </row>
    <row r="366" spans="4:4" ht="14.15" customHeight="1" x14ac:dyDescent="0.3">
      <c r="D366" s="1"/>
    </row>
    <row r="367" spans="4:4" ht="14.15" customHeight="1" x14ac:dyDescent="0.3">
      <c r="D367" s="1"/>
    </row>
    <row r="368" spans="4:4" ht="14.15" customHeight="1" x14ac:dyDescent="0.3">
      <c r="D368" s="1"/>
    </row>
    <row r="369" spans="4:4" ht="14.15" customHeight="1" x14ac:dyDescent="0.3">
      <c r="D369" s="1"/>
    </row>
    <row r="370" spans="4:4" ht="14.15" customHeight="1" x14ac:dyDescent="0.3">
      <c r="D370" s="1"/>
    </row>
    <row r="371" spans="4:4" ht="14.15" customHeight="1" x14ac:dyDescent="0.3">
      <c r="D371" s="1"/>
    </row>
    <row r="372" spans="4:4" ht="14.15" customHeight="1" x14ac:dyDescent="0.3">
      <c r="D372" s="1"/>
    </row>
    <row r="373" spans="4:4" ht="14.15" customHeight="1" x14ac:dyDescent="0.3">
      <c r="D373" s="1"/>
    </row>
    <row r="374" spans="4:4" ht="14.15" customHeight="1" x14ac:dyDescent="0.3">
      <c r="D374" s="1"/>
    </row>
    <row r="375" spans="4:4" ht="14.15" customHeight="1" x14ac:dyDescent="0.3">
      <c r="D375" s="1"/>
    </row>
    <row r="376" spans="4:4" ht="14.15" customHeight="1" x14ac:dyDescent="0.3">
      <c r="D376" s="1"/>
    </row>
    <row r="377" spans="4:4" ht="14.15" customHeight="1" x14ac:dyDescent="0.3">
      <c r="D377" s="1"/>
    </row>
    <row r="378" spans="4:4" ht="14.15" customHeight="1" x14ac:dyDescent="0.3">
      <c r="D378" s="1"/>
    </row>
    <row r="379" spans="4:4" ht="14.15" customHeight="1" x14ac:dyDescent="0.3">
      <c r="D379" s="1"/>
    </row>
    <row r="380" spans="4:4" ht="14.15" customHeight="1" x14ac:dyDescent="0.3">
      <c r="D380" s="1"/>
    </row>
    <row r="381" spans="4:4" ht="14.15" customHeight="1" x14ac:dyDescent="0.3">
      <c r="D381" s="1"/>
    </row>
    <row r="382" spans="4:4" ht="14.15" customHeight="1" x14ac:dyDescent="0.3">
      <c r="D382" s="1"/>
    </row>
    <row r="383" spans="4:4" ht="14.15" customHeight="1" x14ac:dyDescent="0.3">
      <c r="D383" s="1"/>
    </row>
    <row r="384" spans="4:4" ht="14.15" customHeight="1" x14ac:dyDescent="0.3">
      <c r="D384" s="1"/>
    </row>
    <row r="385" spans="4:4" ht="14.15" customHeight="1" x14ac:dyDescent="0.3">
      <c r="D385" s="1"/>
    </row>
    <row r="386" spans="4:4" ht="14.15" customHeight="1" x14ac:dyDescent="0.3">
      <c r="D386" s="1"/>
    </row>
    <row r="387" spans="4:4" ht="14.15" customHeight="1" x14ac:dyDescent="0.3">
      <c r="D387" s="1"/>
    </row>
    <row r="388" spans="4:4" ht="14.15" customHeight="1" x14ac:dyDescent="0.3">
      <c r="D388" s="1"/>
    </row>
    <row r="389" spans="4:4" ht="14.15" customHeight="1" x14ac:dyDescent="0.3">
      <c r="D389" s="1"/>
    </row>
    <row r="390" spans="4:4" ht="14.15" customHeight="1" x14ac:dyDescent="0.3">
      <c r="D390" s="1"/>
    </row>
    <row r="391" spans="4:4" ht="14.15" customHeight="1" x14ac:dyDescent="0.3">
      <c r="D391" s="1"/>
    </row>
    <row r="392" spans="4:4" ht="14.15" customHeight="1" x14ac:dyDescent="0.3">
      <c r="D392" s="1"/>
    </row>
    <row r="393" spans="4:4" ht="14.15" customHeight="1" x14ac:dyDescent="0.3">
      <c r="D393" s="1"/>
    </row>
    <row r="394" spans="4:4" ht="14.15" customHeight="1" x14ac:dyDescent="0.3">
      <c r="D394" s="1"/>
    </row>
    <row r="395" spans="4:4" ht="14.15" customHeight="1" x14ac:dyDescent="0.3">
      <c r="D395" s="1"/>
    </row>
    <row r="396" spans="4:4" ht="14.15" customHeight="1" x14ac:dyDescent="0.3">
      <c r="D396" s="1"/>
    </row>
    <row r="397" spans="4:4" ht="14.15" customHeight="1" x14ac:dyDescent="0.3">
      <c r="D397" s="1"/>
    </row>
    <row r="398" spans="4:4" ht="14.15" customHeight="1" x14ac:dyDescent="0.3">
      <c r="D398" s="1"/>
    </row>
    <row r="399" spans="4:4" ht="14.15" customHeight="1" x14ac:dyDescent="0.3">
      <c r="D399" s="1"/>
    </row>
    <row r="400" spans="4:4" ht="14.15" customHeight="1" x14ac:dyDescent="0.3">
      <c r="D400" s="1"/>
    </row>
    <row r="401" spans="4:4" ht="14.15" customHeight="1" x14ac:dyDescent="0.3">
      <c r="D401" s="1"/>
    </row>
    <row r="402" spans="4:4" ht="14.15" customHeight="1" x14ac:dyDescent="0.3">
      <c r="D402" s="1"/>
    </row>
    <row r="403" spans="4:4" ht="14.15" customHeight="1" x14ac:dyDescent="0.3">
      <c r="D403" s="1"/>
    </row>
    <row r="404" spans="4:4" ht="14.15" customHeight="1" x14ac:dyDescent="0.3">
      <c r="D404" s="1"/>
    </row>
    <row r="405" spans="4:4" ht="14.15" customHeight="1" x14ac:dyDescent="0.3">
      <c r="D405" s="1"/>
    </row>
    <row r="406" spans="4:4" ht="14.15" customHeight="1" x14ac:dyDescent="0.3">
      <c r="D406" s="1"/>
    </row>
    <row r="407" spans="4:4" ht="14.15" customHeight="1" x14ac:dyDescent="0.3">
      <c r="D407" s="1"/>
    </row>
    <row r="408" spans="4:4" ht="14.15" customHeight="1" x14ac:dyDescent="0.3">
      <c r="D408" s="1"/>
    </row>
    <row r="409" spans="4:4" ht="14.15" customHeight="1" x14ac:dyDescent="0.3">
      <c r="D409" s="1"/>
    </row>
    <row r="410" spans="4:4" ht="14.15" customHeight="1" x14ac:dyDescent="0.3">
      <c r="D410" s="1"/>
    </row>
    <row r="411" spans="4:4" ht="14.15" customHeight="1" x14ac:dyDescent="0.3">
      <c r="D411" s="1"/>
    </row>
    <row r="412" spans="4:4" ht="14.15" customHeight="1" x14ac:dyDescent="0.3">
      <c r="D412" s="1"/>
    </row>
    <row r="413" spans="4:4" ht="14.15" customHeight="1" x14ac:dyDescent="0.3">
      <c r="D413" s="1"/>
    </row>
    <row r="414" spans="4:4" ht="14.15" customHeight="1" x14ac:dyDescent="0.3">
      <c r="D414" s="1"/>
    </row>
    <row r="415" spans="4:4" ht="14.15" customHeight="1" x14ac:dyDescent="0.3">
      <c r="D415" s="1"/>
    </row>
    <row r="416" spans="4:4" ht="14.15" customHeight="1" x14ac:dyDescent="0.3">
      <c r="D416" s="1"/>
    </row>
    <row r="417" spans="4:4" ht="14.15" customHeight="1" x14ac:dyDescent="0.3">
      <c r="D417" s="1"/>
    </row>
    <row r="418" spans="4:4" ht="14.15" customHeight="1" x14ac:dyDescent="0.3">
      <c r="D418" s="1"/>
    </row>
    <row r="419" spans="4:4" ht="14.15" customHeight="1" x14ac:dyDescent="0.3">
      <c r="D419" s="1"/>
    </row>
    <row r="420" spans="4:4" ht="14.15" customHeight="1" x14ac:dyDescent="0.3">
      <c r="D420" s="1"/>
    </row>
    <row r="421" spans="4:4" ht="14.15" customHeight="1" x14ac:dyDescent="0.3">
      <c r="D421" s="1"/>
    </row>
    <row r="422" spans="4:4" ht="14.15" customHeight="1" x14ac:dyDescent="0.3">
      <c r="D422" s="1"/>
    </row>
    <row r="423" spans="4:4" ht="14.15" customHeight="1" x14ac:dyDescent="0.3">
      <c r="D423" s="1"/>
    </row>
    <row r="424" spans="4:4" ht="14.15" customHeight="1" x14ac:dyDescent="0.3">
      <c r="D424" s="1"/>
    </row>
    <row r="425" spans="4:4" ht="14.15" customHeight="1" x14ac:dyDescent="0.3">
      <c r="D425" s="1"/>
    </row>
    <row r="426" spans="4:4" ht="14.15" customHeight="1" x14ac:dyDescent="0.3">
      <c r="D426" s="1"/>
    </row>
    <row r="427" spans="4:4" ht="14.15" customHeight="1" x14ac:dyDescent="0.3">
      <c r="D427" s="1"/>
    </row>
    <row r="428" spans="4:4" ht="14.15" customHeight="1" x14ac:dyDescent="0.3">
      <c r="D428" s="1"/>
    </row>
    <row r="429" spans="4:4" ht="14.15" customHeight="1" x14ac:dyDescent="0.3">
      <c r="D429" s="1"/>
    </row>
    <row r="430" spans="4:4" ht="14.15" customHeight="1" x14ac:dyDescent="0.3">
      <c r="D430" s="1"/>
    </row>
    <row r="431" spans="4:4" ht="14.15" customHeight="1" x14ac:dyDescent="0.3">
      <c r="D431" s="1"/>
    </row>
    <row r="432" spans="4:4" ht="14.15" customHeight="1" x14ac:dyDescent="0.3">
      <c r="D432" s="1"/>
    </row>
    <row r="433" spans="4:4" ht="14.15" customHeight="1" x14ac:dyDescent="0.3">
      <c r="D433" s="1"/>
    </row>
    <row r="434" spans="4:4" ht="14.15" customHeight="1" x14ac:dyDescent="0.3">
      <c r="D434" s="1"/>
    </row>
    <row r="435" spans="4:4" ht="14.15" customHeight="1" x14ac:dyDescent="0.3">
      <c r="D435" s="1"/>
    </row>
    <row r="436" spans="4:4" ht="14.15" customHeight="1" x14ac:dyDescent="0.3">
      <c r="D436" s="1"/>
    </row>
    <row r="437" spans="4:4" ht="14.15" customHeight="1" x14ac:dyDescent="0.3">
      <c r="D437" s="1"/>
    </row>
    <row r="438" spans="4:4" ht="14.15" customHeight="1" x14ac:dyDescent="0.3">
      <c r="D438" s="1"/>
    </row>
    <row r="439" spans="4:4" ht="14.15" customHeight="1" x14ac:dyDescent="0.3">
      <c r="D439" s="1"/>
    </row>
    <row r="440" spans="4:4" ht="14.15" customHeight="1" x14ac:dyDescent="0.3">
      <c r="D440" s="1"/>
    </row>
    <row r="441" spans="4:4" ht="14.15" customHeight="1" x14ac:dyDescent="0.3">
      <c r="D441" s="1"/>
    </row>
    <row r="442" spans="4:4" ht="14.15" customHeight="1" x14ac:dyDescent="0.3">
      <c r="D442" s="1"/>
    </row>
    <row r="443" spans="4:4" ht="14.15" customHeight="1" x14ac:dyDescent="0.3">
      <c r="D443" s="1"/>
    </row>
    <row r="444" spans="4:4" ht="14.15" customHeight="1" x14ac:dyDescent="0.3">
      <c r="D444" s="1"/>
    </row>
    <row r="445" spans="4:4" ht="14.15" customHeight="1" x14ac:dyDescent="0.3">
      <c r="D445" s="1"/>
    </row>
    <row r="446" spans="4:4" ht="14.15" customHeight="1" x14ac:dyDescent="0.3">
      <c r="D446" s="1"/>
    </row>
    <row r="447" spans="4:4" ht="14.15" customHeight="1" x14ac:dyDescent="0.3">
      <c r="D447" s="1"/>
    </row>
    <row r="448" spans="4:4" ht="14.15" customHeight="1" x14ac:dyDescent="0.3">
      <c r="D448" s="1"/>
    </row>
    <row r="449" spans="4:4" ht="14.15" customHeight="1" x14ac:dyDescent="0.3">
      <c r="D449" s="1"/>
    </row>
    <row r="450" spans="4:4" ht="14.15" customHeight="1" x14ac:dyDescent="0.3">
      <c r="D450" s="1"/>
    </row>
    <row r="451" spans="4:4" ht="14.15" customHeight="1" x14ac:dyDescent="0.3">
      <c r="D451" s="1"/>
    </row>
    <row r="452" spans="4:4" ht="14.15" customHeight="1" x14ac:dyDescent="0.3">
      <c r="D452" s="1"/>
    </row>
    <row r="453" spans="4:4" ht="14.15" customHeight="1" x14ac:dyDescent="0.3">
      <c r="D453" s="1"/>
    </row>
    <row r="454" spans="4:4" ht="14.15" customHeight="1" x14ac:dyDescent="0.3">
      <c r="D454" s="1"/>
    </row>
    <row r="455" spans="4:4" ht="14.15" customHeight="1" x14ac:dyDescent="0.3">
      <c r="D455" s="1"/>
    </row>
    <row r="456" spans="4:4" ht="14.15" customHeight="1" x14ac:dyDescent="0.3">
      <c r="D456" s="1"/>
    </row>
    <row r="457" spans="4:4" ht="14.15" customHeight="1" x14ac:dyDescent="0.3">
      <c r="D457" s="1"/>
    </row>
    <row r="458" spans="4:4" ht="14.15" customHeight="1" x14ac:dyDescent="0.3">
      <c r="D458" s="1"/>
    </row>
    <row r="459" spans="4:4" ht="14.15" customHeight="1" x14ac:dyDescent="0.3">
      <c r="D459" s="1"/>
    </row>
    <row r="460" spans="4:4" ht="14.15" customHeight="1" x14ac:dyDescent="0.3">
      <c r="D460" s="1"/>
    </row>
    <row r="461" spans="4:4" ht="14.15" customHeight="1" x14ac:dyDescent="0.3">
      <c r="D461" s="1"/>
    </row>
    <row r="462" spans="4:4" ht="14.15" customHeight="1" x14ac:dyDescent="0.3">
      <c r="D462" s="1"/>
    </row>
    <row r="463" spans="4:4" ht="14.15" customHeight="1" x14ac:dyDescent="0.3">
      <c r="D463" s="1"/>
    </row>
    <row r="464" spans="4:4" ht="14.15" customHeight="1" x14ac:dyDescent="0.3">
      <c r="D464" s="1"/>
    </row>
    <row r="465" spans="4:4" ht="14.15" customHeight="1" x14ac:dyDescent="0.3">
      <c r="D465" s="1"/>
    </row>
    <row r="466" spans="4:4" ht="14.15" customHeight="1" x14ac:dyDescent="0.3">
      <c r="D466" s="1"/>
    </row>
    <row r="467" spans="4:4" ht="14.15" customHeight="1" x14ac:dyDescent="0.3">
      <c r="D467" s="1"/>
    </row>
    <row r="468" spans="4:4" ht="14.15" customHeight="1" x14ac:dyDescent="0.3">
      <c r="D468" s="1"/>
    </row>
    <row r="469" spans="4:4" ht="14.15" customHeight="1" x14ac:dyDescent="0.3">
      <c r="D469" s="1"/>
    </row>
    <row r="470" spans="4:4" ht="14.15" customHeight="1" x14ac:dyDescent="0.3">
      <c r="D470" s="1"/>
    </row>
    <row r="471" spans="4:4" ht="14.15" customHeight="1" x14ac:dyDescent="0.3">
      <c r="D471" s="1"/>
    </row>
    <row r="472" spans="4:4" ht="14.15" customHeight="1" x14ac:dyDescent="0.3">
      <c r="D472" s="1"/>
    </row>
    <row r="473" spans="4:4" ht="14.15" customHeight="1" x14ac:dyDescent="0.3">
      <c r="D473" s="1"/>
    </row>
    <row r="474" spans="4:4" ht="14.15" customHeight="1" x14ac:dyDescent="0.3">
      <c r="D474" s="1"/>
    </row>
    <row r="475" spans="4:4" ht="14.15" customHeight="1" x14ac:dyDescent="0.3">
      <c r="D475" s="1"/>
    </row>
    <row r="476" spans="4:4" ht="14.15" customHeight="1" x14ac:dyDescent="0.3">
      <c r="D476" s="1"/>
    </row>
    <row r="477" spans="4:4" ht="14.15" customHeight="1" x14ac:dyDescent="0.3">
      <c r="D477" s="1"/>
    </row>
    <row r="478" spans="4:4" ht="14.15" customHeight="1" x14ac:dyDescent="0.3">
      <c r="D478" s="1"/>
    </row>
    <row r="479" spans="4:4" ht="14.15" customHeight="1" x14ac:dyDescent="0.3">
      <c r="D479" s="1"/>
    </row>
    <row r="480" spans="4:4" ht="14.15" customHeight="1" x14ac:dyDescent="0.3">
      <c r="D480" s="1"/>
    </row>
    <row r="481" spans="4:4" ht="14.15" customHeight="1" x14ac:dyDescent="0.3">
      <c r="D481" s="1"/>
    </row>
    <row r="482" spans="4:4" ht="14.15" customHeight="1" x14ac:dyDescent="0.3">
      <c r="D482" s="1"/>
    </row>
    <row r="483" spans="4:4" ht="14.15" customHeight="1" x14ac:dyDescent="0.3">
      <c r="D483" s="1"/>
    </row>
    <row r="484" spans="4:4" ht="14.15" customHeight="1" x14ac:dyDescent="0.3">
      <c r="D484" s="1"/>
    </row>
    <row r="485" spans="4:4" ht="14.15" customHeight="1" x14ac:dyDescent="0.3">
      <c r="D485" s="1"/>
    </row>
    <row r="486" spans="4:4" ht="14.15" customHeight="1" x14ac:dyDescent="0.3">
      <c r="D486" s="1"/>
    </row>
    <row r="487" spans="4:4" ht="14.15" customHeight="1" x14ac:dyDescent="0.3">
      <c r="D487" s="1"/>
    </row>
    <row r="488" spans="4:4" ht="14.15" customHeight="1" x14ac:dyDescent="0.3">
      <c r="D488" s="1"/>
    </row>
    <row r="489" spans="4:4" ht="14.15" customHeight="1" x14ac:dyDescent="0.3">
      <c r="D489" s="1"/>
    </row>
    <row r="490" spans="4:4" ht="14.15" customHeight="1" x14ac:dyDescent="0.3">
      <c r="D490" s="1"/>
    </row>
    <row r="491" spans="4:4" ht="14.15" customHeight="1" x14ac:dyDescent="0.3">
      <c r="D491" s="1"/>
    </row>
    <row r="492" spans="4:4" ht="14.15" customHeight="1" x14ac:dyDescent="0.3">
      <c r="D492" s="1"/>
    </row>
    <row r="493" spans="4:4" ht="14.15" customHeight="1" x14ac:dyDescent="0.3">
      <c r="D493" s="1"/>
    </row>
    <row r="494" spans="4:4" ht="14.15" customHeight="1" x14ac:dyDescent="0.3">
      <c r="D494" s="1"/>
    </row>
    <row r="495" spans="4:4" ht="14.15" customHeight="1" x14ac:dyDescent="0.3">
      <c r="D495" s="1"/>
    </row>
    <row r="496" spans="4:4" ht="14.15" customHeight="1" x14ac:dyDescent="0.3">
      <c r="D496" s="1"/>
    </row>
    <row r="497" spans="4:4" ht="14.15" customHeight="1" x14ac:dyDescent="0.3">
      <c r="D497" s="1"/>
    </row>
    <row r="498" spans="4:4" ht="14.15" customHeight="1" x14ac:dyDescent="0.3">
      <c r="D498" s="1"/>
    </row>
    <row r="499" spans="4:4" ht="14.15" customHeight="1" x14ac:dyDescent="0.3">
      <c r="D499" s="1"/>
    </row>
    <row r="500" spans="4:4" ht="14.15" customHeight="1" x14ac:dyDescent="0.3">
      <c r="D500" s="1"/>
    </row>
    <row r="501" spans="4:4" ht="14.15" customHeight="1" x14ac:dyDescent="0.3">
      <c r="D501" s="1"/>
    </row>
    <row r="502" spans="4:4" ht="14.15" customHeight="1" x14ac:dyDescent="0.3">
      <c r="D502" s="1"/>
    </row>
    <row r="503" spans="4:4" ht="14.15" customHeight="1" x14ac:dyDescent="0.3">
      <c r="D503" s="1"/>
    </row>
    <row r="504" spans="4:4" ht="14.15" customHeight="1" x14ac:dyDescent="0.3">
      <c r="D504" s="1"/>
    </row>
    <row r="505" spans="4:4" ht="14.15" customHeight="1" x14ac:dyDescent="0.3">
      <c r="D505" s="1"/>
    </row>
    <row r="506" spans="4:4" ht="14.15" customHeight="1" x14ac:dyDescent="0.3">
      <c r="D506" s="1"/>
    </row>
    <row r="507" spans="4:4" ht="14.15" customHeight="1" x14ac:dyDescent="0.3">
      <c r="D507" s="1"/>
    </row>
    <row r="508" spans="4:4" ht="14.15" customHeight="1" x14ac:dyDescent="0.3">
      <c r="D508" s="1"/>
    </row>
    <row r="509" spans="4:4" ht="14.15" customHeight="1" x14ac:dyDescent="0.3">
      <c r="D509" s="1"/>
    </row>
    <row r="510" spans="4:4" ht="14.15" customHeight="1" x14ac:dyDescent="0.3">
      <c r="D510" s="1"/>
    </row>
    <row r="511" spans="4:4" ht="14.15" customHeight="1" x14ac:dyDescent="0.3">
      <c r="D511" s="1"/>
    </row>
    <row r="512" spans="4:4" ht="14.15" customHeight="1" x14ac:dyDescent="0.3">
      <c r="D512" s="1"/>
    </row>
    <row r="513" spans="4:4" ht="14.15" customHeight="1" x14ac:dyDescent="0.3">
      <c r="D513" s="1"/>
    </row>
    <row r="514" spans="4:4" ht="14.15" customHeight="1" x14ac:dyDescent="0.3">
      <c r="D514" s="1"/>
    </row>
    <row r="515" spans="4:4" ht="14.15" customHeight="1" x14ac:dyDescent="0.3">
      <c r="D515" s="1"/>
    </row>
    <row r="516" spans="4:4" ht="14.15" customHeight="1" x14ac:dyDescent="0.3">
      <c r="D516" s="1"/>
    </row>
    <row r="517" spans="4:4" ht="14.15" customHeight="1" x14ac:dyDescent="0.3">
      <c r="D517" s="1"/>
    </row>
    <row r="518" spans="4:4" ht="14.15" customHeight="1" x14ac:dyDescent="0.3">
      <c r="D518" s="1"/>
    </row>
    <row r="519" spans="4:4" ht="14.15" customHeight="1" x14ac:dyDescent="0.3">
      <c r="D519" s="1"/>
    </row>
    <row r="520" spans="4:4" ht="14.15" customHeight="1" x14ac:dyDescent="0.3">
      <c r="D520" s="1"/>
    </row>
    <row r="521" spans="4:4" ht="14.15" customHeight="1" x14ac:dyDescent="0.3">
      <c r="D521" s="1"/>
    </row>
    <row r="522" spans="4:4" ht="14.15" customHeight="1" x14ac:dyDescent="0.3">
      <c r="D522" s="1"/>
    </row>
    <row r="523" spans="4:4" ht="14.15" customHeight="1" x14ac:dyDescent="0.3">
      <c r="D523" s="1"/>
    </row>
    <row r="524" spans="4:4" ht="14.15" customHeight="1" x14ac:dyDescent="0.3">
      <c r="D524" s="1"/>
    </row>
    <row r="525" spans="4:4" ht="14.15" customHeight="1" x14ac:dyDescent="0.3">
      <c r="D525" s="1"/>
    </row>
    <row r="526" spans="4:4" ht="14.15" customHeight="1" x14ac:dyDescent="0.3">
      <c r="D526" s="1"/>
    </row>
    <row r="527" spans="4:4" ht="14.15" customHeight="1" x14ac:dyDescent="0.3">
      <c r="D527" s="1"/>
    </row>
    <row r="528" spans="4:4" ht="14.15" customHeight="1" x14ac:dyDescent="0.3">
      <c r="D528" s="1"/>
    </row>
    <row r="529" spans="4:4" ht="14.15" customHeight="1" x14ac:dyDescent="0.3">
      <c r="D529" s="1"/>
    </row>
    <row r="530" spans="4:4" ht="14.15" customHeight="1" x14ac:dyDescent="0.3">
      <c r="D530" s="1"/>
    </row>
    <row r="531" spans="4:4" ht="14.15" customHeight="1" x14ac:dyDescent="0.3">
      <c r="D531" s="1"/>
    </row>
    <row r="532" spans="4:4" ht="14.15" customHeight="1" x14ac:dyDescent="0.3">
      <c r="D532" s="1"/>
    </row>
    <row r="533" spans="4:4" ht="14.15" customHeight="1" x14ac:dyDescent="0.3">
      <c r="D533" s="1"/>
    </row>
    <row r="534" spans="4:4" ht="14.15" customHeight="1" x14ac:dyDescent="0.3">
      <c r="D534" s="1"/>
    </row>
    <row r="535" spans="4:4" ht="14.15" customHeight="1" x14ac:dyDescent="0.3">
      <c r="D535" s="1"/>
    </row>
    <row r="536" spans="4:4" ht="14.15" customHeight="1" x14ac:dyDescent="0.3">
      <c r="D536" s="1"/>
    </row>
    <row r="537" spans="4:4" ht="14.15" customHeight="1" x14ac:dyDescent="0.3">
      <c r="D537" s="1"/>
    </row>
    <row r="538" spans="4:4" ht="14.15" customHeight="1" x14ac:dyDescent="0.3">
      <c r="D538" s="1"/>
    </row>
    <row r="539" spans="4:4" ht="14.15" customHeight="1" x14ac:dyDescent="0.3">
      <c r="D539" s="1"/>
    </row>
    <row r="540" spans="4:4" ht="14.15" customHeight="1" x14ac:dyDescent="0.3">
      <c r="D540" s="1"/>
    </row>
    <row r="541" spans="4:4" ht="14.15" customHeight="1" x14ac:dyDescent="0.3">
      <c r="D541" s="1"/>
    </row>
    <row r="542" spans="4:4" ht="14.15" customHeight="1" x14ac:dyDescent="0.3">
      <c r="D542" s="1"/>
    </row>
    <row r="543" spans="4:4" ht="14.15" customHeight="1" x14ac:dyDescent="0.3">
      <c r="D543" s="1"/>
    </row>
    <row r="544" spans="4:4" ht="14.15" customHeight="1" x14ac:dyDescent="0.3">
      <c r="D544" s="1"/>
    </row>
    <row r="545" spans="4:4" ht="14.15" customHeight="1" x14ac:dyDescent="0.3">
      <c r="D545" s="1"/>
    </row>
    <row r="546" spans="4:4" ht="14.15" customHeight="1" x14ac:dyDescent="0.3">
      <c r="D546" s="1"/>
    </row>
    <row r="547" spans="4:4" ht="14.15" customHeight="1" x14ac:dyDescent="0.3">
      <c r="D547" s="1"/>
    </row>
    <row r="548" spans="4:4" ht="14.15" customHeight="1" x14ac:dyDescent="0.3">
      <c r="D548" s="1"/>
    </row>
    <row r="549" spans="4:4" ht="14.15" customHeight="1" x14ac:dyDescent="0.3">
      <c r="D549" s="1"/>
    </row>
    <row r="550" spans="4:4" ht="14.15" customHeight="1" x14ac:dyDescent="0.3">
      <c r="D550" s="1"/>
    </row>
    <row r="551" spans="4:4" ht="14.15" customHeight="1" x14ac:dyDescent="0.3">
      <c r="D551" s="1"/>
    </row>
    <row r="552" spans="4:4" ht="14.15" customHeight="1" x14ac:dyDescent="0.3">
      <c r="D552" s="1"/>
    </row>
    <row r="553" spans="4:4" ht="14.15" customHeight="1" x14ac:dyDescent="0.3">
      <c r="D553" s="1"/>
    </row>
    <row r="554" spans="4:4" ht="14.15" customHeight="1" x14ac:dyDescent="0.3">
      <c r="D554" s="1"/>
    </row>
    <row r="555" spans="4:4" ht="14.15" customHeight="1" x14ac:dyDescent="0.3">
      <c r="D555" s="1"/>
    </row>
    <row r="556" spans="4:4" ht="14.15" customHeight="1" x14ac:dyDescent="0.3">
      <c r="D556" s="1"/>
    </row>
    <row r="557" spans="4:4" ht="14.15" customHeight="1" x14ac:dyDescent="0.3">
      <c r="D557" s="1"/>
    </row>
    <row r="558" spans="4:4" ht="14.15" customHeight="1" x14ac:dyDescent="0.3">
      <c r="D558" s="1"/>
    </row>
    <row r="559" spans="4:4" ht="14.15" customHeight="1" x14ac:dyDescent="0.3">
      <c r="D559" s="1"/>
    </row>
    <row r="560" spans="4:4" ht="14.15" customHeight="1" x14ac:dyDescent="0.3">
      <c r="D560" s="1"/>
    </row>
    <row r="561" spans="4:4" ht="14.15" customHeight="1" x14ac:dyDescent="0.3">
      <c r="D561" s="1"/>
    </row>
    <row r="562" spans="4:4" ht="14.15" customHeight="1" x14ac:dyDescent="0.3">
      <c r="D562" s="1"/>
    </row>
    <row r="563" spans="4:4" ht="14.15" customHeight="1" x14ac:dyDescent="0.3">
      <c r="D563" s="1"/>
    </row>
    <row r="564" spans="4:4" ht="14.15" customHeight="1" x14ac:dyDescent="0.3">
      <c r="D564" s="1"/>
    </row>
    <row r="565" spans="4:4" ht="14.15" customHeight="1" x14ac:dyDescent="0.3">
      <c r="D565" s="1"/>
    </row>
    <row r="566" spans="4:4" ht="14.15" customHeight="1" x14ac:dyDescent="0.3">
      <c r="D566" s="1"/>
    </row>
    <row r="567" spans="4:4" ht="14.15" customHeight="1" x14ac:dyDescent="0.3">
      <c r="D567" s="1"/>
    </row>
    <row r="568" spans="4:4" ht="14.15" customHeight="1" x14ac:dyDescent="0.3">
      <c r="D568" s="1"/>
    </row>
    <row r="569" spans="4:4" ht="14.15" customHeight="1" x14ac:dyDescent="0.3">
      <c r="D569" s="1"/>
    </row>
    <row r="570" spans="4:4" ht="14.15" customHeight="1" x14ac:dyDescent="0.3">
      <c r="D570" s="1"/>
    </row>
    <row r="571" spans="4:4" ht="14.15" customHeight="1" x14ac:dyDescent="0.3">
      <c r="D571" s="1"/>
    </row>
    <row r="572" spans="4:4" ht="14.15" customHeight="1" x14ac:dyDescent="0.3">
      <c r="D572" s="1"/>
    </row>
    <row r="573" spans="4:4" ht="14.15" customHeight="1" x14ac:dyDescent="0.3">
      <c r="D573" s="1"/>
    </row>
    <row r="574" spans="4:4" ht="14.15" customHeight="1" x14ac:dyDescent="0.3">
      <c r="D574" s="1"/>
    </row>
    <row r="575" spans="4:4" ht="14.15" customHeight="1" x14ac:dyDescent="0.3">
      <c r="D575" s="1"/>
    </row>
    <row r="576" spans="4:4" ht="14.15" customHeight="1" x14ac:dyDescent="0.3">
      <c r="D576" s="1"/>
    </row>
    <row r="577" spans="4:4" ht="14.15" customHeight="1" x14ac:dyDescent="0.3">
      <c r="D577" s="1"/>
    </row>
    <row r="578" spans="4:4" ht="14.15" customHeight="1" x14ac:dyDescent="0.3">
      <c r="D578" s="1"/>
    </row>
    <row r="579" spans="4:4" ht="14.15" customHeight="1" x14ac:dyDescent="0.3">
      <c r="D579" s="1"/>
    </row>
    <row r="580" spans="4:4" ht="14.15" customHeight="1" x14ac:dyDescent="0.3">
      <c r="D580" s="1"/>
    </row>
    <row r="581" spans="4:4" ht="14.15" customHeight="1" x14ac:dyDescent="0.3">
      <c r="D581" s="1"/>
    </row>
    <row r="582" spans="4:4" ht="14.15" customHeight="1" x14ac:dyDescent="0.3">
      <c r="D582" s="1"/>
    </row>
    <row r="583" spans="4:4" ht="14.15" customHeight="1" x14ac:dyDescent="0.3">
      <c r="D583" s="1"/>
    </row>
    <row r="584" spans="4:4" ht="14.15" customHeight="1" x14ac:dyDescent="0.3">
      <c r="D584" s="1"/>
    </row>
    <row r="585" spans="4:4" ht="14.15" customHeight="1" x14ac:dyDescent="0.3">
      <c r="D585" s="1"/>
    </row>
    <row r="586" spans="4:4" ht="14.15" customHeight="1" x14ac:dyDescent="0.3">
      <c r="D586" s="1"/>
    </row>
    <row r="587" spans="4:4" ht="14.15" customHeight="1" x14ac:dyDescent="0.3">
      <c r="D587" s="1"/>
    </row>
    <row r="588" spans="4:4" ht="14.15" customHeight="1" x14ac:dyDescent="0.3">
      <c r="D588" s="1"/>
    </row>
    <row r="589" spans="4:4" ht="14.15" customHeight="1" x14ac:dyDescent="0.3">
      <c r="D589" s="1"/>
    </row>
    <row r="590" spans="4:4" ht="14.15" customHeight="1" x14ac:dyDescent="0.3">
      <c r="D590" s="1"/>
    </row>
    <row r="591" spans="4:4" ht="14.15" customHeight="1" x14ac:dyDescent="0.3">
      <c r="D591" s="1"/>
    </row>
    <row r="592" spans="4:4" ht="14.15" customHeight="1" x14ac:dyDescent="0.3">
      <c r="D592" s="1"/>
    </row>
    <row r="593" spans="4:4" ht="14.15" customHeight="1" x14ac:dyDescent="0.3">
      <c r="D593" s="1"/>
    </row>
    <row r="594" spans="4:4" ht="14.15" customHeight="1" x14ac:dyDescent="0.3">
      <c r="D594" s="1"/>
    </row>
    <row r="595" spans="4:4" ht="14.15" customHeight="1" x14ac:dyDescent="0.3">
      <c r="D595" s="1"/>
    </row>
    <row r="596" spans="4:4" ht="14.15" customHeight="1" x14ac:dyDescent="0.3">
      <c r="D596" s="1"/>
    </row>
    <row r="597" spans="4:4" ht="14.15" customHeight="1" x14ac:dyDescent="0.3">
      <c r="D597" s="1"/>
    </row>
    <row r="598" spans="4:4" ht="14.15" customHeight="1" x14ac:dyDescent="0.3">
      <c r="D598" s="1"/>
    </row>
    <row r="599" spans="4:4" ht="14.15" customHeight="1" x14ac:dyDescent="0.3">
      <c r="D599" s="1"/>
    </row>
    <row r="600" spans="4:4" ht="14.15" customHeight="1" x14ac:dyDescent="0.3">
      <c r="D600" s="1"/>
    </row>
    <row r="601" spans="4:4" ht="14.15" customHeight="1" x14ac:dyDescent="0.3">
      <c r="D601" s="1"/>
    </row>
    <row r="602" spans="4:4" ht="14.15" customHeight="1" x14ac:dyDescent="0.3">
      <c r="D602" s="1"/>
    </row>
    <row r="603" spans="4:4" ht="14.15" customHeight="1" x14ac:dyDescent="0.3">
      <c r="D603" s="1"/>
    </row>
    <row r="604" spans="4:4" ht="14.15" customHeight="1" x14ac:dyDescent="0.3">
      <c r="D604" s="1"/>
    </row>
    <row r="605" spans="4:4" ht="14.15" customHeight="1" x14ac:dyDescent="0.3">
      <c r="D605" s="1"/>
    </row>
    <row r="606" spans="4:4" ht="14.15" customHeight="1" x14ac:dyDescent="0.3">
      <c r="D606" s="1"/>
    </row>
    <row r="607" spans="4:4" ht="14.15" customHeight="1" x14ac:dyDescent="0.3">
      <c r="D607" s="1"/>
    </row>
    <row r="608" spans="4:4" ht="14.15" customHeight="1" x14ac:dyDescent="0.3">
      <c r="D608" s="1"/>
    </row>
    <row r="609" spans="4:4" ht="14.15" customHeight="1" x14ac:dyDescent="0.3">
      <c r="D609" s="1"/>
    </row>
    <row r="610" spans="4:4" ht="14.15" customHeight="1" x14ac:dyDescent="0.3">
      <c r="D610" s="1"/>
    </row>
    <row r="611" spans="4:4" ht="14.15" customHeight="1" x14ac:dyDescent="0.3">
      <c r="D611" s="1"/>
    </row>
    <row r="612" spans="4:4" ht="14.15" customHeight="1" x14ac:dyDescent="0.3">
      <c r="D612" s="1"/>
    </row>
    <row r="613" spans="4:4" ht="14.15" customHeight="1" x14ac:dyDescent="0.3">
      <c r="D613" s="1"/>
    </row>
    <row r="614" spans="4:4" ht="14.15" customHeight="1" x14ac:dyDescent="0.3">
      <c r="D614" s="1"/>
    </row>
    <row r="615" spans="4:4" ht="14.15" customHeight="1" x14ac:dyDescent="0.3">
      <c r="D615" s="1"/>
    </row>
    <row r="616" spans="4:4" ht="14.15" customHeight="1" x14ac:dyDescent="0.3">
      <c r="D616" s="1"/>
    </row>
    <row r="617" spans="4:4" ht="14.15" customHeight="1" x14ac:dyDescent="0.3">
      <c r="D617" s="1"/>
    </row>
    <row r="618" spans="4:4" ht="14.15" customHeight="1" x14ac:dyDescent="0.3">
      <c r="D618" s="1"/>
    </row>
    <row r="619" spans="4:4" ht="14.15" customHeight="1" x14ac:dyDescent="0.3">
      <c r="D619" s="1"/>
    </row>
    <row r="620" spans="4:4" ht="14.15" customHeight="1" x14ac:dyDescent="0.3">
      <c r="D620" s="1"/>
    </row>
    <row r="621" spans="4:4" ht="14.15" customHeight="1" x14ac:dyDescent="0.3">
      <c r="D621" s="1"/>
    </row>
    <row r="622" spans="4:4" ht="14.15" customHeight="1" x14ac:dyDescent="0.3">
      <c r="D622" s="1"/>
    </row>
    <row r="623" spans="4:4" ht="14.15" customHeight="1" x14ac:dyDescent="0.3">
      <c r="D623" s="1"/>
    </row>
    <row r="624" spans="4:4" ht="14.15" customHeight="1" x14ac:dyDescent="0.3">
      <c r="D624" s="1"/>
    </row>
    <row r="625" spans="4:4" ht="14.15" customHeight="1" x14ac:dyDescent="0.3">
      <c r="D625" s="1"/>
    </row>
    <row r="626" spans="4:4" ht="14.15" customHeight="1" x14ac:dyDescent="0.3">
      <c r="D626" s="1"/>
    </row>
    <row r="627" spans="4:4" ht="14.15" customHeight="1" x14ac:dyDescent="0.3">
      <c r="D627" s="1"/>
    </row>
    <row r="628" spans="4:4" ht="14.15" customHeight="1" x14ac:dyDescent="0.3">
      <c r="D628" s="1"/>
    </row>
    <row r="629" spans="4:4" ht="14.15" customHeight="1" x14ac:dyDescent="0.3">
      <c r="D629" s="1"/>
    </row>
    <row r="630" spans="4:4" ht="14.15" customHeight="1" x14ac:dyDescent="0.3">
      <c r="D630" s="1"/>
    </row>
    <row r="631" spans="4:4" ht="14.15" customHeight="1" x14ac:dyDescent="0.3">
      <c r="D631" s="1"/>
    </row>
    <row r="632" spans="4:4" ht="14.15" customHeight="1" x14ac:dyDescent="0.3">
      <c r="D632" s="1"/>
    </row>
    <row r="633" spans="4:4" ht="14.15" customHeight="1" x14ac:dyDescent="0.3">
      <c r="D633" s="1"/>
    </row>
    <row r="634" spans="4:4" ht="14.15" customHeight="1" x14ac:dyDescent="0.3">
      <c r="D634" s="1"/>
    </row>
    <row r="635" spans="4:4" ht="14.15" customHeight="1" x14ac:dyDescent="0.3">
      <c r="D635" s="1"/>
    </row>
    <row r="636" spans="4:4" ht="14.15" customHeight="1" x14ac:dyDescent="0.3">
      <c r="D636" s="1"/>
    </row>
    <row r="637" spans="4:4" ht="14.15" customHeight="1" x14ac:dyDescent="0.3">
      <c r="D637" s="1"/>
    </row>
    <row r="638" spans="4:4" ht="14.15" customHeight="1" x14ac:dyDescent="0.3">
      <c r="D638" s="1"/>
    </row>
    <row r="639" spans="4:4" ht="14.15" customHeight="1" x14ac:dyDescent="0.3">
      <c r="D639" s="1"/>
    </row>
    <row r="640" spans="4:4" ht="14.15" customHeight="1" x14ac:dyDescent="0.3">
      <c r="D640" s="1"/>
    </row>
    <row r="641" spans="4:4" ht="14.15" customHeight="1" x14ac:dyDescent="0.3">
      <c r="D641" s="1"/>
    </row>
    <row r="642" spans="4:4" ht="14.15" customHeight="1" x14ac:dyDescent="0.3">
      <c r="D642" s="1"/>
    </row>
    <row r="643" spans="4:4" ht="14.15" customHeight="1" x14ac:dyDescent="0.3">
      <c r="D643" s="1"/>
    </row>
    <row r="644" spans="4:4" ht="14.15" customHeight="1" x14ac:dyDescent="0.3">
      <c r="D644" s="1"/>
    </row>
    <row r="645" spans="4:4" ht="14.15" customHeight="1" x14ac:dyDescent="0.3">
      <c r="D645" s="1"/>
    </row>
    <row r="646" spans="4:4" ht="14.15" customHeight="1" x14ac:dyDescent="0.3">
      <c r="D646" s="1"/>
    </row>
    <row r="647" spans="4:4" ht="14.15" customHeight="1" x14ac:dyDescent="0.3">
      <c r="D647" s="1"/>
    </row>
    <row r="648" spans="4:4" ht="14.15" customHeight="1" x14ac:dyDescent="0.3">
      <c r="D648" s="1"/>
    </row>
    <row r="649" spans="4:4" ht="14.15" customHeight="1" x14ac:dyDescent="0.3">
      <c r="D649" s="1"/>
    </row>
    <row r="650" spans="4:4" ht="14.15" customHeight="1" x14ac:dyDescent="0.3">
      <c r="D650" s="1"/>
    </row>
    <row r="651" spans="4:4" ht="14.15" customHeight="1" x14ac:dyDescent="0.3">
      <c r="D651" s="1"/>
    </row>
    <row r="652" spans="4:4" ht="14.15" customHeight="1" x14ac:dyDescent="0.3">
      <c r="D652" s="1"/>
    </row>
    <row r="653" spans="4:4" ht="14.15" customHeight="1" x14ac:dyDescent="0.3">
      <c r="D653" s="1"/>
    </row>
    <row r="654" spans="4:4" ht="14.15" customHeight="1" x14ac:dyDescent="0.3">
      <c r="D654" s="1"/>
    </row>
    <row r="655" spans="4:4" ht="14.15" customHeight="1" x14ac:dyDescent="0.3">
      <c r="D655" s="1"/>
    </row>
    <row r="656" spans="4:4" ht="14.15" customHeight="1" x14ac:dyDescent="0.3">
      <c r="D656" s="1"/>
    </row>
    <row r="657" spans="4:4" ht="14.15" customHeight="1" x14ac:dyDescent="0.3">
      <c r="D657" s="1"/>
    </row>
    <row r="658" spans="4:4" ht="14.15" customHeight="1" x14ac:dyDescent="0.3">
      <c r="D658" s="1"/>
    </row>
    <row r="659" spans="4:4" ht="14.15" customHeight="1" x14ac:dyDescent="0.3">
      <c r="D659" s="1"/>
    </row>
    <row r="660" spans="4:4" ht="14.15" customHeight="1" x14ac:dyDescent="0.3">
      <c r="D660" s="1"/>
    </row>
    <row r="661" spans="4:4" ht="14.15" customHeight="1" x14ac:dyDescent="0.3">
      <c r="D661" s="1"/>
    </row>
    <row r="662" spans="4:4" ht="14.15" customHeight="1" x14ac:dyDescent="0.3">
      <c r="D662" s="1"/>
    </row>
    <row r="663" spans="4:4" ht="14.15" customHeight="1" x14ac:dyDescent="0.3">
      <c r="D663" s="1"/>
    </row>
    <row r="664" spans="4:4" ht="14.15" customHeight="1" x14ac:dyDescent="0.3">
      <c r="D664" s="1"/>
    </row>
    <row r="665" spans="4:4" ht="14.15" customHeight="1" x14ac:dyDescent="0.3">
      <c r="D665" s="1"/>
    </row>
    <row r="666" spans="4:4" ht="14.15" customHeight="1" x14ac:dyDescent="0.3">
      <c r="D666" s="1"/>
    </row>
    <row r="667" spans="4:4" ht="14.15" customHeight="1" x14ac:dyDescent="0.3">
      <c r="D667" s="1"/>
    </row>
    <row r="668" spans="4:4" ht="14.15" customHeight="1" x14ac:dyDescent="0.3">
      <c r="D668" s="1"/>
    </row>
    <row r="669" spans="4:4" ht="14.15" customHeight="1" x14ac:dyDescent="0.3">
      <c r="D669" s="1"/>
    </row>
    <row r="670" spans="4:4" ht="14.15" customHeight="1" x14ac:dyDescent="0.3">
      <c r="D670" s="1"/>
    </row>
    <row r="671" spans="4:4" ht="14.15" customHeight="1" x14ac:dyDescent="0.3">
      <c r="D671" s="1"/>
    </row>
    <row r="672" spans="4:4" ht="14.15" customHeight="1" x14ac:dyDescent="0.3">
      <c r="D672" s="1"/>
    </row>
    <row r="673" spans="4:4" ht="14.15" customHeight="1" x14ac:dyDescent="0.3">
      <c r="D673" s="1"/>
    </row>
    <row r="674" spans="4:4" ht="14.15" customHeight="1" x14ac:dyDescent="0.3">
      <c r="D674" s="1"/>
    </row>
    <row r="675" spans="4:4" ht="14.15" customHeight="1" x14ac:dyDescent="0.3">
      <c r="D675" s="1"/>
    </row>
    <row r="676" spans="4:4" ht="14.15" customHeight="1" x14ac:dyDescent="0.3">
      <c r="D676" s="1"/>
    </row>
    <row r="677" spans="4:4" ht="14.15" customHeight="1" x14ac:dyDescent="0.3">
      <c r="D677" s="1"/>
    </row>
    <row r="678" spans="4:4" ht="14.15" customHeight="1" x14ac:dyDescent="0.3">
      <c r="D678" s="1"/>
    </row>
    <row r="679" spans="4:4" ht="14.15" customHeight="1" x14ac:dyDescent="0.3">
      <c r="D679" s="1"/>
    </row>
    <row r="680" spans="4:4" ht="14.15" customHeight="1" x14ac:dyDescent="0.3">
      <c r="D680" s="1"/>
    </row>
    <row r="681" spans="4:4" ht="14.15" customHeight="1" x14ac:dyDescent="0.3">
      <c r="D681" s="1"/>
    </row>
    <row r="682" spans="4:4" ht="14.15" customHeight="1" x14ac:dyDescent="0.3">
      <c r="D682" s="1"/>
    </row>
    <row r="683" spans="4:4" ht="14.15" customHeight="1" x14ac:dyDescent="0.3">
      <c r="D683" s="1"/>
    </row>
    <row r="684" spans="4:4" ht="14.15" customHeight="1" x14ac:dyDescent="0.3">
      <c r="D684" s="1"/>
    </row>
    <row r="685" spans="4:4" ht="14.15" customHeight="1" x14ac:dyDescent="0.3">
      <c r="D685" s="1"/>
    </row>
    <row r="686" spans="4:4" ht="14.15" customHeight="1" x14ac:dyDescent="0.3">
      <c r="D686" s="1"/>
    </row>
    <row r="687" spans="4:4" ht="14.15" customHeight="1" x14ac:dyDescent="0.3">
      <c r="D687" s="1"/>
    </row>
    <row r="688" spans="4:4" ht="14.15" customHeight="1" x14ac:dyDescent="0.3">
      <c r="D688" s="1"/>
    </row>
    <row r="689" spans="4:4" ht="14.15" customHeight="1" x14ac:dyDescent="0.3">
      <c r="D689" s="1"/>
    </row>
    <row r="690" spans="4:4" ht="14.15" customHeight="1" x14ac:dyDescent="0.3">
      <c r="D690" s="1"/>
    </row>
    <row r="691" spans="4:4" ht="14.15" customHeight="1" x14ac:dyDescent="0.3">
      <c r="D691" s="1"/>
    </row>
    <row r="692" spans="4:4" ht="14.15" customHeight="1" x14ac:dyDescent="0.3">
      <c r="D692" s="1"/>
    </row>
    <row r="693" spans="4:4" ht="14.15" customHeight="1" x14ac:dyDescent="0.3">
      <c r="D693" s="1"/>
    </row>
    <row r="694" spans="4:4" ht="14.15" customHeight="1" x14ac:dyDescent="0.3">
      <c r="D694" s="1"/>
    </row>
    <row r="695" spans="4:4" ht="14.15" customHeight="1" x14ac:dyDescent="0.3">
      <c r="D695" s="1"/>
    </row>
    <row r="696" spans="4:4" ht="14.15" customHeight="1" x14ac:dyDescent="0.3">
      <c r="D696" s="1"/>
    </row>
    <row r="697" spans="4:4" ht="14.15" customHeight="1" x14ac:dyDescent="0.3">
      <c r="D697" s="1"/>
    </row>
    <row r="698" spans="4:4" ht="14.15" customHeight="1" x14ac:dyDescent="0.3">
      <c r="D698" s="1"/>
    </row>
    <row r="699" spans="4:4" ht="14.15" customHeight="1" x14ac:dyDescent="0.3">
      <c r="D699" s="1"/>
    </row>
    <row r="700" spans="4:4" ht="14.15" customHeight="1" x14ac:dyDescent="0.3">
      <c r="D700" s="1"/>
    </row>
    <row r="701" spans="4:4" ht="14.15" customHeight="1" x14ac:dyDescent="0.3">
      <c r="D701" s="1"/>
    </row>
    <row r="702" spans="4:4" ht="14.15" customHeight="1" x14ac:dyDescent="0.3">
      <c r="D702" s="1"/>
    </row>
    <row r="703" spans="4:4" ht="14.15" customHeight="1" x14ac:dyDescent="0.3">
      <c r="D703" s="1"/>
    </row>
    <row r="704" spans="4:4" ht="14.15" customHeight="1" x14ac:dyDescent="0.3">
      <c r="D704" s="1"/>
    </row>
    <row r="705" spans="4:4" ht="14.15" customHeight="1" x14ac:dyDescent="0.3">
      <c r="D705" s="1"/>
    </row>
    <row r="706" spans="4:4" ht="14.15" customHeight="1" x14ac:dyDescent="0.3">
      <c r="D706" s="1"/>
    </row>
    <row r="707" spans="4:4" ht="14.15" customHeight="1" x14ac:dyDescent="0.3">
      <c r="D707" s="1"/>
    </row>
    <row r="708" spans="4:4" ht="14.15" customHeight="1" x14ac:dyDescent="0.3">
      <c r="D708" s="1"/>
    </row>
    <row r="709" spans="4:4" ht="14.15" customHeight="1" x14ac:dyDescent="0.3">
      <c r="D709" s="1"/>
    </row>
    <row r="710" spans="4:4" ht="14.15" customHeight="1" x14ac:dyDescent="0.3">
      <c r="D710" s="1"/>
    </row>
    <row r="711" spans="4:4" ht="14.15" customHeight="1" x14ac:dyDescent="0.3">
      <c r="D711" s="1"/>
    </row>
    <row r="712" spans="4:4" ht="14.15" customHeight="1" x14ac:dyDescent="0.3">
      <c r="D712" s="1"/>
    </row>
    <row r="713" spans="4:4" ht="14.15" customHeight="1" x14ac:dyDescent="0.3">
      <c r="D713" s="1"/>
    </row>
    <row r="714" spans="4:4" ht="14.15" customHeight="1" x14ac:dyDescent="0.3">
      <c r="D714" s="1"/>
    </row>
    <row r="715" spans="4:4" ht="14.15" customHeight="1" x14ac:dyDescent="0.3">
      <c r="D715" s="1"/>
    </row>
    <row r="716" spans="4:4" ht="14.15" customHeight="1" x14ac:dyDescent="0.3">
      <c r="D716" s="1"/>
    </row>
    <row r="717" spans="4:4" ht="14.15" customHeight="1" x14ac:dyDescent="0.3">
      <c r="D717" s="1"/>
    </row>
    <row r="718" spans="4:4" ht="14.15" customHeight="1" x14ac:dyDescent="0.3">
      <c r="D718" s="1"/>
    </row>
    <row r="719" spans="4:4" ht="14.15" customHeight="1" x14ac:dyDescent="0.3">
      <c r="D719" s="1"/>
    </row>
    <row r="720" spans="4:4" ht="14.15" customHeight="1" x14ac:dyDescent="0.3">
      <c r="D720" s="1"/>
    </row>
    <row r="721" spans="4:4" ht="14.15" customHeight="1" x14ac:dyDescent="0.3">
      <c r="D721" s="1"/>
    </row>
    <row r="722" spans="4:4" ht="14.15" customHeight="1" x14ac:dyDescent="0.3">
      <c r="D722" s="1"/>
    </row>
    <row r="723" spans="4:4" ht="14.15" customHeight="1" x14ac:dyDescent="0.3">
      <c r="D723" s="1"/>
    </row>
    <row r="724" spans="4:4" ht="14.15" customHeight="1" x14ac:dyDescent="0.3">
      <c r="D724" s="1"/>
    </row>
    <row r="725" spans="4:4" ht="14.15" customHeight="1" x14ac:dyDescent="0.3">
      <c r="D725" s="1"/>
    </row>
    <row r="726" spans="4:4" ht="14.15" customHeight="1" x14ac:dyDescent="0.3">
      <c r="D726" s="1"/>
    </row>
    <row r="727" spans="4:4" ht="14.15" customHeight="1" x14ac:dyDescent="0.3">
      <c r="D727" s="1"/>
    </row>
    <row r="728" spans="4:4" ht="14.15" customHeight="1" x14ac:dyDescent="0.3">
      <c r="D728" s="1"/>
    </row>
    <row r="729" spans="4:4" ht="14.15" customHeight="1" x14ac:dyDescent="0.3">
      <c r="D729" s="1"/>
    </row>
    <row r="730" spans="4:4" ht="14.15" customHeight="1" x14ac:dyDescent="0.3">
      <c r="D730" s="1"/>
    </row>
    <row r="731" spans="4:4" ht="14.15" customHeight="1" x14ac:dyDescent="0.3">
      <c r="D731" s="1"/>
    </row>
    <row r="732" spans="4:4" ht="14.15" customHeight="1" x14ac:dyDescent="0.3">
      <c r="D732" s="1"/>
    </row>
    <row r="733" spans="4:4" ht="14.15" customHeight="1" x14ac:dyDescent="0.3">
      <c r="D733" s="1"/>
    </row>
    <row r="734" spans="4:4" ht="14.15" customHeight="1" x14ac:dyDescent="0.3">
      <c r="D734" s="1"/>
    </row>
    <row r="735" spans="4:4" ht="14.15" customHeight="1" x14ac:dyDescent="0.3">
      <c r="D735" s="1"/>
    </row>
    <row r="736" spans="4:4" ht="14.15" customHeight="1" x14ac:dyDescent="0.3">
      <c r="D736" s="1"/>
    </row>
    <row r="737" spans="4:4" ht="14.15" customHeight="1" x14ac:dyDescent="0.3">
      <c r="D737" s="1"/>
    </row>
    <row r="738" spans="4:4" ht="14.15" customHeight="1" x14ac:dyDescent="0.3">
      <c r="D738" s="1"/>
    </row>
    <row r="739" spans="4:4" ht="14.15" customHeight="1" x14ac:dyDescent="0.3">
      <c r="D739" s="1"/>
    </row>
    <row r="740" spans="4:4" ht="14.15" customHeight="1" x14ac:dyDescent="0.3">
      <c r="D740" s="1"/>
    </row>
    <row r="741" spans="4:4" ht="14.15" customHeight="1" x14ac:dyDescent="0.3">
      <c r="D741" s="1"/>
    </row>
    <row r="742" spans="4:4" ht="14.15" customHeight="1" x14ac:dyDescent="0.3">
      <c r="D742" s="1"/>
    </row>
    <row r="743" spans="4:4" ht="14.15" customHeight="1" x14ac:dyDescent="0.3">
      <c r="D743" s="1"/>
    </row>
    <row r="744" spans="4:4" ht="14.15" customHeight="1" x14ac:dyDescent="0.3">
      <c r="D744" s="1"/>
    </row>
    <row r="745" spans="4:4" ht="14.15" customHeight="1" x14ac:dyDescent="0.3">
      <c r="D745" s="1"/>
    </row>
    <row r="746" spans="4:4" ht="14.15" customHeight="1" x14ac:dyDescent="0.3">
      <c r="D746" s="1"/>
    </row>
    <row r="747" spans="4:4" ht="14.15" customHeight="1" x14ac:dyDescent="0.3">
      <c r="D747" s="1"/>
    </row>
    <row r="748" spans="4:4" ht="14.15" customHeight="1" x14ac:dyDescent="0.3">
      <c r="D748" s="1"/>
    </row>
    <row r="749" spans="4:4" ht="14.15" customHeight="1" x14ac:dyDescent="0.3">
      <c r="D749" s="1"/>
    </row>
    <row r="750" spans="4:4" ht="14.15" customHeight="1" x14ac:dyDescent="0.3">
      <c r="D750" s="1"/>
    </row>
    <row r="751" spans="4:4" ht="14.15" customHeight="1" x14ac:dyDescent="0.3">
      <c r="D751" s="1"/>
    </row>
    <row r="752" spans="4:4" ht="14.15" customHeight="1" x14ac:dyDescent="0.3">
      <c r="D752" s="1"/>
    </row>
    <row r="753" spans="4:4" ht="14.15" customHeight="1" x14ac:dyDescent="0.3">
      <c r="D753" s="1"/>
    </row>
    <row r="754" spans="4:4" ht="14.15" customHeight="1" x14ac:dyDescent="0.3">
      <c r="D754" s="1"/>
    </row>
    <row r="755" spans="4:4" ht="14.15" customHeight="1" x14ac:dyDescent="0.3">
      <c r="D755" s="1"/>
    </row>
    <row r="756" spans="4:4" ht="14.15" customHeight="1" x14ac:dyDescent="0.3">
      <c r="D756" s="1"/>
    </row>
    <row r="757" spans="4:4" ht="14.15" customHeight="1" x14ac:dyDescent="0.3">
      <c r="D757" s="1"/>
    </row>
    <row r="758" spans="4:4" ht="14.15" customHeight="1" x14ac:dyDescent="0.3">
      <c r="D758" s="1"/>
    </row>
    <row r="759" spans="4:4" ht="14.15" customHeight="1" x14ac:dyDescent="0.3">
      <c r="D759" s="1"/>
    </row>
    <row r="760" spans="4:4" ht="14.15" customHeight="1" x14ac:dyDescent="0.3">
      <c r="D760" s="1"/>
    </row>
    <row r="761" spans="4:4" ht="14.15" customHeight="1" x14ac:dyDescent="0.3">
      <c r="D761" s="1"/>
    </row>
    <row r="762" spans="4:4" ht="14.15" customHeight="1" x14ac:dyDescent="0.3">
      <c r="D762" s="1"/>
    </row>
    <row r="763" spans="4:4" ht="14.15" customHeight="1" x14ac:dyDescent="0.3">
      <c r="D763" s="1"/>
    </row>
    <row r="764" spans="4:4" ht="14.15" customHeight="1" x14ac:dyDescent="0.3">
      <c r="D764" s="1"/>
    </row>
    <row r="765" spans="4:4" ht="14.15" customHeight="1" x14ac:dyDescent="0.3">
      <c r="D765" s="1"/>
    </row>
    <row r="766" spans="4:4" ht="14.15" customHeight="1" x14ac:dyDescent="0.3">
      <c r="D766" s="1"/>
    </row>
    <row r="767" spans="4:4" ht="14.15" customHeight="1" x14ac:dyDescent="0.3">
      <c r="D767" s="1"/>
    </row>
    <row r="768" spans="4:4" ht="14.15" customHeight="1" x14ac:dyDescent="0.3">
      <c r="D768" s="1"/>
    </row>
    <row r="769" spans="4:4" ht="14.15" customHeight="1" x14ac:dyDescent="0.3">
      <c r="D769" s="1"/>
    </row>
    <row r="770" spans="4:4" ht="14.15" customHeight="1" x14ac:dyDescent="0.3">
      <c r="D770" s="1"/>
    </row>
    <row r="771" spans="4:4" ht="14.15" customHeight="1" x14ac:dyDescent="0.3">
      <c r="D771" s="1"/>
    </row>
    <row r="772" spans="4:4" ht="14.15" customHeight="1" x14ac:dyDescent="0.3">
      <c r="D772" s="1"/>
    </row>
    <row r="773" spans="4:4" ht="14.15" customHeight="1" x14ac:dyDescent="0.3">
      <c r="D773" s="1"/>
    </row>
    <row r="774" spans="4:4" ht="14.15" customHeight="1" x14ac:dyDescent="0.3">
      <c r="D774" s="1"/>
    </row>
    <row r="775" spans="4:4" ht="14.15" customHeight="1" x14ac:dyDescent="0.3">
      <c r="D775" s="1"/>
    </row>
    <row r="776" spans="4:4" ht="14.15" customHeight="1" x14ac:dyDescent="0.3">
      <c r="D776" s="1"/>
    </row>
    <row r="777" spans="4:4" ht="14.15" customHeight="1" x14ac:dyDescent="0.3">
      <c r="D777" s="1"/>
    </row>
    <row r="778" spans="4:4" ht="14.15" customHeight="1" x14ac:dyDescent="0.3">
      <c r="D778" s="1"/>
    </row>
    <row r="779" spans="4:4" ht="14.15" customHeight="1" x14ac:dyDescent="0.3">
      <c r="D779" s="1"/>
    </row>
    <row r="780" spans="4:4" ht="14.15" customHeight="1" x14ac:dyDescent="0.3">
      <c r="D780" s="1"/>
    </row>
    <row r="781" spans="4:4" ht="14.15" customHeight="1" x14ac:dyDescent="0.3">
      <c r="D781" s="1"/>
    </row>
    <row r="782" spans="4:4" ht="14.15" customHeight="1" x14ac:dyDescent="0.3">
      <c r="D782" s="1"/>
    </row>
    <row r="783" spans="4:4" ht="14.15" customHeight="1" x14ac:dyDescent="0.3">
      <c r="D783" s="1"/>
    </row>
    <row r="784" spans="4:4" ht="14.15" customHeight="1" x14ac:dyDescent="0.3">
      <c r="D784" s="1"/>
    </row>
    <row r="785" spans="4:4" ht="14.15" customHeight="1" x14ac:dyDescent="0.3">
      <c r="D785" s="1"/>
    </row>
    <row r="786" spans="4:4" ht="14.15" customHeight="1" x14ac:dyDescent="0.3">
      <c r="D786" s="1"/>
    </row>
    <row r="787" spans="4:4" ht="14.15" customHeight="1" x14ac:dyDescent="0.3">
      <c r="D787" s="1"/>
    </row>
    <row r="788" spans="4:4" ht="14.15" customHeight="1" x14ac:dyDescent="0.3">
      <c r="D788" s="1"/>
    </row>
    <row r="789" spans="4:4" ht="14.15" customHeight="1" x14ac:dyDescent="0.3">
      <c r="D789" s="1"/>
    </row>
    <row r="790" spans="4:4" ht="14.15" customHeight="1" x14ac:dyDescent="0.3">
      <c r="D790" s="1"/>
    </row>
    <row r="791" spans="4:4" ht="14.15" customHeight="1" x14ac:dyDescent="0.3">
      <c r="D791" s="1"/>
    </row>
    <row r="792" spans="4:4" ht="14.15" customHeight="1" x14ac:dyDescent="0.3">
      <c r="D792" s="1"/>
    </row>
    <row r="793" spans="4:4" ht="14.15" customHeight="1" x14ac:dyDescent="0.3">
      <c r="D793" s="1"/>
    </row>
    <row r="794" spans="4:4" ht="14.15" customHeight="1" x14ac:dyDescent="0.3">
      <c r="D794" s="1"/>
    </row>
    <row r="795" spans="4:4" ht="14.15" customHeight="1" x14ac:dyDescent="0.3">
      <c r="D795" s="1"/>
    </row>
    <row r="796" spans="4:4" ht="14.15" customHeight="1" x14ac:dyDescent="0.3">
      <c r="D796" s="1"/>
    </row>
    <row r="797" spans="4:4" ht="14.15" customHeight="1" x14ac:dyDescent="0.3">
      <c r="D797" s="1"/>
    </row>
    <row r="798" spans="4:4" ht="14.15" customHeight="1" x14ac:dyDescent="0.3">
      <c r="D798" s="1"/>
    </row>
    <row r="799" spans="4:4" ht="14.15" customHeight="1" x14ac:dyDescent="0.3">
      <c r="D799" s="1"/>
    </row>
    <row r="800" spans="4:4" ht="14.15" customHeight="1" x14ac:dyDescent="0.3">
      <c r="D800" s="1"/>
    </row>
    <row r="801" spans="4:4" ht="14.15" customHeight="1" x14ac:dyDescent="0.3">
      <c r="D801" s="1"/>
    </row>
    <row r="802" spans="4:4" ht="14.15" customHeight="1" x14ac:dyDescent="0.3">
      <c r="D802" s="1"/>
    </row>
    <row r="803" spans="4:4" ht="14.15" customHeight="1" x14ac:dyDescent="0.3">
      <c r="D803" s="1"/>
    </row>
    <row r="804" spans="4:4" ht="14.15" customHeight="1" x14ac:dyDescent="0.3">
      <c r="D804" s="1"/>
    </row>
    <row r="805" spans="4:4" ht="14.15" customHeight="1" x14ac:dyDescent="0.3">
      <c r="D805" s="1"/>
    </row>
    <row r="806" spans="4:4" ht="14.15" customHeight="1" x14ac:dyDescent="0.3">
      <c r="D806" s="1"/>
    </row>
    <row r="807" spans="4:4" ht="14.15" customHeight="1" x14ac:dyDescent="0.3">
      <c r="D807" s="1"/>
    </row>
    <row r="808" spans="4:4" ht="14.15" customHeight="1" x14ac:dyDescent="0.3">
      <c r="D808" s="1"/>
    </row>
    <row r="809" spans="4:4" ht="14.15" customHeight="1" x14ac:dyDescent="0.3">
      <c r="D809" s="1"/>
    </row>
    <row r="810" spans="4:4" ht="14.15" customHeight="1" x14ac:dyDescent="0.3">
      <c r="D810" s="1"/>
    </row>
    <row r="811" spans="4:4" ht="14.15" customHeight="1" x14ac:dyDescent="0.3">
      <c r="D811" s="1"/>
    </row>
    <row r="812" spans="4:4" ht="14.15" customHeight="1" x14ac:dyDescent="0.3">
      <c r="D812" s="1"/>
    </row>
    <row r="813" spans="4:4" ht="14.15" customHeight="1" x14ac:dyDescent="0.3">
      <c r="D813" s="1"/>
    </row>
    <row r="814" spans="4:4" ht="14.15" customHeight="1" x14ac:dyDescent="0.3">
      <c r="D814" s="1"/>
    </row>
    <row r="815" spans="4:4" ht="14.15" customHeight="1" x14ac:dyDescent="0.3">
      <c r="D815" s="1"/>
    </row>
    <row r="816" spans="4:4" ht="14.15" customHeight="1" x14ac:dyDescent="0.3">
      <c r="D816" s="1"/>
    </row>
    <row r="817" spans="4:4" ht="14.15" customHeight="1" x14ac:dyDescent="0.3">
      <c r="D817" s="1"/>
    </row>
    <row r="818" spans="4:4" ht="14.15" customHeight="1" x14ac:dyDescent="0.3">
      <c r="D818" s="1"/>
    </row>
    <row r="819" spans="4:4" ht="14.15" customHeight="1" x14ac:dyDescent="0.3">
      <c r="D819" s="1"/>
    </row>
    <row r="820" spans="4:4" ht="14.15" customHeight="1" x14ac:dyDescent="0.3">
      <c r="D820" s="1"/>
    </row>
    <row r="821" spans="4:4" ht="14.15" customHeight="1" x14ac:dyDescent="0.3">
      <c r="D821" s="1"/>
    </row>
    <row r="822" spans="4:4" ht="14.15" customHeight="1" x14ac:dyDescent="0.3">
      <c r="D822" s="1"/>
    </row>
    <row r="823" spans="4:4" ht="14.15" customHeight="1" x14ac:dyDescent="0.3">
      <c r="D823" s="1"/>
    </row>
    <row r="824" spans="4:4" ht="14.15" customHeight="1" x14ac:dyDescent="0.3">
      <c r="D824" s="1"/>
    </row>
    <row r="825" spans="4:4" ht="14.15" customHeight="1" x14ac:dyDescent="0.3">
      <c r="D825" s="1"/>
    </row>
    <row r="826" spans="4:4" ht="14.15" customHeight="1" x14ac:dyDescent="0.3">
      <c r="D826" s="1"/>
    </row>
    <row r="827" spans="4:4" ht="14.15" customHeight="1" x14ac:dyDescent="0.3">
      <c r="D827" s="1"/>
    </row>
    <row r="828" spans="4:4" ht="14.15" customHeight="1" x14ac:dyDescent="0.3">
      <c r="D828" s="1"/>
    </row>
    <row r="829" spans="4:4" ht="14.15" customHeight="1" x14ac:dyDescent="0.3">
      <c r="D829" s="1"/>
    </row>
  </sheetData>
  <phoneticPr fontId="0" type="noConversion"/>
  <pageMargins left="0.75" right="0.75" top="0.75" bottom="0.75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Texas A&amp;M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Weichert</dc:creator>
  <cp:lastModifiedBy>Carina Negreanu</cp:lastModifiedBy>
  <cp:lastPrinted>2002-09-03T14:53:50Z</cp:lastPrinted>
  <dcterms:created xsi:type="dcterms:W3CDTF">2002-08-27T14:33:54Z</dcterms:created>
  <dcterms:modified xsi:type="dcterms:W3CDTF">2020-01-27T12:39:31Z</dcterms:modified>
</cp:coreProperties>
</file>