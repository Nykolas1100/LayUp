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charts/chart5.xml" ContentType="application/vnd.openxmlformats-officedocument.drawingml.chart+xml"/>
  <Override PartName="/xl/drawings/drawing5.xml" ContentType="application/vnd.openxmlformats-officedocument.drawing+xml"/>
  <Override PartName="/xl/charts/chart6.xml" ContentType="application/vnd.openxmlformats-officedocument.drawingml.chart+xml"/>
  <Override PartName="/xl/drawings/drawing6.xml" ContentType="application/vnd.openxmlformats-officedocument.drawing+xml"/>
  <Override PartName="/xl/charts/chart7.xml" ContentType="application/vnd.openxmlformats-officedocument.drawingml.chart+xml"/>
  <Override PartName="/xl/drawings/drawing7.xml" ContentType="application/vnd.openxmlformats-officedocument.drawing+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4B3A36F-E1A5-4A18-8CCC-3F06691687C0}" xr6:coauthVersionLast="45" xr6:coauthVersionMax="45" xr10:uidLastSave="{00000000-0000-0000-0000-000000000000}"/>
  <bookViews>
    <workbookView xWindow="4940" yWindow="4940" windowWidth="28800" windowHeight="15460"/>
  </bookViews>
  <sheets>
    <sheet name="Final Report" sheetId="1" r:id="rId1"/>
    <sheet name="Weekly Chart" sheetId="2" r:id="rId2"/>
    <sheet name="Calls by Day &amp; Week" sheetId="9" r:id="rId3"/>
    <sheet name="Calls by Time" sheetId="10" r:id="rId4"/>
    <sheet name="Calls by Library" sheetId="11" r:id="rId5"/>
    <sheet name="Calls by User Status" sheetId="13" r:id="rId6"/>
    <sheet name="Calls by Subject" sheetId="15" r:id="rId7"/>
    <sheet name="Calls by Resolution" sheetId="16" r:id="rId8"/>
    <sheet name="Summary with Questions" sheetId="14" r:id="rId9"/>
  </sheets>
  <calcPr calcId="191029" iterate="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1" i="13" l="1"/>
  <c r="A1" i="11"/>
  <c r="H7" i="15"/>
  <c r="D8" i="15" s="1"/>
  <c r="B8" i="15"/>
  <c r="C8" i="15"/>
  <c r="G8" i="15"/>
  <c r="H9" i="2"/>
  <c r="H10" i="2"/>
  <c r="H11" i="2"/>
  <c r="H12" i="2"/>
  <c r="H13" i="2"/>
  <c r="H14" i="2"/>
  <c r="H15" i="2"/>
  <c r="H16" i="2"/>
  <c r="H17" i="2"/>
  <c r="H19" i="2"/>
  <c r="B7" i="1" s="1"/>
  <c r="D7" i="1" s="1"/>
  <c r="A1" i="16"/>
  <c r="A2" i="16"/>
  <c r="A3" i="16"/>
  <c r="G7" i="16"/>
  <c r="B8" i="16" s="1"/>
  <c r="A32" i="16"/>
  <c r="A33" i="16"/>
  <c r="A1" i="15"/>
  <c r="A2" i="15"/>
  <c r="A3" i="15"/>
  <c r="A32" i="15"/>
  <c r="A33" i="15"/>
  <c r="A1" i="14"/>
  <c r="A2" i="14"/>
  <c r="A3" i="14"/>
  <c r="A2" i="13"/>
  <c r="A3" i="13"/>
  <c r="I7" i="13"/>
  <c r="C8" i="13" s="1"/>
  <c r="B8" i="13"/>
  <c r="G8" i="13"/>
  <c r="A32" i="13"/>
  <c r="A33" i="13"/>
  <c r="J7" i="11"/>
  <c r="H8" i="11" s="1"/>
  <c r="C8" i="11"/>
  <c r="D8" i="11"/>
  <c r="E8" i="11"/>
  <c r="F8" i="11"/>
  <c r="G8" i="11"/>
  <c r="A2" i="11"/>
  <c r="A3" i="11"/>
  <c r="A32" i="11"/>
  <c r="A33" i="11"/>
  <c r="D19" i="2"/>
  <c r="D7" i="9"/>
  <c r="E19" i="2"/>
  <c r="E7" i="9"/>
  <c r="F19" i="2"/>
  <c r="F7" i="9"/>
  <c r="G19" i="2"/>
  <c r="G7" i="9" s="1"/>
  <c r="C19" i="2"/>
  <c r="C7" i="9"/>
  <c r="A1" i="10"/>
  <c r="A2" i="10"/>
  <c r="A3" i="10"/>
  <c r="A31" i="10"/>
  <c r="A32" i="10"/>
  <c r="H7" i="2"/>
  <c r="H20" i="2" s="1"/>
  <c r="H8" i="2"/>
  <c r="G20" i="2"/>
  <c r="F20" i="2"/>
  <c r="E20" i="2"/>
  <c r="D20" i="2"/>
  <c r="C20" i="2"/>
  <c r="A2" i="2"/>
  <c r="A3" i="2"/>
  <c r="A1" i="9"/>
  <c r="A2" i="9"/>
  <c r="A3" i="9"/>
  <c r="A50" i="9"/>
  <c r="A51" i="9"/>
  <c r="A24" i="2"/>
  <c r="A23" i="2"/>
  <c r="A1" i="2"/>
  <c r="H8" i="13" l="1"/>
  <c r="E8" i="16"/>
  <c r="E8" i="13"/>
  <c r="D8" i="16"/>
  <c r="F8" i="15"/>
  <c r="F8" i="16"/>
  <c r="D8" i="13"/>
  <c r="I8" i="13" s="1"/>
  <c r="C8" i="16"/>
  <c r="G8" i="16" s="1"/>
  <c r="E8" i="15"/>
  <c r="H8" i="15" s="1"/>
  <c r="F8" i="13"/>
  <c r="B8" i="11"/>
  <c r="I8" i="11"/>
  <c r="J8" i="11" l="1"/>
</calcChain>
</file>

<file path=xl/sharedStrings.xml><?xml version="1.0" encoding="utf-8"?>
<sst xmlns="http://schemas.openxmlformats.org/spreadsheetml/2006/main" count="2410" uniqueCount="1247">
  <si>
    <t>12/9/2003 3:22:09 PM</t>
  </si>
  <si>
    <t> good afternoon. i'm working on a project, need reference from people's daily (from people's republic of china) from the 50's and 60's. do you have it?</t>
  </si>
  <si>
    <t>12/10/2003 8:37:58 PM</t>
  </si>
  <si>
    <t> Hi. Where do I go to find newspaper articles online on dating violence?</t>
  </si>
  <si>
    <t>12/11/2003 6:13:31 PM</t>
  </si>
  <si>
    <t> I need to access old magazine/newspaper articles for my anthro class. It says I need an number and code. Can I use these or not? What is my code? Thanks</t>
  </si>
  <si>
    <t>12/11/2003 8:51:59 PM</t>
  </si>
  <si>
    <t> where can i find articles on Eminem online?</t>
  </si>
  <si>
    <t>12/8/2003 11:05:33 AM</t>
  </si>
  <si>
    <t> I want to check out a book, but the status of it is "on hold by a user". I was wondering how long will the hold be on hold for that user and is there any way I can borrow it? Thank you!</t>
  </si>
  <si>
    <t>12/8/2003 11:21:05 AM</t>
  </si>
  <si>
    <t> What time is the media library in Powell open today?</t>
  </si>
  <si>
    <t>12/8/2003 12:46:01 PM</t>
  </si>
  <si>
    <t> I am doing some research from my home...and when I try to enter that Expanded Academic ASAP it says I have to enter and ID? what ID do I use for that?</t>
  </si>
  <si>
    <t>12/8/2003 1:26:15 PM</t>
  </si>
  <si>
    <t> I have always accessed Ancestry.com (which is a digital library subscription. Over the past week, I can't connect because ALL lines are being used. Have we reduced the number of lines in our subscription?</t>
  </si>
  <si>
    <t>12/8/2003 2:39:25 PM</t>
  </si>
  <si>
    <t> I'm trying to find Time Magazine in Orion 2, and the only catalogue entry is for an online edition. Does UCLA have back copies? (I'm looking for a 1938 article.)</t>
  </si>
  <si>
    <t>12/8/2003 3:04:42 PM</t>
  </si>
  <si>
    <t> I am trying to locate a journal called; Social work with groups, I know it's at UCLA's librarie however I was wondering if it was available online?</t>
  </si>
  <si>
    <t>12/8/2003 3:35:45 PM</t>
  </si>
  <si>
    <t> how dp i access on line journal social work with groups that is available on line at UC Berkly</t>
  </si>
  <si>
    <t>12/8/2003 4:20:04 PM</t>
  </si>
  <si>
    <t> Hi, I would like to renew a microbiology textbook I borrowed from the Biomedical Library... would I be able to do this with you or is there a number I need to call? Thanks.</t>
  </si>
  <si>
    <t>12/8/2003 4:30:20 PM</t>
  </si>
  <si>
    <t> I'm attempting to request a interlibrary loan for a journal article (UCB has the journal) but my Bruin ID #'s not working, and I did include the 10 digit on back of the card. Please assist.</t>
  </si>
  <si>
    <t>12/8/2003 6:24:14 PM</t>
  </si>
  <si>
    <t> I am searching for an article entitled "How Captain Hanrahan Made 'Howl' a Bestseller," by David Perlman. The citation is Reporter, 17:37-39, 12/12/57. I can't seem to find this journal (magazine? paper?), perhaps because the name is so general. Any help</t>
  </si>
  <si>
    <t>12/9/2003 10:19:49 AM</t>
  </si>
  <si>
    <t> I'm trying to request an item from SRLF but the request form asks for the call number for the item. The Orion page for the item lists no call number though. Should I worry about that? Here's the Orion catalog page: http://orion-1.library.ucla.edu/web2/tr</t>
  </si>
  <si>
    <t>12/9/2003 11:36:19 AM</t>
  </si>
  <si>
    <t> You have a journalarticle in the library I need. Can I get it faxed to me or an oline version sent to me....I cannot get to it through briun on line. My UCLA e-mail is rkrueger@ucla.edu if you would prefer to respond to that or to send the file there. Ca</t>
  </si>
  <si>
    <t>12/9/2003 12:36:31 PM</t>
  </si>
  <si>
    <t> i can find listings on "ayurveda" on melville but not on orion...why is that?</t>
  </si>
  <si>
    <t>12/9/2003 2:27:59 PM</t>
  </si>
  <si>
    <t> Hi If i checked out a book from YRL is it ok to return it to Powell?</t>
  </si>
  <si>
    <t>12/9/2003 2:34:11 PM</t>
  </si>
  <si>
    <t> How do I get a book that's been checked out?</t>
  </si>
  <si>
    <t>12/9/2003 5:43:14 PM</t>
  </si>
  <si>
    <t> I checked out a book at one of the UC Riverside libraries and want to know if there is some sort of universal system in which I can return the book at a UCLA library or if I have to return it at UCR</t>
  </si>
  <si>
    <t>12/11/2003 12:30:13 PM</t>
  </si>
  <si>
    <t> I am trying to access the ISI Essential Science Indicators. I know from their web site that there is an "Institutions Menu" that will allow me to compare papers and citations across institutions. However I can seem to find how to access this. Can you hel</t>
  </si>
  <si>
    <t>12/11/2003 12:47:35 PM</t>
  </si>
  <si>
    <t> i am supposed to have checked out a book that i don't have -- &amp; now i have a hold on my records. i am in berlin (germany) &amp; need to resolve this issue!!!</t>
  </si>
  <si>
    <t>12/11/2003 2:13:19 PM</t>
  </si>
  <si>
    <t> Hi, Can I get a library card / check things out?</t>
  </si>
  <si>
    <t>12/11/2003 2:46:23 PM</t>
  </si>
  <si>
    <t> how to apply library account? I can not login to recall books. Thanks.</t>
  </si>
  <si>
    <t>12/11/2003 4:31:04 PM</t>
  </si>
  <si>
    <t> Do we have access to Gale Group Infotrac? I am not able to access</t>
  </si>
  <si>
    <t>12/12/2003 1:00:44 PM</t>
  </si>
  <si>
    <t> Hi there. I'm looking for a journal called _Applied Social Research Methods_ (Vol. 28, from 1991). It looks like YRL has it, but the website says "See individual records in public catalogs for call numbers" -- does this mean I can look it up in YRL and g</t>
  </si>
  <si>
    <t>12/12/2003 5:02:41 PM</t>
  </si>
  <si>
    <t> How do I look up journals for my topic at the ucla library site?</t>
  </si>
  <si>
    <t> I'm trying to listen to music that was put on reserve for Music History 132: Mozart, but the course is not listed. I'm at the music library, where my professor said was the only place that one could access these files, but I still can't find them.</t>
  </si>
  <si>
    <t>9/29/2003 5:10:43 PM</t>
  </si>
  <si>
    <t> I am in music history 132 moxart. Our professor Elisabeth Le Guin told us to go to www.library.ucla.edu and then click on reserves to find our listening homework. i searched both under her name and the class title, but i can not find the recordings. They</t>
  </si>
  <si>
    <t>10/1/2003 4:02:31 PM</t>
  </si>
  <si>
    <t> Can you please help me locate the following magazine article? Title: The AB1X Source: Cellular business [0741-6520] yr: 1986 vol: 3 iss: 8 pg: 32</t>
  </si>
  <si>
    <t>9/30/2003 4:17:55 PM</t>
  </si>
  <si>
    <t>Tue</t>
  </si>
  <si>
    <t>Biomed/Science</t>
  </si>
  <si>
    <t> Hey, I have interest in the NDBE, part2 dental decs. Do you guys have such material?</t>
  </si>
  <si>
    <t>10/1/2003 2:44:07 PM</t>
  </si>
  <si>
    <t> I have selected articles from a search on pubmed. How do I view them now?</t>
  </si>
  <si>
    <t>10/2/2003 5:41:26 PM</t>
  </si>
  <si>
    <t>Thu</t>
  </si>
  <si>
    <t> Hi, does UCLA hold an archive of past Scientific American magazines? If so, how can I access and print past articles?</t>
  </si>
  <si>
    <t>10/3/2003 1:33:42 PM</t>
  </si>
  <si>
    <t> i am trying to use the UC-eLinks button in the PsycInfo database to find an article, but this button keeps directing me to the wrong journal. are there other ways to find out if i can access this article online?</t>
  </si>
  <si>
    <t>9/29/2003 1:45:46 PM</t>
  </si>
  <si>
    <t>Humanities/Social Science</t>
  </si>
  <si>
    <t> How can I find an articles on Nature (magazine) by Huw Price?</t>
  </si>
  <si>
    <t>9/29/2003 7:09:20 PM</t>
  </si>
  <si>
    <t> Hi, I was wondering if you could point me in the direction of an index, abstract, or bibliography about 15th and 16th century maps? Thanks so much.</t>
  </si>
  <si>
    <t>10/1/2003 12:49:59 PM</t>
  </si>
  <si>
    <t> I attended UCSB in 1988-1993 I am looking for the book "The Religious Roots of Modern International Relations" by Daniel Phipott. Can you please help me? Thanks, Maria</t>
  </si>
  <si>
    <t>10/1/2003 3:12:07 PM</t>
  </si>
  <si>
    <t> Where can I find a transcript for Philo Farnsworth's testimony on Dec. 3, 1930 to the Federal Radio Commission?</t>
  </si>
  <si>
    <t>10/2/2003 7:24:13 PM</t>
  </si>
  <si>
    <t> Does UCLA have an online subscription to the _Chronicle of Higher Education_? I can't seem to find it.</t>
  </si>
  <si>
    <t>9/29/2003 11:04:24 AM</t>
  </si>
  <si>
    <t>Library/Technical</t>
  </si>
  <si>
    <t xml:space="preserve"> I am looking for a book called "Letting Them Die - How HIV/AIDS Intervention Programmes Often Fail" by Catherine Campbell. I see that it is not available at any UC's but I searched for it using WorldCat and found some libraries that have it. I placed it </t>
  </si>
  <si>
    <t>9/29/2003 1:07:27 PM</t>
  </si>
  <si>
    <t> I have just switched phone numbers (but not mailing addresses). My old number was 310.477.7252, and my new number is 310.444.2820. I would just like to make sure that this change is reflected in my UCLA Library account information. Thanks. Ron Richards b</t>
  </si>
  <si>
    <t>9/29/2003 2:06:37 PM</t>
  </si>
  <si>
    <t> is there a compiled listing of the ucla ebooks that are offered thru netlibrary, as there is no way on their site to "browse" a compiled listing, it is only able to "search" by/via publisher?</t>
  </si>
  <si>
    <t>9/29/2003 3:35:48 PM</t>
  </si>
  <si>
    <t> I am trying to connect to the Avery Index of Architectural Periodicals, but when I try to access it through the library online materials website, I am not allowed in. Is there an alternative way to access the Avery Index, or has the service been disconti</t>
  </si>
  <si>
    <t>9/29/2003 3:45:19 PM</t>
  </si>
  <si>
    <t> Can you please check if you have the following book: Educational Research and Win Statpak CD * Required * Edition: 7TH 03 * ISBN: 0131824899 * Gay Thank you, Diana</t>
  </si>
  <si>
    <t>9/29/2003 4:18:33 PM</t>
  </si>
  <si>
    <t> I am looking for the following news articles, and I was wondering if you had them? Philadelphia Inquirer from Feb. 20, 1861; New York World from Feb. 19, 1861; Boston Herald from Aug 8, 1919; Boston Sunday Globe from Nov 24, 1985. Thank you! - Gina</t>
  </si>
  <si>
    <t>9/29/2003 6:44:49 PM</t>
  </si>
  <si>
    <t> Where can I find films and what's the requirement for on-site viewing?</t>
  </si>
  <si>
    <t>9/29/2003 8:44:46 PM</t>
  </si>
  <si>
    <t> How do i search and request for a book from another UC Library?</t>
  </si>
  <si>
    <t>9/30/2003 11:44:38 AM</t>
  </si>
  <si>
    <t> How do I request something from srlf</t>
  </si>
  <si>
    <t>9/30/2003 12:00:52 PM</t>
  </si>
  <si>
    <t> Is there anyway I can get access to JSTOR from my house??</t>
  </si>
  <si>
    <t>9/30/2003 12:27:09 PM</t>
  </si>
  <si>
    <t> I heard that there is a web site where some professors place their past exams. Could you give me the URL?</t>
  </si>
  <si>
    <t>9/30/2003 1:32:48 PM</t>
  </si>
  <si>
    <t> Would I be able to use the interlibrary loan system to get ahold of: Svarstad Bonnie Louise. The Doctor-Patient Encounter: An Observational Study of Communication and OUtcome. PhD, Department of Sociology, Univ of Wisconsin - Madison, 1974.</t>
  </si>
  <si>
    <t>9/30/2003 1:38:38 PM</t>
  </si>
  <si>
    <t> i am trying to see if I can get a copy of this article - UCLA does not appear to have an electronic subscription but Melvyl is erroneously connecte to OLD MAN AND THE SEA</t>
  </si>
  <si>
    <t>9/30/2003 2:13:07 PM</t>
  </si>
  <si>
    <t> How to find some articles (full text) online</t>
  </si>
  <si>
    <t>9/30/2003 2:18:16 PM</t>
  </si>
  <si>
    <t> How can I be sure if I am registered for the "Getting Online with the Library." I filled out and sent the form, but have received no confirmation. Thanks!</t>
  </si>
  <si>
    <t>9/30/2003 5:22:46 PM</t>
  </si>
  <si>
    <t> I am trying to access the Washington Quarterly online, but the website tells me that I have to be on the UCLA campus to get it. Is there any way around this so I can read it from home and access journals at home in the future?</t>
  </si>
  <si>
    <t>9/30/2003 6:21:33 PM</t>
  </si>
  <si>
    <t> where can i find those simple of midterm test in the undergrad library?</t>
  </si>
  <si>
    <t>10/1/2003 11:35:09 AM</t>
  </si>
  <si>
    <t> i need to access jstor.org off campus. can i get a password asap?</t>
  </si>
  <si>
    <t>10/1/2003 4:22:34 PM</t>
  </si>
  <si>
    <t> Hello. I'm looking for the following papers for a professor: 1.Rosenberg and Marthe, Common Factors in Security Returns: Microeconomic Determinants and Macroeconomic Correlates 2.Rosenberg, B., and V. Marathe, "The Prediction of Investment Risk:Systemati</t>
  </si>
  <si>
    <t>10/1/2003 4:38:22 PM</t>
  </si>
  <si>
    <t> what is YRL stacks? and how do I access a book that is there? The call number of the book is F1435.3.w75L68 1994</t>
  </si>
  <si>
    <t>10/1/2003 6:39:20 PM</t>
  </si>
  <si>
    <t> where can i find the YRL stacks?</t>
  </si>
  <si>
    <t>10/2/2003 11:56:32 AM</t>
  </si>
  <si>
    <t> is there a way to reserve a book for checkout if the book is still checked out?</t>
  </si>
  <si>
    <t>10/2/2003 1:34:50 PM</t>
  </si>
  <si>
    <t> hi. my sociology 1 class told me to sign up on line so that i can attend the 50min drop in session on finding books. im having trouble doing so, i cant find where to go</t>
  </si>
  <si>
    <t>10/2/2003 1:43:15 PM</t>
  </si>
  <si>
    <t> I can't seem to get into the system to request a hold on books. I type in my ID # with the extra digit, but it keeps sending me back to Orion2 and says I have to be a registered user. I did that too, so I'm confused. Help!</t>
  </si>
  <si>
    <t>10/2/2003 8:42:30 PM</t>
  </si>
  <si>
    <t> I need help finding some articles for my IS 200 class. Please help!</t>
  </si>
  <si>
    <t>10/3/2003 1:12:26 PM</t>
  </si>
  <si>
    <t> I am having trouble connecting to the Oxford English Dictionary through the ucla library online materials site. I am off campus, and am using netscape 7.1. I have configured my proxy settings as shown on http://www.bol.ucla.edu/services/proxy/. Can you p</t>
  </si>
  <si>
    <t>10/3/2003 1:55:00 PM</t>
  </si>
  <si>
    <t> how do i find out an interlibrary loan request? :)</t>
  </si>
  <si>
    <t>10/3/2003 3:06:19 PM</t>
  </si>
  <si>
    <t> how do i recall an item? what page do i go to?</t>
  </si>
  <si>
    <t>10/3/2003 4:04:40 PM</t>
  </si>
  <si>
    <t> I was wondering since the library closes at 5pm today is there any other place I could go and just work on assignments that is open late?</t>
  </si>
  <si>
    <t>10/6/2003 11:26:32 AM</t>
  </si>
  <si>
    <t xml:space="preserve"> Please could you tell me if it is possible to access the 20th Century Fox production files via the Internet. I am 29 weeks pregnant and based in the UK, so unfortunately I am unable to travel. I am currently writing a full-scale Marilyn Monroe biography </t>
  </si>
  <si>
    <t>10/7/2003 5:32:47 PM</t>
  </si>
  <si>
    <t> My photo professor listed a reading for a class as "Picturing Vision" but did not say whether this was a book or chapter in a book. I have not had any success finding it. I assume it is art-related.</t>
  </si>
  <si>
    <t>10/8/2003 12:12:37 PM</t>
  </si>
  <si>
    <t> Do you have Compustat database by S&amp;P?</t>
  </si>
  <si>
    <t>10/8/2003 4:49:28 PM</t>
  </si>
  <si>
    <t> i am looking for online material on microcredit schemes in bangladesh. how do i access journal articles thru an online resouce like jstor? i am off-campus, but i have set up the proxy server and it seems to be working.</t>
  </si>
  <si>
    <t>10/6/2003 3:34:33 PM</t>
  </si>
  <si>
    <t>I need to find an introductory high school level geometry textbook.</t>
  </si>
  <si>
    <t>10/6/2003 3:54:43 PM</t>
  </si>
  <si>
    <t> Could you assist me with titles of resources that may have info on genetically modified foods</t>
  </si>
  <si>
    <t>10/6/2003 4:44:58 PM</t>
  </si>
  <si>
    <t>Hi, I'm trying to access an article on jaguars in the OVID catalog, but every time I press UC e-links to get to the full article, it says the page is not available.</t>
  </si>
  <si>
    <t>10/7/2003 4:31:48 PM</t>
  </si>
  <si>
    <t> I am trying to find the full text of this article online, and I have been unsuccessful with uc e-links. Help! THANK YOU! Title: "Relative roles of herbivory and nutrients in the recruitment of coral-reef seaweeds" Source Ecology [0012-9658] Diaz-Pulido y</t>
  </si>
  <si>
    <t>10/9/2003 5:39:14 PM</t>
  </si>
  <si>
    <t> I am doing a research paper on the impact of ecotourism on the ocean, and was wondering how to find resources for this topic?</t>
  </si>
  <si>
    <t>10/10/2003 12:51:41 PM</t>
  </si>
  <si>
    <t> I tried doing a search through the "articles databases" page on the library site and it won't find anything I type in. Help!</t>
  </si>
  <si>
    <t>10/6/2003 4:03:52 PM</t>
  </si>
  <si>
    <t> hi, i'm looking for an article that came out this year. the name is..The Early Enlightement in Dutch Republic by Michiel Wielema, Adrian Koebag. i am trying to find it, but i don't know how.</t>
  </si>
  <si>
    <t>10/7/2003 1:05:34 PM</t>
  </si>
  <si>
    <t> im trying to find information on intermarriage. since i cant check out materials, where can i find articles on it?</t>
  </si>
  <si>
    <t>10/7/2003 2:23:19 PM</t>
  </si>
  <si>
    <t> is there such a thing as "UCLA" format for writing papers? my prof. said thats what we're supposed to use... ??? help please</t>
  </si>
  <si>
    <t>10/7/2003 6:10:03 PM</t>
  </si>
  <si>
    <t> i am searching for journal articles, and i would like to know, how do i go about doing that?</t>
  </si>
  <si>
    <t>10/8/2003 4:09:56 PM</t>
  </si>
  <si>
    <t> i am a new trasfer sudent, i need to do a paper on asian setreotypes in independent films. i don't know where to sart researching and what resources do i have? thank you</t>
  </si>
  <si>
    <t>10/9/2003 11:33:24 AM</t>
  </si>
  <si>
    <t> I am looking for current info on California's working uninsured adults (18-64). I keep getting no records found even in journal searches. Suggestions?</t>
  </si>
  <si>
    <t>10/9/2003 2:05:17 PM</t>
  </si>
  <si>
    <t xml:space="preserve"> I attend the University of Oklahoma in Norman, Oklahoma. I am doing my thesis on certain election statistics. The two states that I have chosen to use are Oklahoma and California. How would I go about requesting certain copies of a document that is only </t>
  </si>
  <si>
    <t>10/6/2003 7:03:11 PM</t>
  </si>
  <si>
    <t> how do i renew my journals online</t>
  </si>
  <si>
    <t>10/7/2003 11:11:28 AM</t>
  </si>
  <si>
    <t> I am trying to log in to OVID via ucla proxy server. Can't get on. Please help with logon.</t>
  </si>
  <si>
    <t>10/7/2003 1:38:15 PM</t>
  </si>
  <si>
    <t> UC berkeley has a book online... is there any way to get it? i need it very badly and right away!</t>
  </si>
  <si>
    <t>10/7/2003 4:12:42 PM</t>
  </si>
  <si>
    <t> I am trying to print a full-text article that has a UCLA link. It takes to me to a pediatrics website asking me for a password. It's not working.</t>
  </si>
  <si>
    <t>10/7/2003 5:01:34 PM</t>
  </si>
  <si>
    <t> How to use Uc elinks?</t>
  </si>
  <si>
    <t>10/7/2003 7:52:07 PM</t>
  </si>
  <si>
    <t> i'm trying to log into expanded academic ASAP and it asks to type in library id or other....i'm typing in my 10 digit bruin id# and it keeps on saying invalid</t>
  </si>
  <si>
    <t>10/7/2003 8:09:40 PM</t>
  </si>
  <si>
    <t> Do you know, how I can access Biomed pages. How can I get a username and a password?</t>
  </si>
  <si>
    <t>10/7/2003 8:29:17 PM</t>
  </si>
  <si>
    <t> we are unable to get access to the articles databases through the http://library.ucla.edu (we read the configurations and followed the directions.</t>
  </si>
  <si>
    <t>10/8/2003 11:10:09 AM</t>
  </si>
  <si>
    <t> Hello, I am a graduate student in COlorado and will be in LA this coming weekend. I need to send a document via email and the internet and was wondering if I can use the UCLA library for about 30 minutes to do this?</t>
  </si>
  <si>
    <t>10/8/2003 12:55:38 PM</t>
  </si>
  <si>
    <t> How do I follow up on a dissertation that I requested via interlibrary loan to see what the status is?</t>
  </si>
  <si>
    <t>10/8/2003 2:01:01 PM</t>
  </si>
  <si>
    <t> why can i only access o'reilly published titles in safari books online?</t>
  </si>
  <si>
    <t>10/8/2003 2:36:39 PM</t>
  </si>
  <si>
    <t> Why was my ILL request for Marsilio Ficino's Consiglio contro la pestilenza denied? It was published in 1983 at Bologna.</t>
  </si>
  <si>
    <t>10/8/2003 4:01:46 PM</t>
  </si>
  <si>
    <t> Is there any color printer in the UCLA library?</t>
  </si>
  <si>
    <t> I wanted to know if you could possibly do an interlibrary request for me. I need the Journal: Arzneimittelforschung 2002; (52)3:168-74. Neuroprotective activity of a nanoparticulate formulation of the glycineB site antagonist MRZ 2/576 in transient focal</t>
  </si>
  <si>
    <t>10/14/2003 11:13:13 AM</t>
  </si>
  <si>
    <t> What is the difference between the Melvyl and Orion catalogue?</t>
  </si>
  <si>
    <t>10/14/2003 11:40:46 AM</t>
  </si>
  <si>
    <t> If I have recalled a book, can the person who checked it out renew it?</t>
  </si>
  <si>
    <t>10/14/2003 12:25:28 PM</t>
  </si>
  <si>
    <t> Hi, I have a question regarding the TV and Film Archive located in room 46. Are UCLA students granted access to the material there? Furthermore, can we check something out for personal interest, or do we have to be researching/studying the material we wi</t>
  </si>
  <si>
    <t>10/14/2003 3:04:49 PM</t>
  </si>
  <si>
    <t> shouldnt i be able to access PCI from my dorm room? it wont let me</t>
  </si>
  <si>
    <t>10/15/2003 11:29:55 AM</t>
  </si>
  <si>
    <t> First time in the Library, need to find the YRK Stacks call number DS554.98.A5. Where do I go for that?</t>
  </si>
  <si>
    <t>10/15/2003 12:19:29 PM</t>
  </si>
  <si>
    <t> I have some books that I thought I had lost. I found them as I was unpacking. What address should I ship them too?</t>
  </si>
  <si>
    <t>10/15/2003 1:21:27 PM</t>
  </si>
  <si>
    <t> Does the UCLA library (and its students)have access to EBSCOhost EJS</t>
  </si>
  <si>
    <t>10/15/2003 1:34:02 PM</t>
  </si>
  <si>
    <t> I am trying to access Expanded Academic from an off campus computer. It is asking for a library ID. Can you give that to students?</t>
  </si>
  <si>
    <t>10/15/2003 2:09:49 PM</t>
  </si>
  <si>
    <t> we used to talk with stan patrick about ereserve policies, but i cannot find him in the ucla directory. is he still the contact person for questions about ereserves?</t>
  </si>
  <si>
    <t>10/15/2003 3:34:53 PM</t>
  </si>
  <si>
    <t> how can i do a biosis search away from school?</t>
  </si>
  <si>
    <t>10/15/2003 3:45:28 PM</t>
  </si>
  <si>
    <t> I am looking for a documentary video called "Legko li byt' molodoi?" In Russian. In English "Is it easy to be young?" My professor said it came from off campus UCR/ UCSD? I would like to transfer it here.</t>
  </si>
  <si>
    <t>10/15/2003 4:32:24 PM</t>
  </si>
  <si>
    <t> I'm trying to access the articles for computer databases and I get a page asking for a password. My SID doesn't work. Can you please tell me what I need to put in?</t>
  </si>
  <si>
    <t>10/15/2003 7:18:21 PM</t>
  </si>
  <si>
    <t> how do i search for old articles in the la times?</t>
  </si>
  <si>
    <t>10/15/2003 8:20:48 PM</t>
  </si>
  <si>
    <t> I am connected with the Bruin OnLine Proxy Server, but I am "forbidden" from accessing any journal sites. I wanted to search for articles and journals for Chicano English and haven't been able to do so. What can I do?</t>
  </si>
  <si>
    <t>10/15/2003 8:37:39 PM</t>
  </si>
  <si>
    <t> If I have a BOL account, am I able to access online journals that UCLA has access too?</t>
  </si>
  <si>
    <t>10/16/2003 2:17:29 PM</t>
  </si>
  <si>
    <t> In the MELVYL database, is there an option where the availability of a journal from other non-UC library would be shown</t>
  </si>
  <si>
    <t>10/16/2003 5:10:02 PM</t>
  </si>
  <si>
    <t> I am searching journals through Internet Database Service at home, and I found some useful journals. But, I cannnot read some of them. (I clicked "UC-eLinks.")Could you tell me how to get full text?</t>
  </si>
  <si>
    <t>10/16/2003 6:58:12 PM</t>
  </si>
  <si>
    <t> I returned a book at the end of last school year, before the summer, yet it's still showing up in my checked out list. I didn't want to get fined for it over the summer and I thought that eventually it would be found and taken off, so I renewed it online</t>
  </si>
  <si>
    <t>10/16/2003 7:04:44 PM</t>
  </si>
  <si>
    <t> I have lost my business degree, could you help me to send a duplicate. My name is Atish Prem Nath Year 1974</t>
  </si>
  <si>
    <t>10/17/2003 11:19:05 AM</t>
  </si>
  <si>
    <t> where can i find peer reviewed journals?</t>
  </si>
  <si>
    <t>10/17/2003 12:14:49 PM</t>
  </si>
  <si>
    <t> Are the reserves for the classes in the stacks with all the other general books?</t>
  </si>
  <si>
    <t>10/17/2003 2:04:10 PM</t>
  </si>
  <si>
    <t> I can not retreive an article from the electronic data base</t>
  </si>
  <si>
    <t>10/17/2003 3:02:40 PM</t>
  </si>
  <si>
    <t> I'm trying to request via interlibrary loan the following item: Muse international de la Croix-Rouge et du Croissant-Rouge. International Red Cross and Red Crescent Museum. 1999 French Book Book 165, [2] p. : chiefly ill. ; 24 cm. [Genve] : Le Muse, ISBN</t>
  </si>
  <si>
    <t>10/20/2003 3:44:27 PM</t>
  </si>
  <si>
    <t> Does the library have a directory of private and public sources of funds/grants for non-profits and charities?</t>
  </si>
  <si>
    <t>10/21/2003 12:38:20 PM</t>
  </si>
  <si>
    <t> What is mont publication of Disseration: "the role of the L-Arginine-nitric oxide-cyclic GMP pathway in relaxation of corpus cavernosum smooth muscle, by Margaret Ann Bush</t>
  </si>
  <si>
    <t>10/21/2003 2:26:58 PM</t>
  </si>
  <si>
    <t> looking for thorsons history and development of psychotherapy</t>
  </si>
  <si>
    <t>10/21/2003 3:19:55 PM</t>
  </si>
  <si>
    <t> I would like to find articles on case presentations of glioblastoma multiforme (a type of brain tumor)</t>
  </si>
  <si>
    <t>10/21/2003 4:24:44 PM</t>
  </si>
  <si>
    <t> Hi. I'm trying to get an electronic version of an article my boss wrote. It's not listed in PubMed yet, but it is available to subscribers at this Elsevier site: http://www.nursing.theclinics.com/. Can UCLA employees access these articles like we do PubM</t>
  </si>
  <si>
    <t>10/22/2003 1:01:22 PM</t>
  </si>
  <si>
    <t> I need to find a list of articles published by the chemistry journal "Angewandte Chemie" in 2003.</t>
  </si>
  <si>
    <t>10/23/2003 3:12:28 PM</t>
  </si>
  <si>
    <t> I am looking for a few reference books on the Tethys Sea. Can you check if you have them? Atlas of Mesozoic and Cenozoic coastlines" by A. Smith et al. Cambridge Univ. Press, 1994. ISBN 0-521-45155-8 and Tethys Atlas published by Dercourt J.et al ,in 199</t>
  </si>
  <si>
    <t>10/23/2003 3:45:21 PM</t>
  </si>
  <si>
    <t> i am trying to look for peterson, r.a.&amp; reiss, s. Anxiety Sensitivity Index Manual (2nd ed rev.) Worthington, OH: International Diagnostics System - i just need to cite it, but i can't get the year - is it 1993 or 1992</t>
  </si>
  <si>
    <t>10/23/2003 8:13:28 PM</t>
  </si>
  <si>
    <t> I'm looking for a thesis by Richard Crowther, titled "The Influence of the Gas Surface Interaction on Spacecraft Orbital Motion" -- do you know where to look for this?</t>
  </si>
  <si>
    <t>10/20/2003 4:29:03 PM</t>
  </si>
  <si>
    <t> online guidelines for writing book reviews</t>
  </si>
  <si>
    <t>10/20/2003 5:18:25 PM</t>
  </si>
  <si>
    <t> I need to get a copy of a Preamble to a proposed regulation that was published in the Federal Register on April 25, 1978 at 43 FR 17480. Do you know how I can obtain a copy of that edition of the Federal Register? Thank you.</t>
  </si>
  <si>
    <t>10/20/2003 6:22:06 PM</t>
  </si>
  <si>
    <t> i need help locating these two books, i dont know where to start since this is my first quarter at ucla. thank you</t>
  </si>
  <si>
    <t>10/21/2003 11:02:24 AM</t>
  </si>
  <si>
    <t> Having trouble finding articles from the online database about the effectiveness of teaching assistants in higher education</t>
  </si>
  <si>
    <t>10/22/2003 3:19:54 PM</t>
  </si>
  <si>
    <t> i have to do a paper for sociology one, and i need help researching and coming up with a thesis statement. i am thinking of doing it on gender socialization and the media.</t>
  </si>
  <si>
    <t>10/23/2003 2:25:08 PM</t>
  </si>
  <si>
    <t>11/3/2003 2:37:23 PM</t>
  </si>
  <si>
    <t> can i find cello score for Beethoven's Symphony no.7 on campus?</t>
  </si>
  <si>
    <t>11/5/2003 2:36:59 PM</t>
  </si>
  <si>
    <t> May I speak with someone from the management library?</t>
  </si>
  <si>
    <t>11/7/2003 11:44:24 AM</t>
  </si>
  <si>
    <t> I need help getting started on some tax research. I tried to use ORION2 and Melvyl, and I haven't gotten any results. I'm looking specifically for information on retirement plans like IRAs, pension plans, and the tax aspects for the taxpayer. Any input w</t>
  </si>
  <si>
    <t>11/4/2003 11:35:48 AM</t>
  </si>
  <si>
    <t> Need help searching for textbook, would like to search by author and title but don't know how. "From Neuron to Brain" by Nichols et al.</t>
  </si>
  <si>
    <t>11/4/2003 4:15:12 PM</t>
  </si>
  <si>
    <t> i need to find the cost for buying certain chemicals in bulk, where can i find this information?</t>
  </si>
  <si>
    <t>11/4/2003 7:38:19 PM</t>
  </si>
  <si>
    <t> journal/article question</t>
  </si>
  <si>
    <t>11/4/2003 7:46:09 PM</t>
  </si>
  <si>
    <t> I need to access articles on physician health practices and its influence on recommendations for the patient. Please help.</t>
  </si>
  <si>
    <t>11/5/2003 11:04:12 AM</t>
  </si>
  <si>
    <t> i need to find some books on titan and europa (jupiter's moon). i am doing a paper on whether there can be life on either of them. but whenever i try on orion2, it gives me no results...help!</t>
  </si>
  <si>
    <t>11/5/2003 11:06:13 AM</t>
  </si>
  <si>
    <t> Hi! I am a student at Milken Community High School and I am doing research for a Science Research Class on Mental Disabilities and Peer Pressure. Do you have a citation index for psychology or possibly mental disabilities?</t>
  </si>
  <si>
    <t>11/5/2003 1:50:05 PM</t>
  </si>
  <si>
    <t> I am not a student of UCLA, how do I sign in to read the articles?</t>
  </si>
  <si>
    <t>11/5/2003 3:38:43 PM</t>
  </si>
  <si>
    <t> At online article databases such as "Sciencedirect.com", do UCLA students get free articles or do we also have to pay for them?</t>
  </si>
  <si>
    <t>11/5/2003 4:10:23 PM</t>
  </si>
  <si>
    <t> i am having trouble finding books on the formation/origin of the andes mountains, please help.</t>
  </si>
  <si>
    <t>11/5/2003 4:48:34 PM</t>
  </si>
  <si>
    <t> I have been trying tract down review articles, abstracts, editorials, journal articles, peer-refereed letters, etc. on Dr. Gary Small, but have not have any success. I need his work in PDF format. I need all his work b/c I am working in NPI and need to c</t>
  </si>
  <si>
    <t>11/7/2003 3:15:58 PM</t>
  </si>
  <si>
    <t> Hello, I need to put articles in our End Note Libray. Is there anyway to check if an article has the 'end note down load' I saw one artile had this option once but I didn't know if this is a feature for all artilces. (forgive the typos ;)</t>
  </si>
  <si>
    <t>11/3/2003 3:55:12 PM</t>
  </si>
  <si>
    <t> how can i find information about how to do a bibliograph in mla style</t>
  </si>
  <si>
    <t>11/3/2003 7:08:16 PM</t>
  </si>
  <si>
    <t> There is an article from local newspaper the Daily Breeze that appeared on Saturday (Nov1st)that I would like to access online, but it is already in their archives, how can I access this through the UCLA library?</t>
  </si>
  <si>
    <t>11/4/2003 11:24:23 AM</t>
  </si>
  <si>
    <t> how do I find newspaper articles online? I am looking for articles on the aftermath of the US invasion of Haiti</t>
  </si>
  <si>
    <t>11/4/2003 2:35:38 PM</t>
  </si>
  <si>
    <t> how can i find: Armesto, J. &amp; Weisman, A. G.(2001). Parents reactions to the identity disclosure of a homosexual child. Family Process, 40, 145-161.</t>
  </si>
  <si>
    <t>11/4/2003 2:40:18 PM</t>
  </si>
  <si>
    <t> I am trying to find the Congressional Record for the 103rd Congress. I checked at JK11, and I only see the Congressional Record up through the 98th Congress. Any suggestions? Thanks.</t>
  </si>
  <si>
    <t>11/4/2003 4:00:21 PM</t>
  </si>
  <si>
    <t> articles concerning tattoos and gender</t>
  </si>
  <si>
    <t>11/4/2003 4:29:07 PM</t>
  </si>
  <si>
    <t> Hi!!! Im trying to request an article from CDL… its my first time. I already filled out my profile, but it keeps saything that I ran out of time or something like that… "The Influence of Developmental and Emotional Factors on Success in College", Kalsner</t>
  </si>
  <si>
    <t>11/4/2003 4:49:12 PM</t>
  </si>
  <si>
    <t> I'm trying to locate articles online, however, some are not posted online. Does that mean I have to go to the library or is there some web site that only has online articules available?</t>
  </si>
  <si>
    <t>11/5/2003 12:16:20 PM</t>
  </si>
  <si>
    <t> I have to do a paper on if public concerns justify private behaviorm and I don't know where to find sources for my paper</t>
  </si>
  <si>
    <t>11/5/2003 2:46:51 PM</t>
  </si>
  <si>
    <t> I am trying to find journal articles on Ecotourism and I can't find them in Orion 2 should I be using another search database?</t>
  </si>
  <si>
    <t>11/6/2003 11:04:27 AM</t>
  </si>
  <si>
    <t> Where can I find a list of all the journals that UCLA has at its libraries?</t>
  </si>
  <si>
    <t>11/3/2003 11:04:29 AM</t>
  </si>
  <si>
    <t> Hello, Is it possible to request a copy of someone's dissertation thru ILL? The name of the author is Urnieta, Luis and he's from Univ. of No. Carolina. Thank you</t>
  </si>
  <si>
    <t>11/3/2003 11:14:51 AM</t>
  </si>
  <si>
    <t> Hello. I am a Visiting Scholar with the English Dept. Working at home right now, and wish to access some journals via Project Muse (to which UCLA subscribes). Need Login and Password, however. Can you help? Thank you.</t>
  </si>
  <si>
    <t>11/3/2003 11:15:50 AM</t>
  </si>
  <si>
    <t> i cant access the article database: expanded academic: asap online</t>
  </si>
  <si>
    <t>11/3/2003 11:18:17 AM</t>
  </si>
  <si>
    <t> Are there any Bloomberg terminals on campus?</t>
  </si>
  <si>
    <t>11/3/2003 11:24:30 AM</t>
  </si>
  <si>
    <t> looking for the online version of the french worker by Mark Traugott, but the link takes me to a never-ending list of other links. How do I get what I need?</t>
  </si>
  <si>
    <t>11/3/2003 11:46:27 AM</t>
  </si>
  <si>
    <t> I need to use the philosopher's index and the world catalog ohio consortium. I know how to find these, but the computer asks for a password and id to access them. How do I get a password and id?</t>
  </si>
  <si>
    <t>11/3/2003 1:34:31 PM</t>
  </si>
  <si>
    <t> Hi there, I'm a graduate student at UCLA School of Public Health. I have a question if I can borrow text books from the Biomed Library while I'm taking a leave of absence.</t>
  </si>
  <si>
    <t>11/3/2003 4:24:15 PM</t>
  </si>
  <si>
    <t> i requested for a book to be searched at young library, i wanted to know if they found it.</t>
  </si>
  <si>
    <t>11/3/2003 5:20:55 PM</t>
  </si>
  <si>
    <t> Hello, I'm having trouble requesting "Numerical recipes example book (C ) / William T. Vetterling " from santa barbra and "Numerical recipes in C : the art of scientific computing / William H. Press " from santa cruz. Could you help? also, does this cost</t>
  </si>
  <si>
    <t>11/3/2003 6:17:38 PM</t>
  </si>
  <si>
    <t> I emailed myself articles from lexis nexis this afternoon, but the full articles did not come. I was wondering how I could get them without doing the entire search all over again.</t>
  </si>
  <si>
    <t>11/3/2003 7:02:29 PM</t>
  </si>
  <si>
    <t> How do I access digital copies of dissertations from UC Berkeley</t>
  </si>
  <si>
    <t>11/4/2003 2:27:53 PM</t>
  </si>
  <si>
    <t> Can I access online Journal resources from home.</t>
  </si>
  <si>
    <t>11/4/2003 2:29:44 PM</t>
  </si>
  <si>
    <t> I found a journal in the worldcat database it is titled "Intermedios" published in Mexico and only UT (Austin) has it. How do I request it? I tried to do it through the uc link and it didn't let me</t>
  </si>
  <si>
    <t>11/4/2003 3:12:15 PM</t>
  </si>
  <si>
    <t> What time does the government documents reading room open? Is it 7:30 like them main library office hours?</t>
  </si>
  <si>
    <t>11/4/2003 5:19:39 PM</t>
  </si>
  <si>
    <t> What user ID and password do we use when logging under an outside article source that UCLA subscribes to?</t>
  </si>
  <si>
    <t>11/5/2003 11:44:15 AM</t>
  </si>
  <si>
    <t> I found an article via Expanded Academic ASAP and want to know where i can find the whole article to read, not just the summary</t>
  </si>
  <si>
    <t>11/5/2003 2:01:10 PM</t>
  </si>
  <si>
    <t> how do a access the article from the uc e-link information?</t>
  </si>
  <si>
    <t>11/5/2003 4:19:40 PM</t>
  </si>
  <si>
    <t>I can't get into the expanded academic ASAP page to search, it says I need a password for CDL or something.</t>
  </si>
  <si>
    <t>11/5/2003 8:42:25 PM</t>
  </si>
  <si>
    <t> I'm having trouble accessing an article online. I am not familiar with the infotrac page that is asking for a password.</t>
  </si>
  <si>
    <t>11/5/2003 8:55:31 PM</t>
  </si>
  <si>
    <t>12/8/2003 2:31:10 PM</t>
  </si>
  <si>
    <t> I need to do a research paper focusing on three movies: 'Do The Right Thing' by Spike Lee, 'Bowling for Columbine' by Michael Moore and 'Requiem for a Dream' by Darren Aronofsky- talking about how their personal style makes more effective and informs (or</t>
  </si>
  <si>
    <t>12/8/2003 2:34:09 PM</t>
  </si>
  <si>
    <t> I'm working on a research Re: fabrication of semiconductors. Is the amount of publications available at the UCLA Engineering library comparable to the amount that is available at USC or CalTech?</t>
  </si>
  <si>
    <t>12/8/2003 2:59:51 PM</t>
  </si>
  <si>
    <t> Hi, it's Hana again, Can you compare these three libraries for me: CalTech, UCLA Engineering library and the Engineering Library at USC? Research re: fabrication of semicondutors</t>
  </si>
  <si>
    <t>12/9/2003 11:23:55 AM</t>
  </si>
  <si>
    <t> Hello. I am trying to retrieve these full articles from the web. The journal is called "Scientific American" and I am looking for these titles. They are all in the April 2001 issue. 1. Genetically modified foods:are they safe? Seeds of concern 2. The ris</t>
  </si>
  <si>
    <t>12/9/2003 1:09:31 PM</t>
  </si>
  <si>
    <t> I am looking for a top view map for Bolter Hall 3rd floor? Do you know where I can get it?</t>
  </si>
  <si>
    <t>12/9/2003 1:12:45 PM</t>
  </si>
  <si>
    <t> I'm wondering if I can purchase a copy of the following paper. I couldn't find it through the Web site, although it seems to list the book itself: Arthur Nadas, David Nahamoo, Michael A. Picheny, and Jeffrey Powell. 1991. An iterative flip-flop approxima</t>
  </si>
  <si>
    <t>12/10/2003 6:13:05 PM</t>
  </si>
  <si>
    <t> Hi -- I'm looking for an article from _Psychometrika Monograph Supplememt_ from 1967; it looks like the monographs the library's got only go back as far as 1969. Would this also be contained within the Psychometrika journal itself, or is the Monograph de</t>
  </si>
  <si>
    <t>12/11/2003 11:47:16 AM</t>
  </si>
  <si>
    <t> Hello, I am at the biomed library and I am trying to search for articles I can print right now about issues related to Autism. I mainly want to get articles that talk about the development of autism in the cognitive domain.</t>
  </si>
  <si>
    <t>12/11/2003 4:26:37 PM</t>
  </si>
  <si>
    <t> I am searching for an article in Inspec Ovid. If I want to search for a article with 3 terms in it keywords like photoluminescence, measurement, erbium. They can be in any order and don't have to be a phrase. When I type them in It seems to search them a</t>
  </si>
  <si>
    <t>12/12/2003 11:13:12 AM</t>
  </si>
  <si>
    <t> I'm trying to download the following reference from PubMed, and it says the full text is available, but then when I press on the link, it says that I don't have access to the article. Here's the reference: Psychiatry Res. 1998 Dec 14;84(2-3):75-88. Thank</t>
  </si>
  <si>
    <t>12/8/2003 2:27:27 PM</t>
  </si>
  <si>
    <t> Hello. Could you help me locate this article online -- Krebs, Valdis</t>
  </si>
  <si>
    <t>12/8/2003 5:19:14 PM</t>
  </si>
  <si>
    <t>  i am trying to find this article (Title Social network correlates among people with psychiatric disabilities. Source Psychiatric rehabilitation journal [1095-158X] Goldberg yr: 2003 vol: 26 iss: 4 pg: 393 ) but when i click UC LINKS, i am sent to the me</t>
  </si>
  <si>
    <t>12/8/2003 7:07:52 PM</t>
  </si>
  <si>
    <t> How do i find articles related to allen ginsberg and frank o'hara (poets from the period of 1930-1960) once i get the codes for the books?</t>
  </si>
  <si>
    <t>11/20/2003 7:08:22 PM</t>
  </si>
  <si>
    <t> How can I access the following: Health, Dec 1987 v19 n12 p8(2) The new prohibition. (smoking should be banned) (column) B.D. Colen.</t>
  </si>
  <si>
    <t>11/21/2003 11:21:30 AM</t>
  </si>
  <si>
    <t> where can i find this article: "sensitivity of the earth's radiation budget to changes in low clouds"</t>
  </si>
  <si>
    <t>11/17/2003 11:22:31 AM</t>
  </si>
  <si>
    <t> Hello, I'm trying to locate a Harvard Law Review article by Lani Guiner. I know the journal is an on-line journal only, but after that I'm stumped. thanks.</t>
  </si>
  <si>
    <t>11/17/2003 2:16:57 PM</t>
  </si>
  <si>
    <t> Does the library have: Who's Who in International Organizations 4th edition (2003)? thank you</t>
  </si>
  <si>
    <t>11/17/2003 4:53:07 PM</t>
  </si>
  <si>
    <t> Where could I find books on catholisism in Spanish if possible?</t>
  </si>
  <si>
    <t>11/17/2003 5:58:15 PM</t>
  </si>
  <si>
    <t> I am having a hard time finding sources about women being less qualified for employment (to refute my argument that they are not hired do to inequality)</t>
  </si>
  <si>
    <t>11/17/2003 6:50:26 PM</t>
  </si>
  <si>
    <t> I am wondering if you have the dec 1931 issue of the "journal of american folklore". And if so , can I come tonight to view it.</t>
  </si>
  <si>
    <t>11/18/2003 12:23:23 PM</t>
  </si>
  <si>
    <t> I am trying to find a book for one of my classes, Plutarch is the author, and it is titled Greek Lives</t>
  </si>
  <si>
    <t>11/18/2003 2:25:53 PM</t>
  </si>
  <si>
    <t> I'm researching articles online, but I don't know how to find out if the full text is available on the internet or if I have to get it from the library.</t>
  </si>
  <si>
    <t>11/18/2003 5:40:56 PM</t>
  </si>
  <si>
    <t> need help researching my topic: chinese people in los angeles in the early 1850s-1930s</t>
  </si>
  <si>
    <t>11/18/2003 6:25:59 PM</t>
  </si>
  <si>
    <t> I am looking for something called JStor. I'm not sure how this is spelled. But it's supposed to have journal articles, and it may be linked to the American Journal of Archaeology.</t>
  </si>
  <si>
    <t>11/19/2003 1:17:31 PM</t>
  </si>
  <si>
    <t> What was the 1st sports car to be designed and built in the U.S. and when?</t>
  </si>
  <si>
    <t>11/19/2003 3:20:36 PM</t>
  </si>
  <si>
    <t> I want to access the full text of an article from a journal called World Archaeology, which was part of the v34i3. How do I do this, without subscribing to the journal?</t>
  </si>
  <si>
    <t>11/19/2003 3:30:19 PM</t>
  </si>
  <si>
    <t> Do you think I could find enough information on the Black Plague to write a 5 page paper? Or would you recommend another topic from the Middle Ages or the Renaissance? Or do you think that topic is too broad?</t>
  </si>
  <si>
    <t>11/19/2003 4:02:43 PM</t>
  </si>
  <si>
    <t> I am trying to access an article in its full text from a journal called World Archaeology. It was published in 2003 and can be found in v34i3, however I can only access up to volume 31. How can I access this article?</t>
  </si>
  <si>
    <t>11/19/2003 4:35:06 PM</t>
  </si>
  <si>
    <t> Hi, I am doing a paper on regulating private behavior and I have to include sources, so I am trying to find articles but I am so lost because I don't even know how to find them!</t>
  </si>
  <si>
    <t>11/19/2003 5:27:57 PM</t>
  </si>
  <si>
    <t> I'm looking for information about multi-purpose school sites, or creative land use in school sites, but am not finding any info. Help</t>
  </si>
  <si>
    <t>11/19/2003 7:25:03 PM</t>
  </si>
  <si>
    <t> how can i find statistics on unemployment rates of african americans and whites, and income levels for african americans and whites?</t>
  </si>
  <si>
    <t>11/19/2003 8:17:11 PM</t>
  </si>
  <si>
    <t> While visiting the New York Times database, I searched for an article about "homosexual* in Mexico" I received one hit. Yet, I'm unable to see the entire article! I can only get an abstract article summary. Is there a way where I can view the entire arti</t>
  </si>
  <si>
    <t>11/20/2003 11:15:39 AM</t>
  </si>
  <si>
    <t> i need to find books on single-sexed education. what keywords should i use?</t>
  </si>
  <si>
    <t>11/20/2003 11:54:13 AM</t>
  </si>
  <si>
    <t> Where can I find academic journals on North Korea and Regional stability on the library website?</t>
  </si>
  <si>
    <t>11/20/2003 2:38:15 PM</t>
  </si>
  <si>
    <t xml:space="preserve"> I am researching this issue, "Inequality against Latinos in education", and wanted some help on how to find information about this in Lexis-Nexis</t>
  </si>
  <si>
    <t>11/20/2003 3:13:08 PM</t>
  </si>
  <si>
    <t xml:space="preserve"> I'm conducting research for my sociology class.</t>
  </si>
  <si>
    <t>11/20/2003 3:46:02 PM</t>
  </si>
  <si>
    <t> i am trying to do research on gender and status and applying that to a contemporary american society. where would i look?</t>
  </si>
  <si>
    <t>11/21/2003 11:25:19 AM</t>
  </si>
  <si>
    <t> Are the General Plans for citites within Los Angeles County available at the library or as part of the online reference collection? Specifically I am looking for Hermosa beach.</t>
  </si>
  <si>
    <t>11/21/2003 11:29:40 AM</t>
  </si>
  <si>
    <t> i'm looking for articles to use as research for my education 180 paper on "college students involvement in organizations/activites, and why college students get involved. where can i access articles from home (i already have the proxy set up)? thanks a b</t>
  </si>
  <si>
    <t>11/21/2003 12:19:51 PM</t>
  </si>
  <si>
    <t> Hi, I am trying to look up the etymology along with the year that the word 'force' was first recorded as being used in English literature. I am using the OED, but I am not sure what all the abbreviations mean.</t>
  </si>
  <si>
    <t>11/21/2003 4:42:31 PM</t>
  </si>
  <si>
    <t> i need help on topics in discuss in my paper about illegal immigration!</t>
  </si>
  <si>
    <t>11/17/2003 11:04:48 AM</t>
  </si>
  <si>
    <t> Dear Librarian, i am trying to get hold of the following book: "Det ideale hjem : matriarkatet i nutiden" by Poul Behrendt og Henrik Pontoppidan from 1986. I can find it neither at Melvyl nor Orion2. My question is, is it possible to request an interlibr</t>
  </si>
  <si>
    <t>11/17/2003 12:52:08 PM</t>
  </si>
  <si>
    <t> where is the college library circulation desk located?</t>
  </si>
  <si>
    <t>11/17/2003 2:49:46 PM</t>
  </si>
  <si>
    <t> through out my search i came up with a UC-eLinks. what is this and when i click on this a window actually pups up stating for requesting the article but when i request the article it seems that only some call numbers is emailed to me. What can i do to vi</t>
  </si>
  <si>
    <t>11/17/2003 2:51:49 PM</t>
  </si>
  <si>
    <t> I wanted to access ERIC off campus because I am sick and cannot come to campus. Is there any way to do this, it's imperative that I access it. Thank you.</t>
  </si>
  <si>
    <t>11/17/2003 3:14:18 PM</t>
  </si>
  <si>
    <t> if a journal is said to be ONLINE how do i retrieve it?</t>
  </si>
  <si>
    <t>11/17/2003 4:39:02 PM</t>
  </si>
  <si>
    <t> hi, what is my password where it says Please enter your library ID, barcode, or other ID..my bruin id doesnt work</t>
  </si>
  <si>
    <t>11/17/2003 4:43:50 PM</t>
  </si>
  <si>
    <t> Can you access the BIOSIS via OVID at home?</t>
  </si>
  <si>
    <t>11/17/2003 4:44:09 PM</t>
  </si>
  <si>
    <t> Hello. Just a quick question: I'm having trouble understanding what all the little numbers and symbols listed in the title display are. For example, in this entry: Mitchell Malcolm S: [Ed]. Biological approaches to cancer treatment: Biomodulation. [Book]</t>
  </si>
  <si>
    <t>11/17/2003 4:48:41 PM</t>
  </si>
  <si>
    <t> hello!im trying to search for articles from my home computer. i have already downloaded the site, but i forgot my password. how can I obtain this?</t>
  </si>
  <si>
    <t>11/17/2003 4:58:39 PM</t>
  </si>
  <si>
    <t> I have a journal article and I would like to know how to find out what other papers have cited the one I have. Can you please tell me how to do this? Thanks!</t>
  </si>
  <si>
    <t>11/17/2003 6:19:21 PM</t>
  </si>
  <si>
    <t> How do you set up the server on a home personal computer so that you can access the databases from home?</t>
  </si>
  <si>
    <t>11/17/2003 7:01:29 PM</t>
  </si>
  <si>
    <t> I am trying to request the following: The New York Times, July 25, 2003 pB1 col 01 (18 col in) What About The Right To Be Stupid? (Metropolitan Desk)(NYC)(smokers bemoan loss of right to smoke in NYC bars and restaurants) Clyde Haberman. but am unable to</t>
  </si>
  <si>
    <t>11/17/2003 8:34:40 PM</t>
  </si>
  <si>
    <t> I've done a search on the article database, now how do I find the articles if I have the accession number in the YRL?</t>
  </si>
  <si>
    <t>11/18/2003 12:03:47 PM</t>
  </si>
  <si>
    <t> I cannot sign in from my home computer. I am using internet explorer. I want to sign into OVID and I am entering my BOL account info, but a screen pops up that says incorrect password/blocked ID</t>
  </si>
  <si>
    <t>11/18/2003 1:10:04 PM</t>
  </si>
  <si>
    <t> Where can I find Infotrack?</t>
  </si>
  <si>
    <t>11/18/2003 3:43:19 PM</t>
  </si>
  <si>
    <t> How do I sign into the Gale network? It says I need a library id.</t>
  </si>
  <si>
    <t>11/18/2003 5:31:38 PM</t>
  </si>
  <si>
    <t> I know that this might not relate to finding a book, but I lost a book of mines in the library, how can I know if is still there or something? is there a lost and found?</t>
  </si>
  <si>
    <t>11/18/2003 5:41:35 PM</t>
  </si>
  <si>
    <t> Until what time can books on reserve be checked out?</t>
  </si>
  <si>
    <t>11/18/2003 5:57:40 PM</t>
  </si>
  <si>
    <t> After I search for articles and I get the results, a list of articles, how do i view the entire article?</t>
  </si>
  <si>
    <t>11/18/2003 7:04:42 PM</t>
  </si>
  <si>
    <t> i have a book on one day reserve and its due at 11p...can i renew it online or by phone because i still want to use it</t>
  </si>
  <si>
    <t>11/19/2003 12:58:12 PM</t>
  </si>
  <si>
    <t> How would I go about looking up someone's Master's Thesis written at UCLA in 1989?</t>
  </si>
  <si>
    <t>11/19/2003 1:01:10 PM</t>
  </si>
  <si>
    <t> What will be the law library's hours during December?</t>
  </si>
  <si>
    <t>11/19/2003 2:45:34 PM</t>
  </si>
  <si>
    <t> I am unable to print full text articles even though I have the full text option</t>
  </si>
  <si>
    <t>11/19/2003 3:15:43 PM</t>
  </si>
  <si>
    <t> I am trying to find the location of any black walnut trees on-campus. Is there an online source I can use- I can't find any...</t>
  </si>
  <si>
    <t>11/19/2003 3:45:52 PM</t>
  </si>
  <si>
    <t> How do I search for article subjects within a specific academic journal like "Critical Inquiry"?</t>
  </si>
  <si>
    <t>11/19/2003 4:42:14 PM</t>
  </si>
  <si>
    <t> May i renew a book I owe online?</t>
  </si>
  <si>
    <t>11/19/2003 5:02:54 PM</t>
  </si>
  <si>
    <t> How do I access an article that is from a journal? I tried the request buttom on Melvyl, but it says I cannot access it.</t>
  </si>
  <si>
    <t>11/19/2003 7:15:23 PM</t>
  </si>
  <si>
    <t> I would like to research through the university databases at home. can you tell me how to configure my computer to do so?</t>
  </si>
  <si>
    <t>11/20/2003 11:03:50 AM</t>
  </si>
  <si>
    <t> what does urlstax-stax stax mean?</t>
  </si>
  <si>
    <t>11/20/2003 11:32:47 AM</t>
  </si>
  <si>
    <t> I am assuming that my laptop is configured properly with ucla as my proxy server, but my search for a full text article thru "ASAP" is unsuccesful. I do not get any pop up asking me for my bol info, my cache is cleared and so I dont know what the problem</t>
  </si>
  <si>
    <t>11/20/2003 1:07:16 PM</t>
  </si>
  <si>
    <t> Does your library have used book carts for sale; if so, could you direct me to whom I should speak to and/or e-mail? Please advise.</t>
  </si>
  <si>
    <t>11/20/2003 4:15:06 PM</t>
  </si>
  <si>
    <t> Hi!! During a library tour for my GE cluster, the librarian gave us a uc rate devit card for copying. I was wondering if I can also use that card to pay for printing - say from the computer lab in Powell. Thanks so much!</t>
  </si>
  <si>
    <t>11/20/2003 6:43:09 PM</t>
  </si>
  <si>
    <t> How do I access the Article Database from outside of campus?</t>
  </si>
  <si>
    <t>11/20/2003 6:58:37 PM</t>
  </si>
  <si>
    <t> Hello, what password do I use to access the Literature Resource Center?</t>
  </si>
  <si>
    <t>11/20/2003 8:44:43 PM</t>
  </si>
  <si>
    <t> Hi, How do I access the Literature resource Center? through BOL?</t>
  </si>
  <si>
    <t>11/21/2003 12:59:34 PM</t>
  </si>
  <si>
    <t> I found an article online, but how can I access it?</t>
  </si>
  <si>
    <t>11/21/2003 2:02:12 PM</t>
  </si>
  <si>
    <t> I have a question about the powell media lab, and i don't know if i can ask it here</t>
  </si>
  <si>
    <t>11/21/2003 2:34:19 PM</t>
  </si>
  <si>
    <t> When I try accessing the article databases at home, a screen appears asking for an ID or password.. what do I type in?</t>
  </si>
  <si>
    <t>This week: table tents in dorms</t>
  </si>
  <si>
    <t>Holiday: 11/11 (Veteran's Day)</t>
  </si>
  <si>
    <t xml:space="preserve"> As an alumnus and a card-carrying member of the alumni association, do I have the right to access Proquest's historical newspaper database from my home computer via UCLA, and, if so, how do I do it?</t>
  </si>
  <si>
    <t>10/29/2003 11:32:20 AM</t>
  </si>
  <si>
    <t> i can't get my proxy server to work</t>
  </si>
  <si>
    <t>10/29/2003 1:59:33 PM</t>
  </si>
  <si>
    <t> I'm on the UCLA library website, but whenever i try to access the articles that say the full texts are available online, I wind up at the same page over and over again telling me that there's an error. what do i do?</t>
  </si>
  <si>
    <t>10/29/2003 2:32:21 PM</t>
  </si>
  <si>
    <t> I'm trying to access restricted websites thru the proxy server; when i click on a link i get a Server Not Found page. (Iwas able to get in on my other (XP) computer; this one is 2000.)</t>
  </si>
  <si>
    <t>10/29/2003 2:36:29 PM</t>
  </si>
  <si>
    <t> Hello, I was looking for the following document (HQ1430.B4 S8) and it wasn't in the Chicano Studies Library Stacks. I requested it thru interlibrary loan BUT would like to know if it could be in UCLA archives (it's 1977)? (Riverside library's copy is ove</t>
  </si>
  <si>
    <t>10/29/2003 4:46:56 PM</t>
  </si>
  <si>
    <t> How do I find educational journal articles that can be accessed online? Specifically, that relate to education and social class. I am having a really difficult time searching for these articles. Thanks :)</t>
  </si>
  <si>
    <t>10/29/2003 7:10:20 PM</t>
  </si>
  <si>
    <t> how do i find a journal article that is not available online, but is available here at UCLA. how do i go about finding it?</t>
  </si>
  <si>
    <t>10/29/2003 7:57:40 PM</t>
  </si>
  <si>
    <t> How can I ILL a book that none of the UCs have (I found it on Worldcat/CDL)? Do I have to go to the library in person, or can I do it online? There doesn't appear to be a way to do it online.</t>
  </si>
  <si>
    <t>10/20/2003 1:30:54 PM</t>
  </si>
  <si>
    <t> I heard from my class that one of the eReserve midterms for professor Malkin's Astro 2a (or 3) has the answer key, could u please help me find it?</t>
  </si>
  <si>
    <t>10/20/2003 4:31:14 PM</t>
  </si>
  <si>
    <t>Hi, I've requested multiple articles, by interlibrary loan, from a journal called "Ferroelectrics". It's been some time since I put in those requests. How can I find out what happened with my requests?</t>
  </si>
  <si>
    <t>10/20/2003 4:54:52 PM</t>
  </si>
  <si>
    <t> I just visited BioMed and wanted to access the website with SEL resouces. But there is a password prompt</t>
  </si>
  <si>
    <t>10/20/2003 4:58:32 PM</t>
  </si>
  <si>
    <t> one of my classes does not show up on the e-campus list of my registered classes. i checked on myucla and on ursa and it shows up there. i have paid my registration fees and am not on the wait list for the class. my classmate can view that class on e-cam</t>
  </si>
  <si>
    <t>10/20/2003 8:00:11 PM</t>
  </si>
  <si>
    <t>10/28/2003 11:49:13 AM</t>
  </si>
  <si>
    <t> I am in search of aerial photographs for the City of Bakersfield, Kern County. Does the Research Library have coverage of this area and if so, can I review them today? If not, do you know of another Department/Library which I can review historical aerial</t>
  </si>
  <si>
    <t>10/30/2003 7:24:03 PM</t>
  </si>
  <si>
    <t> I,am doing a peper in Art histor. I need the imformation. About my suject which is epigonos dying gaul</t>
  </si>
  <si>
    <t>10/27/2003 12:43:51 PM</t>
  </si>
  <si>
    <t> Do you know the web site for the Journal of Psychooncology? - I could not find it listed on Orion 2 and could not find it with a web search. Thank you.</t>
  </si>
  <si>
    <t>10/27/2003 5:12:20 PM</t>
  </si>
  <si>
    <t> I am looking for a book that was in the library last week, but now I can't find it on Orion.</t>
  </si>
  <si>
    <t>10/29/2003 2:30:47 PM</t>
  </si>
  <si>
    <t> How can I find out where the following article has been published: "High Grade Carcinoma of the Prostate: A Comparison of Current Local Therapies" by Tri M. Do, M.D., Robert G. Parker, M.D., Cong M. Do, M.S., and Robert Smith, M.D.?</t>
  </si>
  <si>
    <t>10/29/2003 2:36:09 PM</t>
  </si>
  <si>
    <t> This article shows we have it but when I request it on line, the publishers sayus we do not have access. Any advice&lt; Eur J Paediatr Neurol. 1999;3(6):245-53. Related Articles, Links Eur J Paediatr Neurol. 1999;3(6):245-53. Menkes disease and Wilson disea</t>
  </si>
  <si>
    <t>10/30/2003 6:13:53 PM</t>
  </si>
  <si>
    <t> What's the website that has the scientific journals database? I'm doing research on "telemores" and "telemerase", it's for molecular biology.</t>
  </si>
  <si>
    <t>10/27/2003 11:46:44 AM</t>
  </si>
  <si>
    <t> I would like to locate a video tape of the eulogy given at Royce Hall for Albert Einstein by Ernst Straus on May 22, 1955. Do you have any suggestions how I could do this? Kind Regards, Cyrus</t>
  </si>
  <si>
    <t>10/27/2003 1:30:58 PM</t>
  </si>
  <si>
    <t> Hi, i was wondering if the following article is available in here in the UCLA library. Title The Home and the School in the Educational Achievements of South Asians Source Race, ethnicity and education [1361-3324] Abbas yr: 2002 vol: 5 iss: 3 pg: 291</t>
  </si>
  <si>
    <t>10/27/2003 2:30:43 PM</t>
  </si>
  <si>
    <t> how to write a sociology research paper</t>
  </si>
  <si>
    <t>10/27/2003 6:44:33 PM</t>
  </si>
  <si>
    <t> i am doing a research paper and i am having problems finding impact on tvs advertising on teens</t>
  </si>
  <si>
    <t>10/28/2003 2:09:29 PM</t>
  </si>
  <si>
    <t> I am a student of Kaplan doing research for a paper topic, paganism in America, I am looking for scholerly sources showing chrisitan views on paganism</t>
  </si>
  <si>
    <t>10/28/2003 3:31:47 PM</t>
  </si>
  <si>
    <t> I am searching for material that was published before 1980. is it possible to search for these articles on Expanded Academic ASAP?</t>
  </si>
  <si>
    <t>10/28/2003 4:44:31 PM</t>
  </si>
  <si>
    <t> I am writing a research paper for the first time in my sociology 1 class. My topic is Gender and Race Ethnicity. Gender socialization varies considerably across different ethnic, racial, and national groups. Using relevant sociological literature, explor</t>
  </si>
  <si>
    <t>10/28/2003 4:53:28 PM</t>
  </si>
  <si>
    <t> i was wondering if you could help me find books or articles on how men are willing to do everything for women in the beginning of relationships and then stop and an expect the women to do everything</t>
  </si>
  <si>
    <t>10/29/2003 7:14:24 PM</t>
  </si>
  <si>
    <t> I'm having trouble looking up resources for my research paper. I'm exploring the differences between gender development between Chinese-American and American children through the family.</t>
  </si>
  <si>
    <t>10/29/2003 7:38:12 PM</t>
  </si>
  <si>
    <t> I need help w/ my paper</t>
  </si>
  <si>
    <t>10/30/2003 1:37:48 PM</t>
  </si>
  <si>
    <t> Where would I be able to find and use a cd-rom article database called "Egyptological Bibliography"</t>
  </si>
  <si>
    <t>10/30/2003 2:22:32 PM</t>
  </si>
  <si>
    <t> I need helping finding an online article</t>
  </si>
  <si>
    <t>10/30/2003 3:34:06 PM</t>
  </si>
  <si>
    <t> I need to do a research paper in regards to education and latinos...can u help me? I need help on finding sources</t>
  </si>
  <si>
    <t>10/30/2003 3:45:57 PM</t>
  </si>
  <si>
    <t> Hello, my name is Rachael and i am an 8th grader at Kastner intermediate in Freson CA. I am doing a history project on scientific crime scene investigatoin. Its how doctors always have a way on who found out who did the crime. That is what im reasearchin</t>
  </si>
  <si>
    <t>10/30/2003 5:01:12 PM</t>
  </si>
  <si>
    <t xml:space="preserve"> I'm trying to get articles for a research paper about women in prison.</t>
  </si>
  <si>
    <t>10/30/2003 5:09:20 PM</t>
  </si>
  <si>
    <t> i was having trouble finding journal and article source on my research paper topic which is gener socialization in american culture, arab culture and inner city societies</t>
  </si>
  <si>
    <t>10/30/2003 5:09:39 PM</t>
  </si>
  <si>
    <t xml:space="preserve"> I am trying to do research for a sociology 1 paper and I'm having trouble looking up information on the representation of women in the media.</t>
  </si>
  <si>
    <t>10/31/2003 2:01:20 PM</t>
  </si>
  <si>
    <t> Where can I search for books about family and education?</t>
  </si>
  <si>
    <t>10/31/2003 3:54:06 PM</t>
  </si>
  <si>
    <t> I need help finding articles relating to socialization, gender, and family roles</t>
  </si>
  <si>
    <t>10/31/2003 4:09:44 PM</t>
  </si>
  <si>
    <t> I have been searching through article databases and I can't find any specific articles relating to my topic: socialization, gender, and family</t>
  </si>
  <si>
    <t>10/27/2003 11:28:23 AM</t>
  </si>
  <si>
    <t> i have never written a research paper before. Once I find information about articles online, what info do I need to bring to the library to find these articles?</t>
  </si>
  <si>
    <t>10/27/2003 11:36:07 AM</t>
  </si>
  <si>
    <t> I am searching for back copies of the Denver Post and Rocky Mountain News. I am looking for 4 specific dates, June 11, 1940, May 29, 1963, January 13, 1992 and July 4, 2000. Do you have copies of these papers on microfilm? If so as a non UC student/emplo</t>
  </si>
  <si>
    <t>10/27/2003 12:13:53 PM</t>
  </si>
  <si>
    <t> I need a PDF copy of an article that I found on the database, Web of Science. It says that the full text is available to me through Expanded Academic ASAP, but when I click on this link, it says that it does not recognize me as having access to the artic</t>
  </si>
  <si>
    <t>10/27/2003 12:57:17 PM</t>
  </si>
  <si>
    <t> Is there an archived midterm examination for GE60A? The class was not offered for 2002, but is back on the catalog again.</t>
  </si>
  <si>
    <t>10/27/2003 1:07:55 PM</t>
  </si>
  <si>
    <t> I've placed a number of ILL requests, but I never wrote down what articles I was requesting. Is there any way I can get a list of the requests that are still pending?</t>
  </si>
  <si>
    <t>10/27/2003 1:12:08 PM</t>
  </si>
  <si>
    <t> Hi, I'm trying to help Dr. Robert Schwarcz (UCLA fellow) with some of his research, and I would like to know what code I can use to access some of the online journals</t>
  </si>
  <si>
    <t>10/27/2003 1:32:35 PM</t>
  </si>
  <si>
    <t> i'm doing a research paper and i don't know how to retrieve the articles once i find them. THey say they are availabe online but i can't find them</t>
  </si>
  <si>
    <t>10/27/2003 3:05:47 PM</t>
  </si>
  <si>
    <t> I am looking for this book. It says it is SRLF. I am not sure what does that mean?</t>
  </si>
  <si>
    <t>10/27/2003 7:14:18 PM</t>
  </si>
  <si>
    <t> Hi... I was trying to log on the library search engine from home. How do I log on?</t>
  </si>
  <si>
    <t>10/27/2003 7:47:15 PM</t>
  </si>
  <si>
    <t> I want to watch a video that is listed as being in the Media Library Stacks, but I can't figure out if undergraduate students are just allowed to come watch it. The film is Heimat, by Edgar Reitz, and it is in something like 13 parts. I need to watch the</t>
  </si>
  <si>
    <t>10/28/2003 11:10:22 AM</t>
  </si>
  <si>
    <t> How do I find and print the full journal article off on Pychinfo??</t>
  </si>
  <si>
    <t>10/28/2003 11:18:09 AM</t>
  </si>
  <si>
    <t> Hi -- a professor I'm working for wants me to do a "citation analysis" on his name(which he explained as getting a count on how many times a person's work has been cited in other peoples' articles. He said to go to "Online Materials" on the main page, an</t>
  </si>
  <si>
    <t>10/28/2003 12:38:36 PM</t>
  </si>
  <si>
    <t> How do I actually get the articles that i want from the eric database</t>
  </si>
  <si>
    <t>10/28/2003 1:23:37 PM</t>
  </si>
  <si>
    <t> In the Expanded Academic ASAP search program, what does the term "abstract" mean as opposed to "full-text"?</t>
  </si>
  <si>
    <t>10/28/2003 4:44:37 PM</t>
  </si>
  <si>
    <t> i have been trying to renew my checked out items online, but i'm unable to. i am doing research for a particular paper from my undergraduate class. how can i turn in these materials without accrewing an overdue fine? thank you for your time.</t>
  </si>
  <si>
    <t>10/28/2003 7:52:44 PM</t>
  </si>
  <si>
    <t> For a Winter 04 graduate seminar I would like to obtain an obscure periodical called The Dallasite (published 1929-30 in Dallas TX). The Union List of Serials has only one library, the New York Public Library, holding this weekly. (A 1966 UCLA dissertati</t>
  </si>
  <si>
    <t>11/13/2003 5:37:24 PM</t>
  </si>
  <si>
    <t> is orion express the service i use if i want to get a book delivered from another library? if so, how do I sign up and how long does it take?</t>
  </si>
  <si>
    <t>11/13/2003 6:33:01 PM</t>
  </si>
  <si>
    <t> I'm unable to find the journal: Journal of American statistical association.. Any suggestions to find it?</t>
  </si>
  <si>
    <t>11/14/2003 11:20:25 AM</t>
  </si>
  <si>
    <t> Are you aware of a program called Luna Insight? I know UCLA bought a license for its use and I downloaded it but it wants an authentication to activate. Do you know how to get that?</t>
  </si>
  <si>
    <t>11/14/2003 12:13:29 PM</t>
  </si>
  <si>
    <t> I work at a small non-profit information center and I am researching Virtual Reference Desk software packages. I was hoping you could answer a few very general questions about the package you use at UCLA. It should only take about 5 minutes. Is this ok?</t>
  </si>
  <si>
    <t>11/14/2003 1:20:44 PM</t>
  </si>
  <si>
    <t> My professor apparently put some required readings on reserve, how can I access these?</t>
  </si>
  <si>
    <t>11/14/2003 1:29:21 PM</t>
  </si>
  <si>
    <t> i need to find magazine articles from the 20's 30's and 40's</t>
  </si>
  <si>
    <t>11/14/2003 2:21:58 PM</t>
  </si>
  <si>
    <t> where are the yrl stacks?</t>
  </si>
  <si>
    <t>11/14/2003 4:14:19 PM</t>
  </si>
  <si>
    <t> Do you have old phone books (yellow pages)? Esp. LA or other California locations going back about 10 years?</t>
  </si>
  <si>
    <t>11/14/2003 4:17:04 PM</t>
  </si>
  <si>
    <t xml:space="preserve"> I have a question about obtaining an ISBN number for a book to be self published.</t>
  </si>
  <si>
    <t>11/14/2003 4:17:37 PM</t>
  </si>
  <si>
    <t> I returned a book 2 days ago. Why is it listed as checked out on my account?</t>
  </si>
  <si>
    <t> I desperately need to access UCLA databases, but when i follow the BOL instructions to connect by the proxy server, i still cannot access them</t>
  </si>
  <si>
    <t>10/28/2003 7:57:34 PM</t>
  </si>
  <si>
    <t>11/26/2003 1:24:36 PM</t>
  </si>
  <si>
    <t>How can I find information on all of your architectural magazines without having to go to the campus in person?</t>
  </si>
  <si>
    <t>11/24/2003 8:22:11 PM</t>
  </si>
  <si>
    <t> I need infromation about how the economy affects the sports apparel industry? Do you know where can I search?</t>
  </si>
  <si>
    <t>11/24/2003 12:02:00 PM</t>
  </si>
  <si>
    <t> I'm looking for information, preferrably a book, about penguins, namely little penguins or Eudyptula minor for a biogeography class. I've already looked through the life sciences databases and journals etc. but nothing is turning up at all.</t>
  </si>
  <si>
    <t>11/24/2003 12:56:25 PM</t>
  </si>
  <si>
    <t>I am looking for Journal of Software Maintenance: Research and Practice volume 15</t>
  </si>
  <si>
    <t>11/24/2003 2:04:45 PM</t>
  </si>
  <si>
    <t> How do you show your selected entries on PubMed search?</t>
  </si>
  <si>
    <t>11/24/2003 3:30:03 PM</t>
  </si>
  <si>
    <t> I am looking for medical journals, and published articles on child abuse; emotional particularly. American Psych. Association</t>
  </si>
  <si>
    <t>11/25/2003 11:37:34 AM</t>
  </si>
  <si>
    <t> Why can't I get any results by searching INSPECT with "blood pressure, correlation dimension". However, I know there is at leat one article that should have been found.</t>
  </si>
  <si>
    <t>11/26/2003 4:23:29 PM</t>
  </si>
  <si>
    <t>Hello, I am looking for a textbook about sound perception.</t>
  </si>
  <si>
    <t>11/26/2003 6:09:10 PM</t>
  </si>
  <si>
    <t> i am so frustrated! I have been trying for days to find articles pertaining to the topic I need and I am not having any luck</t>
  </si>
  <si>
    <t>11/24/2003 3:43:25 PM</t>
  </si>
  <si>
    <t> Need helping locating 6 journal articles. Thanks!</t>
  </si>
  <si>
    <t>11/24/2003 7:35:15 PM</t>
  </si>
  <si>
    <t> Hi.I am trying to find the "at birth" sex ratio for Saudi Arabia in 1950.</t>
  </si>
  <si>
    <t>11/25/2003 12:39:10 PM</t>
  </si>
  <si>
    <t> Why when I search "Nazi" in orion does nothing come up?</t>
  </si>
  <si>
    <t>11/25/2003 2:30:59 PM</t>
  </si>
  <si>
    <t> I need to find info about United States' "Star Wars" antimissile defense system.</t>
  </si>
  <si>
    <t>11/25/2003 4:43:18 PM</t>
  </si>
  <si>
    <t> Hey, I am doing a paper for my english comp 3 class, and I am trying to look for articles for my topic my topic is "Are attitudes toward behavior responsible for poverty? I just need some help on where to find information relating to my paper.</t>
  </si>
  <si>
    <t>11/26/2003 11:11:14 AM</t>
  </si>
  <si>
    <t> I wanted to know how I find an academic resource on children in the holocaust</t>
  </si>
  <si>
    <t>11/26/2003 12:15:32 PM</t>
  </si>
  <si>
    <t> I am looking for a database specifically complied measurements and scales for social scientific research, but have been unsuccessful with finding it. Could you tell me the title of such database if UCLA has one?</t>
  </si>
  <si>
    <t>11/24/2003 11:10:23 AM</t>
  </si>
  <si>
    <t> can i or how do i get access to InfoTrac</t>
  </si>
  <si>
    <t>11/24/2003 2:29:23 PM</t>
  </si>
  <si>
    <t> When does the multimedia lab in Powell library close today?</t>
  </si>
  <si>
    <t>11/24/2003 4:52:12 PM</t>
  </si>
  <si>
    <t> is it possible to view and print online journals from the catalogue...?</t>
  </si>
  <si>
    <t>11/24/2003 5:01:04 PM</t>
  </si>
  <si>
    <t> how do you sign onto lexusnexus search engine?</t>
  </si>
  <si>
    <t>11/24/2003 5:07:21 PM</t>
  </si>
  <si>
    <t> i want to use the Expanded Academic ASAP under the YRL Ref and Instructional Services under Online Materials. It asks me for a library or other ID. What should I input?</t>
  </si>
  <si>
    <t>11/24/2003 5:19:58 PM</t>
  </si>
  <si>
    <t> for all the search engines i try to use they ask for an ID and password, but i don't have one and it doesn't say how to get one i.e lexus nexus and ovid</t>
  </si>
  <si>
    <t>11/24/2003 5:25:24 PM</t>
  </si>
  <si>
    <t> how can i access lexis-nexus from the ucla library online web site?</t>
  </si>
  <si>
    <t>11/24/2003 5:42:51 PM</t>
  </si>
  <si>
    <t> where is W1 SP471 stack? and also W1 A0671? journal articles</t>
  </si>
  <si>
    <t>10/29/2003 8:06:00 PM</t>
  </si>
  <si>
    <t> How do i search for books when i dont know the title or author and its not working when i type in keywords</t>
  </si>
  <si>
    <t>10/30/2003 11:50:22 AM</t>
  </si>
  <si>
    <t> can i access the expanded academic asap from home since it asking for a password</t>
  </si>
  <si>
    <t>10/30/2003 3:36:03 PM</t>
  </si>
  <si>
    <t> How do I reserve a book?</t>
  </si>
  <si>
    <t>10/30/2003 5:21:13 PM</t>
  </si>
  <si>
    <t> where do i get the full text for this? http://oh1.csa.com/htbin/ids63/procskel.cgi</t>
  </si>
  <si>
    <t>10/31/2003 3:01:40 PM</t>
  </si>
  <si>
    <t> When I try to search Expanded Academic ASAP, it asks me for my library password... I dont know what that is.</t>
  </si>
  <si>
    <t> how do i access LexisNexis from my home computer?</t>
  </si>
  <si>
    <t>10/20/2003 8:21:43 PM</t>
  </si>
  <si>
    <t> I can't get the proxy server to work even though I have ie 6.0 sp1</t>
  </si>
  <si>
    <t>10/21/2003 11:08:04 AM</t>
  </si>
  <si>
    <t> I am on medical staff at NPI. I do not yet have an academic faculty appointment and thus a 9 digit uc #. the application is in process. My question: how can I access psychinfo database from home through ucla</t>
  </si>
  <si>
    <t>10/21/2003 12:32:29 PM</t>
  </si>
  <si>
    <t> Could you give me the link to WorldCat, I cannot locate it on the library's web site.</t>
  </si>
  <si>
    <t>10/21/2003 12:55:26 PM</t>
  </si>
  <si>
    <t> Is there a way to recommend a book for purchase by the library?</t>
  </si>
  <si>
    <t>10/21/2003 1:08:56 PM</t>
  </si>
  <si>
    <t> Is it possible for the library to purchase a book?</t>
  </si>
  <si>
    <t>10/21/2003 3:00:48 PM</t>
  </si>
  <si>
    <t> How would I search the manuscript holdings of UCLA or the UCs?</t>
  </si>
  <si>
    <t>10/21/2003 3:26:36 PM</t>
  </si>
  <si>
    <t> How do i know which library to look for for an article online</t>
  </si>
  <si>
    <t>10/21/2003 4:06:42 PM</t>
  </si>
  <si>
    <t xml:space="preserve"> I tried to get the online version for the journal Annual review of Nuclear and Particle Sciences. I have clicked the online accsess link on the UCLA record found on Orion. But it says acsess to this article requires an individual or institutional subscr</t>
  </si>
  <si>
    <t>10/21/2003 4:16:09 PM</t>
  </si>
  <si>
    <t> I have checked out this book that I am unable to renew through ORION2 online. It has no restriction and is not recalled by anyone else: Ocular pathology /, Yanoff, Myron. 10/26/2003 Please help. Thanks!</t>
  </si>
  <si>
    <t>10/21/2003 4:38:05 PM</t>
  </si>
  <si>
    <t> I wanted to get an article from online version of "Annual review of nuclear and particle sciences" journal. I'm connecting from out of campus, but I set the bol proxy server on my internet browser. Still it doesn't give me access. Can you help me on that</t>
  </si>
  <si>
    <t>10/21/2003 5:23:41 PM</t>
  </si>
  <si>
    <t> If I find a book in the stacks that I want to check out, where do I go to check it out?</t>
  </si>
  <si>
    <t>10/21/2003 7:58:31 PM</t>
  </si>
  <si>
    <t> How do I register for Orion Express and what exactly is it--are materials delivered to one location (which would be a godsend)?</t>
  </si>
  <si>
    <t>10/21/2003 8:56:56 PM</t>
  </si>
  <si>
    <t> Hi I Lost my Degree. Could you tel me how could i obtauin copies? I am in Australia</t>
  </si>
  <si>
    <t>10/22/2003 12:37:02 PM</t>
  </si>
  <si>
    <t> my search results said "1-Day Reserve" next to the title.. does that mean i can only check out this book for one day?</t>
  </si>
  <si>
    <t>10/22/2003 12:38:25 PM</t>
  </si>
  <si>
    <t>Is it true that I can only use the interlibrary loan only if the UCLA library doesn't carry the book?</t>
  </si>
  <si>
    <t>10/22/2003 12:51:06 PM</t>
  </si>
  <si>
    <t> If the Melvyl Catalog says a book is not checked out, but I can't find it on the shelves, what should I do?</t>
  </si>
  <si>
    <t>10/22/2003 8:53:27 PM</t>
  </si>
  <si>
    <t> I was wondering how to register for Orion.</t>
  </si>
  <si>
    <t>10/23/2003 12:58:23 PM</t>
  </si>
  <si>
    <t> From home, is it possible to access downloadable online articles?</t>
  </si>
  <si>
    <t>10/23/2003 6:02:56 PM</t>
  </si>
  <si>
    <t> Am I able to utilize UCLA's library even though I'm not a student?</t>
  </si>
  <si>
    <t>10/23/2003 6:40:57 PM</t>
  </si>
  <si>
    <t> what are the hours for the multimedia center?</t>
  </si>
  <si>
    <t>10/24/2003 12:13:18 PM</t>
  </si>
  <si>
    <t> I AM TRYING TO GET INTO THE EXPANDED ACADEMIC ASAP DATABASE, BUT IT KEEPS ON SAYING THAT MY PASSWORD IS INVALID. WHAT DO I NEED TO TYPE IN?</t>
  </si>
  <si>
    <t>10/24/2003 12:39:26 PM</t>
  </si>
  <si>
    <t> exactly when can does all info updated not need to be updated?</t>
  </si>
  <si>
    <t>10/24/2003 3:48:59 PM</t>
  </si>
  <si>
    <t>  am looking for " the internet behind the web" from the hidtory chanel, modern marvels. what's the link o how can i acces it</t>
  </si>
  <si>
    <t>10/24/2003 4:13:17 PM</t>
  </si>
  <si>
    <t> I was curious what the maximum number of items I am allowed to have checked out if I am a UC Alumni Association member with a UCLA library card.</t>
  </si>
  <si>
    <t>10/24/2003 4:25:50 PM</t>
  </si>
  <si>
    <t> While looking up some journals they say that they are available online however their online status is only listed under UC Berkley. Are they not accessible from UCLA? For example, Child Welfare 2003</t>
  </si>
  <si>
    <t>Digital Reference Statistics</t>
  </si>
  <si>
    <t>Calls serviced</t>
  </si>
  <si>
    <t>Mode: most often occuring length (min)</t>
  </si>
  <si>
    <t>Last updated:</t>
  </si>
  <si>
    <t>Median call length (min)</t>
  </si>
  <si>
    <t>Average calls per hour</t>
  </si>
  <si>
    <t>Total time open (hours)</t>
  </si>
  <si>
    <t>Mean call length (min)</t>
  </si>
  <si>
    <t>Spring 2001</t>
  </si>
  <si>
    <t>Summer 2001</t>
  </si>
  <si>
    <t>Fall 2001</t>
  </si>
  <si>
    <t>Winter 2002</t>
  </si>
  <si>
    <t>Spring 2002</t>
  </si>
  <si>
    <t>Summer 2002</t>
  </si>
  <si>
    <t>Fall 2002</t>
  </si>
  <si>
    <t>Winter 2003</t>
  </si>
  <si>
    <t>Spring 2003</t>
  </si>
  <si>
    <t>Summer 2003</t>
  </si>
  <si>
    <t>Week</t>
  </si>
  <si>
    <t>Mon</t>
  </si>
  <si>
    <t>Tues</t>
  </si>
  <si>
    <t>Wed</t>
  </si>
  <si>
    <t>Thurs</t>
  </si>
  <si>
    <t>Fri</t>
  </si>
  <si>
    <t>Notes</t>
  </si>
  <si>
    <t>Total</t>
  </si>
  <si>
    <t>Average</t>
  </si>
  <si>
    <t>11a-12p</t>
  </si>
  <si>
    <t>12p-1p</t>
  </si>
  <si>
    <t>1p-2p</t>
  </si>
  <si>
    <t>2p-3p</t>
  </si>
  <si>
    <t>3p-4p</t>
  </si>
  <si>
    <t>4p-5p</t>
  </si>
  <si>
    <t>5p-6p</t>
  </si>
  <si>
    <t>6p-7p</t>
  </si>
  <si>
    <t>Main</t>
  </si>
  <si>
    <t>Biomed</t>
  </si>
  <si>
    <t>College</t>
  </si>
  <si>
    <t>SEL</t>
  </si>
  <si>
    <t>YRL</t>
  </si>
  <si>
    <t>Music</t>
  </si>
  <si>
    <t>CDL</t>
  </si>
  <si>
    <t>Orion2</t>
  </si>
  <si>
    <t>Calls</t>
  </si>
  <si>
    <t>Percentage</t>
  </si>
  <si>
    <t>Undergrad</t>
  </si>
  <si>
    <t>Graduate</t>
  </si>
  <si>
    <t>Staff</t>
  </si>
  <si>
    <t>Faculty</t>
  </si>
  <si>
    <t>Other UC</t>
  </si>
  <si>
    <t>Non-UC</t>
  </si>
  <si>
    <t>Unknown</t>
  </si>
  <si>
    <t>Arts / Music</t>
  </si>
  <si>
    <t>Business</t>
  </si>
  <si>
    <t>Biomed / Science</t>
  </si>
  <si>
    <t>Humanities / Social Science</t>
  </si>
  <si>
    <t>Library / Technical</t>
  </si>
  <si>
    <t>Completed</t>
  </si>
  <si>
    <t>Disconnected, continued later</t>
  </si>
  <si>
    <t>Disconnected, not continued</t>
  </si>
  <si>
    <t>No librarian logged on</t>
  </si>
  <si>
    <t>Transcript</t>
  </si>
  <si>
    <t>Time of call</t>
  </si>
  <si>
    <t>Weekday</t>
  </si>
  <si>
    <t>Length</t>
  </si>
  <si>
    <t>Subject</t>
  </si>
  <si>
    <t>Question</t>
  </si>
  <si>
    <t>Hours: M-Th 11-9, F 11-5</t>
  </si>
  <si>
    <t>Fall Quarter 2003 (9/29 - 12/12)</t>
  </si>
  <si>
    <t>Fall 2003</t>
  </si>
  <si>
    <t>9/29-10/3</t>
  </si>
  <si>
    <t>10/6-10/10</t>
  </si>
  <si>
    <t>10/13-10/17</t>
  </si>
  <si>
    <t>10/20-10/24</t>
  </si>
  <si>
    <t>10/27-10/31</t>
  </si>
  <si>
    <t>11/3-11/7</t>
  </si>
  <si>
    <t>11/10-11/14</t>
  </si>
  <si>
    <t>11/17-11/21</t>
  </si>
  <si>
    <t>11/24-11/28</t>
  </si>
  <si>
    <t>12/1-12/5</t>
  </si>
  <si>
    <t>12/8-12/12</t>
  </si>
  <si>
    <t>9/29-12/12</t>
  </si>
  <si>
    <t>7p-8p</t>
  </si>
  <si>
    <t>8p-9p</t>
  </si>
  <si>
    <t>* Note: this page tracks individual calls (a single transaction can span several calls)</t>
  </si>
  <si>
    <t>9/29/2003 11:14:54 AM</t>
  </si>
  <si>
    <t>Arts/Music</t>
  </si>
  <si>
    <t> Until what time can I check-out reference material in the Powell Library</t>
  </si>
  <si>
    <t>11/24/2003 7:13:53 PM</t>
  </si>
  <si>
    <t> Can you please push me to the expanded search asap site, I can't find it. Thanks!</t>
  </si>
  <si>
    <t>11/24/2003 7:14:40 PM</t>
  </si>
  <si>
    <t> Once i get to ucla's orion library and i find the book that i want how do i read the articles? I added my selected records to my list but then what do i do?</t>
  </si>
  <si>
    <t>11/24/2003 7:25:19 PM</t>
  </si>
  <si>
    <t>I want to know where we can check out books to read for leisure.</t>
  </si>
  <si>
    <t>11/24/2003 7:31:03 PM</t>
  </si>
  <si>
    <t> If you look up articles through expanded academic ASAP, is there a way to view the complete article without haveing to check out the book or go into the library to find it?</t>
  </si>
  <si>
    <t>11/25/2003 11:54:39 AM</t>
  </si>
  <si>
    <t> How can I reserve a book on-line? Where can I pick up? The book is: "Applied Business Correspondence" by Herbert Watson, LC control # 22016135, database control # 07-AMV-0410.</t>
  </si>
  <si>
    <t>11/25/2003 12:04:14 PM</t>
  </si>
  <si>
    <t> If I refer a patron to your service, will they be chatting with a professional librarian or a non-professional staff member?</t>
  </si>
  <si>
    <t>11/25/2003 12:22:35 PM</t>
  </si>
  <si>
    <t> Does any library at UCLA have books on tape/CD? I'm just looking for something to keep me entertained on the long drive home for turkey.</t>
  </si>
  <si>
    <t>11/25/2003 12:30:56 PM</t>
  </si>
  <si>
    <t> Hi, i was wondering if there were copies of the Theatre Journal?</t>
  </si>
  <si>
    <t>11/25/2003 12:54:22 PM</t>
  </si>
  <si>
    <t> Reserving books for my Winter JS175 class</t>
  </si>
  <si>
    <t>11/25/2003 1:34:06 PM</t>
  </si>
  <si>
    <t> I was wondering if it is possible to access the UCLA online libraries (like the expanded academic asap databases) from home during this Thanksgiving break.</t>
  </si>
  <si>
    <t>11/25/2003 1:58:38 PM</t>
  </si>
  <si>
    <t> I have been trying to connect to soc abstracts using the elink and it says there is an error on page and won't open it?? what should I do??</t>
  </si>
  <si>
    <t>11/25/2003 4:10:20 PM</t>
  </si>
  <si>
    <t> A book that I'm using for research just got recalled. Unfortunately I am in the middle of my paper and still definitely need it. All other copies are checked out until next quarter and I have to finish this by finals. Is there anything I can do?</t>
  </si>
  <si>
    <t>11/25/2003 4:12:26 PM</t>
  </si>
  <si>
    <t> I located a book at the SRLF. It is a 1200 two volume collection of papers edited by the US Air Force in 1950. The index is very poor and I was wondering if there is a service at UCLA where I could get the books scanned in order that I might search for c</t>
  </si>
  <si>
    <t>11/25/2003 5:51:28 PM</t>
  </si>
  <si>
    <t> Hi! I forgot my password to my ovid account. Is this our BOL account and our SID number? Thanks</t>
  </si>
  <si>
    <t>11/25/2003 6:56:19 PM</t>
  </si>
  <si>
    <t> I tried to log on to the ASAP database from my home and when i put in my ID # and the number on the back of my ID card...it still wouldnt let me in..what do I do?</t>
  </si>
  <si>
    <t>11/25/2003 7:37:15 PM</t>
  </si>
  <si>
    <t> Can high school students use the UCLA databases</t>
  </si>
  <si>
    <t>11/25/2003 8:50:59 PM</t>
  </si>
  <si>
    <t> where can i read the articles in the melvyl catelogue?</t>
  </si>
  <si>
    <t>11/25/2003 8:52:16 PM</t>
  </si>
  <si>
    <t>I was wondering how late can you check out books</t>
  </si>
  <si>
    <t>11/26/2003 11:35:21 AM</t>
  </si>
  <si>
    <t> i am looking for newspaper articles out of China from approximately 1870 to 1911. The Huntington Library said that UCLA would be my best bet.</t>
  </si>
  <si>
    <t>11/26/2003 12:05:36 PM</t>
  </si>
  <si>
    <t> I left my disk in one of the computers at YRL how do I get it</t>
  </si>
  <si>
    <t>11/26/2003 2:25:21 PM</t>
  </si>
  <si>
    <t> I am trying to do some research for a management class using lexis nexis and was wondering if someone could guide me in the right direction as to where to find it...?</t>
  </si>
  <si>
    <t>11/26/2003 4:11:10 PM</t>
  </si>
  <si>
    <t> When searching the article database, how do we pull up the full text of an article.</t>
  </si>
  <si>
    <t>11/26/2003 4:39:36 PM</t>
  </si>
  <si>
    <t> If there any campus library that I can borrow some classical movies?</t>
  </si>
  <si>
    <t>Holiday: 11/27-28 (Thanksgiving)</t>
  </si>
  <si>
    <t>10/8/2003 4:48:08 PM</t>
  </si>
  <si>
    <t> I am trying to access Lexis-Nexis from home and am not able to log on. I believe I have my proxy server set up properly and am wondering if it is a problem with my password. Do you know how I can confirm my log-in information? Thanks Amy</t>
  </si>
  <si>
    <t>10/8/2003 5:37:05 PM</t>
  </si>
  <si>
    <t> I want to ask how can I get to the "Expand Academic" and "ASAP" database from the www.library.ucla.edu</t>
  </si>
  <si>
    <t>10/8/2003 5:51:16 PM</t>
  </si>
  <si>
    <t> I cannot seem to access the entire articles I find using ERIC. I'm using a proxy server thru bol. I can find them and email the basic info, but how do I get the full text article??? Thanks</t>
  </si>
  <si>
    <t>10/8/2003 6:21:36 PM</t>
  </si>
  <si>
    <t> why can't I renew any of my books</t>
  </si>
  <si>
    <t>10/8/2003 8:26:00 PM</t>
  </si>
  <si>
    <t> Can I order a new book through UCLA and then check it out?</t>
  </si>
  <si>
    <t>10/9/2003 11:23:24 AM</t>
  </si>
  <si>
    <t> i was just in a meeting at humanities and there was a link to this.i wondered if it worked</t>
  </si>
  <si>
    <t>10/9/2003 11:50:57 AM</t>
  </si>
  <si>
    <t> I'm teaching at Loyola Marymount this Fall, on leave from UCLA--how can I check out books to continue work on my dissertation?</t>
  </si>
  <si>
    <t>10/9/2003 12:02:26 PM</t>
  </si>
  <si>
    <t> how can i find out the status of requested journal articles? where do i retrieve the list i compiled?</t>
  </si>
  <si>
    <t>10/9/2003 12:15:52 PM</t>
  </si>
  <si>
    <t> Hi, I work in the Faculty New Media Center and I just got a call from one faculty wanting to get instructions on how to use CDL databank of images. Is that something that UCLA library would provide or assist with? Thanks!</t>
  </si>
  <si>
    <t>10/9/2003 1:18:00 PM</t>
  </si>
  <si>
    <t> I have a call number for a book I would like to check out. Where would I find this book?</t>
  </si>
  <si>
    <t>10/9/2003 3:15:18 PM</t>
  </si>
  <si>
    <t> Does expanded academic library (ASAP) or another search engine ISI need to be accessed at UCLA? Also, are all of the articles on those searches full text?</t>
  </si>
  <si>
    <t>10/9/2003 3:30:44 PM</t>
  </si>
  <si>
    <t> Can I dial up to the Bol modem pool without it costing a lot of money from a long distance number?</t>
  </si>
  <si>
    <t>10/9/2003 7:36:28 PM</t>
  </si>
  <si>
    <t> I'm trying to request a book on ILL, and Melvyl won't let me because it says UCLA owns the book. Well, UCLA owns the book, but whoever has it has had it since 1994. And I can't recall it. (Like it would ever be brought back here.) Is there some way you c</t>
  </si>
  <si>
    <t>10/10/2003 12:57:23 PM</t>
  </si>
  <si>
    <t>11/12/2003 11:45:35 AM</t>
  </si>
  <si>
    <t> There's a quarterly journal called "Clips" in the Arts library - N74.338 is the call#. One of my attorneys wants to borrow issues from 1980-1982, but from the Orion display, it doesn't look like you have that far back. Can you confirm this, or let me kno</t>
  </si>
  <si>
    <t>11/12/2003 4:44:31 PM</t>
  </si>
  <si>
    <t> Where could I found the films, "Bend it Like Beckham" and "Real Women Have Curves?"</t>
  </si>
  <si>
    <t>11/14/2003 1:09:16 PM</t>
  </si>
  <si>
    <t> can i check out movies? If so where can I find them?</t>
  </si>
  <si>
    <t>11/10/2003 11:45:50 AM</t>
  </si>
  <si>
    <t> In order to view a videocasette in the biomedical library, do I have to reserve viewing space?</t>
  </si>
  <si>
    <t>11/12/2003 2:22:48 PM</t>
  </si>
  <si>
    <t> I am searching an article about Fundamental attribution error(FAE), but more specificly about gender of essay on the FAE. Can you help me?</t>
  </si>
  <si>
    <t>11/12/2003 3:04:08 PM</t>
  </si>
  <si>
    <t> What is ScienceDirect online?</t>
  </si>
  <si>
    <t>11/12/2003 3:37:07 PM</t>
  </si>
  <si>
    <t> I am trying to search things from the biomed link and i can't find books about my search topic. Please help</t>
  </si>
  <si>
    <t>11/12/2003 4:25:31 PM</t>
  </si>
  <si>
    <t> I am trying to look up call numbers of specific psychology jounal articles. I tryed using Melvyl and Orien 2, but I couldn&amp;acute;t find the articles in either. What is the easiest way to look up the psychology jounal articles?</t>
  </si>
  <si>
    <t>11/12/2003 7:26:39 PM</t>
  </si>
  <si>
    <t> I was trying to find an article tited "Isolation and characterization of microsatellite loci in the Komodo dragon Varanus komodoensis" in Molecular Biology but it results in Error. How to i reach thje article online??</t>
  </si>
  <si>
    <t>11/13/2003 5:31:57 PM</t>
  </si>
  <si>
    <t> I am looking for an article in the J. Molecular Neuroscience vol 20(3), a special issue on Alzheimer's -- Editors are Howard Fillit and L. reffolo.</t>
  </si>
  <si>
    <t>11/13/2003 6:32:55 PM</t>
  </si>
  <si>
    <t> what is the web address to pubmed (this is a search engine for medical aspects)</t>
  </si>
  <si>
    <t>11/14/2003 4:43:12 PM</t>
  </si>
  <si>
    <t> I need help looking for journal Ann Neurol. 2003 Aug; 54(2):235-8 titled " Increased Alzheimer pathology in Parkinson's disease related to antimuscarinic drugs" by Pery EK, Kilford L, Lees AJ, Burn DJ, Perry RH</t>
  </si>
  <si>
    <t>11/10/2003 12:50:48 PM</t>
  </si>
  <si>
    <t> What is the online finding aid that will allow me to search for archives containing materials related to a certain topic or author?</t>
  </si>
  <si>
    <t>11/12/2003 3:39:58 PM</t>
  </si>
  <si>
    <t> where would i find books or articles on athletes and the academic process?</t>
  </si>
  <si>
    <t>11/12/2003 5:41:54 PM</t>
  </si>
  <si>
    <t> Where can i find information (preferably online) about D-Q University and its ties with chicano culture?</t>
  </si>
  <si>
    <t>11/13/2003 6:57:00 PM</t>
  </si>
  <si>
    <t> How can i find a recent case study on how discrimination has affected job opportunities on African Americans?</t>
  </si>
  <si>
    <t>11/14/2003 12:49:14 PM</t>
  </si>
  <si>
    <t> I'm trying to search the MLA database but I'm uncertain as to how to enter the information I want. I'm researching "Sor Juana de la Cruz" and the topic of hybridity and monstruosity with relation to race in her writing.</t>
  </si>
  <si>
    <t>11/14/2003 1:20:18 PM</t>
  </si>
  <si>
    <t> Hello. I want to know which is the best electronic database to research articles for education (ex: eric, etc.)</t>
  </si>
  <si>
    <t>11/14/2003 4:31:44 PM</t>
  </si>
  <si>
    <t> Where can I see the Library of Congress Subject Headings (LCSH) online? On LC homepage it is restricted to subscription. Thank you.</t>
  </si>
  <si>
    <t>11/10/2003 11:39:20 AM</t>
  </si>
  <si>
    <t> how do I get to info track, and what username/password?</t>
  </si>
  <si>
    <t>11/10/2003 12:01:50 PM</t>
  </si>
  <si>
    <t> How do I logg into Infotrac? It says enter ID and I have no clue what it is.</t>
  </si>
  <si>
    <t>11/10/2003 1:24:19 PM</t>
  </si>
  <si>
    <t> What is my library card number for use in interlibrary loan. My old card # was 2 1158 00330 3857</t>
  </si>
  <si>
    <t>11/10/2003 5:13:55 PM</t>
  </si>
  <si>
    <t> in melvyl it says the article i am looking for is available online at ucla, but all i can find is the abstract. where do i go to find the actual article?</t>
  </si>
  <si>
    <t>11/10/2003 6:37:57 PM</t>
  </si>
  <si>
    <t> I'm doing research for a documentary film. Part of the court record lists a newspaper article from 1979, 1980 or 1981, probably from the LA Times, on Daniel Robert Sprouse or Robert Daniel Sprouse. Is it possible to get the Times index information from y</t>
  </si>
  <si>
    <t>11/10/2003 6:39:59 PM</t>
  </si>
  <si>
    <t> Is the circulation desk (reserve) open tomorrow on Veteran's Day?</t>
  </si>
  <si>
    <t>11/10/2003 6:44:35 PM</t>
  </si>
  <si>
    <t> I'm sorry-trouble with my browser. The on-line index for the Times only goes to 1985. Can someone look it up in the physical index so I can look it up on microfiche here at UMSL?</t>
  </si>
  <si>
    <t>11/10/2003 7:02:52 PM</t>
  </si>
  <si>
    <t> I live off campus and cannot access the databases on the library website, I need some kind of library ID. How do I obtain this?</t>
  </si>
  <si>
    <t>11/10/2003 7:24:35 PM</t>
  </si>
  <si>
    <t> Is it possible to view orion articles from my computer?</t>
  </si>
  <si>
    <t>11/10/2003 8:41:13 PM</t>
  </si>
  <si>
    <t> I am a reporter with the Daily Bruin. I wanted to talk to someone about the negotiations with Elsevier...</t>
  </si>
  <si>
    <t>11/10/2003 8:46:10 PM</t>
  </si>
  <si>
    <t> if there is a dissertation i want from another school how do i request it?</t>
  </si>
  <si>
    <t>11/12/2003 12:06:22 PM</t>
  </si>
  <si>
    <t> Is it possible for me to obtain a dissertation from your library stacks?</t>
  </si>
  <si>
    <t>11/12/2003 2:53:37 PM</t>
  </si>
  <si>
    <t> how do I print an article from pysch info if i am in the a psych computer lab?</t>
  </si>
  <si>
    <t>11/12/2003 3:42:02 PM</t>
  </si>
  <si>
    <t> i found an article i want to read on the article database. it's in YRL but I can't understand the call number. how do i find the article? and can i photocopy it when i find it?</t>
  </si>
  <si>
    <t>11/12/2003 5:57:06 PM</t>
  </si>
  <si>
    <t> where do i find the sel engeneering and math sci. collection? i'm looking for this call # qc981.8.c5c5125 1995</t>
  </si>
  <si>
    <t>11/12/2003 7:40:07 PM</t>
  </si>
  <si>
    <t> can you help me to find the information i need to set up the proxy server to BOL?</t>
  </si>
  <si>
    <t>11/12/2003 7:46:41 PM</t>
  </si>
  <si>
    <t> i am looking for an article published in loyola university law journal...does ucla carry this journal?</t>
  </si>
  <si>
    <t>11/13/2003 11:32:42 AM</t>
  </si>
  <si>
    <t> Hello, I'm not sure how to check out a dissertation. Could you tell me how I can go about doing this? Thanks!</t>
  </si>
  <si>
    <t>11/13/2003 11:35:20 AM</t>
  </si>
  <si>
    <t> I would like to make a slide copy of a archived picture(S)from the NYT and possibly another newspaper...</t>
  </si>
  <si>
    <t>11/13/2003 12:38:20 PM</t>
  </si>
  <si>
    <t> I am conducting a history ORAL history this afternoon and require a cassette voice recorder. Is it possible to borrow one from the library?</t>
  </si>
  <si>
    <t>11/13/2003 2:27:05 PM</t>
  </si>
  <si>
    <t> I need to print a document from my lap top. I am in the library</t>
  </si>
  <si>
    <t>11/13/2003 2:57:57 PM</t>
  </si>
  <si>
    <t> I was able to access some articles online yesterday when I was on campus. Today I'm unable to access the same articles from my home using my proxy server. I am able to logon and access most services through the proxy server, but one site (Haworth press)</t>
  </si>
  <si>
    <t>10/10/2003 1:29:36 PM</t>
  </si>
  <si>
    <t> hello, i'm using Biosis (ovid). After looking at my search results, I checked marked the ones i'm interested in. How can I get the screen to display only the ones I've checkmarked?</t>
  </si>
  <si>
    <t>10/10/2003 2:28:20 PM</t>
  </si>
  <si>
    <t>Are articles from the NY Review of Books available online?</t>
  </si>
  <si>
    <t>Referred / In Process</t>
  </si>
  <si>
    <t>10/14/2003 4:07:42 PM</t>
  </si>
  <si>
    <t> Where are the books that pertain to film, specifically the silent film era?</t>
  </si>
  <si>
    <t>10/15/2003 2:38:12 PM</t>
  </si>
  <si>
    <t> I'm looking for a copy of the SCORE for the Khatchaturian flute concerto. I was told that UCLA doesn't own it, but that CSU Fresno and CSU Hayward do. But I can't find it through WorldCat or any other search engine. Can you help me to find the reference,</t>
  </si>
  <si>
    <t>10/16/2003 12:12:14 PM</t>
  </si>
  <si>
    <t>Do you have books on animal photography?</t>
  </si>
  <si>
    <t>10/16/2003 2:25:19 PM</t>
  </si>
  <si>
    <t> I am looking for instructional videos that teach European folk dance. How can I find it?</t>
  </si>
  <si>
    <t>10/16/2003 6:02:44 PM</t>
  </si>
  <si>
    <t xml:space="preserve"> Hi - I'm trying to get some information about a videotape that UCLA has in its library. It's a taping of a 1971 television show called "Serendipity." I was actually on one episode of the show and I am trying to find out any and all information about it. </t>
  </si>
  <si>
    <t>10/17/2003 12:02:52 PM</t>
  </si>
  <si>
    <t>I am looking for any kind of information for architect Schindler, Rudolph Michael.</t>
  </si>
  <si>
    <t>10/16/2003 4:25:41 PM</t>
  </si>
  <si>
    <t> How do i get to see the actual article instead of just an abstract</t>
  </si>
  <si>
    <t>10/14/2003 12:14:07 PM</t>
  </si>
  <si>
    <t> Could you please help me finding an article from Canadian Family Physician(journal) Authors: Brown KB, Brett P. I do not have the name of the article but deals with family involvement in patient's medical care. I tried unsuccessfully for the last hour. T</t>
  </si>
  <si>
    <t>10/14/2003 1:50:07 PM</t>
  </si>
  <si>
    <t>11/19/2003 2:35:18 PM</t>
  </si>
  <si>
    <t xml:space="preserve"> The subject of a piece in the Hammer Museum's 1993(?) exhibit entitled Black Male : Representations of Masculinity in Contemporary American Art, he delivered himself to freedom in a shipping crate. What is his name and the name of the artist who created </t>
  </si>
  <si>
    <t>11/17/2003 7:16:40 PM</t>
  </si>
  <si>
    <t> i'm having a hard time finding resources supporting the idea that there is racial equality in jobs</t>
  </si>
  <si>
    <t>11/20/2003 5:00:19 PM</t>
  </si>
  <si>
    <t> Where can I find information which describe how the economy affects the sports apparel industry in the U.S and specially in California?</t>
  </si>
  <si>
    <t>11/17/2003 5:00:40 PM</t>
  </si>
  <si>
    <t> I'm having trouble finding articles related to my term paper topic for GE 70A. My topic is causes of the ice age. I'm also looking for a list of the names of the ice ages, I think that might help me search. Thanks</t>
  </si>
  <si>
    <t>11/17/2003 5:19:28 PM</t>
  </si>
  <si>
    <t> Do you have past articles of USA Today? "Doctor Seeks Answer to Curiousity"</t>
  </si>
  <si>
    <t>10/14/2003 3:01:28 PM</t>
  </si>
  <si>
    <t> Hi, I'm looking for cites of an article. Sadly, it's from 1961, and the online reference I could find that did reverse cites didn't go back that far. Are there offline resources that go back "all the way" to 1961?</t>
  </si>
  <si>
    <t>10/14/2003 6:31:03 PM</t>
  </si>
  <si>
    <t> I'm using psycINFO to find jounral articles. Where can I actually go and find the article in the library?</t>
  </si>
  <si>
    <t>10/16/2003 11:33:01 AM</t>
  </si>
  <si>
    <t> Why should I not drink unpasteurized apple cider?</t>
  </si>
  <si>
    <t>10/16/2003 12:34:13 PM</t>
  </si>
  <si>
    <t> I'm looking for archealogical information about carbon 14 dating, how would I perform a search and find a book and/or article?</t>
  </si>
  <si>
    <t>10/16/2003 3:41:20 PM</t>
  </si>
  <si>
    <t> Hi, Over the past few days, I have been both trying from a proxy server and Powell to locate a journal on Archaeologic site preservation. I am having no luck.</t>
  </si>
  <si>
    <t>10/17/2003 4:37:13 PM</t>
  </si>
  <si>
    <t> I am trying to locate all the ASTM Committee E-50 publication on Environmental Assessment</t>
  </si>
  <si>
    <t>10/14/2003 3:28:25 PM</t>
  </si>
  <si>
    <t> how do i do a bibliographic search on a professor?</t>
  </si>
  <si>
    <t>10/14/2003 6:16:22 PM</t>
  </si>
  <si>
    <t> can a librarian help me find articles on who gets more tattoos male or females?</t>
  </si>
  <si>
    <t>10/15/2003 1:52:17 PM</t>
  </si>
  <si>
    <t> I am trying to find information of when harvard univ and the univeristy of chicago became research institutions. What databases would you suggest?</t>
  </si>
  <si>
    <t>10/15/2003 3:50:09 PM</t>
  </si>
  <si>
    <t> I am having a hard time finding a journal about smoking and income or smoking &amp; parents education.</t>
  </si>
  <si>
    <t>10/16/2003 12:19:48 PM</t>
  </si>
  <si>
    <t> I need scholarly articles on blacks in commercials and blacks in sports.</t>
  </si>
  <si>
    <t>10/16/2003 5:11:24 PM</t>
  </si>
  <si>
    <t> I'm having trouble finding an article about the following: how australia came to be populated, and it needs to include some evidence, like fossils, dna, etc</t>
  </si>
  <si>
    <t>10/13/2003 11:24:33 AM</t>
  </si>
  <si>
    <t> How do I request a book missing from YRL from ILL?</t>
  </si>
  <si>
    <t>10/13/2003 11:37:07 AM</t>
  </si>
  <si>
    <t> Can UC students request books from CalState libraries?</t>
  </si>
  <si>
    <t>10/13/2003 11:39:26 AM</t>
  </si>
  <si>
    <t>Would I be able to come in and read journal articles free of charge and photocopy what I needed, or would I have to pay a fee / get a library card?</t>
  </si>
  <si>
    <t>10/13/2003 12:56:00 PM</t>
  </si>
  <si>
    <t> How do I get to the UC-enhanced Pub Med website?</t>
  </si>
  <si>
    <t>10/13/2003 2:32:10 PM</t>
  </si>
  <si>
    <t> 1.what's the library account? 2. I want to borrow one book from Chicago Uni.. What should i do?</t>
  </si>
  <si>
    <t>10/13/2003 3:19:02 PM</t>
  </si>
  <si>
    <t> I am having trouble accessing the digital Scientific American site. I need to get an article for a paper which is due next Monday.</t>
  </si>
  <si>
    <t>10/13/2003 3:21:44 PM</t>
  </si>
  <si>
    <t> There is a book I want to check out and the location is "UES library main reading room." Where is that?</t>
  </si>
  <si>
    <t>10/13/2003 4:31:24 PM</t>
  </si>
  <si>
    <t> How can I find the book if I already know the call number?</t>
  </si>
  <si>
    <t>10/13/2003 5:21:24 PM</t>
  </si>
  <si>
    <t> when you look into MELVYL and it tells you that the article is an "internet source", how can you retreive that article? when I click onto "internet source", it shows a copyright screen</t>
  </si>
  <si>
    <t>10/13/2003 5:37:13 PM</t>
  </si>
  <si>
    <t> How do I register for Orion express?</t>
  </si>
  <si>
    <t>10/13/2003 5:47:46 PM</t>
  </si>
  <si>
    <t> What do I get registered for Orion Express?</t>
  </si>
  <si>
    <t>10/13/2003 6:27:28 PM</t>
  </si>
  <si>
    <t>12/2/2003 5:00:41 PM</t>
  </si>
  <si>
    <t> I would like to find some articles on the movie Shrek. Something more than simple movie reviews.</t>
  </si>
  <si>
    <t>12/3/2003 11:49:38 AM</t>
  </si>
  <si>
    <t> Im looking for a story from a CBS evening news broadcast in 1972.</t>
  </si>
  <si>
    <t>12/4/2003 11:37:56 AM</t>
  </si>
  <si>
    <t xml:space="preserve"> I am searching for images, specifically drawings, of Van Helsing and other "vampire slayers" (not Buffy), as well as images of the "first vampire" named Lilith, who was a woman. I'm having a very hard time with this research and am wondering what images </t>
  </si>
  <si>
    <t>12/5/2003 2:55:24 PM</t>
  </si>
  <si>
    <t> How has windsor castle influenced other buildings?</t>
  </si>
  <si>
    <t>12/1/2003 11:58:08 AM</t>
  </si>
  <si>
    <t xml:space="preserve"> My group is going to be investigating the prevalence of highlighting physical appearances in television programs geared toward teenagers. Each member needs to have 3 to 4 references related to this topic and I have no clue how to begin to work.</t>
  </si>
  <si>
    <t>12/2/2003 11:40:32 AM</t>
  </si>
  <si>
    <t> Hello. I am trying to find several books that deals with issues of gentically engineered horomones or some type of horomones that are put into the growth of foods (fruits and vegetables for faster growth/and for looks. And same issues for the chickens an</t>
  </si>
  <si>
    <t>12/2/2003 12:17:24 PM</t>
  </si>
  <si>
    <t> How to get a digital paper (.PDF) of a IEEE conference?</t>
  </si>
  <si>
    <t>12/2/2003 3:28:01 PM</t>
  </si>
  <si>
    <t> I would like to get a pdf file of a journal article that is at biomed library but the publish. co would like an acct #. Is there a way to do this through the library?</t>
  </si>
  <si>
    <t>12/2/2003 3:42:54 PM</t>
  </si>
  <si>
    <t xml:space="preserve"> I have a journal article that I want to find online in Acta Veterinaria Hungarica</t>
  </si>
  <si>
    <t>12/2/2003 5:08:55 PM</t>
  </si>
  <si>
    <t> I have four articles that I need asap. can you help</t>
  </si>
  <si>
    <t>12/2/2003 6:35:42 PM</t>
  </si>
  <si>
    <t> I am doing a report on the Monarch Butterfly. I need help looking for articles and books on this species.</t>
  </si>
  <si>
    <t>12/2/2003 6:42:04 PM</t>
  </si>
  <si>
    <t> can u help me find this article? Integr Physiol Behav Sci. 1998 Apr-Jun;33(2):151-70. Related Articles, Links The impact of a new emotional self-management program on stress, emotions, heart rate variability, DHEA and cortisol. McCraty R, Barrios-Choplin</t>
  </si>
  <si>
    <t>12/5/2003 4:21:15 PM</t>
  </si>
  <si>
    <t> I am looking for an article in "Social Science and Medicine" and cannot locate it.</t>
  </si>
  <si>
    <t>12/1/2003 2:38:29 PM</t>
  </si>
  <si>
    <t> Hi there, Just a quick copyright related question for you. I work at CRESST at UCLA’s Center for the Study of Evaluation where this question has come up: In published reports and other written material, how much can be cited from another source before it</t>
  </si>
  <si>
    <t>12/3/2003 12:36:01 PM</t>
  </si>
  <si>
    <t> How do I cite a website as a reference? How about if a TA gave us a reference? How do we cite that?</t>
  </si>
  <si>
    <t>12/3/2003 2:08:55 PM</t>
  </si>
  <si>
    <t> research dissertations for political sicence from 1998-2003</t>
  </si>
  <si>
    <t>12/3/2003 3:32:40 PM</t>
  </si>
  <si>
    <t> I'm trying to get the article by Wolfgang Iser, "The Dramatization of Double Meaning in Shakespeare's As You Like It" and I'm having trouble finding it. Can I find a complete version online? How can I find it? THANK YOU</t>
  </si>
  <si>
    <t>12/3/2003 4:31:00 PM</t>
  </si>
  <si>
    <t> I need page numbers for the following reference: Resnick, L. B (1995) Standards for education. In Ravitch (ed). Debating the future of American Standards. Washington DC: Brookings Institution</t>
  </si>
  <si>
    <t>12/4/2003 5:52:20 PM</t>
  </si>
  <si>
    <t> looking for The Specialist: Portrait of a modern criminal (dvd or video)</t>
  </si>
  <si>
    <t>12/5/2003 1:32:58 PM</t>
  </si>
  <si>
    <t> I need to find online articles about the United States antimissile defense system</t>
  </si>
  <si>
    <t>12/5/2003 4:25:19 PM</t>
  </si>
  <si>
    <t> Hi - I'm doing a research paper for Afro-Am Lit. I'm comparing the male vs. female perspectives on marriage and having a family. I'm specifically comparing Malcolm X and Assata Shakur. Can you guide me on how to look for info like that? Thanks.</t>
  </si>
  <si>
    <t>12/1/2003 1:07:47 PM</t>
  </si>
  <si>
    <t> I am trying to located this article in full text.</t>
  </si>
  <si>
    <t>12/1/2003 1:17:46 PM</t>
  </si>
  <si>
    <t> is there a way to limit searches by library branches?</t>
  </si>
  <si>
    <t>12/1/2003 1:48:50 PM</t>
  </si>
  <si>
    <t> Can I renew books online?</t>
  </si>
  <si>
    <t>12/1/2003 5:08:48 PM</t>
  </si>
  <si>
    <t> hi! I am a grad student with UIUC-GSLIS program. I am working on a project relative to live chat/dig ref, so my Q is what software do you use (this software) and could you share some ideas/opinions relative to it? thx! jen</t>
  </si>
  <si>
    <t>12/1/2003 5:24:52 PM</t>
  </si>
  <si>
    <t> i am searching for books on a certain topic, and under location of the book is says "YRL stacks", what does that mean?</t>
  </si>
  <si>
    <t>12/1/2003 7:02:20 PM</t>
  </si>
  <si>
    <t> How do i cite UN conventions in-text and in the bibliography</t>
  </si>
  <si>
    <t>12/1/2003 7:33:33 PM</t>
  </si>
  <si>
    <t> I need the correct spelling of authors of article "A practical project to help bilingual students to develop their knowledge of science and English language" that appeared in School Science Review,1999, 80, pp. 65-74. Are authors Fouzder and Markwick?</t>
  </si>
  <si>
    <t>12/1/2003 8:51:28 PM</t>
  </si>
  <si>
    <t> im trying to log on to expanded academic and i dont know what my library id, barcode or other id is</t>
  </si>
  <si>
    <t>12/2/2003 12:26:34 PM</t>
  </si>
  <si>
    <t> i was just wondering if the Journal Of Higher Education is avaliable online.</t>
  </si>
  <si>
    <t>12/2/2003 12:42:48 PM</t>
  </si>
  <si>
    <t> what is srlf?</t>
  </si>
  <si>
    <t>12/2/2003 2:09:46 PM</t>
  </si>
  <si>
    <t> I need books located in yrl stacks. What Library is that? And where is it located?</t>
  </si>
  <si>
    <t>12/2/2003 2:49:24 PM</t>
  </si>
  <si>
    <t> I just went online to renew my books, but they are all not renewable. Could you please tell me why?</t>
  </si>
  <si>
    <t>12/2/2003 5:16:03 PM</t>
  </si>
  <si>
    <t> how can I search more than one article database at a time? I did this once, where I searched eric, psychinfo and social sciences abstracts.</t>
  </si>
  <si>
    <t>12/2/2003 6:57:12 PM</t>
  </si>
  <si>
    <t> How do I connect to the articles. They ask for an ID and i put in my student id but it doesn't work. help please</t>
  </si>
  <si>
    <t>12/2/2003 8:15:19 PM</t>
  </si>
  <si>
    <t> I was just wondering what newspapers you guys carried at the Powell Library.</t>
  </si>
  <si>
    <t>12/3/2003 11:52:27 AM</t>
  </si>
  <si>
    <t> I'd like to retrive some on-line articles through Orion express, can I apply for this online? Then how long will it take for me to receive the articles?</t>
  </si>
  <si>
    <t>12/3/2003 12:11:24 PM</t>
  </si>
  <si>
    <t> Hi, I work at the Getty Research Institute. I am looking for a book called "The Temptation of St.Anthony" by Flaubert. I know you have it because I have borrowed one copy from your library! On the shelves there were several. But I can't seem to pull it u</t>
  </si>
  <si>
    <t>12/3/2003 2:10:48 PM</t>
  </si>
  <si>
    <t> I recently started a new staff position here. Do I need anything else besides my employee ID badge to check out library books?</t>
  </si>
  <si>
    <t>12/3/2003 4:45:31 PM</t>
  </si>
  <si>
    <t> how can i find sample midterms from the library reserves?</t>
  </si>
  <si>
    <t>12/3/2003 8:32:06 PM</t>
  </si>
  <si>
    <t> until what time can student check out books that are on hold?</t>
  </si>
  <si>
    <t>12/4/2003 11:26:41 AM</t>
  </si>
  <si>
    <t> Hi - I have a student here who has checked out one of our laptops and also wants to check out a reserve item. Both require a BruinCard. Can he use our laptop checkout receipt in lieu of a BruinCard?</t>
  </si>
  <si>
    <t>12/4/2003 3:27:03 PM</t>
  </si>
  <si>
    <t> i'm trying to retrieve an article which i already have a copy of, but it won't let me view it, what's the problem?</t>
  </si>
  <si>
    <t>12/4/2003 4:50:26 PM</t>
  </si>
  <si>
    <t> am i able to look up copies of dissertations in the library?</t>
  </si>
  <si>
    <t>12/4/2003 8:17:24 PM</t>
  </si>
  <si>
    <t> how can i access lexis nexis?</t>
  </si>
  <si>
    <t>12/4/2003 8:30:19 PM</t>
  </si>
  <si>
    <t> Is there any way to access some of the search options off-campus? The site asks for my library id, barcode or other id. Would that be my SID#?</t>
  </si>
  <si>
    <t>12/5/2003 11:53:23 AM</t>
  </si>
  <si>
    <t> what do i need in order to use a computer in the libraries? do all libraries have computers with Word?</t>
  </si>
  <si>
    <t>12/5/2003 11:58:27 AM</t>
  </si>
  <si>
    <t> hi, i'm looking for a book that is apparently in the "college library stacks." where is that? and is it possible to check the book out?</t>
  </si>
  <si>
    <t>12/5/2003 12:09:57 PM</t>
  </si>
  <si>
    <t> what is "orion express"?</t>
  </si>
  <si>
    <t>12/5/2003 12:17:12 PM</t>
  </si>
  <si>
    <t> what can i do to go to and URL from a old session?</t>
  </si>
  <si>
    <t>12/5/2003 3:00:30 PM</t>
  </si>
  <si>
    <t> where is the YRL stacks?</t>
  </si>
  <si>
    <t>12/5/2003 3:18:33 PM</t>
  </si>
  <si>
    <t xml:space="preserve"> I recalled the book "Marvelous Possessions." It says it is On Hold when I search for it in the catalog, but on my library page it says it is still pending. The person who I recalled it from did not turn it in on time and this is the first time I've seen </t>
  </si>
  <si>
    <t>12/5/2003 3:35:24 PM</t>
  </si>
  <si>
    <t> what time does the clicc classrooms close today?</t>
  </si>
  <si>
    <t> I am looking for the Terence Eagleton article on Shakespeare's "Twelfth Night", but the library won't let me sign on. I need the article for a class assignment. Please help!</t>
  </si>
  <si>
    <t>11/6/2003 11:11:49 AM</t>
  </si>
  <si>
    <t> I'm trying to order an article from UCI but I'm having alot of trouble online. Can you help? It keeps giving me an error msg.</t>
  </si>
  <si>
    <t>11/6/2003 2:01:40 PM</t>
  </si>
  <si>
    <t> Hi! I'm having some problems with e-campus. I'm currently enrolled in Spanish 2 but when I go to e-campus, Spanish 2 doesn't show up in my list of courses. When I attempt to add the course, it informs me that since I'm using Guest Access (I'm a chemistry</t>
  </si>
  <si>
    <t>11/6/2003 2:08:55 PM</t>
  </si>
  <si>
    <t> I can't access the links from my course webpage (WS 110B).It asks for my library ID, but I don't think I have one.</t>
  </si>
  <si>
    <t>11/6/2003 2:21:02 PM</t>
  </si>
  <si>
    <t> i had requested for a recall of the book, "Diffusion in natural porous media:contaminant transport, sorption/desorptionand dissolution kinetics" by Peter Grathwohl can you please let me know if this has been returned.</t>
  </si>
  <si>
    <t>11/6/2003 2:58:05 PM</t>
  </si>
  <si>
    <t> When searching for journals from SEL, how do i confirm whether a ucla library has a copy in circulation? (when I click on "cir status" link from melvyl, it always says information not available)</t>
  </si>
  <si>
    <t>11/6/2003 3:42:17 PM</t>
  </si>
  <si>
    <t> more info on TK5102.9 .M57 2001 @ college stacks</t>
  </si>
  <si>
    <t>11/6/2003 4:00:52 PM</t>
  </si>
  <si>
    <t> I'm trying to locate online versions of the following citation: Ginman, Mariam and Sara von Ungern-Sternberg. "Cartoons as &gt; information." Journal of Information Science 29.1 (2003): 69-77. I saw that there are online version of the journal, but for some</t>
  </si>
  <si>
    <t>11/6/2003 4:01:45 PM</t>
  </si>
  <si>
    <t xml:space="preserve"> TK5102.9 .M57 2001 , two weeks ago i came to check this book out, but they couldn't find it, so they put a search on it and it was supposed to go on hold for me... but right now it shows as not checked out. so i would like to know if someone could check </t>
  </si>
  <si>
    <t>11/6/2003 4:04:51 PM</t>
  </si>
  <si>
    <t> how do i get Law &amp; society review 32(3): 529-66? i found up to volume 29 and then after 2003. the one i want is from 1998.</t>
  </si>
  <si>
    <t>11/6/2003 6:00:02 PM</t>
  </si>
  <si>
    <t> Where do I go to find out how an alum (AGSM) can gain access to the UCLA library?</t>
  </si>
  <si>
    <t>11/7/2003 1:23:00 PM</t>
  </si>
  <si>
    <t> I graduated in 1986, but am a member of the alumnii association. Can I use this service? What should I enter as ID number?</t>
  </si>
  <si>
    <t>11/7/2003 2:32:43 PM</t>
  </si>
  <si>
    <t> I would like to check out a book on 1 day reserve, but I am unable to recall it and the person who checked it out has been renewing it every day. Is it possible to recall a 1 day reserve?</t>
  </si>
  <si>
    <t xml:space="preserve"> I have a project for the book "The Storyteller" by Mario Vargas Llosa. For the project I need to find a literary criticism about this book and make remarks on it. Are there any online materials that I would be able to use? If so, will you please give me </t>
  </si>
  <si>
    <t>10/23/2003 3:31:05 PM</t>
  </si>
  <si>
    <t xml:space="preserve"> Access to criminal justice databases. I am part of the Criminal Justice Research Group of the UCLA Integrated Substance Abuse Programs (Part of NPI) We are located off campus and need access to criminal justice databases available to the Law School. How </t>
  </si>
  <si>
    <t>10/24/2003 2:29:22 PM</t>
  </si>
  <si>
    <t> I'm writing a research paper. I have found a lot of articles that I am interested in from the Sociological Abstracts database. Where can I find the full text?</t>
  </si>
  <si>
    <t>10/24/2003 3:37:17 PM</t>
  </si>
  <si>
    <t> I need help finding articles (for a research paper) on a specific topic: Studying the relationship between college students' financial practices and their internal/external locus of control. Thank you</t>
  </si>
  <si>
    <t>10/20/2003 11:45:34 AM</t>
  </si>
  <si>
    <t> Hello, is the Library web page down?</t>
  </si>
  <si>
    <t>10/20/2003 12:28:31 PM</t>
  </si>
  <si>
    <t> If there is an article that is dated back to 1994 and the Publishing Journal does not have it online, is there somewhere else (online) I could possibly obtain it without going to the library to make a copy of it?</t>
  </si>
  <si>
    <t>11/18/2003 11:17:51 AM</t>
  </si>
  <si>
    <t> when i click the hyper link in my reseach, i takes me to a web page with i do not find what i am looking for. you may follow the link below to see i what mean. http://www.ncbi.nlm.nih.gov/entrez/query.fcgi?CMD=Search&amp;DB=PubMed click on # 17. it will take</t>
  </si>
  <si>
    <t>11/18/2003 2:42:18 PM</t>
  </si>
  <si>
    <t> I was looking for a journal article from Annals of Emergency Medicine and it linked me to the MD Consult site and is asking for user name and password....</t>
  </si>
  <si>
    <t>11/18/2003 5:42:34 PM</t>
  </si>
  <si>
    <t> I went to the biomed yesterday and the library went into so web page rinln or some thing can you help me get there</t>
  </si>
  <si>
    <t>11/19/2003 3:31:17 PM</t>
  </si>
  <si>
    <t> I need to get a .pdf copy of the article: Longnecker et al., Future Directions for Academic Practice Plans: Thoughts on Organization and Management from Johns Hopkins University and the University of Pennsylvania Acad Med 2003 78: 1130-1143. Though the O</t>
  </si>
  <si>
    <t>11/19/2003 3:33:33 PM</t>
  </si>
  <si>
    <t> Using Current Contents I tried to acess The rejection of continental drift: Theory and method in American earth science. Carl-Henry Geschwind. Historical Studies in the Physical and Biological Sciences Spring 2000 v30 i2 p486 But full text is unavailable</t>
  </si>
  <si>
    <t>11/20/2003 11:58:31 AM</t>
  </si>
  <si>
    <t> I am a UCLA Alumni, I don't have my alumni ID#. My question is where can I get someone to do a georef search for me? Thanks, Jean</t>
  </si>
  <si>
    <t>11/20/2003 12:27:03 PM</t>
  </si>
  <si>
    <t> Need to print a copy of PMID: 6813970. In Melvyn search it indicated online availability in v.26 (2000) although it's a 1982 review. However, I cannot locate, much less print it. Help!</t>
  </si>
  <si>
    <t>11/20/2003 3:41:47 PM</t>
  </si>
  <si>
    <t> I would like to know what kind of key word i can put in search so i can get for what i am lookin for. I am searching for what type of bacteria will grow on a toothbrush if it is left outside and for how 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</si>
</sst>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name val="Arial"/>
    </font>
    <font>
      <b/>
      <i/>
      <sz val="18"/>
      <name val="Arial"/>
      <family val="2"/>
    </font>
    <font>
      <i/>
      <sz val="12"/>
      <name val="Arial"/>
      <family val="2"/>
    </font>
    <font>
      <sz val="8"/>
      <name val="Arial"/>
      <family val="2"/>
    </font>
    <font>
      <sz val="10"/>
      <name val="Arial"/>
      <family val="2"/>
    </font>
    <font>
      <sz val="10"/>
      <color indexed="9"/>
      <name val="Arial"/>
      <family val="2"/>
    </font>
    <font>
      <sz val="10"/>
      <color indexed="8"/>
      <name val="Arial"/>
      <family val="2"/>
    </font>
  </fonts>
  <fills count="5">
    <fill>
      <patternFill patternType="none"/>
    </fill>
    <fill>
      <patternFill patternType="gray125"/>
    </fill>
    <fill>
      <patternFill patternType="solid">
        <fgColor indexed="22"/>
        <bgColor indexed="64"/>
      </patternFill>
    </fill>
    <fill>
      <patternFill patternType="solid">
        <fgColor indexed="22"/>
        <bgColor indexed="0"/>
      </patternFill>
    </fill>
    <fill>
      <patternFill patternType="solid">
        <fgColor indexed="9"/>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6" fillId="0" borderId="0"/>
    <xf numFmtId="0" fontId="6" fillId="0" borderId="0"/>
  </cellStyleXfs>
  <cellXfs count="35">
    <xf numFmtId="0" fontId="0" fillId="0" borderId="0" xfId="0"/>
    <xf numFmtId="0" fontId="0" fillId="0" borderId="0" xfId="0" applyAlignment="1">
      <alignment horizontal="center"/>
    </xf>
    <xf numFmtId="0" fontId="0" fillId="2" borderId="1" xfId="0" applyFill="1" applyBorder="1" applyAlignment="1">
      <alignment horizontal="center" vertical="center" wrapText="1"/>
    </xf>
    <xf numFmtId="0" fontId="4" fillId="2" borderId="1" xfId="0" applyFont="1" applyFill="1" applyBorder="1" applyAlignment="1">
      <alignment horizontal="center" vertical="center" wrapText="1"/>
    </xf>
    <xf numFmtId="0" fontId="0" fillId="0" borderId="1" xfId="0" applyNumberFormat="1" applyBorder="1" applyAlignment="1">
      <alignment horizontal="center" vertical="center"/>
    </xf>
    <xf numFmtId="14" fontId="0" fillId="0" borderId="0" xfId="0" applyNumberFormat="1" applyAlignment="1">
      <alignment horizontal="center"/>
    </xf>
    <xf numFmtId="0" fontId="5" fillId="0" borderId="0" xfId="0" applyFont="1" applyProtection="1"/>
    <xf numFmtId="0" fontId="0" fillId="0" borderId="1" xfId="0" applyBorder="1" applyAlignment="1">
      <alignment horizontal="center"/>
    </xf>
    <xf numFmtId="0" fontId="0" fillId="0" borderId="1" xfId="0" applyBorder="1"/>
    <xf numFmtId="0" fontId="0" fillId="2" borderId="1" xfId="0" applyFill="1" applyBorder="1" applyAlignment="1">
      <alignment horizontal="center"/>
    </xf>
    <xf numFmtId="0" fontId="0" fillId="2" borderId="2" xfId="0" applyFill="1" applyBorder="1" applyAlignment="1">
      <alignment horizontal="center"/>
    </xf>
    <xf numFmtId="0" fontId="4" fillId="2" borderId="3" xfId="0" applyFont="1" applyFill="1" applyBorder="1" applyAlignment="1">
      <alignment horizontal="center"/>
    </xf>
    <xf numFmtId="14" fontId="4" fillId="2" borderId="3" xfId="0" applyNumberFormat="1" applyFont="1" applyFill="1" applyBorder="1" applyAlignment="1">
      <alignment horizontal="center"/>
    </xf>
    <xf numFmtId="0" fontId="0" fillId="2" borderId="1" xfId="0" applyFill="1" applyBorder="1" applyAlignment="1">
      <alignment horizontal="center" vertical="center"/>
    </xf>
    <xf numFmtId="0" fontId="6" fillId="3" borderId="4" xfId="1" applyFont="1" applyFill="1" applyBorder="1" applyAlignment="1">
      <alignment horizontal="center" vertical="center"/>
    </xf>
    <xf numFmtId="0" fontId="0" fillId="0" borderId="0" xfId="0" applyAlignment="1">
      <alignment wrapText="1"/>
    </xf>
    <xf numFmtId="0" fontId="6" fillId="3" borderId="4" xfId="1" applyFont="1" applyFill="1" applyBorder="1" applyAlignment="1">
      <alignment horizontal="center" vertical="center" wrapText="1"/>
    </xf>
    <xf numFmtId="0" fontId="0" fillId="0" borderId="5" xfId="0" applyBorder="1"/>
    <xf numFmtId="22" fontId="6" fillId="0" borderId="6" xfId="2" applyNumberFormat="1" applyFont="1" applyFill="1" applyBorder="1" applyAlignment="1">
      <alignment horizontal="right" wrapText="1"/>
    </xf>
    <xf numFmtId="0" fontId="6" fillId="0" borderId="6" xfId="2" applyFont="1" applyFill="1" applyBorder="1" applyAlignment="1">
      <alignment wrapText="1"/>
    </xf>
    <xf numFmtId="0" fontId="6" fillId="0" borderId="6" xfId="2" applyNumberFormat="1" applyFont="1" applyFill="1" applyBorder="1" applyAlignment="1">
      <alignment horizontal="right" wrapText="1"/>
    </xf>
    <xf numFmtId="2" fontId="0" fillId="0" borderId="1" xfId="0" applyNumberFormat="1" applyBorder="1" applyAlignment="1">
      <alignment horizontal="center" vertical="center"/>
    </xf>
    <xf numFmtId="0" fontId="1" fillId="4" borderId="7" xfId="0" applyFont="1" applyFill="1" applyBorder="1" applyAlignment="1">
      <alignment horizontal="center"/>
    </xf>
    <xf numFmtId="0" fontId="1" fillId="4" borderId="8" xfId="0" applyFont="1" applyFill="1" applyBorder="1" applyAlignment="1">
      <alignment horizontal="center"/>
    </xf>
    <xf numFmtId="0" fontId="1" fillId="4" borderId="9" xfId="0" applyFont="1" applyFill="1" applyBorder="1" applyAlignment="1">
      <alignment horizontal="center"/>
    </xf>
    <xf numFmtId="0" fontId="2" fillId="4" borderId="10" xfId="0" applyFont="1" applyFill="1" applyBorder="1" applyAlignment="1">
      <alignment horizontal="center"/>
    </xf>
    <xf numFmtId="0" fontId="2" fillId="4" borderId="0" xfId="0" applyFont="1" applyFill="1" applyBorder="1" applyAlignment="1">
      <alignment horizontal="center"/>
    </xf>
    <xf numFmtId="0" fontId="2" fillId="4" borderId="11" xfId="0" applyFont="1" applyFill="1" applyBorder="1" applyAlignment="1">
      <alignment horizontal="center"/>
    </xf>
    <xf numFmtId="0" fontId="2" fillId="4" borderId="12" xfId="0" applyFont="1" applyFill="1" applyBorder="1" applyAlignment="1">
      <alignment horizontal="center"/>
    </xf>
    <xf numFmtId="0" fontId="2" fillId="4" borderId="13" xfId="0" applyFont="1" applyFill="1" applyBorder="1" applyAlignment="1">
      <alignment horizontal="center"/>
    </xf>
    <xf numFmtId="0" fontId="2" fillId="4" borderId="14" xfId="0" applyFont="1" applyFill="1" applyBorder="1" applyAlignment="1">
      <alignment horizontal="center"/>
    </xf>
    <xf numFmtId="14" fontId="0" fillId="0" borderId="0" xfId="0" applyNumberFormat="1" applyAlignment="1">
      <alignment horizontal="center"/>
    </xf>
    <xf numFmtId="0" fontId="4" fillId="2" borderId="1" xfId="0" applyFont="1" applyFill="1" applyBorder="1" applyAlignment="1">
      <alignment horizontal="center" vertical="center"/>
    </xf>
    <xf numFmtId="0" fontId="0" fillId="2" borderId="1" xfId="0" applyFill="1" applyBorder="1" applyAlignment="1">
      <alignment horizontal="center"/>
    </xf>
    <xf numFmtId="0" fontId="0" fillId="0" borderId="0" xfId="0" applyAlignment="1">
      <alignment horizontal="center"/>
    </xf>
  </cellXfs>
  <cellStyles count="3">
    <cellStyle name="Normal" xfId="0" builtinId="0"/>
    <cellStyle name="Normal_Questions" xfId="1"/>
    <cellStyle name="Normal_Summary with Questions"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GB"/>
              <a:t>Digital Reference History</a:t>
            </a:r>
          </a:p>
        </c:rich>
      </c:tx>
      <c:layout>
        <c:manualLayout>
          <c:xMode val="edge"/>
          <c:yMode val="edge"/>
          <c:x val="0.33296224579450223"/>
          <c:y val="3.5790664805482195E-2"/>
        </c:manualLayout>
      </c:layout>
      <c:overlay val="0"/>
      <c:spPr>
        <a:noFill/>
        <a:ln w="25400">
          <a:noFill/>
        </a:ln>
      </c:spPr>
    </c:title>
    <c:autoTitleDeleted val="0"/>
    <c:plotArea>
      <c:layout>
        <c:manualLayout>
          <c:layoutTarget val="inner"/>
          <c:xMode val="edge"/>
          <c:yMode val="edge"/>
          <c:x val="0.14989022061539448"/>
          <c:y val="0.21053332238518938"/>
          <c:w val="0.82725671377809318"/>
          <c:h val="0.46317330924741662"/>
        </c:manualLayout>
      </c:layout>
      <c:lineChart>
        <c:grouping val="standard"/>
        <c:varyColors val="0"/>
        <c:ser>
          <c:idx val="0"/>
          <c:order val="0"/>
          <c:spPr>
            <a:ln w="12700">
              <a:solidFill>
                <a:srgbClr val="000080"/>
              </a:solidFill>
              <a:prstDash val="solid"/>
            </a:ln>
          </c:spPr>
          <c:marker>
            <c:symbol val="diamond"/>
            <c:size val="5"/>
            <c:spPr>
              <a:solidFill>
                <a:srgbClr val="000080"/>
              </a:solidFill>
              <a:ln>
                <a:solidFill>
                  <a:srgbClr val="000080"/>
                </a:solidFill>
                <a:prstDash val="solid"/>
              </a:ln>
            </c:spPr>
          </c:marker>
          <c:cat>
            <c:strRef>
              <c:f>'Final Report'!$C$35:$C$45</c:f>
              <c:strCache>
                <c:ptCount val="11"/>
                <c:pt idx="0">
                  <c:v>Spring 2001</c:v>
                </c:pt>
                <c:pt idx="1">
                  <c:v>Summer 2001</c:v>
                </c:pt>
                <c:pt idx="2">
                  <c:v>Fall 2001</c:v>
                </c:pt>
                <c:pt idx="3">
                  <c:v>Winter 2002</c:v>
                </c:pt>
                <c:pt idx="4">
                  <c:v>Spring 2002</c:v>
                </c:pt>
                <c:pt idx="5">
                  <c:v>Summer 2002</c:v>
                </c:pt>
                <c:pt idx="6">
                  <c:v>Fall 2002</c:v>
                </c:pt>
                <c:pt idx="7">
                  <c:v>Winter 2003</c:v>
                </c:pt>
                <c:pt idx="8">
                  <c:v>Spring 2003</c:v>
                </c:pt>
                <c:pt idx="9">
                  <c:v>Summer 2003</c:v>
                </c:pt>
                <c:pt idx="10">
                  <c:v>Fall 2003</c:v>
                </c:pt>
              </c:strCache>
            </c:strRef>
          </c:cat>
          <c:val>
            <c:numRef>
              <c:f>'Final Report'!$D$35:$D$45</c:f>
              <c:numCache>
                <c:formatCode>General</c:formatCode>
                <c:ptCount val="11"/>
                <c:pt idx="0">
                  <c:v>14</c:v>
                </c:pt>
                <c:pt idx="1">
                  <c:v>45</c:v>
                </c:pt>
                <c:pt idx="2">
                  <c:v>93</c:v>
                </c:pt>
                <c:pt idx="3">
                  <c:v>114</c:v>
                </c:pt>
                <c:pt idx="4">
                  <c:v>200</c:v>
                </c:pt>
                <c:pt idx="5">
                  <c:v>155</c:v>
                </c:pt>
                <c:pt idx="6">
                  <c:v>316</c:v>
                </c:pt>
                <c:pt idx="7">
                  <c:v>358</c:v>
                </c:pt>
                <c:pt idx="8">
                  <c:v>377</c:v>
                </c:pt>
                <c:pt idx="9">
                  <c:v>294</c:v>
                </c:pt>
                <c:pt idx="10">
                  <c:v>584</c:v>
                </c:pt>
              </c:numCache>
            </c:numRef>
          </c:val>
          <c:smooth val="0"/>
          <c:extLst>
            <c:ext xmlns:c16="http://schemas.microsoft.com/office/drawing/2014/chart" uri="{C3380CC4-5D6E-409C-BE32-E72D297353CC}">
              <c16:uniqueId val="{00000000-BC62-4645-A319-94461E55A9B3}"/>
            </c:ext>
          </c:extLst>
        </c:ser>
        <c:dLbls>
          <c:showLegendKey val="0"/>
          <c:showVal val="0"/>
          <c:showCatName val="0"/>
          <c:showSerName val="0"/>
          <c:showPercent val="0"/>
          <c:showBubbleSize val="0"/>
        </c:dLbls>
        <c:marker val="1"/>
        <c:smooth val="0"/>
        <c:axId val="1884782783"/>
        <c:axId val="1"/>
      </c:lineChart>
      <c:catAx>
        <c:axId val="1884782783"/>
        <c:scaling>
          <c:orientation val="minMax"/>
        </c:scaling>
        <c:delete val="0"/>
        <c:axPos val="b"/>
        <c:numFmt formatCode="General" sourceLinked="1"/>
        <c:majorTickMark val="out"/>
        <c:minorTickMark val="none"/>
        <c:tickLblPos val="nextTo"/>
        <c:spPr>
          <a:ln w="3175">
            <a:solidFill>
              <a:srgbClr val="000000"/>
            </a:solidFill>
            <a:prstDash val="solid"/>
          </a:ln>
        </c:spPr>
        <c:txPr>
          <a:bodyPr rot="-2700000" vert="horz"/>
          <a:lstStyle/>
          <a:p>
            <a:pPr>
              <a:defRPr sz="105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050" b="1" i="0" u="none" strike="noStrike" baseline="0">
                    <a:solidFill>
                      <a:srgbClr val="000000"/>
                    </a:solidFill>
                    <a:latin typeface="Arial"/>
                    <a:ea typeface="Arial"/>
                    <a:cs typeface="Arial"/>
                  </a:defRPr>
                </a:pPr>
                <a:r>
                  <a:rPr lang="en-GB"/>
                  <a:t>Number of calls</a:t>
                </a:r>
              </a:p>
            </c:rich>
          </c:tx>
          <c:layout>
            <c:manualLayout>
              <c:xMode val="edge"/>
              <c:yMode val="edge"/>
              <c:x val="2.5172403462127318E-2"/>
              <c:y val="0.2715879858768943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US"/>
          </a:p>
        </c:txPr>
        <c:crossAx val="1884782783"/>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GB"/>
              <a:t>Calls by Day</a:t>
            </a:r>
          </a:p>
        </c:rich>
      </c:tx>
      <c:layout>
        <c:manualLayout>
          <c:xMode val="edge"/>
          <c:yMode val="edge"/>
          <c:x val="0.41300660844108539"/>
          <c:y val="3.5790664805482195E-2"/>
        </c:manualLayout>
      </c:layout>
      <c:overlay val="0"/>
      <c:spPr>
        <a:noFill/>
        <a:ln w="25400">
          <a:noFill/>
        </a:ln>
      </c:spPr>
    </c:title>
    <c:autoTitleDeleted val="0"/>
    <c:plotArea>
      <c:layout>
        <c:manualLayout>
          <c:layoutTarget val="inner"/>
          <c:xMode val="edge"/>
          <c:yMode val="edge"/>
          <c:x val="0.13341505609754165"/>
          <c:y val="0.21053332238518938"/>
          <c:w val="0.84341518072098054"/>
          <c:h val="0.56001863754460368"/>
        </c:manualLayout>
      </c:layout>
      <c:barChart>
        <c:barDir val="col"/>
        <c:grouping val="clustered"/>
        <c:varyColors val="0"/>
        <c:ser>
          <c:idx val="0"/>
          <c:order val="0"/>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105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'Calls by Day &amp; Week'!$C$6:$G$6</c:f>
              <c:strCache>
                <c:ptCount val="5"/>
                <c:pt idx="0">
                  <c:v>Mon</c:v>
                </c:pt>
                <c:pt idx="1">
                  <c:v>Tues</c:v>
                </c:pt>
                <c:pt idx="2">
                  <c:v>Wed</c:v>
                </c:pt>
                <c:pt idx="3">
                  <c:v>Thurs</c:v>
                </c:pt>
                <c:pt idx="4">
                  <c:v>Fri</c:v>
                </c:pt>
              </c:strCache>
            </c:strRef>
          </c:cat>
          <c:val>
            <c:numRef>
              <c:f>'Calls by Day &amp; Week'!$C$7:$G$7</c:f>
              <c:numCache>
                <c:formatCode>General</c:formatCode>
                <c:ptCount val="5"/>
                <c:pt idx="0">
                  <c:v>153</c:v>
                </c:pt>
                <c:pt idx="1">
                  <c:v>135</c:v>
                </c:pt>
                <c:pt idx="2">
                  <c:v>123</c:v>
                </c:pt>
                <c:pt idx="3">
                  <c:v>108</c:v>
                </c:pt>
                <c:pt idx="4">
                  <c:v>65</c:v>
                </c:pt>
              </c:numCache>
            </c:numRef>
          </c:val>
          <c:extLst>
            <c:ext xmlns:c16="http://schemas.microsoft.com/office/drawing/2014/chart" uri="{C3380CC4-5D6E-409C-BE32-E72D297353CC}">
              <c16:uniqueId val="{00000000-2F24-4635-927F-27E6CF454EC2}"/>
            </c:ext>
          </c:extLst>
        </c:ser>
        <c:dLbls>
          <c:showLegendKey val="0"/>
          <c:showVal val="1"/>
          <c:showCatName val="0"/>
          <c:showSerName val="0"/>
          <c:showPercent val="0"/>
          <c:showBubbleSize val="0"/>
        </c:dLbls>
        <c:gapWidth val="150"/>
        <c:axId val="1884778383"/>
        <c:axId val="1"/>
      </c:barChart>
      <c:catAx>
        <c:axId val="1884778383"/>
        <c:scaling>
          <c:orientation val="minMax"/>
        </c:scaling>
        <c:delete val="0"/>
        <c:axPos val="b"/>
        <c:title>
          <c:tx>
            <c:rich>
              <a:bodyPr/>
              <a:lstStyle/>
              <a:p>
                <a:pPr>
                  <a:defRPr sz="1050" b="1" i="0" u="none" strike="noStrike" baseline="0">
                    <a:solidFill>
                      <a:srgbClr val="000000"/>
                    </a:solidFill>
                    <a:latin typeface="Arial"/>
                    <a:ea typeface="Arial"/>
                    <a:cs typeface="Arial"/>
                  </a:defRPr>
                </a:pPr>
                <a:r>
                  <a:rPr lang="en-GB"/>
                  <a:t>Day</a:t>
                </a:r>
              </a:p>
            </c:rich>
          </c:tx>
          <c:layout>
            <c:manualLayout>
              <c:xMode val="edge"/>
              <c:yMode val="edge"/>
              <c:x val="0.5290197006998173"/>
              <c:y val="0.87792395434623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050" b="1" i="0" u="none" strike="noStrike" baseline="0">
                    <a:solidFill>
                      <a:srgbClr val="000000"/>
                    </a:solidFill>
                    <a:latin typeface="Arial"/>
                    <a:ea typeface="Arial"/>
                    <a:cs typeface="Arial"/>
                  </a:defRPr>
                </a:pPr>
                <a:r>
                  <a:rPr lang="en-GB"/>
                  <a:t>Number of calls</a:t>
                </a:r>
              </a:p>
            </c:rich>
          </c:tx>
          <c:layout>
            <c:manualLayout>
              <c:xMode val="edge"/>
              <c:yMode val="edge"/>
              <c:x val="2.5522880296921006E-2"/>
              <c:y val="0.3200106500254878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US"/>
          </a:p>
        </c:txPr>
        <c:crossAx val="1884778383"/>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GB"/>
              <a:t>Calls by Week</a:t>
            </a:r>
          </a:p>
        </c:rich>
      </c:tx>
      <c:layout>
        <c:manualLayout>
          <c:xMode val="edge"/>
          <c:yMode val="edge"/>
          <c:x val="0.40256543013779955"/>
          <c:y val="3.5790664805482195E-2"/>
        </c:manualLayout>
      </c:layout>
      <c:overlay val="0"/>
      <c:spPr>
        <a:noFill/>
        <a:ln w="25400">
          <a:noFill/>
        </a:ln>
      </c:spPr>
    </c:title>
    <c:autoTitleDeleted val="0"/>
    <c:plotArea>
      <c:layout>
        <c:manualLayout>
          <c:layoutTarget val="inner"/>
          <c:xMode val="edge"/>
          <c:yMode val="edge"/>
          <c:x val="0.1194934850264938"/>
          <c:y val="0.21053332238518938"/>
          <c:w val="0.8573367517920284"/>
          <c:h val="0.56001863754460368"/>
        </c:manualLayout>
      </c:layout>
      <c:barChart>
        <c:barDir val="col"/>
        <c:grouping val="clustered"/>
        <c:varyColors val="0"/>
        <c:ser>
          <c:idx val="0"/>
          <c:order val="0"/>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105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'Weekly Chart'!$H$7:$H$17</c:f>
              <c:numCache>
                <c:formatCode>General</c:formatCode>
                <c:ptCount val="11"/>
                <c:pt idx="0">
                  <c:v>41</c:v>
                </c:pt>
                <c:pt idx="1">
                  <c:v>47</c:v>
                </c:pt>
                <c:pt idx="2">
                  <c:v>56</c:v>
                </c:pt>
                <c:pt idx="3">
                  <c:v>50</c:v>
                </c:pt>
                <c:pt idx="4">
                  <c:v>56</c:v>
                </c:pt>
                <c:pt idx="5">
                  <c:v>57</c:v>
                </c:pt>
                <c:pt idx="6">
                  <c:v>51</c:v>
                </c:pt>
                <c:pt idx="7">
                  <c:v>83</c:v>
                </c:pt>
                <c:pt idx="8">
                  <c:v>49</c:v>
                </c:pt>
                <c:pt idx="9">
                  <c:v>53</c:v>
                </c:pt>
                <c:pt idx="10">
                  <c:v>41</c:v>
                </c:pt>
              </c:numCache>
            </c:numRef>
          </c:val>
          <c:extLst>
            <c:ext xmlns:c16="http://schemas.microsoft.com/office/drawing/2014/chart" uri="{C3380CC4-5D6E-409C-BE32-E72D297353CC}">
              <c16:uniqueId val="{00000000-CC00-407A-89A5-71D9CA808DB7}"/>
            </c:ext>
          </c:extLst>
        </c:ser>
        <c:dLbls>
          <c:showLegendKey val="0"/>
          <c:showVal val="1"/>
          <c:showCatName val="0"/>
          <c:showSerName val="0"/>
          <c:showPercent val="0"/>
          <c:showBubbleSize val="0"/>
        </c:dLbls>
        <c:gapWidth val="150"/>
        <c:axId val="1884780783"/>
        <c:axId val="1"/>
      </c:barChart>
      <c:catAx>
        <c:axId val="1884780783"/>
        <c:scaling>
          <c:orientation val="minMax"/>
        </c:scaling>
        <c:delete val="0"/>
        <c:axPos val="b"/>
        <c:title>
          <c:tx>
            <c:rich>
              <a:bodyPr/>
              <a:lstStyle/>
              <a:p>
                <a:pPr>
                  <a:defRPr sz="1050" b="1" i="0" u="none" strike="noStrike" baseline="0">
                    <a:solidFill>
                      <a:srgbClr val="000000"/>
                    </a:solidFill>
                    <a:latin typeface="Arial"/>
                    <a:ea typeface="Arial"/>
                    <a:cs typeface="Arial"/>
                  </a:defRPr>
                </a:pPr>
                <a:r>
                  <a:rPr lang="en-GB"/>
                  <a:t>Week</a:t>
                </a:r>
              </a:p>
            </c:rich>
          </c:tx>
          <c:layout>
            <c:manualLayout>
              <c:xMode val="edge"/>
              <c:yMode val="edge"/>
              <c:x val="0.51161773686100753"/>
              <c:y val="0.87792395434623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050" b="1" i="0" u="none" strike="noStrike" baseline="0">
                    <a:solidFill>
                      <a:srgbClr val="000000"/>
                    </a:solidFill>
                    <a:latin typeface="Arial"/>
                    <a:ea typeface="Arial"/>
                    <a:cs typeface="Arial"/>
                  </a:defRPr>
                </a:pPr>
                <a:r>
                  <a:rPr lang="en-GB"/>
                  <a:t>Number of calls</a:t>
                </a:r>
              </a:p>
            </c:rich>
          </c:tx>
          <c:layout>
            <c:manualLayout>
              <c:xMode val="edge"/>
              <c:yMode val="edge"/>
              <c:x val="2.5522880296921006E-2"/>
              <c:y val="0.3200106500254878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US"/>
          </a:p>
        </c:txPr>
        <c:crossAx val="1884780783"/>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GB"/>
              <a:t>Calls by Time of Day</a:t>
            </a:r>
          </a:p>
        </c:rich>
      </c:tx>
      <c:layout>
        <c:manualLayout>
          <c:xMode val="edge"/>
          <c:yMode val="edge"/>
          <c:x val="0.37370738868047626"/>
          <c:y val="3.5790664805482195E-2"/>
        </c:manualLayout>
      </c:layout>
      <c:overlay val="0"/>
      <c:spPr>
        <a:noFill/>
        <a:ln w="25400">
          <a:noFill/>
        </a:ln>
      </c:spPr>
    </c:title>
    <c:autoTitleDeleted val="0"/>
    <c:plotArea>
      <c:layout>
        <c:manualLayout>
          <c:layoutTarget val="inner"/>
          <c:xMode val="edge"/>
          <c:yMode val="edge"/>
          <c:x val="0.1075191648996901"/>
          <c:y val="0.21053332238518938"/>
          <c:w val="0.87163594845865278"/>
          <c:h val="0.4610679760235647"/>
        </c:manualLayout>
      </c:layout>
      <c:barChart>
        <c:barDir val="col"/>
        <c:grouping val="clustered"/>
        <c:varyColors val="0"/>
        <c:ser>
          <c:idx val="0"/>
          <c:order val="0"/>
          <c:spPr>
            <a:solidFill>
              <a:srgbClr val="9999FF"/>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1050" b="0" i="0" u="none" strike="noStrike" baseline="0">
                    <a:solidFill>
                      <a:srgbClr val="000000"/>
                    </a:solidFill>
                    <a:latin typeface="Arial"/>
                    <a:ea typeface="Arial"/>
                    <a:cs typeface="Aria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'Calls by Time'!$A$6:$J$6</c:f>
              <c:strCache>
                <c:ptCount val="10"/>
                <c:pt idx="0">
                  <c:v>11a-12p</c:v>
                </c:pt>
                <c:pt idx="1">
                  <c:v>12p-1p</c:v>
                </c:pt>
                <c:pt idx="2">
                  <c:v>1p-2p</c:v>
                </c:pt>
                <c:pt idx="3">
                  <c:v>2p-3p</c:v>
                </c:pt>
                <c:pt idx="4">
                  <c:v>3p-4p</c:v>
                </c:pt>
                <c:pt idx="5">
                  <c:v>4p-5p</c:v>
                </c:pt>
                <c:pt idx="6">
                  <c:v>5p-6p</c:v>
                </c:pt>
                <c:pt idx="7">
                  <c:v>6p-7p</c:v>
                </c:pt>
                <c:pt idx="8">
                  <c:v>7p-8p</c:v>
                </c:pt>
                <c:pt idx="9">
                  <c:v>8p-9p</c:v>
                </c:pt>
              </c:strCache>
            </c:strRef>
          </c:cat>
          <c:val>
            <c:numRef>
              <c:f>'Calls by Time'!$A$7:$J$7</c:f>
              <c:numCache>
                <c:formatCode>General</c:formatCode>
                <c:ptCount val="10"/>
                <c:pt idx="0">
                  <c:v>83</c:v>
                </c:pt>
                <c:pt idx="1">
                  <c:v>66</c:v>
                </c:pt>
                <c:pt idx="2">
                  <c:v>50</c:v>
                </c:pt>
                <c:pt idx="3">
                  <c:v>74</c:v>
                </c:pt>
                <c:pt idx="4">
                  <c:v>68</c:v>
                </c:pt>
                <c:pt idx="5">
                  <c:v>81</c:v>
                </c:pt>
                <c:pt idx="6">
                  <c:v>54</c:v>
                </c:pt>
                <c:pt idx="7">
                  <c:v>36</c:v>
                </c:pt>
                <c:pt idx="8">
                  <c:v>42</c:v>
                </c:pt>
                <c:pt idx="9">
                  <c:v>30</c:v>
                </c:pt>
              </c:numCache>
            </c:numRef>
          </c:val>
          <c:extLst>
            <c:ext xmlns:c16="http://schemas.microsoft.com/office/drawing/2014/chart" uri="{C3380CC4-5D6E-409C-BE32-E72D297353CC}">
              <c16:uniqueId val="{00000000-50AC-45D9-9A8F-B339D535FFF5}"/>
            </c:ext>
          </c:extLst>
        </c:ser>
        <c:dLbls>
          <c:showLegendKey val="0"/>
          <c:showVal val="1"/>
          <c:showCatName val="0"/>
          <c:showSerName val="0"/>
          <c:showPercent val="0"/>
          <c:showBubbleSize val="0"/>
        </c:dLbls>
        <c:gapWidth val="150"/>
        <c:axId val="1884771983"/>
        <c:axId val="1"/>
      </c:barChart>
      <c:catAx>
        <c:axId val="1884771983"/>
        <c:scaling>
          <c:orientation val="minMax"/>
        </c:scaling>
        <c:delete val="0"/>
        <c:axPos val="b"/>
        <c:title>
          <c:tx>
            <c:rich>
              <a:bodyPr/>
              <a:lstStyle/>
              <a:p>
                <a:pPr>
                  <a:defRPr sz="1050" b="1" i="0" u="none" strike="noStrike" baseline="0">
                    <a:solidFill>
                      <a:srgbClr val="000000"/>
                    </a:solidFill>
                    <a:latin typeface="Arial"/>
                    <a:ea typeface="Arial"/>
                    <a:cs typeface="Arial"/>
                  </a:defRPr>
                </a:pPr>
                <a:r>
                  <a:rPr lang="en-GB"/>
                  <a:t>Hourly interval</a:t>
                </a:r>
              </a:p>
            </c:rich>
          </c:tx>
          <c:layout>
            <c:manualLayout>
              <c:xMode val="edge"/>
              <c:yMode val="edge"/>
              <c:x val="0.46452454738215626"/>
              <c:y val="0.87792395434623971"/>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2700000" vert="horz"/>
          <a:lstStyle/>
          <a:p>
            <a:pPr>
              <a:defRPr sz="1050" b="0" i="0" u="none" strike="noStrike" baseline="0">
                <a:solidFill>
                  <a:srgbClr val="000000"/>
                </a:solidFill>
                <a:latin typeface="Arial"/>
                <a:ea typeface="Arial"/>
                <a:cs typeface="Arial"/>
              </a:defRPr>
            </a:pPr>
            <a:endParaRPr lang="en-US"/>
          </a:p>
        </c:txPr>
        <c:crossAx val="1"/>
        <c:crosses val="autoZero"/>
        <c:auto val="1"/>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050" b="1" i="0" u="none" strike="noStrike" baseline="0">
                    <a:solidFill>
                      <a:srgbClr val="000000"/>
                    </a:solidFill>
                    <a:latin typeface="Arial"/>
                    <a:ea typeface="Arial"/>
                    <a:cs typeface="Arial"/>
                  </a:defRPr>
                </a:pPr>
                <a:r>
                  <a:rPr lang="en-GB"/>
                  <a:t>Number of calls</a:t>
                </a:r>
              </a:p>
            </c:rich>
          </c:tx>
          <c:layout>
            <c:manualLayout>
              <c:xMode val="edge"/>
              <c:yMode val="edge"/>
              <c:x val="2.2965258522263905E-2"/>
              <c:y val="0.2694826526530423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50" b="0" i="0" u="none" strike="noStrike" baseline="0">
                <a:solidFill>
                  <a:srgbClr val="000000"/>
                </a:solidFill>
                <a:latin typeface="Arial"/>
                <a:ea typeface="Arial"/>
                <a:cs typeface="Arial"/>
              </a:defRPr>
            </a:pPr>
            <a:endParaRPr lang="en-US"/>
          </a:p>
        </c:txPr>
        <c:crossAx val="1884771983"/>
        <c:crosses val="autoZero"/>
        <c:crossBetween val="between"/>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0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50" b="1" i="0" u="none" strike="noStrike" baseline="0">
                <a:solidFill>
                  <a:srgbClr val="000000"/>
                </a:solidFill>
                <a:latin typeface="Arial"/>
                <a:ea typeface="Arial"/>
                <a:cs typeface="Arial"/>
              </a:defRPr>
            </a:pPr>
            <a:r>
              <a:rPr lang="en-GB"/>
              <a:t>Calls by Library</a:t>
            </a:r>
          </a:p>
        </c:rich>
      </c:tx>
      <c:layout>
        <c:manualLayout>
          <c:xMode val="edge"/>
          <c:yMode val="edge"/>
          <c:x val="0.37359148098865375"/>
          <c:y val="3.5790664805482195E-2"/>
        </c:manualLayout>
      </c:layout>
      <c:overlay val="0"/>
      <c:spPr>
        <a:noFill/>
        <a:ln w="25400">
          <a:noFill/>
        </a:ln>
      </c:spPr>
    </c:title>
    <c:autoTitleDeleted val="0"/>
    <c:plotArea>
      <c:layout>
        <c:manualLayout>
          <c:layoutTarget val="inner"/>
          <c:xMode val="edge"/>
          <c:yMode val="edge"/>
          <c:x val="0.25995148677157276"/>
          <c:y val="0.3263266496970435"/>
          <c:w val="0.33523798294038892"/>
          <c:h val="0.4968586408290469"/>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E158-4405-9A38-17B69B68512D}"/>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E158-4405-9A38-17B69B68512D}"/>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E158-4405-9A38-17B69B68512D}"/>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E158-4405-9A38-17B69B68512D}"/>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E158-4405-9A38-17B69B68512D}"/>
              </c:ext>
            </c:extLst>
          </c:dPt>
          <c:dPt>
            <c:idx val="5"/>
            <c:bubble3D val="0"/>
            <c:spPr>
              <a:solidFill>
                <a:srgbClr val="FF8080"/>
              </a:solidFill>
              <a:ln w="12700">
                <a:solidFill>
                  <a:srgbClr val="000000"/>
                </a:solidFill>
                <a:prstDash val="solid"/>
              </a:ln>
            </c:spPr>
            <c:extLst>
              <c:ext xmlns:c16="http://schemas.microsoft.com/office/drawing/2014/chart" uri="{C3380CC4-5D6E-409C-BE32-E72D297353CC}">
                <c16:uniqueId val="{00000005-E158-4405-9A38-17B69B68512D}"/>
              </c:ext>
            </c:extLst>
          </c:dPt>
          <c:dPt>
            <c:idx val="6"/>
            <c:bubble3D val="0"/>
            <c:spPr>
              <a:solidFill>
                <a:srgbClr val="0066CC"/>
              </a:solidFill>
              <a:ln w="12700">
                <a:solidFill>
                  <a:srgbClr val="000000"/>
                </a:solidFill>
                <a:prstDash val="solid"/>
              </a:ln>
            </c:spPr>
            <c:extLst>
              <c:ext xmlns:c16="http://schemas.microsoft.com/office/drawing/2014/chart" uri="{C3380CC4-5D6E-409C-BE32-E72D297353CC}">
                <c16:uniqueId val="{00000006-E158-4405-9A38-17B69B68512D}"/>
              </c:ext>
            </c:extLst>
          </c:dPt>
          <c:dPt>
            <c:idx val="7"/>
            <c:bubble3D val="0"/>
            <c:spPr>
              <a:solidFill>
                <a:srgbClr val="CCCCFF"/>
              </a:solidFill>
              <a:ln w="12700">
                <a:solidFill>
                  <a:srgbClr val="000000"/>
                </a:solidFill>
                <a:prstDash val="solid"/>
              </a:ln>
            </c:spPr>
            <c:extLst>
              <c:ext xmlns:c16="http://schemas.microsoft.com/office/drawing/2014/chart" uri="{C3380CC4-5D6E-409C-BE32-E72D297353CC}">
                <c16:uniqueId val="{00000007-E158-4405-9A38-17B69B68512D}"/>
              </c:ext>
            </c:extLst>
          </c:dPt>
          <c:dLbls>
            <c:numFmt formatCode="0%" sourceLinked="0"/>
            <c:spPr>
              <a:noFill/>
              <a:ln w="25400">
                <a:noFill/>
              </a:ln>
            </c:spPr>
            <c:txPr>
              <a:bodyPr wrap="square" lIns="38100" tIns="19050" rIns="38100" bIns="19050" anchor="ctr">
                <a:spAutoFit/>
              </a:bodyPr>
              <a:lstStyle/>
              <a:p>
                <a:pPr>
                  <a:defRPr sz="950" b="0" i="0" u="none" strike="noStrike" baseline="0">
                    <a:solidFill>
                      <a:srgbClr val="000000"/>
                    </a:solidFill>
                    <a:latin typeface="Arial"/>
                    <a:ea typeface="Arial"/>
                    <a:cs typeface="Aria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'Calls by Library'!$B$6:$I$6</c:f>
              <c:strCache>
                <c:ptCount val="8"/>
                <c:pt idx="0">
                  <c:v>Main</c:v>
                </c:pt>
                <c:pt idx="1">
                  <c:v>Biomed</c:v>
                </c:pt>
                <c:pt idx="2">
                  <c:v>College</c:v>
                </c:pt>
                <c:pt idx="3">
                  <c:v>SEL</c:v>
                </c:pt>
                <c:pt idx="4">
                  <c:v>YRL</c:v>
                </c:pt>
                <c:pt idx="5">
                  <c:v>Music</c:v>
                </c:pt>
                <c:pt idx="6">
                  <c:v>CDL</c:v>
                </c:pt>
                <c:pt idx="7">
                  <c:v>Orion2</c:v>
                </c:pt>
              </c:strCache>
            </c:strRef>
          </c:cat>
          <c:val>
            <c:numRef>
              <c:f>'Calls by Library'!$B$8:$I$8</c:f>
              <c:numCache>
                <c:formatCode>General</c:formatCode>
                <c:ptCount val="8"/>
                <c:pt idx="0">
                  <c:v>58.390410958904106</c:v>
                </c:pt>
                <c:pt idx="1">
                  <c:v>3.9383561643835616</c:v>
                </c:pt>
                <c:pt idx="2">
                  <c:v>2.7397260273972601</c:v>
                </c:pt>
                <c:pt idx="3">
                  <c:v>0.34246575342465752</c:v>
                </c:pt>
                <c:pt idx="4">
                  <c:v>1.5410958904109588</c:v>
                </c:pt>
                <c:pt idx="5">
                  <c:v>0.34246575342465752</c:v>
                </c:pt>
                <c:pt idx="6">
                  <c:v>19.349315068493151</c:v>
                </c:pt>
                <c:pt idx="7">
                  <c:v>13.356164383561644</c:v>
                </c:pt>
              </c:numCache>
            </c:numRef>
          </c:val>
          <c:extLst>
            <c:ext xmlns:c16="http://schemas.microsoft.com/office/drawing/2014/chart" uri="{C3380CC4-5D6E-409C-BE32-E72D297353CC}">
              <c16:uniqueId val="{00000008-E158-4405-9A38-17B69B68512D}"/>
            </c:ext>
          </c:extLst>
        </c:ser>
        <c:dLbls>
          <c:showLegendKey val="0"/>
          <c:showVal val="0"/>
          <c:showCatName val="0"/>
          <c:showSerName val="0"/>
          <c:showPercent val="1"/>
          <c:showBubbleSize val="0"/>
          <c:showLeaderLines val="1"/>
        </c:dLbls>
        <c:firstSliceAng val="0"/>
      </c:pieChart>
      <c:spPr>
        <a:noFill/>
        <a:ln w="25400">
          <a:noFill/>
        </a:ln>
      </c:spPr>
    </c:plotArea>
    <c:legend>
      <c:legendPos val="r"/>
      <c:layout>
        <c:manualLayout>
          <c:xMode val="edge"/>
          <c:yMode val="edge"/>
          <c:x val="0.77559296053157767"/>
          <c:y val="0.33474798259245109"/>
          <c:w val="0.13778849298821069"/>
          <c:h val="0.47369997536667607"/>
        </c:manualLayout>
      </c:layout>
      <c:overlay val="0"/>
      <c:spPr>
        <a:solidFill>
          <a:srgbClr val="FFFFFF"/>
        </a:solidFill>
        <a:ln w="3175">
          <a:solidFill>
            <a:srgbClr val="000000"/>
          </a:solidFill>
          <a:prstDash val="solid"/>
        </a:ln>
      </c:spPr>
      <c:txPr>
        <a:bodyPr/>
        <a:lstStyle/>
        <a:p>
          <a:pPr>
            <a:defRPr sz="870" b="0" i="0" u="none" strike="noStrike" baseline="0">
              <a:solidFill>
                <a:srgbClr val="000000"/>
              </a:solidFill>
              <a:latin typeface="Arial"/>
              <a:ea typeface="Arial"/>
              <a:cs typeface="Arial"/>
            </a:defRPr>
          </a:pPr>
          <a:endParaRPr lang="en-US"/>
        </a:p>
      </c:txPr>
    </c:legend>
    <c:plotVisOnly val="1"/>
    <c:dispBlanksAs val="zero"/>
    <c:showDLblsOverMax val="0"/>
  </c:chart>
  <c:spPr>
    <a:solidFill>
      <a:srgbClr val="FFFFFF"/>
    </a:solidFill>
    <a:ln w="3175">
      <a:solidFill>
        <a:srgbClr val="000000"/>
      </a:solidFill>
      <a:prstDash val="solid"/>
    </a:ln>
  </c:spPr>
  <c:txPr>
    <a:bodyPr/>
    <a:lstStyle/>
    <a:p>
      <a:pPr>
        <a:defRPr sz="9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i="0" u="none" strike="noStrike" baseline="0">
                <a:solidFill>
                  <a:srgbClr val="000000"/>
                </a:solidFill>
                <a:latin typeface="Arial"/>
                <a:ea typeface="Arial"/>
                <a:cs typeface="Arial"/>
              </a:defRPr>
            </a:pPr>
            <a:r>
              <a:rPr lang="en-GB"/>
              <a:t>Calls by User Status</a:t>
            </a:r>
          </a:p>
        </c:rich>
      </c:tx>
      <c:layout>
        <c:manualLayout>
          <c:xMode val="edge"/>
          <c:yMode val="edge"/>
          <c:x val="0.34227248998213622"/>
          <c:y val="3.5790664805482195E-2"/>
        </c:manualLayout>
      </c:layout>
      <c:overlay val="0"/>
      <c:spPr>
        <a:noFill/>
        <a:ln w="25400">
          <a:noFill/>
        </a:ln>
      </c:spPr>
    </c:title>
    <c:autoTitleDeleted val="0"/>
    <c:plotArea>
      <c:layout>
        <c:manualLayout>
          <c:layoutTarget val="inner"/>
          <c:xMode val="edge"/>
          <c:yMode val="edge"/>
          <c:x val="0.24554330803066293"/>
          <c:y val="0.32211598324933977"/>
          <c:w val="0.35566576132926331"/>
          <c:h val="0.50317464050060257"/>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A9D3-4AA2-9899-DE11782CBBDD}"/>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A9D3-4AA2-9899-DE11782CBBDD}"/>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A9D3-4AA2-9899-DE11782CBBDD}"/>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A9D3-4AA2-9899-DE11782CBBDD}"/>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A9D3-4AA2-9899-DE11782CBBDD}"/>
              </c:ext>
            </c:extLst>
          </c:dPt>
          <c:dPt>
            <c:idx val="5"/>
            <c:bubble3D val="0"/>
            <c:spPr>
              <a:solidFill>
                <a:srgbClr val="FF8080"/>
              </a:solidFill>
              <a:ln w="12700">
                <a:solidFill>
                  <a:srgbClr val="000000"/>
                </a:solidFill>
                <a:prstDash val="solid"/>
              </a:ln>
            </c:spPr>
            <c:extLst>
              <c:ext xmlns:c16="http://schemas.microsoft.com/office/drawing/2014/chart" uri="{C3380CC4-5D6E-409C-BE32-E72D297353CC}">
                <c16:uniqueId val="{00000005-A9D3-4AA2-9899-DE11782CBBDD}"/>
              </c:ext>
            </c:extLst>
          </c:dPt>
          <c:dPt>
            <c:idx val="6"/>
            <c:bubble3D val="0"/>
            <c:spPr>
              <a:solidFill>
                <a:srgbClr val="0066CC"/>
              </a:solidFill>
              <a:ln w="12700">
                <a:solidFill>
                  <a:srgbClr val="000000"/>
                </a:solidFill>
                <a:prstDash val="solid"/>
              </a:ln>
            </c:spPr>
            <c:extLst>
              <c:ext xmlns:c16="http://schemas.microsoft.com/office/drawing/2014/chart" uri="{C3380CC4-5D6E-409C-BE32-E72D297353CC}">
                <c16:uniqueId val="{00000006-A9D3-4AA2-9899-DE11782CBBDD}"/>
              </c:ext>
            </c:extLst>
          </c:dPt>
          <c:dLbls>
            <c:numFmt formatCode="0%" sourceLinked="0"/>
            <c:spPr>
              <a:noFill/>
              <a:ln w="25400">
                <a:noFill/>
              </a:ln>
            </c:spPr>
            <c:txPr>
              <a:bodyPr wrap="square" lIns="38100" tIns="19050" rIns="38100" bIns="19050" anchor="ctr">
                <a:spAutoFit/>
              </a:bodyPr>
              <a:lstStyle/>
              <a:p>
                <a:pPr>
                  <a:defRPr sz="900" b="0" i="0" u="none" strike="noStrike" baseline="0">
                    <a:solidFill>
                      <a:srgbClr val="000000"/>
                    </a:solidFill>
                    <a:latin typeface="Arial"/>
                    <a:ea typeface="Arial"/>
                    <a:cs typeface="Aria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'Calls by User Status'!$B$6:$H$6</c:f>
              <c:strCache>
                <c:ptCount val="7"/>
                <c:pt idx="0">
                  <c:v>Undergrad</c:v>
                </c:pt>
                <c:pt idx="1">
                  <c:v>Graduate</c:v>
                </c:pt>
                <c:pt idx="2">
                  <c:v>Faculty</c:v>
                </c:pt>
                <c:pt idx="3">
                  <c:v>Staff</c:v>
                </c:pt>
                <c:pt idx="4">
                  <c:v>Other UC</c:v>
                </c:pt>
                <c:pt idx="5">
                  <c:v>Non-UC</c:v>
                </c:pt>
                <c:pt idx="6">
                  <c:v>Unknown</c:v>
                </c:pt>
              </c:strCache>
            </c:strRef>
          </c:cat>
          <c:val>
            <c:numRef>
              <c:f>'Calls by User Status'!$B$8:$H$8</c:f>
              <c:numCache>
                <c:formatCode>General</c:formatCode>
                <c:ptCount val="7"/>
                <c:pt idx="0">
                  <c:v>50.342465753424662</c:v>
                </c:pt>
                <c:pt idx="1">
                  <c:v>17.465753424657535</c:v>
                </c:pt>
                <c:pt idx="2">
                  <c:v>2.054794520547945</c:v>
                </c:pt>
                <c:pt idx="3">
                  <c:v>6.6780821917808222</c:v>
                </c:pt>
                <c:pt idx="4">
                  <c:v>3.2534246575342465</c:v>
                </c:pt>
                <c:pt idx="5">
                  <c:v>10.102739726027398</c:v>
                </c:pt>
                <c:pt idx="6">
                  <c:v>10.102739726027398</c:v>
                </c:pt>
              </c:numCache>
            </c:numRef>
          </c:val>
          <c:extLst>
            <c:ext xmlns:c16="http://schemas.microsoft.com/office/drawing/2014/chart" uri="{C3380CC4-5D6E-409C-BE32-E72D297353CC}">
              <c16:uniqueId val="{00000007-A9D3-4AA2-9899-DE11782CBBDD}"/>
            </c:ext>
          </c:extLst>
        </c:ser>
        <c:dLbls>
          <c:showLegendKey val="0"/>
          <c:showVal val="0"/>
          <c:showCatName val="0"/>
          <c:showSerName val="0"/>
          <c:showPercent val="1"/>
          <c:showBubbleSize val="0"/>
          <c:showLeaderLines val="1"/>
        </c:dLbls>
        <c:firstSliceAng val="0"/>
      </c:pieChart>
      <c:spPr>
        <a:noFill/>
        <a:ln w="25400">
          <a:noFill/>
        </a:ln>
      </c:spPr>
    </c:plotArea>
    <c:legend>
      <c:legendPos val="r"/>
      <c:layout>
        <c:manualLayout>
          <c:xMode val="edge"/>
          <c:yMode val="edge"/>
          <c:x val="0.74109434787436446"/>
          <c:y val="0.37474931384563709"/>
          <c:w val="0.17262438625186"/>
          <c:h val="0.40001331253185979"/>
        </c:manualLayout>
      </c:layout>
      <c:overlay val="0"/>
      <c:spPr>
        <a:solidFill>
          <a:srgbClr val="FFFFFF"/>
        </a:solidFill>
        <a:ln w="3175">
          <a:solidFill>
            <a:srgbClr val="000000"/>
          </a:solidFill>
          <a:prstDash val="solid"/>
        </a:ln>
      </c:spPr>
      <c:txPr>
        <a:bodyPr/>
        <a:lstStyle/>
        <a:p>
          <a:pPr>
            <a:defRPr sz="825" b="0" i="0" u="none" strike="noStrike" baseline="0">
              <a:solidFill>
                <a:srgbClr val="000000"/>
              </a:solidFill>
              <a:latin typeface="Arial"/>
              <a:ea typeface="Arial"/>
              <a:cs typeface="Arial"/>
            </a:defRPr>
          </a:pPr>
          <a:endParaRPr lang="en-US"/>
        </a:p>
      </c:txPr>
    </c:legend>
    <c:plotVisOnly val="1"/>
    <c:dispBlanksAs val="zero"/>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GB"/>
              <a:t>Calls by Subject</a:t>
            </a:r>
          </a:p>
        </c:rich>
      </c:tx>
      <c:layout>
        <c:manualLayout>
          <c:xMode val="edge"/>
          <c:yMode val="edge"/>
          <c:x val="0.39769226804590008"/>
          <c:y val="3.5790664805482195E-2"/>
        </c:manualLayout>
      </c:layout>
      <c:overlay val="0"/>
      <c:spPr>
        <a:noFill/>
        <a:ln w="25400">
          <a:noFill/>
        </a:ln>
      </c:spPr>
    </c:title>
    <c:autoTitleDeleted val="0"/>
    <c:plotArea>
      <c:layout>
        <c:manualLayout>
          <c:layoutTarget val="inner"/>
          <c:xMode val="edge"/>
          <c:yMode val="edge"/>
          <c:x val="0.31541110913985176"/>
          <c:y val="0.33895864904015488"/>
          <c:w val="0.24156904345493665"/>
          <c:h val="0.48212130826208366"/>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5DB6-41B4-ACC0-9C3F095B95E4}"/>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5DB6-41B4-ACC0-9C3F095B95E4}"/>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5DB6-41B4-ACC0-9C3F095B95E4}"/>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5DB6-41B4-ACC0-9C3F095B95E4}"/>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5DB6-41B4-ACC0-9C3F095B95E4}"/>
              </c:ext>
            </c:extLst>
          </c:dPt>
          <c:dPt>
            <c:idx val="5"/>
            <c:bubble3D val="0"/>
            <c:spPr>
              <a:solidFill>
                <a:srgbClr val="FF8080"/>
              </a:solidFill>
              <a:ln w="12700">
                <a:solidFill>
                  <a:srgbClr val="000000"/>
                </a:solidFill>
                <a:prstDash val="solid"/>
              </a:ln>
            </c:spPr>
            <c:extLst>
              <c:ext xmlns:c16="http://schemas.microsoft.com/office/drawing/2014/chart" uri="{C3380CC4-5D6E-409C-BE32-E72D297353CC}">
                <c16:uniqueId val="{00000005-5DB6-41B4-ACC0-9C3F095B95E4}"/>
              </c:ext>
            </c:extLst>
          </c:dPt>
          <c:dLbls>
            <c:numFmt formatCode="0%" sourceLinked="0"/>
            <c:spPr>
              <a:noFill/>
              <a:ln w="25400">
                <a:noFill/>
              </a:ln>
            </c:spPr>
            <c:txPr>
              <a:bodyPr wrap="square" lIns="38100" tIns="19050" rIns="38100" bIns="19050" anchor="ctr">
                <a:spAutoFit/>
              </a:bodyPr>
              <a:lstStyle/>
              <a:p>
                <a:pPr>
                  <a:defRPr sz="1050" b="0" i="0" u="none" strike="noStrike" baseline="0">
                    <a:solidFill>
                      <a:srgbClr val="000000"/>
                    </a:solidFill>
                    <a:latin typeface="Arial"/>
                    <a:ea typeface="Arial"/>
                    <a:cs typeface="Aria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'Calls by Subject'!$B$6:$G$6</c:f>
              <c:strCache>
                <c:ptCount val="6"/>
                <c:pt idx="0">
                  <c:v>Arts / Music</c:v>
                </c:pt>
                <c:pt idx="1">
                  <c:v>Business</c:v>
                </c:pt>
                <c:pt idx="2">
                  <c:v>Biomed / Science</c:v>
                </c:pt>
                <c:pt idx="3">
                  <c:v>Humanities / Social Science</c:v>
                </c:pt>
                <c:pt idx="4">
                  <c:v>Library / Technical</c:v>
                </c:pt>
                <c:pt idx="5">
                  <c:v>Unknown</c:v>
                </c:pt>
              </c:strCache>
            </c:strRef>
          </c:cat>
          <c:val>
            <c:numRef>
              <c:f>'Calls by Subject'!$B$8:$G$8</c:f>
              <c:numCache>
                <c:formatCode>General</c:formatCode>
                <c:ptCount val="6"/>
                <c:pt idx="0">
                  <c:v>3.9383561643835616</c:v>
                </c:pt>
                <c:pt idx="1">
                  <c:v>1.7123287671232876</c:v>
                </c:pt>
                <c:pt idx="2">
                  <c:v>15.068493150684931</c:v>
                </c:pt>
                <c:pt idx="3">
                  <c:v>19.349315068493151</c:v>
                </c:pt>
                <c:pt idx="4">
                  <c:v>58.561643835616437</c:v>
                </c:pt>
                <c:pt idx="5">
                  <c:v>1.3698630136986301</c:v>
                </c:pt>
              </c:numCache>
            </c:numRef>
          </c:val>
          <c:extLst>
            <c:ext xmlns:c16="http://schemas.microsoft.com/office/drawing/2014/chart" uri="{C3380CC4-5D6E-409C-BE32-E72D297353CC}">
              <c16:uniqueId val="{00000006-5DB6-41B4-ACC0-9C3F095B95E4}"/>
            </c:ext>
          </c:extLst>
        </c:ser>
        <c:dLbls>
          <c:showLegendKey val="0"/>
          <c:showVal val="0"/>
          <c:showCatName val="0"/>
          <c:showSerName val="0"/>
          <c:showPercent val="1"/>
          <c:showBubbleSize val="0"/>
          <c:showLeaderLines val="1"/>
        </c:dLbls>
        <c:firstSliceAng val="0"/>
      </c:pieChart>
      <c:spPr>
        <a:noFill/>
        <a:ln w="25400">
          <a:noFill/>
        </a:ln>
      </c:spPr>
    </c:plotArea>
    <c:legend>
      <c:legendPos val="r"/>
      <c:layout>
        <c:manualLayout>
          <c:xMode val="edge"/>
          <c:yMode val="edge"/>
          <c:x val="0.63926131150083665"/>
          <c:y val="0.27158798587689431"/>
          <c:w val="0.3164659957924934"/>
          <c:h val="0.61686263458860491"/>
        </c:manualLayout>
      </c:layout>
      <c:overlay val="0"/>
      <c:spPr>
        <a:solidFill>
          <a:srgbClr val="FFFFFF"/>
        </a:solidFill>
        <a:ln w="3175">
          <a:solidFill>
            <a:srgbClr val="000000"/>
          </a:solidFill>
          <a:prstDash val="solid"/>
        </a:ln>
      </c:spPr>
      <c:txPr>
        <a:bodyPr/>
        <a:lstStyle/>
        <a:p>
          <a:pPr>
            <a:defRPr sz="985" b="0" i="0" u="none" strike="noStrike" baseline="0">
              <a:solidFill>
                <a:srgbClr val="000000"/>
              </a:solidFill>
              <a:latin typeface="Arial"/>
              <a:ea typeface="Arial"/>
              <a:cs typeface="Arial"/>
            </a:defRPr>
          </a:pPr>
          <a:endParaRPr lang="en-US"/>
        </a:p>
      </c:txPr>
    </c:legend>
    <c:plotVisOnly val="1"/>
    <c:dispBlanksAs val="zero"/>
    <c:showDLblsOverMax val="0"/>
  </c:chart>
  <c:spPr>
    <a:solidFill>
      <a:srgbClr val="FFFFFF"/>
    </a:solidFill>
    <a:ln w="3175">
      <a:solidFill>
        <a:srgbClr val="000000"/>
      </a:solidFill>
      <a:prstDash val="solid"/>
    </a:ln>
  </c:spPr>
  <c:txPr>
    <a:bodyPr/>
    <a:lstStyle/>
    <a:p>
      <a:pPr>
        <a:defRPr sz="10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GB"/>
              <a:t>Calls by Resolution</a:t>
            </a:r>
          </a:p>
        </c:rich>
      </c:tx>
      <c:layout>
        <c:manualLayout>
          <c:xMode val="edge"/>
          <c:yMode val="edge"/>
          <c:x val="0.36648537956173916"/>
          <c:y val="3.5790664805482195E-2"/>
        </c:manualLayout>
      </c:layout>
      <c:overlay val="0"/>
      <c:spPr>
        <a:noFill/>
        <a:ln w="25400">
          <a:noFill/>
        </a:ln>
      </c:spPr>
    </c:title>
    <c:autoTitleDeleted val="0"/>
    <c:plotArea>
      <c:layout>
        <c:manualLayout>
          <c:layoutTarget val="inner"/>
          <c:xMode val="edge"/>
          <c:yMode val="edge"/>
          <c:x val="0.30405569345343025"/>
          <c:y val="0.33895864904015488"/>
          <c:w val="0.26474811331116171"/>
          <c:h val="0.48212130826208366"/>
        </c:manualLayout>
      </c:layout>
      <c:pieChart>
        <c:varyColors val="1"/>
        <c:ser>
          <c:idx val="0"/>
          <c:order val="0"/>
          <c:spPr>
            <a:solidFill>
              <a:srgbClr val="9999FF"/>
            </a:solidFill>
            <a:ln w="12700">
              <a:solidFill>
                <a:srgbClr val="000000"/>
              </a:solidFill>
              <a:prstDash val="solid"/>
            </a:ln>
          </c:spPr>
          <c:dPt>
            <c:idx val="0"/>
            <c:bubble3D val="0"/>
            <c:extLst>
              <c:ext xmlns:c16="http://schemas.microsoft.com/office/drawing/2014/chart" uri="{C3380CC4-5D6E-409C-BE32-E72D297353CC}">
                <c16:uniqueId val="{00000000-CFFC-4B9B-8B66-81E7098D9E82}"/>
              </c:ext>
            </c:extLst>
          </c:dPt>
          <c:dPt>
            <c:idx val="1"/>
            <c:bubble3D val="0"/>
            <c:spPr>
              <a:solidFill>
                <a:srgbClr val="993366"/>
              </a:solidFill>
              <a:ln w="12700">
                <a:solidFill>
                  <a:srgbClr val="000000"/>
                </a:solidFill>
                <a:prstDash val="solid"/>
              </a:ln>
            </c:spPr>
            <c:extLst>
              <c:ext xmlns:c16="http://schemas.microsoft.com/office/drawing/2014/chart" uri="{C3380CC4-5D6E-409C-BE32-E72D297353CC}">
                <c16:uniqueId val="{00000001-CFFC-4B9B-8B66-81E7098D9E82}"/>
              </c:ext>
            </c:extLst>
          </c:dPt>
          <c:dPt>
            <c:idx val="2"/>
            <c:bubble3D val="0"/>
            <c:spPr>
              <a:solidFill>
                <a:srgbClr val="FFFFCC"/>
              </a:solidFill>
              <a:ln w="12700">
                <a:solidFill>
                  <a:srgbClr val="000000"/>
                </a:solidFill>
                <a:prstDash val="solid"/>
              </a:ln>
            </c:spPr>
            <c:extLst>
              <c:ext xmlns:c16="http://schemas.microsoft.com/office/drawing/2014/chart" uri="{C3380CC4-5D6E-409C-BE32-E72D297353CC}">
                <c16:uniqueId val="{00000002-CFFC-4B9B-8B66-81E7098D9E82}"/>
              </c:ext>
            </c:extLst>
          </c:dPt>
          <c:dPt>
            <c:idx val="3"/>
            <c:bubble3D val="0"/>
            <c:spPr>
              <a:solidFill>
                <a:srgbClr val="CCFFFF"/>
              </a:solidFill>
              <a:ln w="12700">
                <a:solidFill>
                  <a:srgbClr val="000000"/>
                </a:solidFill>
                <a:prstDash val="solid"/>
              </a:ln>
            </c:spPr>
            <c:extLst>
              <c:ext xmlns:c16="http://schemas.microsoft.com/office/drawing/2014/chart" uri="{C3380CC4-5D6E-409C-BE32-E72D297353CC}">
                <c16:uniqueId val="{00000003-CFFC-4B9B-8B66-81E7098D9E82}"/>
              </c:ext>
            </c:extLst>
          </c:dPt>
          <c:dPt>
            <c:idx val="4"/>
            <c:bubble3D val="0"/>
            <c:spPr>
              <a:solidFill>
                <a:srgbClr val="660066"/>
              </a:solidFill>
              <a:ln w="12700">
                <a:solidFill>
                  <a:srgbClr val="000000"/>
                </a:solidFill>
                <a:prstDash val="solid"/>
              </a:ln>
            </c:spPr>
            <c:extLst>
              <c:ext xmlns:c16="http://schemas.microsoft.com/office/drawing/2014/chart" uri="{C3380CC4-5D6E-409C-BE32-E72D297353CC}">
                <c16:uniqueId val="{00000004-CFFC-4B9B-8B66-81E7098D9E82}"/>
              </c:ext>
            </c:extLst>
          </c:dPt>
          <c:dLbls>
            <c:numFmt formatCode="0%" sourceLinked="0"/>
            <c:spPr>
              <a:noFill/>
              <a:ln w="25400">
                <a:noFill/>
              </a:ln>
            </c:spPr>
            <c:txPr>
              <a:bodyPr wrap="square" lIns="38100" tIns="19050" rIns="38100" bIns="19050" anchor="ctr">
                <a:spAutoFit/>
              </a:bodyPr>
              <a:lstStyle/>
              <a:p>
                <a:pPr>
                  <a:defRPr sz="1050" b="0" i="0" u="none" strike="noStrike" baseline="0">
                    <a:solidFill>
                      <a:srgbClr val="000000"/>
                    </a:solidFill>
                    <a:latin typeface="Arial"/>
                    <a:ea typeface="Arial"/>
                    <a:cs typeface="Aria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'Calls by Resolution'!$B$6:$F$6</c:f>
              <c:strCache>
                <c:ptCount val="5"/>
                <c:pt idx="0">
                  <c:v>Completed</c:v>
                </c:pt>
                <c:pt idx="1">
                  <c:v>Referred / In Process</c:v>
                </c:pt>
                <c:pt idx="2">
                  <c:v>Disconnected, continued later</c:v>
                </c:pt>
                <c:pt idx="3">
                  <c:v>Disconnected, not continued</c:v>
                </c:pt>
                <c:pt idx="4">
                  <c:v>No librarian logged on</c:v>
                </c:pt>
              </c:strCache>
            </c:strRef>
          </c:cat>
          <c:val>
            <c:numRef>
              <c:f>'Calls by Resolution'!$B$8:$F$8</c:f>
              <c:numCache>
                <c:formatCode>General</c:formatCode>
                <c:ptCount val="5"/>
                <c:pt idx="0">
                  <c:v>59.230769230769234</c:v>
                </c:pt>
                <c:pt idx="1">
                  <c:v>9.2307692307692317</c:v>
                </c:pt>
                <c:pt idx="2">
                  <c:v>8.615384615384615</c:v>
                </c:pt>
                <c:pt idx="3">
                  <c:v>20.923076923076923</c:v>
                </c:pt>
                <c:pt idx="4">
                  <c:v>2</c:v>
                </c:pt>
              </c:numCache>
            </c:numRef>
          </c:val>
          <c:extLst>
            <c:ext xmlns:c16="http://schemas.microsoft.com/office/drawing/2014/chart" uri="{C3380CC4-5D6E-409C-BE32-E72D297353CC}">
              <c16:uniqueId val="{00000005-CFFC-4B9B-8B66-81E7098D9E82}"/>
            </c:ext>
          </c:extLst>
        </c:ser>
        <c:dLbls>
          <c:showLegendKey val="0"/>
          <c:showVal val="0"/>
          <c:showCatName val="0"/>
          <c:showSerName val="0"/>
          <c:showPercent val="1"/>
          <c:showBubbleSize val="0"/>
          <c:showLeaderLines val="1"/>
        </c:dLbls>
        <c:firstSliceAng val="0"/>
      </c:pieChart>
      <c:spPr>
        <a:noFill/>
        <a:ln w="25400">
          <a:noFill/>
        </a:ln>
      </c:spPr>
    </c:plotArea>
    <c:legend>
      <c:legendPos val="r"/>
      <c:layout>
        <c:manualLayout>
          <c:xMode val="edge"/>
          <c:yMode val="edge"/>
          <c:x val="0.68325823129649155"/>
          <c:y val="0.27158798587689431"/>
          <c:w val="0.21734779608077906"/>
          <c:h val="0.61686263458860491"/>
        </c:manualLayout>
      </c:layout>
      <c:overlay val="0"/>
      <c:spPr>
        <a:solidFill>
          <a:srgbClr val="FFFFFF"/>
        </a:solidFill>
        <a:ln w="3175">
          <a:solidFill>
            <a:srgbClr val="000000"/>
          </a:solidFill>
          <a:prstDash val="solid"/>
        </a:ln>
      </c:spPr>
      <c:txPr>
        <a:bodyPr/>
        <a:lstStyle/>
        <a:p>
          <a:pPr>
            <a:defRPr sz="985" b="0" i="0" u="none" strike="noStrike" baseline="0">
              <a:solidFill>
                <a:srgbClr val="000000"/>
              </a:solidFill>
              <a:latin typeface="Arial"/>
              <a:ea typeface="Arial"/>
              <a:cs typeface="Arial"/>
            </a:defRPr>
          </a:pPr>
          <a:endParaRPr lang="en-US"/>
        </a:p>
      </c:txPr>
    </c:legend>
    <c:plotVisOnly val="1"/>
    <c:dispBlanksAs val="zero"/>
    <c:showDLblsOverMax val="0"/>
  </c:chart>
  <c:spPr>
    <a:solidFill>
      <a:srgbClr val="FFFFFF"/>
    </a:solidFill>
    <a:ln w="3175">
      <a:solidFill>
        <a:srgbClr val="000000"/>
      </a:solidFill>
      <a:prstDash val="solid"/>
    </a:ln>
  </c:spPr>
  <c:txPr>
    <a:bodyPr/>
    <a:lstStyle/>
    <a:p>
      <a:pPr>
        <a:defRPr sz="105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12700</xdr:colOff>
      <xdr:row>14</xdr:row>
      <xdr:rowOff>0</xdr:rowOff>
    </xdr:from>
    <xdr:to>
      <xdr:col>5</xdr:col>
      <xdr:colOff>0</xdr:colOff>
      <xdr:row>33</xdr:row>
      <xdr:rowOff>0</xdr:rowOff>
    </xdr:to>
    <xdr:graphicFrame macro="">
      <xdr:nvGraphicFramePr>
        <xdr:cNvPr id="1025" name="Chart 1">
          <a:extLst>
            <a:ext uri="{FF2B5EF4-FFF2-40B4-BE49-F238E27FC236}">
              <a16:creationId xmlns:a16="http://schemas.microsoft.com/office/drawing/2014/main" id="{B6F89912-0A1A-43B7-AB3B-E9F56322E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xdr:colOff>
      <xdr:row>9</xdr:row>
      <xdr:rowOff>0</xdr:rowOff>
    </xdr:from>
    <xdr:to>
      <xdr:col>9</xdr:col>
      <xdr:colOff>0</xdr:colOff>
      <xdr:row>28</xdr:row>
      <xdr:rowOff>0</xdr:rowOff>
    </xdr:to>
    <xdr:graphicFrame macro="">
      <xdr:nvGraphicFramePr>
        <xdr:cNvPr id="2049" name="Chart 1">
          <a:extLst>
            <a:ext uri="{FF2B5EF4-FFF2-40B4-BE49-F238E27FC236}">
              <a16:creationId xmlns:a16="http://schemas.microsoft.com/office/drawing/2014/main" id="{7011748D-4366-4C22-844F-4A4D21574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12700</xdr:colOff>
      <xdr:row>28</xdr:row>
      <xdr:rowOff>0</xdr:rowOff>
    </xdr:from>
    <xdr:to>
      <xdr:col>9</xdr:col>
      <xdr:colOff>0</xdr:colOff>
      <xdr:row>47</xdr:row>
      <xdr:rowOff>0</xdr:rowOff>
    </xdr:to>
    <xdr:graphicFrame macro="">
      <xdr:nvGraphicFramePr>
        <xdr:cNvPr id="2050" name="Chart 2">
          <a:extLst>
            <a:ext uri="{FF2B5EF4-FFF2-40B4-BE49-F238E27FC236}">
              <a16:creationId xmlns:a16="http://schemas.microsoft.com/office/drawing/2014/main" id="{32050238-C94B-4B7A-A6ED-44B9B1F1D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12700</xdr:colOff>
      <xdr:row>9</xdr:row>
      <xdr:rowOff>0</xdr:rowOff>
    </xdr:from>
    <xdr:to>
      <xdr:col>10</xdr:col>
      <xdr:colOff>0</xdr:colOff>
      <xdr:row>28</xdr:row>
      <xdr:rowOff>0</xdr:rowOff>
    </xdr:to>
    <xdr:graphicFrame macro="">
      <xdr:nvGraphicFramePr>
        <xdr:cNvPr id="3073" name="Chart 1">
          <a:extLst>
            <a:ext uri="{FF2B5EF4-FFF2-40B4-BE49-F238E27FC236}">
              <a16:creationId xmlns:a16="http://schemas.microsoft.com/office/drawing/2014/main" id="{0DAA62D7-6781-4DB6-9F27-911A02810F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10</xdr:row>
      <xdr:rowOff>0</xdr:rowOff>
    </xdr:from>
    <xdr:to>
      <xdr:col>8</xdr:col>
      <xdr:colOff>203200</xdr:colOff>
      <xdr:row>29</xdr:row>
      <xdr:rowOff>0</xdr:rowOff>
    </xdr:to>
    <xdr:graphicFrame macro="">
      <xdr:nvGraphicFramePr>
        <xdr:cNvPr id="4097" name="Chart 1">
          <a:extLst>
            <a:ext uri="{FF2B5EF4-FFF2-40B4-BE49-F238E27FC236}">
              <a16:creationId xmlns:a16="http://schemas.microsoft.com/office/drawing/2014/main" id="{F68625F2-1D0C-4186-8A13-9D8F86590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10</xdr:row>
      <xdr:rowOff>0</xdr:rowOff>
    </xdr:from>
    <xdr:to>
      <xdr:col>8</xdr:col>
      <xdr:colOff>0</xdr:colOff>
      <xdr:row>29</xdr:row>
      <xdr:rowOff>0</xdr:rowOff>
    </xdr:to>
    <xdr:graphicFrame macro="">
      <xdr:nvGraphicFramePr>
        <xdr:cNvPr id="5121" name="Chart 1">
          <a:extLst>
            <a:ext uri="{FF2B5EF4-FFF2-40B4-BE49-F238E27FC236}">
              <a16:creationId xmlns:a16="http://schemas.microsoft.com/office/drawing/2014/main" id="{AB03BA54-55DA-46C9-BA4A-80C73E779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330200</xdr:colOff>
      <xdr:row>10</xdr:row>
      <xdr:rowOff>0</xdr:rowOff>
    </xdr:from>
    <xdr:to>
      <xdr:col>6</xdr:col>
      <xdr:colOff>0</xdr:colOff>
      <xdr:row>29</xdr:row>
      <xdr:rowOff>0</xdr:rowOff>
    </xdr:to>
    <xdr:graphicFrame macro="">
      <xdr:nvGraphicFramePr>
        <xdr:cNvPr id="6145" name="Chart 1">
          <a:extLst>
            <a:ext uri="{FF2B5EF4-FFF2-40B4-BE49-F238E27FC236}">
              <a16:creationId xmlns:a16="http://schemas.microsoft.com/office/drawing/2014/main" id="{DB5E667B-3D9E-41C7-9ED5-72E4B9B9BD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10</xdr:row>
      <xdr:rowOff>0</xdr:rowOff>
    </xdr:from>
    <xdr:to>
      <xdr:col>6</xdr:col>
      <xdr:colOff>0</xdr:colOff>
      <xdr:row>29</xdr:row>
      <xdr:rowOff>0</xdr:rowOff>
    </xdr:to>
    <xdr:graphicFrame macro="">
      <xdr:nvGraphicFramePr>
        <xdr:cNvPr id="7169" name="Chart 1">
          <a:extLst>
            <a:ext uri="{FF2B5EF4-FFF2-40B4-BE49-F238E27FC236}">
              <a16:creationId xmlns:a16="http://schemas.microsoft.com/office/drawing/2014/main" id="{DAEBECF6-C303-477C-9F1F-5DCE95E51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E45"/>
  <sheetViews>
    <sheetView tabSelected="1" workbookViewId="0">
      <selection sqref="A1:E1"/>
    </sheetView>
  </sheetViews>
  <sheetFormatPr defaultRowHeight="12.5" x14ac:dyDescent="0.25"/>
  <cols>
    <col min="2" max="4" width="20.7265625" customWidth="1"/>
  </cols>
  <sheetData>
    <row r="1" spans="1:5" ht="22.5" x14ac:dyDescent="0.45">
      <c r="A1" s="22" t="s">
        <v>766</v>
      </c>
      <c r="B1" s="23"/>
      <c r="C1" s="23"/>
      <c r="D1" s="23"/>
      <c r="E1" s="24"/>
    </row>
    <row r="2" spans="1:5" ht="15.5" x14ac:dyDescent="0.35">
      <c r="A2" s="25" t="s">
        <v>834</v>
      </c>
      <c r="B2" s="26"/>
      <c r="C2" s="26"/>
      <c r="D2" s="26"/>
      <c r="E2" s="27"/>
    </row>
    <row r="3" spans="1:5" ht="16" thickBot="1" x14ac:dyDescent="0.4">
      <c r="A3" s="28" t="s">
        <v>833</v>
      </c>
      <c r="B3" s="29"/>
      <c r="C3" s="29"/>
      <c r="D3" s="29"/>
      <c r="E3" s="30"/>
    </row>
    <row r="6" spans="1:5" ht="30" customHeight="1" x14ac:dyDescent="0.25">
      <c r="B6" s="2" t="s">
        <v>767</v>
      </c>
      <c r="C6" s="3" t="s">
        <v>772</v>
      </c>
      <c r="D6" s="3" t="s">
        <v>771</v>
      </c>
    </row>
    <row r="7" spans="1:5" ht="30" customHeight="1" x14ac:dyDescent="0.25">
      <c r="B7" s="4">
        <f>'Weekly Chart'!H19</f>
        <v>584</v>
      </c>
      <c r="C7" s="4">
        <v>506</v>
      </c>
      <c r="D7" s="21">
        <f>B7/C7</f>
        <v>1.1541501976284585</v>
      </c>
    </row>
    <row r="9" spans="1:5" ht="30" customHeight="1" x14ac:dyDescent="0.25">
      <c r="B9" s="3" t="s">
        <v>773</v>
      </c>
      <c r="C9" s="3" t="s">
        <v>770</v>
      </c>
      <c r="D9" s="3" t="s">
        <v>768</v>
      </c>
    </row>
    <row r="10" spans="1:5" ht="30" customHeight="1" x14ac:dyDescent="0.25">
      <c r="B10" s="4">
        <v>16.09</v>
      </c>
      <c r="C10" s="4">
        <v>11</v>
      </c>
      <c r="D10" s="4">
        <v>7</v>
      </c>
    </row>
    <row r="35" spans="2:4" x14ac:dyDescent="0.25">
      <c r="C35" s="6" t="s">
        <v>774</v>
      </c>
      <c r="D35" s="6">
        <v>14</v>
      </c>
    </row>
    <row r="36" spans="2:4" x14ac:dyDescent="0.25">
      <c r="B36" s="1" t="s">
        <v>769</v>
      </c>
      <c r="C36" s="6" t="s">
        <v>775</v>
      </c>
      <c r="D36" s="6">
        <v>45</v>
      </c>
    </row>
    <row r="37" spans="2:4" x14ac:dyDescent="0.25">
      <c r="B37" s="5">
        <v>37971</v>
      </c>
      <c r="C37" s="6" t="s">
        <v>776</v>
      </c>
      <c r="D37" s="6">
        <v>93</v>
      </c>
    </row>
    <row r="38" spans="2:4" x14ac:dyDescent="0.25">
      <c r="C38" s="6" t="s">
        <v>777</v>
      </c>
      <c r="D38" s="6">
        <v>114</v>
      </c>
    </row>
    <row r="39" spans="2:4" x14ac:dyDescent="0.25">
      <c r="C39" s="6" t="s">
        <v>778</v>
      </c>
      <c r="D39" s="6">
        <v>200</v>
      </c>
    </row>
    <row r="40" spans="2:4" x14ac:dyDescent="0.25">
      <c r="C40" s="6" t="s">
        <v>779</v>
      </c>
      <c r="D40" s="6">
        <v>155</v>
      </c>
    </row>
    <row r="41" spans="2:4" x14ac:dyDescent="0.25">
      <c r="C41" s="6" t="s">
        <v>780</v>
      </c>
      <c r="D41" s="6">
        <v>316</v>
      </c>
    </row>
    <row r="42" spans="2:4" x14ac:dyDescent="0.25">
      <c r="C42" s="6" t="s">
        <v>781</v>
      </c>
      <c r="D42" s="6">
        <v>358</v>
      </c>
    </row>
    <row r="43" spans="2:4" x14ac:dyDescent="0.25">
      <c r="C43" s="6" t="s">
        <v>782</v>
      </c>
      <c r="D43" s="6">
        <v>377</v>
      </c>
    </row>
    <row r="44" spans="2:4" x14ac:dyDescent="0.25">
      <c r="C44" s="6" t="s">
        <v>783</v>
      </c>
      <c r="D44" s="6">
        <v>294</v>
      </c>
    </row>
    <row r="45" spans="2:4" x14ac:dyDescent="0.25">
      <c r="C45" s="6" t="s">
        <v>835</v>
      </c>
      <c r="D45" s="6">
        <v>584</v>
      </c>
    </row>
  </sheetData>
  <mergeCells count="3">
    <mergeCell ref="A1:E1"/>
    <mergeCell ref="A2:E2"/>
    <mergeCell ref="A3:E3"/>
  </mergeCells>
  <phoneticPr fontId="3" type="noConversion"/>
  <printOptions horizontalCentered="1"/>
  <pageMargins left="0.75" right="0.75" top="1" bottom="1" header="0.5" footer="0.5"/>
  <pageSetup orientation="portrait" r:id="rId1"/>
  <headerFooter alignWithMargins="0">
    <oddFooter>&amp;C&amp;A</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I24"/>
  <sheetViews>
    <sheetView workbookViewId="0">
      <selection sqref="A1:I1"/>
    </sheetView>
  </sheetViews>
  <sheetFormatPr defaultRowHeight="12.5" x14ac:dyDescent="0.25"/>
  <cols>
    <col min="2" max="2" width="10.7265625" bestFit="1" customWidth="1"/>
    <col min="9" max="9" width="27.453125" bestFit="1" customWidth="1"/>
  </cols>
  <sheetData>
    <row r="1" spans="1:9" ht="22.5" x14ac:dyDescent="0.45">
      <c r="A1" s="22" t="str">
        <f>'Final Report'!A1</f>
        <v>Digital Reference Statistics</v>
      </c>
      <c r="B1" s="23"/>
      <c r="C1" s="23"/>
      <c r="D1" s="23"/>
      <c r="E1" s="23"/>
      <c r="F1" s="23"/>
      <c r="G1" s="23"/>
      <c r="H1" s="23"/>
      <c r="I1" s="24"/>
    </row>
    <row r="2" spans="1:9" ht="15.5" x14ac:dyDescent="0.35">
      <c r="A2" s="25" t="str">
        <f>'Final Report'!A2</f>
        <v>Fall Quarter 2003 (9/29 - 12/12)</v>
      </c>
      <c r="B2" s="26"/>
      <c r="C2" s="26"/>
      <c r="D2" s="26"/>
      <c r="E2" s="26"/>
      <c r="F2" s="26"/>
      <c r="G2" s="26"/>
      <c r="H2" s="26"/>
      <c r="I2" s="27"/>
    </row>
    <row r="3" spans="1:9" ht="16" thickBot="1" x14ac:dyDescent="0.4">
      <c r="A3" s="28" t="str">
        <f>'Final Report'!A3</f>
        <v>Hours: M-Th 11-9, F 11-5</v>
      </c>
      <c r="B3" s="29"/>
      <c r="C3" s="29"/>
      <c r="D3" s="29"/>
      <c r="E3" s="29"/>
      <c r="F3" s="29"/>
      <c r="G3" s="29"/>
      <c r="H3" s="29"/>
      <c r="I3" s="30"/>
    </row>
    <row r="6" spans="1:9" x14ac:dyDescent="0.25">
      <c r="A6" s="33" t="s">
        <v>784</v>
      </c>
      <c r="B6" s="33"/>
      <c r="C6" s="9" t="s">
        <v>785</v>
      </c>
      <c r="D6" s="9" t="s">
        <v>786</v>
      </c>
      <c r="E6" s="9" t="s">
        <v>787</v>
      </c>
      <c r="F6" s="9" t="s">
        <v>788</v>
      </c>
      <c r="G6" s="9" t="s">
        <v>789</v>
      </c>
      <c r="H6" s="9" t="s">
        <v>791</v>
      </c>
      <c r="I6" s="9" t="s">
        <v>790</v>
      </c>
    </row>
    <row r="7" spans="1:9" x14ac:dyDescent="0.25">
      <c r="A7" s="10">
        <v>1</v>
      </c>
      <c r="B7" s="11" t="s">
        <v>836</v>
      </c>
      <c r="C7" s="8">
        <v>12</v>
      </c>
      <c r="D7" s="8">
        <v>10</v>
      </c>
      <c r="E7" s="8">
        <v>8</v>
      </c>
      <c r="F7" s="8">
        <v>6</v>
      </c>
      <c r="G7" s="8">
        <v>5</v>
      </c>
      <c r="H7" s="8">
        <f>SUM(C7:G7)</f>
        <v>41</v>
      </c>
      <c r="I7" s="8"/>
    </row>
    <row r="8" spans="1:9" ht="12.75" customHeight="1" x14ac:dyDescent="0.25">
      <c r="A8" s="10">
        <v>2</v>
      </c>
      <c r="B8" s="11" t="s">
        <v>837</v>
      </c>
      <c r="C8" s="8">
        <v>6</v>
      </c>
      <c r="D8" s="8">
        <v>12</v>
      </c>
      <c r="E8" s="8">
        <v>13</v>
      </c>
      <c r="F8" s="8">
        <v>12</v>
      </c>
      <c r="G8" s="8">
        <v>4</v>
      </c>
      <c r="H8" s="8">
        <f t="shared" ref="H8:H17" si="0">SUM(C8:G8)</f>
        <v>47</v>
      </c>
      <c r="I8" s="8"/>
    </row>
    <row r="9" spans="1:9" x14ac:dyDescent="0.25">
      <c r="A9" s="10">
        <v>3</v>
      </c>
      <c r="B9" s="11" t="s">
        <v>838</v>
      </c>
      <c r="C9" s="8">
        <v>12</v>
      </c>
      <c r="D9" s="8">
        <v>11</v>
      </c>
      <c r="E9" s="8">
        <v>14</v>
      </c>
      <c r="F9" s="8">
        <v>13</v>
      </c>
      <c r="G9" s="8">
        <v>6</v>
      </c>
      <c r="H9" s="8">
        <f>SUM(C9:G9)</f>
        <v>56</v>
      </c>
      <c r="I9" s="8"/>
    </row>
    <row r="10" spans="1:9" x14ac:dyDescent="0.25">
      <c r="A10" s="10">
        <v>4</v>
      </c>
      <c r="B10" s="11" t="s">
        <v>839</v>
      </c>
      <c r="C10" s="8">
        <v>12</v>
      </c>
      <c r="D10" s="8">
        <v>17</v>
      </c>
      <c r="E10" s="8">
        <v>6</v>
      </c>
      <c r="F10" s="8">
        <v>8</v>
      </c>
      <c r="G10" s="8">
        <v>7</v>
      </c>
      <c r="H10" s="8">
        <f t="shared" si="0"/>
        <v>50</v>
      </c>
      <c r="I10" s="8"/>
    </row>
    <row r="11" spans="1:9" x14ac:dyDescent="0.25">
      <c r="A11" s="10">
        <v>5</v>
      </c>
      <c r="B11" s="11" t="s">
        <v>840</v>
      </c>
      <c r="C11" s="8">
        <v>16</v>
      </c>
      <c r="D11" s="8">
        <v>12</v>
      </c>
      <c r="E11" s="8">
        <v>12</v>
      </c>
      <c r="F11" s="8">
        <v>12</v>
      </c>
      <c r="G11" s="8">
        <v>4</v>
      </c>
      <c r="H11" s="8">
        <f t="shared" si="0"/>
        <v>56</v>
      </c>
      <c r="I11" s="8"/>
    </row>
    <row r="12" spans="1:9" x14ac:dyDescent="0.25">
      <c r="A12" s="10">
        <v>6</v>
      </c>
      <c r="B12" s="12" t="s">
        <v>841</v>
      </c>
      <c r="C12" s="8">
        <v>14</v>
      </c>
      <c r="D12" s="8">
        <v>14</v>
      </c>
      <c r="E12" s="8">
        <v>14</v>
      </c>
      <c r="F12" s="8">
        <v>11</v>
      </c>
      <c r="G12" s="8">
        <v>4</v>
      </c>
      <c r="H12" s="8">
        <f t="shared" si="0"/>
        <v>57</v>
      </c>
      <c r="I12" s="8"/>
    </row>
    <row r="13" spans="1:9" x14ac:dyDescent="0.25">
      <c r="A13" s="10">
        <v>7</v>
      </c>
      <c r="B13" s="11" t="s">
        <v>842</v>
      </c>
      <c r="C13" s="8">
        <v>13</v>
      </c>
      <c r="D13" s="8"/>
      <c r="E13" s="8">
        <v>15</v>
      </c>
      <c r="F13" s="8">
        <v>10</v>
      </c>
      <c r="G13" s="8">
        <v>13</v>
      </c>
      <c r="H13" s="8">
        <f t="shared" si="0"/>
        <v>51</v>
      </c>
      <c r="I13" s="8" t="s">
        <v>524</v>
      </c>
    </row>
    <row r="14" spans="1:9" ht="12.75" customHeight="1" x14ac:dyDescent="0.25">
      <c r="A14" s="10">
        <v>8</v>
      </c>
      <c r="B14" s="11" t="s">
        <v>843</v>
      </c>
      <c r="C14" s="8">
        <v>22</v>
      </c>
      <c r="D14" s="8">
        <v>14</v>
      </c>
      <c r="E14" s="8">
        <v>19</v>
      </c>
      <c r="F14" s="8">
        <v>20</v>
      </c>
      <c r="G14" s="8">
        <v>8</v>
      </c>
      <c r="H14" s="8">
        <f t="shared" si="0"/>
        <v>83</v>
      </c>
      <c r="I14" s="8" t="s">
        <v>523</v>
      </c>
    </row>
    <row r="15" spans="1:9" x14ac:dyDescent="0.25">
      <c r="A15" s="10">
        <v>9</v>
      </c>
      <c r="B15" s="11" t="s">
        <v>844</v>
      </c>
      <c r="C15" s="8">
        <v>20</v>
      </c>
      <c r="D15" s="8">
        <v>19</v>
      </c>
      <c r="E15" s="8">
        <v>10</v>
      </c>
      <c r="F15" s="8"/>
      <c r="G15" s="8"/>
      <c r="H15" s="8">
        <f t="shared" si="0"/>
        <v>49</v>
      </c>
      <c r="I15" s="8" t="s">
        <v>900</v>
      </c>
    </row>
    <row r="16" spans="1:9" x14ac:dyDescent="0.25">
      <c r="A16" s="10">
        <v>10</v>
      </c>
      <c r="B16" s="11" t="s">
        <v>845</v>
      </c>
      <c r="C16" s="8">
        <v>10</v>
      </c>
      <c r="D16" s="8">
        <v>15</v>
      </c>
      <c r="E16" s="8">
        <v>10</v>
      </c>
      <c r="F16" s="8">
        <v>7</v>
      </c>
      <c r="G16" s="8">
        <v>11</v>
      </c>
      <c r="H16" s="8">
        <f t="shared" si="0"/>
        <v>53</v>
      </c>
      <c r="I16" s="8"/>
    </row>
    <row r="17" spans="1:9" x14ac:dyDescent="0.25">
      <c r="A17" s="10">
        <v>11</v>
      </c>
      <c r="B17" s="11" t="s">
        <v>846</v>
      </c>
      <c r="C17" s="8">
        <v>16</v>
      </c>
      <c r="D17" s="8">
        <v>11</v>
      </c>
      <c r="E17" s="8">
        <v>2</v>
      </c>
      <c r="F17" s="8">
        <v>9</v>
      </c>
      <c r="G17" s="8">
        <v>3</v>
      </c>
      <c r="H17" s="8">
        <f t="shared" si="0"/>
        <v>41</v>
      </c>
      <c r="I17" s="8"/>
    </row>
    <row r="18" spans="1:9" x14ac:dyDescent="0.25">
      <c r="A18" s="1"/>
      <c r="B18" s="1"/>
    </row>
    <row r="19" spans="1:9" x14ac:dyDescent="0.25">
      <c r="A19" s="9" t="s">
        <v>791</v>
      </c>
      <c r="B19" s="32" t="s">
        <v>847</v>
      </c>
      <c r="C19" s="8">
        <f t="shared" ref="C19:H19" si="1">SUM(C7:C17)</f>
        <v>153</v>
      </c>
      <c r="D19" s="8">
        <f t="shared" si="1"/>
        <v>135</v>
      </c>
      <c r="E19" s="8">
        <f t="shared" si="1"/>
        <v>123</v>
      </c>
      <c r="F19" s="8">
        <f t="shared" si="1"/>
        <v>108</v>
      </c>
      <c r="G19" s="8">
        <f t="shared" si="1"/>
        <v>65</v>
      </c>
      <c r="H19" s="8">
        <f t="shared" si="1"/>
        <v>584</v>
      </c>
    </row>
    <row r="20" spans="1:9" x14ac:dyDescent="0.25">
      <c r="A20" s="9" t="s">
        <v>792</v>
      </c>
      <c r="B20" s="32"/>
      <c r="C20" s="8">
        <f t="shared" ref="C20:H20" si="2">AVERAGE(C7:C17)</f>
        <v>13.909090909090908</v>
      </c>
      <c r="D20" s="8">
        <f t="shared" si="2"/>
        <v>13.5</v>
      </c>
      <c r="E20" s="8">
        <f t="shared" si="2"/>
        <v>11.181818181818182</v>
      </c>
      <c r="F20" s="8">
        <f t="shared" si="2"/>
        <v>10.8</v>
      </c>
      <c r="G20" s="8">
        <f t="shared" si="2"/>
        <v>6.5</v>
      </c>
      <c r="H20" s="8">
        <f t="shared" si="2"/>
        <v>53.090909090909093</v>
      </c>
    </row>
    <row r="23" spans="1:9" x14ac:dyDescent="0.25">
      <c r="A23" s="34" t="str">
        <f>'Final Report'!B36</f>
        <v>Last updated:</v>
      </c>
      <c r="B23" s="34"/>
    </row>
    <row r="24" spans="1:9" x14ac:dyDescent="0.25">
      <c r="A24" s="31">
        <f>'Final Report'!B37</f>
        <v>37971</v>
      </c>
      <c r="B24" s="31"/>
    </row>
  </sheetData>
  <mergeCells count="7">
    <mergeCell ref="A24:B24"/>
    <mergeCell ref="B19:B20"/>
    <mergeCell ref="A6:B6"/>
    <mergeCell ref="A1:I1"/>
    <mergeCell ref="A2:I2"/>
    <mergeCell ref="A3:I3"/>
    <mergeCell ref="A23:B23"/>
  </mergeCells>
  <phoneticPr fontId="3" type="noConversion"/>
  <pageMargins left="0.75" right="0.75" top="1" bottom="1" header="0.5" footer="0.5"/>
  <pageSetup orientation="portrait" r:id="rId1"/>
  <headerFooter alignWithMargins="0">
    <oddFooter>&amp;C&amp;A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I51"/>
  <sheetViews>
    <sheetView workbookViewId="0">
      <selection sqref="A1:I1"/>
    </sheetView>
  </sheetViews>
  <sheetFormatPr defaultRowHeight="12.5" x14ac:dyDescent="0.25"/>
  <sheetData>
    <row r="1" spans="1:9" ht="22.5" x14ac:dyDescent="0.45">
      <c r="A1" s="22" t="str">
        <f>'Final Report'!A1</f>
        <v>Digital Reference Statistics</v>
      </c>
      <c r="B1" s="23"/>
      <c r="C1" s="23"/>
      <c r="D1" s="23"/>
      <c r="E1" s="23"/>
      <c r="F1" s="23"/>
      <c r="G1" s="23"/>
      <c r="H1" s="23"/>
      <c r="I1" s="24"/>
    </row>
    <row r="2" spans="1:9" ht="15.5" x14ac:dyDescent="0.35">
      <c r="A2" s="25" t="str">
        <f>'Final Report'!A2</f>
        <v>Fall Quarter 2003 (9/29 - 12/12)</v>
      </c>
      <c r="B2" s="26"/>
      <c r="C2" s="26"/>
      <c r="D2" s="26"/>
      <c r="E2" s="26"/>
      <c r="F2" s="26"/>
      <c r="G2" s="26"/>
      <c r="H2" s="26"/>
      <c r="I2" s="27"/>
    </row>
    <row r="3" spans="1:9" ht="16" thickBot="1" x14ac:dyDescent="0.4">
      <c r="A3" s="28" t="str">
        <f>'Final Report'!A3</f>
        <v>Hours: M-Th 11-9, F 11-5</v>
      </c>
      <c r="B3" s="29"/>
      <c r="C3" s="29"/>
      <c r="D3" s="29"/>
      <c r="E3" s="29"/>
      <c r="F3" s="29"/>
      <c r="G3" s="29"/>
      <c r="H3" s="29"/>
      <c r="I3" s="30"/>
    </row>
    <row r="6" spans="1:9" ht="30" customHeight="1" x14ac:dyDescent="0.25">
      <c r="C6" s="13" t="s">
        <v>785</v>
      </c>
      <c r="D6" s="13" t="s">
        <v>786</v>
      </c>
      <c r="E6" s="13" t="s">
        <v>787</v>
      </c>
      <c r="F6" s="13" t="s">
        <v>788</v>
      </c>
      <c r="G6" s="13" t="s">
        <v>789</v>
      </c>
    </row>
    <row r="7" spans="1:9" x14ac:dyDescent="0.25">
      <c r="C7" s="7">
        <f>'Weekly Chart'!C19</f>
        <v>153</v>
      </c>
      <c r="D7" s="7">
        <f>'Weekly Chart'!D19</f>
        <v>135</v>
      </c>
      <c r="E7" s="7">
        <f>'Weekly Chart'!E19</f>
        <v>123</v>
      </c>
      <c r="F7" s="7">
        <f>'Weekly Chart'!F19</f>
        <v>108</v>
      </c>
      <c r="G7" s="7">
        <f>'Weekly Chart'!G19</f>
        <v>65</v>
      </c>
    </row>
    <row r="50" spans="1:2" x14ac:dyDescent="0.25">
      <c r="A50" s="34" t="str">
        <f>'Final Report'!B36</f>
        <v>Last updated:</v>
      </c>
      <c r="B50" s="34"/>
    </row>
    <row r="51" spans="1:2" x14ac:dyDescent="0.25">
      <c r="A51" s="31">
        <f>'Final Report'!B37</f>
        <v>37971</v>
      </c>
      <c r="B51" s="31"/>
    </row>
  </sheetData>
  <mergeCells count="5">
    <mergeCell ref="A51:B51"/>
    <mergeCell ref="A1:I1"/>
    <mergeCell ref="A2:I2"/>
    <mergeCell ref="A3:I3"/>
    <mergeCell ref="A50:B50"/>
  </mergeCells>
  <phoneticPr fontId="3" type="noConversion"/>
  <pageMargins left="0.75" right="0.75" top="1" bottom="1" header="0.5" footer="0.5"/>
  <pageSetup scale="97" orientation="portrait" r:id="rId1"/>
  <headerFooter alignWithMargins="0">
    <oddFooter>&amp;C&amp;A</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J32"/>
  <sheetViews>
    <sheetView workbookViewId="0">
      <selection sqref="A1:J1"/>
    </sheetView>
  </sheetViews>
  <sheetFormatPr defaultRowHeight="12.5" x14ac:dyDescent="0.25"/>
  <sheetData>
    <row r="1" spans="1:10" ht="22.5" x14ac:dyDescent="0.45">
      <c r="A1" s="22" t="str">
        <f>'Final Report'!A1</f>
        <v>Digital Reference Statistics</v>
      </c>
      <c r="B1" s="23"/>
      <c r="C1" s="23"/>
      <c r="D1" s="23"/>
      <c r="E1" s="23"/>
      <c r="F1" s="23"/>
      <c r="G1" s="23"/>
      <c r="H1" s="23"/>
      <c r="I1" s="23"/>
      <c r="J1" s="24"/>
    </row>
    <row r="2" spans="1:10" ht="15.5" x14ac:dyDescent="0.35">
      <c r="A2" s="25" t="str">
        <f>'Final Report'!A2</f>
        <v>Fall Quarter 2003 (9/29 - 12/12)</v>
      </c>
      <c r="B2" s="26"/>
      <c r="C2" s="26"/>
      <c r="D2" s="26"/>
      <c r="E2" s="26"/>
      <c r="F2" s="26"/>
      <c r="G2" s="26"/>
      <c r="H2" s="26"/>
      <c r="I2" s="26"/>
      <c r="J2" s="27"/>
    </row>
    <row r="3" spans="1:10" ht="16" thickBot="1" x14ac:dyDescent="0.4">
      <c r="A3" s="28" t="str">
        <f>'Final Report'!A3</f>
        <v>Hours: M-Th 11-9, F 11-5</v>
      </c>
      <c r="B3" s="29"/>
      <c r="C3" s="29"/>
      <c r="D3" s="29"/>
      <c r="E3" s="29"/>
      <c r="F3" s="29"/>
      <c r="G3" s="29"/>
      <c r="H3" s="29"/>
      <c r="I3" s="29"/>
      <c r="J3" s="30"/>
    </row>
    <row r="6" spans="1:10" ht="30" customHeight="1" x14ac:dyDescent="0.25">
      <c r="A6" s="13" t="s">
        <v>793</v>
      </c>
      <c r="B6" s="13" t="s">
        <v>794</v>
      </c>
      <c r="C6" s="13" t="s">
        <v>795</v>
      </c>
      <c r="D6" s="13" t="s">
        <v>796</v>
      </c>
      <c r="E6" s="13" t="s">
        <v>797</v>
      </c>
      <c r="F6" s="13" t="s">
        <v>798</v>
      </c>
      <c r="G6" s="13" t="s">
        <v>799</v>
      </c>
      <c r="H6" s="13" t="s">
        <v>800</v>
      </c>
      <c r="I6" s="13" t="s">
        <v>848</v>
      </c>
      <c r="J6" s="13" t="s">
        <v>849</v>
      </c>
    </row>
    <row r="7" spans="1:10" x14ac:dyDescent="0.25">
      <c r="A7" s="8">
        <v>83</v>
      </c>
      <c r="B7" s="8">
        <v>66</v>
      </c>
      <c r="C7" s="8">
        <v>50</v>
      </c>
      <c r="D7" s="8">
        <v>74</v>
      </c>
      <c r="E7" s="8">
        <v>68</v>
      </c>
      <c r="F7" s="8">
        <v>81</v>
      </c>
      <c r="G7" s="8">
        <v>54</v>
      </c>
      <c r="H7" s="8">
        <v>36</v>
      </c>
      <c r="I7" s="17">
        <v>42</v>
      </c>
      <c r="J7" s="8">
        <v>30</v>
      </c>
    </row>
    <row r="31" spans="1:2" x14ac:dyDescent="0.25">
      <c r="A31" s="34" t="str">
        <f>'Final Report'!B36</f>
        <v>Last updated:</v>
      </c>
      <c r="B31" s="34"/>
    </row>
    <row r="32" spans="1:2" x14ac:dyDescent="0.25">
      <c r="A32" s="31">
        <f>'Final Report'!B37</f>
        <v>37971</v>
      </c>
      <c r="B32" s="31"/>
    </row>
  </sheetData>
  <mergeCells count="5">
    <mergeCell ref="A31:B31"/>
    <mergeCell ref="A32:B32"/>
    <mergeCell ref="A1:J1"/>
    <mergeCell ref="A2:J2"/>
    <mergeCell ref="A3:J3"/>
  </mergeCells>
  <phoneticPr fontId="3" type="noConversion"/>
  <pageMargins left="0.75" right="0.75" top="1" bottom="1" header="0.5" footer="0.5"/>
  <pageSetup scale="99" orientation="portrait" r:id="rId1"/>
  <headerFooter alignWithMargins="0">
    <oddFooter>&amp;C&amp;A</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J33"/>
  <sheetViews>
    <sheetView workbookViewId="0">
      <selection sqref="A1:J1"/>
    </sheetView>
  </sheetViews>
  <sheetFormatPr defaultRowHeight="12.5" x14ac:dyDescent="0.25"/>
  <cols>
    <col min="1" max="1" width="12.26953125" bestFit="1" customWidth="1"/>
  </cols>
  <sheetData>
    <row r="1" spans="1:10" ht="22.5" x14ac:dyDescent="0.45">
      <c r="A1" s="22" t="str">
        <f>'Final Report'!A1</f>
        <v>Digital Reference Statistics</v>
      </c>
      <c r="B1" s="23"/>
      <c r="C1" s="23"/>
      <c r="D1" s="23"/>
      <c r="E1" s="23"/>
      <c r="F1" s="23"/>
      <c r="G1" s="23"/>
      <c r="H1" s="23"/>
      <c r="I1" s="23"/>
      <c r="J1" s="24"/>
    </row>
    <row r="2" spans="1:10" ht="15.5" x14ac:dyDescent="0.35">
      <c r="A2" s="25" t="str">
        <f>'Final Report'!A2</f>
        <v>Fall Quarter 2003 (9/29 - 12/12)</v>
      </c>
      <c r="B2" s="26"/>
      <c r="C2" s="26"/>
      <c r="D2" s="26"/>
      <c r="E2" s="26"/>
      <c r="F2" s="26"/>
      <c r="G2" s="26"/>
      <c r="H2" s="26"/>
      <c r="I2" s="26"/>
      <c r="J2" s="27"/>
    </row>
    <row r="3" spans="1:10" ht="16" thickBot="1" x14ac:dyDescent="0.4">
      <c r="A3" s="28" t="str">
        <f>'Final Report'!A3</f>
        <v>Hours: M-Th 11-9, F 11-5</v>
      </c>
      <c r="B3" s="29"/>
      <c r="C3" s="29"/>
      <c r="D3" s="29"/>
      <c r="E3" s="29"/>
      <c r="F3" s="29"/>
      <c r="G3" s="29"/>
      <c r="H3" s="29"/>
      <c r="I3" s="29"/>
      <c r="J3" s="30"/>
    </row>
    <row r="6" spans="1:10" ht="30" customHeight="1" x14ac:dyDescent="0.25">
      <c r="B6" s="13" t="s">
        <v>801</v>
      </c>
      <c r="C6" s="13" t="s">
        <v>802</v>
      </c>
      <c r="D6" s="13" t="s">
        <v>803</v>
      </c>
      <c r="E6" s="13" t="s">
        <v>804</v>
      </c>
      <c r="F6" s="13" t="s">
        <v>805</v>
      </c>
      <c r="G6" s="13" t="s">
        <v>806</v>
      </c>
      <c r="H6" s="13" t="s">
        <v>807</v>
      </c>
      <c r="I6" s="13" t="s">
        <v>808</v>
      </c>
      <c r="J6" s="13" t="s">
        <v>791</v>
      </c>
    </row>
    <row r="7" spans="1:10" x14ac:dyDescent="0.25">
      <c r="A7" s="9" t="s">
        <v>809</v>
      </c>
      <c r="B7" s="8">
        <v>341</v>
      </c>
      <c r="C7" s="8">
        <v>23</v>
      </c>
      <c r="D7" s="8">
        <v>16</v>
      </c>
      <c r="E7" s="8">
        <v>2</v>
      </c>
      <c r="F7" s="8">
        <v>9</v>
      </c>
      <c r="G7" s="8">
        <v>2</v>
      </c>
      <c r="H7" s="8">
        <v>113</v>
      </c>
      <c r="I7" s="8">
        <v>78</v>
      </c>
      <c r="J7" s="8">
        <f>SUM(B7:I7)</f>
        <v>584</v>
      </c>
    </row>
    <row r="8" spans="1:10" x14ac:dyDescent="0.25">
      <c r="A8" s="9" t="s">
        <v>810</v>
      </c>
      <c r="B8" s="8">
        <f>B7/$J7*100</f>
        <v>58.390410958904106</v>
      </c>
      <c r="C8" s="8">
        <f t="shared" ref="C8:I8" si="0">C7/$J7*100</f>
        <v>3.9383561643835616</v>
      </c>
      <c r="D8" s="8">
        <f t="shared" si="0"/>
        <v>2.7397260273972601</v>
      </c>
      <c r="E8" s="8">
        <f t="shared" si="0"/>
        <v>0.34246575342465752</v>
      </c>
      <c r="F8" s="8">
        <f t="shared" si="0"/>
        <v>1.5410958904109588</v>
      </c>
      <c r="G8" s="8">
        <f t="shared" si="0"/>
        <v>0.34246575342465752</v>
      </c>
      <c r="H8" s="8">
        <f t="shared" si="0"/>
        <v>19.349315068493151</v>
      </c>
      <c r="I8" s="8">
        <f t="shared" si="0"/>
        <v>13.356164383561644</v>
      </c>
      <c r="J8" s="8">
        <f>SUM(B8:I8)</f>
        <v>100.00000000000001</v>
      </c>
    </row>
    <row r="32" spans="1:1" x14ac:dyDescent="0.25">
      <c r="A32" s="1" t="str">
        <f>'Final Report'!B36</f>
        <v>Last updated:</v>
      </c>
    </row>
    <row r="33" spans="1:1" x14ac:dyDescent="0.25">
      <c r="A33" s="5">
        <f>'Final Report'!B37</f>
        <v>37971</v>
      </c>
    </row>
  </sheetData>
  <mergeCells count="3">
    <mergeCell ref="A1:J1"/>
    <mergeCell ref="A2:J2"/>
    <mergeCell ref="A3:J3"/>
  </mergeCells>
  <phoneticPr fontId="3" type="noConversion"/>
  <pageMargins left="0.75" right="0.75" top="1" bottom="1" header="0.5" footer="0.5"/>
  <pageSetup scale="96" orientation="portrait" r:id="rId1"/>
  <headerFooter alignWithMargins="0">
    <oddFooter>&amp;C&amp;A</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I33"/>
  <sheetViews>
    <sheetView workbookViewId="0">
      <selection sqref="A1:I1"/>
    </sheetView>
  </sheetViews>
  <sheetFormatPr defaultRowHeight="12.5" x14ac:dyDescent="0.25"/>
  <cols>
    <col min="1" max="1" width="12.26953125" bestFit="1" customWidth="1"/>
  </cols>
  <sheetData>
    <row r="1" spans="1:9" ht="22.5" x14ac:dyDescent="0.45">
      <c r="A1" s="22" t="str">
        <f>'Final Report'!A1</f>
        <v>Digital Reference Statistics</v>
      </c>
      <c r="B1" s="23"/>
      <c r="C1" s="23"/>
      <c r="D1" s="23"/>
      <c r="E1" s="23"/>
      <c r="F1" s="23"/>
      <c r="G1" s="23"/>
      <c r="H1" s="23"/>
      <c r="I1" s="24"/>
    </row>
    <row r="2" spans="1:9" ht="15.5" x14ac:dyDescent="0.35">
      <c r="A2" s="25" t="str">
        <f>'Final Report'!A2</f>
        <v>Fall Quarter 2003 (9/29 - 12/12)</v>
      </c>
      <c r="B2" s="26"/>
      <c r="C2" s="26"/>
      <c r="D2" s="26"/>
      <c r="E2" s="26"/>
      <c r="F2" s="26"/>
      <c r="G2" s="26"/>
      <c r="H2" s="26"/>
      <c r="I2" s="27"/>
    </row>
    <row r="3" spans="1:9" ht="16" thickBot="1" x14ac:dyDescent="0.4">
      <c r="A3" s="28" t="str">
        <f>'Final Report'!A3</f>
        <v>Hours: M-Th 11-9, F 11-5</v>
      </c>
      <c r="B3" s="29"/>
      <c r="C3" s="29"/>
      <c r="D3" s="29"/>
      <c r="E3" s="29"/>
      <c r="F3" s="29"/>
      <c r="G3" s="29"/>
      <c r="H3" s="29"/>
      <c r="I3" s="30"/>
    </row>
    <row r="6" spans="1:9" ht="30" customHeight="1" x14ac:dyDescent="0.25">
      <c r="B6" s="13" t="s">
        <v>811</v>
      </c>
      <c r="C6" s="13" t="s">
        <v>812</v>
      </c>
      <c r="D6" s="13" t="s">
        <v>814</v>
      </c>
      <c r="E6" s="13" t="s">
        <v>813</v>
      </c>
      <c r="F6" s="13" t="s">
        <v>815</v>
      </c>
      <c r="G6" s="13" t="s">
        <v>816</v>
      </c>
      <c r="H6" s="13" t="s">
        <v>817</v>
      </c>
      <c r="I6" s="13" t="s">
        <v>791</v>
      </c>
    </row>
    <row r="7" spans="1:9" x14ac:dyDescent="0.25">
      <c r="A7" s="9" t="s">
        <v>809</v>
      </c>
      <c r="B7" s="8">
        <v>294</v>
      </c>
      <c r="C7" s="8">
        <v>102</v>
      </c>
      <c r="D7" s="8">
        <v>12</v>
      </c>
      <c r="E7" s="8">
        <v>39</v>
      </c>
      <c r="F7" s="8">
        <v>19</v>
      </c>
      <c r="G7" s="8">
        <v>59</v>
      </c>
      <c r="H7" s="8">
        <v>59</v>
      </c>
      <c r="I7" s="8">
        <f>SUM(B7:H7)</f>
        <v>584</v>
      </c>
    </row>
    <row r="8" spans="1:9" x14ac:dyDescent="0.25">
      <c r="A8" s="9" t="s">
        <v>810</v>
      </c>
      <c r="B8" s="8">
        <f t="shared" ref="B8:H8" si="0">B7/$I7*100</f>
        <v>50.342465753424662</v>
      </c>
      <c r="C8" s="8">
        <f t="shared" si="0"/>
        <v>17.465753424657535</v>
      </c>
      <c r="D8" s="8">
        <f t="shared" si="0"/>
        <v>2.054794520547945</v>
      </c>
      <c r="E8" s="8">
        <f t="shared" si="0"/>
        <v>6.6780821917808222</v>
      </c>
      <c r="F8" s="8">
        <f t="shared" si="0"/>
        <v>3.2534246575342465</v>
      </c>
      <c r="G8" s="8">
        <f t="shared" si="0"/>
        <v>10.102739726027398</v>
      </c>
      <c r="H8" s="8">
        <f t="shared" si="0"/>
        <v>10.102739726027398</v>
      </c>
      <c r="I8" s="8">
        <f>SUM(B8:H8)</f>
        <v>100</v>
      </c>
    </row>
    <row r="32" spans="1:1" x14ac:dyDescent="0.25">
      <c r="A32" s="1" t="str">
        <f>'Final Report'!B36</f>
        <v>Last updated:</v>
      </c>
    </row>
    <row r="33" spans="1:1" x14ac:dyDescent="0.25">
      <c r="A33" s="5">
        <f>'Final Report'!B37</f>
        <v>37971</v>
      </c>
    </row>
  </sheetData>
  <mergeCells count="3">
    <mergeCell ref="A1:I1"/>
    <mergeCell ref="A2:I2"/>
    <mergeCell ref="A3:I3"/>
  </mergeCells>
  <phoneticPr fontId="3" type="noConversion"/>
  <pageMargins left="0.75" right="0.75" top="1" bottom="1" header="0.5" footer="0.5"/>
  <pageSetup scale="96" orientation="portrait" r:id="rId1"/>
  <headerFooter alignWithMargins="0">
    <oddFooter>&amp;C&amp;A</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H33"/>
  <sheetViews>
    <sheetView workbookViewId="0">
      <selection sqref="A1:H1"/>
    </sheetView>
  </sheetViews>
  <sheetFormatPr defaultRowHeight="12.5" x14ac:dyDescent="0.25"/>
  <cols>
    <col min="1" max="1" width="12.26953125" bestFit="1" customWidth="1"/>
    <col min="2" max="7" width="15.7265625" customWidth="1"/>
  </cols>
  <sheetData>
    <row r="1" spans="1:8" ht="22.5" x14ac:dyDescent="0.45">
      <c r="A1" s="22" t="str">
        <f>'Final Report'!A1</f>
        <v>Digital Reference Statistics</v>
      </c>
      <c r="B1" s="23"/>
      <c r="C1" s="23"/>
      <c r="D1" s="23"/>
      <c r="E1" s="23"/>
      <c r="F1" s="23"/>
      <c r="G1" s="23"/>
      <c r="H1" s="24"/>
    </row>
    <row r="2" spans="1:8" ht="15.5" x14ac:dyDescent="0.35">
      <c r="A2" s="25" t="str">
        <f>'Final Report'!A2</f>
        <v>Fall Quarter 2003 (9/29 - 12/12)</v>
      </c>
      <c r="B2" s="26"/>
      <c r="C2" s="26"/>
      <c r="D2" s="26"/>
      <c r="E2" s="26"/>
      <c r="F2" s="26"/>
      <c r="G2" s="26"/>
      <c r="H2" s="27"/>
    </row>
    <row r="3" spans="1:8" ht="16" thickBot="1" x14ac:dyDescent="0.4">
      <c r="A3" s="28" t="str">
        <f>'Final Report'!A3</f>
        <v>Hours: M-Th 11-9, F 11-5</v>
      </c>
      <c r="B3" s="29"/>
      <c r="C3" s="29"/>
      <c r="D3" s="29"/>
      <c r="E3" s="29"/>
      <c r="F3" s="29"/>
      <c r="G3" s="29"/>
      <c r="H3" s="30"/>
    </row>
    <row r="6" spans="1:8" ht="30" customHeight="1" x14ac:dyDescent="0.25">
      <c r="B6" s="2" t="s">
        <v>818</v>
      </c>
      <c r="C6" s="2" t="s">
        <v>819</v>
      </c>
      <c r="D6" s="2" t="s">
        <v>820</v>
      </c>
      <c r="E6" s="2" t="s">
        <v>821</v>
      </c>
      <c r="F6" s="2" t="s">
        <v>822</v>
      </c>
      <c r="G6" s="2" t="s">
        <v>817</v>
      </c>
      <c r="H6" s="13" t="s">
        <v>791</v>
      </c>
    </row>
    <row r="7" spans="1:8" x14ac:dyDescent="0.25">
      <c r="A7" s="9" t="s">
        <v>809</v>
      </c>
      <c r="B7" s="8">
        <v>23</v>
      </c>
      <c r="C7" s="8">
        <v>10</v>
      </c>
      <c r="D7" s="8">
        <v>88</v>
      </c>
      <c r="E7" s="8">
        <v>113</v>
      </c>
      <c r="F7" s="8">
        <v>342</v>
      </c>
      <c r="G7" s="8">
        <v>8</v>
      </c>
      <c r="H7" s="8">
        <f>SUM(B7:G7)</f>
        <v>584</v>
      </c>
    </row>
    <row r="8" spans="1:8" x14ac:dyDescent="0.25">
      <c r="A8" s="9" t="s">
        <v>810</v>
      </c>
      <c r="B8" s="8">
        <f t="shared" ref="B8:G8" si="0">B7/$H7*100</f>
        <v>3.9383561643835616</v>
      </c>
      <c r="C8" s="8">
        <f t="shared" si="0"/>
        <v>1.7123287671232876</v>
      </c>
      <c r="D8" s="8">
        <f t="shared" si="0"/>
        <v>15.068493150684931</v>
      </c>
      <c r="E8" s="8">
        <f t="shared" si="0"/>
        <v>19.349315068493151</v>
      </c>
      <c r="F8" s="8">
        <f t="shared" si="0"/>
        <v>58.561643835616437</v>
      </c>
      <c r="G8" s="8">
        <f t="shared" si="0"/>
        <v>1.3698630136986301</v>
      </c>
      <c r="H8" s="8">
        <f>SUM(B8:G8)</f>
        <v>100</v>
      </c>
    </row>
    <row r="32" spans="1:1" x14ac:dyDescent="0.25">
      <c r="A32" s="1" t="str">
        <f>'Final Report'!B36</f>
        <v>Last updated:</v>
      </c>
    </row>
    <row r="33" spans="1:1" x14ac:dyDescent="0.25">
      <c r="A33" s="5">
        <f>'Final Report'!B37</f>
        <v>37971</v>
      </c>
    </row>
  </sheetData>
  <mergeCells count="3">
    <mergeCell ref="A1:H1"/>
    <mergeCell ref="A2:H2"/>
    <mergeCell ref="A3:H3"/>
  </mergeCells>
  <phoneticPr fontId="3" type="noConversion"/>
  <pageMargins left="0.75" right="0.75" top="1" bottom="1" header="0.5" footer="0.5"/>
  <pageSetup scale="91" orientation="portrait" r:id="rId1"/>
  <headerFooter alignWithMargins="0">
    <oddFooter>&amp;C&amp;A</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G33"/>
  <sheetViews>
    <sheetView workbookViewId="0">
      <selection sqref="A1:G1"/>
    </sheetView>
  </sheetViews>
  <sheetFormatPr defaultRowHeight="12.5" x14ac:dyDescent="0.25"/>
  <cols>
    <col min="1" max="1" width="12.26953125" bestFit="1" customWidth="1"/>
    <col min="2" max="6" width="15.7265625" customWidth="1"/>
  </cols>
  <sheetData>
    <row r="1" spans="1:7" ht="22.5" x14ac:dyDescent="0.45">
      <c r="A1" s="22" t="str">
        <f>'Final Report'!A1</f>
        <v>Digital Reference Statistics</v>
      </c>
      <c r="B1" s="23"/>
      <c r="C1" s="23"/>
      <c r="D1" s="23"/>
      <c r="E1" s="23"/>
      <c r="F1" s="23"/>
      <c r="G1" s="24"/>
    </row>
    <row r="2" spans="1:7" ht="15.5" x14ac:dyDescent="0.35">
      <c r="A2" s="25" t="str">
        <f>'Final Report'!A2</f>
        <v>Fall Quarter 2003 (9/29 - 12/12)</v>
      </c>
      <c r="B2" s="26"/>
      <c r="C2" s="26"/>
      <c r="D2" s="26"/>
      <c r="E2" s="26"/>
      <c r="F2" s="26"/>
      <c r="G2" s="27"/>
    </row>
    <row r="3" spans="1:7" ht="16" thickBot="1" x14ac:dyDescent="0.4">
      <c r="A3" s="28" t="str">
        <f>'Final Report'!A3</f>
        <v>Hours: M-Th 11-9, F 11-5</v>
      </c>
      <c r="B3" s="29"/>
      <c r="C3" s="29"/>
      <c r="D3" s="29"/>
      <c r="E3" s="29"/>
      <c r="F3" s="29"/>
      <c r="G3" s="30"/>
    </row>
    <row r="5" spans="1:7" x14ac:dyDescent="0.25">
      <c r="B5" t="s">
        <v>850</v>
      </c>
    </row>
    <row r="6" spans="1:7" ht="30" customHeight="1" x14ac:dyDescent="0.25">
      <c r="B6" s="2" t="s">
        <v>823</v>
      </c>
      <c r="C6" s="2" t="s">
        <v>1014</v>
      </c>
      <c r="D6" s="2" t="s">
        <v>824</v>
      </c>
      <c r="E6" s="2" t="s">
        <v>825</v>
      </c>
      <c r="F6" s="2" t="s">
        <v>826</v>
      </c>
      <c r="G6" s="13" t="s">
        <v>791</v>
      </c>
    </row>
    <row r="7" spans="1:7" x14ac:dyDescent="0.25">
      <c r="A7" s="9" t="s">
        <v>809</v>
      </c>
      <c r="B7" s="8">
        <v>385</v>
      </c>
      <c r="C7" s="8">
        <v>60</v>
      </c>
      <c r="D7" s="8">
        <v>56</v>
      </c>
      <c r="E7" s="8">
        <v>136</v>
      </c>
      <c r="F7" s="8">
        <v>13</v>
      </c>
      <c r="G7" s="8">
        <f>SUM(B7:F7)</f>
        <v>650</v>
      </c>
    </row>
    <row r="8" spans="1:7" x14ac:dyDescent="0.25">
      <c r="A8" s="9" t="s">
        <v>810</v>
      </c>
      <c r="B8" s="8">
        <f>B7/$G7*100</f>
        <v>59.230769230769234</v>
      </c>
      <c r="C8" s="8">
        <f>C7/$G7*100</f>
        <v>9.2307692307692317</v>
      </c>
      <c r="D8" s="8">
        <f>D7/$G7*100</f>
        <v>8.615384615384615</v>
      </c>
      <c r="E8" s="8">
        <f>E7/$G7*100</f>
        <v>20.923076923076923</v>
      </c>
      <c r="F8" s="8">
        <f>F7/$G7*100</f>
        <v>2</v>
      </c>
      <c r="G8" s="8">
        <f>SUM(B8:F8)</f>
        <v>100</v>
      </c>
    </row>
    <row r="32" spans="1:1" x14ac:dyDescent="0.25">
      <c r="A32" s="1" t="str">
        <f>'Final Report'!B36</f>
        <v>Last updated:</v>
      </c>
    </row>
    <row r="33" spans="1:1" x14ac:dyDescent="0.25">
      <c r="A33" s="5">
        <f>'Final Report'!B37</f>
        <v>37971</v>
      </c>
    </row>
  </sheetData>
  <mergeCells count="3">
    <mergeCell ref="A1:G1"/>
    <mergeCell ref="A2:G2"/>
    <mergeCell ref="A3:G3"/>
  </mergeCells>
  <phoneticPr fontId="3" type="noConversion"/>
  <pageMargins left="0.75" right="0.75" top="1" bottom="1" header="0.5" footer="0.5"/>
  <pageSetup scale="91" orientation="portrait" r:id="rId1"/>
  <headerFooter alignWithMargins="0">
    <oddFooter>&amp;C&amp;A</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F582"/>
  <sheetViews>
    <sheetView workbookViewId="0">
      <selection activeCell="A6" sqref="A6"/>
    </sheetView>
  </sheetViews>
  <sheetFormatPr defaultRowHeight="12.5" x14ac:dyDescent="0.25"/>
  <cols>
    <col min="1" max="2" width="12.7265625" customWidth="1"/>
    <col min="3" max="4" width="10.7265625" customWidth="1"/>
    <col min="5" max="5" width="16.7265625" style="15" customWidth="1"/>
    <col min="6" max="6" width="50.7265625" customWidth="1"/>
  </cols>
  <sheetData>
    <row r="1" spans="1:6" ht="22.5" x14ac:dyDescent="0.45">
      <c r="A1" s="22" t="str">
        <f>'Final Report'!A1</f>
        <v>Digital Reference Statistics</v>
      </c>
      <c r="B1" s="23"/>
      <c r="C1" s="23"/>
      <c r="D1" s="23"/>
      <c r="E1" s="23"/>
      <c r="F1" s="24"/>
    </row>
    <row r="2" spans="1:6" ht="15.5" x14ac:dyDescent="0.35">
      <c r="A2" s="25" t="str">
        <f>'Final Report'!A2</f>
        <v>Fall Quarter 2003 (9/29 - 12/12)</v>
      </c>
      <c r="B2" s="26"/>
      <c r="C2" s="26"/>
      <c r="D2" s="26"/>
      <c r="E2" s="26"/>
      <c r="F2" s="27"/>
    </row>
    <row r="3" spans="1:6" ht="16" thickBot="1" x14ac:dyDescent="0.4">
      <c r="A3" s="28" t="str">
        <f>'Final Report'!A3</f>
        <v>Hours: M-Th 11-9, F 11-5</v>
      </c>
      <c r="B3" s="29"/>
      <c r="C3" s="29"/>
      <c r="D3" s="29"/>
      <c r="E3" s="29"/>
      <c r="F3" s="30"/>
    </row>
    <row r="6" spans="1:6" ht="30" customHeight="1" x14ac:dyDescent="0.25">
      <c r="A6" s="14" t="s">
        <v>827</v>
      </c>
      <c r="B6" s="14" t="s">
        <v>828</v>
      </c>
      <c r="C6" s="14" t="s">
        <v>829</v>
      </c>
      <c r="D6" s="14" t="s">
        <v>830</v>
      </c>
      <c r="E6" s="16" t="s">
        <v>831</v>
      </c>
      <c r="F6" s="14" t="s">
        <v>832</v>
      </c>
    </row>
    <row r="7" spans="1:6" ht="62.5" x14ac:dyDescent="0.25">
      <c r="A7" s="20">
        <v>68156</v>
      </c>
      <c r="B7" s="18" t="s">
        <v>851</v>
      </c>
      <c r="C7" s="19" t="s">
        <v>785</v>
      </c>
      <c r="D7" s="20">
        <v>9</v>
      </c>
      <c r="E7" s="19" t="s">
        <v>852</v>
      </c>
      <c r="F7" s="19" t="s">
        <v>54</v>
      </c>
    </row>
    <row r="8" spans="1:6" ht="62.5" x14ac:dyDescent="0.25">
      <c r="A8" s="20">
        <v>68787</v>
      </c>
      <c r="B8" s="18" t="s">
        <v>55</v>
      </c>
      <c r="C8" s="19" t="s">
        <v>785</v>
      </c>
      <c r="D8" s="20">
        <v>7</v>
      </c>
      <c r="E8" s="19" t="s">
        <v>852</v>
      </c>
      <c r="F8" s="19" t="s">
        <v>56</v>
      </c>
    </row>
    <row r="9" spans="1:6" ht="62.5" x14ac:dyDescent="0.25">
      <c r="A9" s="20">
        <v>72936</v>
      </c>
      <c r="B9" s="18" t="s">
        <v>140</v>
      </c>
      <c r="C9" s="19" t="s">
        <v>785</v>
      </c>
      <c r="D9" s="20">
        <v>12</v>
      </c>
      <c r="E9" s="19" t="s">
        <v>852</v>
      </c>
      <c r="F9" s="19" t="s">
        <v>141</v>
      </c>
    </row>
    <row r="10" spans="1:6" ht="50" x14ac:dyDescent="0.25">
      <c r="A10" s="20">
        <v>74116</v>
      </c>
      <c r="B10" s="18" t="s">
        <v>142</v>
      </c>
      <c r="C10" s="19" t="s">
        <v>60</v>
      </c>
      <c r="D10" s="20">
        <v>16</v>
      </c>
      <c r="E10" s="19" t="s">
        <v>852</v>
      </c>
      <c r="F10" s="19" t="s">
        <v>143</v>
      </c>
    </row>
    <row r="11" spans="1:6" ht="25" x14ac:dyDescent="0.25">
      <c r="A11" s="20">
        <v>78791</v>
      </c>
      <c r="B11" s="18" t="s">
        <v>1015</v>
      </c>
      <c r="C11" s="19" t="s">
        <v>60</v>
      </c>
      <c r="D11" s="20">
        <v>4</v>
      </c>
      <c r="E11" s="19" t="s">
        <v>852</v>
      </c>
      <c r="F11" s="19" t="s">
        <v>1016</v>
      </c>
    </row>
    <row r="12" spans="1:6" ht="62.5" x14ac:dyDescent="0.25">
      <c r="A12" s="20">
        <v>79597</v>
      </c>
      <c r="B12" s="18" t="s">
        <v>1017</v>
      </c>
      <c r="C12" s="19" t="s">
        <v>787</v>
      </c>
      <c r="D12" s="20">
        <v>6</v>
      </c>
      <c r="E12" s="19" t="s">
        <v>852</v>
      </c>
      <c r="F12" s="19" t="s">
        <v>1018</v>
      </c>
    </row>
    <row r="13" spans="1:6" ht="25" x14ac:dyDescent="0.25">
      <c r="A13" s="20">
        <v>80382</v>
      </c>
      <c r="B13" s="18" t="s">
        <v>1019</v>
      </c>
      <c r="C13" s="19" t="s">
        <v>66</v>
      </c>
      <c r="D13" s="20">
        <v>19</v>
      </c>
      <c r="E13" s="19" t="s">
        <v>852</v>
      </c>
      <c r="F13" s="19" t="s">
        <v>1020</v>
      </c>
    </row>
    <row r="14" spans="1:6" ht="25" x14ac:dyDescent="0.25">
      <c r="A14" s="20">
        <v>80475</v>
      </c>
      <c r="B14" s="18" t="s">
        <v>1021</v>
      </c>
      <c r="C14" s="19" t="s">
        <v>66</v>
      </c>
      <c r="D14" s="20">
        <v>8</v>
      </c>
      <c r="E14" s="19" t="s">
        <v>852</v>
      </c>
      <c r="F14" s="19" t="s">
        <v>1022</v>
      </c>
    </row>
    <row r="15" spans="1:6" ht="62.5" x14ac:dyDescent="0.25">
      <c r="A15" s="20">
        <v>80781</v>
      </c>
      <c r="B15" s="18" t="s">
        <v>1023</v>
      </c>
      <c r="C15" s="19" t="s">
        <v>66</v>
      </c>
      <c r="D15" s="20">
        <v>13</v>
      </c>
      <c r="E15" s="19" t="s">
        <v>852</v>
      </c>
      <c r="F15" s="19" t="s">
        <v>1024</v>
      </c>
    </row>
    <row r="16" spans="1:6" ht="25" x14ac:dyDescent="0.25">
      <c r="A16" s="20">
        <v>81190</v>
      </c>
      <c r="B16" s="18" t="s">
        <v>1025</v>
      </c>
      <c r="C16" s="19" t="s">
        <v>789</v>
      </c>
      <c r="D16" s="20">
        <v>19</v>
      </c>
      <c r="E16" s="19" t="s">
        <v>852</v>
      </c>
      <c r="F16" s="19" t="s">
        <v>1026</v>
      </c>
    </row>
    <row r="17" spans="1:6" ht="62.5" x14ac:dyDescent="0.25">
      <c r="A17" s="20">
        <v>89199</v>
      </c>
      <c r="B17" s="18" t="s">
        <v>549</v>
      </c>
      <c r="C17" s="19" t="s">
        <v>60</v>
      </c>
      <c r="D17" s="20">
        <v>8</v>
      </c>
      <c r="E17" s="19" t="s">
        <v>852</v>
      </c>
      <c r="F17" s="19" t="s">
        <v>550</v>
      </c>
    </row>
    <row r="18" spans="1:6" ht="25" x14ac:dyDescent="0.25">
      <c r="A18" s="20">
        <v>91833</v>
      </c>
      <c r="B18" s="18" t="s">
        <v>551</v>
      </c>
      <c r="C18" s="19" t="s">
        <v>66</v>
      </c>
      <c r="D18" s="20">
        <v>50</v>
      </c>
      <c r="E18" s="19" t="s">
        <v>852</v>
      </c>
      <c r="F18" s="19" t="s">
        <v>552</v>
      </c>
    </row>
    <row r="19" spans="1:6" ht="25" x14ac:dyDescent="0.25">
      <c r="A19" s="20">
        <v>93718</v>
      </c>
      <c r="B19" s="18" t="s">
        <v>276</v>
      </c>
      <c r="C19" s="19" t="s">
        <v>785</v>
      </c>
      <c r="D19" s="20">
        <v>5</v>
      </c>
      <c r="E19" s="19" t="s">
        <v>852</v>
      </c>
      <c r="F19" s="19" t="s">
        <v>277</v>
      </c>
    </row>
    <row r="20" spans="1:6" ht="62.5" x14ac:dyDescent="0.25">
      <c r="A20" s="20">
        <v>100974</v>
      </c>
      <c r="B20" s="18" t="s">
        <v>928</v>
      </c>
      <c r="C20" s="19" t="s">
        <v>787</v>
      </c>
      <c r="D20" s="20">
        <v>8</v>
      </c>
      <c r="E20" s="19" t="s">
        <v>852</v>
      </c>
      <c r="F20" s="19" t="s">
        <v>929</v>
      </c>
    </row>
    <row r="21" spans="1:6" ht="25" x14ac:dyDescent="0.25">
      <c r="A21" s="20">
        <v>101363</v>
      </c>
      <c r="B21" s="18" t="s">
        <v>930</v>
      </c>
      <c r="C21" s="19" t="s">
        <v>787</v>
      </c>
      <c r="D21" s="20">
        <v>8</v>
      </c>
      <c r="E21" s="19" t="s">
        <v>852</v>
      </c>
      <c r="F21" s="19" t="s">
        <v>931</v>
      </c>
    </row>
    <row r="22" spans="1:6" ht="25" x14ac:dyDescent="0.25">
      <c r="A22" s="20">
        <v>103108</v>
      </c>
      <c r="B22" s="18" t="s">
        <v>932</v>
      </c>
      <c r="C22" s="19" t="s">
        <v>789</v>
      </c>
      <c r="D22" s="20">
        <v>16</v>
      </c>
      <c r="E22" s="19" t="s">
        <v>852</v>
      </c>
      <c r="F22" s="19" t="s">
        <v>933</v>
      </c>
    </row>
    <row r="23" spans="1:6" ht="62.5" x14ac:dyDescent="0.25">
      <c r="A23" s="20">
        <v>106724</v>
      </c>
      <c r="B23" s="18" t="s">
        <v>1032</v>
      </c>
      <c r="C23" s="19" t="s">
        <v>787</v>
      </c>
      <c r="D23" s="20">
        <v>14</v>
      </c>
      <c r="E23" s="19" t="s">
        <v>852</v>
      </c>
      <c r="F23" s="19" t="s">
        <v>1033</v>
      </c>
    </row>
    <row r="24" spans="1:6" ht="25" x14ac:dyDescent="0.25">
      <c r="A24" s="20">
        <v>113175</v>
      </c>
      <c r="B24" s="18" t="s">
        <v>657</v>
      </c>
      <c r="C24" s="19" t="s">
        <v>787</v>
      </c>
      <c r="D24" s="20">
        <v>6</v>
      </c>
      <c r="E24" s="19" t="s">
        <v>852</v>
      </c>
      <c r="F24" s="19" t="s">
        <v>658</v>
      </c>
    </row>
    <row r="25" spans="1:6" ht="25" x14ac:dyDescent="0.25">
      <c r="A25" s="20">
        <v>116874</v>
      </c>
      <c r="B25" s="18" t="s">
        <v>1089</v>
      </c>
      <c r="C25" s="19" t="s">
        <v>60</v>
      </c>
      <c r="D25" s="20">
        <v>12</v>
      </c>
      <c r="E25" s="19" t="s">
        <v>852</v>
      </c>
      <c r="F25" s="19" t="s">
        <v>1090</v>
      </c>
    </row>
    <row r="26" spans="1:6" ht="25" x14ac:dyDescent="0.25">
      <c r="A26" s="20">
        <v>117450</v>
      </c>
      <c r="B26" s="18" t="s">
        <v>1091</v>
      </c>
      <c r="C26" s="19" t="s">
        <v>787</v>
      </c>
      <c r="D26" s="20">
        <v>7</v>
      </c>
      <c r="E26" s="19" t="s">
        <v>852</v>
      </c>
      <c r="F26" s="19" t="s">
        <v>1092</v>
      </c>
    </row>
    <row r="27" spans="1:6" ht="62.5" x14ac:dyDescent="0.25">
      <c r="A27" s="20">
        <v>118510</v>
      </c>
      <c r="B27" s="18" t="s">
        <v>1093</v>
      </c>
      <c r="C27" s="19" t="s">
        <v>66</v>
      </c>
      <c r="D27" s="20">
        <v>0</v>
      </c>
      <c r="E27" s="19" t="s">
        <v>852</v>
      </c>
      <c r="F27" s="19" t="s">
        <v>1094</v>
      </c>
    </row>
    <row r="28" spans="1:6" ht="25" x14ac:dyDescent="0.25">
      <c r="A28" s="20">
        <v>119454</v>
      </c>
      <c r="B28" s="18" t="s">
        <v>1095</v>
      </c>
      <c r="C28" s="19" t="s">
        <v>789</v>
      </c>
      <c r="D28" s="20">
        <v>12</v>
      </c>
      <c r="E28" s="19" t="s">
        <v>852</v>
      </c>
      <c r="F28" s="19" t="s">
        <v>1096</v>
      </c>
    </row>
    <row r="29" spans="1:6" ht="62.5" x14ac:dyDescent="0.25">
      <c r="A29" s="20">
        <v>120935</v>
      </c>
      <c r="B29" s="18" t="s">
        <v>365</v>
      </c>
      <c r="C29" s="19" t="s">
        <v>785</v>
      </c>
      <c r="D29" s="20">
        <v>31</v>
      </c>
      <c r="E29" s="19" t="s">
        <v>852</v>
      </c>
      <c r="F29" s="19" t="s">
        <v>366</v>
      </c>
    </row>
    <row r="30" spans="1:6" ht="37.5" x14ac:dyDescent="0.25">
      <c r="A30" s="20">
        <v>70239</v>
      </c>
      <c r="B30" s="18" t="s">
        <v>57</v>
      </c>
      <c r="C30" s="19" t="s">
        <v>787</v>
      </c>
      <c r="D30" s="20">
        <v>10</v>
      </c>
      <c r="E30" s="19" t="s">
        <v>819</v>
      </c>
      <c r="F30" s="19" t="s">
        <v>58</v>
      </c>
    </row>
    <row r="31" spans="1:6" ht="25" x14ac:dyDescent="0.25">
      <c r="A31" s="20">
        <v>74626</v>
      </c>
      <c r="B31" s="18" t="s">
        <v>144</v>
      </c>
      <c r="C31" s="19" t="s">
        <v>787</v>
      </c>
      <c r="D31" s="20">
        <v>7</v>
      </c>
      <c r="E31" s="19" t="s">
        <v>819</v>
      </c>
      <c r="F31" s="19" t="s">
        <v>145</v>
      </c>
    </row>
    <row r="32" spans="1:6" ht="50" x14ac:dyDescent="0.25">
      <c r="A32" s="20">
        <v>74915</v>
      </c>
      <c r="B32" s="18" t="s">
        <v>146</v>
      </c>
      <c r="C32" s="19" t="s">
        <v>787</v>
      </c>
      <c r="D32" s="20">
        <v>24</v>
      </c>
      <c r="E32" s="19" t="s">
        <v>819</v>
      </c>
      <c r="F32" s="19" t="s">
        <v>147</v>
      </c>
    </row>
    <row r="33" spans="1:6" ht="25" x14ac:dyDescent="0.25">
      <c r="A33" s="20">
        <v>80763</v>
      </c>
      <c r="B33" s="18" t="s">
        <v>1027</v>
      </c>
      <c r="C33" s="19" t="s">
        <v>66</v>
      </c>
      <c r="D33" s="20">
        <v>73</v>
      </c>
      <c r="E33" s="19" t="s">
        <v>819</v>
      </c>
      <c r="F33" s="19" t="s">
        <v>1028</v>
      </c>
    </row>
    <row r="34" spans="1:6" ht="25" x14ac:dyDescent="0.25">
      <c r="A34" s="20">
        <v>82923</v>
      </c>
      <c r="B34" s="18" t="s">
        <v>247</v>
      </c>
      <c r="C34" s="19" t="s">
        <v>785</v>
      </c>
      <c r="D34" s="20">
        <v>12</v>
      </c>
      <c r="E34" s="19" t="s">
        <v>819</v>
      </c>
      <c r="F34" s="19" t="s">
        <v>248</v>
      </c>
    </row>
    <row r="35" spans="1:6" ht="25" x14ac:dyDescent="0.25">
      <c r="A35" s="20">
        <v>95841</v>
      </c>
      <c r="B35" s="18" t="s">
        <v>278</v>
      </c>
      <c r="C35" s="19" t="s">
        <v>787</v>
      </c>
      <c r="D35" s="20">
        <v>15</v>
      </c>
      <c r="E35" s="19" t="s">
        <v>819</v>
      </c>
      <c r="F35" s="19" t="s">
        <v>279</v>
      </c>
    </row>
    <row r="36" spans="1:6" ht="62.5" x14ac:dyDescent="0.25">
      <c r="A36" s="20">
        <v>97580</v>
      </c>
      <c r="B36" s="18" t="s">
        <v>280</v>
      </c>
      <c r="C36" s="19" t="s">
        <v>789</v>
      </c>
      <c r="D36" s="20">
        <v>34</v>
      </c>
      <c r="E36" s="19" t="s">
        <v>819</v>
      </c>
      <c r="F36" s="19" t="s">
        <v>281</v>
      </c>
    </row>
    <row r="37" spans="1:6" ht="25" x14ac:dyDescent="0.25">
      <c r="A37" s="20">
        <v>105121</v>
      </c>
      <c r="B37" s="18" t="s">
        <v>1034</v>
      </c>
      <c r="C37" s="19" t="s">
        <v>785</v>
      </c>
      <c r="D37" s="20">
        <v>38</v>
      </c>
      <c r="E37" s="19" t="s">
        <v>819</v>
      </c>
      <c r="F37" s="19" t="s">
        <v>1035</v>
      </c>
    </row>
    <row r="38" spans="1:6" ht="37.5" x14ac:dyDescent="0.25">
      <c r="A38" s="20">
        <v>108315</v>
      </c>
      <c r="B38" s="18" t="s">
        <v>1036</v>
      </c>
      <c r="C38" s="19" t="s">
        <v>66</v>
      </c>
      <c r="D38" s="20">
        <v>30</v>
      </c>
      <c r="E38" s="19" t="s">
        <v>819</v>
      </c>
      <c r="F38" s="19" t="s">
        <v>1037</v>
      </c>
    </row>
    <row r="39" spans="1:6" ht="25" x14ac:dyDescent="0.25">
      <c r="A39" s="20">
        <v>111782</v>
      </c>
      <c r="B39" s="18" t="s">
        <v>659</v>
      </c>
      <c r="C39" s="19" t="s">
        <v>785</v>
      </c>
      <c r="D39" s="20">
        <v>16</v>
      </c>
      <c r="E39" s="19" t="s">
        <v>819</v>
      </c>
      <c r="F39" s="19" t="s">
        <v>660</v>
      </c>
    </row>
    <row r="40" spans="1:6" ht="25" x14ac:dyDescent="0.25">
      <c r="A40" s="20">
        <v>69428</v>
      </c>
      <c r="B40" s="18" t="s">
        <v>59</v>
      </c>
      <c r="C40" s="19" t="s">
        <v>60</v>
      </c>
      <c r="D40" s="20">
        <v>37</v>
      </c>
      <c r="E40" s="19" t="s">
        <v>61</v>
      </c>
      <c r="F40" s="19" t="s">
        <v>62</v>
      </c>
    </row>
    <row r="41" spans="1:6" ht="25" x14ac:dyDescent="0.25">
      <c r="A41" s="20">
        <v>70166</v>
      </c>
      <c r="B41" s="18" t="s">
        <v>63</v>
      </c>
      <c r="C41" s="19" t="s">
        <v>787</v>
      </c>
      <c r="D41" s="20">
        <v>30</v>
      </c>
      <c r="E41" s="19" t="s">
        <v>61</v>
      </c>
      <c r="F41" s="19" t="s">
        <v>64</v>
      </c>
    </row>
    <row r="42" spans="1:6" ht="25" x14ac:dyDescent="0.25">
      <c r="A42" s="20">
        <v>71225</v>
      </c>
      <c r="B42" s="18" t="s">
        <v>65</v>
      </c>
      <c r="C42" s="19" t="s">
        <v>66</v>
      </c>
      <c r="D42" s="20">
        <v>31</v>
      </c>
      <c r="E42" s="19" t="s">
        <v>61</v>
      </c>
      <c r="F42" s="19" t="s">
        <v>67</v>
      </c>
    </row>
    <row r="43" spans="1:6" ht="50" x14ac:dyDescent="0.25">
      <c r="A43" s="20">
        <v>71747</v>
      </c>
      <c r="B43" s="18" t="s">
        <v>68</v>
      </c>
      <c r="C43" s="19" t="s">
        <v>789</v>
      </c>
      <c r="D43" s="20">
        <v>15</v>
      </c>
      <c r="E43" s="19" t="s">
        <v>61</v>
      </c>
      <c r="F43" s="19" t="s">
        <v>69</v>
      </c>
    </row>
    <row r="44" spans="1:6" ht="25" x14ac:dyDescent="0.25">
      <c r="A44" s="20">
        <v>73193</v>
      </c>
      <c r="B44" s="18" t="s">
        <v>148</v>
      </c>
      <c r="C44" s="19" t="s">
        <v>785</v>
      </c>
      <c r="D44" s="20">
        <v>15</v>
      </c>
      <c r="E44" s="19" t="s">
        <v>61</v>
      </c>
      <c r="F44" s="19" t="s">
        <v>149</v>
      </c>
    </row>
    <row r="45" spans="1:6" ht="25" x14ac:dyDescent="0.25">
      <c r="A45" s="20">
        <v>73221</v>
      </c>
      <c r="B45" s="18" t="s">
        <v>150</v>
      </c>
      <c r="C45" s="19" t="s">
        <v>785</v>
      </c>
      <c r="D45" s="20">
        <v>22</v>
      </c>
      <c r="E45" s="19" t="s">
        <v>61</v>
      </c>
      <c r="F45" s="19" t="s">
        <v>151</v>
      </c>
    </row>
    <row r="46" spans="1:6" ht="37.5" x14ac:dyDescent="0.25">
      <c r="A46" s="20">
        <v>73279</v>
      </c>
      <c r="B46" s="18" t="s">
        <v>152</v>
      </c>
      <c r="C46" s="19" t="s">
        <v>785</v>
      </c>
      <c r="D46" s="20">
        <v>21</v>
      </c>
      <c r="E46" s="19" t="s">
        <v>61</v>
      </c>
      <c r="F46" s="19" t="s">
        <v>153</v>
      </c>
    </row>
    <row r="47" spans="1:6" ht="62.5" x14ac:dyDescent="0.25">
      <c r="A47" s="20">
        <v>74250</v>
      </c>
      <c r="B47" s="18" t="s">
        <v>154</v>
      </c>
      <c r="C47" s="19" t="s">
        <v>60</v>
      </c>
      <c r="D47" s="20">
        <v>24</v>
      </c>
      <c r="E47" s="19" t="s">
        <v>61</v>
      </c>
      <c r="F47" s="19" t="s">
        <v>155</v>
      </c>
    </row>
    <row r="48" spans="1:6" ht="37.5" x14ac:dyDescent="0.25">
      <c r="A48" s="20">
        <v>75922</v>
      </c>
      <c r="B48" s="18" t="s">
        <v>156</v>
      </c>
      <c r="C48" s="19" t="s">
        <v>66</v>
      </c>
      <c r="D48" s="20">
        <v>82</v>
      </c>
      <c r="E48" s="19" t="s">
        <v>61</v>
      </c>
      <c r="F48" s="19" t="s">
        <v>157</v>
      </c>
    </row>
    <row r="49" spans="1:6" ht="25" x14ac:dyDescent="0.25">
      <c r="A49" s="20">
        <v>76457</v>
      </c>
      <c r="B49" s="18" t="s">
        <v>158</v>
      </c>
      <c r="C49" s="19" t="s">
        <v>789</v>
      </c>
      <c r="D49" s="20">
        <v>67</v>
      </c>
      <c r="E49" s="19" t="s">
        <v>61</v>
      </c>
      <c r="F49" s="19" t="s">
        <v>159</v>
      </c>
    </row>
    <row r="50" spans="1:6" ht="62.5" x14ac:dyDescent="0.25">
      <c r="A50" s="20">
        <v>78557</v>
      </c>
      <c r="B50" s="18" t="s">
        <v>1029</v>
      </c>
      <c r="C50" s="19" t="s">
        <v>60</v>
      </c>
      <c r="D50" s="20">
        <v>12</v>
      </c>
      <c r="E50" s="19" t="s">
        <v>61</v>
      </c>
      <c r="F50" s="19" t="s">
        <v>1030</v>
      </c>
    </row>
    <row r="51" spans="1:6" ht="25" x14ac:dyDescent="0.25">
      <c r="A51" s="20">
        <v>78667</v>
      </c>
      <c r="B51" s="18" t="s">
        <v>1031</v>
      </c>
      <c r="C51" s="19" t="s">
        <v>60</v>
      </c>
      <c r="D51" s="20">
        <v>14</v>
      </c>
      <c r="E51" s="19" t="s">
        <v>61</v>
      </c>
      <c r="F51" s="19" t="s">
        <v>1041</v>
      </c>
    </row>
    <row r="52" spans="1:6" ht="50" x14ac:dyDescent="0.25">
      <c r="A52" s="20">
        <v>78726</v>
      </c>
      <c r="B52" s="18" t="s">
        <v>1042</v>
      </c>
      <c r="C52" s="19" t="s">
        <v>60</v>
      </c>
      <c r="D52" s="20">
        <v>10</v>
      </c>
      <c r="E52" s="19" t="s">
        <v>61</v>
      </c>
      <c r="F52" s="19" t="s">
        <v>1043</v>
      </c>
    </row>
    <row r="53" spans="1:6" ht="25" x14ac:dyDescent="0.25">
      <c r="A53" s="20">
        <v>78958</v>
      </c>
      <c r="B53" s="18" t="s">
        <v>1044</v>
      </c>
      <c r="C53" s="19" t="s">
        <v>60</v>
      </c>
      <c r="D53" s="20">
        <v>6</v>
      </c>
      <c r="E53" s="19" t="s">
        <v>61</v>
      </c>
      <c r="F53" s="19" t="s">
        <v>1045</v>
      </c>
    </row>
    <row r="54" spans="1:6" ht="25" x14ac:dyDescent="0.25">
      <c r="A54" s="20">
        <v>80535</v>
      </c>
      <c r="B54" s="18" t="s">
        <v>1046</v>
      </c>
      <c r="C54" s="19" t="s">
        <v>66</v>
      </c>
      <c r="D54" s="20">
        <v>13</v>
      </c>
      <c r="E54" s="19" t="s">
        <v>61</v>
      </c>
      <c r="F54" s="19" t="s">
        <v>1047</v>
      </c>
    </row>
    <row r="55" spans="1:6" ht="37.5" x14ac:dyDescent="0.25">
      <c r="A55" s="20">
        <v>80606</v>
      </c>
      <c r="B55" s="18" t="s">
        <v>1048</v>
      </c>
      <c r="C55" s="19" t="s">
        <v>66</v>
      </c>
      <c r="D55" s="20">
        <v>9</v>
      </c>
      <c r="E55" s="19" t="s">
        <v>61</v>
      </c>
      <c r="F55" s="19" t="s">
        <v>1049</v>
      </c>
    </row>
    <row r="56" spans="1:6" ht="37.5" x14ac:dyDescent="0.25">
      <c r="A56" s="20">
        <v>80560</v>
      </c>
      <c r="B56" s="18" t="s">
        <v>1050</v>
      </c>
      <c r="C56" s="19" t="s">
        <v>66</v>
      </c>
      <c r="D56" s="20">
        <v>17</v>
      </c>
      <c r="E56" s="19" t="s">
        <v>61</v>
      </c>
      <c r="F56" s="19" t="s">
        <v>1051</v>
      </c>
    </row>
    <row r="57" spans="1:6" ht="25" x14ac:dyDescent="0.25">
      <c r="A57" s="20">
        <v>81489</v>
      </c>
      <c r="B57" s="18" t="s">
        <v>1052</v>
      </c>
      <c r="C57" s="19" t="s">
        <v>789</v>
      </c>
      <c r="D57" s="20">
        <v>18</v>
      </c>
      <c r="E57" s="19" t="s">
        <v>61</v>
      </c>
      <c r="F57" s="19" t="s">
        <v>1053</v>
      </c>
    </row>
    <row r="58" spans="1:6" ht="37.5" x14ac:dyDescent="0.25">
      <c r="A58" s="20">
        <v>83793</v>
      </c>
      <c r="B58" s="18" t="s">
        <v>249</v>
      </c>
      <c r="C58" s="19" t="s">
        <v>60</v>
      </c>
      <c r="D58" s="20">
        <v>9</v>
      </c>
      <c r="E58" s="19" t="s">
        <v>61</v>
      </c>
      <c r="F58" s="19" t="s">
        <v>250</v>
      </c>
    </row>
    <row r="59" spans="1:6" ht="25" x14ac:dyDescent="0.25">
      <c r="A59" s="20">
        <v>83921</v>
      </c>
      <c r="B59" s="18" t="s">
        <v>251</v>
      </c>
      <c r="C59" s="19" t="s">
        <v>60</v>
      </c>
      <c r="D59" s="20">
        <v>14</v>
      </c>
      <c r="E59" s="19" t="s">
        <v>61</v>
      </c>
      <c r="F59" s="19" t="s">
        <v>252</v>
      </c>
    </row>
    <row r="60" spans="1:6" ht="25" x14ac:dyDescent="0.25">
      <c r="A60" s="20">
        <v>84242</v>
      </c>
      <c r="B60" s="18" t="s">
        <v>253</v>
      </c>
      <c r="C60" s="19" t="s">
        <v>60</v>
      </c>
      <c r="D60" s="20">
        <v>8</v>
      </c>
      <c r="E60" s="19" t="s">
        <v>61</v>
      </c>
      <c r="F60" s="19" t="s">
        <v>254</v>
      </c>
    </row>
    <row r="61" spans="1:6" ht="62.5" x14ac:dyDescent="0.25">
      <c r="A61" s="20">
        <v>84028</v>
      </c>
      <c r="B61" s="18" t="s">
        <v>255</v>
      </c>
      <c r="C61" s="19" t="s">
        <v>60</v>
      </c>
      <c r="D61" s="20">
        <v>7</v>
      </c>
      <c r="E61" s="19" t="s">
        <v>61</v>
      </c>
      <c r="F61" s="19" t="s">
        <v>256</v>
      </c>
    </row>
    <row r="62" spans="1:6" ht="25" x14ac:dyDescent="0.25">
      <c r="A62" s="20">
        <v>84832</v>
      </c>
      <c r="B62" s="18" t="s">
        <v>257</v>
      </c>
      <c r="C62" s="19" t="s">
        <v>787</v>
      </c>
      <c r="D62" s="20">
        <v>31</v>
      </c>
      <c r="E62" s="19" t="s">
        <v>61</v>
      </c>
      <c r="F62" s="19" t="s">
        <v>258</v>
      </c>
    </row>
    <row r="63" spans="1:6" ht="62.5" x14ac:dyDescent="0.25">
      <c r="A63" s="20">
        <v>85963</v>
      </c>
      <c r="B63" s="18" t="s">
        <v>259</v>
      </c>
      <c r="C63" s="19" t="s">
        <v>66</v>
      </c>
      <c r="D63" s="20">
        <v>25</v>
      </c>
      <c r="E63" s="19" t="s">
        <v>61</v>
      </c>
      <c r="F63" s="19" t="s">
        <v>260</v>
      </c>
    </row>
    <row r="64" spans="1:6" ht="50" x14ac:dyDescent="0.25">
      <c r="A64" s="20">
        <v>85988</v>
      </c>
      <c r="B64" s="18" t="s">
        <v>261</v>
      </c>
      <c r="C64" s="19" t="s">
        <v>66</v>
      </c>
      <c r="D64" s="20">
        <v>11</v>
      </c>
      <c r="E64" s="19" t="s">
        <v>61</v>
      </c>
      <c r="F64" s="19" t="s">
        <v>262</v>
      </c>
    </row>
    <row r="65" spans="1:6" ht="37.5" x14ac:dyDescent="0.25">
      <c r="A65" s="20">
        <v>86299</v>
      </c>
      <c r="B65" s="18" t="s">
        <v>263</v>
      </c>
      <c r="C65" s="19" t="s">
        <v>66</v>
      </c>
      <c r="D65" s="20">
        <v>29</v>
      </c>
      <c r="E65" s="19" t="s">
        <v>61</v>
      </c>
      <c r="F65" s="19" t="s">
        <v>264</v>
      </c>
    </row>
    <row r="66" spans="1:6" ht="37.5" x14ac:dyDescent="0.25">
      <c r="A66" s="20">
        <v>88249</v>
      </c>
      <c r="B66" s="18" t="s">
        <v>553</v>
      </c>
      <c r="C66" s="19" t="s">
        <v>785</v>
      </c>
      <c r="D66" s="20">
        <v>10</v>
      </c>
      <c r="E66" s="19" t="s">
        <v>61</v>
      </c>
      <c r="F66" s="19" t="s">
        <v>554</v>
      </c>
    </row>
    <row r="67" spans="1:6" ht="25" x14ac:dyDescent="0.25">
      <c r="A67" s="20">
        <v>88651</v>
      </c>
      <c r="B67" s="18" t="s">
        <v>555</v>
      </c>
      <c r="C67" s="19" t="s">
        <v>785</v>
      </c>
      <c r="D67" s="20">
        <v>34</v>
      </c>
      <c r="E67" s="19" t="s">
        <v>61</v>
      </c>
      <c r="F67" s="19" t="s">
        <v>556</v>
      </c>
    </row>
    <row r="68" spans="1:6" ht="62.5" x14ac:dyDescent="0.25">
      <c r="A68" s="20">
        <v>90475</v>
      </c>
      <c r="B68" s="18" t="s">
        <v>557</v>
      </c>
      <c r="C68" s="19" t="s">
        <v>787</v>
      </c>
      <c r="D68" s="20">
        <v>36</v>
      </c>
      <c r="E68" s="19" t="s">
        <v>61</v>
      </c>
      <c r="F68" s="19" t="s">
        <v>558</v>
      </c>
    </row>
    <row r="69" spans="1:6" ht="62.5" x14ac:dyDescent="0.25">
      <c r="A69" s="20">
        <v>90441</v>
      </c>
      <c r="B69" s="18" t="s">
        <v>559</v>
      </c>
      <c r="C69" s="19" t="s">
        <v>787</v>
      </c>
      <c r="D69" s="20">
        <v>10</v>
      </c>
      <c r="E69" s="19" t="s">
        <v>61</v>
      </c>
      <c r="F69" s="19" t="s">
        <v>560</v>
      </c>
    </row>
    <row r="70" spans="1:6" ht="37.5" x14ac:dyDescent="0.25">
      <c r="A70" s="20">
        <v>91744</v>
      </c>
      <c r="B70" s="18" t="s">
        <v>561</v>
      </c>
      <c r="C70" s="19" t="s">
        <v>66</v>
      </c>
      <c r="D70" s="20">
        <v>17</v>
      </c>
      <c r="E70" s="19" t="s">
        <v>61</v>
      </c>
      <c r="F70" s="19" t="s">
        <v>562</v>
      </c>
    </row>
    <row r="71" spans="1:6" ht="37.5" x14ac:dyDescent="0.25">
      <c r="A71" s="20">
        <v>94608</v>
      </c>
      <c r="B71" s="18" t="s">
        <v>282</v>
      </c>
      <c r="C71" s="19" t="s">
        <v>60</v>
      </c>
      <c r="D71" s="20">
        <v>33</v>
      </c>
      <c r="E71" s="19" t="s">
        <v>61</v>
      </c>
      <c r="F71" s="19" t="s">
        <v>283</v>
      </c>
    </row>
    <row r="72" spans="1:6" ht="25" x14ac:dyDescent="0.25">
      <c r="A72" s="20">
        <v>94930</v>
      </c>
      <c r="B72" s="18" t="s">
        <v>284</v>
      </c>
      <c r="C72" s="19" t="s">
        <v>60</v>
      </c>
      <c r="D72" s="20">
        <v>4</v>
      </c>
      <c r="E72" s="19" t="s">
        <v>61</v>
      </c>
      <c r="F72" s="19" t="s">
        <v>285</v>
      </c>
    </row>
    <row r="73" spans="1:6" ht="25" x14ac:dyDescent="0.25">
      <c r="A73" s="20">
        <v>95267</v>
      </c>
      <c r="B73" s="18" t="s">
        <v>286</v>
      </c>
      <c r="C73" s="19" t="s">
        <v>60</v>
      </c>
      <c r="D73" s="20">
        <v>35</v>
      </c>
      <c r="E73" s="19" t="s">
        <v>61</v>
      </c>
      <c r="F73" s="19" t="s">
        <v>287</v>
      </c>
    </row>
    <row r="74" spans="1:6" ht="25" x14ac:dyDescent="0.25">
      <c r="A74" s="20">
        <v>95274</v>
      </c>
      <c r="B74" s="18" t="s">
        <v>288</v>
      </c>
      <c r="C74" s="19" t="s">
        <v>60</v>
      </c>
      <c r="D74" s="20">
        <v>31</v>
      </c>
      <c r="E74" s="19" t="s">
        <v>61</v>
      </c>
      <c r="F74" s="19" t="s">
        <v>289</v>
      </c>
    </row>
    <row r="75" spans="1:6" ht="50" x14ac:dyDescent="0.25">
      <c r="A75" s="20">
        <v>95615</v>
      </c>
      <c r="B75" s="18" t="s">
        <v>290</v>
      </c>
      <c r="C75" s="19" t="s">
        <v>787</v>
      </c>
      <c r="D75" s="20">
        <v>14</v>
      </c>
      <c r="E75" s="19" t="s">
        <v>61</v>
      </c>
      <c r="F75" s="19" t="s">
        <v>291</v>
      </c>
    </row>
    <row r="76" spans="1:6" ht="50" x14ac:dyDescent="0.25">
      <c r="A76" s="20">
        <v>95614</v>
      </c>
      <c r="B76" s="18" t="s">
        <v>292</v>
      </c>
      <c r="C76" s="19" t="s">
        <v>787</v>
      </c>
      <c r="D76" s="20">
        <v>10</v>
      </c>
      <c r="E76" s="19" t="s">
        <v>61</v>
      </c>
      <c r="F76" s="19" t="s">
        <v>293</v>
      </c>
    </row>
    <row r="77" spans="1:6" ht="25" x14ac:dyDescent="0.25">
      <c r="A77" s="20">
        <v>95799</v>
      </c>
      <c r="B77" s="18" t="s">
        <v>294</v>
      </c>
      <c r="C77" s="19" t="s">
        <v>787</v>
      </c>
      <c r="D77" s="20">
        <v>13</v>
      </c>
      <c r="E77" s="19" t="s">
        <v>61</v>
      </c>
      <c r="F77" s="19" t="s">
        <v>295</v>
      </c>
    </row>
    <row r="78" spans="1:6" ht="37.5" x14ac:dyDescent="0.25">
      <c r="A78" s="20">
        <v>95945</v>
      </c>
      <c r="B78" s="18" t="s">
        <v>296</v>
      </c>
      <c r="C78" s="19" t="s">
        <v>787</v>
      </c>
      <c r="D78" s="20">
        <v>28</v>
      </c>
      <c r="E78" s="19" t="s">
        <v>61</v>
      </c>
      <c r="F78" s="19" t="s">
        <v>297</v>
      </c>
    </row>
    <row r="79" spans="1:6" ht="25" x14ac:dyDescent="0.25">
      <c r="A79" s="20">
        <v>95973</v>
      </c>
      <c r="B79" s="18" t="s">
        <v>298</v>
      </c>
      <c r="C79" s="19" t="s">
        <v>787</v>
      </c>
      <c r="D79" s="20">
        <v>11</v>
      </c>
      <c r="E79" s="19" t="s">
        <v>61</v>
      </c>
      <c r="F79" s="19" t="s">
        <v>299</v>
      </c>
    </row>
    <row r="80" spans="1:6" ht="62.5" x14ac:dyDescent="0.25">
      <c r="A80" s="20">
        <v>96024</v>
      </c>
      <c r="B80" s="18" t="s">
        <v>300</v>
      </c>
      <c r="C80" s="19" t="s">
        <v>787</v>
      </c>
      <c r="D80" s="20">
        <v>9</v>
      </c>
      <c r="E80" s="19" t="s">
        <v>61</v>
      </c>
      <c r="F80" s="19" t="s">
        <v>301</v>
      </c>
    </row>
    <row r="81" spans="1:6" ht="50" x14ac:dyDescent="0.25">
      <c r="A81" s="20">
        <v>97687</v>
      </c>
      <c r="B81" s="18" t="s">
        <v>302</v>
      </c>
      <c r="C81" s="19" t="s">
        <v>789</v>
      </c>
      <c r="D81" s="20">
        <v>12</v>
      </c>
      <c r="E81" s="19" t="s">
        <v>61</v>
      </c>
      <c r="F81" s="19" t="s">
        <v>303</v>
      </c>
    </row>
    <row r="82" spans="1:6" ht="25" x14ac:dyDescent="0.25">
      <c r="A82" s="20">
        <v>99015</v>
      </c>
      <c r="B82" s="18" t="s">
        <v>934</v>
      </c>
      <c r="C82" s="19" t="s">
        <v>785</v>
      </c>
      <c r="D82" s="20">
        <v>0</v>
      </c>
      <c r="E82" s="19" t="s">
        <v>61</v>
      </c>
      <c r="F82" s="19" t="s">
        <v>935</v>
      </c>
    </row>
    <row r="83" spans="1:6" ht="37.5" x14ac:dyDescent="0.25">
      <c r="A83" s="20">
        <v>101169</v>
      </c>
      <c r="B83" s="18" t="s">
        <v>936</v>
      </c>
      <c r="C83" s="19" t="s">
        <v>787</v>
      </c>
      <c r="D83" s="20">
        <v>15</v>
      </c>
      <c r="E83" s="19" t="s">
        <v>61</v>
      </c>
      <c r="F83" s="19" t="s">
        <v>937</v>
      </c>
    </row>
    <row r="84" spans="1:6" ht="25" x14ac:dyDescent="0.25">
      <c r="A84" s="20">
        <v>101227</v>
      </c>
      <c r="B84" s="18" t="s">
        <v>938</v>
      </c>
      <c r="C84" s="19" t="s">
        <v>787</v>
      </c>
      <c r="D84" s="20">
        <v>16</v>
      </c>
      <c r="E84" s="19" t="s">
        <v>61</v>
      </c>
      <c r="F84" s="19" t="s">
        <v>939</v>
      </c>
    </row>
    <row r="85" spans="1:6" ht="25" x14ac:dyDescent="0.25">
      <c r="A85" s="20">
        <v>101276</v>
      </c>
      <c r="B85" s="18" t="s">
        <v>940</v>
      </c>
      <c r="C85" s="19" t="s">
        <v>787</v>
      </c>
      <c r="D85" s="20">
        <v>26</v>
      </c>
      <c r="E85" s="19" t="s">
        <v>61</v>
      </c>
      <c r="F85" s="19" t="s">
        <v>941</v>
      </c>
    </row>
    <row r="86" spans="1:6" ht="50" x14ac:dyDescent="0.25">
      <c r="A86" s="20">
        <v>101364</v>
      </c>
      <c r="B86" s="18" t="s">
        <v>942</v>
      </c>
      <c r="C86" s="19" t="s">
        <v>787</v>
      </c>
      <c r="D86" s="20">
        <v>28</v>
      </c>
      <c r="E86" s="19" t="s">
        <v>61</v>
      </c>
      <c r="F86" s="19" t="s">
        <v>943</v>
      </c>
    </row>
    <row r="87" spans="1:6" ht="50" x14ac:dyDescent="0.25">
      <c r="A87" s="20">
        <v>101579</v>
      </c>
      <c r="B87" s="18" t="s">
        <v>944</v>
      </c>
      <c r="C87" s="19" t="s">
        <v>787</v>
      </c>
      <c r="D87" s="20">
        <v>7</v>
      </c>
      <c r="E87" s="19" t="s">
        <v>61</v>
      </c>
      <c r="F87" s="19" t="s">
        <v>945</v>
      </c>
    </row>
    <row r="88" spans="1:6" ht="37.5" x14ac:dyDescent="0.25">
      <c r="A88" s="20">
        <v>102514</v>
      </c>
      <c r="B88" s="18" t="s">
        <v>946</v>
      </c>
      <c r="C88" s="19" t="s">
        <v>66</v>
      </c>
      <c r="D88" s="20">
        <v>16</v>
      </c>
      <c r="E88" s="19" t="s">
        <v>61</v>
      </c>
      <c r="F88" s="19" t="s">
        <v>947</v>
      </c>
    </row>
    <row r="89" spans="1:6" ht="25" x14ac:dyDescent="0.25">
      <c r="A89" s="20">
        <v>102577</v>
      </c>
      <c r="B89" s="18" t="s">
        <v>948</v>
      </c>
      <c r="C89" s="19" t="s">
        <v>66</v>
      </c>
      <c r="D89" s="20">
        <v>11</v>
      </c>
      <c r="E89" s="19" t="s">
        <v>61</v>
      </c>
      <c r="F89" s="19" t="s">
        <v>949</v>
      </c>
    </row>
    <row r="90" spans="1:6" ht="50" x14ac:dyDescent="0.25">
      <c r="A90" s="20">
        <v>103231</v>
      </c>
      <c r="B90" s="18" t="s">
        <v>950</v>
      </c>
      <c r="C90" s="19" t="s">
        <v>789</v>
      </c>
      <c r="D90" s="20">
        <v>3</v>
      </c>
      <c r="E90" s="19" t="s">
        <v>61</v>
      </c>
      <c r="F90" s="19" t="s">
        <v>951</v>
      </c>
    </row>
    <row r="91" spans="1:6" ht="50" x14ac:dyDescent="0.25">
      <c r="A91" s="20">
        <v>104938</v>
      </c>
      <c r="B91" s="18" t="s">
        <v>1038</v>
      </c>
      <c r="C91" s="19" t="s">
        <v>785</v>
      </c>
      <c r="D91" s="20">
        <v>36</v>
      </c>
      <c r="E91" s="19" t="s">
        <v>61</v>
      </c>
      <c r="F91" s="19" t="s">
        <v>1039</v>
      </c>
    </row>
    <row r="92" spans="1:6" ht="50" x14ac:dyDescent="0.25">
      <c r="A92" s="20">
        <v>104923</v>
      </c>
      <c r="B92" s="18" t="s">
        <v>1040</v>
      </c>
      <c r="C92" s="19" t="s">
        <v>785</v>
      </c>
      <c r="D92" s="20">
        <v>2</v>
      </c>
      <c r="E92" s="19" t="s">
        <v>61</v>
      </c>
      <c r="F92" s="19" t="s">
        <v>1230</v>
      </c>
    </row>
    <row r="93" spans="1:6" ht="62.5" x14ac:dyDescent="0.25">
      <c r="A93" s="20">
        <v>105552</v>
      </c>
      <c r="B93" s="18" t="s">
        <v>1231</v>
      </c>
      <c r="C93" s="19" t="s">
        <v>60</v>
      </c>
      <c r="D93" s="20">
        <v>27</v>
      </c>
      <c r="E93" s="19" t="s">
        <v>61</v>
      </c>
      <c r="F93" s="19" t="s">
        <v>1232</v>
      </c>
    </row>
    <row r="94" spans="1:6" ht="37.5" x14ac:dyDescent="0.25">
      <c r="A94" s="20">
        <v>105762</v>
      </c>
      <c r="B94" s="18" t="s">
        <v>1233</v>
      </c>
      <c r="C94" s="19" t="s">
        <v>60</v>
      </c>
      <c r="D94" s="20">
        <v>19</v>
      </c>
      <c r="E94" s="19" t="s">
        <v>61</v>
      </c>
      <c r="F94" s="19" t="s">
        <v>1234</v>
      </c>
    </row>
    <row r="95" spans="1:6" ht="25" x14ac:dyDescent="0.25">
      <c r="A95" s="20">
        <v>106036</v>
      </c>
      <c r="B95" s="18" t="s">
        <v>1235</v>
      </c>
      <c r="C95" s="19" t="s">
        <v>60</v>
      </c>
      <c r="D95" s="20">
        <v>27</v>
      </c>
      <c r="E95" s="19" t="s">
        <v>61</v>
      </c>
      <c r="F95" s="19" t="s">
        <v>1236</v>
      </c>
    </row>
    <row r="96" spans="1:6" ht="62.5" x14ac:dyDescent="0.25">
      <c r="A96" s="20">
        <v>106824</v>
      </c>
      <c r="B96" s="18" t="s">
        <v>1237</v>
      </c>
      <c r="C96" s="19" t="s">
        <v>787</v>
      </c>
      <c r="D96" s="20">
        <v>44</v>
      </c>
      <c r="E96" s="19" t="s">
        <v>61</v>
      </c>
      <c r="F96" s="19" t="s">
        <v>1238</v>
      </c>
    </row>
    <row r="97" spans="1:6" ht="62.5" x14ac:dyDescent="0.25">
      <c r="A97" s="20">
        <v>106795</v>
      </c>
      <c r="B97" s="18" t="s">
        <v>1239</v>
      </c>
      <c r="C97" s="19" t="s">
        <v>787</v>
      </c>
      <c r="D97" s="20">
        <v>21</v>
      </c>
      <c r="E97" s="19" t="s">
        <v>61</v>
      </c>
      <c r="F97" s="19" t="s">
        <v>1240</v>
      </c>
    </row>
    <row r="98" spans="1:6" ht="37.5" x14ac:dyDescent="0.25">
      <c r="A98" s="20">
        <v>107684</v>
      </c>
      <c r="B98" s="18" t="s">
        <v>1241</v>
      </c>
      <c r="C98" s="19" t="s">
        <v>66</v>
      </c>
      <c r="D98" s="20">
        <v>18</v>
      </c>
      <c r="E98" s="19" t="s">
        <v>61</v>
      </c>
      <c r="F98" s="19" t="s">
        <v>1242</v>
      </c>
    </row>
    <row r="99" spans="1:6" ht="37.5" x14ac:dyDescent="0.25">
      <c r="A99" s="20">
        <v>107705</v>
      </c>
      <c r="B99" s="18" t="s">
        <v>1243</v>
      </c>
      <c r="C99" s="19" t="s">
        <v>66</v>
      </c>
      <c r="D99" s="20">
        <v>5</v>
      </c>
      <c r="E99" s="19" t="s">
        <v>61</v>
      </c>
      <c r="F99" s="19" t="s">
        <v>1244</v>
      </c>
    </row>
    <row r="100" spans="1:6" ht="50" x14ac:dyDescent="0.25">
      <c r="A100" s="20">
        <v>107981</v>
      </c>
      <c r="B100" s="18" t="s">
        <v>1245</v>
      </c>
      <c r="C100" s="19" t="s">
        <v>66</v>
      </c>
      <c r="D100" s="20">
        <v>22</v>
      </c>
      <c r="E100" s="19" t="s">
        <v>61</v>
      </c>
      <c r="F100" s="19" t="s">
        <v>1246</v>
      </c>
    </row>
    <row r="101" spans="1:6" ht="37.5" x14ac:dyDescent="0.25">
      <c r="A101" s="20">
        <v>108235</v>
      </c>
      <c r="B101" s="18" t="s">
        <v>391</v>
      </c>
      <c r="C101" s="19" t="s">
        <v>66</v>
      </c>
      <c r="D101" s="20">
        <v>25</v>
      </c>
      <c r="E101" s="19" t="s">
        <v>61</v>
      </c>
      <c r="F101" s="19" t="s">
        <v>392</v>
      </c>
    </row>
    <row r="102" spans="1:6" ht="25" x14ac:dyDescent="0.25">
      <c r="A102" s="20">
        <v>109604</v>
      </c>
      <c r="B102" s="18" t="s">
        <v>393</v>
      </c>
      <c r="C102" s="19" t="s">
        <v>789</v>
      </c>
      <c r="D102" s="20">
        <v>81</v>
      </c>
      <c r="E102" s="19" t="s">
        <v>61</v>
      </c>
      <c r="F102" s="19" t="s">
        <v>394</v>
      </c>
    </row>
    <row r="103" spans="1:6" ht="62.5" x14ac:dyDescent="0.25">
      <c r="A103" s="20">
        <v>111149</v>
      </c>
      <c r="B103" s="18" t="s">
        <v>661</v>
      </c>
      <c r="C103" s="19" t="s">
        <v>785</v>
      </c>
      <c r="D103" s="20">
        <v>6</v>
      </c>
      <c r="E103" s="19" t="s">
        <v>61</v>
      </c>
      <c r="F103" s="19" t="s">
        <v>662</v>
      </c>
    </row>
    <row r="104" spans="1:6" ht="25" x14ac:dyDescent="0.25">
      <c r="A104" s="20">
        <v>111218</v>
      </c>
      <c r="B104" s="18" t="s">
        <v>663</v>
      </c>
      <c r="C104" s="19" t="s">
        <v>785</v>
      </c>
      <c r="D104" s="20">
        <v>3</v>
      </c>
      <c r="E104" s="19" t="s">
        <v>61</v>
      </c>
      <c r="F104" s="19" t="s">
        <v>664</v>
      </c>
    </row>
    <row r="105" spans="1:6" ht="25" x14ac:dyDescent="0.25">
      <c r="A105" s="20">
        <v>111291</v>
      </c>
      <c r="B105" s="18" t="s">
        <v>665</v>
      </c>
      <c r="C105" s="19" t="s">
        <v>785</v>
      </c>
      <c r="D105" s="20">
        <v>11</v>
      </c>
      <c r="E105" s="19" t="s">
        <v>61</v>
      </c>
      <c r="F105" s="19" t="s">
        <v>666</v>
      </c>
    </row>
    <row r="106" spans="1:6" ht="37.5" x14ac:dyDescent="0.25">
      <c r="A106" s="20">
        <v>111377</v>
      </c>
      <c r="B106" s="18" t="s">
        <v>667</v>
      </c>
      <c r="C106" s="19" t="s">
        <v>785</v>
      </c>
      <c r="D106" s="20">
        <v>6</v>
      </c>
      <c r="E106" s="19" t="s">
        <v>61</v>
      </c>
      <c r="F106" s="19" t="s">
        <v>668</v>
      </c>
    </row>
    <row r="107" spans="1:6" ht="37.5" x14ac:dyDescent="0.25">
      <c r="A107" s="20">
        <v>112261</v>
      </c>
      <c r="B107" s="18" t="s">
        <v>669</v>
      </c>
      <c r="C107" s="19" t="s">
        <v>60</v>
      </c>
      <c r="D107" s="20">
        <v>35</v>
      </c>
      <c r="E107" s="19" t="s">
        <v>61</v>
      </c>
      <c r="F107" s="19" t="s">
        <v>670</v>
      </c>
    </row>
    <row r="108" spans="1:6" ht="25" x14ac:dyDescent="0.25">
      <c r="A108" s="20">
        <v>113527</v>
      </c>
      <c r="B108" s="18" t="s">
        <v>671</v>
      </c>
      <c r="C108" s="19" t="s">
        <v>787</v>
      </c>
      <c r="D108" s="20">
        <v>23</v>
      </c>
      <c r="E108" s="19" t="s">
        <v>61</v>
      </c>
      <c r="F108" s="19" t="s">
        <v>672</v>
      </c>
    </row>
    <row r="109" spans="1:6" ht="37.5" x14ac:dyDescent="0.25">
      <c r="A109" s="20">
        <v>113440</v>
      </c>
      <c r="B109" s="18" t="s">
        <v>673</v>
      </c>
      <c r="C109" s="19" t="s">
        <v>787</v>
      </c>
      <c r="D109" s="20">
        <v>14</v>
      </c>
      <c r="E109" s="19" t="s">
        <v>61</v>
      </c>
      <c r="F109" s="19" t="s">
        <v>674</v>
      </c>
    </row>
    <row r="110" spans="1:6" ht="62.5" x14ac:dyDescent="0.25">
      <c r="A110" s="20">
        <v>115403</v>
      </c>
      <c r="B110" s="18" t="s">
        <v>1097</v>
      </c>
      <c r="C110" s="19" t="s">
        <v>785</v>
      </c>
      <c r="D110" s="20">
        <v>15</v>
      </c>
      <c r="E110" s="19" t="s">
        <v>61</v>
      </c>
      <c r="F110" s="19" t="s">
        <v>1098</v>
      </c>
    </row>
    <row r="111" spans="1:6" ht="62.5" x14ac:dyDescent="0.25">
      <c r="A111" s="20">
        <v>116557</v>
      </c>
      <c r="B111" s="18" t="s">
        <v>1099</v>
      </c>
      <c r="C111" s="19" t="s">
        <v>60</v>
      </c>
      <c r="D111" s="20">
        <v>35</v>
      </c>
      <c r="E111" s="19" t="s">
        <v>61</v>
      </c>
      <c r="F111" s="19" t="s">
        <v>1100</v>
      </c>
    </row>
    <row r="112" spans="1:6" ht="25" x14ac:dyDescent="0.25">
      <c r="A112" s="20">
        <v>116580</v>
      </c>
      <c r="B112" s="18" t="s">
        <v>1101</v>
      </c>
      <c r="C112" s="19" t="s">
        <v>60</v>
      </c>
      <c r="D112" s="20">
        <v>22</v>
      </c>
      <c r="E112" s="19" t="s">
        <v>61</v>
      </c>
      <c r="F112" s="19" t="s">
        <v>1102</v>
      </c>
    </row>
    <row r="113" spans="1:6" ht="37.5" x14ac:dyDescent="0.25">
      <c r="A113" s="20">
        <v>116780</v>
      </c>
      <c r="B113" s="18" t="s">
        <v>1103</v>
      </c>
      <c r="C113" s="19" t="s">
        <v>60</v>
      </c>
      <c r="D113" s="20">
        <v>11</v>
      </c>
      <c r="E113" s="19" t="s">
        <v>61</v>
      </c>
      <c r="F113" s="19" t="s">
        <v>1104</v>
      </c>
    </row>
    <row r="114" spans="1:6" ht="25" x14ac:dyDescent="0.25">
      <c r="A114" s="20">
        <v>116839</v>
      </c>
      <c r="B114" s="18" t="s">
        <v>1105</v>
      </c>
      <c r="C114" s="19" t="s">
        <v>60</v>
      </c>
      <c r="D114" s="20">
        <v>45</v>
      </c>
      <c r="E114" s="19" t="s">
        <v>61</v>
      </c>
      <c r="F114" s="19" t="s">
        <v>1106</v>
      </c>
    </row>
    <row r="115" spans="1:6" ht="25" x14ac:dyDescent="0.25">
      <c r="A115" s="20">
        <v>116936</v>
      </c>
      <c r="B115" s="18" t="s">
        <v>1107</v>
      </c>
      <c r="C115" s="19" t="s">
        <v>60</v>
      </c>
      <c r="D115" s="20">
        <v>45</v>
      </c>
      <c r="E115" s="19" t="s">
        <v>61</v>
      </c>
      <c r="F115" s="19" t="s">
        <v>1108</v>
      </c>
    </row>
    <row r="116" spans="1:6" ht="25" x14ac:dyDescent="0.25">
      <c r="A116" s="20">
        <v>117017</v>
      </c>
      <c r="B116" s="18" t="s">
        <v>1109</v>
      </c>
      <c r="C116" s="19" t="s">
        <v>60</v>
      </c>
      <c r="D116" s="20">
        <v>30</v>
      </c>
      <c r="E116" s="19" t="s">
        <v>61</v>
      </c>
      <c r="F116" s="19" t="s">
        <v>1110</v>
      </c>
    </row>
    <row r="117" spans="1:6" ht="62.5" x14ac:dyDescent="0.25">
      <c r="A117" s="20">
        <v>117007</v>
      </c>
      <c r="B117" s="18" t="s">
        <v>1111</v>
      </c>
      <c r="C117" s="19" t="s">
        <v>60</v>
      </c>
      <c r="D117" s="20">
        <v>15</v>
      </c>
      <c r="E117" s="19" t="s">
        <v>61</v>
      </c>
      <c r="F117" s="19" t="s">
        <v>1112</v>
      </c>
    </row>
    <row r="118" spans="1:6" ht="25" x14ac:dyDescent="0.25">
      <c r="A118" s="20">
        <v>119533</v>
      </c>
      <c r="B118" s="18" t="s">
        <v>1113</v>
      </c>
      <c r="C118" s="19" t="s">
        <v>789</v>
      </c>
      <c r="D118" s="20">
        <v>37</v>
      </c>
      <c r="E118" s="19" t="s">
        <v>61</v>
      </c>
      <c r="F118" s="19" t="s">
        <v>1114</v>
      </c>
    </row>
    <row r="119" spans="1:6" ht="50" x14ac:dyDescent="0.25">
      <c r="A119" s="20">
        <v>120925</v>
      </c>
      <c r="B119" s="18" t="s">
        <v>367</v>
      </c>
      <c r="C119" s="19" t="s">
        <v>785</v>
      </c>
      <c r="D119" s="20">
        <v>22</v>
      </c>
      <c r="E119" s="19" t="s">
        <v>61</v>
      </c>
      <c r="F119" s="19" t="s">
        <v>368</v>
      </c>
    </row>
    <row r="120" spans="1:6" ht="50" x14ac:dyDescent="0.25">
      <c r="A120" s="20">
        <v>120950</v>
      </c>
      <c r="B120" s="18" t="s">
        <v>369</v>
      </c>
      <c r="C120" s="19" t="s">
        <v>785</v>
      </c>
      <c r="D120" s="20">
        <v>13</v>
      </c>
      <c r="E120" s="19" t="s">
        <v>61</v>
      </c>
      <c r="F120" s="19" t="s">
        <v>370</v>
      </c>
    </row>
    <row r="121" spans="1:6" ht="62.5" x14ac:dyDescent="0.25">
      <c r="A121" s="20">
        <v>121579</v>
      </c>
      <c r="B121" s="18" t="s">
        <v>371</v>
      </c>
      <c r="C121" s="19" t="s">
        <v>60</v>
      </c>
      <c r="D121" s="20">
        <v>9</v>
      </c>
      <c r="E121" s="19" t="s">
        <v>61</v>
      </c>
      <c r="F121" s="19" t="s">
        <v>372</v>
      </c>
    </row>
    <row r="122" spans="1:6" ht="25" x14ac:dyDescent="0.25">
      <c r="A122" s="20">
        <v>121680</v>
      </c>
      <c r="B122" s="18" t="s">
        <v>373</v>
      </c>
      <c r="C122" s="19" t="s">
        <v>60</v>
      </c>
      <c r="D122" s="20">
        <v>22</v>
      </c>
      <c r="E122" s="19" t="s">
        <v>61</v>
      </c>
      <c r="F122" s="19" t="s">
        <v>374</v>
      </c>
    </row>
    <row r="123" spans="1:6" ht="62.5" x14ac:dyDescent="0.25">
      <c r="A123" s="20">
        <v>121688</v>
      </c>
      <c r="B123" s="18" t="s">
        <v>375</v>
      </c>
      <c r="C123" s="19" t="s">
        <v>60</v>
      </c>
      <c r="D123" s="20">
        <v>27</v>
      </c>
      <c r="E123" s="19" t="s">
        <v>61</v>
      </c>
      <c r="F123" s="19" t="s">
        <v>376</v>
      </c>
    </row>
    <row r="124" spans="1:6" ht="62.5" x14ac:dyDescent="0.25">
      <c r="A124" s="20">
        <v>122755</v>
      </c>
      <c r="B124" s="18" t="s">
        <v>377</v>
      </c>
      <c r="C124" s="19" t="s">
        <v>787</v>
      </c>
      <c r="D124" s="20">
        <v>7</v>
      </c>
      <c r="E124" s="19" t="s">
        <v>61</v>
      </c>
      <c r="F124" s="19" t="s">
        <v>378</v>
      </c>
    </row>
    <row r="125" spans="1:6" ht="50" x14ac:dyDescent="0.25">
      <c r="A125" s="20">
        <v>123184</v>
      </c>
      <c r="B125" s="18" t="s">
        <v>379</v>
      </c>
      <c r="C125" s="19" t="s">
        <v>66</v>
      </c>
      <c r="D125" s="20">
        <v>17</v>
      </c>
      <c r="E125" s="19" t="s">
        <v>61</v>
      </c>
      <c r="F125" s="19" t="s">
        <v>380</v>
      </c>
    </row>
    <row r="126" spans="1:6" ht="62.5" x14ac:dyDescent="0.25">
      <c r="A126" s="20">
        <v>123422</v>
      </c>
      <c r="B126" s="18" t="s">
        <v>381</v>
      </c>
      <c r="C126" s="19" t="s">
        <v>66</v>
      </c>
      <c r="D126" s="20">
        <v>24</v>
      </c>
      <c r="E126" s="19" t="s">
        <v>61</v>
      </c>
      <c r="F126" s="19" t="s">
        <v>382</v>
      </c>
    </row>
    <row r="127" spans="1:6" ht="62.5" x14ac:dyDescent="0.25">
      <c r="A127" s="20">
        <v>123965</v>
      </c>
      <c r="B127" s="18" t="s">
        <v>383</v>
      </c>
      <c r="C127" s="19" t="s">
        <v>789</v>
      </c>
      <c r="D127" s="20">
        <v>5</v>
      </c>
      <c r="E127" s="19" t="s">
        <v>61</v>
      </c>
      <c r="F127" s="19" t="s">
        <v>384</v>
      </c>
    </row>
    <row r="128" spans="1:6" ht="25" x14ac:dyDescent="0.25">
      <c r="A128" s="20">
        <v>68325</v>
      </c>
      <c r="B128" s="18" t="s">
        <v>70</v>
      </c>
      <c r="C128" s="19" t="s">
        <v>785</v>
      </c>
      <c r="D128" s="20">
        <v>15</v>
      </c>
      <c r="E128" s="19" t="s">
        <v>71</v>
      </c>
      <c r="F128" s="19" t="s">
        <v>72</v>
      </c>
    </row>
    <row r="129" spans="1:6" ht="37.5" x14ac:dyDescent="0.25">
      <c r="A129" s="20">
        <v>68690</v>
      </c>
      <c r="B129" s="18" t="s">
        <v>73</v>
      </c>
      <c r="C129" s="19" t="s">
        <v>785</v>
      </c>
      <c r="D129" s="20">
        <v>24</v>
      </c>
      <c r="E129" s="19" t="s">
        <v>71</v>
      </c>
      <c r="F129" s="19" t="s">
        <v>74</v>
      </c>
    </row>
    <row r="130" spans="1:6" ht="37.5" x14ac:dyDescent="0.25">
      <c r="A130" s="20">
        <v>70050</v>
      </c>
      <c r="B130" s="18" t="s">
        <v>75</v>
      </c>
      <c r="C130" s="19" t="s">
        <v>787</v>
      </c>
      <c r="D130" s="20">
        <v>28</v>
      </c>
      <c r="E130" s="19" t="s">
        <v>71</v>
      </c>
      <c r="F130" s="19" t="s">
        <v>76</v>
      </c>
    </row>
    <row r="131" spans="1:6" ht="37.5" x14ac:dyDescent="0.25">
      <c r="A131" s="20">
        <v>70192</v>
      </c>
      <c r="B131" s="18" t="s">
        <v>77</v>
      </c>
      <c r="C131" s="19" t="s">
        <v>787</v>
      </c>
      <c r="D131" s="20">
        <v>26</v>
      </c>
      <c r="E131" s="19" t="s">
        <v>71</v>
      </c>
      <c r="F131" s="19" t="s">
        <v>78</v>
      </c>
    </row>
    <row r="132" spans="1:6" ht="25" x14ac:dyDescent="0.25">
      <c r="A132" s="20">
        <v>71277</v>
      </c>
      <c r="B132" s="18" t="s">
        <v>79</v>
      </c>
      <c r="C132" s="19" t="s">
        <v>66</v>
      </c>
      <c r="D132" s="20">
        <v>0</v>
      </c>
      <c r="E132" s="19" t="s">
        <v>71</v>
      </c>
      <c r="F132" s="19" t="s">
        <v>80</v>
      </c>
    </row>
    <row r="133" spans="1:6" ht="50" x14ac:dyDescent="0.25">
      <c r="A133" s="20">
        <v>73232</v>
      </c>
      <c r="B133" s="18" t="s">
        <v>160</v>
      </c>
      <c r="C133" s="19" t="s">
        <v>785</v>
      </c>
      <c r="D133" s="20">
        <v>23</v>
      </c>
      <c r="E133" s="19" t="s">
        <v>71</v>
      </c>
      <c r="F133" s="19" t="s">
        <v>161</v>
      </c>
    </row>
    <row r="134" spans="1:6" ht="25" x14ac:dyDescent="0.25">
      <c r="A134" s="20">
        <v>73862</v>
      </c>
      <c r="B134" s="18" t="s">
        <v>162</v>
      </c>
      <c r="C134" s="19" t="s">
        <v>60</v>
      </c>
      <c r="D134" s="20">
        <v>20</v>
      </c>
      <c r="E134" s="19" t="s">
        <v>71</v>
      </c>
      <c r="F134" s="19" t="s">
        <v>163</v>
      </c>
    </row>
    <row r="135" spans="1:6" ht="37.5" x14ac:dyDescent="0.25">
      <c r="A135" s="20">
        <v>73916</v>
      </c>
      <c r="B135" s="18" t="s">
        <v>164</v>
      </c>
      <c r="C135" s="19" t="s">
        <v>60</v>
      </c>
      <c r="D135" s="20">
        <v>13</v>
      </c>
      <c r="E135" s="19" t="s">
        <v>71</v>
      </c>
      <c r="F135" s="19" t="s">
        <v>165</v>
      </c>
    </row>
    <row r="136" spans="1:6" ht="25" x14ac:dyDescent="0.25">
      <c r="A136" s="20">
        <v>74161</v>
      </c>
      <c r="B136" s="18" t="s">
        <v>166</v>
      </c>
      <c r="C136" s="19" t="s">
        <v>60</v>
      </c>
      <c r="D136" s="20">
        <v>11</v>
      </c>
      <c r="E136" s="19" t="s">
        <v>71</v>
      </c>
      <c r="F136" s="19" t="s">
        <v>167</v>
      </c>
    </row>
    <row r="137" spans="1:6" ht="37.5" x14ac:dyDescent="0.25">
      <c r="A137" s="20">
        <v>75106</v>
      </c>
      <c r="B137" s="18" t="s">
        <v>168</v>
      </c>
      <c r="C137" s="19" t="s">
        <v>787</v>
      </c>
      <c r="D137" s="20">
        <v>8</v>
      </c>
      <c r="E137" s="19" t="s">
        <v>71</v>
      </c>
      <c r="F137" s="19" t="s">
        <v>169</v>
      </c>
    </row>
    <row r="138" spans="1:6" ht="37.5" x14ac:dyDescent="0.25">
      <c r="A138" s="20">
        <v>75734</v>
      </c>
      <c r="B138" s="18" t="s">
        <v>170</v>
      </c>
      <c r="C138" s="19" t="s">
        <v>66</v>
      </c>
      <c r="D138" s="20">
        <v>9</v>
      </c>
      <c r="E138" s="19" t="s">
        <v>71</v>
      </c>
      <c r="F138" s="19" t="s">
        <v>171</v>
      </c>
    </row>
    <row r="139" spans="1:6" ht="62.5" x14ac:dyDescent="0.25">
      <c r="A139" s="20">
        <v>75662</v>
      </c>
      <c r="B139" s="18" t="s">
        <v>172</v>
      </c>
      <c r="C139" s="19" t="s">
        <v>66</v>
      </c>
      <c r="D139" s="20">
        <v>27</v>
      </c>
      <c r="E139" s="19" t="s">
        <v>71</v>
      </c>
      <c r="F139" s="19" t="s">
        <v>173</v>
      </c>
    </row>
    <row r="140" spans="1:6" ht="25" x14ac:dyDescent="0.25">
      <c r="A140" s="20">
        <v>78768</v>
      </c>
      <c r="B140" s="18" t="s">
        <v>1054</v>
      </c>
      <c r="C140" s="19" t="s">
        <v>60</v>
      </c>
      <c r="D140" s="20">
        <v>18</v>
      </c>
      <c r="E140" s="19" t="s">
        <v>71</v>
      </c>
      <c r="F140" s="19" t="s">
        <v>1055</v>
      </c>
    </row>
    <row r="141" spans="1:6" ht="25" x14ac:dyDescent="0.25">
      <c r="A141" s="20">
        <v>78974</v>
      </c>
      <c r="B141" s="18" t="s">
        <v>1056</v>
      </c>
      <c r="C141" s="19" t="s">
        <v>60</v>
      </c>
      <c r="D141" s="20">
        <v>37</v>
      </c>
      <c r="E141" s="19" t="s">
        <v>71</v>
      </c>
      <c r="F141" s="19" t="s">
        <v>1057</v>
      </c>
    </row>
    <row r="142" spans="1:6" ht="37.5" x14ac:dyDescent="0.25">
      <c r="A142" s="20">
        <v>79574</v>
      </c>
      <c r="B142" s="18" t="s">
        <v>1058</v>
      </c>
      <c r="C142" s="19" t="s">
        <v>787</v>
      </c>
      <c r="D142" s="20">
        <v>14</v>
      </c>
      <c r="E142" s="19" t="s">
        <v>71</v>
      </c>
      <c r="F142" s="19" t="s">
        <v>1059</v>
      </c>
    </row>
    <row r="143" spans="1:6" ht="25" x14ac:dyDescent="0.25">
      <c r="A143" s="20">
        <v>79659</v>
      </c>
      <c r="B143" s="18" t="s">
        <v>1060</v>
      </c>
      <c r="C143" s="19" t="s">
        <v>787</v>
      </c>
      <c r="D143" s="20">
        <v>8</v>
      </c>
      <c r="E143" s="19" t="s">
        <v>71</v>
      </c>
      <c r="F143" s="19" t="s">
        <v>1061</v>
      </c>
    </row>
    <row r="144" spans="1:6" ht="25" x14ac:dyDescent="0.25">
      <c r="A144" s="20">
        <v>80402</v>
      </c>
      <c r="B144" s="18" t="s">
        <v>1062</v>
      </c>
      <c r="C144" s="19" t="s">
        <v>66</v>
      </c>
      <c r="D144" s="20">
        <v>34</v>
      </c>
      <c r="E144" s="19" t="s">
        <v>71</v>
      </c>
      <c r="F144" s="19" t="s">
        <v>1063</v>
      </c>
    </row>
    <row r="145" spans="1:6" ht="37.5" x14ac:dyDescent="0.25">
      <c r="A145" s="20">
        <v>80724</v>
      </c>
      <c r="B145" s="18" t="s">
        <v>1064</v>
      </c>
      <c r="C145" s="19" t="s">
        <v>66</v>
      </c>
      <c r="D145" s="20">
        <v>43</v>
      </c>
      <c r="E145" s="19" t="s">
        <v>71</v>
      </c>
      <c r="F145" s="19" t="s">
        <v>1065</v>
      </c>
    </row>
    <row r="146" spans="1:6" ht="25" x14ac:dyDescent="0.25">
      <c r="A146" s="20">
        <v>82988</v>
      </c>
      <c r="B146" s="18" t="s">
        <v>265</v>
      </c>
      <c r="C146" s="19" t="s">
        <v>785</v>
      </c>
      <c r="D146" s="20">
        <v>17</v>
      </c>
      <c r="E146" s="19" t="s">
        <v>71</v>
      </c>
      <c r="F146" s="19" t="s">
        <v>266</v>
      </c>
    </row>
    <row r="147" spans="1:6" ht="50" x14ac:dyDescent="0.25">
      <c r="A147" s="20">
        <v>83051</v>
      </c>
      <c r="B147" s="18" t="s">
        <v>267</v>
      </c>
      <c r="C147" s="19" t="s">
        <v>785</v>
      </c>
      <c r="D147" s="20">
        <v>5</v>
      </c>
      <c r="E147" s="19" t="s">
        <v>71</v>
      </c>
      <c r="F147" s="19" t="s">
        <v>268</v>
      </c>
    </row>
    <row r="148" spans="1:6" ht="25" x14ac:dyDescent="0.25">
      <c r="A148" s="20">
        <v>83150</v>
      </c>
      <c r="B148" s="18" t="s">
        <v>269</v>
      </c>
      <c r="C148" s="19" t="s">
        <v>785</v>
      </c>
      <c r="D148" s="20">
        <v>22</v>
      </c>
      <c r="E148" s="19" t="s">
        <v>71</v>
      </c>
      <c r="F148" s="19" t="s">
        <v>270</v>
      </c>
    </row>
    <row r="149" spans="1:6" ht="37.5" x14ac:dyDescent="0.25">
      <c r="A149" s="20">
        <v>83696</v>
      </c>
      <c r="B149" s="18" t="s">
        <v>271</v>
      </c>
      <c r="C149" s="19" t="s">
        <v>60</v>
      </c>
      <c r="D149" s="20">
        <v>29</v>
      </c>
      <c r="E149" s="19" t="s">
        <v>71</v>
      </c>
      <c r="F149" s="19" t="s">
        <v>272</v>
      </c>
    </row>
    <row r="150" spans="1:6" ht="37.5" x14ac:dyDescent="0.25">
      <c r="A150" s="20">
        <v>84924</v>
      </c>
      <c r="B150" s="18" t="s">
        <v>273</v>
      </c>
      <c r="C150" s="19" t="s">
        <v>787</v>
      </c>
      <c r="D150" s="20">
        <v>19</v>
      </c>
      <c r="E150" s="19" t="s">
        <v>71</v>
      </c>
      <c r="F150" s="19" t="s">
        <v>274</v>
      </c>
    </row>
    <row r="151" spans="1:6" ht="62.5" x14ac:dyDescent="0.25">
      <c r="A151" s="20">
        <v>85874</v>
      </c>
      <c r="B151" s="18" t="s">
        <v>275</v>
      </c>
      <c r="C151" s="19" t="s">
        <v>66</v>
      </c>
      <c r="D151" s="20">
        <v>11</v>
      </c>
      <c r="E151" s="19" t="s">
        <v>71</v>
      </c>
      <c r="F151" s="19" t="s">
        <v>1220</v>
      </c>
    </row>
    <row r="152" spans="1:6" ht="62.5" x14ac:dyDescent="0.25">
      <c r="A152" s="20">
        <v>86001</v>
      </c>
      <c r="B152" s="18" t="s">
        <v>1221</v>
      </c>
      <c r="C152" s="19" t="s">
        <v>66</v>
      </c>
      <c r="D152" s="20">
        <v>39</v>
      </c>
      <c r="E152" s="19" t="s">
        <v>71</v>
      </c>
      <c r="F152" s="19" t="s">
        <v>1222</v>
      </c>
    </row>
    <row r="153" spans="1:6" ht="37.5" x14ac:dyDescent="0.25">
      <c r="A153" s="20">
        <v>86795</v>
      </c>
      <c r="B153" s="18" t="s">
        <v>1223</v>
      </c>
      <c r="C153" s="19" t="s">
        <v>789</v>
      </c>
      <c r="D153" s="20">
        <v>11</v>
      </c>
      <c r="E153" s="19" t="s">
        <v>71</v>
      </c>
      <c r="F153" s="19" t="s">
        <v>1224</v>
      </c>
    </row>
    <row r="154" spans="1:6" ht="50" x14ac:dyDescent="0.25">
      <c r="A154" s="20">
        <v>86837</v>
      </c>
      <c r="B154" s="18" t="s">
        <v>1225</v>
      </c>
      <c r="C154" s="19" t="s">
        <v>789</v>
      </c>
      <c r="D154" s="20">
        <v>16</v>
      </c>
      <c r="E154" s="19" t="s">
        <v>71</v>
      </c>
      <c r="F154" s="19" t="s">
        <v>1226</v>
      </c>
    </row>
    <row r="155" spans="1:6" ht="50" x14ac:dyDescent="0.25">
      <c r="A155" s="20">
        <v>88161</v>
      </c>
      <c r="B155" s="18" t="s">
        <v>563</v>
      </c>
      <c r="C155" s="19" t="s">
        <v>785</v>
      </c>
      <c r="D155" s="20">
        <v>3</v>
      </c>
      <c r="E155" s="19" t="s">
        <v>71</v>
      </c>
      <c r="F155" s="19" t="s">
        <v>564</v>
      </c>
    </row>
    <row r="156" spans="1:6" ht="62.5" x14ac:dyDescent="0.25">
      <c r="A156" s="20">
        <v>88304</v>
      </c>
      <c r="B156" s="18" t="s">
        <v>565</v>
      </c>
      <c r="C156" s="19" t="s">
        <v>785</v>
      </c>
      <c r="D156" s="20">
        <v>6</v>
      </c>
      <c r="E156" s="19" t="s">
        <v>71</v>
      </c>
      <c r="F156" s="19" t="s">
        <v>566</v>
      </c>
    </row>
    <row r="157" spans="1:6" ht="25" x14ac:dyDescent="0.25">
      <c r="A157" s="20">
        <v>88385</v>
      </c>
      <c r="B157" s="18" t="s">
        <v>567</v>
      </c>
      <c r="C157" s="19" t="s">
        <v>785</v>
      </c>
      <c r="D157" s="20">
        <v>7</v>
      </c>
      <c r="E157" s="19" t="s">
        <v>71</v>
      </c>
      <c r="F157" s="19" t="s">
        <v>568</v>
      </c>
    </row>
    <row r="158" spans="1:6" ht="25" x14ac:dyDescent="0.25">
      <c r="A158" s="20">
        <v>88738</v>
      </c>
      <c r="B158" s="18" t="s">
        <v>569</v>
      </c>
      <c r="C158" s="19" t="s">
        <v>785</v>
      </c>
      <c r="D158" s="20">
        <v>17</v>
      </c>
      <c r="E158" s="19" t="s">
        <v>71</v>
      </c>
      <c r="F158" s="19" t="s">
        <v>570</v>
      </c>
    </row>
    <row r="159" spans="1:6" ht="37.5" x14ac:dyDescent="0.25">
      <c r="A159" s="20">
        <v>89334</v>
      </c>
      <c r="B159" s="18" t="s">
        <v>571</v>
      </c>
      <c r="C159" s="19" t="s">
        <v>60</v>
      </c>
      <c r="D159" s="20">
        <v>9</v>
      </c>
      <c r="E159" s="19" t="s">
        <v>71</v>
      </c>
      <c r="F159" s="19" t="s">
        <v>572</v>
      </c>
    </row>
    <row r="160" spans="1:6" ht="37.5" x14ac:dyDescent="0.25">
      <c r="A160" s="20">
        <v>89508</v>
      </c>
      <c r="B160" s="18" t="s">
        <v>573</v>
      </c>
      <c r="C160" s="19" t="s">
        <v>60</v>
      </c>
      <c r="D160" s="20">
        <v>37</v>
      </c>
      <c r="E160" s="19" t="s">
        <v>71</v>
      </c>
      <c r="F160" s="19" t="s">
        <v>574</v>
      </c>
    </row>
    <row r="161" spans="1:6" ht="62.5" x14ac:dyDescent="0.25">
      <c r="A161" s="20">
        <v>89564</v>
      </c>
      <c r="B161" s="18" t="s">
        <v>575</v>
      </c>
      <c r="C161" s="19" t="s">
        <v>60</v>
      </c>
      <c r="D161" s="20">
        <v>21</v>
      </c>
      <c r="E161" s="19" t="s">
        <v>71</v>
      </c>
      <c r="F161" s="19" t="s">
        <v>576</v>
      </c>
    </row>
    <row r="162" spans="1:6" ht="50" x14ac:dyDescent="0.25">
      <c r="A162" s="20">
        <v>89562</v>
      </c>
      <c r="B162" s="18" t="s">
        <v>577</v>
      </c>
      <c r="C162" s="19" t="s">
        <v>60</v>
      </c>
      <c r="D162" s="20">
        <v>10</v>
      </c>
      <c r="E162" s="19" t="s">
        <v>71</v>
      </c>
      <c r="F162" s="19" t="s">
        <v>578</v>
      </c>
    </row>
    <row r="163" spans="1:6" ht="50" x14ac:dyDescent="0.25">
      <c r="A163" s="20">
        <v>90848</v>
      </c>
      <c r="B163" s="18" t="s">
        <v>579</v>
      </c>
      <c r="C163" s="19" t="s">
        <v>787</v>
      </c>
      <c r="D163" s="20">
        <v>0</v>
      </c>
      <c r="E163" s="19" t="s">
        <v>71</v>
      </c>
      <c r="F163" s="19" t="s">
        <v>580</v>
      </c>
    </row>
    <row r="164" spans="1:6" ht="25" x14ac:dyDescent="0.25">
      <c r="A164" s="20">
        <v>90890</v>
      </c>
      <c r="B164" s="18" t="s">
        <v>581</v>
      </c>
      <c r="C164" s="19" t="s">
        <v>787</v>
      </c>
      <c r="D164" s="20">
        <v>0</v>
      </c>
      <c r="E164" s="19" t="s">
        <v>71</v>
      </c>
      <c r="F164" s="19" t="s">
        <v>582</v>
      </c>
    </row>
    <row r="165" spans="1:6" ht="25" x14ac:dyDescent="0.25">
      <c r="A165" s="20">
        <v>91370</v>
      </c>
      <c r="B165" s="18" t="s">
        <v>583</v>
      </c>
      <c r="C165" s="19" t="s">
        <v>66</v>
      </c>
      <c r="D165" s="20">
        <v>19</v>
      </c>
      <c r="E165" s="19" t="s">
        <v>71</v>
      </c>
      <c r="F165" s="19" t="s">
        <v>584</v>
      </c>
    </row>
    <row r="166" spans="1:6" ht="25" x14ac:dyDescent="0.25">
      <c r="A166" s="20">
        <v>91406</v>
      </c>
      <c r="B166" s="18" t="s">
        <v>585</v>
      </c>
      <c r="C166" s="19" t="s">
        <v>66</v>
      </c>
      <c r="D166" s="20">
        <v>13</v>
      </c>
      <c r="E166" s="19" t="s">
        <v>71</v>
      </c>
      <c r="F166" s="19" t="s">
        <v>586</v>
      </c>
    </row>
    <row r="167" spans="1:6" ht="25" x14ac:dyDescent="0.25">
      <c r="A167" s="20">
        <v>91526</v>
      </c>
      <c r="B167" s="18" t="s">
        <v>587</v>
      </c>
      <c r="C167" s="19" t="s">
        <v>66</v>
      </c>
      <c r="D167" s="20">
        <v>23</v>
      </c>
      <c r="E167" s="19" t="s">
        <v>71</v>
      </c>
      <c r="F167" s="19" t="s">
        <v>588</v>
      </c>
    </row>
    <row r="168" spans="1:6" ht="62.5" x14ac:dyDescent="0.25">
      <c r="A168" s="20">
        <v>91522</v>
      </c>
      <c r="B168" s="18" t="s">
        <v>589</v>
      </c>
      <c r="C168" s="19" t="s">
        <v>66</v>
      </c>
      <c r="D168" s="20">
        <v>7</v>
      </c>
      <c r="E168" s="19" t="s">
        <v>71</v>
      </c>
      <c r="F168" s="19" t="s">
        <v>590</v>
      </c>
    </row>
    <row r="169" spans="1:6" ht="25" x14ac:dyDescent="0.25">
      <c r="A169" s="20">
        <v>91672</v>
      </c>
      <c r="B169" s="18" t="s">
        <v>591</v>
      </c>
      <c r="C169" s="19" t="s">
        <v>66</v>
      </c>
      <c r="D169" s="20">
        <v>24</v>
      </c>
      <c r="E169" s="19" t="s">
        <v>71</v>
      </c>
      <c r="F169" s="19" t="s">
        <v>592</v>
      </c>
    </row>
    <row r="170" spans="1:6" ht="37.5" x14ac:dyDescent="0.25">
      <c r="A170" s="20">
        <v>91686</v>
      </c>
      <c r="B170" s="18" t="s">
        <v>593</v>
      </c>
      <c r="C170" s="19" t="s">
        <v>66</v>
      </c>
      <c r="D170" s="20">
        <v>25</v>
      </c>
      <c r="E170" s="19" t="s">
        <v>71</v>
      </c>
      <c r="F170" s="19" t="s">
        <v>594</v>
      </c>
    </row>
    <row r="171" spans="1:6" ht="37.5" x14ac:dyDescent="0.25">
      <c r="A171" s="20">
        <v>91684</v>
      </c>
      <c r="B171" s="18" t="s">
        <v>595</v>
      </c>
      <c r="C171" s="19" t="s">
        <v>66</v>
      </c>
      <c r="D171" s="20">
        <v>22</v>
      </c>
      <c r="E171" s="19" t="s">
        <v>71</v>
      </c>
      <c r="F171" s="19" t="s">
        <v>596</v>
      </c>
    </row>
    <row r="172" spans="1:6" ht="25" x14ac:dyDescent="0.25">
      <c r="A172" s="20">
        <v>92256</v>
      </c>
      <c r="B172" s="18" t="s">
        <v>597</v>
      </c>
      <c r="C172" s="19" t="s">
        <v>789</v>
      </c>
      <c r="D172" s="20">
        <v>70</v>
      </c>
      <c r="E172" s="19" t="s">
        <v>71</v>
      </c>
      <c r="F172" s="19" t="s">
        <v>598</v>
      </c>
    </row>
    <row r="173" spans="1:6" ht="25" x14ac:dyDescent="0.25">
      <c r="A173" s="20">
        <v>92277</v>
      </c>
      <c r="B173" s="18" t="s">
        <v>599</v>
      </c>
      <c r="C173" s="19" t="s">
        <v>789</v>
      </c>
      <c r="D173" s="20">
        <v>7</v>
      </c>
      <c r="E173" s="19" t="s">
        <v>71</v>
      </c>
      <c r="F173" s="19" t="s">
        <v>600</v>
      </c>
    </row>
    <row r="174" spans="1:6" ht="37.5" x14ac:dyDescent="0.25">
      <c r="A174" s="20">
        <v>92283</v>
      </c>
      <c r="B174" s="18" t="s">
        <v>601</v>
      </c>
      <c r="C174" s="19" t="s">
        <v>789</v>
      </c>
      <c r="D174" s="20">
        <v>4</v>
      </c>
      <c r="E174" s="19" t="s">
        <v>71</v>
      </c>
      <c r="F174" s="19" t="s">
        <v>602</v>
      </c>
    </row>
    <row r="175" spans="1:6" ht="25" x14ac:dyDescent="0.25">
      <c r="A175" s="20">
        <v>93854</v>
      </c>
      <c r="B175" s="18" t="s">
        <v>304</v>
      </c>
      <c r="C175" s="19" t="s">
        <v>785</v>
      </c>
      <c r="D175" s="20">
        <v>6</v>
      </c>
      <c r="E175" s="19" t="s">
        <v>71</v>
      </c>
      <c r="F175" s="19" t="s">
        <v>305</v>
      </c>
    </row>
    <row r="176" spans="1:6" ht="50" x14ac:dyDescent="0.25">
      <c r="A176" s="20">
        <v>94108</v>
      </c>
      <c r="B176" s="18" t="s">
        <v>306</v>
      </c>
      <c r="C176" s="19" t="s">
        <v>785</v>
      </c>
      <c r="D176" s="20">
        <v>13</v>
      </c>
      <c r="E176" s="19" t="s">
        <v>71</v>
      </c>
      <c r="F176" s="19" t="s">
        <v>307</v>
      </c>
    </row>
    <row r="177" spans="1:6" ht="25" x14ac:dyDescent="0.25">
      <c r="A177" s="20">
        <v>94607</v>
      </c>
      <c r="B177" s="18" t="s">
        <v>308</v>
      </c>
      <c r="C177" s="19" t="s">
        <v>60</v>
      </c>
      <c r="D177" s="20">
        <v>44</v>
      </c>
      <c r="E177" s="19" t="s">
        <v>71</v>
      </c>
      <c r="F177" s="19" t="s">
        <v>309</v>
      </c>
    </row>
    <row r="178" spans="1:6" ht="37.5" x14ac:dyDescent="0.25">
      <c r="A178" s="20">
        <v>94778</v>
      </c>
      <c r="B178" s="18" t="s">
        <v>310</v>
      </c>
      <c r="C178" s="19" t="s">
        <v>60</v>
      </c>
      <c r="D178" s="20">
        <v>3</v>
      </c>
      <c r="E178" s="19" t="s">
        <v>71</v>
      </c>
      <c r="F178" s="19" t="s">
        <v>311</v>
      </c>
    </row>
    <row r="179" spans="1:6" ht="50" x14ac:dyDescent="0.25">
      <c r="A179" s="20">
        <v>94811</v>
      </c>
      <c r="B179" s="18" t="s">
        <v>312</v>
      </c>
      <c r="C179" s="19" t="s">
        <v>60</v>
      </c>
      <c r="D179" s="20">
        <v>11</v>
      </c>
      <c r="E179" s="19" t="s">
        <v>71</v>
      </c>
      <c r="F179" s="19" t="s">
        <v>313</v>
      </c>
    </row>
    <row r="180" spans="1:6" ht="25" x14ac:dyDescent="0.25">
      <c r="A180" s="20">
        <v>94921</v>
      </c>
      <c r="B180" s="18" t="s">
        <v>314</v>
      </c>
      <c r="C180" s="19" t="s">
        <v>60</v>
      </c>
      <c r="D180" s="20">
        <v>15</v>
      </c>
      <c r="E180" s="19" t="s">
        <v>71</v>
      </c>
      <c r="F180" s="19" t="s">
        <v>315</v>
      </c>
    </row>
    <row r="181" spans="1:6" ht="62.5" x14ac:dyDescent="0.25">
      <c r="A181" s="20">
        <v>94964</v>
      </c>
      <c r="B181" s="18" t="s">
        <v>316</v>
      </c>
      <c r="C181" s="19" t="s">
        <v>60</v>
      </c>
      <c r="D181" s="20">
        <v>11</v>
      </c>
      <c r="E181" s="19" t="s">
        <v>71</v>
      </c>
      <c r="F181" s="19" t="s">
        <v>317</v>
      </c>
    </row>
    <row r="182" spans="1:6" ht="50" x14ac:dyDescent="0.25">
      <c r="A182" s="20">
        <v>95007</v>
      </c>
      <c r="B182" s="18" t="s">
        <v>318</v>
      </c>
      <c r="C182" s="19" t="s">
        <v>60</v>
      </c>
      <c r="D182" s="20">
        <v>11</v>
      </c>
      <c r="E182" s="19" t="s">
        <v>71</v>
      </c>
      <c r="F182" s="19" t="s">
        <v>319</v>
      </c>
    </row>
    <row r="183" spans="1:6" ht="37.5" x14ac:dyDescent="0.25">
      <c r="A183" s="20">
        <v>95712</v>
      </c>
      <c r="B183" s="18" t="s">
        <v>320</v>
      </c>
      <c r="C183" s="19" t="s">
        <v>787</v>
      </c>
      <c r="D183" s="20">
        <v>27</v>
      </c>
      <c r="E183" s="19" t="s">
        <v>71</v>
      </c>
      <c r="F183" s="19" t="s">
        <v>321</v>
      </c>
    </row>
    <row r="184" spans="1:6" ht="37.5" x14ac:dyDescent="0.25">
      <c r="A184" s="20">
        <v>95840</v>
      </c>
      <c r="B184" s="18" t="s">
        <v>322</v>
      </c>
      <c r="C184" s="19" t="s">
        <v>787</v>
      </c>
      <c r="D184" s="20">
        <v>4</v>
      </c>
      <c r="E184" s="19" t="s">
        <v>71</v>
      </c>
      <c r="F184" s="19" t="s">
        <v>323</v>
      </c>
    </row>
    <row r="185" spans="1:6" ht="25" x14ac:dyDescent="0.25">
      <c r="A185" s="20">
        <v>96614</v>
      </c>
      <c r="B185" s="18" t="s">
        <v>324</v>
      </c>
      <c r="C185" s="19" t="s">
        <v>66</v>
      </c>
      <c r="D185" s="20">
        <v>11</v>
      </c>
      <c r="E185" s="19" t="s">
        <v>71</v>
      </c>
      <c r="F185" s="19" t="s">
        <v>325</v>
      </c>
    </row>
    <row r="186" spans="1:6" ht="37.5" x14ac:dyDescent="0.25">
      <c r="A186" s="20">
        <v>99089</v>
      </c>
      <c r="B186" s="18" t="s">
        <v>952</v>
      </c>
      <c r="C186" s="19" t="s">
        <v>785</v>
      </c>
      <c r="D186" s="20">
        <v>8</v>
      </c>
      <c r="E186" s="19" t="s">
        <v>71</v>
      </c>
      <c r="F186" s="19" t="s">
        <v>953</v>
      </c>
    </row>
    <row r="187" spans="1:6" ht="25" x14ac:dyDescent="0.25">
      <c r="A187" s="20">
        <v>101275</v>
      </c>
      <c r="B187" s="18" t="s">
        <v>954</v>
      </c>
      <c r="C187" s="19" t="s">
        <v>787</v>
      </c>
      <c r="D187" s="20">
        <v>23</v>
      </c>
      <c r="E187" s="19" t="s">
        <v>71</v>
      </c>
      <c r="F187" s="19" t="s">
        <v>955</v>
      </c>
    </row>
    <row r="188" spans="1:6" ht="25" x14ac:dyDescent="0.25">
      <c r="A188" s="20">
        <v>101497</v>
      </c>
      <c r="B188" s="18" t="s">
        <v>956</v>
      </c>
      <c r="C188" s="19" t="s">
        <v>787</v>
      </c>
      <c r="D188" s="20">
        <v>25</v>
      </c>
      <c r="E188" s="19" t="s">
        <v>71</v>
      </c>
      <c r="F188" s="19" t="s">
        <v>957</v>
      </c>
    </row>
    <row r="189" spans="1:6" ht="25" x14ac:dyDescent="0.25">
      <c r="A189" s="20">
        <v>102631</v>
      </c>
      <c r="B189" s="18" t="s">
        <v>958</v>
      </c>
      <c r="C189" s="19" t="s">
        <v>66</v>
      </c>
      <c r="D189" s="20">
        <v>33</v>
      </c>
      <c r="E189" s="19" t="s">
        <v>71</v>
      </c>
      <c r="F189" s="19" t="s">
        <v>959</v>
      </c>
    </row>
    <row r="190" spans="1:6" ht="50" x14ac:dyDescent="0.25">
      <c r="A190" s="20">
        <v>103087</v>
      </c>
      <c r="B190" s="18" t="s">
        <v>960</v>
      </c>
      <c r="C190" s="19" t="s">
        <v>789</v>
      </c>
      <c r="D190" s="20">
        <v>4</v>
      </c>
      <c r="E190" s="19" t="s">
        <v>71</v>
      </c>
      <c r="F190" s="19" t="s">
        <v>961</v>
      </c>
    </row>
    <row r="191" spans="1:6" ht="25" x14ac:dyDescent="0.25">
      <c r="A191" s="20">
        <v>103129</v>
      </c>
      <c r="B191" s="18" t="s">
        <v>962</v>
      </c>
      <c r="C191" s="19" t="s">
        <v>789</v>
      </c>
      <c r="D191" s="20">
        <v>33</v>
      </c>
      <c r="E191" s="19" t="s">
        <v>71</v>
      </c>
      <c r="F191" s="19" t="s">
        <v>963</v>
      </c>
    </row>
    <row r="192" spans="1:6" ht="37.5" x14ac:dyDescent="0.25">
      <c r="A192" s="20">
        <v>103220</v>
      </c>
      <c r="B192" s="18" t="s">
        <v>964</v>
      </c>
      <c r="C192" s="19" t="s">
        <v>789</v>
      </c>
      <c r="D192" s="20">
        <v>0</v>
      </c>
      <c r="E192" s="19" t="s">
        <v>71</v>
      </c>
      <c r="F192" s="19" t="s">
        <v>965</v>
      </c>
    </row>
    <row r="193" spans="1:6" ht="37.5" x14ac:dyDescent="0.25">
      <c r="A193" s="20">
        <v>104488</v>
      </c>
      <c r="B193" s="18" t="s">
        <v>395</v>
      </c>
      <c r="C193" s="19" t="s">
        <v>785</v>
      </c>
      <c r="D193" s="20">
        <v>10</v>
      </c>
      <c r="E193" s="19" t="s">
        <v>71</v>
      </c>
      <c r="F193" s="19" t="s">
        <v>396</v>
      </c>
    </row>
    <row r="194" spans="1:6" ht="25" x14ac:dyDescent="0.25">
      <c r="A194" s="20">
        <v>104657</v>
      </c>
      <c r="B194" s="18" t="s">
        <v>397</v>
      </c>
      <c r="C194" s="19" t="s">
        <v>785</v>
      </c>
      <c r="D194" s="20">
        <v>7</v>
      </c>
      <c r="E194" s="19" t="s">
        <v>71</v>
      </c>
      <c r="F194" s="19" t="s">
        <v>398</v>
      </c>
    </row>
    <row r="195" spans="1:6" ht="25" x14ac:dyDescent="0.25">
      <c r="A195" s="20">
        <v>104902</v>
      </c>
      <c r="B195" s="18" t="s">
        <v>399</v>
      </c>
      <c r="C195" s="19" t="s">
        <v>785</v>
      </c>
      <c r="D195" s="20">
        <v>15</v>
      </c>
      <c r="E195" s="19" t="s">
        <v>71</v>
      </c>
      <c r="F195" s="19" t="s">
        <v>400</v>
      </c>
    </row>
    <row r="196" spans="1:6" ht="37.5" x14ac:dyDescent="0.25">
      <c r="A196" s="20">
        <v>104994</v>
      </c>
      <c r="B196" s="18" t="s">
        <v>401</v>
      </c>
      <c r="C196" s="19" t="s">
        <v>785</v>
      </c>
      <c r="D196" s="20">
        <v>23</v>
      </c>
      <c r="E196" s="19" t="s">
        <v>71</v>
      </c>
      <c r="F196" s="19" t="s">
        <v>402</v>
      </c>
    </row>
    <row r="197" spans="1:6" ht="37.5" x14ac:dyDescent="0.25">
      <c r="A197" s="20">
        <v>105079</v>
      </c>
      <c r="B197" s="18" t="s">
        <v>403</v>
      </c>
      <c r="C197" s="19" t="s">
        <v>785</v>
      </c>
      <c r="D197" s="20">
        <v>19</v>
      </c>
      <c r="E197" s="19" t="s">
        <v>71</v>
      </c>
      <c r="F197" s="19" t="s">
        <v>404</v>
      </c>
    </row>
    <row r="198" spans="1:6" ht="25" x14ac:dyDescent="0.25">
      <c r="A198" s="20">
        <v>105623</v>
      </c>
      <c r="B198" s="18" t="s">
        <v>405</v>
      </c>
      <c r="C198" s="19" t="s">
        <v>60</v>
      </c>
      <c r="D198" s="20">
        <v>25</v>
      </c>
      <c r="E198" s="19" t="s">
        <v>71</v>
      </c>
      <c r="F198" s="19" t="s">
        <v>406</v>
      </c>
    </row>
    <row r="199" spans="1:6" ht="37.5" x14ac:dyDescent="0.25">
      <c r="A199" s="20">
        <v>105754</v>
      </c>
      <c r="B199" s="18" t="s">
        <v>407</v>
      </c>
      <c r="C199" s="19" t="s">
        <v>60</v>
      </c>
      <c r="D199" s="20">
        <v>28</v>
      </c>
      <c r="E199" s="19" t="s">
        <v>71</v>
      </c>
      <c r="F199" s="19" t="s">
        <v>408</v>
      </c>
    </row>
    <row r="200" spans="1:6" ht="25" x14ac:dyDescent="0.25">
      <c r="A200" s="20">
        <v>106029</v>
      </c>
      <c r="B200" s="18" t="s">
        <v>409</v>
      </c>
      <c r="C200" s="19" t="s">
        <v>60</v>
      </c>
      <c r="D200" s="20">
        <v>27</v>
      </c>
      <c r="E200" s="19" t="s">
        <v>71</v>
      </c>
      <c r="F200" s="19" t="s">
        <v>410</v>
      </c>
    </row>
    <row r="201" spans="1:6" ht="37.5" x14ac:dyDescent="0.25">
      <c r="A201" s="20">
        <v>106106</v>
      </c>
      <c r="B201" s="18" t="s">
        <v>411</v>
      </c>
      <c r="C201" s="19" t="s">
        <v>60</v>
      </c>
      <c r="D201" s="20">
        <v>0</v>
      </c>
      <c r="E201" s="19" t="s">
        <v>71</v>
      </c>
      <c r="F201" s="19" t="s">
        <v>412</v>
      </c>
    </row>
    <row r="202" spans="1:6" ht="25" x14ac:dyDescent="0.25">
      <c r="A202" s="20">
        <v>106681</v>
      </c>
      <c r="B202" s="18" t="s">
        <v>413</v>
      </c>
      <c r="C202" s="19" t="s">
        <v>787</v>
      </c>
      <c r="D202" s="20">
        <v>24</v>
      </c>
      <c r="E202" s="19" t="s">
        <v>71</v>
      </c>
      <c r="F202" s="19" t="s">
        <v>414</v>
      </c>
    </row>
    <row r="203" spans="1:6" ht="37.5" x14ac:dyDescent="0.25">
      <c r="A203" s="20">
        <v>106779</v>
      </c>
      <c r="B203" s="18" t="s">
        <v>415</v>
      </c>
      <c r="C203" s="19" t="s">
        <v>787</v>
      </c>
      <c r="D203" s="20">
        <v>22</v>
      </c>
      <c r="E203" s="19" t="s">
        <v>71</v>
      </c>
      <c r="F203" s="19" t="s">
        <v>416</v>
      </c>
    </row>
    <row r="204" spans="1:6" ht="50" x14ac:dyDescent="0.25">
      <c r="A204" s="20">
        <v>106780</v>
      </c>
      <c r="B204" s="18" t="s">
        <v>417</v>
      </c>
      <c r="C204" s="19" t="s">
        <v>787</v>
      </c>
      <c r="D204" s="20">
        <v>12</v>
      </c>
      <c r="E204" s="19" t="s">
        <v>71</v>
      </c>
      <c r="F204" s="19" t="s">
        <v>418</v>
      </c>
    </row>
    <row r="205" spans="1:6" ht="50" x14ac:dyDescent="0.25">
      <c r="A205" s="20">
        <v>106812</v>
      </c>
      <c r="B205" s="18" t="s">
        <v>419</v>
      </c>
      <c r="C205" s="19" t="s">
        <v>787</v>
      </c>
      <c r="D205" s="20">
        <v>5</v>
      </c>
      <c r="E205" s="19" t="s">
        <v>71</v>
      </c>
      <c r="F205" s="19" t="s">
        <v>420</v>
      </c>
    </row>
    <row r="206" spans="1:6" ht="37.5" x14ac:dyDescent="0.25">
      <c r="A206" s="20">
        <v>106973</v>
      </c>
      <c r="B206" s="18" t="s">
        <v>421</v>
      </c>
      <c r="C206" s="19" t="s">
        <v>787</v>
      </c>
      <c r="D206" s="20">
        <v>56</v>
      </c>
      <c r="E206" s="19" t="s">
        <v>71</v>
      </c>
      <c r="F206" s="19" t="s">
        <v>422</v>
      </c>
    </row>
    <row r="207" spans="1:6" ht="37.5" x14ac:dyDescent="0.25">
      <c r="A207" s="20">
        <v>106997</v>
      </c>
      <c r="B207" s="18" t="s">
        <v>423</v>
      </c>
      <c r="C207" s="19" t="s">
        <v>787</v>
      </c>
      <c r="D207" s="20">
        <v>13</v>
      </c>
      <c r="E207" s="19" t="s">
        <v>71</v>
      </c>
      <c r="F207" s="19" t="s">
        <v>424</v>
      </c>
    </row>
    <row r="208" spans="1:6" ht="37.5" x14ac:dyDescent="0.25">
      <c r="A208" s="20">
        <v>107204</v>
      </c>
      <c r="B208" s="18" t="s">
        <v>425</v>
      </c>
      <c r="C208" s="19" t="s">
        <v>787</v>
      </c>
      <c r="D208" s="20">
        <v>35</v>
      </c>
      <c r="E208" s="19" t="s">
        <v>71</v>
      </c>
      <c r="F208" s="19" t="s">
        <v>426</v>
      </c>
    </row>
    <row r="209" spans="1:6" ht="62.5" x14ac:dyDescent="0.25">
      <c r="A209" s="20">
        <v>107232</v>
      </c>
      <c r="B209" s="18" t="s">
        <v>427</v>
      </c>
      <c r="C209" s="19" t="s">
        <v>787</v>
      </c>
      <c r="D209" s="20">
        <v>8</v>
      </c>
      <c r="E209" s="19" t="s">
        <v>71</v>
      </c>
      <c r="F209" s="19" t="s">
        <v>428</v>
      </c>
    </row>
    <row r="210" spans="1:6" ht="25" x14ac:dyDescent="0.25">
      <c r="A210" s="20">
        <v>107631</v>
      </c>
      <c r="B210" s="18" t="s">
        <v>429</v>
      </c>
      <c r="C210" s="19" t="s">
        <v>66</v>
      </c>
      <c r="D210" s="20">
        <v>24</v>
      </c>
      <c r="E210" s="19" t="s">
        <v>71</v>
      </c>
      <c r="F210" s="19" t="s">
        <v>430</v>
      </c>
    </row>
    <row r="211" spans="1:6" ht="25" x14ac:dyDescent="0.25">
      <c r="A211" s="20">
        <v>107663</v>
      </c>
      <c r="B211" s="18" t="s">
        <v>431</v>
      </c>
      <c r="C211" s="19" t="s">
        <v>66</v>
      </c>
      <c r="D211" s="20">
        <v>9</v>
      </c>
      <c r="E211" s="19" t="s">
        <v>71</v>
      </c>
      <c r="F211" s="19" t="s">
        <v>432</v>
      </c>
    </row>
    <row r="212" spans="1:6" ht="37.5" x14ac:dyDescent="0.25">
      <c r="A212" s="20">
        <v>107856</v>
      </c>
      <c r="B212" s="18" t="s">
        <v>433</v>
      </c>
      <c r="C212" s="19" t="s">
        <v>66</v>
      </c>
      <c r="D212" s="20">
        <v>7</v>
      </c>
      <c r="E212" s="19" t="s">
        <v>71</v>
      </c>
      <c r="F212" s="19" t="s">
        <v>434</v>
      </c>
    </row>
    <row r="213" spans="1:6" ht="25" x14ac:dyDescent="0.25">
      <c r="A213" s="20">
        <v>107919</v>
      </c>
      <c r="B213" s="18" t="s">
        <v>435</v>
      </c>
      <c r="C213" s="19" t="s">
        <v>66</v>
      </c>
      <c r="D213" s="20">
        <v>8</v>
      </c>
      <c r="E213" s="19" t="s">
        <v>71</v>
      </c>
      <c r="F213" s="19" t="s">
        <v>436</v>
      </c>
    </row>
    <row r="214" spans="1:6" ht="37.5" x14ac:dyDescent="0.25">
      <c r="A214" s="20">
        <v>107982</v>
      </c>
      <c r="B214" s="18" t="s">
        <v>437</v>
      </c>
      <c r="C214" s="19" t="s">
        <v>66</v>
      </c>
      <c r="D214" s="20">
        <v>18</v>
      </c>
      <c r="E214" s="19" t="s">
        <v>71</v>
      </c>
      <c r="F214" s="19" t="s">
        <v>438</v>
      </c>
    </row>
    <row r="215" spans="1:6" ht="37.5" x14ac:dyDescent="0.25">
      <c r="A215" s="20">
        <v>109603</v>
      </c>
      <c r="B215" s="18" t="s">
        <v>439</v>
      </c>
      <c r="C215" s="19" t="s">
        <v>789</v>
      </c>
      <c r="D215" s="20">
        <v>77</v>
      </c>
      <c r="E215" s="19" t="s">
        <v>71</v>
      </c>
      <c r="F215" s="19" t="s">
        <v>440</v>
      </c>
    </row>
    <row r="216" spans="1:6" ht="62.5" x14ac:dyDescent="0.25">
      <c r="A216" s="20">
        <v>109602</v>
      </c>
      <c r="B216" s="18" t="s">
        <v>441</v>
      </c>
      <c r="C216" s="19" t="s">
        <v>789</v>
      </c>
      <c r="D216" s="20">
        <v>73</v>
      </c>
      <c r="E216" s="19" t="s">
        <v>71</v>
      </c>
      <c r="F216" s="19" t="s">
        <v>442</v>
      </c>
    </row>
    <row r="217" spans="1:6" ht="50" x14ac:dyDescent="0.25">
      <c r="A217" s="20">
        <v>109610</v>
      </c>
      <c r="B217" s="18" t="s">
        <v>443</v>
      </c>
      <c r="C217" s="19" t="s">
        <v>789</v>
      </c>
      <c r="D217" s="20">
        <v>25</v>
      </c>
      <c r="E217" s="19" t="s">
        <v>71</v>
      </c>
      <c r="F217" s="19" t="s">
        <v>444</v>
      </c>
    </row>
    <row r="218" spans="1:6" ht="25" x14ac:dyDescent="0.25">
      <c r="A218" s="20">
        <v>109785</v>
      </c>
      <c r="B218" s="18" t="s">
        <v>445</v>
      </c>
      <c r="C218" s="19" t="s">
        <v>789</v>
      </c>
      <c r="D218" s="20">
        <v>19</v>
      </c>
      <c r="E218" s="19" t="s">
        <v>71</v>
      </c>
      <c r="F218" s="19" t="s">
        <v>446</v>
      </c>
    </row>
    <row r="219" spans="1:6" ht="25" x14ac:dyDescent="0.25">
      <c r="A219" s="20">
        <v>111427</v>
      </c>
      <c r="B219" s="18" t="s">
        <v>675</v>
      </c>
      <c r="C219" s="19" t="s">
        <v>785</v>
      </c>
      <c r="D219" s="20">
        <v>21</v>
      </c>
      <c r="E219" s="19" t="s">
        <v>71</v>
      </c>
      <c r="F219" s="19" t="s">
        <v>676</v>
      </c>
    </row>
    <row r="220" spans="1:6" ht="25" x14ac:dyDescent="0.25">
      <c r="A220" s="20">
        <v>111731</v>
      </c>
      <c r="B220" s="18" t="s">
        <v>677</v>
      </c>
      <c r="C220" s="19" t="s">
        <v>785</v>
      </c>
      <c r="D220" s="20">
        <v>6</v>
      </c>
      <c r="E220" s="19" t="s">
        <v>71</v>
      </c>
      <c r="F220" s="19" t="s">
        <v>678</v>
      </c>
    </row>
    <row r="221" spans="1:6" ht="25" x14ac:dyDescent="0.25">
      <c r="A221" s="20">
        <v>112309</v>
      </c>
      <c r="B221" s="18" t="s">
        <v>679</v>
      </c>
      <c r="C221" s="19" t="s">
        <v>60</v>
      </c>
      <c r="D221" s="20">
        <v>23</v>
      </c>
      <c r="E221" s="19" t="s">
        <v>71</v>
      </c>
      <c r="F221" s="19" t="s">
        <v>680</v>
      </c>
    </row>
    <row r="222" spans="1:6" ht="25" x14ac:dyDescent="0.25">
      <c r="A222" s="20">
        <v>112415</v>
      </c>
      <c r="B222" s="18" t="s">
        <v>681</v>
      </c>
      <c r="C222" s="19" t="s">
        <v>60</v>
      </c>
      <c r="D222" s="20">
        <v>28</v>
      </c>
      <c r="E222" s="19" t="s">
        <v>71</v>
      </c>
      <c r="F222" s="19" t="s">
        <v>682</v>
      </c>
    </row>
    <row r="223" spans="1:6" ht="62.5" x14ac:dyDescent="0.25">
      <c r="A223" s="20">
        <v>112549</v>
      </c>
      <c r="B223" s="18" t="s">
        <v>683</v>
      </c>
      <c r="C223" s="19" t="s">
        <v>60</v>
      </c>
      <c r="D223" s="20">
        <v>14</v>
      </c>
      <c r="E223" s="19" t="s">
        <v>71</v>
      </c>
      <c r="F223" s="19" t="s">
        <v>684</v>
      </c>
    </row>
    <row r="224" spans="1:6" ht="25" x14ac:dyDescent="0.25">
      <c r="A224" s="20">
        <v>113254</v>
      </c>
      <c r="B224" s="18" t="s">
        <v>685</v>
      </c>
      <c r="C224" s="19" t="s">
        <v>787</v>
      </c>
      <c r="D224" s="20">
        <v>15</v>
      </c>
      <c r="E224" s="19" t="s">
        <v>71</v>
      </c>
      <c r="F224" s="19" t="s">
        <v>686</v>
      </c>
    </row>
    <row r="225" spans="1:6" ht="50" x14ac:dyDescent="0.25">
      <c r="A225" s="20">
        <v>113138</v>
      </c>
      <c r="B225" s="18" t="s">
        <v>687</v>
      </c>
      <c r="C225" s="19" t="s">
        <v>787</v>
      </c>
      <c r="D225" s="20">
        <v>17</v>
      </c>
      <c r="E225" s="19" t="s">
        <v>71</v>
      </c>
      <c r="F225" s="19" t="s">
        <v>688</v>
      </c>
    </row>
    <row r="226" spans="1:6" ht="62.5" x14ac:dyDescent="0.25">
      <c r="A226" s="20">
        <v>115568</v>
      </c>
      <c r="B226" s="18" t="s">
        <v>1115</v>
      </c>
      <c r="C226" s="19" t="s">
        <v>785</v>
      </c>
      <c r="D226" s="20">
        <v>4</v>
      </c>
      <c r="E226" s="19" t="s">
        <v>71</v>
      </c>
      <c r="F226" s="19" t="s">
        <v>1116</v>
      </c>
    </row>
    <row r="227" spans="1:6" ht="25" x14ac:dyDescent="0.25">
      <c r="A227" s="20">
        <v>117528</v>
      </c>
      <c r="B227" s="18" t="s">
        <v>1117</v>
      </c>
      <c r="C227" s="19" t="s">
        <v>787</v>
      </c>
      <c r="D227" s="20">
        <v>25</v>
      </c>
      <c r="E227" s="19" t="s">
        <v>71</v>
      </c>
      <c r="F227" s="19" t="s">
        <v>1118</v>
      </c>
    </row>
    <row r="228" spans="1:6" ht="25" x14ac:dyDescent="0.25">
      <c r="A228" s="20">
        <v>117611</v>
      </c>
      <c r="B228" s="18" t="s">
        <v>1119</v>
      </c>
      <c r="C228" s="19" t="s">
        <v>787</v>
      </c>
      <c r="D228" s="20">
        <v>9</v>
      </c>
      <c r="E228" s="19" t="s">
        <v>71</v>
      </c>
      <c r="F228" s="19" t="s">
        <v>1120</v>
      </c>
    </row>
    <row r="229" spans="1:6" ht="50" x14ac:dyDescent="0.25">
      <c r="A229" s="20">
        <v>117796</v>
      </c>
      <c r="B229" s="18" t="s">
        <v>1121</v>
      </c>
      <c r="C229" s="19" t="s">
        <v>787</v>
      </c>
      <c r="D229" s="20">
        <v>26</v>
      </c>
      <c r="E229" s="19" t="s">
        <v>71</v>
      </c>
      <c r="F229" s="19" t="s">
        <v>1122</v>
      </c>
    </row>
    <row r="230" spans="1:6" ht="50" x14ac:dyDescent="0.25">
      <c r="A230" s="20">
        <v>117904</v>
      </c>
      <c r="B230" s="18" t="s">
        <v>1123</v>
      </c>
      <c r="C230" s="19" t="s">
        <v>787</v>
      </c>
      <c r="D230" s="20">
        <v>40</v>
      </c>
      <c r="E230" s="19" t="s">
        <v>71</v>
      </c>
      <c r="F230" s="19" t="s">
        <v>1124</v>
      </c>
    </row>
    <row r="231" spans="1:6" ht="25" x14ac:dyDescent="0.25">
      <c r="A231" s="20">
        <v>118888</v>
      </c>
      <c r="B231" s="18" t="s">
        <v>1125</v>
      </c>
      <c r="C231" s="19" t="s">
        <v>66</v>
      </c>
      <c r="D231" s="20">
        <v>9</v>
      </c>
      <c r="E231" s="19" t="s">
        <v>71</v>
      </c>
      <c r="F231" s="19" t="s">
        <v>1126</v>
      </c>
    </row>
    <row r="232" spans="1:6" ht="25" x14ac:dyDescent="0.25">
      <c r="A232" s="20">
        <v>119439</v>
      </c>
      <c r="B232" s="18" t="s">
        <v>1127</v>
      </c>
      <c r="C232" s="19" t="s">
        <v>789</v>
      </c>
      <c r="D232" s="20">
        <v>79</v>
      </c>
      <c r="E232" s="19" t="s">
        <v>71</v>
      </c>
      <c r="F232" s="19" t="s">
        <v>1128</v>
      </c>
    </row>
    <row r="233" spans="1:6" ht="62.5" x14ac:dyDescent="0.25">
      <c r="A233" s="20">
        <v>119524</v>
      </c>
      <c r="B233" s="18" t="s">
        <v>1129</v>
      </c>
      <c r="C233" s="19" t="s">
        <v>789</v>
      </c>
      <c r="D233" s="20">
        <v>21</v>
      </c>
      <c r="E233" s="19" t="s">
        <v>71</v>
      </c>
      <c r="F233" s="19" t="s">
        <v>1130</v>
      </c>
    </row>
    <row r="234" spans="1:6" ht="25" x14ac:dyDescent="0.25">
      <c r="A234" s="20">
        <v>120908</v>
      </c>
      <c r="B234" s="18" t="s">
        <v>385</v>
      </c>
      <c r="C234" s="19" t="s">
        <v>785</v>
      </c>
      <c r="D234" s="20">
        <v>12</v>
      </c>
      <c r="E234" s="19" t="s">
        <v>71</v>
      </c>
      <c r="F234" s="19" t="s">
        <v>386</v>
      </c>
    </row>
    <row r="235" spans="1:6" ht="62.5" x14ac:dyDescent="0.25">
      <c r="A235" s="20">
        <v>121097</v>
      </c>
      <c r="B235" s="18" t="s">
        <v>387</v>
      </c>
      <c r="C235" s="19" t="s">
        <v>785</v>
      </c>
      <c r="D235" s="20">
        <v>4</v>
      </c>
      <c r="E235" s="19" t="s">
        <v>71</v>
      </c>
      <c r="F235" s="19" t="s">
        <v>388</v>
      </c>
    </row>
    <row r="236" spans="1:6" ht="37.5" x14ac:dyDescent="0.25">
      <c r="A236" s="20">
        <v>121204</v>
      </c>
      <c r="B236" s="18" t="s">
        <v>389</v>
      </c>
      <c r="C236" s="19" t="s">
        <v>785</v>
      </c>
      <c r="D236" s="20">
        <v>35</v>
      </c>
      <c r="E236" s="19" t="s">
        <v>71</v>
      </c>
      <c r="F236" s="19" t="s">
        <v>390</v>
      </c>
    </row>
    <row r="237" spans="1:6" ht="37.5" x14ac:dyDescent="0.25">
      <c r="A237" s="20">
        <v>121815</v>
      </c>
      <c r="B237" s="18" t="s">
        <v>0</v>
      </c>
      <c r="C237" s="19" t="s">
        <v>60</v>
      </c>
      <c r="D237" s="20">
        <v>6</v>
      </c>
      <c r="E237" s="19" t="s">
        <v>71</v>
      </c>
      <c r="F237" s="19" t="s">
        <v>1</v>
      </c>
    </row>
    <row r="238" spans="1:6" ht="25" x14ac:dyDescent="0.25">
      <c r="A238" s="20">
        <v>122903</v>
      </c>
      <c r="B238" s="18" t="s">
        <v>2</v>
      </c>
      <c r="C238" s="19" t="s">
        <v>787</v>
      </c>
      <c r="D238" s="20">
        <v>39</v>
      </c>
      <c r="E238" s="19" t="s">
        <v>71</v>
      </c>
      <c r="F238" s="19" t="s">
        <v>3</v>
      </c>
    </row>
    <row r="239" spans="1:6" ht="37.5" x14ac:dyDescent="0.25">
      <c r="A239" s="20">
        <v>123494</v>
      </c>
      <c r="B239" s="18" t="s">
        <v>4</v>
      </c>
      <c r="C239" s="19" t="s">
        <v>66</v>
      </c>
      <c r="D239" s="20">
        <v>19</v>
      </c>
      <c r="E239" s="19" t="s">
        <v>71</v>
      </c>
      <c r="F239" s="19" t="s">
        <v>5</v>
      </c>
    </row>
    <row r="240" spans="1:6" ht="25" x14ac:dyDescent="0.25">
      <c r="A240" s="20">
        <v>123594</v>
      </c>
      <c r="B240" s="18" t="s">
        <v>6</v>
      </c>
      <c r="C240" s="19" t="s">
        <v>66</v>
      </c>
      <c r="D240" s="20">
        <v>12</v>
      </c>
      <c r="E240" s="19" t="s">
        <v>71</v>
      </c>
      <c r="F240" s="19" t="s">
        <v>7</v>
      </c>
    </row>
    <row r="241" spans="1:6" ht="62.5" x14ac:dyDescent="0.25">
      <c r="A241" s="20">
        <v>68143</v>
      </c>
      <c r="B241" s="18" t="s">
        <v>81</v>
      </c>
      <c r="C241" s="19" t="s">
        <v>785</v>
      </c>
      <c r="D241" s="20">
        <v>6</v>
      </c>
      <c r="E241" s="19" t="s">
        <v>82</v>
      </c>
      <c r="F241" s="19" t="s">
        <v>83</v>
      </c>
    </row>
    <row r="242" spans="1:6" ht="62.5" x14ac:dyDescent="0.25">
      <c r="A242" s="20">
        <v>68269</v>
      </c>
      <c r="B242" s="18" t="s">
        <v>84</v>
      </c>
      <c r="C242" s="19" t="s">
        <v>785</v>
      </c>
      <c r="D242" s="20">
        <v>7</v>
      </c>
      <c r="E242" s="19" t="s">
        <v>82</v>
      </c>
      <c r="F242" s="19" t="s">
        <v>85</v>
      </c>
    </row>
    <row r="243" spans="1:6" ht="50" x14ac:dyDescent="0.25">
      <c r="A243" s="20">
        <v>68343</v>
      </c>
      <c r="B243" s="18" t="s">
        <v>86</v>
      </c>
      <c r="C243" s="19" t="s">
        <v>785</v>
      </c>
      <c r="D243" s="20">
        <v>18</v>
      </c>
      <c r="E243" s="19" t="s">
        <v>82</v>
      </c>
      <c r="F243" s="19" t="s">
        <v>87</v>
      </c>
    </row>
    <row r="244" spans="1:6" ht="62.5" x14ac:dyDescent="0.25">
      <c r="A244" s="20">
        <v>68442</v>
      </c>
      <c r="B244" s="18" t="s">
        <v>88</v>
      </c>
      <c r="C244" s="19" t="s">
        <v>785</v>
      </c>
      <c r="D244" s="20">
        <v>5</v>
      </c>
      <c r="E244" s="19" t="s">
        <v>82</v>
      </c>
      <c r="F244" s="19" t="s">
        <v>89</v>
      </c>
    </row>
    <row r="245" spans="1:6" ht="37.5" x14ac:dyDescent="0.25">
      <c r="A245" s="20">
        <v>68461</v>
      </c>
      <c r="B245" s="18" t="s">
        <v>90</v>
      </c>
      <c r="C245" s="19" t="s">
        <v>785</v>
      </c>
      <c r="D245" s="20">
        <v>8</v>
      </c>
      <c r="E245" s="19" t="s">
        <v>82</v>
      </c>
      <c r="F245" s="19" t="s">
        <v>91</v>
      </c>
    </row>
    <row r="246" spans="1:6" ht="62.5" x14ac:dyDescent="0.25">
      <c r="A246" s="20">
        <v>68506</v>
      </c>
      <c r="B246" s="18" t="s">
        <v>92</v>
      </c>
      <c r="C246" s="19" t="s">
        <v>785</v>
      </c>
      <c r="D246" s="20">
        <v>12</v>
      </c>
      <c r="E246" s="19" t="s">
        <v>82</v>
      </c>
      <c r="F246" s="19" t="s">
        <v>93</v>
      </c>
    </row>
    <row r="247" spans="1:6" ht="25" x14ac:dyDescent="0.25">
      <c r="A247" s="20">
        <v>68662</v>
      </c>
      <c r="B247" s="18" t="s">
        <v>94</v>
      </c>
      <c r="C247" s="19" t="s">
        <v>785</v>
      </c>
      <c r="D247" s="20">
        <v>15</v>
      </c>
      <c r="E247" s="19" t="s">
        <v>82</v>
      </c>
      <c r="F247" s="19" t="s">
        <v>95</v>
      </c>
    </row>
    <row r="248" spans="1:6" ht="25" x14ac:dyDescent="0.25">
      <c r="A248" s="20">
        <v>68776</v>
      </c>
      <c r="B248" s="18" t="s">
        <v>96</v>
      </c>
      <c r="C248" s="19" t="s">
        <v>785</v>
      </c>
      <c r="D248" s="20">
        <v>11</v>
      </c>
      <c r="E248" s="19" t="s">
        <v>82</v>
      </c>
      <c r="F248" s="19" t="s">
        <v>97</v>
      </c>
    </row>
    <row r="249" spans="1:6" ht="25" x14ac:dyDescent="0.25">
      <c r="A249" s="20">
        <v>69121</v>
      </c>
      <c r="B249" s="18" t="s">
        <v>98</v>
      </c>
      <c r="C249" s="19" t="s">
        <v>60</v>
      </c>
      <c r="D249" s="20">
        <v>2</v>
      </c>
      <c r="E249" s="19" t="s">
        <v>82</v>
      </c>
      <c r="F249" s="19" t="s">
        <v>99</v>
      </c>
    </row>
    <row r="250" spans="1:6" ht="25" x14ac:dyDescent="0.25">
      <c r="A250" s="20">
        <v>69150</v>
      </c>
      <c r="B250" s="18" t="s">
        <v>100</v>
      </c>
      <c r="C250" s="19" t="s">
        <v>60</v>
      </c>
      <c r="D250" s="20">
        <v>7</v>
      </c>
      <c r="E250" s="19" t="s">
        <v>82</v>
      </c>
      <c r="F250" s="19" t="s">
        <v>101</v>
      </c>
    </row>
    <row r="251" spans="1:6" ht="25" x14ac:dyDescent="0.25">
      <c r="A251" s="20">
        <v>69175</v>
      </c>
      <c r="B251" s="18" t="s">
        <v>102</v>
      </c>
      <c r="C251" s="19" t="s">
        <v>60</v>
      </c>
      <c r="D251" s="20">
        <v>11</v>
      </c>
      <c r="E251" s="19" t="s">
        <v>82</v>
      </c>
      <c r="F251" s="19" t="s">
        <v>103</v>
      </c>
    </row>
    <row r="252" spans="1:6" ht="62.5" x14ac:dyDescent="0.25">
      <c r="A252" s="20">
        <v>69225</v>
      </c>
      <c r="B252" s="18" t="s">
        <v>104</v>
      </c>
      <c r="C252" s="19" t="s">
        <v>60</v>
      </c>
      <c r="D252" s="20">
        <v>7</v>
      </c>
      <c r="E252" s="19" t="s">
        <v>82</v>
      </c>
      <c r="F252" s="19" t="s">
        <v>105</v>
      </c>
    </row>
    <row r="253" spans="1:6" ht="37.5" x14ac:dyDescent="0.25">
      <c r="A253" s="20">
        <v>69255</v>
      </c>
      <c r="B253" s="18" t="s">
        <v>106</v>
      </c>
      <c r="C253" s="19" t="s">
        <v>60</v>
      </c>
      <c r="D253" s="20">
        <v>30</v>
      </c>
      <c r="E253" s="19" t="s">
        <v>82</v>
      </c>
      <c r="F253" s="19" t="s">
        <v>107</v>
      </c>
    </row>
    <row r="254" spans="1:6" ht="25" x14ac:dyDescent="0.25">
      <c r="A254" s="20">
        <v>69273</v>
      </c>
      <c r="B254" s="18" t="s">
        <v>108</v>
      </c>
      <c r="C254" s="19" t="s">
        <v>60</v>
      </c>
      <c r="D254" s="20">
        <v>14</v>
      </c>
      <c r="E254" s="19" t="s">
        <v>82</v>
      </c>
      <c r="F254" s="19" t="s">
        <v>109</v>
      </c>
    </row>
    <row r="255" spans="1:6" ht="37.5" x14ac:dyDescent="0.25">
      <c r="A255" s="20">
        <v>69275</v>
      </c>
      <c r="B255" s="18" t="s">
        <v>110</v>
      </c>
      <c r="C255" s="19" t="s">
        <v>60</v>
      </c>
      <c r="D255" s="20">
        <v>10</v>
      </c>
      <c r="E255" s="19" t="s">
        <v>82</v>
      </c>
      <c r="F255" s="19" t="s">
        <v>111</v>
      </c>
    </row>
    <row r="256" spans="1:6" ht="50" x14ac:dyDescent="0.25">
      <c r="A256" s="20">
        <v>69481</v>
      </c>
      <c r="B256" s="18" t="s">
        <v>112</v>
      </c>
      <c r="C256" s="19" t="s">
        <v>60</v>
      </c>
      <c r="D256" s="20">
        <v>3</v>
      </c>
      <c r="E256" s="19" t="s">
        <v>82</v>
      </c>
      <c r="F256" s="19" t="s">
        <v>113</v>
      </c>
    </row>
    <row r="257" spans="1:6" ht="25" x14ac:dyDescent="0.25">
      <c r="A257" s="20">
        <v>69592</v>
      </c>
      <c r="B257" s="18" t="s">
        <v>114</v>
      </c>
      <c r="C257" s="19" t="s">
        <v>60</v>
      </c>
      <c r="D257" s="20">
        <v>43</v>
      </c>
      <c r="E257" s="19" t="s">
        <v>82</v>
      </c>
      <c r="F257" s="19" t="s">
        <v>115</v>
      </c>
    </row>
    <row r="258" spans="1:6" ht="25" x14ac:dyDescent="0.25">
      <c r="A258" s="20">
        <v>69973</v>
      </c>
      <c r="B258" s="18" t="s">
        <v>116</v>
      </c>
      <c r="C258" s="19" t="s">
        <v>787</v>
      </c>
      <c r="D258" s="20">
        <v>8</v>
      </c>
      <c r="E258" s="19" t="s">
        <v>82</v>
      </c>
      <c r="F258" s="19" t="s">
        <v>117</v>
      </c>
    </row>
    <row r="259" spans="1:6" ht="62.5" x14ac:dyDescent="0.25">
      <c r="A259" s="20">
        <v>70321</v>
      </c>
      <c r="B259" s="18" t="s">
        <v>118</v>
      </c>
      <c r="C259" s="19" t="s">
        <v>787</v>
      </c>
      <c r="D259" s="20">
        <v>57</v>
      </c>
      <c r="E259" s="19" t="s">
        <v>82</v>
      </c>
      <c r="F259" s="19" t="s">
        <v>119</v>
      </c>
    </row>
    <row r="260" spans="1:6" ht="25" x14ac:dyDescent="0.25">
      <c r="A260" s="20">
        <v>70505</v>
      </c>
      <c r="B260" s="18" t="s">
        <v>120</v>
      </c>
      <c r="C260" s="19" t="s">
        <v>787</v>
      </c>
      <c r="D260" s="20">
        <v>1</v>
      </c>
      <c r="E260" s="19" t="s">
        <v>82</v>
      </c>
      <c r="F260" s="19" t="s">
        <v>121</v>
      </c>
    </row>
    <row r="261" spans="1:6" ht="25" x14ac:dyDescent="0.25">
      <c r="A261" s="20">
        <v>70418</v>
      </c>
      <c r="B261" s="18" t="s">
        <v>122</v>
      </c>
      <c r="C261" s="19" t="s">
        <v>787</v>
      </c>
      <c r="D261" s="20">
        <v>5</v>
      </c>
      <c r="E261" s="19" t="s">
        <v>82</v>
      </c>
      <c r="F261" s="19" t="s">
        <v>123</v>
      </c>
    </row>
    <row r="262" spans="1:6" ht="25" x14ac:dyDescent="0.25">
      <c r="A262" s="20">
        <v>71096</v>
      </c>
      <c r="B262" s="18" t="s">
        <v>124</v>
      </c>
      <c r="C262" s="19" t="s">
        <v>66</v>
      </c>
      <c r="D262" s="20">
        <v>13</v>
      </c>
      <c r="E262" s="19" t="s">
        <v>82</v>
      </c>
      <c r="F262" s="19" t="s">
        <v>125</v>
      </c>
    </row>
    <row r="263" spans="1:6" ht="37.5" x14ac:dyDescent="0.25">
      <c r="A263" s="20">
        <v>70993</v>
      </c>
      <c r="B263" s="18" t="s">
        <v>126</v>
      </c>
      <c r="C263" s="19" t="s">
        <v>66</v>
      </c>
      <c r="D263" s="20">
        <v>42</v>
      </c>
      <c r="E263" s="19" t="s">
        <v>82</v>
      </c>
      <c r="F263" s="19" t="s">
        <v>127</v>
      </c>
    </row>
    <row r="264" spans="1:6" ht="50" x14ac:dyDescent="0.25">
      <c r="A264" s="20">
        <v>71000</v>
      </c>
      <c r="B264" s="18" t="s">
        <v>128</v>
      </c>
      <c r="C264" s="19" t="s">
        <v>66</v>
      </c>
      <c r="D264" s="20">
        <v>38</v>
      </c>
      <c r="E264" s="19" t="s">
        <v>82</v>
      </c>
      <c r="F264" s="19" t="s">
        <v>129</v>
      </c>
    </row>
    <row r="265" spans="1:6" ht="25" x14ac:dyDescent="0.25">
      <c r="A265" s="20">
        <v>71336</v>
      </c>
      <c r="B265" s="18" t="s">
        <v>130</v>
      </c>
      <c r="C265" s="19" t="s">
        <v>66</v>
      </c>
      <c r="D265" s="20">
        <v>25</v>
      </c>
      <c r="E265" s="19" t="s">
        <v>82</v>
      </c>
      <c r="F265" s="19" t="s">
        <v>131</v>
      </c>
    </row>
    <row r="266" spans="1:6" ht="62.5" x14ac:dyDescent="0.25">
      <c r="A266" s="20">
        <v>71723</v>
      </c>
      <c r="B266" s="18" t="s">
        <v>132</v>
      </c>
      <c r="C266" s="19" t="s">
        <v>789</v>
      </c>
      <c r="D266" s="20">
        <v>3</v>
      </c>
      <c r="E266" s="19" t="s">
        <v>82</v>
      </c>
      <c r="F266" s="19" t="s">
        <v>133</v>
      </c>
    </row>
    <row r="267" spans="1:6" ht="25" x14ac:dyDescent="0.25">
      <c r="A267" s="20">
        <v>71756</v>
      </c>
      <c r="B267" s="18" t="s">
        <v>134</v>
      </c>
      <c r="C267" s="19" t="s">
        <v>789</v>
      </c>
      <c r="D267" s="20">
        <v>4</v>
      </c>
      <c r="E267" s="19" t="s">
        <v>82</v>
      </c>
      <c r="F267" s="19" t="s">
        <v>135</v>
      </c>
    </row>
    <row r="268" spans="1:6" ht="25" x14ac:dyDescent="0.25">
      <c r="A268" s="20">
        <v>71812</v>
      </c>
      <c r="B268" s="18" t="s">
        <v>136</v>
      </c>
      <c r="C268" s="19" t="s">
        <v>789</v>
      </c>
      <c r="D268" s="20">
        <v>34</v>
      </c>
      <c r="E268" s="19" t="s">
        <v>82</v>
      </c>
      <c r="F268" s="19" t="s">
        <v>137</v>
      </c>
    </row>
    <row r="269" spans="1:6" ht="37.5" x14ac:dyDescent="0.25">
      <c r="A269" s="20">
        <v>71839</v>
      </c>
      <c r="B269" s="18" t="s">
        <v>138</v>
      </c>
      <c r="C269" s="19" t="s">
        <v>789</v>
      </c>
      <c r="D269" s="20">
        <v>16</v>
      </c>
      <c r="E269" s="19" t="s">
        <v>82</v>
      </c>
      <c r="F269" s="19" t="s">
        <v>139</v>
      </c>
    </row>
    <row r="270" spans="1:6" ht="25" x14ac:dyDescent="0.25">
      <c r="A270" s="20">
        <v>73386</v>
      </c>
      <c r="B270" s="18" t="s">
        <v>174</v>
      </c>
      <c r="C270" s="19" t="s">
        <v>785</v>
      </c>
      <c r="D270" s="20">
        <v>2</v>
      </c>
      <c r="E270" s="19" t="s">
        <v>82</v>
      </c>
      <c r="F270" s="19" t="s">
        <v>175</v>
      </c>
    </row>
    <row r="271" spans="1:6" ht="25" x14ac:dyDescent="0.25">
      <c r="A271" s="20">
        <v>73784</v>
      </c>
      <c r="B271" s="18" t="s">
        <v>176</v>
      </c>
      <c r="C271" s="19" t="s">
        <v>60</v>
      </c>
      <c r="D271" s="20">
        <v>44</v>
      </c>
      <c r="E271" s="19" t="s">
        <v>82</v>
      </c>
      <c r="F271" s="19" t="s">
        <v>177</v>
      </c>
    </row>
    <row r="272" spans="1:6" ht="25" x14ac:dyDescent="0.25">
      <c r="A272" s="20">
        <v>73882</v>
      </c>
      <c r="B272" s="18" t="s">
        <v>178</v>
      </c>
      <c r="C272" s="19" t="s">
        <v>60</v>
      </c>
      <c r="D272" s="20">
        <v>10</v>
      </c>
      <c r="E272" s="19" t="s">
        <v>82</v>
      </c>
      <c r="F272" s="19" t="s">
        <v>179</v>
      </c>
    </row>
    <row r="273" spans="1:6" ht="37.5" x14ac:dyDescent="0.25">
      <c r="A273" s="20">
        <v>74238</v>
      </c>
      <c r="B273" s="18" t="s">
        <v>180</v>
      </c>
      <c r="C273" s="19" t="s">
        <v>60</v>
      </c>
      <c r="D273" s="20">
        <v>26</v>
      </c>
      <c r="E273" s="19" t="s">
        <v>82</v>
      </c>
      <c r="F273" s="19" t="s">
        <v>181</v>
      </c>
    </row>
    <row r="274" spans="1:6" ht="25" x14ac:dyDescent="0.25">
      <c r="A274" s="20">
        <v>74076</v>
      </c>
      <c r="B274" s="18" t="s">
        <v>182</v>
      </c>
      <c r="C274" s="19" t="s">
        <v>60</v>
      </c>
      <c r="D274" s="20">
        <v>10</v>
      </c>
      <c r="E274" s="19" t="s">
        <v>82</v>
      </c>
      <c r="F274" s="19" t="s">
        <v>183</v>
      </c>
    </row>
    <row r="275" spans="1:6" ht="37.5" x14ac:dyDescent="0.25">
      <c r="A275" s="20">
        <v>74228</v>
      </c>
      <c r="B275" s="18" t="s">
        <v>184</v>
      </c>
      <c r="C275" s="19" t="s">
        <v>60</v>
      </c>
      <c r="D275" s="20">
        <v>5</v>
      </c>
      <c r="E275" s="19" t="s">
        <v>82</v>
      </c>
      <c r="F275" s="19" t="s">
        <v>185</v>
      </c>
    </row>
    <row r="276" spans="1:6" ht="25" x14ac:dyDescent="0.25">
      <c r="A276" s="20">
        <v>74242</v>
      </c>
      <c r="B276" s="18" t="s">
        <v>186</v>
      </c>
      <c r="C276" s="19" t="s">
        <v>60</v>
      </c>
      <c r="D276" s="20">
        <v>5</v>
      </c>
      <c r="E276" s="19" t="s">
        <v>82</v>
      </c>
      <c r="F276" s="19" t="s">
        <v>187</v>
      </c>
    </row>
    <row r="277" spans="1:6" ht="37.5" x14ac:dyDescent="0.25">
      <c r="A277" s="20">
        <v>74285</v>
      </c>
      <c r="B277" s="18" t="s">
        <v>188</v>
      </c>
      <c r="C277" s="19" t="s">
        <v>60</v>
      </c>
      <c r="D277" s="20">
        <v>28</v>
      </c>
      <c r="E277" s="19" t="s">
        <v>82</v>
      </c>
      <c r="F277" s="19" t="s">
        <v>189</v>
      </c>
    </row>
    <row r="278" spans="1:6" ht="50" x14ac:dyDescent="0.25">
      <c r="A278" s="20">
        <v>74585</v>
      </c>
      <c r="B278" s="18" t="s">
        <v>190</v>
      </c>
      <c r="C278" s="19" t="s">
        <v>787</v>
      </c>
      <c r="D278" s="20">
        <v>27</v>
      </c>
      <c r="E278" s="19" t="s">
        <v>82</v>
      </c>
      <c r="F278" s="19" t="s">
        <v>191</v>
      </c>
    </row>
    <row r="279" spans="1:6" ht="25" x14ac:dyDescent="0.25">
      <c r="A279" s="20">
        <v>74654</v>
      </c>
      <c r="B279" s="18" t="s">
        <v>192</v>
      </c>
      <c r="C279" s="19" t="s">
        <v>787</v>
      </c>
      <c r="D279" s="20">
        <v>4</v>
      </c>
      <c r="E279" s="19" t="s">
        <v>82</v>
      </c>
      <c r="F279" s="19" t="s">
        <v>193</v>
      </c>
    </row>
    <row r="280" spans="1:6" ht="25" x14ac:dyDescent="0.25">
      <c r="A280" s="20">
        <v>74716</v>
      </c>
      <c r="B280" s="18" t="s">
        <v>194</v>
      </c>
      <c r="C280" s="19" t="s">
        <v>787</v>
      </c>
      <c r="D280" s="20">
        <v>3</v>
      </c>
      <c r="E280" s="19" t="s">
        <v>82</v>
      </c>
      <c r="F280" s="19" t="s">
        <v>195</v>
      </c>
    </row>
    <row r="281" spans="1:6" ht="37.5" x14ac:dyDescent="0.25">
      <c r="A281" s="20">
        <v>74768</v>
      </c>
      <c r="B281" s="18" t="s">
        <v>196</v>
      </c>
      <c r="C281" s="19" t="s">
        <v>787</v>
      </c>
      <c r="D281" s="20">
        <v>15</v>
      </c>
      <c r="E281" s="19" t="s">
        <v>82</v>
      </c>
      <c r="F281" s="19" t="s">
        <v>197</v>
      </c>
    </row>
    <row r="282" spans="1:6" ht="25" x14ac:dyDescent="0.25">
      <c r="A282" s="20">
        <v>75099</v>
      </c>
      <c r="B282" s="18" t="s">
        <v>198</v>
      </c>
      <c r="C282" s="19" t="s">
        <v>787</v>
      </c>
      <c r="D282" s="20">
        <v>22</v>
      </c>
      <c r="E282" s="19" t="s">
        <v>82</v>
      </c>
      <c r="F282" s="19" t="s">
        <v>199</v>
      </c>
    </row>
    <row r="283" spans="1:6" ht="62.5" x14ac:dyDescent="0.25">
      <c r="A283" s="20">
        <v>74897</v>
      </c>
      <c r="B283" s="18" t="s">
        <v>901</v>
      </c>
      <c r="C283" s="19" t="s">
        <v>787</v>
      </c>
      <c r="D283" s="20">
        <v>7</v>
      </c>
      <c r="E283" s="19" t="s">
        <v>82</v>
      </c>
      <c r="F283" s="19" t="s">
        <v>902</v>
      </c>
    </row>
    <row r="284" spans="1:6" ht="25" x14ac:dyDescent="0.25">
      <c r="A284" s="20">
        <v>74954</v>
      </c>
      <c r="B284" s="18" t="s">
        <v>903</v>
      </c>
      <c r="C284" s="19" t="s">
        <v>787</v>
      </c>
      <c r="D284" s="20">
        <v>12</v>
      </c>
      <c r="E284" s="19" t="s">
        <v>82</v>
      </c>
      <c r="F284" s="19" t="s">
        <v>904</v>
      </c>
    </row>
    <row r="285" spans="1:6" ht="50" x14ac:dyDescent="0.25">
      <c r="A285" s="20">
        <v>74977</v>
      </c>
      <c r="B285" s="18" t="s">
        <v>905</v>
      </c>
      <c r="C285" s="19" t="s">
        <v>787</v>
      </c>
      <c r="D285" s="20">
        <v>18</v>
      </c>
      <c r="E285" s="19" t="s">
        <v>82</v>
      </c>
      <c r="F285" s="19" t="s">
        <v>906</v>
      </c>
    </row>
    <row r="286" spans="1:6" ht="25" x14ac:dyDescent="0.25">
      <c r="A286" s="20">
        <v>75041</v>
      </c>
      <c r="B286" s="18" t="s">
        <v>907</v>
      </c>
      <c r="C286" s="19" t="s">
        <v>787</v>
      </c>
      <c r="D286" s="20">
        <v>32</v>
      </c>
      <c r="E286" s="19" t="s">
        <v>82</v>
      </c>
      <c r="F286" s="19" t="s">
        <v>908</v>
      </c>
    </row>
    <row r="287" spans="1:6" ht="25" x14ac:dyDescent="0.25">
      <c r="A287" s="20">
        <v>75121</v>
      </c>
      <c r="B287" s="18" t="s">
        <v>909</v>
      </c>
      <c r="C287" s="19" t="s">
        <v>787</v>
      </c>
      <c r="D287" s="20">
        <v>0</v>
      </c>
      <c r="E287" s="19" t="s">
        <v>82</v>
      </c>
      <c r="F287" s="19" t="s">
        <v>910</v>
      </c>
    </row>
    <row r="288" spans="1:6" ht="25" x14ac:dyDescent="0.25">
      <c r="A288" s="20">
        <v>75720</v>
      </c>
      <c r="B288" s="18" t="s">
        <v>911</v>
      </c>
      <c r="C288" s="19" t="s">
        <v>66</v>
      </c>
      <c r="D288" s="20">
        <v>2</v>
      </c>
      <c r="E288" s="19" t="s">
        <v>82</v>
      </c>
      <c r="F288" s="19" t="s">
        <v>912</v>
      </c>
    </row>
    <row r="289" spans="1:6" ht="37.5" x14ac:dyDescent="0.25">
      <c r="A289" s="20">
        <v>75753</v>
      </c>
      <c r="B289" s="18" t="s">
        <v>913</v>
      </c>
      <c r="C289" s="19" t="s">
        <v>66</v>
      </c>
      <c r="D289" s="20">
        <v>9</v>
      </c>
      <c r="E289" s="19" t="s">
        <v>82</v>
      </c>
      <c r="F289" s="19" t="s">
        <v>914</v>
      </c>
    </row>
    <row r="290" spans="1:6" ht="25" x14ac:dyDescent="0.25">
      <c r="A290" s="20">
        <v>75759</v>
      </c>
      <c r="B290" s="18" t="s">
        <v>915</v>
      </c>
      <c r="C290" s="19" t="s">
        <v>66</v>
      </c>
      <c r="D290" s="20">
        <v>4</v>
      </c>
      <c r="E290" s="19" t="s">
        <v>82</v>
      </c>
      <c r="F290" s="19" t="s">
        <v>916</v>
      </c>
    </row>
    <row r="291" spans="1:6" ht="50" x14ac:dyDescent="0.25">
      <c r="A291" s="20">
        <v>75516</v>
      </c>
      <c r="B291" s="18" t="s">
        <v>917</v>
      </c>
      <c r="C291" s="19" t="s">
        <v>66</v>
      </c>
      <c r="D291" s="20">
        <v>4</v>
      </c>
      <c r="E291" s="19" t="s">
        <v>82</v>
      </c>
      <c r="F291" s="19" t="s">
        <v>918</v>
      </c>
    </row>
    <row r="292" spans="1:6" ht="25" x14ac:dyDescent="0.25">
      <c r="A292" s="20">
        <v>75581</v>
      </c>
      <c r="B292" s="18" t="s">
        <v>919</v>
      </c>
      <c r="C292" s="19" t="s">
        <v>66</v>
      </c>
      <c r="D292" s="20">
        <v>5</v>
      </c>
      <c r="E292" s="19" t="s">
        <v>82</v>
      </c>
      <c r="F292" s="19" t="s">
        <v>920</v>
      </c>
    </row>
    <row r="293" spans="1:6" ht="37.5" x14ac:dyDescent="0.25">
      <c r="A293" s="20">
        <v>75722</v>
      </c>
      <c r="B293" s="18" t="s">
        <v>921</v>
      </c>
      <c r="C293" s="19" t="s">
        <v>66</v>
      </c>
      <c r="D293" s="20">
        <v>9</v>
      </c>
      <c r="E293" s="19" t="s">
        <v>82</v>
      </c>
      <c r="F293" s="19" t="s">
        <v>922</v>
      </c>
    </row>
    <row r="294" spans="1:6" ht="25" x14ac:dyDescent="0.25">
      <c r="A294" s="20">
        <v>75738</v>
      </c>
      <c r="B294" s="18" t="s">
        <v>923</v>
      </c>
      <c r="C294" s="19" t="s">
        <v>66</v>
      </c>
      <c r="D294" s="20">
        <v>5</v>
      </c>
      <c r="E294" s="19" t="s">
        <v>82</v>
      </c>
      <c r="F294" s="19" t="s">
        <v>924</v>
      </c>
    </row>
    <row r="295" spans="1:6" ht="62.5" x14ac:dyDescent="0.25">
      <c r="A295" s="20">
        <v>75974</v>
      </c>
      <c r="B295" s="18" t="s">
        <v>925</v>
      </c>
      <c r="C295" s="19" t="s">
        <v>66</v>
      </c>
      <c r="D295" s="20">
        <v>11</v>
      </c>
      <c r="E295" s="19" t="s">
        <v>82</v>
      </c>
      <c r="F295" s="19" t="s">
        <v>926</v>
      </c>
    </row>
    <row r="296" spans="1:6" ht="62.5" x14ac:dyDescent="0.25">
      <c r="A296" s="20">
        <v>76451</v>
      </c>
      <c r="B296" s="18" t="s">
        <v>927</v>
      </c>
      <c r="C296" s="19" t="s">
        <v>789</v>
      </c>
      <c r="D296" s="20">
        <v>55</v>
      </c>
      <c r="E296" s="19" t="s">
        <v>82</v>
      </c>
      <c r="F296" s="19" t="s">
        <v>1009</v>
      </c>
    </row>
    <row r="297" spans="1:6" ht="50" x14ac:dyDescent="0.25">
      <c r="A297" s="20">
        <v>76455</v>
      </c>
      <c r="B297" s="18" t="s">
        <v>1010</v>
      </c>
      <c r="C297" s="19" t="s">
        <v>789</v>
      </c>
      <c r="D297" s="20">
        <v>27</v>
      </c>
      <c r="E297" s="19" t="s">
        <v>82</v>
      </c>
      <c r="F297" s="19" t="s">
        <v>1011</v>
      </c>
    </row>
    <row r="298" spans="1:6" ht="25" x14ac:dyDescent="0.25">
      <c r="A298" s="20">
        <v>76487</v>
      </c>
      <c r="B298" s="18" t="s">
        <v>1012</v>
      </c>
      <c r="C298" s="19" t="s">
        <v>789</v>
      </c>
      <c r="D298" s="20">
        <v>22</v>
      </c>
      <c r="E298" s="19" t="s">
        <v>82</v>
      </c>
      <c r="F298" s="19" t="s">
        <v>1013</v>
      </c>
    </row>
    <row r="299" spans="1:6" ht="25" x14ac:dyDescent="0.25">
      <c r="A299" s="20">
        <v>77687</v>
      </c>
      <c r="B299" s="18" t="s">
        <v>1066</v>
      </c>
      <c r="C299" s="19" t="s">
        <v>785</v>
      </c>
      <c r="D299" s="20">
        <v>5</v>
      </c>
      <c r="E299" s="19" t="s">
        <v>82</v>
      </c>
      <c r="F299" s="19" t="s">
        <v>1067</v>
      </c>
    </row>
    <row r="300" spans="1:6" ht="25" x14ac:dyDescent="0.25">
      <c r="A300" s="20">
        <v>77718</v>
      </c>
      <c r="B300" s="18" t="s">
        <v>1068</v>
      </c>
      <c r="C300" s="19" t="s">
        <v>785</v>
      </c>
      <c r="D300" s="20">
        <v>15</v>
      </c>
      <c r="E300" s="19" t="s">
        <v>82</v>
      </c>
      <c r="F300" s="19" t="s">
        <v>1069</v>
      </c>
    </row>
    <row r="301" spans="1:6" ht="37.5" x14ac:dyDescent="0.25">
      <c r="A301" s="20">
        <v>77712</v>
      </c>
      <c r="B301" s="18" t="s">
        <v>1070</v>
      </c>
      <c r="C301" s="19" t="s">
        <v>785</v>
      </c>
      <c r="D301" s="20">
        <v>9</v>
      </c>
      <c r="E301" s="19" t="s">
        <v>82</v>
      </c>
      <c r="F301" s="19" t="s">
        <v>1071</v>
      </c>
    </row>
    <row r="302" spans="1:6" ht="25" x14ac:dyDescent="0.25">
      <c r="A302" s="20">
        <v>77782</v>
      </c>
      <c r="B302" s="18" t="s">
        <v>1072</v>
      </c>
      <c r="C302" s="19" t="s">
        <v>785</v>
      </c>
      <c r="D302" s="20">
        <v>7</v>
      </c>
      <c r="E302" s="19" t="s">
        <v>82</v>
      </c>
      <c r="F302" s="19" t="s">
        <v>1073</v>
      </c>
    </row>
    <row r="303" spans="1:6" ht="25" x14ac:dyDescent="0.25">
      <c r="A303" s="20">
        <v>77858</v>
      </c>
      <c r="B303" s="18" t="s">
        <v>1074</v>
      </c>
      <c r="C303" s="19" t="s">
        <v>785</v>
      </c>
      <c r="D303" s="20">
        <v>7</v>
      </c>
      <c r="E303" s="19" t="s">
        <v>82</v>
      </c>
      <c r="F303" s="19" t="s">
        <v>1075</v>
      </c>
    </row>
    <row r="304" spans="1:6" ht="37.5" x14ac:dyDescent="0.25">
      <c r="A304" s="20">
        <v>77931</v>
      </c>
      <c r="B304" s="18" t="s">
        <v>1076</v>
      </c>
      <c r="C304" s="19" t="s">
        <v>785</v>
      </c>
      <c r="D304" s="20">
        <v>33</v>
      </c>
      <c r="E304" s="19" t="s">
        <v>82</v>
      </c>
      <c r="F304" s="19" t="s">
        <v>1077</v>
      </c>
    </row>
    <row r="305" spans="1:6" ht="25" x14ac:dyDescent="0.25">
      <c r="A305" s="20">
        <v>77914</v>
      </c>
      <c r="B305" s="18" t="s">
        <v>1078</v>
      </c>
      <c r="C305" s="19" t="s">
        <v>785</v>
      </c>
      <c r="D305" s="20">
        <v>7</v>
      </c>
      <c r="E305" s="19" t="s">
        <v>82</v>
      </c>
      <c r="F305" s="19" t="s">
        <v>1079</v>
      </c>
    </row>
    <row r="306" spans="1:6" ht="25" x14ac:dyDescent="0.25">
      <c r="A306" s="20">
        <v>77976</v>
      </c>
      <c r="B306" s="18" t="s">
        <v>1080</v>
      </c>
      <c r="C306" s="19" t="s">
        <v>785</v>
      </c>
      <c r="D306" s="20">
        <v>23</v>
      </c>
      <c r="E306" s="19" t="s">
        <v>82</v>
      </c>
      <c r="F306" s="19" t="s">
        <v>1081</v>
      </c>
    </row>
    <row r="307" spans="1:6" ht="50" x14ac:dyDescent="0.25">
      <c r="A307" s="20">
        <v>78002</v>
      </c>
      <c r="B307" s="18" t="s">
        <v>1082</v>
      </c>
      <c r="C307" s="19" t="s">
        <v>785</v>
      </c>
      <c r="D307" s="20">
        <v>4</v>
      </c>
      <c r="E307" s="19" t="s">
        <v>82</v>
      </c>
      <c r="F307" s="19" t="s">
        <v>1083</v>
      </c>
    </row>
    <row r="308" spans="1:6" ht="25" x14ac:dyDescent="0.25">
      <c r="A308" s="20">
        <v>78020</v>
      </c>
      <c r="B308" s="18" t="s">
        <v>1084</v>
      </c>
      <c r="C308" s="19" t="s">
        <v>785</v>
      </c>
      <c r="D308" s="20">
        <v>2</v>
      </c>
      <c r="E308" s="19" t="s">
        <v>82</v>
      </c>
      <c r="F308" s="19" t="s">
        <v>1085</v>
      </c>
    </row>
    <row r="309" spans="1:6" ht="25" x14ac:dyDescent="0.25">
      <c r="A309" s="20">
        <v>78035</v>
      </c>
      <c r="B309" s="18" t="s">
        <v>1086</v>
      </c>
      <c r="C309" s="19" t="s">
        <v>785</v>
      </c>
      <c r="D309" s="20">
        <v>3</v>
      </c>
      <c r="E309" s="19" t="s">
        <v>82</v>
      </c>
      <c r="F309" s="19" t="s">
        <v>1087</v>
      </c>
    </row>
    <row r="310" spans="1:6" ht="62.5" x14ac:dyDescent="0.25">
      <c r="A310" s="20">
        <v>78074</v>
      </c>
      <c r="B310" s="18" t="s">
        <v>1088</v>
      </c>
      <c r="C310" s="19" t="s">
        <v>785</v>
      </c>
      <c r="D310" s="20">
        <v>11</v>
      </c>
      <c r="E310" s="19" t="s">
        <v>82</v>
      </c>
      <c r="F310" s="19" t="s">
        <v>200</v>
      </c>
    </row>
    <row r="311" spans="1:6" ht="25" x14ac:dyDescent="0.25">
      <c r="A311" s="20">
        <v>78729</v>
      </c>
      <c r="B311" s="18" t="s">
        <v>201</v>
      </c>
      <c r="C311" s="19" t="s">
        <v>60</v>
      </c>
      <c r="D311" s="20">
        <v>9</v>
      </c>
      <c r="E311" s="19" t="s">
        <v>82</v>
      </c>
      <c r="F311" s="19" t="s">
        <v>202</v>
      </c>
    </row>
    <row r="312" spans="1:6" ht="25" x14ac:dyDescent="0.25">
      <c r="A312" s="20">
        <v>78509</v>
      </c>
      <c r="B312" s="18" t="s">
        <v>203</v>
      </c>
      <c r="C312" s="19" t="s">
        <v>60</v>
      </c>
      <c r="D312" s="20">
        <v>6</v>
      </c>
      <c r="E312" s="19" t="s">
        <v>82</v>
      </c>
      <c r="F312" s="19" t="s">
        <v>204</v>
      </c>
    </row>
    <row r="313" spans="1:6" ht="62.5" x14ac:dyDescent="0.25">
      <c r="A313" s="20">
        <v>78564</v>
      </c>
      <c r="B313" s="18" t="s">
        <v>205</v>
      </c>
      <c r="C313" s="19" t="s">
        <v>60</v>
      </c>
      <c r="D313" s="20">
        <v>6</v>
      </c>
      <c r="E313" s="19" t="s">
        <v>82</v>
      </c>
      <c r="F313" s="19" t="s">
        <v>206</v>
      </c>
    </row>
    <row r="314" spans="1:6" ht="25" x14ac:dyDescent="0.25">
      <c r="A314" s="20">
        <v>78737</v>
      </c>
      <c r="B314" s="18" t="s">
        <v>207</v>
      </c>
      <c r="C314" s="19" t="s">
        <v>60</v>
      </c>
      <c r="D314" s="20">
        <v>18</v>
      </c>
      <c r="E314" s="19" t="s">
        <v>82</v>
      </c>
      <c r="F314" s="19" t="s">
        <v>208</v>
      </c>
    </row>
    <row r="315" spans="1:6" ht="25" x14ac:dyDescent="0.25">
      <c r="A315" s="20">
        <v>79418</v>
      </c>
      <c r="B315" s="18" t="s">
        <v>209</v>
      </c>
      <c r="C315" s="19" t="s">
        <v>787</v>
      </c>
      <c r="D315" s="20">
        <v>3</v>
      </c>
      <c r="E315" s="19" t="s">
        <v>82</v>
      </c>
      <c r="F315" s="19" t="s">
        <v>210</v>
      </c>
    </row>
    <row r="316" spans="1:6" ht="25" x14ac:dyDescent="0.25">
      <c r="A316" s="20">
        <v>79679</v>
      </c>
      <c r="B316" s="18" t="s">
        <v>211</v>
      </c>
      <c r="C316" s="19" t="s">
        <v>787</v>
      </c>
      <c r="D316" s="20">
        <v>13</v>
      </c>
      <c r="E316" s="19" t="s">
        <v>82</v>
      </c>
      <c r="F316" s="19" t="s">
        <v>212</v>
      </c>
    </row>
    <row r="317" spans="1:6" ht="25" x14ac:dyDescent="0.25">
      <c r="A317" s="20">
        <v>79549</v>
      </c>
      <c r="B317" s="18" t="s">
        <v>213</v>
      </c>
      <c r="C317" s="19" t="s">
        <v>787</v>
      </c>
      <c r="D317" s="20">
        <v>10</v>
      </c>
      <c r="E317" s="19" t="s">
        <v>82</v>
      </c>
      <c r="F317" s="19" t="s">
        <v>214</v>
      </c>
    </row>
    <row r="318" spans="1:6" ht="37.5" x14ac:dyDescent="0.25">
      <c r="A318" s="20">
        <v>79554</v>
      </c>
      <c r="B318" s="18" t="s">
        <v>215</v>
      </c>
      <c r="C318" s="19" t="s">
        <v>787</v>
      </c>
      <c r="D318" s="20">
        <v>3</v>
      </c>
      <c r="E318" s="19" t="s">
        <v>82</v>
      </c>
      <c r="F318" s="19" t="s">
        <v>216</v>
      </c>
    </row>
    <row r="319" spans="1:6" ht="37.5" x14ac:dyDescent="0.25">
      <c r="A319" s="20">
        <v>79576</v>
      </c>
      <c r="B319" s="18" t="s">
        <v>217</v>
      </c>
      <c r="C319" s="19" t="s">
        <v>787</v>
      </c>
      <c r="D319" s="20">
        <v>2</v>
      </c>
      <c r="E319" s="19" t="s">
        <v>82</v>
      </c>
      <c r="F319" s="19" t="s">
        <v>218</v>
      </c>
    </row>
    <row r="320" spans="1:6" ht="25" x14ac:dyDescent="0.25">
      <c r="A320" s="20">
        <v>79644</v>
      </c>
      <c r="B320" s="18" t="s">
        <v>219</v>
      </c>
      <c r="C320" s="19" t="s">
        <v>787</v>
      </c>
      <c r="D320" s="20">
        <v>6</v>
      </c>
      <c r="E320" s="19" t="s">
        <v>82</v>
      </c>
      <c r="F320" s="19" t="s">
        <v>220</v>
      </c>
    </row>
    <row r="321" spans="1:6" ht="50" x14ac:dyDescent="0.25">
      <c r="A321" s="20">
        <v>79654</v>
      </c>
      <c r="B321" s="18" t="s">
        <v>221</v>
      </c>
      <c r="C321" s="19" t="s">
        <v>787</v>
      </c>
      <c r="D321" s="20">
        <v>7</v>
      </c>
      <c r="E321" s="19" t="s">
        <v>82</v>
      </c>
      <c r="F321" s="19" t="s">
        <v>222</v>
      </c>
    </row>
    <row r="322" spans="1:6" ht="37.5" x14ac:dyDescent="0.25">
      <c r="A322" s="20">
        <v>79975</v>
      </c>
      <c r="B322" s="18" t="s">
        <v>223</v>
      </c>
      <c r="C322" s="19" t="s">
        <v>787</v>
      </c>
      <c r="D322" s="20">
        <v>4</v>
      </c>
      <c r="E322" s="19" t="s">
        <v>82</v>
      </c>
      <c r="F322" s="19" t="s">
        <v>224</v>
      </c>
    </row>
    <row r="323" spans="1:6" ht="25" x14ac:dyDescent="0.25">
      <c r="A323" s="20">
        <v>79919</v>
      </c>
      <c r="B323" s="18" t="s">
        <v>225</v>
      </c>
      <c r="C323" s="19" t="s">
        <v>787</v>
      </c>
      <c r="D323" s="20">
        <v>4</v>
      </c>
      <c r="E323" s="19" t="s">
        <v>82</v>
      </c>
      <c r="F323" s="19" t="s">
        <v>226</v>
      </c>
    </row>
    <row r="324" spans="1:6" ht="50" x14ac:dyDescent="0.25">
      <c r="A324" s="20">
        <v>79969</v>
      </c>
      <c r="B324" s="18" t="s">
        <v>227</v>
      </c>
      <c r="C324" s="19" t="s">
        <v>787</v>
      </c>
      <c r="D324" s="20">
        <v>7</v>
      </c>
      <c r="E324" s="19" t="s">
        <v>82</v>
      </c>
      <c r="F324" s="19" t="s">
        <v>228</v>
      </c>
    </row>
    <row r="325" spans="1:6" ht="25" x14ac:dyDescent="0.25">
      <c r="A325" s="20">
        <v>79981</v>
      </c>
      <c r="B325" s="18" t="s">
        <v>229</v>
      </c>
      <c r="C325" s="19" t="s">
        <v>787</v>
      </c>
      <c r="D325" s="20">
        <v>3</v>
      </c>
      <c r="E325" s="19" t="s">
        <v>82</v>
      </c>
      <c r="F325" s="19" t="s">
        <v>230</v>
      </c>
    </row>
    <row r="326" spans="1:6" ht="37.5" x14ac:dyDescent="0.25">
      <c r="A326" s="20">
        <v>80454</v>
      </c>
      <c r="B326" s="18" t="s">
        <v>231</v>
      </c>
      <c r="C326" s="19" t="s">
        <v>66</v>
      </c>
      <c r="D326" s="20">
        <v>6</v>
      </c>
      <c r="E326" s="19" t="s">
        <v>82</v>
      </c>
      <c r="F326" s="19" t="s">
        <v>232</v>
      </c>
    </row>
    <row r="327" spans="1:6" ht="50" x14ac:dyDescent="0.25">
      <c r="A327" s="20">
        <v>80751</v>
      </c>
      <c r="B327" s="18" t="s">
        <v>233</v>
      </c>
      <c r="C327" s="19" t="s">
        <v>66</v>
      </c>
      <c r="D327" s="20">
        <v>62</v>
      </c>
      <c r="E327" s="19" t="s">
        <v>82</v>
      </c>
      <c r="F327" s="19" t="s">
        <v>234</v>
      </c>
    </row>
    <row r="328" spans="1:6" ht="62.5" x14ac:dyDescent="0.25">
      <c r="A328" s="20">
        <v>80824</v>
      </c>
      <c r="B328" s="18" t="s">
        <v>235</v>
      </c>
      <c r="C328" s="19" t="s">
        <v>66</v>
      </c>
      <c r="D328" s="20">
        <v>23</v>
      </c>
      <c r="E328" s="19" t="s">
        <v>82</v>
      </c>
      <c r="F328" s="19" t="s">
        <v>236</v>
      </c>
    </row>
    <row r="329" spans="1:6" ht="25" x14ac:dyDescent="0.25">
      <c r="A329" s="20">
        <v>80819</v>
      </c>
      <c r="B329" s="18" t="s">
        <v>237</v>
      </c>
      <c r="C329" s="19" t="s">
        <v>66</v>
      </c>
      <c r="D329" s="20">
        <v>12</v>
      </c>
      <c r="E329" s="19" t="s">
        <v>82</v>
      </c>
      <c r="F329" s="19" t="s">
        <v>238</v>
      </c>
    </row>
    <row r="330" spans="1:6" ht="25" x14ac:dyDescent="0.25">
      <c r="A330" s="20">
        <v>81177</v>
      </c>
      <c r="B330" s="18" t="s">
        <v>239</v>
      </c>
      <c r="C330" s="19" t="s">
        <v>789</v>
      </c>
      <c r="D330" s="20">
        <v>46</v>
      </c>
      <c r="E330" s="19" t="s">
        <v>82</v>
      </c>
      <c r="F330" s="19" t="s">
        <v>240</v>
      </c>
    </row>
    <row r="331" spans="1:6" ht="25" x14ac:dyDescent="0.25">
      <c r="A331" s="20">
        <v>81189</v>
      </c>
      <c r="B331" s="18" t="s">
        <v>241</v>
      </c>
      <c r="C331" s="19" t="s">
        <v>789</v>
      </c>
      <c r="D331" s="20">
        <v>7</v>
      </c>
      <c r="E331" s="19" t="s">
        <v>82</v>
      </c>
      <c r="F331" s="19" t="s">
        <v>242</v>
      </c>
    </row>
    <row r="332" spans="1:6" ht="25" x14ac:dyDescent="0.25">
      <c r="A332" s="20">
        <v>81287</v>
      </c>
      <c r="B332" s="18" t="s">
        <v>243</v>
      </c>
      <c r="C332" s="19" t="s">
        <v>789</v>
      </c>
      <c r="D332" s="20">
        <v>12</v>
      </c>
      <c r="E332" s="19" t="s">
        <v>82</v>
      </c>
      <c r="F332" s="19" t="s">
        <v>244</v>
      </c>
    </row>
    <row r="333" spans="1:6" ht="62.5" x14ac:dyDescent="0.25">
      <c r="A333" s="20">
        <v>81330</v>
      </c>
      <c r="B333" s="18" t="s">
        <v>245</v>
      </c>
      <c r="C333" s="19" t="s">
        <v>789</v>
      </c>
      <c r="D333" s="20">
        <v>16</v>
      </c>
      <c r="E333" s="19" t="s">
        <v>82</v>
      </c>
      <c r="F333" s="19" t="s">
        <v>246</v>
      </c>
    </row>
    <row r="334" spans="1:6" ht="25" x14ac:dyDescent="0.25">
      <c r="A334" s="20">
        <v>82680</v>
      </c>
      <c r="B334" s="18" t="s">
        <v>1227</v>
      </c>
      <c r="C334" s="19" t="s">
        <v>785</v>
      </c>
      <c r="D334" s="20">
        <v>5</v>
      </c>
      <c r="E334" s="19" t="s">
        <v>82</v>
      </c>
      <c r="F334" s="19" t="s">
        <v>1228</v>
      </c>
    </row>
    <row r="335" spans="1:6" ht="50" x14ac:dyDescent="0.25">
      <c r="A335" s="20">
        <v>82730</v>
      </c>
      <c r="B335" s="18" t="s">
        <v>1229</v>
      </c>
      <c r="C335" s="19" t="s">
        <v>785</v>
      </c>
      <c r="D335" s="20">
        <v>4</v>
      </c>
      <c r="E335" s="19" t="s">
        <v>82</v>
      </c>
      <c r="F335" s="19" t="s">
        <v>539</v>
      </c>
    </row>
    <row r="336" spans="1:6" ht="37.5" x14ac:dyDescent="0.25">
      <c r="A336" s="20">
        <v>82788</v>
      </c>
      <c r="B336" s="18" t="s">
        <v>540</v>
      </c>
      <c r="C336" s="19" t="s">
        <v>785</v>
      </c>
      <c r="D336" s="20">
        <v>13</v>
      </c>
      <c r="E336" s="19" t="s">
        <v>82</v>
      </c>
      <c r="F336" s="19" t="s">
        <v>541</v>
      </c>
    </row>
    <row r="337" spans="1:6" ht="50" x14ac:dyDescent="0.25">
      <c r="A337" s="20">
        <v>82987</v>
      </c>
      <c r="B337" s="18" t="s">
        <v>542</v>
      </c>
      <c r="C337" s="19" t="s">
        <v>785</v>
      </c>
      <c r="D337" s="20">
        <v>15</v>
      </c>
      <c r="E337" s="19" t="s">
        <v>82</v>
      </c>
      <c r="F337" s="19" t="s">
        <v>543</v>
      </c>
    </row>
    <row r="338" spans="1:6" ht="25" x14ac:dyDescent="0.25">
      <c r="A338" s="20">
        <v>83018</v>
      </c>
      <c r="B338" s="18" t="s">
        <v>544</v>
      </c>
      <c r="C338" s="19" t="s">
        <v>785</v>
      </c>
      <c r="D338" s="20">
        <v>8</v>
      </c>
      <c r="E338" s="19" t="s">
        <v>82</v>
      </c>
      <c r="F338" s="19" t="s">
        <v>545</v>
      </c>
    </row>
    <row r="339" spans="1:6" ht="62.5" x14ac:dyDescent="0.25">
      <c r="A339" s="20">
        <v>83019</v>
      </c>
      <c r="B339" s="18" t="s">
        <v>546</v>
      </c>
      <c r="C339" s="19" t="s">
        <v>785</v>
      </c>
      <c r="D339" s="20">
        <v>4</v>
      </c>
      <c r="E339" s="19" t="s">
        <v>82</v>
      </c>
      <c r="F339" s="19" t="s">
        <v>547</v>
      </c>
    </row>
    <row r="340" spans="1:6" ht="25" x14ac:dyDescent="0.25">
      <c r="A340" s="20">
        <v>83277</v>
      </c>
      <c r="B340" s="18" t="s">
        <v>548</v>
      </c>
      <c r="C340" s="19" t="s">
        <v>785</v>
      </c>
      <c r="D340" s="20">
        <v>4</v>
      </c>
      <c r="E340" s="19" t="s">
        <v>82</v>
      </c>
      <c r="F340" s="19" t="s">
        <v>715</v>
      </c>
    </row>
    <row r="341" spans="1:6" ht="25" x14ac:dyDescent="0.25">
      <c r="A341" s="20">
        <v>83295</v>
      </c>
      <c r="B341" s="18" t="s">
        <v>716</v>
      </c>
      <c r="C341" s="19" t="s">
        <v>785</v>
      </c>
      <c r="D341" s="20">
        <v>8</v>
      </c>
      <c r="E341" s="19" t="s">
        <v>82</v>
      </c>
      <c r="F341" s="19" t="s">
        <v>717</v>
      </c>
    </row>
    <row r="342" spans="1:6" ht="50" x14ac:dyDescent="0.25">
      <c r="A342" s="20">
        <v>83938</v>
      </c>
      <c r="B342" s="18" t="s">
        <v>718</v>
      </c>
      <c r="C342" s="19" t="s">
        <v>60</v>
      </c>
      <c r="D342" s="20">
        <v>2</v>
      </c>
      <c r="E342" s="19" t="s">
        <v>82</v>
      </c>
      <c r="F342" s="19" t="s">
        <v>719</v>
      </c>
    </row>
    <row r="343" spans="1:6" ht="25" x14ac:dyDescent="0.25">
      <c r="A343" s="20">
        <v>83787</v>
      </c>
      <c r="B343" s="18" t="s">
        <v>720</v>
      </c>
      <c r="C343" s="19" t="s">
        <v>60</v>
      </c>
      <c r="D343" s="20">
        <v>10</v>
      </c>
      <c r="E343" s="19" t="s">
        <v>82</v>
      </c>
      <c r="F343" s="19" t="s">
        <v>721</v>
      </c>
    </row>
    <row r="344" spans="1:6" ht="25" x14ac:dyDescent="0.25">
      <c r="A344" s="20">
        <v>83811</v>
      </c>
      <c r="B344" s="18" t="s">
        <v>722</v>
      </c>
      <c r="C344" s="19" t="s">
        <v>60</v>
      </c>
      <c r="D344" s="20">
        <v>11</v>
      </c>
      <c r="E344" s="19" t="s">
        <v>82</v>
      </c>
      <c r="F344" s="19" t="s">
        <v>723</v>
      </c>
    </row>
    <row r="345" spans="1:6" ht="25" x14ac:dyDescent="0.25">
      <c r="A345" s="20">
        <v>83826</v>
      </c>
      <c r="B345" s="18" t="s">
        <v>724</v>
      </c>
      <c r="C345" s="19" t="s">
        <v>60</v>
      </c>
      <c r="D345" s="20">
        <v>4</v>
      </c>
      <c r="E345" s="19" t="s">
        <v>82</v>
      </c>
      <c r="F345" s="19" t="s">
        <v>725</v>
      </c>
    </row>
    <row r="346" spans="1:6" ht="25" x14ac:dyDescent="0.25">
      <c r="A346" s="20">
        <v>84209</v>
      </c>
      <c r="B346" s="18" t="s">
        <v>726</v>
      </c>
      <c r="C346" s="19" t="s">
        <v>60</v>
      </c>
      <c r="D346" s="20">
        <v>15</v>
      </c>
      <c r="E346" s="19" t="s">
        <v>82</v>
      </c>
      <c r="F346" s="19" t="s">
        <v>727</v>
      </c>
    </row>
    <row r="347" spans="1:6" ht="25" x14ac:dyDescent="0.25">
      <c r="A347" s="20">
        <v>84247</v>
      </c>
      <c r="B347" s="18" t="s">
        <v>728</v>
      </c>
      <c r="C347" s="19" t="s">
        <v>60</v>
      </c>
      <c r="D347" s="20">
        <v>14</v>
      </c>
      <c r="E347" s="19" t="s">
        <v>82</v>
      </c>
      <c r="F347" s="19" t="s">
        <v>729</v>
      </c>
    </row>
    <row r="348" spans="1:6" ht="62.5" x14ac:dyDescent="0.25">
      <c r="A348" s="20">
        <v>84006</v>
      </c>
      <c r="B348" s="18" t="s">
        <v>730</v>
      </c>
      <c r="C348" s="19" t="s">
        <v>60</v>
      </c>
      <c r="D348" s="20">
        <v>12</v>
      </c>
      <c r="E348" s="19" t="s">
        <v>82</v>
      </c>
      <c r="F348" s="19" t="s">
        <v>731</v>
      </c>
    </row>
    <row r="349" spans="1:6" ht="50" x14ac:dyDescent="0.25">
      <c r="A349" s="20">
        <v>84013</v>
      </c>
      <c r="B349" s="18" t="s">
        <v>732</v>
      </c>
      <c r="C349" s="19" t="s">
        <v>60</v>
      </c>
      <c r="D349" s="20">
        <v>8</v>
      </c>
      <c r="E349" s="19" t="s">
        <v>82</v>
      </c>
      <c r="F349" s="19" t="s">
        <v>733</v>
      </c>
    </row>
    <row r="350" spans="1:6" ht="62.5" x14ac:dyDescent="0.25">
      <c r="A350" s="20">
        <v>84059</v>
      </c>
      <c r="B350" s="18" t="s">
        <v>734</v>
      </c>
      <c r="C350" s="19" t="s">
        <v>60</v>
      </c>
      <c r="D350" s="20">
        <v>19</v>
      </c>
      <c r="E350" s="19" t="s">
        <v>82</v>
      </c>
      <c r="F350" s="19" t="s">
        <v>735</v>
      </c>
    </row>
    <row r="351" spans="1:6" ht="25" x14ac:dyDescent="0.25">
      <c r="A351" s="20">
        <v>84099</v>
      </c>
      <c r="B351" s="18" t="s">
        <v>736</v>
      </c>
      <c r="C351" s="19" t="s">
        <v>60</v>
      </c>
      <c r="D351" s="20">
        <v>5</v>
      </c>
      <c r="E351" s="19" t="s">
        <v>82</v>
      </c>
      <c r="F351" s="19" t="s">
        <v>737</v>
      </c>
    </row>
    <row r="352" spans="1:6" ht="37.5" x14ac:dyDescent="0.25">
      <c r="A352" s="20">
        <v>84287</v>
      </c>
      <c r="B352" s="18" t="s">
        <v>738</v>
      </c>
      <c r="C352" s="19" t="s">
        <v>60</v>
      </c>
      <c r="D352" s="20">
        <v>5</v>
      </c>
      <c r="E352" s="19" t="s">
        <v>82</v>
      </c>
      <c r="F352" s="19" t="s">
        <v>739</v>
      </c>
    </row>
    <row r="353" spans="1:6" ht="25" x14ac:dyDescent="0.25">
      <c r="A353" s="20">
        <v>84326</v>
      </c>
      <c r="B353" s="18" t="s">
        <v>740</v>
      </c>
      <c r="C353" s="19" t="s">
        <v>60</v>
      </c>
      <c r="D353" s="20">
        <v>4</v>
      </c>
      <c r="E353" s="19" t="s">
        <v>82</v>
      </c>
      <c r="F353" s="19" t="s">
        <v>741</v>
      </c>
    </row>
    <row r="354" spans="1:6" ht="25" x14ac:dyDescent="0.25">
      <c r="A354" s="20">
        <v>84795</v>
      </c>
      <c r="B354" s="18" t="s">
        <v>742</v>
      </c>
      <c r="C354" s="19" t="s">
        <v>787</v>
      </c>
      <c r="D354" s="20">
        <v>11</v>
      </c>
      <c r="E354" s="19" t="s">
        <v>82</v>
      </c>
      <c r="F354" s="19" t="s">
        <v>743</v>
      </c>
    </row>
    <row r="355" spans="1:6" ht="25" x14ac:dyDescent="0.25">
      <c r="A355" s="20">
        <v>84792</v>
      </c>
      <c r="B355" s="18" t="s">
        <v>744</v>
      </c>
      <c r="C355" s="19" t="s">
        <v>787</v>
      </c>
      <c r="D355" s="20">
        <v>8</v>
      </c>
      <c r="E355" s="19" t="s">
        <v>82</v>
      </c>
      <c r="F355" s="19" t="s">
        <v>745</v>
      </c>
    </row>
    <row r="356" spans="1:6" ht="25" x14ac:dyDescent="0.25">
      <c r="A356" s="20">
        <v>84804</v>
      </c>
      <c r="B356" s="18" t="s">
        <v>746</v>
      </c>
      <c r="C356" s="19" t="s">
        <v>787</v>
      </c>
      <c r="D356" s="20">
        <v>10</v>
      </c>
      <c r="E356" s="19" t="s">
        <v>82</v>
      </c>
      <c r="F356" s="19" t="s">
        <v>747</v>
      </c>
    </row>
    <row r="357" spans="1:6" ht="25" x14ac:dyDescent="0.25">
      <c r="A357" s="20">
        <v>85359</v>
      </c>
      <c r="B357" s="18" t="s">
        <v>748</v>
      </c>
      <c r="C357" s="19" t="s">
        <v>787</v>
      </c>
      <c r="D357" s="20">
        <v>13</v>
      </c>
      <c r="E357" s="19" t="s">
        <v>82</v>
      </c>
      <c r="F357" s="19" t="s">
        <v>749</v>
      </c>
    </row>
    <row r="358" spans="1:6" ht="25" x14ac:dyDescent="0.25">
      <c r="A358" s="20">
        <v>85786</v>
      </c>
      <c r="B358" s="18" t="s">
        <v>750</v>
      </c>
      <c r="C358" s="19" t="s">
        <v>66</v>
      </c>
      <c r="D358" s="20">
        <v>33</v>
      </c>
      <c r="E358" s="19" t="s">
        <v>82</v>
      </c>
      <c r="F358" s="19" t="s">
        <v>751</v>
      </c>
    </row>
    <row r="359" spans="1:6" ht="25" x14ac:dyDescent="0.25">
      <c r="A359" s="20">
        <v>86185</v>
      </c>
      <c r="B359" s="18" t="s">
        <v>752</v>
      </c>
      <c r="C359" s="19" t="s">
        <v>66</v>
      </c>
      <c r="D359" s="20">
        <v>6</v>
      </c>
      <c r="E359" s="19" t="s">
        <v>82</v>
      </c>
      <c r="F359" s="19" t="s">
        <v>753</v>
      </c>
    </row>
    <row r="360" spans="1:6" ht="25" x14ac:dyDescent="0.25">
      <c r="A360" s="20">
        <v>86215</v>
      </c>
      <c r="B360" s="18" t="s">
        <v>754</v>
      </c>
      <c r="C360" s="19" t="s">
        <v>66</v>
      </c>
      <c r="D360" s="20">
        <v>4</v>
      </c>
      <c r="E360" s="19" t="s">
        <v>82</v>
      </c>
      <c r="F360" s="19" t="s">
        <v>755</v>
      </c>
    </row>
    <row r="361" spans="1:6" ht="37.5" x14ac:dyDescent="0.25">
      <c r="A361" s="20">
        <v>86705</v>
      </c>
      <c r="B361" s="18" t="s">
        <v>756</v>
      </c>
      <c r="C361" s="19" t="s">
        <v>789</v>
      </c>
      <c r="D361" s="20">
        <v>10</v>
      </c>
      <c r="E361" s="19" t="s">
        <v>82</v>
      </c>
      <c r="F361" s="19" t="s">
        <v>757</v>
      </c>
    </row>
    <row r="362" spans="1:6" ht="25" x14ac:dyDescent="0.25">
      <c r="A362" s="20">
        <v>86737</v>
      </c>
      <c r="B362" s="18" t="s">
        <v>758</v>
      </c>
      <c r="C362" s="19" t="s">
        <v>789</v>
      </c>
      <c r="D362" s="20">
        <v>21</v>
      </c>
      <c r="E362" s="19" t="s">
        <v>82</v>
      </c>
      <c r="F362" s="19" t="s">
        <v>759</v>
      </c>
    </row>
    <row r="363" spans="1:6" ht="37.5" x14ac:dyDescent="0.25">
      <c r="A363" s="20">
        <v>86839</v>
      </c>
      <c r="B363" s="18" t="s">
        <v>760</v>
      </c>
      <c r="C363" s="19" t="s">
        <v>789</v>
      </c>
      <c r="D363" s="20">
        <v>15</v>
      </c>
      <c r="E363" s="19" t="s">
        <v>82</v>
      </c>
      <c r="F363" s="19" t="s">
        <v>761</v>
      </c>
    </row>
    <row r="364" spans="1:6" ht="37.5" x14ac:dyDescent="0.25">
      <c r="A364" s="20">
        <v>86847</v>
      </c>
      <c r="B364" s="18" t="s">
        <v>762</v>
      </c>
      <c r="C364" s="19" t="s">
        <v>789</v>
      </c>
      <c r="D364" s="20">
        <v>7</v>
      </c>
      <c r="E364" s="19" t="s">
        <v>82</v>
      </c>
      <c r="F364" s="19" t="s">
        <v>763</v>
      </c>
    </row>
    <row r="365" spans="1:6" ht="50" x14ac:dyDescent="0.25">
      <c r="A365" s="20">
        <v>86851</v>
      </c>
      <c r="B365" s="18" t="s">
        <v>764</v>
      </c>
      <c r="C365" s="19" t="s">
        <v>789</v>
      </c>
      <c r="D365" s="20">
        <v>3</v>
      </c>
      <c r="E365" s="19" t="s">
        <v>82</v>
      </c>
      <c r="F365" s="19" t="s">
        <v>765</v>
      </c>
    </row>
    <row r="366" spans="1:6" ht="37.5" x14ac:dyDescent="0.25">
      <c r="A366" s="20">
        <v>88144</v>
      </c>
      <c r="B366" s="18" t="s">
        <v>603</v>
      </c>
      <c r="C366" s="19" t="s">
        <v>785</v>
      </c>
      <c r="D366" s="20">
        <v>7</v>
      </c>
      <c r="E366" s="19" t="s">
        <v>82</v>
      </c>
      <c r="F366" s="19" t="s">
        <v>604</v>
      </c>
    </row>
    <row r="367" spans="1:6" ht="62.5" x14ac:dyDescent="0.25">
      <c r="A367" s="20">
        <v>88155</v>
      </c>
      <c r="B367" s="18" t="s">
        <v>605</v>
      </c>
      <c r="C367" s="19" t="s">
        <v>785</v>
      </c>
      <c r="D367" s="20">
        <v>12</v>
      </c>
      <c r="E367" s="19" t="s">
        <v>82</v>
      </c>
      <c r="F367" s="19" t="s">
        <v>606</v>
      </c>
    </row>
    <row r="368" spans="1:6" ht="62.5" x14ac:dyDescent="0.25">
      <c r="A368" s="20">
        <v>88273</v>
      </c>
      <c r="B368" s="18" t="s">
        <v>607</v>
      </c>
      <c r="C368" s="19" t="s">
        <v>785</v>
      </c>
      <c r="D368" s="20">
        <v>56</v>
      </c>
      <c r="E368" s="19" t="s">
        <v>82</v>
      </c>
      <c r="F368" s="19" t="s">
        <v>608</v>
      </c>
    </row>
    <row r="369" spans="1:6" ht="37.5" x14ac:dyDescent="0.25">
      <c r="A369" s="20">
        <v>88275</v>
      </c>
      <c r="B369" s="18" t="s">
        <v>609</v>
      </c>
      <c r="C369" s="19" t="s">
        <v>785</v>
      </c>
      <c r="D369" s="20">
        <v>17</v>
      </c>
      <c r="E369" s="19" t="s">
        <v>82</v>
      </c>
      <c r="F369" s="19" t="s">
        <v>610</v>
      </c>
    </row>
    <row r="370" spans="1:6" ht="37.5" x14ac:dyDescent="0.25">
      <c r="A370" s="20">
        <v>88277</v>
      </c>
      <c r="B370" s="18" t="s">
        <v>611</v>
      </c>
      <c r="C370" s="19" t="s">
        <v>785</v>
      </c>
      <c r="D370" s="20">
        <v>7</v>
      </c>
      <c r="E370" s="19" t="s">
        <v>82</v>
      </c>
      <c r="F370" s="19" t="s">
        <v>612</v>
      </c>
    </row>
    <row r="371" spans="1:6" ht="37.5" x14ac:dyDescent="0.25">
      <c r="A371" s="20">
        <v>88288</v>
      </c>
      <c r="B371" s="18" t="s">
        <v>613</v>
      </c>
      <c r="C371" s="19" t="s">
        <v>785</v>
      </c>
      <c r="D371" s="20">
        <v>9</v>
      </c>
      <c r="E371" s="19" t="s">
        <v>82</v>
      </c>
      <c r="F371" s="19" t="s">
        <v>614</v>
      </c>
    </row>
    <row r="372" spans="1:6" ht="37.5" x14ac:dyDescent="0.25">
      <c r="A372" s="20">
        <v>88355</v>
      </c>
      <c r="B372" s="18" t="s">
        <v>615</v>
      </c>
      <c r="C372" s="19" t="s">
        <v>785</v>
      </c>
      <c r="D372" s="20">
        <v>42</v>
      </c>
      <c r="E372" s="19" t="s">
        <v>82</v>
      </c>
      <c r="F372" s="19" t="s">
        <v>616</v>
      </c>
    </row>
    <row r="373" spans="1:6" ht="25" x14ac:dyDescent="0.25">
      <c r="A373" s="20">
        <v>88428</v>
      </c>
      <c r="B373" s="18" t="s">
        <v>617</v>
      </c>
      <c r="C373" s="19" t="s">
        <v>785</v>
      </c>
      <c r="D373" s="20">
        <v>4</v>
      </c>
      <c r="E373" s="19" t="s">
        <v>82</v>
      </c>
      <c r="F373" s="19" t="s">
        <v>618</v>
      </c>
    </row>
    <row r="374" spans="1:6" ht="25" x14ac:dyDescent="0.25">
      <c r="A374" s="20">
        <v>88763</v>
      </c>
      <c r="B374" s="18" t="s">
        <v>619</v>
      </c>
      <c r="C374" s="19" t="s">
        <v>785</v>
      </c>
      <c r="D374" s="20">
        <v>11</v>
      </c>
      <c r="E374" s="19" t="s">
        <v>82</v>
      </c>
      <c r="F374" s="19" t="s">
        <v>620</v>
      </c>
    </row>
    <row r="375" spans="1:6" ht="62.5" x14ac:dyDescent="0.25">
      <c r="A375" s="20">
        <v>88788</v>
      </c>
      <c r="B375" s="18" t="s">
        <v>621</v>
      </c>
      <c r="C375" s="19" t="s">
        <v>785</v>
      </c>
      <c r="D375" s="20">
        <v>6</v>
      </c>
      <c r="E375" s="19" t="s">
        <v>82</v>
      </c>
      <c r="F375" s="19" t="s">
        <v>622</v>
      </c>
    </row>
    <row r="376" spans="1:6" ht="25" x14ac:dyDescent="0.25">
      <c r="A376" s="20">
        <v>89159</v>
      </c>
      <c r="B376" s="18" t="s">
        <v>623</v>
      </c>
      <c r="C376" s="19" t="s">
        <v>60</v>
      </c>
      <c r="D376" s="20">
        <v>7</v>
      </c>
      <c r="E376" s="19" t="s">
        <v>82</v>
      </c>
      <c r="F376" s="19" t="s">
        <v>624</v>
      </c>
    </row>
    <row r="377" spans="1:6" ht="62.5" x14ac:dyDescent="0.25">
      <c r="A377" s="20">
        <v>89180</v>
      </c>
      <c r="B377" s="18" t="s">
        <v>625</v>
      </c>
      <c r="C377" s="19" t="s">
        <v>60</v>
      </c>
      <c r="D377" s="20">
        <v>14</v>
      </c>
      <c r="E377" s="19" t="s">
        <v>82</v>
      </c>
      <c r="F377" s="19" t="s">
        <v>626</v>
      </c>
    </row>
    <row r="378" spans="1:6" ht="25" x14ac:dyDescent="0.25">
      <c r="A378" s="20">
        <v>89268</v>
      </c>
      <c r="B378" s="18" t="s">
        <v>627</v>
      </c>
      <c r="C378" s="19" t="s">
        <v>60</v>
      </c>
      <c r="D378" s="20">
        <v>34</v>
      </c>
      <c r="E378" s="19" t="s">
        <v>82</v>
      </c>
      <c r="F378" s="19" t="s">
        <v>628</v>
      </c>
    </row>
    <row r="379" spans="1:6" ht="25" x14ac:dyDescent="0.25">
      <c r="A379" s="20">
        <v>89304</v>
      </c>
      <c r="B379" s="18" t="s">
        <v>629</v>
      </c>
      <c r="C379" s="19" t="s">
        <v>60</v>
      </c>
      <c r="D379" s="20">
        <v>18</v>
      </c>
      <c r="E379" s="19" t="s">
        <v>82</v>
      </c>
      <c r="F379" s="19" t="s">
        <v>630</v>
      </c>
    </row>
    <row r="380" spans="1:6" ht="62.5" x14ac:dyDescent="0.25">
      <c r="A380" s="20">
        <v>89548</v>
      </c>
      <c r="B380" s="18" t="s">
        <v>631</v>
      </c>
      <c r="C380" s="19" t="s">
        <v>60</v>
      </c>
      <c r="D380" s="20">
        <v>8</v>
      </c>
      <c r="E380" s="19" t="s">
        <v>82</v>
      </c>
      <c r="F380" s="19" t="s">
        <v>632</v>
      </c>
    </row>
    <row r="381" spans="1:6" ht="37.5" x14ac:dyDescent="0.25">
      <c r="A381" s="20">
        <v>89805</v>
      </c>
      <c r="B381" s="18" t="s">
        <v>633</v>
      </c>
      <c r="C381" s="19" t="s">
        <v>60</v>
      </c>
      <c r="D381" s="20">
        <v>4</v>
      </c>
      <c r="E381" s="19" t="s">
        <v>82</v>
      </c>
      <c r="F381" s="19" t="s">
        <v>655</v>
      </c>
    </row>
    <row r="382" spans="1:6" ht="50" x14ac:dyDescent="0.25">
      <c r="A382" s="20">
        <v>89820</v>
      </c>
      <c r="B382" s="18" t="s">
        <v>656</v>
      </c>
      <c r="C382" s="19" t="s">
        <v>60</v>
      </c>
      <c r="D382" s="20">
        <v>14</v>
      </c>
      <c r="E382" s="19" t="s">
        <v>82</v>
      </c>
      <c r="F382" s="19" t="s">
        <v>525</v>
      </c>
    </row>
    <row r="383" spans="1:6" ht="25" x14ac:dyDescent="0.25">
      <c r="A383" s="20">
        <v>90233</v>
      </c>
      <c r="B383" s="18" t="s">
        <v>526</v>
      </c>
      <c r="C383" s="19" t="s">
        <v>787</v>
      </c>
      <c r="D383" s="20">
        <v>6</v>
      </c>
      <c r="E383" s="19" t="s">
        <v>82</v>
      </c>
      <c r="F383" s="19" t="s">
        <v>527</v>
      </c>
    </row>
    <row r="384" spans="1:6" ht="50" x14ac:dyDescent="0.25">
      <c r="A384" s="20">
        <v>90403</v>
      </c>
      <c r="B384" s="18" t="s">
        <v>528</v>
      </c>
      <c r="C384" s="19" t="s">
        <v>787</v>
      </c>
      <c r="D384" s="20">
        <v>16</v>
      </c>
      <c r="E384" s="19" t="s">
        <v>82</v>
      </c>
      <c r="F384" s="19" t="s">
        <v>529</v>
      </c>
    </row>
    <row r="385" spans="1:6" ht="50" x14ac:dyDescent="0.25">
      <c r="A385" s="20">
        <v>90432</v>
      </c>
      <c r="B385" s="18" t="s">
        <v>530</v>
      </c>
      <c r="C385" s="19" t="s">
        <v>787</v>
      </c>
      <c r="D385" s="20">
        <v>5</v>
      </c>
      <c r="E385" s="19" t="s">
        <v>82</v>
      </c>
      <c r="F385" s="19" t="s">
        <v>531</v>
      </c>
    </row>
    <row r="386" spans="1:6" ht="62.5" x14ac:dyDescent="0.25">
      <c r="A386" s="20">
        <v>90460</v>
      </c>
      <c r="B386" s="18" t="s">
        <v>532</v>
      </c>
      <c r="C386" s="19" t="s">
        <v>787</v>
      </c>
      <c r="D386" s="20">
        <v>20</v>
      </c>
      <c r="E386" s="19" t="s">
        <v>82</v>
      </c>
      <c r="F386" s="19" t="s">
        <v>533</v>
      </c>
    </row>
    <row r="387" spans="1:6" ht="50" x14ac:dyDescent="0.25">
      <c r="A387" s="20">
        <v>90629</v>
      </c>
      <c r="B387" s="18" t="s">
        <v>534</v>
      </c>
      <c r="C387" s="19" t="s">
        <v>787</v>
      </c>
      <c r="D387" s="20">
        <v>6</v>
      </c>
      <c r="E387" s="19" t="s">
        <v>82</v>
      </c>
      <c r="F387" s="19" t="s">
        <v>535</v>
      </c>
    </row>
    <row r="388" spans="1:6" ht="25" x14ac:dyDescent="0.25">
      <c r="A388" s="20">
        <v>91022</v>
      </c>
      <c r="B388" s="18" t="s">
        <v>536</v>
      </c>
      <c r="C388" s="19" t="s">
        <v>787</v>
      </c>
      <c r="D388" s="20">
        <v>0</v>
      </c>
      <c r="E388" s="19" t="s">
        <v>82</v>
      </c>
      <c r="F388" s="19" t="s">
        <v>537</v>
      </c>
    </row>
    <row r="389" spans="1:6" ht="25" x14ac:dyDescent="0.25">
      <c r="A389" s="20">
        <v>91045</v>
      </c>
      <c r="B389" s="18" t="s">
        <v>538</v>
      </c>
      <c r="C389" s="19" t="s">
        <v>787</v>
      </c>
      <c r="D389" s="20">
        <v>0</v>
      </c>
      <c r="E389" s="19" t="s">
        <v>82</v>
      </c>
      <c r="F389" s="19" t="s">
        <v>704</v>
      </c>
    </row>
    <row r="390" spans="1:6" ht="25" x14ac:dyDescent="0.25">
      <c r="A390" s="20">
        <v>90901</v>
      </c>
      <c r="B390" s="18" t="s">
        <v>705</v>
      </c>
      <c r="C390" s="19" t="s">
        <v>787</v>
      </c>
      <c r="D390" s="20">
        <v>0</v>
      </c>
      <c r="E390" s="19" t="s">
        <v>82</v>
      </c>
      <c r="F390" s="19" t="s">
        <v>706</v>
      </c>
    </row>
    <row r="391" spans="1:6" ht="25" x14ac:dyDescent="0.25">
      <c r="A391" s="20">
        <v>91241</v>
      </c>
      <c r="B391" s="18" t="s">
        <v>707</v>
      </c>
      <c r="C391" s="19" t="s">
        <v>66</v>
      </c>
      <c r="D391" s="20">
        <v>8</v>
      </c>
      <c r="E391" s="19" t="s">
        <v>82</v>
      </c>
      <c r="F391" s="19" t="s">
        <v>708</v>
      </c>
    </row>
    <row r="392" spans="1:6" ht="25" x14ac:dyDescent="0.25">
      <c r="A392" s="20">
        <v>91519</v>
      </c>
      <c r="B392" s="18" t="s">
        <v>709</v>
      </c>
      <c r="C392" s="19" t="s">
        <v>66</v>
      </c>
      <c r="D392" s="20">
        <v>15</v>
      </c>
      <c r="E392" s="19" t="s">
        <v>82</v>
      </c>
      <c r="F392" s="19" t="s">
        <v>710</v>
      </c>
    </row>
    <row r="393" spans="1:6" ht="25" x14ac:dyDescent="0.25">
      <c r="A393" s="20">
        <v>91693</v>
      </c>
      <c r="B393" s="18" t="s">
        <v>711</v>
      </c>
      <c r="C393" s="19" t="s">
        <v>66</v>
      </c>
      <c r="D393" s="20">
        <v>19</v>
      </c>
      <c r="E393" s="19" t="s">
        <v>82</v>
      </c>
      <c r="F393" s="19" t="s">
        <v>712</v>
      </c>
    </row>
    <row r="394" spans="1:6" ht="25" x14ac:dyDescent="0.25">
      <c r="A394" s="20">
        <v>92257</v>
      </c>
      <c r="B394" s="18" t="s">
        <v>713</v>
      </c>
      <c r="C394" s="19" t="s">
        <v>789</v>
      </c>
      <c r="D394" s="20">
        <v>10</v>
      </c>
      <c r="E394" s="19" t="s">
        <v>82</v>
      </c>
      <c r="F394" s="19" t="s">
        <v>714</v>
      </c>
    </row>
    <row r="395" spans="1:6" ht="37.5" x14ac:dyDescent="0.25">
      <c r="A395" s="20">
        <v>93500</v>
      </c>
      <c r="B395" s="18" t="s">
        <v>326</v>
      </c>
      <c r="C395" s="19" t="s">
        <v>785</v>
      </c>
      <c r="D395" s="20">
        <v>3</v>
      </c>
      <c r="E395" s="19" t="s">
        <v>82</v>
      </c>
      <c r="F395" s="19" t="s">
        <v>327</v>
      </c>
    </row>
    <row r="396" spans="1:6" ht="50" x14ac:dyDescent="0.25">
      <c r="A396" s="20">
        <v>93507</v>
      </c>
      <c r="B396" s="18" t="s">
        <v>328</v>
      </c>
      <c r="C396" s="19" t="s">
        <v>785</v>
      </c>
      <c r="D396" s="20">
        <v>4</v>
      </c>
      <c r="E396" s="19" t="s">
        <v>82</v>
      </c>
      <c r="F396" s="19" t="s">
        <v>329</v>
      </c>
    </row>
    <row r="397" spans="1:6" ht="25" x14ac:dyDescent="0.25">
      <c r="A397" s="20">
        <v>93515</v>
      </c>
      <c r="B397" s="18" t="s">
        <v>330</v>
      </c>
      <c r="C397" s="19" t="s">
        <v>785</v>
      </c>
      <c r="D397" s="20">
        <v>9</v>
      </c>
      <c r="E397" s="19" t="s">
        <v>82</v>
      </c>
      <c r="F397" s="19" t="s">
        <v>331</v>
      </c>
    </row>
    <row r="398" spans="1:6" ht="25" x14ac:dyDescent="0.25">
      <c r="A398" s="20">
        <v>93517</v>
      </c>
      <c r="B398" s="18" t="s">
        <v>332</v>
      </c>
      <c r="C398" s="19" t="s">
        <v>785</v>
      </c>
      <c r="D398" s="20">
        <v>8</v>
      </c>
      <c r="E398" s="19" t="s">
        <v>82</v>
      </c>
      <c r="F398" s="19" t="s">
        <v>333</v>
      </c>
    </row>
    <row r="399" spans="1:6" ht="37.5" x14ac:dyDescent="0.25">
      <c r="A399" s="20">
        <v>93523</v>
      </c>
      <c r="B399" s="18" t="s">
        <v>334</v>
      </c>
      <c r="C399" s="19" t="s">
        <v>785</v>
      </c>
      <c r="D399" s="20">
        <v>6</v>
      </c>
      <c r="E399" s="19" t="s">
        <v>82</v>
      </c>
      <c r="F399" s="19" t="s">
        <v>335</v>
      </c>
    </row>
    <row r="400" spans="1:6" ht="50" x14ac:dyDescent="0.25">
      <c r="A400" s="20">
        <v>93539</v>
      </c>
      <c r="B400" s="18" t="s">
        <v>336</v>
      </c>
      <c r="C400" s="19" t="s">
        <v>785</v>
      </c>
      <c r="D400" s="20">
        <v>6</v>
      </c>
      <c r="E400" s="19" t="s">
        <v>82</v>
      </c>
      <c r="F400" s="19" t="s">
        <v>337</v>
      </c>
    </row>
    <row r="401" spans="1:6" ht="37.5" x14ac:dyDescent="0.25">
      <c r="A401" s="20">
        <v>93639</v>
      </c>
      <c r="B401" s="18" t="s">
        <v>338</v>
      </c>
      <c r="C401" s="19" t="s">
        <v>785</v>
      </c>
      <c r="D401" s="20">
        <v>13</v>
      </c>
      <c r="E401" s="19" t="s">
        <v>82</v>
      </c>
      <c r="F401" s="19" t="s">
        <v>339</v>
      </c>
    </row>
    <row r="402" spans="1:6" ht="25" x14ac:dyDescent="0.25">
      <c r="A402" s="20">
        <v>93895</v>
      </c>
      <c r="B402" s="18" t="s">
        <v>340</v>
      </c>
      <c r="C402" s="19" t="s">
        <v>785</v>
      </c>
      <c r="D402" s="20">
        <v>5</v>
      </c>
      <c r="E402" s="19" t="s">
        <v>82</v>
      </c>
      <c r="F402" s="19" t="s">
        <v>341</v>
      </c>
    </row>
    <row r="403" spans="1:6" ht="62.5" x14ac:dyDescent="0.25">
      <c r="A403" s="20">
        <v>93987</v>
      </c>
      <c r="B403" s="18" t="s">
        <v>342</v>
      </c>
      <c r="C403" s="19" t="s">
        <v>785</v>
      </c>
      <c r="D403" s="20">
        <v>13</v>
      </c>
      <c r="E403" s="19" t="s">
        <v>82</v>
      </c>
      <c r="F403" s="19" t="s">
        <v>343</v>
      </c>
    </row>
    <row r="404" spans="1:6" ht="37.5" x14ac:dyDescent="0.25">
      <c r="A404" s="20">
        <v>94059</v>
      </c>
      <c r="B404" s="18" t="s">
        <v>344</v>
      </c>
      <c r="C404" s="19" t="s">
        <v>785</v>
      </c>
      <c r="D404" s="20">
        <v>12</v>
      </c>
      <c r="E404" s="19" t="s">
        <v>82</v>
      </c>
      <c r="F404" s="19" t="s">
        <v>345</v>
      </c>
    </row>
    <row r="405" spans="1:6" ht="25" x14ac:dyDescent="0.25">
      <c r="A405" s="20">
        <v>94329</v>
      </c>
      <c r="B405" s="18" t="s">
        <v>346</v>
      </c>
      <c r="C405" s="19" t="s">
        <v>785</v>
      </c>
      <c r="D405" s="20">
        <v>14</v>
      </c>
      <c r="E405" s="19" t="s">
        <v>82</v>
      </c>
      <c r="F405" s="19" t="s">
        <v>347</v>
      </c>
    </row>
    <row r="406" spans="1:6" ht="25" x14ac:dyDescent="0.25">
      <c r="A406" s="20">
        <v>94775</v>
      </c>
      <c r="B406" s="18" t="s">
        <v>348</v>
      </c>
      <c r="C406" s="19" t="s">
        <v>60</v>
      </c>
      <c r="D406" s="20">
        <v>8</v>
      </c>
      <c r="E406" s="19" t="s">
        <v>82</v>
      </c>
      <c r="F406" s="19" t="s">
        <v>349</v>
      </c>
    </row>
    <row r="407" spans="1:6" ht="50" x14ac:dyDescent="0.25">
      <c r="A407" s="20">
        <v>94777</v>
      </c>
      <c r="B407" s="18" t="s">
        <v>350</v>
      </c>
      <c r="C407" s="19" t="s">
        <v>60</v>
      </c>
      <c r="D407" s="20">
        <v>8</v>
      </c>
      <c r="E407" s="19" t="s">
        <v>82</v>
      </c>
      <c r="F407" s="19" t="s">
        <v>351</v>
      </c>
    </row>
    <row r="408" spans="1:6" ht="25" x14ac:dyDescent="0.25">
      <c r="A408" s="20">
        <v>94847</v>
      </c>
      <c r="B408" s="18" t="s">
        <v>352</v>
      </c>
      <c r="C408" s="19" t="s">
        <v>60</v>
      </c>
      <c r="D408" s="20">
        <v>7</v>
      </c>
      <c r="E408" s="19" t="s">
        <v>82</v>
      </c>
      <c r="F408" s="19" t="s">
        <v>353</v>
      </c>
    </row>
    <row r="409" spans="1:6" ht="25" x14ac:dyDescent="0.25">
      <c r="A409" s="20">
        <v>95047</v>
      </c>
      <c r="B409" s="18" t="s">
        <v>354</v>
      </c>
      <c r="C409" s="19" t="s">
        <v>60</v>
      </c>
      <c r="D409" s="20">
        <v>9</v>
      </c>
      <c r="E409" s="19" t="s">
        <v>82</v>
      </c>
      <c r="F409" s="19" t="s">
        <v>355</v>
      </c>
    </row>
    <row r="410" spans="1:6" ht="37.5" x14ac:dyDescent="0.25">
      <c r="A410" s="20">
        <v>95651</v>
      </c>
      <c r="B410" s="18" t="s">
        <v>356</v>
      </c>
      <c r="C410" s="19" t="s">
        <v>787</v>
      </c>
      <c r="D410" s="20">
        <v>6</v>
      </c>
      <c r="E410" s="19" t="s">
        <v>82</v>
      </c>
      <c r="F410" s="19" t="s">
        <v>357</v>
      </c>
    </row>
    <row r="411" spans="1:6" ht="25" x14ac:dyDescent="0.25">
      <c r="A411" s="20">
        <v>95813</v>
      </c>
      <c r="B411" s="18" t="s">
        <v>358</v>
      </c>
      <c r="C411" s="19" t="s">
        <v>787</v>
      </c>
      <c r="D411" s="20">
        <v>13</v>
      </c>
      <c r="E411" s="19" t="s">
        <v>82</v>
      </c>
      <c r="F411" s="19" t="s">
        <v>359</v>
      </c>
    </row>
    <row r="412" spans="1:6" ht="25" x14ac:dyDescent="0.25">
      <c r="A412" s="20">
        <v>95988</v>
      </c>
      <c r="B412" s="18" t="s">
        <v>360</v>
      </c>
      <c r="C412" s="19" t="s">
        <v>787</v>
      </c>
      <c r="D412" s="20">
        <v>13</v>
      </c>
      <c r="E412" s="19" t="s">
        <v>82</v>
      </c>
      <c r="F412" s="19" t="s">
        <v>361</v>
      </c>
    </row>
    <row r="413" spans="1:6" ht="25" x14ac:dyDescent="0.25">
      <c r="A413" s="20">
        <v>96312</v>
      </c>
      <c r="B413" s="18" t="s">
        <v>362</v>
      </c>
      <c r="C413" s="19" t="s">
        <v>787</v>
      </c>
      <c r="D413" s="20">
        <v>16</v>
      </c>
      <c r="E413" s="19" t="s">
        <v>82</v>
      </c>
      <c r="F413" s="19" t="s">
        <v>363</v>
      </c>
    </row>
    <row r="414" spans="1:6" ht="50" x14ac:dyDescent="0.25">
      <c r="A414" s="20">
        <v>96316</v>
      </c>
      <c r="B414" s="18" t="s">
        <v>364</v>
      </c>
      <c r="C414" s="19" t="s">
        <v>787</v>
      </c>
      <c r="D414" s="20">
        <v>11</v>
      </c>
      <c r="E414" s="19" t="s">
        <v>82</v>
      </c>
      <c r="F414" s="19" t="s">
        <v>1195</v>
      </c>
    </row>
    <row r="415" spans="1:6" ht="37.5" x14ac:dyDescent="0.25">
      <c r="A415" s="20">
        <v>96635</v>
      </c>
      <c r="B415" s="18" t="s">
        <v>1196</v>
      </c>
      <c r="C415" s="19" t="s">
        <v>66</v>
      </c>
      <c r="D415" s="20">
        <v>30</v>
      </c>
      <c r="E415" s="19" t="s">
        <v>82</v>
      </c>
      <c r="F415" s="19" t="s">
        <v>1197</v>
      </c>
    </row>
    <row r="416" spans="1:6" ht="62.5" x14ac:dyDescent="0.25">
      <c r="A416" s="20">
        <v>96769</v>
      </c>
      <c r="B416" s="18" t="s">
        <v>1198</v>
      </c>
      <c r="C416" s="19" t="s">
        <v>66</v>
      </c>
      <c r="D416" s="20">
        <v>5</v>
      </c>
      <c r="E416" s="19" t="s">
        <v>82</v>
      </c>
      <c r="F416" s="19" t="s">
        <v>1199</v>
      </c>
    </row>
    <row r="417" spans="1:6" ht="25" x14ac:dyDescent="0.25">
      <c r="A417" s="20">
        <v>96833</v>
      </c>
      <c r="B417" s="18" t="s">
        <v>1200</v>
      </c>
      <c r="C417" s="19" t="s">
        <v>66</v>
      </c>
      <c r="D417" s="20">
        <v>30</v>
      </c>
      <c r="E417" s="19" t="s">
        <v>82</v>
      </c>
      <c r="F417" s="19" t="s">
        <v>1201</v>
      </c>
    </row>
    <row r="418" spans="1:6" ht="50" x14ac:dyDescent="0.25">
      <c r="A418" s="20">
        <v>96825</v>
      </c>
      <c r="B418" s="18" t="s">
        <v>1202</v>
      </c>
      <c r="C418" s="19" t="s">
        <v>66</v>
      </c>
      <c r="D418" s="20">
        <v>13</v>
      </c>
      <c r="E418" s="19" t="s">
        <v>82</v>
      </c>
      <c r="F418" s="19" t="s">
        <v>1203</v>
      </c>
    </row>
    <row r="419" spans="1:6" ht="50" x14ac:dyDescent="0.25">
      <c r="A419" s="20">
        <v>96905</v>
      </c>
      <c r="B419" s="18" t="s">
        <v>1204</v>
      </c>
      <c r="C419" s="19" t="s">
        <v>66</v>
      </c>
      <c r="D419" s="20">
        <v>21</v>
      </c>
      <c r="E419" s="19" t="s">
        <v>82</v>
      </c>
      <c r="F419" s="19" t="s">
        <v>1205</v>
      </c>
    </row>
    <row r="420" spans="1:6" ht="25" x14ac:dyDescent="0.25">
      <c r="A420" s="20">
        <v>96945</v>
      </c>
      <c r="B420" s="18" t="s">
        <v>1206</v>
      </c>
      <c r="C420" s="19" t="s">
        <v>66</v>
      </c>
      <c r="D420" s="20">
        <v>13</v>
      </c>
      <c r="E420" s="19" t="s">
        <v>82</v>
      </c>
      <c r="F420" s="19" t="s">
        <v>1207</v>
      </c>
    </row>
    <row r="421" spans="1:6" ht="62.5" x14ac:dyDescent="0.25">
      <c r="A421" s="20">
        <v>96961</v>
      </c>
      <c r="B421" s="18" t="s">
        <v>1208</v>
      </c>
      <c r="C421" s="19" t="s">
        <v>66</v>
      </c>
      <c r="D421" s="20">
        <v>11</v>
      </c>
      <c r="E421" s="19" t="s">
        <v>82</v>
      </c>
      <c r="F421" s="19" t="s">
        <v>1209</v>
      </c>
    </row>
    <row r="422" spans="1:6" ht="62.5" x14ac:dyDescent="0.25">
      <c r="A422" s="20">
        <v>96993</v>
      </c>
      <c r="B422" s="18" t="s">
        <v>1210</v>
      </c>
      <c r="C422" s="19" t="s">
        <v>66</v>
      </c>
      <c r="D422" s="20">
        <v>30</v>
      </c>
      <c r="E422" s="19" t="s">
        <v>82</v>
      </c>
      <c r="F422" s="19" t="s">
        <v>1211</v>
      </c>
    </row>
    <row r="423" spans="1:6" ht="37.5" x14ac:dyDescent="0.25">
      <c r="A423" s="20">
        <v>96971</v>
      </c>
      <c r="B423" s="18" t="s">
        <v>1212</v>
      </c>
      <c r="C423" s="19" t="s">
        <v>66</v>
      </c>
      <c r="D423" s="20">
        <v>15</v>
      </c>
      <c r="E423" s="19" t="s">
        <v>82</v>
      </c>
      <c r="F423" s="19" t="s">
        <v>1213</v>
      </c>
    </row>
    <row r="424" spans="1:6" ht="25" x14ac:dyDescent="0.25">
      <c r="A424" s="20">
        <v>97113</v>
      </c>
      <c r="B424" s="18" t="s">
        <v>1214</v>
      </c>
      <c r="C424" s="19" t="s">
        <v>66</v>
      </c>
      <c r="D424" s="20">
        <v>7</v>
      </c>
      <c r="E424" s="19" t="s">
        <v>82</v>
      </c>
      <c r="F424" s="19" t="s">
        <v>1215</v>
      </c>
    </row>
    <row r="425" spans="1:6" ht="37.5" x14ac:dyDescent="0.25">
      <c r="A425" s="20">
        <v>97632</v>
      </c>
      <c r="B425" s="18" t="s">
        <v>1216</v>
      </c>
      <c r="C425" s="19" t="s">
        <v>789</v>
      </c>
      <c r="D425" s="20">
        <v>30</v>
      </c>
      <c r="E425" s="19" t="s">
        <v>82</v>
      </c>
      <c r="F425" s="19" t="s">
        <v>1217</v>
      </c>
    </row>
    <row r="426" spans="1:6" ht="50" x14ac:dyDescent="0.25">
      <c r="A426" s="20">
        <v>97657</v>
      </c>
      <c r="B426" s="18" t="s">
        <v>1218</v>
      </c>
      <c r="C426" s="19" t="s">
        <v>789</v>
      </c>
      <c r="D426" s="20">
        <v>8</v>
      </c>
      <c r="E426" s="19" t="s">
        <v>82</v>
      </c>
      <c r="F426" s="19" t="s">
        <v>1219</v>
      </c>
    </row>
    <row r="427" spans="1:6" ht="25" x14ac:dyDescent="0.25">
      <c r="A427" s="20">
        <v>99008</v>
      </c>
      <c r="B427" s="18" t="s">
        <v>966</v>
      </c>
      <c r="C427" s="19" t="s">
        <v>785</v>
      </c>
      <c r="D427" s="20">
        <v>2</v>
      </c>
      <c r="E427" s="19" t="s">
        <v>82</v>
      </c>
      <c r="F427" s="19" t="s">
        <v>967</v>
      </c>
    </row>
    <row r="428" spans="1:6" ht="25" x14ac:dyDescent="0.25">
      <c r="A428" s="20">
        <v>99033</v>
      </c>
      <c r="B428" s="18" t="s">
        <v>968</v>
      </c>
      <c r="C428" s="19" t="s">
        <v>785</v>
      </c>
      <c r="D428" s="20">
        <v>4</v>
      </c>
      <c r="E428" s="19" t="s">
        <v>82</v>
      </c>
      <c r="F428" s="19" t="s">
        <v>969</v>
      </c>
    </row>
    <row r="429" spans="1:6" ht="25" x14ac:dyDescent="0.25">
      <c r="A429" s="20">
        <v>99121</v>
      </c>
      <c r="B429" s="18" t="s">
        <v>970</v>
      </c>
      <c r="C429" s="19" t="s">
        <v>785</v>
      </c>
      <c r="D429" s="20">
        <v>4</v>
      </c>
      <c r="E429" s="19" t="s">
        <v>82</v>
      </c>
      <c r="F429" s="19" t="s">
        <v>971</v>
      </c>
    </row>
    <row r="430" spans="1:6" ht="37.5" x14ac:dyDescent="0.25">
      <c r="A430" s="20">
        <v>99452</v>
      </c>
      <c r="B430" s="18" t="s">
        <v>972</v>
      </c>
      <c r="C430" s="19" t="s">
        <v>785</v>
      </c>
      <c r="D430" s="20">
        <v>18</v>
      </c>
      <c r="E430" s="19" t="s">
        <v>82</v>
      </c>
      <c r="F430" s="19" t="s">
        <v>973</v>
      </c>
    </row>
    <row r="431" spans="1:6" ht="62.5" x14ac:dyDescent="0.25">
      <c r="A431" s="20">
        <v>99538</v>
      </c>
      <c r="B431" s="18" t="s">
        <v>974</v>
      </c>
      <c r="C431" s="19" t="s">
        <v>785</v>
      </c>
      <c r="D431" s="20">
        <v>8</v>
      </c>
      <c r="E431" s="19" t="s">
        <v>82</v>
      </c>
      <c r="F431" s="19" t="s">
        <v>975</v>
      </c>
    </row>
    <row r="432" spans="1:6" ht="25" x14ac:dyDescent="0.25">
      <c r="A432" s="20">
        <v>99534</v>
      </c>
      <c r="B432" s="18" t="s">
        <v>976</v>
      </c>
      <c r="C432" s="19" t="s">
        <v>785</v>
      </c>
      <c r="D432" s="20">
        <v>3</v>
      </c>
      <c r="E432" s="19" t="s">
        <v>82</v>
      </c>
      <c r="F432" s="19" t="s">
        <v>977</v>
      </c>
    </row>
    <row r="433" spans="1:6" ht="50" x14ac:dyDescent="0.25">
      <c r="A433" s="20">
        <v>99539</v>
      </c>
      <c r="B433" s="18" t="s">
        <v>978</v>
      </c>
      <c r="C433" s="19" t="s">
        <v>785</v>
      </c>
      <c r="D433" s="20">
        <v>6</v>
      </c>
      <c r="E433" s="19" t="s">
        <v>82</v>
      </c>
      <c r="F433" s="19" t="s">
        <v>979</v>
      </c>
    </row>
    <row r="434" spans="1:6" ht="37.5" x14ac:dyDescent="0.25">
      <c r="A434" s="20">
        <v>99561</v>
      </c>
      <c r="B434" s="18" t="s">
        <v>980</v>
      </c>
      <c r="C434" s="19" t="s">
        <v>785</v>
      </c>
      <c r="D434" s="20">
        <v>4</v>
      </c>
      <c r="E434" s="19" t="s">
        <v>82</v>
      </c>
      <c r="F434" s="19" t="s">
        <v>981</v>
      </c>
    </row>
    <row r="435" spans="1:6" ht="25" x14ac:dyDescent="0.25">
      <c r="A435" s="20">
        <v>99590</v>
      </c>
      <c r="B435" s="18" t="s">
        <v>982</v>
      </c>
      <c r="C435" s="19" t="s">
        <v>785</v>
      </c>
      <c r="D435" s="20">
        <v>2</v>
      </c>
      <c r="E435" s="19" t="s">
        <v>82</v>
      </c>
      <c r="F435" s="19" t="s">
        <v>983</v>
      </c>
    </row>
    <row r="436" spans="1:6" ht="25" x14ac:dyDescent="0.25">
      <c r="A436" s="20">
        <v>99734</v>
      </c>
      <c r="B436" s="18" t="s">
        <v>984</v>
      </c>
      <c r="C436" s="19" t="s">
        <v>785</v>
      </c>
      <c r="D436" s="20">
        <v>10</v>
      </c>
      <c r="E436" s="19" t="s">
        <v>82</v>
      </c>
      <c r="F436" s="19" t="s">
        <v>985</v>
      </c>
    </row>
    <row r="437" spans="1:6" ht="25" x14ac:dyDescent="0.25">
      <c r="A437" s="20">
        <v>99733</v>
      </c>
      <c r="B437" s="18" t="s">
        <v>986</v>
      </c>
      <c r="C437" s="19" t="s">
        <v>785</v>
      </c>
      <c r="D437" s="20">
        <v>4</v>
      </c>
      <c r="E437" s="19" t="s">
        <v>82</v>
      </c>
      <c r="F437" s="19" t="s">
        <v>987</v>
      </c>
    </row>
    <row r="438" spans="1:6" ht="25" x14ac:dyDescent="0.25">
      <c r="A438" s="20">
        <v>101002</v>
      </c>
      <c r="B438" s="18" t="s">
        <v>988</v>
      </c>
      <c r="C438" s="19" t="s">
        <v>787</v>
      </c>
      <c r="D438" s="20">
        <v>9</v>
      </c>
      <c r="E438" s="19" t="s">
        <v>82</v>
      </c>
      <c r="F438" s="19" t="s">
        <v>989</v>
      </c>
    </row>
    <row r="439" spans="1:6" ht="25" x14ac:dyDescent="0.25">
      <c r="A439" s="20">
        <v>101198</v>
      </c>
      <c r="B439" s="18" t="s">
        <v>990</v>
      </c>
      <c r="C439" s="19" t="s">
        <v>787</v>
      </c>
      <c r="D439" s="20">
        <v>2</v>
      </c>
      <c r="E439" s="19" t="s">
        <v>82</v>
      </c>
      <c r="F439" s="19" t="s">
        <v>991</v>
      </c>
    </row>
    <row r="440" spans="1:6" ht="37.5" x14ac:dyDescent="0.25">
      <c r="A440" s="20">
        <v>101251</v>
      </c>
      <c r="B440" s="18" t="s">
        <v>992</v>
      </c>
      <c r="C440" s="19" t="s">
        <v>787</v>
      </c>
      <c r="D440" s="20">
        <v>2</v>
      </c>
      <c r="E440" s="19" t="s">
        <v>82</v>
      </c>
      <c r="F440" s="19" t="s">
        <v>993</v>
      </c>
    </row>
    <row r="441" spans="1:6" ht="25" x14ac:dyDescent="0.25">
      <c r="A441" s="20">
        <v>101488</v>
      </c>
      <c r="B441" s="18" t="s">
        <v>994</v>
      </c>
      <c r="C441" s="19" t="s">
        <v>787</v>
      </c>
      <c r="D441" s="20">
        <v>3</v>
      </c>
      <c r="E441" s="19" t="s">
        <v>82</v>
      </c>
      <c r="F441" s="19" t="s">
        <v>995</v>
      </c>
    </row>
    <row r="442" spans="1:6" ht="25" x14ac:dyDescent="0.25">
      <c r="A442" s="20">
        <v>101589</v>
      </c>
      <c r="B442" s="18" t="s">
        <v>996</v>
      </c>
      <c r="C442" s="19" t="s">
        <v>787</v>
      </c>
      <c r="D442" s="20">
        <v>4</v>
      </c>
      <c r="E442" s="19" t="s">
        <v>82</v>
      </c>
      <c r="F442" s="19" t="s">
        <v>997</v>
      </c>
    </row>
    <row r="443" spans="1:6" ht="25" x14ac:dyDescent="0.25">
      <c r="A443" s="20">
        <v>101596</v>
      </c>
      <c r="B443" s="18" t="s">
        <v>998</v>
      </c>
      <c r="C443" s="19" t="s">
        <v>787</v>
      </c>
      <c r="D443" s="20">
        <v>3</v>
      </c>
      <c r="E443" s="19" t="s">
        <v>82</v>
      </c>
      <c r="F443" s="19" t="s">
        <v>999</v>
      </c>
    </row>
    <row r="444" spans="1:6" ht="25" x14ac:dyDescent="0.25">
      <c r="A444" s="20">
        <v>102030</v>
      </c>
      <c r="B444" s="18" t="s">
        <v>1000</v>
      </c>
      <c r="C444" s="19" t="s">
        <v>66</v>
      </c>
      <c r="D444" s="20">
        <v>10</v>
      </c>
      <c r="E444" s="19" t="s">
        <v>82</v>
      </c>
      <c r="F444" s="19" t="s">
        <v>1001</v>
      </c>
    </row>
    <row r="445" spans="1:6" ht="25" x14ac:dyDescent="0.25">
      <c r="A445" s="20">
        <v>102032</v>
      </c>
      <c r="B445" s="18" t="s">
        <v>1002</v>
      </c>
      <c r="C445" s="19" t="s">
        <v>66</v>
      </c>
      <c r="D445" s="20">
        <v>10</v>
      </c>
      <c r="E445" s="19" t="s">
        <v>82</v>
      </c>
      <c r="F445" s="19" t="s">
        <v>1003</v>
      </c>
    </row>
    <row r="446" spans="1:6" ht="37.5" x14ac:dyDescent="0.25">
      <c r="A446" s="20">
        <v>102109</v>
      </c>
      <c r="B446" s="18" t="s">
        <v>1004</v>
      </c>
      <c r="C446" s="19" t="s">
        <v>66</v>
      </c>
      <c r="D446" s="20">
        <v>10</v>
      </c>
      <c r="E446" s="19" t="s">
        <v>82</v>
      </c>
      <c r="F446" s="19" t="s">
        <v>1005</v>
      </c>
    </row>
    <row r="447" spans="1:6" ht="25" x14ac:dyDescent="0.25">
      <c r="A447" s="20">
        <v>102221</v>
      </c>
      <c r="B447" s="18" t="s">
        <v>1006</v>
      </c>
      <c r="C447" s="19" t="s">
        <v>66</v>
      </c>
      <c r="D447" s="20">
        <v>7</v>
      </c>
      <c r="E447" s="19" t="s">
        <v>82</v>
      </c>
      <c r="F447" s="19" t="s">
        <v>1007</v>
      </c>
    </row>
    <row r="448" spans="1:6" ht="62.5" x14ac:dyDescent="0.25">
      <c r="A448" s="20">
        <v>102273</v>
      </c>
      <c r="B448" s="18" t="s">
        <v>1008</v>
      </c>
      <c r="C448" s="19" t="s">
        <v>66</v>
      </c>
      <c r="D448" s="20">
        <v>12</v>
      </c>
      <c r="E448" s="19" t="s">
        <v>82</v>
      </c>
      <c r="F448" s="19" t="s">
        <v>634</v>
      </c>
    </row>
    <row r="449" spans="1:6" ht="37.5" x14ac:dyDescent="0.25">
      <c r="A449" s="20">
        <v>102516</v>
      </c>
      <c r="B449" s="18" t="s">
        <v>635</v>
      </c>
      <c r="C449" s="19" t="s">
        <v>66</v>
      </c>
      <c r="D449" s="20">
        <v>10</v>
      </c>
      <c r="E449" s="19" t="s">
        <v>82</v>
      </c>
      <c r="F449" s="19" t="s">
        <v>636</v>
      </c>
    </row>
    <row r="450" spans="1:6" ht="25" x14ac:dyDescent="0.25">
      <c r="A450" s="20">
        <v>102582</v>
      </c>
      <c r="B450" s="18" t="s">
        <v>637</v>
      </c>
      <c r="C450" s="19" t="s">
        <v>66</v>
      </c>
      <c r="D450" s="20">
        <v>14</v>
      </c>
      <c r="E450" s="19" t="s">
        <v>82</v>
      </c>
      <c r="F450" s="19" t="s">
        <v>638</v>
      </c>
    </row>
    <row r="451" spans="1:6" ht="50" x14ac:dyDescent="0.25">
      <c r="A451" s="20">
        <v>103028</v>
      </c>
      <c r="B451" s="18" t="s">
        <v>639</v>
      </c>
      <c r="C451" s="19" t="s">
        <v>789</v>
      </c>
      <c r="D451" s="20">
        <v>12</v>
      </c>
      <c r="E451" s="19" t="s">
        <v>82</v>
      </c>
      <c r="F451" s="19" t="s">
        <v>640</v>
      </c>
    </row>
    <row r="452" spans="1:6" ht="62.5" x14ac:dyDescent="0.25">
      <c r="A452" s="20">
        <v>103053</v>
      </c>
      <c r="B452" s="18" t="s">
        <v>641</v>
      </c>
      <c r="C452" s="19" t="s">
        <v>789</v>
      </c>
      <c r="D452" s="20">
        <v>2</v>
      </c>
      <c r="E452" s="19" t="s">
        <v>82</v>
      </c>
      <c r="F452" s="19" t="s">
        <v>642</v>
      </c>
    </row>
    <row r="453" spans="1:6" ht="25" x14ac:dyDescent="0.25">
      <c r="A453" s="20">
        <v>103123</v>
      </c>
      <c r="B453" s="18" t="s">
        <v>643</v>
      </c>
      <c r="C453" s="19" t="s">
        <v>789</v>
      </c>
      <c r="D453" s="20">
        <v>23</v>
      </c>
      <c r="E453" s="19" t="s">
        <v>82</v>
      </c>
      <c r="F453" s="19" t="s">
        <v>644</v>
      </c>
    </row>
    <row r="454" spans="1:6" ht="25" x14ac:dyDescent="0.25">
      <c r="A454" s="20">
        <v>103126</v>
      </c>
      <c r="B454" s="18" t="s">
        <v>645</v>
      </c>
      <c r="C454" s="19" t="s">
        <v>789</v>
      </c>
      <c r="D454" s="20">
        <v>15</v>
      </c>
      <c r="E454" s="19" t="s">
        <v>82</v>
      </c>
      <c r="F454" s="19" t="s">
        <v>646</v>
      </c>
    </row>
    <row r="455" spans="1:6" ht="25" x14ac:dyDescent="0.25">
      <c r="A455" s="20">
        <v>103151</v>
      </c>
      <c r="B455" s="18" t="s">
        <v>647</v>
      </c>
      <c r="C455" s="19" t="s">
        <v>789</v>
      </c>
      <c r="D455" s="20">
        <v>4</v>
      </c>
      <c r="E455" s="19" t="s">
        <v>82</v>
      </c>
      <c r="F455" s="19" t="s">
        <v>648</v>
      </c>
    </row>
    <row r="456" spans="1:6" ht="25" x14ac:dyDescent="0.25">
      <c r="A456" s="20">
        <v>103214</v>
      </c>
      <c r="B456" s="18" t="s">
        <v>649</v>
      </c>
      <c r="C456" s="19" t="s">
        <v>789</v>
      </c>
      <c r="D456" s="20">
        <v>11</v>
      </c>
      <c r="E456" s="19" t="s">
        <v>82</v>
      </c>
      <c r="F456" s="19" t="s">
        <v>650</v>
      </c>
    </row>
    <row r="457" spans="1:6" ht="25" x14ac:dyDescent="0.25">
      <c r="A457" s="20">
        <v>103223</v>
      </c>
      <c r="B457" s="18" t="s">
        <v>651</v>
      </c>
      <c r="C457" s="19" t="s">
        <v>789</v>
      </c>
      <c r="D457" s="20">
        <v>16</v>
      </c>
      <c r="E457" s="19" t="s">
        <v>82</v>
      </c>
      <c r="F457" s="19" t="s">
        <v>652</v>
      </c>
    </row>
    <row r="458" spans="1:6" ht="25" x14ac:dyDescent="0.25">
      <c r="A458" s="20">
        <v>103208</v>
      </c>
      <c r="B458" s="18" t="s">
        <v>653</v>
      </c>
      <c r="C458" s="19" t="s">
        <v>789</v>
      </c>
      <c r="D458" s="20">
        <v>4</v>
      </c>
      <c r="E458" s="19" t="s">
        <v>82</v>
      </c>
      <c r="F458" s="19" t="s">
        <v>654</v>
      </c>
    </row>
    <row r="459" spans="1:6" ht="62.5" x14ac:dyDescent="0.25">
      <c r="A459" s="20">
        <v>104459</v>
      </c>
      <c r="B459" s="18" t="s">
        <v>447</v>
      </c>
      <c r="C459" s="19" t="s">
        <v>785</v>
      </c>
      <c r="D459" s="20">
        <v>5</v>
      </c>
      <c r="E459" s="19" t="s">
        <v>82</v>
      </c>
      <c r="F459" s="19" t="s">
        <v>448</v>
      </c>
    </row>
    <row r="460" spans="1:6" ht="25" x14ac:dyDescent="0.25">
      <c r="A460" s="20">
        <v>104551</v>
      </c>
      <c r="B460" s="18" t="s">
        <v>449</v>
      </c>
      <c r="C460" s="19" t="s">
        <v>785</v>
      </c>
      <c r="D460" s="20">
        <v>5</v>
      </c>
      <c r="E460" s="19" t="s">
        <v>82</v>
      </c>
      <c r="F460" s="19" t="s">
        <v>450</v>
      </c>
    </row>
    <row r="461" spans="1:6" ht="62.5" x14ac:dyDescent="0.25">
      <c r="A461" s="20">
        <v>104823</v>
      </c>
      <c r="B461" s="18" t="s">
        <v>451</v>
      </c>
      <c r="C461" s="19" t="s">
        <v>785</v>
      </c>
      <c r="D461" s="20">
        <v>13</v>
      </c>
      <c r="E461" s="19" t="s">
        <v>82</v>
      </c>
      <c r="F461" s="19" t="s">
        <v>452</v>
      </c>
    </row>
    <row r="462" spans="1:6" ht="37.5" x14ac:dyDescent="0.25">
      <c r="A462" s="20">
        <v>104828</v>
      </c>
      <c r="B462" s="18" t="s">
        <v>453</v>
      </c>
      <c r="C462" s="19" t="s">
        <v>785</v>
      </c>
      <c r="D462" s="20">
        <v>8</v>
      </c>
      <c r="E462" s="19" t="s">
        <v>82</v>
      </c>
      <c r="F462" s="19" t="s">
        <v>454</v>
      </c>
    </row>
    <row r="463" spans="1:6" ht="25" x14ac:dyDescent="0.25">
      <c r="A463" s="20">
        <v>104840</v>
      </c>
      <c r="B463" s="18" t="s">
        <v>455</v>
      </c>
      <c r="C463" s="19" t="s">
        <v>785</v>
      </c>
      <c r="D463" s="20">
        <v>24</v>
      </c>
      <c r="E463" s="19" t="s">
        <v>82</v>
      </c>
      <c r="F463" s="19" t="s">
        <v>456</v>
      </c>
    </row>
    <row r="464" spans="1:6" ht="25" x14ac:dyDescent="0.25">
      <c r="A464" s="20">
        <v>104794</v>
      </c>
      <c r="B464" s="18" t="s">
        <v>457</v>
      </c>
      <c r="C464" s="19" t="s">
        <v>785</v>
      </c>
      <c r="D464" s="20">
        <v>14</v>
      </c>
      <c r="E464" s="19" t="s">
        <v>82</v>
      </c>
      <c r="F464" s="19" t="s">
        <v>458</v>
      </c>
    </row>
    <row r="465" spans="1:6" ht="25" x14ac:dyDescent="0.25">
      <c r="A465" s="20">
        <v>104910</v>
      </c>
      <c r="B465" s="18" t="s">
        <v>459</v>
      </c>
      <c r="C465" s="19" t="s">
        <v>785</v>
      </c>
      <c r="D465" s="20">
        <v>28</v>
      </c>
      <c r="E465" s="19" t="s">
        <v>82</v>
      </c>
      <c r="F465" s="19" t="s">
        <v>460</v>
      </c>
    </row>
    <row r="466" spans="1:6" ht="62.5" x14ac:dyDescent="0.25">
      <c r="A466" s="20">
        <v>104912</v>
      </c>
      <c r="B466" s="18" t="s">
        <v>461</v>
      </c>
      <c r="C466" s="19" t="s">
        <v>785</v>
      </c>
      <c r="D466" s="20">
        <v>29</v>
      </c>
      <c r="E466" s="19" t="s">
        <v>82</v>
      </c>
      <c r="F466" s="19" t="s">
        <v>462</v>
      </c>
    </row>
    <row r="467" spans="1:6" ht="37.5" x14ac:dyDescent="0.25">
      <c r="A467" s="20">
        <v>104926</v>
      </c>
      <c r="B467" s="18" t="s">
        <v>463</v>
      </c>
      <c r="C467" s="19" t="s">
        <v>785</v>
      </c>
      <c r="D467" s="20">
        <v>37</v>
      </c>
      <c r="E467" s="19" t="s">
        <v>82</v>
      </c>
      <c r="F467" s="19" t="s">
        <v>464</v>
      </c>
    </row>
    <row r="468" spans="1:6" ht="37.5" x14ac:dyDescent="0.25">
      <c r="A468" s="20">
        <v>104898</v>
      </c>
      <c r="B468" s="18" t="s">
        <v>465</v>
      </c>
      <c r="C468" s="19" t="s">
        <v>785</v>
      </c>
      <c r="D468" s="20">
        <v>7</v>
      </c>
      <c r="E468" s="19" t="s">
        <v>82</v>
      </c>
      <c r="F468" s="19" t="s">
        <v>466</v>
      </c>
    </row>
    <row r="469" spans="1:6" ht="25" x14ac:dyDescent="0.25">
      <c r="A469" s="20">
        <v>104997</v>
      </c>
      <c r="B469" s="18" t="s">
        <v>467</v>
      </c>
      <c r="C469" s="19" t="s">
        <v>785</v>
      </c>
      <c r="D469" s="20">
        <v>3</v>
      </c>
      <c r="E469" s="19" t="s">
        <v>82</v>
      </c>
      <c r="F469" s="19" t="s">
        <v>468</v>
      </c>
    </row>
    <row r="470" spans="1:6" ht="62.5" x14ac:dyDescent="0.25">
      <c r="A470" s="20">
        <v>105074</v>
      </c>
      <c r="B470" s="18" t="s">
        <v>469</v>
      </c>
      <c r="C470" s="19" t="s">
        <v>785</v>
      </c>
      <c r="D470" s="20">
        <v>5</v>
      </c>
      <c r="E470" s="19" t="s">
        <v>82</v>
      </c>
      <c r="F470" s="19" t="s">
        <v>470</v>
      </c>
    </row>
    <row r="471" spans="1:6" ht="25" x14ac:dyDescent="0.25">
      <c r="A471" s="20">
        <v>105207</v>
      </c>
      <c r="B471" s="18" t="s">
        <v>471</v>
      </c>
      <c r="C471" s="19" t="s">
        <v>785</v>
      </c>
      <c r="D471" s="20">
        <v>31</v>
      </c>
      <c r="E471" s="19" t="s">
        <v>82</v>
      </c>
      <c r="F471" s="19" t="s">
        <v>472</v>
      </c>
    </row>
    <row r="472" spans="1:6" ht="50" x14ac:dyDescent="0.25">
      <c r="A472" s="20">
        <v>105594</v>
      </c>
      <c r="B472" s="18" t="s">
        <v>473</v>
      </c>
      <c r="C472" s="19" t="s">
        <v>60</v>
      </c>
      <c r="D472" s="20">
        <v>22</v>
      </c>
      <c r="E472" s="19" t="s">
        <v>82</v>
      </c>
      <c r="F472" s="19" t="s">
        <v>474</v>
      </c>
    </row>
    <row r="473" spans="1:6" ht="25" x14ac:dyDescent="0.25">
      <c r="A473" s="20">
        <v>105676</v>
      </c>
      <c r="B473" s="18" t="s">
        <v>475</v>
      </c>
      <c r="C473" s="19" t="s">
        <v>60</v>
      </c>
      <c r="D473" s="20">
        <v>27</v>
      </c>
      <c r="E473" s="19" t="s">
        <v>82</v>
      </c>
      <c r="F473" s="19" t="s">
        <v>476</v>
      </c>
    </row>
    <row r="474" spans="1:6" ht="25" x14ac:dyDescent="0.25">
      <c r="A474" s="20">
        <v>105824</v>
      </c>
      <c r="B474" s="18" t="s">
        <v>477</v>
      </c>
      <c r="C474" s="19" t="s">
        <v>60</v>
      </c>
      <c r="D474" s="20">
        <v>5</v>
      </c>
      <c r="E474" s="19" t="s">
        <v>82</v>
      </c>
      <c r="F474" s="19" t="s">
        <v>478</v>
      </c>
    </row>
    <row r="475" spans="1:6" ht="37.5" x14ac:dyDescent="0.25">
      <c r="A475" s="20">
        <v>105968</v>
      </c>
      <c r="B475" s="18" t="s">
        <v>479</v>
      </c>
      <c r="C475" s="19" t="s">
        <v>60</v>
      </c>
      <c r="D475" s="20">
        <v>3</v>
      </c>
      <c r="E475" s="19" t="s">
        <v>82</v>
      </c>
      <c r="F475" s="19" t="s">
        <v>480</v>
      </c>
    </row>
    <row r="476" spans="1:6" ht="25" x14ac:dyDescent="0.25">
      <c r="A476" s="20">
        <v>106031</v>
      </c>
      <c r="B476" s="18" t="s">
        <v>481</v>
      </c>
      <c r="C476" s="19" t="s">
        <v>60</v>
      </c>
      <c r="D476" s="20">
        <v>27</v>
      </c>
      <c r="E476" s="19" t="s">
        <v>82</v>
      </c>
      <c r="F476" s="19" t="s">
        <v>482</v>
      </c>
    </row>
    <row r="477" spans="1:6" ht="25" x14ac:dyDescent="0.25">
      <c r="A477" s="20">
        <v>106034</v>
      </c>
      <c r="B477" s="18" t="s">
        <v>483</v>
      </c>
      <c r="C477" s="19" t="s">
        <v>60</v>
      </c>
      <c r="D477" s="20">
        <v>11</v>
      </c>
      <c r="E477" s="19" t="s">
        <v>82</v>
      </c>
      <c r="F477" s="19" t="s">
        <v>484</v>
      </c>
    </row>
    <row r="478" spans="1:6" ht="25" x14ac:dyDescent="0.25">
      <c r="A478" s="20">
        <v>106102</v>
      </c>
      <c r="B478" s="18" t="s">
        <v>485</v>
      </c>
      <c r="C478" s="19" t="s">
        <v>60</v>
      </c>
      <c r="D478" s="20">
        <v>0</v>
      </c>
      <c r="E478" s="19" t="s">
        <v>82</v>
      </c>
      <c r="F478" s="19" t="s">
        <v>486</v>
      </c>
    </row>
    <row r="479" spans="1:6" ht="25" x14ac:dyDescent="0.25">
      <c r="A479" s="20">
        <v>106663</v>
      </c>
      <c r="B479" s="18" t="s">
        <v>487</v>
      </c>
      <c r="C479" s="19" t="s">
        <v>787</v>
      </c>
      <c r="D479" s="20">
        <v>31</v>
      </c>
      <c r="E479" s="19" t="s">
        <v>82</v>
      </c>
      <c r="F479" s="19" t="s">
        <v>488</v>
      </c>
    </row>
    <row r="480" spans="1:6" ht="25" x14ac:dyDescent="0.25">
      <c r="A480" s="20">
        <v>106637</v>
      </c>
      <c r="B480" s="18" t="s">
        <v>489</v>
      </c>
      <c r="C480" s="19" t="s">
        <v>787</v>
      </c>
      <c r="D480" s="20">
        <v>7</v>
      </c>
      <c r="E480" s="19" t="s">
        <v>82</v>
      </c>
      <c r="F480" s="19" t="s">
        <v>490</v>
      </c>
    </row>
    <row r="481" spans="1:6" ht="25" x14ac:dyDescent="0.25">
      <c r="A481" s="20">
        <v>106735</v>
      </c>
      <c r="B481" s="18" t="s">
        <v>491</v>
      </c>
      <c r="C481" s="19" t="s">
        <v>787</v>
      </c>
      <c r="D481" s="20">
        <v>15</v>
      </c>
      <c r="E481" s="19" t="s">
        <v>82</v>
      </c>
      <c r="F481" s="19" t="s">
        <v>492</v>
      </c>
    </row>
    <row r="482" spans="1:6" ht="25" x14ac:dyDescent="0.25">
      <c r="A482" s="20">
        <v>106758</v>
      </c>
      <c r="B482" s="18" t="s">
        <v>493</v>
      </c>
      <c r="C482" s="19" t="s">
        <v>787</v>
      </c>
      <c r="D482" s="20">
        <v>6</v>
      </c>
      <c r="E482" s="19" t="s">
        <v>82</v>
      </c>
      <c r="F482" s="19" t="s">
        <v>494</v>
      </c>
    </row>
    <row r="483" spans="1:6" ht="25" x14ac:dyDescent="0.25">
      <c r="A483" s="20">
        <v>106814</v>
      </c>
      <c r="B483" s="18" t="s">
        <v>495</v>
      </c>
      <c r="C483" s="19" t="s">
        <v>787</v>
      </c>
      <c r="D483" s="20">
        <v>22</v>
      </c>
      <c r="E483" s="19" t="s">
        <v>82</v>
      </c>
      <c r="F483" s="19" t="s">
        <v>496</v>
      </c>
    </row>
    <row r="484" spans="1:6" ht="25" x14ac:dyDescent="0.25">
      <c r="A484" s="20">
        <v>106875</v>
      </c>
      <c r="B484" s="18" t="s">
        <v>497</v>
      </c>
      <c r="C484" s="19" t="s">
        <v>787</v>
      </c>
      <c r="D484" s="20">
        <v>1</v>
      </c>
      <c r="E484" s="19" t="s">
        <v>82</v>
      </c>
      <c r="F484" s="19" t="s">
        <v>498</v>
      </c>
    </row>
    <row r="485" spans="1:6" ht="25" x14ac:dyDescent="0.25">
      <c r="A485" s="20">
        <v>106929</v>
      </c>
      <c r="B485" s="18" t="s">
        <v>499</v>
      </c>
      <c r="C485" s="19" t="s">
        <v>787</v>
      </c>
      <c r="D485" s="20">
        <v>11</v>
      </c>
      <c r="E485" s="19" t="s">
        <v>82</v>
      </c>
      <c r="F485" s="19" t="s">
        <v>500</v>
      </c>
    </row>
    <row r="486" spans="1:6" ht="37.5" x14ac:dyDescent="0.25">
      <c r="A486" s="20">
        <v>107164</v>
      </c>
      <c r="B486" s="18" t="s">
        <v>501</v>
      </c>
      <c r="C486" s="19" t="s">
        <v>787</v>
      </c>
      <c r="D486" s="20">
        <v>16</v>
      </c>
      <c r="E486" s="19" t="s">
        <v>82</v>
      </c>
      <c r="F486" s="19" t="s">
        <v>502</v>
      </c>
    </row>
    <row r="487" spans="1:6" ht="25" x14ac:dyDescent="0.25">
      <c r="A487" s="20">
        <v>107603</v>
      </c>
      <c r="B487" s="18" t="s">
        <v>503</v>
      </c>
      <c r="C487" s="19" t="s">
        <v>66</v>
      </c>
      <c r="D487" s="20">
        <v>5</v>
      </c>
      <c r="E487" s="19" t="s">
        <v>82</v>
      </c>
      <c r="F487" s="19" t="s">
        <v>504</v>
      </c>
    </row>
    <row r="488" spans="1:6" ht="62.5" x14ac:dyDescent="0.25">
      <c r="A488" s="20">
        <v>107635</v>
      </c>
      <c r="B488" s="18" t="s">
        <v>505</v>
      </c>
      <c r="C488" s="19" t="s">
        <v>66</v>
      </c>
      <c r="D488" s="20">
        <v>8</v>
      </c>
      <c r="E488" s="19" t="s">
        <v>82</v>
      </c>
      <c r="F488" s="19" t="s">
        <v>506</v>
      </c>
    </row>
    <row r="489" spans="1:6" ht="37.5" x14ac:dyDescent="0.25">
      <c r="A489" s="20">
        <v>107765</v>
      </c>
      <c r="B489" s="18" t="s">
        <v>507</v>
      </c>
      <c r="C489" s="19" t="s">
        <v>66</v>
      </c>
      <c r="D489" s="20">
        <v>24</v>
      </c>
      <c r="E489" s="19" t="s">
        <v>82</v>
      </c>
      <c r="F489" s="19" t="s">
        <v>508</v>
      </c>
    </row>
    <row r="490" spans="1:6" ht="50" x14ac:dyDescent="0.25">
      <c r="A490" s="20">
        <v>108000</v>
      </c>
      <c r="B490" s="18" t="s">
        <v>509</v>
      </c>
      <c r="C490" s="19" t="s">
        <v>66</v>
      </c>
      <c r="D490" s="20">
        <v>3</v>
      </c>
      <c r="E490" s="19" t="s">
        <v>82</v>
      </c>
      <c r="F490" s="19" t="s">
        <v>510</v>
      </c>
    </row>
    <row r="491" spans="1:6" ht="25" x14ac:dyDescent="0.25">
      <c r="A491" s="20">
        <v>108371</v>
      </c>
      <c r="B491" s="18" t="s">
        <v>511</v>
      </c>
      <c r="C491" s="19" t="s">
        <v>66</v>
      </c>
      <c r="D491" s="20">
        <v>4</v>
      </c>
      <c r="E491" s="19" t="s">
        <v>82</v>
      </c>
      <c r="F491" s="19" t="s">
        <v>512</v>
      </c>
    </row>
    <row r="492" spans="1:6" ht="25" x14ac:dyDescent="0.25">
      <c r="A492" s="20">
        <v>108374</v>
      </c>
      <c r="B492" s="18" t="s">
        <v>513</v>
      </c>
      <c r="C492" s="19" t="s">
        <v>66</v>
      </c>
      <c r="D492" s="20">
        <v>4</v>
      </c>
      <c r="E492" s="19" t="s">
        <v>82</v>
      </c>
      <c r="F492" s="19" t="s">
        <v>514</v>
      </c>
    </row>
    <row r="493" spans="1:6" ht="25" x14ac:dyDescent="0.25">
      <c r="A493" s="20">
        <v>108308</v>
      </c>
      <c r="B493" s="18" t="s">
        <v>515</v>
      </c>
      <c r="C493" s="19" t="s">
        <v>66</v>
      </c>
      <c r="D493" s="20">
        <v>0</v>
      </c>
      <c r="E493" s="19" t="s">
        <v>82</v>
      </c>
      <c r="F493" s="19" t="s">
        <v>516</v>
      </c>
    </row>
    <row r="494" spans="1:6" ht="25" x14ac:dyDescent="0.25">
      <c r="A494" s="20">
        <v>109639</v>
      </c>
      <c r="B494" s="18" t="s">
        <v>517</v>
      </c>
      <c r="C494" s="19" t="s">
        <v>789</v>
      </c>
      <c r="D494" s="20">
        <v>11</v>
      </c>
      <c r="E494" s="19" t="s">
        <v>82</v>
      </c>
      <c r="F494" s="19" t="s">
        <v>518</v>
      </c>
    </row>
    <row r="495" spans="1:6" ht="25" x14ac:dyDescent="0.25">
      <c r="A495" s="20">
        <v>109694</v>
      </c>
      <c r="B495" s="18" t="s">
        <v>519</v>
      </c>
      <c r="C495" s="19" t="s">
        <v>789</v>
      </c>
      <c r="D495" s="20">
        <v>16</v>
      </c>
      <c r="E495" s="19" t="s">
        <v>82</v>
      </c>
      <c r="F495" s="19" t="s">
        <v>520</v>
      </c>
    </row>
    <row r="496" spans="1:6" ht="37.5" x14ac:dyDescent="0.25">
      <c r="A496" s="20">
        <v>109713</v>
      </c>
      <c r="B496" s="18" t="s">
        <v>521</v>
      </c>
      <c r="C496" s="19" t="s">
        <v>789</v>
      </c>
      <c r="D496" s="20">
        <v>20</v>
      </c>
      <c r="E496" s="19" t="s">
        <v>82</v>
      </c>
      <c r="F496" s="19" t="s">
        <v>522</v>
      </c>
    </row>
    <row r="497" spans="1:6" ht="25" x14ac:dyDescent="0.25">
      <c r="A497" s="20">
        <v>111341</v>
      </c>
      <c r="B497" s="18" t="s">
        <v>689</v>
      </c>
      <c r="C497" s="19" t="s">
        <v>785</v>
      </c>
      <c r="D497" s="20">
        <v>18</v>
      </c>
      <c r="E497" s="19" t="s">
        <v>82</v>
      </c>
      <c r="F497" s="19" t="s">
        <v>690</v>
      </c>
    </row>
    <row r="498" spans="1:6" ht="25" x14ac:dyDescent="0.25">
      <c r="A498" s="20">
        <v>111300</v>
      </c>
      <c r="B498" s="18" t="s">
        <v>691</v>
      </c>
      <c r="C498" s="19" t="s">
        <v>785</v>
      </c>
      <c r="D498" s="20">
        <v>4</v>
      </c>
      <c r="E498" s="19" t="s">
        <v>82</v>
      </c>
      <c r="F498" s="19" t="s">
        <v>692</v>
      </c>
    </row>
    <row r="499" spans="1:6" ht="25" x14ac:dyDescent="0.25">
      <c r="A499" s="20">
        <v>111504</v>
      </c>
      <c r="B499" s="18" t="s">
        <v>693</v>
      </c>
      <c r="C499" s="19" t="s">
        <v>785</v>
      </c>
      <c r="D499" s="20">
        <v>7</v>
      </c>
      <c r="E499" s="19" t="s">
        <v>82</v>
      </c>
      <c r="F499" s="19" t="s">
        <v>694</v>
      </c>
    </row>
    <row r="500" spans="1:6" ht="25" x14ac:dyDescent="0.25">
      <c r="A500" s="20">
        <v>111518</v>
      </c>
      <c r="B500" s="18" t="s">
        <v>695</v>
      </c>
      <c r="C500" s="19" t="s">
        <v>785</v>
      </c>
      <c r="D500" s="20">
        <v>7</v>
      </c>
      <c r="E500" s="19" t="s">
        <v>82</v>
      </c>
      <c r="F500" s="19" t="s">
        <v>696</v>
      </c>
    </row>
    <row r="501" spans="1:6" ht="37.5" x14ac:dyDescent="0.25">
      <c r="A501" s="20">
        <v>111521</v>
      </c>
      <c r="B501" s="18" t="s">
        <v>697</v>
      </c>
      <c r="C501" s="19" t="s">
        <v>785</v>
      </c>
      <c r="D501" s="20">
        <v>3</v>
      </c>
      <c r="E501" s="19" t="s">
        <v>82</v>
      </c>
      <c r="F501" s="19" t="s">
        <v>698</v>
      </c>
    </row>
    <row r="502" spans="1:6" ht="37.5" x14ac:dyDescent="0.25">
      <c r="A502" s="20">
        <v>111554</v>
      </c>
      <c r="B502" s="18" t="s">
        <v>699</v>
      </c>
      <c r="C502" s="19" t="s">
        <v>785</v>
      </c>
      <c r="D502" s="20">
        <v>3</v>
      </c>
      <c r="E502" s="19" t="s">
        <v>82</v>
      </c>
      <c r="F502" s="19" t="s">
        <v>700</v>
      </c>
    </row>
    <row r="503" spans="1:6" ht="25" x14ac:dyDescent="0.25">
      <c r="A503" s="20">
        <v>111564</v>
      </c>
      <c r="B503" s="18" t="s">
        <v>701</v>
      </c>
      <c r="C503" s="19" t="s">
        <v>785</v>
      </c>
      <c r="D503" s="20">
        <v>4</v>
      </c>
      <c r="E503" s="19" t="s">
        <v>82</v>
      </c>
      <c r="F503" s="19" t="s">
        <v>702</v>
      </c>
    </row>
    <row r="504" spans="1:6" ht="25" x14ac:dyDescent="0.25">
      <c r="A504" s="20">
        <v>111590</v>
      </c>
      <c r="B504" s="18" t="s">
        <v>703</v>
      </c>
      <c r="C504" s="19" t="s">
        <v>785</v>
      </c>
      <c r="D504" s="20">
        <v>6</v>
      </c>
      <c r="E504" s="19" t="s">
        <v>82</v>
      </c>
      <c r="F504" s="19" t="s">
        <v>853</v>
      </c>
    </row>
    <row r="505" spans="1:6" ht="25" x14ac:dyDescent="0.25">
      <c r="A505" s="20">
        <v>111706</v>
      </c>
      <c r="B505" s="18" t="s">
        <v>854</v>
      </c>
      <c r="C505" s="19" t="s">
        <v>785</v>
      </c>
      <c r="D505" s="20">
        <v>5</v>
      </c>
      <c r="E505" s="19" t="s">
        <v>82</v>
      </c>
      <c r="F505" s="19" t="s">
        <v>855</v>
      </c>
    </row>
    <row r="506" spans="1:6" ht="37.5" x14ac:dyDescent="0.25">
      <c r="A506" s="20">
        <v>111702</v>
      </c>
      <c r="B506" s="18" t="s">
        <v>856</v>
      </c>
      <c r="C506" s="19" t="s">
        <v>785</v>
      </c>
      <c r="D506" s="20">
        <v>0</v>
      </c>
      <c r="E506" s="19" t="s">
        <v>82</v>
      </c>
      <c r="F506" s="19" t="s">
        <v>857</v>
      </c>
    </row>
    <row r="507" spans="1:6" ht="25" x14ac:dyDescent="0.25">
      <c r="A507" s="20">
        <v>111716</v>
      </c>
      <c r="B507" s="18" t="s">
        <v>858</v>
      </c>
      <c r="C507" s="19" t="s">
        <v>785</v>
      </c>
      <c r="D507" s="20">
        <v>6</v>
      </c>
      <c r="E507" s="19" t="s">
        <v>82</v>
      </c>
      <c r="F507" s="19" t="s">
        <v>859</v>
      </c>
    </row>
    <row r="508" spans="1:6" ht="37.5" x14ac:dyDescent="0.25">
      <c r="A508" s="20">
        <v>111722</v>
      </c>
      <c r="B508" s="18" t="s">
        <v>860</v>
      </c>
      <c r="C508" s="19" t="s">
        <v>785</v>
      </c>
      <c r="D508" s="20">
        <v>12</v>
      </c>
      <c r="E508" s="19" t="s">
        <v>82</v>
      </c>
      <c r="F508" s="19" t="s">
        <v>861</v>
      </c>
    </row>
    <row r="509" spans="1:6" ht="50" x14ac:dyDescent="0.25">
      <c r="A509" s="20">
        <v>112263</v>
      </c>
      <c r="B509" s="18" t="s">
        <v>862</v>
      </c>
      <c r="C509" s="19" t="s">
        <v>60</v>
      </c>
      <c r="D509" s="20">
        <v>12</v>
      </c>
      <c r="E509" s="19" t="s">
        <v>82</v>
      </c>
      <c r="F509" s="19" t="s">
        <v>863</v>
      </c>
    </row>
    <row r="510" spans="1:6" ht="25" x14ac:dyDescent="0.25">
      <c r="A510" s="20">
        <v>112264</v>
      </c>
      <c r="B510" s="18" t="s">
        <v>864</v>
      </c>
      <c r="C510" s="19" t="s">
        <v>60</v>
      </c>
      <c r="D510" s="20">
        <v>9</v>
      </c>
      <c r="E510" s="19" t="s">
        <v>82</v>
      </c>
      <c r="F510" s="19" t="s">
        <v>865</v>
      </c>
    </row>
    <row r="511" spans="1:6" ht="37.5" x14ac:dyDescent="0.25">
      <c r="A511" s="20">
        <v>112270</v>
      </c>
      <c r="B511" s="18" t="s">
        <v>866</v>
      </c>
      <c r="C511" s="19" t="s">
        <v>60</v>
      </c>
      <c r="D511" s="20">
        <v>2</v>
      </c>
      <c r="E511" s="19" t="s">
        <v>82</v>
      </c>
      <c r="F511" s="19" t="s">
        <v>867</v>
      </c>
    </row>
    <row r="512" spans="1:6" ht="25" x14ac:dyDescent="0.25">
      <c r="A512" s="20">
        <v>112312</v>
      </c>
      <c r="B512" s="18" t="s">
        <v>868</v>
      </c>
      <c r="C512" s="19" t="s">
        <v>60</v>
      </c>
      <c r="D512" s="20">
        <v>34</v>
      </c>
      <c r="E512" s="19" t="s">
        <v>82</v>
      </c>
      <c r="F512" s="19" t="s">
        <v>869</v>
      </c>
    </row>
    <row r="513" spans="1:6" ht="25" x14ac:dyDescent="0.25">
      <c r="A513" s="20">
        <v>112308</v>
      </c>
      <c r="B513" s="18" t="s">
        <v>870</v>
      </c>
      <c r="C513" s="19" t="s">
        <v>60</v>
      </c>
      <c r="D513" s="20">
        <v>8</v>
      </c>
      <c r="E513" s="19" t="s">
        <v>82</v>
      </c>
      <c r="F513" s="19" t="s">
        <v>871</v>
      </c>
    </row>
    <row r="514" spans="1:6" ht="37.5" x14ac:dyDescent="0.25">
      <c r="A514" s="20">
        <v>112337</v>
      </c>
      <c r="B514" s="18" t="s">
        <v>872</v>
      </c>
      <c r="C514" s="19" t="s">
        <v>60</v>
      </c>
      <c r="D514" s="20">
        <v>4</v>
      </c>
      <c r="E514" s="19" t="s">
        <v>82</v>
      </c>
      <c r="F514" s="19" t="s">
        <v>873</v>
      </c>
    </row>
    <row r="515" spans="1:6" ht="37.5" x14ac:dyDescent="0.25">
      <c r="A515" s="20">
        <v>112381</v>
      </c>
      <c r="B515" s="18" t="s">
        <v>874</v>
      </c>
      <c r="C515" s="19" t="s">
        <v>60</v>
      </c>
      <c r="D515" s="20">
        <v>20</v>
      </c>
      <c r="E515" s="19" t="s">
        <v>82</v>
      </c>
      <c r="F515" s="19" t="s">
        <v>875</v>
      </c>
    </row>
    <row r="516" spans="1:6" ht="62.5" x14ac:dyDescent="0.25">
      <c r="A516" s="20">
        <v>112488</v>
      </c>
      <c r="B516" s="18" t="s">
        <v>876</v>
      </c>
      <c r="C516" s="19" t="s">
        <v>60</v>
      </c>
      <c r="D516" s="20">
        <v>8</v>
      </c>
      <c r="E516" s="19" t="s">
        <v>82</v>
      </c>
      <c r="F516" s="19" t="s">
        <v>877</v>
      </c>
    </row>
    <row r="517" spans="1:6" ht="62.5" x14ac:dyDescent="0.25">
      <c r="A517" s="20">
        <v>112489</v>
      </c>
      <c r="B517" s="18" t="s">
        <v>878</v>
      </c>
      <c r="C517" s="19" t="s">
        <v>60</v>
      </c>
      <c r="D517" s="20">
        <v>7</v>
      </c>
      <c r="E517" s="19" t="s">
        <v>82</v>
      </c>
      <c r="F517" s="19" t="s">
        <v>879</v>
      </c>
    </row>
    <row r="518" spans="1:6" ht="25" x14ac:dyDescent="0.25">
      <c r="A518" s="20">
        <v>112623</v>
      </c>
      <c r="B518" s="18" t="s">
        <v>880</v>
      </c>
      <c r="C518" s="19" t="s">
        <v>60</v>
      </c>
      <c r="D518" s="20">
        <v>6</v>
      </c>
      <c r="E518" s="19" t="s">
        <v>82</v>
      </c>
      <c r="F518" s="19" t="s">
        <v>881</v>
      </c>
    </row>
    <row r="519" spans="1:6" ht="37.5" x14ac:dyDescent="0.25">
      <c r="A519" s="20">
        <v>112696</v>
      </c>
      <c r="B519" s="18" t="s">
        <v>882</v>
      </c>
      <c r="C519" s="19" t="s">
        <v>60</v>
      </c>
      <c r="D519" s="20">
        <v>4</v>
      </c>
      <c r="E519" s="19" t="s">
        <v>82</v>
      </c>
      <c r="F519" s="19" t="s">
        <v>883</v>
      </c>
    </row>
    <row r="520" spans="1:6" ht="25" x14ac:dyDescent="0.25">
      <c r="A520" s="20">
        <v>112740</v>
      </c>
      <c r="B520" s="18" t="s">
        <v>884</v>
      </c>
      <c r="C520" s="19" t="s">
        <v>60</v>
      </c>
      <c r="D520" s="20">
        <v>9</v>
      </c>
      <c r="E520" s="19" t="s">
        <v>82</v>
      </c>
      <c r="F520" s="19" t="s">
        <v>885</v>
      </c>
    </row>
    <row r="521" spans="1:6" ht="25" x14ac:dyDescent="0.25">
      <c r="A521" s="20">
        <v>112808</v>
      </c>
      <c r="B521" s="18" t="s">
        <v>886</v>
      </c>
      <c r="C521" s="19" t="s">
        <v>60</v>
      </c>
      <c r="D521" s="20">
        <v>23</v>
      </c>
      <c r="E521" s="19" t="s">
        <v>82</v>
      </c>
      <c r="F521" s="19" t="s">
        <v>887</v>
      </c>
    </row>
    <row r="522" spans="1:6" ht="25" x14ac:dyDescent="0.25">
      <c r="A522" s="20">
        <v>112797</v>
      </c>
      <c r="B522" s="18" t="s">
        <v>888</v>
      </c>
      <c r="C522" s="19" t="s">
        <v>60</v>
      </c>
      <c r="D522" s="20">
        <v>6</v>
      </c>
      <c r="E522" s="19" t="s">
        <v>82</v>
      </c>
      <c r="F522" s="19" t="s">
        <v>889</v>
      </c>
    </row>
    <row r="523" spans="1:6" ht="37.5" x14ac:dyDescent="0.25">
      <c r="A523" s="20">
        <v>113118</v>
      </c>
      <c r="B523" s="18" t="s">
        <v>890</v>
      </c>
      <c r="C523" s="19" t="s">
        <v>787</v>
      </c>
      <c r="D523" s="20">
        <v>20</v>
      </c>
      <c r="E523" s="19" t="s">
        <v>82</v>
      </c>
      <c r="F523" s="19" t="s">
        <v>891</v>
      </c>
    </row>
    <row r="524" spans="1:6" ht="25" x14ac:dyDescent="0.25">
      <c r="A524" s="20">
        <v>113127</v>
      </c>
      <c r="B524" s="18" t="s">
        <v>892</v>
      </c>
      <c r="C524" s="19" t="s">
        <v>787</v>
      </c>
      <c r="D524" s="20">
        <v>4</v>
      </c>
      <c r="E524" s="19" t="s">
        <v>82</v>
      </c>
      <c r="F524" s="19" t="s">
        <v>893</v>
      </c>
    </row>
    <row r="525" spans="1:6" ht="37.5" x14ac:dyDescent="0.25">
      <c r="A525" s="20">
        <v>113214</v>
      </c>
      <c r="B525" s="18" t="s">
        <v>894</v>
      </c>
      <c r="C525" s="19" t="s">
        <v>787</v>
      </c>
      <c r="D525" s="20">
        <v>5</v>
      </c>
      <c r="E525" s="19" t="s">
        <v>82</v>
      </c>
      <c r="F525" s="19" t="s">
        <v>895</v>
      </c>
    </row>
    <row r="526" spans="1:6" ht="25" x14ac:dyDescent="0.25">
      <c r="A526" s="20">
        <v>113446</v>
      </c>
      <c r="B526" s="18" t="s">
        <v>896</v>
      </c>
      <c r="C526" s="19" t="s">
        <v>787</v>
      </c>
      <c r="D526" s="20">
        <v>3</v>
      </c>
      <c r="E526" s="19" t="s">
        <v>82</v>
      </c>
      <c r="F526" s="19" t="s">
        <v>897</v>
      </c>
    </row>
    <row r="527" spans="1:6" ht="25" x14ac:dyDescent="0.25">
      <c r="A527" s="20">
        <v>113533</v>
      </c>
      <c r="B527" s="18" t="s">
        <v>898</v>
      </c>
      <c r="C527" s="19" t="s">
        <v>787</v>
      </c>
      <c r="D527" s="20">
        <v>7</v>
      </c>
      <c r="E527" s="19" t="s">
        <v>82</v>
      </c>
      <c r="F527" s="19" t="s">
        <v>899</v>
      </c>
    </row>
    <row r="528" spans="1:6" ht="25" x14ac:dyDescent="0.25">
      <c r="A528" s="20">
        <v>115490</v>
      </c>
      <c r="B528" s="18" t="s">
        <v>1131</v>
      </c>
      <c r="C528" s="19" t="s">
        <v>785</v>
      </c>
      <c r="D528" s="20">
        <v>15</v>
      </c>
      <c r="E528" s="19" t="s">
        <v>82</v>
      </c>
      <c r="F528" s="19" t="s">
        <v>1132</v>
      </c>
    </row>
    <row r="529" spans="1:6" ht="25" x14ac:dyDescent="0.25">
      <c r="A529" s="20">
        <v>115487</v>
      </c>
      <c r="B529" s="18" t="s">
        <v>1133</v>
      </c>
      <c r="C529" s="19" t="s">
        <v>785</v>
      </c>
      <c r="D529" s="20">
        <v>1</v>
      </c>
      <c r="E529" s="19" t="s">
        <v>82</v>
      </c>
      <c r="F529" s="19" t="s">
        <v>1134</v>
      </c>
    </row>
    <row r="530" spans="1:6" ht="25" x14ac:dyDescent="0.25">
      <c r="A530" s="20">
        <v>115512</v>
      </c>
      <c r="B530" s="18" t="s">
        <v>1135</v>
      </c>
      <c r="C530" s="19" t="s">
        <v>785</v>
      </c>
      <c r="D530" s="20">
        <v>1</v>
      </c>
      <c r="E530" s="19" t="s">
        <v>82</v>
      </c>
      <c r="F530" s="19" t="s">
        <v>1136</v>
      </c>
    </row>
    <row r="531" spans="1:6" ht="50" x14ac:dyDescent="0.25">
      <c r="A531" s="20">
        <v>115801</v>
      </c>
      <c r="B531" s="18" t="s">
        <v>1137</v>
      </c>
      <c r="C531" s="19" t="s">
        <v>785</v>
      </c>
      <c r="D531" s="20">
        <v>17</v>
      </c>
      <c r="E531" s="19" t="s">
        <v>82</v>
      </c>
      <c r="F531" s="19" t="s">
        <v>1138</v>
      </c>
    </row>
    <row r="532" spans="1:6" ht="37.5" x14ac:dyDescent="0.25">
      <c r="A532" s="20">
        <v>115819</v>
      </c>
      <c r="B532" s="18" t="s">
        <v>1139</v>
      </c>
      <c r="C532" s="19" t="s">
        <v>785</v>
      </c>
      <c r="D532" s="20">
        <v>14</v>
      </c>
      <c r="E532" s="19" t="s">
        <v>82</v>
      </c>
      <c r="F532" s="19" t="s">
        <v>1140</v>
      </c>
    </row>
    <row r="533" spans="1:6" ht="25" x14ac:dyDescent="0.25">
      <c r="A533" s="20">
        <v>115960</v>
      </c>
      <c r="B533" s="18" t="s">
        <v>1141</v>
      </c>
      <c r="C533" s="19" t="s">
        <v>785</v>
      </c>
      <c r="D533" s="20">
        <v>7</v>
      </c>
      <c r="E533" s="19" t="s">
        <v>82</v>
      </c>
      <c r="F533" s="19" t="s">
        <v>1142</v>
      </c>
    </row>
    <row r="534" spans="1:6" ht="62.5" x14ac:dyDescent="0.25">
      <c r="A534" s="20">
        <v>116017</v>
      </c>
      <c r="B534" s="18" t="s">
        <v>1143</v>
      </c>
      <c r="C534" s="19" t="s">
        <v>785</v>
      </c>
      <c r="D534" s="20">
        <v>18</v>
      </c>
      <c r="E534" s="19" t="s">
        <v>82</v>
      </c>
      <c r="F534" s="19" t="s">
        <v>1144</v>
      </c>
    </row>
    <row r="535" spans="1:6" ht="25" x14ac:dyDescent="0.25">
      <c r="A535" s="20">
        <v>116114</v>
      </c>
      <c r="B535" s="18" t="s">
        <v>1145</v>
      </c>
      <c r="C535" s="19" t="s">
        <v>785</v>
      </c>
      <c r="D535" s="20">
        <v>9</v>
      </c>
      <c r="E535" s="19" t="s">
        <v>82</v>
      </c>
      <c r="F535" s="19" t="s">
        <v>1146</v>
      </c>
    </row>
    <row r="536" spans="1:6" ht="25" x14ac:dyDescent="0.25">
      <c r="A536" s="20">
        <v>116579</v>
      </c>
      <c r="B536" s="18" t="s">
        <v>1147</v>
      </c>
      <c r="C536" s="19" t="s">
        <v>60</v>
      </c>
      <c r="D536" s="20">
        <v>12</v>
      </c>
      <c r="E536" s="19" t="s">
        <v>82</v>
      </c>
      <c r="F536" s="19" t="s">
        <v>1148</v>
      </c>
    </row>
    <row r="537" spans="1:6" ht="25" x14ac:dyDescent="0.25">
      <c r="A537" s="20">
        <v>116589</v>
      </c>
      <c r="B537" s="18" t="s">
        <v>1149</v>
      </c>
      <c r="C537" s="19" t="s">
        <v>60</v>
      </c>
      <c r="D537" s="20">
        <v>3</v>
      </c>
      <c r="E537" s="19" t="s">
        <v>82</v>
      </c>
      <c r="F537" s="19" t="s">
        <v>1150</v>
      </c>
    </row>
    <row r="538" spans="1:6" ht="25" x14ac:dyDescent="0.25">
      <c r="A538" s="20">
        <v>116684</v>
      </c>
      <c r="B538" s="18" t="s">
        <v>1151</v>
      </c>
      <c r="C538" s="19" t="s">
        <v>60</v>
      </c>
      <c r="D538" s="20">
        <v>10</v>
      </c>
      <c r="E538" s="19" t="s">
        <v>82</v>
      </c>
      <c r="F538" s="19" t="s">
        <v>1152</v>
      </c>
    </row>
    <row r="539" spans="1:6" ht="25" x14ac:dyDescent="0.25">
      <c r="A539" s="20">
        <v>116756</v>
      </c>
      <c r="B539" s="18" t="s">
        <v>1153</v>
      </c>
      <c r="C539" s="19" t="s">
        <v>60</v>
      </c>
      <c r="D539" s="20">
        <v>20</v>
      </c>
      <c r="E539" s="19" t="s">
        <v>82</v>
      </c>
      <c r="F539" s="19" t="s">
        <v>1154</v>
      </c>
    </row>
    <row r="540" spans="1:6" ht="37.5" x14ac:dyDescent="0.25">
      <c r="A540" s="20">
        <v>116886</v>
      </c>
      <c r="B540" s="18" t="s">
        <v>1155</v>
      </c>
      <c r="C540" s="19" t="s">
        <v>60</v>
      </c>
      <c r="D540" s="20">
        <v>7</v>
      </c>
      <c r="E540" s="19" t="s">
        <v>82</v>
      </c>
      <c r="F540" s="19" t="s">
        <v>1156</v>
      </c>
    </row>
    <row r="541" spans="1:6" ht="25" x14ac:dyDescent="0.25">
      <c r="A541" s="20">
        <v>117022</v>
      </c>
      <c r="B541" s="18" t="s">
        <v>1157</v>
      </c>
      <c r="C541" s="19" t="s">
        <v>60</v>
      </c>
      <c r="D541" s="20">
        <v>16</v>
      </c>
      <c r="E541" s="19" t="s">
        <v>82</v>
      </c>
      <c r="F541" s="19" t="s">
        <v>1158</v>
      </c>
    </row>
    <row r="542" spans="1:6" ht="25" x14ac:dyDescent="0.25">
      <c r="A542" s="20">
        <v>117084</v>
      </c>
      <c r="B542" s="18" t="s">
        <v>1159</v>
      </c>
      <c r="C542" s="19" t="s">
        <v>60</v>
      </c>
      <c r="D542" s="20">
        <v>4</v>
      </c>
      <c r="E542" s="19" t="s">
        <v>82</v>
      </c>
      <c r="F542" s="19" t="s">
        <v>1160</v>
      </c>
    </row>
    <row r="543" spans="1:6" ht="37.5" x14ac:dyDescent="0.25">
      <c r="A543" s="20">
        <v>117457</v>
      </c>
      <c r="B543" s="18" t="s">
        <v>1161</v>
      </c>
      <c r="C543" s="19" t="s">
        <v>787</v>
      </c>
      <c r="D543" s="20">
        <v>10</v>
      </c>
      <c r="E543" s="19" t="s">
        <v>82</v>
      </c>
      <c r="F543" s="19" t="s">
        <v>1162</v>
      </c>
    </row>
    <row r="544" spans="1:6" ht="62.5" x14ac:dyDescent="0.25">
      <c r="A544" s="20">
        <v>117489</v>
      </c>
      <c r="B544" s="18" t="s">
        <v>1163</v>
      </c>
      <c r="C544" s="19" t="s">
        <v>787</v>
      </c>
      <c r="D544" s="20">
        <v>22</v>
      </c>
      <c r="E544" s="19" t="s">
        <v>82</v>
      </c>
      <c r="F544" s="19" t="s">
        <v>1164</v>
      </c>
    </row>
    <row r="545" spans="1:6" ht="37.5" x14ac:dyDescent="0.25">
      <c r="A545" s="20">
        <v>117614</v>
      </c>
      <c r="B545" s="18" t="s">
        <v>1165</v>
      </c>
      <c r="C545" s="19" t="s">
        <v>787</v>
      </c>
      <c r="D545" s="20">
        <v>1</v>
      </c>
      <c r="E545" s="19" t="s">
        <v>82</v>
      </c>
      <c r="F545" s="19" t="s">
        <v>1166</v>
      </c>
    </row>
    <row r="546" spans="1:6" ht="25" x14ac:dyDescent="0.25">
      <c r="A546" s="20">
        <v>117888</v>
      </c>
      <c r="B546" s="18" t="s">
        <v>1167</v>
      </c>
      <c r="C546" s="19" t="s">
        <v>787</v>
      </c>
      <c r="D546" s="20">
        <v>16</v>
      </c>
      <c r="E546" s="19" t="s">
        <v>82</v>
      </c>
      <c r="F546" s="19" t="s">
        <v>1168</v>
      </c>
    </row>
    <row r="547" spans="1:6" ht="25" x14ac:dyDescent="0.25">
      <c r="A547" s="20">
        <v>118129</v>
      </c>
      <c r="B547" s="18" t="s">
        <v>1169</v>
      </c>
      <c r="C547" s="19" t="s">
        <v>787</v>
      </c>
      <c r="D547" s="20">
        <v>5</v>
      </c>
      <c r="E547" s="19" t="s">
        <v>82</v>
      </c>
      <c r="F547" s="19" t="s">
        <v>1170</v>
      </c>
    </row>
    <row r="548" spans="1:6" ht="50" x14ac:dyDescent="0.25">
      <c r="A548" s="20">
        <v>118511</v>
      </c>
      <c r="B548" s="18" t="s">
        <v>1171</v>
      </c>
      <c r="C548" s="19" t="s">
        <v>66</v>
      </c>
      <c r="D548" s="20">
        <v>11</v>
      </c>
      <c r="E548" s="19" t="s">
        <v>82</v>
      </c>
      <c r="F548" s="19" t="s">
        <v>1172</v>
      </c>
    </row>
    <row r="549" spans="1:6" ht="25" x14ac:dyDescent="0.25">
      <c r="A549" s="20">
        <v>118950</v>
      </c>
      <c r="B549" s="18" t="s">
        <v>1173</v>
      </c>
      <c r="C549" s="19" t="s">
        <v>66</v>
      </c>
      <c r="D549" s="20">
        <v>9</v>
      </c>
      <c r="E549" s="19" t="s">
        <v>82</v>
      </c>
      <c r="F549" s="19" t="s">
        <v>1174</v>
      </c>
    </row>
    <row r="550" spans="1:6" ht="25" x14ac:dyDescent="0.25">
      <c r="A550" s="20">
        <v>118819</v>
      </c>
      <c r="B550" s="18" t="s">
        <v>1175</v>
      </c>
      <c r="C550" s="19" t="s">
        <v>66</v>
      </c>
      <c r="D550" s="20">
        <v>10</v>
      </c>
      <c r="E550" s="19" t="s">
        <v>82</v>
      </c>
      <c r="F550" s="19" t="s">
        <v>1176</v>
      </c>
    </row>
    <row r="551" spans="1:6" ht="25" x14ac:dyDescent="0.25">
      <c r="A551" s="20">
        <v>119007</v>
      </c>
      <c r="B551" s="18" t="s">
        <v>1177</v>
      </c>
      <c r="C551" s="19" t="s">
        <v>66</v>
      </c>
      <c r="D551" s="20">
        <v>29</v>
      </c>
      <c r="E551" s="19" t="s">
        <v>82</v>
      </c>
      <c r="F551" s="19" t="s">
        <v>1178</v>
      </c>
    </row>
    <row r="552" spans="1:6" ht="37.5" x14ac:dyDescent="0.25">
      <c r="A552" s="20">
        <v>118999</v>
      </c>
      <c r="B552" s="18" t="s">
        <v>1179</v>
      </c>
      <c r="C552" s="19" t="s">
        <v>66</v>
      </c>
      <c r="D552" s="20">
        <v>8</v>
      </c>
      <c r="E552" s="19" t="s">
        <v>82</v>
      </c>
      <c r="F552" s="19" t="s">
        <v>1180</v>
      </c>
    </row>
    <row r="553" spans="1:6" ht="25" x14ac:dyDescent="0.25">
      <c r="A553" s="20">
        <v>119288</v>
      </c>
      <c r="B553" s="18" t="s">
        <v>1181</v>
      </c>
      <c r="C553" s="19" t="s">
        <v>789</v>
      </c>
      <c r="D553" s="20">
        <v>8</v>
      </c>
      <c r="E553" s="19" t="s">
        <v>82</v>
      </c>
      <c r="F553" s="19" t="s">
        <v>1182</v>
      </c>
    </row>
    <row r="554" spans="1:6" ht="37.5" x14ac:dyDescent="0.25">
      <c r="A554" s="20">
        <v>119295</v>
      </c>
      <c r="B554" s="18" t="s">
        <v>1183</v>
      </c>
      <c r="C554" s="19" t="s">
        <v>789</v>
      </c>
      <c r="D554" s="20">
        <v>10</v>
      </c>
      <c r="E554" s="19" t="s">
        <v>82</v>
      </c>
      <c r="F554" s="19" t="s">
        <v>1184</v>
      </c>
    </row>
    <row r="555" spans="1:6" ht="25" x14ac:dyDescent="0.25">
      <c r="A555" s="20">
        <v>119303</v>
      </c>
      <c r="B555" s="18" t="s">
        <v>1185</v>
      </c>
      <c r="C555" s="19" t="s">
        <v>789</v>
      </c>
      <c r="D555" s="20">
        <v>2</v>
      </c>
      <c r="E555" s="19" t="s">
        <v>82</v>
      </c>
      <c r="F555" s="19" t="s">
        <v>1186</v>
      </c>
    </row>
    <row r="556" spans="1:6" ht="25" x14ac:dyDescent="0.25">
      <c r="A556" s="20">
        <v>119364</v>
      </c>
      <c r="B556" s="18" t="s">
        <v>1187</v>
      </c>
      <c r="C556" s="19" t="s">
        <v>789</v>
      </c>
      <c r="D556" s="20">
        <v>45</v>
      </c>
      <c r="E556" s="19" t="s">
        <v>82</v>
      </c>
      <c r="F556" s="19" t="s">
        <v>1188</v>
      </c>
    </row>
    <row r="557" spans="1:6" ht="25" x14ac:dyDescent="0.25">
      <c r="A557" s="20">
        <v>119453</v>
      </c>
      <c r="B557" s="18" t="s">
        <v>1189</v>
      </c>
      <c r="C557" s="19" t="s">
        <v>789</v>
      </c>
      <c r="D557" s="20">
        <v>6</v>
      </c>
      <c r="E557" s="19" t="s">
        <v>82</v>
      </c>
      <c r="F557" s="19" t="s">
        <v>1190</v>
      </c>
    </row>
    <row r="558" spans="1:6" ht="62.5" x14ac:dyDescent="0.25">
      <c r="A558" s="20">
        <v>119467</v>
      </c>
      <c r="B558" s="18" t="s">
        <v>1191</v>
      </c>
      <c r="C558" s="19" t="s">
        <v>789</v>
      </c>
      <c r="D558" s="20">
        <v>10</v>
      </c>
      <c r="E558" s="19" t="s">
        <v>82</v>
      </c>
      <c r="F558" s="19" t="s">
        <v>1192</v>
      </c>
    </row>
    <row r="559" spans="1:6" ht="25" x14ac:dyDescent="0.25">
      <c r="A559" s="20">
        <v>119477</v>
      </c>
      <c r="B559" s="18" t="s">
        <v>1193</v>
      </c>
      <c r="C559" s="19" t="s">
        <v>789</v>
      </c>
      <c r="D559" s="20">
        <v>2</v>
      </c>
      <c r="E559" s="19" t="s">
        <v>82</v>
      </c>
      <c r="F559" s="19" t="s">
        <v>1194</v>
      </c>
    </row>
    <row r="560" spans="1:6" ht="50" x14ac:dyDescent="0.25">
      <c r="A560" s="20">
        <v>120705</v>
      </c>
      <c r="B560" s="18" t="s">
        <v>8</v>
      </c>
      <c r="C560" s="19" t="s">
        <v>785</v>
      </c>
      <c r="D560" s="20">
        <v>13</v>
      </c>
      <c r="E560" s="19" t="s">
        <v>82</v>
      </c>
      <c r="F560" s="19" t="s">
        <v>9</v>
      </c>
    </row>
    <row r="561" spans="1:6" ht="25" x14ac:dyDescent="0.25">
      <c r="A561" s="20">
        <v>120711</v>
      </c>
      <c r="B561" s="18" t="s">
        <v>10</v>
      </c>
      <c r="C561" s="19" t="s">
        <v>785</v>
      </c>
      <c r="D561" s="20">
        <v>3</v>
      </c>
      <c r="E561" s="19" t="s">
        <v>82</v>
      </c>
      <c r="F561" s="19" t="s">
        <v>11</v>
      </c>
    </row>
    <row r="562" spans="1:6" ht="37.5" x14ac:dyDescent="0.25">
      <c r="A562" s="20">
        <v>120794</v>
      </c>
      <c r="B562" s="18" t="s">
        <v>12</v>
      </c>
      <c r="C562" s="19" t="s">
        <v>785</v>
      </c>
      <c r="D562" s="20">
        <v>6</v>
      </c>
      <c r="E562" s="19" t="s">
        <v>82</v>
      </c>
      <c r="F562" s="19" t="s">
        <v>13</v>
      </c>
    </row>
    <row r="563" spans="1:6" ht="50" x14ac:dyDescent="0.25">
      <c r="A563" s="20">
        <v>120845</v>
      </c>
      <c r="B563" s="18" t="s">
        <v>14</v>
      </c>
      <c r="C563" s="19" t="s">
        <v>785</v>
      </c>
      <c r="D563" s="20">
        <v>4</v>
      </c>
      <c r="E563" s="19" t="s">
        <v>82</v>
      </c>
      <c r="F563" s="19" t="s">
        <v>15</v>
      </c>
    </row>
    <row r="564" spans="1:6" ht="37.5" x14ac:dyDescent="0.25">
      <c r="A564" s="20">
        <v>120934</v>
      </c>
      <c r="B564" s="18" t="s">
        <v>16</v>
      </c>
      <c r="C564" s="19" t="s">
        <v>785</v>
      </c>
      <c r="D564" s="20">
        <v>21</v>
      </c>
      <c r="E564" s="19" t="s">
        <v>82</v>
      </c>
      <c r="F564" s="19" t="s">
        <v>17</v>
      </c>
    </row>
    <row r="565" spans="1:6" ht="37.5" x14ac:dyDescent="0.25">
      <c r="A565" s="20">
        <v>120946</v>
      </c>
      <c r="B565" s="18" t="s">
        <v>18</v>
      </c>
      <c r="C565" s="19" t="s">
        <v>785</v>
      </c>
      <c r="D565" s="20">
        <v>4</v>
      </c>
      <c r="E565" s="19" t="s">
        <v>82</v>
      </c>
      <c r="F565" s="19" t="s">
        <v>19</v>
      </c>
    </row>
    <row r="566" spans="1:6" ht="25" x14ac:dyDescent="0.25">
      <c r="A566" s="20">
        <v>120980</v>
      </c>
      <c r="B566" s="18" t="s">
        <v>20</v>
      </c>
      <c r="C566" s="19" t="s">
        <v>785</v>
      </c>
      <c r="D566" s="20">
        <v>7</v>
      </c>
      <c r="E566" s="19" t="s">
        <v>82</v>
      </c>
      <c r="F566" s="19" t="s">
        <v>21</v>
      </c>
    </row>
    <row r="567" spans="1:6" ht="37.5" x14ac:dyDescent="0.25">
      <c r="A567" s="20">
        <v>121029</v>
      </c>
      <c r="B567" s="18" t="s">
        <v>22</v>
      </c>
      <c r="C567" s="19" t="s">
        <v>785</v>
      </c>
      <c r="D567" s="20">
        <v>4</v>
      </c>
      <c r="E567" s="19" t="s">
        <v>82</v>
      </c>
      <c r="F567" s="19" t="s">
        <v>23</v>
      </c>
    </row>
    <row r="568" spans="1:6" ht="50" x14ac:dyDescent="0.25">
      <c r="A568" s="20">
        <v>121041</v>
      </c>
      <c r="B568" s="18" t="s">
        <v>24</v>
      </c>
      <c r="C568" s="19" t="s">
        <v>785</v>
      </c>
      <c r="D568" s="20">
        <v>5</v>
      </c>
      <c r="E568" s="19" t="s">
        <v>82</v>
      </c>
      <c r="F568" s="19" t="s">
        <v>25</v>
      </c>
    </row>
    <row r="569" spans="1:6" ht="62.5" x14ac:dyDescent="0.25">
      <c r="A569" s="20">
        <v>121150</v>
      </c>
      <c r="B569" s="18" t="s">
        <v>26</v>
      </c>
      <c r="C569" s="19" t="s">
        <v>785</v>
      </c>
      <c r="D569" s="20">
        <v>8</v>
      </c>
      <c r="E569" s="19" t="s">
        <v>82</v>
      </c>
      <c r="F569" s="19" t="s">
        <v>27</v>
      </c>
    </row>
    <row r="570" spans="1:6" ht="62.5" x14ac:dyDescent="0.25">
      <c r="A570" s="20">
        <v>121519</v>
      </c>
      <c r="B570" s="18" t="s">
        <v>28</v>
      </c>
      <c r="C570" s="19" t="s">
        <v>60</v>
      </c>
      <c r="D570" s="20">
        <v>7</v>
      </c>
      <c r="E570" s="19" t="s">
        <v>82</v>
      </c>
      <c r="F570" s="19" t="s">
        <v>29</v>
      </c>
    </row>
    <row r="571" spans="1:6" ht="62.5" x14ac:dyDescent="0.25">
      <c r="A571" s="20">
        <v>121594</v>
      </c>
      <c r="B571" s="18" t="s">
        <v>30</v>
      </c>
      <c r="C571" s="19" t="s">
        <v>60</v>
      </c>
      <c r="D571" s="20">
        <v>19</v>
      </c>
      <c r="E571" s="19" t="s">
        <v>82</v>
      </c>
      <c r="F571" s="19" t="s">
        <v>31</v>
      </c>
    </row>
    <row r="572" spans="1:6" ht="25" x14ac:dyDescent="0.25">
      <c r="A572" s="20">
        <v>121891</v>
      </c>
      <c r="B572" s="18" t="s">
        <v>32</v>
      </c>
      <c r="C572" s="19" t="s">
        <v>60</v>
      </c>
      <c r="D572" s="20">
        <v>10</v>
      </c>
      <c r="E572" s="19" t="s">
        <v>82</v>
      </c>
      <c r="F572" s="19" t="s">
        <v>33</v>
      </c>
    </row>
    <row r="573" spans="1:6" ht="25" x14ac:dyDescent="0.25">
      <c r="A573" s="20">
        <v>121755</v>
      </c>
      <c r="B573" s="18" t="s">
        <v>34</v>
      </c>
      <c r="C573" s="19" t="s">
        <v>60</v>
      </c>
      <c r="D573" s="20">
        <v>10</v>
      </c>
      <c r="E573" s="19" t="s">
        <v>82</v>
      </c>
      <c r="F573" s="19" t="s">
        <v>35</v>
      </c>
    </row>
    <row r="574" spans="1:6" ht="25" x14ac:dyDescent="0.25">
      <c r="A574" s="20">
        <v>121753</v>
      </c>
      <c r="B574" s="18" t="s">
        <v>36</v>
      </c>
      <c r="C574" s="19" t="s">
        <v>60</v>
      </c>
      <c r="D574" s="20">
        <v>3</v>
      </c>
      <c r="E574" s="19" t="s">
        <v>82</v>
      </c>
      <c r="F574" s="19" t="s">
        <v>37</v>
      </c>
    </row>
    <row r="575" spans="1:6" ht="50" x14ac:dyDescent="0.25">
      <c r="A575" s="20">
        <v>122141</v>
      </c>
      <c r="B575" s="18" t="s">
        <v>38</v>
      </c>
      <c r="C575" s="19" t="s">
        <v>60</v>
      </c>
      <c r="D575" s="20">
        <v>3</v>
      </c>
      <c r="E575" s="19" t="s">
        <v>82</v>
      </c>
      <c r="F575" s="19" t="s">
        <v>39</v>
      </c>
    </row>
    <row r="576" spans="1:6" ht="62.5" x14ac:dyDescent="0.25">
      <c r="A576" s="20">
        <v>123214</v>
      </c>
      <c r="B576" s="18" t="s">
        <v>40</v>
      </c>
      <c r="C576" s="19" t="s">
        <v>66</v>
      </c>
      <c r="D576" s="20">
        <v>15</v>
      </c>
      <c r="E576" s="19" t="s">
        <v>82</v>
      </c>
      <c r="F576" s="19" t="s">
        <v>41</v>
      </c>
    </row>
    <row r="577" spans="1:6" ht="37.5" x14ac:dyDescent="0.25">
      <c r="A577" s="20">
        <v>123220</v>
      </c>
      <c r="B577" s="18" t="s">
        <v>42</v>
      </c>
      <c r="C577" s="19" t="s">
        <v>66</v>
      </c>
      <c r="D577" s="20">
        <v>6</v>
      </c>
      <c r="E577" s="19" t="s">
        <v>82</v>
      </c>
      <c r="F577" s="19" t="s">
        <v>43</v>
      </c>
    </row>
    <row r="578" spans="1:6" ht="25" x14ac:dyDescent="0.25">
      <c r="A578" s="20">
        <v>123302</v>
      </c>
      <c r="B578" s="18" t="s">
        <v>44</v>
      </c>
      <c r="C578" s="19" t="s">
        <v>66</v>
      </c>
      <c r="D578" s="20">
        <v>10</v>
      </c>
      <c r="E578" s="19" t="s">
        <v>82</v>
      </c>
      <c r="F578" s="19" t="s">
        <v>45</v>
      </c>
    </row>
    <row r="579" spans="1:6" ht="25" x14ac:dyDescent="0.25">
      <c r="A579" s="20">
        <v>123328</v>
      </c>
      <c r="B579" s="18" t="s">
        <v>46</v>
      </c>
      <c r="C579" s="19" t="s">
        <v>66</v>
      </c>
      <c r="D579" s="20">
        <v>7</v>
      </c>
      <c r="E579" s="19" t="s">
        <v>82</v>
      </c>
      <c r="F579" s="19" t="s">
        <v>47</v>
      </c>
    </row>
    <row r="580" spans="1:6" ht="25" x14ac:dyDescent="0.25">
      <c r="A580" s="20">
        <v>123412</v>
      </c>
      <c r="B580" s="18" t="s">
        <v>48</v>
      </c>
      <c r="C580" s="19" t="s">
        <v>66</v>
      </c>
      <c r="D580" s="20">
        <v>9</v>
      </c>
      <c r="E580" s="19" t="s">
        <v>82</v>
      </c>
      <c r="F580" s="19" t="s">
        <v>49</v>
      </c>
    </row>
    <row r="581" spans="1:6" ht="62.5" x14ac:dyDescent="0.25">
      <c r="A581" s="20">
        <v>123890</v>
      </c>
      <c r="B581" s="18" t="s">
        <v>50</v>
      </c>
      <c r="C581" s="19" t="s">
        <v>789</v>
      </c>
      <c r="D581" s="20">
        <v>7</v>
      </c>
      <c r="E581" s="19" t="s">
        <v>82</v>
      </c>
      <c r="F581" s="19" t="s">
        <v>51</v>
      </c>
    </row>
    <row r="582" spans="1:6" ht="25" x14ac:dyDescent="0.25">
      <c r="A582" s="20">
        <v>124000</v>
      </c>
      <c r="B582" s="18" t="s">
        <v>52</v>
      </c>
      <c r="C582" s="19" t="s">
        <v>789</v>
      </c>
      <c r="D582" s="20">
        <v>3</v>
      </c>
      <c r="E582" s="19" t="s">
        <v>82</v>
      </c>
      <c r="F582" s="19" t="s">
        <v>53</v>
      </c>
    </row>
  </sheetData>
  <mergeCells count="3">
    <mergeCell ref="A1:F1"/>
    <mergeCell ref="A2:F2"/>
    <mergeCell ref="A3:F3"/>
  </mergeCells>
  <phoneticPr fontId="3" type="noConversion"/>
  <pageMargins left="0.75" right="0.75" top="1" bottom="1" header="0.5" footer="0.5"/>
  <pageSetup scale="79" orientation="portrait" r:id="rId1"/>
  <headerFooter alignWithMargins="0">
    <oddFooter>&amp;C&amp;A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Final Report</vt:lpstr>
      <vt:lpstr>Weekly Chart</vt:lpstr>
      <vt:lpstr>Calls by Day &amp; Week</vt:lpstr>
      <vt:lpstr>Calls by Time</vt:lpstr>
      <vt:lpstr>Calls by Library</vt:lpstr>
      <vt:lpstr>Calls by User Status</vt:lpstr>
      <vt:lpstr>Calls by Subject</vt:lpstr>
      <vt:lpstr>Calls by Resolution</vt:lpstr>
      <vt:lpstr>Summary with Questions</vt:lpstr>
    </vt:vector>
  </TitlesOfParts>
  <Company>UCLA Library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Carina Negreanu</cp:lastModifiedBy>
  <cp:lastPrinted>2003-10-06T23:31:07Z</cp:lastPrinted>
  <dcterms:created xsi:type="dcterms:W3CDTF">2003-08-21T19:14:05Z</dcterms:created>
  <dcterms:modified xsi:type="dcterms:W3CDTF">2020-01-27T12:42:30Z</dcterms:modified>
</cp:coreProperties>
</file>