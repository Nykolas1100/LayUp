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42776D59-3895-483E-B581-8C9DECA185DD}" xr6:coauthVersionLast="45" xr6:coauthVersionMax="45" xr10:uidLastSave="{00000000-0000-0000-0000-000000000000}"/>
  <bookViews>
    <workbookView xWindow="1900" yWindow="1900" windowWidth="28800" windowHeight="15460"/>
  </bookViews>
  <sheets>
    <sheet name="CDS-H" sheetId="1" r:id="rId1"/>
  </sheet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F25" i="1" l="1"/>
  <c r="E25" i="1"/>
  <c r="F20" i="1"/>
  <c r="E20" i="1"/>
</calcChain>
</file>

<file path=xl/sharedStrings.xml><?xml version="1.0" encoding="utf-8"?>
<sst xmlns="http://schemas.openxmlformats.org/spreadsheetml/2006/main" count="297" uniqueCount="160">
  <si>
    <t>H. FINANCIAL AID</t>
  </si>
  <si>
    <t>Aid Awarded to Enrolled Undergraduates</t>
  </si>
  <si>
    <r>
      <t>Enter total dollar amounts</t>
    </r>
    <r>
      <rPr>
        <b/>
        <sz val="10"/>
        <color indexed="8"/>
        <rFont val="Arial"/>
        <family val="2"/>
      </rPr>
      <t xml:space="preserve"> awarded</t>
    </r>
    <r>
      <rPr>
        <sz val="10"/>
        <color indexed="8"/>
        <rFont val="Arial"/>
        <family val="2"/>
      </rPr>
      <t xml:space="preserve"> to enrolled full-time and less than full-time degree-seeking undergraduates </t>
    </r>
    <r>
      <rPr>
        <b/>
        <sz val="10"/>
        <color indexed="8"/>
        <rFont val="Arial"/>
        <family val="2"/>
      </rPr>
      <t>(using the</t>
    </r>
    <r>
      <rPr>
        <sz val="10"/>
        <color indexed="8"/>
        <rFont val="Arial"/>
        <family val="2"/>
      </rPr>
      <t xml:space="preserve"> </t>
    </r>
    <r>
      <rPr>
        <b/>
        <sz val="10"/>
        <color indexed="8"/>
        <rFont val="Arial"/>
        <family val="2"/>
      </rPr>
      <t>same cohort reported in CDS Question B1, “total degree-seeking” undergraduates)</t>
    </r>
    <r>
      <rPr>
        <sz val="10"/>
        <color indexed="8"/>
        <rFont val="Arial"/>
        <family val="2"/>
      </rPr>
      <t xml:space="preserve"> in the following categories. (Note: If the data being reported are final figures for the 2002-2003 academic year (see the next item below), use the 2002-2003 academic year's CDS Question B1 cohort.) Include aid awarded to international students (i.e., those not qualifying for federal aid). </t>
    </r>
    <r>
      <rPr>
        <b/>
        <sz val="10"/>
        <color indexed="8"/>
        <rFont val="Arial"/>
        <family val="2"/>
      </rPr>
      <t>Aid that is</t>
    </r>
    <r>
      <rPr>
        <b/>
        <i/>
        <sz val="10"/>
        <color indexed="8"/>
        <rFont val="Arial"/>
        <family val="2"/>
      </rPr>
      <t xml:space="preserve"> </t>
    </r>
    <r>
      <rPr>
        <b/>
        <sz val="10"/>
        <color indexed="8"/>
        <rFont val="Arial"/>
        <family val="2"/>
      </rPr>
      <t xml:space="preserve">non-need-based but that was used to meet need should </t>
    </r>
    <r>
      <rPr>
        <b/>
        <u/>
        <sz val="10"/>
        <color indexed="8"/>
        <rFont val="Arial"/>
        <family val="2"/>
      </rPr>
      <t>be reported in the need-based aid columns</t>
    </r>
    <r>
      <rPr>
        <b/>
        <sz val="10"/>
        <color indexed="8"/>
        <rFont val="Arial"/>
        <family val="2"/>
      </rPr>
      <t>. (For a suggested order of precedence in assigning categories of aid to cover need, see the entry for “non-need-based scholarship or grant aid” on the last page of the definitions section.)</t>
    </r>
  </si>
  <si>
    <t>H1</t>
  </si>
  <si>
    <t>2003-2004 estimated</t>
  </si>
  <si>
    <t>2002-2003 
final</t>
  </si>
  <si>
    <t>Indicate the academic year for which data are reported for items H1, H2, H2A, and H6 below:</t>
  </si>
  <si>
    <t>P</t>
  </si>
  <si>
    <t>H3</t>
  </si>
  <si>
    <t>Which needs-analysis methodology does your institution use in awarding institutional aid?</t>
  </si>
  <si>
    <t>Federal methodology (FM)</t>
  </si>
  <si>
    <t>Institutional methodology (IM)</t>
  </si>
  <si>
    <t>Both FM and IM</t>
  </si>
  <si>
    <r>
      <t>Need-based $</t>
    </r>
    <r>
      <rPr>
        <sz val="10"/>
        <rFont val="Arial"/>
        <family val="2"/>
      </rPr>
      <t xml:space="preserve"> </t>
    </r>
    <r>
      <rPr>
        <sz val="8"/>
        <rFont val="Arial"/>
        <family val="2"/>
      </rPr>
      <t>(Include non-need-based aid used to meet need.)</t>
    </r>
  </si>
  <si>
    <r>
      <t xml:space="preserve">Non-need-based $     </t>
    </r>
    <r>
      <rPr>
        <sz val="10"/>
        <rFont val="Arial"/>
        <family val="2"/>
      </rPr>
      <t xml:space="preserve"> </t>
    </r>
    <r>
      <rPr>
        <sz val="8"/>
        <rFont val="Arial"/>
        <family val="2"/>
      </rPr>
      <t>(Exclude non-need-based aid used to meet need.)</t>
    </r>
  </si>
  <si>
    <t>Scholarships/Grants</t>
  </si>
  <si>
    <t>Federal</t>
  </si>
  <si>
    <t>State (i.e., all states, not only the state in which your institution is located)</t>
  </si>
  <si>
    <t>Institutional (endowment, alumni,  or other institutional awards) and external funds awarded by the college excluding athletic aid and tuition waivers (which are reported below)</t>
  </si>
  <si>
    <t>Scholarships/grants from external sources (e.g., Kiwanis, National Merit) not awarded by the college</t>
  </si>
  <si>
    <t>Total Scholarships/Grants</t>
  </si>
  <si>
    <t>Self-Help</t>
  </si>
  <si>
    <t>Student loans from all sources (excluding parent loans)</t>
  </si>
  <si>
    <t>Federal Work-Study</t>
  </si>
  <si>
    <t>State and other (e.g., institutional) work-study/employment (Note: Excludes Federal Work-Study captured above.)</t>
  </si>
  <si>
    <t>Total Self-Help</t>
  </si>
  <si>
    <t>Other</t>
  </si>
  <si>
    <t>Parent Loans</t>
  </si>
  <si>
    <r>
      <t xml:space="preserve">Tuition Waivers
</t>
    </r>
    <r>
      <rPr>
        <sz val="8"/>
        <rFont val="Arial"/>
        <family val="2"/>
      </rPr>
      <t>Reporting is optional. Report tuition waivers in this row if you choose to report them. Do not report tuition waivers elsewhere.</t>
    </r>
  </si>
  <si>
    <t>Athletic Awards</t>
  </si>
  <si>
    <t>H2</t>
  </si>
  <si>
    <r>
      <t>Number of Enrolled Students Awarded Aid:</t>
    </r>
    <r>
      <rPr>
        <sz val="10"/>
        <rFont val="Arial"/>
        <family val="2"/>
      </rPr>
      <t xml:space="preserve">  List the number of degree-seeking full-time and less-than-full-time undergraduates who applied for and were awarded financial aid from any source. </t>
    </r>
    <r>
      <rPr>
        <b/>
        <sz val="10"/>
        <rFont val="Arial"/>
        <family val="2"/>
      </rPr>
      <t xml:space="preserve">Aid that is non-need-based but that was used to meet need should be counted as need-based aid. </t>
    </r>
    <r>
      <rPr>
        <u/>
        <sz val="10"/>
        <rFont val="Arial"/>
        <family val="2"/>
      </rPr>
      <t>Numbers should reflect the cohort awarded the dollars reported in H1.</t>
    </r>
    <r>
      <rPr>
        <sz val="10"/>
        <rFont val="Arial"/>
        <family val="2"/>
      </rPr>
      <t xml:space="preserve">  Note:  In the chart below, students may be counted in more than one row, and full-time freshmen should also be counted as full-time undergraduates.</t>
    </r>
  </si>
  <si>
    <t>First-time
Full-time
Freshmen</t>
  </si>
  <si>
    <t>Full-time
Undergraduate
(Incl. Fresh.)</t>
  </si>
  <si>
    <t>Less Than
Full-time
Undergraduate</t>
  </si>
  <si>
    <t>a)</t>
  </si>
  <si>
    <t>Number of degree-seeking undergraduate students (CDS Item B1 if reporting on Fall 2003 cohort)</t>
  </si>
  <si>
    <t>b)</t>
  </si>
  <si>
    <r>
      <t xml:space="preserve">Number of students in line </t>
    </r>
    <r>
      <rPr>
        <b/>
        <sz val="9"/>
        <rFont val="Arial"/>
        <family val="2"/>
      </rPr>
      <t>a</t>
    </r>
    <r>
      <rPr>
        <sz val="9"/>
        <rFont val="Arial"/>
        <family val="2"/>
      </rPr>
      <t xml:space="preserve"> who applied for need-based financial aid</t>
    </r>
  </si>
  <si>
    <t>c)</t>
  </si>
  <si>
    <r>
      <t xml:space="preserve">Number of students in line </t>
    </r>
    <r>
      <rPr>
        <b/>
        <sz val="9"/>
        <rFont val="Arial"/>
        <family val="2"/>
      </rPr>
      <t>b</t>
    </r>
    <r>
      <rPr>
        <sz val="9"/>
        <rFont val="Arial"/>
        <family val="2"/>
      </rPr>
      <t xml:space="preserve"> who were determined to have financial need</t>
    </r>
  </si>
  <si>
    <t>d)</t>
  </si>
  <si>
    <r>
      <t xml:space="preserve">Number of students in line </t>
    </r>
    <r>
      <rPr>
        <b/>
        <sz val="9"/>
        <rFont val="Arial"/>
        <family val="2"/>
      </rPr>
      <t>c</t>
    </r>
    <r>
      <rPr>
        <sz val="9"/>
        <rFont val="Arial"/>
        <family val="2"/>
      </rPr>
      <t xml:space="preserve"> who were awarded any financial aid</t>
    </r>
  </si>
  <si>
    <t>e)</t>
  </si>
  <si>
    <r>
      <t xml:space="preserve">Number of students in line </t>
    </r>
    <r>
      <rPr>
        <b/>
        <sz val="9"/>
        <rFont val="Arial"/>
        <family val="2"/>
      </rPr>
      <t>d</t>
    </r>
    <r>
      <rPr>
        <sz val="9"/>
        <rFont val="Arial"/>
        <family val="2"/>
      </rPr>
      <t xml:space="preserve"> who were awarded any need-based scholarship or grant aid</t>
    </r>
  </si>
  <si>
    <t>f)</t>
  </si>
  <si>
    <r>
      <t xml:space="preserve">Number of students in line </t>
    </r>
    <r>
      <rPr>
        <b/>
        <sz val="9"/>
        <rFont val="Arial"/>
        <family val="2"/>
      </rPr>
      <t>d</t>
    </r>
    <r>
      <rPr>
        <sz val="9"/>
        <rFont val="Arial"/>
        <family val="2"/>
      </rPr>
      <t xml:space="preserve"> who were awarded any need-based self-help aid</t>
    </r>
  </si>
  <si>
    <t>g)</t>
  </si>
  <si>
    <r>
      <t xml:space="preserve">Number of students in line </t>
    </r>
    <r>
      <rPr>
        <b/>
        <sz val="9"/>
        <rFont val="Arial"/>
        <family val="2"/>
      </rPr>
      <t>d</t>
    </r>
    <r>
      <rPr>
        <sz val="9"/>
        <rFont val="Arial"/>
        <family val="2"/>
      </rPr>
      <t xml:space="preserve"> who were awarded any non-need-based scholarship or grant aid</t>
    </r>
  </si>
  <si>
    <t>h)</t>
  </si>
  <si>
    <r>
      <t xml:space="preserve">Number of students in line </t>
    </r>
    <r>
      <rPr>
        <b/>
        <sz val="9"/>
        <rFont val="Arial"/>
        <family val="2"/>
      </rPr>
      <t>d</t>
    </r>
    <r>
      <rPr>
        <sz val="9"/>
        <rFont val="Arial"/>
        <family val="2"/>
      </rPr>
      <t xml:space="preserve"> whose need was fully met (</t>
    </r>
    <r>
      <rPr>
        <u/>
        <sz val="9"/>
        <rFont val="Arial"/>
        <family val="2"/>
      </rPr>
      <t>exclude PLUS loans, unsubsidized loans, and private alternative loans</t>
    </r>
    <r>
      <rPr>
        <sz val="9"/>
        <rFont val="Arial"/>
        <family val="2"/>
      </rPr>
      <t>)</t>
    </r>
  </si>
  <si>
    <t>i)</t>
  </si>
  <si>
    <r>
      <t>On average, the percentage of need that was met of students who were awarded any need-based aid. Exclude any aid that was awarded in excess of need as well as any resources that were awarded to replace EFC (</t>
    </r>
    <r>
      <rPr>
        <u/>
        <sz val="9"/>
        <rFont val="Arial"/>
        <family val="2"/>
      </rPr>
      <t>PLUS loans, unsubsidized loans, and private alternative loans</t>
    </r>
    <r>
      <rPr>
        <sz val="9"/>
        <rFont val="Arial"/>
        <family val="2"/>
      </rPr>
      <t>)</t>
    </r>
  </si>
  <si>
    <t>j)</t>
  </si>
  <si>
    <r>
      <t xml:space="preserve">The average financial aid package of those in line </t>
    </r>
    <r>
      <rPr>
        <b/>
        <sz val="9"/>
        <rFont val="Arial"/>
        <family val="2"/>
      </rPr>
      <t>d</t>
    </r>
    <r>
      <rPr>
        <sz val="9"/>
        <rFont val="Arial"/>
        <family val="2"/>
      </rPr>
      <t>. Exclude any resources that were awarded to replace EFC (</t>
    </r>
    <r>
      <rPr>
        <u/>
        <sz val="9"/>
        <rFont val="Arial"/>
        <family val="2"/>
      </rPr>
      <t>PLUS loans, unsubsidized loans, and private alternative loans</t>
    </r>
    <r>
      <rPr>
        <sz val="9"/>
        <rFont val="Arial"/>
        <family val="2"/>
      </rPr>
      <t>)</t>
    </r>
  </si>
  <si>
    <t>k)</t>
  </si>
  <si>
    <r>
      <t>Average need-based scholarship and grant award of those in line</t>
    </r>
    <r>
      <rPr>
        <b/>
        <sz val="9"/>
        <rFont val="Arial"/>
        <family val="2"/>
      </rPr>
      <t xml:space="preserve"> e</t>
    </r>
  </si>
  <si>
    <t>l)</t>
  </si>
  <si>
    <r>
      <t>Average need-based self-help award (</t>
    </r>
    <r>
      <rPr>
        <u/>
        <sz val="9"/>
        <rFont val="Arial"/>
        <family val="2"/>
      </rPr>
      <t>excluding PLUS loans, unsubsidized loans, and private alternative loans</t>
    </r>
    <r>
      <rPr>
        <sz val="9"/>
        <rFont val="Arial"/>
        <family val="2"/>
      </rPr>
      <t xml:space="preserve">) of those in line </t>
    </r>
    <r>
      <rPr>
        <b/>
        <sz val="9"/>
        <rFont val="Arial"/>
        <family val="2"/>
      </rPr>
      <t>f</t>
    </r>
  </si>
  <si>
    <t>m)</t>
  </si>
  <si>
    <r>
      <t>Average need-based loan (</t>
    </r>
    <r>
      <rPr>
        <u/>
        <sz val="9"/>
        <rFont val="Arial"/>
        <family val="2"/>
      </rPr>
      <t>excluding PLUS loans, unsubsidized loans, and private alternative loans</t>
    </r>
    <r>
      <rPr>
        <sz val="9"/>
        <rFont val="Arial"/>
        <family val="2"/>
      </rPr>
      <t>) of those in line</t>
    </r>
    <r>
      <rPr>
        <b/>
        <sz val="9"/>
        <rFont val="Arial"/>
        <family val="2"/>
      </rPr>
      <t xml:space="preserve"> f </t>
    </r>
    <r>
      <rPr>
        <sz val="9"/>
        <rFont val="Arial"/>
        <family val="2"/>
      </rPr>
      <t>who were awarded a need-based loan</t>
    </r>
  </si>
  <si>
    <t>H2A</t>
  </si>
  <si>
    <r>
      <t>Number of Enrolled Students Awarded Non-need-based Scholarships and Grants:</t>
    </r>
    <r>
      <rPr>
        <sz val="10"/>
        <rFont val="Arial"/>
        <family val="2"/>
      </rPr>
      <t xml:space="preserve">  List the number of degree-seeking full-time and less-than-full-time undergraduates who had no financial need and who were awarded institutional--not external--non-need-based scholarship or grant aid. Numbers should reflect the cohort awarded the dollars reported in H1.  Note:  In the chart below, students may be counted in more than one row, and full-time freshmen should also be counted as full-time undergraduates.</t>
    </r>
  </si>
  <si>
    <t>Full-time
Undergrad
(Incl. Fresh.)</t>
  </si>
  <si>
    <t>Less Than
Full-time
Undergrad</t>
  </si>
  <si>
    <t>n)</t>
  </si>
  <si>
    <r>
      <t xml:space="preserve">Number of students in line </t>
    </r>
    <r>
      <rPr>
        <b/>
        <sz val="9"/>
        <rFont val="Arial"/>
        <family val="2"/>
      </rPr>
      <t>a</t>
    </r>
    <r>
      <rPr>
        <sz val="9"/>
        <rFont val="Arial"/>
        <family val="2"/>
      </rPr>
      <t xml:space="preserve"> who had no financial need and who were awarded institutional non-need-based scholarship or grant aid (exclude those who were awarded athletic awards and tuition benefits)</t>
    </r>
  </si>
  <si>
    <t>o)</t>
  </si>
  <si>
    <r>
      <t xml:space="preserve">Average dollar amount of institutional non-need-based scholarship and grant aid awarded to students in line </t>
    </r>
    <r>
      <rPr>
        <b/>
        <sz val="9"/>
        <rFont val="Arial"/>
        <family val="2"/>
      </rPr>
      <t>n</t>
    </r>
  </si>
  <si>
    <t>p)</t>
  </si>
  <si>
    <r>
      <t xml:space="preserve">Number of students in line </t>
    </r>
    <r>
      <rPr>
        <b/>
        <sz val="9"/>
        <rFont val="Arial"/>
        <family val="2"/>
      </rPr>
      <t>a</t>
    </r>
    <r>
      <rPr>
        <sz val="9"/>
        <rFont val="Arial"/>
        <family val="2"/>
      </rPr>
      <t xml:space="preserve"> who were awarded an institutional non-need-based athletic scholarship or grant</t>
    </r>
  </si>
  <si>
    <t>q)</t>
  </si>
  <si>
    <r>
      <t xml:space="preserve">Average dollar amount of institutional non-need-based athletic scholarships and grants awarded to students in line </t>
    </r>
    <r>
      <rPr>
        <b/>
        <sz val="9"/>
        <rFont val="Arial"/>
        <family val="2"/>
      </rPr>
      <t>p</t>
    </r>
  </si>
  <si>
    <t>Incorporated into H1 above.</t>
  </si>
  <si>
    <t>H4</t>
  </si>
  <si>
    <t>Provide the percentage of the 2003 undergraduate class who graduated between July 1, 2002 and June 30, 2003 and borrowed at any time through any loan programs (federal, state, subsidized, unsubsidized, private, etc.; exclude parent loans). Include only students who borrowed while enrolled at your institution.</t>
  </si>
  <si>
    <t>H5</t>
  </si>
  <si>
    <t xml:space="preserve">Report the average per-borrower cumulative undergraduate indebtedness of those in line H4.  Do not include money borrowed at other institutions:  </t>
  </si>
  <si>
    <r>
      <t>Aid to Undergraduate Degree-seeking Nonresident Aliens</t>
    </r>
    <r>
      <rPr>
        <sz val="10"/>
        <rFont val="Arial"/>
        <family val="2"/>
      </rPr>
      <t xml:space="preserve">  (Note: Report numbers and dollar amounts for the same academic year checked in item H1.)</t>
    </r>
  </si>
  <si>
    <t>H6</t>
  </si>
  <si>
    <t>Indicate your institution’s policy regarding institutional scholarship and grant aid for undergraduate degree-seeking nonresident aliens:</t>
  </si>
  <si>
    <t>Institutional need-based scholarship or grant aid is available</t>
  </si>
  <si>
    <t>Institutional non-need-based scholarship or grant aid is available</t>
  </si>
  <si>
    <t>Institutional scholarship or grant aid is not available</t>
  </si>
  <si>
    <t xml:space="preserve">If institutional financial aid is available for undergraduate degree-seeking nonresident aliens, provide the number of undergraduate degree-seeking nonresident aliens who were awarded need-based or non-need-based aid: </t>
  </si>
  <si>
    <t xml:space="preserve">Average dollar amount of institutional financial aid awarded to undergraduate degree-seeking nonresident aliens: </t>
  </si>
  <si>
    <t xml:space="preserve">Total dollar amount of institutional financial aid awarded to undergraduate degree-seeking nonresident aliens:  </t>
  </si>
  <si>
    <t>Process for First-Year/Freshman Students</t>
  </si>
  <si>
    <t>H7</t>
  </si>
  <si>
    <t>Check off all financial aid forms domestic first-year (freshman) financial aid applicants must submit:</t>
  </si>
  <si>
    <t>FAFSA</t>
  </si>
  <si>
    <t>Institution's own financial aid form</t>
  </si>
  <si>
    <t>CSS/Financial Aid PROFILE</t>
  </si>
  <si>
    <t>State aid form</t>
  </si>
  <si>
    <t>Noncustodial (Divorced/Separated) Parent's Statement</t>
  </si>
  <si>
    <t>Business/Farm Supplement</t>
  </si>
  <si>
    <t>Other (specify):</t>
  </si>
  <si>
    <t>H8</t>
  </si>
  <si>
    <t>Check off all financial aid forms nonresident alien first-year financial aid applicants must submit:</t>
  </si>
  <si>
    <t>Institution’s own financial aid form</t>
  </si>
  <si>
    <t>Foreign Student’s Financial Aid Application</t>
  </si>
  <si>
    <t>Foreign Student’s Certification of Finances</t>
  </si>
  <si>
    <t>H9</t>
  </si>
  <si>
    <t>Indicate filing dates for first-year (freshman) students:</t>
  </si>
  <si>
    <t>Priority date for filing required financial aid forms:</t>
  </si>
  <si>
    <t>Deadline for filing required financial aid forms:</t>
  </si>
  <si>
    <t>none</t>
  </si>
  <si>
    <t>No deadline for filing required forms (applications processed on a rolling basis):</t>
  </si>
  <si>
    <t>H10</t>
  </si>
  <si>
    <t>Indicate notification dates for first-year (freshman) students (answer a or b):</t>
  </si>
  <si>
    <t xml:space="preserve">Students notified on or about (date): </t>
  </si>
  <si>
    <t>Yes</t>
  </si>
  <si>
    <t>No</t>
  </si>
  <si>
    <t>Students notified on a rolling basis:</t>
  </si>
  <si>
    <t>If yes, starting date:</t>
  </si>
  <si>
    <t>H11</t>
  </si>
  <si>
    <t>Indicate reply dates:</t>
  </si>
  <si>
    <t xml:space="preserve">Students must reply by (date): </t>
  </si>
  <si>
    <t>or within __3_____ weeks of notification.</t>
  </si>
  <si>
    <t>Types of Aid Available</t>
  </si>
  <si>
    <t>Please check off all types of aid available to undergraduates at your institution:</t>
  </si>
  <si>
    <t>H12</t>
  </si>
  <si>
    <t>Loans</t>
  </si>
  <si>
    <t>FEDERAL DIRECT STUDENT LOAN PROGRAM (DIRECT LOAN)</t>
  </si>
  <si>
    <t>Direct Subsidized Stafford Loans</t>
  </si>
  <si>
    <t>Direct Unsubsidized Stafford Loans</t>
  </si>
  <si>
    <t>Direct PLUS Loans</t>
  </si>
  <si>
    <t>FEDERAL FAMILY EDUCATION LOAN PROGRAM (FFEL)</t>
  </si>
  <si>
    <t>FFEL Subsidized Stafford Loans</t>
  </si>
  <si>
    <t>FFEL Unsubsidized Stafford Loans</t>
  </si>
  <si>
    <t>FFEL PLUS Loans</t>
  </si>
  <si>
    <t>Federal Perkins Loans</t>
  </si>
  <si>
    <t>Federal Nursing Loans</t>
  </si>
  <si>
    <t>State Loans</t>
  </si>
  <si>
    <t>College/university loans from institutional funds</t>
  </si>
  <si>
    <t>H13</t>
  </si>
  <si>
    <t>Scholarships and Grants</t>
  </si>
  <si>
    <t>NEED-BASED:</t>
  </si>
  <si>
    <t>Federal Pell</t>
  </si>
  <si>
    <t>SEOG</t>
  </si>
  <si>
    <t>State scholarships/grants</t>
  </si>
  <si>
    <t>Private scholarships</t>
  </si>
  <si>
    <t>College/university scholarship or grant aid from institutional funds</t>
  </si>
  <si>
    <t>United Negro College Fund</t>
  </si>
  <si>
    <t>Federal Nursing Scholarship</t>
  </si>
  <si>
    <t>H14</t>
  </si>
  <si>
    <t xml:space="preserve">Check off criteria used in awarding institutional aid. Check all that apply. </t>
  </si>
  <si>
    <t>Non-Need Based</t>
  </si>
  <si>
    <t>Need-Based</t>
  </si>
  <si>
    <t>Academics</t>
  </si>
  <si>
    <t>Alumni affiliation</t>
  </si>
  <si>
    <t>Art</t>
  </si>
  <si>
    <t>Athletics</t>
  </si>
  <si>
    <t>Job skills</t>
  </si>
  <si>
    <t>ROTC</t>
  </si>
  <si>
    <t>Leadership</t>
  </si>
  <si>
    <t>Minority status</t>
  </si>
  <si>
    <t>Music/drama</t>
  </si>
  <si>
    <t>Religious affiliation</t>
  </si>
  <si>
    <t>State/district residency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</si>
</sst>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164" formatCode="&quot;$&quot;#,##0_);\(&quot;$&quot;#,##0\)"/>
    <numFmt numFmtId="170" formatCode="_(&quot;$&quot;* #,##0.00_);_(&quot;$&quot;* \(#,##0.00\);_(&quot;$&quot;* &quot;-&quot;??_);_(@_)"/>
    <numFmt numFmtId="172" formatCode="&quot;$&quot;#,##0;[Red]&quot;$&quot;#,##0"/>
    <numFmt numFmtId="173" formatCode="0.0%"/>
    <numFmt numFmtId="174" formatCode="_(&quot;$&quot;\ \ \ #,##0_);_(&quot;$&quot;* \(#,##0\);_(&quot;$&quot;* &quot;-&quot;??_);_(@_)"/>
    <numFmt numFmtId="175" formatCode="_(&quot;$&quot;\ \ \ #,##0_);_(&quot;$&quot;* \(#,##0\);_(&quot;$&quot;\ \ &quot;0&quot;??_);_(@_)"/>
    <numFmt numFmtId="176" formatCode="&quot;$&quot;#,##0"/>
    <numFmt numFmtId="177" formatCode="m/d"/>
  </numFmts>
  <fonts count="19" x14ac:knownFonts="1">
    <font>
      <sz val="11"/>
      <name val="Times New Roman"/>
    </font>
    <font>
      <sz val="11"/>
      <name val="Times New Roman"/>
    </font>
    <font>
      <b/>
      <sz val="14"/>
      <name val="Arial"/>
      <family val="2"/>
    </font>
    <font>
      <b/>
      <sz val="12"/>
      <name val="Arial"/>
      <family val="2"/>
    </font>
    <font>
      <b/>
      <sz val="10"/>
      <name val="Arial"/>
      <family val="2"/>
    </font>
    <font>
      <sz val="10"/>
      <color indexed="8"/>
      <name val="Arial"/>
      <family val="2"/>
    </font>
    <font>
      <b/>
      <sz val="10"/>
      <color indexed="8"/>
      <name val="Arial"/>
      <family val="2"/>
    </font>
    <font>
      <b/>
      <i/>
      <sz val="10"/>
      <color indexed="8"/>
      <name val="Arial"/>
      <family val="2"/>
    </font>
    <font>
      <b/>
      <u/>
      <sz val="10"/>
      <color indexed="8"/>
      <name val="Arial"/>
      <family val="2"/>
    </font>
    <font>
      <sz val="10"/>
      <name val="Wingdings 2"/>
      <family val="1"/>
      <charset val="2"/>
    </font>
    <font>
      <sz val="10"/>
      <name val="Arial"/>
      <family val="2"/>
    </font>
    <font>
      <sz val="8"/>
      <name val="Arial"/>
      <family val="2"/>
    </font>
    <font>
      <b/>
      <sz val="11"/>
      <name val="Arial"/>
      <family val="2"/>
    </font>
    <font>
      <b/>
      <i/>
      <sz val="10"/>
      <name val="Arial"/>
      <family val="2"/>
    </font>
    <font>
      <u/>
      <sz val="10"/>
      <name val="Arial"/>
      <family val="2"/>
    </font>
    <font>
      <sz val="9"/>
      <name val="Arial"/>
      <family val="2"/>
    </font>
    <font>
      <b/>
      <sz val="9"/>
      <name val="Arial"/>
      <family val="2"/>
    </font>
    <font>
      <u/>
      <sz val="9"/>
      <name val="Arial"/>
      <family val="2"/>
    </font>
    <font>
      <sz val="10"/>
      <color indexed="8"/>
      <name val="Times New Roman"/>
      <family val="1"/>
    </font>
  </fonts>
  <fills count="4">
    <fill>
      <patternFill patternType="none"/>
    </fill>
    <fill>
      <patternFill patternType="gray125"/>
    </fill>
    <fill>
      <patternFill patternType="solid">
        <fgColor indexed="22"/>
        <bgColor indexed="64"/>
      </patternFill>
    </fill>
    <fill>
      <patternFill patternType="solid">
        <fgColor indexed="9"/>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3">
    <xf numFmtId="0" fontId="0" fillId="0" borderId="0"/>
    <xf numFmtId="170" fontId="1" fillId="0" borderId="0" applyFont="0" applyFill="0" applyBorder="0" applyAlignment="0" applyProtection="0"/>
    <xf numFmtId="9" fontId="1" fillId="0" borderId="0" applyFont="0" applyFill="0" applyBorder="0" applyAlignment="0" applyProtection="0"/>
  </cellStyleXfs>
  <cellXfs count="115">
    <xf numFmtId="0" fontId="0" fillId="0" borderId="0" xfId="0"/>
    <xf numFmtId="0" fontId="0" fillId="0" borderId="0" xfId="0" applyAlignment="1">
      <alignment horizontal="left" vertical="top"/>
    </xf>
    <xf numFmtId="0" fontId="4" fillId="0" borderId="0" xfId="0" applyFont="1" applyAlignment="1">
      <alignment horizontal="left" vertical="top"/>
    </xf>
    <xf numFmtId="0" fontId="5" fillId="0" borderId="0" xfId="0" applyFont="1" applyAlignment="1">
      <alignment horizontal="left" vertical="top" wrapText="1"/>
    </xf>
    <xf numFmtId="0" fontId="0" fillId="0" borderId="0" xfId="0" applyAlignment="1">
      <alignment horizontal="left" vertical="top" wrapText="1"/>
    </xf>
    <xf numFmtId="0" fontId="0" fillId="0" borderId="1" xfId="0" applyBorder="1" applyAlignment="1">
      <alignment horizontal="center" vertical="center" wrapText="1"/>
    </xf>
    <xf numFmtId="0" fontId="5" fillId="0" borderId="1" xfId="0" applyFont="1" applyBorder="1" applyAlignment="1">
      <alignment horizontal="center" vertical="center" wrapText="1"/>
    </xf>
    <xf numFmtId="49" fontId="9" fillId="0" borderId="1" xfId="0" applyNumberFormat="1" applyFont="1" applyBorder="1" applyAlignment="1">
      <alignment horizontal="center" vertical="center" wrapText="1"/>
    </xf>
    <xf numFmtId="49" fontId="0" fillId="0" borderId="1" xfId="0" applyNumberFormat="1" applyBorder="1" applyAlignment="1">
      <alignment horizontal="center" vertical="center" wrapText="1"/>
    </xf>
    <xf numFmtId="0" fontId="5" fillId="0" borderId="0" xfId="0" applyFont="1" applyBorder="1" applyAlignment="1">
      <alignment horizontal="left" vertical="top" wrapText="1"/>
    </xf>
    <xf numFmtId="0" fontId="0" fillId="0" borderId="0" xfId="0" applyBorder="1" applyAlignment="1">
      <alignment horizontal="left" vertical="top" wrapText="1"/>
    </xf>
    <xf numFmtId="49" fontId="0" fillId="0" borderId="0" xfId="0" applyNumberFormat="1" applyBorder="1" applyAlignment="1">
      <alignment horizontal="center" vertical="center" wrapText="1"/>
    </xf>
    <xf numFmtId="49" fontId="0" fillId="0" borderId="1" xfId="0" applyNumberFormat="1" applyBorder="1" applyAlignment="1">
      <alignment horizontal="center" vertical="center"/>
    </xf>
    <xf numFmtId="0" fontId="4" fillId="0" borderId="1" xfId="0" applyFont="1" applyBorder="1" applyAlignment="1">
      <alignment horizontal="center" vertical="center" wrapText="1"/>
    </xf>
    <xf numFmtId="164" fontId="0" fillId="0" borderId="1" xfId="0" applyNumberFormat="1" applyBorder="1"/>
    <xf numFmtId="172" fontId="4" fillId="0" borderId="1" xfId="0" applyNumberFormat="1" applyFont="1" applyBorder="1"/>
    <xf numFmtId="172" fontId="0" fillId="0" borderId="1" xfId="0" applyNumberFormat="1" applyBorder="1"/>
    <xf numFmtId="0" fontId="0" fillId="2" borderId="1" xfId="0" applyFill="1" applyBorder="1"/>
    <xf numFmtId="172" fontId="0" fillId="0" borderId="4" xfId="0" applyNumberFormat="1" applyBorder="1"/>
    <xf numFmtId="0" fontId="15" fillId="2" borderId="2" xfId="0" applyFont="1" applyFill="1" applyBorder="1"/>
    <xf numFmtId="0" fontId="15" fillId="2" borderId="4" xfId="0" applyFont="1" applyFill="1" applyBorder="1"/>
    <xf numFmtId="0" fontId="16" fillId="0" borderId="1" xfId="0" applyFont="1" applyBorder="1" applyAlignment="1">
      <alignment horizontal="center" wrapText="1"/>
    </xf>
    <xf numFmtId="0" fontId="15" fillId="0" borderId="2" xfId="0" applyFont="1" applyBorder="1" applyAlignment="1">
      <alignment vertical="top"/>
    </xf>
    <xf numFmtId="0" fontId="15" fillId="0" borderId="4" xfId="0" applyFont="1" applyBorder="1" applyAlignment="1">
      <alignment vertical="top" wrapText="1"/>
    </xf>
    <xf numFmtId="3" fontId="15" fillId="0" borderId="1" xfId="0" applyNumberFormat="1" applyFont="1" applyBorder="1" applyAlignment="1">
      <alignment horizontal="center" vertical="center"/>
    </xf>
    <xf numFmtId="0" fontId="15" fillId="0" borderId="1" xfId="0" applyFont="1" applyBorder="1" applyAlignment="1">
      <alignment horizontal="center" vertical="center"/>
    </xf>
    <xf numFmtId="173" fontId="15" fillId="0" borderId="1" xfId="2" applyNumberFormat="1" applyFont="1" applyBorder="1" applyAlignment="1">
      <alignment horizontal="center" vertical="center"/>
    </xf>
    <xf numFmtId="174" fontId="15" fillId="0" borderId="1" xfId="1" applyNumberFormat="1" applyFont="1" applyBorder="1" applyAlignment="1">
      <alignment horizontal="center" vertical="center"/>
    </xf>
    <xf numFmtId="0" fontId="15" fillId="0" borderId="2" xfId="0" applyFont="1" applyBorder="1" applyAlignment="1">
      <alignment vertical="center"/>
    </xf>
    <xf numFmtId="0" fontId="15" fillId="0" borderId="4" xfId="0" applyFont="1" applyBorder="1" applyAlignment="1">
      <alignment vertical="center" wrapText="1"/>
    </xf>
    <xf numFmtId="175" fontId="15" fillId="0" borderId="1" xfId="1" applyNumberFormat="1" applyFont="1" applyBorder="1" applyAlignment="1">
      <alignment horizontal="center" vertical="center"/>
    </xf>
    <xf numFmtId="0" fontId="15" fillId="0" borderId="0" xfId="0" applyFont="1" applyBorder="1" applyAlignment="1">
      <alignment vertical="top"/>
    </xf>
    <xf numFmtId="0" fontId="15" fillId="0" borderId="0" xfId="0" applyFont="1" applyBorder="1" applyAlignment="1">
      <alignment vertical="top" wrapText="1"/>
    </xf>
    <xf numFmtId="175" fontId="15" fillId="0" borderId="0" xfId="1" applyNumberFormat="1" applyFont="1" applyBorder="1" applyAlignment="1">
      <alignment horizontal="center" vertical="center"/>
    </xf>
    <xf numFmtId="9" fontId="4" fillId="0" borderId="1" xfId="0" applyNumberFormat="1" applyFont="1" applyBorder="1" applyAlignment="1">
      <alignment horizontal="right" wrapText="1"/>
    </xf>
    <xf numFmtId="9" fontId="0" fillId="0" borderId="0" xfId="2" applyFont="1" applyBorder="1" applyAlignment="1">
      <alignment horizontal="center"/>
    </xf>
    <xf numFmtId="176" fontId="4" fillId="0" borderId="1" xfId="0" applyNumberFormat="1" applyFont="1" applyBorder="1" applyAlignment="1">
      <alignment horizontal="right" wrapText="1"/>
    </xf>
    <xf numFmtId="0" fontId="3" fillId="0" borderId="0" xfId="0" applyFont="1" applyAlignment="1">
      <alignment horizontal="left" vertical="top" wrapText="1"/>
    </xf>
    <xf numFmtId="49" fontId="9" fillId="0" borderId="1" xfId="0" applyNumberFormat="1" applyFont="1" applyBorder="1" applyAlignment="1">
      <alignment horizontal="center" vertical="center"/>
    </xf>
    <xf numFmtId="1" fontId="0" fillId="0" borderId="1" xfId="0" applyNumberFormat="1" applyBorder="1" applyAlignment="1">
      <alignment horizontal="right"/>
    </xf>
    <xf numFmtId="0" fontId="18" fillId="0" borderId="0" xfId="0" applyFont="1"/>
    <xf numFmtId="0" fontId="0" fillId="0" borderId="0" xfId="0" applyBorder="1" applyAlignment="1">
      <alignment horizontal="center"/>
    </xf>
    <xf numFmtId="176" fontId="0" fillId="0" borderId="1" xfId="0" applyNumberFormat="1" applyBorder="1" applyAlignment="1">
      <alignment horizontal="right"/>
    </xf>
    <xf numFmtId="175" fontId="0" fillId="0" borderId="0" xfId="1" applyNumberFormat="1" applyFont="1" applyBorder="1" applyAlignment="1">
      <alignment horizontal="center"/>
    </xf>
    <xf numFmtId="0" fontId="3" fillId="0" borderId="0" xfId="0" applyFont="1" applyAlignment="1">
      <alignment vertical="top"/>
    </xf>
    <xf numFmtId="0" fontId="0" fillId="0" borderId="1" xfId="0" applyBorder="1"/>
    <xf numFmtId="0" fontId="0" fillId="0" borderId="10" xfId="0" applyBorder="1"/>
    <xf numFmtId="0" fontId="10" fillId="0" borderId="0" xfId="0" applyFont="1" applyAlignment="1">
      <alignment horizontal="left" vertical="top"/>
    </xf>
    <xf numFmtId="177" fontId="0" fillId="0" borderId="1" xfId="0" applyNumberFormat="1" applyBorder="1" applyAlignment="1">
      <alignment horizontal="right"/>
    </xf>
    <xf numFmtId="0" fontId="0" fillId="0" borderId="11" xfId="0" quotePrefix="1" applyBorder="1" applyAlignment="1">
      <alignment horizontal="center"/>
    </xf>
    <xf numFmtId="0" fontId="0" fillId="0" borderId="11" xfId="0" applyBorder="1"/>
    <xf numFmtId="0" fontId="0" fillId="0" borderId="1" xfId="0" applyBorder="1" applyAlignment="1"/>
    <xf numFmtId="177" fontId="0" fillId="0" borderId="1" xfId="0" applyNumberFormat="1" applyBorder="1"/>
    <xf numFmtId="0" fontId="0" fillId="0" borderId="0" xfId="0" quotePrefix="1" applyBorder="1" applyAlignment="1">
      <alignment horizontal="center"/>
    </xf>
    <xf numFmtId="177" fontId="0" fillId="0" borderId="1" xfId="0" applyNumberFormat="1" applyBorder="1" applyAlignment="1">
      <alignment horizontal="center" vertical="center"/>
    </xf>
    <xf numFmtId="0" fontId="0" fillId="0" borderId="1" xfId="0" applyBorder="1" applyAlignment="1">
      <alignment horizontal="center" vertical="center"/>
    </xf>
    <xf numFmtId="0" fontId="0" fillId="3" borderId="12" xfId="0" applyFill="1" applyBorder="1" applyAlignment="1"/>
    <xf numFmtId="0" fontId="5" fillId="0" borderId="1" xfId="0" applyFont="1" applyBorder="1"/>
    <xf numFmtId="0" fontId="0" fillId="0" borderId="13" xfId="0" applyBorder="1"/>
    <xf numFmtId="177" fontId="0" fillId="0" borderId="13" xfId="0" applyNumberFormat="1" applyBorder="1"/>
    <xf numFmtId="0" fontId="10" fillId="0" borderId="0" xfId="0" applyFont="1" applyAlignment="1">
      <alignment vertical="top"/>
    </xf>
    <xf numFmtId="0" fontId="10" fillId="0" borderId="0" xfId="0" applyFont="1"/>
    <xf numFmtId="0" fontId="0" fillId="0" borderId="0" xfId="0" applyBorder="1" applyAlignment="1">
      <alignment horizontal="left" vertical="top"/>
    </xf>
    <xf numFmtId="0" fontId="0" fillId="0" borderId="3" xfId="0" applyBorder="1" applyAlignment="1">
      <alignment horizontal="left" vertical="top"/>
    </xf>
    <xf numFmtId="49" fontId="0" fillId="0" borderId="3" xfId="0" applyNumberFormat="1" applyBorder="1" applyAlignment="1">
      <alignment horizontal="center" vertical="center"/>
    </xf>
    <xf numFmtId="0" fontId="0" fillId="0" borderId="0" xfId="0" applyBorder="1"/>
    <xf numFmtId="0" fontId="15" fillId="0" borderId="1" xfId="0" applyFont="1" applyBorder="1" applyAlignment="1">
      <alignment horizontal="center"/>
    </xf>
    <xf numFmtId="0" fontId="0" fillId="0" borderId="1" xfId="0" applyBorder="1" applyAlignment="1">
      <alignment horizontal="center"/>
    </xf>
    <xf numFmtId="0" fontId="0" fillId="2" borderId="1" xfId="0" applyFill="1" applyBorder="1" applyAlignment="1">
      <alignment horizontal="center"/>
    </xf>
    <xf numFmtId="0" fontId="0" fillId="0" borderId="1" xfId="0" applyBorder="1"/>
    <xf numFmtId="0" fontId="0" fillId="0" borderId="9" xfId="0" applyBorder="1" applyAlignment="1">
      <alignment horizontal="left" vertical="top" wrapText="1"/>
    </xf>
    <xf numFmtId="0" fontId="0" fillId="0" borderId="5" xfId="0" applyBorder="1" applyAlignment="1">
      <alignment horizontal="left" vertical="top" wrapText="1"/>
    </xf>
    <xf numFmtId="0" fontId="10" fillId="0" borderId="0" xfId="0" applyFont="1" applyAlignment="1">
      <alignment horizontal="left" vertical="top"/>
    </xf>
    <xf numFmtId="0" fontId="0" fillId="0" borderId="0" xfId="0" applyAlignment="1">
      <alignment horizontal="left" vertical="top"/>
    </xf>
    <xf numFmtId="0" fontId="0" fillId="2" borderId="1" xfId="0" applyFill="1" applyBorder="1"/>
    <xf numFmtId="0" fontId="0" fillId="0" borderId="1" xfId="0" applyBorder="1" applyAlignment="1">
      <alignment horizontal="left" vertical="top"/>
    </xf>
    <xf numFmtId="0" fontId="0" fillId="0" borderId="6" xfId="0" applyBorder="1" applyAlignment="1">
      <alignment horizontal="left" vertical="top" wrapText="1"/>
    </xf>
    <xf numFmtId="0" fontId="0" fillId="0" borderId="7" xfId="0" applyBorder="1" applyAlignment="1">
      <alignment horizontal="left" vertical="top" wrapText="1"/>
    </xf>
    <xf numFmtId="0" fontId="0" fillId="0" borderId="8" xfId="0" applyBorder="1" applyAlignment="1">
      <alignment horizontal="left" vertical="top" wrapText="1"/>
    </xf>
    <xf numFmtId="0" fontId="0" fillId="0" borderId="5" xfId="0" applyBorder="1" applyAlignment="1">
      <alignment horizontal="left" vertical="top"/>
    </xf>
    <xf numFmtId="0" fontId="0" fillId="0" borderId="1" xfId="0" applyBorder="1" applyAlignment="1"/>
    <xf numFmtId="0" fontId="0" fillId="0" borderId="1" xfId="0" applyBorder="1" applyAlignment="1">
      <alignment horizontal="left" vertical="top" wrapText="1"/>
    </xf>
    <xf numFmtId="0" fontId="10" fillId="0" borderId="0" xfId="0" applyFont="1" applyAlignment="1">
      <alignment horizontal="left" vertical="top" wrapText="1"/>
    </xf>
    <xf numFmtId="0" fontId="0" fillId="2" borderId="1" xfId="0" applyFill="1" applyBorder="1" applyAlignment="1"/>
    <xf numFmtId="0" fontId="0" fillId="0" borderId="2" xfId="0" applyBorder="1" applyAlignment="1">
      <alignment horizontal="left" vertical="top"/>
    </xf>
    <xf numFmtId="0" fontId="0" fillId="0" borderId="3" xfId="0" applyBorder="1" applyAlignment="1"/>
    <xf numFmtId="0" fontId="0" fillId="0" borderId="4" xfId="0" applyBorder="1" applyAlignment="1"/>
    <xf numFmtId="0" fontId="10" fillId="0" borderId="1" xfId="0" applyFont="1" applyBorder="1" applyAlignment="1">
      <alignment horizontal="left" vertical="top" wrapText="1"/>
    </xf>
    <xf numFmtId="0" fontId="3" fillId="0" borderId="0" xfId="0" applyFont="1" applyAlignment="1">
      <alignment horizontal="left" vertical="top" wrapText="1"/>
    </xf>
    <xf numFmtId="0" fontId="0" fillId="0" borderId="0" xfId="0" applyAlignment="1">
      <alignment horizontal="left" vertical="top" wrapText="1"/>
    </xf>
    <xf numFmtId="0" fontId="10" fillId="0" borderId="2" xfId="0" applyFont="1" applyBorder="1" applyAlignment="1">
      <alignment horizontal="left" vertical="top" wrapText="1"/>
    </xf>
    <xf numFmtId="0" fontId="10" fillId="0" borderId="3" xfId="0" applyFont="1" applyBorder="1" applyAlignment="1">
      <alignment horizontal="left" vertical="top" wrapText="1"/>
    </xf>
    <xf numFmtId="0" fontId="10" fillId="0" borderId="4" xfId="0" applyFont="1" applyBorder="1" applyAlignment="1">
      <alignment horizontal="left" vertical="top" wrapText="1"/>
    </xf>
    <xf numFmtId="0" fontId="4" fillId="0" borderId="0" xfId="0" applyFont="1" applyAlignment="1">
      <alignment horizontal="left" vertical="top" wrapText="1"/>
    </xf>
    <xf numFmtId="0" fontId="4" fillId="0" borderId="5" xfId="0" applyFont="1" applyBorder="1" applyAlignment="1">
      <alignment horizontal="left" vertical="top" wrapText="1"/>
    </xf>
    <xf numFmtId="0" fontId="10" fillId="0" borderId="5" xfId="0" applyFont="1" applyBorder="1" applyAlignment="1">
      <alignment horizontal="left" vertical="top" wrapText="1"/>
    </xf>
    <xf numFmtId="0" fontId="13" fillId="0" borderId="2" xfId="0" applyFont="1" applyBorder="1" applyAlignment="1">
      <alignment horizontal="left" vertical="top" wrapText="1"/>
    </xf>
    <xf numFmtId="0" fontId="13" fillId="0" borderId="3" xfId="0" applyFont="1" applyBorder="1" applyAlignment="1">
      <alignment horizontal="left" vertical="top" wrapText="1"/>
    </xf>
    <xf numFmtId="0" fontId="13" fillId="0" borderId="4" xfId="0" applyFont="1" applyBorder="1" applyAlignment="1">
      <alignment horizontal="left" vertical="top" wrapText="1"/>
    </xf>
    <xf numFmtId="0" fontId="12" fillId="2" borderId="2" xfId="0" applyFont="1" applyFill="1" applyBorder="1"/>
    <xf numFmtId="0" fontId="12" fillId="2" borderId="3" xfId="0" applyFont="1" applyFill="1" applyBorder="1"/>
    <xf numFmtId="0" fontId="12" fillId="2" borderId="4" xfId="0" applyFont="1" applyFill="1" applyBorder="1"/>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4" xfId="0" applyBorder="1" applyAlignment="1">
      <alignment horizontal="left" vertical="top" wrapText="1"/>
    </xf>
    <xf numFmtId="0" fontId="0" fillId="2" borderId="2" xfId="0" applyFill="1" applyBorder="1"/>
    <xf numFmtId="0" fontId="0" fillId="2" borderId="3" xfId="0" applyFill="1" applyBorder="1"/>
    <xf numFmtId="0" fontId="0" fillId="2" borderId="4" xfId="0" applyFill="1" applyBorder="1"/>
    <xf numFmtId="0" fontId="5" fillId="0" borderId="1" xfId="0" applyFont="1" applyBorder="1" applyAlignment="1">
      <alignment horizontal="left" vertical="top" wrapText="1"/>
    </xf>
    <xf numFmtId="0" fontId="0" fillId="0" borderId="1" xfId="0" applyBorder="1" applyAlignment="1">
      <alignment horizontal="left" vertical="center"/>
    </xf>
    <xf numFmtId="0" fontId="2" fillId="2" borderId="0" xfId="0" applyFont="1" applyFill="1" applyAlignment="1">
      <alignment horizontal="center" vertical="center"/>
    </xf>
    <xf numFmtId="0" fontId="3" fillId="0" borderId="0" xfId="0" applyFont="1" applyAlignment="1">
      <alignment horizontal="left" vertical="top"/>
    </xf>
    <xf numFmtId="0" fontId="5" fillId="0" borderId="0" xfId="0" applyFont="1" applyAlignment="1">
      <alignment horizontal="left" vertical="top" wrapText="1"/>
    </xf>
    <xf numFmtId="0" fontId="5" fillId="2" borderId="1" xfId="0" applyFont="1" applyFill="1" applyBorder="1" applyAlignment="1">
      <alignment horizontal="left" vertical="top" wrapText="1"/>
    </xf>
    <xf numFmtId="0" fontId="0" fillId="2" borderId="1" xfId="0" applyFill="1" applyBorder="1" applyAlignment="1">
      <alignment horizontal="left" vertical="top" wrapText="1"/>
    </xf>
  </cellXfs>
  <cellStyles count="3">
    <cellStyle name="Currency" xfId="1" builtinId="4"/>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2"/>
  <sheetViews>
    <sheetView tabSelected="1" workbookViewId="0">
      <selection sqref="A1:F1"/>
    </sheetView>
  </sheetViews>
  <sheetFormatPr defaultRowHeight="14" x14ac:dyDescent="0.3"/>
  <cols>
    <col min="1" max="1" width="4.7265625" style="1" customWidth="1"/>
    <col min="2" max="2" width="2.54296875" customWidth="1"/>
    <col min="3" max="3" width="41" customWidth="1"/>
    <col min="4" max="6" width="14.26953125" customWidth="1"/>
  </cols>
  <sheetData>
    <row r="1" spans="1:6" ht="18" x14ac:dyDescent="0.3">
      <c r="A1" s="110" t="s">
        <v>0</v>
      </c>
      <c r="B1" s="110"/>
      <c r="C1" s="110"/>
      <c r="D1" s="110"/>
      <c r="E1" s="110"/>
      <c r="F1" s="110"/>
    </row>
    <row r="3" spans="1:6" ht="15.5" x14ac:dyDescent="0.3">
      <c r="B3" s="111" t="s">
        <v>1</v>
      </c>
      <c r="C3" s="73"/>
      <c r="D3" s="73"/>
    </row>
    <row r="4" spans="1:6" ht="116.25" customHeight="1" x14ac:dyDescent="0.3">
      <c r="A4" s="2"/>
      <c r="B4" s="112" t="s">
        <v>2</v>
      </c>
      <c r="C4" s="89"/>
      <c r="D4" s="89"/>
      <c r="E4" s="89"/>
      <c r="F4" s="89"/>
    </row>
    <row r="5" spans="1:6" x14ac:dyDescent="0.3">
      <c r="A5" s="2"/>
      <c r="B5" s="3"/>
      <c r="C5" s="4"/>
      <c r="D5" s="4"/>
      <c r="E5" s="4"/>
      <c r="F5" s="4"/>
    </row>
    <row r="6" spans="1:6" ht="28" x14ac:dyDescent="0.3">
      <c r="A6" s="2" t="s">
        <v>3</v>
      </c>
      <c r="B6" s="113"/>
      <c r="C6" s="114"/>
      <c r="D6" s="114"/>
      <c r="E6" s="5" t="s">
        <v>4</v>
      </c>
      <c r="F6" s="6" t="s">
        <v>5</v>
      </c>
    </row>
    <row r="7" spans="1:6" ht="27" customHeight="1" x14ac:dyDescent="0.3">
      <c r="A7" s="2" t="s">
        <v>3</v>
      </c>
      <c r="B7" s="108" t="s">
        <v>6</v>
      </c>
      <c r="C7" s="81"/>
      <c r="D7" s="81"/>
      <c r="E7" s="7" t="s">
        <v>7</v>
      </c>
      <c r="F7" s="8"/>
    </row>
    <row r="8" spans="1:6" x14ac:dyDescent="0.3">
      <c r="A8" s="2"/>
      <c r="B8" s="9"/>
      <c r="C8" s="10"/>
      <c r="D8" s="10"/>
      <c r="E8" s="11"/>
      <c r="F8" s="11"/>
    </row>
    <row r="9" spans="1:6" x14ac:dyDescent="0.3">
      <c r="A9" s="2" t="s">
        <v>8</v>
      </c>
      <c r="B9" s="82" t="s">
        <v>9</v>
      </c>
      <c r="C9" s="82"/>
      <c r="D9" s="82"/>
      <c r="E9" s="82"/>
      <c r="F9" s="82"/>
    </row>
    <row r="10" spans="1:6" x14ac:dyDescent="0.3">
      <c r="A10" s="2" t="s">
        <v>8</v>
      </c>
      <c r="B10" s="109" t="s">
        <v>10</v>
      </c>
      <c r="C10" s="109"/>
      <c r="D10" s="7" t="s">
        <v>7</v>
      </c>
    </row>
    <row r="11" spans="1:6" x14ac:dyDescent="0.3">
      <c r="A11" s="2" t="s">
        <v>8</v>
      </c>
      <c r="B11" s="75" t="s">
        <v>11</v>
      </c>
      <c r="C11" s="75"/>
      <c r="D11" s="12"/>
    </row>
    <row r="12" spans="1:6" x14ac:dyDescent="0.3">
      <c r="A12" s="2" t="s">
        <v>8</v>
      </c>
      <c r="B12" s="75" t="s">
        <v>12</v>
      </c>
      <c r="C12" s="75"/>
      <c r="D12" s="12"/>
    </row>
    <row r="14" spans="1:6" ht="56" x14ac:dyDescent="0.3">
      <c r="A14" s="2" t="s">
        <v>3</v>
      </c>
      <c r="B14" s="105"/>
      <c r="C14" s="106"/>
      <c r="D14" s="107"/>
      <c r="E14" s="13" t="s">
        <v>13</v>
      </c>
      <c r="F14" s="13" t="s">
        <v>14</v>
      </c>
    </row>
    <row r="15" spans="1:6" x14ac:dyDescent="0.3">
      <c r="A15" s="2" t="s">
        <v>3</v>
      </c>
      <c r="B15" s="99" t="s">
        <v>15</v>
      </c>
      <c r="C15" s="100"/>
      <c r="D15" s="100"/>
      <c r="E15" s="100"/>
      <c r="F15" s="101"/>
    </row>
    <row r="16" spans="1:6" x14ac:dyDescent="0.3">
      <c r="A16" s="2" t="s">
        <v>3</v>
      </c>
      <c r="B16" s="102" t="s">
        <v>16</v>
      </c>
      <c r="C16" s="103"/>
      <c r="D16" s="104"/>
      <c r="E16" s="14">
        <v>13802411</v>
      </c>
      <c r="F16" s="14">
        <v>0</v>
      </c>
    </row>
    <row r="17" spans="1:6" ht="26.25" customHeight="1" x14ac:dyDescent="0.3">
      <c r="A17" s="2" t="s">
        <v>3</v>
      </c>
      <c r="B17" s="102" t="s">
        <v>17</v>
      </c>
      <c r="C17" s="103"/>
      <c r="D17" s="104"/>
      <c r="E17" s="14">
        <v>8637664</v>
      </c>
      <c r="F17" s="14">
        <v>0</v>
      </c>
    </row>
    <row r="18" spans="1:6" ht="40.5" customHeight="1" x14ac:dyDescent="0.3">
      <c r="A18" s="2" t="s">
        <v>3</v>
      </c>
      <c r="B18" s="102" t="s">
        <v>18</v>
      </c>
      <c r="C18" s="103"/>
      <c r="D18" s="104"/>
      <c r="E18" s="14">
        <v>1376630</v>
      </c>
      <c r="F18" s="14">
        <v>2193330</v>
      </c>
    </row>
    <row r="19" spans="1:6" ht="27.75" customHeight="1" x14ac:dyDescent="0.3">
      <c r="A19" s="2" t="s">
        <v>3</v>
      </c>
      <c r="B19" s="102" t="s">
        <v>19</v>
      </c>
      <c r="C19" s="103"/>
      <c r="D19" s="104"/>
      <c r="E19" s="14">
        <v>1732228</v>
      </c>
      <c r="F19" s="14">
        <v>1438716</v>
      </c>
    </row>
    <row r="20" spans="1:6" x14ac:dyDescent="0.3">
      <c r="A20" s="2" t="s">
        <v>3</v>
      </c>
      <c r="B20" s="96" t="s">
        <v>20</v>
      </c>
      <c r="C20" s="97"/>
      <c r="D20" s="98"/>
      <c r="E20" s="15">
        <f>SUM(E16:E19)</f>
        <v>25548933</v>
      </c>
      <c r="F20" s="15">
        <f>SUM(F16:F19)</f>
        <v>3632046</v>
      </c>
    </row>
    <row r="21" spans="1:6" x14ac:dyDescent="0.3">
      <c r="A21" s="2" t="s">
        <v>3</v>
      </c>
      <c r="B21" s="99" t="s">
        <v>21</v>
      </c>
      <c r="C21" s="100"/>
      <c r="D21" s="100"/>
      <c r="E21" s="100"/>
      <c r="F21" s="101"/>
    </row>
    <row r="22" spans="1:6" x14ac:dyDescent="0.3">
      <c r="A22" s="2" t="s">
        <v>3</v>
      </c>
      <c r="B22" s="102" t="s">
        <v>22</v>
      </c>
      <c r="C22" s="103"/>
      <c r="D22" s="104"/>
      <c r="E22" s="16">
        <v>29582168</v>
      </c>
      <c r="F22" s="16">
        <v>7723816</v>
      </c>
    </row>
    <row r="23" spans="1:6" x14ac:dyDescent="0.3">
      <c r="A23" s="2" t="s">
        <v>3</v>
      </c>
      <c r="B23" s="102" t="s">
        <v>23</v>
      </c>
      <c r="C23" s="103"/>
      <c r="D23" s="104"/>
      <c r="E23" s="16">
        <v>3303092</v>
      </c>
      <c r="F23" s="17"/>
    </row>
    <row r="24" spans="1:6" ht="25.5" customHeight="1" x14ac:dyDescent="0.3">
      <c r="A24" s="2" t="s">
        <v>3</v>
      </c>
      <c r="B24" s="102" t="s">
        <v>24</v>
      </c>
      <c r="C24" s="103"/>
      <c r="D24" s="104"/>
      <c r="E24" s="16"/>
      <c r="F24" s="18"/>
    </row>
    <row r="25" spans="1:6" x14ac:dyDescent="0.3">
      <c r="A25" s="2" t="s">
        <v>3</v>
      </c>
      <c r="B25" s="96" t="s">
        <v>25</v>
      </c>
      <c r="C25" s="97"/>
      <c r="D25" s="98"/>
      <c r="E25" s="15">
        <f>SUM(E22:E24)</f>
        <v>32885260</v>
      </c>
      <c r="F25" s="15">
        <f>SUM(F22,F24)</f>
        <v>7723816</v>
      </c>
    </row>
    <row r="26" spans="1:6" x14ac:dyDescent="0.3">
      <c r="A26" s="2" t="s">
        <v>3</v>
      </c>
      <c r="B26" s="99" t="s">
        <v>26</v>
      </c>
      <c r="C26" s="100"/>
      <c r="D26" s="100"/>
      <c r="E26" s="100"/>
      <c r="F26" s="101"/>
    </row>
    <row r="27" spans="1:6" x14ac:dyDescent="0.3">
      <c r="A27" s="2" t="s">
        <v>3</v>
      </c>
      <c r="B27" s="90" t="s">
        <v>27</v>
      </c>
      <c r="C27" s="91"/>
      <c r="D27" s="92"/>
      <c r="E27" s="16">
        <v>870339</v>
      </c>
      <c r="F27" s="16">
        <v>1391928</v>
      </c>
    </row>
    <row r="28" spans="1:6" ht="38.25" customHeight="1" x14ac:dyDescent="0.3">
      <c r="A28" s="2" t="s">
        <v>3</v>
      </c>
      <c r="B28" s="90" t="s">
        <v>28</v>
      </c>
      <c r="C28" s="91"/>
      <c r="D28" s="92"/>
      <c r="E28" s="16"/>
      <c r="F28" s="16"/>
    </row>
    <row r="29" spans="1:6" x14ac:dyDescent="0.3">
      <c r="A29" s="2" t="s">
        <v>3</v>
      </c>
      <c r="B29" s="90" t="s">
        <v>29</v>
      </c>
      <c r="C29" s="91"/>
      <c r="D29" s="92"/>
      <c r="E29" s="16">
        <v>269226</v>
      </c>
      <c r="F29" s="16">
        <v>980782</v>
      </c>
    </row>
    <row r="31" spans="1:6" ht="63.75" customHeight="1" x14ac:dyDescent="0.3">
      <c r="A31" s="2" t="s">
        <v>30</v>
      </c>
      <c r="B31" s="93" t="s">
        <v>31</v>
      </c>
      <c r="C31" s="82"/>
      <c r="D31" s="82"/>
      <c r="E31" s="82"/>
      <c r="F31" s="82"/>
    </row>
    <row r="32" spans="1:6" ht="35" x14ac:dyDescent="0.3">
      <c r="A32" s="2" t="s">
        <v>30</v>
      </c>
      <c r="B32" s="19"/>
      <c r="C32" s="20"/>
      <c r="D32" s="21" t="s">
        <v>32</v>
      </c>
      <c r="E32" s="21" t="s">
        <v>33</v>
      </c>
      <c r="F32" s="21" t="s">
        <v>34</v>
      </c>
    </row>
    <row r="33" spans="1:6" ht="23" x14ac:dyDescent="0.3">
      <c r="A33" s="2" t="s">
        <v>30</v>
      </c>
      <c r="B33" s="22" t="s">
        <v>35</v>
      </c>
      <c r="C33" s="23" t="s">
        <v>36</v>
      </c>
      <c r="D33" s="24">
        <v>2374</v>
      </c>
      <c r="E33" s="24">
        <v>13486</v>
      </c>
      <c r="F33" s="24">
        <v>5383</v>
      </c>
    </row>
    <row r="34" spans="1:6" ht="24.75" customHeight="1" x14ac:dyDescent="0.3">
      <c r="A34" s="2" t="s">
        <v>30</v>
      </c>
      <c r="B34" s="22" t="s">
        <v>37</v>
      </c>
      <c r="C34" s="23" t="s">
        <v>38</v>
      </c>
      <c r="D34" s="24">
        <v>1537</v>
      </c>
      <c r="E34" s="24">
        <v>8204</v>
      </c>
      <c r="F34" s="24">
        <v>2072</v>
      </c>
    </row>
    <row r="35" spans="1:6" ht="23" x14ac:dyDescent="0.3">
      <c r="A35" s="2" t="s">
        <v>30</v>
      </c>
      <c r="B35" s="22" t="s">
        <v>39</v>
      </c>
      <c r="C35" s="23" t="s">
        <v>40</v>
      </c>
      <c r="D35" s="24">
        <v>1041</v>
      </c>
      <c r="E35" s="24">
        <v>6287</v>
      </c>
      <c r="F35" s="24">
        <v>1383</v>
      </c>
    </row>
    <row r="36" spans="1:6" ht="23" x14ac:dyDescent="0.3">
      <c r="A36" s="2" t="s">
        <v>30</v>
      </c>
      <c r="B36" s="22" t="s">
        <v>41</v>
      </c>
      <c r="C36" s="23" t="s">
        <v>42</v>
      </c>
      <c r="D36" s="24">
        <v>1041</v>
      </c>
      <c r="E36" s="24">
        <v>6287</v>
      </c>
      <c r="F36" s="24">
        <v>1383</v>
      </c>
    </row>
    <row r="37" spans="1:6" ht="23" x14ac:dyDescent="0.3">
      <c r="A37" s="2" t="s">
        <v>30</v>
      </c>
      <c r="B37" s="22" t="s">
        <v>43</v>
      </c>
      <c r="C37" s="23" t="s">
        <v>44</v>
      </c>
      <c r="D37" s="25">
        <v>743</v>
      </c>
      <c r="E37" s="24">
        <v>4686</v>
      </c>
      <c r="F37" s="25">
        <v>759</v>
      </c>
    </row>
    <row r="38" spans="1:6" ht="23" x14ac:dyDescent="0.3">
      <c r="A38" s="2" t="s">
        <v>30</v>
      </c>
      <c r="B38" s="22" t="s">
        <v>45</v>
      </c>
      <c r="C38" s="23" t="s">
        <v>46</v>
      </c>
      <c r="D38" s="25">
        <v>791</v>
      </c>
      <c r="E38" s="24">
        <v>5120</v>
      </c>
      <c r="F38" s="24">
        <v>1165</v>
      </c>
    </row>
    <row r="39" spans="1:6" ht="23" x14ac:dyDescent="0.3">
      <c r="A39" s="2" t="s">
        <v>30</v>
      </c>
      <c r="B39" s="22" t="s">
        <v>47</v>
      </c>
      <c r="C39" s="23" t="s">
        <v>48</v>
      </c>
      <c r="D39" s="25">
        <v>412</v>
      </c>
      <c r="E39" s="24">
        <v>1418</v>
      </c>
      <c r="F39" s="25">
        <v>130</v>
      </c>
    </row>
    <row r="40" spans="1:6" ht="34.5" x14ac:dyDescent="0.3">
      <c r="A40" s="2" t="s">
        <v>30</v>
      </c>
      <c r="B40" s="22" t="s">
        <v>49</v>
      </c>
      <c r="C40" s="23" t="s">
        <v>50</v>
      </c>
      <c r="D40" s="25">
        <v>130</v>
      </c>
      <c r="E40" s="24">
        <v>1213</v>
      </c>
      <c r="F40" s="25">
        <v>310</v>
      </c>
    </row>
    <row r="41" spans="1:6" ht="69" x14ac:dyDescent="0.3">
      <c r="A41" s="2" t="s">
        <v>30</v>
      </c>
      <c r="B41" s="22" t="s">
        <v>51</v>
      </c>
      <c r="C41" s="23" t="s">
        <v>52</v>
      </c>
      <c r="D41" s="26">
        <v>0.76</v>
      </c>
      <c r="E41" s="26">
        <v>0.8</v>
      </c>
      <c r="F41" s="26">
        <v>0.67</v>
      </c>
    </row>
    <row r="42" spans="1:6" ht="46" x14ac:dyDescent="0.3">
      <c r="A42" s="2" t="s">
        <v>30</v>
      </c>
      <c r="B42" s="22" t="s">
        <v>53</v>
      </c>
      <c r="C42" s="23" t="s">
        <v>54</v>
      </c>
      <c r="D42" s="27">
        <v>6875</v>
      </c>
      <c r="E42" s="27">
        <v>8014</v>
      </c>
      <c r="F42" s="27">
        <v>5976</v>
      </c>
    </row>
    <row r="43" spans="1:6" ht="23" x14ac:dyDescent="0.3">
      <c r="A43" s="2" t="s">
        <v>30</v>
      </c>
      <c r="B43" s="28" t="s">
        <v>55</v>
      </c>
      <c r="C43" s="29" t="s">
        <v>56</v>
      </c>
      <c r="D43" s="27">
        <v>4892</v>
      </c>
      <c r="E43" s="27">
        <v>4381</v>
      </c>
      <c r="F43" s="27">
        <v>2430</v>
      </c>
    </row>
    <row r="44" spans="1:6" ht="36.75" customHeight="1" x14ac:dyDescent="0.3">
      <c r="A44" s="2" t="s">
        <v>30</v>
      </c>
      <c r="B44" s="22" t="s">
        <v>57</v>
      </c>
      <c r="C44" s="23" t="s">
        <v>58</v>
      </c>
      <c r="D44" s="27">
        <v>3455</v>
      </c>
      <c r="E44" s="27">
        <v>5213</v>
      </c>
      <c r="F44" s="27">
        <v>5316</v>
      </c>
    </row>
    <row r="45" spans="1:6" ht="34.5" x14ac:dyDescent="0.3">
      <c r="A45" s="2" t="s">
        <v>30</v>
      </c>
      <c r="B45" s="22" t="s">
        <v>59</v>
      </c>
      <c r="C45" s="23" t="s">
        <v>60</v>
      </c>
      <c r="D45" s="27">
        <v>3126</v>
      </c>
      <c r="E45" s="27">
        <v>4975</v>
      </c>
      <c r="F45" s="27">
        <v>5275</v>
      </c>
    </row>
    <row r="47" spans="1:6" ht="64.5" customHeight="1" x14ac:dyDescent="0.3">
      <c r="A47" s="2" t="s">
        <v>61</v>
      </c>
      <c r="B47" s="94" t="s">
        <v>62</v>
      </c>
      <c r="C47" s="95"/>
      <c r="D47" s="95"/>
      <c r="E47" s="95"/>
      <c r="F47" s="95"/>
    </row>
    <row r="48" spans="1:6" ht="35" x14ac:dyDescent="0.3">
      <c r="A48" s="2" t="s">
        <v>61</v>
      </c>
      <c r="B48" s="19"/>
      <c r="C48" s="20"/>
      <c r="D48" s="21" t="s">
        <v>32</v>
      </c>
      <c r="E48" s="21" t="s">
        <v>63</v>
      </c>
      <c r="F48" s="21" t="s">
        <v>64</v>
      </c>
    </row>
    <row r="49" spans="1:6" ht="49.5" customHeight="1" x14ac:dyDescent="0.3">
      <c r="A49" s="2" t="s">
        <v>61</v>
      </c>
      <c r="B49" s="22" t="s">
        <v>65</v>
      </c>
      <c r="C49" s="23" t="s">
        <v>66</v>
      </c>
      <c r="D49" s="25">
        <v>422</v>
      </c>
      <c r="E49" s="25">
        <v>1582</v>
      </c>
      <c r="F49" s="25">
        <v>273</v>
      </c>
    </row>
    <row r="50" spans="1:6" ht="34.5" x14ac:dyDescent="0.3">
      <c r="A50" s="2" t="s">
        <v>61</v>
      </c>
      <c r="B50" s="22" t="s">
        <v>67</v>
      </c>
      <c r="C50" s="23" t="s">
        <v>68</v>
      </c>
      <c r="D50" s="30">
        <v>2097</v>
      </c>
      <c r="E50" s="30">
        <v>2114</v>
      </c>
      <c r="F50" s="30">
        <v>1212</v>
      </c>
    </row>
    <row r="51" spans="1:6" ht="34.5" x14ac:dyDescent="0.3">
      <c r="A51" s="2" t="s">
        <v>61</v>
      </c>
      <c r="B51" s="22" t="s">
        <v>69</v>
      </c>
      <c r="C51" s="23" t="s">
        <v>70</v>
      </c>
      <c r="D51" s="25">
        <v>45</v>
      </c>
      <c r="E51" s="25">
        <v>190</v>
      </c>
      <c r="F51" s="25">
        <v>6</v>
      </c>
    </row>
    <row r="52" spans="1:6" ht="34.5" x14ac:dyDescent="0.3">
      <c r="A52" s="2" t="s">
        <v>61</v>
      </c>
      <c r="B52" s="22" t="s">
        <v>71</v>
      </c>
      <c r="C52" s="23" t="s">
        <v>72</v>
      </c>
      <c r="D52" s="30">
        <v>5914</v>
      </c>
      <c r="E52" s="30">
        <v>6432</v>
      </c>
      <c r="F52" s="30">
        <v>4647</v>
      </c>
    </row>
    <row r="53" spans="1:6" x14ac:dyDescent="0.3">
      <c r="A53"/>
    </row>
    <row r="54" spans="1:6" x14ac:dyDescent="0.3">
      <c r="A54" s="2" t="s">
        <v>8</v>
      </c>
      <c r="B54" s="31" t="s">
        <v>73</v>
      </c>
      <c r="C54" s="32"/>
      <c r="D54" s="33"/>
      <c r="E54" s="33"/>
      <c r="F54" s="33"/>
    </row>
    <row r="56" spans="1:6" ht="51.75" customHeight="1" x14ac:dyDescent="0.3">
      <c r="A56" s="2" t="s">
        <v>74</v>
      </c>
      <c r="B56" s="87" t="s">
        <v>75</v>
      </c>
      <c r="C56" s="87"/>
      <c r="D56" s="87"/>
      <c r="E56" s="87"/>
      <c r="F56" s="34">
        <v>0.4657</v>
      </c>
    </row>
    <row r="57" spans="1:6" x14ac:dyDescent="0.3">
      <c r="F57" s="35"/>
    </row>
    <row r="58" spans="1:6" ht="30" customHeight="1" x14ac:dyDescent="0.3">
      <c r="A58" s="2" t="s">
        <v>76</v>
      </c>
      <c r="B58" s="87" t="s">
        <v>77</v>
      </c>
      <c r="C58" s="87"/>
      <c r="D58" s="87"/>
      <c r="E58" s="87"/>
      <c r="F58" s="36">
        <v>12934</v>
      </c>
    </row>
    <row r="60" spans="1:6" ht="27.75" customHeight="1" x14ac:dyDescent="0.3">
      <c r="B60" s="88" t="s">
        <v>78</v>
      </c>
      <c r="C60" s="89"/>
      <c r="D60" s="89"/>
      <c r="E60" s="89"/>
      <c r="F60" s="89"/>
    </row>
    <row r="61" spans="1:6" ht="15.5" x14ac:dyDescent="0.3">
      <c r="B61" s="37"/>
      <c r="C61" s="4"/>
      <c r="D61" s="4"/>
      <c r="E61" s="4"/>
      <c r="F61" s="4"/>
    </row>
    <row r="62" spans="1:6" ht="26.25" customHeight="1" x14ac:dyDescent="0.3">
      <c r="A62" s="2" t="s">
        <v>79</v>
      </c>
      <c r="B62" s="82" t="s">
        <v>80</v>
      </c>
      <c r="C62" s="82"/>
      <c r="D62" s="82"/>
      <c r="E62" s="82"/>
      <c r="F62" s="82"/>
    </row>
    <row r="63" spans="1:6" x14ac:dyDescent="0.3">
      <c r="A63" s="2" t="s">
        <v>79</v>
      </c>
      <c r="B63" s="75" t="s">
        <v>81</v>
      </c>
      <c r="C63" s="75"/>
      <c r="D63" s="75"/>
      <c r="E63" s="38" t="s">
        <v>7</v>
      </c>
    </row>
    <row r="64" spans="1:6" x14ac:dyDescent="0.3">
      <c r="A64" s="2" t="s">
        <v>79</v>
      </c>
      <c r="B64" s="75" t="s">
        <v>82</v>
      </c>
      <c r="C64" s="75"/>
      <c r="D64" s="75"/>
      <c r="E64" s="38" t="s">
        <v>7</v>
      </c>
    </row>
    <row r="65" spans="1:6" x14ac:dyDescent="0.3">
      <c r="A65" s="2" t="s">
        <v>79</v>
      </c>
      <c r="B65" s="75" t="s">
        <v>83</v>
      </c>
      <c r="C65" s="75"/>
      <c r="D65" s="75"/>
      <c r="E65" s="12"/>
    </row>
    <row r="67" spans="1:6" ht="40.5" customHeight="1" x14ac:dyDescent="0.3">
      <c r="A67" s="2" t="s">
        <v>79</v>
      </c>
      <c r="B67" s="81" t="s">
        <v>84</v>
      </c>
      <c r="C67" s="81"/>
      <c r="D67" s="81"/>
      <c r="E67" s="81"/>
      <c r="F67" s="39">
        <v>339</v>
      </c>
    </row>
    <row r="68" spans="1:6" x14ac:dyDescent="0.3">
      <c r="B68" s="4"/>
      <c r="C68" s="40"/>
      <c r="D68" s="4"/>
      <c r="E68" s="4"/>
      <c r="F68" s="41"/>
    </row>
    <row r="69" spans="1:6" ht="25.5" customHeight="1" x14ac:dyDescent="0.3">
      <c r="A69" s="2" t="s">
        <v>79</v>
      </c>
      <c r="B69" s="81" t="s">
        <v>85</v>
      </c>
      <c r="C69" s="81"/>
      <c r="D69" s="81"/>
      <c r="E69" s="81"/>
      <c r="F69" s="42">
        <v>2713</v>
      </c>
    </row>
    <row r="70" spans="1:6" x14ac:dyDescent="0.3">
      <c r="F70" s="43"/>
    </row>
    <row r="71" spans="1:6" ht="26.25" customHeight="1" x14ac:dyDescent="0.3">
      <c r="A71" s="2" t="s">
        <v>79</v>
      </c>
      <c r="B71" s="81" t="s">
        <v>86</v>
      </c>
      <c r="C71" s="81"/>
      <c r="D71" s="81"/>
      <c r="E71" s="81"/>
      <c r="F71" s="42">
        <v>919861</v>
      </c>
    </row>
    <row r="73" spans="1:6" ht="15.5" x14ac:dyDescent="0.3">
      <c r="B73" s="44" t="s">
        <v>87</v>
      </c>
    </row>
    <row r="74" spans="1:6" ht="12.75" customHeight="1" x14ac:dyDescent="0.3">
      <c r="B74" s="44"/>
    </row>
    <row r="75" spans="1:6" x14ac:dyDescent="0.3">
      <c r="A75" s="2" t="s">
        <v>88</v>
      </c>
      <c r="B75" s="82" t="s">
        <v>89</v>
      </c>
      <c r="C75" s="82"/>
      <c r="D75" s="82"/>
      <c r="E75" s="82"/>
      <c r="F75" s="82"/>
    </row>
    <row r="76" spans="1:6" x14ac:dyDescent="0.3">
      <c r="A76" s="2" t="s">
        <v>88</v>
      </c>
      <c r="B76" s="84" t="s">
        <v>90</v>
      </c>
      <c r="C76" s="85"/>
      <c r="D76" s="86"/>
      <c r="E76" s="38" t="s">
        <v>7</v>
      </c>
    </row>
    <row r="77" spans="1:6" x14ac:dyDescent="0.3">
      <c r="A77" s="2" t="s">
        <v>88</v>
      </c>
      <c r="B77" s="84" t="s">
        <v>91</v>
      </c>
      <c r="C77" s="85"/>
      <c r="D77" s="86"/>
      <c r="E77" s="45"/>
    </row>
    <row r="78" spans="1:6" x14ac:dyDescent="0.3">
      <c r="A78" s="2" t="s">
        <v>88</v>
      </c>
      <c r="B78" s="84" t="s">
        <v>92</v>
      </c>
      <c r="C78" s="85"/>
      <c r="D78" s="86"/>
      <c r="E78" s="45"/>
    </row>
    <row r="79" spans="1:6" x14ac:dyDescent="0.3">
      <c r="A79" s="2" t="s">
        <v>88</v>
      </c>
      <c r="B79" s="84" t="s">
        <v>93</v>
      </c>
      <c r="C79" s="85"/>
      <c r="D79" s="86"/>
      <c r="E79" s="45"/>
    </row>
    <row r="80" spans="1:6" x14ac:dyDescent="0.3">
      <c r="A80" s="2" t="s">
        <v>88</v>
      </c>
      <c r="B80" s="84" t="s">
        <v>94</v>
      </c>
      <c r="C80" s="85"/>
      <c r="D80" s="86"/>
      <c r="E80" s="45"/>
    </row>
    <row r="81" spans="1:6" x14ac:dyDescent="0.3">
      <c r="A81" s="2" t="s">
        <v>88</v>
      </c>
      <c r="B81" s="84" t="s">
        <v>95</v>
      </c>
      <c r="C81" s="85"/>
      <c r="D81" s="86"/>
      <c r="E81" s="45"/>
    </row>
    <row r="82" spans="1:6" x14ac:dyDescent="0.3">
      <c r="A82" s="2" t="s">
        <v>88</v>
      </c>
      <c r="B82" s="76" t="s">
        <v>96</v>
      </c>
      <c r="C82" s="77"/>
      <c r="D82" s="78"/>
      <c r="E82" s="45"/>
    </row>
    <row r="83" spans="1:6" x14ac:dyDescent="0.3">
      <c r="A83" s="2"/>
      <c r="B83" s="70"/>
      <c r="C83" s="71"/>
      <c r="D83" s="71"/>
      <c r="E83" s="46"/>
    </row>
    <row r="85" spans="1:6" ht="12.75" customHeight="1" x14ac:dyDescent="0.3">
      <c r="A85" s="2" t="s">
        <v>97</v>
      </c>
      <c r="B85" s="82" t="s">
        <v>98</v>
      </c>
      <c r="C85" s="82"/>
      <c r="D85" s="82"/>
      <c r="E85" s="82"/>
      <c r="F85" s="82"/>
    </row>
    <row r="86" spans="1:6" x14ac:dyDescent="0.3">
      <c r="A86" s="2" t="s">
        <v>97</v>
      </c>
      <c r="B86" s="84" t="s">
        <v>99</v>
      </c>
      <c r="C86" s="85"/>
      <c r="D86" s="86"/>
      <c r="E86" s="45"/>
    </row>
    <row r="87" spans="1:6" x14ac:dyDescent="0.3">
      <c r="A87" s="2" t="s">
        <v>97</v>
      </c>
      <c r="B87" s="84" t="s">
        <v>92</v>
      </c>
      <c r="C87" s="85"/>
      <c r="D87" s="86"/>
      <c r="E87" s="45"/>
    </row>
    <row r="88" spans="1:6" x14ac:dyDescent="0.3">
      <c r="A88" s="2" t="s">
        <v>97</v>
      </c>
      <c r="B88" s="84" t="s">
        <v>100</v>
      </c>
      <c r="C88" s="85"/>
      <c r="D88" s="86"/>
      <c r="E88" s="45"/>
    </row>
    <row r="89" spans="1:6" x14ac:dyDescent="0.3">
      <c r="A89" s="2" t="s">
        <v>97</v>
      </c>
      <c r="B89" s="84" t="s">
        <v>101</v>
      </c>
      <c r="C89" s="85"/>
      <c r="D89" s="86"/>
      <c r="E89" s="45"/>
    </row>
    <row r="90" spans="1:6" x14ac:dyDescent="0.3">
      <c r="A90" s="2" t="s">
        <v>97</v>
      </c>
      <c r="B90" s="76" t="s">
        <v>96</v>
      </c>
      <c r="C90" s="77"/>
      <c r="D90" s="78"/>
      <c r="E90" s="45"/>
    </row>
    <row r="91" spans="1:6" x14ac:dyDescent="0.3">
      <c r="A91" s="2"/>
      <c r="B91" s="70"/>
      <c r="C91" s="71"/>
      <c r="D91" s="71"/>
      <c r="E91" s="46"/>
    </row>
    <row r="93" spans="1:6" x14ac:dyDescent="0.3">
      <c r="A93" s="2" t="s">
        <v>102</v>
      </c>
      <c r="B93" s="72" t="s">
        <v>103</v>
      </c>
      <c r="C93" s="72"/>
      <c r="D93" s="72"/>
      <c r="E93" s="72"/>
      <c r="F93" s="72"/>
    </row>
    <row r="94" spans="1:6" x14ac:dyDescent="0.3">
      <c r="A94" s="2" t="s">
        <v>102</v>
      </c>
      <c r="B94" s="75" t="s">
        <v>104</v>
      </c>
      <c r="C94" s="75"/>
      <c r="D94" s="75"/>
      <c r="E94" s="48">
        <v>38122</v>
      </c>
      <c r="F94" s="49"/>
    </row>
    <row r="95" spans="1:6" x14ac:dyDescent="0.3">
      <c r="A95" s="2" t="s">
        <v>102</v>
      </c>
      <c r="B95" s="75" t="s">
        <v>105</v>
      </c>
      <c r="C95" s="75"/>
      <c r="D95" s="75"/>
      <c r="E95" s="48" t="s">
        <v>106</v>
      </c>
      <c r="F95" s="50"/>
    </row>
    <row r="96" spans="1:6" ht="27" customHeight="1" x14ac:dyDescent="0.3">
      <c r="A96" s="2" t="s">
        <v>102</v>
      </c>
      <c r="B96" s="81" t="s">
        <v>107</v>
      </c>
      <c r="C96" s="81"/>
      <c r="D96" s="81"/>
      <c r="E96" s="38" t="s">
        <v>7</v>
      </c>
      <c r="F96" s="50"/>
    </row>
    <row r="98" spans="1:6" x14ac:dyDescent="0.3">
      <c r="A98" s="2" t="s">
        <v>108</v>
      </c>
      <c r="B98" s="82" t="s">
        <v>109</v>
      </c>
      <c r="C98" s="82"/>
      <c r="D98" s="82"/>
      <c r="E98" s="82"/>
      <c r="F98" s="82"/>
    </row>
    <row r="99" spans="1:6" x14ac:dyDescent="0.3">
      <c r="A99" s="2" t="s">
        <v>108</v>
      </c>
      <c r="B99" s="51" t="s">
        <v>35</v>
      </c>
      <c r="C99" s="75" t="s">
        <v>110</v>
      </c>
      <c r="D99" s="75"/>
      <c r="E99" s="52"/>
      <c r="F99" s="53"/>
    </row>
    <row r="100" spans="1:6" x14ac:dyDescent="0.3">
      <c r="A100" s="2" t="s">
        <v>108</v>
      </c>
      <c r="B100" s="83"/>
      <c r="C100" s="83"/>
      <c r="D100" s="54" t="s">
        <v>111</v>
      </c>
      <c r="E100" s="55" t="s">
        <v>112</v>
      </c>
      <c r="F100" s="53"/>
    </row>
    <row r="101" spans="1:6" x14ac:dyDescent="0.3">
      <c r="A101" s="2" t="s">
        <v>108</v>
      </c>
      <c r="B101" s="56" t="s">
        <v>37</v>
      </c>
      <c r="C101" s="57" t="s">
        <v>113</v>
      </c>
      <c r="D101" s="38" t="s">
        <v>7</v>
      </c>
      <c r="E101" s="12"/>
      <c r="F101" s="53"/>
    </row>
    <row r="102" spans="1:6" x14ac:dyDescent="0.3">
      <c r="A102" s="2" t="s">
        <v>108</v>
      </c>
      <c r="B102" s="58"/>
      <c r="C102" s="57" t="s">
        <v>114</v>
      </c>
      <c r="D102" s="59">
        <v>38108</v>
      </c>
    </row>
    <row r="104" spans="1:6" x14ac:dyDescent="0.3">
      <c r="A104" s="2" t="s">
        <v>115</v>
      </c>
      <c r="B104" s="72" t="s">
        <v>116</v>
      </c>
      <c r="C104" s="72"/>
    </row>
    <row r="105" spans="1:6" x14ac:dyDescent="0.3">
      <c r="A105" s="2" t="s">
        <v>115</v>
      </c>
      <c r="B105" s="75" t="s">
        <v>117</v>
      </c>
      <c r="C105" s="75"/>
      <c r="D105" s="48"/>
    </row>
    <row r="106" spans="1:6" x14ac:dyDescent="0.3">
      <c r="A106" s="2" t="s">
        <v>115</v>
      </c>
      <c r="B106" s="75" t="s">
        <v>118</v>
      </c>
      <c r="C106" s="75"/>
      <c r="D106" s="38" t="s">
        <v>7</v>
      </c>
    </row>
    <row r="108" spans="1:6" ht="15.5" x14ac:dyDescent="0.3">
      <c r="B108" s="44" t="s">
        <v>119</v>
      </c>
    </row>
    <row r="109" spans="1:6" ht="12.75" customHeight="1" x14ac:dyDescent="0.3">
      <c r="A109" s="47"/>
      <c r="B109" s="60" t="s">
        <v>120</v>
      </c>
      <c r="C109" s="61"/>
      <c r="D109" s="61"/>
      <c r="E109" s="61"/>
    </row>
    <row r="110" spans="1:6" x14ac:dyDescent="0.3">
      <c r="A110" s="2" t="s">
        <v>121</v>
      </c>
      <c r="B110" s="72" t="s">
        <v>122</v>
      </c>
      <c r="C110" s="72"/>
    </row>
    <row r="111" spans="1:6" x14ac:dyDescent="0.3">
      <c r="A111" s="2" t="s">
        <v>121</v>
      </c>
      <c r="B111" s="79" t="s">
        <v>123</v>
      </c>
      <c r="C111" s="79"/>
      <c r="D111" s="79"/>
    </row>
    <row r="112" spans="1:6" x14ac:dyDescent="0.3">
      <c r="A112" s="2" t="s">
        <v>121</v>
      </c>
      <c r="B112" s="75" t="s">
        <v>124</v>
      </c>
      <c r="C112" s="75"/>
      <c r="D112" s="80"/>
      <c r="E112" s="12"/>
    </row>
    <row r="113" spans="1:5" x14ac:dyDescent="0.3">
      <c r="A113" s="2" t="s">
        <v>121</v>
      </c>
      <c r="B113" s="75" t="s">
        <v>125</v>
      </c>
      <c r="C113" s="75"/>
      <c r="D113" s="75"/>
      <c r="E113" s="12"/>
    </row>
    <row r="114" spans="1:5" x14ac:dyDescent="0.3">
      <c r="A114" s="2" t="s">
        <v>121</v>
      </c>
      <c r="B114" s="75" t="s">
        <v>126</v>
      </c>
      <c r="C114" s="75"/>
      <c r="D114" s="75"/>
      <c r="E114" s="12"/>
    </row>
    <row r="116" spans="1:5" x14ac:dyDescent="0.3">
      <c r="A116" s="2" t="s">
        <v>121</v>
      </c>
      <c r="B116" s="79" t="s">
        <v>127</v>
      </c>
      <c r="C116" s="79"/>
      <c r="D116" s="79"/>
    </row>
    <row r="117" spans="1:5" x14ac:dyDescent="0.3">
      <c r="A117" s="2" t="s">
        <v>121</v>
      </c>
      <c r="B117" s="75" t="s">
        <v>128</v>
      </c>
      <c r="C117" s="75"/>
      <c r="D117" s="75"/>
      <c r="E117" s="38" t="s">
        <v>7</v>
      </c>
    </row>
    <row r="118" spans="1:5" x14ac:dyDescent="0.3">
      <c r="A118" s="2" t="s">
        <v>121</v>
      </c>
      <c r="B118" s="75" t="s">
        <v>129</v>
      </c>
      <c r="C118" s="75"/>
      <c r="D118" s="75"/>
      <c r="E118" s="38" t="s">
        <v>7</v>
      </c>
    </row>
    <row r="119" spans="1:5" x14ac:dyDescent="0.3">
      <c r="A119" s="2" t="s">
        <v>121</v>
      </c>
      <c r="B119" s="75" t="s">
        <v>130</v>
      </c>
      <c r="C119" s="75"/>
      <c r="D119" s="75"/>
      <c r="E119" s="38" t="s">
        <v>7</v>
      </c>
    </row>
    <row r="120" spans="1:5" s="65" customFormat="1" x14ac:dyDescent="0.3">
      <c r="A120" s="62"/>
      <c r="B120" s="63"/>
      <c r="C120" s="63"/>
      <c r="D120" s="63"/>
      <c r="E120" s="64"/>
    </row>
    <row r="121" spans="1:5" x14ac:dyDescent="0.3">
      <c r="A121" s="2" t="s">
        <v>121</v>
      </c>
      <c r="B121" s="75" t="s">
        <v>131</v>
      </c>
      <c r="C121" s="75"/>
      <c r="D121" s="75"/>
      <c r="E121" s="38" t="s">
        <v>7</v>
      </c>
    </row>
    <row r="122" spans="1:5" x14ac:dyDescent="0.3">
      <c r="A122" s="2" t="s">
        <v>121</v>
      </c>
      <c r="B122" s="75" t="s">
        <v>132</v>
      </c>
      <c r="C122" s="75"/>
      <c r="D122" s="75"/>
      <c r="E122" s="12"/>
    </row>
    <row r="123" spans="1:5" x14ac:dyDescent="0.3">
      <c r="A123" s="2" t="s">
        <v>121</v>
      </c>
      <c r="B123" s="75" t="s">
        <v>133</v>
      </c>
      <c r="C123" s="75"/>
      <c r="D123" s="75"/>
      <c r="E123" s="38" t="s">
        <v>7</v>
      </c>
    </row>
    <row r="124" spans="1:5" x14ac:dyDescent="0.3">
      <c r="A124" s="2" t="s">
        <v>121</v>
      </c>
      <c r="B124" s="75" t="s">
        <v>134</v>
      </c>
      <c r="C124" s="75"/>
      <c r="D124" s="75"/>
      <c r="E124" s="38" t="s">
        <v>7</v>
      </c>
    </row>
    <row r="125" spans="1:5" x14ac:dyDescent="0.3">
      <c r="A125" s="2" t="s">
        <v>121</v>
      </c>
      <c r="B125" s="76" t="s">
        <v>96</v>
      </c>
      <c r="C125" s="77"/>
      <c r="D125" s="78"/>
      <c r="E125" s="45"/>
    </row>
    <row r="126" spans="1:5" x14ac:dyDescent="0.3">
      <c r="A126" s="2"/>
      <c r="B126" s="70"/>
      <c r="C126" s="71"/>
      <c r="D126" s="71"/>
      <c r="E126" s="46"/>
    </row>
    <row r="128" spans="1:5" x14ac:dyDescent="0.3">
      <c r="A128" s="2" t="s">
        <v>135</v>
      </c>
      <c r="B128" s="72" t="s">
        <v>136</v>
      </c>
      <c r="C128" s="72"/>
    </row>
    <row r="129" spans="1:6" x14ac:dyDescent="0.3">
      <c r="A129" s="2" t="s">
        <v>135</v>
      </c>
      <c r="B129" s="72" t="s">
        <v>137</v>
      </c>
      <c r="C129" s="73"/>
    </row>
    <row r="130" spans="1:6" x14ac:dyDescent="0.3">
      <c r="A130" s="2" t="s">
        <v>135</v>
      </c>
      <c r="B130" s="75" t="s">
        <v>138</v>
      </c>
      <c r="C130" s="75"/>
      <c r="D130" s="75"/>
      <c r="E130" s="38" t="s">
        <v>7</v>
      </c>
    </row>
    <row r="131" spans="1:6" x14ac:dyDescent="0.3">
      <c r="A131" s="2" t="s">
        <v>135</v>
      </c>
      <c r="B131" s="75" t="s">
        <v>139</v>
      </c>
      <c r="C131" s="75"/>
      <c r="D131" s="75"/>
      <c r="E131" s="38" t="s">
        <v>7</v>
      </c>
    </row>
    <row r="132" spans="1:6" x14ac:dyDescent="0.3">
      <c r="A132" s="2" t="s">
        <v>135</v>
      </c>
      <c r="B132" s="75" t="s">
        <v>140</v>
      </c>
      <c r="C132" s="75"/>
      <c r="D132" s="75"/>
      <c r="E132" s="38" t="s">
        <v>7</v>
      </c>
    </row>
    <row r="133" spans="1:6" x14ac:dyDescent="0.3">
      <c r="A133" s="2" t="s">
        <v>135</v>
      </c>
      <c r="B133" s="75" t="s">
        <v>141</v>
      </c>
      <c r="C133" s="75"/>
      <c r="D133" s="75"/>
      <c r="E133" s="38" t="s">
        <v>7</v>
      </c>
    </row>
    <row r="134" spans="1:6" x14ac:dyDescent="0.3">
      <c r="A134" s="2" t="s">
        <v>135</v>
      </c>
      <c r="B134" s="75" t="s">
        <v>142</v>
      </c>
      <c r="C134" s="75"/>
      <c r="D134" s="75"/>
      <c r="E134" s="38" t="s">
        <v>7</v>
      </c>
    </row>
    <row r="135" spans="1:6" x14ac:dyDescent="0.3">
      <c r="A135" s="2" t="s">
        <v>135</v>
      </c>
      <c r="B135" s="75" t="s">
        <v>143</v>
      </c>
      <c r="C135" s="75"/>
      <c r="D135" s="75"/>
      <c r="E135" s="12"/>
    </row>
    <row r="136" spans="1:6" x14ac:dyDescent="0.3">
      <c r="A136" s="2" t="s">
        <v>135</v>
      </c>
      <c r="B136" s="75" t="s">
        <v>144</v>
      </c>
      <c r="C136" s="75"/>
      <c r="D136" s="75"/>
      <c r="E136" s="12"/>
    </row>
    <row r="137" spans="1:6" x14ac:dyDescent="0.3">
      <c r="A137" s="2" t="s">
        <v>135</v>
      </c>
      <c r="B137" s="76" t="s">
        <v>96</v>
      </c>
      <c r="C137" s="77"/>
      <c r="D137" s="78"/>
      <c r="E137" s="45"/>
    </row>
    <row r="138" spans="1:6" x14ac:dyDescent="0.3">
      <c r="A138" s="2"/>
      <c r="B138" s="70"/>
      <c r="C138" s="71"/>
      <c r="D138" s="71"/>
      <c r="E138" s="46"/>
    </row>
    <row r="140" spans="1:6" x14ac:dyDescent="0.3">
      <c r="A140" s="2" t="s">
        <v>145</v>
      </c>
      <c r="B140" s="72" t="s">
        <v>146</v>
      </c>
      <c r="C140" s="73"/>
      <c r="D140" s="73"/>
      <c r="E140" s="73"/>
      <c r="F140" s="73"/>
    </row>
    <row r="141" spans="1:6" x14ac:dyDescent="0.3">
      <c r="A141" s="2" t="s">
        <v>145</v>
      </c>
      <c r="B141" s="74"/>
      <c r="C141" s="74"/>
      <c r="D141" s="66" t="s">
        <v>147</v>
      </c>
      <c r="E141" s="66" t="s">
        <v>148</v>
      </c>
    </row>
    <row r="142" spans="1:6" x14ac:dyDescent="0.3">
      <c r="A142" s="2" t="s">
        <v>145</v>
      </c>
      <c r="B142" s="69" t="s">
        <v>149</v>
      </c>
      <c r="C142" s="69"/>
      <c r="D142" s="38" t="s">
        <v>7</v>
      </c>
      <c r="E142" s="38" t="s">
        <v>7</v>
      </c>
    </row>
    <row r="143" spans="1:6" x14ac:dyDescent="0.3">
      <c r="A143" s="2" t="s">
        <v>145</v>
      </c>
      <c r="B143" s="69" t="s">
        <v>150</v>
      </c>
      <c r="C143" s="69"/>
      <c r="D143" s="67"/>
      <c r="E143" s="67"/>
    </row>
    <row r="144" spans="1:6" x14ac:dyDescent="0.3">
      <c r="A144" s="2" t="s">
        <v>145</v>
      </c>
      <c r="B144" s="69" t="s">
        <v>151</v>
      </c>
      <c r="C144" s="69"/>
      <c r="D144" s="38" t="s">
        <v>7</v>
      </c>
      <c r="E144" s="67"/>
    </row>
    <row r="145" spans="1:5" x14ac:dyDescent="0.3">
      <c r="A145" s="2" t="s">
        <v>145</v>
      </c>
      <c r="B145" s="69" t="s">
        <v>152</v>
      </c>
      <c r="C145" s="69"/>
      <c r="D145" s="38" t="s">
        <v>7</v>
      </c>
      <c r="E145" s="38" t="s">
        <v>7</v>
      </c>
    </row>
    <row r="146" spans="1:5" x14ac:dyDescent="0.3">
      <c r="A146" s="2" t="s">
        <v>145</v>
      </c>
      <c r="B146" s="69" t="s">
        <v>153</v>
      </c>
      <c r="C146" s="69"/>
      <c r="D146" s="38" t="s">
        <v>7</v>
      </c>
      <c r="E146" s="67"/>
    </row>
    <row r="147" spans="1:5" x14ac:dyDescent="0.3">
      <c r="A147" s="2" t="s">
        <v>145</v>
      </c>
      <c r="B147" s="69" t="s">
        <v>154</v>
      </c>
      <c r="C147" s="69"/>
      <c r="D147" s="38" t="s">
        <v>7</v>
      </c>
      <c r="E147" s="68"/>
    </row>
    <row r="148" spans="1:5" x14ac:dyDescent="0.3">
      <c r="A148" s="2" t="s">
        <v>145</v>
      </c>
      <c r="B148" s="69" t="s">
        <v>155</v>
      </c>
      <c r="C148" s="69"/>
      <c r="D148" s="38" t="s">
        <v>7</v>
      </c>
      <c r="E148" s="67"/>
    </row>
    <row r="149" spans="1:5" x14ac:dyDescent="0.3">
      <c r="A149" s="2" t="s">
        <v>145</v>
      </c>
      <c r="B149" s="69" t="s">
        <v>156</v>
      </c>
      <c r="C149" s="69"/>
      <c r="D149" s="67"/>
      <c r="E149" s="67"/>
    </row>
    <row r="150" spans="1:5" x14ac:dyDescent="0.3">
      <c r="A150" s="2" t="s">
        <v>145</v>
      </c>
      <c r="B150" s="69" t="s">
        <v>157</v>
      </c>
      <c r="C150" s="69"/>
      <c r="D150" s="38" t="s">
        <v>7</v>
      </c>
      <c r="E150" s="38" t="s">
        <v>7</v>
      </c>
    </row>
    <row r="151" spans="1:5" x14ac:dyDescent="0.3">
      <c r="A151" s="2" t="s">
        <v>145</v>
      </c>
      <c r="B151" s="69" t="s">
        <v>158</v>
      </c>
      <c r="C151" s="69"/>
      <c r="D151" s="67"/>
      <c r="E151" s="67"/>
    </row>
    <row r="152" spans="1:5" x14ac:dyDescent="0.3">
      <c r="A152" s="2" t="s">
        <v>145</v>
      </c>
      <c r="B152" s="69" t="s">
        <v>159</v>
      </c>
      <c r="C152" s="69"/>
      <c r="D152" s="67"/>
      <c r="E152" s="38" t="s">
        <v>7</v>
      </c>
    </row>
  </sheetData>
  <mergeCells count="102">
    <mergeCell ref="B7:D7"/>
    <mergeCell ref="B9:F9"/>
    <mergeCell ref="B10:C10"/>
    <mergeCell ref="B11:C11"/>
    <mergeCell ref="A1:F1"/>
    <mergeCell ref="B3:D3"/>
    <mergeCell ref="B4:F4"/>
    <mergeCell ref="B6:D6"/>
    <mergeCell ref="B17:D17"/>
    <mergeCell ref="B18:D18"/>
    <mergeCell ref="B19:D19"/>
    <mergeCell ref="B20:D20"/>
    <mergeCell ref="B12:C12"/>
    <mergeCell ref="B14:D14"/>
    <mergeCell ref="B15:F15"/>
    <mergeCell ref="B16:D16"/>
    <mergeCell ref="B25:D25"/>
    <mergeCell ref="B26:F26"/>
    <mergeCell ref="B27:D27"/>
    <mergeCell ref="B28:D28"/>
    <mergeCell ref="B21:F21"/>
    <mergeCell ref="B22:D22"/>
    <mergeCell ref="B23:D23"/>
    <mergeCell ref="B24:D24"/>
    <mergeCell ref="B58:E58"/>
    <mergeCell ref="B60:F60"/>
    <mergeCell ref="B62:F62"/>
    <mergeCell ref="B63:D63"/>
    <mergeCell ref="B29:D29"/>
    <mergeCell ref="B31:F31"/>
    <mergeCell ref="B47:F47"/>
    <mergeCell ref="B56:E56"/>
    <mergeCell ref="B71:E71"/>
    <mergeCell ref="B75:F75"/>
    <mergeCell ref="B76:D76"/>
    <mergeCell ref="B77:D77"/>
    <mergeCell ref="B64:D64"/>
    <mergeCell ref="B65:D65"/>
    <mergeCell ref="B67:E67"/>
    <mergeCell ref="B69:E69"/>
    <mergeCell ref="B82:D82"/>
    <mergeCell ref="B83:D83"/>
    <mergeCell ref="B85:F85"/>
    <mergeCell ref="B86:D86"/>
    <mergeCell ref="B78:D78"/>
    <mergeCell ref="B79:D79"/>
    <mergeCell ref="B80:D80"/>
    <mergeCell ref="B81:D81"/>
    <mergeCell ref="B91:D91"/>
    <mergeCell ref="B93:F93"/>
    <mergeCell ref="B94:D94"/>
    <mergeCell ref="B95:D95"/>
    <mergeCell ref="B87:D87"/>
    <mergeCell ref="B88:D88"/>
    <mergeCell ref="B89:D89"/>
    <mergeCell ref="B90:D90"/>
    <mergeCell ref="B104:C104"/>
    <mergeCell ref="B105:C105"/>
    <mergeCell ref="B106:C106"/>
    <mergeCell ref="B110:C110"/>
    <mergeCell ref="B96:D96"/>
    <mergeCell ref="B98:F98"/>
    <mergeCell ref="C99:D99"/>
    <mergeCell ref="B100:C100"/>
    <mergeCell ref="B116:D116"/>
    <mergeCell ref="B117:D117"/>
    <mergeCell ref="B118:D118"/>
    <mergeCell ref="B119:D119"/>
    <mergeCell ref="B111:D111"/>
    <mergeCell ref="B112:D112"/>
    <mergeCell ref="B113:D113"/>
    <mergeCell ref="B114:D114"/>
    <mergeCell ref="B125:D125"/>
    <mergeCell ref="B126:D126"/>
    <mergeCell ref="B128:C128"/>
    <mergeCell ref="B129:C129"/>
    <mergeCell ref="B121:D121"/>
    <mergeCell ref="B122:D122"/>
    <mergeCell ref="B123:D123"/>
    <mergeCell ref="B124:D124"/>
    <mergeCell ref="B134:D134"/>
    <mergeCell ref="B135:D135"/>
    <mergeCell ref="B136:D136"/>
    <mergeCell ref="B137:D137"/>
    <mergeCell ref="B130:D130"/>
    <mergeCell ref="B131:D131"/>
    <mergeCell ref="B132:D132"/>
    <mergeCell ref="B133:D133"/>
    <mergeCell ref="B143:C143"/>
    <mergeCell ref="B144:C144"/>
    <mergeCell ref="B145:C145"/>
    <mergeCell ref="B146:C146"/>
    <mergeCell ref="B138:D138"/>
    <mergeCell ref="B140:F140"/>
    <mergeCell ref="B141:C141"/>
    <mergeCell ref="B142:C142"/>
    <mergeCell ref="B151:C151"/>
    <mergeCell ref="B152:C152"/>
    <mergeCell ref="B147:C147"/>
    <mergeCell ref="B148:C148"/>
    <mergeCell ref="B149:C149"/>
    <mergeCell ref="B150:C150"/>
  </mergeCells>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CDS-H</vt:lpstr>
    </vt:vector>
  </TitlesOfParts>
  <Company>UTA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mdtumeo</dc:creator>
  <cp:lastModifiedBy>Carina Negreanu</cp:lastModifiedBy>
  <dcterms:created xsi:type="dcterms:W3CDTF">2004-02-20T15:28:46Z</dcterms:created>
  <dcterms:modified xsi:type="dcterms:W3CDTF">2020-01-27T11:35:26Z</dcterms:modified>
</cp:coreProperties>
</file>