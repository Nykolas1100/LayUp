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87C0F5-B11B-4C11-9B4D-44ABE1242E9A}" xr6:coauthVersionLast="45" xr6:coauthVersionMax="45" xr10:uidLastSave="{00000000-0000-0000-0000-000000000000}"/>
  <bookViews>
    <workbookView xWindow="3420" yWindow="3420" windowWidth="28800" windowHeight="15460" tabRatio="500"/>
  </bookViews>
  <sheets>
    <sheet name="Introduction" sheetId="1" r:id="rId1"/>
    <sheet name="Results Chart" sheetId="2" r:id="rId2"/>
    <sheet name="The Model" sheetId="3" r:id="rId3"/>
    <sheet name="Armington elasticities" sheetId="4" r:id="rId4"/>
  </sheets>
  <definedNames>
    <definedName name="solver_adj" localSheetId="2" hidden="1">'The Model'!$I$40:$I$45</definedName>
    <definedName name="solver_cvg" localSheetId="2" hidden="1">0.001</definedName>
    <definedName name="solver_drv" localSheetId="2" hidden="1">1</definedName>
    <definedName name="solver_est" localSheetId="2" hidden="1">1</definedName>
    <definedName name="solver_itr" localSheetId="2" hidden="1">500</definedName>
    <definedName name="solver_lhs1" localSheetId="2" hidden="1">'The Model'!$A$40</definedName>
    <definedName name="solver_lhs2" localSheetId="2" hidden="1">'The Model'!$A$42</definedName>
    <definedName name="solver_lhs3" localSheetId="2" hidden="1">'The Model'!$A$43</definedName>
    <definedName name="solver_lhs4" localSheetId="2" hidden="1">'The Model'!$A$44</definedName>
    <definedName name="solver_lhs5" localSheetId="2" hidden="1">'The Model'!$A$45</definedName>
    <definedName name="solver_lhs6" localSheetId="2" hidden="1">'The Model'!#REF!</definedName>
    <definedName name="solver_lhs7" localSheetId="2" hidden="1">'The Model'!#REF!</definedName>
    <definedName name="solver_lhs8" localSheetId="2" hidden="1">'The Model'!#REF!</definedName>
    <definedName name="solver_lhs9" localSheetId="2" hidden="1">'The Model'!#REF!</definedName>
    <definedName name="solver_lin" localSheetId="2" hidden="1">2</definedName>
    <definedName name="solver_neg" localSheetId="2" hidden="1">1</definedName>
    <definedName name="solver_num" localSheetId="2" hidden="1">5</definedName>
    <definedName name="solver_nwt" localSheetId="2" hidden="1">0</definedName>
    <definedName name="solver_opt" localSheetId="2" hidden="1">'The Model'!$A$41</definedName>
    <definedName name="solver_pre" localSheetId="2" hidden="1">0.001</definedName>
    <definedName name="solver_rel1" localSheetId="2" hidden="1">2</definedName>
    <definedName name="solver_rel2" localSheetId="2" hidden="1">2</definedName>
    <definedName name="solver_rel3" localSheetId="2" hidden="1">2</definedName>
    <definedName name="solver_rel4" localSheetId="2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el8" localSheetId="2" hidden="1">2</definedName>
    <definedName name="solver_rel9" localSheetId="2" hidden="1">2</definedName>
    <definedName name="solver_rhs1" localSheetId="2" hidden="1">0</definedName>
    <definedName name="solver_rhs2" localSheetId="2" hidden="1">0</definedName>
    <definedName name="solver_rhs3" localSheetId="2" hidden="1">0</definedName>
    <definedName name="solver_rhs4" localSheetId="2" hidden="1">0</definedName>
    <definedName name="solver_rhs5" localSheetId="2" hidden="1">0</definedName>
    <definedName name="solver_rhs6" localSheetId="2" hidden="1">0</definedName>
    <definedName name="solver_rhs7" localSheetId="2" hidden="1">0</definedName>
    <definedName name="solver_rhs8" localSheetId="2" hidden="1">0</definedName>
    <definedName name="solver_rhs9" localSheetId="2" hidden="1">0</definedName>
    <definedName name="solver_scl" localSheetId="2" hidden="1">1</definedName>
    <definedName name="solver_sho" localSheetId="2" hidden="1">2</definedName>
    <definedName name="solver_tim" localSheetId="2" hidden="1">500</definedName>
    <definedName name="solver_tmp" localSheetId="2" hidden="1">0</definedName>
    <definedName name="solver_tol" localSheetId="2" hidden="1">0.05</definedName>
    <definedName name="solver_typ" localSheetId="2" hidden="1">3</definedName>
    <definedName name="solver_val" localSheetId="2" hidden="1">0</definedName>
  </definedNames>
  <calcPr calcId="0"/>
</workbook>
</file>

<file path=xl/calcChain.xml><?xml version="1.0" encoding="utf-8"?>
<calcChain xmlns="http://schemas.openxmlformats.org/spreadsheetml/2006/main">
  <c r="A15" i="2" l="1"/>
  <c r="B15" i="2"/>
  <c r="E15" i="2"/>
  <c r="F15" i="2"/>
  <c r="A32" i="2"/>
  <c r="B32" i="2"/>
  <c r="P4" i="3"/>
  <c r="P5" i="3"/>
  <c r="P6" i="3"/>
  <c r="B7" i="3"/>
  <c r="P7" i="3"/>
  <c r="P8" i="3"/>
  <c r="P9" i="3"/>
  <c r="P10" i="3"/>
  <c r="A28" i="3"/>
  <c r="A29" i="3"/>
  <c r="G29" i="3"/>
  <c r="A30" i="3"/>
  <c r="G30" i="3"/>
  <c r="A31" i="3"/>
  <c r="G31" i="3"/>
  <c r="A32" i="3"/>
  <c r="G32" i="3"/>
  <c r="Y32" i="3"/>
  <c r="A33" i="3"/>
  <c r="G33" i="3"/>
  <c r="A34" i="3"/>
  <c r="G34" i="3"/>
  <c r="M34" i="3"/>
  <c r="N34" i="3"/>
  <c r="A35" i="3"/>
  <c r="G35" i="3"/>
  <c r="M35" i="3"/>
  <c r="A36" i="3"/>
  <c r="G36" i="3"/>
  <c r="A40" i="3"/>
  <c r="J40" i="3"/>
  <c r="A41" i="3"/>
  <c r="J41" i="3"/>
  <c r="A42" i="3"/>
  <c r="J42" i="3"/>
  <c r="A43" i="3"/>
  <c r="J43" i="3"/>
  <c r="A44" i="3"/>
  <c r="J44" i="3"/>
  <c r="A45" i="3"/>
  <c r="H45" i="3"/>
  <c r="J45" i="3"/>
  <c r="H49" i="3"/>
  <c r="I49" i="3"/>
  <c r="J49" i="3"/>
  <c r="I50" i="3"/>
  <c r="H51" i="3"/>
  <c r="I51" i="3"/>
  <c r="J51" i="3"/>
  <c r="H52" i="3"/>
  <c r="I52" i="3"/>
  <c r="J52" i="3"/>
  <c r="H53" i="3"/>
  <c r="I53" i="3"/>
  <c r="J53" i="3"/>
  <c r="H54" i="3"/>
  <c r="I54" i="3"/>
  <c r="J54" i="3"/>
</calcChain>
</file>

<file path=xl/sharedStrings.xml><?xml version="1.0" encoding="utf-8"?>
<sst xmlns="http://schemas.openxmlformats.org/spreadsheetml/2006/main" count="376" uniqueCount="255">
  <si>
    <t>Excel-based non-linear Armington CGE model</t>
  </si>
  <si>
    <t>This notebook presents a sector-focused 2 import-source Armington CGE model.</t>
  </si>
  <si>
    <t>The model is specified as a non-linear system of equations.  Welfare</t>
  </si>
  <si>
    <t>analytics involve calculation of equivalent variation, based on Cobb-Douglas</t>
  </si>
  <si>
    <t xml:space="preserve">preferences.  This involves solving a set of non-linear equations </t>
  </si>
  <si>
    <t>(given in cells A40..45) for zero values, where the variables</t>
  </si>
  <si>
    <t xml:space="preserve">in the system are reported in cells I40..45.  </t>
  </si>
  <si>
    <t>The system of equations are solved using the Excel add-in Solver,</t>
  </si>
  <si>
    <t>with one of the equation cells specified as the target cell, and the others</t>
  </si>
  <si>
    <t>as constraints.  All are to be solved for zero values (most are excess demand</t>
  </si>
  <si>
    <t>equations).  You may need to adjust the solver options settings (convergence</t>
  </si>
  <si>
    <t>tolerance etc.) if you have trouble obtaining a solution.  Default values for the</t>
  </si>
  <si>
    <t>solver have already been set.  Use the "Calibrate" macro to reset intial solver values</t>
  </si>
  <si>
    <t>before solving the model.</t>
  </si>
  <si>
    <t>The theory for this spreadsheet is based on a CGE extension to Francois and Hall, "Partial</t>
  </si>
  <si>
    <t>Equilibrium Modeling," Chapter 5 in J.F. Francois and K.A. Reinert, eds.,</t>
  </si>
  <si>
    <r>
      <t>Applied Methods for Trade Policy Analysis</t>
    </r>
    <r>
      <rPr>
        <sz val="12"/>
        <rFont val="Arial"/>
        <family val="2"/>
      </rPr>
      <t xml:space="preserve">:  A Handbook, Cambridge </t>
    </r>
  </si>
  <si>
    <t>University Press, 1997.  It is detailed in "Trade Policy in a Sector-Focused General</t>
  </si>
  <si>
    <t>General Equilibrium Model," J.F. Francois and H.K. Hall, 1998.  A version of this paper</t>
  </si>
  <si>
    <t>is distributed with this spreadsheet at http://www.intereconomics.com/handbook</t>
  </si>
  <si>
    <t>This spreadsheet was written by Joseph Francois, August 1998, for the Windows95</t>
  </si>
  <si>
    <t>and Office97 versions of Excel.</t>
  </si>
  <si>
    <t>Real Income Effects</t>
  </si>
  <si>
    <t>Imports in focus sector</t>
  </si>
  <si>
    <t>benchmark</t>
  </si>
  <si>
    <t>counterfactual</t>
  </si>
  <si>
    <t>Domestic production in focus sector</t>
  </si>
  <si>
    <t>Inputs</t>
  </si>
  <si>
    <t>A sector-focused Armington CGE model</t>
  </si>
  <si>
    <t>note:  use "solver", under the "Tools" menu.  Solver settings have been set.</t>
  </si>
  <si>
    <t>{Optimizer.Reset}</t>
  </si>
  <si>
    <t xml:space="preserve">     Benchmark sales of X1  (i.e. domestic) industry</t>
  </si>
  <si>
    <t>{Optimizer.Solution_Cell A42}</t>
  </si>
  <si>
    <r>
      <t xml:space="preserve">     Benchmark sales of country 2 imports (</t>
    </r>
    <r>
      <rPr>
        <i/>
        <sz val="12"/>
        <color indexed="12"/>
        <rFont val="Tms Rmn"/>
      </rPr>
      <t>targeted by policy change</t>
    </r>
    <r>
      <rPr>
        <sz val="12"/>
        <rFont val="Tms Rmn"/>
      </rPr>
      <t>)</t>
    </r>
  </si>
  <si>
    <t>NOTE: sales at internal prices!</t>
  </si>
  <si>
    <t>{Optimizer.Solution_Goal "Target Value:"}</t>
  </si>
  <si>
    <t xml:space="preserve">     Benchmark sales of country 3 imports</t>
  </si>
  <si>
    <t>{Optimizer.Variable_Cells I39..I43}</t>
  </si>
  <si>
    <t xml:space="preserve">     Benchmark total sales (domestic origin and imported)</t>
  </si>
  <si>
    <t>{Optimizer.Add 1,"A39..A39","=","0"}</t>
  </si>
  <si>
    <t>{Optimizer.Add 2,"A40..A40","=","0"}</t>
  </si>
  <si>
    <t xml:space="preserve">    GDP: Total value added in the benchmark data</t>
  </si>
  <si>
    <t>{Optimizer.Add 3,"A41..A41","=","0"}</t>
  </si>
  <si>
    <t xml:space="preserve">     Es1:  Elasticity of domestic supply </t>
  </si>
  <si>
    <t>{Optimizer.Add 4,"A43..A43","=","0"}</t>
  </si>
  <si>
    <t xml:space="preserve">     Es2:  Elasticity of country 2 import supply</t>
  </si>
  <si>
    <t>{Optimizer.Solve}</t>
  </si>
  <si>
    <t xml:space="preserve">     Es3:  Elasticity of country 3 import supply</t>
  </si>
  <si>
    <t xml:space="preserve">     s:     </t>
  </si>
  <si>
    <t>Armington elasticity of substitution</t>
  </si>
  <si>
    <t>{Optimizer.Solution_Cell C42}</t>
  </si>
  <si>
    <t xml:space="preserve">     t2,0:   Initial tariff on country  2 imports</t>
  </si>
  <si>
    <t>{Optimizer.Variable_Cells H39..H43}</t>
  </si>
  <si>
    <t xml:space="preserve">     t3,0:   Initial tariff on country 3 imports</t>
  </si>
  <si>
    <t>{Optimizer.Add 1,"C39..C39","=","0"}</t>
  </si>
  <si>
    <t xml:space="preserve">     t2,1:   Final tariff on country 2 imports</t>
  </si>
  <si>
    <t>{Optimizer.Add 2,"C40..C40","=","0"}</t>
  </si>
  <si>
    <t xml:space="preserve">     t3,1:   Final tariff on country 3 imports</t>
  </si>
  <si>
    <t>{Optimizer.Add 3,"C41..C41","=","0"}</t>
  </si>
  <si>
    <t>{Optimizer.Add 4,"C43..C43","=","0"}</t>
  </si>
  <si>
    <t xml:space="preserve">     w2,0:   Initial export tax/quota price wedge on country 2 imports</t>
  </si>
  <si>
    <t xml:space="preserve">     w3,0:   Initial export tax/quota price wedge on country 3 imports</t>
  </si>
  <si>
    <t>{SelectBlock A1..A1}</t>
  </si>
  <si>
    <t xml:space="preserve"> </t>
  </si>
  <si>
    <t xml:space="preserve">     w2,1:   Final export tax/quota price wedge on country 2 imports</t>
  </si>
  <si>
    <t xml:space="preserve">     w3,1:   Final export tax/quota price wedge on country 3 imports</t>
  </si>
  <si>
    <t>Calibrated values</t>
  </si>
  <si>
    <t>Ks1 : domestic supply constant term</t>
  </si>
  <si>
    <t>P1: calibrated domestic product market</t>
  </si>
  <si>
    <t>Ks2 : country 2 import supply constant term</t>
  </si>
  <si>
    <t>P2: calibrated internal price for good 2</t>
  </si>
  <si>
    <t>Ks3 : country 3 import supply constant term</t>
  </si>
  <si>
    <t>P3: calibrated internal price for good 3</t>
  </si>
  <si>
    <t>KD : composite demand constant term</t>
  </si>
  <si>
    <t>P2*: calibrated country 2 border price</t>
  </si>
  <si>
    <t>rho</t>
  </si>
  <si>
    <t xml:space="preserve">  w1:</t>
  </si>
  <si>
    <t>CES weight for domestic good</t>
  </si>
  <si>
    <t>P3*: calibrated country 3 border price</t>
  </si>
  <si>
    <t>omega</t>
  </si>
  <si>
    <t xml:space="preserve">  w2:</t>
  </si>
  <si>
    <t>CES weight for country 2 import</t>
  </si>
  <si>
    <t>PA: calibrated composite good price</t>
  </si>
  <si>
    <t xml:space="preserve">  w3:</t>
  </si>
  <si>
    <t>CES weight for country 3 import</t>
  </si>
  <si>
    <r>
      <t xml:space="preserve"> y:  </t>
    </r>
    <r>
      <rPr>
        <sz val="12"/>
        <rFont val="Times New Roman"/>
        <family val="1"/>
      </rPr>
      <t xml:space="preserve">calibrated CET exponential parameter  </t>
    </r>
    <r>
      <rPr>
        <sz val="12"/>
        <rFont val="Symbol"/>
      </rPr>
      <t xml:space="preserve"> </t>
    </r>
  </si>
  <si>
    <r>
      <t xml:space="preserve">    Z:           </t>
    </r>
    <r>
      <rPr>
        <sz val="12"/>
        <rFont val="Times New Roman"/>
        <family val="1"/>
      </rPr>
      <t xml:space="preserve">CET constant  </t>
    </r>
    <r>
      <rPr>
        <sz val="12"/>
        <rFont val="Symbol"/>
      </rPr>
      <t xml:space="preserve"> </t>
    </r>
  </si>
  <si>
    <r>
      <t xml:space="preserve"> g1: </t>
    </r>
    <r>
      <rPr>
        <sz val="12"/>
        <rFont val="Times New Roman"/>
        <family val="1"/>
      </rPr>
      <t xml:space="preserve">calibrated CET weight for X1  </t>
    </r>
    <r>
      <rPr>
        <sz val="12"/>
        <rFont val="Symbol"/>
      </rPr>
      <t xml:space="preserve"> </t>
    </r>
  </si>
  <si>
    <r>
      <t xml:space="preserve">    q:           </t>
    </r>
    <r>
      <rPr>
        <sz val="12"/>
        <rFont val="Times New Roman"/>
        <family val="1"/>
      </rPr>
      <t xml:space="preserve"> Income expenditure share </t>
    </r>
    <r>
      <rPr>
        <sz val="12"/>
        <rFont val="Symbol"/>
      </rPr>
      <t xml:space="preserve"> </t>
    </r>
  </si>
  <si>
    <r>
      <t xml:space="preserve"> g2: </t>
    </r>
    <r>
      <rPr>
        <sz val="12"/>
        <rFont val="Times New Roman"/>
        <family val="1"/>
      </rPr>
      <t xml:space="preserve">calibrated CET weight for G  </t>
    </r>
    <r>
      <rPr>
        <sz val="12"/>
        <rFont val="Symbol"/>
      </rPr>
      <t xml:space="preserve"> </t>
    </r>
  </si>
  <si>
    <t>Solution values</t>
  </si>
  <si>
    <t xml:space="preserve">  counterfactual</t>
  </si>
  <si>
    <t>non-linear problem calculated values</t>
  </si>
  <si>
    <t>variables in</t>
  </si>
  <si>
    <t>variables in the</t>
  </si>
  <si>
    <t xml:space="preserve">relative  </t>
  </si>
  <si>
    <t>implicit functions</t>
  </si>
  <si>
    <t>the benchmark</t>
  </si>
  <si>
    <t xml:space="preserve">values  </t>
  </si>
  <si>
    <t xml:space="preserve">P1: internal price for the focus sector home good </t>
  </si>
  <si>
    <t xml:space="preserve">P2: internal price for the focus sector country 2 good </t>
  </si>
  <si>
    <t>P3: internal price for the focus sector country 3 good</t>
  </si>
  <si>
    <t>PA: focus sector composite good price</t>
  </si>
  <si>
    <t>E: total expenditure on focus sector</t>
  </si>
  <si>
    <t>G: production in the numeraire sector</t>
  </si>
  <si>
    <t>other values</t>
  </si>
  <si>
    <t>W: Welfare index where benchmark=100</t>
  </si>
  <si>
    <t>EV: Equivalent variation-based measure of change in welfare</t>
  </si>
  <si>
    <t>X1: producion of domestic focus sector good</t>
  </si>
  <si>
    <t>X2: imports of the focus sector good from country 2</t>
  </si>
  <si>
    <t>X3: imports of the focus sector good from country 3</t>
  </si>
  <si>
    <t>Tariff revenue from focus sector</t>
  </si>
  <si>
    <t>real income</t>
  </si>
  <si>
    <t>Appendix Table 5A.3</t>
  </si>
  <si>
    <t>Estimated Elasticities of Substitution between Imports</t>
  </si>
  <si>
    <t>and Domestic Competing Goods  (based on U.S. imports)</t>
  </si>
  <si>
    <t>Sector No.</t>
  </si>
  <si>
    <t>Elasticity</t>
  </si>
  <si>
    <t>t-statistic</t>
  </si>
  <si>
    <t>Sector Name</t>
  </si>
  <si>
    <t>Iron and ferroalloy ores mining</t>
  </si>
  <si>
    <t>Coal mining</t>
  </si>
  <si>
    <t>*</t>
  </si>
  <si>
    <t>Crude petroleum and natural gas</t>
  </si>
  <si>
    <t>Stone, sand, and gravel</t>
  </si>
  <si>
    <t>Chemical and fertilizer mineral mining</t>
  </si>
  <si>
    <t>Meat packing plants and prepared meats</t>
  </si>
  <si>
    <t>Creamery butter</t>
  </si>
  <si>
    <t>Cheese, natural and processed</t>
  </si>
  <si>
    <t>Fluid milk</t>
  </si>
  <si>
    <t>Flour and other grain mill products</t>
  </si>
  <si>
    <t>Cereals and flour</t>
  </si>
  <si>
    <t>Dog, cat, and other pet food</t>
  </si>
  <si>
    <t>Prepared feeds, n.e.c.</t>
  </si>
  <si>
    <t>Wet corn milling</t>
  </si>
  <si>
    <t>Bread, cake, cookies, and crackers</t>
  </si>
  <si>
    <t>Chocolate and other confectionary products</t>
  </si>
  <si>
    <t>Malt and malt beverages</t>
  </si>
  <si>
    <t>Wine, brandy, and brandy spirits</t>
  </si>
  <si>
    <t>Distilled liquor, except brandy</t>
  </si>
  <si>
    <t>Soft drinks, flavorings, and syrups</t>
  </si>
  <si>
    <t>Vegetable oil mills</t>
  </si>
  <si>
    <t>Animinal and marine fats and oils</t>
  </si>
  <si>
    <t>Shortening and cooking oils</t>
  </si>
  <si>
    <t>Sea foods, ice, and pasta</t>
  </si>
  <si>
    <t>Cigarettes</t>
  </si>
  <si>
    <t>Cigars</t>
  </si>
  <si>
    <t>Tobacco</t>
  </si>
  <si>
    <t>Yarn, thread, and broadwoven fabric mills</t>
  </si>
  <si>
    <t>Narrow fabric mills</t>
  </si>
  <si>
    <t>Floor coverings</t>
  </si>
  <si>
    <t>Felt, lace and other textile goods</t>
  </si>
  <si>
    <t>Hosiery</t>
  </si>
  <si>
    <t>Apparel made from purchased materials</t>
  </si>
  <si>
    <t>Housefurnish., textile bags, canvas</t>
  </si>
  <si>
    <t>Logging camps and logging contractors</t>
  </si>
  <si>
    <t>Sawmills</t>
  </si>
  <si>
    <t>Hardwood dimension and flooring mills</t>
  </si>
  <si>
    <t>Millwork, wood kitchens and cabinets</t>
  </si>
  <si>
    <t>Wood pallets, skids, and containers</t>
  </si>
  <si>
    <t>Wood preserving and particleboard</t>
  </si>
  <si>
    <t>Household furniture</t>
  </si>
  <si>
    <t>Paper mills, except building papers</t>
  </si>
  <si>
    <t>Paperboard mills</t>
  </si>
  <si>
    <t>::</t>
  </si>
  <si>
    <t>Appendix Table 5A.3 -- continued</t>
  </si>
  <si>
    <t>Sanitary paper products</t>
  </si>
  <si>
    <t>Building paper and board mills</t>
  </si>
  <si>
    <t>Paper coating and glazing</t>
  </si>
  <si>
    <t>Paperboard containers and boxes</t>
  </si>
  <si>
    <t>Newspapers</t>
  </si>
  <si>
    <t>Periodicals, books, and greeting cards</t>
  </si>
  <si>
    <t>Printing</t>
  </si>
  <si>
    <t>Industrial inorganic and organic chemicals</t>
  </si>
  <si>
    <t>Agricultural chemicals</t>
  </si>
  <si>
    <t>Chemical preparations</t>
  </si>
  <si>
    <t>Plastics materials and resins</t>
  </si>
  <si>
    <t>Synthetic rubber</t>
  </si>
  <si>
    <t>Organic fibers</t>
  </si>
  <si>
    <t>Drugs</t>
  </si>
  <si>
    <t>Soap, detergents, and sanitation goods</t>
  </si>
  <si>
    <t>Paving mixtures,blocks, asphalt felts</t>
  </si>
  <si>
    <t>Tires and inner tubes</t>
  </si>
  <si>
    <t>Rubber and plastics footwear</t>
  </si>
  <si>
    <t>Other rubber products</t>
  </si>
  <si>
    <t>Miscellaneous plastics products</t>
  </si>
  <si>
    <t>Leather tanning and finishing</t>
  </si>
  <si>
    <t>Other leather goods</t>
  </si>
  <si>
    <t>Glass and glass products, exc. containers</t>
  </si>
  <si>
    <t>Glass containers</t>
  </si>
  <si>
    <t>Cement, hydraulic</t>
  </si>
  <si>
    <t>Brick and structural clay tile</t>
  </si>
  <si>
    <t>Ceramic wall and floor tile</t>
  </si>
  <si>
    <t>Ceramic plumbing and electrical supplies</t>
  </si>
  <si>
    <t>China and earthenware products</t>
  </si>
  <si>
    <t>Stone and nonmetalic mineral products</t>
  </si>
  <si>
    <t>Primary steel</t>
  </si>
  <si>
    <t>Iron and steel foundries</t>
  </si>
  <si>
    <t>Metal heat treating and primary metal</t>
  </si>
  <si>
    <t>Primary copper</t>
  </si>
  <si>
    <t>Other nonfer. rolling, drawing, insulating</t>
  </si>
  <si>
    <t>Metal barrels, drums and pails</t>
  </si>
  <si>
    <t>Metal plumbing fixtures, heating equipment</t>
  </si>
  <si>
    <t>Fabricated metal work</t>
  </si>
  <si>
    <t>Fabricated plate work (boiler shops)</t>
  </si>
  <si>
    <t>Screw machine products and bolts, etc.</t>
  </si>
  <si>
    <t>Forgings and stampings</t>
  </si>
  <si>
    <t>Cutlery</t>
  </si>
  <si>
    <t>Hand tools</t>
  </si>
  <si>
    <t>Other fabricated metal products</t>
  </si>
  <si>
    <t>Pipe, valves, and pipe fittings</t>
  </si>
  <si>
    <t>Turbines and turbine generator sets</t>
  </si>
  <si>
    <t>Internal combustion engines, n.e.c.</t>
  </si>
  <si>
    <t>Farm and garden machinery and equipment</t>
  </si>
  <si>
    <t>Construction, mining, oil field machinery</t>
  </si>
  <si>
    <t>Elevators, conveyors, cranes</t>
  </si>
  <si>
    <t>Machine tools and power driven hand tools</t>
  </si>
  <si>
    <t>Special industry machinery</t>
  </si>
  <si>
    <t>Pumps, compressors, blowers, fans, furnaces</t>
  </si>
  <si>
    <t>Ball and roller bearings transmiss. equip.</t>
  </si>
  <si>
    <t>Electrical computing equipment</t>
  </si>
  <si>
    <t>Service industry machines</t>
  </si>
  <si>
    <t>Transformers, switchgear and switchboard</t>
  </si>
  <si>
    <t>Electrical industrial apparatus</t>
  </si>
  <si>
    <t>Household cooking equipment</t>
  </si>
  <si>
    <t>Household refrigerator and freezers</t>
  </si>
  <si>
    <t>Household laundry equipment</t>
  </si>
  <si>
    <t>Electric housewares and fans</t>
  </si>
  <si>
    <t>Household vacuum cleaners</t>
  </si>
  <si>
    <t>Sewing machines, household appliances</t>
  </si>
  <si>
    <t>Electric lamps, lighting, wiring devices</t>
  </si>
  <si>
    <t>Radio, TV, phonograph records and tapes</t>
  </si>
  <si>
    <t>Telephone and telegraph apparatus</t>
  </si>
  <si>
    <t>Radio and TV communication equipment</t>
  </si>
  <si>
    <t>Electron tubes</t>
  </si>
  <si>
    <t>Storage batteries</t>
  </si>
  <si>
    <t>Electrical equipment and supplies</t>
  </si>
  <si>
    <t>Motor vehicles parts and accessories</t>
  </si>
  <si>
    <t>Aircraft</t>
  </si>
  <si>
    <t>Aircraft and missile equipment, n.e.c.</t>
  </si>
  <si>
    <t>Boat building and repairing</t>
  </si>
  <si>
    <t>Railroad equipment</t>
  </si>
  <si>
    <t>Motorcycles, bicycles, and parts</t>
  </si>
  <si>
    <t>Transportation equipment, n.e.c.</t>
  </si>
  <si>
    <t>Ordnance and accessories</t>
  </si>
  <si>
    <t>Engineering, scientific, optical equipment</t>
  </si>
  <si>
    <t>Measuring devices, environmental controls</t>
  </si>
  <si>
    <t>Surgical, medical and dental equipment</t>
  </si>
  <si>
    <t>Watches, clocks, and ophthalmic goods</t>
  </si>
  <si>
    <t>Jewelry, musical instruments, toys</t>
  </si>
  <si>
    <t>* Indicates that the estimated elasticity is statistically significant</t>
  </si>
  <si>
    <t>at the 5 percent level.</t>
  </si>
  <si>
    <t>Source: Kenneth A. Reinert and David W. Roland-Holst  (with permission),</t>
  </si>
  <si>
    <t>"Disaggregated Armington Elasticities for the Mining and Manufacturing Sectors"</t>
  </si>
  <si>
    <t xml:space="preserve"> Journal of Policy Modeling, 4:5, 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</si>
</sst>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79" formatCode="0.0E+00"/>
    <numFmt numFmtId="181" formatCode="mmmm\ d\,\ yyyy"/>
    <numFmt numFmtId="183" formatCode="0.0000"/>
  </numFmts>
  <fonts count="25" x14ac:knownFonts="1">
    <font>
      <sz val="10"/>
      <name val="Arial"/>
    </font>
    <font>
      <sz val="10"/>
      <name val="Arial"/>
    </font>
    <font>
      <b/>
      <sz val="18"/>
      <name val="Arial"/>
    </font>
    <font>
      <b/>
      <sz val="12"/>
      <name val="Arial"/>
    </font>
    <font>
      <sz val="12"/>
      <name val="Tms Rmn"/>
    </font>
    <font>
      <b/>
      <sz val="10"/>
      <name val="Arial"/>
    </font>
    <font>
      <sz val="12"/>
      <name val="Arial"/>
    </font>
    <font>
      <b/>
      <sz val="16"/>
      <name val="Arial"/>
    </font>
    <font>
      <sz val="12"/>
      <name val="Symbol"/>
    </font>
    <font>
      <u/>
      <sz val="12"/>
      <name val="Tms Rmn"/>
    </font>
    <font>
      <b/>
      <sz val="18"/>
      <name val="Tms Rmn"/>
    </font>
    <font>
      <sz val="10"/>
      <name val="Tms Rmn"/>
    </font>
    <font>
      <b/>
      <sz val="14"/>
      <color indexed="18"/>
      <name val="Tms Rmn"/>
    </font>
    <font>
      <b/>
      <sz val="18"/>
      <name val="Times New Roman"/>
      <family val="1"/>
    </font>
    <font>
      <i/>
      <sz val="12"/>
      <color indexed="12"/>
      <name val="Tms Rmn"/>
    </font>
    <font>
      <b/>
      <sz val="18"/>
      <color indexed="18"/>
      <name val="Tms Rmn"/>
    </font>
    <font>
      <b/>
      <sz val="12"/>
      <color indexed="32"/>
      <name val="Arial"/>
      <family val="2"/>
    </font>
    <font>
      <b/>
      <sz val="10"/>
      <color indexed="10"/>
      <name val="Tms Rmn"/>
    </font>
    <font>
      <sz val="12"/>
      <name val="Arial"/>
      <family val="2"/>
    </font>
    <font>
      <i/>
      <sz val="12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u/>
      <sz val="12"/>
      <name val="Times New Roman"/>
      <family val="1"/>
    </font>
    <font>
      <b/>
      <sz val="12"/>
      <name val="Tms Rmn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gray125">
        <fgColor indexed="9"/>
        <bgColor indexed="9"/>
      </patternFill>
    </fill>
    <fill>
      <patternFill patternType="gray125">
        <fgColor indexed="22"/>
        <bgColor indexed="9"/>
      </patternFill>
    </fill>
  </fills>
  <borders count="26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181" fontId="1" fillId="0" borderId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1" applyNumberFormat="0" applyFill="0" applyAlignment="0" applyProtection="0"/>
  </cellStyleXfs>
  <cellXfs count="116">
    <xf numFmtId="0" fontId="0" fillId="0" borderId="0" xfId="0"/>
    <xf numFmtId="0" fontId="1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2" borderId="0" xfId="0" applyFont="1" applyFill="1"/>
    <xf numFmtId="0" fontId="4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4" fillId="0" borderId="6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4" fillId="0" borderId="8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2" borderId="0" xfId="0" applyFont="1" applyFill="1" applyProtection="1">
      <protection locked="0"/>
    </xf>
    <xf numFmtId="0" fontId="4" fillId="2" borderId="9" xfId="0" applyFont="1" applyFill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1" xfId="0" applyFont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4" fillId="0" borderId="3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4" fillId="2" borderId="4" xfId="0" applyFont="1" applyFill="1" applyBorder="1" applyProtection="1">
      <protection locked="0"/>
    </xf>
    <xf numFmtId="0" fontId="4" fillId="0" borderId="5" xfId="0" applyFont="1" applyBorder="1" applyProtection="1">
      <protection locked="0"/>
    </xf>
    <xf numFmtId="0" fontId="4" fillId="3" borderId="10" xfId="0" applyFont="1" applyFill="1" applyBorder="1"/>
    <xf numFmtId="0" fontId="1" fillId="2" borderId="0" xfId="0" applyFont="1" applyFill="1" applyProtection="1">
      <protection locked="0"/>
    </xf>
    <xf numFmtId="0" fontId="8" fillId="0" borderId="0" xfId="0" applyFont="1" applyProtection="1">
      <protection locked="0"/>
    </xf>
    <xf numFmtId="0" fontId="9" fillId="0" borderId="7" xfId="0" applyFont="1" applyBorder="1" applyProtection="1">
      <protection locked="0"/>
    </xf>
    <xf numFmtId="49" fontId="1" fillId="0" borderId="0" xfId="0" applyNumberFormat="1" applyFont="1" applyProtection="1">
      <protection locked="0"/>
    </xf>
    <xf numFmtId="0" fontId="4" fillId="2" borderId="2" xfId="0" applyFont="1" applyFill="1" applyBorder="1" applyProtection="1">
      <protection locked="0"/>
    </xf>
    <xf numFmtId="2" fontId="4" fillId="3" borderId="2" xfId="0" applyNumberFormat="1" applyFont="1" applyFill="1" applyBorder="1"/>
    <xf numFmtId="179" fontId="4" fillId="0" borderId="7" xfId="0" applyNumberFormat="1" applyFont="1" applyBorder="1" applyProtection="1">
      <protection locked="0"/>
    </xf>
    <xf numFmtId="179" fontId="4" fillId="2" borderId="7" xfId="0" applyNumberFormat="1" applyFont="1" applyFill="1" applyBorder="1" applyProtection="1">
      <protection locked="0"/>
    </xf>
    <xf numFmtId="179" fontId="4" fillId="0" borderId="8" xfId="0" applyNumberFormat="1" applyFont="1" applyBorder="1" applyProtection="1">
      <protection locked="0"/>
    </xf>
    <xf numFmtId="179" fontId="4" fillId="0" borderId="2" xfId="0" applyNumberFormat="1" applyFont="1" applyBorder="1" applyProtection="1">
      <protection locked="0"/>
    </xf>
    <xf numFmtId="0" fontId="10" fillId="0" borderId="0" xfId="0" applyFont="1" applyProtection="1">
      <protection locked="0"/>
    </xf>
    <xf numFmtId="0" fontId="5" fillId="2" borderId="0" xfId="0" applyFont="1" applyFill="1"/>
    <xf numFmtId="0" fontId="11" fillId="0" borderId="0" xfId="0" applyFont="1"/>
    <xf numFmtId="0" fontId="12" fillId="0" borderId="0" xfId="0" applyFont="1"/>
    <xf numFmtId="0" fontId="6" fillId="0" borderId="0" xfId="0" applyFont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7" fillId="0" borderId="0" xfId="0" applyFont="1"/>
    <xf numFmtId="0" fontId="6" fillId="2" borderId="0" xfId="0" applyFont="1" applyFill="1"/>
    <xf numFmtId="0" fontId="15" fillId="0" borderId="0" xfId="0" applyFont="1" applyProtection="1">
      <protection locked="0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8" fillId="0" borderId="0" xfId="0" quotePrefix="1" applyFont="1"/>
    <xf numFmtId="0" fontId="19" fillId="0" borderId="0" xfId="0" applyFont="1"/>
    <xf numFmtId="0" fontId="4" fillId="0" borderId="0" xfId="0" applyFont="1" applyProtection="1">
      <protection locked="0"/>
    </xf>
    <xf numFmtId="2" fontId="4" fillId="3" borderId="0" xfId="0" applyNumberFormat="1" applyFont="1" applyFill="1"/>
    <xf numFmtId="0" fontId="1" fillId="0" borderId="0" xfId="0" applyFont="1" applyAlignment="1" applyProtection="1">
      <alignment horizontal="right"/>
      <protection locked="0"/>
    </xf>
    <xf numFmtId="0" fontId="0" fillId="0" borderId="0" xfId="0" applyBorder="1"/>
    <xf numFmtId="2" fontId="4" fillId="2" borderId="0" xfId="0" applyNumberFormat="1" applyFont="1" applyFill="1" applyProtection="1">
      <protection locked="0"/>
    </xf>
    <xf numFmtId="0" fontId="4" fillId="2" borderId="0" xfId="0" applyFont="1" applyFill="1" applyProtection="1">
      <protection locked="0"/>
    </xf>
    <xf numFmtId="2" fontId="4" fillId="0" borderId="0" xfId="0" applyNumberFormat="1" applyFont="1" applyProtection="1">
      <protection locked="0"/>
    </xf>
    <xf numFmtId="183" fontId="4" fillId="0" borderId="6" xfId="0" applyNumberFormat="1" applyFont="1" applyBorder="1" applyProtection="1">
      <protection locked="0"/>
    </xf>
    <xf numFmtId="183" fontId="4" fillId="0" borderId="1" xfId="0" applyNumberFormat="1" applyFont="1" applyBorder="1" applyProtection="1">
      <protection locked="0"/>
    </xf>
    <xf numFmtId="183" fontId="4" fillId="2" borderId="1" xfId="0" applyNumberFormat="1" applyFont="1" applyFill="1" applyBorder="1" applyProtection="1">
      <protection locked="0"/>
    </xf>
    <xf numFmtId="183" fontId="4" fillId="0" borderId="3" xfId="0" applyNumberFormat="1" applyFont="1" applyBorder="1" applyProtection="1">
      <protection locked="0"/>
    </xf>
    <xf numFmtId="183" fontId="4" fillId="0" borderId="7" xfId="0" applyNumberFormat="1" applyFont="1" applyBorder="1" applyProtection="1">
      <protection locked="0"/>
    </xf>
    <xf numFmtId="183" fontId="4" fillId="0" borderId="0" xfId="0" applyNumberFormat="1" applyFont="1" applyProtection="1">
      <protection locked="0"/>
    </xf>
    <xf numFmtId="183" fontId="0" fillId="0" borderId="0" xfId="0" applyNumberFormat="1" applyBorder="1"/>
    <xf numFmtId="183" fontId="4" fillId="2" borderId="0" xfId="0" applyNumberFormat="1" applyFont="1" applyFill="1" applyProtection="1">
      <protection locked="0"/>
    </xf>
    <xf numFmtId="183" fontId="4" fillId="0" borderId="4" xfId="0" applyNumberFormat="1" applyFont="1" applyBorder="1" applyProtection="1">
      <protection locked="0"/>
    </xf>
    <xf numFmtId="183" fontId="4" fillId="2" borderId="4" xfId="0" applyNumberFormat="1" applyFont="1" applyFill="1" applyBorder="1" applyProtection="1">
      <protection locked="0"/>
    </xf>
    <xf numFmtId="183" fontId="8" fillId="0" borderId="0" xfId="0" applyNumberFormat="1" applyFont="1" applyProtection="1">
      <protection locked="0"/>
    </xf>
    <xf numFmtId="183" fontId="8" fillId="0" borderId="2" xfId="0" applyNumberFormat="1" applyFont="1" applyBorder="1" applyProtection="1">
      <protection locked="0"/>
    </xf>
    <xf numFmtId="183" fontId="4" fillId="0" borderId="2" xfId="0" applyNumberFormat="1" applyFont="1" applyBorder="1" applyProtection="1">
      <protection locked="0"/>
    </xf>
    <xf numFmtId="183" fontId="4" fillId="2" borderId="2" xfId="0" applyNumberFormat="1" applyFont="1" applyFill="1" applyBorder="1" applyProtection="1">
      <protection locked="0"/>
    </xf>
    <xf numFmtId="183" fontId="4" fillId="0" borderId="5" xfId="0" applyNumberFormat="1" applyFont="1" applyBorder="1" applyProtection="1">
      <protection locked="0"/>
    </xf>
    <xf numFmtId="183" fontId="4" fillId="0" borderId="0" xfId="0" applyNumberFormat="1" applyFont="1" applyProtection="1">
      <protection locked="0"/>
    </xf>
    <xf numFmtId="183" fontId="4" fillId="0" borderId="2" xfId="0" applyNumberFormat="1" applyFont="1" applyBorder="1" applyProtection="1">
      <protection locked="0"/>
    </xf>
    <xf numFmtId="183" fontId="4" fillId="0" borderId="7" xfId="0" applyNumberFormat="1" applyFont="1" applyBorder="1" applyProtection="1">
      <protection locked="0"/>
    </xf>
    <xf numFmtId="183" fontId="4" fillId="0" borderId="8" xfId="0" applyNumberFormat="1" applyFont="1" applyBorder="1" applyProtection="1">
      <protection locked="0"/>
    </xf>
    <xf numFmtId="0" fontId="20" fillId="0" borderId="3" xfId="0" applyFont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0" fillId="0" borderId="4" xfId="0" applyFont="1" applyBorder="1"/>
    <xf numFmtId="0" fontId="20" fillId="0" borderId="0" xfId="0" applyFont="1"/>
    <xf numFmtId="0" fontId="9" fillId="0" borderId="0" xfId="0" applyFont="1" applyProtection="1"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Alignment="1" applyProtection="1">
      <alignment horizontal="right"/>
      <protection locked="0"/>
    </xf>
    <xf numFmtId="179" fontId="4" fillId="0" borderId="0" xfId="0" applyNumberFormat="1" applyFont="1" applyProtection="1">
      <protection locked="0"/>
    </xf>
    <xf numFmtId="179" fontId="1" fillId="0" borderId="0" xfId="0" applyNumberFormat="1" applyFont="1"/>
    <xf numFmtId="179" fontId="4" fillId="2" borderId="0" xfId="0" applyNumberFormat="1" applyFont="1" applyFill="1" applyProtection="1">
      <protection locked="0"/>
    </xf>
    <xf numFmtId="179" fontId="1" fillId="0" borderId="2" xfId="0" applyNumberFormat="1" applyFont="1" applyBorder="1"/>
    <xf numFmtId="0" fontId="23" fillId="0" borderId="1" xfId="0" applyFont="1" applyBorder="1" applyProtection="1">
      <protection locked="0"/>
    </xf>
    <xf numFmtId="179" fontId="23" fillId="0" borderId="0" xfId="0" applyNumberFormat="1" applyFont="1" applyProtection="1">
      <protection locked="0"/>
    </xf>
    <xf numFmtId="0" fontId="4" fillId="3" borderId="0" xfId="0" applyFont="1" applyFill="1"/>
    <xf numFmtId="2" fontId="20" fillId="0" borderId="4" xfId="0" applyNumberFormat="1" applyFont="1" applyBorder="1"/>
    <xf numFmtId="2" fontId="20" fillId="0" borderId="5" xfId="0" applyNumberFormat="1" applyFont="1" applyBorder="1"/>
    <xf numFmtId="0" fontId="21" fillId="0" borderId="0" xfId="0" applyFont="1"/>
    <xf numFmtId="0" fontId="21" fillId="2" borderId="0" xfId="0" applyFont="1" applyFill="1" applyAlignment="1" applyProtection="1">
      <alignment horizontal="right"/>
      <protection locked="0"/>
    </xf>
    <xf numFmtId="2" fontId="21" fillId="2" borderId="0" xfId="0" applyNumberFormat="1" applyFont="1" applyFill="1" applyAlignment="1" applyProtection="1">
      <alignment horizontal="right"/>
      <protection locked="0"/>
    </xf>
    <xf numFmtId="2" fontId="21" fillId="0" borderId="0" xfId="0" applyNumberFormat="1" applyFont="1"/>
    <xf numFmtId="0" fontId="20" fillId="0" borderId="0" xfId="0" applyFont="1"/>
    <xf numFmtId="0" fontId="20" fillId="0" borderId="0" xfId="0" applyFont="1"/>
    <xf numFmtId="0" fontId="24" fillId="0" borderId="0" xfId="0" applyFont="1"/>
    <xf numFmtId="0" fontId="24" fillId="0" borderId="0" xfId="0" applyFont="1"/>
    <xf numFmtId="0" fontId="21" fillId="0" borderId="0" xfId="0" applyFont="1" applyAlignment="1">
      <alignment horizontal="right"/>
    </xf>
    <xf numFmtId="0" fontId="23" fillId="4" borderId="25" xfId="0" applyFont="1" applyFill="1" applyBorder="1" applyProtection="1">
      <protection locked="0"/>
    </xf>
    <xf numFmtId="10" fontId="23" fillId="4" borderId="25" xfId="0" applyNumberFormat="1" applyFont="1" applyFill="1" applyBorder="1" applyProtection="1">
      <protection locked="0"/>
    </xf>
  </cellXfs>
  <cellStyles count="8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0875435420626093"/>
          <c:y val="7.4579017781954526E-2"/>
          <c:w val="0.74555126502236047"/>
          <c:h val="0.7356203117583697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Chart'!$A$14:$B$14</c:f>
              <c:strCache>
                <c:ptCount val="2"/>
                <c:pt idx="0">
                  <c:v>benchmark</c:v>
                </c:pt>
                <c:pt idx="1">
                  <c:v>counterfactual</c:v>
                </c:pt>
              </c:strCache>
            </c:strRef>
          </c:cat>
          <c:val>
            <c:numRef>
              <c:f>'Results Chart'!$A$15:$B$15</c:f>
              <c:numCache>
                <c:formatCode>0.00</c:formatCode>
                <c:ptCount val="2"/>
                <c:pt idx="0" formatCode="General">
                  <c:v>2008000</c:v>
                </c:pt>
                <c:pt idx="1">
                  <c:v>2013462.9943926665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E9-4262-BB5E-85745FA34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6026943"/>
        <c:axId val="1"/>
        <c:axId val="0"/>
      </c:bar3DChart>
      <c:catAx>
        <c:axId val="796026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6026943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7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07261567998983"/>
          <c:y val="7.4579017781954526E-2"/>
          <c:w val="0.84830349099315383"/>
          <c:h val="0.7254504456971940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Chart'!$E$14:$F$14</c:f>
              <c:strCache>
                <c:ptCount val="2"/>
                <c:pt idx="0">
                  <c:v>benchmark</c:v>
                </c:pt>
                <c:pt idx="1">
                  <c:v>counterfactual</c:v>
                </c:pt>
              </c:strCache>
            </c:strRef>
          </c:cat>
          <c:val>
            <c:numRef>
              <c:f>'Results Chart'!$E$15:$F$15</c:f>
              <c:numCache>
                <c:formatCode>0.00</c:formatCode>
                <c:ptCount val="2"/>
                <c:pt idx="0" formatCode="General">
                  <c:v>100</c:v>
                </c:pt>
                <c:pt idx="1">
                  <c:v>162.01657043380385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D-4196-BF55-CDD14C282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5425615"/>
        <c:axId val="1"/>
        <c:axId val="0"/>
      </c:bar3DChart>
      <c:catAx>
        <c:axId val="785425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54256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hPercent val="46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9.4020036851781133E-2"/>
          <c:y val="6.3220469830057982E-2"/>
          <c:w val="0.87324670591123998"/>
          <c:h val="0.7643929533997919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'Results Chart'!$A$31:$B$31</c:f>
              <c:strCache>
                <c:ptCount val="2"/>
                <c:pt idx="0">
                  <c:v>benchmark</c:v>
                </c:pt>
                <c:pt idx="1">
                  <c:v>counterfactual</c:v>
                </c:pt>
              </c:strCache>
            </c:strRef>
          </c:cat>
          <c:val>
            <c:numRef>
              <c:f>'Results Chart'!$A$32:$B$32</c:f>
              <c:numCache>
                <c:formatCode>General</c:formatCode>
                <c:ptCount val="2"/>
                <c:pt idx="0">
                  <c:v>100</c:v>
                </c:pt>
                <c:pt idx="1">
                  <c:v>67.73140982597964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2-4621-8490-1B95F385B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5427615"/>
        <c:axId val="1"/>
        <c:axId val="0"/>
      </c:bar3DChart>
      <c:catAx>
        <c:axId val="785427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54276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</xdr:colOff>
      <xdr:row>2</xdr:row>
      <xdr:rowOff>120650</xdr:rowOff>
    </xdr:from>
    <xdr:to>
      <xdr:col>3</xdr:col>
      <xdr:colOff>768350</xdr:colOff>
      <xdr:row>12</xdr:row>
      <xdr:rowOff>25400</xdr:rowOff>
    </xdr:to>
    <xdr:graphicFrame macro="">
      <xdr:nvGraphicFramePr>
        <xdr:cNvPr id="1028" name="Chart 4">
          <a:extLst>
            <a:ext uri="{FF2B5EF4-FFF2-40B4-BE49-F238E27FC236}">
              <a16:creationId xmlns:a16="http://schemas.microsoft.com/office/drawing/2014/main" id="{FAE97E2B-6824-4625-8F7F-3755AD122B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88900</xdr:colOff>
      <xdr:row>2</xdr:row>
      <xdr:rowOff>120650</xdr:rowOff>
    </xdr:from>
    <xdr:to>
      <xdr:col>9</xdr:col>
      <xdr:colOff>304800</xdr:colOff>
      <xdr:row>12</xdr:row>
      <xdr:rowOff>25400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8C22418F-8979-4592-B994-4390BB1FB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18</xdr:row>
      <xdr:rowOff>38100</xdr:rowOff>
    </xdr:from>
    <xdr:to>
      <xdr:col>5</xdr:col>
      <xdr:colOff>419100</xdr:colOff>
      <xdr:row>29</xdr:row>
      <xdr:rowOff>82550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F47D3915-A516-4BEA-9B10-522E500B5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1047750</xdr:colOff>
          <xdr:row>10</xdr:row>
          <xdr:rowOff>95250</xdr:rowOff>
        </xdr:from>
        <xdr:to>
          <xdr:col>9</xdr:col>
          <xdr:colOff>19050</xdr:colOff>
          <xdr:row>14</xdr:row>
          <xdr:rowOff>177800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4B6E8276-F267-4804-A999-486DA3B7AD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54864" tIns="45720" rIns="54864" bIns="45720" anchor="ctr" upright="1"/>
            <a:lstStyle/>
            <a:p>
              <a:pPr algn="ctr" rtl="0">
                <a:defRPr sz="1000"/>
              </a:pPr>
              <a:r>
                <a:rPr lang="en-GB" sz="1800" b="1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Calibrate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RowColHeaders="0" tabSelected="1" defaultGridColor="0" colorId="9" workbookViewId="0">
      <selection activeCell="A14" sqref="A14"/>
    </sheetView>
  </sheetViews>
  <sheetFormatPr defaultRowHeight="12.5" x14ac:dyDescent="0.25"/>
  <cols>
    <col min="1" max="1" width="2.54296875" customWidth="1"/>
  </cols>
  <sheetData>
    <row r="1" spans="1:9" ht="15.5" x14ac:dyDescent="0.35">
      <c r="A1" s="58" t="s">
        <v>0</v>
      </c>
      <c r="B1" s="60"/>
      <c r="C1" s="60"/>
      <c r="D1" s="60"/>
      <c r="E1" s="60"/>
      <c r="F1" s="60"/>
      <c r="G1" s="60"/>
      <c r="H1" s="60"/>
      <c r="I1" s="60"/>
    </row>
    <row r="2" spans="1:9" ht="15.5" x14ac:dyDescent="0.35">
      <c r="A2" s="60"/>
      <c r="B2" s="60"/>
      <c r="C2" s="60"/>
      <c r="D2" s="60"/>
      <c r="E2" s="60"/>
      <c r="F2" s="60"/>
      <c r="G2" s="60"/>
      <c r="H2" s="60"/>
      <c r="I2" s="60"/>
    </row>
    <row r="3" spans="1:9" ht="15.5" x14ac:dyDescent="0.35">
      <c r="A3" s="60"/>
      <c r="B3" s="60" t="s">
        <v>1</v>
      </c>
      <c r="C3" s="60"/>
      <c r="D3" s="60"/>
      <c r="E3" s="60"/>
      <c r="F3" s="60"/>
      <c r="G3" s="60"/>
      <c r="H3" s="60"/>
      <c r="I3" s="60"/>
    </row>
    <row r="4" spans="1:9" ht="15.5" x14ac:dyDescent="0.35">
      <c r="A4" s="60"/>
      <c r="B4" s="60" t="s">
        <v>2</v>
      </c>
      <c r="C4" s="60"/>
      <c r="D4" s="60"/>
      <c r="E4" s="60"/>
      <c r="F4" s="60"/>
      <c r="G4" s="60"/>
      <c r="H4" s="60"/>
      <c r="I4" s="60"/>
    </row>
    <row r="5" spans="1:9" ht="15.5" x14ac:dyDescent="0.35">
      <c r="A5" s="60"/>
      <c r="B5" s="60" t="s">
        <v>3</v>
      </c>
      <c r="C5" s="60"/>
      <c r="D5" s="60"/>
      <c r="E5" s="60"/>
      <c r="F5" s="60"/>
      <c r="G5" s="60"/>
      <c r="H5" s="60"/>
      <c r="I5" s="60"/>
    </row>
    <row r="6" spans="1:9" ht="15.5" x14ac:dyDescent="0.35">
      <c r="A6" s="60"/>
      <c r="B6" s="60" t="s">
        <v>4</v>
      </c>
      <c r="C6" s="60"/>
      <c r="D6" s="60"/>
      <c r="E6" s="60"/>
      <c r="F6" s="60"/>
      <c r="G6" s="60"/>
      <c r="H6" s="60"/>
      <c r="I6" s="60"/>
    </row>
    <row r="7" spans="1:9" ht="15.5" x14ac:dyDescent="0.35">
      <c r="A7" s="60"/>
      <c r="B7" s="61" t="s">
        <v>5</v>
      </c>
      <c r="C7" s="60"/>
      <c r="D7" s="60"/>
      <c r="E7" s="60"/>
      <c r="F7" s="60"/>
      <c r="G7" s="60"/>
      <c r="H7" s="60"/>
      <c r="I7" s="60"/>
    </row>
    <row r="8" spans="1:9" ht="15.5" x14ac:dyDescent="0.35">
      <c r="A8" s="60"/>
      <c r="B8" s="60" t="s">
        <v>6</v>
      </c>
      <c r="C8" s="60"/>
      <c r="D8" s="60"/>
      <c r="E8" s="60"/>
      <c r="F8" s="60"/>
      <c r="G8" s="60"/>
      <c r="H8" s="60"/>
      <c r="I8" s="60"/>
    </row>
    <row r="9" spans="1:9" ht="15.5" x14ac:dyDescent="0.35">
      <c r="A9" s="60"/>
      <c r="B9" s="60"/>
      <c r="C9" s="60"/>
      <c r="D9" s="60"/>
      <c r="E9" s="60"/>
      <c r="F9" s="60"/>
      <c r="G9" s="60"/>
      <c r="H9" s="60"/>
      <c r="I9" s="60"/>
    </row>
    <row r="10" spans="1:9" ht="15.5" x14ac:dyDescent="0.35">
      <c r="A10" s="60"/>
      <c r="B10" s="60" t="s">
        <v>7</v>
      </c>
      <c r="C10" s="60"/>
      <c r="D10" s="60"/>
      <c r="E10" s="60"/>
      <c r="F10" s="60"/>
      <c r="G10" s="60"/>
      <c r="H10" s="60"/>
      <c r="I10" s="60"/>
    </row>
    <row r="11" spans="1:9" ht="15.5" x14ac:dyDescent="0.35">
      <c r="A11" s="60"/>
      <c r="B11" s="60" t="s">
        <v>8</v>
      </c>
      <c r="C11" s="60"/>
      <c r="D11" s="60"/>
      <c r="E11" s="60"/>
      <c r="F11" s="60"/>
      <c r="G11" s="60"/>
      <c r="H11" s="60"/>
      <c r="I11" s="60"/>
    </row>
    <row r="12" spans="1:9" ht="15.5" x14ac:dyDescent="0.35">
      <c r="A12" s="60"/>
      <c r="B12" s="60" t="s">
        <v>9</v>
      </c>
      <c r="C12" s="60"/>
      <c r="D12" s="60"/>
      <c r="E12" s="60"/>
      <c r="F12" s="60"/>
      <c r="G12" s="60"/>
      <c r="H12" s="60"/>
      <c r="I12" s="60"/>
    </row>
    <row r="13" spans="1:9" ht="15.5" x14ac:dyDescent="0.35">
      <c r="A13" s="60"/>
      <c r="B13" s="60" t="s">
        <v>10</v>
      </c>
      <c r="C13" s="60"/>
      <c r="D13" s="60"/>
      <c r="E13" s="60"/>
      <c r="F13" s="60"/>
      <c r="G13" s="60"/>
      <c r="H13" s="60"/>
      <c r="I13" s="60"/>
    </row>
    <row r="14" spans="1:9" ht="15.5" x14ac:dyDescent="0.35">
      <c r="A14" s="60"/>
      <c r="B14" s="60" t="s">
        <v>11</v>
      </c>
      <c r="C14" s="60"/>
      <c r="D14" s="60"/>
      <c r="E14" s="60"/>
      <c r="F14" s="60"/>
      <c r="G14" s="60"/>
      <c r="H14" s="60"/>
      <c r="I14" s="60"/>
    </row>
    <row r="15" spans="1:9" ht="15.5" x14ac:dyDescent="0.35">
      <c r="A15" s="60"/>
      <c r="B15" s="60" t="s">
        <v>12</v>
      </c>
      <c r="C15" s="60"/>
      <c r="D15" s="60"/>
      <c r="E15" s="60"/>
      <c r="F15" s="60"/>
      <c r="G15" s="60"/>
      <c r="H15" s="60"/>
      <c r="I15" s="60"/>
    </row>
    <row r="16" spans="1:9" ht="15.5" x14ac:dyDescent="0.35">
      <c r="A16" s="60"/>
      <c r="B16" s="60" t="s">
        <v>13</v>
      </c>
      <c r="C16" s="60"/>
      <c r="D16" s="60"/>
      <c r="E16" s="60"/>
      <c r="F16" s="60"/>
      <c r="G16" s="60"/>
      <c r="H16" s="60"/>
      <c r="I16" s="60"/>
    </row>
    <row r="17" spans="1:9" ht="15.5" x14ac:dyDescent="0.35">
      <c r="A17" s="60"/>
      <c r="B17" s="60"/>
      <c r="C17" s="60"/>
      <c r="D17" s="60"/>
      <c r="E17" s="60"/>
      <c r="F17" s="60"/>
      <c r="G17" s="60"/>
      <c r="H17" s="60"/>
      <c r="I17" s="60"/>
    </row>
    <row r="18" spans="1:9" ht="15.5" x14ac:dyDescent="0.35">
      <c r="A18" s="60"/>
      <c r="B18" s="60" t="s">
        <v>14</v>
      </c>
      <c r="C18" s="60"/>
      <c r="D18" s="60"/>
      <c r="E18" s="60"/>
      <c r="F18" s="60"/>
      <c r="G18" s="60"/>
      <c r="H18" s="60"/>
      <c r="I18" s="60"/>
    </row>
    <row r="19" spans="1:9" ht="15.5" x14ac:dyDescent="0.35">
      <c r="A19" s="60"/>
      <c r="B19" s="60" t="s">
        <v>15</v>
      </c>
      <c r="C19" s="60"/>
      <c r="D19" s="60"/>
      <c r="E19" s="60"/>
      <c r="F19" s="60"/>
      <c r="G19" s="60"/>
      <c r="H19" s="60"/>
      <c r="I19" s="60"/>
    </row>
    <row r="20" spans="1:9" ht="15.5" x14ac:dyDescent="0.35">
      <c r="A20" s="60"/>
      <c r="B20" s="62" t="s">
        <v>16</v>
      </c>
      <c r="C20" s="60"/>
      <c r="D20" s="60"/>
      <c r="E20" s="60"/>
      <c r="F20" s="60"/>
      <c r="G20" s="60"/>
      <c r="H20" s="60"/>
      <c r="I20" s="60"/>
    </row>
    <row r="21" spans="1:9" ht="15.5" x14ac:dyDescent="0.35">
      <c r="A21" s="60"/>
      <c r="B21" s="60" t="s">
        <v>17</v>
      </c>
      <c r="C21" s="60"/>
      <c r="D21" s="60"/>
      <c r="E21" s="60"/>
      <c r="F21" s="60"/>
      <c r="G21" s="60"/>
      <c r="H21" s="60"/>
      <c r="I21" s="60"/>
    </row>
    <row r="22" spans="1:9" ht="15.5" x14ac:dyDescent="0.35">
      <c r="A22" s="60"/>
      <c r="B22" s="60" t="s">
        <v>18</v>
      </c>
      <c r="C22" s="60"/>
      <c r="D22" s="60"/>
      <c r="E22" s="60"/>
      <c r="F22" s="60"/>
      <c r="G22" s="60"/>
      <c r="H22" s="60"/>
      <c r="I22" s="60"/>
    </row>
    <row r="23" spans="1:9" ht="15.5" x14ac:dyDescent="0.35">
      <c r="A23" s="60"/>
      <c r="B23" s="60" t="s">
        <v>19</v>
      </c>
      <c r="C23" s="60"/>
      <c r="D23" s="60"/>
      <c r="E23" s="60"/>
      <c r="F23" s="60"/>
      <c r="G23" s="60"/>
      <c r="H23" s="60"/>
      <c r="I23" s="60"/>
    </row>
    <row r="24" spans="1:9" ht="15.5" x14ac:dyDescent="0.35">
      <c r="A24" s="60"/>
      <c r="B24" s="60"/>
      <c r="C24" s="60"/>
      <c r="D24" s="60"/>
      <c r="E24" s="60"/>
      <c r="F24" s="60"/>
      <c r="G24" s="60"/>
      <c r="H24" s="60"/>
      <c r="I24" s="60"/>
    </row>
    <row r="25" spans="1:9" ht="15.5" x14ac:dyDescent="0.35">
      <c r="A25" s="60"/>
      <c r="B25" s="60" t="s">
        <v>20</v>
      </c>
      <c r="C25" s="60"/>
      <c r="D25" s="60"/>
      <c r="E25" s="60"/>
      <c r="F25" s="60"/>
      <c r="G25" s="60"/>
      <c r="H25" s="60"/>
      <c r="I25" s="60"/>
    </row>
    <row r="26" spans="1:9" ht="15.5" x14ac:dyDescent="0.35">
      <c r="A26" s="60"/>
      <c r="B26" s="60" t="s">
        <v>21</v>
      </c>
      <c r="C26" s="60"/>
      <c r="D26" s="60"/>
      <c r="E26" s="60"/>
      <c r="F26" s="60"/>
      <c r="G26" s="60"/>
      <c r="H26" s="60"/>
      <c r="I26" s="60"/>
    </row>
    <row r="27" spans="1:9" ht="15.5" x14ac:dyDescent="0.35">
      <c r="A27" s="60"/>
      <c r="B27" s="60"/>
      <c r="C27" s="60"/>
      <c r="D27" s="60"/>
      <c r="E27" s="60"/>
      <c r="F27" s="60"/>
      <c r="G27" s="60"/>
      <c r="H27" s="60"/>
      <c r="I27" s="60"/>
    </row>
    <row r="28" spans="1:9" ht="15.5" x14ac:dyDescent="0.35">
      <c r="A28" s="60"/>
      <c r="B28" s="60"/>
      <c r="C28" s="60"/>
      <c r="D28" s="60"/>
      <c r="E28" s="60"/>
      <c r="F28" s="60"/>
      <c r="G28" s="60"/>
      <c r="H28" s="60"/>
      <c r="I28" s="60"/>
    </row>
    <row r="29" spans="1:9" ht="15.5" x14ac:dyDescent="0.35">
      <c r="A29" s="60"/>
      <c r="B29" s="60"/>
      <c r="C29" s="60"/>
      <c r="D29" s="60"/>
      <c r="E29" s="60"/>
      <c r="F29" s="60"/>
      <c r="G29" s="60"/>
      <c r="H29" s="60"/>
      <c r="I29" s="60"/>
    </row>
    <row r="30" spans="1:9" ht="15.5" x14ac:dyDescent="0.35">
      <c r="A30" s="60"/>
      <c r="B30" s="60"/>
      <c r="C30" s="60"/>
      <c r="D30" s="60"/>
      <c r="E30" s="60"/>
      <c r="F30" s="60"/>
      <c r="G30" s="60"/>
      <c r="H30" s="60"/>
      <c r="I30" s="60"/>
    </row>
    <row r="31" spans="1:9" ht="15.5" x14ac:dyDescent="0.35">
      <c r="A31" s="60"/>
      <c r="B31" s="60"/>
      <c r="C31" s="60"/>
      <c r="D31" s="60"/>
      <c r="E31" s="60"/>
      <c r="F31" s="60"/>
      <c r="G31" s="60"/>
      <c r="H31" s="60"/>
      <c r="I31" s="60"/>
    </row>
    <row r="32" spans="1:9" ht="15.5" x14ac:dyDescent="0.35">
      <c r="A32" s="60"/>
      <c r="B32" s="60"/>
      <c r="C32" s="60"/>
      <c r="D32" s="60"/>
      <c r="E32" s="60"/>
      <c r="F32" s="60"/>
      <c r="G32" s="60"/>
      <c r="H32" s="60"/>
      <c r="I32" s="60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GridLines="0" zoomScale="85" workbookViewId="0"/>
  </sheetViews>
  <sheetFormatPr defaultRowHeight="12.5" x14ac:dyDescent="0.25"/>
  <cols>
    <col min="1" max="6" width="11.7265625" customWidth="1"/>
  </cols>
  <sheetData>
    <row r="1" spans="1:7" ht="15.5" x14ac:dyDescent="0.35">
      <c r="A1" s="109"/>
      <c r="B1" s="110"/>
      <c r="C1" s="110"/>
      <c r="D1" s="109"/>
      <c r="E1" s="109"/>
      <c r="F1" s="109"/>
      <c r="G1" s="109"/>
    </row>
    <row r="2" spans="1:7" ht="15.5" x14ac:dyDescent="0.35">
      <c r="A2" s="111" t="s">
        <v>22</v>
      </c>
      <c r="B2" s="109"/>
      <c r="C2" s="109"/>
      <c r="E2" s="112" t="s">
        <v>23</v>
      </c>
      <c r="F2" s="109"/>
      <c r="G2" s="109"/>
    </row>
    <row r="3" spans="1:7" ht="15.5" x14ac:dyDescent="0.35">
      <c r="A3" s="109"/>
      <c r="B3" s="109"/>
      <c r="C3" s="109"/>
      <c r="D3" s="109"/>
      <c r="E3" s="109"/>
      <c r="F3" s="109"/>
      <c r="G3" s="109"/>
    </row>
    <row r="4" spans="1:7" ht="15.5" x14ac:dyDescent="0.35">
      <c r="A4" s="109"/>
      <c r="B4" s="109"/>
      <c r="C4" s="109"/>
      <c r="D4" s="109"/>
      <c r="E4" s="109"/>
      <c r="F4" s="109"/>
      <c r="G4" s="109"/>
    </row>
    <row r="5" spans="1:7" ht="15.5" x14ac:dyDescent="0.35">
      <c r="A5" s="109"/>
      <c r="B5" s="109"/>
      <c r="C5" s="109"/>
      <c r="D5" s="109"/>
      <c r="E5" s="109"/>
      <c r="F5" s="109"/>
      <c r="G5" s="109"/>
    </row>
    <row r="6" spans="1:7" ht="15.5" x14ac:dyDescent="0.35">
      <c r="A6" s="109"/>
      <c r="B6" s="109"/>
      <c r="C6" s="109"/>
      <c r="D6" s="109"/>
      <c r="E6" s="109"/>
      <c r="F6" s="109"/>
      <c r="G6" s="109"/>
    </row>
    <row r="7" spans="1:7" ht="15.5" x14ac:dyDescent="0.35">
      <c r="A7" s="109"/>
      <c r="B7" s="109"/>
      <c r="C7" s="109"/>
      <c r="D7" s="109"/>
      <c r="E7" s="109"/>
      <c r="F7" s="109"/>
      <c r="G7" s="109"/>
    </row>
    <row r="8" spans="1:7" ht="15.5" x14ac:dyDescent="0.35">
      <c r="A8" s="109"/>
      <c r="B8" s="109"/>
      <c r="C8" s="109"/>
      <c r="D8" s="109"/>
      <c r="E8" s="109"/>
      <c r="F8" s="109"/>
      <c r="G8" s="109"/>
    </row>
    <row r="9" spans="1:7" ht="15.5" x14ac:dyDescent="0.35">
      <c r="A9" s="109"/>
      <c r="B9" s="109"/>
      <c r="C9" s="109"/>
      <c r="D9" s="109"/>
      <c r="E9" s="109"/>
      <c r="F9" s="109"/>
      <c r="G9" s="109"/>
    </row>
    <row r="10" spans="1:7" ht="15.5" x14ac:dyDescent="0.35">
      <c r="A10" s="109"/>
      <c r="B10" s="109"/>
      <c r="C10" s="109"/>
      <c r="D10" s="109"/>
      <c r="E10" s="109"/>
      <c r="F10" s="109"/>
      <c r="G10" s="109"/>
    </row>
    <row r="11" spans="1:7" ht="15.5" x14ac:dyDescent="0.35">
      <c r="A11" s="109"/>
      <c r="B11" s="109"/>
      <c r="C11" s="109"/>
      <c r="D11" s="109"/>
      <c r="E11" s="109"/>
      <c r="F11" s="109"/>
      <c r="G11" s="109"/>
    </row>
    <row r="12" spans="1:7" ht="15.5" x14ac:dyDescent="0.35">
      <c r="A12" s="109"/>
      <c r="B12" s="109"/>
      <c r="C12" s="109"/>
      <c r="D12" s="109"/>
      <c r="E12" s="109"/>
      <c r="F12" s="109"/>
      <c r="G12" s="109"/>
    </row>
    <row r="13" spans="1:7" ht="15.5" x14ac:dyDescent="0.35">
      <c r="A13" s="109"/>
      <c r="B13" s="109"/>
      <c r="C13" s="109"/>
      <c r="D13" s="109"/>
      <c r="E13" s="109"/>
      <c r="F13" s="109"/>
      <c r="G13" s="109"/>
    </row>
    <row r="14" spans="1:7" ht="15.5" x14ac:dyDescent="0.35">
      <c r="A14" s="106" t="s">
        <v>24</v>
      </c>
      <c r="B14" s="106" t="s">
        <v>25</v>
      </c>
      <c r="C14" s="109"/>
      <c r="D14" s="109"/>
      <c r="E14" s="113" t="s">
        <v>24</v>
      </c>
      <c r="F14" s="113" t="s">
        <v>25</v>
      </c>
      <c r="G14" s="109"/>
    </row>
    <row r="15" spans="1:7" ht="15.5" x14ac:dyDescent="0.35">
      <c r="A15" s="106">
        <f>'The Model'!H44/'The Model'!A36</f>
        <v>2008000</v>
      </c>
      <c r="B15" s="107">
        <f>A15+'The Model'!I50</f>
        <v>2013462.9943926665</v>
      </c>
      <c r="C15" s="109"/>
      <c r="D15" s="109"/>
      <c r="E15" s="105">
        <f>SUM('The Model'!B5:B6)/SUM('The Model'!B5:B6)*100</f>
        <v>100</v>
      </c>
      <c r="F15" s="108">
        <f>('The Model'!I52+'The Model'!I53)/SUM('The Model'!B5:B6)*100</f>
        <v>162.01657043380385</v>
      </c>
      <c r="G15" s="109"/>
    </row>
    <row r="16" spans="1:7" ht="15.5" x14ac:dyDescent="0.35">
      <c r="A16" s="106"/>
      <c r="B16" s="107"/>
      <c r="C16" s="109"/>
      <c r="D16" s="109"/>
      <c r="E16" s="105"/>
      <c r="F16" s="108"/>
      <c r="G16" s="109"/>
    </row>
    <row r="17" spans="1:7" ht="15.5" x14ac:dyDescent="0.35">
      <c r="A17" s="109"/>
      <c r="B17" s="109"/>
      <c r="C17" s="109"/>
      <c r="D17" s="109"/>
      <c r="E17" s="109"/>
      <c r="F17" s="109"/>
      <c r="G17" s="109"/>
    </row>
    <row r="18" spans="1:7" ht="15.5" x14ac:dyDescent="0.35">
      <c r="A18" s="112" t="s">
        <v>26</v>
      </c>
      <c r="B18" s="109"/>
      <c r="C18" s="109"/>
      <c r="D18" s="109"/>
      <c r="E18" s="109"/>
      <c r="F18" s="109"/>
      <c r="G18" s="109"/>
    </row>
    <row r="19" spans="1:7" ht="15.5" x14ac:dyDescent="0.35">
      <c r="A19" s="109"/>
      <c r="B19" s="109"/>
      <c r="C19" s="109"/>
      <c r="D19" s="109"/>
      <c r="E19" s="109"/>
      <c r="F19" s="109"/>
      <c r="G19" s="109"/>
    </row>
    <row r="20" spans="1:7" ht="15.5" x14ac:dyDescent="0.35">
      <c r="A20" s="109"/>
      <c r="B20" s="109"/>
      <c r="C20" s="109"/>
      <c r="D20" s="109"/>
      <c r="E20" s="109"/>
      <c r="F20" s="109"/>
      <c r="G20" s="109"/>
    </row>
    <row r="21" spans="1:7" ht="15.5" x14ac:dyDescent="0.35">
      <c r="A21" s="109"/>
      <c r="B21" s="109"/>
      <c r="C21" s="109"/>
      <c r="D21" s="109"/>
      <c r="E21" s="109"/>
      <c r="F21" s="109"/>
      <c r="G21" s="109"/>
    </row>
    <row r="22" spans="1:7" ht="15.5" x14ac:dyDescent="0.35">
      <c r="A22" s="109"/>
      <c r="B22" s="109"/>
      <c r="C22" s="109"/>
      <c r="D22" s="109"/>
      <c r="E22" s="109"/>
      <c r="F22" s="109"/>
      <c r="G22" s="109"/>
    </row>
    <row r="23" spans="1:7" ht="15.5" x14ac:dyDescent="0.35">
      <c r="A23" s="109"/>
      <c r="B23" s="109"/>
      <c r="C23" s="109"/>
      <c r="D23" s="109"/>
      <c r="E23" s="109"/>
      <c r="F23" s="109"/>
      <c r="G23" s="109"/>
    </row>
    <row r="24" spans="1:7" ht="15.5" x14ac:dyDescent="0.35">
      <c r="A24" s="109"/>
      <c r="B24" s="109"/>
      <c r="C24" s="109"/>
      <c r="D24" s="109"/>
      <c r="E24" s="109"/>
      <c r="F24" s="109"/>
      <c r="G24" s="109"/>
    </row>
    <row r="25" spans="1:7" ht="15.5" x14ac:dyDescent="0.35">
      <c r="A25" s="109"/>
      <c r="B25" s="109"/>
      <c r="C25" s="109"/>
      <c r="D25" s="109"/>
      <c r="E25" s="109"/>
      <c r="F25" s="109"/>
      <c r="G25" s="109"/>
    </row>
    <row r="26" spans="1:7" ht="15.5" x14ac:dyDescent="0.35">
      <c r="A26" s="109"/>
      <c r="B26" s="109"/>
      <c r="C26" s="109"/>
      <c r="D26" s="109"/>
      <c r="E26" s="109"/>
      <c r="F26" s="109"/>
      <c r="G26" s="109"/>
    </row>
    <row r="27" spans="1:7" ht="15.5" x14ac:dyDescent="0.35">
      <c r="A27" s="109"/>
      <c r="B27" s="109"/>
      <c r="C27" s="109"/>
      <c r="D27" s="109"/>
      <c r="E27" s="109"/>
      <c r="F27" s="109"/>
      <c r="G27" s="109"/>
    </row>
    <row r="28" spans="1:7" ht="15.5" x14ac:dyDescent="0.35">
      <c r="A28" s="109"/>
      <c r="B28" s="109"/>
      <c r="C28" s="109"/>
      <c r="D28" s="109"/>
      <c r="E28" s="109"/>
      <c r="F28" s="109"/>
      <c r="G28" s="109"/>
    </row>
    <row r="29" spans="1:7" ht="15.5" x14ac:dyDescent="0.35">
      <c r="C29" s="109"/>
      <c r="D29" s="109"/>
      <c r="E29" s="109"/>
      <c r="F29" s="109"/>
      <c r="G29" s="109"/>
    </row>
    <row r="30" spans="1:7" ht="15.5" x14ac:dyDescent="0.35">
      <c r="C30" s="109"/>
      <c r="D30" s="109"/>
      <c r="E30" s="109"/>
      <c r="F30" s="109"/>
      <c r="G30" s="109"/>
    </row>
    <row r="31" spans="1:7" ht="13" x14ac:dyDescent="0.3">
      <c r="A31" s="106" t="s">
        <v>24</v>
      </c>
      <c r="B31" s="106" t="s">
        <v>25</v>
      </c>
    </row>
    <row r="32" spans="1:7" ht="13" x14ac:dyDescent="0.3">
      <c r="A32" s="105">
        <f>'The Model'!H51/'The Model'!H51*100</f>
        <v>100</v>
      </c>
      <c r="B32" s="105">
        <f>'The Model'!I51/'The Model'!H51*100</f>
        <v>67.73140982597964</v>
      </c>
    </row>
  </sheetData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U86"/>
  <sheetViews>
    <sheetView showGridLines="0" showOutlineSymbols="0" zoomScale="83" workbookViewId="0">
      <selection activeCell="A13" sqref="A13"/>
    </sheetView>
  </sheetViews>
  <sheetFormatPr defaultRowHeight="15.5" x14ac:dyDescent="0.35"/>
  <cols>
    <col min="1" max="1" width="13.81640625" style="9" customWidth="1"/>
    <col min="2" max="2" width="11.81640625" style="9" customWidth="1"/>
    <col min="3" max="3" width="10.26953125" style="9" customWidth="1"/>
    <col min="5" max="5" width="11.81640625" customWidth="1"/>
    <col min="6" max="6" width="11.453125" customWidth="1"/>
    <col min="7" max="7" width="13.7265625" style="9" customWidth="1"/>
    <col min="8" max="8" width="16.26953125" style="16" customWidth="1"/>
    <col min="9" max="9" width="15.7265625" style="16" customWidth="1"/>
    <col min="10" max="10" width="15.453125" style="9" customWidth="1"/>
  </cols>
  <sheetData>
    <row r="1" spans="1:21" ht="23.5" x14ac:dyDescent="0.55000000000000004">
      <c r="B1" s="36" t="s">
        <v>27</v>
      </c>
      <c r="C1"/>
      <c r="D1" s="57" t="s">
        <v>28</v>
      </c>
      <c r="E1" s="9"/>
      <c r="G1"/>
      <c r="H1"/>
      <c r="I1"/>
      <c r="J1"/>
    </row>
    <row r="2" spans="1:21" ht="24" thickBot="1" x14ac:dyDescent="0.6">
      <c r="B2" s="59" t="s">
        <v>29</v>
      </c>
      <c r="C2"/>
      <c r="D2" s="57"/>
      <c r="E2" s="9"/>
      <c r="G2"/>
      <c r="H2"/>
      <c r="I2"/>
      <c r="J2"/>
    </row>
    <row r="3" spans="1:21" ht="4.5" customHeight="1" thickTop="1" x14ac:dyDescent="0.35">
      <c r="A3" s="11"/>
      <c r="B3" s="15"/>
      <c r="C3" s="19"/>
      <c r="D3" s="19"/>
      <c r="E3" s="19"/>
      <c r="F3" s="19"/>
      <c r="G3" s="19"/>
      <c r="H3" s="20"/>
      <c r="I3" s="20"/>
      <c r="J3" s="21"/>
      <c r="N3" s="10"/>
      <c r="O3" s="10"/>
      <c r="R3" s="10" t="s">
        <v>30</v>
      </c>
    </row>
    <row r="4" spans="1:21" x14ac:dyDescent="0.35">
      <c r="A4" s="12"/>
      <c r="B4" s="114">
        <v>20000</v>
      </c>
      <c r="C4" s="9" t="s">
        <v>31</v>
      </c>
      <c r="D4" s="9"/>
      <c r="E4" s="9"/>
      <c r="F4" s="9"/>
      <c r="J4" s="22"/>
      <c r="N4" s="10"/>
      <c r="O4" s="10"/>
      <c r="P4" t="b">
        <f>$A$41=0</f>
        <v>0</v>
      </c>
      <c r="R4" s="10" t="s">
        <v>32</v>
      </c>
    </row>
    <row r="5" spans="1:21" x14ac:dyDescent="0.35">
      <c r="A5" s="13"/>
      <c r="B5" s="114">
        <v>20000</v>
      </c>
      <c r="C5" s="16" t="s">
        <v>33</v>
      </c>
      <c r="D5" s="16"/>
      <c r="E5" s="16"/>
      <c r="F5" s="16"/>
      <c r="G5" s="16"/>
      <c r="I5" s="16" t="s">
        <v>34</v>
      </c>
      <c r="J5" s="23"/>
      <c r="N5" s="10"/>
      <c r="O5" s="10"/>
      <c r="P5">
        <f>COUNT($I$40:$I$44)</f>
        <v>5</v>
      </c>
      <c r="R5" s="10" t="s">
        <v>35</v>
      </c>
    </row>
    <row r="6" spans="1:21" x14ac:dyDescent="0.35">
      <c r="A6" s="13"/>
      <c r="B6" s="114">
        <v>20000</v>
      </c>
      <c r="C6" s="16" t="s">
        <v>36</v>
      </c>
      <c r="D6" s="16"/>
      <c r="E6" s="16"/>
      <c r="F6" s="16"/>
      <c r="G6" s="16"/>
      <c r="J6" s="23"/>
      <c r="N6" s="10"/>
      <c r="O6" s="10"/>
      <c r="P6" t="b">
        <f>$A$40=0</f>
        <v>0</v>
      </c>
      <c r="R6" s="10" t="s">
        <v>37</v>
      </c>
    </row>
    <row r="7" spans="1:21" x14ac:dyDescent="0.35">
      <c r="A7" s="12"/>
      <c r="B7" s="25">
        <f>SUM(B4:B6)</f>
        <v>60000</v>
      </c>
      <c r="C7" s="9" t="s">
        <v>38</v>
      </c>
      <c r="D7" s="9"/>
      <c r="E7" s="9"/>
      <c r="F7" s="9"/>
      <c r="J7" s="22"/>
      <c r="N7" s="10"/>
      <c r="O7" s="10"/>
      <c r="P7" t="b">
        <f>$A$42=0</f>
        <v>0</v>
      </c>
      <c r="R7" s="10" t="s">
        <v>39</v>
      </c>
    </row>
    <row r="8" spans="1:21" ht="1.5" customHeight="1" x14ac:dyDescent="0.35">
      <c r="A8" s="12"/>
      <c r="D8" s="9"/>
      <c r="E8" s="9"/>
      <c r="F8" s="9"/>
      <c r="J8" s="22"/>
      <c r="N8" s="10"/>
      <c r="O8" s="10"/>
      <c r="P8" t="b">
        <f>$A$43=0</f>
        <v>0</v>
      </c>
      <c r="R8" s="10" t="s">
        <v>40</v>
      </c>
    </row>
    <row r="9" spans="1:21" x14ac:dyDescent="0.35">
      <c r="A9" s="12"/>
      <c r="B9" s="114">
        <v>2000000</v>
      </c>
      <c r="C9" s="16" t="s">
        <v>41</v>
      </c>
      <c r="D9" s="9"/>
      <c r="E9" s="9"/>
      <c r="F9" s="9"/>
      <c r="J9" s="22"/>
      <c r="N9" s="10"/>
      <c r="O9" s="10"/>
      <c r="P9" t="b">
        <f>$A$44=0</f>
        <v>0</v>
      </c>
      <c r="R9" s="10" t="s">
        <v>42</v>
      </c>
    </row>
    <row r="10" spans="1:21" x14ac:dyDescent="0.35">
      <c r="A10" s="12"/>
      <c r="B10" s="114">
        <v>3</v>
      </c>
      <c r="C10" s="9" t="s">
        <v>43</v>
      </c>
      <c r="D10" s="9"/>
      <c r="E10" s="9"/>
      <c r="F10" s="9"/>
      <c r="J10" s="22"/>
      <c r="N10" s="10"/>
      <c r="O10" s="10"/>
      <c r="P10">
        <f>{600,1000,0.00001,0.1,FALSE,FALSE,FALSE,2,1,1,0.001,FALSE}</f>
        <v>600</v>
      </c>
      <c r="R10" s="10" t="s">
        <v>44</v>
      </c>
    </row>
    <row r="11" spans="1:21" x14ac:dyDescent="0.35">
      <c r="A11" s="13"/>
      <c r="B11" s="114">
        <v>15</v>
      </c>
      <c r="C11" s="9" t="s">
        <v>45</v>
      </c>
      <c r="D11" s="16"/>
      <c r="E11" s="16"/>
      <c r="F11" s="16"/>
      <c r="G11" s="16"/>
      <c r="J11" s="23"/>
      <c r="N11" s="10"/>
      <c r="O11" s="10"/>
      <c r="R11" s="10" t="s">
        <v>46</v>
      </c>
    </row>
    <row r="12" spans="1:21" x14ac:dyDescent="0.35">
      <c r="A12" s="13"/>
      <c r="B12" s="114">
        <v>15</v>
      </c>
      <c r="C12" s="9" t="s">
        <v>47</v>
      </c>
      <c r="D12" s="16"/>
      <c r="E12" s="16"/>
      <c r="F12" s="16"/>
      <c r="G12" s="16"/>
      <c r="J12" s="23"/>
      <c r="N12" s="10"/>
      <c r="O12" s="10"/>
      <c r="R12" s="10" t="s">
        <v>30</v>
      </c>
    </row>
    <row r="13" spans="1:21" x14ac:dyDescent="0.35">
      <c r="A13" s="12"/>
      <c r="B13" s="114">
        <v>5</v>
      </c>
      <c r="C13" s="27" t="s">
        <v>48</v>
      </c>
      <c r="D13" s="9" t="s">
        <v>49</v>
      </c>
      <c r="E13" s="9"/>
      <c r="F13" s="9"/>
      <c r="J13" s="22"/>
      <c r="L13" s="10"/>
      <c r="N13" s="10"/>
      <c r="O13" s="10"/>
      <c r="R13" s="10" t="s">
        <v>50</v>
      </c>
    </row>
    <row r="14" spans="1:21" ht="14.25" customHeight="1" x14ac:dyDescent="0.35">
      <c r="A14" s="13"/>
      <c r="E14" s="16"/>
      <c r="F14" s="16"/>
      <c r="G14" s="16"/>
      <c r="J14" s="23"/>
      <c r="L14" s="10"/>
      <c r="N14" s="10"/>
      <c r="O14" s="10"/>
      <c r="R14" s="10" t="s">
        <v>35</v>
      </c>
    </row>
    <row r="15" spans="1:21" x14ac:dyDescent="0.35">
      <c r="A15" s="12"/>
      <c r="B15" s="115">
        <v>0.25</v>
      </c>
      <c r="C15" s="9" t="s">
        <v>51</v>
      </c>
      <c r="D15" s="9"/>
      <c r="E15" s="9"/>
      <c r="J15" s="22"/>
      <c r="L15" s="10"/>
      <c r="N15" s="10"/>
      <c r="O15" s="10"/>
      <c r="R15" s="10" t="s">
        <v>52</v>
      </c>
    </row>
    <row r="16" spans="1:21" x14ac:dyDescent="0.35">
      <c r="A16" s="13"/>
      <c r="B16" s="115">
        <v>0.25</v>
      </c>
      <c r="C16" s="9" t="s">
        <v>53</v>
      </c>
      <c r="D16" s="9"/>
      <c r="E16" s="9"/>
      <c r="F16" s="9"/>
      <c r="J16" s="23"/>
      <c r="L16" s="26"/>
      <c r="N16" s="10"/>
      <c r="O16" s="10"/>
      <c r="R16" s="10" t="s">
        <v>54</v>
      </c>
      <c r="U16" s="10"/>
    </row>
    <row r="17" spans="1:255" x14ac:dyDescent="0.35">
      <c r="A17" s="12"/>
      <c r="B17" s="115">
        <v>0</v>
      </c>
      <c r="C17" s="9" t="s">
        <v>55</v>
      </c>
      <c r="D17" s="9"/>
      <c r="E17" s="9"/>
      <c r="F17" s="9"/>
      <c r="J17" s="22"/>
      <c r="L17" s="10"/>
      <c r="N17" s="10"/>
      <c r="O17" s="10"/>
      <c r="R17" s="10" t="s">
        <v>56</v>
      </c>
      <c r="U17" s="10"/>
    </row>
    <row r="18" spans="1:255" x14ac:dyDescent="0.35">
      <c r="A18" s="12"/>
      <c r="B18" s="115">
        <v>0</v>
      </c>
      <c r="C18" s="9" t="s">
        <v>57</v>
      </c>
      <c r="D18" s="9"/>
      <c r="E18" s="9"/>
      <c r="F18" s="9"/>
      <c r="J18" s="22"/>
      <c r="L18" s="10"/>
      <c r="N18" s="10"/>
      <c r="O18" s="10"/>
      <c r="R18" s="10" t="s">
        <v>58</v>
      </c>
      <c r="U18" s="10"/>
    </row>
    <row r="19" spans="1:255" ht="4.5" customHeight="1" x14ac:dyDescent="0.35">
      <c r="A19" s="13"/>
      <c r="B19" s="17"/>
      <c r="D19" s="9"/>
      <c r="E19" s="9"/>
      <c r="F19" s="9"/>
      <c r="J19" s="23"/>
      <c r="L19" s="10"/>
      <c r="N19" s="10"/>
      <c r="O19" s="10"/>
      <c r="R19" s="10" t="s">
        <v>59</v>
      </c>
      <c r="U19" s="10"/>
    </row>
    <row r="20" spans="1:255" x14ac:dyDescent="0.35">
      <c r="A20" s="13"/>
      <c r="B20" s="115">
        <v>0.15</v>
      </c>
      <c r="C20" s="9" t="s">
        <v>60</v>
      </c>
      <c r="D20" s="16"/>
      <c r="E20" s="16"/>
      <c r="F20" s="16"/>
      <c r="G20" s="16"/>
      <c r="J20" s="23"/>
      <c r="L20" s="26"/>
      <c r="N20" s="10"/>
      <c r="O20" s="10"/>
      <c r="R20" s="10" t="s">
        <v>46</v>
      </c>
      <c r="U20" s="10"/>
    </row>
    <row r="21" spans="1:255" x14ac:dyDescent="0.35">
      <c r="A21" s="13"/>
      <c r="B21" s="115">
        <v>0.15</v>
      </c>
      <c r="C21" s="9" t="s">
        <v>61</v>
      </c>
      <c r="D21" s="16"/>
      <c r="E21" s="16"/>
      <c r="F21" s="16"/>
      <c r="G21" s="16"/>
      <c r="J21" s="23"/>
      <c r="L21" s="26"/>
      <c r="N21" s="10"/>
      <c r="O21" s="10"/>
      <c r="R21" s="10" t="s">
        <v>62</v>
      </c>
      <c r="U21" s="10"/>
    </row>
    <row r="22" spans="1:255" x14ac:dyDescent="0.35">
      <c r="A22" s="13" t="s">
        <v>63</v>
      </c>
      <c r="B22" s="115">
        <v>0</v>
      </c>
      <c r="C22" s="9" t="s">
        <v>64</v>
      </c>
      <c r="D22" s="9"/>
      <c r="E22" s="9"/>
      <c r="F22" s="9"/>
      <c r="J22" s="23"/>
      <c r="L22" s="10"/>
      <c r="N22" s="10"/>
      <c r="O22" s="10"/>
      <c r="R22" s="10"/>
      <c r="U22" s="10"/>
    </row>
    <row r="23" spans="1:255" x14ac:dyDescent="0.35">
      <c r="A23" s="13"/>
      <c r="B23" s="115">
        <v>0</v>
      </c>
      <c r="C23" s="9" t="s">
        <v>65</v>
      </c>
      <c r="D23" s="9"/>
      <c r="E23" s="9"/>
      <c r="F23" s="9"/>
      <c r="J23" s="23"/>
      <c r="L23" s="10"/>
      <c r="N23" s="10"/>
      <c r="O23" s="10"/>
      <c r="R23" s="10"/>
      <c r="U23" s="10"/>
    </row>
    <row r="24" spans="1:255" ht="6" customHeight="1" thickBot="1" x14ac:dyDescent="0.4">
      <c r="A24" s="14"/>
      <c r="B24" s="18"/>
      <c r="C24" s="18"/>
      <c r="D24" s="18"/>
      <c r="E24" s="18"/>
      <c r="F24" s="18"/>
      <c r="G24" s="18"/>
      <c r="H24" s="30"/>
      <c r="I24" s="30"/>
      <c r="J24" s="24"/>
      <c r="L24" s="10"/>
      <c r="N24" s="10"/>
      <c r="O24" s="10"/>
      <c r="R24" s="10"/>
      <c r="U24" s="10"/>
    </row>
    <row r="25" spans="1:255" ht="16" thickTop="1" x14ac:dyDescent="0.35">
      <c r="D25" s="9"/>
      <c r="E25" s="9"/>
      <c r="F25" s="9"/>
      <c r="L25" s="10"/>
      <c r="N25" s="10"/>
      <c r="O25" s="10"/>
      <c r="R25" s="10"/>
      <c r="U25" s="10"/>
    </row>
    <row r="26" spans="1:255" ht="24" thickBot="1" x14ac:dyDescent="0.6">
      <c r="B26" s="36" t="s">
        <v>66</v>
      </c>
      <c r="D26" s="9"/>
      <c r="E26" s="9"/>
      <c r="F26" s="9"/>
      <c r="L26" s="10"/>
      <c r="N26" s="10"/>
      <c r="O26" s="10"/>
      <c r="R26" s="10"/>
      <c r="U26" s="10"/>
    </row>
    <row r="27" spans="1:255" ht="7.9" customHeight="1" thickTop="1" x14ac:dyDescent="0.35">
      <c r="A27" s="70"/>
      <c r="B27" s="71"/>
      <c r="C27" s="71"/>
      <c r="D27" s="71"/>
      <c r="E27" s="71"/>
      <c r="F27" s="71"/>
      <c r="G27" s="71"/>
      <c r="H27" s="72"/>
      <c r="I27" s="72"/>
      <c r="J27" s="73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</row>
    <row r="28" spans="1:255" x14ac:dyDescent="0.35">
      <c r="A28" s="74">
        <f>(B4)</f>
        <v>20000</v>
      </c>
      <c r="B28" s="75" t="s">
        <v>67</v>
      </c>
      <c r="C28" s="76"/>
      <c r="D28" s="75"/>
      <c r="E28" s="75"/>
      <c r="F28" s="75"/>
      <c r="G28" s="77">
        <v>1</v>
      </c>
      <c r="H28" s="75" t="s">
        <v>68</v>
      </c>
      <c r="I28" s="76"/>
      <c r="J28" s="78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</row>
    <row r="29" spans="1:255" x14ac:dyDescent="0.35">
      <c r="A29" s="74">
        <f>(B5)*(((1+B15+B20))^(B11))</f>
        <v>3111361.9111562404</v>
      </c>
      <c r="B29" s="75" t="s">
        <v>69</v>
      </c>
      <c r="C29" s="76"/>
      <c r="D29" s="77"/>
      <c r="E29" s="77"/>
      <c r="F29" s="77"/>
      <c r="G29" s="77">
        <f>(1+B15+B20)*G31</f>
        <v>1</v>
      </c>
      <c r="H29" s="77" t="s">
        <v>70</v>
      </c>
      <c r="I29" s="76"/>
      <c r="J29" s="79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  <c r="GR29" s="26"/>
      <c r="GS29" s="26"/>
      <c r="GT29" s="26"/>
      <c r="GU29" s="26"/>
      <c r="GV29" s="26"/>
      <c r="GW29" s="26"/>
      <c r="GX29" s="26"/>
      <c r="GY29" s="26"/>
      <c r="GZ29" s="26"/>
      <c r="HA29" s="26"/>
      <c r="HB29" s="26"/>
      <c r="HC29" s="26"/>
      <c r="HD29" s="26"/>
      <c r="HE29" s="26"/>
      <c r="HF29" s="26"/>
      <c r="HG29" s="26"/>
      <c r="HH29" s="26"/>
      <c r="HI29" s="26"/>
      <c r="HJ29" s="26"/>
      <c r="HK29" s="26"/>
      <c r="HL29" s="26"/>
      <c r="HM29" s="26"/>
      <c r="HN29" s="26"/>
      <c r="HO29" s="26"/>
      <c r="HP29" s="26"/>
      <c r="HQ29" s="26"/>
      <c r="HR29" s="26"/>
      <c r="HS29" s="26"/>
      <c r="HT29" s="26"/>
      <c r="HU29" s="26"/>
      <c r="HV29" s="26"/>
      <c r="HW29" s="26"/>
      <c r="HX29" s="26"/>
      <c r="HY29" s="26"/>
      <c r="HZ29" s="26"/>
      <c r="IA29" s="26"/>
      <c r="IB29" s="26"/>
      <c r="IC29" s="26"/>
      <c r="ID29" s="26"/>
      <c r="IE29" s="26"/>
      <c r="IF29" s="26"/>
      <c r="IG29" s="26"/>
      <c r="IH29" s="26"/>
      <c r="II29" s="26"/>
      <c r="IJ29" s="26"/>
      <c r="IK29" s="26"/>
      <c r="IL29" s="26"/>
      <c r="IM29" s="26"/>
      <c r="IN29" s="26"/>
      <c r="IO29" s="26"/>
      <c r="IP29" s="26"/>
      <c r="IQ29" s="26"/>
      <c r="IR29" s="26"/>
      <c r="IS29" s="26"/>
      <c r="IT29" s="26"/>
      <c r="IU29" s="26"/>
    </row>
    <row r="30" spans="1:255" x14ac:dyDescent="0.35">
      <c r="A30" s="74">
        <f>(B6)*(((1+B16+B21))^(B12))</f>
        <v>3111361.9111562404</v>
      </c>
      <c r="B30" s="75" t="s">
        <v>71</v>
      </c>
      <c r="C30" s="76"/>
      <c r="D30" s="77"/>
      <c r="E30" s="77"/>
      <c r="F30" s="77"/>
      <c r="G30" s="77">
        <f>(1+B16+B21)*G32</f>
        <v>1</v>
      </c>
      <c r="H30" s="77" t="s">
        <v>72</v>
      </c>
      <c r="I30" s="76"/>
      <c r="J30" s="79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  <c r="GR30" s="26"/>
      <c r="GS30" s="26"/>
      <c r="GT30" s="26"/>
      <c r="GU30" s="26"/>
      <c r="GV30" s="26"/>
      <c r="GW30" s="26"/>
      <c r="GX30" s="26"/>
      <c r="GY30" s="26"/>
      <c r="GZ30" s="26"/>
      <c r="HA30" s="26"/>
      <c r="HB30" s="26"/>
      <c r="HC30" s="26"/>
      <c r="HD30" s="26"/>
      <c r="HE30" s="26"/>
      <c r="HF30" s="26"/>
      <c r="HG30" s="26"/>
      <c r="HH30" s="26"/>
      <c r="HI30" s="26"/>
      <c r="HJ30" s="26"/>
      <c r="HK30" s="26"/>
      <c r="HL30" s="26"/>
      <c r="HM30" s="26"/>
      <c r="HN30" s="26"/>
      <c r="HO30" s="26"/>
      <c r="HP30" s="26"/>
      <c r="HQ30" s="26"/>
      <c r="HR30" s="26"/>
      <c r="HS30" s="26"/>
      <c r="HT30" s="26"/>
      <c r="HU30" s="26"/>
      <c r="HV30" s="26"/>
      <c r="HW30" s="26"/>
      <c r="HX30" s="26"/>
      <c r="HY30" s="26"/>
      <c r="HZ30" s="26"/>
      <c r="IA30" s="26"/>
      <c r="IB30" s="26"/>
      <c r="IC30" s="26"/>
      <c r="ID30" s="26"/>
      <c r="IE30" s="26"/>
      <c r="IF30" s="26"/>
      <c r="IG30" s="26"/>
      <c r="IH30" s="26"/>
      <c r="II30" s="26"/>
      <c r="IJ30" s="26"/>
      <c r="IK30" s="26"/>
      <c r="IL30" s="26"/>
      <c r="IM30" s="26"/>
      <c r="IN30" s="26"/>
      <c r="IO30" s="26"/>
      <c r="IP30" s="26"/>
      <c r="IQ30" s="26"/>
      <c r="IR30" s="26"/>
      <c r="IS30" s="26"/>
      <c r="IT30" s="26"/>
      <c r="IU30" s="26"/>
    </row>
    <row r="31" spans="1:255" x14ac:dyDescent="0.35">
      <c r="A31" s="74">
        <f>(B7)</f>
        <v>60000</v>
      </c>
      <c r="B31" s="75" t="s">
        <v>73</v>
      </c>
      <c r="C31" s="76"/>
      <c r="D31" s="77"/>
      <c r="E31" s="77"/>
      <c r="F31" s="77"/>
      <c r="G31" s="77">
        <f>(1/((1+B15+B20)))</f>
        <v>0.7142857142857143</v>
      </c>
      <c r="H31" s="75" t="s">
        <v>74</v>
      </c>
      <c r="I31" s="76"/>
      <c r="J31" s="79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 t="s">
        <v>75</v>
      </c>
      <c r="Y31" s="26">
        <v>1.1000000000000001</v>
      </c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  <c r="GR31" s="26"/>
      <c r="GS31" s="26"/>
      <c r="GT31" s="26"/>
      <c r="GU31" s="26"/>
      <c r="GV31" s="26"/>
      <c r="GW31" s="26"/>
      <c r="GX31" s="26"/>
      <c r="GY31" s="26"/>
      <c r="GZ31" s="26"/>
      <c r="HA31" s="26"/>
      <c r="HB31" s="26"/>
      <c r="HC31" s="26"/>
      <c r="HD31" s="26"/>
      <c r="HE31" s="26"/>
      <c r="HF31" s="26"/>
      <c r="HG31" s="26"/>
      <c r="HH31" s="26"/>
      <c r="HI31" s="26"/>
      <c r="HJ31" s="26"/>
      <c r="HK31" s="26"/>
      <c r="HL31" s="26"/>
      <c r="HM31" s="26"/>
      <c r="HN31" s="26"/>
      <c r="HO31" s="26"/>
      <c r="HP31" s="26"/>
      <c r="HQ31" s="26"/>
      <c r="HR31" s="26"/>
      <c r="HS31" s="26"/>
      <c r="HT31" s="26"/>
      <c r="HU31" s="26"/>
      <c r="HV31" s="26"/>
      <c r="HW31" s="26"/>
      <c r="HX31" s="26"/>
      <c r="HY31" s="26"/>
      <c r="HZ31" s="26"/>
      <c r="IA31" s="26"/>
      <c r="IB31" s="26"/>
      <c r="IC31" s="26"/>
      <c r="ID31" s="26"/>
      <c r="IE31" s="26"/>
      <c r="IF31" s="26"/>
      <c r="IG31" s="26"/>
      <c r="IH31" s="26"/>
      <c r="II31" s="26"/>
      <c r="IJ31" s="26"/>
      <c r="IK31" s="26"/>
      <c r="IL31" s="26"/>
      <c r="IM31" s="26"/>
      <c r="IN31" s="26"/>
      <c r="IO31" s="26"/>
      <c r="IP31" s="26"/>
      <c r="IQ31" s="26"/>
      <c r="IR31" s="26"/>
      <c r="IS31" s="26"/>
      <c r="IT31" s="26"/>
      <c r="IU31" s="26"/>
    </row>
    <row r="32" spans="1:255" x14ac:dyDescent="0.35">
      <c r="A32" s="74">
        <f>(B4/A$31)^(1/B$13)</f>
        <v>0.8027415617602307</v>
      </c>
      <c r="B32" s="80" t="s">
        <v>76</v>
      </c>
      <c r="C32" s="75" t="s">
        <v>77</v>
      </c>
      <c r="D32" s="76"/>
      <c r="E32" s="75"/>
      <c r="F32" s="75"/>
      <c r="G32" s="77">
        <f>(1/((1+B16+B21)))</f>
        <v>0.7142857142857143</v>
      </c>
      <c r="H32" s="75" t="s">
        <v>78</v>
      </c>
      <c r="I32" s="76"/>
      <c r="J32" s="78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 t="s">
        <v>79</v>
      </c>
      <c r="Y32" s="10">
        <f>1/(1-Y31)</f>
        <v>-9.9999999999999911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 s="10"/>
      <c r="GM32" s="10"/>
      <c r="GN32" s="10"/>
      <c r="GO32" s="10"/>
      <c r="GP32" s="10"/>
      <c r="GQ32" s="10"/>
      <c r="GR32" s="10"/>
      <c r="GS32" s="10"/>
      <c r="GT32" s="10"/>
      <c r="GU32" s="10"/>
      <c r="GV32" s="10"/>
      <c r="GW32" s="10"/>
      <c r="GX32" s="10"/>
      <c r="GY32" s="10"/>
      <c r="GZ32" s="10"/>
      <c r="HA32" s="10"/>
      <c r="HB32" s="10"/>
      <c r="HC32" s="10"/>
      <c r="HD32" s="10"/>
      <c r="HE32" s="10"/>
      <c r="HF32" s="10"/>
      <c r="HG32" s="10"/>
      <c r="HH32" s="10"/>
      <c r="HI32" s="10"/>
      <c r="HJ32" s="10"/>
      <c r="HK32" s="10"/>
      <c r="HL32" s="10"/>
      <c r="HM32" s="10"/>
      <c r="HN32" s="10"/>
      <c r="HO32" s="10"/>
      <c r="HP32" s="10"/>
      <c r="HQ32" s="10"/>
      <c r="HR32" s="10"/>
      <c r="HS32" s="10"/>
      <c r="HT32" s="10"/>
      <c r="HU32" s="10"/>
      <c r="HV32" s="10"/>
      <c r="HW32" s="10"/>
      <c r="HX32" s="10"/>
      <c r="HY32" s="10"/>
      <c r="HZ32" s="10"/>
      <c r="IA32" s="10"/>
      <c r="IB32" s="10"/>
      <c r="IC32" s="10"/>
      <c r="ID32" s="10"/>
      <c r="IE32" s="10"/>
      <c r="IF32" s="10"/>
      <c r="IG32" s="10"/>
      <c r="IH32" s="10"/>
      <c r="II32" s="10"/>
      <c r="IJ32" s="10"/>
      <c r="IK32" s="10"/>
      <c r="IL32" s="10"/>
      <c r="IM32" s="10"/>
      <c r="IN32" s="10"/>
      <c r="IO32" s="10"/>
      <c r="IP32" s="10"/>
      <c r="IQ32" s="10"/>
      <c r="IR32" s="10"/>
      <c r="IS32" s="10"/>
      <c r="IT32" s="10"/>
      <c r="IU32" s="10"/>
    </row>
    <row r="33" spans="1:255" x14ac:dyDescent="0.35">
      <c r="A33" s="74">
        <f>(B5/A$31)^(1/B$13)</f>
        <v>0.8027415617602307</v>
      </c>
      <c r="B33" s="80" t="s">
        <v>80</v>
      </c>
      <c r="C33" s="75" t="s">
        <v>81</v>
      </c>
      <c r="D33" s="76"/>
      <c r="E33" s="75"/>
      <c r="F33" s="75"/>
      <c r="G33" s="75">
        <f>(((A32)^B13)+((A33)^B13)+((A34)^B13))^(-1/(B13-1))</f>
        <v>1</v>
      </c>
      <c r="H33" s="77" t="s">
        <v>82</v>
      </c>
      <c r="I33" s="76"/>
      <c r="J33" s="78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 s="10"/>
      <c r="GM33" s="10"/>
      <c r="GN33" s="10"/>
      <c r="GO33" s="10"/>
      <c r="GP33" s="10"/>
      <c r="GQ33" s="10"/>
      <c r="GR33" s="10"/>
      <c r="GS33" s="10"/>
      <c r="GT33" s="10"/>
      <c r="GU33" s="10"/>
      <c r="GV33" s="10"/>
      <c r="GW33" s="10"/>
      <c r="GX33" s="10"/>
      <c r="GY33" s="10"/>
      <c r="GZ33" s="10"/>
      <c r="HA33" s="10"/>
      <c r="HB33" s="10"/>
      <c r="HC33" s="10"/>
      <c r="HD33" s="10"/>
      <c r="HE33" s="10"/>
      <c r="HF33" s="10"/>
      <c r="HG33" s="10"/>
      <c r="HH33" s="10"/>
      <c r="HI33" s="10"/>
      <c r="HJ33" s="10"/>
      <c r="HK33" s="10"/>
      <c r="HL33" s="10"/>
      <c r="HM33" s="10"/>
      <c r="HN33" s="10"/>
      <c r="HO33" s="10"/>
      <c r="HP33" s="10"/>
      <c r="HQ33" s="10"/>
      <c r="HR33" s="10"/>
      <c r="HS33" s="10"/>
      <c r="HT33" s="10"/>
      <c r="HU33" s="10"/>
      <c r="HV33" s="10"/>
      <c r="HW33" s="10"/>
      <c r="HX33" s="10"/>
      <c r="HY33" s="10"/>
      <c r="HZ33" s="10"/>
      <c r="IA33" s="10"/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  <c r="IM33" s="10"/>
      <c r="IN33" s="10"/>
      <c r="IO33" s="10"/>
      <c r="IP33" s="10"/>
      <c r="IQ33" s="10"/>
      <c r="IR33" s="10"/>
      <c r="IS33" s="10"/>
      <c r="IT33" s="10"/>
      <c r="IU33" s="10"/>
    </row>
    <row r="34" spans="1:255" x14ac:dyDescent="0.35">
      <c r="A34" s="74">
        <f>(B6/A$31)^(1/B$13)</f>
        <v>0.8027415617602307</v>
      </c>
      <c r="B34" s="80" t="s">
        <v>83</v>
      </c>
      <c r="C34" s="75" t="s">
        <v>84</v>
      </c>
      <c r="D34" s="76"/>
      <c r="E34" s="75"/>
      <c r="F34" s="75"/>
      <c r="G34" s="85">
        <f>1/B10+1</f>
        <v>1.3333333333333333</v>
      </c>
      <c r="H34" s="80" t="s">
        <v>85</v>
      </c>
      <c r="I34" s="77"/>
      <c r="J34" s="78"/>
      <c r="K34" s="10"/>
      <c r="L34" s="10"/>
      <c r="M34" s="10">
        <f>M35/A35</f>
        <v>0.99999999999999778</v>
      </c>
      <c r="N34" s="10">
        <f>(1-M34)*100</f>
        <v>2.2204460492503131E-13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 s="10"/>
      <c r="GM34" s="10"/>
      <c r="GN34" s="10"/>
      <c r="GO34" s="10"/>
      <c r="GP34" s="10"/>
      <c r="GQ34" s="10"/>
      <c r="GR34" s="10"/>
      <c r="GS34" s="10"/>
      <c r="GT34" s="10"/>
      <c r="GU34" s="10"/>
      <c r="GV34" s="10"/>
      <c r="GW34" s="10"/>
      <c r="GX34" s="10"/>
      <c r="GY34" s="10"/>
      <c r="GZ34" s="10"/>
      <c r="HA34" s="10"/>
      <c r="HB34" s="10"/>
      <c r="HC34" s="10"/>
      <c r="HD34" s="10"/>
      <c r="HE34" s="10"/>
      <c r="HF34" s="10"/>
      <c r="HG34" s="10"/>
      <c r="HH34" s="10"/>
      <c r="HI34" s="10"/>
      <c r="HJ34" s="10"/>
      <c r="HK34" s="10"/>
      <c r="HL34" s="10"/>
      <c r="HM34" s="10"/>
      <c r="HN34" s="10"/>
      <c r="HO34" s="10"/>
      <c r="HP34" s="10"/>
      <c r="HQ34" s="10"/>
      <c r="HR34" s="10"/>
      <c r="HS34" s="10"/>
      <c r="HT34" s="10"/>
      <c r="HU34" s="10"/>
      <c r="HV34" s="10"/>
      <c r="HW34" s="10"/>
      <c r="HX34" s="10"/>
      <c r="HY34" s="10"/>
      <c r="HZ34" s="10"/>
      <c r="IA34" s="10"/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  <c r="IM34" s="10"/>
      <c r="IN34" s="10"/>
      <c r="IO34" s="10"/>
      <c r="IP34" s="10"/>
      <c r="IQ34" s="10"/>
      <c r="IR34" s="10"/>
      <c r="IS34" s="10"/>
      <c r="IT34" s="10"/>
      <c r="IU34" s="10"/>
    </row>
    <row r="35" spans="1:255" ht="17.25" customHeight="1" x14ac:dyDescent="0.35">
      <c r="A35" s="87">
        <f>B9</f>
        <v>2000000</v>
      </c>
      <c r="B35" s="80" t="s">
        <v>86</v>
      </c>
      <c r="C35" s="75"/>
      <c r="D35" s="75"/>
      <c r="E35" s="75"/>
      <c r="F35" s="75"/>
      <c r="G35" s="85">
        <f>(B4/B9)^(-1/B10)</f>
        <v>4.6415888336127775</v>
      </c>
      <c r="H35" s="80" t="s">
        <v>87</v>
      </c>
      <c r="I35" s="77"/>
      <c r="J35" s="78"/>
      <c r="K35" s="10"/>
      <c r="L35" s="10"/>
      <c r="M35" s="10">
        <f>(G35*(B4^G34)+G36*((B9-B4)^G34))^(1/G34)</f>
        <v>1999999.9999999956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</row>
    <row r="36" spans="1:255" ht="16" thickBot="1" x14ac:dyDescent="0.4">
      <c r="A36" s="88">
        <f>B7/(B9+B5*(B15/(1+B15))+B6*(B16/(1+B16)))</f>
        <v>2.9880478087649404E-2</v>
      </c>
      <c r="B36" s="81" t="s">
        <v>88</v>
      </c>
      <c r="C36" s="82"/>
      <c r="D36" s="82"/>
      <c r="E36" s="82"/>
      <c r="F36" s="82"/>
      <c r="G36" s="86">
        <f>((B9-B4)/B9)^(-1/B10)</f>
        <v>1.0033557298479858</v>
      </c>
      <c r="H36" s="81" t="s">
        <v>89</v>
      </c>
      <c r="I36" s="83"/>
      <c r="J36" s="84"/>
      <c r="K36" s="10"/>
      <c r="L36" s="29"/>
      <c r="M36" s="29"/>
      <c r="N36" s="2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65"/>
      <c r="AE36" s="65"/>
      <c r="AF36" s="10"/>
      <c r="AG36" s="10"/>
      <c r="AH36" s="10"/>
    </row>
    <row r="37" spans="1:255" ht="36.75" customHeight="1" thickTop="1" thickBot="1" x14ac:dyDescent="0.6">
      <c r="B37" s="36" t="s">
        <v>90</v>
      </c>
      <c r="D37" s="9"/>
      <c r="E37" s="9"/>
      <c r="F37" s="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</row>
    <row r="38" spans="1:255" ht="16" thickTop="1" x14ac:dyDescent="0.35">
      <c r="A38" s="11" t="s">
        <v>91</v>
      </c>
      <c r="B38" s="1"/>
      <c r="C38" s="100" t="s">
        <v>92</v>
      </c>
      <c r="D38" s="19"/>
      <c r="E38" s="19"/>
      <c r="F38" s="19"/>
      <c r="G38" s="19"/>
      <c r="H38" s="20" t="s">
        <v>93</v>
      </c>
      <c r="I38" s="20" t="s">
        <v>94</v>
      </c>
      <c r="J38" s="89" t="s">
        <v>95</v>
      </c>
      <c r="K38" s="10"/>
      <c r="L38" s="29"/>
      <c r="M38" s="29"/>
      <c r="N38" s="2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</row>
    <row r="39" spans="1:255" x14ac:dyDescent="0.35">
      <c r="A39" s="28" t="s">
        <v>96</v>
      </c>
      <c r="B39" s="66"/>
      <c r="C39" s="93"/>
      <c r="D39" s="66"/>
      <c r="E39" s="66"/>
      <c r="F39" s="66"/>
      <c r="G39" s="63"/>
      <c r="H39" s="94" t="s">
        <v>97</v>
      </c>
      <c r="I39" s="95" t="s">
        <v>25</v>
      </c>
      <c r="J39" s="90" t="s">
        <v>98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spans="1:255" x14ac:dyDescent="0.35">
      <c r="A40" s="32">
        <f>(((A32/I40)^(B$13))*(I$44)*(I$43^(B$13-1)))-(A28*(I40^B10))</f>
        <v>3.0118658105493523E-4</v>
      </c>
      <c r="B40" s="97"/>
      <c r="C40" s="63" t="s">
        <v>99</v>
      </c>
      <c r="D40" s="66"/>
      <c r="E40" s="66"/>
      <c r="F40" s="66"/>
      <c r="G40" s="63"/>
      <c r="H40" s="67">
        <v>1</v>
      </c>
      <c r="I40" s="69">
        <v>0.87820661725313631</v>
      </c>
      <c r="J40" s="103">
        <f t="shared" ref="J40:J45" si="0">I40/H40</f>
        <v>0.87820661725313631</v>
      </c>
      <c r="K40" s="10"/>
      <c r="L40" s="29"/>
      <c r="N40" s="2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</row>
    <row r="41" spans="1:255" x14ac:dyDescent="0.35">
      <c r="A41" s="32">
        <f>(((A33/I41)^(B$13))*(I$44)*(I$43^(B$13-1)))-(A29*(((I41/((1+B17+B22)))^B11)))</f>
        <v>9.3242871902475599E-2</v>
      </c>
      <c r="B41" s="97"/>
      <c r="C41" s="63" t="s">
        <v>100</v>
      </c>
      <c r="D41" s="66"/>
      <c r="E41" s="66"/>
      <c r="F41" s="66"/>
      <c r="G41" s="63"/>
      <c r="H41" s="67">
        <v>1</v>
      </c>
      <c r="I41" s="69">
        <v>0.73763683088171028</v>
      </c>
      <c r="J41" s="103">
        <f t="shared" si="0"/>
        <v>0.73763683088171028</v>
      </c>
      <c r="K41" s="10"/>
      <c r="L41" s="29"/>
      <c r="N41" s="29"/>
      <c r="O41" s="10"/>
      <c r="R41" s="10"/>
    </row>
    <row r="42" spans="1:255" x14ac:dyDescent="0.35">
      <c r="A42" s="32">
        <f>(((A34/I42)^(B$13))*(I$44)*(I$43^(B$13-1)))-(A30*(((I42/((1+B18+B23)))^B12)))</f>
        <v>9.324287354684202E-2</v>
      </c>
      <c r="B42" s="97"/>
      <c r="C42" s="63" t="s">
        <v>101</v>
      </c>
      <c r="D42" s="66"/>
      <c r="E42" s="66"/>
      <c r="F42" s="66"/>
      <c r="G42" s="63"/>
      <c r="H42" s="67">
        <v>1</v>
      </c>
      <c r="I42" s="67">
        <v>0.73763683088170839</v>
      </c>
      <c r="J42" s="103">
        <f t="shared" si="0"/>
        <v>0.73763683088170839</v>
      </c>
      <c r="K42" s="10"/>
      <c r="L42" s="29"/>
      <c r="N42" s="29"/>
      <c r="O42" s="10"/>
      <c r="R42" s="10"/>
    </row>
    <row r="43" spans="1:255" x14ac:dyDescent="0.35">
      <c r="A43" s="33">
        <f>(((A32)^(B$13))*(I40^(1-B$13))+((A33)^(B$13))*(I41^(1-B$13))+((A34)^(B$13))*(I42^(1-B$13)))^(1/(1-B13))-I43</f>
        <v>2.3173605256943119E-9</v>
      </c>
      <c r="B43" s="98"/>
      <c r="C43" s="68" t="s">
        <v>102</v>
      </c>
      <c r="D43" s="66"/>
      <c r="E43" s="66"/>
      <c r="F43" s="66"/>
      <c r="G43" s="68"/>
      <c r="H43" s="67">
        <v>1</v>
      </c>
      <c r="I43" s="67">
        <v>0.77221288615164807</v>
      </c>
      <c r="J43" s="103">
        <f t="shared" si="0"/>
        <v>0.77221288615164807</v>
      </c>
      <c r="K43" s="10"/>
      <c r="L43" s="29"/>
      <c r="M43" s="16"/>
      <c r="N43" s="29"/>
      <c r="O43" s="10"/>
      <c r="R43" s="10"/>
    </row>
    <row r="44" spans="1:255" x14ac:dyDescent="0.35">
      <c r="A44" s="32">
        <f>(I45+A28*(I40^(B10+1))+A29*(((I41/((1+B17+B22)))^(B11+1)))*(B17)+A30*(((I42/((1+B18+B23)))^(B12+1)))*B18)*A36-I44</f>
        <v>-1.1511547199916095E-5</v>
      </c>
      <c r="B44" s="96"/>
      <c r="C44" s="63" t="s">
        <v>103</v>
      </c>
      <c r="D44" s="66"/>
      <c r="E44" s="66"/>
      <c r="F44" s="63"/>
      <c r="G44" s="63"/>
      <c r="H44" s="64">
        <v>60000</v>
      </c>
      <c r="I44" s="64">
        <v>59700.328826943092</v>
      </c>
      <c r="J44" s="103">
        <f t="shared" si="0"/>
        <v>0.99500548044905157</v>
      </c>
      <c r="K44" s="10"/>
      <c r="L44" s="10"/>
      <c r="M44" s="10"/>
      <c r="N44" s="10"/>
      <c r="O44" s="10"/>
      <c r="R44" s="10"/>
    </row>
    <row r="45" spans="1:255" x14ac:dyDescent="0.35">
      <c r="A45" s="32">
        <f>$A$35-($G$35*((($A$32/$I$40)^($B$13))*($I$44)*($I$43^($B$13-1)))^($G$34)+$G$36*$I$45^$G$34)^(1/$G$34)</f>
        <v>1.5021534636616707E-5</v>
      </c>
      <c r="B45" s="97"/>
      <c r="C45" s="63" t="s">
        <v>104</v>
      </c>
      <c r="D45" s="66"/>
      <c r="E45" s="66"/>
      <c r="F45" s="63"/>
      <c r="G45" s="63"/>
      <c r="H45" s="64">
        <f>B9-B4</f>
        <v>1980000</v>
      </c>
      <c r="I45" s="64">
        <v>1986074.5698954305</v>
      </c>
      <c r="J45" s="103">
        <f t="shared" si="0"/>
        <v>1.0030679645936518</v>
      </c>
      <c r="K45" s="10"/>
      <c r="L45" s="10"/>
      <c r="M45" s="10"/>
      <c r="N45" s="10"/>
      <c r="O45" s="10"/>
      <c r="R45" s="10"/>
    </row>
    <row r="46" spans="1:255" x14ac:dyDescent="0.35">
      <c r="A46" s="32"/>
      <c r="B46" s="97"/>
      <c r="C46" s="63"/>
      <c r="D46" s="66"/>
      <c r="E46" s="66"/>
      <c r="F46" s="63"/>
      <c r="G46" s="63"/>
      <c r="H46" s="64"/>
      <c r="I46" s="64"/>
      <c r="J46" s="91"/>
      <c r="K46" s="10"/>
      <c r="L46" s="10"/>
      <c r="M46" s="10"/>
      <c r="N46" s="10"/>
      <c r="O46" s="10"/>
      <c r="R46" s="10"/>
    </row>
    <row r="47" spans="1:255" x14ac:dyDescent="0.35">
      <c r="A47" s="32"/>
      <c r="B47" s="97"/>
      <c r="C47" s="101" t="s">
        <v>105</v>
      </c>
      <c r="D47" s="63"/>
      <c r="E47" s="63"/>
      <c r="F47" s="63"/>
      <c r="G47" s="63"/>
      <c r="H47" s="64"/>
      <c r="I47" s="64"/>
      <c r="J47" s="91"/>
      <c r="K47" s="10"/>
      <c r="L47" s="10"/>
      <c r="M47" s="10"/>
      <c r="N47" s="10"/>
      <c r="O47" s="10"/>
      <c r="R47" s="10"/>
    </row>
    <row r="48" spans="1:255" x14ac:dyDescent="0.35">
      <c r="A48" s="32"/>
      <c r="B48" s="97"/>
      <c r="C48" s="101"/>
      <c r="D48" s="63"/>
      <c r="E48" s="63"/>
      <c r="F48" s="63"/>
      <c r="G48" s="63"/>
      <c r="H48" s="64"/>
      <c r="I48" s="64"/>
      <c r="J48" s="91"/>
      <c r="K48" s="10"/>
      <c r="L48" s="10"/>
      <c r="M48" s="10"/>
      <c r="N48" s="10"/>
      <c r="O48" s="10"/>
      <c r="R48" s="10"/>
    </row>
    <row r="49" spans="1:18" x14ac:dyDescent="0.35">
      <c r="A49" s="32"/>
      <c r="B49" s="97"/>
      <c r="C49" s="63" t="s">
        <v>106</v>
      </c>
      <c r="D49" s="63"/>
      <c r="E49" s="66"/>
      <c r="F49" s="63"/>
      <c r="G49" s="63"/>
      <c r="H49" s="64">
        <f>100</f>
        <v>100</v>
      </c>
      <c r="I49" s="102">
        <f>100*(I44/H44)*(H43/I43)^A36</f>
        <v>100.27206147373836</v>
      </c>
      <c r="J49" s="103">
        <f>I49/H49</f>
        <v>1.0027206147373837</v>
      </c>
      <c r="K49" s="10"/>
      <c r="L49" s="10"/>
      <c r="M49" s="10"/>
      <c r="N49" s="10"/>
      <c r="O49" s="10"/>
      <c r="R49" s="10"/>
    </row>
    <row r="50" spans="1:18" x14ac:dyDescent="0.35">
      <c r="A50" s="32"/>
      <c r="B50" s="97"/>
      <c r="C50" s="63" t="s">
        <v>107</v>
      </c>
      <c r="D50" s="63"/>
      <c r="E50" s="66"/>
      <c r="F50" s="63"/>
      <c r="G50" s="63"/>
      <c r="H50" s="68"/>
      <c r="I50" s="64">
        <f>(H44/A36)*(I49/H49-1)</f>
        <v>5462.9943926665092</v>
      </c>
      <c r="J50" s="103"/>
      <c r="K50" s="10"/>
      <c r="L50" s="10"/>
      <c r="M50" s="10"/>
      <c r="N50" s="10"/>
      <c r="O50" s="10"/>
      <c r="R50" s="10"/>
    </row>
    <row r="51" spans="1:18" x14ac:dyDescent="0.35">
      <c r="A51" s="32"/>
      <c r="B51" s="97"/>
      <c r="C51" s="63" t="s">
        <v>108</v>
      </c>
      <c r="D51" s="63"/>
      <c r="E51" s="66"/>
      <c r="F51" s="63"/>
      <c r="G51" s="63"/>
      <c r="H51" s="64">
        <f>B4</f>
        <v>20000</v>
      </c>
      <c r="I51" s="64">
        <f>A28*(I40^B10)</f>
        <v>13546.281965195927</v>
      </c>
      <c r="J51" s="103">
        <f>I51/H51</f>
        <v>0.67731409825979638</v>
      </c>
      <c r="K51" s="10"/>
      <c r="L51" s="10"/>
      <c r="M51" s="10"/>
      <c r="N51" s="10"/>
      <c r="O51" s="10"/>
      <c r="R51" s="10"/>
    </row>
    <row r="52" spans="1:18" x14ac:dyDescent="0.35">
      <c r="A52" s="32"/>
      <c r="B52" s="97"/>
      <c r="C52" s="63" t="s">
        <v>109</v>
      </c>
      <c r="D52" s="63"/>
      <c r="E52" s="66"/>
      <c r="F52" s="63"/>
      <c r="G52" s="63"/>
      <c r="H52" s="64">
        <f>B5</f>
        <v>20000</v>
      </c>
      <c r="I52" s="64">
        <f>A29*(((I41/((1+B17+B22)))^B11))</f>
        <v>32403.314086761395</v>
      </c>
      <c r="J52" s="103">
        <f>I52/H52</f>
        <v>1.6201657043380697</v>
      </c>
      <c r="K52" s="10"/>
      <c r="L52" s="10"/>
      <c r="M52" s="10"/>
      <c r="N52" s="10"/>
      <c r="O52" s="10"/>
      <c r="R52" s="10"/>
    </row>
    <row r="53" spans="1:18" x14ac:dyDescent="0.35">
      <c r="A53" s="32"/>
      <c r="B53" s="97"/>
      <c r="C53" s="63" t="s">
        <v>110</v>
      </c>
      <c r="D53" s="63"/>
      <c r="E53" s="66"/>
      <c r="F53" s="63"/>
      <c r="G53" s="63"/>
      <c r="H53" s="64">
        <f>B6</f>
        <v>20000</v>
      </c>
      <c r="I53" s="64">
        <f>A30*(((I42/((1+B18+B23)))^B12))</f>
        <v>32403.314086760147</v>
      </c>
      <c r="J53" s="103">
        <f>I53/H53</f>
        <v>1.6201657043380073</v>
      </c>
      <c r="K53" s="10"/>
      <c r="L53" s="10"/>
      <c r="M53" s="10"/>
      <c r="N53" s="10"/>
      <c r="O53" s="10"/>
      <c r="R53" s="10"/>
    </row>
    <row r="54" spans="1:18" ht="16" thickBot="1" x14ac:dyDescent="0.4">
      <c r="A54" s="34"/>
      <c r="B54" s="99"/>
      <c r="C54" s="35" t="s">
        <v>111</v>
      </c>
      <c r="D54" s="18"/>
      <c r="E54" s="18"/>
      <c r="F54" s="18"/>
      <c r="G54" s="18"/>
      <c r="H54" s="31">
        <f>A29*(((H41/((1+B17+B22)))^(B11+1)))*(B15)+A30*(((H42/((1+B18+B23)))^(B12+1)))*B16</f>
        <v>1555680.9555781202</v>
      </c>
      <c r="I54" s="31">
        <f>A29*(((I41/((1+B17+B22)))^(B11+1)))*(B17)+A30*(((I42/((1+B18+B23)))^(B12+1)))*B18</f>
        <v>0</v>
      </c>
      <c r="J54" s="104">
        <f>I54/H54</f>
        <v>0</v>
      </c>
      <c r="K54" s="10"/>
      <c r="L54" s="10"/>
      <c r="M54" s="10"/>
      <c r="N54" s="10"/>
      <c r="O54" s="10"/>
      <c r="R54" s="10"/>
    </row>
    <row r="55" spans="1:18" ht="16" thickTop="1" x14ac:dyDescent="0.35">
      <c r="A55" s="96"/>
      <c r="B55" s="97"/>
      <c r="C55" s="96"/>
      <c r="D55" s="63"/>
      <c r="E55" s="63"/>
      <c r="F55" s="63"/>
      <c r="G55" s="63"/>
      <c r="H55" s="64"/>
      <c r="I55" s="64"/>
      <c r="J55" s="92"/>
      <c r="K55" s="10"/>
      <c r="L55" s="10"/>
      <c r="M55" s="10"/>
      <c r="N55" s="10"/>
      <c r="O55" s="10"/>
      <c r="R55" s="10"/>
    </row>
    <row r="56" spans="1:18" x14ac:dyDescent="0.35">
      <c r="D56" s="9"/>
      <c r="E56" s="9"/>
      <c r="F56" s="9"/>
      <c r="L56" s="10"/>
      <c r="M56" s="10"/>
      <c r="N56" s="10"/>
    </row>
    <row r="57" spans="1:18" x14ac:dyDescent="0.35">
      <c r="D57" s="9"/>
      <c r="E57" s="9"/>
      <c r="F57" s="9"/>
      <c r="I57"/>
      <c r="L57" s="10"/>
      <c r="M57" s="10"/>
      <c r="N57" s="10"/>
    </row>
    <row r="58" spans="1:18" x14ac:dyDescent="0.35">
      <c r="D58" s="9"/>
      <c r="E58" s="9"/>
      <c r="F58" s="9"/>
      <c r="L58" s="10"/>
      <c r="M58" s="10"/>
    </row>
    <row r="59" spans="1:18" x14ac:dyDescent="0.35">
      <c r="C59" s="9" t="s">
        <v>112</v>
      </c>
      <c r="D59" s="9"/>
      <c r="E59" s="9"/>
      <c r="F59" s="9"/>
      <c r="L59" s="10"/>
    </row>
    <row r="60" spans="1:18" x14ac:dyDescent="0.35">
      <c r="D60" s="9"/>
      <c r="E60" s="9"/>
      <c r="F60" s="9"/>
      <c r="L60" s="10"/>
    </row>
    <row r="61" spans="1:18" x14ac:dyDescent="0.35">
      <c r="D61" s="9"/>
      <c r="E61" s="9"/>
      <c r="F61" s="9"/>
      <c r="L61" s="10"/>
    </row>
    <row r="62" spans="1:18" x14ac:dyDescent="0.35">
      <c r="D62" s="9"/>
      <c r="E62" s="9"/>
      <c r="F62" s="9"/>
    </row>
    <row r="63" spans="1:18" x14ac:dyDescent="0.35">
      <c r="D63" s="9"/>
      <c r="E63" s="9"/>
      <c r="F63" s="9"/>
    </row>
    <row r="64" spans="1:18" x14ac:dyDescent="0.35">
      <c r="D64" s="9"/>
      <c r="E64" s="9"/>
      <c r="F64" s="9"/>
    </row>
    <row r="65" spans="3:10" x14ac:dyDescent="0.35">
      <c r="D65" s="9"/>
      <c r="E65" s="9"/>
      <c r="F65" s="9"/>
    </row>
    <row r="66" spans="3:10" x14ac:dyDescent="0.35">
      <c r="D66" s="9"/>
      <c r="E66" s="9"/>
      <c r="F66" s="9"/>
    </row>
    <row r="67" spans="3:10" x14ac:dyDescent="0.35">
      <c r="D67" s="9"/>
      <c r="E67" s="9"/>
      <c r="F67" s="9"/>
    </row>
    <row r="68" spans="3:10" x14ac:dyDescent="0.35">
      <c r="D68" s="9"/>
      <c r="E68" s="9"/>
      <c r="F68" s="9"/>
    </row>
    <row r="69" spans="3:10" x14ac:dyDescent="0.35">
      <c r="D69" s="9"/>
      <c r="E69" s="9"/>
      <c r="F69" s="9"/>
    </row>
    <row r="70" spans="3:10" x14ac:dyDescent="0.35">
      <c r="D70" s="9"/>
      <c r="E70" s="9"/>
      <c r="F70" s="9"/>
    </row>
    <row r="71" spans="3:10" x14ac:dyDescent="0.35">
      <c r="D71" s="9"/>
      <c r="E71" s="9"/>
      <c r="F71" s="9"/>
    </row>
    <row r="72" spans="3:10" x14ac:dyDescent="0.35">
      <c r="D72" s="9"/>
      <c r="E72" s="9"/>
      <c r="F72" s="9"/>
    </row>
    <row r="73" spans="3:10" x14ac:dyDescent="0.35">
      <c r="D73" s="9"/>
      <c r="E73" s="9"/>
      <c r="F73" s="9"/>
    </row>
    <row r="74" spans="3:10" x14ac:dyDescent="0.35">
      <c r="C74"/>
      <c r="E74" s="9"/>
      <c r="F74" s="9"/>
      <c r="G74"/>
      <c r="H74"/>
      <c r="I74"/>
      <c r="J74"/>
    </row>
    <row r="75" spans="3:10" x14ac:dyDescent="0.35">
      <c r="C75"/>
      <c r="E75" s="9"/>
      <c r="F75" s="9"/>
      <c r="G75"/>
      <c r="H75"/>
      <c r="I75"/>
      <c r="J75"/>
    </row>
    <row r="76" spans="3:10" x14ac:dyDescent="0.35">
      <c r="C76"/>
      <c r="E76" s="9"/>
      <c r="F76" s="9"/>
      <c r="G76"/>
      <c r="H76"/>
      <c r="I76"/>
      <c r="J76"/>
    </row>
    <row r="77" spans="3:10" x14ac:dyDescent="0.35">
      <c r="C77"/>
      <c r="E77" s="9"/>
      <c r="F77" s="9"/>
      <c r="G77"/>
      <c r="H77"/>
      <c r="I77"/>
      <c r="J77"/>
    </row>
    <row r="78" spans="3:10" x14ac:dyDescent="0.35">
      <c r="C78"/>
      <c r="E78" s="9"/>
      <c r="F78" s="9"/>
      <c r="G78"/>
      <c r="H78"/>
      <c r="I78"/>
      <c r="J78"/>
    </row>
    <row r="79" spans="3:10" x14ac:dyDescent="0.35">
      <c r="C79"/>
      <c r="E79" s="9"/>
      <c r="F79" s="9"/>
      <c r="G79"/>
      <c r="H79"/>
      <c r="I79"/>
      <c r="J79"/>
    </row>
    <row r="80" spans="3:10" x14ac:dyDescent="0.35">
      <c r="C80"/>
      <c r="E80" s="9"/>
      <c r="F80" s="9"/>
      <c r="G80"/>
      <c r="H80"/>
      <c r="I80"/>
      <c r="J80"/>
    </row>
    <row r="81" spans="1:10" x14ac:dyDescent="0.35">
      <c r="C81"/>
      <c r="E81" s="9"/>
      <c r="F81" s="9"/>
      <c r="G81"/>
      <c r="H81"/>
      <c r="I81"/>
      <c r="J81"/>
    </row>
    <row r="82" spans="1:10" x14ac:dyDescent="0.35">
      <c r="C82"/>
      <c r="E82" s="9"/>
      <c r="F82" s="9"/>
      <c r="G82"/>
      <c r="H82"/>
      <c r="I82"/>
      <c r="J82"/>
    </row>
    <row r="83" spans="1:10" x14ac:dyDescent="0.35">
      <c r="C83"/>
      <c r="F83" s="9"/>
      <c r="G83"/>
      <c r="H83"/>
      <c r="I83"/>
      <c r="J83"/>
    </row>
    <row r="84" spans="1:10" x14ac:dyDescent="0.35">
      <c r="C84"/>
      <c r="F84" s="9"/>
      <c r="G84"/>
      <c r="H84"/>
      <c r="I84"/>
      <c r="J84"/>
    </row>
    <row r="85" spans="1:10" x14ac:dyDescent="0.35">
      <c r="C85"/>
      <c r="F85" s="9"/>
      <c r="G85"/>
      <c r="H85"/>
      <c r="I85"/>
      <c r="J85"/>
    </row>
    <row r="86" spans="1:10" x14ac:dyDescent="0.35">
      <c r="A86"/>
      <c r="C86"/>
      <c r="F86" s="9"/>
      <c r="G86"/>
      <c r="H86"/>
      <c r="I86"/>
      <c r="J86"/>
    </row>
  </sheetData>
  <pageMargins left="0.78888888888888897" right="0.59513888888888888" top="0.83333333333333337" bottom="0.71250000000000002" header="0.33333333333333337" footer="0.21249999999999999"/>
  <pageSetup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Line="0" autoPict="0" macro="[0]!calibrate">
                <anchor moveWithCells="1" sizeWithCells="1">
                  <from>
                    <xdr:col>7</xdr:col>
                    <xdr:colOff>1047750</xdr:colOff>
                    <xdr:row>10</xdr:row>
                    <xdr:rowOff>95250</xdr:rowOff>
                  </from>
                  <to>
                    <xdr:col>9</xdr:col>
                    <xdr:colOff>19050</xdr:colOff>
                    <xdr:row>14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F156"/>
  <sheetViews>
    <sheetView showOutlineSymbols="0" workbookViewId="0">
      <selection activeCell="B1" sqref="B1"/>
    </sheetView>
  </sheetViews>
  <sheetFormatPr defaultRowHeight="15.5" x14ac:dyDescent="0.35"/>
  <cols>
    <col min="2" max="2" width="12.54296875" style="40" customWidth="1"/>
    <col min="6" max="6" width="48" style="40" customWidth="1"/>
  </cols>
  <sheetData>
    <row r="1" spans="2:6" x14ac:dyDescent="0.35">
      <c r="B1"/>
      <c r="C1" s="40"/>
      <c r="D1" s="40"/>
      <c r="E1" s="40"/>
    </row>
    <row r="2" spans="2:6" ht="20" x14ac:dyDescent="0.4">
      <c r="B2" s="55" t="s">
        <v>113</v>
      </c>
      <c r="C2" s="40"/>
      <c r="D2" s="40"/>
      <c r="E2" s="40"/>
    </row>
    <row r="3" spans="2:6" x14ac:dyDescent="0.35">
      <c r="B3"/>
      <c r="C3" s="40"/>
      <c r="D3" s="40"/>
      <c r="E3" s="40"/>
    </row>
    <row r="4" spans="2:6" ht="17" x14ac:dyDescent="0.35">
      <c r="B4" s="39" t="s">
        <v>114</v>
      </c>
      <c r="C4" s="2"/>
      <c r="D4" s="2"/>
      <c r="E4" s="2"/>
      <c r="F4" s="2"/>
    </row>
    <row r="5" spans="2:6" ht="17" x14ac:dyDescent="0.35">
      <c r="B5" s="39" t="s">
        <v>115</v>
      </c>
      <c r="C5" s="2"/>
      <c r="D5" s="2"/>
      <c r="E5" s="2"/>
      <c r="F5" s="2"/>
    </row>
    <row r="6" spans="2:6" x14ac:dyDescent="0.35">
      <c r="C6" s="2"/>
      <c r="D6" s="2"/>
      <c r="E6" s="2"/>
      <c r="F6" s="2"/>
    </row>
    <row r="7" spans="2:6" x14ac:dyDescent="0.35">
      <c r="B7" s="2"/>
      <c r="C7" s="2"/>
      <c r="D7" s="2"/>
      <c r="E7" s="2"/>
      <c r="F7" s="2"/>
    </row>
    <row r="8" spans="2:6" x14ac:dyDescent="0.35">
      <c r="B8" s="41" t="s">
        <v>116</v>
      </c>
      <c r="C8" s="45" t="s">
        <v>117</v>
      </c>
      <c r="D8" s="49" t="s">
        <v>118</v>
      </c>
      <c r="E8" s="50"/>
      <c r="F8" s="54" t="s">
        <v>119</v>
      </c>
    </row>
    <row r="9" spans="2:6" x14ac:dyDescent="0.35">
      <c r="B9" s="42"/>
      <c r="C9" s="46"/>
      <c r="D9" s="3"/>
      <c r="E9" s="51"/>
      <c r="F9" s="5"/>
    </row>
    <row r="10" spans="2:6" x14ac:dyDescent="0.35">
      <c r="B10" s="43">
        <v>1</v>
      </c>
      <c r="C10" s="47">
        <v>1.22</v>
      </c>
      <c r="D10" s="2">
        <v>1.63</v>
      </c>
      <c r="E10" s="52"/>
      <c r="F10" s="6" t="s">
        <v>120</v>
      </c>
    </row>
    <row r="11" spans="2:6" x14ac:dyDescent="0.35">
      <c r="B11" s="43">
        <v>4</v>
      </c>
      <c r="C11" s="47">
        <v>0.16</v>
      </c>
      <c r="D11" s="2">
        <v>0.23</v>
      </c>
      <c r="E11" s="52"/>
      <c r="F11" s="6" t="s">
        <v>121</v>
      </c>
    </row>
    <row r="12" spans="2:6" x14ac:dyDescent="0.35">
      <c r="B12" s="43">
        <v>5</v>
      </c>
      <c r="C12" s="47">
        <v>0.31</v>
      </c>
      <c r="D12" s="2">
        <v>2.2999999999999998</v>
      </c>
      <c r="E12" s="52" t="s">
        <v>122</v>
      </c>
      <c r="F12" s="6" t="s">
        <v>123</v>
      </c>
    </row>
    <row r="13" spans="2:6" x14ac:dyDescent="0.35">
      <c r="B13" s="43">
        <v>6</v>
      </c>
      <c r="C13" s="47">
        <v>0.97</v>
      </c>
      <c r="D13" s="2">
        <v>17.84</v>
      </c>
      <c r="E13" s="52" t="s">
        <v>122</v>
      </c>
      <c r="F13" s="6" t="s">
        <v>124</v>
      </c>
    </row>
    <row r="14" spans="2:6" x14ac:dyDescent="0.35">
      <c r="B14" s="43">
        <v>8</v>
      </c>
      <c r="C14" s="47">
        <v>1.1299999999999999</v>
      </c>
      <c r="D14" s="2">
        <v>1.78</v>
      </c>
      <c r="E14" s="52"/>
      <c r="F14" s="6" t="s">
        <v>125</v>
      </c>
    </row>
    <row r="15" spans="2:6" x14ac:dyDescent="0.35">
      <c r="B15" s="43">
        <v>9</v>
      </c>
      <c r="C15" s="47">
        <v>1.68</v>
      </c>
      <c r="D15" s="2">
        <v>3.3</v>
      </c>
      <c r="E15" s="52" t="s">
        <v>122</v>
      </c>
      <c r="F15" s="6" t="s">
        <v>126</v>
      </c>
    </row>
    <row r="16" spans="2:6" x14ac:dyDescent="0.35">
      <c r="B16" s="43">
        <v>11</v>
      </c>
      <c r="C16" s="47">
        <v>1</v>
      </c>
      <c r="D16" s="2">
        <v>33.92</v>
      </c>
      <c r="E16" s="52" t="s">
        <v>122</v>
      </c>
      <c r="F16" s="6" t="s">
        <v>127</v>
      </c>
    </row>
    <row r="17" spans="2:6" x14ac:dyDescent="0.35">
      <c r="B17" s="43">
        <v>12</v>
      </c>
      <c r="C17" s="47">
        <v>1.99</v>
      </c>
      <c r="D17" s="2">
        <v>6.74</v>
      </c>
      <c r="E17" s="52" t="s">
        <v>122</v>
      </c>
      <c r="F17" s="6" t="s">
        <v>128</v>
      </c>
    </row>
    <row r="18" spans="2:6" x14ac:dyDescent="0.35">
      <c r="B18" s="43">
        <v>15</v>
      </c>
      <c r="C18" s="47">
        <v>0.67</v>
      </c>
      <c r="D18" s="2">
        <v>3.1</v>
      </c>
      <c r="E18" s="52" t="s">
        <v>122</v>
      </c>
      <c r="F18" s="6" t="s">
        <v>129</v>
      </c>
    </row>
    <row r="19" spans="2:6" x14ac:dyDescent="0.35">
      <c r="B19" s="43">
        <v>17</v>
      </c>
      <c r="C19" s="47">
        <v>1.1599999999999999</v>
      </c>
      <c r="D19" s="2">
        <v>2.84</v>
      </c>
      <c r="E19" s="52" t="s">
        <v>122</v>
      </c>
      <c r="F19" s="6" t="s">
        <v>130</v>
      </c>
    </row>
    <row r="20" spans="2:6" x14ac:dyDescent="0.35">
      <c r="B20" s="43">
        <v>18</v>
      </c>
      <c r="C20" s="47">
        <v>0.35</v>
      </c>
      <c r="D20" s="2">
        <v>8.0399999999999991</v>
      </c>
      <c r="E20" s="52" t="s">
        <v>122</v>
      </c>
      <c r="F20" s="6" t="s">
        <v>131</v>
      </c>
    </row>
    <row r="21" spans="2:6" x14ac:dyDescent="0.35">
      <c r="B21" s="43">
        <v>19</v>
      </c>
      <c r="C21" s="47">
        <v>1.88</v>
      </c>
      <c r="D21" s="2">
        <v>7.9</v>
      </c>
      <c r="E21" s="52" t="s">
        <v>122</v>
      </c>
      <c r="F21" s="6" t="s">
        <v>132</v>
      </c>
    </row>
    <row r="22" spans="2:6" x14ac:dyDescent="0.35">
      <c r="B22" s="43">
        <v>20</v>
      </c>
      <c r="C22" s="47">
        <v>1.26</v>
      </c>
      <c r="D22" s="2">
        <v>6.24</v>
      </c>
      <c r="E22" s="52" t="s">
        <v>122</v>
      </c>
      <c r="F22" s="6" t="s">
        <v>133</v>
      </c>
    </row>
    <row r="23" spans="2:6" x14ac:dyDescent="0.35">
      <c r="B23" s="43">
        <v>21</v>
      </c>
      <c r="C23" s="47">
        <v>0.59</v>
      </c>
      <c r="D23" s="2">
        <v>1.67</v>
      </c>
      <c r="E23" s="52"/>
      <c r="F23" s="6" t="s">
        <v>134</v>
      </c>
    </row>
    <row r="24" spans="2:6" x14ac:dyDescent="0.35">
      <c r="B24" s="43">
        <v>22</v>
      </c>
      <c r="C24" s="47">
        <v>1.1100000000000001</v>
      </c>
      <c r="D24" s="2">
        <v>7.68</v>
      </c>
      <c r="E24" s="52" t="s">
        <v>122</v>
      </c>
      <c r="F24" s="6" t="s">
        <v>135</v>
      </c>
    </row>
    <row r="25" spans="2:6" x14ac:dyDescent="0.35">
      <c r="B25" s="43">
        <v>24</v>
      </c>
      <c r="C25" s="47">
        <v>0.13</v>
      </c>
      <c r="D25" s="2">
        <v>6.57</v>
      </c>
      <c r="E25" s="52" t="s">
        <v>122</v>
      </c>
      <c r="F25" s="6" t="s">
        <v>136</v>
      </c>
    </row>
    <row r="26" spans="2:6" x14ac:dyDescent="0.35">
      <c r="B26" s="43">
        <v>25</v>
      </c>
      <c r="C26" s="47">
        <v>0.02</v>
      </c>
      <c r="D26" s="2">
        <v>0.8</v>
      </c>
      <c r="E26" s="52"/>
      <c r="F26" s="6" t="s">
        <v>137</v>
      </c>
    </row>
    <row r="27" spans="2:6" x14ac:dyDescent="0.35">
      <c r="B27" s="43">
        <v>26</v>
      </c>
      <c r="C27" s="47">
        <v>3.49</v>
      </c>
      <c r="D27" s="2">
        <v>6.95</v>
      </c>
      <c r="E27" s="52" t="s">
        <v>122</v>
      </c>
      <c r="F27" s="6" t="s">
        <v>138</v>
      </c>
    </row>
    <row r="28" spans="2:6" x14ac:dyDescent="0.35">
      <c r="B28" s="43">
        <v>27</v>
      </c>
      <c r="C28" s="47">
        <v>0.15</v>
      </c>
      <c r="D28" s="2">
        <v>8.4600000000000009</v>
      </c>
      <c r="E28" s="52" t="s">
        <v>122</v>
      </c>
      <c r="F28" s="6" t="s">
        <v>139</v>
      </c>
    </row>
    <row r="29" spans="2:6" x14ac:dyDescent="0.35">
      <c r="B29" s="43">
        <v>28</v>
      </c>
      <c r="C29" s="47">
        <v>1.49</v>
      </c>
      <c r="D29" s="2">
        <v>4.75</v>
      </c>
      <c r="E29" s="52" t="s">
        <v>122</v>
      </c>
      <c r="F29" s="6" t="s">
        <v>140</v>
      </c>
    </row>
    <row r="30" spans="2:6" x14ac:dyDescent="0.35">
      <c r="B30" s="43">
        <v>29</v>
      </c>
      <c r="C30" s="47">
        <v>0.93</v>
      </c>
      <c r="D30" s="2">
        <v>2.82</v>
      </c>
      <c r="E30" s="52" t="s">
        <v>122</v>
      </c>
      <c r="F30" s="6" t="s">
        <v>141</v>
      </c>
    </row>
    <row r="31" spans="2:6" x14ac:dyDescent="0.35">
      <c r="B31" s="43">
        <v>30</v>
      </c>
      <c r="C31" s="47">
        <v>0.06</v>
      </c>
      <c r="D31" s="2">
        <v>0.14000000000000001</v>
      </c>
      <c r="E31" s="52"/>
      <c r="F31" s="6" t="s">
        <v>142</v>
      </c>
    </row>
    <row r="32" spans="2:6" x14ac:dyDescent="0.35">
      <c r="B32" s="43">
        <v>32</v>
      </c>
      <c r="C32" s="47">
        <v>1.85</v>
      </c>
      <c r="D32" s="2">
        <v>4.12</v>
      </c>
      <c r="E32" s="52" t="s">
        <v>122</v>
      </c>
      <c r="F32" s="6" t="s">
        <v>143</v>
      </c>
    </row>
    <row r="33" spans="2:6" x14ac:dyDescent="0.35">
      <c r="B33" s="43">
        <v>33</v>
      </c>
      <c r="C33" s="47">
        <v>0.27</v>
      </c>
      <c r="D33" s="2">
        <v>5.16</v>
      </c>
      <c r="E33" s="52" t="s">
        <v>122</v>
      </c>
      <c r="F33" s="6" t="s">
        <v>144</v>
      </c>
    </row>
    <row r="34" spans="2:6" x14ac:dyDescent="0.35">
      <c r="B34" s="43">
        <v>34</v>
      </c>
      <c r="C34" s="47">
        <v>0.69</v>
      </c>
      <c r="D34" s="2">
        <v>1.52</v>
      </c>
      <c r="E34" s="52"/>
      <c r="F34" s="6" t="s">
        <v>145</v>
      </c>
    </row>
    <row r="35" spans="2:6" x14ac:dyDescent="0.35">
      <c r="B35" s="43">
        <v>35</v>
      </c>
      <c r="C35" s="47">
        <v>0.15</v>
      </c>
      <c r="D35" s="2">
        <v>3.28</v>
      </c>
      <c r="E35" s="52" t="s">
        <v>122</v>
      </c>
      <c r="F35" s="6" t="s">
        <v>146</v>
      </c>
    </row>
    <row r="36" spans="2:6" x14ac:dyDescent="0.35">
      <c r="B36" s="43">
        <v>36</v>
      </c>
      <c r="C36" s="47">
        <v>0.99</v>
      </c>
      <c r="D36" s="2">
        <v>6.21</v>
      </c>
      <c r="E36" s="52" t="s">
        <v>122</v>
      </c>
      <c r="F36" s="6" t="s">
        <v>147</v>
      </c>
    </row>
    <row r="37" spans="2:6" x14ac:dyDescent="0.35">
      <c r="B37" s="43">
        <v>37</v>
      </c>
      <c r="C37" s="47">
        <v>0.54</v>
      </c>
      <c r="D37" s="2">
        <v>3.96</v>
      </c>
      <c r="E37" s="52" t="s">
        <v>122</v>
      </c>
      <c r="F37" s="6" t="s">
        <v>148</v>
      </c>
    </row>
    <row r="38" spans="2:6" x14ac:dyDescent="0.35">
      <c r="B38" s="43">
        <v>38</v>
      </c>
      <c r="C38" s="47">
        <v>0.82</v>
      </c>
      <c r="D38" s="2">
        <v>7.41</v>
      </c>
      <c r="E38" s="52" t="s">
        <v>122</v>
      </c>
      <c r="F38" s="6" t="s">
        <v>149</v>
      </c>
    </row>
    <row r="39" spans="2:6" x14ac:dyDescent="0.35">
      <c r="B39" s="43">
        <v>39</v>
      </c>
      <c r="C39" s="47">
        <v>1.21</v>
      </c>
      <c r="D39" s="2">
        <v>2.5499999999999998</v>
      </c>
      <c r="E39" s="52" t="s">
        <v>122</v>
      </c>
      <c r="F39" s="6" t="s">
        <v>150</v>
      </c>
    </row>
    <row r="40" spans="2:6" x14ac:dyDescent="0.35">
      <c r="B40" s="43">
        <v>40</v>
      </c>
      <c r="C40" s="47">
        <v>0.56999999999999995</v>
      </c>
      <c r="D40" s="2">
        <v>1.91</v>
      </c>
      <c r="E40" s="52"/>
      <c r="F40" s="6" t="s">
        <v>151</v>
      </c>
    </row>
    <row r="41" spans="2:6" x14ac:dyDescent="0.35">
      <c r="B41" s="43">
        <v>41</v>
      </c>
      <c r="C41" s="47">
        <v>2.5299999999999998</v>
      </c>
      <c r="D41" s="2">
        <v>9.8000000000000007</v>
      </c>
      <c r="E41" s="52" t="s">
        <v>122</v>
      </c>
      <c r="F41" s="6" t="s">
        <v>152</v>
      </c>
    </row>
    <row r="42" spans="2:6" x14ac:dyDescent="0.35">
      <c r="B42" s="43">
        <v>43</v>
      </c>
      <c r="C42" s="47">
        <v>0.45</v>
      </c>
      <c r="D42" s="2">
        <v>3.55</v>
      </c>
      <c r="E42" s="52" t="s">
        <v>122</v>
      </c>
      <c r="F42" s="6" t="s">
        <v>153</v>
      </c>
    </row>
    <row r="43" spans="2:6" x14ac:dyDescent="0.35">
      <c r="B43" s="43">
        <v>44</v>
      </c>
      <c r="C43" s="47">
        <v>2.1800000000000002</v>
      </c>
      <c r="D43" s="2">
        <v>3.74</v>
      </c>
      <c r="E43" s="52" t="s">
        <v>122</v>
      </c>
      <c r="F43" s="6" t="s">
        <v>154</v>
      </c>
    </row>
    <row r="44" spans="2:6" x14ac:dyDescent="0.35">
      <c r="B44" s="43">
        <v>45</v>
      </c>
      <c r="C44" s="47">
        <v>0.64</v>
      </c>
      <c r="D44" s="2">
        <v>2.6</v>
      </c>
      <c r="E44" s="52" t="s">
        <v>122</v>
      </c>
      <c r="F44" s="6" t="s">
        <v>155</v>
      </c>
    </row>
    <row r="45" spans="2:6" x14ac:dyDescent="0.35">
      <c r="B45" s="43">
        <v>46</v>
      </c>
      <c r="C45" s="47">
        <v>0.57999999999999996</v>
      </c>
      <c r="D45" s="2">
        <v>0.64</v>
      </c>
      <c r="E45" s="52"/>
      <c r="F45" s="6" t="s">
        <v>156</v>
      </c>
    </row>
    <row r="46" spans="2:6" x14ac:dyDescent="0.35">
      <c r="B46" s="43">
        <v>47</v>
      </c>
      <c r="C46" s="47">
        <v>1.73</v>
      </c>
      <c r="D46" s="2">
        <v>8.5299999999999994</v>
      </c>
      <c r="E46" s="52" t="s">
        <v>122</v>
      </c>
      <c r="F46" s="6" t="s">
        <v>157</v>
      </c>
    </row>
    <row r="47" spans="2:6" x14ac:dyDescent="0.35">
      <c r="B47" s="43">
        <v>48</v>
      </c>
      <c r="C47" s="47">
        <v>0.06</v>
      </c>
      <c r="D47" s="2">
        <v>2.1</v>
      </c>
      <c r="E47" s="52" t="s">
        <v>122</v>
      </c>
      <c r="F47" s="6" t="s">
        <v>158</v>
      </c>
    </row>
    <row r="48" spans="2:6" x14ac:dyDescent="0.35">
      <c r="B48" s="43">
        <v>50</v>
      </c>
      <c r="C48" s="47">
        <v>1.02</v>
      </c>
      <c r="D48" s="2">
        <v>20.13</v>
      </c>
      <c r="E48" s="52" t="s">
        <v>122</v>
      </c>
      <c r="F48" s="6" t="s">
        <v>159</v>
      </c>
    </row>
    <row r="49" spans="1:6" x14ac:dyDescent="0.35">
      <c r="B49" s="43">
        <v>52</v>
      </c>
      <c r="C49" s="47">
        <v>0.49</v>
      </c>
      <c r="D49" s="2">
        <v>9.92</v>
      </c>
      <c r="E49" s="52" t="s">
        <v>122</v>
      </c>
      <c r="F49" s="6" t="s">
        <v>160</v>
      </c>
    </row>
    <row r="50" spans="1:6" x14ac:dyDescent="0.35">
      <c r="B50" s="43">
        <v>53</v>
      </c>
      <c r="C50" s="47">
        <v>0.05</v>
      </c>
      <c r="D50" s="2">
        <v>0.91</v>
      </c>
      <c r="E50" s="52"/>
      <c r="F50" s="6" t="s">
        <v>161</v>
      </c>
    </row>
    <row r="51" spans="1:6" x14ac:dyDescent="0.35">
      <c r="B51" s="43">
        <v>56</v>
      </c>
      <c r="C51" s="47">
        <v>0.97</v>
      </c>
      <c r="D51" s="2">
        <v>16.600000000000001</v>
      </c>
      <c r="E51" s="52" t="s">
        <v>122</v>
      </c>
      <c r="F51" s="6" t="s">
        <v>162</v>
      </c>
    </row>
    <row r="52" spans="1:6" x14ac:dyDescent="0.35">
      <c r="B52" s="44">
        <v>57</v>
      </c>
      <c r="C52" s="48">
        <v>1.5</v>
      </c>
      <c r="D52" s="4">
        <v>6.92</v>
      </c>
      <c r="E52" s="53" t="s">
        <v>122</v>
      </c>
      <c r="F52" s="7" t="s">
        <v>163</v>
      </c>
    </row>
    <row r="53" spans="1:6" x14ac:dyDescent="0.35">
      <c r="A53" s="37"/>
      <c r="C53" s="40"/>
      <c r="D53" s="40"/>
      <c r="E53" s="40"/>
    </row>
    <row r="54" spans="1:6" x14ac:dyDescent="0.35">
      <c r="A54" s="38" t="s">
        <v>164</v>
      </c>
      <c r="C54" s="40"/>
      <c r="D54" s="40"/>
      <c r="E54" s="40"/>
    </row>
    <row r="55" spans="1:6" ht="20" x14ac:dyDescent="0.4">
      <c r="B55" s="55" t="s">
        <v>165</v>
      </c>
      <c r="C55" s="56"/>
      <c r="D55" s="56"/>
      <c r="E55" s="56"/>
      <c r="F55" s="56"/>
    </row>
    <row r="56" spans="1:6" x14ac:dyDescent="0.35">
      <c r="B56" s="56"/>
      <c r="C56" s="56"/>
      <c r="D56" s="56"/>
      <c r="E56" s="56"/>
      <c r="F56" s="56"/>
    </row>
    <row r="57" spans="1:6" x14ac:dyDescent="0.35">
      <c r="B57" s="41" t="s">
        <v>116</v>
      </c>
      <c r="C57" s="45" t="s">
        <v>117</v>
      </c>
      <c r="D57" s="49" t="s">
        <v>118</v>
      </c>
      <c r="E57" s="50"/>
      <c r="F57" s="54" t="s">
        <v>119</v>
      </c>
    </row>
    <row r="58" spans="1:6" x14ac:dyDescent="0.35">
      <c r="B58" s="43">
        <v>59</v>
      </c>
      <c r="C58" s="47">
        <v>1.42</v>
      </c>
      <c r="D58" s="2">
        <v>8.19</v>
      </c>
      <c r="E58" s="52" t="s">
        <v>122</v>
      </c>
      <c r="F58" s="6" t="s">
        <v>166</v>
      </c>
    </row>
    <row r="59" spans="1:6" x14ac:dyDescent="0.35">
      <c r="B59" s="43">
        <v>60</v>
      </c>
      <c r="C59" s="47">
        <v>0.97</v>
      </c>
      <c r="D59" s="2">
        <v>1</v>
      </c>
      <c r="E59" s="52"/>
      <c r="F59" s="6" t="s">
        <v>167</v>
      </c>
    </row>
    <row r="60" spans="1:6" x14ac:dyDescent="0.35">
      <c r="B60" s="43">
        <v>61</v>
      </c>
      <c r="C60" s="47">
        <v>1.68</v>
      </c>
      <c r="D60" s="2">
        <v>10.15</v>
      </c>
      <c r="E60" s="52" t="s">
        <v>122</v>
      </c>
      <c r="F60" s="6" t="s">
        <v>168</v>
      </c>
    </row>
    <row r="61" spans="1:6" x14ac:dyDescent="0.35">
      <c r="B61" s="43">
        <v>62</v>
      </c>
      <c r="C61" s="47">
        <v>1.48</v>
      </c>
      <c r="D61" s="2">
        <v>4.57</v>
      </c>
      <c r="E61" s="52" t="s">
        <v>122</v>
      </c>
      <c r="F61" s="6" t="s">
        <v>169</v>
      </c>
    </row>
    <row r="62" spans="1:6" x14ac:dyDescent="0.35">
      <c r="B62" s="43">
        <v>63</v>
      </c>
      <c r="C62" s="47">
        <v>0.98</v>
      </c>
      <c r="D62" s="2">
        <v>9.26</v>
      </c>
      <c r="E62" s="52" t="s">
        <v>122</v>
      </c>
      <c r="F62" s="6" t="s">
        <v>170</v>
      </c>
    </row>
    <row r="63" spans="1:6" x14ac:dyDescent="0.35">
      <c r="B63" s="43">
        <v>64</v>
      </c>
      <c r="C63" s="47">
        <v>1</v>
      </c>
      <c r="D63" s="2">
        <v>43.12</v>
      </c>
      <c r="E63" s="52" t="s">
        <v>122</v>
      </c>
      <c r="F63" s="6" t="s">
        <v>171</v>
      </c>
    </row>
    <row r="64" spans="1:6" x14ac:dyDescent="0.35">
      <c r="B64" s="43">
        <v>65</v>
      </c>
      <c r="C64" s="47">
        <v>0.8</v>
      </c>
      <c r="D64" s="2">
        <v>11.48</v>
      </c>
      <c r="E64" s="52" t="s">
        <v>122</v>
      </c>
      <c r="F64" s="6" t="s">
        <v>172</v>
      </c>
    </row>
    <row r="65" spans="2:6" x14ac:dyDescent="0.35">
      <c r="B65" s="43">
        <v>66</v>
      </c>
      <c r="C65" s="47">
        <v>0.48</v>
      </c>
      <c r="D65" s="2">
        <v>4.17</v>
      </c>
      <c r="E65" s="52" t="s">
        <v>122</v>
      </c>
      <c r="F65" s="6" t="s">
        <v>173</v>
      </c>
    </row>
    <row r="66" spans="2:6" x14ac:dyDescent="0.35">
      <c r="B66" s="43">
        <v>67</v>
      </c>
      <c r="C66" s="47">
        <v>0.31</v>
      </c>
      <c r="D66" s="2">
        <v>3.62</v>
      </c>
      <c r="E66" s="52" t="s">
        <v>122</v>
      </c>
      <c r="F66" s="6" t="s">
        <v>174</v>
      </c>
    </row>
    <row r="67" spans="2:6" x14ac:dyDescent="0.35">
      <c r="B67" s="43">
        <v>68</v>
      </c>
      <c r="C67" s="47">
        <v>0.96</v>
      </c>
      <c r="D67" s="2">
        <v>18.73</v>
      </c>
      <c r="E67" s="52" t="s">
        <v>122</v>
      </c>
      <c r="F67" s="6" t="s">
        <v>175</v>
      </c>
    </row>
    <row r="68" spans="2:6" x14ac:dyDescent="0.35">
      <c r="B68" s="43">
        <v>69</v>
      </c>
      <c r="C68" s="47">
        <v>1.71</v>
      </c>
      <c r="D68" s="2">
        <v>11.55</v>
      </c>
      <c r="E68" s="52" t="s">
        <v>122</v>
      </c>
      <c r="F68" s="6" t="s">
        <v>176</v>
      </c>
    </row>
    <row r="69" spans="2:6" x14ac:dyDescent="0.35">
      <c r="B69" s="43">
        <v>70</v>
      </c>
      <c r="C69" s="47">
        <v>0.87</v>
      </c>
      <c r="D69" s="2">
        <v>4.47</v>
      </c>
      <c r="E69" s="52" t="s">
        <v>122</v>
      </c>
      <c r="F69" s="6" t="s">
        <v>177</v>
      </c>
    </row>
    <row r="70" spans="2:6" x14ac:dyDescent="0.35">
      <c r="B70" s="43">
        <v>71</v>
      </c>
      <c r="C70" s="47">
        <v>0.66</v>
      </c>
      <c r="D70" s="2">
        <v>2.31</v>
      </c>
      <c r="E70" s="52" t="s">
        <v>122</v>
      </c>
      <c r="F70" s="6" t="s">
        <v>178</v>
      </c>
    </row>
    <row r="71" spans="2:6" x14ac:dyDescent="0.35">
      <c r="B71" s="43">
        <v>72</v>
      </c>
      <c r="C71" s="47">
        <v>1.0900000000000001</v>
      </c>
      <c r="D71" s="2">
        <v>6.49</v>
      </c>
      <c r="E71" s="52" t="s">
        <v>122</v>
      </c>
      <c r="F71" s="6" t="s">
        <v>179</v>
      </c>
    </row>
    <row r="72" spans="2:6" x14ac:dyDescent="0.35">
      <c r="B72" s="43">
        <v>73</v>
      </c>
      <c r="C72" s="47">
        <v>0.57999999999999996</v>
      </c>
      <c r="D72" s="2">
        <v>1.44</v>
      </c>
      <c r="E72" s="52"/>
      <c r="F72" s="6" t="s">
        <v>180</v>
      </c>
    </row>
    <row r="73" spans="2:6" x14ac:dyDescent="0.35">
      <c r="B73" s="43">
        <v>76</v>
      </c>
      <c r="C73" s="47">
        <v>0.4</v>
      </c>
      <c r="D73" s="2">
        <v>1.53</v>
      </c>
      <c r="E73" s="52"/>
      <c r="F73" s="6" t="s">
        <v>181</v>
      </c>
    </row>
    <row r="74" spans="2:6" x14ac:dyDescent="0.35">
      <c r="B74" s="43">
        <v>77</v>
      </c>
      <c r="C74" s="47">
        <v>0.02</v>
      </c>
      <c r="D74" s="2">
        <v>0.34</v>
      </c>
      <c r="E74" s="52"/>
      <c r="F74" s="6" t="s">
        <v>182</v>
      </c>
    </row>
    <row r="75" spans="2:6" x14ac:dyDescent="0.35">
      <c r="B75" s="43">
        <v>78</v>
      </c>
      <c r="C75" s="47">
        <v>0.28999999999999998</v>
      </c>
      <c r="D75" s="2">
        <v>4.32</v>
      </c>
      <c r="E75" s="52" t="s">
        <v>122</v>
      </c>
      <c r="F75" s="6" t="s">
        <v>183</v>
      </c>
    </row>
    <row r="76" spans="2:6" x14ac:dyDescent="0.35">
      <c r="B76" s="43">
        <v>79</v>
      </c>
      <c r="C76" s="47">
        <v>0.01</v>
      </c>
      <c r="D76" s="2">
        <v>0.14000000000000001</v>
      </c>
      <c r="E76" s="52"/>
      <c r="F76" s="6" t="s">
        <v>184</v>
      </c>
    </row>
    <row r="77" spans="2:6" x14ac:dyDescent="0.35">
      <c r="B77" s="43">
        <v>80</v>
      </c>
      <c r="C77" s="47">
        <v>1.46</v>
      </c>
      <c r="D77" s="2">
        <v>1.71</v>
      </c>
      <c r="E77" s="52" t="s">
        <v>122</v>
      </c>
      <c r="F77" s="6" t="s">
        <v>185</v>
      </c>
    </row>
    <row r="78" spans="2:6" x14ac:dyDescent="0.35">
      <c r="B78" s="43">
        <v>81</v>
      </c>
      <c r="C78" s="47">
        <v>1.07</v>
      </c>
      <c r="D78" s="2">
        <v>1.89</v>
      </c>
      <c r="E78" s="52" t="s">
        <v>122</v>
      </c>
      <c r="F78" s="6" t="s">
        <v>186</v>
      </c>
    </row>
    <row r="79" spans="2:6" x14ac:dyDescent="0.35">
      <c r="B79" s="43">
        <v>83</v>
      </c>
      <c r="C79" s="47">
        <v>1.27</v>
      </c>
      <c r="D79" s="2">
        <v>14.85</v>
      </c>
      <c r="E79" s="52" t="s">
        <v>122</v>
      </c>
      <c r="F79" s="6" t="s">
        <v>187</v>
      </c>
    </row>
    <row r="80" spans="2:6" x14ac:dyDescent="0.35">
      <c r="B80" s="43">
        <v>84</v>
      </c>
      <c r="C80" s="47">
        <v>0.36</v>
      </c>
      <c r="D80" s="2">
        <v>11.95</v>
      </c>
      <c r="E80" s="52" t="s">
        <v>122</v>
      </c>
      <c r="F80" s="6" t="s">
        <v>188</v>
      </c>
    </row>
    <row r="81" spans="2:6" x14ac:dyDescent="0.35">
      <c r="B81" s="43">
        <v>85</v>
      </c>
      <c r="C81" s="47">
        <v>0.23</v>
      </c>
      <c r="D81" s="2">
        <v>1.1299999999999999</v>
      </c>
      <c r="E81" s="52"/>
      <c r="F81" s="6" t="s">
        <v>189</v>
      </c>
    </row>
    <row r="82" spans="2:6" x14ac:dyDescent="0.35">
      <c r="B82" s="43">
        <v>86</v>
      </c>
      <c r="C82" s="47">
        <v>1.0900000000000001</v>
      </c>
      <c r="D82" s="2">
        <v>12.73</v>
      </c>
      <c r="E82" s="52" t="s">
        <v>122</v>
      </c>
      <c r="F82" s="6" t="s">
        <v>190</v>
      </c>
    </row>
    <row r="83" spans="2:6" x14ac:dyDescent="0.35">
      <c r="B83" s="43">
        <v>87</v>
      </c>
      <c r="C83" s="47">
        <v>1.04</v>
      </c>
      <c r="D83" s="2">
        <v>28.48</v>
      </c>
      <c r="E83" s="52" t="s">
        <v>122</v>
      </c>
      <c r="F83" s="6" t="s">
        <v>191</v>
      </c>
    </row>
    <row r="84" spans="2:6" x14ac:dyDescent="0.35">
      <c r="B84" s="43">
        <v>88</v>
      </c>
      <c r="C84" s="47">
        <v>0.88</v>
      </c>
      <c r="D84" s="2">
        <v>24.13</v>
      </c>
      <c r="E84" s="52" t="s">
        <v>122</v>
      </c>
      <c r="F84" s="6" t="s">
        <v>192</v>
      </c>
    </row>
    <row r="85" spans="2:6" x14ac:dyDescent="0.35">
      <c r="B85" s="43">
        <v>90</v>
      </c>
      <c r="C85" s="47">
        <v>0.84</v>
      </c>
      <c r="D85" s="2">
        <v>8.94</v>
      </c>
      <c r="E85" s="52" t="s">
        <v>122</v>
      </c>
      <c r="F85" s="6" t="s">
        <v>193</v>
      </c>
    </row>
    <row r="86" spans="2:6" x14ac:dyDescent="0.35">
      <c r="B86" s="43">
        <v>91</v>
      </c>
      <c r="C86" s="47">
        <v>1.45</v>
      </c>
      <c r="D86" s="2">
        <v>7.38</v>
      </c>
      <c r="E86" s="52" t="s">
        <v>122</v>
      </c>
      <c r="F86" s="6" t="s">
        <v>194</v>
      </c>
    </row>
    <row r="87" spans="2:6" x14ac:dyDescent="0.35">
      <c r="B87" s="43">
        <v>93</v>
      </c>
      <c r="C87" s="47">
        <v>0.82</v>
      </c>
      <c r="D87" s="2">
        <v>16.13</v>
      </c>
      <c r="E87" s="52" t="s">
        <v>122</v>
      </c>
      <c r="F87" s="6" t="s">
        <v>195</v>
      </c>
    </row>
    <row r="88" spans="2:6" x14ac:dyDescent="0.35">
      <c r="B88" s="43">
        <v>94</v>
      </c>
      <c r="C88" s="47">
        <v>0.76</v>
      </c>
      <c r="D88" s="2">
        <v>7.75</v>
      </c>
      <c r="E88" s="52" t="s">
        <v>122</v>
      </c>
      <c r="F88" s="6" t="s">
        <v>196</v>
      </c>
    </row>
    <row r="89" spans="2:6" x14ac:dyDescent="0.35">
      <c r="B89" s="43">
        <v>95</v>
      </c>
      <c r="C89" s="47">
        <v>3.08</v>
      </c>
      <c r="D89" s="2">
        <v>4.0599999999999996</v>
      </c>
      <c r="E89" s="52" t="s">
        <v>122</v>
      </c>
      <c r="F89" s="6" t="s">
        <v>197</v>
      </c>
    </row>
    <row r="90" spans="2:6" x14ac:dyDescent="0.35">
      <c r="B90" s="43">
        <v>96</v>
      </c>
      <c r="C90" s="47">
        <v>0.69</v>
      </c>
      <c r="D90" s="2">
        <v>2.17</v>
      </c>
      <c r="E90" s="52" t="s">
        <v>122</v>
      </c>
      <c r="F90" s="6" t="s">
        <v>198</v>
      </c>
    </row>
    <row r="91" spans="2:6" x14ac:dyDescent="0.35">
      <c r="B91" s="43">
        <v>97</v>
      </c>
      <c r="C91" s="47">
        <v>0.91</v>
      </c>
      <c r="D91" s="2">
        <v>0.98</v>
      </c>
      <c r="E91" s="52"/>
      <c r="F91" s="6" t="s">
        <v>199</v>
      </c>
    </row>
    <row r="92" spans="2:6" x14ac:dyDescent="0.35">
      <c r="B92" s="43">
        <v>103</v>
      </c>
      <c r="C92" s="47">
        <v>0.16</v>
      </c>
      <c r="D92" s="2">
        <v>1.3</v>
      </c>
      <c r="E92" s="52"/>
      <c r="F92" s="6" t="s">
        <v>200</v>
      </c>
    </row>
    <row r="93" spans="2:6" x14ac:dyDescent="0.35">
      <c r="B93" s="43">
        <v>106</v>
      </c>
      <c r="C93" s="47">
        <v>1.03</v>
      </c>
      <c r="D93" s="2">
        <v>2.76</v>
      </c>
      <c r="E93" s="52" t="s">
        <v>122</v>
      </c>
      <c r="F93" s="6" t="s">
        <v>201</v>
      </c>
    </row>
    <row r="94" spans="2:6" x14ac:dyDescent="0.35">
      <c r="B94" s="43">
        <v>107</v>
      </c>
      <c r="C94" s="47">
        <v>0.45</v>
      </c>
      <c r="D94" s="2">
        <v>1.47</v>
      </c>
      <c r="E94" s="52"/>
      <c r="F94" s="6" t="s">
        <v>202</v>
      </c>
    </row>
    <row r="95" spans="2:6" x14ac:dyDescent="0.35">
      <c r="B95" s="43">
        <v>108</v>
      </c>
      <c r="C95" s="47">
        <v>0.74</v>
      </c>
      <c r="D95" s="2">
        <v>6.26</v>
      </c>
      <c r="E95" s="52" t="s">
        <v>122</v>
      </c>
      <c r="F95" s="6" t="s">
        <v>203</v>
      </c>
    </row>
    <row r="96" spans="2:6" x14ac:dyDescent="0.35">
      <c r="B96" s="43">
        <v>109</v>
      </c>
      <c r="C96" s="47">
        <v>1.07</v>
      </c>
      <c r="D96" s="2">
        <v>2.34</v>
      </c>
      <c r="E96" s="52" t="s">
        <v>122</v>
      </c>
      <c r="F96" s="6" t="s">
        <v>204</v>
      </c>
    </row>
    <row r="97" spans="1:6" x14ac:dyDescent="0.35">
      <c r="B97" s="43">
        <v>110</v>
      </c>
      <c r="C97" s="47">
        <v>0.22</v>
      </c>
      <c r="D97" s="2">
        <v>2.34</v>
      </c>
      <c r="E97" s="52" t="s">
        <v>122</v>
      </c>
      <c r="F97" s="6" t="s">
        <v>205</v>
      </c>
    </row>
    <row r="98" spans="1:6" x14ac:dyDescent="0.35">
      <c r="B98" s="43">
        <v>111</v>
      </c>
      <c r="C98" s="47">
        <v>1.17</v>
      </c>
      <c r="D98" s="2">
        <v>23.65</v>
      </c>
      <c r="E98" s="52" t="s">
        <v>122</v>
      </c>
      <c r="F98" s="6" t="s">
        <v>206</v>
      </c>
    </row>
    <row r="99" spans="1:6" x14ac:dyDescent="0.35">
      <c r="B99" s="43">
        <v>112</v>
      </c>
      <c r="C99" s="47">
        <v>0.2</v>
      </c>
      <c r="D99" s="2">
        <v>0.48</v>
      </c>
      <c r="E99" s="52"/>
      <c r="F99" s="6" t="s">
        <v>207</v>
      </c>
    </row>
    <row r="100" spans="1:6" x14ac:dyDescent="0.35">
      <c r="B100" s="43">
        <v>113</v>
      </c>
      <c r="C100" s="47">
        <v>0.22</v>
      </c>
      <c r="D100" s="2">
        <v>8.8699999999999992</v>
      </c>
      <c r="E100" s="52" t="s">
        <v>122</v>
      </c>
      <c r="F100" s="6" t="s">
        <v>208</v>
      </c>
    </row>
    <row r="101" spans="1:6" x14ac:dyDescent="0.35">
      <c r="B101" s="43">
        <v>115</v>
      </c>
      <c r="C101" s="47">
        <v>0.24</v>
      </c>
      <c r="D101" s="2">
        <v>2.75</v>
      </c>
      <c r="E101" s="52" t="s">
        <v>122</v>
      </c>
      <c r="F101" s="6" t="s">
        <v>209</v>
      </c>
    </row>
    <row r="102" spans="1:6" x14ac:dyDescent="0.35">
      <c r="B102" s="43">
        <v>116</v>
      </c>
      <c r="C102" s="47">
        <v>0.3</v>
      </c>
      <c r="D102" s="2">
        <v>1.25</v>
      </c>
      <c r="E102" s="52"/>
      <c r="F102" s="6" t="s">
        <v>210</v>
      </c>
    </row>
    <row r="103" spans="1:6" x14ac:dyDescent="0.35">
      <c r="B103" s="43">
        <v>117</v>
      </c>
      <c r="C103" s="47">
        <v>0.99</v>
      </c>
      <c r="D103" s="2">
        <v>21.77</v>
      </c>
      <c r="E103" s="52" t="s">
        <v>122</v>
      </c>
      <c r="F103" s="6" t="s">
        <v>211</v>
      </c>
    </row>
    <row r="104" spans="1:6" x14ac:dyDescent="0.35">
      <c r="B104" s="43">
        <v>118</v>
      </c>
      <c r="C104" s="47">
        <v>0.3</v>
      </c>
      <c r="D104" s="2">
        <v>17.75</v>
      </c>
      <c r="E104" s="52" t="s">
        <v>122</v>
      </c>
      <c r="F104" s="6" t="s">
        <v>212</v>
      </c>
    </row>
    <row r="105" spans="1:6" x14ac:dyDescent="0.35">
      <c r="B105" s="43">
        <v>119</v>
      </c>
      <c r="C105" s="47">
        <v>1.06</v>
      </c>
      <c r="D105" s="2">
        <v>11.08</v>
      </c>
      <c r="E105" s="52" t="s">
        <v>122</v>
      </c>
      <c r="F105" s="6" t="s">
        <v>213</v>
      </c>
    </row>
    <row r="106" spans="1:6" x14ac:dyDescent="0.35">
      <c r="B106" s="44">
        <v>120</v>
      </c>
      <c r="C106" s="48">
        <v>0.97</v>
      </c>
      <c r="D106" s="4">
        <v>7.6</v>
      </c>
      <c r="E106" s="53" t="s">
        <v>122</v>
      </c>
      <c r="F106" s="7" t="s">
        <v>214</v>
      </c>
    </row>
    <row r="107" spans="1:6" x14ac:dyDescent="0.35">
      <c r="B107" s="8"/>
      <c r="C107" s="8"/>
      <c r="D107" s="8"/>
      <c r="E107" s="8"/>
      <c r="F107" s="8"/>
    </row>
    <row r="108" spans="1:6" x14ac:dyDescent="0.35">
      <c r="B108" s="8"/>
      <c r="C108" s="8"/>
      <c r="D108" s="8"/>
      <c r="E108" s="8"/>
      <c r="F108" s="8"/>
    </row>
    <row r="109" spans="1:6" x14ac:dyDescent="0.35">
      <c r="A109" s="37"/>
      <c r="B109" s="2"/>
      <c r="C109" s="2"/>
      <c r="D109" s="2"/>
      <c r="E109" s="2"/>
      <c r="F109" s="2"/>
    </row>
    <row r="110" spans="1:6" x14ac:dyDescent="0.35">
      <c r="A110" s="38" t="s">
        <v>164</v>
      </c>
      <c r="B110" s="2"/>
      <c r="C110" s="2"/>
      <c r="D110" s="2"/>
      <c r="E110" s="2"/>
      <c r="F110" s="2"/>
    </row>
    <row r="111" spans="1:6" ht="20" x14ac:dyDescent="0.4">
      <c r="B111" s="55" t="s">
        <v>165</v>
      </c>
      <c r="C111" s="2"/>
      <c r="D111" s="2"/>
      <c r="E111" s="2"/>
      <c r="F111" s="2"/>
    </row>
    <row r="112" spans="1:6" x14ac:dyDescent="0.35">
      <c r="B112" s="8"/>
      <c r="C112" s="8"/>
      <c r="D112" s="8"/>
      <c r="E112" s="8"/>
      <c r="F112" s="8"/>
    </row>
    <row r="113" spans="2:6" x14ac:dyDescent="0.35">
      <c r="B113" s="41" t="s">
        <v>116</v>
      </c>
      <c r="C113" s="45" t="s">
        <v>117</v>
      </c>
      <c r="D113" s="49" t="s">
        <v>118</v>
      </c>
      <c r="E113" s="50"/>
      <c r="F113" s="54" t="s">
        <v>119</v>
      </c>
    </row>
    <row r="114" spans="2:6" x14ac:dyDescent="0.35">
      <c r="B114" s="43">
        <v>121</v>
      </c>
      <c r="C114" s="47">
        <v>0.94</v>
      </c>
      <c r="D114" s="2">
        <v>10.79</v>
      </c>
      <c r="E114" s="52" t="s">
        <v>122</v>
      </c>
      <c r="F114" s="6" t="s">
        <v>215</v>
      </c>
    </row>
    <row r="115" spans="2:6" x14ac:dyDescent="0.35">
      <c r="B115" s="43">
        <v>122</v>
      </c>
      <c r="C115" s="47">
        <v>0.79</v>
      </c>
      <c r="D115" s="2">
        <v>8.01</v>
      </c>
      <c r="E115" s="52" t="s">
        <v>122</v>
      </c>
      <c r="F115" s="6" t="s">
        <v>216</v>
      </c>
    </row>
    <row r="116" spans="2:6" x14ac:dyDescent="0.35">
      <c r="B116" s="43">
        <v>123</v>
      </c>
      <c r="C116" s="47">
        <v>0.69</v>
      </c>
      <c r="D116" s="2">
        <v>7.05</v>
      </c>
      <c r="E116" s="52" t="s">
        <v>122</v>
      </c>
      <c r="F116" s="6" t="s">
        <v>217</v>
      </c>
    </row>
    <row r="117" spans="2:6" x14ac:dyDescent="0.35">
      <c r="B117" s="43">
        <v>124</v>
      </c>
      <c r="C117" s="47">
        <v>0.26</v>
      </c>
      <c r="D117" s="2">
        <v>2.77</v>
      </c>
      <c r="E117" s="52" t="s">
        <v>122</v>
      </c>
      <c r="F117" s="6" t="s">
        <v>218</v>
      </c>
    </row>
    <row r="118" spans="2:6" x14ac:dyDescent="0.35">
      <c r="B118" s="43">
        <v>125</v>
      </c>
      <c r="C118" s="47">
        <v>0.83</v>
      </c>
      <c r="D118" s="2">
        <v>10.89</v>
      </c>
      <c r="E118" s="52" t="s">
        <v>122</v>
      </c>
      <c r="F118" s="6" t="s">
        <v>219</v>
      </c>
    </row>
    <row r="119" spans="2:6" x14ac:dyDescent="0.35">
      <c r="B119" s="43">
        <v>127</v>
      </c>
      <c r="C119" s="47">
        <v>0.85</v>
      </c>
      <c r="D119" s="2">
        <v>5.6</v>
      </c>
      <c r="E119" s="52" t="s">
        <v>122</v>
      </c>
      <c r="F119" s="6" t="s">
        <v>220</v>
      </c>
    </row>
    <row r="120" spans="2:6" x14ac:dyDescent="0.35">
      <c r="B120" s="43">
        <v>128</v>
      </c>
      <c r="C120" s="47">
        <v>1.22</v>
      </c>
      <c r="D120" s="2">
        <v>9.67</v>
      </c>
      <c r="E120" s="52" t="s">
        <v>122</v>
      </c>
      <c r="F120" s="6" t="s">
        <v>221</v>
      </c>
    </row>
    <row r="121" spans="2:6" x14ac:dyDescent="0.35">
      <c r="B121" s="43">
        <v>129</v>
      </c>
      <c r="C121" s="47">
        <v>0.2</v>
      </c>
      <c r="D121" s="2">
        <v>2.13</v>
      </c>
      <c r="E121" s="52" t="s">
        <v>122</v>
      </c>
      <c r="F121" s="6" t="s">
        <v>222</v>
      </c>
    </row>
    <row r="122" spans="2:6" x14ac:dyDescent="0.35">
      <c r="B122" s="43">
        <v>130</v>
      </c>
      <c r="C122" s="47">
        <v>0.72</v>
      </c>
      <c r="D122" s="2">
        <v>3.3</v>
      </c>
      <c r="E122" s="52" t="s">
        <v>122</v>
      </c>
      <c r="F122" s="6" t="s">
        <v>223</v>
      </c>
    </row>
    <row r="123" spans="2:6" x14ac:dyDescent="0.35">
      <c r="B123" s="43">
        <v>131</v>
      </c>
      <c r="C123" s="47">
        <v>2.69</v>
      </c>
      <c r="D123" s="2">
        <v>2.6</v>
      </c>
      <c r="E123" s="52" t="s">
        <v>122</v>
      </c>
      <c r="F123" s="6" t="s">
        <v>224</v>
      </c>
    </row>
    <row r="124" spans="2:6" x14ac:dyDescent="0.35">
      <c r="B124" s="43">
        <v>132</v>
      </c>
      <c r="C124" s="47">
        <v>1.1299999999999999</v>
      </c>
      <c r="D124" s="2">
        <v>5.91</v>
      </c>
      <c r="E124" s="52" t="s">
        <v>122</v>
      </c>
      <c r="F124" s="6" t="s">
        <v>225</v>
      </c>
    </row>
    <row r="125" spans="2:6" x14ac:dyDescent="0.35">
      <c r="B125" s="43">
        <v>133</v>
      </c>
      <c r="C125" s="47">
        <v>1.01</v>
      </c>
      <c r="D125" s="2">
        <v>19.66</v>
      </c>
      <c r="E125" s="52" t="s">
        <v>122</v>
      </c>
      <c r="F125" s="6" t="s">
        <v>226</v>
      </c>
    </row>
    <row r="126" spans="2:6" x14ac:dyDescent="0.35">
      <c r="B126" s="43">
        <v>134</v>
      </c>
      <c r="C126" s="47">
        <v>1.97</v>
      </c>
      <c r="D126" s="2">
        <v>11.77</v>
      </c>
      <c r="E126" s="52" t="s">
        <v>122</v>
      </c>
      <c r="F126" s="6" t="s">
        <v>227</v>
      </c>
    </row>
    <row r="127" spans="2:6" x14ac:dyDescent="0.35">
      <c r="B127" s="43">
        <v>135</v>
      </c>
      <c r="C127" s="47">
        <v>1.99</v>
      </c>
      <c r="D127" s="2">
        <v>3.92</v>
      </c>
      <c r="E127" s="52" t="s">
        <v>122</v>
      </c>
      <c r="F127" s="6" t="s">
        <v>228</v>
      </c>
    </row>
    <row r="128" spans="2:6" x14ac:dyDescent="0.35">
      <c r="B128" s="43">
        <v>136</v>
      </c>
      <c r="C128" s="47">
        <v>0.09</v>
      </c>
      <c r="D128" s="2">
        <v>1.1200000000000001</v>
      </c>
      <c r="E128" s="52"/>
      <c r="F128" s="6" t="s">
        <v>229</v>
      </c>
    </row>
    <row r="129" spans="2:6" x14ac:dyDescent="0.35">
      <c r="B129" s="43">
        <v>137</v>
      </c>
      <c r="C129" s="47">
        <v>0.82</v>
      </c>
      <c r="D129" s="2">
        <v>3.59</v>
      </c>
      <c r="E129" s="52" t="s">
        <v>122</v>
      </c>
      <c r="F129" s="6" t="s">
        <v>230</v>
      </c>
    </row>
    <row r="130" spans="2:6" x14ac:dyDescent="0.35">
      <c r="B130" s="43">
        <v>138</v>
      </c>
      <c r="C130" s="47">
        <v>1.41</v>
      </c>
      <c r="D130" s="2">
        <v>3.52</v>
      </c>
      <c r="E130" s="52" t="s">
        <v>122</v>
      </c>
      <c r="F130" s="6" t="s">
        <v>231</v>
      </c>
    </row>
    <row r="131" spans="2:6" x14ac:dyDescent="0.35">
      <c r="B131" s="43">
        <v>139</v>
      </c>
      <c r="C131" s="47">
        <v>0.63</v>
      </c>
      <c r="D131" s="2">
        <v>4.18</v>
      </c>
      <c r="E131" s="52" t="s">
        <v>122</v>
      </c>
      <c r="F131" s="6" t="s">
        <v>232</v>
      </c>
    </row>
    <row r="132" spans="2:6" x14ac:dyDescent="0.35">
      <c r="B132" s="43">
        <v>140</v>
      </c>
      <c r="C132" s="47">
        <v>1.42</v>
      </c>
      <c r="D132" s="2">
        <v>16.54</v>
      </c>
      <c r="E132" s="52" t="s">
        <v>122</v>
      </c>
      <c r="F132" s="6" t="s">
        <v>233</v>
      </c>
    </row>
    <row r="133" spans="2:6" x14ac:dyDescent="0.35">
      <c r="B133" s="43">
        <v>141</v>
      </c>
      <c r="C133" s="47">
        <v>0.62</v>
      </c>
      <c r="D133" s="2">
        <v>9.8000000000000007</v>
      </c>
      <c r="E133" s="52" t="s">
        <v>122</v>
      </c>
      <c r="F133" s="6" t="s">
        <v>234</v>
      </c>
    </row>
    <row r="134" spans="2:6" x14ac:dyDescent="0.35">
      <c r="B134" s="43">
        <v>143</v>
      </c>
      <c r="C134" s="47">
        <v>2.65</v>
      </c>
      <c r="D134" s="2">
        <v>11.6</v>
      </c>
      <c r="E134" s="52" t="s">
        <v>122</v>
      </c>
      <c r="F134" s="6" t="s">
        <v>235</v>
      </c>
    </row>
    <row r="135" spans="2:6" x14ac:dyDescent="0.35">
      <c r="B135" s="43">
        <v>144</v>
      </c>
      <c r="C135" s="47">
        <v>0.36</v>
      </c>
      <c r="D135" s="2">
        <v>5.99</v>
      </c>
      <c r="E135" s="52" t="s">
        <v>122</v>
      </c>
      <c r="F135" s="6" t="s">
        <v>236</v>
      </c>
    </row>
    <row r="136" spans="2:6" x14ac:dyDescent="0.35">
      <c r="B136" s="43">
        <v>145</v>
      </c>
      <c r="C136" s="47">
        <v>1.1599999999999999</v>
      </c>
      <c r="D136" s="2">
        <v>12.02</v>
      </c>
      <c r="E136" s="52" t="s">
        <v>122</v>
      </c>
      <c r="F136" s="6" t="s">
        <v>237</v>
      </c>
    </row>
    <row r="137" spans="2:6" x14ac:dyDescent="0.35">
      <c r="B137" s="43">
        <v>146</v>
      </c>
      <c r="C137" s="47">
        <v>0.76</v>
      </c>
      <c r="D137" s="2">
        <v>3.3</v>
      </c>
      <c r="E137" s="52" t="s">
        <v>122</v>
      </c>
      <c r="F137" s="6" t="s">
        <v>238</v>
      </c>
    </row>
    <row r="138" spans="2:6" x14ac:dyDescent="0.35">
      <c r="B138" s="43">
        <v>147</v>
      </c>
      <c r="C138" s="47">
        <v>0.62</v>
      </c>
      <c r="D138" s="2">
        <v>3.24</v>
      </c>
      <c r="E138" s="52" t="s">
        <v>122</v>
      </c>
      <c r="F138" s="6" t="s">
        <v>239</v>
      </c>
    </row>
    <row r="139" spans="2:6" x14ac:dyDescent="0.35">
      <c r="B139" s="43">
        <v>149</v>
      </c>
      <c r="C139" s="47">
        <v>0.3</v>
      </c>
      <c r="D139" s="2">
        <v>2.4700000000000002</v>
      </c>
      <c r="E139" s="52" t="s">
        <v>122</v>
      </c>
      <c r="F139" s="6" t="s">
        <v>240</v>
      </c>
    </row>
    <row r="140" spans="2:6" x14ac:dyDescent="0.35">
      <c r="B140" s="43">
        <v>150</v>
      </c>
      <c r="C140" s="47">
        <v>0.92</v>
      </c>
      <c r="D140" s="2">
        <v>5.07</v>
      </c>
      <c r="E140" s="52" t="s">
        <v>122</v>
      </c>
      <c r="F140" s="6" t="s">
        <v>241</v>
      </c>
    </row>
    <row r="141" spans="2:6" x14ac:dyDescent="0.35">
      <c r="B141" s="43">
        <v>151</v>
      </c>
      <c r="C141" s="47">
        <v>1.73</v>
      </c>
      <c r="D141" s="2">
        <v>6.3</v>
      </c>
      <c r="E141" s="52" t="s">
        <v>122</v>
      </c>
      <c r="F141" s="6" t="s">
        <v>242</v>
      </c>
    </row>
    <row r="142" spans="2:6" x14ac:dyDescent="0.35">
      <c r="B142" s="43">
        <v>153</v>
      </c>
      <c r="C142" s="47">
        <v>0.65</v>
      </c>
      <c r="D142" s="2">
        <v>2.31</v>
      </c>
      <c r="E142" s="52" t="s">
        <v>122</v>
      </c>
      <c r="F142" s="6" t="s">
        <v>243</v>
      </c>
    </row>
    <row r="143" spans="2:6" x14ac:dyDescent="0.35">
      <c r="B143" s="43">
        <v>155</v>
      </c>
      <c r="C143" s="47">
        <v>0.89</v>
      </c>
      <c r="D143" s="2">
        <v>1.64</v>
      </c>
      <c r="E143" s="52"/>
      <c r="F143" s="6" t="s">
        <v>244</v>
      </c>
    </row>
    <row r="144" spans="2:6" x14ac:dyDescent="0.35">
      <c r="B144" s="43">
        <v>157</v>
      </c>
      <c r="C144" s="47">
        <v>0.89</v>
      </c>
      <c r="D144" s="2">
        <v>22.52</v>
      </c>
      <c r="E144" s="52" t="s">
        <v>122</v>
      </c>
      <c r="F144" s="6" t="s">
        <v>245</v>
      </c>
    </row>
    <row r="145" spans="2:6" x14ac:dyDescent="0.35">
      <c r="B145" s="43">
        <v>158</v>
      </c>
      <c r="C145" s="47">
        <v>1.05</v>
      </c>
      <c r="D145" s="2">
        <v>18.18</v>
      </c>
      <c r="E145" s="52" t="s">
        <v>122</v>
      </c>
      <c r="F145" s="6" t="s">
        <v>246</v>
      </c>
    </row>
    <row r="146" spans="2:6" x14ac:dyDescent="0.35">
      <c r="B146" s="43">
        <v>159</v>
      </c>
      <c r="C146" s="47">
        <v>0.66</v>
      </c>
      <c r="D146" s="2">
        <v>2.61</v>
      </c>
      <c r="E146" s="52" t="s">
        <v>122</v>
      </c>
      <c r="F146" s="6" t="s">
        <v>247</v>
      </c>
    </row>
    <row r="147" spans="2:6" x14ac:dyDescent="0.35">
      <c r="B147" s="43">
        <v>160</v>
      </c>
      <c r="C147" s="47">
        <v>0.28000000000000003</v>
      </c>
      <c r="D147" s="2">
        <v>2.2599999999999998</v>
      </c>
      <c r="E147" s="52" t="s">
        <v>122</v>
      </c>
      <c r="F147" s="6" t="s">
        <v>248</v>
      </c>
    </row>
    <row r="148" spans="2:6" x14ac:dyDescent="0.35">
      <c r="B148" s="44">
        <v>162</v>
      </c>
      <c r="C148" s="48">
        <v>0.14000000000000001</v>
      </c>
      <c r="D148" s="4">
        <v>4.13</v>
      </c>
      <c r="E148" s="53" t="s">
        <v>122</v>
      </c>
      <c r="F148" s="7" t="s">
        <v>249</v>
      </c>
    </row>
    <row r="149" spans="2:6" x14ac:dyDescent="0.35">
      <c r="B149" s="2"/>
      <c r="C149" s="2"/>
      <c r="D149" s="2"/>
      <c r="E149" s="2"/>
      <c r="F149" s="2"/>
    </row>
    <row r="150" spans="2:6" x14ac:dyDescent="0.35">
      <c r="B150" s="2" t="s">
        <v>250</v>
      </c>
      <c r="C150" s="2"/>
      <c r="D150" s="2"/>
      <c r="E150" s="2"/>
      <c r="F150" s="2"/>
    </row>
    <row r="151" spans="2:6" x14ac:dyDescent="0.35">
      <c r="B151" s="2" t="s">
        <v>251</v>
      </c>
      <c r="C151" s="2"/>
      <c r="D151" s="2"/>
      <c r="E151" s="2"/>
      <c r="F151" s="2"/>
    </row>
    <row r="152" spans="2:6" x14ac:dyDescent="0.35">
      <c r="B152" s="2"/>
      <c r="C152" s="2"/>
      <c r="D152" s="2"/>
      <c r="E152" s="2"/>
      <c r="F152" s="2"/>
    </row>
    <row r="153" spans="2:6" x14ac:dyDescent="0.35">
      <c r="B153" s="2" t="s">
        <v>252</v>
      </c>
      <c r="C153" s="40"/>
      <c r="D153" s="40"/>
      <c r="E153" s="40"/>
    </row>
    <row r="154" spans="2:6" x14ac:dyDescent="0.35">
      <c r="B154" s="2" t="s">
        <v>253</v>
      </c>
      <c r="C154" s="40"/>
      <c r="D154" s="40"/>
      <c r="E154" s="40"/>
    </row>
    <row r="155" spans="2:6" x14ac:dyDescent="0.35">
      <c r="B155" s="2" t="s">
        <v>254</v>
      </c>
      <c r="C155" s="40"/>
      <c r="D155" s="40"/>
      <c r="E155" s="40"/>
    </row>
    <row r="156" spans="2:6" x14ac:dyDescent="0.35">
      <c r="C156" s="40"/>
      <c r="D156" s="40"/>
      <c r="E156" s="40"/>
    </row>
  </sheetData>
  <pageMargins left="0.78888888888888897" right="0.59513888888888888" top="0.83333333333333337" bottom="0.71250000000000002" header="0.33333333333333337" footer="0.21249999999999999"/>
  <pageSetup orientation="portrait" horizontalDpi="30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Introduction</vt:lpstr>
      <vt:lpstr>Results Chart</vt:lpstr>
      <vt:lpstr>The Model</vt:lpstr>
      <vt:lpstr>Armington elasticities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1998-08-12T03:38:21Z</dcterms:created>
  <dcterms:modified xsi:type="dcterms:W3CDTF">2020-01-27T11:15:30Z</dcterms:modified>
</cp:coreProperties>
</file>