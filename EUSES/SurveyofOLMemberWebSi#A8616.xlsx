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4C8410-9934-4883-B128-DA1D5E796172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H3" i="1"/>
  <c r="J3" i="1"/>
  <c r="K3" i="1" s="1"/>
  <c r="N3" i="1"/>
  <c r="Q3" i="1"/>
  <c r="T3" i="1"/>
  <c r="V3" i="1"/>
  <c r="W3" i="1"/>
  <c r="Y3" i="1"/>
  <c r="Z3" i="1" s="1"/>
  <c r="E4" i="1"/>
  <c r="H4" i="1"/>
  <c r="J4" i="1"/>
  <c r="K4" i="1"/>
  <c r="N4" i="1"/>
  <c r="Q4" i="1"/>
  <c r="T4" i="1"/>
  <c r="V4" i="1"/>
  <c r="W4" i="1"/>
  <c r="Y4" i="1"/>
  <c r="Z4" i="1" s="1"/>
  <c r="E5" i="1"/>
  <c r="H5" i="1"/>
  <c r="J5" i="1"/>
  <c r="K5" i="1"/>
  <c r="N5" i="1"/>
  <c r="Q5" i="1"/>
  <c r="T5" i="1"/>
  <c r="V5" i="1"/>
  <c r="W5" i="1" s="1"/>
  <c r="Y5" i="1"/>
  <c r="Z5" i="1" s="1"/>
  <c r="E6" i="1"/>
  <c r="H6" i="1"/>
  <c r="J6" i="1"/>
  <c r="K6" i="1" s="1"/>
  <c r="N6" i="1"/>
  <c r="Q6" i="1"/>
  <c r="T6" i="1"/>
  <c r="V6" i="1"/>
  <c r="W6" i="1" s="1"/>
  <c r="Y6" i="1"/>
  <c r="Z6" i="1" s="1"/>
  <c r="E7" i="1"/>
  <c r="H7" i="1"/>
  <c r="J7" i="1"/>
  <c r="K7" i="1" s="1"/>
  <c r="N7" i="1"/>
  <c r="Q7" i="1"/>
  <c r="T7" i="1"/>
  <c r="V7" i="1"/>
  <c r="W7" i="1" s="1"/>
  <c r="Y7" i="1"/>
  <c r="Z7" i="1"/>
  <c r="E8" i="1"/>
  <c r="H8" i="1"/>
  <c r="J8" i="1"/>
  <c r="K8" i="1"/>
  <c r="N8" i="1"/>
  <c r="Q8" i="1"/>
  <c r="T8" i="1"/>
  <c r="V8" i="1"/>
  <c r="W8" i="1" s="1"/>
  <c r="Y8" i="1"/>
  <c r="Z8" i="1"/>
  <c r="E9" i="1"/>
  <c r="H9" i="1"/>
  <c r="J9" i="1"/>
  <c r="K9" i="1"/>
  <c r="N9" i="1"/>
  <c r="Q9" i="1"/>
  <c r="T9" i="1"/>
  <c r="V9" i="1"/>
  <c r="W9" i="1"/>
  <c r="Y9" i="1"/>
  <c r="Z9" i="1" s="1"/>
  <c r="E10" i="1"/>
  <c r="H10" i="1"/>
  <c r="J10" i="1"/>
  <c r="K10" i="1" s="1"/>
  <c r="N10" i="1"/>
  <c r="Q10" i="1"/>
  <c r="T10" i="1"/>
  <c r="V10" i="1"/>
  <c r="W10" i="1"/>
  <c r="Y10" i="1"/>
  <c r="Z10" i="1"/>
  <c r="E11" i="1"/>
  <c r="H11" i="1"/>
  <c r="J11" i="1"/>
  <c r="K11" i="1"/>
  <c r="N11" i="1"/>
  <c r="Q11" i="1"/>
  <c r="T11" i="1"/>
  <c r="V11" i="1"/>
  <c r="W11" i="1" s="1"/>
  <c r="Y11" i="1"/>
  <c r="Z11" i="1"/>
  <c r="E12" i="1"/>
  <c r="H12" i="1"/>
  <c r="J12" i="1"/>
  <c r="K12" i="1"/>
  <c r="N12" i="1"/>
  <c r="Q12" i="1"/>
  <c r="T12" i="1"/>
  <c r="V12" i="1"/>
  <c r="W12" i="1"/>
  <c r="Y12" i="1"/>
  <c r="Z12" i="1"/>
  <c r="E13" i="1"/>
  <c r="H13" i="1"/>
  <c r="J13" i="1"/>
  <c r="K13" i="1"/>
  <c r="N13" i="1"/>
  <c r="Q13" i="1"/>
  <c r="T13" i="1"/>
  <c r="V13" i="1"/>
  <c r="W13" i="1"/>
  <c r="Y13" i="1"/>
  <c r="Z13" i="1" s="1"/>
  <c r="E14" i="1"/>
  <c r="H14" i="1"/>
  <c r="J14" i="1"/>
  <c r="K14" i="1"/>
  <c r="N14" i="1"/>
  <c r="Q14" i="1"/>
  <c r="T14" i="1"/>
  <c r="V14" i="1"/>
  <c r="W14" i="1"/>
  <c r="Y14" i="1"/>
  <c r="Z14" i="1"/>
  <c r="E15" i="1"/>
  <c r="H15" i="1"/>
  <c r="J15" i="1"/>
  <c r="K15" i="1"/>
  <c r="N15" i="1"/>
  <c r="Q15" i="1"/>
  <c r="T15" i="1"/>
  <c r="V15" i="1"/>
  <c r="W15" i="1" s="1"/>
  <c r="Y15" i="1"/>
  <c r="Z15" i="1"/>
  <c r="E16" i="1"/>
  <c r="H16" i="1"/>
  <c r="J16" i="1"/>
  <c r="K16" i="1"/>
  <c r="N16" i="1"/>
  <c r="Q16" i="1"/>
  <c r="T16" i="1"/>
  <c r="V16" i="1"/>
  <c r="W16" i="1"/>
  <c r="Y16" i="1"/>
  <c r="Z16" i="1"/>
  <c r="E17" i="1"/>
  <c r="H17" i="1"/>
  <c r="J17" i="1"/>
  <c r="K17" i="1" s="1"/>
  <c r="N17" i="1"/>
  <c r="Q17" i="1"/>
  <c r="T17" i="1"/>
  <c r="V17" i="1"/>
  <c r="W17" i="1"/>
  <c r="Y17" i="1"/>
  <c r="Z17" i="1"/>
  <c r="E18" i="1"/>
  <c r="H18" i="1"/>
  <c r="J18" i="1"/>
  <c r="K18" i="1" s="1"/>
  <c r="N18" i="1"/>
  <c r="Q18" i="1"/>
  <c r="T18" i="1"/>
  <c r="V18" i="1"/>
  <c r="W18" i="1"/>
  <c r="Y18" i="1"/>
  <c r="Z18" i="1"/>
  <c r="E19" i="1"/>
  <c r="H19" i="1"/>
  <c r="J19" i="1"/>
  <c r="K19" i="1"/>
  <c r="N19" i="1"/>
  <c r="Q19" i="1"/>
  <c r="T19" i="1"/>
  <c r="V19" i="1"/>
  <c r="W19" i="1" s="1"/>
  <c r="Y19" i="1"/>
  <c r="Z19" i="1"/>
  <c r="E20" i="1"/>
  <c r="H20" i="1"/>
  <c r="J20" i="1"/>
  <c r="K20" i="1" s="1"/>
  <c r="N20" i="1"/>
  <c r="Q20" i="1"/>
  <c r="T20" i="1"/>
  <c r="V20" i="1"/>
  <c r="W20" i="1"/>
  <c r="Y20" i="1"/>
  <c r="Z20" i="1" s="1"/>
  <c r="E21" i="1"/>
  <c r="H21" i="1"/>
  <c r="J21" i="1"/>
  <c r="K21" i="1" s="1"/>
  <c r="N21" i="1"/>
  <c r="Q21" i="1"/>
  <c r="T21" i="1"/>
  <c r="V21" i="1"/>
  <c r="W21" i="1"/>
  <c r="Y21" i="1"/>
  <c r="Z21" i="1"/>
  <c r="E22" i="1"/>
  <c r="H22" i="1"/>
  <c r="J22" i="1"/>
  <c r="K22" i="1" s="1"/>
  <c r="N22" i="1"/>
  <c r="Q22" i="1"/>
  <c r="T22" i="1"/>
  <c r="V22" i="1"/>
  <c r="W22" i="1" s="1"/>
  <c r="Y22" i="1"/>
  <c r="Z22" i="1"/>
  <c r="E23" i="1"/>
  <c r="H23" i="1"/>
  <c r="J23" i="1"/>
  <c r="K23" i="1" s="1"/>
  <c r="N23" i="1"/>
  <c r="Q23" i="1"/>
  <c r="T23" i="1"/>
  <c r="V23" i="1"/>
  <c r="W23" i="1"/>
  <c r="Y23" i="1"/>
  <c r="Z23" i="1" s="1"/>
  <c r="E24" i="1"/>
  <c r="H24" i="1"/>
  <c r="J24" i="1"/>
  <c r="K24" i="1"/>
  <c r="N24" i="1"/>
  <c r="Q24" i="1"/>
  <c r="T24" i="1"/>
  <c r="V24" i="1"/>
  <c r="W24" i="1"/>
  <c r="Y24" i="1"/>
  <c r="Z24" i="1" s="1"/>
  <c r="E25" i="1"/>
  <c r="H25" i="1"/>
  <c r="J25" i="1"/>
  <c r="K25" i="1"/>
  <c r="N25" i="1"/>
  <c r="Q25" i="1"/>
  <c r="T25" i="1"/>
  <c r="V25" i="1"/>
  <c r="W25" i="1" s="1"/>
  <c r="Y25" i="1"/>
  <c r="Z25" i="1" s="1"/>
  <c r="E26" i="1"/>
  <c r="H26" i="1"/>
  <c r="J26" i="1"/>
  <c r="K26" i="1"/>
  <c r="N26" i="1"/>
  <c r="Q26" i="1"/>
  <c r="T26" i="1"/>
  <c r="V26" i="1"/>
  <c r="W26" i="1" s="1"/>
  <c r="Y26" i="1"/>
  <c r="Z26" i="1" s="1"/>
  <c r="E27" i="1"/>
  <c r="H27" i="1"/>
  <c r="J27" i="1"/>
  <c r="K27" i="1"/>
  <c r="N27" i="1"/>
  <c r="Q27" i="1"/>
  <c r="T27" i="1"/>
  <c r="V27" i="1"/>
  <c r="W27" i="1" s="1"/>
  <c r="Y27" i="1"/>
  <c r="Z27" i="1"/>
  <c r="E28" i="1"/>
  <c r="H28" i="1"/>
  <c r="J28" i="1"/>
  <c r="K28" i="1"/>
  <c r="N28" i="1"/>
  <c r="Q28" i="1"/>
  <c r="T28" i="1"/>
  <c r="V28" i="1"/>
  <c r="W28" i="1" s="1"/>
  <c r="Y28" i="1"/>
  <c r="Z28" i="1"/>
  <c r="E29" i="1"/>
  <c r="H29" i="1"/>
  <c r="J29" i="1"/>
  <c r="K29" i="1"/>
  <c r="N29" i="1"/>
  <c r="Q29" i="1"/>
  <c r="T29" i="1"/>
  <c r="V29" i="1"/>
  <c r="W29" i="1"/>
  <c r="Y29" i="1"/>
  <c r="Z29" i="1"/>
  <c r="E30" i="1"/>
  <c r="H30" i="1"/>
  <c r="J30" i="1"/>
  <c r="K30" i="1" s="1"/>
  <c r="N30" i="1"/>
  <c r="Q30" i="1"/>
  <c r="T30" i="1"/>
  <c r="V30" i="1"/>
  <c r="W30" i="1"/>
  <c r="Y30" i="1"/>
  <c r="Z30" i="1"/>
  <c r="E31" i="1"/>
  <c r="H31" i="1"/>
  <c r="J31" i="1"/>
  <c r="K31" i="1"/>
  <c r="N31" i="1"/>
  <c r="Q31" i="1"/>
  <c r="T31" i="1"/>
  <c r="V31" i="1"/>
  <c r="W31" i="1"/>
  <c r="Y31" i="1"/>
  <c r="Z31" i="1"/>
  <c r="E32" i="1"/>
  <c r="H32" i="1"/>
  <c r="J32" i="1"/>
  <c r="K32" i="1"/>
  <c r="N32" i="1"/>
  <c r="Q32" i="1"/>
  <c r="T32" i="1"/>
  <c r="V32" i="1"/>
  <c r="W32" i="1"/>
  <c r="Y32" i="1"/>
  <c r="Z32" i="1"/>
  <c r="E33" i="1"/>
  <c r="H33" i="1"/>
  <c r="J33" i="1"/>
  <c r="K33" i="1"/>
  <c r="N33" i="1"/>
  <c r="Q33" i="1"/>
  <c r="T33" i="1"/>
  <c r="V33" i="1"/>
  <c r="W33" i="1"/>
  <c r="Y33" i="1"/>
  <c r="Z33" i="1" s="1"/>
</calcChain>
</file>

<file path=xl/sharedStrings.xml><?xml version="1.0" encoding="utf-8"?>
<sst xmlns="http://schemas.openxmlformats.org/spreadsheetml/2006/main" count="58" uniqueCount="46">
  <si>
    <t>**For B and D/S, these libraries were included after item #3; for U, 4, and CC, they were not.</t>
  </si>
  <si>
    <t>Direct link to OhioLINK Subject Finders (not including link to database page)</t>
  </si>
  <si>
    <t>Direct link to “OhioLINK Instructional Web Sites” page</t>
  </si>
  <si>
    <t>Direct link to “Digital Media” page (includes DMC)</t>
  </si>
  <si>
    <t>Direct link to Digital Media Center (DMC)</t>
  </si>
  <si>
    <t>Direct link to  “Electronic Text Services” page (includes EJC)</t>
  </si>
  <si>
    <t>Direct link to Electronic Journal Center (EJC)</t>
  </si>
  <si>
    <t>Direct link to OhioLINK “Database Descriptions” page</t>
  </si>
  <si>
    <t>Direct link to “Using the Research Databases” page (list of guides)</t>
  </si>
  <si>
    <t>Individual OhioLINK databases linked from a locally built database page</t>
  </si>
  <si>
    <t>Direct link to OhioLINK “Research Databases” page</t>
  </si>
  <si>
    <t>Direct link to “New OhioLINK Services” page  (“What’s New”)</t>
  </si>
  <si>
    <t>Direct link to “OhioLINK Internet Services” page</t>
  </si>
  <si>
    <t>Direct link to “About OhioLINK” page</t>
  </si>
  <si>
    <t>Direct link to “OhioLINK Site Index” page</t>
  </si>
  <si>
    <t>Direct link to “OhioLINK Site Search” page</t>
  </si>
  <si>
    <t xml:space="preserve">Direct link to “OhioLINK Member Institutions” page </t>
  </si>
  <si>
    <t>Direct link to “Member catalogs” page</t>
  </si>
  <si>
    <t>Direct link to Central Catalog</t>
  </si>
  <si>
    <t>One link to OhioLINK plus (mainly)  link to main library/OPAL **</t>
  </si>
  <si>
    <t>NO use of OhioLINK</t>
  </si>
  <si>
    <t>One (and only one) direct link to the OhioLINK home page</t>
  </si>
  <si>
    <t>OhioLINK one click away from library home page</t>
  </si>
  <si>
    <t>OhioLINK on library home page (zero clicks)</t>
  </si>
  <si>
    <t>Logo</t>
  </si>
  <si>
    <t>Name</t>
  </si>
  <si>
    <t>OhioLINK name / logo used on institution’s pages</t>
  </si>
  <si>
    <t>% YES</t>
  </si>
  <si>
    <t># YES</t>
  </si>
  <si>
    <t>Survey Item</t>
  </si>
  <si>
    <r>
      <t xml:space="preserve">4 year Colleges </t>
    </r>
    <r>
      <rPr>
        <sz val="10"/>
        <rFont val="Arial"/>
        <family val="2"/>
      </rPr>
      <t>(n = 39)</t>
    </r>
  </si>
  <si>
    <r>
      <t xml:space="preserve">GRAND TOTAL </t>
    </r>
    <r>
      <rPr>
        <sz val="10"/>
        <rFont val="Arial"/>
        <family val="2"/>
      </rPr>
      <t>(n = 114)</t>
    </r>
  </si>
  <si>
    <r>
      <t xml:space="preserve">Universities </t>
    </r>
    <r>
      <rPr>
        <sz val="10"/>
        <rFont val="Arial"/>
        <family val="2"/>
      </rPr>
      <t>(n = 16)</t>
    </r>
  </si>
  <si>
    <t>%YES</t>
  </si>
  <si>
    <t>#YES</t>
  </si>
  <si>
    <r>
      <t xml:space="preserve">Branches </t>
    </r>
    <r>
      <rPr>
        <sz val="10"/>
        <rFont val="Arial"/>
        <family val="2"/>
      </rPr>
      <t>(n = 10)</t>
    </r>
  </si>
  <si>
    <r>
      <t>CC + Branches</t>
    </r>
    <r>
      <rPr>
        <sz val="10"/>
        <rFont val="Arial"/>
        <family val="2"/>
      </rPr>
      <t xml:space="preserve"> (n = 33)</t>
    </r>
  </si>
  <si>
    <r>
      <t xml:space="preserve">Comm Colleges </t>
    </r>
    <r>
      <rPr>
        <sz val="10"/>
        <rFont val="Arial"/>
        <family val="2"/>
      </rPr>
      <t>(n = 23)</t>
    </r>
  </si>
  <si>
    <r>
      <t>Dept/Special</t>
    </r>
    <r>
      <rPr>
        <sz val="10"/>
        <rFont val="Arial"/>
        <family val="2"/>
      </rPr>
      <t xml:space="preserve"> (n = 26)</t>
    </r>
  </si>
  <si>
    <r>
      <t xml:space="preserve">Univ + Dept </t>
    </r>
    <r>
      <rPr>
        <sz val="10"/>
        <rFont val="Arial"/>
        <family val="2"/>
      </rPr>
      <t>(n = 42)</t>
    </r>
  </si>
  <si>
    <t>Individual “Using the Research Databases” guides linked from local page</t>
  </si>
  <si>
    <t>Individual OhioLINK “Database Descriptions” pages linked from local page</t>
  </si>
  <si>
    <t>Individual resources from “Electronic Text Services” linked from local page</t>
  </si>
  <si>
    <t>Individual resources from the Digital Media page linked from local page</t>
  </si>
  <si>
    <t>Individual OhioLINK Instructional Web Sites linked from local page</t>
  </si>
  <si>
    <t>Compiled by Julie Rabine  /  Last revised:  6/21/00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</si>
</sst>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9" fontId="0" fillId="0" borderId="0" xfId="2" applyFont="1"/>
    <xf numFmtId="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1" fontId="0" fillId="0" borderId="0" xfId="2" applyNumberFormat="1" applyFont="1"/>
    <xf numFmtId="9" fontId="0" fillId="2" borderId="0" xfId="2" applyFont="1" applyFill="1"/>
    <xf numFmtId="9" fontId="0" fillId="2" borderId="0" xfId="0" applyNumberFormat="1" applyFill="1"/>
    <xf numFmtId="0" fontId="0" fillId="0" borderId="0" xfId="0" applyBorder="1"/>
    <xf numFmtId="9" fontId="0" fillId="2" borderId="0" xfId="2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9" fontId="0" fillId="2" borderId="4" xfId="2" applyFont="1" applyFill="1" applyBorder="1"/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9" fontId="0" fillId="3" borderId="5" xfId="2" applyFont="1" applyFill="1" applyBorder="1"/>
    <xf numFmtId="9" fontId="2" fillId="3" borderId="5" xfId="2" applyFont="1" applyFill="1" applyBorder="1" applyAlignment="1">
      <alignment horizontal="right"/>
    </xf>
    <xf numFmtId="9" fontId="2" fillId="3" borderId="5" xfId="0" applyNumberFormat="1" applyFont="1" applyFill="1" applyBorder="1" applyAlignment="1">
      <alignment horizontal="right"/>
    </xf>
    <xf numFmtId="9" fontId="0" fillId="3" borderId="5" xfId="0" applyNumberFormat="1" applyFill="1" applyBorder="1"/>
    <xf numFmtId="0" fontId="0" fillId="0" borderId="6" xfId="0" applyBorder="1"/>
    <xf numFmtId="0" fontId="0" fillId="0" borderId="7" xfId="0" applyBorder="1"/>
    <xf numFmtId="9" fontId="0" fillId="2" borderId="6" xfId="2" applyFont="1" applyFill="1" applyBorder="1"/>
    <xf numFmtId="9" fontId="0" fillId="2" borderId="7" xfId="2" applyFont="1" applyFill="1" applyBorder="1"/>
    <xf numFmtId="0" fontId="2" fillId="3" borderId="2" xfId="0" applyFont="1" applyFill="1" applyBorder="1" applyAlignment="1">
      <alignment horizontal="right"/>
    </xf>
    <xf numFmtId="0" fontId="2" fillId="3" borderId="8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9" fontId="2" fillId="0" borderId="4" xfId="0" applyNumberFormat="1" applyFont="1" applyBorder="1" applyAlignment="1">
      <alignment horizontal="right"/>
    </xf>
    <xf numFmtId="9" fontId="2" fillId="0" borderId="4" xfId="2" applyFont="1" applyBorder="1" applyAlignment="1">
      <alignment horizontal="right"/>
    </xf>
    <xf numFmtId="9" fontId="0" fillId="2" borderId="4" xfId="0" applyNumberFormat="1" applyFill="1" applyBorder="1"/>
    <xf numFmtId="1" fontId="0" fillId="0" borderId="3" xfId="2" applyNumberFormat="1" applyFont="1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3" borderId="10" xfId="0" applyFill="1" applyBorder="1" applyAlignment="1">
      <alignment horizontal="left"/>
    </xf>
    <xf numFmtId="0" fontId="2" fillId="0" borderId="6" xfId="0" applyFont="1" applyBorder="1" applyAlignment="1">
      <alignment horizontal="left"/>
    </xf>
    <xf numFmtId="9" fontId="0" fillId="0" borderId="6" xfId="2" applyFont="1" applyBorder="1" applyAlignment="1">
      <alignment horizontal="left"/>
    </xf>
    <xf numFmtId="9" fontId="0" fillId="3" borderId="10" xfId="2" applyFont="1" applyFill="1" applyBorder="1" applyAlignment="1">
      <alignment horizontal="left"/>
    </xf>
    <xf numFmtId="171" fontId="2" fillId="0" borderId="6" xfId="1" applyFont="1" applyBorder="1" applyAlignment="1">
      <alignment horizontal="left"/>
    </xf>
    <xf numFmtId="9" fontId="0" fillId="0" borderId="6" xfId="0" applyNumberFormat="1" applyBorder="1" applyAlignment="1">
      <alignment horizontal="left"/>
    </xf>
    <xf numFmtId="9" fontId="0" fillId="3" borderId="10" xfId="0" applyNumberForma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tabSelected="1" topLeftCell="D15" workbookViewId="0">
      <selection activeCell="J31" sqref="J31"/>
    </sheetView>
  </sheetViews>
  <sheetFormatPr defaultRowHeight="12.5" x14ac:dyDescent="0.25"/>
  <cols>
    <col min="1" max="1" width="3.08984375" customWidth="1"/>
    <col min="2" max="2" width="63.6328125" customWidth="1"/>
    <col min="3" max="3" width="1.90625" customWidth="1"/>
    <col min="4" max="4" width="12.6328125" customWidth="1"/>
    <col min="6" max="6" width="1.6328125" customWidth="1"/>
    <col min="7" max="7" width="12.6328125" customWidth="1"/>
    <col min="9" max="9" width="1.6328125" customWidth="1"/>
    <col min="10" max="10" width="12.6328125" customWidth="1"/>
    <col min="11" max="11" width="9.54296875" customWidth="1"/>
    <col min="12" max="12" width="1.6328125" customWidth="1"/>
    <col min="13" max="13" width="12.6328125" customWidth="1"/>
    <col min="15" max="15" width="1.6328125" customWidth="1"/>
    <col min="16" max="16" width="12.6328125" customWidth="1"/>
    <col min="18" max="18" width="1.6328125" customWidth="1"/>
    <col min="19" max="19" width="12.6328125" customWidth="1"/>
    <col min="21" max="21" width="1.6328125" customWidth="1"/>
    <col min="22" max="22" width="12.6328125" customWidth="1"/>
    <col min="23" max="23" width="9.36328125" customWidth="1"/>
    <col min="24" max="24" width="1.6328125" customWidth="1"/>
    <col min="25" max="25" width="12.6328125" customWidth="1"/>
    <col min="27" max="27" width="1.90625" customWidth="1"/>
  </cols>
  <sheetData>
    <row r="1" spans="1:27" ht="13.5" thickTop="1" x14ac:dyDescent="0.3">
      <c r="A1" s="39"/>
      <c r="B1" s="40"/>
      <c r="C1" s="41"/>
      <c r="D1" s="39" t="s">
        <v>32</v>
      </c>
      <c r="E1" s="41"/>
      <c r="F1" s="42"/>
      <c r="G1" s="43" t="s">
        <v>38</v>
      </c>
      <c r="H1" s="44"/>
      <c r="I1" s="45"/>
      <c r="J1" s="46" t="s">
        <v>39</v>
      </c>
      <c r="K1" s="47"/>
      <c r="L1" s="48"/>
      <c r="M1" s="43" t="s">
        <v>30</v>
      </c>
      <c r="N1" s="41"/>
      <c r="O1" s="42"/>
      <c r="P1" s="43" t="s">
        <v>37</v>
      </c>
      <c r="Q1" s="41"/>
      <c r="R1" s="42"/>
      <c r="S1" s="43" t="s">
        <v>35</v>
      </c>
      <c r="T1" s="41"/>
      <c r="U1" s="42"/>
      <c r="V1" s="43" t="s">
        <v>36</v>
      </c>
      <c r="W1" s="43"/>
      <c r="X1" s="49"/>
      <c r="Y1" s="43" t="s">
        <v>31</v>
      </c>
      <c r="Z1" s="40"/>
      <c r="AA1" s="16"/>
    </row>
    <row r="2" spans="1:27" s="6" customFormat="1" ht="13.5" thickBot="1" x14ac:dyDescent="0.35">
      <c r="A2" s="37"/>
      <c r="B2" s="38" t="s">
        <v>29</v>
      </c>
      <c r="C2" s="4"/>
      <c r="D2" s="29" t="s">
        <v>28</v>
      </c>
      <c r="E2" s="30" t="s">
        <v>27</v>
      </c>
      <c r="F2" s="18"/>
      <c r="G2" s="29" t="s">
        <v>28</v>
      </c>
      <c r="H2" s="32" t="s">
        <v>27</v>
      </c>
      <c r="I2" s="20"/>
      <c r="J2" s="29" t="s">
        <v>28</v>
      </c>
      <c r="K2" s="31" t="s">
        <v>27</v>
      </c>
      <c r="L2" s="21"/>
      <c r="M2" s="29" t="s">
        <v>28</v>
      </c>
      <c r="N2" s="30" t="s">
        <v>27</v>
      </c>
      <c r="O2" s="18"/>
      <c r="P2" s="29" t="s">
        <v>28</v>
      </c>
      <c r="Q2" s="30" t="s">
        <v>27</v>
      </c>
      <c r="R2" s="18"/>
      <c r="S2" s="29" t="s">
        <v>28</v>
      </c>
      <c r="T2" s="30" t="s">
        <v>27</v>
      </c>
      <c r="U2" s="27"/>
      <c r="V2" s="29" t="s">
        <v>34</v>
      </c>
      <c r="W2" s="30" t="s">
        <v>33</v>
      </c>
      <c r="X2" s="28"/>
      <c r="Y2" s="5" t="s">
        <v>28</v>
      </c>
      <c r="Z2" s="5" t="s">
        <v>27</v>
      </c>
      <c r="AA2" s="17"/>
    </row>
    <row r="3" spans="1:27" ht="13" thickTop="1" x14ac:dyDescent="0.25">
      <c r="A3" s="36">
        <v>1</v>
      </c>
      <c r="B3" s="35" t="s">
        <v>26</v>
      </c>
      <c r="D3" s="12">
        <v>16</v>
      </c>
      <c r="E3" s="8">
        <f t="shared" ref="E3:E33" si="0">D3/16</f>
        <v>1</v>
      </c>
      <c r="F3" s="19"/>
      <c r="G3">
        <v>26</v>
      </c>
      <c r="H3" s="8">
        <f t="shared" ref="H3:H33" si="1">G3/26</f>
        <v>1</v>
      </c>
      <c r="I3" s="19"/>
      <c r="J3">
        <f>D3+G3</f>
        <v>42</v>
      </c>
      <c r="K3" s="9">
        <f>J3/42</f>
        <v>1</v>
      </c>
      <c r="L3" s="22"/>
      <c r="M3">
        <v>37</v>
      </c>
      <c r="N3" s="8">
        <f t="shared" ref="N3:N33" si="2">M3/39</f>
        <v>0.94871794871794868</v>
      </c>
      <c r="O3" s="19"/>
      <c r="P3">
        <v>20</v>
      </c>
      <c r="Q3" s="8">
        <f t="shared" ref="Q3:Q33" si="3">P3/23</f>
        <v>0.86956521739130432</v>
      </c>
      <c r="R3" s="19"/>
      <c r="S3">
        <v>10</v>
      </c>
      <c r="T3" s="8">
        <f t="shared" ref="T3:T33" si="4">S3/10</f>
        <v>1</v>
      </c>
      <c r="U3" s="19"/>
      <c r="V3" s="7">
        <f>P3+S3</f>
        <v>30</v>
      </c>
      <c r="W3" s="8">
        <f>V3/33</f>
        <v>0.90909090909090906</v>
      </c>
      <c r="X3" s="19"/>
      <c r="Y3" s="23">
        <f t="shared" ref="Y3:Y33" si="5">D3+S3+G3+M3+P3</f>
        <v>109</v>
      </c>
      <c r="Z3" s="25">
        <f t="shared" ref="Z3:Z33" si="6">Y3/114</f>
        <v>0.95614035087719296</v>
      </c>
      <c r="AA3" s="13"/>
    </row>
    <row r="4" spans="1:27" x14ac:dyDescent="0.25">
      <c r="A4" s="36"/>
      <c r="B4" s="35" t="s">
        <v>25</v>
      </c>
      <c r="D4" s="13">
        <v>16</v>
      </c>
      <c r="E4" s="8">
        <f t="shared" si="0"/>
        <v>1</v>
      </c>
      <c r="F4" s="19"/>
      <c r="G4">
        <v>26</v>
      </c>
      <c r="H4" s="8">
        <f t="shared" si="1"/>
        <v>1</v>
      </c>
      <c r="I4" s="19"/>
      <c r="J4">
        <f t="shared" ref="J4:J33" si="7">D4+G4</f>
        <v>42</v>
      </c>
      <c r="K4" s="9">
        <f t="shared" ref="K4:K33" si="8">J4/42</f>
        <v>1</v>
      </c>
      <c r="L4" s="22"/>
      <c r="M4">
        <v>37</v>
      </c>
      <c r="N4" s="8">
        <f t="shared" si="2"/>
        <v>0.94871794871794868</v>
      </c>
      <c r="O4" s="19"/>
      <c r="P4">
        <v>20</v>
      </c>
      <c r="Q4" s="8">
        <f t="shared" si="3"/>
        <v>0.86956521739130432</v>
      </c>
      <c r="R4" s="19"/>
      <c r="S4">
        <v>10</v>
      </c>
      <c r="T4" s="8">
        <f t="shared" si="4"/>
        <v>1</v>
      </c>
      <c r="U4" s="19"/>
      <c r="V4" s="7">
        <f t="shared" ref="V4:V33" si="9">P4+S4</f>
        <v>30</v>
      </c>
      <c r="W4" s="8">
        <f t="shared" ref="W4:W33" si="10">V4/33</f>
        <v>0.90909090909090906</v>
      </c>
      <c r="X4" s="19"/>
      <c r="Y4" s="10">
        <f t="shared" si="5"/>
        <v>109</v>
      </c>
      <c r="Z4" s="11">
        <f t="shared" si="6"/>
        <v>0.95614035087719296</v>
      </c>
      <c r="AA4" s="13"/>
    </row>
    <row r="5" spans="1:27" x14ac:dyDescent="0.25">
      <c r="A5" s="36"/>
      <c r="B5" s="35" t="s">
        <v>24</v>
      </c>
      <c r="D5" s="13">
        <v>0</v>
      </c>
      <c r="E5" s="8">
        <f t="shared" si="0"/>
        <v>0</v>
      </c>
      <c r="F5" s="19"/>
      <c r="G5">
        <v>1</v>
      </c>
      <c r="H5" s="8">
        <f t="shared" si="1"/>
        <v>3.8461538461538464E-2</v>
      </c>
      <c r="I5" s="19"/>
      <c r="J5">
        <f t="shared" si="7"/>
        <v>1</v>
      </c>
      <c r="K5" s="9">
        <f t="shared" si="8"/>
        <v>2.3809523809523808E-2</v>
      </c>
      <c r="L5" s="22"/>
      <c r="M5">
        <v>1</v>
      </c>
      <c r="N5" s="8">
        <f t="shared" si="2"/>
        <v>2.564102564102564E-2</v>
      </c>
      <c r="O5" s="19"/>
      <c r="P5">
        <v>1</v>
      </c>
      <c r="Q5" s="8">
        <f t="shared" si="3"/>
        <v>4.3478260869565216E-2</v>
      </c>
      <c r="R5" s="19"/>
      <c r="S5">
        <v>0</v>
      </c>
      <c r="T5" s="8">
        <f t="shared" si="4"/>
        <v>0</v>
      </c>
      <c r="U5" s="19"/>
      <c r="V5" s="7">
        <f t="shared" si="9"/>
        <v>1</v>
      </c>
      <c r="W5" s="8">
        <f t="shared" si="10"/>
        <v>3.0303030303030304E-2</v>
      </c>
      <c r="X5" s="19"/>
      <c r="Y5" s="10">
        <f t="shared" si="5"/>
        <v>3</v>
      </c>
      <c r="Z5" s="11">
        <f t="shared" si="6"/>
        <v>2.6315789473684209E-2</v>
      </c>
      <c r="AA5" s="13"/>
    </row>
    <row r="6" spans="1:27" x14ac:dyDescent="0.25">
      <c r="A6" s="36"/>
      <c r="B6" s="35" t="s">
        <v>23</v>
      </c>
      <c r="D6" s="13">
        <v>13</v>
      </c>
      <c r="E6" s="8">
        <f t="shared" si="0"/>
        <v>0.8125</v>
      </c>
      <c r="F6" s="19"/>
      <c r="G6">
        <v>17</v>
      </c>
      <c r="H6" s="8">
        <f t="shared" si="1"/>
        <v>0.65384615384615385</v>
      </c>
      <c r="I6" s="19"/>
      <c r="J6">
        <f t="shared" si="7"/>
        <v>30</v>
      </c>
      <c r="K6" s="9">
        <f t="shared" si="8"/>
        <v>0.7142857142857143</v>
      </c>
      <c r="L6" s="22"/>
      <c r="M6">
        <v>28</v>
      </c>
      <c r="N6" s="8">
        <f t="shared" si="2"/>
        <v>0.71794871794871795</v>
      </c>
      <c r="O6" s="19"/>
      <c r="P6">
        <v>17</v>
      </c>
      <c r="Q6" s="8">
        <f t="shared" si="3"/>
        <v>0.73913043478260865</v>
      </c>
      <c r="R6" s="19"/>
      <c r="S6">
        <v>7</v>
      </c>
      <c r="T6" s="8">
        <f t="shared" si="4"/>
        <v>0.7</v>
      </c>
      <c r="U6" s="19"/>
      <c r="V6" s="7">
        <f t="shared" si="9"/>
        <v>24</v>
      </c>
      <c r="W6" s="8">
        <f t="shared" si="10"/>
        <v>0.72727272727272729</v>
      </c>
      <c r="X6" s="19"/>
      <c r="Y6" s="10">
        <f t="shared" si="5"/>
        <v>82</v>
      </c>
      <c r="Z6" s="11">
        <f t="shared" si="6"/>
        <v>0.7192982456140351</v>
      </c>
      <c r="AA6" s="13"/>
    </row>
    <row r="7" spans="1:27" x14ac:dyDescent="0.25">
      <c r="A7" s="36"/>
      <c r="B7" s="35" t="s">
        <v>22</v>
      </c>
      <c r="D7" s="13">
        <v>3</v>
      </c>
      <c r="E7" s="8">
        <f t="shared" si="0"/>
        <v>0.1875</v>
      </c>
      <c r="F7" s="19"/>
      <c r="G7">
        <v>7</v>
      </c>
      <c r="H7" s="8">
        <f t="shared" si="1"/>
        <v>0.26923076923076922</v>
      </c>
      <c r="I7" s="19"/>
      <c r="J7">
        <f t="shared" si="7"/>
        <v>10</v>
      </c>
      <c r="K7" s="9">
        <f t="shared" si="8"/>
        <v>0.23809523809523808</v>
      </c>
      <c r="L7" s="22"/>
      <c r="M7">
        <v>8</v>
      </c>
      <c r="N7" s="8">
        <f t="shared" si="2"/>
        <v>0.20512820512820512</v>
      </c>
      <c r="O7" s="19"/>
      <c r="P7">
        <v>2</v>
      </c>
      <c r="Q7" s="8">
        <f t="shared" si="3"/>
        <v>8.6956521739130432E-2</v>
      </c>
      <c r="R7" s="19"/>
      <c r="S7">
        <v>3</v>
      </c>
      <c r="T7" s="8">
        <f t="shared" si="4"/>
        <v>0.3</v>
      </c>
      <c r="U7" s="19"/>
      <c r="V7" s="7">
        <f t="shared" si="9"/>
        <v>5</v>
      </c>
      <c r="W7" s="8">
        <f t="shared" si="10"/>
        <v>0.15151515151515152</v>
      </c>
      <c r="X7" s="19"/>
      <c r="Y7" s="10">
        <f t="shared" si="5"/>
        <v>23</v>
      </c>
      <c r="Z7" s="11">
        <f t="shared" si="6"/>
        <v>0.20175438596491227</v>
      </c>
      <c r="AA7" s="13"/>
    </row>
    <row r="8" spans="1:27" x14ac:dyDescent="0.25">
      <c r="A8" s="36">
        <v>2</v>
      </c>
      <c r="B8" s="35" t="s">
        <v>21</v>
      </c>
      <c r="D8" s="13">
        <v>0</v>
      </c>
      <c r="E8" s="8">
        <f t="shared" si="0"/>
        <v>0</v>
      </c>
      <c r="F8" s="19"/>
      <c r="G8">
        <v>0</v>
      </c>
      <c r="H8" s="8">
        <f t="shared" si="1"/>
        <v>0</v>
      </c>
      <c r="I8" s="19"/>
      <c r="J8">
        <f t="shared" si="7"/>
        <v>0</v>
      </c>
      <c r="K8" s="9">
        <f t="shared" si="8"/>
        <v>0</v>
      </c>
      <c r="L8" s="22"/>
      <c r="M8">
        <v>2</v>
      </c>
      <c r="N8" s="8">
        <f t="shared" si="2"/>
        <v>5.128205128205128E-2</v>
      </c>
      <c r="O8" s="19"/>
      <c r="P8">
        <v>5</v>
      </c>
      <c r="Q8" s="8">
        <f t="shared" si="3"/>
        <v>0.21739130434782608</v>
      </c>
      <c r="R8" s="19"/>
      <c r="S8">
        <v>1</v>
      </c>
      <c r="T8" s="8">
        <f t="shared" si="4"/>
        <v>0.1</v>
      </c>
      <c r="U8" s="19"/>
      <c r="V8" s="7">
        <f t="shared" si="9"/>
        <v>6</v>
      </c>
      <c r="W8" s="8">
        <f t="shared" si="10"/>
        <v>0.18181818181818182</v>
      </c>
      <c r="X8" s="19"/>
      <c r="Y8" s="10">
        <f t="shared" si="5"/>
        <v>8</v>
      </c>
      <c r="Z8" s="11">
        <f t="shared" si="6"/>
        <v>7.0175438596491224E-2</v>
      </c>
      <c r="AA8" s="13"/>
    </row>
    <row r="9" spans="1:27" x14ac:dyDescent="0.25">
      <c r="A9" s="36"/>
      <c r="B9" s="35" t="s">
        <v>20</v>
      </c>
      <c r="D9" s="13">
        <v>0</v>
      </c>
      <c r="E9" s="8">
        <f t="shared" si="0"/>
        <v>0</v>
      </c>
      <c r="F9" s="19"/>
      <c r="G9">
        <v>0</v>
      </c>
      <c r="H9" s="8">
        <f t="shared" si="1"/>
        <v>0</v>
      </c>
      <c r="I9" s="19"/>
      <c r="J9">
        <f t="shared" si="7"/>
        <v>0</v>
      </c>
      <c r="K9" s="9">
        <f t="shared" si="8"/>
        <v>0</v>
      </c>
      <c r="L9" s="22"/>
      <c r="M9">
        <v>2</v>
      </c>
      <c r="N9" s="8">
        <f t="shared" si="2"/>
        <v>5.128205128205128E-2</v>
      </c>
      <c r="O9" s="19"/>
      <c r="P9">
        <v>3</v>
      </c>
      <c r="Q9" s="8">
        <f t="shared" si="3"/>
        <v>0.13043478260869565</v>
      </c>
      <c r="R9" s="19"/>
      <c r="S9">
        <v>0</v>
      </c>
      <c r="T9" s="8">
        <f t="shared" si="4"/>
        <v>0</v>
      </c>
      <c r="U9" s="19"/>
      <c r="V9" s="7">
        <f t="shared" si="9"/>
        <v>3</v>
      </c>
      <c r="W9" s="8">
        <f t="shared" si="10"/>
        <v>9.0909090909090912E-2</v>
      </c>
      <c r="X9" s="19"/>
      <c r="Y9" s="10">
        <f t="shared" si="5"/>
        <v>5</v>
      </c>
      <c r="Z9" s="11">
        <f t="shared" si="6"/>
        <v>4.3859649122807015E-2</v>
      </c>
      <c r="AA9" s="13"/>
    </row>
    <row r="10" spans="1:27" x14ac:dyDescent="0.25">
      <c r="A10" s="36"/>
      <c r="B10" s="35" t="s">
        <v>19</v>
      </c>
      <c r="D10" s="13">
        <v>0</v>
      </c>
      <c r="E10" s="8">
        <f t="shared" si="0"/>
        <v>0</v>
      </c>
      <c r="F10" s="19"/>
      <c r="G10">
        <v>7</v>
      </c>
      <c r="H10" s="8">
        <f t="shared" si="1"/>
        <v>0.26923076923076922</v>
      </c>
      <c r="I10" s="19"/>
      <c r="J10">
        <f t="shared" si="7"/>
        <v>7</v>
      </c>
      <c r="K10" s="9">
        <f t="shared" si="8"/>
        <v>0.16666666666666666</v>
      </c>
      <c r="L10" s="22"/>
      <c r="M10">
        <v>1</v>
      </c>
      <c r="N10" s="8">
        <f t="shared" si="2"/>
        <v>2.564102564102564E-2</v>
      </c>
      <c r="O10" s="19"/>
      <c r="P10">
        <v>1</v>
      </c>
      <c r="Q10" s="8">
        <f t="shared" si="3"/>
        <v>4.3478260869565216E-2</v>
      </c>
      <c r="R10" s="19"/>
      <c r="S10">
        <v>4</v>
      </c>
      <c r="T10" s="8">
        <f t="shared" si="4"/>
        <v>0.4</v>
      </c>
      <c r="U10" s="19"/>
      <c r="V10" s="7">
        <f t="shared" si="9"/>
        <v>5</v>
      </c>
      <c r="W10" s="8">
        <f t="shared" si="10"/>
        <v>0.15151515151515152</v>
      </c>
      <c r="X10" s="19"/>
      <c r="Y10" s="10">
        <f t="shared" si="5"/>
        <v>13</v>
      </c>
      <c r="Z10" s="11">
        <f t="shared" si="6"/>
        <v>0.11403508771929824</v>
      </c>
      <c r="AA10" s="13"/>
    </row>
    <row r="11" spans="1:27" x14ac:dyDescent="0.25">
      <c r="A11" s="36">
        <v>3</v>
      </c>
      <c r="B11" s="35" t="s">
        <v>18</v>
      </c>
      <c r="D11" s="13">
        <v>16</v>
      </c>
      <c r="E11" s="8">
        <f t="shared" si="0"/>
        <v>1</v>
      </c>
      <c r="F11" s="19"/>
      <c r="G11">
        <v>18</v>
      </c>
      <c r="H11" s="8">
        <f t="shared" si="1"/>
        <v>0.69230769230769229</v>
      </c>
      <c r="I11" s="19"/>
      <c r="J11">
        <f t="shared" si="7"/>
        <v>34</v>
      </c>
      <c r="K11" s="9">
        <f t="shared" si="8"/>
        <v>0.80952380952380953</v>
      </c>
      <c r="L11" s="22"/>
      <c r="M11">
        <v>30</v>
      </c>
      <c r="N11" s="8">
        <f t="shared" si="2"/>
        <v>0.76923076923076927</v>
      </c>
      <c r="O11" s="19"/>
      <c r="P11">
        <v>11</v>
      </c>
      <c r="Q11" s="8">
        <f t="shared" si="3"/>
        <v>0.47826086956521741</v>
      </c>
      <c r="R11" s="19"/>
      <c r="S11">
        <v>5</v>
      </c>
      <c r="T11" s="8">
        <f t="shared" si="4"/>
        <v>0.5</v>
      </c>
      <c r="U11" s="19"/>
      <c r="V11" s="7">
        <f t="shared" si="9"/>
        <v>16</v>
      </c>
      <c r="W11" s="8">
        <f t="shared" si="10"/>
        <v>0.48484848484848486</v>
      </c>
      <c r="X11" s="19"/>
      <c r="Y11" s="10">
        <f t="shared" si="5"/>
        <v>80</v>
      </c>
      <c r="Z11" s="11">
        <f t="shared" si="6"/>
        <v>0.70175438596491224</v>
      </c>
      <c r="AA11" s="13"/>
    </row>
    <row r="12" spans="1:27" x14ac:dyDescent="0.25">
      <c r="A12" s="36">
        <v>4</v>
      </c>
      <c r="B12" s="35" t="s">
        <v>17</v>
      </c>
      <c r="D12" s="13">
        <v>2</v>
      </c>
      <c r="E12" s="8">
        <f t="shared" si="0"/>
        <v>0.125</v>
      </c>
      <c r="F12" s="19"/>
      <c r="G12">
        <v>0</v>
      </c>
      <c r="H12" s="8">
        <f t="shared" si="1"/>
        <v>0</v>
      </c>
      <c r="I12" s="19"/>
      <c r="J12">
        <f t="shared" si="7"/>
        <v>2</v>
      </c>
      <c r="K12" s="9">
        <f t="shared" si="8"/>
        <v>4.7619047619047616E-2</v>
      </c>
      <c r="L12" s="22"/>
      <c r="M12">
        <v>2</v>
      </c>
      <c r="N12" s="8">
        <f t="shared" si="2"/>
        <v>5.128205128205128E-2</v>
      </c>
      <c r="O12" s="19"/>
      <c r="P12">
        <v>1</v>
      </c>
      <c r="Q12" s="8">
        <f t="shared" si="3"/>
        <v>4.3478260869565216E-2</v>
      </c>
      <c r="R12" s="19"/>
      <c r="S12">
        <v>0</v>
      </c>
      <c r="T12" s="8">
        <f t="shared" si="4"/>
        <v>0</v>
      </c>
      <c r="U12" s="19"/>
      <c r="V12" s="7">
        <f t="shared" si="9"/>
        <v>1</v>
      </c>
      <c r="W12" s="8">
        <f t="shared" si="10"/>
        <v>3.0303030303030304E-2</v>
      </c>
      <c r="X12" s="19"/>
      <c r="Y12" s="10">
        <f t="shared" si="5"/>
        <v>5</v>
      </c>
      <c r="Z12" s="11">
        <f t="shared" si="6"/>
        <v>4.3859649122807015E-2</v>
      </c>
      <c r="AA12" s="13"/>
    </row>
    <row r="13" spans="1:27" x14ac:dyDescent="0.25">
      <c r="A13" s="36">
        <v>5</v>
      </c>
      <c r="B13" s="35" t="s">
        <v>16</v>
      </c>
      <c r="D13" s="13">
        <v>2</v>
      </c>
      <c r="E13" s="8">
        <f t="shared" si="0"/>
        <v>0.125</v>
      </c>
      <c r="F13" s="19"/>
      <c r="G13">
        <v>1</v>
      </c>
      <c r="H13" s="8">
        <f t="shared" si="1"/>
        <v>3.8461538461538464E-2</v>
      </c>
      <c r="I13" s="19"/>
      <c r="J13">
        <f t="shared" si="7"/>
        <v>3</v>
      </c>
      <c r="K13" s="9">
        <f t="shared" si="8"/>
        <v>7.1428571428571425E-2</v>
      </c>
      <c r="L13" s="22"/>
      <c r="M13">
        <v>3</v>
      </c>
      <c r="N13" s="8">
        <f t="shared" si="2"/>
        <v>7.6923076923076927E-2</v>
      </c>
      <c r="O13" s="19"/>
      <c r="P13">
        <v>1</v>
      </c>
      <c r="Q13" s="8">
        <f t="shared" si="3"/>
        <v>4.3478260869565216E-2</v>
      </c>
      <c r="R13" s="19"/>
      <c r="S13">
        <v>0</v>
      </c>
      <c r="T13" s="8">
        <f t="shared" si="4"/>
        <v>0</v>
      </c>
      <c r="U13" s="19"/>
      <c r="V13" s="7">
        <f t="shared" si="9"/>
        <v>1</v>
      </c>
      <c r="W13" s="8">
        <f t="shared" si="10"/>
        <v>3.0303030303030304E-2</v>
      </c>
      <c r="X13" s="19"/>
      <c r="Y13" s="10">
        <f t="shared" si="5"/>
        <v>7</v>
      </c>
      <c r="Z13" s="11">
        <f t="shared" si="6"/>
        <v>6.1403508771929821E-2</v>
      </c>
      <c r="AA13" s="13"/>
    </row>
    <row r="14" spans="1:27" x14ac:dyDescent="0.25">
      <c r="A14" s="36">
        <v>6</v>
      </c>
      <c r="B14" s="35" t="s">
        <v>15</v>
      </c>
      <c r="D14" s="13">
        <v>0</v>
      </c>
      <c r="E14" s="8">
        <f t="shared" si="0"/>
        <v>0</v>
      </c>
      <c r="F14" s="19"/>
      <c r="G14">
        <v>0</v>
      </c>
      <c r="H14" s="8">
        <f t="shared" si="1"/>
        <v>0</v>
      </c>
      <c r="I14" s="19"/>
      <c r="J14">
        <f t="shared" si="7"/>
        <v>0</v>
      </c>
      <c r="K14" s="9">
        <f t="shared" si="8"/>
        <v>0</v>
      </c>
      <c r="L14" s="22"/>
      <c r="M14">
        <v>0</v>
      </c>
      <c r="N14" s="8">
        <f t="shared" si="2"/>
        <v>0</v>
      </c>
      <c r="O14" s="19"/>
      <c r="P14">
        <v>0</v>
      </c>
      <c r="Q14" s="8">
        <f t="shared" si="3"/>
        <v>0</v>
      </c>
      <c r="R14" s="19"/>
      <c r="S14">
        <v>0</v>
      </c>
      <c r="T14" s="8">
        <f t="shared" si="4"/>
        <v>0</v>
      </c>
      <c r="U14" s="19"/>
      <c r="V14" s="7">
        <f t="shared" si="9"/>
        <v>0</v>
      </c>
      <c r="W14" s="8">
        <f t="shared" si="10"/>
        <v>0</v>
      </c>
      <c r="X14" s="19"/>
      <c r="Y14" s="10">
        <f t="shared" si="5"/>
        <v>0</v>
      </c>
      <c r="Z14" s="11">
        <f t="shared" si="6"/>
        <v>0</v>
      </c>
      <c r="AA14" s="13"/>
    </row>
    <row r="15" spans="1:27" x14ac:dyDescent="0.25">
      <c r="A15" s="36">
        <v>7</v>
      </c>
      <c r="B15" s="35" t="s">
        <v>14</v>
      </c>
      <c r="D15" s="13">
        <v>0</v>
      </c>
      <c r="E15" s="8">
        <f t="shared" si="0"/>
        <v>0</v>
      </c>
      <c r="F15" s="19"/>
      <c r="G15">
        <v>0</v>
      </c>
      <c r="H15" s="8">
        <f t="shared" si="1"/>
        <v>0</v>
      </c>
      <c r="I15" s="19"/>
      <c r="J15">
        <f t="shared" si="7"/>
        <v>0</v>
      </c>
      <c r="K15" s="9">
        <f t="shared" si="8"/>
        <v>0</v>
      </c>
      <c r="L15" s="22"/>
      <c r="M15">
        <v>0</v>
      </c>
      <c r="N15" s="8">
        <f t="shared" si="2"/>
        <v>0</v>
      </c>
      <c r="O15" s="19"/>
      <c r="P15">
        <v>0</v>
      </c>
      <c r="Q15" s="8">
        <f t="shared" si="3"/>
        <v>0</v>
      </c>
      <c r="R15" s="19"/>
      <c r="S15">
        <v>0</v>
      </c>
      <c r="T15" s="8">
        <f t="shared" si="4"/>
        <v>0</v>
      </c>
      <c r="U15" s="19"/>
      <c r="V15" s="7">
        <f t="shared" si="9"/>
        <v>0</v>
      </c>
      <c r="W15" s="8">
        <f t="shared" si="10"/>
        <v>0</v>
      </c>
      <c r="X15" s="19"/>
      <c r="Y15" s="10">
        <f t="shared" si="5"/>
        <v>0</v>
      </c>
      <c r="Z15" s="11">
        <f t="shared" si="6"/>
        <v>0</v>
      </c>
      <c r="AA15" s="13"/>
    </row>
    <row r="16" spans="1:27" x14ac:dyDescent="0.25">
      <c r="A16" s="36">
        <v>8</v>
      </c>
      <c r="B16" s="35" t="s">
        <v>13</v>
      </c>
      <c r="D16" s="13">
        <v>0</v>
      </c>
      <c r="E16" s="8">
        <f t="shared" si="0"/>
        <v>0</v>
      </c>
      <c r="F16" s="19"/>
      <c r="G16">
        <v>1</v>
      </c>
      <c r="H16" s="8">
        <f t="shared" si="1"/>
        <v>3.8461538461538464E-2</v>
      </c>
      <c r="I16" s="19"/>
      <c r="J16">
        <f t="shared" si="7"/>
        <v>1</v>
      </c>
      <c r="K16" s="9">
        <f t="shared" si="8"/>
        <v>2.3809523809523808E-2</v>
      </c>
      <c r="L16" s="22"/>
      <c r="M16">
        <v>1</v>
      </c>
      <c r="N16" s="8">
        <f t="shared" si="2"/>
        <v>2.564102564102564E-2</v>
      </c>
      <c r="O16" s="19"/>
      <c r="P16">
        <v>0</v>
      </c>
      <c r="Q16" s="8">
        <f t="shared" si="3"/>
        <v>0</v>
      </c>
      <c r="R16" s="19"/>
      <c r="S16">
        <v>0</v>
      </c>
      <c r="T16" s="8">
        <f t="shared" si="4"/>
        <v>0</v>
      </c>
      <c r="U16" s="19"/>
      <c r="V16" s="7">
        <f t="shared" si="9"/>
        <v>0</v>
      </c>
      <c r="W16" s="8">
        <f t="shared" si="10"/>
        <v>0</v>
      </c>
      <c r="X16" s="19"/>
      <c r="Y16" s="10">
        <f t="shared" si="5"/>
        <v>2</v>
      </c>
      <c r="Z16" s="11">
        <f t="shared" si="6"/>
        <v>1.7543859649122806E-2</v>
      </c>
      <c r="AA16" s="13"/>
    </row>
    <row r="17" spans="1:27" x14ac:dyDescent="0.25">
      <c r="A17" s="36">
        <v>9</v>
      </c>
      <c r="B17" s="35" t="s">
        <v>12</v>
      </c>
      <c r="D17" s="13">
        <v>1</v>
      </c>
      <c r="E17" s="8">
        <f t="shared" si="0"/>
        <v>6.25E-2</v>
      </c>
      <c r="F17" s="19"/>
      <c r="G17">
        <v>0</v>
      </c>
      <c r="H17" s="8">
        <f t="shared" si="1"/>
        <v>0</v>
      </c>
      <c r="I17" s="19"/>
      <c r="J17">
        <f t="shared" si="7"/>
        <v>1</v>
      </c>
      <c r="K17" s="9">
        <f t="shared" si="8"/>
        <v>2.3809523809523808E-2</v>
      </c>
      <c r="L17" s="22"/>
      <c r="M17">
        <v>1</v>
      </c>
      <c r="N17" s="8">
        <f t="shared" si="2"/>
        <v>2.564102564102564E-2</v>
      </c>
      <c r="O17" s="19"/>
      <c r="P17">
        <v>2</v>
      </c>
      <c r="Q17" s="8">
        <f t="shared" si="3"/>
        <v>8.6956521739130432E-2</v>
      </c>
      <c r="R17" s="19"/>
      <c r="S17">
        <v>0</v>
      </c>
      <c r="T17" s="8">
        <f t="shared" si="4"/>
        <v>0</v>
      </c>
      <c r="U17" s="19"/>
      <c r="V17" s="7">
        <f t="shared" si="9"/>
        <v>2</v>
      </c>
      <c r="W17" s="8">
        <f t="shared" si="10"/>
        <v>6.0606060606060608E-2</v>
      </c>
      <c r="X17" s="19"/>
      <c r="Y17" s="10">
        <f t="shared" si="5"/>
        <v>4</v>
      </c>
      <c r="Z17" s="11">
        <f t="shared" si="6"/>
        <v>3.5087719298245612E-2</v>
      </c>
      <c r="AA17" s="13"/>
    </row>
    <row r="18" spans="1:27" x14ac:dyDescent="0.25">
      <c r="A18" s="36">
        <v>10</v>
      </c>
      <c r="B18" s="35" t="s">
        <v>11</v>
      </c>
      <c r="D18" s="13">
        <v>0</v>
      </c>
      <c r="E18" s="8">
        <f t="shared" si="0"/>
        <v>0</v>
      </c>
      <c r="F18" s="19"/>
      <c r="G18">
        <v>0</v>
      </c>
      <c r="H18" s="8">
        <f t="shared" si="1"/>
        <v>0</v>
      </c>
      <c r="I18" s="19"/>
      <c r="J18">
        <f t="shared" si="7"/>
        <v>0</v>
      </c>
      <c r="K18" s="9">
        <f t="shared" si="8"/>
        <v>0</v>
      </c>
      <c r="L18" s="22"/>
      <c r="M18">
        <v>0</v>
      </c>
      <c r="N18" s="8">
        <f t="shared" si="2"/>
        <v>0</v>
      </c>
      <c r="O18" s="19"/>
      <c r="P18">
        <v>0</v>
      </c>
      <c r="Q18" s="8">
        <f t="shared" si="3"/>
        <v>0</v>
      </c>
      <c r="R18" s="19"/>
      <c r="S18">
        <v>0</v>
      </c>
      <c r="T18" s="8">
        <f t="shared" si="4"/>
        <v>0</v>
      </c>
      <c r="U18" s="19"/>
      <c r="V18" s="7">
        <f t="shared" si="9"/>
        <v>0</v>
      </c>
      <c r="W18" s="8">
        <f t="shared" si="10"/>
        <v>0</v>
      </c>
      <c r="X18" s="19"/>
      <c r="Y18" s="10">
        <f t="shared" si="5"/>
        <v>0</v>
      </c>
      <c r="Z18" s="11">
        <f t="shared" si="6"/>
        <v>0</v>
      </c>
      <c r="AA18" s="13"/>
    </row>
    <row r="19" spans="1:27" x14ac:dyDescent="0.25">
      <c r="A19" s="36">
        <v>11</v>
      </c>
      <c r="B19" s="35" t="s">
        <v>10</v>
      </c>
      <c r="D19" s="13">
        <v>5</v>
      </c>
      <c r="E19" s="8">
        <f t="shared" si="0"/>
        <v>0.3125</v>
      </c>
      <c r="F19" s="19"/>
      <c r="G19">
        <v>7</v>
      </c>
      <c r="H19" s="8">
        <f t="shared" si="1"/>
        <v>0.26923076923076922</v>
      </c>
      <c r="I19" s="19"/>
      <c r="J19">
        <f t="shared" si="7"/>
        <v>12</v>
      </c>
      <c r="K19" s="9">
        <f t="shared" si="8"/>
        <v>0.2857142857142857</v>
      </c>
      <c r="L19" s="22"/>
      <c r="M19">
        <v>12</v>
      </c>
      <c r="N19" s="8">
        <f t="shared" si="2"/>
        <v>0.30769230769230771</v>
      </c>
      <c r="O19" s="19"/>
      <c r="P19">
        <v>10</v>
      </c>
      <c r="Q19" s="8">
        <f t="shared" si="3"/>
        <v>0.43478260869565216</v>
      </c>
      <c r="R19" s="19"/>
      <c r="S19">
        <v>2</v>
      </c>
      <c r="T19" s="8">
        <f t="shared" si="4"/>
        <v>0.2</v>
      </c>
      <c r="U19" s="19"/>
      <c r="V19" s="7">
        <f t="shared" si="9"/>
        <v>12</v>
      </c>
      <c r="W19" s="8">
        <f t="shared" si="10"/>
        <v>0.36363636363636365</v>
      </c>
      <c r="X19" s="19"/>
      <c r="Y19" s="10">
        <f t="shared" si="5"/>
        <v>36</v>
      </c>
      <c r="Z19" s="11">
        <f t="shared" si="6"/>
        <v>0.31578947368421051</v>
      </c>
      <c r="AA19" s="13"/>
    </row>
    <row r="20" spans="1:27" x14ac:dyDescent="0.25">
      <c r="A20" s="36">
        <v>12</v>
      </c>
      <c r="B20" s="35" t="s">
        <v>9</v>
      </c>
      <c r="D20" s="13">
        <v>15</v>
      </c>
      <c r="E20" s="8">
        <f t="shared" si="0"/>
        <v>0.9375</v>
      </c>
      <c r="F20" s="19"/>
      <c r="G20">
        <v>21</v>
      </c>
      <c r="H20" s="8">
        <f t="shared" si="1"/>
        <v>0.80769230769230771</v>
      </c>
      <c r="I20" s="19"/>
      <c r="J20">
        <f t="shared" si="7"/>
        <v>36</v>
      </c>
      <c r="K20" s="9">
        <f t="shared" si="8"/>
        <v>0.8571428571428571</v>
      </c>
      <c r="L20" s="22"/>
      <c r="M20">
        <v>30</v>
      </c>
      <c r="N20" s="8">
        <f t="shared" si="2"/>
        <v>0.76923076923076927</v>
      </c>
      <c r="O20" s="19"/>
      <c r="P20">
        <v>11</v>
      </c>
      <c r="Q20" s="8">
        <f t="shared" si="3"/>
        <v>0.47826086956521741</v>
      </c>
      <c r="R20" s="19"/>
      <c r="S20">
        <v>4</v>
      </c>
      <c r="T20" s="8">
        <f t="shared" si="4"/>
        <v>0.4</v>
      </c>
      <c r="U20" s="19"/>
      <c r="V20" s="7">
        <f t="shared" si="9"/>
        <v>15</v>
      </c>
      <c r="W20" s="8">
        <f t="shared" si="10"/>
        <v>0.45454545454545453</v>
      </c>
      <c r="X20" s="19"/>
      <c r="Y20" s="10">
        <f t="shared" si="5"/>
        <v>81</v>
      </c>
      <c r="Z20" s="11">
        <f t="shared" si="6"/>
        <v>0.71052631578947367</v>
      </c>
      <c r="AA20" s="13"/>
    </row>
    <row r="21" spans="1:27" x14ac:dyDescent="0.25">
      <c r="A21" s="36">
        <v>13</v>
      </c>
      <c r="B21" s="35" t="s">
        <v>8</v>
      </c>
      <c r="D21" s="13">
        <v>2</v>
      </c>
      <c r="E21" s="8">
        <f t="shared" si="0"/>
        <v>0.125</v>
      </c>
      <c r="F21" s="19"/>
      <c r="G21">
        <v>0</v>
      </c>
      <c r="H21" s="8">
        <f t="shared" si="1"/>
        <v>0</v>
      </c>
      <c r="I21" s="19"/>
      <c r="J21">
        <f t="shared" si="7"/>
        <v>2</v>
      </c>
      <c r="K21" s="9">
        <f t="shared" si="8"/>
        <v>4.7619047619047616E-2</v>
      </c>
      <c r="L21" s="22"/>
      <c r="M21">
        <v>1</v>
      </c>
      <c r="N21" s="8">
        <f t="shared" si="2"/>
        <v>2.564102564102564E-2</v>
      </c>
      <c r="O21" s="19"/>
      <c r="P21">
        <v>1</v>
      </c>
      <c r="Q21" s="8">
        <f t="shared" si="3"/>
        <v>4.3478260869565216E-2</v>
      </c>
      <c r="R21" s="19"/>
      <c r="S21">
        <v>0</v>
      </c>
      <c r="T21" s="8">
        <f t="shared" si="4"/>
        <v>0</v>
      </c>
      <c r="U21" s="19"/>
      <c r="V21" s="7">
        <f t="shared" si="9"/>
        <v>1</v>
      </c>
      <c r="W21" s="8">
        <f t="shared" si="10"/>
        <v>3.0303030303030304E-2</v>
      </c>
      <c r="X21" s="19"/>
      <c r="Y21" s="10">
        <f t="shared" si="5"/>
        <v>4</v>
      </c>
      <c r="Z21" s="11">
        <f t="shared" si="6"/>
        <v>3.5087719298245612E-2</v>
      </c>
      <c r="AA21" s="13"/>
    </row>
    <row r="22" spans="1:27" x14ac:dyDescent="0.25">
      <c r="A22" s="36">
        <v>14</v>
      </c>
      <c r="B22" s="35" t="s">
        <v>40</v>
      </c>
      <c r="D22" s="13">
        <v>1</v>
      </c>
      <c r="E22" s="8">
        <f t="shared" si="0"/>
        <v>6.25E-2</v>
      </c>
      <c r="F22" s="19"/>
      <c r="G22">
        <v>0</v>
      </c>
      <c r="H22" s="8">
        <f t="shared" si="1"/>
        <v>0</v>
      </c>
      <c r="I22" s="19"/>
      <c r="J22">
        <f t="shared" si="7"/>
        <v>1</v>
      </c>
      <c r="K22" s="9">
        <f t="shared" si="8"/>
        <v>2.3809523809523808E-2</v>
      </c>
      <c r="L22" s="22"/>
      <c r="M22">
        <v>5</v>
      </c>
      <c r="N22" s="8">
        <f t="shared" si="2"/>
        <v>0.12820512820512819</v>
      </c>
      <c r="O22" s="19"/>
      <c r="P22">
        <v>1</v>
      </c>
      <c r="Q22" s="8">
        <f t="shared" si="3"/>
        <v>4.3478260869565216E-2</v>
      </c>
      <c r="R22" s="19"/>
      <c r="S22">
        <v>0</v>
      </c>
      <c r="T22" s="8">
        <f t="shared" si="4"/>
        <v>0</v>
      </c>
      <c r="U22" s="19"/>
      <c r="V22" s="7">
        <f t="shared" si="9"/>
        <v>1</v>
      </c>
      <c r="W22" s="8">
        <f t="shared" si="10"/>
        <v>3.0303030303030304E-2</v>
      </c>
      <c r="X22" s="19"/>
      <c r="Y22" s="10">
        <f t="shared" si="5"/>
        <v>7</v>
      </c>
      <c r="Z22" s="11">
        <f t="shared" si="6"/>
        <v>6.1403508771929821E-2</v>
      </c>
      <c r="AA22" s="13"/>
    </row>
    <row r="23" spans="1:27" x14ac:dyDescent="0.25">
      <c r="A23" s="36">
        <v>15</v>
      </c>
      <c r="B23" s="35" t="s">
        <v>7</v>
      </c>
      <c r="D23" s="13">
        <v>1</v>
      </c>
      <c r="E23" s="8">
        <f t="shared" si="0"/>
        <v>6.25E-2</v>
      </c>
      <c r="F23" s="19"/>
      <c r="G23">
        <v>0</v>
      </c>
      <c r="H23" s="8">
        <f t="shared" si="1"/>
        <v>0</v>
      </c>
      <c r="I23" s="19"/>
      <c r="J23">
        <f t="shared" si="7"/>
        <v>1</v>
      </c>
      <c r="K23" s="9">
        <f t="shared" si="8"/>
        <v>2.3809523809523808E-2</v>
      </c>
      <c r="L23" s="22"/>
      <c r="M23">
        <v>3</v>
      </c>
      <c r="N23" s="8">
        <f t="shared" si="2"/>
        <v>7.6923076923076927E-2</v>
      </c>
      <c r="O23" s="19"/>
      <c r="P23">
        <v>1</v>
      </c>
      <c r="Q23" s="8">
        <f t="shared" si="3"/>
        <v>4.3478260869565216E-2</v>
      </c>
      <c r="R23" s="19"/>
      <c r="S23">
        <v>0</v>
      </c>
      <c r="T23" s="8">
        <f t="shared" si="4"/>
        <v>0</v>
      </c>
      <c r="U23" s="19"/>
      <c r="V23" s="7">
        <f t="shared" si="9"/>
        <v>1</v>
      </c>
      <c r="W23" s="8">
        <f t="shared" si="10"/>
        <v>3.0303030303030304E-2</v>
      </c>
      <c r="X23" s="19"/>
      <c r="Y23" s="10">
        <f t="shared" si="5"/>
        <v>5</v>
      </c>
      <c r="Z23" s="11">
        <f t="shared" si="6"/>
        <v>4.3859649122807015E-2</v>
      </c>
      <c r="AA23" s="13"/>
    </row>
    <row r="24" spans="1:27" x14ac:dyDescent="0.25">
      <c r="A24" s="36">
        <v>16</v>
      </c>
      <c r="B24" s="35" t="s">
        <v>41</v>
      </c>
      <c r="D24" s="13">
        <v>2</v>
      </c>
      <c r="E24" s="8">
        <f t="shared" si="0"/>
        <v>0.125</v>
      </c>
      <c r="F24" s="19"/>
      <c r="G24">
        <v>2</v>
      </c>
      <c r="H24" s="8">
        <f t="shared" si="1"/>
        <v>7.6923076923076927E-2</v>
      </c>
      <c r="I24" s="19"/>
      <c r="J24">
        <f t="shared" si="7"/>
        <v>4</v>
      </c>
      <c r="K24" s="9">
        <f t="shared" si="8"/>
        <v>9.5238095238095233E-2</v>
      </c>
      <c r="L24" s="22"/>
      <c r="M24">
        <v>3</v>
      </c>
      <c r="N24" s="8">
        <f t="shared" si="2"/>
        <v>7.6923076923076927E-2</v>
      </c>
      <c r="O24" s="19"/>
      <c r="P24">
        <v>0</v>
      </c>
      <c r="Q24" s="8">
        <f t="shared" si="3"/>
        <v>0</v>
      </c>
      <c r="R24" s="19"/>
      <c r="S24">
        <v>0</v>
      </c>
      <c r="T24" s="8">
        <f t="shared" si="4"/>
        <v>0</v>
      </c>
      <c r="U24" s="19"/>
      <c r="V24" s="7">
        <f t="shared" si="9"/>
        <v>0</v>
      </c>
      <c r="W24" s="8">
        <f t="shared" si="10"/>
        <v>0</v>
      </c>
      <c r="X24" s="19"/>
      <c r="Y24" s="10">
        <f t="shared" si="5"/>
        <v>7</v>
      </c>
      <c r="Z24" s="11">
        <f t="shared" si="6"/>
        <v>6.1403508771929821E-2</v>
      </c>
      <c r="AA24" s="13"/>
    </row>
    <row r="25" spans="1:27" x14ac:dyDescent="0.25">
      <c r="A25" s="36">
        <v>17</v>
      </c>
      <c r="B25" s="35" t="s">
        <v>6</v>
      </c>
      <c r="D25" s="13">
        <v>16</v>
      </c>
      <c r="E25" s="8">
        <f t="shared" si="0"/>
        <v>1</v>
      </c>
      <c r="F25" s="19"/>
      <c r="G25">
        <v>13</v>
      </c>
      <c r="H25" s="8">
        <f t="shared" si="1"/>
        <v>0.5</v>
      </c>
      <c r="I25" s="19"/>
      <c r="J25">
        <f t="shared" si="7"/>
        <v>29</v>
      </c>
      <c r="K25" s="9">
        <f t="shared" si="8"/>
        <v>0.69047619047619047</v>
      </c>
      <c r="L25" s="22"/>
      <c r="M25">
        <v>26</v>
      </c>
      <c r="N25" s="8">
        <f t="shared" si="2"/>
        <v>0.66666666666666663</v>
      </c>
      <c r="O25" s="19"/>
      <c r="P25">
        <v>10</v>
      </c>
      <c r="Q25" s="8">
        <f t="shared" si="3"/>
        <v>0.43478260869565216</v>
      </c>
      <c r="R25" s="19"/>
      <c r="S25">
        <v>5</v>
      </c>
      <c r="T25" s="8">
        <f t="shared" si="4"/>
        <v>0.5</v>
      </c>
      <c r="U25" s="19"/>
      <c r="V25" s="7">
        <f t="shared" si="9"/>
        <v>15</v>
      </c>
      <c r="W25" s="8">
        <f t="shared" si="10"/>
        <v>0.45454545454545453</v>
      </c>
      <c r="X25" s="19"/>
      <c r="Y25" s="10">
        <f t="shared" si="5"/>
        <v>70</v>
      </c>
      <c r="Z25" s="11">
        <f t="shared" si="6"/>
        <v>0.61403508771929827</v>
      </c>
      <c r="AA25" s="13"/>
    </row>
    <row r="26" spans="1:27" x14ac:dyDescent="0.25">
      <c r="A26" s="36">
        <v>18</v>
      </c>
      <c r="B26" s="35" t="s">
        <v>5</v>
      </c>
      <c r="D26" s="13">
        <v>2</v>
      </c>
      <c r="E26" s="8">
        <f t="shared" si="0"/>
        <v>0.125</v>
      </c>
      <c r="F26" s="19"/>
      <c r="G26">
        <v>5</v>
      </c>
      <c r="H26" s="8">
        <f t="shared" si="1"/>
        <v>0.19230769230769232</v>
      </c>
      <c r="I26" s="19"/>
      <c r="J26">
        <f t="shared" si="7"/>
        <v>7</v>
      </c>
      <c r="K26" s="9">
        <f t="shared" si="8"/>
        <v>0.16666666666666666</v>
      </c>
      <c r="L26" s="22"/>
      <c r="M26">
        <v>2</v>
      </c>
      <c r="N26" s="8">
        <f t="shared" si="2"/>
        <v>5.128205128205128E-2</v>
      </c>
      <c r="O26" s="19"/>
      <c r="P26">
        <v>1</v>
      </c>
      <c r="Q26" s="8">
        <f t="shared" si="3"/>
        <v>4.3478260869565216E-2</v>
      </c>
      <c r="R26" s="19"/>
      <c r="S26">
        <v>1</v>
      </c>
      <c r="T26" s="8">
        <f t="shared" si="4"/>
        <v>0.1</v>
      </c>
      <c r="U26" s="19"/>
      <c r="V26" s="7">
        <f t="shared" si="9"/>
        <v>2</v>
      </c>
      <c r="W26" s="8">
        <f t="shared" si="10"/>
        <v>6.0606060606060608E-2</v>
      </c>
      <c r="X26" s="19"/>
      <c r="Y26" s="10">
        <f t="shared" si="5"/>
        <v>11</v>
      </c>
      <c r="Z26" s="11">
        <f t="shared" si="6"/>
        <v>9.6491228070175433E-2</v>
      </c>
      <c r="AA26" s="13"/>
    </row>
    <row r="27" spans="1:27" x14ac:dyDescent="0.25">
      <c r="A27" s="36">
        <v>19</v>
      </c>
      <c r="B27" s="35" t="s">
        <v>42</v>
      </c>
      <c r="D27" s="13">
        <v>12</v>
      </c>
      <c r="E27" s="8">
        <f t="shared" si="0"/>
        <v>0.75</v>
      </c>
      <c r="F27" s="19"/>
      <c r="G27">
        <v>5</v>
      </c>
      <c r="H27" s="8">
        <f t="shared" si="1"/>
        <v>0.19230769230769232</v>
      </c>
      <c r="I27" s="19"/>
      <c r="J27">
        <f t="shared" si="7"/>
        <v>17</v>
      </c>
      <c r="K27" s="9">
        <f t="shared" si="8"/>
        <v>0.40476190476190477</v>
      </c>
      <c r="L27" s="22"/>
      <c r="M27">
        <v>26</v>
      </c>
      <c r="N27" s="8">
        <f t="shared" si="2"/>
        <v>0.66666666666666663</v>
      </c>
      <c r="O27" s="19"/>
      <c r="P27">
        <v>9</v>
      </c>
      <c r="Q27" s="8">
        <f t="shared" si="3"/>
        <v>0.39130434782608697</v>
      </c>
      <c r="R27" s="19"/>
      <c r="S27">
        <v>1</v>
      </c>
      <c r="T27" s="8">
        <f t="shared" si="4"/>
        <v>0.1</v>
      </c>
      <c r="U27" s="19"/>
      <c r="V27" s="7">
        <f t="shared" si="9"/>
        <v>10</v>
      </c>
      <c r="W27" s="8">
        <f t="shared" si="10"/>
        <v>0.30303030303030304</v>
      </c>
      <c r="X27" s="19"/>
      <c r="Y27" s="10">
        <f t="shared" si="5"/>
        <v>53</v>
      </c>
      <c r="Z27" s="11">
        <f t="shared" si="6"/>
        <v>0.46491228070175439</v>
      </c>
      <c r="AA27" s="13"/>
    </row>
    <row r="28" spans="1:27" x14ac:dyDescent="0.25">
      <c r="A28" s="36">
        <v>20</v>
      </c>
      <c r="B28" s="35" t="s">
        <v>4</v>
      </c>
      <c r="D28" s="13">
        <v>8</v>
      </c>
      <c r="E28" s="8">
        <f t="shared" si="0"/>
        <v>0.5</v>
      </c>
      <c r="F28" s="19"/>
      <c r="G28">
        <v>2</v>
      </c>
      <c r="H28" s="8">
        <f t="shared" si="1"/>
        <v>7.6923076923076927E-2</v>
      </c>
      <c r="I28" s="19"/>
      <c r="J28">
        <f t="shared" si="7"/>
        <v>10</v>
      </c>
      <c r="K28" s="9">
        <f t="shared" si="8"/>
        <v>0.23809523809523808</v>
      </c>
      <c r="L28" s="22"/>
      <c r="M28">
        <v>12</v>
      </c>
      <c r="N28" s="8">
        <f t="shared" si="2"/>
        <v>0.30769230769230771</v>
      </c>
      <c r="O28" s="19"/>
      <c r="P28">
        <v>4</v>
      </c>
      <c r="Q28" s="8">
        <f t="shared" si="3"/>
        <v>0.17391304347826086</v>
      </c>
      <c r="R28" s="19"/>
      <c r="S28">
        <v>0</v>
      </c>
      <c r="T28" s="8">
        <f t="shared" si="4"/>
        <v>0</v>
      </c>
      <c r="U28" s="19"/>
      <c r="V28" s="7">
        <f t="shared" si="9"/>
        <v>4</v>
      </c>
      <c r="W28" s="8">
        <f t="shared" si="10"/>
        <v>0.12121212121212122</v>
      </c>
      <c r="X28" s="19"/>
      <c r="Y28" s="10">
        <f t="shared" si="5"/>
        <v>26</v>
      </c>
      <c r="Z28" s="11">
        <f t="shared" si="6"/>
        <v>0.22807017543859648</v>
      </c>
      <c r="AA28" s="13"/>
    </row>
    <row r="29" spans="1:27" x14ac:dyDescent="0.25">
      <c r="A29" s="36">
        <v>21</v>
      </c>
      <c r="B29" s="35" t="s">
        <v>3</v>
      </c>
      <c r="D29" s="13">
        <v>2</v>
      </c>
      <c r="E29" s="8">
        <f t="shared" si="0"/>
        <v>0.125</v>
      </c>
      <c r="F29" s="19"/>
      <c r="G29">
        <v>0</v>
      </c>
      <c r="H29" s="8">
        <f t="shared" si="1"/>
        <v>0</v>
      </c>
      <c r="I29" s="19"/>
      <c r="J29">
        <f t="shared" si="7"/>
        <v>2</v>
      </c>
      <c r="K29" s="9">
        <f t="shared" si="8"/>
        <v>4.7619047619047616E-2</v>
      </c>
      <c r="L29" s="22"/>
      <c r="M29">
        <v>2</v>
      </c>
      <c r="N29" s="8">
        <f t="shared" si="2"/>
        <v>5.128205128205128E-2</v>
      </c>
      <c r="O29" s="19"/>
      <c r="P29">
        <v>0</v>
      </c>
      <c r="Q29" s="8">
        <f t="shared" si="3"/>
        <v>0</v>
      </c>
      <c r="R29" s="19"/>
      <c r="S29">
        <v>1</v>
      </c>
      <c r="T29" s="8">
        <f t="shared" si="4"/>
        <v>0.1</v>
      </c>
      <c r="U29" s="19"/>
      <c r="V29" s="7">
        <f t="shared" si="9"/>
        <v>1</v>
      </c>
      <c r="W29" s="8">
        <f t="shared" si="10"/>
        <v>3.0303030303030304E-2</v>
      </c>
      <c r="X29" s="19"/>
      <c r="Y29" s="10">
        <f t="shared" si="5"/>
        <v>5</v>
      </c>
      <c r="Z29" s="11">
        <f t="shared" si="6"/>
        <v>4.3859649122807015E-2</v>
      </c>
      <c r="AA29" s="13"/>
    </row>
    <row r="30" spans="1:27" x14ac:dyDescent="0.25">
      <c r="A30" s="36">
        <v>22</v>
      </c>
      <c r="B30" s="35" t="s">
        <v>43</v>
      </c>
      <c r="D30" s="13">
        <v>13</v>
      </c>
      <c r="E30" s="8">
        <f t="shared" si="0"/>
        <v>0.8125</v>
      </c>
      <c r="F30" s="19"/>
      <c r="G30">
        <v>4</v>
      </c>
      <c r="H30" s="8">
        <f t="shared" si="1"/>
        <v>0.15384615384615385</v>
      </c>
      <c r="I30" s="19"/>
      <c r="J30">
        <f t="shared" si="7"/>
        <v>17</v>
      </c>
      <c r="K30" s="9">
        <f t="shared" si="8"/>
        <v>0.40476190476190477</v>
      </c>
      <c r="L30" s="22"/>
      <c r="M30">
        <v>19</v>
      </c>
      <c r="N30" s="8">
        <f t="shared" si="2"/>
        <v>0.48717948717948717</v>
      </c>
      <c r="O30" s="19"/>
      <c r="P30">
        <v>6</v>
      </c>
      <c r="Q30" s="8">
        <f t="shared" si="3"/>
        <v>0.2608695652173913</v>
      </c>
      <c r="R30" s="19"/>
      <c r="S30">
        <v>1</v>
      </c>
      <c r="T30" s="8">
        <f t="shared" si="4"/>
        <v>0.1</v>
      </c>
      <c r="U30" s="19"/>
      <c r="V30" s="7">
        <f t="shared" si="9"/>
        <v>7</v>
      </c>
      <c r="W30" s="8">
        <f t="shared" si="10"/>
        <v>0.21212121212121213</v>
      </c>
      <c r="X30" s="19"/>
      <c r="Y30" s="10">
        <f t="shared" si="5"/>
        <v>43</v>
      </c>
      <c r="Z30" s="11">
        <f t="shared" si="6"/>
        <v>0.37719298245614036</v>
      </c>
      <c r="AA30" s="13"/>
    </row>
    <row r="31" spans="1:27" x14ac:dyDescent="0.25">
      <c r="A31" s="36">
        <v>23</v>
      </c>
      <c r="B31" s="35" t="s">
        <v>2</v>
      </c>
      <c r="D31" s="13">
        <v>2</v>
      </c>
      <c r="E31" s="8">
        <f t="shared" si="0"/>
        <v>0.125</v>
      </c>
      <c r="F31" s="19"/>
      <c r="G31">
        <v>0</v>
      </c>
      <c r="H31" s="8">
        <f t="shared" si="1"/>
        <v>0</v>
      </c>
      <c r="I31" s="19"/>
      <c r="J31">
        <f t="shared" si="7"/>
        <v>2</v>
      </c>
      <c r="K31" s="9">
        <f t="shared" si="8"/>
        <v>4.7619047619047616E-2</v>
      </c>
      <c r="L31" s="22"/>
      <c r="M31">
        <v>0</v>
      </c>
      <c r="N31" s="8">
        <f t="shared" si="2"/>
        <v>0</v>
      </c>
      <c r="O31" s="19"/>
      <c r="P31">
        <v>0</v>
      </c>
      <c r="Q31" s="8">
        <f t="shared" si="3"/>
        <v>0</v>
      </c>
      <c r="R31" s="19"/>
      <c r="S31">
        <v>0</v>
      </c>
      <c r="T31" s="8">
        <f t="shared" si="4"/>
        <v>0</v>
      </c>
      <c r="U31" s="19"/>
      <c r="V31" s="7">
        <f t="shared" si="9"/>
        <v>0</v>
      </c>
      <c r="W31" s="8">
        <f t="shared" si="10"/>
        <v>0</v>
      </c>
      <c r="X31" s="19"/>
      <c r="Y31" s="10">
        <f t="shared" si="5"/>
        <v>2</v>
      </c>
      <c r="Z31" s="11">
        <f t="shared" si="6"/>
        <v>1.7543859649122806E-2</v>
      </c>
      <c r="AA31" s="13"/>
    </row>
    <row r="32" spans="1:27" x14ac:dyDescent="0.25">
      <c r="A32" s="36">
        <v>24</v>
      </c>
      <c r="B32" s="35" t="s">
        <v>44</v>
      </c>
      <c r="D32" s="13">
        <v>1</v>
      </c>
      <c r="E32" s="8">
        <f t="shared" si="0"/>
        <v>6.25E-2</v>
      </c>
      <c r="F32" s="19"/>
      <c r="G32">
        <v>0</v>
      </c>
      <c r="H32" s="8">
        <f t="shared" si="1"/>
        <v>0</v>
      </c>
      <c r="I32" s="19"/>
      <c r="J32">
        <f t="shared" si="7"/>
        <v>1</v>
      </c>
      <c r="K32" s="9">
        <f t="shared" si="8"/>
        <v>2.3809523809523808E-2</v>
      </c>
      <c r="L32" s="22"/>
      <c r="M32">
        <v>2</v>
      </c>
      <c r="N32" s="8">
        <f t="shared" si="2"/>
        <v>5.128205128205128E-2</v>
      </c>
      <c r="O32" s="19"/>
      <c r="P32">
        <v>1</v>
      </c>
      <c r="Q32" s="8">
        <f t="shared" si="3"/>
        <v>4.3478260869565216E-2</v>
      </c>
      <c r="R32" s="19"/>
      <c r="S32">
        <v>0</v>
      </c>
      <c r="T32" s="8">
        <f t="shared" si="4"/>
        <v>0</v>
      </c>
      <c r="U32" s="19"/>
      <c r="V32" s="7">
        <f t="shared" si="9"/>
        <v>1</v>
      </c>
      <c r="W32" s="8">
        <f t="shared" si="10"/>
        <v>3.0303030303030304E-2</v>
      </c>
      <c r="X32" s="19"/>
      <c r="Y32" s="10">
        <f t="shared" si="5"/>
        <v>4</v>
      </c>
      <c r="Z32" s="11">
        <f t="shared" si="6"/>
        <v>3.5087719298245612E-2</v>
      </c>
      <c r="AA32" s="13"/>
    </row>
    <row r="33" spans="1:27" ht="13" thickBot="1" x14ac:dyDescent="0.3">
      <c r="A33" s="50">
        <v>25</v>
      </c>
      <c r="B33" s="51" t="s">
        <v>1</v>
      </c>
      <c r="D33" s="14">
        <v>1</v>
      </c>
      <c r="E33" s="15">
        <f t="shared" si="0"/>
        <v>6.25E-2</v>
      </c>
      <c r="F33" s="19"/>
      <c r="G33" s="14">
        <v>0</v>
      </c>
      <c r="H33" s="15">
        <f t="shared" si="1"/>
        <v>0</v>
      </c>
      <c r="I33" s="19"/>
      <c r="J33" s="14">
        <f t="shared" si="7"/>
        <v>1</v>
      </c>
      <c r="K33" s="33">
        <f t="shared" si="8"/>
        <v>2.3809523809523808E-2</v>
      </c>
      <c r="L33" s="22"/>
      <c r="M33" s="14">
        <v>2</v>
      </c>
      <c r="N33" s="15">
        <f t="shared" si="2"/>
        <v>5.128205128205128E-2</v>
      </c>
      <c r="O33" s="19"/>
      <c r="P33" s="14">
        <v>2</v>
      </c>
      <c r="Q33" s="15">
        <f t="shared" si="3"/>
        <v>8.6956521739130432E-2</v>
      </c>
      <c r="R33" s="19"/>
      <c r="S33" s="14">
        <v>0</v>
      </c>
      <c r="T33" s="15">
        <f t="shared" si="4"/>
        <v>0</v>
      </c>
      <c r="U33" s="19"/>
      <c r="V33" s="34">
        <f t="shared" si="9"/>
        <v>2</v>
      </c>
      <c r="W33" s="15">
        <f t="shared" si="10"/>
        <v>6.0606060606060608E-2</v>
      </c>
      <c r="X33" s="19"/>
      <c r="Y33" s="24">
        <f t="shared" si="5"/>
        <v>5</v>
      </c>
      <c r="Z33" s="26">
        <f t="shared" si="6"/>
        <v>4.3859649122807015E-2</v>
      </c>
      <c r="AA33" s="13"/>
    </row>
    <row r="34" spans="1:27" ht="13" thickTop="1" x14ac:dyDescent="0.25">
      <c r="A34" s="3"/>
      <c r="E34" s="1"/>
      <c r="F34" s="1"/>
      <c r="H34" s="1"/>
      <c r="I34" s="1"/>
      <c r="K34" s="2"/>
      <c r="L34" s="2"/>
      <c r="N34" s="1"/>
      <c r="O34" s="1"/>
      <c r="Q34" s="1"/>
      <c r="R34" s="1"/>
      <c r="S34" s="1"/>
      <c r="T34" s="1"/>
      <c r="U34" s="1"/>
      <c r="V34" s="1"/>
      <c r="W34" s="1"/>
      <c r="X34" s="1"/>
      <c r="Z34" s="1"/>
    </row>
    <row r="35" spans="1:27" x14ac:dyDescent="0.25">
      <c r="A35" s="3"/>
      <c r="B35" t="s">
        <v>0</v>
      </c>
      <c r="E35" s="1"/>
      <c r="F35" s="1"/>
      <c r="H35" s="1"/>
      <c r="I35" s="1"/>
      <c r="K35" s="2"/>
      <c r="L35" s="2"/>
      <c r="N35" s="1"/>
      <c r="O35" s="1"/>
      <c r="Q35" s="1"/>
      <c r="R35" s="1"/>
      <c r="S35" s="1"/>
      <c r="T35" s="1"/>
      <c r="U35" s="1"/>
      <c r="V35" s="1"/>
      <c r="W35" s="1"/>
      <c r="X35" s="1"/>
      <c r="Z35" s="1"/>
    </row>
    <row r="36" spans="1:27" x14ac:dyDescent="0.25">
      <c r="A36" s="3"/>
      <c r="E36" s="1"/>
      <c r="F36" s="1"/>
      <c r="H36" s="1"/>
      <c r="I36" s="1"/>
      <c r="K36" s="2"/>
      <c r="L36" s="2"/>
      <c r="N36" s="1"/>
      <c r="O36" s="1"/>
      <c r="Q36" s="1"/>
      <c r="R36" s="1"/>
      <c r="S36" s="1"/>
      <c r="T36" s="1"/>
      <c r="U36" s="1"/>
      <c r="V36" s="1"/>
      <c r="W36" s="1"/>
      <c r="X36" s="1"/>
      <c r="Z36" s="1"/>
    </row>
    <row r="37" spans="1:27" x14ac:dyDescent="0.25">
      <c r="A37" s="3"/>
      <c r="B37" t="s">
        <v>45</v>
      </c>
      <c r="E37" s="1"/>
      <c r="F37" s="1"/>
      <c r="H37" s="1"/>
      <c r="I37" s="1"/>
      <c r="K37" s="2"/>
      <c r="L37" s="2"/>
      <c r="N37" s="1"/>
      <c r="O37" s="1"/>
      <c r="Q37" s="1"/>
      <c r="R37" s="1"/>
      <c r="S37" s="1"/>
      <c r="T37" s="1"/>
      <c r="U37" s="1"/>
      <c r="V37" s="1"/>
      <c r="W37" s="1"/>
      <c r="X37" s="1"/>
      <c r="Z37" s="1"/>
    </row>
    <row r="38" spans="1:27" x14ac:dyDescent="0.25">
      <c r="A38" s="3"/>
      <c r="E38" s="1"/>
      <c r="F38" s="1"/>
      <c r="H38" s="1"/>
      <c r="I38" s="1"/>
      <c r="K38" s="2"/>
      <c r="L38" s="2"/>
      <c r="N38" s="1"/>
      <c r="O38" s="1"/>
      <c r="Q38" s="1"/>
      <c r="R38" s="1"/>
      <c r="S38" s="1"/>
      <c r="T38" s="1"/>
      <c r="U38" s="1"/>
      <c r="V38" s="1"/>
      <c r="W38" s="1"/>
      <c r="X38" s="1"/>
      <c r="Z38" s="1"/>
    </row>
  </sheetData>
  <printOptions gridLines="1"/>
  <pageMargins left="0" right="0" top="1" bottom="1" header="0.5" footer="0"/>
  <pageSetup orientation="landscape" r:id="rId1"/>
  <headerFooter alignWithMargins="0">
    <oddHeader>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B.G.S.U.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 Rabine</dc:creator>
  <cp:lastModifiedBy>Carina Negreanu</cp:lastModifiedBy>
  <cp:lastPrinted>2000-06-21T14:43:10Z</cp:lastPrinted>
  <dcterms:created xsi:type="dcterms:W3CDTF">2000-06-14T19:48:30Z</dcterms:created>
  <dcterms:modified xsi:type="dcterms:W3CDTF">2020-01-27T12:44:26Z</dcterms:modified>
</cp:coreProperties>
</file>