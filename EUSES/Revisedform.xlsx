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FCFE7D-D417-444D-9FA2-B5ADD2C6B183}" xr6:coauthVersionLast="45" xr6:coauthVersionMax="45" xr10:uidLastSave="{00000000-0000-0000-0000-000000000000}"/>
  <bookViews>
    <workbookView xWindow="380" yWindow="380" windowWidth="28800" windowHeight="15460"/>
  </bookViews>
  <sheets>
    <sheet name="Pharma50" sheetId="1" r:id="rId1"/>
  </sheets>
  <definedNames>
    <definedName name="_xlnm.Print_Area" localSheetId="0">Pharma50!$A$1:$Q$58</definedName>
    <definedName name="_xlnm.Print_Titles" localSheetId="0">Pharma50!$B:$E,Pharma50!$6:$10</definedName>
    <definedName name="Z_AC76C4EE_08A7_4D92_AF8D_6F83DF3677B4_.wvu.Cols" localSheetId="0" hidden="1">Pharma50!#REF!,Pharma50!#REF!,Pharma50!#REF!,Pharma50!#REF!,Pharma50!#REF!,Pharma50!#REF!,Pharma50!#REF!,Pharma50!#REF!,Pharma50!#REF!,Pharma50!#REF!,Pharma50!#REF!,Pharma50!#REF!,Pharma50!#REF!,Pharma50!#REF!,Pharma50!#REF!,Pharma50!#REF!,Pharma50!#REF!,Pharma50!#REF!</definedName>
    <definedName name="Z_AC76C4EE_08A7_4D92_AF8D_6F83DF3677B4_.wvu.PrintArea" localSheetId="0" hidden="1">Pharma50!$B$1:$E$55</definedName>
    <definedName name="Z_AC76C4EE_08A7_4D92_AF8D_6F83DF3677B4_.wvu.PrintTitles" localSheetId="0" hidden="1">Pharma50!$B:$E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L11" i="1"/>
  <c r="O11" i="1"/>
  <c r="P11" i="1"/>
  <c r="Q11" i="1" s="1"/>
  <c r="A12" i="1"/>
  <c r="G12" i="1"/>
  <c r="L12" i="1"/>
  <c r="O12" i="1"/>
  <c r="P12" i="1"/>
  <c r="Q12" i="1" s="1"/>
  <c r="A13" i="1"/>
  <c r="G13" i="1"/>
  <c r="G56" i="1" s="1"/>
  <c r="L13" i="1"/>
  <c r="L56" i="1" s="1"/>
  <c r="O13" i="1"/>
  <c r="O56" i="1" s="1"/>
  <c r="P13" i="1"/>
  <c r="Q13" i="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G14" i="1"/>
  <c r="L14" i="1"/>
  <c r="O14" i="1"/>
  <c r="P14" i="1"/>
  <c r="Q14" i="1"/>
  <c r="G15" i="1"/>
  <c r="L15" i="1"/>
  <c r="O15" i="1"/>
  <c r="P15" i="1"/>
  <c r="Q15" i="1" s="1"/>
  <c r="G16" i="1"/>
  <c r="L16" i="1"/>
  <c r="O16" i="1"/>
  <c r="P16" i="1"/>
  <c r="Q16" i="1"/>
  <c r="G17" i="1"/>
  <c r="L17" i="1"/>
  <c r="O17" i="1"/>
  <c r="P17" i="1"/>
  <c r="Q17" i="1" s="1"/>
  <c r="G18" i="1"/>
  <c r="L18" i="1"/>
  <c r="O18" i="1"/>
  <c r="P18" i="1"/>
  <c r="Q18" i="1"/>
  <c r="G19" i="1"/>
  <c r="L19" i="1"/>
  <c r="O19" i="1"/>
  <c r="P19" i="1"/>
  <c r="Q19" i="1"/>
  <c r="G20" i="1"/>
  <c r="L20" i="1"/>
  <c r="O20" i="1"/>
  <c r="P20" i="1"/>
  <c r="Q20" i="1"/>
  <c r="G21" i="1"/>
  <c r="L21" i="1"/>
  <c r="O21" i="1"/>
  <c r="P21" i="1"/>
  <c r="Q21" i="1" s="1"/>
  <c r="G22" i="1"/>
  <c r="L22" i="1"/>
  <c r="O22" i="1"/>
  <c r="P22" i="1"/>
  <c r="Q22" i="1" s="1"/>
  <c r="G23" i="1"/>
  <c r="L23" i="1"/>
  <c r="O23" i="1"/>
  <c r="P23" i="1"/>
  <c r="Q23" i="1" s="1"/>
  <c r="G24" i="1"/>
  <c r="L24" i="1"/>
  <c r="O24" i="1"/>
  <c r="P24" i="1"/>
  <c r="Q24" i="1"/>
  <c r="G25" i="1"/>
  <c r="L25" i="1"/>
  <c r="O25" i="1"/>
  <c r="P25" i="1"/>
  <c r="Q25" i="1" s="1"/>
  <c r="G26" i="1"/>
  <c r="L26" i="1"/>
  <c r="O26" i="1"/>
  <c r="P26" i="1"/>
  <c r="Q26" i="1"/>
  <c r="G27" i="1"/>
  <c r="L27" i="1"/>
  <c r="O27" i="1"/>
  <c r="P27" i="1"/>
  <c r="Q27" i="1" s="1"/>
  <c r="G28" i="1"/>
  <c r="L28" i="1"/>
  <c r="O28" i="1"/>
  <c r="P28" i="1"/>
  <c r="Q28" i="1"/>
  <c r="G29" i="1"/>
  <c r="L29" i="1"/>
  <c r="O29" i="1"/>
  <c r="P29" i="1"/>
  <c r="Q29" i="1" s="1"/>
  <c r="G30" i="1"/>
  <c r="L30" i="1"/>
  <c r="O30" i="1"/>
  <c r="P30" i="1"/>
  <c r="Q30" i="1"/>
  <c r="G31" i="1"/>
  <c r="L31" i="1"/>
  <c r="O31" i="1"/>
  <c r="P31" i="1"/>
  <c r="Q31" i="1" s="1"/>
  <c r="G32" i="1"/>
  <c r="L32" i="1"/>
  <c r="O32" i="1"/>
  <c r="P32" i="1"/>
  <c r="Q32" i="1" s="1"/>
  <c r="G33" i="1"/>
  <c r="L33" i="1"/>
  <c r="O33" i="1"/>
  <c r="P33" i="1"/>
  <c r="Q33" i="1" s="1"/>
  <c r="G34" i="1"/>
  <c r="L34" i="1"/>
  <c r="O34" i="1"/>
  <c r="P34" i="1"/>
  <c r="Q34" i="1"/>
  <c r="G35" i="1"/>
  <c r="L35" i="1"/>
  <c r="O35" i="1"/>
  <c r="P35" i="1"/>
  <c r="Q35" i="1" s="1"/>
  <c r="G36" i="1"/>
  <c r="L36" i="1"/>
  <c r="O36" i="1"/>
  <c r="P36" i="1"/>
  <c r="Q36" i="1"/>
  <c r="G37" i="1"/>
  <c r="L37" i="1"/>
  <c r="O37" i="1"/>
  <c r="P37" i="1"/>
  <c r="Q37" i="1" s="1"/>
  <c r="G38" i="1"/>
  <c r="L38" i="1"/>
  <c r="O38" i="1"/>
  <c r="P38" i="1"/>
  <c r="Q38" i="1"/>
  <c r="G39" i="1"/>
  <c r="L39" i="1"/>
  <c r="O39" i="1"/>
  <c r="P39" i="1"/>
  <c r="Q39" i="1"/>
  <c r="G40" i="1"/>
  <c r="L40" i="1"/>
  <c r="O40" i="1"/>
  <c r="P40" i="1"/>
  <c r="Q40" i="1"/>
  <c r="G41" i="1"/>
  <c r="L41" i="1"/>
  <c r="O41" i="1"/>
  <c r="P41" i="1"/>
  <c r="Q41" i="1" s="1"/>
  <c r="G42" i="1"/>
  <c r="L42" i="1"/>
  <c r="O42" i="1"/>
  <c r="P42" i="1"/>
  <c r="Q42" i="1" s="1"/>
  <c r="G43" i="1"/>
  <c r="L43" i="1"/>
  <c r="O43" i="1"/>
  <c r="P43" i="1"/>
  <c r="Q43" i="1" s="1"/>
  <c r="G44" i="1"/>
  <c r="L44" i="1"/>
  <c r="O44" i="1"/>
  <c r="P44" i="1"/>
  <c r="Q44" i="1"/>
  <c r="G45" i="1"/>
  <c r="L45" i="1"/>
  <c r="O45" i="1"/>
  <c r="P45" i="1"/>
  <c r="Q45" i="1" s="1"/>
  <c r="G46" i="1"/>
  <c r="L46" i="1"/>
  <c r="O46" i="1"/>
  <c r="P46" i="1"/>
  <c r="Q46" i="1"/>
  <c r="G47" i="1"/>
  <c r="L47" i="1"/>
  <c r="O47" i="1"/>
  <c r="P47" i="1"/>
  <c r="Q47" i="1" s="1"/>
  <c r="G48" i="1"/>
  <c r="L48" i="1"/>
  <c r="O48" i="1"/>
  <c r="P48" i="1"/>
  <c r="Q48" i="1"/>
  <c r="G49" i="1"/>
  <c r="L49" i="1"/>
  <c r="O49" i="1"/>
  <c r="P49" i="1"/>
  <c r="Q49" i="1"/>
  <c r="G50" i="1"/>
  <c r="L50" i="1"/>
  <c r="O50" i="1"/>
  <c r="P50" i="1"/>
  <c r="Q50" i="1"/>
  <c r="G51" i="1"/>
  <c r="L51" i="1"/>
  <c r="O51" i="1"/>
  <c r="P51" i="1"/>
  <c r="Q51" i="1" s="1"/>
  <c r="G52" i="1"/>
  <c r="L52" i="1"/>
  <c r="O52" i="1"/>
  <c r="P52" i="1"/>
  <c r="Q52" i="1" s="1"/>
  <c r="G53" i="1"/>
  <c r="L53" i="1"/>
  <c r="O53" i="1"/>
  <c r="P53" i="1"/>
  <c r="Q53" i="1" s="1"/>
  <c r="G54" i="1"/>
  <c r="L54" i="1"/>
  <c r="O54" i="1"/>
  <c r="P54" i="1"/>
  <c r="Q54" i="1"/>
  <c r="G55" i="1"/>
  <c r="L55" i="1"/>
  <c r="O55" i="1"/>
  <c r="P55" i="1"/>
  <c r="Q55" i="1" s="1"/>
  <c r="Q56" i="1" l="1"/>
</calcChain>
</file>

<file path=xl/sharedStrings.xml><?xml version="1.0" encoding="utf-8"?>
<sst xmlns="http://schemas.openxmlformats.org/spreadsheetml/2006/main" count="177" uniqueCount="117">
  <si>
    <t>Republic of the Philippines</t>
  </si>
  <si>
    <t>NAME OF HOSPITAL:</t>
  </si>
  <si>
    <t xml:space="preserve">MONTHLY INVENTORY REPORT OF  PHARMA 50 IMPORTED DRUGS AND MEDICINES </t>
  </si>
  <si>
    <t xml:space="preserve">For the period of </t>
  </si>
  <si>
    <t xml:space="preserve">                                to                                    2004</t>
  </si>
  <si>
    <t>Generic Name</t>
  </si>
  <si>
    <t>Brand Name</t>
  </si>
  <si>
    <t>Unit Price</t>
  </si>
  <si>
    <t>Packaging</t>
  </si>
  <si>
    <t>Total Qty delivered by PITC &amp; Received thru redistribution/ networking (May 02 - previous month)</t>
  </si>
  <si>
    <t>Peso Value</t>
  </si>
  <si>
    <t xml:space="preserve">Beginning Balance </t>
  </si>
  <si>
    <t>Received during the month</t>
  </si>
  <si>
    <t>Issuance</t>
  </si>
  <si>
    <t>Given to Indigent without Replenishment from MOOE before expiration date</t>
  </si>
  <si>
    <t xml:space="preserve"> Ending Balance </t>
  </si>
  <si>
    <t xml:space="preserve">Total Quantities </t>
  </si>
  <si>
    <t>Networking/ redistribution with other hospital (Qty)</t>
  </si>
  <si>
    <t>PITC (Qty)</t>
  </si>
  <si>
    <t>Total Peso Value</t>
  </si>
  <si>
    <t>(A)</t>
  </si>
  <si>
    <t>(B)</t>
  </si>
  <si>
    <t>(D)</t>
  </si>
  <si>
    <t>(E)</t>
  </si>
  <si>
    <t>(F)</t>
  </si>
  <si>
    <t>(G)</t>
  </si>
  <si>
    <t>(I)</t>
  </si>
  <si>
    <t>Atenolol</t>
  </si>
  <si>
    <t>Tenormin 50 mg tab</t>
  </si>
  <si>
    <t>tablet</t>
  </si>
  <si>
    <t>Carbamazepine 100 mg/5 mL, 100 mL syrup*</t>
  </si>
  <si>
    <t xml:space="preserve">Tegrital </t>
  </si>
  <si>
    <t>bottle</t>
  </si>
  <si>
    <t>Carbamazepine 200 mg tab</t>
  </si>
  <si>
    <t>Carbamazepine 400 mg ER tab</t>
  </si>
  <si>
    <t>Tegrital ER</t>
  </si>
  <si>
    <t>Cefalexin (anhydrous) 250 mg cap*</t>
  </si>
  <si>
    <t>Phexin</t>
  </si>
  <si>
    <t>capsule</t>
  </si>
  <si>
    <t>Cefalexin (anhydrous) 250 mg/5 mL granules for suspension, 30 mL *</t>
  </si>
  <si>
    <t>Cefalexin (anhydrous) 500 mg cap*</t>
  </si>
  <si>
    <t xml:space="preserve">Phexin </t>
  </si>
  <si>
    <t>Ciprofloxacin as HCl 250 mg tab</t>
  </si>
  <si>
    <t>Baycip</t>
  </si>
  <si>
    <t>Ciprofloxacin as HCl 500  mg tab</t>
  </si>
  <si>
    <t>Co-amoxiclav (250 mg Amoxicillin (as  trihydrate) + 125 mg potassium clavulanate)  tablet</t>
  </si>
  <si>
    <t xml:space="preserve">Augmentin 375 mg </t>
  </si>
  <si>
    <t>Co-amoxiclav (500 mg Amoxicillin (as  trihydrate) + 125 mg potassium clavulanate) tablet</t>
  </si>
  <si>
    <t xml:space="preserve">Augmentin 625 mg </t>
  </si>
  <si>
    <t>Cotrimoxazole</t>
  </si>
  <si>
    <t xml:space="preserve">Bactrim DS 800/160 mg </t>
  </si>
  <si>
    <t xml:space="preserve">Bactrim Adult 400/80 mg </t>
  </si>
  <si>
    <t>Diclofenac (as sodium) 100 mg SR tab</t>
  </si>
  <si>
    <t xml:space="preserve">Voveran SR </t>
  </si>
  <si>
    <t>Diclofenac (as sodium) 50 mg tab</t>
  </si>
  <si>
    <t xml:space="preserve">Voveran </t>
  </si>
  <si>
    <t>Diclofenac (as sodium) 75 mg SR tab</t>
  </si>
  <si>
    <t>Diltiazem (as HCl) 30 mg tab</t>
  </si>
  <si>
    <t xml:space="preserve">Ionozem </t>
  </si>
  <si>
    <t>Diltiazem (as HCl) 60 mg tab</t>
  </si>
  <si>
    <t>Gemfibrozil 300 mg cap</t>
  </si>
  <si>
    <t xml:space="preserve">Lopid </t>
  </si>
  <si>
    <t>Gemfibrozil 600 mg cap</t>
  </si>
  <si>
    <t>Glibenclamide</t>
  </si>
  <si>
    <t>Euglucon 5 mg tab</t>
  </si>
  <si>
    <t>Glibenclamide 5 mg tab</t>
  </si>
  <si>
    <t>Daonil</t>
  </si>
  <si>
    <t>Gliclazide 80 mg tab</t>
  </si>
  <si>
    <t xml:space="preserve">Diamicron </t>
  </si>
  <si>
    <t xml:space="preserve">Haloperidol  5 mg tab </t>
  </si>
  <si>
    <t xml:space="preserve">Serenace </t>
  </si>
  <si>
    <t>Haloperidol  5 mg/mL inj., 1 mL ampule</t>
  </si>
  <si>
    <t>ampule</t>
  </si>
  <si>
    <t xml:space="preserve">Haloperidol 1.5 mg tab </t>
  </si>
  <si>
    <t>Haloperidol 10 mg tab</t>
  </si>
  <si>
    <t>Haloperidol 20 mg tab</t>
  </si>
  <si>
    <t>Serenace</t>
  </si>
  <si>
    <t>Hyoscine (as N-butyl bromide) 10 mg tab</t>
  </si>
  <si>
    <t xml:space="preserve">Buscopan </t>
  </si>
  <si>
    <t>Hyoscine (as N-butyl bromide) 20 mg/mL inj, 1 mL amp</t>
  </si>
  <si>
    <t>Isosorbide dinitrate 10 mg tab</t>
  </si>
  <si>
    <t xml:space="preserve">Isordil </t>
  </si>
  <si>
    <t>Isosorbide dinitrate 5 mg tab</t>
  </si>
  <si>
    <t>SL tablet</t>
  </si>
  <si>
    <t>Loperamide (as hydrochloride) 2 mg cap</t>
  </si>
  <si>
    <t xml:space="preserve">Imodium </t>
  </si>
  <si>
    <t>Mefenamic acid 250 mg tab</t>
  </si>
  <si>
    <t xml:space="preserve">Ponstan </t>
  </si>
  <si>
    <t>Mefenamic acid 500 mg tab</t>
  </si>
  <si>
    <t>Metoprolol (as tartrate) 100 mg tab</t>
  </si>
  <si>
    <t xml:space="preserve">Betaloc </t>
  </si>
  <si>
    <t>Metoprolol (as tartrate) 50 mg tab</t>
  </si>
  <si>
    <t>Nifedipine</t>
  </si>
  <si>
    <t xml:space="preserve">Adalat Retard 20 mg </t>
  </si>
  <si>
    <t>Phenytoin (as sodium salt) 100 mg cap</t>
  </si>
  <si>
    <t xml:space="preserve">Dilantin </t>
  </si>
  <si>
    <t>Salbutamol (as sulfate)</t>
  </si>
  <si>
    <t>Ventorlin 100 mcg x 200 doses inhaler</t>
  </si>
  <si>
    <t>inhaler</t>
  </si>
  <si>
    <t>Salbutamol (as sulfate) 2 mg/5 mL, 100 mL syrup*</t>
  </si>
  <si>
    <t xml:space="preserve">Ventorlin </t>
  </si>
  <si>
    <t>Terbutaline (as sulfate) 1.5 mg/5 mL, 100 mL syrup*</t>
  </si>
  <si>
    <t>Bricanyl</t>
  </si>
  <si>
    <t>Terbutaline (as sulfate) 2.5 mg tab</t>
  </si>
  <si>
    <t xml:space="preserve">Bricanyl </t>
  </si>
  <si>
    <t>Terbutaline (as sulfate) 250 mcg x 200 doses inhaler</t>
  </si>
  <si>
    <t>Terbutaline (as sulfate) 5 mg tab</t>
  </si>
  <si>
    <t xml:space="preserve">TOTAL </t>
  </si>
  <si>
    <t>PREPARED BY:</t>
  </si>
  <si>
    <t>APPROVED BY</t>
  </si>
  <si>
    <r>
      <t>(A x B) =</t>
    </r>
    <r>
      <rPr>
        <b/>
        <sz val="10"/>
        <rFont val="Arial"/>
        <family val="2"/>
      </rPr>
      <t>(C)</t>
    </r>
  </si>
  <si>
    <r>
      <t xml:space="preserve">(A x G) = </t>
    </r>
    <r>
      <rPr>
        <b/>
        <sz val="10"/>
        <rFont val="Arial"/>
        <family val="2"/>
      </rPr>
      <t>(H)</t>
    </r>
  </si>
  <si>
    <t>Total Quantity issued thru Networking/ redistribution  with other hospitals</t>
  </si>
  <si>
    <t>(J)</t>
  </si>
  <si>
    <r>
      <t xml:space="preserve">(A xJI)= </t>
    </r>
    <r>
      <rPr>
        <b/>
        <sz val="10"/>
        <rFont val="Arial"/>
        <family val="2"/>
      </rPr>
      <t>(K)</t>
    </r>
  </si>
  <si>
    <r>
      <t>(L x A) =</t>
    </r>
    <r>
      <rPr>
        <b/>
        <sz val="10"/>
        <rFont val="Arial"/>
        <family val="2"/>
      </rPr>
      <t xml:space="preserve"> (M)</t>
    </r>
  </si>
  <si>
    <r>
      <t xml:space="preserve">(D+E+F-G-I-J) = </t>
    </r>
    <r>
      <rPr>
        <b/>
        <sz val="10"/>
        <rFont val="Arial"/>
        <family val="2"/>
      </rPr>
      <t>(L)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</si>
</sst>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 applyFont="0" applyFill="0" applyBorder="0" applyProtection="0">
      <alignment horizontal="centerContinuous" vertical="top"/>
    </xf>
    <xf numFmtId="171" fontId="1" fillId="0" borderId="0" applyFont="0" applyFill="0" applyBorder="0" applyAlignment="0" applyProtection="0"/>
  </cellStyleXfs>
  <cellXfs count="143">
    <xf numFmtId="0" fontId="0" fillId="0" borderId="0" xfId="0">
      <alignment horizontal="centerContinuous" vertical="top"/>
    </xf>
    <xf numFmtId="0" fontId="0" fillId="0" borderId="0" xfId="0" applyProtection="1">
      <alignment horizontal="centerContinuous" vertical="top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4" fillId="0" borderId="0" xfId="0" applyFont="1" applyFill="1" applyProtection="1">
      <alignment horizontal="centerContinuous" vertical="top"/>
    </xf>
    <xf numFmtId="0" fontId="4" fillId="0" borderId="1" xfId="0" applyFont="1" applyFill="1" applyBorder="1" applyProtection="1">
      <alignment horizontal="centerContinuous" vertical="top"/>
    </xf>
    <xf numFmtId="0" fontId="4" fillId="0" borderId="2" xfId="0" applyFont="1" applyFill="1" applyBorder="1" applyAlignment="1" applyProtection="1">
      <alignment horizontal="left" vertical="top"/>
    </xf>
    <xf numFmtId="171" fontId="3" fillId="0" borderId="3" xfId="1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 vertical="top"/>
    </xf>
    <xf numFmtId="0" fontId="3" fillId="0" borderId="3" xfId="0" applyFont="1" applyFill="1" applyBorder="1" applyProtection="1">
      <alignment horizontal="centerContinuous" vertical="top"/>
    </xf>
    <xf numFmtId="172" fontId="3" fillId="0" borderId="2" xfId="1" applyNumberFormat="1" applyFont="1" applyFill="1" applyBorder="1" applyAlignment="1" applyProtection="1">
      <alignment horizontal="center"/>
    </xf>
    <xf numFmtId="171" fontId="4" fillId="0" borderId="2" xfId="1" applyFont="1" applyFill="1" applyBorder="1" applyProtection="1"/>
    <xf numFmtId="0" fontId="5" fillId="0" borderId="0" xfId="0" applyFont="1" applyFill="1" applyBorder="1" applyProtection="1">
      <alignment horizontal="centerContinuous" vertical="top"/>
    </xf>
    <xf numFmtId="0" fontId="5" fillId="0" borderId="0" xfId="0" applyFont="1" applyFill="1" applyBorder="1" applyAlignment="1" applyProtection="1">
      <alignment horizontal="left" vertical="top"/>
    </xf>
    <xf numFmtId="0" fontId="5" fillId="0" borderId="0" xfId="0" applyFont="1" applyFill="1" applyBorder="1" applyAlignment="1" applyProtection="1">
      <alignment horizontal="center" vertical="top"/>
    </xf>
    <xf numFmtId="172" fontId="5" fillId="0" borderId="0" xfId="1" applyNumberFormat="1" applyFont="1" applyFill="1" applyBorder="1" applyProtection="1"/>
    <xf numFmtId="171" fontId="5" fillId="0" borderId="0" xfId="1" applyFont="1" applyFill="1" applyBorder="1" applyProtection="1"/>
    <xf numFmtId="0" fontId="4" fillId="0" borderId="0" xfId="0" applyFont="1" applyFill="1" applyBorder="1" applyProtection="1">
      <alignment horizontal="centerContinuous" vertical="top"/>
    </xf>
    <xf numFmtId="0" fontId="4" fillId="0" borderId="0" xfId="0" applyFont="1" applyFill="1" applyBorder="1" applyAlignment="1" applyProtection="1">
      <alignment horizontal="left" vertical="top"/>
    </xf>
    <xf numFmtId="0" fontId="4" fillId="0" borderId="0" xfId="0" applyFont="1" applyFill="1" applyBorder="1" applyAlignment="1" applyProtection="1">
      <alignment horizontal="center" vertical="top"/>
    </xf>
    <xf numFmtId="172" fontId="4" fillId="0" borderId="0" xfId="1" applyNumberFormat="1" applyFont="1" applyFill="1" applyBorder="1" applyProtection="1"/>
    <xf numFmtId="171" fontId="4" fillId="0" borderId="0" xfId="1" applyFont="1" applyFill="1" applyBorder="1" applyProtection="1"/>
    <xf numFmtId="0" fontId="4" fillId="0" borderId="4" xfId="0" applyFont="1" applyFill="1" applyBorder="1" applyProtection="1">
      <alignment horizontal="centerContinuous" vertical="top"/>
    </xf>
    <xf numFmtId="0" fontId="4" fillId="0" borderId="4" xfId="0" applyFont="1" applyFill="1" applyBorder="1" applyAlignment="1" applyProtection="1">
      <alignment horizontal="left" vertical="top"/>
    </xf>
    <xf numFmtId="0" fontId="4" fillId="0" borderId="4" xfId="0" applyFont="1" applyFill="1" applyBorder="1" applyAlignment="1" applyProtection="1">
      <alignment horizontal="center" vertical="top"/>
    </xf>
    <xf numFmtId="172" fontId="4" fillId="0" borderId="4" xfId="1" applyNumberFormat="1" applyFont="1" applyFill="1" applyBorder="1" applyProtection="1"/>
    <xf numFmtId="171" fontId="4" fillId="0" borderId="4" xfId="1" applyFont="1" applyFill="1" applyBorder="1" applyProtection="1"/>
    <xf numFmtId="0" fontId="4" fillId="0" borderId="5" xfId="0" applyFont="1" applyFill="1" applyBorder="1" applyProtection="1">
      <alignment horizontal="centerContinuous" vertical="top"/>
    </xf>
    <xf numFmtId="0" fontId="4" fillId="0" borderId="5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vertical="top"/>
    </xf>
    <xf numFmtId="172" fontId="4" fillId="0" borderId="5" xfId="1" applyNumberFormat="1" applyFont="1" applyFill="1" applyBorder="1" applyProtection="1"/>
    <xf numFmtId="171" fontId="4" fillId="0" borderId="5" xfId="1" applyFont="1" applyFill="1" applyBorder="1" applyProtection="1"/>
    <xf numFmtId="0" fontId="4" fillId="0" borderId="0" xfId="0" applyFont="1" applyFill="1" applyAlignment="1" applyProtection="1">
      <alignment horizontal="left" vertical="top"/>
    </xf>
    <xf numFmtId="0" fontId="4" fillId="0" borderId="0" xfId="0" applyFont="1" applyFill="1" applyAlignment="1" applyProtection="1">
      <alignment horizontal="center" vertical="top"/>
    </xf>
    <xf numFmtId="172" fontId="4" fillId="0" borderId="0" xfId="1" applyNumberFormat="1" applyFont="1" applyFill="1" applyProtection="1"/>
    <xf numFmtId="171" fontId="4" fillId="0" borderId="0" xfId="1" applyFont="1" applyFill="1" applyProtection="1"/>
    <xf numFmtId="0" fontId="6" fillId="0" borderId="6" xfId="0" applyFont="1" applyFill="1" applyBorder="1" applyProtection="1">
      <alignment horizontal="centerContinuous" vertical="top"/>
    </xf>
    <xf numFmtId="0" fontId="6" fillId="0" borderId="7" xfId="0" applyFont="1" applyFill="1" applyBorder="1" applyAlignment="1" applyProtection="1">
      <alignment vertical="center" wrapText="1"/>
    </xf>
    <xf numFmtId="0" fontId="6" fillId="0" borderId="7" xfId="0" applyFont="1" applyFill="1" applyBorder="1" applyAlignment="1" applyProtection="1">
      <alignment horizontal="left" vertical="center" wrapText="1"/>
    </xf>
    <xf numFmtId="171" fontId="6" fillId="0" borderId="7" xfId="1" applyFont="1" applyFill="1" applyBorder="1" applyAlignment="1" applyProtection="1">
      <alignment horizontal="right" vertical="center"/>
    </xf>
    <xf numFmtId="0" fontId="6" fillId="0" borderId="7" xfId="0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vertical="center"/>
    </xf>
    <xf numFmtId="171" fontId="6" fillId="0" borderId="7" xfId="0" applyNumberFormat="1" applyFont="1" applyFill="1" applyBorder="1" applyAlignment="1" applyProtection="1">
      <alignment vertical="center"/>
    </xf>
    <xf numFmtId="0" fontId="6" fillId="0" borderId="7" xfId="0" applyFont="1" applyFill="1" applyBorder="1" applyAlignment="1" applyProtection="1">
      <alignment vertical="center"/>
      <protection locked="0"/>
    </xf>
    <xf numFmtId="171" fontId="6" fillId="0" borderId="7" xfId="0" applyNumberFormat="1" applyFont="1" applyFill="1" applyBorder="1" applyAlignment="1" applyProtection="1">
      <alignment horizontal="center" vertical="top"/>
      <protection locked="0"/>
    </xf>
    <xf numFmtId="171" fontId="6" fillId="0" borderId="7" xfId="1" applyFont="1" applyFill="1" applyBorder="1" applyProtection="1"/>
    <xf numFmtId="171" fontId="6" fillId="0" borderId="7" xfId="0" applyNumberFormat="1" applyFont="1" applyFill="1" applyBorder="1" applyProtection="1">
      <alignment horizontal="centerContinuous" vertical="top"/>
    </xf>
    <xf numFmtId="171" fontId="6" fillId="0" borderId="8" xfId="1" applyFont="1" applyFill="1" applyBorder="1" applyAlignment="1" applyProtection="1">
      <alignment horizontal="right"/>
    </xf>
    <xf numFmtId="0" fontId="6" fillId="0" borderId="0" xfId="0" applyFont="1" applyFill="1" applyBorder="1" applyProtection="1">
      <alignment horizontal="centerContinuous" vertical="top"/>
    </xf>
    <xf numFmtId="0" fontId="6" fillId="0" borderId="5" xfId="0" applyFont="1" applyFill="1" applyBorder="1" applyAlignment="1" applyProtection="1">
      <alignment horizontal="centerContinuous" vertical="center"/>
    </xf>
    <xf numFmtId="0" fontId="6" fillId="0" borderId="4" xfId="0" applyFont="1" applyFill="1" applyBorder="1" applyAlignment="1" applyProtection="1">
      <alignment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171" fontId="6" fillId="0" borderId="4" xfId="1" applyFont="1" applyFill="1" applyBorder="1" applyAlignment="1" applyProtection="1">
      <alignment horizontal="right"/>
    </xf>
    <xf numFmtId="0" fontId="6" fillId="0" borderId="9" xfId="0" applyFont="1" applyFill="1" applyBorder="1" applyAlignment="1" applyProtection="1">
      <alignment horizontal="center" vertical="top"/>
    </xf>
    <xf numFmtId="171" fontId="6" fillId="0" borderId="4" xfId="0" applyNumberFormat="1" applyFont="1" applyFill="1" applyBorder="1" applyAlignment="1" applyProtection="1">
      <alignment horizontal="left" vertical="top"/>
    </xf>
    <xf numFmtId="171" fontId="6" fillId="0" borderId="4" xfId="1" applyFont="1" applyFill="1" applyBorder="1" applyProtection="1"/>
    <xf numFmtId="172" fontId="6" fillId="0" borderId="4" xfId="1" applyNumberFormat="1" applyFont="1" applyFill="1" applyBorder="1" applyProtection="1"/>
    <xf numFmtId="0" fontId="6" fillId="0" borderId="0" xfId="0" applyFont="1" applyFill="1" applyProtection="1">
      <alignment horizontal="centerContinuous" vertical="top"/>
    </xf>
    <xf numFmtId="0" fontId="6" fillId="0" borderId="5" xfId="0" applyFont="1" applyFill="1" applyBorder="1" applyAlignment="1" applyProtection="1">
      <alignment vertical="top" wrapText="1"/>
    </xf>
    <xf numFmtId="0" fontId="6" fillId="0" borderId="5" xfId="0" applyFont="1" applyFill="1" applyBorder="1" applyAlignment="1" applyProtection="1">
      <alignment horizontal="left" vertical="top" wrapText="1"/>
    </xf>
    <xf numFmtId="171" fontId="6" fillId="0" borderId="5" xfId="1" applyFont="1" applyFill="1" applyBorder="1" applyAlignment="1" applyProtection="1">
      <alignment horizontal="right"/>
    </xf>
    <xf numFmtId="0" fontId="6" fillId="0" borderId="10" xfId="0" applyFont="1" applyFill="1" applyBorder="1" applyAlignment="1" applyProtection="1">
      <alignment horizontal="center" vertical="top"/>
    </xf>
    <xf numFmtId="0" fontId="6" fillId="0" borderId="5" xfId="0" applyFont="1" applyFill="1" applyBorder="1" applyAlignment="1" applyProtection="1">
      <alignment horizontal="left"/>
    </xf>
    <xf numFmtId="0" fontId="6" fillId="0" borderId="5" xfId="0" applyFont="1" applyFill="1" applyBorder="1" applyAlignment="1" applyProtection="1">
      <alignment horizontal="left" vertical="top"/>
    </xf>
    <xf numFmtId="2" fontId="6" fillId="0" borderId="5" xfId="0" applyNumberFormat="1" applyFont="1" applyFill="1" applyBorder="1" applyProtection="1">
      <alignment horizontal="centerContinuous" vertical="top"/>
    </xf>
    <xf numFmtId="0" fontId="7" fillId="0" borderId="5" xfId="0" applyFont="1" applyFill="1" applyBorder="1" applyAlignment="1" applyProtection="1">
      <alignment vertical="top" wrapText="1"/>
    </xf>
    <xf numFmtId="0" fontId="7" fillId="0" borderId="5" xfId="0" applyFont="1" applyFill="1" applyBorder="1" applyAlignment="1" applyProtection="1">
      <alignment horizontal="left" vertical="top" wrapText="1"/>
    </xf>
    <xf numFmtId="171" fontId="7" fillId="0" borderId="5" xfId="1" applyFont="1" applyFill="1" applyBorder="1" applyAlignment="1" applyProtection="1">
      <alignment horizontal="right"/>
    </xf>
    <xf numFmtId="0" fontId="6" fillId="0" borderId="5" xfId="0" applyFont="1" applyFill="1" applyBorder="1" applyAlignment="1" applyProtection="1">
      <alignment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171" fontId="6" fillId="0" borderId="5" xfId="1" applyFont="1" applyFill="1" applyBorder="1" applyAlignment="1" applyProtection="1">
      <alignment horizontal="right" vertical="center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11" xfId="0" applyFont="1" applyFill="1" applyBorder="1" applyAlignment="1" applyProtection="1">
      <alignment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171" fontId="6" fillId="0" borderId="11" xfId="1" applyFont="1" applyFill="1" applyBorder="1" applyAlignment="1" applyProtection="1">
      <alignment horizontal="right"/>
    </xf>
    <xf numFmtId="0" fontId="6" fillId="0" borderId="12" xfId="0" applyFont="1" applyFill="1" applyBorder="1" applyAlignment="1" applyProtection="1">
      <alignment horizontal="center" vertical="top"/>
    </xf>
    <xf numFmtId="0" fontId="6" fillId="0" borderId="11" xfId="0" applyFont="1" applyFill="1" applyBorder="1" applyAlignment="1" applyProtection="1">
      <alignment horizontal="centerContinuous" vertical="center"/>
    </xf>
    <xf numFmtId="0" fontId="6" fillId="0" borderId="5" xfId="0" applyFont="1" applyFill="1" applyBorder="1" applyProtection="1">
      <alignment horizontal="centerContinuous" vertical="top"/>
    </xf>
    <xf numFmtId="172" fontId="6" fillId="0" borderId="7" xfId="0" applyNumberFormat="1" applyFont="1" applyFill="1" applyBorder="1" applyProtection="1">
      <alignment horizontal="centerContinuous" vertical="top"/>
      <protection locked="0"/>
    </xf>
    <xf numFmtId="172" fontId="6" fillId="0" borderId="7" xfId="1" applyNumberFormat="1" applyFont="1" applyFill="1" applyBorder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6" fillId="3" borderId="4" xfId="0" applyFont="1" applyFill="1" applyBorder="1" applyProtection="1">
      <alignment horizontal="centerContinuous" vertical="top"/>
      <protection locked="0"/>
    </xf>
    <xf numFmtId="172" fontId="6" fillId="3" borderId="4" xfId="1" applyNumberFormat="1" applyFont="1" applyFill="1" applyBorder="1" applyProtection="1">
      <protection locked="0"/>
    </xf>
    <xf numFmtId="0" fontId="6" fillId="3" borderId="5" xfId="0" applyFont="1" applyFill="1" applyBorder="1" applyProtection="1">
      <alignment horizontal="centerContinuous" vertical="top"/>
      <protection locked="0"/>
    </xf>
    <xf numFmtId="172" fontId="6" fillId="3" borderId="5" xfId="1" applyNumberFormat="1" applyFont="1" applyFill="1" applyBorder="1" applyProtection="1">
      <protection locked="0"/>
    </xf>
    <xf numFmtId="0" fontId="6" fillId="3" borderId="5" xfId="0" applyFont="1" applyFill="1" applyBorder="1" applyAlignment="1" applyProtection="1">
      <alignment vertical="center"/>
      <protection locked="0"/>
    </xf>
    <xf numFmtId="0" fontId="6" fillId="3" borderId="11" xfId="0" applyFont="1" applyFill="1" applyBorder="1" applyProtection="1">
      <alignment horizontal="centerContinuous" vertical="top"/>
      <protection locked="0"/>
    </xf>
    <xf numFmtId="172" fontId="6" fillId="3" borderId="11" xfId="1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left" vertical="top"/>
      <protection locked="0"/>
    </xf>
    <xf numFmtId="0" fontId="6" fillId="3" borderId="5" xfId="0" applyFont="1" applyFill="1" applyBorder="1" applyAlignment="1" applyProtection="1">
      <alignment horizontal="left" vertical="top"/>
      <protection locked="0"/>
    </xf>
    <xf numFmtId="0" fontId="6" fillId="3" borderId="11" xfId="0" applyFont="1" applyFill="1" applyBorder="1" applyAlignment="1" applyProtection="1">
      <alignment horizontal="left" vertical="top"/>
      <protection locked="0"/>
    </xf>
    <xf numFmtId="171" fontId="3" fillId="0" borderId="2" xfId="1" applyFont="1" applyFill="1" applyBorder="1" applyAlignment="1">
      <alignment horizontal="center"/>
    </xf>
    <xf numFmtId="171" fontId="4" fillId="0" borderId="2" xfId="1" applyFont="1" applyFill="1" applyBorder="1"/>
    <xf numFmtId="172" fontId="4" fillId="0" borderId="2" xfId="1" applyNumberFormat="1" applyFont="1" applyFill="1" applyBorder="1"/>
    <xf numFmtId="171" fontId="4" fillId="0" borderId="13" xfId="1" applyFont="1" applyFill="1" applyBorder="1"/>
    <xf numFmtId="0" fontId="2" fillId="0" borderId="0" xfId="0" applyFont="1" applyFill="1" applyBorder="1" applyProtection="1">
      <alignment horizontal="centerContinuous" vertical="top"/>
      <protection locked="0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2" fillId="0" borderId="0" xfId="0" applyFont="1" applyFill="1" applyBorder="1" applyAlignment="1" applyProtection="1">
      <alignment horizontal="center" vertical="top"/>
      <protection locked="0"/>
    </xf>
    <xf numFmtId="172" fontId="2" fillId="0" borderId="0" xfId="1" applyNumberFormat="1" applyFont="1" applyFill="1" applyBorder="1" applyProtection="1">
      <protection locked="0"/>
    </xf>
    <xf numFmtId="0" fontId="5" fillId="0" borderId="0" xfId="0" applyFont="1" applyFill="1" applyBorder="1" applyProtection="1">
      <alignment horizontal="centerContinuous" vertical="top"/>
      <protection locked="0"/>
    </xf>
    <xf numFmtId="0" fontId="5" fillId="0" borderId="0" xfId="0" applyFont="1" applyFill="1" applyBorder="1" applyAlignment="1" applyProtection="1">
      <alignment horizontal="left" vertical="top"/>
      <protection locked="0"/>
    </xf>
    <xf numFmtId="0" fontId="5" fillId="0" borderId="0" xfId="0" applyFont="1" applyFill="1" applyBorder="1" applyAlignment="1" applyProtection="1">
      <alignment horizontal="center" vertical="top"/>
      <protection locked="0"/>
    </xf>
    <xf numFmtId="172" fontId="5" fillId="0" borderId="0" xfId="1" applyNumberFormat="1" applyFont="1" applyFill="1" applyBorder="1" applyProtection="1">
      <protection locked="0"/>
    </xf>
    <xf numFmtId="171" fontId="5" fillId="0" borderId="0" xfId="1" applyFont="1" applyFill="1" applyBorder="1" applyProtection="1">
      <protection locked="0"/>
    </xf>
    <xf numFmtId="0" fontId="2" fillId="0" borderId="0" xfId="0" applyFont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72" fontId="2" fillId="0" borderId="20" xfId="1" applyNumberFormat="1" applyFont="1" applyFill="1" applyBorder="1" applyAlignment="1" applyProtection="1">
      <alignment horizontal="center" vertical="center"/>
    </xf>
    <xf numFmtId="172" fontId="2" fillId="0" borderId="22" xfId="1" applyNumberFormat="1" applyFont="1" applyFill="1" applyBorder="1" applyAlignment="1" applyProtection="1">
      <alignment horizontal="center" vertical="center"/>
    </xf>
    <xf numFmtId="172" fontId="2" fillId="0" borderId="1" xfId="1" applyNumberFormat="1" applyFont="1" applyFill="1" applyBorder="1" applyAlignment="1" applyProtection="1">
      <alignment horizontal="center" vertical="center"/>
    </xf>
    <xf numFmtId="172" fontId="2" fillId="0" borderId="13" xfId="1" applyNumberFormat="1" applyFont="1" applyFill="1" applyBorder="1" applyAlignment="1" applyProtection="1">
      <alignment horizontal="center" vertical="center"/>
    </xf>
    <xf numFmtId="172" fontId="2" fillId="0" borderId="18" xfId="1" applyNumberFormat="1" applyFont="1" applyFill="1" applyBorder="1" applyAlignment="1" applyProtection="1">
      <alignment horizontal="center" vertical="center" wrapText="1"/>
    </xf>
    <xf numFmtId="172" fontId="2" fillId="0" borderId="14" xfId="1" applyNumberFormat="1" applyFont="1" applyFill="1" applyBorder="1" applyAlignment="1" applyProtection="1">
      <alignment horizontal="center" vertical="center" wrapText="1"/>
    </xf>
    <xf numFmtId="172" fontId="2" fillId="0" borderId="23" xfId="1" applyNumberFormat="1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71" fontId="3" fillId="0" borderId="18" xfId="1" applyFont="1" applyFill="1" applyBorder="1" applyAlignment="1" applyProtection="1">
      <alignment horizontal="center" vertical="center" wrapText="1"/>
    </xf>
    <xf numFmtId="171" fontId="3" fillId="0" borderId="14" xfId="1" applyFont="1" applyFill="1" applyBorder="1" applyAlignment="1" applyProtection="1">
      <alignment horizontal="center" vertical="center" wrapText="1"/>
    </xf>
    <xf numFmtId="172" fontId="3" fillId="0" borderId="18" xfId="1" applyNumberFormat="1" applyFont="1" applyFill="1" applyBorder="1" applyAlignment="1" applyProtection="1">
      <alignment horizontal="center" vertical="center" wrapText="1"/>
    </xf>
    <xf numFmtId="172" fontId="3" fillId="0" borderId="14" xfId="1" applyNumberFormat="1" applyFont="1" applyFill="1" applyBorder="1" applyAlignment="1" applyProtection="1">
      <alignment horizontal="center" vertical="center" wrapText="1"/>
    </xf>
    <xf numFmtId="171" fontId="3" fillId="0" borderId="2" xfId="1" applyFont="1" applyFill="1" applyBorder="1" applyAlignment="1" applyProtection="1">
      <alignment horizontal="center" vertical="center" wrapText="1"/>
    </xf>
    <xf numFmtId="171" fontId="2" fillId="0" borderId="20" xfId="1" applyFont="1" applyFill="1" applyBorder="1" applyAlignment="1" applyProtection="1">
      <alignment horizontal="center" vertical="center" wrapText="1"/>
    </xf>
    <xf numFmtId="171" fontId="2" fillId="0" borderId="22" xfId="1" applyFont="1" applyFill="1" applyBorder="1" applyAlignment="1" applyProtection="1">
      <alignment horizontal="center" vertical="center" wrapText="1"/>
    </xf>
    <xf numFmtId="171" fontId="2" fillId="0" borderId="1" xfId="1" applyFont="1" applyFill="1" applyBorder="1" applyAlignment="1" applyProtection="1">
      <alignment horizontal="center" vertical="center" wrapText="1"/>
    </xf>
    <xf numFmtId="171" fontId="2" fillId="0" borderId="13" xfId="1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172" fontId="2" fillId="0" borderId="19" xfId="1" applyNumberFormat="1" applyFont="1" applyFill="1" applyBorder="1" applyAlignment="1" applyProtection="1">
      <alignment horizontal="center" vertical="center" wrapText="1"/>
    </xf>
    <xf numFmtId="172" fontId="2" fillId="0" borderId="0" xfId="1" applyNumberFormat="1" applyFont="1" applyFill="1" applyBorder="1" applyAlignment="1" applyProtection="1">
      <alignment horizontal="center" vertical="center" wrapText="1"/>
    </xf>
    <xf numFmtId="172" fontId="2" fillId="0" borderId="15" xfId="1" applyNumberFormat="1" applyFont="1" applyFill="1" applyBorder="1" applyAlignment="1">
      <alignment horizontal="center" vertical="center" wrapText="1"/>
    </xf>
    <xf numFmtId="172" fontId="2" fillId="0" borderId="16" xfId="1" applyNumberFormat="1" applyFont="1" applyFill="1" applyBorder="1" applyAlignment="1">
      <alignment horizontal="center" vertical="center" wrapText="1"/>
    </xf>
    <xf numFmtId="172" fontId="2" fillId="0" borderId="17" xfId="1" applyNumberFormat="1" applyFont="1" applyFill="1" applyBorder="1" applyAlignment="1">
      <alignment horizontal="center" vertical="center" wrapText="1"/>
    </xf>
    <xf numFmtId="171" fontId="4" fillId="0" borderId="18" xfId="1" applyFont="1" applyFill="1" applyBorder="1" applyAlignment="1" applyProtection="1">
      <alignment horizontal="center" vertical="center" wrapText="1"/>
    </xf>
    <xf numFmtId="171" fontId="4" fillId="0" borderId="14" xfId="1" applyFont="1" applyFill="1" applyBorder="1" applyAlignment="1" applyProtection="1">
      <alignment horizontal="center" vertical="center" wrapText="1"/>
    </xf>
    <xf numFmtId="171" fontId="4" fillId="0" borderId="19" xfId="1" applyFont="1" applyFill="1" applyBorder="1" applyAlignment="1" applyProtection="1">
      <alignment horizontal="center" vertical="center" wrapText="1"/>
    </xf>
    <xf numFmtId="171" fontId="4" fillId="0" borderId="0" xfId="1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9"/>
  <sheetViews>
    <sheetView tabSelected="1" view="pageBreakPreview" zoomScale="65" zoomScaleNormal="65" zoomScaleSheetLayoutView="65" workbookViewId="0">
      <selection activeCell="A3" sqref="A3:Q3"/>
    </sheetView>
  </sheetViews>
  <sheetFormatPr defaultColWidth="9.1796875" defaultRowHeight="12.5" x14ac:dyDescent="0.25"/>
  <cols>
    <col min="1" max="1" width="5" style="6" customWidth="1"/>
    <col min="2" max="2" width="31.54296875" style="6" customWidth="1"/>
    <col min="3" max="3" width="20.7265625" style="34" customWidth="1"/>
    <col min="4" max="4" width="9.26953125" style="6" customWidth="1"/>
    <col min="5" max="5" width="11.1796875" style="35" customWidth="1"/>
    <col min="6" max="6" width="16.26953125" style="6" customWidth="1"/>
    <col min="7" max="7" width="17.26953125" style="6" customWidth="1"/>
    <col min="8" max="8" width="12.81640625" style="6" customWidth="1"/>
    <col min="9" max="9" width="12.1796875" style="6" customWidth="1"/>
    <col min="10" max="10" width="9" style="6" customWidth="1"/>
    <col min="11" max="11" width="10.7265625" style="36" customWidth="1"/>
    <col min="12" max="13" width="13.1796875" style="37" customWidth="1"/>
    <col min="14" max="14" width="11.81640625" style="37" customWidth="1"/>
    <col min="15" max="15" width="13.54296875" style="37" customWidth="1"/>
    <col min="16" max="16" width="18.81640625" style="36" customWidth="1"/>
    <col min="17" max="17" width="15" style="6" customWidth="1"/>
    <col min="18" max="16384" width="9.1796875" style="6"/>
  </cols>
  <sheetData>
    <row r="1" spans="1:17" s="1" customFormat="1" ht="15.5" x14ac:dyDescent="0.3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s="1" customFormat="1" ht="15.5" x14ac:dyDescent="0.35">
      <c r="A2" s="2"/>
      <c r="B2" s="2"/>
      <c r="C2" s="2"/>
      <c r="D2" s="2"/>
      <c r="E2" s="106" t="s">
        <v>1</v>
      </c>
      <c r="F2" s="106"/>
      <c r="G2" s="107"/>
      <c r="H2" s="108"/>
      <c r="I2" s="108"/>
      <c r="J2" s="108"/>
      <c r="K2" s="108"/>
      <c r="L2" s="108"/>
      <c r="M2" s="108"/>
      <c r="N2" s="108"/>
      <c r="O2" s="108"/>
      <c r="P2" s="2"/>
      <c r="Q2" s="2"/>
    </row>
    <row r="3" spans="1:17" s="1" customFormat="1" ht="15.75" customHeight="1" x14ac:dyDescent="0.35">
      <c r="A3" s="106" t="s">
        <v>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17" s="1" customFormat="1" ht="13" x14ac:dyDescent="0.3">
      <c r="B4" s="3"/>
      <c r="C4" s="3"/>
      <c r="D4" s="3"/>
      <c r="E4" s="109" t="s">
        <v>3</v>
      </c>
      <c r="F4" s="109"/>
      <c r="G4" s="110" t="s">
        <v>4</v>
      </c>
      <c r="H4" s="111"/>
      <c r="I4" s="111"/>
      <c r="J4" s="111"/>
      <c r="K4" s="111"/>
      <c r="L4" s="111"/>
      <c r="M4" s="82"/>
      <c r="N4" s="3"/>
      <c r="O4" s="3"/>
      <c r="P4" s="3"/>
      <c r="Q4" s="3"/>
    </row>
    <row r="5" spans="1:17" s="1" customFormat="1" ht="13.5" thickBot="1" x14ac:dyDescent="0.35"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7" ht="45.75" customHeight="1" x14ac:dyDescent="0.25">
      <c r="B6" s="130" t="s">
        <v>5</v>
      </c>
      <c r="C6" s="141" t="s">
        <v>6</v>
      </c>
      <c r="D6" s="139" t="s">
        <v>7</v>
      </c>
      <c r="E6" s="137" t="s">
        <v>8</v>
      </c>
      <c r="F6" s="119" t="s">
        <v>9</v>
      </c>
      <c r="G6" s="121" t="s">
        <v>10</v>
      </c>
      <c r="H6" s="121" t="s">
        <v>11</v>
      </c>
      <c r="I6" s="132" t="s">
        <v>12</v>
      </c>
      <c r="J6" s="132"/>
      <c r="K6" s="112" t="s">
        <v>13</v>
      </c>
      <c r="L6" s="113"/>
      <c r="M6" s="134" t="s">
        <v>112</v>
      </c>
      <c r="N6" s="126" t="s">
        <v>14</v>
      </c>
      <c r="O6" s="127"/>
      <c r="P6" s="112" t="s">
        <v>15</v>
      </c>
      <c r="Q6" s="113"/>
    </row>
    <row r="7" spans="1:17" ht="39.75" customHeight="1" thickBot="1" x14ac:dyDescent="0.3">
      <c r="B7" s="131"/>
      <c r="C7" s="142"/>
      <c r="D7" s="140"/>
      <c r="E7" s="138"/>
      <c r="F7" s="120"/>
      <c r="G7" s="122"/>
      <c r="H7" s="125"/>
      <c r="I7" s="133"/>
      <c r="J7" s="133"/>
      <c r="K7" s="114"/>
      <c r="L7" s="115"/>
      <c r="M7" s="135"/>
      <c r="N7" s="128"/>
      <c r="O7" s="129"/>
      <c r="P7" s="114"/>
      <c r="Q7" s="115"/>
    </row>
    <row r="8" spans="1:17" ht="56.25" customHeight="1" x14ac:dyDescent="0.25">
      <c r="B8" s="131"/>
      <c r="C8" s="142"/>
      <c r="D8" s="140"/>
      <c r="E8" s="138"/>
      <c r="F8" s="120"/>
      <c r="G8" s="122"/>
      <c r="H8" s="116" t="s">
        <v>16</v>
      </c>
      <c r="I8" s="123" t="s">
        <v>17</v>
      </c>
      <c r="J8" s="116" t="s">
        <v>18</v>
      </c>
      <c r="K8" s="116" t="s">
        <v>16</v>
      </c>
      <c r="L8" s="116" t="s">
        <v>19</v>
      </c>
      <c r="M8" s="135"/>
      <c r="N8" s="116" t="s">
        <v>16</v>
      </c>
      <c r="O8" s="116" t="s">
        <v>19</v>
      </c>
      <c r="P8" s="116" t="s">
        <v>16</v>
      </c>
      <c r="Q8" s="118" t="s">
        <v>19</v>
      </c>
    </row>
    <row r="9" spans="1:17" ht="45" customHeight="1" thickBot="1" x14ac:dyDescent="0.3">
      <c r="B9" s="131"/>
      <c r="C9" s="142"/>
      <c r="D9" s="140"/>
      <c r="E9" s="138"/>
      <c r="F9" s="120"/>
      <c r="G9" s="122"/>
      <c r="H9" s="117"/>
      <c r="I9" s="124"/>
      <c r="J9" s="117"/>
      <c r="K9" s="117"/>
      <c r="L9" s="117"/>
      <c r="M9" s="136"/>
      <c r="N9" s="117"/>
      <c r="O9" s="117"/>
      <c r="P9" s="117"/>
      <c r="Q9" s="118"/>
    </row>
    <row r="10" spans="1:17" ht="12.75" customHeight="1" thickBot="1" x14ac:dyDescent="0.35">
      <c r="B10" s="7"/>
      <c r="C10" s="8"/>
      <c r="D10" s="9" t="s">
        <v>20</v>
      </c>
      <c r="E10" s="10"/>
      <c r="F10" s="11" t="s">
        <v>21</v>
      </c>
      <c r="G10" s="10" t="s">
        <v>110</v>
      </c>
      <c r="H10" s="12" t="s">
        <v>22</v>
      </c>
      <c r="I10" s="12" t="s">
        <v>23</v>
      </c>
      <c r="J10" s="12" t="s">
        <v>24</v>
      </c>
      <c r="K10" s="12" t="s">
        <v>25</v>
      </c>
      <c r="L10" s="13" t="s">
        <v>111</v>
      </c>
      <c r="M10" s="93" t="s">
        <v>26</v>
      </c>
      <c r="N10" s="93" t="s">
        <v>113</v>
      </c>
      <c r="O10" s="94" t="s">
        <v>114</v>
      </c>
      <c r="P10" s="95" t="s">
        <v>116</v>
      </c>
      <c r="Q10" s="96" t="s">
        <v>115</v>
      </c>
    </row>
    <row r="11" spans="1:17" s="59" customFormat="1" ht="30" customHeight="1" x14ac:dyDescent="0.3">
      <c r="A11" s="51">
        <v>1</v>
      </c>
      <c r="B11" s="52" t="s">
        <v>27</v>
      </c>
      <c r="C11" s="53" t="s">
        <v>28</v>
      </c>
      <c r="D11" s="54">
        <v>6.95</v>
      </c>
      <c r="E11" s="55" t="s">
        <v>29</v>
      </c>
      <c r="F11" s="90"/>
      <c r="G11" s="56">
        <f t="shared" ref="G11:G55" si="0">D11*F11</f>
        <v>0</v>
      </c>
      <c r="H11" s="83"/>
      <c r="I11" s="84"/>
      <c r="J11" s="84"/>
      <c r="K11" s="84"/>
      <c r="L11" s="57">
        <f t="shared" ref="L11:L55" si="1">D11*K11</f>
        <v>0</v>
      </c>
      <c r="M11" s="84"/>
      <c r="N11" s="84"/>
      <c r="O11" s="57">
        <f t="shared" ref="O11:O55" si="2">D11*N11</f>
        <v>0</v>
      </c>
      <c r="P11" s="58">
        <f>H11+I11+J11-K11-M11-N11</f>
        <v>0</v>
      </c>
      <c r="Q11" s="54">
        <f t="shared" ref="Q11:Q55" si="3">D11*P11</f>
        <v>0</v>
      </c>
    </row>
    <row r="12" spans="1:17" s="59" customFormat="1" ht="30" customHeight="1" x14ac:dyDescent="0.3">
      <c r="A12" s="51">
        <f t="shared" ref="A12:A55" si="4">A11+1</f>
        <v>2</v>
      </c>
      <c r="B12" s="60" t="s">
        <v>30</v>
      </c>
      <c r="C12" s="61" t="s">
        <v>31</v>
      </c>
      <c r="D12" s="62">
        <v>113.5</v>
      </c>
      <c r="E12" s="63" t="s">
        <v>32</v>
      </c>
      <c r="F12" s="91"/>
      <c r="G12" s="56">
        <f t="shared" si="0"/>
        <v>0</v>
      </c>
      <c r="H12" s="85"/>
      <c r="I12" s="86"/>
      <c r="J12" s="86"/>
      <c r="K12" s="86"/>
      <c r="L12" s="57">
        <f t="shared" si="1"/>
        <v>0</v>
      </c>
      <c r="M12" s="84"/>
      <c r="N12" s="86"/>
      <c r="O12" s="57">
        <f t="shared" si="2"/>
        <v>0</v>
      </c>
      <c r="P12" s="58">
        <f t="shared" ref="P12:P55" si="5">H12+I12+J12-K12-M12-N12</f>
        <v>0</v>
      </c>
      <c r="Q12" s="62">
        <f t="shared" si="3"/>
        <v>0</v>
      </c>
    </row>
    <row r="13" spans="1:17" s="59" customFormat="1" ht="30" customHeight="1" x14ac:dyDescent="0.3">
      <c r="A13" s="51">
        <f t="shared" si="4"/>
        <v>3</v>
      </c>
      <c r="B13" s="60" t="s">
        <v>33</v>
      </c>
      <c r="C13" s="61" t="s">
        <v>31</v>
      </c>
      <c r="D13" s="62">
        <v>5.5</v>
      </c>
      <c r="E13" s="63" t="s">
        <v>29</v>
      </c>
      <c r="F13" s="91"/>
      <c r="G13" s="56">
        <f t="shared" si="0"/>
        <v>0</v>
      </c>
      <c r="H13" s="85"/>
      <c r="I13" s="86"/>
      <c r="J13" s="86"/>
      <c r="K13" s="86"/>
      <c r="L13" s="57">
        <f t="shared" si="1"/>
        <v>0</v>
      </c>
      <c r="M13" s="84"/>
      <c r="N13" s="86"/>
      <c r="O13" s="57">
        <f t="shared" si="2"/>
        <v>0</v>
      </c>
      <c r="P13" s="58">
        <f t="shared" si="5"/>
        <v>0</v>
      </c>
      <c r="Q13" s="62">
        <f t="shared" si="3"/>
        <v>0</v>
      </c>
    </row>
    <row r="14" spans="1:17" s="59" customFormat="1" ht="30" customHeight="1" x14ac:dyDescent="0.3">
      <c r="A14" s="51">
        <f t="shared" si="4"/>
        <v>4</v>
      </c>
      <c r="B14" s="60" t="s">
        <v>34</v>
      </c>
      <c r="C14" s="61" t="s">
        <v>35</v>
      </c>
      <c r="D14" s="62">
        <v>10.6</v>
      </c>
      <c r="E14" s="63" t="s">
        <v>29</v>
      </c>
      <c r="F14" s="91"/>
      <c r="G14" s="56">
        <f t="shared" si="0"/>
        <v>0</v>
      </c>
      <c r="H14" s="85"/>
      <c r="I14" s="86"/>
      <c r="J14" s="86"/>
      <c r="K14" s="86"/>
      <c r="L14" s="57">
        <f t="shared" si="1"/>
        <v>0</v>
      </c>
      <c r="M14" s="84"/>
      <c r="N14" s="86"/>
      <c r="O14" s="57">
        <f t="shared" si="2"/>
        <v>0</v>
      </c>
      <c r="P14" s="58">
        <f t="shared" si="5"/>
        <v>0</v>
      </c>
      <c r="Q14" s="62">
        <f t="shared" si="3"/>
        <v>0</v>
      </c>
    </row>
    <row r="15" spans="1:17" s="59" customFormat="1" ht="30" customHeight="1" x14ac:dyDescent="0.3">
      <c r="A15" s="51">
        <f t="shared" si="4"/>
        <v>5</v>
      </c>
      <c r="B15" s="60" t="s">
        <v>36</v>
      </c>
      <c r="C15" s="61" t="s">
        <v>37</v>
      </c>
      <c r="D15" s="62">
        <v>11.25</v>
      </c>
      <c r="E15" s="63" t="s">
        <v>38</v>
      </c>
      <c r="F15" s="91"/>
      <c r="G15" s="56">
        <f t="shared" si="0"/>
        <v>0</v>
      </c>
      <c r="H15" s="85"/>
      <c r="I15" s="86"/>
      <c r="J15" s="86"/>
      <c r="K15" s="86"/>
      <c r="L15" s="57">
        <f t="shared" si="1"/>
        <v>0</v>
      </c>
      <c r="M15" s="84"/>
      <c r="N15" s="86"/>
      <c r="O15" s="57">
        <f t="shared" si="2"/>
        <v>0</v>
      </c>
      <c r="P15" s="58">
        <f t="shared" si="5"/>
        <v>0</v>
      </c>
      <c r="Q15" s="62">
        <f t="shared" si="3"/>
        <v>0</v>
      </c>
    </row>
    <row r="16" spans="1:17" s="59" customFormat="1" ht="30" customHeight="1" x14ac:dyDescent="0.3">
      <c r="A16" s="51">
        <f t="shared" si="4"/>
        <v>6</v>
      </c>
      <c r="B16" s="60" t="s">
        <v>39</v>
      </c>
      <c r="C16" s="61" t="s">
        <v>37</v>
      </c>
      <c r="D16" s="62">
        <v>95</v>
      </c>
      <c r="E16" s="63" t="s">
        <v>32</v>
      </c>
      <c r="F16" s="91"/>
      <c r="G16" s="56">
        <f t="shared" si="0"/>
        <v>0</v>
      </c>
      <c r="H16" s="85"/>
      <c r="I16" s="86"/>
      <c r="J16" s="86"/>
      <c r="K16" s="86"/>
      <c r="L16" s="57">
        <f t="shared" si="1"/>
        <v>0</v>
      </c>
      <c r="M16" s="84"/>
      <c r="N16" s="86"/>
      <c r="O16" s="57">
        <f t="shared" si="2"/>
        <v>0</v>
      </c>
      <c r="P16" s="58">
        <f t="shared" si="5"/>
        <v>0</v>
      </c>
      <c r="Q16" s="62">
        <f t="shared" si="3"/>
        <v>0</v>
      </c>
    </row>
    <row r="17" spans="1:17" s="59" customFormat="1" ht="30" customHeight="1" x14ac:dyDescent="0.3">
      <c r="A17" s="51">
        <f t="shared" si="4"/>
        <v>7</v>
      </c>
      <c r="B17" s="60" t="s">
        <v>40</v>
      </c>
      <c r="C17" s="61" t="s">
        <v>41</v>
      </c>
      <c r="D17" s="62">
        <v>20.5</v>
      </c>
      <c r="E17" s="63" t="s">
        <v>38</v>
      </c>
      <c r="F17" s="91"/>
      <c r="G17" s="56">
        <f t="shared" si="0"/>
        <v>0</v>
      </c>
      <c r="H17" s="85"/>
      <c r="I17" s="86"/>
      <c r="J17" s="86"/>
      <c r="K17" s="86"/>
      <c r="L17" s="57">
        <f t="shared" si="1"/>
        <v>0</v>
      </c>
      <c r="M17" s="84"/>
      <c r="N17" s="86"/>
      <c r="O17" s="57">
        <f t="shared" si="2"/>
        <v>0</v>
      </c>
      <c r="P17" s="58">
        <f t="shared" si="5"/>
        <v>0</v>
      </c>
      <c r="Q17" s="62">
        <f t="shared" si="3"/>
        <v>0</v>
      </c>
    </row>
    <row r="18" spans="1:17" s="59" customFormat="1" ht="30" customHeight="1" x14ac:dyDescent="0.3">
      <c r="A18" s="51">
        <f t="shared" si="4"/>
        <v>8</v>
      </c>
      <c r="B18" s="64" t="s">
        <v>42</v>
      </c>
      <c r="C18" s="65" t="s">
        <v>43</v>
      </c>
      <c r="D18" s="66">
        <v>15</v>
      </c>
      <c r="E18" s="63" t="s">
        <v>29</v>
      </c>
      <c r="F18" s="91"/>
      <c r="G18" s="56">
        <f t="shared" si="0"/>
        <v>0</v>
      </c>
      <c r="H18" s="85"/>
      <c r="I18" s="86"/>
      <c r="J18" s="86"/>
      <c r="K18" s="86"/>
      <c r="L18" s="57">
        <f t="shared" si="1"/>
        <v>0</v>
      </c>
      <c r="M18" s="84"/>
      <c r="N18" s="86"/>
      <c r="O18" s="57">
        <f t="shared" si="2"/>
        <v>0</v>
      </c>
      <c r="P18" s="58">
        <f t="shared" si="5"/>
        <v>0</v>
      </c>
      <c r="Q18" s="62">
        <f t="shared" si="3"/>
        <v>0</v>
      </c>
    </row>
    <row r="19" spans="1:17" s="59" customFormat="1" ht="30" customHeight="1" x14ac:dyDescent="0.3">
      <c r="A19" s="51">
        <f t="shared" si="4"/>
        <v>9</v>
      </c>
      <c r="B19" s="64" t="s">
        <v>44</v>
      </c>
      <c r="C19" s="65" t="s">
        <v>43</v>
      </c>
      <c r="D19" s="66">
        <v>25</v>
      </c>
      <c r="E19" s="63" t="s">
        <v>29</v>
      </c>
      <c r="F19" s="91"/>
      <c r="G19" s="56">
        <f t="shared" si="0"/>
        <v>0</v>
      </c>
      <c r="H19" s="85"/>
      <c r="I19" s="86"/>
      <c r="J19" s="86"/>
      <c r="K19" s="86"/>
      <c r="L19" s="57">
        <f t="shared" si="1"/>
        <v>0</v>
      </c>
      <c r="M19" s="84"/>
      <c r="N19" s="86"/>
      <c r="O19" s="57">
        <f t="shared" si="2"/>
        <v>0</v>
      </c>
      <c r="P19" s="58">
        <f t="shared" si="5"/>
        <v>0</v>
      </c>
      <c r="Q19" s="62">
        <f t="shared" si="3"/>
        <v>0</v>
      </c>
    </row>
    <row r="20" spans="1:17" s="59" customFormat="1" ht="30" customHeight="1" x14ac:dyDescent="0.3">
      <c r="A20" s="51">
        <f t="shared" si="4"/>
        <v>10</v>
      </c>
      <c r="B20" s="60" t="s">
        <v>45</v>
      </c>
      <c r="C20" s="61" t="s">
        <v>46</v>
      </c>
      <c r="D20" s="62">
        <v>48.75</v>
      </c>
      <c r="E20" s="63" t="s">
        <v>29</v>
      </c>
      <c r="F20" s="85"/>
      <c r="G20" s="56">
        <f t="shared" si="0"/>
        <v>0</v>
      </c>
      <c r="H20" s="85"/>
      <c r="I20" s="86"/>
      <c r="J20" s="86"/>
      <c r="K20" s="86"/>
      <c r="L20" s="57">
        <f t="shared" si="1"/>
        <v>0</v>
      </c>
      <c r="M20" s="84"/>
      <c r="N20" s="86"/>
      <c r="O20" s="57">
        <f t="shared" si="2"/>
        <v>0</v>
      </c>
      <c r="P20" s="58">
        <f t="shared" si="5"/>
        <v>0</v>
      </c>
      <c r="Q20" s="62">
        <f t="shared" si="3"/>
        <v>0</v>
      </c>
    </row>
    <row r="21" spans="1:17" s="59" customFormat="1" ht="30" customHeight="1" x14ac:dyDescent="0.3">
      <c r="A21" s="51">
        <f t="shared" si="4"/>
        <v>11</v>
      </c>
      <c r="B21" s="60" t="s">
        <v>47</v>
      </c>
      <c r="C21" s="61" t="s">
        <v>48</v>
      </c>
      <c r="D21" s="62">
        <v>60.45</v>
      </c>
      <c r="E21" s="63" t="s">
        <v>29</v>
      </c>
      <c r="F21" s="91"/>
      <c r="G21" s="56">
        <f t="shared" si="0"/>
        <v>0</v>
      </c>
      <c r="H21" s="85"/>
      <c r="I21" s="86"/>
      <c r="J21" s="86"/>
      <c r="K21" s="86"/>
      <c r="L21" s="57">
        <f t="shared" si="1"/>
        <v>0</v>
      </c>
      <c r="M21" s="84"/>
      <c r="N21" s="86"/>
      <c r="O21" s="57">
        <f t="shared" si="2"/>
        <v>0</v>
      </c>
      <c r="P21" s="58">
        <f t="shared" si="5"/>
        <v>0</v>
      </c>
      <c r="Q21" s="62">
        <f t="shared" si="3"/>
        <v>0</v>
      </c>
    </row>
    <row r="22" spans="1:17" s="59" customFormat="1" ht="30" customHeight="1" x14ac:dyDescent="0.3">
      <c r="A22" s="51">
        <f t="shared" si="4"/>
        <v>12</v>
      </c>
      <c r="B22" s="60" t="s">
        <v>49</v>
      </c>
      <c r="C22" s="61" t="s">
        <v>50</v>
      </c>
      <c r="D22" s="62">
        <v>3.9</v>
      </c>
      <c r="E22" s="63" t="s">
        <v>29</v>
      </c>
      <c r="F22" s="91"/>
      <c r="G22" s="56">
        <f t="shared" si="0"/>
        <v>0</v>
      </c>
      <c r="H22" s="85"/>
      <c r="I22" s="86"/>
      <c r="J22" s="86"/>
      <c r="K22" s="86"/>
      <c r="L22" s="57">
        <f t="shared" si="1"/>
        <v>0</v>
      </c>
      <c r="M22" s="84"/>
      <c r="N22" s="86"/>
      <c r="O22" s="57">
        <f t="shared" si="2"/>
        <v>0</v>
      </c>
      <c r="P22" s="58">
        <f t="shared" si="5"/>
        <v>0</v>
      </c>
      <c r="Q22" s="62">
        <f t="shared" si="3"/>
        <v>0</v>
      </c>
    </row>
    <row r="23" spans="1:17" s="59" customFormat="1" ht="30" customHeight="1" x14ac:dyDescent="0.3">
      <c r="A23" s="51">
        <f t="shared" si="4"/>
        <v>13</v>
      </c>
      <c r="B23" s="60" t="s">
        <v>49</v>
      </c>
      <c r="C23" s="61" t="s">
        <v>51</v>
      </c>
      <c r="D23" s="62">
        <v>2.15</v>
      </c>
      <c r="E23" s="63" t="s">
        <v>29</v>
      </c>
      <c r="F23" s="91"/>
      <c r="G23" s="56">
        <f t="shared" si="0"/>
        <v>0</v>
      </c>
      <c r="H23" s="85"/>
      <c r="I23" s="86"/>
      <c r="J23" s="86"/>
      <c r="K23" s="86"/>
      <c r="L23" s="57">
        <f t="shared" si="1"/>
        <v>0</v>
      </c>
      <c r="M23" s="84"/>
      <c r="N23" s="86"/>
      <c r="O23" s="57">
        <f t="shared" si="2"/>
        <v>0</v>
      </c>
      <c r="P23" s="58">
        <f t="shared" si="5"/>
        <v>0</v>
      </c>
      <c r="Q23" s="62">
        <f t="shared" si="3"/>
        <v>0</v>
      </c>
    </row>
    <row r="24" spans="1:17" s="59" customFormat="1" ht="30" customHeight="1" x14ac:dyDescent="0.3">
      <c r="A24" s="51">
        <f t="shared" si="4"/>
        <v>14</v>
      </c>
      <c r="B24" s="60" t="s">
        <v>52</v>
      </c>
      <c r="C24" s="61" t="s">
        <v>53</v>
      </c>
      <c r="D24" s="62">
        <v>8</v>
      </c>
      <c r="E24" s="63" t="s">
        <v>29</v>
      </c>
      <c r="F24" s="91"/>
      <c r="G24" s="56">
        <f t="shared" si="0"/>
        <v>0</v>
      </c>
      <c r="H24" s="85"/>
      <c r="I24" s="86"/>
      <c r="J24" s="86"/>
      <c r="K24" s="86"/>
      <c r="L24" s="57">
        <f t="shared" si="1"/>
        <v>0</v>
      </c>
      <c r="M24" s="84"/>
      <c r="N24" s="86"/>
      <c r="O24" s="57">
        <f t="shared" si="2"/>
        <v>0</v>
      </c>
      <c r="P24" s="58">
        <f t="shared" si="5"/>
        <v>0</v>
      </c>
      <c r="Q24" s="62">
        <f t="shared" si="3"/>
        <v>0</v>
      </c>
    </row>
    <row r="25" spans="1:17" s="59" customFormat="1" ht="30" customHeight="1" x14ac:dyDescent="0.3">
      <c r="A25" s="51">
        <f t="shared" si="4"/>
        <v>15</v>
      </c>
      <c r="B25" s="60" t="s">
        <v>54</v>
      </c>
      <c r="C25" s="61" t="s">
        <v>55</v>
      </c>
      <c r="D25" s="62">
        <v>4.5</v>
      </c>
      <c r="E25" s="63" t="s">
        <v>29</v>
      </c>
      <c r="F25" s="91"/>
      <c r="G25" s="56">
        <f t="shared" si="0"/>
        <v>0</v>
      </c>
      <c r="H25" s="85"/>
      <c r="I25" s="86"/>
      <c r="J25" s="86"/>
      <c r="K25" s="86"/>
      <c r="L25" s="57">
        <f t="shared" si="1"/>
        <v>0</v>
      </c>
      <c r="M25" s="84"/>
      <c r="N25" s="86"/>
      <c r="O25" s="57">
        <f t="shared" si="2"/>
        <v>0</v>
      </c>
      <c r="P25" s="58">
        <f t="shared" si="5"/>
        <v>0</v>
      </c>
      <c r="Q25" s="62">
        <f t="shared" si="3"/>
        <v>0</v>
      </c>
    </row>
    <row r="26" spans="1:17" s="59" customFormat="1" ht="30" customHeight="1" x14ac:dyDescent="0.3">
      <c r="A26" s="51">
        <f t="shared" si="4"/>
        <v>16</v>
      </c>
      <c r="B26" s="60" t="s">
        <v>56</v>
      </c>
      <c r="C26" s="61" t="s">
        <v>53</v>
      </c>
      <c r="D26" s="62">
        <v>6</v>
      </c>
      <c r="E26" s="63" t="s">
        <v>29</v>
      </c>
      <c r="F26" s="91"/>
      <c r="G26" s="56">
        <f t="shared" si="0"/>
        <v>0</v>
      </c>
      <c r="H26" s="85"/>
      <c r="I26" s="86"/>
      <c r="J26" s="86"/>
      <c r="K26" s="86"/>
      <c r="L26" s="57">
        <f t="shared" si="1"/>
        <v>0</v>
      </c>
      <c r="M26" s="84"/>
      <c r="N26" s="86"/>
      <c r="O26" s="57">
        <f t="shared" si="2"/>
        <v>0</v>
      </c>
      <c r="P26" s="58">
        <f t="shared" si="5"/>
        <v>0</v>
      </c>
      <c r="Q26" s="62">
        <f t="shared" si="3"/>
        <v>0</v>
      </c>
    </row>
    <row r="27" spans="1:17" s="59" customFormat="1" ht="30" customHeight="1" x14ac:dyDescent="0.3">
      <c r="A27" s="51">
        <f t="shared" si="4"/>
        <v>17</v>
      </c>
      <c r="B27" s="60" t="s">
        <v>57</v>
      </c>
      <c r="C27" s="61" t="s">
        <v>58</v>
      </c>
      <c r="D27" s="62">
        <v>7.4</v>
      </c>
      <c r="E27" s="63" t="s">
        <v>29</v>
      </c>
      <c r="F27" s="91"/>
      <c r="G27" s="56">
        <f t="shared" si="0"/>
        <v>0</v>
      </c>
      <c r="H27" s="85"/>
      <c r="I27" s="86"/>
      <c r="J27" s="86"/>
      <c r="K27" s="86"/>
      <c r="L27" s="57">
        <f t="shared" si="1"/>
        <v>0</v>
      </c>
      <c r="M27" s="84"/>
      <c r="N27" s="86"/>
      <c r="O27" s="57">
        <f t="shared" si="2"/>
        <v>0</v>
      </c>
      <c r="P27" s="58">
        <f t="shared" si="5"/>
        <v>0</v>
      </c>
      <c r="Q27" s="62">
        <f t="shared" si="3"/>
        <v>0</v>
      </c>
    </row>
    <row r="28" spans="1:17" s="59" customFormat="1" ht="30" customHeight="1" x14ac:dyDescent="0.3">
      <c r="A28" s="51">
        <f t="shared" si="4"/>
        <v>18</v>
      </c>
      <c r="B28" s="60" t="s">
        <v>59</v>
      </c>
      <c r="C28" s="61" t="s">
        <v>58</v>
      </c>
      <c r="D28" s="62">
        <v>14.5</v>
      </c>
      <c r="E28" s="63" t="s">
        <v>29</v>
      </c>
      <c r="F28" s="91"/>
      <c r="G28" s="56">
        <f t="shared" si="0"/>
        <v>0</v>
      </c>
      <c r="H28" s="85"/>
      <c r="I28" s="86"/>
      <c r="J28" s="86"/>
      <c r="K28" s="86"/>
      <c r="L28" s="57">
        <f t="shared" si="1"/>
        <v>0</v>
      </c>
      <c r="M28" s="84"/>
      <c r="N28" s="86"/>
      <c r="O28" s="57">
        <f t="shared" si="2"/>
        <v>0</v>
      </c>
      <c r="P28" s="58">
        <f t="shared" si="5"/>
        <v>0</v>
      </c>
      <c r="Q28" s="62">
        <f t="shared" si="3"/>
        <v>0</v>
      </c>
    </row>
    <row r="29" spans="1:17" s="59" customFormat="1" ht="30" customHeight="1" x14ac:dyDescent="0.3">
      <c r="A29" s="51">
        <f t="shared" si="4"/>
        <v>19</v>
      </c>
      <c r="B29" s="60" t="s">
        <v>60</v>
      </c>
      <c r="C29" s="61" t="s">
        <v>61</v>
      </c>
      <c r="D29" s="62">
        <v>18.25</v>
      </c>
      <c r="E29" s="63" t="s">
        <v>38</v>
      </c>
      <c r="F29" s="91"/>
      <c r="G29" s="56">
        <f t="shared" si="0"/>
        <v>0</v>
      </c>
      <c r="H29" s="85"/>
      <c r="I29" s="86"/>
      <c r="J29" s="86"/>
      <c r="K29" s="86"/>
      <c r="L29" s="57">
        <f t="shared" si="1"/>
        <v>0</v>
      </c>
      <c r="M29" s="84"/>
      <c r="N29" s="86"/>
      <c r="O29" s="57">
        <f t="shared" si="2"/>
        <v>0</v>
      </c>
      <c r="P29" s="58">
        <f t="shared" si="5"/>
        <v>0</v>
      </c>
      <c r="Q29" s="62">
        <f t="shared" si="3"/>
        <v>0</v>
      </c>
    </row>
    <row r="30" spans="1:17" s="59" customFormat="1" ht="30" customHeight="1" x14ac:dyDescent="0.3">
      <c r="A30" s="51">
        <f t="shared" si="4"/>
        <v>20</v>
      </c>
      <c r="B30" s="60" t="s">
        <v>62</v>
      </c>
      <c r="C30" s="61" t="s">
        <v>61</v>
      </c>
      <c r="D30" s="62">
        <v>36.5</v>
      </c>
      <c r="E30" s="63" t="s">
        <v>38</v>
      </c>
      <c r="F30" s="91"/>
      <c r="G30" s="56">
        <f t="shared" si="0"/>
        <v>0</v>
      </c>
      <c r="H30" s="85"/>
      <c r="I30" s="86"/>
      <c r="J30" s="86"/>
      <c r="K30" s="86"/>
      <c r="L30" s="57">
        <f t="shared" si="1"/>
        <v>0</v>
      </c>
      <c r="M30" s="84"/>
      <c r="N30" s="86"/>
      <c r="O30" s="57">
        <f t="shared" si="2"/>
        <v>0</v>
      </c>
      <c r="P30" s="58">
        <f t="shared" si="5"/>
        <v>0</v>
      </c>
      <c r="Q30" s="62">
        <f t="shared" si="3"/>
        <v>0</v>
      </c>
    </row>
    <row r="31" spans="1:17" s="59" customFormat="1" ht="30" customHeight="1" x14ac:dyDescent="0.3">
      <c r="A31" s="51">
        <f t="shared" si="4"/>
        <v>21</v>
      </c>
      <c r="B31" s="67" t="s">
        <v>63</v>
      </c>
      <c r="C31" s="68" t="s">
        <v>64</v>
      </c>
      <c r="D31" s="69">
        <v>4</v>
      </c>
      <c r="E31" s="63" t="s">
        <v>29</v>
      </c>
      <c r="F31" s="91"/>
      <c r="G31" s="56">
        <f t="shared" si="0"/>
        <v>0</v>
      </c>
      <c r="H31" s="85"/>
      <c r="I31" s="86"/>
      <c r="J31" s="86"/>
      <c r="K31" s="86"/>
      <c r="L31" s="57">
        <f t="shared" si="1"/>
        <v>0</v>
      </c>
      <c r="M31" s="84"/>
      <c r="N31" s="86"/>
      <c r="O31" s="57">
        <f t="shared" si="2"/>
        <v>0</v>
      </c>
      <c r="P31" s="58">
        <f t="shared" si="5"/>
        <v>0</v>
      </c>
      <c r="Q31" s="62">
        <f t="shared" si="3"/>
        <v>0</v>
      </c>
    </row>
    <row r="32" spans="1:17" s="59" customFormat="1" ht="30" customHeight="1" x14ac:dyDescent="0.3">
      <c r="A32" s="51">
        <f t="shared" si="4"/>
        <v>22</v>
      </c>
      <c r="B32" s="70" t="s">
        <v>65</v>
      </c>
      <c r="C32" s="71" t="s">
        <v>66</v>
      </c>
      <c r="D32" s="72">
        <v>2.35</v>
      </c>
      <c r="E32" s="73" t="s">
        <v>29</v>
      </c>
      <c r="F32" s="87"/>
      <c r="G32" s="56">
        <f t="shared" si="0"/>
        <v>0</v>
      </c>
      <c r="H32" s="87"/>
      <c r="I32" s="86"/>
      <c r="J32" s="86"/>
      <c r="K32" s="86"/>
      <c r="L32" s="57">
        <f t="shared" si="1"/>
        <v>0</v>
      </c>
      <c r="M32" s="84"/>
      <c r="N32" s="86"/>
      <c r="O32" s="57">
        <f t="shared" si="2"/>
        <v>0</v>
      </c>
      <c r="P32" s="58">
        <f t="shared" si="5"/>
        <v>0</v>
      </c>
      <c r="Q32" s="62">
        <f t="shared" si="3"/>
        <v>0</v>
      </c>
    </row>
    <row r="33" spans="1:17" s="59" customFormat="1" ht="30" customHeight="1" x14ac:dyDescent="0.3">
      <c r="A33" s="51">
        <f t="shared" si="4"/>
        <v>23</v>
      </c>
      <c r="B33" s="60" t="s">
        <v>67</v>
      </c>
      <c r="C33" s="61" t="s">
        <v>68</v>
      </c>
      <c r="D33" s="62">
        <v>9</v>
      </c>
      <c r="E33" s="63" t="s">
        <v>29</v>
      </c>
      <c r="F33" s="91"/>
      <c r="G33" s="56">
        <f t="shared" si="0"/>
        <v>0</v>
      </c>
      <c r="H33" s="85"/>
      <c r="I33" s="86"/>
      <c r="J33" s="86"/>
      <c r="K33" s="86"/>
      <c r="L33" s="57">
        <f t="shared" si="1"/>
        <v>0</v>
      </c>
      <c r="M33" s="84"/>
      <c r="N33" s="86"/>
      <c r="O33" s="57">
        <f t="shared" si="2"/>
        <v>0</v>
      </c>
      <c r="P33" s="58">
        <f t="shared" si="5"/>
        <v>0</v>
      </c>
      <c r="Q33" s="62">
        <f t="shared" si="3"/>
        <v>0</v>
      </c>
    </row>
    <row r="34" spans="1:17" s="59" customFormat="1" ht="30" customHeight="1" x14ac:dyDescent="0.3">
      <c r="A34" s="51">
        <f t="shared" si="4"/>
        <v>24</v>
      </c>
      <c r="B34" s="60" t="s">
        <v>69</v>
      </c>
      <c r="C34" s="61" t="s">
        <v>70</v>
      </c>
      <c r="D34" s="62">
        <v>7.7</v>
      </c>
      <c r="E34" s="63" t="s">
        <v>29</v>
      </c>
      <c r="F34" s="91"/>
      <c r="G34" s="56">
        <f t="shared" si="0"/>
        <v>0</v>
      </c>
      <c r="H34" s="85"/>
      <c r="I34" s="86"/>
      <c r="J34" s="86"/>
      <c r="K34" s="86"/>
      <c r="L34" s="57">
        <f t="shared" si="1"/>
        <v>0</v>
      </c>
      <c r="M34" s="84"/>
      <c r="N34" s="86"/>
      <c r="O34" s="57">
        <f t="shared" si="2"/>
        <v>0</v>
      </c>
      <c r="P34" s="58">
        <f t="shared" si="5"/>
        <v>0</v>
      </c>
      <c r="Q34" s="62">
        <f t="shared" si="3"/>
        <v>0</v>
      </c>
    </row>
    <row r="35" spans="1:17" s="59" customFormat="1" ht="30" customHeight="1" x14ac:dyDescent="0.3">
      <c r="A35" s="51">
        <f t="shared" si="4"/>
        <v>25</v>
      </c>
      <c r="B35" s="60" t="s">
        <v>71</v>
      </c>
      <c r="C35" s="61" t="s">
        <v>70</v>
      </c>
      <c r="D35" s="62">
        <v>13.7</v>
      </c>
      <c r="E35" s="63" t="s">
        <v>72</v>
      </c>
      <c r="F35" s="91"/>
      <c r="G35" s="56">
        <f t="shared" si="0"/>
        <v>0</v>
      </c>
      <c r="H35" s="85"/>
      <c r="I35" s="86"/>
      <c r="J35" s="86"/>
      <c r="K35" s="86"/>
      <c r="L35" s="57">
        <f t="shared" si="1"/>
        <v>0</v>
      </c>
      <c r="M35" s="84"/>
      <c r="N35" s="86"/>
      <c r="O35" s="57">
        <f t="shared" si="2"/>
        <v>0</v>
      </c>
      <c r="P35" s="58">
        <f t="shared" si="5"/>
        <v>0</v>
      </c>
      <c r="Q35" s="62">
        <f t="shared" si="3"/>
        <v>0</v>
      </c>
    </row>
    <row r="36" spans="1:17" s="59" customFormat="1" ht="30" customHeight="1" x14ac:dyDescent="0.3">
      <c r="A36" s="51">
        <f t="shared" si="4"/>
        <v>26</v>
      </c>
      <c r="B36" s="60" t="s">
        <v>73</v>
      </c>
      <c r="C36" s="61" t="s">
        <v>70</v>
      </c>
      <c r="D36" s="62">
        <v>3.1</v>
      </c>
      <c r="E36" s="63" t="s">
        <v>29</v>
      </c>
      <c r="F36" s="91"/>
      <c r="G36" s="56">
        <f t="shared" si="0"/>
        <v>0</v>
      </c>
      <c r="H36" s="85"/>
      <c r="I36" s="86"/>
      <c r="J36" s="86"/>
      <c r="K36" s="86"/>
      <c r="L36" s="57">
        <f t="shared" si="1"/>
        <v>0</v>
      </c>
      <c r="M36" s="84"/>
      <c r="N36" s="86"/>
      <c r="O36" s="57">
        <f t="shared" si="2"/>
        <v>0</v>
      </c>
      <c r="P36" s="58">
        <f t="shared" si="5"/>
        <v>0</v>
      </c>
      <c r="Q36" s="62">
        <f t="shared" si="3"/>
        <v>0</v>
      </c>
    </row>
    <row r="37" spans="1:17" s="59" customFormat="1" ht="30" customHeight="1" x14ac:dyDescent="0.3">
      <c r="A37" s="51">
        <f t="shared" si="4"/>
        <v>27</v>
      </c>
      <c r="B37" s="60" t="s">
        <v>74</v>
      </c>
      <c r="C37" s="61" t="s">
        <v>70</v>
      </c>
      <c r="D37" s="62">
        <v>10.75</v>
      </c>
      <c r="E37" s="63" t="s">
        <v>29</v>
      </c>
      <c r="F37" s="91"/>
      <c r="G37" s="56">
        <f t="shared" si="0"/>
        <v>0</v>
      </c>
      <c r="H37" s="85"/>
      <c r="I37" s="86"/>
      <c r="J37" s="86"/>
      <c r="K37" s="86"/>
      <c r="L37" s="57">
        <f t="shared" si="1"/>
        <v>0</v>
      </c>
      <c r="M37" s="84"/>
      <c r="N37" s="86"/>
      <c r="O37" s="57">
        <f t="shared" si="2"/>
        <v>0</v>
      </c>
      <c r="P37" s="58">
        <f t="shared" si="5"/>
        <v>0</v>
      </c>
      <c r="Q37" s="62">
        <f t="shared" si="3"/>
        <v>0</v>
      </c>
    </row>
    <row r="38" spans="1:17" s="59" customFormat="1" ht="30" customHeight="1" x14ac:dyDescent="0.3">
      <c r="A38" s="51">
        <f t="shared" si="4"/>
        <v>28</v>
      </c>
      <c r="B38" s="60" t="s">
        <v>75</v>
      </c>
      <c r="C38" s="61" t="s">
        <v>76</v>
      </c>
      <c r="D38" s="62">
        <v>12.9</v>
      </c>
      <c r="E38" s="63" t="s">
        <v>29</v>
      </c>
      <c r="F38" s="91"/>
      <c r="G38" s="56">
        <f t="shared" si="0"/>
        <v>0</v>
      </c>
      <c r="H38" s="85"/>
      <c r="I38" s="86"/>
      <c r="J38" s="86"/>
      <c r="K38" s="86"/>
      <c r="L38" s="57">
        <f t="shared" si="1"/>
        <v>0</v>
      </c>
      <c r="M38" s="84"/>
      <c r="N38" s="86"/>
      <c r="O38" s="57">
        <f t="shared" si="2"/>
        <v>0</v>
      </c>
      <c r="P38" s="58">
        <f t="shared" si="5"/>
        <v>0</v>
      </c>
      <c r="Q38" s="62">
        <f t="shared" si="3"/>
        <v>0</v>
      </c>
    </row>
    <row r="39" spans="1:17" s="59" customFormat="1" ht="30" customHeight="1" x14ac:dyDescent="0.3">
      <c r="A39" s="51">
        <f t="shared" si="4"/>
        <v>29</v>
      </c>
      <c r="B39" s="60" t="s">
        <v>77</v>
      </c>
      <c r="C39" s="61" t="s">
        <v>78</v>
      </c>
      <c r="D39" s="62">
        <v>4.5999999999999996</v>
      </c>
      <c r="E39" s="63" t="s">
        <v>29</v>
      </c>
      <c r="F39" s="91"/>
      <c r="G39" s="56">
        <f t="shared" si="0"/>
        <v>0</v>
      </c>
      <c r="H39" s="85"/>
      <c r="I39" s="86"/>
      <c r="J39" s="86"/>
      <c r="K39" s="86"/>
      <c r="L39" s="57">
        <f t="shared" si="1"/>
        <v>0</v>
      </c>
      <c r="M39" s="84"/>
      <c r="N39" s="86"/>
      <c r="O39" s="57">
        <f t="shared" si="2"/>
        <v>0</v>
      </c>
      <c r="P39" s="58">
        <f t="shared" si="5"/>
        <v>0</v>
      </c>
      <c r="Q39" s="62">
        <f t="shared" si="3"/>
        <v>0</v>
      </c>
    </row>
    <row r="40" spans="1:17" s="59" customFormat="1" ht="30" customHeight="1" x14ac:dyDescent="0.3">
      <c r="A40" s="51">
        <f t="shared" si="4"/>
        <v>30</v>
      </c>
      <c r="B40" s="60" t="s">
        <v>79</v>
      </c>
      <c r="C40" s="61" t="s">
        <v>78</v>
      </c>
      <c r="D40" s="62">
        <v>22</v>
      </c>
      <c r="E40" s="63" t="s">
        <v>72</v>
      </c>
      <c r="F40" s="91"/>
      <c r="G40" s="56">
        <f t="shared" si="0"/>
        <v>0</v>
      </c>
      <c r="H40" s="85"/>
      <c r="I40" s="86"/>
      <c r="J40" s="86"/>
      <c r="K40" s="86"/>
      <c r="L40" s="57">
        <f t="shared" si="1"/>
        <v>0</v>
      </c>
      <c r="M40" s="84"/>
      <c r="N40" s="86"/>
      <c r="O40" s="57">
        <f t="shared" si="2"/>
        <v>0</v>
      </c>
      <c r="P40" s="58">
        <f t="shared" si="5"/>
        <v>0</v>
      </c>
      <c r="Q40" s="62">
        <f t="shared" si="3"/>
        <v>0</v>
      </c>
    </row>
    <row r="41" spans="1:17" s="59" customFormat="1" ht="30" customHeight="1" x14ac:dyDescent="0.3">
      <c r="A41" s="51">
        <f t="shared" si="4"/>
        <v>31</v>
      </c>
      <c r="B41" s="60" t="s">
        <v>80</v>
      </c>
      <c r="C41" s="61" t="s">
        <v>81</v>
      </c>
      <c r="D41" s="62">
        <v>2.7</v>
      </c>
      <c r="E41" s="63" t="s">
        <v>29</v>
      </c>
      <c r="F41" s="91"/>
      <c r="G41" s="56">
        <f t="shared" si="0"/>
        <v>0</v>
      </c>
      <c r="H41" s="85"/>
      <c r="I41" s="86"/>
      <c r="J41" s="86"/>
      <c r="K41" s="86"/>
      <c r="L41" s="57">
        <f t="shared" si="1"/>
        <v>0</v>
      </c>
      <c r="M41" s="84"/>
      <c r="N41" s="86"/>
      <c r="O41" s="57">
        <f t="shared" si="2"/>
        <v>0</v>
      </c>
      <c r="P41" s="58">
        <f t="shared" si="5"/>
        <v>0</v>
      </c>
      <c r="Q41" s="62">
        <f t="shared" si="3"/>
        <v>0</v>
      </c>
    </row>
    <row r="42" spans="1:17" s="59" customFormat="1" ht="30" customHeight="1" x14ac:dyDescent="0.3">
      <c r="A42" s="51">
        <f t="shared" si="4"/>
        <v>32</v>
      </c>
      <c r="B42" s="60" t="s">
        <v>82</v>
      </c>
      <c r="C42" s="61" t="s">
        <v>81</v>
      </c>
      <c r="D42" s="62">
        <v>2</v>
      </c>
      <c r="E42" s="63" t="s">
        <v>83</v>
      </c>
      <c r="F42" s="91"/>
      <c r="G42" s="56">
        <f t="shared" si="0"/>
        <v>0</v>
      </c>
      <c r="H42" s="85"/>
      <c r="I42" s="86"/>
      <c r="J42" s="86"/>
      <c r="K42" s="86"/>
      <c r="L42" s="57">
        <f t="shared" si="1"/>
        <v>0</v>
      </c>
      <c r="M42" s="84"/>
      <c r="N42" s="86"/>
      <c r="O42" s="57">
        <f t="shared" si="2"/>
        <v>0</v>
      </c>
      <c r="P42" s="58">
        <f t="shared" si="5"/>
        <v>0</v>
      </c>
      <c r="Q42" s="62">
        <f t="shared" si="3"/>
        <v>0</v>
      </c>
    </row>
    <row r="43" spans="1:17" s="59" customFormat="1" ht="30" customHeight="1" x14ac:dyDescent="0.3">
      <c r="A43" s="51">
        <f t="shared" si="4"/>
        <v>33</v>
      </c>
      <c r="B43" s="60" t="s">
        <v>84</v>
      </c>
      <c r="C43" s="61" t="s">
        <v>85</v>
      </c>
      <c r="D43" s="62">
        <v>4.5</v>
      </c>
      <c r="E43" s="63" t="s">
        <v>38</v>
      </c>
      <c r="F43" s="91"/>
      <c r="G43" s="56">
        <f t="shared" si="0"/>
        <v>0</v>
      </c>
      <c r="H43" s="85"/>
      <c r="I43" s="86"/>
      <c r="J43" s="86"/>
      <c r="K43" s="86"/>
      <c r="L43" s="57">
        <f t="shared" si="1"/>
        <v>0</v>
      </c>
      <c r="M43" s="84"/>
      <c r="N43" s="86"/>
      <c r="O43" s="57">
        <f t="shared" si="2"/>
        <v>0</v>
      </c>
      <c r="P43" s="58">
        <f t="shared" si="5"/>
        <v>0</v>
      </c>
      <c r="Q43" s="62">
        <f t="shared" si="3"/>
        <v>0</v>
      </c>
    </row>
    <row r="44" spans="1:17" s="59" customFormat="1" ht="30" customHeight="1" x14ac:dyDescent="0.3">
      <c r="A44" s="51">
        <f t="shared" si="4"/>
        <v>34</v>
      </c>
      <c r="B44" s="60" t="s">
        <v>86</v>
      </c>
      <c r="C44" s="61" t="s">
        <v>87</v>
      </c>
      <c r="D44" s="62">
        <v>4.1500000000000004</v>
      </c>
      <c r="E44" s="63" t="s">
        <v>29</v>
      </c>
      <c r="F44" s="91"/>
      <c r="G44" s="56">
        <f t="shared" si="0"/>
        <v>0</v>
      </c>
      <c r="H44" s="85"/>
      <c r="I44" s="86"/>
      <c r="J44" s="86"/>
      <c r="K44" s="86"/>
      <c r="L44" s="57">
        <f t="shared" si="1"/>
        <v>0</v>
      </c>
      <c r="M44" s="84"/>
      <c r="N44" s="86"/>
      <c r="O44" s="57">
        <f t="shared" si="2"/>
        <v>0</v>
      </c>
      <c r="P44" s="58">
        <f t="shared" si="5"/>
        <v>0</v>
      </c>
      <c r="Q44" s="62">
        <f t="shared" si="3"/>
        <v>0</v>
      </c>
    </row>
    <row r="45" spans="1:17" s="59" customFormat="1" ht="30" customHeight="1" x14ac:dyDescent="0.3">
      <c r="A45" s="51">
        <f t="shared" si="4"/>
        <v>35</v>
      </c>
      <c r="B45" s="60" t="s">
        <v>88</v>
      </c>
      <c r="C45" s="61" t="s">
        <v>87</v>
      </c>
      <c r="D45" s="62">
        <v>6.65</v>
      </c>
      <c r="E45" s="63" t="s">
        <v>29</v>
      </c>
      <c r="F45" s="91"/>
      <c r="G45" s="56">
        <f t="shared" si="0"/>
        <v>0</v>
      </c>
      <c r="H45" s="85"/>
      <c r="I45" s="86"/>
      <c r="J45" s="86"/>
      <c r="K45" s="86"/>
      <c r="L45" s="57">
        <f t="shared" si="1"/>
        <v>0</v>
      </c>
      <c r="M45" s="84"/>
      <c r="N45" s="86"/>
      <c r="O45" s="57">
        <f t="shared" si="2"/>
        <v>0</v>
      </c>
      <c r="P45" s="58">
        <f t="shared" si="5"/>
        <v>0</v>
      </c>
      <c r="Q45" s="62">
        <f t="shared" si="3"/>
        <v>0</v>
      </c>
    </row>
    <row r="46" spans="1:17" s="59" customFormat="1" ht="30" customHeight="1" x14ac:dyDescent="0.3">
      <c r="A46" s="51">
        <f t="shared" si="4"/>
        <v>36</v>
      </c>
      <c r="B46" s="60" t="s">
        <v>89</v>
      </c>
      <c r="C46" s="61" t="s">
        <v>90</v>
      </c>
      <c r="D46" s="62">
        <v>7.8</v>
      </c>
      <c r="E46" s="63" t="s">
        <v>29</v>
      </c>
      <c r="F46" s="91"/>
      <c r="G46" s="56">
        <f t="shared" si="0"/>
        <v>0</v>
      </c>
      <c r="H46" s="85"/>
      <c r="I46" s="86"/>
      <c r="J46" s="86"/>
      <c r="K46" s="86"/>
      <c r="L46" s="57">
        <f t="shared" si="1"/>
        <v>0</v>
      </c>
      <c r="M46" s="84"/>
      <c r="N46" s="86"/>
      <c r="O46" s="57">
        <f t="shared" si="2"/>
        <v>0</v>
      </c>
      <c r="P46" s="58">
        <f t="shared" si="5"/>
        <v>0</v>
      </c>
      <c r="Q46" s="62">
        <f t="shared" si="3"/>
        <v>0</v>
      </c>
    </row>
    <row r="47" spans="1:17" s="59" customFormat="1" ht="30" customHeight="1" x14ac:dyDescent="0.3">
      <c r="A47" s="51">
        <f t="shared" si="4"/>
        <v>37</v>
      </c>
      <c r="B47" s="60" t="s">
        <v>91</v>
      </c>
      <c r="C47" s="61" t="s">
        <v>90</v>
      </c>
      <c r="D47" s="62">
        <v>4.45</v>
      </c>
      <c r="E47" s="63" t="s">
        <v>29</v>
      </c>
      <c r="F47" s="91"/>
      <c r="G47" s="56">
        <f t="shared" si="0"/>
        <v>0</v>
      </c>
      <c r="H47" s="85"/>
      <c r="I47" s="86"/>
      <c r="J47" s="86"/>
      <c r="K47" s="86"/>
      <c r="L47" s="57">
        <f t="shared" si="1"/>
        <v>0</v>
      </c>
      <c r="M47" s="84"/>
      <c r="N47" s="86"/>
      <c r="O47" s="57">
        <f t="shared" si="2"/>
        <v>0</v>
      </c>
      <c r="P47" s="58">
        <f t="shared" si="5"/>
        <v>0</v>
      </c>
      <c r="Q47" s="62">
        <f t="shared" si="3"/>
        <v>0</v>
      </c>
    </row>
    <row r="48" spans="1:17" s="59" customFormat="1" ht="30" customHeight="1" x14ac:dyDescent="0.3">
      <c r="A48" s="51">
        <f t="shared" si="4"/>
        <v>38</v>
      </c>
      <c r="B48" s="60" t="s">
        <v>92</v>
      </c>
      <c r="C48" s="61" t="s">
        <v>93</v>
      </c>
      <c r="D48" s="62">
        <v>4.4000000000000004</v>
      </c>
      <c r="E48" s="63" t="s">
        <v>29</v>
      </c>
      <c r="F48" s="91"/>
      <c r="G48" s="56">
        <f t="shared" si="0"/>
        <v>0</v>
      </c>
      <c r="H48" s="85"/>
      <c r="I48" s="86"/>
      <c r="J48" s="86"/>
      <c r="K48" s="86"/>
      <c r="L48" s="57">
        <f t="shared" si="1"/>
        <v>0</v>
      </c>
      <c r="M48" s="84"/>
      <c r="N48" s="86"/>
      <c r="O48" s="57">
        <f t="shared" si="2"/>
        <v>0</v>
      </c>
      <c r="P48" s="58">
        <f t="shared" si="5"/>
        <v>0</v>
      </c>
      <c r="Q48" s="62">
        <f t="shared" si="3"/>
        <v>0</v>
      </c>
    </row>
    <row r="49" spans="1:17" s="59" customFormat="1" ht="30" customHeight="1" x14ac:dyDescent="0.3">
      <c r="A49" s="51">
        <f t="shared" si="4"/>
        <v>39</v>
      </c>
      <c r="B49" s="60" t="s">
        <v>94</v>
      </c>
      <c r="C49" s="61" t="s">
        <v>95</v>
      </c>
      <c r="D49" s="62">
        <v>3.7</v>
      </c>
      <c r="E49" s="63" t="s">
        <v>38</v>
      </c>
      <c r="F49" s="91"/>
      <c r="G49" s="56">
        <f t="shared" si="0"/>
        <v>0</v>
      </c>
      <c r="H49" s="85"/>
      <c r="I49" s="86"/>
      <c r="J49" s="86"/>
      <c r="K49" s="86"/>
      <c r="L49" s="57">
        <f t="shared" si="1"/>
        <v>0</v>
      </c>
      <c r="M49" s="84"/>
      <c r="N49" s="86"/>
      <c r="O49" s="57">
        <f t="shared" si="2"/>
        <v>0</v>
      </c>
      <c r="P49" s="58">
        <f t="shared" si="5"/>
        <v>0</v>
      </c>
      <c r="Q49" s="62">
        <f t="shared" si="3"/>
        <v>0</v>
      </c>
    </row>
    <row r="50" spans="1:17" s="59" customFormat="1" ht="30" customHeight="1" x14ac:dyDescent="0.3">
      <c r="A50" s="51">
        <f t="shared" si="4"/>
        <v>40</v>
      </c>
      <c r="B50" s="60" t="s">
        <v>96</v>
      </c>
      <c r="C50" s="61" t="s">
        <v>97</v>
      </c>
      <c r="D50" s="62">
        <v>152</v>
      </c>
      <c r="E50" s="63" t="s">
        <v>98</v>
      </c>
      <c r="F50" s="91"/>
      <c r="G50" s="56">
        <f t="shared" si="0"/>
        <v>0</v>
      </c>
      <c r="H50" s="85"/>
      <c r="I50" s="86"/>
      <c r="J50" s="86"/>
      <c r="K50" s="86"/>
      <c r="L50" s="57">
        <f t="shared" si="1"/>
        <v>0</v>
      </c>
      <c r="M50" s="84"/>
      <c r="N50" s="86"/>
      <c r="O50" s="57">
        <f t="shared" si="2"/>
        <v>0</v>
      </c>
      <c r="P50" s="58">
        <f t="shared" si="5"/>
        <v>0</v>
      </c>
      <c r="Q50" s="62">
        <f t="shared" si="3"/>
        <v>0</v>
      </c>
    </row>
    <row r="51" spans="1:17" s="59" customFormat="1" ht="30" customHeight="1" x14ac:dyDescent="0.3">
      <c r="A51" s="51">
        <f t="shared" si="4"/>
        <v>41</v>
      </c>
      <c r="B51" s="60" t="s">
        <v>99</v>
      </c>
      <c r="C51" s="61" t="s">
        <v>100</v>
      </c>
      <c r="D51" s="62">
        <v>68.650000000000006</v>
      </c>
      <c r="E51" s="63" t="s">
        <v>32</v>
      </c>
      <c r="F51" s="91"/>
      <c r="G51" s="56">
        <f t="shared" si="0"/>
        <v>0</v>
      </c>
      <c r="H51" s="85"/>
      <c r="I51" s="86"/>
      <c r="J51" s="86"/>
      <c r="K51" s="86"/>
      <c r="L51" s="57">
        <f t="shared" si="1"/>
        <v>0</v>
      </c>
      <c r="M51" s="84"/>
      <c r="N51" s="86"/>
      <c r="O51" s="57">
        <f t="shared" si="2"/>
        <v>0</v>
      </c>
      <c r="P51" s="58">
        <f t="shared" si="5"/>
        <v>0</v>
      </c>
      <c r="Q51" s="62">
        <f t="shared" si="3"/>
        <v>0</v>
      </c>
    </row>
    <row r="52" spans="1:17" s="59" customFormat="1" ht="30" customHeight="1" x14ac:dyDescent="0.3">
      <c r="A52" s="51">
        <f t="shared" si="4"/>
        <v>42</v>
      </c>
      <c r="B52" s="60" t="s">
        <v>101</v>
      </c>
      <c r="C52" s="61" t="s">
        <v>102</v>
      </c>
      <c r="D52" s="62">
        <v>77</v>
      </c>
      <c r="E52" s="63" t="s">
        <v>32</v>
      </c>
      <c r="F52" s="91"/>
      <c r="G52" s="56">
        <f t="shared" si="0"/>
        <v>0</v>
      </c>
      <c r="H52" s="85"/>
      <c r="I52" s="86"/>
      <c r="J52" s="86"/>
      <c r="K52" s="86"/>
      <c r="L52" s="57">
        <f t="shared" si="1"/>
        <v>0</v>
      </c>
      <c r="M52" s="84"/>
      <c r="N52" s="86"/>
      <c r="O52" s="57">
        <f t="shared" si="2"/>
        <v>0</v>
      </c>
      <c r="P52" s="58">
        <f t="shared" si="5"/>
        <v>0</v>
      </c>
      <c r="Q52" s="62">
        <f t="shared" si="3"/>
        <v>0</v>
      </c>
    </row>
    <row r="53" spans="1:17" s="59" customFormat="1" ht="30" customHeight="1" x14ac:dyDescent="0.3">
      <c r="A53" s="51">
        <f t="shared" si="4"/>
        <v>43</v>
      </c>
      <c r="B53" s="60" t="s">
        <v>103</v>
      </c>
      <c r="C53" s="61" t="s">
        <v>104</v>
      </c>
      <c r="D53" s="62">
        <v>3</v>
      </c>
      <c r="E53" s="63" t="s">
        <v>29</v>
      </c>
      <c r="F53" s="91"/>
      <c r="G53" s="56">
        <f t="shared" si="0"/>
        <v>0</v>
      </c>
      <c r="H53" s="85"/>
      <c r="I53" s="86"/>
      <c r="J53" s="86"/>
      <c r="K53" s="86"/>
      <c r="L53" s="57">
        <f t="shared" si="1"/>
        <v>0</v>
      </c>
      <c r="M53" s="84"/>
      <c r="N53" s="86"/>
      <c r="O53" s="57">
        <f t="shared" si="2"/>
        <v>0</v>
      </c>
      <c r="P53" s="58">
        <f t="shared" si="5"/>
        <v>0</v>
      </c>
      <c r="Q53" s="62">
        <f t="shared" si="3"/>
        <v>0</v>
      </c>
    </row>
    <row r="54" spans="1:17" s="59" customFormat="1" ht="30" customHeight="1" x14ac:dyDescent="0.3">
      <c r="A54" s="51">
        <f t="shared" si="4"/>
        <v>44</v>
      </c>
      <c r="B54" s="74" t="s">
        <v>105</v>
      </c>
      <c r="C54" s="75" t="s">
        <v>102</v>
      </c>
      <c r="D54" s="76">
        <v>206.8</v>
      </c>
      <c r="E54" s="77" t="s">
        <v>98</v>
      </c>
      <c r="F54" s="91"/>
      <c r="G54" s="56">
        <f t="shared" si="0"/>
        <v>0</v>
      </c>
      <c r="H54" s="85"/>
      <c r="I54" s="86"/>
      <c r="J54" s="86"/>
      <c r="K54" s="86"/>
      <c r="L54" s="57">
        <f t="shared" si="1"/>
        <v>0</v>
      </c>
      <c r="M54" s="84"/>
      <c r="N54" s="86"/>
      <c r="O54" s="57">
        <f t="shared" si="2"/>
        <v>0</v>
      </c>
      <c r="P54" s="58">
        <f t="shared" si="5"/>
        <v>0</v>
      </c>
      <c r="Q54" s="62">
        <f t="shared" si="3"/>
        <v>0</v>
      </c>
    </row>
    <row r="55" spans="1:17" s="79" customFormat="1" ht="21" customHeight="1" thickBot="1" x14ac:dyDescent="0.35">
      <c r="A55" s="78">
        <f t="shared" si="4"/>
        <v>45</v>
      </c>
      <c r="B55" s="74" t="s">
        <v>106</v>
      </c>
      <c r="C55" s="75" t="s">
        <v>104</v>
      </c>
      <c r="D55" s="76">
        <v>4.5</v>
      </c>
      <c r="E55" s="77" t="s">
        <v>29</v>
      </c>
      <c r="F55" s="92"/>
      <c r="G55" s="56">
        <f t="shared" si="0"/>
        <v>0</v>
      </c>
      <c r="H55" s="88"/>
      <c r="I55" s="89"/>
      <c r="J55" s="89"/>
      <c r="K55" s="89"/>
      <c r="L55" s="57">
        <f t="shared" si="1"/>
        <v>0</v>
      </c>
      <c r="M55" s="84"/>
      <c r="N55" s="89"/>
      <c r="O55" s="57">
        <f t="shared" si="2"/>
        <v>0</v>
      </c>
      <c r="P55" s="58">
        <f t="shared" si="5"/>
        <v>0</v>
      </c>
      <c r="Q55" s="76">
        <f t="shared" si="3"/>
        <v>0</v>
      </c>
    </row>
    <row r="56" spans="1:17" s="50" customFormat="1" ht="27.75" customHeight="1" thickBot="1" x14ac:dyDescent="0.35">
      <c r="A56" s="38"/>
      <c r="B56" s="39"/>
      <c r="C56" s="40"/>
      <c r="D56" s="41" t="s">
        <v>107</v>
      </c>
      <c r="E56" s="42"/>
      <c r="F56" s="43"/>
      <c r="G56" s="44">
        <f>SUM(G11:G55)</f>
        <v>0</v>
      </c>
      <c r="H56" s="45"/>
      <c r="I56" s="46"/>
      <c r="J56" s="46"/>
      <c r="K56" s="80"/>
      <c r="L56" s="47">
        <f>SUM(L11:L55)</f>
        <v>0</v>
      </c>
      <c r="M56" s="47"/>
      <c r="N56" s="81"/>
      <c r="O56" s="47">
        <f>SUM(O11:O55)</f>
        <v>0</v>
      </c>
      <c r="P56" s="48"/>
      <c r="Q56" s="49">
        <f>SUM(Q11:Q55)</f>
        <v>0</v>
      </c>
    </row>
    <row r="57" spans="1:17" s="97" customFormat="1" ht="15.5" x14ac:dyDescent="0.35">
      <c r="B57" s="97" t="s">
        <v>108</v>
      </c>
      <c r="C57" s="98"/>
      <c r="E57" s="99"/>
      <c r="F57" s="97" t="s">
        <v>109</v>
      </c>
      <c r="K57" s="100"/>
      <c r="P57" s="100"/>
    </row>
    <row r="58" spans="1:17" s="101" customFormat="1" ht="15.5" x14ac:dyDescent="0.35">
      <c r="C58" s="102"/>
      <c r="E58" s="103"/>
      <c r="K58" s="104"/>
      <c r="L58" s="105"/>
      <c r="M58" s="105"/>
      <c r="N58" s="105"/>
      <c r="O58" s="105"/>
      <c r="P58" s="104"/>
    </row>
    <row r="59" spans="1:17" s="14" customFormat="1" ht="15.5" x14ac:dyDescent="0.35">
      <c r="C59" s="15"/>
      <c r="E59" s="16"/>
      <c r="K59" s="17"/>
      <c r="L59" s="18"/>
      <c r="M59" s="18"/>
      <c r="N59" s="18"/>
      <c r="O59" s="18"/>
      <c r="P59" s="17"/>
    </row>
    <row r="60" spans="1:17" s="14" customFormat="1" ht="15.5" x14ac:dyDescent="0.35">
      <c r="C60" s="15"/>
      <c r="E60" s="16"/>
      <c r="K60" s="17"/>
      <c r="L60" s="18"/>
      <c r="M60" s="18"/>
      <c r="N60" s="18"/>
      <c r="O60" s="18"/>
      <c r="P60" s="17"/>
    </row>
    <row r="61" spans="1:17" s="14" customFormat="1" ht="15.5" x14ac:dyDescent="0.35">
      <c r="C61" s="15"/>
      <c r="E61" s="16"/>
      <c r="K61" s="17"/>
      <c r="L61" s="18"/>
      <c r="M61" s="18"/>
      <c r="N61" s="18"/>
      <c r="O61" s="18"/>
      <c r="P61" s="17"/>
    </row>
    <row r="62" spans="1:17" s="14" customFormat="1" ht="15.5" x14ac:dyDescent="0.35">
      <c r="C62" s="15"/>
      <c r="E62" s="16"/>
      <c r="K62" s="17"/>
      <c r="L62" s="18"/>
      <c r="M62" s="18"/>
      <c r="N62" s="18"/>
      <c r="O62" s="18"/>
      <c r="P62" s="17"/>
    </row>
    <row r="63" spans="1:17" s="14" customFormat="1" ht="15.5" x14ac:dyDescent="0.35">
      <c r="C63" s="15"/>
      <c r="E63" s="16"/>
      <c r="K63" s="17"/>
      <c r="L63" s="18"/>
      <c r="M63" s="18"/>
      <c r="N63" s="18"/>
      <c r="O63" s="18"/>
      <c r="P63" s="17"/>
    </row>
    <row r="64" spans="1:17" s="14" customFormat="1" ht="15.5" x14ac:dyDescent="0.35">
      <c r="C64" s="15"/>
      <c r="E64" s="16"/>
      <c r="K64" s="17"/>
      <c r="L64" s="18"/>
      <c r="M64" s="18"/>
      <c r="N64" s="18"/>
      <c r="O64" s="18"/>
      <c r="P64" s="17"/>
    </row>
    <row r="65" spans="3:16" s="14" customFormat="1" ht="15.5" x14ac:dyDescent="0.35">
      <c r="C65" s="15"/>
      <c r="E65" s="16"/>
      <c r="K65" s="17"/>
      <c r="L65" s="18"/>
      <c r="M65" s="18"/>
      <c r="N65" s="18"/>
      <c r="O65" s="18"/>
      <c r="P65" s="17"/>
    </row>
    <row r="66" spans="3:16" s="14" customFormat="1" ht="15.5" x14ac:dyDescent="0.35">
      <c r="C66" s="15"/>
      <c r="E66" s="16"/>
      <c r="K66" s="17"/>
      <c r="L66" s="18"/>
      <c r="M66" s="18"/>
      <c r="N66" s="18"/>
      <c r="O66" s="18"/>
      <c r="P66" s="17"/>
    </row>
    <row r="67" spans="3:16" s="14" customFormat="1" ht="15.5" x14ac:dyDescent="0.35">
      <c r="C67" s="15"/>
      <c r="E67" s="16"/>
      <c r="K67" s="17"/>
      <c r="L67" s="18"/>
      <c r="M67" s="18"/>
      <c r="N67" s="18"/>
      <c r="O67" s="18"/>
      <c r="P67" s="17"/>
    </row>
    <row r="68" spans="3:16" s="14" customFormat="1" ht="15.5" x14ac:dyDescent="0.35">
      <c r="C68" s="15"/>
      <c r="E68" s="16"/>
      <c r="K68" s="17"/>
      <c r="L68" s="18"/>
      <c r="M68" s="18"/>
      <c r="N68" s="18"/>
      <c r="O68" s="18"/>
      <c r="P68" s="17"/>
    </row>
    <row r="69" spans="3:16" s="14" customFormat="1" ht="15.5" x14ac:dyDescent="0.35">
      <c r="C69" s="15"/>
      <c r="E69" s="16"/>
      <c r="K69" s="17"/>
      <c r="L69" s="18"/>
      <c r="M69" s="18"/>
      <c r="N69" s="18"/>
      <c r="O69" s="18"/>
      <c r="P69" s="17"/>
    </row>
    <row r="70" spans="3:16" s="14" customFormat="1" ht="15.5" x14ac:dyDescent="0.35">
      <c r="C70" s="15"/>
      <c r="E70" s="16"/>
      <c r="K70" s="17"/>
      <c r="L70" s="18"/>
      <c r="M70" s="18"/>
      <c r="N70" s="18"/>
      <c r="O70" s="18"/>
      <c r="P70" s="17"/>
    </row>
    <row r="71" spans="3:16" s="14" customFormat="1" ht="15.5" x14ac:dyDescent="0.35">
      <c r="C71" s="15"/>
      <c r="E71" s="16"/>
      <c r="K71" s="17"/>
      <c r="L71" s="18"/>
      <c r="M71" s="18"/>
      <c r="N71" s="18"/>
      <c r="O71" s="18"/>
      <c r="P71" s="17"/>
    </row>
    <row r="72" spans="3:16" s="14" customFormat="1" ht="15.5" x14ac:dyDescent="0.35">
      <c r="C72" s="15"/>
      <c r="E72" s="16"/>
      <c r="K72" s="17"/>
      <c r="L72" s="18"/>
      <c r="M72" s="18"/>
      <c r="N72" s="18"/>
      <c r="O72" s="18"/>
      <c r="P72" s="17"/>
    </row>
    <row r="73" spans="3:16" s="14" customFormat="1" ht="15.5" x14ac:dyDescent="0.35">
      <c r="C73" s="15"/>
      <c r="E73" s="16"/>
      <c r="K73" s="17"/>
      <c r="L73" s="18"/>
      <c r="M73" s="18"/>
      <c r="N73" s="18"/>
      <c r="O73" s="18"/>
      <c r="P73" s="17"/>
    </row>
    <row r="74" spans="3:16" s="14" customFormat="1" ht="15.5" x14ac:dyDescent="0.35">
      <c r="C74" s="15"/>
      <c r="E74" s="16"/>
      <c r="K74" s="17"/>
      <c r="L74" s="18"/>
      <c r="M74" s="18"/>
      <c r="N74" s="18"/>
      <c r="O74" s="18"/>
      <c r="P74" s="17"/>
    </row>
    <row r="75" spans="3:16" s="14" customFormat="1" ht="15.5" x14ac:dyDescent="0.35">
      <c r="C75" s="15"/>
      <c r="E75" s="16"/>
      <c r="K75" s="17"/>
      <c r="L75" s="18"/>
      <c r="M75" s="18"/>
      <c r="N75" s="18"/>
      <c r="O75" s="18"/>
      <c r="P75" s="17"/>
    </row>
    <row r="76" spans="3:16" s="14" customFormat="1" ht="15.5" x14ac:dyDescent="0.35">
      <c r="C76" s="15"/>
      <c r="E76" s="16"/>
      <c r="K76" s="17"/>
      <c r="L76" s="18"/>
      <c r="M76" s="18"/>
      <c r="N76" s="18"/>
      <c r="O76" s="18"/>
      <c r="P76" s="17"/>
    </row>
    <row r="77" spans="3:16" s="14" customFormat="1" ht="15.5" x14ac:dyDescent="0.35">
      <c r="C77" s="15"/>
      <c r="E77" s="16"/>
      <c r="K77" s="17"/>
      <c r="L77" s="18"/>
      <c r="M77" s="18"/>
      <c r="N77" s="18"/>
      <c r="O77" s="18"/>
      <c r="P77" s="17"/>
    </row>
    <row r="78" spans="3:16" s="14" customFormat="1" ht="15.5" x14ac:dyDescent="0.35">
      <c r="C78" s="15"/>
      <c r="E78" s="16"/>
      <c r="K78" s="17"/>
      <c r="L78" s="18"/>
      <c r="M78" s="18"/>
      <c r="N78" s="18"/>
      <c r="O78" s="18"/>
      <c r="P78" s="17"/>
    </row>
    <row r="79" spans="3:16" s="14" customFormat="1" ht="15.5" x14ac:dyDescent="0.35">
      <c r="C79" s="15"/>
      <c r="E79" s="16"/>
      <c r="K79" s="17"/>
      <c r="L79" s="18"/>
      <c r="M79" s="18"/>
      <c r="N79" s="18"/>
      <c r="O79" s="18"/>
      <c r="P79" s="17"/>
    </row>
    <row r="80" spans="3:16" s="14" customFormat="1" ht="15.5" x14ac:dyDescent="0.35">
      <c r="C80" s="15"/>
      <c r="E80" s="16"/>
      <c r="K80" s="17"/>
      <c r="L80" s="18"/>
      <c r="M80" s="18"/>
      <c r="N80" s="18"/>
      <c r="O80" s="18"/>
      <c r="P80" s="17"/>
    </row>
    <row r="81" spans="3:16" s="14" customFormat="1" ht="15.5" x14ac:dyDescent="0.35">
      <c r="C81" s="15"/>
      <c r="E81" s="16"/>
      <c r="K81" s="17"/>
      <c r="L81" s="18"/>
      <c r="M81" s="18"/>
      <c r="N81" s="18"/>
      <c r="O81" s="18"/>
      <c r="P81" s="17"/>
    </row>
    <row r="82" spans="3:16" s="14" customFormat="1" ht="15.5" x14ac:dyDescent="0.35">
      <c r="C82" s="15"/>
      <c r="E82" s="16"/>
      <c r="K82" s="17"/>
      <c r="L82" s="18"/>
      <c r="M82" s="18"/>
      <c r="N82" s="18"/>
      <c r="O82" s="18"/>
      <c r="P82" s="17"/>
    </row>
    <row r="83" spans="3:16" s="14" customFormat="1" ht="15.5" x14ac:dyDescent="0.35">
      <c r="C83" s="15"/>
      <c r="E83" s="16"/>
      <c r="K83" s="17"/>
      <c r="L83" s="18"/>
      <c r="M83" s="18"/>
      <c r="N83" s="18"/>
      <c r="O83" s="18"/>
      <c r="P83" s="17"/>
    </row>
    <row r="84" spans="3:16" s="19" customFormat="1" x14ac:dyDescent="0.25">
      <c r="C84" s="20"/>
      <c r="E84" s="21"/>
      <c r="K84" s="22"/>
      <c r="L84" s="23"/>
      <c r="M84" s="23"/>
      <c r="N84" s="23"/>
      <c r="O84" s="23"/>
      <c r="P84" s="22"/>
    </row>
    <row r="85" spans="3:16" s="19" customFormat="1" x14ac:dyDescent="0.25">
      <c r="C85" s="20"/>
      <c r="E85" s="21"/>
      <c r="K85" s="22"/>
      <c r="L85" s="23"/>
      <c r="M85" s="23"/>
      <c r="N85" s="23"/>
      <c r="O85" s="23"/>
      <c r="P85" s="22"/>
    </row>
    <row r="86" spans="3:16" s="19" customFormat="1" x14ac:dyDescent="0.25">
      <c r="C86" s="20"/>
      <c r="E86" s="21"/>
      <c r="K86" s="22"/>
      <c r="L86" s="23"/>
      <c r="M86" s="23"/>
      <c r="N86" s="23"/>
      <c r="O86" s="23"/>
      <c r="P86" s="22"/>
    </row>
    <row r="87" spans="3:16" s="19" customFormat="1" x14ac:dyDescent="0.25">
      <c r="C87" s="20"/>
      <c r="E87" s="21"/>
      <c r="K87" s="22"/>
      <c r="L87" s="23"/>
      <c r="M87" s="23"/>
      <c r="N87" s="23"/>
      <c r="O87" s="23"/>
      <c r="P87" s="22"/>
    </row>
    <row r="88" spans="3:16" s="19" customFormat="1" x14ac:dyDescent="0.25">
      <c r="C88" s="20"/>
      <c r="E88" s="21"/>
      <c r="K88" s="22"/>
      <c r="L88" s="23"/>
      <c r="M88" s="23"/>
      <c r="N88" s="23"/>
      <c r="O88" s="23"/>
      <c r="P88" s="22"/>
    </row>
    <row r="89" spans="3:16" s="19" customFormat="1" x14ac:dyDescent="0.25">
      <c r="C89" s="20"/>
      <c r="E89" s="21"/>
      <c r="K89" s="22"/>
      <c r="L89" s="23"/>
      <c r="M89" s="23"/>
      <c r="N89" s="23"/>
      <c r="O89" s="23"/>
      <c r="P89" s="22"/>
    </row>
    <row r="90" spans="3:16" s="19" customFormat="1" x14ac:dyDescent="0.25">
      <c r="C90" s="20"/>
      <c r="E90" s="21"/>
      <c r="K90" s="22"/>
      <c r="L90" s="23"/>
      <c r="M90" s="23"/>
      <c r="N90" s="23"/>
      <c r="O90" s="23"/>
      <c r="P90" s="22"/>
    </row>
    <row r="91" spans="3:16" s="19" customFormat="1" x14ac:dyDescent="0.25">
      <c r="C91" s="20"/>
      <c r="E91" s="21"/>
      <c r="K91" s="22"/>
      <c r="L91" s="23"/>
      <c r="M91" s="23"/>
      <c r="N91" s="23"/>
      <c r="O91" s="23"/>
      <c r="P91" s="22"/>
    </row>
    <row r="92" spans="3:16" s="19" customFormat="1" x14ac:dyDescent="0.25">
      <c r="C92" s="20"/>
      <c r="E92" s="21"/>
      <c r="K92" s="22"/>
      <c r="L92" s="23"/>
      <c r="M92" s="23"/>
      <c r="N92" s="23"/>
      <c r="O92" s="23"/>
      <c r="P92" s="22"/>
    </row>
    <row r="93" spans="3:16" s="19" customFormat="1" x14ac:dyDescent="0.25">
      <c r="C93" s="20"/>
      <c r="E93" s="21"/>
      <c r="K93" s="22"/>
      <c r="L93" s="23"/>
      <c r="M93" s="23"/>
      <c r="N93" s="23"/>
      <c r="O93" s="23"/>
      <c r="P93" s="22"/>
    </row>
    <row r="94" spans="3:16" s="19" customFormat="1" x14ac:dyDescent="0.25">
      <c r="C94" s="20"/>
      <c r="E94" s="21"/>
      <c r="K94" s="22"/>
      <c r="L94" s="23"/>
      <c r="M94" s="23"/>
      <c r="N94" s="23"/>
      <c r="O94" s="23"/>
      <c r="P94" s="22"/>
    </row>
    <row r="95" spans="3:16" s="19" customFormat="1" x14ac:dyDescent="0.25">
      <c r="C95" s="20"/>
      <c r="E95" s="21"/>
      <c r="K95" s="22"/>
      <c r="L95" s="23"/>
      <c r="M95" s="23"/>
      <c r="N95" s="23"/>
      <c r="O95" s="23"/>
      <c r="P95" s="22"/>
    </row>
    <row r="96" spans="3:16" s="19" customFormat="1" x14ac:dyDescent="0.25">
      <c r="C96" s="20"/>
      <c r="E96" s="21"/>
      <c r="K96" s="22"/>
      <c r="L96" s="23"/>
      <c r="M96" s="23"/>
      <c r="N96" s="23"/>
      <c r="O96" s="23"/>
      <c r="P96" s="22"/>
    </row>
    <row r="97" spans="3:16" s="19" customFormat="1" x14ac:dyDescent="0.25">
      <c r="C97" s="20"/>
      <c r="E97" s="21"/>
      <c r="K97" s="22"/>
      <c r="L97" s="23"/>
      <c r="M97" s="23"/>
      <c r="N97" s="23"/>
      <c r="O97" s="23"/>
      <c r="P97" s="22"/>
    </row>
    <row r="98" spans="3:16" s="19" customFormat="1" x14ac:dyDescent="0.25">
      <c r="C98" s="20"/>
      <c r="E98" s="21"/>
      <c r="K98" s="22"/>
      <c r="L98" s="23"/>
      <c r="M98" s="23"/>
      <c r="N98" s="23"/>
      <c r="O98" s="23"/>
      <c r="P98" s="22"/>
    </row>
    <row r="99" spans="3:16" s="19" customFormat="1" x14ac:dyDescent="0.25">
      <c r="C99" s="20"/>
      <c r="E99" s="21"/>
      <c r="K99" s="22"/>
      <c r="L99" s="23"/>
      <c r="M99" s="23"/>
      <c r="N99" s="23"/>
      <c r="O99" s="23"/>
      <c r="P99" s="22"/>
    </row>
    <row r="100" spans="3:16" s="19" customFormat="1" x14ac:dyDescent="0.25">
      <c r="C100" s="20"/>
      <c r="E100" s="21"/>
      <c r="K100" s="22"/>
      <c r="L100" s="23"/>
      <c r="M100" s="23"/>
      <c r="N100" s="23"/>
      <c r="O100" s="23"/>
      <c r="P100" s="22"/>
    </row>
    <row r="101" spans="3:16" s="19" customFormat="1" x14ac:dyDescent="0.25">
      <c r="C101" s="20"/>
      <c r="E101" s="21"/>
      <c r="K101" s="22"/>
      <c r="L101" s="23"/>
      <c r="M101" s="23"/>
      <c r="N101" s="23"/>
      <c r="O101" s="23"/>
      <c r="P101" s="22"/>
    </row>
    <row r="102" spans="3:16" s="19" customFormat="1" x14ac:dyDescent="0.25">
      <c r="C102" s="20"/>
      <c r="E102" s="21"/>
      <c r="K102" s="22"/>
      <c r="L102" s="23"/>
      <c r="M102" s="23"/>
      <c r="N102" s="23"/>
      <c r="O102" s="23"/>
      <c r="P102" s="22"/>
    </row>
    <row r="103" spans="3:16" s="19" customFormat="1" x14ac:dyDescent="0.25">
      <c r="C103" s="20"/>
      <c r="E103" s="21"/>
      <c r="K103" s="22"/>
      <c r="L103" s="23"/>
      <c r="M103" s="23"/>
      <c r="N103" s="23"/>
      <c r="O103" s="23"/>
      <c r="P103" s="22"/>
    </row>
    <row r="104" spans="3:16" s="19" customFormat="1" x14ac:dyDescent="0.25">
      <c r="C104" s="20"/>
      <c r="E104" s="21"/>
      <c r="K104" s="22"/>
      <c r="L104" s="23"/>
      <c r="M104" s="23"/>
      <c r="N104" s="23"/>
      <c r="O104" s="23"/>
      <c r="P104" s="22"/>
    </row>
    <row r="105" spans="3:16" s="19" customFormat="1" x14ac:dyDescent="0.25">
      <c r="C105" s="20"/>
      <c r="E105" s="21"/>
      <c r="K105" s="22"/>
      <c r="L105" s="23"/>
      <c r="M105" s="23"/>
      <c r="N105" s="23"/>
      <c r="O105" s="23"/>
      <c r="P105" s="22"/>
    </row>
    <row r="106" spans="3:16" s="19" customFormat="1" x14ac:dyDescent="0.25">
      <c r="C106" s="20"/>
      <c r="E106" s="21"/>
      <c r="K106" s="22"/>
      <c r="L106" s="23"/>
      <c r="M106" s="23"/>
      <c r="N106" s="23"/>
      <c r="O106" s="23"/>
      <c r="P106" s="22"/>
    </row>
    <row r="107" spans="3:16" s="19" customFormat="1" x14ac:dyDescent="0.25">
      <c r="C107" s="20"/>
      <c r="E107" s="21"/>
      <c r="K107" s="22"/>
      <c r="L107" s="23"/>
      <c r="M107" s="23"/>
      <c r="N107" s="23"/>
      <c r="O107" s="23"/>
      <c r="P107" s="22"/>
    </row>
    <row r="108" spans="3:16" s="19" customFormat="1" x14ac:dyDescent="0.25">
      <c r="C108" s="20"/>
      <c r="E108" s="21"/>
      <c r="K108" s="22"/>
      <c r="L108" s="23"/>
      <c r="M108" s="23"/>
      <c r="N108" s="23"/>
      <c r="O108" s="23"/>
      <c r="P108" s="22"/>
    </row>
    <row r="109" spans="3:16" s="19" customFormat="1" x14ac:dyDescent="0.25">
      <c r="C109" s="20"/>
      <c r="E109" s="21"/>
      <c r="K109" s="22"/>
      <c r="L109" s="23"/>
      <c r="M109" s="23"/>
      <c r="N109" s="23"/>
      <c r="O109" s="23"/>
      <c r="P109" s="22"/>
    </row>
    <row r="110" spans="3:16" s="19" customFormat="1" x14ac:dyDescent="0.25">
      <c r="C110" s="20"/>
      <c r="E110" s="21"/>
      <c r="K110" s="22"/>
      <c r="L110" s="23"/>
      <c r="M110" s="23"/>
      <c r="N110" s="23"/>
      <c r="O110" s="23"/>
      <c r="P110" s="22"/>
    </row>
    <row r="111" spans="3:16" s="19" customFormat="1" x14ac:dyDescent="0.25">
      <c r="C111" s="20"/>
      <c r="E111" s="21"/>
      <c r="K111" s="22"/>
      <c r="L111" s="23"/>
      <c r="M111" s="23"/>
      <c r="N111" s="23"/>
      <c r="O111" s="23"/>
      <c r="P111" s="22"/>
    </row>
    <row r="112" spans="3:16" s="19" customFormat="1" x14ac:dyDescent="0.25">
      <c r="C112" s="20"/>
      <c r="E112" s="21"/>
      <c r="K112" s="22"/>
      <c r="L112" s="23"/>
      <c r="M112" s="23"/>
      <c r="N112" s="23"/>
      <c r="O112" s="23"/>
      <c r="P112" s="22"/>
    </row>
    <row r="113" spans="3:16" s="19" customFormat="1" x14ac:dyDescent="0.25">
      <c r="C113" s="20"/>
      <c r="E113" s="21"/>
      <c r="K113" s="22"/>
      <c r="L113" s="23"/>
      <c r="M113" s="23"/>
      <c r="N113" s="23"/>
      <c r="O113" s="23"/>
      <c r="P113" s="22"/>
    </row>
    <row r="114" spans="3:16" s="19" customFormat="1" x14ac:dyDescent="0.25">
      <c r="C114" s="20"/>
      <c r="E114" s="21"/>
      <c r="K114" s="22"/>
      <c r="L114" s="23"/>
      <c r="M114" s="23"/>
      <c r="N114" s="23"/>
      <c r="O114" s="23"/>
      <c r="P114" s="22"/>
    </row>
    <row r="115" spans="3:16" s="19" customFormat="1" x14ac:dyDescent="0.25">
      <c r="C115" s="20"/>
      <c r="E115" s="21"/>
      <c r="K115" s="22"/>
      <c r="L115" s="23"/>
      <c r="M115" s="23"/>
      <c r="N115" s="23"/>
      <c r="O115" s="23"/>
      <c r="P115" s="22"/>
    </row>
    <row r="116" spans="3:16" s="19" customFormat="1" x14ac:dyDescent="0.25">
      <c r="C116" s="20"/>
      <c r="E116" s="21"/>
      <c r="K116" s="22"/>
      <c r="L116" s="23"/>
      <c r="M116" s="23"/>
      <c r="N116" s="23"/>
      <c r="O116" s="23"/>
      <c r="P116" s="22"/>
    </row>
    <row r="117" spans="3:16" s="19" customFormat="1" x14ac:dyDescent="0.25">
      <c r="C117" s="20"/>
      <c r="E117" s="21"/>
      <c r="K117" s="22"/>
      <c r="L117" s="23"/>
      <c r="M117" s="23"/>
      <c r="N117" s="23"/>
      <c r="O117" s="23"/>
      <c r="P117" s="22"/>
    </row>
    <row r="118" spans="3:16" s="19" customFormat="1" x14ac:dyDescent="0.25">
      <c r="C118" s="20"/>
      <c r="E118" s="21"/>
      <c r="K118" s="22"/>
      <c r="L118" s="23"/>
      <c r="M118" s="23"/>
      <c r="N118" s="23"/>
      <c r="O118" s="23"/>
      <c r="P118" s="22"/>
    </row>
    <row r="119" spans="3:16" s="19" customFormat="1" x14ac:dyDescent="0.25">
      <c r="C119" s="20"/>
      <c r="E119" s="21"/>
      <c r="K119" s="22"/>
      <c r="L119" s="23"/>
      <c r="M119" s="23"/>
      <c r="N119" s="23"/>
      <c r="O119" s="23"/>
      <c r="P119" s="22"/>
    </row>
    <row r="120" spans="3:16" s="19" customFormat="1" x14ac:dyDescent="0.25">
      <c r="C120" s="20"/>
      <c r="E120" s="21"/>
      <c r="K120" s="22"/>
      <c r="L120" s="23"/>
      <c r="M120" s="23"/>
      <c r="N120" s="23"/>
      <c r="O120" s="23"/>
      <c r="P120" s="22"/>
    </row>
    <row r="121" spans="3:16" s="19" customFormat="1" x14ac:dyDescent="0.25">
      <c r="C121" s="20"/>
      <c r="E121" s="21"/>
      <c r="K121" s="22"/>
      <c r="L121" s="23"/>
      <c r="M121" s="23"/>
      <c r="N121" s="23"/>
      <c r="O121" s="23"/>
      <c r="P121" s="22"/>
    </row>
    <row r="122" spans="3:16" s="19" customFormat="1" x14ac:dyDescent="0.25">
      <c r="C122" s="20"/>
      <c r="E122" s="21"/>
      <c r="K122" s="22"/>
      <c r="L122" s="23"/>
      <c r="M122" s="23"/>
      <c r="N122" s="23"/>
      <c r="O122" s="23"/>
      <c r="P122" s="22"/>
    </row>
    <row r="123" spans="3:16" s="19" customFormat="1" x14ac:dyDescent="0.25">
      <c r="C123" s="20"/>
      <c r="E123" s="21"/>
      <c r="K123" s="22"/>
      <c r="L123" s="23"/>
      <c r="M123" s="23"/>
      <c r="N123" s="23"/>
      <c r="O123" s="23"/>
      <c r="P123" s="22"/>
    </row>
    <row r="124" spans="3:16" s="19" customFormat="1" x14ac:dyDescent="0.25">
      <c r="C124" s="20"/>
      <c r="E124" s="21"/>
      <c r="K124" s="22"/>
      <c r="L124" s="23"/>
      <c r="M124" s="23"/>
      <c r="N124" s="23"/>
      <c r="O124" s="23"/>
      <c r="P124" s="22"/>
    </row>
    <row r="125" spans="3:16" s="19" customFormat="1" x14ac:dyDescent="0.25">
      <c r="C125" s="20"/>
      <c r="E125" s="21"/>
      <c r="K125" s="22"/>
      <c r="L125" s="23"/>
      <c r="M125" s="23"/>
      <c r="N125" s="23"/>
      <c r="O125" s="23"/>
      <c r="P125" s="22"/>
    </row>
    <row r="126" spans="3:16" s="19" customFormat="1" x14ac:dyDescent="0.25">
      <c r="C126" s="20"/>
      <c r="E126" s="21"/>
      <c r="K126" s="22"/>
      <c r="L126" s="23"/>
      <c r="M126" s="23"/>
      <c r="N126" s="23"/>
      <c r="O126" s="23"/>
      <c r="P126" s="22"/>
    </row>
    <row r="127" spans="3:16" s="19" customFormat="1" x14ac:dyDescent="0.25">
      <c r="C127" s="20"/>
      <c r="E127" s="21"/>
      <c r="K127" s="22"/>
      <c r="L127" s="23"/>
      <c r="M127" s="23"/>
      <c r="N127" s="23"/>
      <c r="O127" s="23"/>
      <c r="P127" s="22"/>
    </row>
    <row r="128" spans="3:16" s="19" customFormat="1" x14ac:dyDescent="0.25">
      <c r="C128" s="20"/>
      <c r="E128" s="21"/>
      <c r="K128" s="22"/>
      <c r="L128" s="23"/>
      <c r="M128" s="23"/>
      <c r="N128" s="23"/>
      <c r="O128" s="23"/>
      <c r="P128" s="22"/>
    </row>
    <row r="129" spans="3:16" s="19" customFormat="1" x14ac:dyDescent="0.25">
      <c r="C129" s="20"/>
      <c r="E129" s="21"/>
      <c r="K129" s="22"/>
      <c r="L129" s="23"/>
      <c r="M129" s="23"/>
      <c r="N129" s="23"/>
      <c r="O129" s="23"/>
      <c r="P129" s="22"/>
    </row>
    <row r="130" spans="3:16" s="19" customFormat="1" x14ac:dyDescent="0.25">
      <c r="C130" s="20"/>
      <c r="E130" s="21"/>
      <c r="K130" s="22"/>
      <c r="L130" s="23"/>
      <c r="M130" s="23"/>
      <c r="N130" s="23"/>
      <c r="O130" s="23"/>
      <c r="P130" s="22"/>
    </row>
    <row r="131" spans="3:16" s="19" customFormat="1" x14ac:dyDescent="0.25">
      <c r="C131" s="20"/>
      <c r="E131" s="21"/>
      <c r="K131" s="22"/>
      <c r="L131" s="23"/>
      <c r="M131" s="23"/>
      <c r="N131" s="23"/>
      <c r="O131" s="23"/>
      <c r="P131" s="22"/>
    </row>
    <row r="132" spans="3:16" s="19" customFormat="1" x14ac:dyDescent="0.25">
      <c r="C132" s="20"/>
      <c r="E132" s="21"/>
      <c r="K132" s="22"/>
      <c r="L132" s="23"/>
      <c r="M132" s="23"/>
      <c r="N132" s="23"/>
      <c r="O132" s="23"/>
      <c r="P132" s="22"/>
    </row>
    <row r="133" spans="3:16" s="19" customFormat="1" x14ac:dyDescent="0.25">
      <c r="C133" s="20"/>
      <c r="E133" s="21"/>
      <c r="K133" s="22"/>
      <c r="L133" s="23"/>
      <c r="M133" s="23"/>
      <c r="N133" s="23"/>
      <c r="O133" s="23"/>
      <c r="P133" s="22"/>
    </row>
    <row r="134" spans="3:16" s="19" customFormat="1" x14ac:dyDescent="0.25">
      <c r="C134" s="20"/>
      <c r="E134" s="21"/>
      <c r="K134" s="22"/>
      <c r="L134" s="23"/>
      <c r="M134" s="23"/>
      <c r="N134" s="23"/>
      <c r="O134" s="23"/>
      <c r="P134" s="22"/>
    </row>
    <row r="135" spans="3:16" s="19" customFormat="1" x14ac:dyDescent="0.25">
      <c r="C135" s="20"/>
      <c r="E135" s="21"/>
      <c r="K135" s="22"/>
      <c r="L135" s="23"/>
      <c r="M135" s="23"/>
      <c r="N135" s="23"/>
      <c r="O135" s="23"/>
      <c r="P135" s="22"/>
    </row>
    <row r="136" spans="3:16" s="19" customFormat="1" x14ac:dyDescent="0.25">
      <c r="C136" s="20"/>
      <c r="E136" s="21"/>
      <c r="K136" s="22"/>
      <c r="L136" s="23"/>
      <c r="M136" s="23"/>
      <c r="N136" s="23"/>
      <c r="O136" s="23"/>
      <c r="P136" s="22"/>
    </row>
    <row r="137" spans="3:16" s="19" customFormat="1" x14ac:dyDescent="0.25">
      <c r="C137" s="20"/>
      <c r="E137" s="21"/>
      <c r="K137" s="22"/>
      <c r="L137" s="23"/>
      <c r="M137" s="23"/>
      <c r="N137" s="23"/>
      <c r="O137" s="23"/>
      <c r="P137" s="22"/>
    </row>
    <row r="138" spans="3:16" s="19" customFormat="1" x14ac:dyDescent="0.25">
      <c r="C138" s="20"/>
      <c r="E138" s="21"/>
      <c r="K138" s="22"/>
      <c r="L138" s="23"/>
      <c r="M138" s="23"/>
      <c r="N138" s="23"/>
      <c r="O138" s="23"/>
      <c r="P138" s="22"/>
    </row>
    <row r="139" spans="3:16" s="19" customFormat="1" x14ac:dyDescent="0.25">
      <c r="C139" s="20"/>
      <c r="E139" s="21"/>
      <c r="K139" s="22"/>
      <c r="L139" s="23"/>
      <c r="M139" s="23"/>
      <c r="N139" s="23"/>
      <c r="O139" s="23"/>
      <c r="P139" s="22"/>
    </row>
    <row r="140" spans="3:16" s="19" customFormat="1" x14ac:dyDescent="0.25">
      <c r="C140" s="20"/>
      <c r="E140" s="21"/>
      <c r="K140" s="22"/>
      <c r="L140" s="23"/>
      <c r="M140" s="23"/>
      <c r="N140" s="23"/>
      <c r="O140" s="23"/>
      <c r="P140" s="22"/>
    </row>
    <row r="141" spans="3:16" s="19" customFormat="1" x14ac:dyDescent="0.25">
      <c r="C141" s="20"/>
      <c r="E141" s="21"/>
      <c r="K141" s="22"/>
      <c r="L141" s="23"/>
      <c r="M141" s="23"/>
      <c r="N141" s="23"/>
      <c r="O141" s="23"/>
      <c r="P141" s="22"/>
    </row>
    <row r="142" spans="3:16" s="19" customFormat="1" x14ac:dyDescent="0.25">
      <c r="C142" s="20"/>
      <c r="E142" s="21"/>
      <c r="K142" s="22"/>
      <c r="L142" s="23"/>
      <c r="M142" s="23"/>
      <c r="N142" s="23"/>
      <c r="O142" s="23"/>
      <c r="P142" s="22"/>
    </row>
    <row r="143" spans="3:16" s="19" customFormat="1" x14ac:dyDescent="0.25">
      <c r="C143" s="20"/>
      <c r="E143" s="21"/>
      <c r="K143" s="22"/>
      <c r="L143" s="23"/>
      <c r="M143" s="23"/>
      <c r="N143" s="23"/>
      <c r="O143" s="23"/>
      <c r="P143" s="22"/>
    </row>
    <row r="144" spans="3:16" s="19" customFormat="1" x14ac:dyDescent="0.25">
      <c r="C144" s="20"/>
      <c r="E144" s="21"/>
      <c r="K144" s="22"/>
      <c r="L144" s="23"/>
      <c r="M144" s="23"/>
      <c r="N144" s="23"/>
      <c r="O144" s="23"/>
      <c r="P144" s="22"/>
    </row>
    <row r="145" spans="3:16" s="19" customFormat="1" x14ac:dyDescent="0.25">
      <c r="C145" s="20"/>
      <c r="E145" s="21"/>
      <c r="K145" s="22"/>
      <c r="L145" s="23"/>
      <c r="M145" s="23"/>
      <c r="N145" s="23"/>
      <c r="O145" s="23"/>
      <c r="P145" s="22"/>
    </row>
    <row r="146" spans="3:16" s="19" customFormat="1" x14ac:dyDescent="0.25">
      <c r="C146" s="20"/>
      <c r="E146" s="21"/>
      <c r="K146" s="22"/>
      <c r="L146" s="23"/>
      <c r="M146" s="23"/>
      <c r="N146" s="23"/>
      <c r="O146" s="23"/>
      <c r="P146" s="22"/>
    </row>
    <row r="147" spans="3:16" s="19" customFormat="1" x14ac:dyDescent="0.25">
      <c r="C147" s="20"/>
      <c r="E147" s="21"/>
      <c r="K147" s="22"/>
      <c r="L147" s="23"/>
      <c r="M147" s="23"/>
      <c r="N147" s="23"/>
      <c r="O147" s="23"/>
      <c r="P147" s="22"/>
    </row>
    <row r="148" spans="3:16" s="19" customFormat="1" x14ac:dyDescent="0.25">
      <c r="C148" s="20"/>
      <c r="E148" s="21"/>
      <c r="K148" s="22"/>
      <c r="L148" s="23"/>
      <c r="M148" s="23"/>
      <c r="N148" s="23"/>
      <c r="O148" s="23"/>
      <c r="P148" s="22"/>
    </row>
    <row r="149" spans="3:16" s="19" customFormat="1" x14ac:dyDescent="0.25">
      <c r="C149" s="20"/>
      <c r="E149" s="21"/>
      <c r="K149" s="22"/>
      <c r="L149" s="23"/>
      <c r="M149" s="23"/>
      <c r="N149" s="23"/>
      <c r="O149" s="23"/>
      <c r="P149" s="22"/>
    </row>
    <row r="150" spans="3:16" s="19" customFormat="1" x14ac:dyDescent="0.25">
      <c r="C150" s="20"/>
      <c r="E150" s="21"/>
      <c r="K150" s="22"/>
      <c r="L150" s="23"/>
      <c r="M150" s="23"/>
      <c r="N150" s="23"/>
      <c r="O150" s="23"/>
      <c r="P150" s="22"/>
    </row>
    <row r="151" spans="3:16" s="19" customFormat="1" x14ac:dyDescent="0.25">
      <c r="C151" s="20"/>
      <c r="E151" s="21"/>
      <c r="K151" s="22"/>
      <c r="L151" s="23"/>
      <c r="M151" s="23"/>
      <c r="N151" s="23"/>
      <c r="O151" s="23"/>
      <c r="P151" s="22"/>
    </row>
    <row r="152" spans="3:16" s="19" customFormat="1" x14ac:dyDescent="0.25">
      <c r="C152" s="20"/>
      <c r="E152" s="21"/>
      <c r="K152" s="22"/>
      <c r="L152" s="23"/>
      <c r="M152" s="23"/>
      <c r="N152" s="23"/>
      <c r="O152" s="23"/>
      <c r="P152" s="22"/>
    </row>
    <row r="153" spans="3:16" s="19" customFormat="1" x14ac:dyDescent="0.25">
      <c r="C153" s="20"/>
      <c r="E153" s="21"/>
      <c r="K153" s="22"/>
      <c r="L153" s="23"/>
      <c r="M153" s="23"/>
      <c r="N153" s="23"/>
      <c r="O153" s="23"/>
      <c r="P153" s="22"/>
    </row>
    <row r="154" spans="3:16" s="19" customFormat="1" x14ac:dyDescent="0.25">
      <c r="C154" s="20"/>
      <c r="E154" s="21"/>
      <c r="K154" s="22"/>
      <c r="L154" s="23"/>
      <c r="M154" s="23"/>
      <c r="N154" s="23"/>
      <c r="O154" s="23"/>
      <c r="P154" s="22"/>
    </row>
    <row r="155" spans="3:16" s="19" customFormat="1" x14ac:dyDescent="0.25">
      <c r="C155" s="20"/>
      <c r="E155" s="21"/>
      <c r="K155" s="22"/>
      <c r="L155" s="23"/>
      <c r="M155" s="23"/>
      <c r="N155" s="23"/>
      <c r="O155" s="23"/>
      <c r="P155" s="22"/>
    </row>
    <row r="156" spans="3:16" s="19" customFormat="1" x14ac:dyDescent="0.25">
      <c r="C156" s="20"/>
      <c r="E156" s="21"/>
      <c r="K156" s="22"/>
      <c r="L156" s="23"/>
      <c r="M156" s="23"/>
      <c r="N156" s="23"/>
      <c r="O156" s="23"/>
      <c r="P156" s="22"/>
    </row>
    <row r="157" spans="3:16" s="19" customFormat="1" x14ac:dyDescent="0.25">
      <c r="C157" s="20"/>
      <c r="E157" s="21"/>
      <c r="K157" s="22"/>
      <c r="L157" s="23"/>
      <c r="M157" s="23"/>
      <c r="N157" s="23"/>
      <c r="O157" s="23"/>
      <c r="P157" s="22"/>
    </row>
    <row r="158" spans="3:16" s="19" customFormat="1" x14ac:dyDescent="0.25">
      <c r="C158" s="20"/>
      <c r="E158" s="21"/>
      <c r="K158" s="22"/>
      <c r="L158" s="23"/>
      <c r="M158" s="23"/>
      <c r="N158" s="23"/>
      <c r="O158" s="23"/>
      <c r="P158" s="22"/>
    </row>
    <row r="159" spans="3:16" s="19" customFormat="1" x14ac:dyDescent="0.25">
      <c r="C159" s="20"/>
      <c r="E159" s="21"/>
      <c r="K159" s="22"/>
      <c r="L159" s="23"/>
      <c r="M159" s="23"/>
      <c r="N159" s="23"/>
      <c r="O159" s="23"/>
      <c r="P159" s="22"/>
    </row>
    <row r="160" spans="3:16" s="19" customFormat="1" x14ac:dyDescent="0.25">
      <c r="C160" s="20"/>
      <c r="E160" s="21"/>
      <c r="K160" s="22"/>
      <c r="L160" s="23"/>
      <c r="M160" s="23"/>
      <c r="N160" s="23"/>
      <c r="O160" s="23"/>
      <c r="P160" s="22"/>
    </row>
    <row r="161" spans="3:16" s="19" customFormat="1" x14ac:dyDescent="0.25">
      <c r="C161" s="20"/>
      <c r="E161" s="21"/>
      <c r="K161" s="22"/>
      <c r="L161" s="23"/>
      <c r="M161" s="23"/>
      <c r="N161" s="23"/>
      <c r="O161" s="23"/>
      <c r="P161" s="22"/>
    </row>
    <row r="162" spans="3:16" s="19" customFormat="1" x14ac:dyDescent="0.25">
      <c r="C162" s="20"/>
      <c r="E162" s="21"/>
      <c r="K162" s="22"/>
      <c r="L162" s="23"/>
      <c r="M162" s="23"/>
      <c r="N162" s="23"/>
      <c r="O162" s="23"/>
      <c r="P162" s="22"/>
    </row>
    <row r="163" spans="3:16" s="19" customFormat="1" x14ac:dyDescent="0.25">
      <c r="C163" s="20"/>
      <c r="E163" s="21"/>
      <c r="K163" s="22"/>
      <c r="L163" s="23"/>
      <c r="M163" s="23"/>
      <c r="N163" s="23"/>
      <c r="O163" s="23"/>
      <c r="P163" s="22"/>
    </row>
    <row r="164" spans="3:16" s="19" customFormat="1" x14ac:dyDescent="0.25">
      <c r="C164" s="20"/>
      <c r="E164" s="21"/>
      <c r="K164" s="22"/>
      <c r="L164" s="23"/>
      <c r="M164" s="23"/>
      <c r="N164" s="23"/>
      <c r="O164" s="23"/>
      <c r="P164" s="22"/>
    </row>
    <row r="165" spans="3:16" s="19" customFormat="1" x14ac:dyDescent="0.25">
      <c r="C165" s="20"/>
      <c r="E165" s="21"/>
      <c r="K165" s="22"/>
      <c r="L165" s="23"/>
      <c r="M165" s="23"/>
      <c r="N165" s="23"/>
      <c r="O165" s="23"/>
      <c r="P165" s="22"/>
    </row>
    <row r="166" spans="3:16" s="19" customFormat="1" x14ac:dyDescent="0.25">
      <c r="C166" s="20"/>
      <c r="E166" s="21"/>
      <c r="K166" s="22"/>
      <c r="L166" s="23"/>
      <c r="M166" s="23"/>
      <c r="N166" s="23"/>
      <c r="O166" s="23"/>
      <c r="P166" s="22"/>
    </row>
    <row r="167" spans="3:16" s="19" customFormat="1" x14ac:dyDescent="0.25">
      <c r="C167" s="20"/>
      <c r="E167" s="21"/>
      <c r="K167" s="22"/>
      <c r="L167" s="23"/>
      <c r="M167" s="23"/>
      <c r="N167" s="23"/>
      <c r="O167" s="23"/>
      <c r="P167" s="22"/>
    </row>
    <row r="168" spans="3:16" s="19" customFormat="1" x14ac:dyDescent="0.25">
      <c r="C168" s="20"/>
      <c r="E168" s="21"/>
      <c r="K168" s="22"/>
      <c r="L168" s="23"/>
      <c r="M168" s="23"/>
      <c r="N168" s="23"/>
      <c r="O168" s="23"/>
      <c r="P168" s="22"/>
    </row>
    <row r="169" spans="3:16" s="19" customFormat="1" x14ac:dyDescent="0.25">
      <c r="C169" s="20"/>
      <c r="E169" s="21"/>
      <c r="K169" s="22"/>
      <c r="L169" s="23"/>
      <c r="M169" s="23"/>
      <c r="N169" s="23"/>
      <c r="O169" s="23"/>
      <c r="P169" s="22"/>
    </row>
    <row r="170" spans="3:16" s="19" customFormat="1" x14ac:dyDescent="0.25">
      <c r="C170" s="20"/>
      <c r="E170" s="21"/>
      <c r="K170" s="22"/>
      <c r="L170" s="23"/>
      <c r="M170" s="23"/>
      <c r="N170" s="23"/>
      <c r="O170" s="23"/>
      <c r="P170" s="22"/>
    </row>
    <row r="171" spans="3:16" s="19" customFormat="1" x14ac:dyDescent="0.25">
      <c r="C171" s="20"/>
      <c r="E171" s="21"/>
      <c r="K171" s="22"/>
      <c r="L171" s="23"/>
      <c r="M171" s="23"/>
      <c r="N171" s="23"/>
      <c r="O171" s="23"/>
      <c r="P171" s="22"/>
    </row>
    <row r="172" spans="3:16" s="19" customFormat="1" x14ac:dyDescent="0.25">
      <c r="C172" s="20"/>
      <c r="E172" s="21"/>
      <c r="K172" s="22"/>
      <c r="L172" s="23"/>
      <c r="M172" s="23"/>
      <c r="N172" s="23"/>
      <c r="O172" s="23"/>
      <c r="P172" s="22"/>
    </row>
    <row r="173" spans="3:16" s="19" customFormat="1" x14ac:dyDescent="0.25">
      <c r="C173" s="20"/>
      <c r="E173" s="21"/>
      <c r="K173" s="22"/>
      <c r="L173" s="23"/>
      <c r="M173" s="23"/>
      <c r="N173" s="23"/>
      <c r="O173" s="23"/>
      <c r="P173" s="22"/>
    </row>
    <row r="174" spans="3:16" s="19" customFormat="1" x14ac:dyDescent="0.25">
      <c r="C174" s="20"/>
      <c r="E174" s="21"/>
      <c r="K174" s="22"/>
      <c r="L174" s="23"/>
      <c r="M174" s="23"/>
      <c r="N174" s="23"/>
      <c r="O174" s="23"/>
      <c r="P174" s="22"/>
    </row>
    <row r="175" spans="3:16" s="19" customFormat="1" x14ac:dyDescent="0.25">
      <c r="C175" s="20"/>
      <c r="E175" s="21"/>
      <c r="K175" s="22"/>
      <c r="L175" s="23"/>
      <c r="M175" s="23"/>
      <c r="N175" s="23"/>
      <c r="O175" s="23"/>
      <c r="P175" s="22"/>
    </row>
    <row r="176" spans="3:16" s="19" customFormat="1" x14ac:dyDescent="0.25">
      <c r="C176" s="20"/>
      <c r="E176" s="21"/>
      <c r="K176" s="22"/>
      <c r="L176" s="23"/>
      <c r="M176" s="23"/>
      <c r="N176" s="23"/>
      <c r="O176" s="23"/>
      <c r="P176" s="22"/>
    </row>
    <row r="177" spans="3:16" s="19" customFormat="1" x14ac:dyDescent="0.25">
      <c r="C177" s="20"/>
      <c r="E177" s="21"/>
      <c r="K177" s="22"/>
      <c r="L177" s="23"/>
      <c r="M177" s="23"/>
      <c r="N177" s="23"/>
      <c r="O177" s="23"/>
      <c r="P177" s="22"/>
    </row>
    <row r="178" spans="3:16" s="19" customFormat="1" x14ac:dyDescent="0.25">
      <c r="C178" s="20"/>
      <c r="E178" s="21"/>
      <c r="K178" s="22"/>
      <c r="L178" s="23"/>
      <c r="M178" s="23"/>
      <c r="N178" s="23"/>
      <c r="O178" s="23"/>
      <c r="P178" s="22"/>
    </row>
    <row r="179" spans="3:16" s="19" customFormat="1" x14ac:dyDescent="0.25">
      <c r="C179" s="20"/>
      <c r="E179" s="21"/>
      <c r="K179" s="22"/>
      <c r="L179" s="23"/>
      <c r="M179" s="23"/>
      <c r="N179" s="23"/>
      <c r="O179" s="23"/>
      <c r="P179" s="22"/>
    </row>
    <row r="180" spans="3:16" s="19" customFormat="1" x14ac:dyDescent="0.25">
      <c r="C180" s="20"/>
      <c r="E180" s="21"/>
      <c r="K180" s="22"/>
      <c r="L180" s="23"/>
      <c r="M180" s="23"/>
      <c r="N180" s="23"/>
      <c r="O180" s="23"/>
      <c r="P180" s="22"/>
    </row>
    <row r="181" spans="3:16" s="19" customFormat="1" x14ac:dyDescent="0.25">
      <c r="C181" s="20"/>
      <c r="E181" s="21"/>
      <c r="K181" s="22"/>
      <c r="L181" s="23"/>
      <c r="M181" s="23"/>
      <c r="N181" s="23"/>
      <c r="O181" s="23"/>
      <c r="P181" s="22"/>
    </row>
    <row r="182" spans="3:16" s="19" customFormat="1" x14ac:dyDescent="0.25">
      <c r="C182" s="20"/>
      <c r="E182" s="21"/>
      <c r="K182" s="22"/>
      <c r="L182" s="23"/>
      <c r="M182" s="23"/>
      <c r="N182" s="23"/>
      <c r="O182" s="23"/>
      <c r="P182" s="22"/>
    </row>
    <row r="183" spans="3:16" s="19" customFormat="1" x14ac:dyDescent="0.25">
      <c r="C183" s="20"/>
      <c r="E183" s="21"/>
      <c r="K183" s="22"/>
      <c r="L183" s="23"/>
      <c r="M183" s="23"/>
      <c r="N183" s="23"/>
      <c r="O183" s="23"/>
      <c r="P183" s="22"/>
    </row>
    <row r="184" spans="3:16" s="19" customFormat="1" x14ac:dyDescent="0.25">
      <c r="C184" s="20"/>
      <c r="E184" s="21"/>
      <c r="K184" s="22"/>
      <c r="L184" s="23"/>
      <c r="M184" s="23"/>
      <c r="N184" s="23"/>
      <c r="O184" s="23"/>
      <c r="P184" s="22"/>
    </row>
    <row r="185" spans="3:16" s="19" customFormat="1" x14ac:dyDescent="0.25">
      <c r="C185" s="20"/>
      <c r="E185" s="21"/>
      <c r="K185" s="22"/>
      <c r="L185" s="23"/>
      <c r="M185" s="23"/>
      <c r="N185" s="23"/>
      <c r="O185" s="23"/>
      <c r="P185" s="22"/>
    </row>
    <row r="186" spans="3:16" s="19" customFormat="1" x14ac:dyDescent="0.25">
      <c r="C186" s="20"/>
      <c r="E186" s="21"/>
      <c r="K186" s="22"/>
      <c r="L186" s="23"/>
      <c r="M186" s="23"/>
      <c r="N186" s="23"/>
      <c r="O186" s="23"/>
      <c r="P186" s="22"/>
    </row>
    <row r="187" spans="3:16" s="19" customFormat="1" x14ac:dyDescent="0.25">
      <c r="C187" s="20"/>
      <c r="E187" s="21"/>
      <c r="K187" s="22"/>
      <c r="L187" s="23"/>
      <c r="M187" s="23"/>
      <c r="N187" s="23"/>
      <c r="O187" s="23"/>
      <c r="P187" s="22"/>
    </row>
    <row r="188" spans="3:16" s="19" customFormat="1" x14ac:dyDescent="0.25">
      <c r="C188" s="20"/>
      <c r="E188" s="21"/>
      <c r="K188" s="22"/>
      <c r="L188" s="23"/>
      <c r="M188" s="23"/>
      <c r="N188" s="23"/>
      <c r="O188" s="23"/>
      <c r="P188" s="22"/>
    </row>
    <row r="189" spans="3:16" s="19" customFormat="1" x14ac:dyDescent="0.25">
      <c r="C189" s="20"/>
      <c r="E189" s="21"/>
      <c r="K189" s="22"/>
      <c r="L189" s="23"/>
      <c r="M189" s="23"/>
      <c r="N189" s="23"/>
      <c r="O189" s="23"/>
      <c r="P189" s="22"/>
    </row>
    <row r="190" spans="3:16" s="19" customFormat="1" x14ac:dyDescent="0.25">
      <c r="C190" s="20"/>
      <c r="E190" s="21"/>
      <c r="K190" s="22"/>
      <c r="L190" s="23"/>
      <c r="M190" s="23"/>
      <c r="N190" s="23"/>
      <c r="O190" s="23"/>
      <c r="P190" s="22"/>
    </row>
    <row r="191" spans="3:16" s="19" customFormat="1" x14ac:dyDescent="0.25">
      <c r="C191" s="20"/>
      <c r="E191" s="21"/>
      <c r="K191" s="22"/>
      <c r="L191" s="23"/>
      <c r="M191" s="23"/>
      <c r="N191" s="23"/>
      <c r="O191" s="23"/>
      <c r="P191" s="22"/>
    </row>
    <row r="192" spans="3:16" s="19" customFormat="1" x14ac:dyDescent="0.25">
      <c r="C192" s="20"/>
      <c r="E192" s="21"/>
      <c r="K192" s="22"/>
      <c r="L192" s="23"/>
      <c r="M192" s="23"/>
      <c r="N192" s="23"/>
      <c r="O192" s="23"/>
      <c r="P192" s="22"/>
    </row>
    <row r="193" spans="3:16" s="19" customFormat="1" x14ac:dyDescent="0.25">
      <c r="C193" s="20"/>
      <c r="E193" s="21"/>
      <c r="K193" s="22"/>
      <c r="L193" s="23"/>
      <c r="M193" s="23"/>
      <c r="N193" s="23"/>
      <c r="O193" s="23"/>
      <c r="P193" s="22"/>
    </row>
    <row r="194" spans="3:16" s="19" customFormat="1" x14ac:dyDescent="0.25">
      <c r="C194" s="20"/>
      <c r="E194" s="21"/>
      <c r="K194" s="22"/>
      <c r="L194" s="23"/>
      <c r="M194" s="23"/>
      <c r="N194" s="23"/>
      <c r="O194" s="23"/>
      <c r="P194" s="22"/>
    </row>
    <row r="195" spans="3:16" s="19" customFormat="1" x14ac:dyDescent="0.25">
      <c r="C195" s="20"/>
      <c r="E195" s="21"/>
      <c r="K195" s="22"/>
      <c r="L195" s="23"/>
      <c r="M195" s="23"/>
      <c r="N195" s="23"/>
      <c r="O195" s="23"/>
      <c r="P195" s="22"/>
    </row>
    <row r="196" spans="3:16" s="19" customFormat="1" x14ac:dyDescent="0.25">
      <c r="C196" s="20"/>
      <c r="E196" s="21"/>
      <c r="K196" s="22"/>
      <c r="L196" s="23"/>
      <c r="M196" s="23"/>
      <c r="N196" s="23"/>
      <c r="O196" s="23"/>
      <c r="P196" s="22"/>
    </row>
    <row r="197" spans="3:16" s="19" customFormat="1" x14ac:dyDescent="0.25">
      <c r="C197" s="20"/>
      <c r="E197" s="21"/>
      <c r="K197" s="22"/>
      <c r="L197" s="23"/>
      <c r="M197" s="23"/>
      <c r="N197" s="23"/>
      <c r="O197" s="23"/>
      <c r="P197" s="22"/>
    </row>
    <row r="198" spans="3:16" s="19" customFormat="1" x14ac:dyDescent="0.25">
      <c r="C198" s="20"/>
      <c r="E198" s="21"/>
      <c r="K198" s="22"/>
      <c r="L198" s="23"/>
      <c r="M198" s="23"/>
      <c r="N198" s="23"/>
      <c r="O198" s="23"/>
      <c r="P198" s="22"/>
    </row>
    <row r="199" spans="3:16" s="19" customFormat="1" x14ac:dyDescent="0.25">
      <c r="C199" s="20"/>
      <c r="E199" s="21"/>
      <c r="K199" s="22"/>
      <c r="L199" s="23"/>
      <c r="M199" s="23"/>
      <c r="N199" s="23"/>
      <c r="O199" s="23"/>
      <c r="P199" s="22"/>
    </row>
    <row r="200" spans="3:16" s="19" customFormat="1" x14ac:dyDescent="0.25">
      <c r="C200" s="20"/>
      <c r="E200" s="21"/>
      <c r="K200" s="22"/>
      <c r="L200" s="23"/>
      <c r="M200" s="23"/>
      <c r="N200" s="23"/>
      <c r="O200" s="23"/>
      <c r="P200" s="22"/>
    </row>
    <row r="201" spans="3:16" s="19" customFormat="1" x14ac:dyDescent="0.25">
      <c r="C201" s="20"/>
      <c r="E201" s="21"/>
      <c r="K201" s="22"/>
      <c r="L201" s="23"/>
      <c r="M201" s="23"/>
      <c r="N201" s="23"/>
      <c r="O201" s="23"/>
      <c r="P201" s="22"/>
    </row>
    <row r="202" spans="3:16" s="19" customFormat="1" x14ac:dyDescent="0.25">
      <c r="C202" s="20"/>
      <c r="E202" s="21"/>
      <c r="K202" s="22"/>
      <c r="L202" s="23"/>
      <c r="M202" s="23"/>
      <c r="N202" s="23"/>
      <c r="O202" s="23"/>
      <c r="P202" s="22"/>
    </row>
    <row r="203" spans="3:16" s="19" customFormat="1" x14ac:dyDescent="0.25">
      <c r="C203" s="20"/>
      <c r="E203" s="21"/>
      <c r="K203" s="22"/>
      <c r="L203" s="23"/>
      <c r="M203" s="23"/>
      <c r="N203" s="23"/>
      <c r="O203" s="23"/>
      <c r="P203" s="22"/>
    </row>
    <row r="204" spans="3:16" s="19" customFormat="1" x14ac:dyDescent="0.25">
      <c r="C204" s="20"/>
      <c r="E204" s="21"/>
      <c r="K204" s="22"/>
      <c r="L204" s="23"/>
      <c r="M204" s="23"/>
      <c r="N204" s="23"/>
      <c r="O204" s="23"/>
      <c r="P204" s="22"/>
    </row>
    <row r="205" spans="3:16" s="19" customFormat="1" x14ac:dyDescent="0.25">
      <c r="C205" s="20"/>
      <c r="E205" s="21"/>
      <c r="K205" s="22"/>
      <c r="L205" s="23"/>
      <c r="M205" s="23"/>
      <c r="N205" s="23"/>
      <c r="O205" s="23"/>
      <c r="P205" s="22"/>
    </row>
    <row r="206" spans="3:16" s="19" customFormat="1" x14ac:dyDescent="0.25">
      <c r="C206" s="20"/>
      <c r="E206" s="21"/>
      <c r="K206" s="22"/>
      <c r="L206" s="23"/>
      <c r="M206" s="23"/>
      <c r="N206" s="23"/>
      <c r="O206" s="23"/>
      <c r="P206" s="22"/>
    </row>
    <row r="207" spans="3:16" s="19" customFormat="1" x14ac:dyDescent="0.25">
      <c r="C207" s="20"/>
      <c r="E207" s="21"/>
      <c r="K207" s="22"/>
      <c r="L207" s="23"/>
      <c r="M207" s="23"/>
      <c r="N207" s="23"/>
      <c r="O207" s="23"/>
      <c r="P207" s="22"/>
    </row>
    <row r="208" spans="3:16" s="19" customFormat="1" x14ac:dyDescent="0.25">
      <c r="C208" s="20"/>
      <c r="E208" s="21"/>
      <c r="K208" s="22"/>
      <c r="L208" s="23"/>
      <c r="M208" s="23"/>
      <c r="N208" s="23"/>
      <c r="O208" s="23"/>
      <c r="P208" s="22"/>
    </row>
    <row r="209" spans="3:16" s="19" customFormat="1" x14ac:dyDescent="0.25">
      <c r="C209" s="20"/>
      <c r="E209" s="21"/>
      <c r="K209" s="22"/>
      <c r="L209" s="23"/>
      <c r="M209" s="23"/>
      <c r="N209" s="23"/>
      <c r="O209" s="23"/>
      <c r="P209" s="22"/>
    </row>
    <row r="210" spans="3:16" s="19" customFormat="1" x14ac:dyDescent="0.25">
      <c r="C210" s="20"/>
      <c r="E210" s="21"/>
      <c r="K210" s="22"/>
      <c r="L210" s="23"/>
      <c r="M210" s="23"/>
      <c r="N210" s="23"/>
      <c r="O210" s="23"/>
      <c r="P210" s="22"/>
    </row>
    <row r="211" spans="3:16" s="19" customFormat="1" x14ac:dyDescent="0.25">
      <c r="C211" s="20"/>
      <c r="E211" s="21"/>
      <c r="K211" s="22"/>
      <c r="L211" s="23"/>
      <c r="M211" s="23"/>
      <c r="N211" s="23"/>
      <c r="O211" s="23"/>
      <c r="P211" s="22"/>
    </row>
    <row r="212" spans="3:16" s="19" customFormat="1" x14ac:dyDescent="0.25">
      <c r="C212" s="20"/>
      <c r="E212" s="21"/>
      <c r="K212" s="22"/>
      <c r="L212" s="23"/>
      <c r="M212" s="23"/>
      <c r="N212" s="23"/>
      <c r="O212" s="23"/>
      <c r="P212" s="22"/>
    </row>
    <row r="213" spans="3:16" s="19" customFormat="1" x14ac:dyDescent="0.25">
      <c r="C213" s="20"/>
      <c r="E213" s="21"/>
      <c r="K213" s="22"/>
      <c r="L213" s="23"/>
      <c r="M213" s="23"/>
      <c r="N213" s="23"/>
      <c r="O213" s="23"/>
      <c r="P213" s="22"/>
    </row>
    <row r="214" spans="3:16" s="19" customFormat="1" x14ac:dyDescent="0.25">
      <c r="C214" s="20"/>
      <c r="E214" s="21"/>
      <c r="K214" s="22"/>
      <c r="L214" s="23"/>
      <c r="M214" s="23"/>
      <c r="N214" s="23"/>
      <c r="O214" s="23"/>
      <c r="P214" s="22"/>
    </row>
    <row r="215" spans="3:16" s="19" customFormat="1" x14ac:dyDescent="0.25">
      <c r="C215" s="20"/>
      <c r="E215" s="21"/>
      <c r="K215" s="22"/>
      <c r="L215" s="23"/>
      <c r="M215" s="23"/>
      <c r="N215" s="23"/>
      <c r="O215" s="23"/>
      <c r="P215" s="22"/>
    </row>
    <row r="216" spans="3:16" s="19" customFormat="1" x14ac:dyDescent="0.25">
      <c r="C216" s="20"/>
      <c r="E216" s="21"/>
      <c r="K216" s="22"/>
      <c r="L216" s="23"/>
      <c r="M216" s="23"/>
      <c r="N216" s="23"/>
      <c r="O216" s="23"/>
      <c r="P216" s="22"/>
    </row>
    <row r="217" spans="3:16" s="19" customFormat="1" x14ac:dyDescent="0.25">
      <c r="C217" s="20"/>
      <c r="E217" s="21"/>
      <c r="K217" s="22"/>
      <c r="L217" s="23"/>
      <c r="M217" s="23"/>
      <c r="N217" s="23"/>
      <c r="O217" s="23"/>
      <c r="P217" s="22"/>
    </row>
    <row r="218" spans="3:16" s="19" customFormat="1" x14ac:dyDescent="0.25">
      <c r="C218" s="20"/>
      <c r="E218" s="21"/>
      <c r="K218" s="22"/>
      <c r="L218" s="23"/>
      <c r="M218" s="23"/>
      <c r="N218" s="23"/>
      <c r="O218" s="23"/>
      <c r="P218" s="22"/>
    </row>
    <row r="219" spans="3:16" s="19" customFormat="1" x14ac:dyDescent="0.25">
      <c r="C219" s="20"/>
      <c r="E219" s="21"/>
      <c r="K219" s="22"/>
      <c r="L219" s="23"/>
      <c r="M219" s="23"/>
      <c r="N219" s="23"/>
      <c r="O219" s="23"/>
      <c r="P219" s="22"/>
    </row>
    <row r="220" spans="3:16" s="19" customFormat="1" x14ac:dyDescent="0.25">
      <c r="C220" s="20"/>
      <c r="E220" s="21"/>
      <c r="K220" s="22"/>
      <c r="L220" s="23"/>
      <c r="M220" s="23"/>
      <c r="N220" s="23"/>
      <c r="O220" s="23"/>
      <c r="P220" s="22"/>
    </row>
    <row r="221" spans="3:16" s="19" customFormat="1" x14ac:dyDescent="0.25">
      <c r="C221" s="20"/>
      <c r="E221" s="21"/>
      <c r="K221" s="22"/>
      <c r="L221" s="23"/>
      <c r="M221" s="23"/>
      <c r="N221" s="23"/>
      <c r="O221" s="23"/>
      <c r="P221" s="22"/>
    </row>
    <row r="222" spans="3:16" s="19" customFormat="1" x14ac:dyDescent="0.25">
      <c r="C222" s="20"/>
      <c r="E222" s="21"/>
      <c r="K222" s="22"/>
      <c r="L222" s="23"/>
      <c r="M222" s="23"/>
      <c r="N222" s="23"/>
      <c r="O222" s="23"/>
      <c r="P222" s="22"/>
    </row>
    <row r="223" spans="3:16" s="19" customFormat="1" x14ac:dyDescent="0.25">
      <c r="C223" s="20"/>
      <c r="E223" s="21"/>
      <c r="K223" s="22"/>
      <c r="L223" s="23"/>
      <c r="M223" s="23"/>
      <c r="N223" s="23"/>
      <c r="O223" s="23"/>
      <c r="P223" s="22"/>
    </row>
    <row r="224" spans="3:16" s="19" customFormat="1" x14ac:dyDescent="0.25">
      <c r="C224" s="20"/>
      <c r="E224" s="21"/>
      <c r="K224" s="22"/>
      <c r="L224" s="23"/>
      <c r="M224" s="23"/>
      <c r="N224" s="23"/>
      <c r="O224" s="23"/>
      <c r="P224" s="22"/>
    </row>
    <row r="225" spans="3:16" s="19" customFormat="1" x14ac:dyDescent="0.25">
      <c r="C225" s="20"/>
      <c r="E225" s="21"/>
      <c r="K225" s="22"/>
      <c r="L225" s="23"/>
      <c r="M225" s="23"/>
      <c r="N225" s="23"/>
      <c r="O225" s="23"/>
      <c r="P225" s="22"/>
    </row>
    <row r="226" spans="3:16" s="19" customFormat="1" x14ac:dyDescent="0.25">
      <c r="C226" s="20"/>
      <c r="E226" s="21"/>
      <c r="K226" s="22"/>
      <c r="L226" s="23"/>
      <c r="M226" s="23"/>
      <c r="N226" s="23"/>
      <c r="O226" s="23"/>
      <c r="P226" s="22"/>
    </row>
    <row r="227" spans="3:16" s="19" customFormat="1" x14ac:dyDescent="0.25">
      <c r="C227" s="20"/>
      <c r="E227" s="21"/>
      <c r="K227" s="22"/>
      <c r="L227" s="23"/>
      <c r="M227" s="23"/>
      <c r="N227" s="23"/>
      <c r="O227" s="23"/>
      <c r="P227" s="22"/>
    </row>
    <row r="228" spans="3:16" s="19" customFormat="1" x14ac:dyDescent="0.25">
      <c r="C228" s="20"/>
      <c r="E228" s="21"/>
      <c r="K228" s="22"/>
      <c r="L228" s="23"/>
      <c r="M228" s="23"/>
      <c r="N228" s="23"/>
      <c r="O228" s="23"/>
      <c r="P228" s="22"/>
    </row>
    <row r="229" spans="3:16" s="19" customFormat="1" x14ac:dyDescent="0.25">
      <c r="C229" s="20"/>
      <c r="E229" s="21"/>
      <c r="K229" s="22"/>
      <c r="L229" s="23"/>
      <c r="M229" s="23"/>
      <c r="N229" s="23"/>
      <c r="O229" s="23"/>
      <c r="P229" s="22"/>
    </row>
    <row r="230" spans="3:16" s="19" customFormat="1" x14ac:dyDescent="0.25">
      <c r="C230" s="20"/>
      <c r="E230" s="21"/>
      <c r="K230" s="22"/>
      <c r="L230" s="23"/>
      <c r="M230" s="23"/>
      <c r="N230" s="23"/>
      <c r="O230" s="23"/>
      <c r="P230" s="22"/>
    </row>
    <row r="231" spans="3:16" s="19" customFormat="1" x14ac:dyDescent="0.25">
      <c r="C231" s="20"/>
      <c r="E231" s="21"/>
      <c r="K231" s="22"/>
      <c r="L231" s="23"/>
      <c r="M231" s="23"/>
      <c r="N231" s="23"/>
      <c r="O231" s="23"/>
      <c r="P231" s="22"/>
    </row>
    <row r="232" spans="3:16" s="19" customFormat="1" x14ac:dyDescent="0.25">
      <c r="C232" s="20"/>
      <c r="E232" s="21"/>
      <c r="K232" s="22"/>
      <c r="L232" s="23"/>
      <c r="M232" s="23"/>
      <c r="N232" s="23"/>
      <c r="O232" s="23"/>
      <c r="P232" s="22"/>
    </row>
    <row r="233" spans="3:16" s="19" customFormat="1" x14ac:dyDescent="0.25">
      <c r="C233" s="20"/>
      <c r="E233" s="21"/>
      <c r="K233" s="22"/>
      <c r="L233" s="23"/>
      <c r="M233" s="23"/>
      <c r="N233" s="23"/>
      <c r="O233" s="23"/>
      <c r="P233" s="22"/>
    </row>
    <row r="234" spans="3:16" s="19" customFormat="1" x14ac:dyDescent="0.25">
      <c r="C234" s="20"/>
      <c r="E234" s="21"/>
      <c r="K234" s="22"/>
      <c r="L234" s="23"/>
      <c r="M234" s="23"/>
      <c r="N234" s="23"/>
      <c r="O234" s="23"/>
      <c r="P234" s="22"/>
    </row>
    <row r="235" spans="3:16" s="19" customFormat="1" x14ac:dyDescent="0.25">
      <c r="C235" s="20"/>
      <c r="E235" s="21"/>
      <c r="K235" s="22"/>
      <c r="L235" s="23"/>
      <c r="M235" s="23"/>
      <c r="N235" s="23"/>
      <c r="O235" s="23"/>
      <c r="P235" s="22"/>
    </row>
    <row r="236" spans="3:16" s="19" customFormat="1" x14ac:dyDescent="0.25">
      <c r="C236" s="20"/>
      <c r="E236" s="21"/>
      <c r="K236" s="22"/>
      <c r="L236" s="23"/>
      <c r="M236" s="23"/>
      <c r="N236" s="23"/>
      <c r="O236" s="23"/>
      <c r="P236" s="22"/>
    </row>
    <row r="237" spans="3:16" s="19" customFormat="1" x14ac:dyDescent="0.25">
      <c r="C237" s="20"/>
      <c r="E237" s="21"/>
      <c r="K237" s="22"/>
      <c r="L237" s="23"/>
      <c r="M237" s="23"/>
      <c r="N237" s="23"/>
      <c r="O237" s="23"/>
      <c r="P237" s="22"/>
    </row>
    <row r="238" spans="3:16" s="19" customFormat="1" x14ac:dyDescent="0.25">
      <c r="C238" s="20"/>
      <c r="E238" s="21"/>
      <c r="K238" s="22"/>
      <c r="L238" s="23"/>
      <c r="M238" s="23"/>
      <c r="N238" s="23"/>
      <c r="O238" s="23"/>
      <c r="P238" s="22"/>
    </row>
    <row r="239" spans="3:16" s="19" customFormat="1" x14ac:dyDescent="0.25">
      <c r="C239" s="20"/>
      <c r="E239" s="21"/>
      <c r="K239" s="22"/>
      <c r="L239" s="23"/>
      <c r="M239" s="23"/>
      <c r="N239" s="23"/>
      <c r="O239" s="23"/>
      <c r="P239" s="22"/>
    </row>
    <row r="240" spans="3:16" s="19" customFormat="1" x14ac:dyDescent="0.25">
      <c r="C240" s="20"/>
      <c r="E240" s="21"/>
      <c r="K240" s="22"/>
      <c r="L240" s="23"/>
      <c r="M240" s="23"/>
      <c r="N240" s="23"/>
      <c r="O240" s="23"/>
      <c r="P240" s="22"/>
    </row>
    <row r="241" spans="3:16" s="19" customFormat="1" x14ac:dyDescent="0.25">
      <c r="C241" s="20"/>
      <c r="E241" s="21"/>
      <c r="K241" s="22"/>
      <c r="L241" s="23"/>
      <c r="M241" s="23"/>
      <c r="N241" s="23"/>
      <c r="O241" s="23"/>
      <c r="P241" s="22"/>
    </row>
    <row r="242" spans="3:16" s="19" customFormat="1" x14ac:dyDescent="0.25">
      <c r="C242" s="20"/>
      <c r="E242" s="21"/>
      <c r="K242" s="22"/>
      <c r="L242" s="23"/>
      <c r="M242" s="23"/>
      <c r="N242" s="23"/>
      <c r="O242" s="23"/>
      <c r="P242" s="22"/>
    </row>
    <row r="243" spans="3:16" s="19" customFormat="1" x14ac:dyDescent="0.25">
      <c r="C243" s="20"/>
      <c r="E243" s="21"/>
      <c r="K243" s="22"/>
      <c r="L243" s="23"/>
      <c r="M243" s="23"/>
      <c r="N243" s="23"/>
      <c r="O243" s="23"/>
      <c r="P243" s="22"/>
    </row>
    <row r="244" spans="3:16" s="19" customFormat="1" x14ac:dyDescent="0.25">
      <c r="C244" s="20"/>
      <c r="E244" s="21"/>
      <c r="K244" s="22"/>
      <c r="L244" s="23"/>
      <c r="M244" s="23"/>
      <c r="N244" s="23"/>
      <c r="O244" s="23"/>
      <c r="P244" s="22"/>
    </row>
    <row r="245" spans="3:16" s="19" customFormat="1" x14ac:dyDescent="0.25">
      <c r="C245" s="20"/>
      <c r="E245" s="21"/>
      <c r="K245" s="22"/>
      <c r="L245" s="23"/>
      <c r="M245" s="23"/>
      <c r="N245" s="23"/>
      <c r="O245" s="23"/>
      <c r="P245" s="22"/>
    </row>
    <row r="246" spans="3:16" s="19" customFormat="1" x14ac:dyDescent="0.25">
      <c r="C246" s="20"/>
      <c r="E246" s="21"/>
      <c r="K246" s="22"/>
      <c r="L246" s="23"/>
      <c r="M246" s="23"/>
      <c r="N246" s="23"/>
      <c r="O246" s="23"/>
      <c r="P246" s="22"/>
    </row>
    <row r="247" spans="3:16" s="19" customFormat="1" x14ac:dyDescent="0.25">
      <c r="C247" s="20"/>
      <c r="E247" s="21"/>
      <c r="K247" s="22"/>
      <c r="L247" s="23"/>
      <c r="M247" s="23"/>
      <c r="N247" s="23"/>
      <c r="O247" s="23"/>
      <c r="P247" s="22"/>
    </row>
    <row r="248" spans="3:16" s="19" customFormat="1" x14ac:dyDescent="0.25">
      <c r="C248" s="20"/>
      <c r="E248" s="21"/>
      <c r="K248" s="22"/>
      <c r="L248" s="23"/>
      <c r="M248" s="23"/>
      <c r="N248" s="23"/>
      <c r="O248" s="23"/>
      <c r="P248" s="22"/>
    </row>
    <row r="249" spans="3:16" s="19" customFormat="1" x14ac:dyDescent="0.25">
      <c r="C249" s="20"/>
      <c r="E249" s="21"/>
      <c r="K249" s="22"/>
      <c r="L249" s="23"/>
      <c r="M249" s="23"/>
      <c r="N249" s="23"/>
      <c r="O249" s="23"/>
      <c r="P249" s="22"/>
    </row>
    <row r="250" spans="3:16" s="19" customFormat="1" x14ac:dyDescent="0.25">
      <c r="C250" s="20"/>
      <c r="E250" s="21"/>
      <c r="K250" s="22"/>
      <c r="L250" s="23"/>
      <c r="M250" s="23"/>
      <c r="N250" s="23"/>
      <c r="O250" s="23"/>
      <c r="P250" s="22"/>
    </row>
    <row r="251" spans="3:16" s="19" customFormat="1" x14ac:dyDescent="0.25">
      <c r="C251" s="20"/>
      <c r="E251" s="21"/>
      <c r="K251" s="22"/>
      <c r="L251" s="23"/>
      <c r="M251" s="23"/>
      <c r="N251" s="23"/>
      <c r="O251" s="23"/>
      <c r="P251" s="22"/>
    </row>
    <row r="252" spans="3:16" s="19" customFormat="1" x14ac:dyDescent="0.25">
      <c r="C252" s="20"/>
      <c r="E252" s="21"/>
      <c r="K252" s="22"/>
      <c r="L252" s="23"/>
      <c r="M252" s="23"/>
      <c r="N252" s="23"/>
      <c r="O252" s="23"/>
      <c r="P252" s="22"/>
    </row>
    <row r="253" spans="3:16" s="19" customFormat="1" x14ac:dyDescent="0.25">
      <c r="C253" s="20"/>
      <c r="E253" s="21"/>
      <c r="K253" s="22"/>
      <c r="L253" s="23"/>
      <c r="M253" s="23"/>
      <c r="N253" s="23"/>
      <c r="O253" s="23"/>
      <c r="P253" s="22"/>
    </row>
    <row r="254" spans="3:16" s="19" customFormat="1" x14ac:dyDescent="0.25">
      <c r="C254" s="20"/>
      <c r="E254" s="21"/>
      <c r="K254" s="22"/>
      <c r="L254" s="23"/>
      <c r="M254" s="23"/>
      <c r="N254" s="23"/>
      <c r="O254" s="23"/>
      <c r="P254" s="22"/>
    </row>
    <row r="255" spans="3:16" s="19" customFormat="1" x14ac:dyDescent="0.25">
      <c r="C255" s="20"/>
      <c r="E255" s="21"/>
      <c r="K255" s="22"/>
      <c r="L255" s="23"/>
      <c r="M255" s="23"/>
      <c r="N255" s="23"/>
      <c r="O255" s="23"/>
      <c r="P255" s="22"/>
    </row>
    <row r="256" spans="3:16" s="19" customFormat="1" x14ac:dyDescent="0.25">
      <c r="C256" s="20"/>
      <c r="E256" s="21"/>
      <c r="K256" s="22"/>
      <c r="L256" s="23"/>
      <c r="M256" s="23"/>
      <c r="N256" s="23"/>
      <c r="O256" s="23"/>
      <c r="P256" s="22"/>
    </row>
    <row r="257" spans="3:16" s="19" customFormat="1" x14ac:dyDescent="0.25">
      <c r="C257" s="20"/>
      <c r="E257" s="21"/>
      <c r="K257" s="22"/>
      <c r="L257" s="23"/>
      <c r="M257" s="23"/>
      <c r="N257" s="23"/>
      <c r="O257" s="23"/>
      <c r="P257" s="22"/>
    </row>
    <row r="258" spans="3:16" s="19" customFormat="1" x14ac:dyDescent="0.25">
      <c r="C258" s="20"/>
      <c r="E258" s="21"/>
      <c r="K258" s="22"/>
      <c r="L258" s="23"/>
      <c r="M258" s="23"/>
      <c r="N258" s="23"/>
      <c r="O258" s="23"/>
      <c r="P258" s="22"/>
    </row>
    <row r="259" spans="3:16" s="19" customFormat="1" x14ac:dyDescent="0.25">
      <c r="C259" s="20"/>
      <c r="E259" s="21"/>
      <c r="K259" s="22"/>
      <c r="L259" s="23"/>
      <c r="M259" s="23"/>
      <c r="N259" s="23"/>
      <c r="O259" s="23"/>
      <c r="P259" s="22"/>
    </row>
    <row r="260" spans="3:16" s="19" customFormat="1" x14ac:dyDescent="0.25">
      <c r="C260" s="20"/>
      <c r="E260" s="21"/>
      <c r="K260" s="22"/>
      <c r="L260" s="23"/>
      <c r="M260" s="23"/>
      <c r="N260" s="23"/>
      <c r="O260" s="23"/>
      <c r="P260" s="22"/>
    </row>
    <row r="261" spans="3:16" s="19" customFormat="1" x14ac:dyDescent="0.25">
      <c r="C261" s="20"/>
      <c r="E261" s="21"/>
      <c r="K261" s="22"/>
      <c r="L261" s="23"/>
      <c r="M261" s="23"/>
      <c r="N261" s="23"/>
      <c r="O261" s="23"/>
      <c r="P261" s="22"/>
    </row>
    <row r="262" spans="3:16" s="19" customFormat="1" x14ac:dyDescent="0.25">
      <c r="C262" s="20"/>
      <c r="E262" s="21"/>
      <c r="K262" s="22"/>
      <c r="L262" s="23"/>
      <c r="M262" s="23"/>
      <c r="N262" s="23"/>
      <c r="O262" s="23"/>
      <c r="P262" s="22"/>
    </row>
    <row r="263" spans="3:16" s="19" customFormat="1" x14ac:dyDescent="0.25">
      <c r="C263" s="20"/>
      <c r="E263" s="21"/>
      <c r="K263" s="22"/>
      <c r="L263" s="23"/>
      <c r="M263" s="23"/>
      <c r="N263" s="23"/>
      <c r="O263" s="23"/>
      <c r="P263" s="22"/>
    </row>
    <row r="264" spans="3:16" s="19" customFormat="1" x14ac:dyDescent="0.25">
      <c r="C264" s="20"/>
      <c r="E264" s="21"/>
      <c r="K264" s="22"/>
      <c r="L264" s="23"/>
      <c r="M264" s="23"/>
      <c r="N264" s="23"/>
      <c r="O264" s="23"/>
      <c r="P264" s="22"/>
    </row>
    <row r="265" spans="3:16" s="19" customFormat="1" x14ac:dyDescent="0.25">
      <c r="C265" s="20"/>
      <c r="E265" s="21"/>
      <c r="K265" s="22"/>
      <c r="L265" s="23"/>
      <c r="M265" s="23"/>
      <c r="N265" s="23"/>
      <c r="O265" s="23"/>
      <c r="P265" s="22"/>
    </row>
    <row r="266" spans="3:16" s="19" customFormat="1" x14ac:dyDescent="0.25">
      <c r="C266" s="20"/>
      <c r="E266" s="21"/>
      <c r="K266" s="22"/>
      <c r="L266" s="23"/>
      <c r="M266" s="23"/>
      <c r="N266" s="23"/>
      <c r="O266" s="23"/>
      <c r="P266" s="22"/>
    </row>
    <row r="267" spans="3:16" s="19" customFormat="1" x14ac:dyDescent="0.25">
      <c r="C267" s="20"/>
      <c r="E267" s="21"/>
      <c r="K267" s="22"/>
      <c r="L267" s="23"/>
      <c r="M267" s="23"/>
      <c r="N267" s="23"/>
      <c r="O267" s="23"/>
      <c r="P267" s="22"/>
    </row>
    <row r="268" spans="3:16" s="19" customFormat="1" x14ac:dyDescent="0.25">
      <c r="C268" s="20"/>
      <c r="E268" s="21"/>
      <c r="K268" s="22"/>
      <c r="L268" s="23"/>
      <c r="M268" s="23"/>
      <c r="N268" s="23"/>
      <c r="O268" s="23"/>
      <c r="P268" s="22"/>
    </row>
    <row r="269" spans="3:16" s="19" customFormat="1" x14ac:dyDescent="0.25">
      <c r="C269" s="20"/>
      <c r="E269" s="21"/>
      <c r="K269" s="22"/>
      <c r="L269" s="23"/>
      <c r="M269" s="23"/>
      <c r="N269" s="23"/>
      <c r="O269" s="23"/>
      <c r="P269" s="22"/>
    </row>
    <row r="270" spans="3:16" s="19" customFormat="1" x14ac:dyDescent="0.25">
      <c r="C270" s="20"/>
      <c r="E270" s="21"/>
      <c r="K270" s="22"/>
      <c r="L270" s="23"/>
      <c r="M270" s="23"/>
      <c r="N270" s="23"/>
      <c r="O270" s="23"/>
      <c r="P270" s="22"/>
    </row>
    <row r="271" spans="3:16" s="19" customFormat="1" x14ac:dyDescent="0.25">
      <c r="C271" s="20"/>
      <c r="E271" s="21"/>
      <c r="K271" s="22"/>
      <c r="L271" s="23"/>
      <c r="M271" s="23"/>
      <c r="N271" s="23"/>
      <c r="O271" s="23"/>
      <c r="P271" s="22"/>
    </row>
    <row r="272" spans="3:16" s="19" customFormat="1" x14ac:dyDescent="0.25">
      <c r="C272" s="20"/>
      <c r="E272" s="21"/>
      <c r="K272" s="22"/>
      <c r="L272" s="23"/>
      <c r="M272" s="23"/>
      <c r="N272" s="23"/>
      <c r="O272" s="23"/>
      <c r="P272" s="22"/>
    </row>
    <row r="273" spans="3:16" s="19" customFormat="1" x14ac:dyDescent="0.25">
      <c r="C273" s="20"/>
      <c r="E273" s="21"/>
      <c r="K273" s="22"/>
      <c r="L273" s="23"/>
      <c r="M273" s="23"/>
      <c r="N273" s="23"/>
      <c r="O273" s="23"/>
      <c r="P273" s="22"/>
    </row>
    <row r="274" spans="3:16" s="19" customFormat="1" x14ac:dyDescent="0.25">
      <c r="C274" s="20"/>
      <c r="E274" s="21"/>
      <c r="K274" s="22"/>
      <c r="L274" s="23"/>
      <c r="M274" s="23"/>
      <c r="N274" s="23"/>
      <c r="O274" s="23"/>
      <c r="P274" s="22"/>
    </row>
    <row r="275" spans="3:16" s="19" customFormat="1" x14ac:dyDescent="0.25">
      <c r="C275" s="20"/>
      <c r="E275" s="21"/>
      <c r="K275" s="22"/>
      <c r="L275" s="23"/>
      <c r="M275" s="23"/>
      <c r="N275" s="23"/>
      <c r="O275" s="23"/>
      <c r="P275" s="22"/>
    </row>
    <row r="276" spans="3:16" s="19" customFormat="1" x14ac:dyDescent="0.25">
      <c r="C276" s="20"/>
      <c r="E276" s="21"/>
      <c r="K276" s="22"/>
      <c r="L276" s="23"/>
      <c r="M276" s="23"/>
      <c r="N276" s="23"/>
      <c r="O276" s="23"/>
      <c r="P276" s="22"/>
    </row>
    <row r="277" spans="3:16" s="19" customFormat="1" x14ac:dyDescent="0.25">
      <c r="C277" s="20"/>
      <c r="E277" s="21"/>
      <c r="K277" s="22"/>
      <c r="L277" s="23"/>
      <c r="M277" s="23"/>
      <c r="N277" s="23"/>
      <c r="O277" s="23"/>
      <c r="P277" s="22"/>
    </row>
    <row r="278" spans="3:16" s="19" customFormat="1" x14ac:dyDescent="0.25">
      <c r="C278" s="20"/>
      <c r="E278" s="21"/>
      <c r="K278" s="22"/>
      <c r="L278" s="23"/>
      <c r="M278" s="23"/>
      <c r="N278" s="23"/>
      <c r="O278" s="23"/>
      <c r="P278" s="22"/>
    </row>
    <row r="279" spans="3:16" s="19" customFormat="1" x14ac:dyDescent="0.25">
      <c r="C279" s="20"/>
      <c r="E279" s="21"/>
      <c r="K279" s="22"/>
      <c r="L279" s="23"/>
      <c r="M279" s="23"/>
      <c r="N279" s="23"/>
      <c r="O279" s="23"/>
      <c r="P279" s="22"/>
    </row>
    <row r="280" spans="3:16" s="19" customFormat="1" x14ac:dyDescent="0.25">
      <c r="C280" s="20"/>
      <c r="E280" s="21"/>
      <c r="K280" s="22"/>
      <c r="L280" s="23"/>
      <c r="M280" s="23"/>
      <c r="N280" s="23"/>
      <c r="O280" s="23"/>
      <c r="P280" s="22"/>
    </row>
    <row r="281" spans="3:16" s="19" customFormat="1" x14ac:dyDescent="0.25">
      <c r="C281" s="20"/>
      <c r="E281" s="21"/>
      <c r="K281" s="22"/>
      <c r="L281" s="23"/>
      <c r="M281" s="23"/>
      <c r="N281" s="23"/>
      <c r="O281" s="23"/>
      <c r="P281" s="22"/>
    </row>
    <row r="282" spans="3:16" s="19" customFormat="1" x14ac:dyDescent="0.25">
      <c r="C282" s="20"/>
      <c r="E282" s="21"/>
      <c r="K282" s="22"/>
      <c r="L282" s="23"/>
      <c r="M282" s="23"/>
      <c r="N282" s="23"/>
      <c r="O282" s="23"/>
      <c r="P282" s="22"/>
    </row>
    <row r="283" spans="3:16" s="19" customFormat="1" x14ac:dyDescent="0.25">
      <c r="C283" s="20"/>
      <c r="E283" s="21"/>
      <c r="K283" s="22"/>
      <c r="L283" s="23"/>
      <c r="M283" s="23"/>
      <c r="N283" s="23"/>
      <c r="O283" s="23"/>
      <c r="P283" s="22"/>
    </row>
    <row r="284" spans="3:16" s="19" customFormat="1" x14ac:dyDescent="0.25">
      <c r="C284" s="20"/>
      <c r="E284" s="21"/>
      <c r="K284" s="22"/>
      <c r="L284" s="23"/>
      <c r="M284" s="23"/>
      <c r="N284" s="23"/>
      <c r="O284" s="23"/>
      <c r="P284" s="22"/>
    </row>
    <row r="285" spans="3:16" s="19" customFormat="1" x14ac:dyDescent="0.25">
      <c r="C285" s="20"/>
      <c r="E285" s="21"/>
      <c r="K285" s="22"/>
      <c r="L285" s="23"/>
      <c r="M285" s="23"/>
      <c r="N285" s="23"/>
      <c r="O285" s="23"/>
      <c r="P285" s="22"/>
    </row>
    <row r="286" spans="3:16" s="19" customFormat="1" x14ac:dyDescent="0.25">
      <c r="C286" s="20"/>
      <c r="E286" s="21"/>
      <c r="K286" s="22"/>
      <c r="L286" s="23"/>
      <c r="M286" s="23"/>
      <c r="N286" s="23"/>
      <c r="O286" s="23"/>
      <c r="P286" s="22"/>
    </row>
    <row r="287" spans="3:16" s="19" customFormat="1" x14ac:dyDescent="0.25">
      <c r="C287" s="20"/>
      <c r="E287" s="21"/>
      <c r="K287" s="22"/>
      <c r="L287" s="23"/>
      <c r="M287" s="23"/>
      <c r="N287" s="23"/>
      <c r="O287" s="23"/>
      <c r="P287" s="22"/>
    </row>
    <row r="288" spans="3:16" s="19" customFormat="1" x14ac:dyDescent="0.25">
      <c r="C288" s="20"/>
      <c r="E288" s="21"/>
      <c r="K288" s="22"/>
      <c r="L288" s="23"/>
      <c r="M288" s="23"/>
      <c r="N288" s="23"/>
      <c r="O288" s="23"/>
      <c r="P288" s="22"/>
    </row>
    <row r="289" spans="3:16" s="19" customFormat="1" x14ac:dyDescent="0.25">
      <c r="C289" s="20"/>
      <c r="E289" s="21"/>
      <c r="K289" s="22"/>
      <c r="L289" s="23"/>
      <c r="M289" s="23"/>
      <c r="N289" s="23"/>
      <c r="O289" s="23"/>
      <c r="P289" s="22"/>
    </row>
    <row r="290" spans="3:16" s="19" customFormat="1" x14ac:dyDescent="0.25">
      <c r="C290" s="20"/>
      <c r="E290" s="21"/>
      <c r="K290" s="22"/>
      <c r="L290" s="23"/>
      <c r="M290" s="23"/>
      <c r="N290" s="23"/>
      <c r="O290" s="23"/>
      <c r="P290" s="22"/>
    </row>
    <row r="291" spans="3:16" s="19" customFormat="1" x14ac:dyDescent="0.25">
      <c r="C291" s="20"/>
      <c r="E291" s="21"/>
      <c r="K291" s="22"/>
      <c r="L291" s="23"/>
      <c r="M291" s="23"/>
      <c r="N291" s="23"/>
      <c r="O291" s="23"/>
      <c r="P291" s="22"/>
    </row>
    <row r="292" spans="3:16" s="19" customFormat="1" x14ac:dyDescent="0.25">
      <c r="C292" s="20"/>
      <c r="E292" s="21"/>
      <c r="K292" s="22"/>
      <c r="L292" s="23"/>
      <c r="M292" s="23"/>
      <c r="N292" s="23"/>
      <c r="O292" s="23"/>
      <c r="P292" s="22"/>
    </row>
    <row r="293" spans="3:16" s="19" customFormat="1" x14ac:dyDescent="0.25">
      <c r="C293" s="20"/>
      <c r="E293" s="21"/>
      <c r="K293" s="22"/>
      <c r="L293" s="23"/>
      <c r="M293" s="23"/>
      <c r="N293" s="23"/>
      <c r="O293" s="23"/>
      <c r="P293" s="22"/>
    </row>
    <row r="294" spans="3:16" s="19" customFormat="1" x14ac:dyDescent="0.25">
      <c r="C294" s="20"/>
      <c r="E294" s="21"/>
      <c r="K294" s="22"/>
      <c r="L294" s="23"/>
      <c r="M294" s="23"/>
      <c r="N294" s="23"/>
      <c r="O294" s="23"/>
      <c r="P294" s="22"/>
    </row>
    <row r="295" spans="3:16" s="19" customFormat="1" x14ac:dyDescent="0.25">
      <c r="C295" s="20"/>
      <c r="E295" s="21"/>
      <c r="K295" s="22"/>
      <c r="L295" s="23"/>
      <c r="M295" s="23"/>
      <c r="N295" s="23"/>
      <c r="O295" s="23"/>
      <c r="P295" s="22"/>
    </row>
    <row r="296" spans="3:16" s="19" customFormat="1" x14ac:dyDescent="0.25">
      <c r="C296" s="20"/>
      <c r="E296" s="21"/>
      <c r="K296" s="22"/>
      <c r="L296" s="23"/>
      <c r="M296" s="23"/>
      <c r="N296" s="23"/>
      <c r="O296" s="23"/>
      <c r="P296" s="22"/>
    </row>
    <row r="297" spans="3:16" s="19" customFormat="1" x14ac:dyDescent="0.25">
      <c r="C297" s="20"/>
      <c r="E297" s="21"/>
      <c r="K297" s="22"/>
      <c r="L297" s="23"/>
      <c r="M297" s="23"/>
      <c r="N297" s="23"/>
      <c r="O297" s="23"/>
      <c r="P297" s="22"/>
    </row>
    <row r="298" spans="3:16" s="19" customFormat="1" x14ac:dyDescent="0.25">
      <c r="C298" s="20"/>
      <c r="E298" s="21"/>
      <c r="K298" s="22"/>
      <c r="L298" s="23"/>
      <c r="M298" s="23"/>
      <c r="N298" s="23"/>
      <c r="O298" s="23"/>
      <c r="P298" s="22"/>
    </row>
    <row r="299" spans="3:16" s="19" customFormat="1" x14ac:dyDescent="0.25">
      <c r="C299" s="20"/>
      <c r="E299" s="21"/>
      <c r="K299" s="22"/>
      <c r="L299" s="23"/>
      <c r="M299" s="23"/>
      <c r="N299" s="23"/>
      <c r="O299" s="23"/>
      <c r="P299" s="22"/>
    </row>
    <row r="300" spans="3:16" s="19" customFormat="1" x14ac:dyDescent="0.25">
      <c r="C300" s="20"/>
      <c r="E300" s="21"/>
      <c r="K300" s="22"/>
      <c r="L300" s="23"/>
      <c r="M300" s="23"/>
      <c r="N300" s="23"/>
      <c r="O300" s="23"/>
      <c r="P300" s="22"/>
    </row>
    <row r="301" spans="3:16" s="19" customFormat="1" x14ac:dyDescent="0.25">
      <c r="C301" s="20"/>
      <c r="E301" s="21"/>
      <c r="K301" s="22"/>
      <c r="L301" s="23"/>
      <c r="M301" s="23"/>
      <c r="N301" s="23"/>
      <c r="O301" s="23"/>
      <c r="P301" s="22"/>
    </row>
    <row r="302" spans="3:16" s="19" customFormat="1" x14ac:dyDescent="0.25">
      <c r="C302" s="20"/>
      <c r="E302" s="21"/>
      <c r="K302" s="22"/>
      <c r="L302" s="23"/>
      <c r="M302" s="23"/>
      <c r="N302" s="23"/>
      <c r="O302" s="23"/>
      <c r="P302" s="22"/>
    </row>
    <row r="303" spans="3:16" s="19" customFormat="1" x14ac:dyDescent="0.25">
      <c r="C303" s="20"/>
      <c r="E303" s="21"/>
      <c r="K303" s="22"/>
      <c r="L303" s="23"/>
      <c r="M303" s="23"/>
      <c r="N303" s="23"/>
      <c r="O303" s="23"/>
      <c r="P303" s="22"/>
    </row>
    <row r="304" spans="3:16" s="19" customFormat="1" x14ac:dyDescent="0.25">
      <c r="C304" s="20"/>
      <c r="E304" s="21"/>
      <c r="K304" s="22"/>
      <c r="L304" s="23"/>
      <c r="M304" s="23"/>
      <c r="N304" s="23"/>
      <c r="O304" s="23"/>
      <c r="P304" s="22"/>
    </row>
    <row r="305" spans="3:16" s="19" customFormat="1" x14ac:dyDescent="0.25">
      <c r="C305" s="20"/>
      <c r="E305" s="21"/>
      <c r="K305" s="22"/>
      <c r="L305" s="23"/>
      <c r="M305" s="23"/>
      <c r="N305" s="23"/>
      <c r="O305" s="23"/>
      <c r="P305" s="22"/>
    </row>
    <row r="306" spans="3:16" s="19" customFormat="1" x14ac:dyDescent="0.25">
      <c r="C306" s="20"/>
      <c r="E306" s="21"/>
      <c r="K306" s="22"/>
      <c r="L306" s="23"/>
      <c r="M306" s="23"/>
      <c r="N306" s="23"/>
      <c r="O306" s="23"/>
      <c r="P306" s="22"/>
    </row>
    <row r="307" spans="3:16" s="19" customFormat="1" x14ac:dyDescent="0.25">
      <c r="C307" s="20"/>
      <c r="E307" s="21"/>
      <c r="K307" s="22"/>
      <c r="L307" s="23"/>
      <c r="M307" s="23"/>
      <c r="N307" s="23"/>
      <c r="O307" s="23"/>
      <c r="P307" s="22"/>
    </row>
    <row r="308" spans="3:16" s="19" customFormat="1" x14ac:dyDescent="0.25">
      <c r="C308" s="20"/>
      <c r="E308" s="21"/>
      <c r="K308" s="22"/>
      <c r="L308" s="23"/>
      <c r="M308" s="23"/>
      <c r="N308" s="23"/>
      <c r="O308" s="23"/>
      <c r="P308" s="22"/>
    </row>
    <row r="309" spans="3:16" s="19" customFormat="1" x14ac:dyDescent="0.25">
      <c r="C309" s="20"/>
      <c r="E309" s="21"/>
      <c r="K309" s="22"/>
      <c r="L309" s="23"/>
      <c r="M309" s="23"/>
      <c r="N309" s="23"/>
      <c r="O309" s="23"/>
      <c r="P309" s="22"/>
    </row>
    <row r="310" spans="3:16" s="19" customFormat="1" x14ac:dyDescent="0.25">
      <c r="C310" s="20"/>
      <c r="E310" s="21"/>
      <c r="K310" s="22"/>
      <c r="L310" s="23"/>
      <c r="M310" s="23"/>
      <c r="N310" s="23"/>
      <c r="O310" s="23"/>
      <c r="P310" s="22"/>
    </row>
    <row r="311" spans="3:16" s="19" customFormat="1" x14ac:dyDescent="0.25">
      <c r="C311" s="20"/>
      <c r="E311" s="21"/>
      <c r="K311" s="22"/>
      <c r="L311" s="23"/>
      <c r="M311" s="23"/>
      <c r="N311" s="23"/>
      <c r="O311" s="23"/>
      <c r="P311" s="22"/>
    </row>
    <row r="312" spans="3:16" s="19" customFormat="1" x14ac:dyDescent="0.25">
      <c r="C312" s="20"/>
      <c r="E312" s="21"/>
      <c r="K312" s="22"/>
      <c r="L312" s="23"/>
      <c r="M312" s="23"/>
      <c r="N312" s="23"/>
      <c r="O312" s="23"/>
      <c r="P312" s="22"/>
    </row>
    <row r="313" spans="3:16" s="19" customFormat="1" x14ac:dyDescent="0.25">
      <c r="C313" s="20"/>
      <c r="E313" s="21"/>
      <c r="K313" s="22"/>
      <c r="L313" s="23"/>
      <c r="M313" s="23"/>
      <c r="N313" s="23"/>
      <c r="O313" s="23"/>
      <c r="P313" s="22"/>
    </row>
    <row r="314" spans="3:16" s="19" customFormat="1" x14ac:dyDescent="0.25">
      <c r="C314" s="20"/>
      <c r="E314" s="21"/>
      <c r="K314" s="22"/>
      <c r="L314" s="23"/>
      <c r="M314" s="23"/>
      <c r="N314" s="23"/>
      <c r="O314" s="23"/>
      <c r="P314" s="22"/>
    </row>
    <row r="315" spans="3:16" s="19" customFormat="1" x14ac:dyDescent="0.25">
      <c r="C315" s="20"/>
      <c r="E315" s="21"/>
      <c r="K315" s="22"/>
      <c r="L315" s="23"/>
      <c r="M315" s="23"/>
      <c r="N315" s="23"/>
      <c r="O315" s="23"/>
      <c r="P315" s="22"/>
    </row>
    <row r="316" spans="3:16" s="19" customFormat="1" x14ac:dyDescent="0.25">
      <c r="C316" s="20"/>
      <c r="E316" s="21"/>
      <c r="K316" s="22"/>
      <c r="L316" s="23"/>
      <c r="M316" s="23"/>
      <c r="N316" s="23"/>
      <c r="O316" s="23"/>
      <c r="P316" s="22"/>
    </row>
    <row r="317" spans="3:16" s="19" customFormat="1" x14ac:dyDescent="0.25">
      <c r="C317" s="20"/>
      <c r="E317" s="21"/>
      <c r="K317" s="22"/>
      <c r="L317" s="23"/>
      <c r="M317" s="23"/>
      <c r="N317" s="23"/>
      <c r="O317" s="23"/>
      <c r="P317" s="22"/>
    </row>
    <row r="318" spans="3:16" s="19" customFormat="1" x14ac:dyDescent="0.25">
      <c r="C318" s="20"/>
      <c r="E318" s="21"/>
      <c r="K318" s="22"/>
      <c r="L318" s="23"/>
      <c r="M318" s="23"/>
      <c r="N318" s="23"/>
      <c r="O318" s="23"/>
      <c r="P318" s="22"/>
    </row>
    <row r="319" spans="3:16" s="19" customFormat="1" x14ac:dyDescent="0.25">
      <c r="C319" s="20"/>
      <c r="E319" s="21"/>
      <c r="K319" s="22"/>
      <c r="L319" s="23"/>
      <c r="M319" s="23"/>
      <c r="N319" s="23"/>
      <c r="O319" s="23"/>
      <c r="P319" s="22"/>
    </row>
    <row r="320" spans="3:16" s="19" customFormat="1" x14ac:dyDescent="0.25">
      <c r="C320" s="20"/>
      <c r="E320" s="21"/>
      <c r="K320" s="22"/>
      <c r="L320" s="23"/>
      <c r="M320" s="23"/>
      <c r="N320" s="23"/>
      <c r="O320" s="23"/>
      <c r="P320" s="22"/>
    </row>
    <row r="321" spans="3:16" s="19" customFormat="1" x14ac:dyDescent="0.25">
      <c r="C321" s="20"/>
      <c r="E321" s="21"/>
      <c r="K321" s="22"/>
      <c r="L321" s="23"/>
      <c r="M321" s="23"/>
      <c r="N321" s="23"/>
      <c r="O321" s="23"/>
      <c r="P321" s="22"/>
    </row>
    <row r="322" spans="3:16" s="19" customFormat="1" x14ac:dyDescent="0.25">
      <c r="C322" s="20"/>
      <c r="E322" s="21"/>
      <c r="K322" s="22"/>
      <c r="L322" s="23"/>
      <c r="M322" s="23"/>
      <c r="N322" s="23"/>
      <c r="O322" s="23"/>
      <c r="P322" s="22"/>
    </row>
    <row r="323" spans="3:16" s="19" customFormat="1" x14ac:dyDescent="0.25">
      <c r="C323" s="20"/>
      <c r="E323" s="21"/>
      <c r="K323" s="22"/>
      <c r="L323" s="23"/>
      <c r="M323" s="23"/>
      <c r="N323" s="23"/>
      <c r="O323" s="23"/>
      <c r="P323" s="22"/>
    </row>
    <row r="324" spans="3:16" s="19" customFormat="1" x14ac:dyDescent="0.25">
      <c r="C324" s="20"/>
      <c r="E324" s="21"/>
      <c r="K324" s="22"/>
      <c r="L324" s="23"/>
      <c r="M324" s="23"/>
      <c r="N324" s="23"/>
      <c r="O324" s="23"/>
      <c r="P324" s="22"/>
    </row>
    <row r="325" spans="3:16" s="19" customFormat="1" x14ac:dyDescent="0.25">
      <c r="C325" s="20"/>
      <c r="E325" s="21"/>
      <c r="K325" s="22"/>
      <c r="L325" s="23"/>
      <c r="M325" s="23"/>
      <c r="N325" s="23"/>
      <c r="O325" s="23"/>
      <c r="P325" s="22"/>
    </row>
    <row r="326" spans="3:16" s="19" customFormat="1" x14ac:dyDescent="0.25">
      <c r="C326" s="20"/>
      <c r="E326" s="21"/>
      <c r="K326" s="22"/>
      <c r="L326" s="23"/>
      <c r="M326" s="23"/>
      <c r="N326" s="23"/>
      <c r="O326" s="23"/>
      <c r="P326" s="22"/>
    </row>
    <row r="327" spans="3:16" s="19" customFormat="1" x14ac:dyDescent="0.25">
      <c r="C327" s="20"/>
      <c r="E327" s="21"/>
      <c r="K327" s="22"/>
      <c r="L327" s="23"/>
      <c r="M327" s="23"/>
      <c r="N327" s="23"/>
      <c r="O327" s="23"/>
      <c r="P327" s="22"/>
    </row>
    <row r="328" spans="3:16" s="19" customFormat="1" x14ac:dyDescent="0.25">
      <c r="C328" s="20"/>
      <c r="E328" s="21"/>
      <c r="K328" s="22"/>
      <c r="L328" s="23"/>
      <c r="M328" s="23"/>
      <c r="N328" s="23"/>
      <c r="O328" s="23"/>
      <c r="P328" s="22"/>
    </row>
    <row r="329" spans="3:16" s="19" customFormat="1" x14ac:dyDescent="0.25">
      <c r="C329" s="20"/>
      <c r="E329" s="21"/>
      <c r="K329" s="22"/>
      <c r="L329" s="23"/>
      <c r="M329" s="23"/>
      <c r="N329" s="23"/>
      <c r="O329" s="23"/>
      <c r="P329" s="22"/>
    </row>
    <row r="330" spans="3:16" s="19" customFormat="1" x14ac:dyDescent="0.25">
      <c r="C330" s="20"/>
      <c r="E330" s="21"/>
      <c r="K330" s="22"/>
      <c r="L330" s="23"/>
      <c r="M330" s="23"/>
      <c r="N330" s="23"/>
      <c r="O330" s="23"/>
      <c r="P330" s="22"/>
    </row>
    <row r="331" spans="3:16" s="19" customFormat="1" x14ac:dyDescent="0.25">
      <c r="C331" s="20"/>
      <c r="E331" s="21"/>
      <c r="K331" s="22"/>
      <c r="L331" s="23"/>
      <c r="M331" s="23"/>
      <c r="N331" s="23"/>
      <c r="O331" s="23"/>
      <c r="P331" s="22"/>
    </row>
    <row r="332" spans="3:16" s="19" customFormat="1" x14ac:dyDescent="0.25">
      <c r="C332" s="20"/>
      <c r="E332" s="21"/>
      <c r="K332" s="22"/>
      <c r="L332" s="23"/>
      <c r="M332" s="23"/>
      <c r="N332" s="23"/>
      <c r="O332" s="23"/>
      <c r="P332" s="22"/>
    </row>
    <row r="333" spans="3:16" s="19" customFormat="1" x14ac:dyDescent="0.25">
      <c r="C333" s="20"/>
      <c r="E333" s="21"/>
      <c r="K333" s="22"/>
      <c r="L333" s="23"/>
      <c r="M333" s="23"/>
      <c r="N333" s="23"/>
      <c r="O333" s="23"/>
      <c r="P333" s="22"/>
    </row>
    <row r="334" spans="3:16" s="19" customFormat="1" x14ac:dyDescent="0.25">
      <c r="C334" s="20"/>
      <c r="E334" s="21"/>
      <c r="K334" s="22"/>
      <c r="L334" s="23"/>
      <c r="M334" s="23"/>
      <c r="N334" s="23"/>
      <c r="O334" s="23"/>
      <c r="P334" s="22"/>
    </row>
    <row r="335" spans="3:16" s="19" customFormat="1" x14ac:dyDescent="0.25">
      <c r="C335" s="20"/>
      <c r="E335" s="21"/>
      <c r="K335" s="22"/>
      <c r="L335" s="23"/>
      <c r="M335" s="23"/>
      <c r="N335" s="23"/>
      <c r="O335" s="23"/>
      <c r="P335" s="22"/>
    </row>
    <row r="336" spans="3:16" s="19" customFormat="1" x14ac:dyDescent="0.25">
      <c r="C336" s="20"/>
      <c r="E336" s="21"/>
      <c r="K336" s="22"/>
      <c r="L336" s="23"/>
      <c r="M336" s="23"/>
      <c r="N336" s="23"/>
      <c r="O336" s="23"/>
      <c r="P336" s="22"/>
    </row>
    <row r="337" spans="3:16" s="19" customFormat="1" x14ac:dyDescent="0.25">
      <c r="C337" s="20"/>
      <c r="E337" s="21"/>
      <c r="K337" s="22"/>
      <c r="L337" s="23"/>
      <c r="M337" s="23"/>
      <c r="N337" s="23"/>
      <c r="O337" s="23"/>
      <c r="P337" s="22"/>
    </row>
    <row r="338" spans="3:16" s="19" customFormat="1" x14ac:dyDescent="0.25">
      <c r="C338" s="20"/>
      <c r="E338" s="21"/>
      <c r="K338" s="22"/>
      <c r="L338" s="23"/>
      <c r="M338" s="23"/>
      <c r="N338" s="23"/>
      <c r="O338" s="23"/>
      <c r="P338" s="22"/>
    </row>
    <row r="339" spans="3:16" s="19" customFormat="1" x14ac:dyDescent="0.25">
      <c r="C339" s="20"/>
      <c r="E339" s="21"/>
      <c r="K339" s="22"/>
      <c r="L339" s="23"/>
      <c r="M339" s="23"/>
      <c r="N339" s="23"/>
      <c r="O339" s="23"/>
      <c r="P339" s="22"/>
    </row>
    <row r="340" spans="3:16" s="19" customFormat="1" x14ac:dyDescent="0.25">
      <c r="C340" s="20"/>
      <c r="E340" s="21"/>
      <c r="K340" s="22"/>
      <c r="L340" s="23"/>
      <c r="M340" s="23"/>
      <c r="N340" s="23"/>
      <c r="O340" s="23"/>
      <c r="P340" s="22"/>
    </row>
    <row r="341" spans="3:16" s="19" customFormat="1" x14ac:dyDescent="0.25">
      <c r="C341" s="20"/>
      <c r="E341" s="21"/>
      <c r="K341" s="22"/>
      <c r="L341" s="23"/>
      <c r="M341" s="23"/>
      <c r="N341" s="23"/>
      <c r="O341" s="23"/>
      <c r="P341" s="22"/>
    </row>
    <row r="342" spans="3:16" s="19" customFormat="1" x14ac:dyDescent="0.25">
      <c r="C342" s="20"/>
      <c r="E342" s="21"/>
      <c r="K342" s="22"/>
      <c r="L342" s="23"/>
      <c r="M342" s="23"/>
      <c r="N342" s="23"/>
      <c r="O342" s="23"/>
      <c r="P342" s="22"/>
    </row>
    <row r="343" spans="3:16" s="19" customFormat="1" x14ac:dyDescent="0.25">
      <c r="C343" s="20"/>
      <c r="E343" s="21"/>
      <c r="K343" s="22"/>
      <c r="L343" s="23"/>
      <c r="M343" s="23"/>
      <c r="N343" s="23"/>
      <c r="O343" s="23"/>
      <c r="P343" s="22"/>
    </row>
    <row r="344" spans="3:16" s="19" customFormat="1" x14ac:dyDescent="0.25">
      <c r="C344" s="20"/>
      <c r="E344" s="21"/>
      <c r="K344" s="22"/>
      <c r="L344" s="23"/>
      <c r="M344" s="23"/>
      <c r="N344" s="23"/>
      <c r="O344" s="23"/>
      <c r="P344" s="22"/>
    </row>
    <row r="345" spans="3:16" s="19" customFormat="1" x14ac:dyDescent="0.25">
      <c r="C345" s="20"/>
      <c r="E345" s="21"/>
      <c r="K345" s="22"/>
      <c r="L345" s="23"/>
      <c r="M345" s="23"/>
      <c r="N345" s="23"/>
      <c r="O345" s="23"/>
      <c r="P345" s="22"/>
    </row>
    <row r="346" spans="3:16" s="19" customFormat="1" x14ac:dyDescent="0.25">
      <c r="C346" s="20"/>
      <c r="E346" s="21"/>
      <c r="K346" s="22"/>
      <c r="L346" s="23"/>
      <c r="M346" s="23"/>
      <c r="N346" s="23"/>
      <c r="O346" s="23"/>
      <c r="P346" s="22"/>
    </row>
    <row r="347" spans="3:16" s="19" customFormat="1" x14ac:dyDescent="0.25">
      <c r="C347" s="20"/>
      <c r="E347" s="21"/>
      <c r="K347" s="22"/>
      <c r="L347" s="23"/>
      <c r="M347" s="23"/>
      <c r="N347" s="23"/>
      <c r="O347" s="23"/>
      <c r="P347" s="22"/>
    </row>
    <row r="348" spans="3:16" s="19" customFormat="1" x14ac:dyDescent="0.25">
      <c r="C348" s="20"/>
      <c r="E348" s="21"/>
      <c r="K348" s="22"/>
      <c r="L348" s="23"/>
      <c r="M348" s="23"/>
      <c r="N348" s="23"/>
      <c r="O348" s="23"/>
      <c r="P348" s="22"/>
    </row>
    <row r="349" spans="3:16" s="19" customFormat="1" x14ac:dyDescent="0.25">
      <c r="C349" s="20"/>
      <c r="E349" s="21"/>
      <c r="K349" s="22"/>
      <c r="L349" s="23"/>
      <c r="M349" s="23"/>
      <c r="N349" s="23"/>
      <c r="O349" s="23"/>
      <c r="P349" s="22"/>
    </row>
    <row r="350" spans="3:16" s="19" customFormat="1" x14ac:dyDescent="0.25">
      <c r="C350" s="20"/>
      <c r="E350" s="21"/>
      <c r="K350" s="22"/>
      <c r="L350" s="23"/>
      <c r="M350" s="23"/>
      <c r="N350" s="23"/>
      <c r="O350" s="23"/>
      <c r="P350" s="22"/>
    </row>
    <row r="351" spans="3:16" s="19" customFormat="1" x14ac:dyDescent="0.25">
      <c r="C351" s="20"/>
      <c r="E351" s="21"/>
      <c r="K351" s="22"/>
      <c r="L351" s="23"/>
      <c r="M351" s="23"/>
      <c r="N351" s="23"/>
      <c r="O351" s="23"/>
      <c r="P351" s="22"/>
    </row>
    <row r="352" spans="3:16" s="19" customFormat="1" x14ac:dyDescent="0.25">
      <c r="C352" s="20"/>
      <c r="E352" s="21"/>
      <c r="K352" s="22"/>
      <c r="L352" s="23"/>
      <c r="M352" s="23"/>
      <c r="N352" s="23"/>
      <c r="O352" s="23"/>
      <c r="P352" s="22"/>
    </row>
    <row r="353" spans="3:16" s="19" customFormat="1" x14ac:dyDescent="0.25">
      <c r="C353" s="20"/>
      <c r="E353" s="21"/>
      <c r="K353" s="22"/>
      <c r="L353" s="23"/>
      <c r="M353" s="23"/>
      <c r="N353" s="23"/>
      <c r="O353" s="23"/>
      <c r="P353" s="22"/>
    </row>
    <row r="354" spans="3:16" s="19" customFormat="1" x14ac:dyDescent="0.25">
      <c r="C354" s="20"/>
      <c r="E354" s="21"/>
      <c r="K354" s="22"/>
      <c r="L354" s="23"/>
      <c r="M354" s="23"/>
      <c r="N354" s="23"/>
      <c r="O354" s="23"/>
      <c r="P354" s="22"/>
    </row>
    <row r="355" spans="3:16" s="19" customFormat="1" x14ac:dyDescent="0.25">
      <c r="C355" s="20"/>
      <c r="E355" s="21"/>
      <c r="K355" s="22"/>
      <c r="L355" s="23"/>
      <c r="M355" s="23"/>
      <c r="N355" s="23"/>
      <c r="O355" s="23"/>
      <c r="P355" s="22"/>
    </row>
    <row r="356" spans="3:16" s="19" customFormat="1" x14ac:dyDescent="0.25">
      <c r="C356" s="20"/>
      <c r="E356" s="21"/>
      <c r="K356" s="22"/>
      <c r="L356" s="23"/>
      <c r="M356" s="23"/>
      <c r="N356" s="23"/>
      <c r="O356" s="23"/>
      <c r="P356" s="22"/>
    </row>
    <row r="357" spans="3:16" s="19" customFormat="1" x14ac:dyDescent="0.25">
      <c r="C357" s="20"/>
      <c r="E357" s="21"/>
      <c r="K357" s="22"/>
      <c r="L357" s="23"/>
      <c r="M357" s="23"/>
      <c r="N357" s="23"/>
      <c r="O357" s="23"/>
      <c r="P357" s="22"/>
    </row>
    <row r="358" spans="3:16" s="19" customFormat="1" x14ac:dyDescent="0.25">
      <c r="C358" s="20"/>
      <c r="E358" s="21"/>
      <c r="K358" s="22"/>
      <c r="L358" s="23"/>
      <c r="M358" s="23"/>
      <c r="N358" s="23"/>
      <c r="O358" s="23"/>
      <c r="P358" s="22"/>
    </row>
    <row r="359" spans="3:16" s="19" customFormat="1" x14ac:dyDescent="0.25">
      <c r="C359" s="20"/>
      <c r="E359" s="21"/>
      <c r="K359" s="22"/>
      <c r="L359" s="23"/>
      <c r="M359" s="23"/>
      <c r="N359" s="23"/>
      <c r="O359" s="23"/>
      <c r="P359" s="22"/>
    </row>
    <row r="360" spans="3:16" s="19" customFormat="1" x14ac:dyDescent="0.25">
      <c r="C360" s="20"/>
      <c r="E360" s="21"/>
      <c r="K360" s="22"/>
      <c r="L360" s="23"/>
      <c r="M360" s="23"/>
      <c r="N360" s="23"/>
      <c r="O360" s="23"/>
      <c r="P360" s="22"/>
    </row>
    <row r="361" spans="3:16" s="19" customFormat="1" x14ac:dyDescent="0.25">
      <c r="C361" s="20"/>
      <c r="E361" s="21"/>
      <c r="K361" s="22"/>
      <c r="L361" s="23"/>
      <c r="M361" s="23"/>
      <c r="N361" s="23"/>
      <c r="O361" s="23"/>
      <c r="P361" s="22"/>
    </row>
    <row r="362" spans="3:16" s="19" customFormat="1" x14ac:dyDescent="0.25">
      <c r="C362" s="20"/>
      <c r="E362" s="21"/>
      <c r="K362" s="22"/>
      <c r="L362" s="23"/>
      <c r="M362" s="23"/>
      <c r="N362" s="23"/>
      <c r="O362" s="23"/>
      <c r="P362" s="22"/>
    </row>
    <row r="363" spans="3:16" s="19" customFormat="1" x14ac:dyDescent="0.25">
      <c r="C363" s="20"/>
      <c r="E363" s="21"/>
      <c r="K363" s="22"/>
      <c r="L363" s="23"/>
      <c r="M363" s="23"/>
      <c r="N363" s="23"/>
      <c r="O363" s="23"/>
      <c r="P363" s="22"/>
    </row>
    <row r="364" spans="3:16" s="19" customFormat="1" x14ac:dyDescent="0.25">
      <c r="C364" s="20"/>
      <c r="E364" s="21"/>
      <c r="K364" s="22"/>
      <c r="L364" s="23"/>
      <c r="M364" s="23"/>
      <c r="N364" s="23"/>
      <c r="O364" s="23"/>
      <c r="P364" s="22"/>
    </row>
    <row r="365" spans="3:16" s="19" customFormat="1" x14ac:dyDescent="0.25">
      <c r="C365" s="20"/>
      <c r="E365" s="21"/>
      <c r="K365" s="22"/>
      <c r="L365" s="23"/>
      <c r="M365" s="23"/>
      <c r="N365" s="23"/>
      <c r="O365" s="23"/>
      <c r="P365" s="22"/>
    </row>
    <row r="366" spans="3:16" s="19" customFormat="1" x14ac:dyDescent="0.25">
      <c r="C366" s="20"/>
      <c r="E366" s="21"/>
      <c r="K366" s="22"/>
      <c r="L366" s="23"/>
      <c r="M366" s="23"/>
      <c r="N366" s="23"/>
      <c r="O366" s="23"/>
      <c r="P366" s="22"/>
    </row>
    <row r="367" spans="3:16" s="19" customFormat="1" x14ac:dyDescent="0.25">
      <c r="C367" s="20"/>
      <c r="E367" s="21"/>
      <c r="K367" s="22"/>
      <c r="L367" s="23"/>
      <c r="M367" s="23"/>
      <c r="N367" s="23"/>
      <c r="O367" s="23"/>
      <c r="P367" s="22"/>
    </row>
    <row r="368" spans="3:16" s="19" customFormat="1" x14ac:dyDescent="0.25">
      <c r="C368" s="20"/>
      <c r="E368" s="21"/>
      <c r="K368" s="22"/>
      <c r="L368" s="23"/>
      <c r="M368" s="23"/>
      <c r="N368" s="23"/>
      <c r="O368" s="23"/>
      <c r="P368" s="22"/>
    </row>
    <row r="369" spans="3:16" s="19" customFormat="1" x14ac:dyDescent="0.25">
      <c r="C369" s="20"/>
      <c r="E369" s="21"/>
      <c r="K369" s="22"/>
      <c r="L369" s="23"/>
      <c r="M369" s="23"/>
      <c r="N369" s="23"/>
      <c r="O369" s="23"/>
      <c r="P369" s="22"/>
    </row>
    <row r="370" spans="3:16" s="19" customFormat="1" x14ac:dyDescent="0.25">
      <c r="C370" s="20"/>
      <c r="E370" s="21"/>
      <c r="K370" s="22"/>
      <c r="L370" s="23"/>
      <c r="M370" s="23"/>
      <c r="N370" s="23"/>
      <c r="O370" s="23"/>
      <c r="P370" s="22"/>
    </row>
    <row r="371" spans="3:16" s="19" customFormat="1" x14ac:dyDescent="0.25">
      <c r="C371" s="20"/>
      <c r="E371" s="21"/>
      <c r="K371" s="22"/>
      <c r="L371" s="23"/>
      <c r="M371" s="23"/>
      <c r="N371" s="23"/>
      <c r="O371" s="23"/>
      <c r="P371" s="22"/>
    </row>
    <row r="372" spans="3:16" s="19" customFormat="1" x14ac:dyDescent="0.25">
      <c r="C372" s="20"/>
      <c r="E372" s="21"/>
      <c r="K372" s="22"/>
      <c r="L372" s="23"/>
      <c r="M372" s="23"/>
      <c r="N372" s="23"/>
      <c r="O372" s="23"/>
      <c r="P372" s="22"/>
    </row>
    <row r="373" spans="3:16" s="19" customFormat="1" x14ac:dyDescent="0.25">
      <c r="C373" s="20"/>
      <c r="E373" s="21"/>
      <c r="K373" s="22"/>
      <c r="L373" s="23"/>
      <c r="M373" s="23"/>
      <c r="N373" s="23"/>
      <c r="O373" s="23"/>
      <c r="P373" s="22"/>
    </row>
    <row r="374" spans="3:16" s="19" customFormat="1" x14ac:dyDescent="0.25">
      <c r="C374" s="20"/>
      <c r="E374" s="21"/>
      <c r="K374" s="22"/>
      <c r="L374" s="23"/>
      <c r="M374" s="23"/>
      <c r="N374" s="23"/>
      <c r="O374" s="23"/>
      <c r="P374" s="22"/>
    </row>
    <row r="375" spans="3:16" s="19" customFormat="1" x14ac:dyDescent="0.25">
      <c r="C375" s="20"/>
      <c r="E375" s="21"/>
      <c r="K375" s="22"/>
      <c r="L375" s="23"/>
      <c r="M375" s="23"/>
      <c r="N375" s="23"/>
      <c r="O375" s="23"/>
      <c r="P375" s="22"/>
    </row>
    <row r="376" spans="3:16" s="19" customFormat="1" x14ac:dyDescent="0.25">
      <c r="C376" s="20"/>
      <c r="E376" s="21"/>
      <c r="K376" s="22"/>
      <c r="L376" s="23"/>
      <c r="M376" s="23"/>
      <c r="N376" s="23"/>
      <c r="O376" s="23"/>
      <c r="P376" s="22"/>
    </row>
    <row r="377" spans="3:16" s="19" customFormat="1" x14ac:dyDescent="0.25">
      <c r="C377" s="20"/>
      <c r="E377" s="21"/>
      <c r="K377" s="22"/>
      <c r="L377" s="23"/>
      <c r="M377" s="23"/>
      <c r="N377" s="23"/>
      <c r="O377" s="23"/>
      <c r="P377" s="22"/>
    </row>
    <row r="378" spans="3:16" s="19" customFormat="1" x14ac:dyDescent="0.25">
      <c r="C378" s="20"/>
      <c r="E378" s="21"/>
      <c r="K378" s="22"/>
      <c r="L378" s="23"/>
      <c r="M378" s="23"/>
      <c r="N378" s="23"/>
      <c r="O378" s="23"/>
      <c r="P378" s="22"/>
    </row>
    <row r="379" spans="3:16" s="19" customFormat="1" x14ac:dyDescent="0.25">
      <c r="C379" s="20"/>
      <c r="E379" s="21"/>
      <c r="K379" s="22"/>
      <c r="L379" s="23"/>
      <c r="M379" s="23"/>
      <c r="N379" s="23"/>
      <c r="O379" s="23"/>
      <c r="P379" s="22"/>
    </row>
    <row r="380" spans="3:16" s="19" customFormat="1" x14ac:dyDescent="0.25">
      <c r="C380" s="20"/>
      <c r="E380" s="21"/>
      <c r="K380" s="22"/>
      <c r="L380" s="23"/>
      <c r="M380" s="23"/>
      <c r="N380" s="23"/>
      <c r="O380" s="23"/>
      <c r="P380" s="22"/>
    </row>
    <row r="381" spans="3:16" s="19" customFormat="1" x14ac:dyDescent="0.25">
      <c r="C381" s="20"/>
      <c r="E381" s="21"/>
      <c r="K381" s="22"/>
      <c r="L381" s="23"/>
      <c r="M381" s="23"/>
      <c r="N381" s="23"/>
      <c r="O381" s="23"/>
      <c r="P381" s="22"/>
    </row>
    <row r="382" spans="3:16" s="19" customFormat="1" x14ac:dyDescent="0.25">
      <c r="C382" s="20"/>
      <c r="E382" s="21"/>
      <c r="K382" s="22"/>
      <c r="L382" s="23"/>
      <c r="M382" s="23"/>
      <c r="N382" s="23"/>
      <c r="O382" s="23"/>
      <c r="P382" s="22"/>
    </row>
    <row r="383" spans="3:16" s="19" customFormat="1" x14ac:dyDescent="0.25">
      <c r="C383" s="20"/>
      <c r="E383" s="21"/>
      <c r="K383" s="22"/>
      <c r="L383" s="23"/>
      <c r="M383" s="23"/>
      <c r="N383" s="23"/>
      <c r="O383" s="23"/>
      <c r="P383" s="22"/>
    </row>
    <row r="384" spans="3:16" s="19" customFormat="1" x14ac:dyDescent="0.25">
      <c r="C384" s="20"/>
      <c r="E384" s="21"/>
      <c r="K384" s="22"/>
      <c r="L384" s="23"/>
      <c r="M384" s="23"/>
      <c r="N384" s="23"/>
      <c r="O384" s="23"/>
      <c r="P384" s="22"/>
    </row>
    <row r="385" spans="2:17" s="19" customFormat="1" x14ac:dyDescent="0.25">
      <c r="C385" s="20"/>
      <c r="E385" s="21"/>
      <c r="K385" s="22"/>
      <c r="L385" s="23"/>
      <c r="M385" s="23"/>
      <c r="N385" s="23"/>
      <c r="O385" s="23"/>
      <c r="P385" s="22"/>
    </row>
    <row r="386" spans="2:17" s="19" customFormat="1" x14ac:dyDescent="0.25">
      <c r="C386" s="20"/>
      <c r="E386" s="21"/>
      <c r="K386" s="22"/>
      <c r="L386" s="23"/>
      <c r="M386" s="23"/>
      <c r="N386" s="23"/>
      <c r="O386" s="23"/>
      <c r="P386" s="22"/>
    </row>
    <row r="387" spans="2:17" s="19" customFormat="1" x14ac:dyDescent="0.25">
      <c r="C387" s="20"/>
      <c r="E387" s="21"/>
      <c r="K387" s="22"/>
      <c r="L387" s="23"/>
      <c r="M387" s="23"/>
      <c r="N387" s="23"/>
      <c r="O387" s="23"/>
      <c r="P387" s="22"/>
    </row>
    <row r="388" spans="2:17" s="19" customFormat="1" x14ac:dyDescent="0.25">
      <c r="C388" s="20"/>
      <c r="E388" s="21"/>
      <c r="K388" s="22"/>
      <c r="L388" s="23"/>
      <c r="M388" s="23"/>
      <c r="N388" s="23"/>
      <c r="O388" s="23"/>
      <c r="P388" s="22"/>
    </row>
    <row r="389" spans="2:17" s="19" customFormat="1" x14ac:dyDescent="0.25">
      <c r="C389" s="20"/>
      <c r="E389" s="21"/>
      <c r="K389" s="22"/>
      <c r="L389" s="23"/>
      <c r="M389" s="23"/>
      <c r="N389" s="23"/>
      <c r="O389" s="23"/>
      <c r="P389" s="22"/>
    </row>
    <row r="390" spans="2:17" s="19" customFormat="1" x14ac:dyDescent="0.25">
      <c r="C390" s="20"/>
      <c r="E390" s="21"/>
      <c r="K390" s="22"/>
      <c r="L390" s="23"/>
      <c r="M390" s="23"/>
      <c r="N390" s="23"/>
      <c r="O390" s="23"/>
      <c r="P390" s="22"/>
    </row>
    <row r="391" spans="2:17" s="19" customFormat="1" x14ac:dyDescent="0.25">
      <c r="C391" s="20"/>
      <c r="E391" s="21"/>
      <c r="K391" s="22"/>
      <c r="L391" s="23"/>
      <c r="M391" s="23"/>
      <c r="N391" s="23"/>
      <c r="O391" s="23"/>
      <c r="P391" s="22"/>
    </row>
    <row r="392" spans="2:17" s="19" customFormat="1" x14ac:dyDescent="0.25">
      <c r="C392" s="20"/>
      <c r="E392" s="21"/>
      <c r="K392" s="22"/>
      <c r="L392" s="23"/>
      <c r="M392" s="23"/>
      <c r="N392" s="23"/>
      <c r="O392" s="23"/>
      <c r="P392" s="22"/>
    </row>
    <row r="393" spans="2:17" s="19" customFormat="1" x14ac:dyDescent="0.25">
      <c r="C393" s="20"/>
      <c r="E393" s="21"/>
      <c r="K393" s="22"/>
      <c r="L393" s="23"/>
      <c r="M393" s="23"/>
      <c r="N393" s="23"/>
      <c r="O393" s="23"/>
      <c r="P393" s="22"/>
    </row>
    <row r="394" spans="2:17" s="19" customFormat="1" x14ac:dyDescent="0.25">
      <c r="C394" s="20"/>
      <c r="E394" s="21"/>
      <c r="K394" s="22"/>
      <c r="L394" s="23"/>
      <c r="M394" s="23"/>
      <c r="N394" s="23"/>
      <c r="O394" s="23"/>
      <c r="P394" s="22"/>
    </row>
    <row r="395" spans="2:17" s="19" customFormat="1" x14ac:dyDescent="0.25">
      <c r="C395" s="20"/>
      <c r="E395" s="21"/>
      <c r="K395" s="22"/>
      <c r="L395" s="23"/>
      <c r="M395" s="23"/>
      <c r="N395" s="23"/>
      <c r="O395" s="23"/>
      <c r="P395" s="22"/>
    </row>
    <row r="396" spans="2:17" s="19" customFormat="1" x14ac:dyDescent="0.25">
      <c r="C396" s="20"/>
      <c r="E396" s="21"/>
      <c r="K396" s="22"/>
      <c r="L396" s="23"/>
      <c r="M396" s="23"/>
      <c r="N396" s="23"/>
      <c r="O396" s="23"/>
      <c r="P396" s="22"/>
    </row>
    <row r="397" spans="2:17" x14ac:dyDescent="0.25">
      <c r="B397" s="24"/>
      <c r="C397" s="25"/>
      <c r="D397" s="24"/>
      <c r="E397" s="26"/>
      <c r="F397" s="24"/>
      <c r="G397" s="24"/>
      <c r="H397" s="24"/>
      <c r="I397" s="24"/>
      <c r="J397" s="24"/>
      <c r="K397" s="27"/>
      <c r="L397" s="28"/>
      <c r="M397" s="28"/>
      <c r="N397" s="28"/>
      <c r="O397" s="28"/>
      <c r="P397" s="27"/>
      <c r="Q397" s="24"/>
    </row>
    <row r="398" spans="2:17" x14ac:dyDescent="0.25">
      <c r="B398" s="29"/>
      <c r="C398" s="30"/>
      <c r="D398" s="29"/>
      <c r="E398" s="31"/>
      <c r="F398" s="29"/>
      <c r="G398" s="29"/>
      <c r="H398" s="29"/>
      <c r="I398" s="29"/>
      <c r="J398" s="29"/>
      <c r="K398" s="32"/>
      <c r="L398" s="33"/>
      <c r="M398" s="33"/>
      <c r="N398" s="33"/>
      <c r="O398" s="33"/>
      <c r="P398" s="32"/>
      <c r="Q398" s="29"/>
    </row>
    <row r="399" spans="2:17" x14ac:dyDescent="0.25">
      <c r="B399" s="29"/>
      <c r="C399" s="30"/>
      <c r="D399" s="29"/>
      <c r="E399" s="31"/>
      <c r="F399" s="29"/>
      <c r="G399" s="29"/>
      <c r="H399" s="29"/>
      <c r="I399" s="29"/>
      <c r="J399" s="29"/>
      <c r="K399" s="32"/>
      <c r="L399" s="33"/>
      <c r="M399" s="33"/>
      <c r="N399" s="33"/>
      <c r="O399" s="33"/>
      <c r="P399" s="32"/>
      <c r="Q399" s="29"/>
    </row>
    <row r="400" spans="2:17" x14ac:dyDescent="0.25">
      <c r="B400" s="29"/>
      <c r="C400" s="30"/>
      <c r="D400" s="29"/>
      <c r="E400" s="31"/>
      <c r="F400" s="29"/>
      <c r="G400" s="29"/>
      <c r="H400" s="29"/>
      <c r="I400" s="29"/>
      <c r="J400" s="29"/>
      <c r="K400" s="32"/>
      <c r="L400" s="33"/>
      <c r="M400" s="33"/>
      <c r="N400" s="33"/>
      <c r="O400" s="33"/>
      <c r="P400" s="32"/>
      <c r="Q400" s="29"/>
    </row>
    <row r="401" spans="2:17" x14ac:dyDescent="0.25">
      <c r="B401" s="29"/>
      <c r="C401" s="30"/>
      <c r="D401" s="29"/>
      <c r="E401" s="31"/>
      <c r="F401" s="29"/>
      <c r="G401" s="29"/>
      <c r="H401" s="29"/>
      <c r="I401" s="29"/>
      <c r="J401" s="29"/>
      <c r="K401" s="32"/>
      <c r="L401" s="33"/>
      <c r="M401" s="33"/>
      <c r="N401" s="33"/>
      <c r="O401" s="33"/>
      <c r="P401" s="32"/>
      <c r="Q401" s="29"/>
    </row>
    <row r="402" spans="2:17" x14ac:dyDescent="0.25">
      <c r="B402" s="29"/>
      <c r="C402" s="30"/>
      <c r="D402" s="29"/>
      <c r="E402" s="31"/>
      <c r="F402" s="29"/>
      <c r="G402" s="29"/>
      <c r="H402" s="29"/>
      <c r="I402" s="29"/>
      <c r="J402" s="29"/>
      <c r="K402" s="32"/>
      <c r="L402" s="33"/>
      <c r="M402" s="33"/>
      <c r="N402" s="33"/>
      <c r="O402" s="33"/>
      <c r="P402" s="32"/>
      <c r="Q402" s="29"/>
    </row>
    <row r="403" spans="2:17" x14ac:dyDescent="0.25">
      <c r="B403" s="29"/>
      <c r="C403" s="30"/>
      <c r="D403" s="29"/>
      <c r="E403" s="31"/>
      <c r="F403" s="29"/>
      <c r="G403" s="29"/>
      <c r="H403" s="29"/>
      <c r="I403" s="29"/>
      <c r="J403" s="29"/>
      <c r="K403" s="32"/>
      <c r="L403" s="33"/>
      <c r="M403" s="33"/>
      <c r="N403" s="33"/>
      <c r="O403" s="33"/>
      <c r="P403" s="32"/>
      <c r="Q403" s="29"/>
    </row>
    <row r="404" spans="2:17" x14ac:dyDescent="0.25">
      <c r="B404" s="29"/>
      <c r="C404" s="30"/>
      <c r="D404" s="29"/>
      <c r="E404" s="31"/>
      <c r="F404" s="29"/>
      <c r="G404" s="29"/>
      <c r="H404" s="29"/>
      <c r="I404" s="29"/>
      <c r="J404" s="29"/>
      <c r="K404" s="32"/>
      <c r="L404" s="33"/>
      <c r="M404" s="33"/>
      <c r="N404" s="33"/>
      <c r="O404" s="33"/>
      <c r="P404" s="32"/>
      <c r="Q404" s="29"/>
    </row>
    <row r="405" spans="2:17" x14ac:dyDescent="0.25">
      <c r="B405" s="29"/>
      <c r="C405" s="30"/>
      <c r="D405" s="29"/>
      <c r="E405" s="31"/>
      <c r="F405" s="29"/>
      <c r="G405" s="29"/>
      <c r="H405" s="29"/>
      <c r="I405" s="29"/>
      <c r="J405" s="29"/>
      <c r="K405" s="32"/>
      <c r="L405" s="33"/>
      <c r="M405" s="33"/>
      <c r="N405" s="33"/>
      <c r="O405" s="33"/>
      <c r="P405" s="32"/>
      <c r="Q405" s="29"/>
    </row>
    <row r="406" spans="2:17" x14ac:dyDescent="0.25">
      <c r="B406" s="29"/>
      <c r="C406" s="30"/>
      <c r="D406" s="29"/>
      <c r="E406" s="31"/>
      <c r="F406" s="29"/>
      <c r="G406" s="29"/>
      <c r="H406" s="29"/>
      <c r="I406" s="29"/>
      <c r="J406" s="29"/>
      <c r="K406" s="32"/>
      <c r="L406" s="33"/>
      <c r="M406" s="33"/>
      <c r="N406" s="33"/>
      <c r="O406" s="33"/>
      <c r="P406" s="32"/>
      <c r="Q406" s="29"/>
    </row>
    <row r="407" spans="2:17" x14ac:dyDescent="0.25">
      <c r="B407" s="29"/>
      <c r="C407" s="30"/>
      <c r="D407" s="29"/>
      <c r="E407" s="31"/>
      <c r="F407" s="29"/>
      <c r="G407" s="29"/>
      <c r="H407" s="29"/>
      <c r="I407" s="29"/>
      <c r="J407" s="29"/>
      <c r="K407" s="32"/>
      <c r="L407" s="33"/>
      <c r="M407" s="33"/>
      <c r="N407" s="33"/>
      <c r="O407" s="33"/>
      <c r="P407" s="32"/>
      <c r="Q407" s="29"/>
    </row>
    <row r="408" spans="2:17" x14ac:dyDescent="0.25">
      <c r="B408" s="29"/>
      <c r="C408" s="30"/>
      <c r="D408" s="29"/>
      <c r="E408" s="31"/>
      <c r="F408" s="29"/>
      <c r="G408" s="29"/>
      <c r="H408" s="29"/>
      <c r="I408" s="29"/>
      <c r="J408" s="29"/>
      <c r="K408" s="32"/>
      <c r="L408" s="33"/>
      <c r="M408" s="33"/>
      <c r="N408" s="33"/>
      <c r="O408" s="33"/>
      <c r="P408" s="32"/>
      <c r="Q408" s="29"/>
    </row>
    <row r="409" spans="2:17" x14ac:dyDescent="0.25">
      <c r="B409" s="29"/>
      <c r="C409" s="30"/>
      <c r="D409" s="29"/>
      <c r="E409" s="31"/>
      <c r="F409" s="29"/>
      <c r="G409" s="29"/>
      <c r="H409" s="29"/>
      <c r="I409" s="29"/>
      <c r="J409" s="29"/>
      <c r="K409" s="32"/>
      <c r="L409" s="33"/>
      <c r="M409" s="33"/>
      <c r="N409" s="33"/>
      <c r="O409" s="33"/>
      <c r="P409" s="32"/>
      <c r="Q409" s="29"/>
    </row>
    <row r="410" spans="2:17" x14ac:dyDescent="0.25">
      <c r="B410" s="29"/>
      <c r="C410" s="30"/>
      <c r="D410" s="29"/>
      <c r="E410" s="31"/>
      <c r="F410" s="29"/>
      <c r="G410" s="29"/>
      <c r="H410" s="29"/>
      <c r="I410" s="29"/>
      <c r="J410" s="29"/>
      <c r="K410" s="32"/>
      <c r="L410" s="33"/>
      <c r="M410" s="33"/>
      <c r="N410" s="33"/>
      <c r="O410" s="33"/>
      <c r="P410" s="32"/>
      <c r="Q410" s="29"/>
    </row>
    <row r="411" spans="2:17" x14ac:dyDescent="0.25">
      <c r="B411" s="29"/>
      <c r="C411" s="30"/>
      <c r="D411" s="29"/>
      <c r="E411" s="31"/>
      <c r="F411" s="29"/>
      <c r="G411" s="29"/>
      <c r="H411" s="29"/>
      <c r="I411" s="29"/>
      <c r="J411" s="29"/>
      <c r="K411" s="32"/>
      <c r="L411" s="33"/>
      <c r="M411" s="33"/>
      <c r="N411" s="33"/>
      <c r="O411" s="33"/>
      <c r="P411" s="32"/>
      <c r="Q411" s="29"/>
    </row>
    <row r="412" spans="2:17" x14ac:dyDescent="0.25">
      <c r="B412" s="29"/>
      <c r="C412" s="30"/>
      <c r="D412" s="29"/>
      <c r="E412" s="31"/>
      <c r="F412" s="29"/>
      <c r="G412" s="29"/>
      <c r="H412" s="29"/>
      <c r="I412" s="29"/>
      <c r="J412" s="29"/>
      <c r="K412" s="32"/>
      <c r="L412" s="33"/>
      <c r="M412" s="33"/>
      <c r="N412" s="33"/>
      <c r="O412" s="33"/>
      <c r="P412" s="32"/>
      <c r="Q412" s="29"/>
    </row>
    <row r="413" spans="2:17" x14ac:dyDescent="0.25">
      <c r="B413" s="29"/>
      <c r="C413" s="30"/>
      <c r="D413" s="29"/>
      <c r="E413" s="31"/>
      <c r="F413" s="29"/>
      <c r="G413" s="29"/>
      <c r="H413" s="29"/>
      <c r="I413" s="29"/>
      <c r="J413" s="29"/>
      <c r="K413" s="32"/>
      <c r="L413" s="33"/>
      <c r="M413" s="33"/>
      <c r="N413" s="33"/>
      <c r="O413" s="33"/>
      <c r="P413" s="32"/>
      <c r="Q413" s="29"/>
    </row>
    <row r="414" spans="2:17" x14ac:dyDescent="0.25">
      <c r="B414" s="29"/>
      <c r="C414" s="30"/>
      <c r="D414" s="29"/>
      <c r="E414" s="31"/>
      <c r="F414" s="29"/>
      <c r="G414" s="29"/>
      <c r="H414" s="29"/>
      <c r="I414" s="29"/>
      <c r="J414" s="29"/>
      <c r="K414" s="32"/>
      <c r="L414" s="33"/>
      <c r="M414" s="33"/>
      <c r="N414" s="33"/>
      <c r="O414" s="33"/>
      <c r="P414" s="32"/>
      <c r="Q414" s="29"/>
    </row>
    <row r="415" spans="2:17" x14ac:dyDescent="0.25">
      <c r="B415" s="29"/>
      <c r="C415" s="30"/>
      <c r="D415" s="29"/>
      <c r="E415" s="31"/>
      <c r="F415" s="29"/>
      <c r="G415" s="29"/>
      <c r="H415" s="29"/>
      <c r="I415" s="29"/>
      <c r="J415" s="29"/>
      <c r="K415" s="32"/>
      <c r="L415" s="33"/>
      <c r="M415" s="33"/>
      <c r="N415" s="33"/>
      <c r="O415" s="33"/>
      <c r="P415" s="32"/>
      <c r="Q415" s="29"/>
    </row>
    <row r="416" spans="2:17" x14ac:dyDescent="0.25">
      <c r="B416" s="29"/>
      <c r="C416" s="30"/>
      <c r="D416" s="29"/>
      <c r="E416" s="31"/>
      <c r="F416" s="29"/>
      <c r="G416" s="29"/>
      <c r="H416" s="29"/>
      <c r="I416" s="29"/>
      <c r="J416" s="29"/>
      <c r="K416" s="32"/>
      <c r="L416" s="33"/>
      <c r="M416" s="33"/>
      <c r="N416" s="33"/>
      <c r="O416" s="33"/>
      <c r="P416" s="32"/>
      <c r="Q416" s="29"/>
    </row>
    <row r="417" spans="2:17" x14ac:dyDescent="0.25">
      <c r="B417" s="29"/>
      <c r="C417" s="30"/>
      <c r="D417" s="29"/>
      <c r="E417" s="31"/>
      <c r="F417" s="29"/>
      <c r="G417" s="29"/>
      <c r="H417" s="29"/>
      <c r="I417" s="29"/>
      <c r="J417" s="29"/>
      <c r="K417" s="32"/>
      <c r="L417" s="33"/>
      <c r="M417" s="33"/>
      <c r="N417" s="33"/>
      <c r="O417" s="33"/>
      <c r="P417" s="32"/>
      <c r="Q417" s="29"/>
    </row>
    <row r="418" spans="2:17" x14ac:dyDescent="0.25">
      <c r="B418" s="29"/>
      <c r="C418" s="30"/>
      <c r="D418" s="29"/>
      <c r="E418" s="31"/>
      <c r="F418" s="29"/>
      <c r="G418" s="29"/>
      <c r="H418" s="29"/>
      <c r="I418" s="29"/>
      <c r="J418" s="29"/>
      <c r="K418" s="32"/>
      <c r="L418" s="33"/>
      <c r="M418" s="33"/>
      <c r="N418" s="33"/>
      <c r="O418" s="33"/>
      <c r="P418" s="32"/>
      <c r="Q418" s="29"/>
    </row>
    <row r="419" spans="2:17" x14ac:dyDescent="0.25">
      <c r="B419" s="29"/>
      <c r="C419" s="30"/>
      <c r="D419" s="29"/>
      <c r="E419" s="31"/>
      <c r="F419" s="29"/>
      <c r="G419" s="29"/>
      <c r="H419" s="29"/>
      <c r="I419" s="29"/>
      <c r="J419" s="29"/>
      <c r="K419" s="32"/>
      <c r="L419" s="33"/>
      <c r="M419" s="33"/>
      <c r="N419" s="33"/>
      <c r="O419" s="33"/>
      <c r="P419" s="32"/>
      <c r="Q419" s="29"/>
    </row>
  </sheetData>
  <sheetProtection password="C41C" sheet="1" objects="1" scenarios="1"/>
  <mergeCells count="27">
    <mergeCell ref="B6:B9"/>
    <mergeCell ref="L8:L9"/>
    <mergeCell ref="K6:L7"/>
    <mergeCell ref="I6:J7"/>
    <mergeCell ref="J8:J9"/>
    <mergeCell ref="M6:M9"/>
    <mergeCell ref="E6:E9"/>
    <mergeCell ref="D6:D9"/>
    <mergeCell ref="C6:C9"/>
    <mergeCell ref="A1:Q1"/>
    <mergeCell ref="A3:Q3"/>
    <mergeCell ref="F6:F9"/>
    <mergeCell ref="G6:G9"/>
    <mergeCell ref="I8:I9"/>
    <mergeCell ref="H8:H9"/>
    <mergeCell ref="H6:H7"/>
    <mergeCell ref="N8:N9"/>
    <mergeCell ref="O8:O9"/>
    <mergeCell ref="K8:K9"/>
    <mergeCell ref="E2:F2"/>
    <mergeCell ref="G2:O2"/>
    <mergeCell ref="E4:F4"/>
    <mergeCell ref="G4:L4"/>
    <mergeCell ref="P6:Q7"/>
    <mergeCell ref="P8:P9"/>
    <mergeCell ref="Q8:Q9"/>
    <mergeCell ref="N6:O7"/>
  </mergeCells>
  <phoneticPr fontId="0" type="noConversion"/>
  <pageMargins left="0.2" right="0.2" top="0.17" bottom="0.19" header="0.17" footer="0.19"/>
  <pageSetup paperSize="9" scale="59" orientation="landscape" r:id="rId1"/>
  <headerFooter alignWithMargins="0">
    <oddFooter>&amp;R&amp;8
page &amp;P</oddFooter>
  </headerFooter>
  <rowBreaks count="2" manualBreakCount="2">
    <brk id="31" max="16" man="1"/>
    <brk id="5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Pharma50</vt:lpstr>
      <vt:lpstr>Pharma50!Print_Area</vt:lpstr>
      <vt:lpstr>Pharma50!Print_Titles</vt:lpstr>
    </vt:vector>
  </TitlesOfParts>
  <Company>DOH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ZENY GARCIA</dc:creator>
  <cp:lastModifiedBy>Carina Negreanu</cp:lastModifiedBy>
  <cp:lastPrinted>2004-01-30T07:37:30Z</cp:lastPrinted>
  <dcterms:created xsi:type="dcterms:W3CDTF">2004-01-30T07:11:36Z</dcterms:created>
  <dcterms:modified xsi:type="dcterms:W3CDTF">2020-01-27T10:33:45Z</dcterms:modified>
</cp:coreProperties>
</file>