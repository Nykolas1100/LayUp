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4DABF5D0-DB4B-451A-B091-162F5FFFBE12}" xr6:coauthVersionLast="45" xr6:coauthVersionMax="45" xr10:uidLastSave="{00000000-0000-0000-0000-000000000000}"/>
  <bookViews>
    <workbookView xWindow="3420" yWindow="3420" windowWidth="28800" windowHeight="15460"/>
  </bookViews>
  <sheets>
    <sheet name="Sheet1" sheetId="1" r:id="rId1"/>
    <sheet name="Sheet2" sheetId="2" r:id="rId2"/>
    <sheet name="Sheet3" sheetId="3" r:id="rId3"/>
  </sheets>
  <definedNames>
    <definedName name="_xlnm.Print_Titles" localSheetId="0">Sheet1!$3:$4</definedName>
  </definedNames>
  <calcPr calcId="191029" fullCalcOnLoad="1"/>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A29" i="1" l="1"/>
  <c r="A30" i="1" s="1"/>
  <c r="A31" i="1" s="1"/>
  <c r="A32" i="1" s="1"/>
  <c r="A33" i="1" s="1"/>
  <c r="A34" i="1" s="1"/>
  <c r="A35" i="1" s="1"/>
  <c r="A36" i="1" s="1"/>
  <c r="A37" i="1" s="1"/>
  <c r="A38" i="1" s="1"/>
  <c r="A39" i="1" s="1"/>
  <c r="A40" i="1" s="1"/>
  <c r="A41" i="1" s="1"/>
  <c r="A42" i="1" s="1"/>
  <c r="A43" i="1" s="1"/>
  <c r="A44" i="1" s="1"/>
  <c r="A45" i="1" s="1"/>
  <c r="A46" i="1" s="1"/>
  <c r="A47" i="1" s="1"/>
  <c r="A48" i="1" s="1"/>
  <c r="A49" i="1" s="1"/>
  <c r="A50" i="1" s="1"/>
  <c r="A51" i="1" s="1"/>
  <c r="A52" i="1" s="1"/>
  <c r="A53" i="1" s="1"/>
  <c r="A54" i="1" s="1"/>
  <c r="L56" i="1"/>
</calcChain>
</file>

<file path=xl/sharedStrings.xml><?xml version="1.0" encoding="utf-8"?>
<sst xmlns="http://schemas.openxmlformats.org/spreadsheetml/2006/main" count="426" uniqueCount="257">
  <si>
    <t>PROJECT</t>
  </si>
  <si>
    <t>NAME</t>
  </si>
  <si>
    <t>TASK</t>
  </si>
  <si>
    <t>BASIN</t>
  </si>
  <si>
    <t xml:space="preserve">WATER </t>
  </si>
  <si>
    <t>BODY</t>
  </si>
  <si>
    <t>SIMULATED</t>
  </si>
  <si>
    <t>ENVIRONMENT</t>
  </si>
  <si>
    <t>POLLUTANTS</t>
  </si>
  <si>
    <t>OF INTEREST</t>
  </si>
  <si>
    <t>START</t>
  </si>
  <si>
    <t>FINISH</t>
  </si>
  <si>
    <t>ESTIMATED</t>
  </si>
  <si>
    <t>COST</t>
  </si>
  <si>
    <t>CONTACT</t>
  </si>
  <si>
    <t>INFORMATION</t>
  </si>
  <si>
    <t>Fate / Transport Modeling of Wastewater Pollutants</t>
  </si>
  <si>
    <t>Bird Drive Basin</t>
  </si>
  <si>
    <t>Nutrients, metals</t>
  </si>
  <si>
    <t>lfink@sfwmd.gov, mark.d.shafer@usace.army.mil</t>
  </si>
  <si>
    <t>Wastewater Reuse - West</t>
  </si>
  <si>
    <t>Wastewater Reuse - South</t>
  </si>
  <si>
    <t>LEC</t>
  </si>
  <si>
    <t>Lower East Coast (LEC)</t>
  </si>
  <si>
    <t>L-31E / Biscayne Bay</t>
  </si>
  <si>
    <t>Nutrients, trace metals</t>
  </si>
  <si>
    <t>mark.d.shafer@usace.army.mil</t>
  </si>
  <si>
    <t>MODELING</t>
  </si>
  <si>
    <t>PURPOSE</t>
  </si>
  <si>
    <t>STATUS OF</t>
  </si>
  <si>
    <t>MODEL</t>
  </si>
  <si>
    <t>CERP</t>
  </si>
  <si>
    <t>Planned for future</t>
  </si>
  <si>
    <t>CERP, Permit Support</t>
  </si>
  <si>
    <t>Biscayne Bay Coastal Wetlands</t>
  </si>
  <si>
    <t>Pollutant Load Assessment</t>
  </si>
  <si>
    <t>Biscayne Bay</t>
  </si>
  <si>
    <t>C-43 Basin Storage Reservoir(s)</t>
  </si>
  <si>
    <t>Berry Reservoir WQ modeling</t>
  </si>
  <si>
    <t>Southwest Florida</t>
  </si>
  <si>
    <t>Caloosahatchee River</t>
  </si>
  <si>
    <t>Nutrients</t>
  </si>
  <si>
    <t>Dec. 02</t>
  </si>
  <si>
    <t>Mar. O3</t>
  </si>
  <si>
    <t>Regional ASR Study</t>
  </si>
  <si>
    <t>Lake Okeechobee Ecosystems Modeling</t>
  </si>
  <si>
    <t>Lake O</t>
  </si>
  <si>
    <t>Lake, Sediment flux</t>
  </si>
  <si>
    <t>nutrients, DOC, Ca, CaCO3, SO4, pH</t>
  </si>
  <si>
    <t>Mar. 05</t>
  </si>
  <si>
    <t>Mar. 07</t>
  </si>
  <si>
    <t>CERP, SWIM, Research Study</t>
  </si>
  <si>
    <t>Currently under development</t>
  </si>
  <si>
    <t>tjames@sfwmd.gov, kjin@sfwmd.gov</t>
  </si>
  <si>
    <t>Ecological Methylmercury Modeling</t>
  </si>
  <si>
    <t>Lake O, Everglades</t>
  </si>
  <si>
    <t xml:space="preserve">Bioaccumulation </t>
  </si>
  <si>
    <t>Hg, methlymercury, SO4, DOC, OrthoP</t>
  </si>
  <si>
    <t>Mar. 09</t>
  </si>
  <si>
    <t xml:space="preserve">lfink@sfwmd.gov </t>
  </si>
  <si>
    <t>Greater Everglades Basin WQ Modeling</t>
  </si>
  <si>
    <t>Everglades</t>
  </si>
  <si>
    <t>EPA</t>
  </si>
  <si>
    <t>nutrients, chloride, sulfate, trace metals</t>
  </si>
  <si>
    <t>???</t>
  </si>
  <si>
    <t>Feb. 07</t>
  </si>
  <si>
    <t>Feb. 08</t>
  </si>
  <si>
    <t>Caloosahatchee River Basin WQ Modeling</t>
  </si>
  <si>
    <t>Caloosahatchee River / Estuary</t>
  </si>
  <si>
    <t>Aug. 06</t>
  </si>
  <si>
    <t>Aug. 07</t>
  </si>
  <si>
    <t>St. Lucie Basin WQ modeling</t>
  </si>
  <si>
    <t>St. Lucie River / Estuary</t>
  </si>
  <si>
    <t>C-51 Basin WQ Modeling</t>
  </si>
  <si>
    <t>Upper East Coast</t>
  </si>
  <si>
    <t>Lower West Coast</t>
  </si>
  <si>
    <t>Lake O. Watershed</t>
  </si>
  <si>
    <t>Lake O. Watershed, Everglades</t>
  </si>
  <si>
    <t>Northern Palm Beach County</t>
  </si>
  <si>
    <t>C-51 Canal</t>
  </si>
  <si>
    <t>Hillsboro Basin WQ Modeling</t>
  </si>
  <si>
    <t>Hillsboro Canal</t>
  </si>
  <si>
    <t>Jun. 06</t>
  </si>
  <si>
    <t>Jun. 07</t>
  </si>
  <si>
    <t>Mass Balance Study</t>
  </si>
  <si>
    <t>Lake Okeechobee, Everglades</t>
  </si>
  <si>
    <t>chloride, sulfate</t>
  </si>
  <si>
    <t>nutrients, chloride, sulfate, trace metal</t>
  </si>
  <si>
    <t>Assessment of Dissolved Ions in Recovered Water</t>
  </si>
  <si>
    <t xml:space="preserve">Lake Okeechobee </t>
  </si>
  <si>
    <t>Eco-toxicity</t>
  </si>
  <si>
    <t>K, Na, Ca, Mg, Cl, SO4</t>
  </si>
  <si>
    <t>Geochemical WQ</t>
  </si>
  <si>
    <t xml:space="preserve">trace metals, nutrients, Alk., Hardness, </t>
  </si>
  <si>
    <t>Mar. 03</t>
  </si>
  <si>
    <t>Sep. 03</t>
  </si>
  <si>
    <t>Geochemical Reaction Modeling - Phase 1</t>
  </si>
  <si>
    <t>Geochemical Reaction Modeling - Phase II</t>
  </si>
  <si>
    <t>Dec. 07</t>
  </si>
  <si>
    <t>june.e.mirecki@erdc.usace.army.mil</t>
  </si>
  <si>
    <t xml:space="preserve">                 SCHEDULE</t>
  </si>
  <si>
    <t>Feb. 04</t>
  </si>
  <si>
    <t>Jan. 04</t>
  </si>
  <si>
    <t>Wetlands, surface / subsurface Fate transport</t>
  </si>
  <si>
    <t>LEAD</t>
  </si>
  <si>
    <t>AGENCIES</t>
  </si>
  <si>
    <t>USACE SFWMD</t>
  </si>
  <si>
    <t>Acme Basin B</t>
  </si>
  <si>
    <t>Watershed</t>
  </si>
  <si>
    <t>STA</t>
  </si>
  <si>
    <t>WQ Analysis</t>
  </si>
  <si>
    <t>L-40 Canal</t>
  </si>
  <si>
    <t>STA, Watershed</t>
  </si>
  <si>
    <t>Canals</t>
  </si>
  <si>
    <t>River</t>
  </si>
  <si>
    <t>STA, River</t>
  </si>
  <si>
    <t>Wetlands, Canal</t>
  </si>
  <si>
    <t>Nutrients, pesticides, metals</t>
  </si>
  <si>
    <t>Jul. 02</t>
  </si>
  <si>
    <t>Nov. 02</t>
  </si>
  <si>
    <t>mark.a.white@usace.army.mil</t>
  </si>
  <si>
    <t>EAA Storage Reservoirs - Phase 1</t>
  </si>
  <si>
    <t>Water Quality Assessment</t>
  </si>
  <si>
    <t>Everglades Agricultural Area</t>
  </si>
  <si>
    <t>Miami Canal, N. New River Canal, Hillsboro Canal</t>
  </si>
  <si>
    <t>Nutrients, Hg, pesticides</t>
  </si>
  <si>
    <t>Aug. 02</t>
  </si>
  <si>
    <t>Mark White, mark.a.white@usace.army.mil, Tracey Piccone, tpiccone@sfwmd.gov</t>
  </si>
  <si>
    <t>Mark White, mark.a.white@usace.army.mil,  Chandra Pathak, cpathak@sfwmd.gov</t>
  </si>
  <si>
    <t>Indian River Lagoon North  Restoration Feasibility Study</t>
  </si>
  <si>
    <t>USACE, SJRWMD</t>
  </si>
  <si>
    <t>Indian River Lagoon</t>
  </si>
  <si>
    <t>Hydrodynamic / WQ</t>
  </si>
  <si>
    <t>TSS, nutrients</t>
  </si>
  <si>
    <t>CERP, SWIM, Permit Support</t>
  </si>
  <si>
    <t>Operational, Continued Development</t>
  </si>
  <si>
    <t>Peter Chang, Phd, UF, Coastal Engineering, mark.a.white@usace.army.mil</t>
  </si>
  <si>
    <t>Indian River Lagoon - South</t>
  </si>
  <si>
    <t>STA, and Optimization Model</t>
  </si>
  <si>
    <t>TSS, nutrients, agri-chemicals, metals</t>
  </si>
  <si>
    <t>Oct. 01</t>
  </si>
  <si>
    <t>CERP, SWIM</t>
  </si>
  <si>
    <t>Ken Konyha, kkonyha@sfwmd.gov, mark.a.white@usace.army.mil</t>
  </si>
  <si>
    <t xml:space="preserve">Lake Okeechobee Watershed </t>
  </si>
  <si>
    <t>Lake Okeechobee</t>
  </si>
  <si>
    <t>Taylor Creek, Nubben Slough, Kissimmee River (Pool D, Pool E), Fisheating Creek</t>
  </si>
  <si>
    <t>Watershed, STA</t>
  </si>
  <si>
    <t>Phosphorus</t>
  </si>
  <si>
    <t>May. 02</t>
  </si>
  <si>
    <t>S-169 / Nine Mile Creek</t>
  </si>
  <si>
    <t>Nine Mile Creek</t>
  </si>
  <si>
    <t>Watershed, Canal</t>
  </si>
  <si>
    <t>Nutrients, Agri-chemicals</t>
  </si>
  <si>
    <t>Big Cypress Seminole Indian Reservation Western Water Conservation Project</t>
  </si>
  <si>
    <t>USACE Seminole Tribe</t>
  </si>
  <si>
    <t>WRA WQ (Planning Level) Modeling</t>
  </si>
  <si>
    <t>L-28 Canal</t>
  </si>
  <si>
    <t>Sep. 02</t>
  </si>
  <si>
    <t>Permit Support</t>
  </si>
  <si>
    <t>Geral Benock, Seminole Contractor, mark.a.white@usace.army.mil</t>
  </si>
  <si>
    <t>Ten Mile Creek Water Preserve Area</t>
  </si>
  <si>
    <t>Updated WQ Assessment</t>
  </si>
  <si>
    <t>Ten Mile Creek</t>
  </si>
  <si>
    <t>Dec. 01</t>
  </si>
  <si>
    <t>Jun. 02</t>
  </si>
  <si>
    <t>Operational</t>
  </si>
  <si>
    <t>Bob Knight, Wetlands Solutions, Inc., mark.a.white@usace.army.mil</t>
  </si>
  <si>
    <t>Winsberg Farm Wetlands Restoration Project</t>
  </si>
  <si>
    <t>WQ Assessment</t>
  </si>
  <si>
    <t>L-30 Canal</t>
  </si>
  <si>
    <t>Hassan Hadjimiry, Palm Beach County Wastewater Division, mark.a.white@usace.army.mil</t>
  </si>
  <si>
    <t>CODE</t>
  </si>
  <si>
    <t>Unknown</t>
  </si>
  <si>
    <t>WASP, EFDC</t>
  </si>
  <si>
    <t xml:space="preserve">WASP </t>
  </si>
  <si>
    <t>Wetlands</t>
  </si>
  <si>
    <t>Likely to be WAM-VIEW, DMSTA</t>
  </si>
  <si>
    <t>DMSTA with WAMVIEW or Basin Specific Watershed Model</t>
  </si>
  <si>
    <t>CH3D-ICM linked to WQ model</t>
  </si>
  <si>
    <t>Walker STA model, Linear Optimization Model</t>
  </si>
  <si>
    <t xml:space="preserve">WAM-VIEW with DMSTA </t>
  </si>
  <si>
    <t>Walker STA model</t>
  </si>
  <si>
    <t xml:space="preserve">DMSTA  </t>
  </si>
  <si>
    <t>Caloosahatchee Basin WQ Assessment</t>
  </si>
  <si>
    <t>FDEP USEPA</t>
  </si>
  <si>
    <t>Caloosahatchee WQ Model</t>
  </si>
  <si>
    <t>Caloosahatchee</t>
  </si>
  <si>
    <t>Watershed, river</t>
  </si>
  <si>
    <t>WAM-VIEW</t>
  </si>
  <si>
    <t>Mar. 02</t>
  </si>
  <si>
    <t>Dec. O2</t>
  </si>
  <si>
    <t>SWIM</t>
  </si>
  <si>
    <t>Deborah Scerno,  Deborah.Scerno@dep.state.fl.us</t>
  </si>
  <si>
    <t>SFWMD</t>
  </si>
  <si>
    <t>Fl. Bay Seagrass Modeling</t>
  </si>
  <si>
    <t>Florida Bay</t>
  </si>
  <si>
    <t>Bay</t>
  </si>
  <si>
    <t>TSS, Light Penetration</t>
  </si>
  <si>
    <t>Chris Madden, cmadden @sfwmd.gov</t>
  </si>
  <si>
    <t>Florida Bay / Florida Keys Feasibility Study</t>
  </si>
  <si>
    <t>Florida Bay Salinity Modeling</t>
  </si>
  <si>
    <t>Bay, Hydrodynamic</t>
  </si>
  <si>
    <t>Salinity</t>
  </si>
  <si>
    <t>Zaki Moustafa, moustafa@sfwmd.gov</t>
  </si>
  <si>
    <t>Everglades Ecological Modeling</t>
  </si>
  <si>
    <t>Everglades Landscape Modeling</t>
  </si>
  <si>
    <t>Greater Everglades</t>
  </si>
  <si>
    <t>Everglades Landscape Model</t>
  </si>
  <si>
    <t>Wetlands, soil / water</t>
  </si>
  <si>
    <t>nutrients (soil, water), periphyton biomass, community type</t>
  </si>
  <si>
    <t>Carl Fitz, cfitz@sfwmd.gov</t>
  </si>
  <si>
    <t>Everglades Agricultural Area Model</t>
  </si>
  <si>
    <t>Everglades Agricultural Model (EAAMOD)</t>
  </si>
  <si>
    <t>EAA</t>
  </si>
  <si>
    <t>EAAMOD linked to WAM</t>
  </si>
  <si>
    <t>nutrients</t>
  </si>
  <si>
    <t>BMP simulaton</t>
  </si>
  <si>
    <t>Barry Jacobsen, Soil and Water Engineering Technology, Inc.</t>
  </si>
  <si>
    <t>Not selected yet</t>
  </si>
  <si>
    <t>Probably ELM</t>
  </si>
  <si>
    <t>Probably WAM-VIEW, DMSTA</t>
  </si>
  <si>
    <t>Probably GRI-FW-STR</t>
  </si>
  <si>
    <t>USEPA</t>
  </si>
  <si>
    <t>WASP</t>
  </si>
  <si>
    <t>Methylated Hg</t>
  </si>
  <si>
    <t>Research Study</t>
  </si>
  <si>
    <t>PLANNED, ONGOING, AND COMPLETED WATER QUALITY MODELING EFFORTS IN SOUTH FLORIDA   (COMPILED AUGUST 2002)</t>
  </si>
  <si>
    <t>DESCRIPTION</t>
  </si>
  <si>
    <t>There are two modeling efforts in this task.  The first is the simulation of fate/transport of wastewater pollutants in a treatment wetland.  The second is the simulation of trace pollutants discharged to the canal network and groundwater.</t>
  </si>
  <si>
    <t>A WQ model will be used to predict the impact of WW discharges on L-31E and coastal wetlands of Biscayne Bay</t>
  </si>
  <si>
    <t>The Phase II WQ modeling effort will look at nutrients, seagrassess, light , turbidity, pathogens, and toxics.  Model may be 3-D.</t>
  </si>
  <si>
    <t>A WQ model will be created to predict effluent quality for  Berry Reservoir.  A second model will be used to predict project impacts to C-43.</t>
  </si>
  <si>
    <t>This effort includes simulation modeling of dilution, dispersion, transport, and chemical transformation of nutrients as well as DOC, Ca, CaCO3, SO4, and pH.</t>
  </si>
  <si>
    <t>Methylmercury bioaccumulation will be simulated spacially as well as in higher trophic levels using an improved version of the Everglades Mercury Cycling Model.</t>
  </si>
  <si>
    <t>Everglades Mercury Modelling</t>
  </si>
  <si>
    <t>Everglade Mercury Cycling Model.</t>
  </si>
  <si>
    <t>The ELM or some other model will be used to simulate changes in concentration of nutrients and possibly chloride and sulfate that result from large-scale ASR operation.</t>
  </si>
  <si>
    <t>This modeling effort is intended to incorporate and expand upon previous WQ modeling done in the Caloosahatchee Basin.</t>
  </si>
  <si>
    <t>The intent is to use/adapt a pre-existing WQ model of the St. Lucie River/Estuary.</t>
  </si>
  <si>
    <t>The intent is to use/adapt a pre-existing WQ model of this system.</t>
  </si>
  <si>
    <t>This task is intended to be performed using SFWMM2X2 flows and spreadsheet tracking of conservative pollutants.</t>
  </si>
  <si>
    <t>Discharge of recovered water from ASR wells is expected to increase the concentration of common ions such as sodium, potassium, calcium, magnesium, etc.  Related toxicity in fresh and marine systems will be investigated.</t>
  </si>
  <si>
    <t>Rock / water chemistry will be simulated for different mixtures of native and injected ASR water.</t>
  </si>
  <si>
    <t>DMSTA, a statistical/empirical WQ model will be used to simulate WQ in an STA.  WAMVIEW, a GIS-Based Watershed Hydrology/WQ model will be used to simulate basin loads</t>
  </si>
  <si>
    <t>The Corps of Engineers, CH3D-ICM Hydrodynamic model was used to simulate salinity and nutrient conditions.   Results are available in final report.  See IRL web-site.</t>
  </si>
  <si>
    <t>Several hydrologic / hydrodynamic, and optimization models were used in the IRL Feasibility Study.  See IRL web-site for complete description.</t>
  </si>
  <si>
    <t>Planning not complete</t>
  </si>
  <si>
    <t>Results available in Ten-mile Creek Design Report.</t>
  </si>
  <si>
    <t>WQ modeling will be used to provide effluent projections to determine the suitability of system discharges for indirect reuse and /or release to surface waters (L-30).</t>
  </si>
  <si>
    <t>Under contract to Tetra-Tech, Inc.</t>
  </si>
  <si>
    <t>Model will be used to develop management alternatives for improving the Florida Bay Seagrass Community.  Model will include sediment and water column nutrient dynamics, and effects of freshwater inputs.</t>
  </si>
  <si>
    <t>Model will be used to predict salinity structure and flow fields in Florida Bay under a range of freshwater flow regimes.   The model will use multiple grids (northeastern grid, Bay/Keys grid).</t>
  </si>
  <si>
    <t>The ELM is a regional scale ecological model designed to predict the landscape response to different water management scenarios in South Florida.  It simulates changes to the hydrology, soil &amp; water nutrients, periphyton biomass &amp; community type, and vegetation biomass &amp; community type.</t>
  </si>
  <si>
    <t>The model simulates the effectiveness of Best Management Practices to control Phosphorus runoff in the EAA.</t>
  </si>
  <si>
    <t>Simulates the mercury cycle in the Everglades.</t>
  </si>
  <si>
    <t>WEB</t>
  </si>
  <si>
    <t>PAGE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</si>
</sst>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70" formatCode="_(&quot;$&quot;* #,##0.00_);_(&quot;$&quot;* \(#,##0.00\);_(&quot;$&quot;* &quot;-&quot;??_);_(@_)"/>
    <numFmt numFmtId="173" formatCode="_(&quot;$&quot;* #,##0.0000_);_(&quot;$&quot;* \(#,##0.0000\);_(&quot;$&quot;* &quot;-&quot;??_);_(@_)"/>
    <numFmt numFmtId="176" formatCode="_(&quot;$&quot;* #,##0_);_(&quot;$&quot;* \(#,##0\);_(&quot;$&quot;* &quot;-&quot;??_);_(@_)"/>
    <numFmt numFmtId="177" formatCode="&quot;$&quot;#,##0"/>
  </numFmts>
  <fonts count="6" x14ac:knownFonts="1">
    <font>
      <sz val="10"/>
      <name val="Arial"/>
    </font>
    <font>
      <sz val="10"/>
      <name val="Arial"/>
    </font>
    <font>
      <sz val="9"/>
      <name val="Courier New"/>
      <family val="3"/>
    </font>
    <font>
      <sz val="8"/>
      <name val="Courier New"/>
      <family val="3"/>
    </font>
    <font>
      <sz val="8"/>
      <name val="Times New Roman"/>
      <family val="1"/>
    </font>
    <font>
      <sz val="8"/>
      <name val="Arial"/>
      <family val="2"/>
    </font>
  </fonts>
  <fills count="2">
    <fill>
      <patternFill patternType="none"/>
    </fill>
    <fill>
      <patternFill patternType="gray125"/>
    </fill>
  </fills>
  <borders count="20">
    <border>
      <left/>
      <right/>
      <top/>
      <bottom/>
      <diagonal/>
    </border>
    <border>
      <left/>
      <right style="thick">
        <color indexed="64"/>
      </right>
      <top/>
      <bottom style="thick">
        <color indexed="64"/>
      </bottom>
      <diagonal/>
    </border>
    <border>
      <left style="thick">
        <color indexed="64"/>
      </left>
      <right style="thick">
        <color indexed="64"/>
      </right>
      <top style="thick">
        <color indexed="64"/>
      </top>
      <bottom/>
      <diagonal/>
    </border>
    <border>
      <left style="thick">
        <color indexed="64"/>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ck">
        <color indexed="64"/>
      </right>
      <top/>
      <bottom style="thick">
        <color indexed="64"/>
      </bottom>
      <diagonal/>
    </border>
    <border>
      <left style="thick">
        <color indexed="64"/>
      </left>
      <right style="thick">
        <color indexed="64"/>
      </right>
      <top style="thick">
        <color indexed="64"/>
      </top>
      <bottom style="thick">
        <color indexed="64"/>
      </bottom>
      <diagonal/>
    </border>
    <border>
      <left style="thin">
        <color indexed="64"/>
      </left>
      <right style="thin">
        <color indexed="64"/>
      </right>
      <top style="thick">
        <color indexed="64"/>
      </top>
      <bottom style="thin">
        <color indexed="64"/>
      </bottom>
      <diagonal/>
    </border>
    <border>
      <left style="thick">
        <color indexed="64"/>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style="thin">
        <color indexed="64"/>
      </right>
      <top/>
      <bottom style="thin">
        <color indexed="64"/>
      </bottom>
      <diagonal/>
    </border>
    <border>
      <left style="thin">
        <color indexed="64"/>
      </left>
      <right/>
      <top style="thick">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style="thick">
        <color indexed="64"/>
      </bottom>
      <diagonal/>
    </border>
    <border>
      <left style="thick">
        <color indexed="64"/>
      </left>
      <right/>
      <top style="thick">
        <color indexed="64"/>
      </top>
      <bottom/>
      <diagonal/>
    </border>
    <border>
      <left style="thick">
        <color indexed="64"/>
      </left>
      <right/>
      <top/>
      <bottom style="thick">
        <color indexed="64"/>
      </bottom>
      <diagonal/>
    </border>
    <border>
      <left/>
      <right style="thick">
        <color indexed="64"/>
      </right>
      <top/>
      <bottom/>
      <diagonal/>
    </border>
  </borders>
  <cellStyleXfs count="2">
    <xf numFmtId="0" fontId="0" fillId="0" borderId="0"/>
    <xf numFmtId="170" fontId="1" fillId="0" borderId="0" applyFont="0" applyFill="0" applyBorder="0" applyAlignment="0" applyProtection="0"/>
  </cellStyleXfs>
  <cellXfs count="34">
    <xf numFmtId="0" fontId="0" fillId="0" borderId="0" xfId="0"/>
    <xf numFmtId="0" fontId="2" fillId="0" borderId="0" xfId="0" applyFont="1"/>
    <xf numFmtId="0" fontId="0" fillId="0" borderId="1" xfId="0" applyBorder="1"/>
    <xf numFmtId="0" fontId="0" fillId="0" borderId="2" xfId="0" applyBorder="1" applyAlignment="1">
      <alignment horizontal="center"/>
    </xf>
    <xf numFmtId="0" fontId="0" fillId="0" borderId="3" xfId="0" applyBorder="1" applyAlignment="1">
      <alignment horizontal="center"/>
    </xf>
    <xf numFmtId="0" fontId="0" fillId="0" borderId="4" xfId="0" applyBorder="1" applyAlignment="1">
      <alignment horizontal="center"/>
    </xf>
    <xf numFmtId="0" fontId="0" fillId="0" borderId="5" xfId="0" applyBorder="1" applyAlignment="1">
      <alignment horizontal="center"/>
    </xf>
    <xf numFmtId="0" fontId="0" fillId="0" borderId="6" xfId="0" applyBorder="1" applyAlignment="1">
      <alignment horizontal="center"/>
    </xf>
    <xf numFmtId="0" fontId="0" fillId="0" borderId="7" xfId="0" applyBorder="1" applyAlignment="1">
      <alignment wrapText="1"/>
    </xf>
    <xf numFmtId="0" fontId="0" fillId="0" borderId="8" xfId="0" applyBorder="1"/>
    <xf numFmtId="176" fontId="0" fillId="0" borderId="7" xfId="1" applyNumberFormat="1" applyFont="1" applyBorder="1" applyAlignment="1">
      <alignment wrapText="1"/>
    </xf>
    <xf numFmtId="0" fontId="0" fillId="0" borderId="9" xfId="0" applyBorder="1"/>
    <xf numFmtId="0" fontId="0" fillId="0" borderId="10" xfId="0" applyBorder="1" applyAlignment="1">
      <alignment wrapText="1"/>
    </xf>
    <xf numFmtId="173" fontId="0" fillId="0" borderId="10" xfId="1" applyNumberFormat="1" applyFont="1" applyBorder="1" applyAlignment="1">
      <alignment wrapText="1"/>
    </xf>
    <xf numFmtId="16" fontId="0" fillId="0" borderId="10" xfId="0" applyNumberFormat="1" applyBorder="1" applyAlignment="1">
      <alignment wrapText="1"/>
    </xf>
    <xf numFmtId="176" fontId="0" fillId="0" borderId="10" xfId="1" applyNumberFormat="1" applyFont="1" applyBorder="1" applyAlignment="1">
      <alignment wrapText="1"/>
    </xf>
    <xf numFmtId="177" fontId="0" fillId="0" borderId="10" xfId="1" applyNumberFormat="1" applyFont="1" applyBorder="1" applyAlignment="1">
      <alignment wrapText="1"/>
    </xf>
    <xf numFmtId="0" fontId="0" fillId="0" borderId="11" xfId="0" applyBorder="1"/>
    <xf numFmtId="0" fontId="0" fillId="0" borderId="12" xfId="0" applyBorder="1" applyAlignment="1">
      <alignment wrapText="1"/>
    </xf>
    <xf numFmtId="177" fontId="0" fillId="0" borderId="12" xfId="1" applyNumberFormat="1" applyFont="1" applyBorder="1" applyAlignment="1">
      <alignment wrapText="1"/>
    </xf>
    <xf numFmtId="170" fontId="0" fillId="0" borderId="12" xfId="1" applyFont="1" applyBorder="1" applyAlignment="1">
      <alignment wrapText="1"/>
    </xf>
    <xf numFmtId="176" fontId="0" fillId="0" borderId="10" xfId="1" applyNumberFormat="1" applyFont="1" applyBorder="1" applyAlignment="1">
      <alignment horizontal="right" wrapText="1"/>
    </xf>
    <xf numFmtId="0" fontId="0" fillId="0" borderId="13" xfId="0" applyBorder="1" applyAlignment="1">
      <alignment wrapText="1"/>
    </xf>
    <xf numFmtId="176" fontId="0" fillId="0" borderId="14" xfId="1" applyNumberFormat="1" applyFont="1" applyBorder="1" applyAlignment="1">
      <alignment wrapText="1"/>
    </xf>
    <xf numFmtId="173" fontId="0" fillId="0" borderId="15" xfId="1" applyNumberFormat="1" applyFont="1" applyBorder="1" applyAlignment="1">
      <alignment wrapText="1"/>
    </xf>
    <xf numFmtId="170" fontId="0" fillId="0" borderId="16" xfId="1" applyFont="1" applyBorder="1" applyAlignment="1">
      <alignment wrapText="1"/>
    </xf>
    <xf numFmtId="0" fontId="0" fillId="0" borderId="17" xfId="0" applyBorder="1" applyAlignment="1">
      <alignment horizontal="center"/>
    </xf>
    <xf numFmtId="0" fontId="0" fillId="0" borderId="18" xfId="0" applyBorder="1" applyAlignment="1">
      <alignment horizontal="center"/>
    </xf>
    <xf numFmtId="0" fontId="5" fillId="0" borderId="14" xfId="0" applyFont="1" applyBorder="1" applyAlignment="1">
      <alignment wrapText="1"/>
    </xf>
    <xf numFmtId="0" fontId="5" fillId="0" borderId="15" xfId="0" applyFont="1" applyBorder="1" applyAlignment="1">
      <alignment wrapText="1"/>
    </xf>
    <xf numFmtId="0" fontId="4" fillId="0" borderId="15" xfId="0" applyFont="1" applyBorder="1" applyAlignment="1">
      <alignment wrapText="1"/>
    </xf>
    <xf numFmtId="0" fontId="3" fillId="0" borderId="15" xfId="0" applyFont="1" applyBorder="1" applyAlignment="1">
      <alignment wrapText="1"/>
    </xf>
    <xf numFmtId="0" fontId="3" fillId="0" borderId="16" xfId="0" applyFont="1" applyBorder="1" applyAlignment="1">
      <alignment wrapText="1"/>
    </xf>
    <xf numFmtId="0" fontId="0" fillId="0" borderId="19" xfId="0" applyBorder="1"/>
  </cellXfs>
  <cellStyles count="2">
    <cellStyle name="Currency"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Q96"/>
  <sheetViews>
    <sheetView tabSelected="1" workbookViewId="0">
      <pane xSplit="2" ySplit="4" topLeftCell="C6" activePane="bottomRight" state="frozen"/>
      <selection pane="topRight" activeCell="C1" sqref="C1"/>
      <selection pane="bottomLeft" activeCell="A5" sqref="A5"/>
      <selection pane="bottomRight" activeCell="A10" sqref="A10"/>
    </sheetView>
  </sheetViews>
  <sheetFormatPr defaultRowHeight="12.5" x14ac:dyDescent="0.25"/>
  <cols>
    <col min="1" max="1" width="6.26953125" customWidth="1"/>
    <col min="2" max="2" width="19.81640625" customWidth="1"/>
    <col min="3" max="3" width="13.26953125" customWidth="1"/>
    <col min="4" max="4" width="22.26953125" customWidth="1"/>
    <col min="5" max="5" width="14.1796875" customWidth="1"/>
    <col min="6" max="6" width="12.1796875" customWidth="1"/>
    <col min="7" max="8" width="16.81640625" customWidth="1"/>
    <col min="9" max="9" width="14.453125" customWidth="1"/>
    <col min="10" max="10" width="10.26953125" customWidth="1"/>
    <col min="11" max="11" width="8.81640625" customWidth="1"/>
    <col min="12" max="12" width="11.26953125" customWidth="1"/>
    <col min="13" max="13" width="11.1796875" customWidth="1"/>
    <col min="14" max="14" width="11.54296875" customWidth="1"/>
    <col min="15" max="15" width="18.54296875" customWidth="1"/>
    <col min="16" max="16" width="33.26953125" customWidth="1"/>
    <col min="17" max="17" width="27.54296875" customWidth="1"/>
  </cols>
  <sheetData>
    <row r="1" spans="1:17" x14ac:dyDescent="0.25">
      <c r="A1" t="s">
        <v>226</v>
      </c>
    </row>
    <row r="2" spans="1:17" ht="13" thickBot="1" x14ac:dyDescent="0.3"/>
    <row r="3" spans="1:17" ht="13.5" thickTop="1" thickBot="1" x14ac:dyDescent="0.3">
      <c r="A3" s="3"/>
      <c r="B3" s="3" t="s">
        <v>0</v>
      </c>
      <c r="C3" s="3" t="s">
        <v>104</v>
      </c>
      <c r="D3" s="3" t="s">
        <v>2</v>
      </c>
      <c r="E3" s="3" t="s">
        <v>3</v>
      </c>
      <c r="F3" s="3" t="s">
        <v>4</v>
      </c>
      <c r="G3" s="3" t="s">
        <v>6</v>
      </c>
      <c r="H3" s="3" t="s">
        <v>30</v>
      </c>
      <c r="I3" s="3" t="s">
        <v>8</v>
      </c>
      <c r="J3" s="4" t="s">
        <v>100</v>
      </c>
      <c r="K3" s="5"/>
      <c r="L3" s="3" t="s">
        <v>12</v>
      </c>
      <c r="M3" s="3" t="s">
        <v>27</v>
      </c>
      <c r="N3" s="3" t="s">
        <v>29</v>
      </c>
      <c r="O3" s="3" t="s">
        <v>14</v>
      </c>
      <c r="P3" s="26" t="s">
        <v>227</v>
      </c>
      <c r="Q3" s="3" t="s">
        <v>255</v>
      </c>
    </row>
    <row r="4" spans="1:17" ht="13.5" thickTop="1" thickBot="1" x14ac:dyDescent="0.3">
      <c r="A4" s="6"/>
      <c r="B4" s="6" t="s">
        <v>1</v>
      </c>
      <c r="C4" s="6" t="s">
        <v>105</v>
      </c>
      <c r="D4" s="6" t="s">
        <v>1</v>
      </c>
      <c r="E4" s="6" t="s">
        <v>1</v>
      </c>
      <c r="F4" s="6" t="s">
        <v>5</v>
      </c>
      <c r="G4" s="6" t="s">
        <v>7</v>
      </c>
      <c r="H4" s="6" t="s">
        <v>171</v>
      </c>
      <c r="I4" s="6" t="s">
        <v>9</v>
      </c>
      <c r="J4" s="7" t="s">
        <v>10</v>
      </c>
      <c r="K4" s="7" t="s">
        <v>11</v>
      </c>
      <c r="L4" s="6" t="s">
        <v>13</v>
      </c>
      <c r="M4" s="6" t="s">
        <v>28</v>
      </c>
      <c r="N4" s="6" t="s">
        <v>30</v>
      </c>
      <c r="O4" s="6" t="s">
        <v>15</v>
      </c>
      <c r="P4" s="27"/>
      <c r="Q4" s="6" t="s">
        <v>256</v>
      </c>
    </row>
    <row r="5" spans="1:17" ht="57" customHeight="1" thickTop="1" x14ac:dyDescent="0.25">
      <c r="A5" s="9">
        <v>1</v>
      </c>
      <c r="B5" s="8" t="s">
        <v>20</v>
      </c>
      <c r="C5" s="8" t="s">
        <v>106</v>
      </c>
      <c r="D5" s="8" t="s">
        <v>16</v>
      </c>
      <c r="E5" s="8" t="s">
        <v>23</v>
      </c>
      <c r="F5" s="8" t="s">
        <v>17</v>
      </c>
      <c r="G5" s="8" t="s">
        <v>103</v>
      </c>
      <c r="H5" s="12" t="s">
        <v>218</v>
      </c>
      <c r="I5" s="8" t="s">
        <v>18</v>
      </c>
      <c r="J5" s="8" t="s">
        <v>102</v>
      </c>
      <c r="K5" s="8" t="s">
        <v>98</v>
      </c>
      <c r="L5" s="10">
        <v>400000</v>
      </c>
      <c r="M5" s="10" t="s">
        <v>31</v>
      </c>
      <c r="N5" s="10" t="s">
        <v>32</v>
      </c>
      <c r="O5" s="23" t="s">
        <v>19</v>
      </c>
      <c r="P5" s="28" t="s">
        <v>228</v>
      </c>
      <c r="Q5" s="33"/>
    </row>
    <row r="6" spans="1:17" ht="51" customHeight="1" x14ac:dyDescent="0.25">
      <c r="A6" s="11">
        <v>2</v>
      </c>
      <c r="B6" s="12" t="s">
        <v>21</v>
      </c>
      <c r="C6" s="22" t="s">
        <v>106</v>
      </c>
      <c r="D6" s="12" t="s">
        <v>16</v>
      </c>
      <c r="E6" s="12" t="s">
        <v>22</v>
      </c>
      <c r="F6" s="12" t="s">
        <v>24</v>
      </c>
      <c r="G6" s="12" t="s">
        <v>116</v>
      </c>
      <c r="H6" s="12" t="s">
        <v>218</v>
      </c>
      <c r="I6" s="12" t="s">
        <v>25</v>
      </c>
      <c r="J6" s="12"/>
      <c r="K6" s="12"/>
      <c r="L6" s="13"/>
      <c r="M6" s="13" t="s">
        <v>33</v>
      </c>
      <c r="N6" s="13" t="s">
        <v>32</v>
      </c>
      <c r="O6" s="24" t="s">
        <v>26</v>
      </c>
      <c r="P6" s="29" t="s">
        <v>229</v>
      </c>
      <c r="Q6" s="33"/>
    </row>
    <row r="7" spans="1:17" ht="37.5" customHeight="1" x14ac:dyDescent="0.25">
      <c r="A7" s="11">
        <v>3</v>
      </c>
      <c r="B7" s="12" t="s">
        <v>34</v>
      </c>
      <c r="C7" s="12" t="s">
        <v>106</v>
      </c>
      <c r="D7" s="12" t="s">
        <v>35</v>
      </c>
      <c r="E7" s="12" t="s">
        <v>22</v>
      </c>
      <c r="F7" s="12" t="s">
        <v>36</v>
      </c>
      <c r="G7" s="12" t="s">
        <v>112</v>
      </c>
      <c r="H7" s="12" t="s">
        <v>218</v>
      </c>
      <c r="I7" s="12" t="s">
        <v>18</v>
      </c>
      <c r="J7" s="14" t="s">
        <v>94</v>
      </c>
      <c r="K7" s="12" t="s">
        <v>101</v>
      </c>
      <c r="L7" s="15">
        <v>120000</v>
      </c>
      <c r="M7" s="13" t="s">
        <v>33</v>
      </c>
      <c r="N7" s="13" t="s">
        <v>32</v>
      </c>
      <c r="O7" s="24" t="s">
        <v>26</v>
      </c>
      <c r="P7" s="29" t="s">
        <v>230</v>
      </c>
      <c r="Q7" s="33"/>
    </row>
    <row r="8" spans="1:17" ht="45.75" customHeight="1" x14ac:dyDescent="0.25">
      <c r="A8" s="11">
        <v>4</v>
      </c>
      <c r="B8" s="12" t="s">
        <v>37</v>
      </c>
      <c r="C8" s="12" t="s">
        <v>106</v>
      </c>
      <c r="D8" s="12" t="s">
        <v>38</v>
      </c>
      <c r="E8" s="12" t="s">
        <v>39</v>
      </c>
      <c r="F8" s="12" t="s">
        <v>40</v>
      </c>
      <c r="G8" s="12" t="s">
        <v>115</v>
      </c>
      <c r="H8" s="12" t="s">
        <v>220</v>
      </c>
      <c r="I8" s="12" t="s">
        <v>41</v>
      </c>
      <c r="J8" s="12" t="s">
        <v>42</v>
      </c>
      <c r="K8" s="12" t="s">
        <v>43</v>
      </c>
      <c r="L8" s="21">
        <v>160000</v>
      </c>
      <c r="M8" s="13" t="s">
        <v>33</v>
      </c>
      <c r="N8" s="13" t="s">
        <v>32</v>
      </c>
      <c r="O8" s="24" t="s">
        <v>26</v>
      </c>
      <c r="P8" s="29" t="s">
        <v>231</v>
      </c>
      <c r="Q8" s="33"/>
    </row>
    <row r="9" spans="1:17" ht="50" x14ac:dyDescent="0.25">
      <c r="A9" s="11">
        <v>5</v>
      </c>
      <c r="B9" s="12" t="s">
        <v>44</v>
      </c>
      <c r="C9" s="12" t="s">
        <v>106</v>
      </c>
      <c r="D9" s="12" t="s">
        <v>45</v>
      </c>
      <c r="E9" s="12" t="s">
        <v>76</v>
      </c>
      <c r="F9" s="12" t="s">
        <v>46</v>
      </c>
      <c r="G9" s="12" t="s">
        <v>47</v>
      </c>
      <c r="H9" s="12" t="s">
        <v>173</v>
      </c>
      <c r="I9" s="12" t="s">
        <v>48</v>
      </c>
      <c r="J9" s="14" t="s">
        <v>49</v>
      </c>
      <c r="K9" s="12" t="s">
        <v>50</v>
      </c>
      <c r="L9" s="16">
        <v>125000</v>
      </c>
      <c r="M9" s="13" t="s">
        <v>51</v>
      </c>
      <c r="N9" s="13" t="s">
        <v>52</v>
      </c>
      <c r="O9" s="24" t="s">
        <v>53</v>
      </c>
      <c r="P9" s="29" t="s">
        <v>232</v>
      </c>
      <c r="Q9" s="33"/>
    </row>
    <row r="10" spans="1:17" ht="50" x14ac:dyDescent="0.25">
      <c r="A10" s="11">
        <v>6</v>
      </c>
      <c r="B10" s="12" t="s">
        <v>44</v>
      </c>
      <c r="C10" s="12" t="s">
        <v>106</v>
      </c>
      <c r="D10" s="12" t="s">
        <v>54</v>
      </c>
      <c r="E10" s="12" t="s">
        <v>77</v>
      </c>
      <c r="F10" s="12" t="s">
        <v>55</v>
      </c>
      <c r="G10" s="12" t="s">
        <v>56</v>
      </c>
      <c r="H10" s="12" t="s">
        <v>174</v>
      </c>
      <c r="I10" s="12" t="s">
        <v>57</v>
      </c>
      <c r="J10" s="12" t="s">
        <v>50</v>
      </c>
      <c r="K10" s="12" t="s">
        <v>58</v>
      </c>
      <c r="L10" s="16">
        <v>190000</v>
      </c>
      <c r="M10" s="13" t="s">
        <v>31</v>
      </c>
      <c r="N10" s="13" t="s">
        <v>32</v>
      </c>
      <c r="O10" s="24" t="s">
        <v>59</v>
      </c>
      <c r="P10" s="29" t="s">
        <v>233</v>
      </c>
      <c r="Q10" s="33"/>
    </row>
    <row r="11" spans="1:17" ht="40.5" x14ac:dyDescent="0.25">
      <c r="A11" s="11">
        <v>7</v>
      </c>
      <c r="B11" s="12" t="s">
        <v>44</v>
      </c>
      <c r="C11" s="12" t="s">
        <v>106</v>
      </c>
      <c r="D11" s="12" t="s">
        <v>60</v>
      </c>
      <c r="E11" s="12" t="s">
        <v>61</v>
      </c>
      <c r="F11" s="12" t="s">
        <v>62</v>
      </c>
      <c r="G11" s="12" t="s">
        <v>175</v>
      </c>
      <c r="H11" s="12" t="s">
        <v>219</v>
      </c>
      <c r="I11" s="12" t="s">
        <v>63</v>
      </c>
      <c r="J11" s="12" t="s">
        <v>65</v>
      </c>
      <c r="K11" s="12" t="s">
        <v>66</v>
      </c>
      <c r="L11" s="16">
        <v>100000</v>
      </c>
      <c r="M11" s="13" t="s">
        <v>31</v>
      </c>
      <c r="N11" s="13" t="s">
        <v>32</v>
      </c>
      <c r="O11" s="24" t="s">
        <v>26</v>
      </c>
      <c r="P11" s="29" t="s">
        <v>236</v>
      </c>
      <c r="Q11" s="33"/>
    </row>
    <row r="12" spans="1:17" ht="37.5" x14ac:dyDescent="0.25">
      <c r="A12" s="11">
        <v>8</v>
      </c>
      <c r="B12" s="12" t="s">
        <v>44</v>
      </c>
      <c r="C12" s="12" t="s">
        <v>106</v>
      </c>
      <c r="D12" s="12" t="s">
        <v>67</v>
      </c>
      <c r="E12" s="12" t="s">
        <v>75</v>
      </c>
      <c r="F12" s="12" t="s">
        <v>68</v>
      </c>
      <c r="G12" s="12" t="s">
        <v>114</v>
      </c>
      <c r="H12" s="12" t="s">
        <v>218</v>
      </c>
      <c r="I12" s="12" t="s">
        <v>87</v>
      </c>
      <c r="J12" s="14" t="s">
        <v>69</v>
      </c>
      <c r="K12" s="12" t="s">
        <v>70</v>
      </c>
      <c r="L12" s="16">
        <v>100000</v>
      </c>
      <c r="M12" s="13" t="s">
        <v>31</v>
      </c>
      <c r="N12" s="13" t="s">
        <v>32</v>
      </c>
      <c r="O12" s="24" t="s">
        <v>26</v>
      </c>
      <c r="P12" s="29" t="s">
        <v>237</v>
      </c>
      <c r="Q12" s="33"/>
    </row>
    <row r="13" spans="1:17" ht="37.5" x14ac:dyDescent="0.25">
      <c r="A13" s="11">
        <v>9</v>
      </c>
      <c r="B13" s="12" t="s">
        <v>44</v>
      </c>
      <c r="C13" s="12" t="s">
        <v>106</v>
      </c>
      <c r="D13" s="12" t="s">
        <v>71</v>
      </c>
      <c r="E13" s="12" t="s">
        <v>74</v>
      </c>
      <c r="F13" s="12" t="s">
        <v>72</v>
      </c>
      <c r="G13" s="12" t="s">
        <v>114</v>
      </c>
      <c r="H13" s="12" t="s">
        <v>218</v>
      </c>
      <c r="I13" s="12" t="s">
        <v>87</v>
      </c>
      <c r="J13" s="14" t="s">
        <v>69</v>
      </c>
      <c r="K13" s="12" t="s">
        <v>70</v>
      </c>
      <c r="L13" s="16">
        <v>100000</v>
      </c>
      <c r="M13" s="13" t="s">
        <v>31</v>
      </c>
      <c r="N13" s="13" t="s">
        <v>32</v>
      </c>
      <c r="O13" s="24" t="s">
        <v>26</v>
      </c>
      <c r="P13" s="29" t="s">
        <v>238</v>
      </c>
      <c r="Q13" s="33"/>
    </row>
    <row r="14" spans="1:17" ht="37.5" x14ac:dyDescent="0.25">
      <c r="A14" s="11">
        <v>10</v>
      </c>
      <c r="B14" s="12" t="s">
        <v>44</v>
      </c>
      <c r="C14" s="12" t="s">
        <v>106</v>
      </c>
      <c r="D14" s="12" t="s">
        <v>73</v>
      </c>
      <c r="E14" s="12" t="s">
        <v>78</v>
      </c>
      <c r="F14" s="12" t="s">
        <v>79</v>
      </c>
      <c r="G14" s="12" t="s">
        <v>113</v>
      </c>
      <c r="H14" s="12" t="s">
        <v>218</v>
      </c>
      <c r="I14" s="12" t="s">
        <v>87</v>
      </c>
      <c r="J14" s="14" t="s">
        <v>69</v>
      </c>
      <c r="K14" s="12" t="s">
        <v>70</v>
      </c>
      <c r="L14" s="16">
        <v>100000</v>
      </c>
      <c r="M14" s="13" t="s">
        <v>31</v>
      </c>
      <c r="N14" s="13" t="s">
        <v>32</v>
      </c>
      <c r="O14" s="24" t="s">
        <v>26</v>
      </c>
      <c r="P14" s="29" t="s">
        <v>239</v>
      </c>
      <c r="Q14" s="33"/>
    </row>
    <row r="15" spans="1:17" ht="37.5" x14ac:dyDescent="0.25">
      <c r="A15" s="11">
        <v>11</v>
      </c>
      <c r="B15" s="12" t="s">
        <v>44</v>
      </c>
      <c r="C15" s="12" t="s">
        <v>106</v>
      </c>
      <c r="D15" s="12" t="s">
        <v>80</v>
      </c>
      <c r="E15" s="12" t="s">
        <v>78</v>
      </c>
      <c r="F15" s="12" t="s">
        <v>81</v>
      </c>
      <c r="G15" s="12" t="s">
        <v>113</v>
      </c>
      <c r="H15" s="12" t="s">
        <v>218</v>
      </c>
      <c r="I15" s="12" t="s">
        <v>87</v>
      </c>
      <c r="J15" s="14" t="s">
        <v>82</v>
      </c>
      <c r="K15" s="12" t="s">
        <v>83</v>
      </c>
      <c r="L15" s="16">
        <v>100000</v>
      </c>
      <c r="M15" s="13" t="s">
        <v>31</v>
      </c>
      <c r="N15" s="13" t="s">
        <v>32</v>
      </c>
      <c r="O15" s="24" t="s">
        <v>26</v>
      </c>
      <c r="P15" s="29" t="s">
        <v>239</v>
      </c>
      <c r="Q15" s="33"/>
    </row>
    <row r="16" spans="1:17" ht="37.5" x14ac:dyDescent="0.25">
      <c r="A16" s="11">
        <v>12</v>
      </c>
      <c r="B16" s="12" t="s">
        <v>44</v>
      </c>
      <c r="C16" s="12" t="s">
        <v>106</v>
      </c>
      <c r="D16" s="12" t="s">
        <v>84</v>
      </c>
      <c r="E16" s="12" t="s">
        <v>85</v>
      </c>
      <c r="F16" s="12" t="s">
        <v>85</v>
      </c>
      <c r="G16" s="12" t="s">
        <v>113</v>
      </c>
      <c r="H16" s="12" t="s">
        <v>218</v>
      </c>
      <c r="I16" s="12" t="s">
        <v>86</v>
      </c>
      <c r="J16" s="14" t="s">
        <v>65</v>
      </c>
      <c r="K16" s="12" t="s">
        <v>66</v>
      </c>
      <c r="L16" s="16">
        <v>90000</v>
      </c>
      <c r="M16" s="13" t="s">
        <v>31</v>
      </c>
      <c r="N16" s="13" t="s">
        <v>32</v>
      </c>
      <c r="O16" s="24" t="s">
        <v>26</v>
      </c>
      <c r="P16" s="29" t="s">
        <v>240</v>
      </c>
      <c r="Q16" s="33"/>
    </row>
    <row r="17" spans="1:17" ht="50.5" x14ac:dyDescent="0.25">
      <c r="A17" s="11">
        <v>13</v>
      </c>
      <c r="B17" s="12" t="s">
        <v>44</v>
      </c>
      <c r="C17" s="12" t="s">
        <v>106</v>
      </c>
      <c r="D17" s="12" t="s">
        <v>88</v>
      </c>
      <c r="E17" s="12" t="s">
        <v>89</v>
      </c>
      <c r="F17" s="12"/>
      <c r="G17" s="12" t="s">
        <v>90</v>
      </c>
      <c r="H17" s="12" t="s">
        <v>221</v>
      </c>
      <c r="I17" s="12" t="s">
        <v>91</v>
      </c>
      <c r="J17" s="12" t="s">
        <v>69</v>
      </c>
      <c r="K17" s="12" t="s">
        <v>70</v>
      </c>
      <c r="L17" s="16">
        <v>68000</v>
      </c>
      <c r="M17" s="13" t="s">
        <v>31</v>
      </c>
      <c r="N17" s="13" t="s">
        <v>32</v>
      </c>
      <c r="O17" s="24" t="s">
        <v>26</v>
      </c>
      <c r="P17" s="29" t="s">
        <v>241</v>
      </c>
      <c r="Q17" s="33"/>
    </row>
    <row r="18" spans="1:17" ht="37.5" x14ac:dyDescent="0.25">
      <c r="A18" s="11">
        <v>14</v>
      </c>
      <c r="B18" s="12" t="s">
        <v>44</v>
      </c>
      <c r="C18" s="12" t="s">
        <v>106</v>
      </c>
      <c r="D18" s="12" t="s">
        <v>96</v>
      </c>
      <c r="E18" s="12" t="s">
        <v>85</v>
      </c>
      <c r="F18" s="12"/>
      <c r="G18" s="12" t="s">
        <v>92</v>
      </c>
      <c r="H18" s="12" t="s">
        <v>172</v>
      </c>
      <c r="I18" s="12" t="s">
        <v>93</v>
      </c>
      <c r="J18" s="12" t="s">
        <v>94</v>
      </c>
      <c r="K18" s="12" t="s">
        <v>95</v>
      </c>
      <c r="L18" s="16">
        <v>55000</v>
      </c>
      <c r="M18" s="13" t="s">
        <v>31</v>
      </c>
      <c r="N18" s="13" t="s">
        <v>32</v>
      </c>
      <c r="O18" s="24" t="s">
        <v>99</v>
      </c>
      <c r="P18" s="29" t="s">
        <v>242</v>
      </c>
      <c r="Q18" s="33"/>
    </row>
    <row r="19" spans="1:17" ht="37.5" x14ac:dyDescent="0.25">
      <c r="A19" s="11">
        <v>15</v>
      </c>
      <c r="B19" s="12" t="s">
        <v>44</v>
      </c>
      <c r="C19" s="12" t="s">
        <v>106</v>
      </c>
      <c r="D19" s="12" t="s">
        <v>97</v>
      </c>
      <c r="E19" s="12" t="s">
        <v>85</v>
      </c>
      <c r="F19" s="12"/>
      <c r="G19" s="12" t="s">
        <v>92</v>
      </c>
      <c r="H19" s="12" t="s">
        <v>172</v>
      </c>
      <c r="I19" s="12" t="s">
        <v>93</v>
      </c>
      <c r="J19" s="14" t="s">
        <v>83</v>
      </c>
      <c r="K19" s="12" t="s">
        <v>98</v>
      </c>
      <c r="L19" s="16">
        <v>55000</v>
      </c>
      <c r="M19" s="13" t="s">
        <v>31</v>
      </c>
      <c r="N19" s="13" t="s">
        <v>32</v>
      </c>
      <c r="O19" s="24" t="s">
        <v>99</v>
      </c>
      <c r="P19" s="29" t="s">
        <v>242</v>
      </c>
      <c r="Q19" s="33"/>
    </row>
    <row r="20" spans="1:17" ht="62.5" x14ac:dyDescent="0.25">
      <c r="A20" s="11">
        <v>16</v>
      </c>
      <c r="B20" s="12" t="s">
        <v>107</v>
      </c>
      <c r="C20" s="12" t="s">
        <v>106</v>
      </c>
      <c r="D20" s="12" t="s">
        <v>110</v>
      </c>
      <c r="E20" s="12" t="s">
        <v>78</v>
      </c>
      <c r="F20" s="12" t="s">
        <v>111</v>
      </c>
      <c r="G20" s="12" t="s">
        <v>112</v>
      </c>
      <c r="H20" s="12" t="s">
        <v>176</v>
      </c>
      <c r="I20" s="12" t="s">
        <v>117</v>
      </c>
      <c r="J20" s="12" t="s">
        <v>118</v>
      </c>
      <c r="K20" s="12" t="s">
        <v>119</v>
      </c>
      <c r="L20" s="16">
        <v>87000</v>
      </c>
      <c r="M20" s="13" t="s">
        <v>33</v>
      </c>
      <c r="N20" s="13" t="s">
        <v>52</v>
      </c>
      <c r="O20" s="24" t="s">
        <v>128</v>
      </c>
      <c r="P20" s="29" t="s">
        <v>243</v>
      </c>
      <c r="Q20" s="33"/>
    </row>
    <row r="21" spans="1:17" ht="62.5" x14ac:dyDescent="0.25">
      <c r="A21" s="11">
        <v>17</v>
      </c>
      <c r="B21" s="12" t="s">
        <v>121</v>
      </c>
      <c r="C21" s="12" t="s">
        <v>106</v>
      </c>
      <c r="D21" s="12" t="s">
        <v>122</v>
      </c>
      <c r="E21" s="12" t="s">
        <v>123</v>
      </c>
      <c r="F21" s="12" t="s">
        <v>124</v>
      </c>
      <c r="G21" s="12" t="s">
        <v>112</v>
      </c>
      <c r="H21" s="12" t="s">
        <v>177</v>
      </c>
      <c r="I21" s="12" t="s">
        <v>125</v>
      </c>
      <c r="J21" s="12" t="s">
        <v>126</v>
      </c>
      <c r="K21" s="12" t="s">
        <v>42</v>
      </c>
      <c r="L21" s="16">
        <v>64000</v>
      </c>
      <c r="M21" s="13" t="s">
        <v>33</v>
      </c>
      <c r="N21" s="13" t="s">
        <v>52</v>
      </c>
      <c r="O21" s="24" t="s">
        <v>127</v>
      </c>
      <c r="P21" s="29" t="s">
        <v>243</v>
      </c>
      <c r="Q21" s="33"/>
    </row>
    <row r="22" spans="1:17" ht="62.5" x14ac:dyDescent="0.25">
      <c r="A22" s="11">
        <v>18</v>
      </c>
      <c r="B22" s="12" t="s">
        <v>129</v>
      </c>
      <c r="C22" s="12" t="s">
        <v>130</v>
      </c>
      <c r="D22" s="12" t="s">
        <v>110</v>
      </c>
      <c r="E22" s="12" t="s">
        <v>74</v>
      </c>
      <c r="F22" s="12" t="s">
        <v>131</v>
      </c>
      <c r="G22" s="12" t="s">
        <v>132</v>
      </c>
      <c r="H22" s="12" t="s">
        <v>178</v>
      </c>
      <c r="I22" s="12" t="s">
        <v>133</v>
      </c>
      <c r="J22" s="12"/>
      <c r="K22" s="12" t="s">
        <v>118</v>
      </c>
      <c r="L22" s="16"/>
      <c r="M22" s="13" t="s">
        <v>134</v>
      </c>
      <c r="N22" s="13" t="s">
        <v>135</v>
      </c>
      <c r="O22" s="24" t="s">
        <v>136</v>
      </c>
      <c r="P22" s="29" t="s">
        <v>244</v>
      </c>
      <c r="Q22" s="33"/>
    </row>
    <row r="23" spans="1:17" ht="50" x14ac:dyDescent="0.25">
      <c r="A23" s="11">
        <v>19</v>
      </c>
      <c r="B23" s="12" t="s">
        <v>137</v>
      </c>
      <c r="C23" s="12" t="s">
        <v>106</v>
      </c>
      <c r="D23" s="12" t="s">
        <v>110</v>
      </c>
      <c r="E23" s="12" t="s">
        <v>74</v>
      </c>
      <c r="F23" s="12" t="s">
        <v>72</v>
      </c>
      <c r="G23" s="12" t="s">
        <v>138</v>
      </c>
      <c r="H23" s="12" t="s">
        <v>179</v>
      </c>
      <c r="I23" s="12" t="s">
        <v>139</v>
      </c>
      <c r="J23" s="12"/>
      <c r="K23" s="12" t="s">
        <v>140</v>
      </c>
      <c r="L23" s="16"/>
      <c r="M23" s="13" t="s">
        <v>141</v>
      </c>
      <c r="N23" s="13" t="s">
        <v>135</v>
      </c>
      <c r="O23" s="24" t="s">
        <v>142</v>
      </c>
      <c r="P23" s="29" t="s">
        <v>245</v>
      </c>
      <c r="Q23" s="33"/>
    </row>
    <row r="24" spans="1:17" ht="100" x14ac:dyDescent="0.25">
      <c r="A24" s="11">
        <v>20</v>
      </c>
      <c r="B24" s="12" t="s">
        <v>143</v>
      </c>
      <c r="C24" s="12" t="s">
        <v>106</v>
      </c>
      <c r="D24" s="12" t="s">
        <v>110</v>
      </c>
      <c r="E24" s="12" t="s">
        <v>144</v>
      </c>
      <c r="F24" s="12" t="s">
        <v>145</v>
      </c>
      <c r="G24" s="12" t="s">
        <v>146</v>
      </c>
      <c r="H24" s="12" t="s">
        <v>180</v>
      </c>
      <c r="I24" s="12" t="s">
        <v>147</v>
      </c>
      <c r="J24" s="14" t="s">
        <v>148</v>
      </c>
      <c r="K24" s="12"/>
      <c r="L24" s="16"/>
      <c r="M24" s="13" t="s">
        <v>31</v>
      </c>
      <c r="N24" s="13" t="s">
        <v>52</v>
      </c>
      <c r="O24" s="24" t="s">
        <v>120</v>
      </c>
      <c r="P24" s="29" t="s">
        <v>243</v>
      </c>
      <c r="Q24" s="33"/>
    </row>
    <row r="25" spans="1:17" ht="37.5" x14ac:dyDescent="0.25">
      <c r="A25" s="11">
        <v>21</v>
      </c>
      <c r="B25" s="12" t="s">
        <v>149</v>
      </c>
      <c r="C25" s="12" t="s">
        <v>106</v>
      </c>
      <c r="D25" s="12" t="s">
        <v>110</v>
      </c>
      <c r="E25" s="12" t="s">
        <v>144</v>
      </c>
      <c r="F25" s="12" t="s">
        <v>150</v>
      </c>
      <c r="G25" s="12" t="s">
        <v>151</v>
      </c>
      <c r="H25" s="12" t="s">
        <v>218</v>
      </c>
      <c r="I25" s="12" t="s">
        <v>152</v>
      </c>
      <c r="J25" s="12"/>
      <c r="K25" s="12"/>
      <c r="L25" s="16"/>
      <c r="M25" s="13" t="s">
        <v>31</v>
      </c>
      <c r="N25" s="13" t="s">
        <v>32</v>
      </c>
      <c r="O25" s="24" t="s">
        <v>120</v>
      </c>
      <c r="P25" s="29" t="s">
        <v>246</v>
      </c>
      <c r="Q25" s="33"/>
    </row>
    <row r="26" spans="1:17" ht="50" x14ac:dyDescent="0.25">
      <c r="A26" s="11">
        <v>22</v>
      </c>
      <c r="B26" s="12" t="s">
        <v>153</v>
      </c>
      <c r="C26" s="12" t="s">
        <v>154</v>
      </c>
      <c r="D26" s="12" t="s">
        <v>155</v>
      </c>
      <c r="E26" s="12" t="s">
        <v>61</v>
      </c>
      <c r="F26" s="12" t="s">
        <v>156</v>
      </c>
      <c r="G26" s="12" t="s">
        <v>109</v>
      </c>
      <c r="H26" s="12" t="s">
        <v>181</v>
      </c>
      <c r="I26" s="12" t="s">
        <v>147</v>
      </c>
      <c r="J26" s="12" t="s">
        <v>126</v>
      </c>
      <c r="K26" s="12" t="s">
        <v>157</v>
      </c>
      <c r="L26" s="16"/>
      <c r="M26" s="13" t="s">
        <v>158</v>
      </c>
      <c r="N26" s="13" t="s">
        <v>52</v>
      </c>
      <c r="O26" s="24" t="s">
        <v>159</v>
      </c>
      <c r="P26" s="29"/>
      <c r="Q26" s="33"/>
    </row>
    <row r="27" spans="1:17" ht="62.5" x14ac:dyDescent="0.25">
      <c r="A27" s="11">
        <v>23</v>
      </c>
      <c r="B27" s="12" t="s">
        <v>160</v>
      </c>
      <c r="C27" s="12" t="s">
        <v>106</v>
      </c>
      <c r="D27" s="12" t="s">
        <v>161</v>
      </c>
      <c r="E27" s="12" t="s">
        <v>74</v>
      </c>
      <c r="F27" s="12" t="s">
        <v>162</v>
      </c>
      <c r="G27" s="12" t="s">
        <v>109</v>
      </c>
      <c r="H27" s="12" t="s">
        <v>182</v>
      </c>
      <c r="I27" s="12" t="s">
        <v>147</v>
      </c>
      <c r="J27" s="12" t="s">
        <v>163</v>
      </c>
      <c r="K27" s="12" t="s">
        <v>164</v>
      </c>
      <c r="L27" s="16">
        <v>65000</v>
      </c>
      <c r="M27" s="13" t="s">
        <v>33</v>
      </c>
      <c r="N27" s="13" t="s">
        <v>165</v>
      </c>
      <c r="O27" s="24" t="s">
        <v>166</v>
      </c>
      <c r="P27" s="29" t="s">
        <v>247</v>
      </c>
      <c r="Q27" s="33"/>
    </row>
    <row r="28" spans="1:17" ht="62.5" x14ac:dyDescent="0.25">
      <c r="A28" s="11">
        <v>24</v>
      </c>
      <c r="B28" s="12" t="s">
        <v>167</v>
      </c>
      <c r="C28" s="12" t="s">
        <v>106</v>
      </c>
      <c r="D28" s="12" t="s">
        <v>168</v>
      </c>
      <c r="E28" s="12" t="s">
        <v>74</v>
      </c>
      <c r="F28" s="12" t="s">
        <v>169</v>
      </c>
      <c r="G28" s="12" t="s">
        <v>109</v>
      </c>
      <c r="H28" s="12" t="s">
        <v>181</v>
      </c>
      <c r="I28" s="12" t="s">
        <v>18</v>
      </c>
      <c r="J28" s="12"/>
      <c r="K28" s="12"/>
      <c r="L28" s="16"/>
      <c r="M28" s="13" t="s">
        <v>33</v>
      </c>
      <c r="N28" s="13" t="s">
        <v>32</v>
      </c>
      <c r="O28" s="24" t="s">
        <v>170</v>
      </c>
      <c r="P28" s="29" t="s">
        <v>248</v>
      </c>
      <c r="Q28" s="33"/>
    </row>
    <row r="29" spans="1:17" ht="37.5" x14ac:dyDescent="0.25">
      <c r="A29" s="11">
        <f>+A28+1</f>
        <v>25</v>
      </c>
      <c r="B29" s="12" t="s">
        <v>183</v>
      </c>
      <c r="C29" s="12" t="s">
        <v>184</v>
      </c>
      <c r="D29" s="12" t="s">
        <v>185</v>
      </c>
      <c r="E29" s="12" t="s">
        <v>39</v>
      </c>
      <c r="F29" s="12" t="s">
        <v>186</v>
      </c>
      <c r="G29" s="12" t="s">
        <v>187</v>
      </c>
      <c r="H29" s="12" t="s">
        <v>188</v>
      </c>
      <c r="I29" s="12" t="s">
        <v>41</v>
      </c>
      <c r="J29" s="12" t="s">
        <v>189</v>
      </c>
      <c r="K29" s="12" t="s">
        <v>190</v>
      </c>
      <c r="L29" s="16">
        <v>150000</v>
      </c>
      <c r="M29" s="13" t="s">
        <v>191</v>
      </c>
      <c r="N29" s="13" t="s">
        <v>52</v>
      </c>
      <c r="O29" s="24" t="s">
        <v>192</v>
      </c>
      <c r="P29" s="29" t="s">
        <v>249</v>
      </c>
      <c r="Q29" s="33"/>
    </row>
    <row r="30" spans="1:17" ht="50.5" x14ac:dyDescent="0.25">
      <c r="A30" s="11">
        <f t="shared" ref="A30:A54" si="0">+A29+1</f>
        <v>26</v>
      </c>
      <c r="B30" s="12" t="s">
        <v>199</v>
      </c>
      <c r="C30" s="12" t="s">
        <v>106</v>
      </c>
      <c r="D30" s="12" t="s">
        <v>194</v>
      </c>
      <c r="E30" s="12" t="s">
        <v>61</v>
      </c>
      <c r="F30" s="12" t="s">
        <v>195</v>
      </c>
      <c r="G30" s="12" t="s">
        <v>196</v>
      </c>
      <c r="H30" s="12" t="s">
        <v>218</v>
      </c>
      <c r="I30" s="12" t="s">
        <v>197</v>
      </c>
      <c r="J30" s="12"/>
      <c r="K30" s="12"/>
      <c r="L30" s="16"/>
      <c r="M30" s="13" t="s">
        <v>141</v>
      </c>
      <c r="N30" s="13" t="s">
        <v>52</v>
      </c>
      <c r="O30" s="24" t="s">
        <v>198</v>
      </c>
      <c r="P30" s="29" t="s">
        <v>250</v>
      </c>
      <c r="Q30" s="33"/>
    </row>
    <row r="31" spans="1:17" ht="40.5" x14ac:dyDescent="0.25">
      <c r="A31" s="11">
        <f t="shared" si="0"/>
        <v>27</v>
      </c>
      <c r="B31" s="12" t="s">
        <v>199</v>
      </c>
      <c r="C31" s="12" t="s">
        <v>106</v>
      </c>
      <c r="D31" s="12" t="s">
        <v>200</v>
      </c>
      <c r="E31" s="12" t="s">
        <v>61</v>
      </c>
      <c r="F31" s="12" t="s">
        <v>195</v>
      </c>
      <c r="G31" s="12" t="s">
        <v>201</v>
      </c>
      <c r="H31" s="12" t="s">
        <v>218</v>
      </c>
      <c r="I31" s="12" t="s">
        <v>202</v>
      </c>
      <c r="J31" s="12"/>
      <c r="K31" s="12"/>
      <c r="L31" s="16"/>
      <c r="M31" s="13" t="s">
        <v>141</v>
      </c>
      <c r="N31" s="13" t="s">
        <v>52</v>
      </c>
      <c r="O31" s="24" t="s">
        <v>203</v>
      </c>
      <c r="P31" s="29" t="s">
        <v>251</v>
      </c>
      <c r="Q31" s="33"/>
    </row>
    <row r="32" spans="1:17" ht="62.5" x14ac:dyDescent="0.25">
      <c r="A32" s="11">
        <f t="shared" si="0"/>
        <v>28</v>
      </c>
      <c r="B32" s="12" t="s">
        <v>204</v>
      </c>
      <c r="C32" s="12" t="s">
        <v>193</v>
      </c>
      <c r="D32" s="12" t="s">
        <v>205</v>
      </c>
      <c r="E32" s="12" t="s">
        <v>206</v>
      </c>
      <c r="F32" s="12" t="s">
        <v>62</v>
      </c>
      <c r="G32" s="12" t="s">
        <v>208</v>
      </c>
      <c r="H32" s="12" t="s">
        <v>207</v>
      </c>
      <c r="I32" s="12" t="s">
        <v>209</v>
      </c>
      <c r="J32" s="12"/>
      <c r="K32" s="12"/>
      <c r="L32" s="16"/>
      <c r="M32" s="13"/>
      <c r="N32" s="13" t="s">
        <v>135</v>
      </c>
      <c r="O32" s="24" t="s">
        <v>210</v>
      </c>
      <c r="P32" s="29" t="s">
        <v>252</v>
      </c>
      <c r="Q32" s="33"/>
    </row>
    <row r="33" spans="1:17" ht="50" x14ac:dyDescent="0.25">
      <c r="A33" s="11">
        <f t="shared" si="0"/>
        <v>29</v>
      </c>
      <c r="B33" s="12" t="s">
        <v>211</v>
      </c>
      <c r="C33" s="12" t="s">
        <v>193</v>
      </c>
      <c r="D33" s="12" t="s">
        <v>212</v>
      </c>
      <c r="E33" s="12" t="s">
        <v>213</v>
      </c>
      <c r="F33" s="12" t="s">
        <v>213</v>
      </c>
      <c r="G33" s="12" t="s">
        <v>108</v>
      </c>
      <c r="H33" s="12" t="s">
        <v>214</v>
      </c>
      <c r="I33" s="12" t="s">
        <v>215</v>
      </c>
      <c r="J33" s="12"/>
      <c r="K33" s="12">
        <v>1998</v>
      </c>
      <c r="L33" s="16"/>
      <c r="M33" s="13" t="s">
        <v>216</v>
      </c>
      <c r="N33" s="13" t="s">
        <v>165</v>
      </c>
      <c r="O33" s="24" t="s">
        <v>217</v>
      </c>
      <c r="P33" s="29" t="s">
        <v>253</v>
      </c>
      <c r="Q33" s="33"/>
    </row>
    <row r="34" spans="1:17" ht="25" x14ac:dyDescent="0.25">
      <c r="A34" s="11">
        <f t="shared" si="0"/>
        <v>30</v>
      </c>
      <c r="B34" s="12" t="s">
        <v>234</v>
      </c>
      <c r="C34" s="12" t="s">
        <v>222</v>
      </c>
      <c r="D34" s="12" t="s">
        <v>235</v>
      </c>
      <c r="E34" s="12" t="s">
        <v>206</v>
      </c>
      <c r="F34" s="12" t="s">
        <v>61</v>
      </c>
      <c r="G34" s="12"/>
      <c r="H34" s="12" t="s">
        <v>223</v>
      </c>
      <c r="I34" s="12" t="s">
        <v>224</v>
      </c>
      <c r="J34" s="12"/>
      <c r="K34" s="12"/>
      <c r="L34" s="16"/>
      <c r="M34" s="13" t="s">
        <v>225</v>
      </c>
      <c r="N34" s="13" t="s">
        <v>165</v>
      </c>
      <c r="O34" s="24" t="s">
        <v>64</v>
      </c>
      <c r="P34" s="29" t="s">
        <v>254</v>
      </c>
      <c r="Q34" s="33"/>
    </row>
    <row r="35" spans="1:17" x14ac:dyDescent="0.25">
      <c r="A35" s="11">
        <f t="shared" si="0"/>
        <v>31</v>
      </c>
      <c r="B35" s="12"/>
      <c r="C35" s="12"/>
      <c r="D35" s="12"/>
      <c r="E35" s="12"/>
      <c r="F35" s="12"/>
      <c r="G35" s="12"/>
      <c r="H35" s="12"/>
      <c r="I35" s="12"/>
      <c r="J35" s="12"/>
      <c r="K35" s="12"/>
      <c r="L35" s="16"/>
      <c r="M35" s="13"/>
      <c r="N35" s="13"/>
      <c r="O35" s="24"/>
      <c r="P35" s="29"/>
      <c r="Q35" s="33"/>
    </row>
    <row r="36" spans="1:17" x14ac:dyDescent="0.25">
      <c r="A36" s="11">
        <f>+A35+1</f>
        <v>32</v>
      </c>
      <c r="B36" s="12"/>
      <c r="C36" s="12"/>
      <c r="D36" s="12"/>
      <c r="E36" s="12"/>
      <c r="F36" s="12"/>
      <c r="G36" s="12"/>
      <c r="H36" s="12"/>
      <c r="I36" s="12"/>
      <c r="J36" s="12"/>
      <c r="K36" s="12"/>
      <c r="L36" s="16"/>
      <c r="M36" s="13"/>
      <c r="N36" s="13"/>
      <c r="O36" s="24"/>
      <c r="P36" s="29"/>
      <c r="Q36" s="33"/>
    </row>
    <row r="37" spans="1:17" x14ac:dyDescent="0.25">
      <c r="A37" s="11">
        <f t="shared" si="0"/>
        <v>33</v>
      </c>
      <c r="B37" s="12"/>
      <c r="C37" s="12"/>
      <c r="D37" s="12"/>
      <c r="E37" s="12"/>
      <c r="F37" s="12"/>
      <c r="G37" s="12"/>
      <c r="H37" s="12"/>
      <c r="I37" s="12"/>
      <c r="J37" s="12"/>
      <c r="K37" s="12"/>
      <c r="L37" s="16"/>
      <c r="M37" s="13"/>
      <c r="N37" s="13"/>
      <c r="O37" s="24"/>
      <c r="P37" s="29"/>
      <c r="Q37" s="33"/>
    </row>
    <row r="38" spans="1:17" x14ac:dyDescent="0.25">
      <c r="A38" s="11">
        <f t="shared" si="0"/>
        <v>34</v>
      </c>
      <c r="B38" s="12"/>
      <c r="C38" s="12"/>
      <c r="D38" s="12"/>
      <c r="E38" s="12"/>
      <c r="F38" s="12"/>
      <c r="G38" s="12"/>
      <c r="H38" s="12"/>
      <c r="I38" s="12"/>
      <c r="J38" s="12"/>
      <c r="K38" s="12"/>
      <c r="L38" s="16"/>
      <c r="M38" s="13"/>
      <c r="N38" s="13"/>
      <c r="O38" s="24"/>
      <c r="P38" s="29"/>
      <c r="Q38" s="33"/>
    </row>
    <row r="39" spans="1:17" x14ac:dyDescent="0.25">
      <c r="A39" s="11">
        <f t="shared" si="0"/>
        <v>35</v>
      </c>
      <c r="B39" s="12"/>
      <c r="C39" s="12"/>
      <c r="D39" s="12"/>
      <c r="E39" s="12"/>
      <c r="F39" s="12"/>
      <c r="G39" s="12"/>
      <c r="H39" s="12"/>
      <c r="I39" s="12"/>
      <c r="J39" s="12"/>
      <c r="K39" s="12"/>
      <c r="L39" s="16"/>
      <c r="M39" s="13"/>
      <c r="N39" s="13"/>
      <c r="O39" s="24"/>
      <c r="P39" s="29"/>
      <c r="Q39" s="33"/>
    </row>
    <row r="40" spans="1:17" x14ac:dyDescent="0.25">
      <c r="A40" s="11">
        <f t="shared" si="0"/>
        <v>36</v>
      </c>
      <c r="B40" s="12"/>
      <c r="C40" s="12"/>
      <c r="D40" s="12"/>
      <c r="E40" s="12"/>
      <c r="F40" s="12"/>
      <c r="G40" s="12"/>
      <c r="H40" s="12"/>
      <c r="I40" s="12"/>
      <c r="J40" s="12"/>
      <c r="K40" s="12"/>
      <c r="L40" s="16"/>
      <c r="M40" s="13"/>
      <c r="N40" s="13"/>
      <c r="O40" s="24"/>
      <c r="P40" s="29"/>
      <c r="Q40" s="33"/>
    </row>
    <row r="41" spans="1:17" x14ac:dyDescent="0.25">
      <c r="A41" s="11">
        <f t="shared" si="0"/>
        <v>37</v>
      </c>
      <c r="B41" s="12"/>
      <c r="C41" s="12"/>
      <c r="D41" s="12"/>
      <c r="E41" s="12"/>
      <c r="F41" s="12"/>
      <c r="G41" s="12"/>
      <c r="H41" s="12"/>
      <c r="I41" s="12"/>
      <c r="J41" s="12"/>
      <c r="K41" s="12"/>
      <c r="L41" s="16"/>
      <c r="M41" s="13"/>
      <c r="N41" s="13"/>
      <c r="O41" s="24"/>
      <c r="P41" s="29"/>
      <c r="Q41" s="33"/>
    </row>
    <row r="42" spans="1:17" x14ac:dyDescent="0.25">
      <c r="A42" s="11">
        <f t="shared" si="0"/>
        <v>38</v>
      </c>
      <c r="B42" s="12"/>
      <c r="C42" s="12"/>
      <c r="D42" s="12"/>
      <c r="E42" s="12"/>
      <c r="F42" s="12"/>
      <c r="G42" s="12"/>
      <c r="H42" s="12"/>
      <c r="I42" s="12"/>
      <c r="J42" s="12"/>
      <c r="K42" s="12"/>
      <c r="L42" s="16"/>
      <c r="M42" s="13"/>
      <c r="N42" s="13"/>
      <c r="O42" s="24"/>
      <c r="P42" s="29"/>
      <c r="Q42" s="33"/>
    </row>
    <row r="43" spans="1:17" x14ac:dyDescent="0.25">
      <c r="A43" s="11">
        <f t="shared" si="0"/>
        <v>39</v>
      </c>
      <c r="B43" s="12"/>
      <c r="C43" s="12"/>
      <c r="D43" s="12"/>
      <c r="E43" s="12"/>
      <c r="F43" s="12"/>
      <c r="G43" s="12"/>
      <c r="H43" s="12"/>
      <c r="I43" s="12"/>
      <c r="J43" s="12"/>
      <c r="K43" s="12"/>
      <c r="L43" s="16"/>
      <c r="M43" s="13"/>
      <c r="N43" s="13"/>
      <c r="O43" s="24"/>
      <c r="P43" s="30"/>
      <c r="Q43" s="33"/>
    </row>
    <row r="44" spans="1:17" x14ac:dyDescent="0.25">
      <c r="A44" s="11">
        <f t="shared" si="0"/>
        <v>40</v>
      </c>
      <c r="B44" s="12"/>
      <c r="C44" s="12"/>
      <c r="D44" s="12"/>
      <c r="E44" s="12"/>
      <c r="F44" s="12"/>
      <c r="G44" s="12"/>
      <c r="H44" s="12"/>
      <c r="I44" s="12"/>
      <c r="J44" s="12"/>
      <c r="K44" s="12"/>
      <c r="L44" s="16"/>
      <c r="M44" s="13"/>
      <c r="N44" s="13"/>
      <c r="O44" s="24"/>
      <c r="P44" s="30"/>
      <c r="Q44" s="33"/>
    </row>
    <row r="45" spans="1:17" x14ac:dyDescent="0.25">
      <c r="A45" s="11">
        <f t="shared" si="0"/>
        <v>41</v>
      </c>
      <c r="B45" s="12"/>
      <c r="C45" s="12"/>
      <c r="D45" s="12"/>
      <c r="E45" s="12"/>
      <c r="F45" s="12"/>
      <c r="G45" s="12"/>
      <c r="H45" s="12"/>
      <c r="I45" s="12"/>
      <c r="J45" s="12"/>
      <c r="K45" s="12"/>
      <c r="L45" s="16"/>
      <c r="M45" s="13"/>
      <c r="N45" s="13"/>
      <c r="O45" s="24"/>
      <c r="P45" s="30"/>
      <c r="Q45" s="33"/>
    </row>
    <row r="46" spans="1:17" x14ac:dyDescent="0.25">
      <c r="A46" s="11">
        <f t="shared" si="0"/>
        <v>42</v>
      </c>
      <c r="B46" s="12"/>
      <c r="C46" s="12"/>
      <c r="D46" s="12"/>
      <c r="E46" s="12"/>
      <c r="F46" s="12"/>
      <c r="G46" s="12"/>
      <c r="H46" s="12"/>
      <c r="I46" s="12"/>
      <c r="J46" s="12"/>
      <c r="K46" s="12"/>
      <c r="L46" s="16"/>
      <c r="M46" s="13"/>
      <c r="N46" s="13"/>
      <c r="O46" s="24"/>
      <c r="P46" s="30"/>
      <c r="Q46" s="33"/>
    </row>
    <row r="47" spans="1:17" x14ac:dyDescent="0.25">
      <c r="A47" s="11">
        <f t="shared" si="0"/>
        <v>43</v>
      </c>
      <c r="B47" s="12"/>
      <c r="C47" s="12"/>
      <c r="D47" s="12"/>
      <c r="E47" s="12"/>
      <c r="F47" s="12"/>
      <c r="G47" s="12"/>
      <c r="H47" s="12"/>
      <c r="I47" s="12"/>
      <c r="J47" s="12"/>
      <c r="K47" s="12"/>
      <c r="L47" s="16"/>
      <c r="M47" s="13"/>
      <c r="N47" s="13"/>
      <c r="O47" s="24"/>
      <c r="P47" s="30"/>
      <c r="Q47" s="33"/>
    </row>
    <row r="48" spans="1:17" x14ac:dyDescent="0.25">
      <c r="A48" s="11">
        <f t="shared" si="0"/>
        <v>44</v>
      </c>
      <c r="B48" s="12"/>
      <c r="C48" s="12"/>
      <c r="D48" s="12"/>
      <c r="E48" s="12"/>
      <c r="F48" s="12"/>
      <c r="G48" s="12"/>
      <c r="H48" s="12"/>
      <c r="I48" s="12"/>
      <c r="J48" s="12"/>
      <c r="K48" s="12"/>
      <c r="L48" s="16"/>
      <c r="M48" s="13"/>
      <c r="N48" s="13"/>
      <c r="O48" s="24"/>
      <c r="P48" s="30"/>
      <c r="Q48" s="33"/>
    </row>
    <row r="49" spans="1:17" x14ac:dyDescent="0.25">
      <c r="A49" s="11">
        <f t="shared" si="0"/>
        <v>45</v>
      </c>
      <c r="B49" s="12"/>
      <c r="C49" s="12"/>
      <c r="D49" s="12"/>
      <c r="E49" s="12"/>
      <c r="F49" s="12"/>
      <c r="G49" s="12"/>
      <c r="H49" s="12"/>
      <c r="I49" s="12"/>
      <c r="J49" s="12"/>
      <c r="K49" s="12"/>
      <c r="L49" s="16"/>
      <c r="M49" s="13"/>
      <c r="N49" s="13"/>
      <c r="O49" s="24"/>
      <c r="P49" s="30"/>
      <c r="Q49" s="33"/>
    </row>
    <row r="50" spans="1:17" x14ac:dyDescent="0.25">
      <c r="A50" s="11">
        <f t="shared" si="0"/>
        <v>46</v>
      </c>
      <c r="B50" s="12"/>
      <c r="C50" s="12"/>
      <c r="D50" s="12"/>
      <c r="E50" s="12"/>
      <c r="F50" s="12"/>
      <c r="G50" s="12"/>
      <c r="H50" s="12"/>
      <c r="I50" s="12"/>
      <c r="J50" s="12"/>
      <c r="K50" s="12"/>
      <c r="L50" s="16"/>
      <c r="M50" s="13"/>
      <c r="N50" s="13"/>
      <c r="O50" s="24"/>
      <c r="P50" s="30"/>
      <c r="Q50" s="33"/>
    </row>
    <row r="51" spans="1:17" x14ac:dyDescent="0.25">
      <c r="A51" s="11">
        <f t="shared" si="0"/>
        <v>47</v>
      </c>
      <c r="B51" s="12"/>
      <c r="C51" s="12"/>
      <c r="D51" s="12"/>
      <c r="E51" s="12"/>
      <c r="F51" s="12"/>
      <c r="G51" s="12"/>
      <c r="H51" s="12"/>
      <c r="I51" s="12"/>
      <c r="J51" s="12"/>
      <c r="K51" s="12"/>
      <c r="L51" s="16"/>
      <c r="M51" s="13"/>
      <c r="N51" s="13"/>
      <c r="O51" s="24"/>
      <c r="P51" s="30"/>
      <c r="Q51" s="33"/>
    </row>
    <row r="52" spans="1:17" x14ac:dyDescent="0.25">
      <c r="A52" s="11">
        <f t="shared" si="0"/>
        <v>48</v>
      </c>
      <c r="B52" s="12"/>
      <c r="C52" s="12"/>
      <c r="D52" s="12"/>
      <c r="E52" s="12"/>
      <c r="F52" s="12"/>
      <c r="G52" s="12"/>
      <c r="H52" s="12"/>
      <c r="I52" s="12"/>
      <c r="J52" s="12"/>
      <c r="K52" s="12"/>
      <c r="L52" s="16"/>
      <c r="M52" s="13"/>
      <c r="N52" s="13"/>
      <c r="O52" s="24"/>
      <c r="P52" s="30"/>
      <c r="Q52" s="33"/>
    </row>
    <row r="53" spans="1:17" x14ac:dyDescent="0.25">
      <c r="A53" s="11">
        <f t="shared" si="0"/>
        <v>49</v>
      </c>
      <c r="B53" s="12"/>
      <c r="C53" s="12"/>
      <c r="D53" s="12"/>
      <c r="E53" s="12"/>
      <c r="F53" s="12"/>
      <c r="G53" s="12"/>
      <c r="H53" s="12"/>
      <c r="I53" s="12"/>
      <c r="J53" s="12"/>
      <c r="K53" s="12"/>
      <c r="L53" s="16"/>
      <c r="M53" s="13"/>
      <c r="N53" s="13"/>
      <c r="O53" s="24"/>
      <c r="P53" s="30"/>
      <c r="Q53" s="33"/>
    </row>
    <row r="54" spans="1:17" x14ac:dyDescent="0.25">
      <c r="A54" s="11">
        <f t="shared" si="0"/>
        <v>50</v>
      </c>
      <c r="B54" s="12"/>
      <c r="C54" s="12"/>
      <c r="D54" s="12"/>
      <c r="E54" s="12"/>
      <c r="F54" s="12"/>
      <c r="G54" s="12"/>
      <c r="H54" s="12"/>
      <c r="I54" s="12"/>
      <c r="J54" s="12"/>
      <c r="K54" s="12"/>
      <c r="L54" s="16"/>
      <c r="M54" s="13"/>
      <c r="N54" s="13"/>
      <c r="O54" s="24"/>
      <c r="P54" s="30"/>
      <c r="Q54" s="33"/>
    </row>
    <row r="55" spans="1:17" x14ac:dyDescent="0.25">
      <c r="A55" s="11"/>
      <c r="B55" s="12"/>
      <c r="C55" s="12"/>
      <c r="D55" s="12"/>
      <c r="E55" s="12"/>
      <c r="F55" s="12"/>
      <c r="G55" s="12"/>
      <c r="H55" s="12"/>
      <c r="I55" s="12"/>
      <c r="J55" s="12"/>
      <c r="K55" s="12"/>
      <c r="L55" s="16"/>
      <c r="M55" s="13"/>
      <c r="N55" s="13"/>
      <c r="O55" s="24"/>
      <c r="P55" s="30"/>
      <c r="Q55" s="33"/>
    </row>
    <row r="56" spans="1:17" x14ac:dyDescent="0.25">
      <c r="A56" s="11"/>
      <c r="B56" s="12"/>
      <c r="C56" s="12"/>
      <c r="D56" s="12"/>
      <c r="E56" s="12"/>
      <c r="F56" s="12"/>
      <c r="G56" s="12"/>
      <c r="H56" s="12"/>
      <c r="I56" s="12"/>
      <c r="J56" s="12"/>
      <c r="K56" s="12"/>
      <c r="L56" s="16">
        <f>SUM(L5:L24)</f>
        <v>1914000</v>
      </c>
      <c r="M56" s="13"/>
      <c r="N56" s="13"/>
      <c r="O56" s="24"/>
      <c r="P56" s="31"/>
      <c r="Q56" s="33"/>
    </row>
    <row r="57" spans="1:17" ht="13" thickBot="1" x14ac:dyDescent="0.3">
      <c r="A57" s="17"/>
      <c r="B57" s="18"/>
      <c r="C57" s="18"/>
      <c r="D57" s="18"/>
      <c r="E57" s="18"/>
      <c r="F57" s="18"/>
      <c r="G57" s="18"/>
      <c r="H57" s="18"/>
      <c r="I57" s="18"/>
      <c r="J57" s="18"/>
      <c r="K57" s="18"/>
      <c r="L57" s="19"/>
      <c r="M57" s="20"/>
      <c r="N57" s="20"/>
      <c r="O57" s="25"/>
      <c r="P57" s="32"/>
      <c r="Q57" s="2"/>
    </row>
    <row r="58" spans="1:17" ht="13.5" thickTop="1" x14ac:dyDescent="0.3">
      <c r="P58" s="1"/>
    </row>
    <row r="59" spans="1:17" ht="13" x14ac:dyDescent="0.3">
      <c r="P59" s="1"/>
    </row>
    <row r="60" spans="1:17" ht="13" x14ac:dyDescent="0.3">
      <c r="P60" s="1"/>
    </row>
    <row r="61" spans="1:17" ht="13" x14ac:dyDescent="0.3">
      <c r="P61" s="1"/>
    </row>
    <row r="62" spans="1:17" ht="13" x14ac:dyDescent="0.3">
      <c r="P62" s="1"/>
    </row>
    <row r="63" spans="1:17" ht="13" x14ac:dyDescent="0.3">
      <c r="P63" s="1"/>
    </row>
    <row r="64" spans="1:17" ht="13" x14ac:dyDescent="0.3">
      <c r="P64" s="1"/>
    </row>
    <row r="65" spans="16:16" ht="13" x14ac:dyDescent="0.3">
      <c r="P65" s="1"/>
    </row>
    <row r="66" spans="16:16" ht="13" x14ac:dyDescent="0.3">
      <c r="P66" s="1"/>
    </row>
    <row r="67" spans="16:16" ht="13" x14ac:dyDescent="0.3">
      <c r="P67" s="1"/>
    </row>
    <row r="68" spans="16:16" ht="13" x14ac:dyDescent="0.3">
      <c r="P68" s="1"/>
    </row>
    <row r="69" spans="16:16" ht="13" x14ac:dyDescent="0.3">
      <c r="P69" s="1"/>
    </row>
    <row r="70" spans="16:16" ht="13" x14ac:dyDescent="0.3">
      <c r="P70" s="1"/>
    </row>
    <row r="71" spans="16:16" ht="13" x14ac:dyDescent="0.3">
      <c r="P71" s="1"/>
    </row>
    <row r="72" spans="16:16" ht="13" x14ac:dyDescent="0.3">
      <c r="P72" s="1"/>
    </row>
    <row r="73" spans="16:16" ht="13" x14ac:dyDescent="0.3">
      <c r="P73" s="1"/>
    </row>
    <row r="74" spans="16:16" ht="13" x14ac:dyDescent="0.3">
      <c r="P74" s="1"/>
    </row>
    <row r="75" spans="16:16" ht="13" x14ac:dyDescent="0.3">
      <c r="P75" s="1"/>
    </row>
    <row r="76" spans="16:16" ht="13" x14ac:dyDescent="0.3">
      <c r="P76" s="1"/>
    </row>
    <row r="77" spans="16:16" ht="13" x14ac:dyDescent="0.3">
      <c r="P77" s="1"/>
    </row>
    <row r="78" spans="16:16" ht="13" x14ac:dyDescent="0.3">
      <c r="P78" s="1"/>
    </row>
    <row r="79" spans="16:16" ht="13" x14ac:dyDescent="0.3">
      <c r="P79" s="1"/>
    </row>
    <row r="80" spans="16:16" ht="13" x14ac:dyDescent="0.3">
      <c r="P80" s="1"/>
    </row>
    <row r="81" spans="16:16" ht="13" x14ac:dyDescent="0.3">
      <c r="P81" s="1"/>
    </row>
    <row r="82" spans="16:16" ht="13" x14ac:dyDescent="0.3">
      <c r="P82" s="1"/>
    </row>
    <row r="83" spans="16:16" ht="13" x14ac:dyDescent="0.3">
      <c r="P83" s="1"/>
    </row>
    <row r="84" spans="16:16" ht="13" x14ac:dyDescent="0.3">
      <c r="P84" s="1"/>
    </row>
    <row r="85" spans="16:16" ht="13" x14ac:dyDescent="0.3">
      <c r="P85" s="1"/>
    </row>
    <row r="86" spans="16:16" ht="13" x14ac:dyDescent="0.3">
      <c r="P86" s="1"/>
    </row>
    <row r="87" spans="16:16" ht="13" x14ac:dyDescent="0.3">
      <c r="P87" s="1"/>
    </row>
    <row r="88" spans="16:16" ht="13" x14ac:dyDescent="0.3">
      <c r="P88" s="1"/>
    </row>
    <row r="89" spans="16:16" ht="13" x14ac:dyDescent="0.3">
      <c r="P89" s="1"/>
    </row>
    <row r="90" spans="16:16" ht="13" x14ac:dyDescent="0.3">
      <c r="P90" s="1"/>
    </row>
    <row r="91" spans="16:16" ht="13" x14ac:dyDescent="0.3">
      <c r="P91" s="1"/>
    </row>
    <row r="92" spans="16:16" ht="13" x14ac:dyDescent="0.3">
      <c r="P92" s="1"/>
    </row>
    <row r="93" spans="16:16" ht="13" x14ac:dyDescent="0.3">
      <c r="P93" s="1"/>
    </row>
    <row r="94" spans="16:16" ht="13" x14ac:dyDescent="0.3">
      <c r="P94" s="1"/>
    </row>
    <row r="95" spans="16:16" ht="13" x14ac:dyDescent="0.3">
      <c r="P95" s="1"/>
    </row>
    <row r="96" spans="16:16" ht="13" x14ac:dyDescent="0.3">
      <c r="P96" s="1"/>
    </row>
  </sheetData>
  <pageMargins left="0.75" right="0.75" top="1" bottom="1" header="0.5" footer="0.5"/>
  <pageSetup paperSize="5" scale="60" fitToHeight="3" orientation="landscape"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Sheet1</vt:lpstr>
      <vt:lpstr>Sheet2</vt:lpstr>
      <vt:lpstr>Sheet3</vt:lpstr>
      <vt:lpstr>Sheet1!Print_Titles</vt:lpstr>
    </vt:vector>
  </TitlesOfParts>
  <Company>USACE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USACE</dc:creator>
  <cp:lastModifiedBy>Carina Negreanu</cp:lastModifiedBy>
  <cp:lastPrinted>2002-08-14T15:46:01Z</cp:lastPrinted>
  <dcterms:created xsi:type="dcterms:W3CDTF">2002-08-14T13:28:39Z</dcterms:created>
  <dcterms:modified xsi:type="dcterms:W3CDTF">2020-01-27T11:09:44Z</dcterms:modified>
</cp:coreProperties>
</file>