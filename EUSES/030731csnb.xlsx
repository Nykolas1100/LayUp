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8476BE-5288-4E2E-B1DA-AEECB806D0CE}" xr6:coauthVersionLast="45" xr6:coauthVersionMax="45" xr10:uidLastSave="{00000000-0000-0000-0000-000000000000}"/>
  <bookViews>
    <workbookView xWindow="3420" yWindow="3420" windowWidth="28800" windowHeight="15460"/>
  </bookViews>
  <sheets>
    <sheet name="CY v. PY Qtr &amp; YTD" sheetId="1" r:id="rId1"/>
    <sheet name="Segment P&amp;L" sheetId="8" r:id="rId2"/>
  </sheets>
  <externalReferences>
    <externalReference r:id="rId3"/>
  </externalReferences>
  <definedNames>
    <definedName name="HideCol10">'[1]Op Metrics - Qtrly'!#REF!</definedName>
    <definedName name="HideCol11">'[1]Op Metrics  - Mthly'!#REF!</definedName>
    <definedName name="HideCol12">'[1]Rate Trends - Qtrly'!#REF!</definedName>
    <definedName name="HideCol13">'[1]Rate Trends - Mthly'!#REF!</definedName>
    <definedName name="HideCol14">'[1]BCI BS - Mthly'!#REF!</definedName>
    <definedName name="HideCol15">'[1]BCI BS - Mthly'!#REF!</definedName>
    <definedName name="HideCol2">[1]Qtrly!#REF!</definedName>
    <definedName name="HideCol3">[1]Monthly!#REF!</definedName>
    <definedName name="HideCol4">'[1]GM by Product - Qtrly'!#REF!</definedName>
    <definedName name="HideCol5">'[1]GM by Product - Mthly'!#REF!</definedName>
    <definedName name="HideCol6">'[1]COS Qtrly'!#REF!</definedName>
    <definedName name="HideCol7">'[1]COS Mthly'!#REF!</definedName>
    <definedName name="HideCol8">'[1]SGA Qtrly'!#REF!</definedName>
    <definedName name="HideCol9">'[1]SGA Mthly'!#REF!</definedName>
    <definedName name="HideRow10">'[1]Op Metrics - Qtrly'!#REF!</definedName>
    <definedName name="HideRow11">'[1]Op Metrics  - Mthly'!#REF!</definedName>
    <definedName name="HideRow12">'[1]Rate Trends - Qtrly'!#REF!</definedName>
    <definedName name="HideRow13">'[1]Rate Trends - Mthly'!#REF!</definedName>
    <definedName name="HideRow14">'[1]BCI BS - Mthly'!#REF!</definedName>
    <definedName name="HideRow15">'[1]BCI BS - Mthly'!#REF!</definedName>
    <definedName name="HideRow2">[1]Qtrly!#REF!</definedName>
    <definedName name="HideRow3">[1]Monthly!#REF!</definedName>
    <definedName name="HideRow4">'[1]GM by Product - Qtrly'!#REF!</definedName>
    <definedName name="HideRow5">'[1]GM by Product - Mthly'!#REF!</definedName>
    <definedName name="HideRow6">'[1]COS Qtrly'!#REF!</definedName>
    <definedName name="HideRow7">'[1]COS Mthly'!#REF!</definedName>
    <definedName name="HideRow8">'[1]SGA Qtrly'!#REF!</definedName>
    <definedName name="HideRow9">'[1]SGA Mthly'!#REF!</definedName>
    <definedName name="Z_A0A558AC_B09F_4D26_B371_4F17B7E0AA16_.wvu.Rows" localSheetId="0" hidden="1">'CY v. PY Qtr &amp; YTD'!#REF!</definedName>
  </definedNames>
  <calcPr calcId="191029"/>
  <customWorkbookViews>
    <customWorkbookView name="D. Greulich - Personal View" guid="{AEADCD9C-38EF-44B6-8A6B-D55584A52E4B}" mergeInterval="0" personalView="1" maximized="1" windowWidth="1020" windowHeight="580" activeSheetId="8"/>
    <customWorkbookView name="Tim Voelkerding - Personal View" guid="{A0A558AC-B09F-4D26-B371-4F17B7E0AA16}" mergeInterval="0" personalView="1" maximized="1" windowWidth="1020" windowHeight="58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" i="1" l="1"/>
  <c r="E15" i="1"/>
  <c r="I15" i="1"/>
  <c r="K15" i="1"/>
  <c r="C16" i="1"/>
  <c r="E16" i="1"/>
  <c r="C17" i="1"/>
  <c r="E17" i="1"/>
  <c r="G17" i="1"/>
  <c r="I17" i="1"/>
  <c r="K17" i="1"/>
  <c r="M17" i="1"/>
  <c r="C18" i="1"/>
  <c r="E18" i="1"/>
  <c r="G18" i="1"/>
  <c r="I18" i="1"/>
  <c r="K18" i="1"/>
  <c r="M18" i="1"/>
  <c r="C19" i="1"/>
  <c r="E19" i="1"/>
  <c r="G19" i="1"/>
  <c r="I19" i="1"/>
  <c r="C24" i="1"/>
  <c r="C50" i="1"/>
  <c r="E50" i="1"/>
  <c r="G50" i="1"/>
  <c r="I50" i="1"/>
  <c r="K50" i="1"/>
  <c r="M50" i="1"/>
  <c r="C57" i="1"/>
  <c r="E57" i="1"/>
  <c r="G57" i="1"/>
  <c r="I57" i="1"/>
  <c r="K57" i="1"/>
  <c r="M57" i="1"/>
  <c r="K13" i="8"/>
  <c r="E14" i="8"/>
  <c r="G14" i="8"/>
  <c r="I14" i="8"/>
  <c r="K14" i="8"/>
  <c r="M14" i="8"/>
  <c r="C15" i="8"/>
  <c r="C11" i="1" s="1"/>
  <c r="E15" i="8"/>
  <c r="E11" i="1" s="1"/>
  <c r="E21" i="1" s="1"/>
  <c r="E28" i="1" s="1"/>
  <c r="E33" i="1" s="1"/>
  <c r="E39" i="1" s="1"/>
  <c r="E43" i="1" s="1"/>
  <c r="G15" i="8"/>
  <c r="G11" i="1" s="1"/>
  <c r="I15" i="8"/>
  <c r="I11" i="1" s="1"/>
  <c r="I21" i="1" s="1"/>
  <c r="I28" i="1" s="1"/>
  <c r="I33" i="1" s="1"/>
  <c r="I39" i="1" s="1"/>
  <c r="I43" i="1" s="1"/>
  <c r="K15" i="8"/>
  <c r="K11" i="1" s="1"/>
  <c r="K21" i="1" s="1"/>
  <c r="K28" i="1" s="1"/>
  <c r="K33" i="1" s="1"/>
  <c r="K39" i="1" s="1"/>
  <c r="K43" i="1" s="1"/>
  <c r="M15" i="8"/>
  <c r="M11" i="1" s="1"/>
  <c r="G18" i="8"/>
  <c r="M18" i="8"/>
  <c r="M22" i="8" s="1"/>
  <c r="G19" i="8"/>
  <c r="G22" i="8" s="1"/>
  <c r="I20" i="8"/>
  <c r="K20" i="8"/>
  <c r="C21" i="8"/>
  <c r="G21" i="8"/>
  <c r="K21" i="8"/>
  <c r="C22" i="8"/>
  <c r="E22" i="8"/>
  <c r="I22" i="8"/>
  <c r="K22" i="8"/>
  <c r="C23" i="8"/>
  <c r="C14" i="1" s="1"/>
  <c r="E23" i="8"/>
  <c r="E14" i="1" s="1"/>
  <c r="I23" i="8"/>
  <c r="I14" i="1" s="1"/>
  <c r="K23" i="8"/>
  <c r="K14" i="1" s="1"/>
  <c r="G26" i="8"/>
  <c r="M26" i="8"/>
  <c r="M30" i="8" s="1"/>
  <c r="G27" i="8"/>
  <c r="G30" i="8" s="1"/>
  <c r="I28" i="8"/>
  <c r="C30" i="8"/>
  <c r="E30" i="8"/>
  <c r="I30" i="8"/>
  <c r="K30" i="8"/>
  <c r="C31" i="8"/>
  <c r="E31" i="8"/>
  <c r="I31" i="8"/>
  <c r="K31" i="8"/>
  <c r="K36" i="8"/>
  <c r="K38" i="8"/>
  <c r="C39" i="8"/>
  <c r="E39" i="8"/>
  <c r="G39" i="8"/>
  <c r="G16" i="1" s="1"/>
  <c r="I39" i="8"/>
  <c r="I16" i="1" s="1"/>
  <c r="K39" i="8"/>
  <c r="K16" i="1" s="1"/>
  <c r="M39" i="8"/>
  <c r="M16" i="1" s="1"/>
  <c r="C47" i="8"/>
  <c r="E47" i="8"/>
  <c r="G47" i="8"/>
  <c r="I47" i="8"/>
  <c r="K47" i="8"/>
  <c r="M47" i="8"/>
  <c r="G53" i="8"/>
  <c r="C55" i="8"/>
  <c r="E55" i="8"/>
  <c r="G55" i="8"/>
  <c r="I55" i="8"/>
  <c r="K55" i="8"/>
  <c r="M55" i="8"/>
  <c r="C63" i="8"/>
  <c r="E63" i="8"/>
  <c r="G63" i="8"/>
  <c r="I63" i="8"/>
  <c r="K63" i="8"/>
  <c r="K19" i="1" s="1"/>
  <c r="M63" i="8"/>
  <c r="M19" i="1" s="1"/>
  <c r="G69" i="8"/>
  <c r="M69" i="8"/>
  <c r="C70" i="8"/>
  <c r="G70" i="8"/>
  <c r="I70" i="8"/>
  <c r="M70" i="8"/>
  <c r="C71" i="8"/>
  <c r="E71" i="8"/>
  <c r="G71" i="8"/>
  <c r="I71" i="8"/>
  <c r="K71" i="8"/>
  <c r="M71" i="8"/>
  <c r="G23" i="8" l="1"/>
  <c r="G14" i="1" s="1"/>
  <c r="G31" i="8"/>
  <c r="G15" i="1" s="1"/>
  <c r="G21" i="1"/>
  <c r="G28" i="1" s="1"/>
  <c r="G33" i="1" s="1"/>
  <c r="G39" i="1" s="1"/>
  <c r="G43" i="1" s="1"/>
  <c r="C21" i="1"/>
  <c r="C28" i="1" s="1"/>
  <c r="C33" i="1" s="1"/>
  <c r="C39" i="1" s="1"/>
  <c r="C43" i="1" s="1"/>
  <c r="M23" i="8"/>
  <c r="M14" i="1" s="1"/>
  <c r="M21" i="1" s="1"/>
  <c r="M28" i="1" s="1"/>
  <c r="M33" i="1" s="1"/>
  <c r="M39" i="1" s="1"/>
  <c r="M43" i="1" s="1"/>
  <c r="M31" i="8"/>
  <c r="M15" i="1" s="1"/>
</calcChain>
</file>

<file path=xl/sharedStrings.xml><?xml version="1.0" encoding="utf-8"?>
<sst xmlns="http://schemas.openxmlformats.org/spreadsheetml/2006/main" count="115" uniqueCount="51">
  <si>
    <t>(Unaudited)</t>
  </si>
  <si>
    <t>December 31,</t>
  </si>
  <si>
    <t xml:space="preserve">Wireless </t>
  </si>
  <si>
    <t>Costs &amp; Expenses</t>
  </si>
  <si>
    <t>Selling, General &amp; Administrative</t>
  </si>
  <si>
    <t>Depreciation and Amortization</t>
  </si>
  <si>
    <t>Interest Expense</t>
  </si>
  <si>
    <t>Discontinued Operations, Net of Taxes</t>
  </si>
  <si>
    <t>Minority Interest Expense</t>
  </si>
  <si>
    <t xml:space="preserve">Weighted Average Common Shares Outstanding </t>
  </si>
  <si>
    <t xml:space="preserve">Local </t>
  </si>
  <si>
    <t xml:space="preserve">Other </t>
  </si>
  <si>
    <t>Total Revenue</t>
  </si>
  <si>
    <t>Revenue</t>
  </si>
  <si>
    <t>Cost of Services and Products</t>
  </si>
  <si>
    <t>Consolidated Statements of Operations</t>
  </si>
  <si>
    <t>Income Tax Expense (Benefit)</t>
  </si>
  <si>
    <t>Cumulative Effect of Change in Accounting Principle, Net of Taxes</t>
  </si>
  <si>
    <t>Net Income (Loss)</t>
  </si>
  <si>
    <t>Net Income (Loss) Applicable to Common Shareowners</t>
  </si>
  <si>
    <t xml:space="preserve">Restructuring </t>
  </si>
  <si>
    <t>- Diluted</t>
  </si>
  <si>
    <t xml:space="preserve">- Basic </t>
  </si>
  <si>
    <t>Broadband</t>
  </si>
  <si>
    <t>Operations and Cumulative Effect of Change in Accounting Principle</t>
  </si>
  <si>
    <t xml:space="preserve">Income (Loss) from Continuing Operations before Discontinued </t>
  </si>
  <si>
    <t>Net Earnings (Loss) Per Common Share</t>
  </si>
  <si>
    <t>Preferred Stock Dividends</t>
  </si>
  <si>
    <t>Discontinued Operations and Cumulative Effect of 
Change in Accounting Principle</t>
  </si>
  <si>
    <t xml:space="preserve">Income (Loss) from Continuing Operations before Income Taxes, </t>
  </si>
  <si>
    <t>Asset Impairments and Other Charges (Credits)</t>
  </si>
  <si>
    <t>Consolidating Statements of Operations</t>
  </si>
  <si>
    <t>Operating Income</t>
  </si>
  <si>
    <t>Corporate and eliminations</t>
  </si>
  <si>
    <t>Total Cost of Services and Products</t>
  </si>
  <si>
    <t>Total Selling, General &amp; Administrative</t>
  </si>
  <si>
    <t>Total Depreciation and Amortization</t>
  </si>
  <si>
    <t xml:space="preserve">Total Restructuring </t>
  </si>
  <si>
    <t>Total Asset Impairments and Other Charges (Credits)</t>
  </si>
  <si>
    <t>Total Operating Income</t>
  </si>
  <si>
    <t>(dollars in millions)</t>
  </si>
  <si>
    <t>(in millions - except per share amounts)</t>
  </si>
  <si>
    <t>June 30,</t>
  </si>
  <si>
    <t>Cincinnati Bell Inc.</t>
  </si>
  <si>
    <t>Diluted Earnings (Loss) Per Common Share</t>
  </si>
  <si>
    <t>Basic Earnings (Loss) Per Common Share</t>
  </si>
  <si>
    <t>Other (Income) Expense, Net</t>
  </si>
  <si>
    <t>March 31,</t>
  </si>
  <si>
    <t>Gain on Sale of Broadband Assets</t>
  </si>
  <si>
    <t>September 30,</t>
  </si>
  <si>
    <t>For the Three Months 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</si>
</sst>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.0_);_(* \(#,##0.0\);_(* &quot;-&quot;??_);_(@_)"/>
    <numFmt numFmtId="173" formatCode="_(&quot;$&quot;* #,##0.0_);_(&quot;$&quot;* \(#,##0.0\);_(&quot;$&quot;* &quot;-&quot;??_);_(@_)"/>
    <numFmt numFmtId="174" formatCode="#,##0.0_);\(#,##0.0\);&quot;--  &quot;"/>
    <numFmt numFmtId="175" formatCode="#,##0;[Red]\(#,##0\)"/>
    <numFmt numFmtId="177" formatCode="_(&quot;$&quot;* #,##0.00_);[Red]\(&quot;$&quot;* #,##0.00\);_(&quot;$&quot;* &quot;-- &quot;_);_(@_)"/>
    <numFmt numFmtId="182" formatCode="_(* #,##0.0_);_(* \(#,##0.0\);_(* &quot;-&quot;?_);_(@_)"/>
    <numFmt numFmtId="188" formatCode="_(&quot;$&quot;* #,##0.0_);_(&quot;$&quot;* \(#,##0.0\);_(&quot;$&quot;* &quot;-&quot;?_);_(@_)"/>
    <numFmt numFmtId="195" formatCode="#,##0.000_);\(#,##0.000\);&quot;--  &quot;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u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37" fontId="2" fillId="0" borderId="1"/>
    <xf numFmtId="174" fontId="1" fillId="0" borderId="0"/>
    <xf numFmtId="174" fontId="1" fillId="0" borderId="0"/>
  </cellStyleXfs>
  <cellXfs count="104">
    <xf numFmtId="0" fontId="0" fillId="0" borderId="0" xfId="0"/>
    <xf numFmtId="0" fontId="2" fillId="0" borderId="0" xfId="0" applyFont="1"/>
    <xf numFmtId="174" fontId="1" fillId="0" borderId="0" xfId="5" applyFont="1"/>
    <xf numFmtId="174" fontId="1" fillId="0" borderId="0" xfId="5" applyFont="1" applyBorder="1"/>
    <xf numFmtId="175" fontId="1" fillId="0" borderId="0" xfId="5" applyNumberFormat="1" applyFont="1"/>
    <xf numFmtId="177" fontId="1" fillId="0" borderId="0" xfId="2" applyNumberFormat="1" applyFont="1"/>
    <xf numFmtId="174" fontId="4" fillId="0" borderId="0" xfId="5" applyFont="1" applyFill="1"/>
    <xf numFmtId="174" fontId="1" fillId="0" borderId="0" xfId="5" applyFont="1" applyFill="1" applyBorder="1"/>
    <xf numFmtId="174" fontId="4" fillId="0" borderId="0" xfId="5" applyFont="1" applyFill="1" applyBorder="1"/>
    <xf numFmtId="174" fontId="1" fillId="0" borderId="2" xfId="5" applyFont="1" applyFill="1" applyBorder="1"/>
    <xf numFmtId="175" fontId="1" fillId="0" borderId="0" xfId="5" applyNumberFormat="1" applyFont="1" applyFill="1"/>
    <xf numFmtId="177" fontId="1" fillId="0" borderId="0" xfId="2" applyNumberFormat="1" applyFont="1" applyFill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Continuous"/>
    </xf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center"/>
    </xf>
    <xf numFmtId="174" fontId="3" fillId="0" borderId="0" xfId="5" applyFont="1" applyFill="1" applyAlignment="1">
      <alignment horizontal="left"/>
    </xf>
    <xf numFmtId="3" fontId="1" fillId="0" borderId="0" xfId="5" applyNumberFormat="1" applyFont="1" applyFill="1" applyBorder="1" applyAlignment="1">
      <alignment horizontal="left" indent="1"/>
    </xf>
    <xf numFmtId="173" fontId="1" fillId="0" borderId="0" xfId="2" applyNumberFormat="1" applyFont="1" applyFill="1"/>
    <xf numFmtId="172" fontId="0" fillId="0" borderId="0" xfId="1" applyNumberFormat="1" applyFont="1" applyFill="1"/>
    <xf numFmtId="174" fontId="1" fillId="0" borderId="0" xfId="5" applyFont="1" applyFill="1"/>
    <xf numFmtId="174" fontId="1" fillId="0" borderId="0" xfId="5" applyFont="1" applyFill="1" applyBorder="1" applyAlignment="1">
      <alignment horizontal="left" indent="2"/>
    </xf>
    <xf numFmtId="175" fontId="1" fillId="0" borderId="0" xfId="5" applyNumberFormat="1" applyFont="1" applyFill="1" applyAlignment="1">
      <alignment horizontal="left"/>
    </xf>
    <xf numFmtId="174" fontId="3" fillId="0" borderId="0" xfId="5" applyFont="1" applyFill="1" applyBorder="1" applyAlignment="1">
      <alignment horizontal="left"/>
    </xf>
    <xf numFmtId="3" fontId="1" fillId="0" borderId="0" xfId="5" applyNumberFormat="1" applyFont="1" applyFill="1" applyBorder="1" applyAlignment="1">
      <alignment horizontal="left" indent="2"/>
    </xf>
    <xf numFmtId="174" fontId="1" fillId="0" borderId="0" xfId="5" quotePrefix="1" applyFont="1" applyFill="1" applyBorder="1"/>
    <xf numFmtId="174" fontId="4" fillId="0" borderId="0" xfId="4" applyFont="1" applyFill="1" applyBorder="1" applyAlignment="1">
      <alignment horizontal="left" indent="1"/>
    </xf>
    <xf numFmtId="170" fontId="1" fillId="0" borderId="0" xfId="2" applyFont="1" applyFill="1" applyBorder="1" applyAlignment="1">
      <alignment horizontal="left"/>
    </xf>
    <xf numFmtId="3" fontId="4" fillId="0" borderId="0" xfId="5" applyNumberFormat="1" applyFont="1" applyFill="1" applyBorder="1" applyAlignment="1">
      <alignment horizontal="left" indent="2"/>
    </xf>
    <xf numFmtId="3" fontId="1" fillId="0" borderId="0" xfId="5" applyNumberFormat="1" applyFont="1" applyFill="1" applyBorder="1" applyAlignment="1">
      <alignment horizontal="left"/>
    </xf>
    <xf numFmtId="172" fontId="0" fillId="0" borderId="0" xfId="1" applyNumberFormat="1" applyFont="1" applyFill="1" applyBorder="1"/>
    <xf numFmtId="0" fontId="5" fillId="0" borderId="0" xfId="0" applyFont="1" applyFill="1"/>
    <xf numFmtId="0" fontId="4" fillId="0" borderId="0" xfId="0" applyFont="1" applyFill="1" applyAlignment="1" applyProtection="1">
      <alignment horizontal="left" indent="1"/>
    </xf>
    <xf numFmtId="0" fontId="4" fillId="0" borderId="0" xfId="0" applyFont="1" applyFill="1" applyAlignment="1" applyProtection="1">
      <alignment horizontal="left" indent="2"/>
    </xf>
    <xf numFmtId="0" fontId="4" fillId="0" borderId="0" xfId="0" quotePrefix="1" applyFont="1" applyFill="1" applyAlignment="1" applyProtection="1">
      <alignment horizontal="left" indent="1"/>
    </xf>
    <xf numFmtId="174" fontId="0" fillId="0" borderId="0" xfId="0" applyNumberFormat="1" applyFill="1"/>
    <xf numFmtId="0" fontId="4" fillId="0" borderId="0" xfId="0" applyFont="1" applyFill="1" applyAlignment="1" applyProtection="1">
      <alignment horizontal="left" indent="3"/>
    </xf>
    <xf numFmtId="0" fontId="0" fillId="0" borderId="0" xfId="0" applyFill="1" applyBorder="1"/>
    <xf numFmtId="173" fontId="0" fillId="0" borderId="0" xfId="0" applyNumberFormat="1" applyFill="1"/>
    <xf numFmtId="173" fontId="0" fillId="0" borderId="0" xfId="0" applyNumberFormat="1" applyFill="1" applyBorder="1"/>
    <xf numFmtId="0" fontId="4" fillId="0" borderId="0" xfId="0" applyFont="1" applyFill="1" applyAlignment="1" applyProtection="1">
      <alignment horizontal="left" wrapText="1" indent="3"/>
    </xf>
    <xf numFmtId="173" fontId="4" fillId="0" borderId="1" xfId="5" quotePrefix="1" applyNumberFormat="1" applyFont="1" applyFill="1" applyBorder="1"/>
    <xf numFmtId="174" fontId="1" fillId="0" borderId="2" xfId="5" quotePrefix="1" applyFont="1" applyFill="1" applyBorder="1"/>
    <xf numFmtId="173" fontId="4" fillId="0" borderId="3" xfId="5" applyNumberFormat="1" applyFont="1" applyFill="1" applyBorder="1"/>
    <xf numFmtId="173" fontId="1" fillId="0" borderId="0" xfId="5" quotePrefix="1" applyNumberFormat="1" applyFont="1" applyFill="1" applyBorder="1"/>
    <xf numFmtId="173" fontId="4" fillId="0" borderId="0" xfId="5" applyNumberFormat="1" applyFont="1" applyFill="1" applyBorder="1"/>
    <xf numFmtId="173" fontId="4" fillId="0" borderId="0" xfId="5" applyNumberFormat="1" applyFont="1" applyFill="1"/>
    <xf numFmtId="173" fontId="4" fillId="0" borderId="1" xfId="5" applyNumberFormat="1" applyFont="1" applyFill="1" applyBorder="1"/>
    <xf numFmtId="173" fontId="1" fillId="0" borderId="1" xfId="5" applyNumberFormat="1" applyFont="1" applyFill="1" applyBorder="1"/>
    <xf numFmtId="173" fontId="1" fillId="0" borderId="0" xfId="5" applyNumberFormat="1" applyFont="1" applyFill="1"/>
    <xf numFmtId="173" fontId="1" fillId="0" borderId="0" xfId="5" applyNumberFormat="1" applyFont="1" applyFill="1" applyBorder="1"/>
    <xf numFmtId="172" fontId="4" fillId="0" borderId="0" xfId="5" applyNumberFormat="1" applyFont="1" applyFill="1"/>
    <xf numFmtId="172" fontId="4" fillId="0" borderId="2" xfId="5" applyNumberFormat="1" applyFont="1" applyFill="1" applyBorder="1"/>
    <xf numFmtId="172" fontId="4" fillId="0" borderId="0" xfId="5" applyNumberFormat="1" applyFont="1" applyFill="1" applyBorder="1"/>
    <xf numFmtId="174" fontId="4" fillId="0" borderId="0" xfId="4" applyFont="1" applyFill="1" applyBorder="1" applyAlignment="1">
      <alignment horizontal="left" indent="2"/>
    </xf>
    <xf numFmtId="170" fontId="4" fillId="0" borderId="0" xfId="2" applyFont="1" applyFill="1" applyBorder="1"/>
    <xf numFmtId="170" fontId="4" fillId="0" borderId="0" xfId="2" applyFont="1" applyBorder="1"/>
    <xf numFmtId="195" fontId="0" fillId="0" borderId="0" xfId="0" applyNumberFormat="1" applyFill="1"/>
    <xf numFmtId="174" fontId="1" fillId="0" borderId="0" xfId="2" applyNumberFormat="1" applyFont="1" applyFill="1"/>
    <xf numFmtId="172" fontId="1" fillId="0" borderId="0" xfId="5" applyNumberFormat="1" applyFont="1" applyFill="1"/>
    <xf numFmtId="172" fontId="1" fillId="0" borderId="0" xfId="5" applyNumberFormat="1" applyFont="1" applyFill="1" applyBorder="1"/>
    <xf numFmtId="172" fontId="1" fillId="0" borderId="2" xfId="5" applyNumberFormat="1" applyFont="1" applyFill="1" applyBorder="1"/>
    <xf numFmtId="173" fontId="1" fillId="0" borderId="3" xfId="5" applyNumberFormat="1" applyFont="1" applyFill="1" applyBorder="1"/>
    <xf numFmtId="174" fontId="0" fillId="0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Continuous"/>
    </xf>
    <xf numFmtId="173" fontId="4" fillId="0" borderId="0" xfId="5" quotePrefix="1" applyNumberFormat="1" applyFont="1" applyFill="1" applyBorder="1"/>
    <xf numFmtId="173" fontId="0" fillId="0" borderId="0" xfId="1" applyNumberFormat="1" applyFont="1" applyFill="1" applyBorder="1"/>
    <xf numFmtId="175" fontId="1" fillId="0" borderId="0" xfId="5" applyNumberFormat="1" applyFont="1" applyFill="1" applyBorder="1"/>
    <xf numFmtId="177" fontId="1" fillId="0" borderId="0" xfId="2" applyNumberFormat="1" applyFont="1" applyFill="1" applyBorder="1"/>
    <xf numFmtId="195" fontId="0" fillId="0" borderId="0" xfId="0" applyNumberFormat="1" applyFill="1" applyBorder="1"/>
    <xf numFmtId="171" fontId="0" fillId="0" borderId="0" xfId="1" applyNumberFormat="1" applyFont="1" applyFill="1" applyBorder="1"/>
    <xf numFmtId="182" fontId="1" fillId="0" borderId="0" xfId="5" applyNumberFormat="1" applyFont="1" applyFill="1" applyBorder="1"/>
    <xf numFmtId="182" fontId="4" fillId="0" borderId="0" xfId="5" applyNumberFormat="1" applyFont="1" applyFill="1" applyBorder="1"/>
    <xf numFmtId="182" fontId="1" fillId="0" borderId="2" xfId="5" applyNumberFormat="1" applyFont="1" applyFill="1" applyBorder="1"/>
    <xf numFmtId="188" fontId="1" fillId="0" borderId="0" xfId="5" applyNumberFormat="1" applyFont="1" applyFill="1" applyBorder="1"/>
    <xf numFmtId="182" fontId="1" fillId="0" borderId="0" xfId="5" applyNumberFormat="1" applyFont="1"/>
    <xf numFmtId="182" fontId="1" fillId="0" borderId="0" xfId="5" applyNumberFormat="1" applyFont="1" applyFill="1"/>
    <xf numFmtId="182" fontId="1" fillId="0" borderId="0" xfId="5" applyNumberFormat="1" applyFont="1" applyBorder="1"/>
    <xf numFmtId="182" fontId="4" fillId="0" borderId="0" xfId="5" applyNumberFormat="1" applyFont="1" applyBorder="1"/>
    <xf numFmtId="182" fontId="0" fillId="0" borderId="0" xfId="1" applyNumberFormat="1" applyFont="1" applyFill="1" applyBorder="1"/>
    <xf numFmtId="182" fontId="4" fillId="0" borderId="0" xfId="5" applyNumberFormat="1" applyFont="1" applyFill="1"/>
    <xf numFmtId="182" fontId="4" fillId="0" borderId="2" xfId="5" applyNumberFormat="1" applyFont="1" applyFill="1" applyBorder="1"/>
    <xf numFmtId="182" fontId="1" fillId="0" borderId="0" xfId="5" quotePrefix="1" applyNumberFormat="1" applyFont="1" applyFill="1" applyBorder="1"/>
    <xf numFmtId="182" fontId="1" fillId="0" borderId="2" xfId="5" applyNumberFormat="1" applyFont="1" applyBorder="1"/>
    <xf numFmtId="188" fontId="4" fillId="0" borderId="3" xfId="2" applyNumberFormat="1" applyFont="1" applyFill="1" applyBorder="1"/>
    <xf numFmtId="188" fontId="4" fillId="0" borderId="0" xfId="2" applyNumberFormat="1" applyFont="1" applyFill="1" applyBorder="1"/>
    <xf numFmtId="188" fontId="4" fillId="0" borderId="3" xfId="2" applyNumberFormat="1" applyFont="1" applyBorder="1"/>
    <xf numFmtId="188" fontId="0" fillId="0" borderId="0" xfId="1" applyNumberFormat="1" applyFont="1" applyFill="1" applyBorder="1"/>
    <xf numFmtId="188" fontId="1" fillId="0" borderId="0" xfId="5" applyNumberFormat="1" applyFont="1" applyBorder="1"/>
    <xf numFmtId="170" fontId="4" fillId="0" borderId="0" xfId="2" applyNumberFormat="1" applyFont="1" applyFill="1" applyBorder="1" applyProtection="1"/>
    <xf numFmtId="170" fontId="0" fillId="0" borderId="0" xfId="1" applyNumberFormat="1" applyFont="1" applyFill="1" applyBorder="1"/>
    <xf numFmtId="171" fontId="4" fillId="0" borderId="0" xfId="0" applyNumberFormat="1" applyFont="1" applyFill="1" applyBorder="1" applyProtection="1"/>
    <xf numFmtId="171" fontId="4" fillId="0" borderId="0" xfId="2" applyNumberFormat="1" applyFont="1" applyFill="1" applyBorder="1" applyProtection="1"/>
    <xf numFmtId="170" fontId="4" fillId="0" borderId="1" xfId="2" applyNumberFormat="1" applyFont="1" applyFill="1" applyBorder="1"/>
    <xf numFmtId="170" fontId="4" fillId="0" borderId="0" xfId="2" applyNumberFormat="1" applyFont="1" applyFill="1" applyBorder="1"/>
    <xf numFmtId="170" fontId="4" fillId="0" borderId="1" xfId="2" applyNumberFormat="1" applyFont="1" applyBorder="1"/>
    <xf numFmtId="170" fontId="4" fillId="0" borderId="0" xfId="2" applyNumberFormat="1" applyFont="1" applyBorder="1"/>
    <xf numFmtId="170" fontId="1" fillId="0" borderId="0" xfId="2" applyNumberFormat="1" applyFont="1" applyFill="1"/>
    <xf numFmtId="170" fontId="1" fillId="0" borderId="0" xfId="2" applyNumberFormat="1" applyFont="1" applyFill="1" applyBorder="1"/>
    <xf numFmtId="170" fontId="1" fillId="0" borderId="0" xfId="2" applyNumberFormat="1" applyFont="1"/>
    <xf numFmtId="172" fontId="0" fillId="0" borderId="2" xfId="1" applyNumberFormat="1" applyFont="1" applyFill="1" applyBorder="1"/>
    <xf numFmtId="0" fontId="0" fillId="0" borderId="2" xfId="0" applyFill="1" applyBorder="1" applyAlignment="1">
      <alignment horizontal="center"/>
    </xf>
  </cellXfs>
  <cellStyles count="6">
    <cellStyle name="Comma" xfId="1" builtinId="3"/>
    <cellStyle name="Currency" xfId="2" builtinId="4"/>
    <cellStyle name="Grand Total" xfId="3"/>
    <cellStyle name="Normal" xfId="0" builtinId="0"/>
    <cellStyle name="Normal_Closing P&amp;L-13 Month" xfId="4"/>
    <cellStyle name="Normal_Closing P&amp;L-5 Qtr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nsys/Hyperion%20Reports/Monthly%20Deck%20Reports/BC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Qtrly"/>
      <sheetName val="Monthly"/>
      <sheetName val="GM by Product - Qtrly"/>
      <sheetName val="GM by Product - Mthly"/>
      <sheetName val="COS Qtrly"/>
      <sheetName val="COS Mthly"/>
      <sheetName val="SGA Qtrly"/>
      <sheetName val="SGA Mthly"/>
      <sheetName val="Op Metrics - Qtrly"/>
      <sheetName val="Op Metrics  - Mthly"/>
      <sheetName val="Rate Trends - Qtrly"/>
      <sheetName val="Rate Trends - Mthly"/>
      <sheetName val="BCI BS - Qtrly"/>
      <sheetName val="BCI BS - Mthl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75"/>
  <sheetViews>
    <sheetView tabSelected="1" zoomScale="90" workbookViewId="0">
      <pane xSplit="2" ySplit="10" topLeftCell="D11" activePane="bottomRight" state="frozen"/>
      <selection pane="topRight" activeCell="C1" sqref="C1"/>
      <selection pane="bottomLeft" activeCell="A11" sqref="A11"/>
      <selection pane="bottomRight" activeCell="B23" sqref="B23"/>
    </sheetView>
  </sheetViews>
  <sheetFormatPr defaultColWidth="9.1796875" defaultRowHeight="12.5" x14ac:dyDescent="0.25"/>
  <cols>
    <col min="1" max="1" width="4.7265625" style="13" customWidth="1"/>
    <col min="2" max="2" width="65.453125" style="13" customWidth="1"/>
    <col min="3" max="3" width="13.54296875" style="13" customWidth="1"/>
    <col min="4" max="4" width="2.453125" style="13" customWidth="1"/>
    <col min="5" max="5" width="13.54296875" style="13" customWidth="1"/>
    <col min="6" max="6" width="2.453125" style="13" customWidth="1"/>
    <col min="7" max="7" width="13.453125" style="13" bestFit="1" customWidth="1"/>
    <col min="8" max="8" width="2.453125" style="13" customWidth="1"/>
    <col min="9" max="9" width="13.54296875" style="13" customWidth="1"/>
    <col min="10" max="10" width="2.26953125" style="13" customWidth="1"/>
    <col min="11" max="11" width="13.54296875" style="13" customWidth="1"/>
    <col min="12" max="12" width="2.1796875" style="13" customWidth="1"/>
    <col min="13" max="13" width="13.54296875" style="13" customWidth="1"/>
    <col min="14" max="16384" width="9.1796875" style="13"/>
  </cols>
  <sheetData>
    <row r="1" spans="1:13" ht="13" x14ac:dyDescent="0.3">
      <c r="A1" s="1" t="s">
        <v>43</v>
      </c>
      <c r="B1" s="12"/>
    </row>
    <row r="2" spans="1:13" ht="13" x14ac:dyDescent="0.3">
      <c r="A2" s="12" t="s">
        <v>15</v>
      </c>
      <c r="B2" s="12"/>
    </row>
    <row r="3" spans="1:13" ht="13" x14ac:dyDescent="0.3">
      <c r="A3" s="12" t="s">
        <v>0</v>
      </c>
      <c r="B3" s="12"/>
    </row>
    <row r="5" spans="1:13" x14ac:dyDescent="0.25">
      <c r="B5" s="13" t="s">
        <v>41</v>
      </c>
    </row>
    <row r="7" spans="1:13" x14ac:dyDescent="0.25">
      <c r="C7" s="103" t="s">
        <v>50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</row>
    <row r="8" spans="1:13" x14ac:dyDescent="0.25">
      <c r="C8" s="16" t="s">
        <v>42</v>
      </c>
      <c r="D8" s="14"/>
      <c r="E8" s="16" t="s">
        <v>47</v>
      </c>
      <c r="F8" s="14"/>
      <c r="G8" s="16" t="s">
        <v>1</v>
      </c>
      <c r="H8" s="16"/>
      <c r="I8" s="16" t="s">
        <v>49</v>
      </c>
      <c r="J8" s="14"/>
      <c r="K8" s="16" t="s">
        <v>42</v>
      </c>
      <c r="M8" s="16" t="s">
        <v>47</v>
      </c>
    </row>
    <row r="9" spans="1:13" x14ac:dyDescent="0.25">
      <c r="C9" s="15">
        <v>2003</v>
      </c>
      <c r="D9" s="65"/>
      <c r="E9" s="15">
        <v>2003</v>
      </c>
      <c r="F9" s="65"/>
      <c r="G9" s="15">
        <v>2002</v>
      </c>
      <c r="H9" s="65"/>
      <c r="I9" s="15">
        <v>2002</v>
      </c>
      <c r="J9" s="65"/>
      <c r="K9" s="15">
        <v>2002</v>
      </c>
      <c r="M9" s="15">
        <v>2002</v>
      </c>
    </row>
    <row r="10" spans="1:13" ht="13" x14ac:dyDescent="0.3">
      <c r="B10" s="17"/>
      <c r="D10" s="38"/>
      <c r="J10" s="38"/>
    </row>
    <row r="11" spans="1:13" ht="13" x14ac:dyDescent="0.3">
      <c r="B11" s="17" t="s">
        <v>13</v>
      </c>
      <c r="C11" s="76">
        <f>'Segment P&amp;L'!C15</f>
        <v>450.60000000000008</v>
      </c>
      <c r="D11" s="76"/>
      <c r="E11" s="76">
        <f>'Segment P&amp;L'!E15</f>
        <v>480.69999999999993</v>
      </c>
      <c r="F11" s="76"/>
      <c r="G11" s="76">
        <f>'Segment P&amp;L'!G15</f>
        <v>509.30000000000007</v>
      </c>
      <c r="H11" s="76"/>
      <c r="I11" s="76">
        <f>'Segment P&amp;L'!I15</f>
        <v>570.29999999999995</v>
      </c>
      <c r="J11" s="76"/>
      <c r="K11" s="76">
        <f>'Segment P&amp;L'!K15</f>
        <v>556.20000000000005</v>
      </c>
      <c r="M11" s="76">
        <f>'Segment P&amp;L'!M15</f>
        <v>542.79999999999995</v>
      </c>
    </row>
    <row r="12" spans="1:13" x14ac:dyDescent="0.25">
      <c r="B12" s="23"/>
      <c r="C12" s="7"/>
      <c r="D12" s="7"/>
      <c r="E12" s="7"/>
      <c r="F12" s="7"/>
      <c r="G12" s="7"/>
      <c r="H12" s="7"/>
      <c r="I12" s="7"/>
      <c r="J12" s="31"/>
      <c r="K12" s="2"/>
      <c r="M12" s="2"/>
    </row>
    <row r="13" spans="1:13" ht="13" x14ac:dyDescent="0.3">
      <c r="B13" s="24" t="s">
        <v>3</v>
      </c>
      <c r="C13" s="73"/>
      <c r="D13" s="73"/>
      <c r="E13" s="73"/>
      <c r="F13" s="73"/>
      <c r="G13" s="73"/>
      <c r="H13" s="73"/>
      <c r="I13" s="73"/>
      <c r="J13" s="81"/>
      <c r="K13" s="77"/>
      <c r="M13" s="77"/>
    </row>
    <row r="14" spans="1:13" x14ac:dyDescent="0.25">
      <c r="B14" s="18" t="s">
        <v>14</v>
      </c>
      <c r="C14" s="78">
        <f>'Segment P&amp;L'!C23</f>
        <v>261.7</v>
      </c>
      <c r="D14" s="73"/>
      <c r="E14" s="78">
        <f>'Segment P&amp;L'!E23</f>
        <v>219.4</v>
      </c>
      <c r="F14" s="73"/>
      <c r="G14" s="78">
        <f>'Segment P&amp;L'!G23</f>
        <v>247.49999999999997</v>
      </c>
      <c r="H14" s="73"/>
      <c r="I14" s="78">
        <f>'Segment P&amp;L'!I23</f>
        <v>254.09999999999997</v>
      </c>
      <c r="J14" s="73"/>
      <c r="K14" s="78">
        <f>'Segment P&amp;L'!K23</f>
        <v>271.10000000000002</v>
      </c>
      <c r="M14" s="78">
        <f>'Segment P&amp;L'!M23</f>
        <v>268</v>
      </c>
    </row>
    <row r="15" spans="1:13" x14ac:dyDescent="0.25">
      <c r="B15" s="18" t="s">
        <v>4</v>
      </c>
      <c r="C15" s="73">
        <f>'Segment P&amp;L'!C31</f>
        <v>108.20000000000002</v>
      </c>
      <c r="D15" s="73"/>
      <c r="E15" s="73">
        <f>'Segment P&amp;L'!E31</f>
        <v>120.29999999999998</v>
      </c>
      <c r="F15" s="73"/>
      <c r="G15" s="73">
        <f>'Segment P&amp;L'!G31</f>
        <v>120.80000000000001</v>
      </c>
      <c r="H15" s="73"/>
      <c r="I15" s="73">
        <f>'Segment P&amp;L'!I31</f>
        <v>121.6</v>
      </c>
      <c r="J15" s="73"/>
      <c r="K15" s="73">
        <f>'Segment P&amp;L'!K31</f>
        <v>127.00000000000001</v>
      </c>
      <c r="M15" s="73">
        <f>'Segment P&amp;L'!M31</f>
        <v>127.80000000000001</v>
      </c>
    </row>
    <row r="16" spans="1:13" x14ac:dyDescent="0.25">
      <c r="B16" s="27" t="s">
        <v>5</v>
      </c>
      <c r="C16" s="82">
        <f>'Segment P&amp;L'!C39</f>
        <v>39.70000000000001</v>
      </c>
      <c r="D16" s="74"/>
      <c r="E16" s="82">
        <f>'Segment P&amp;L'!E39</f>
        <v>41.5</v>
      </c>
      <c r="F16" s="74"/>
      <c r="G16" s="82">
        <f>'Segment P&amp;L'!G39</f>
        <v>125.6</v>
      </c>
      <c r="H16" s="74"/>
      <c r="I16" s="82">
        <f>'Segment P&amp;L'!I39</f>
        <v>126.8</v>
      </c>
      <c r="J16" s="74"/>
      <c r="K16" s="82">
        <f>'Segment P&amp;L'!K39</f>
        <v>122.19999999999999</v>
      </c>
      <c r="M16" s="82">
        <f>'Segment P&amp;L'!M39</f>
        <v>121.6</v>
      </c>
    </row>
    <row r="17" spans="2:13" x14ac:dyDescent="0.25">
      <c r="B17" s="27" t="s">
        <v>20</v>
      </c>
      <c r="C17" s="74">
        <f>'Segment P&amp;L'!C47</f>
        <v>-3.4</v>
      </c>
      <c r="D17" s="74"/>
      <c r="E17" s="74">
        <f>'Segment P&amp;L'!E47</f>
        <v>0</v>
      </c>
      <c r="F17" s="74"/>
      <c r="G17" s="74">
        <f>'Segment P&amp;L'!G47</f>
        <v>13.5</v>
      </c>
      <c r="H17" s="74"/>
      <c r="I17" s="74">
        <f>'Segment P&amp;L'!I47</f>
        <v>7.1</v>
      </c>
      <c r="J17" s="74"/>
      <c r="K17" s="74">
        <f>'Segment P&amp;L'!K47</f>
        <v>0</v>
      </c>
      <c r="M17" s="74">
        <f>'Segment P&amp;L'!M47</f>
        <v>16.5</v>
      </c>
    </row>
    <row r="18" spans="2:13" x14ac:dyDescent="0.25">
      <c r="B18" s="27" t="s">
        <v>30</v>
      </c>
      <c r="C18" s="74">
        <f>'Segment P&amp;L'!C55</f>
        <v>-1.1000000000000001</v>
      </c>
      <c r="D18" s="74"/>
      <c r="E18" s="74">
        <f>'Segment P&amp;L'!E55</f>
        <v>0.3</v>
      </c>
      <c r="F18" s="74"/>
      <c r="G18" s="74">
        <f>'Segment P&amp;L'!G55</f>
        <v>2201.2000000000003</v>
      </c>
      <c r="H18" s="74"/>
      <c r="I18" s="74">
        <f>'Segment P&amp;L'!I55</f>
        <v>0</v>
      </c>
      <c r="J18" s="74"/>
      <c r="K18" s="74">
        <f>'Segment P&amp;L'!K55</f>
        <v>0</v>
      </c>
      <c r="M18" s="74">
        <f>'Segment P&amp;L'!M55</f>
        <v>-0.3</v>
      </c>
    </row>
    <row r="19" spans="2:13" x14ac:dyDescent="0.25">
      <c r="B19" s="27" t="s">
        <v>48</v>
      </c>
      <c r="C19" s="83">
        <f>'Segment P&amp;L'!C63</f>
        <v>-299</v>
      </c>
      <c r="D19" s="74"/>
      <c r="E19" s="83">
        <f>'Segment P&amp;L'!E63</f>
        <v>0</v>
      </c>
      <c r="F19" s="74"/>
      <c r="G19" s="83">
        <f>'Segment P&amp;L'!G63</f>
        <v>0</v>
      </c>
      <c r="H19" s="74"/>
      <c r="I19" s="83">
        <f>'Segment P&amp;L'!I63</f>
        <v>0</v>
      </c>
      <c r="J19" s="81"/>
      <c r="K19" s="83">
        <f>'Segment P&amp;L'!K63</f>
        <v>0</v>
      </c>
      <c r="M19" s="83">
        <f>'Segment P&amp;L'!M63</f>
        <v>0</v>
      </c>
    </row>
    <row r="20" spans="2:13" x14ac:dyDescent="0.25">
      <c r="B20" s="28"/>
      <c r="C20" s="84"/>
      <c r="D20" s="84"/>
      <c r="E20" s="84"/>
      <c r="F20" s="84"/>
      <c r="G20" s="84"/>
      <c r="H20" s="84"/>
      <c r="I20" s="84"/>
      <c r="J20" s="81"/>
      <c r="K20" s="78"/>
      <c r="M20" s="78"/>
    </row>
    <row r="21" spans="2:13" x14ac:dyDescent="0.25">
      <c r="B21" s="29" t="s">
        <v>32</v>
      </c>
      <c r="C21" s="82">
        <f>C11-C14-C15-C16-C17-C18-C19</f>
        <v>344.50000000000006</v>
      </c>
      <c r="D21" s="74"/>
      <c r="E21" s="82">
        <f>E11-E14-E15-E16-E17-E18-E19</f>
        <v>99.199999999999974</v>
      </c>
      <c r="F21" s="74"/>
      <c r="G21" s="82">
        <f>G11-G14-G15-G16-G17-G18-G19</f>
        <v>-2199.3000000000002</v>
      </c>
      <c r="H21" s="74"/>
      <c r="I21" s="82">
        <f>I11-I14-I15-I16-I17-I18-I19</f>
        <v>60.699999999999996</v>
      </c>
      <c r="J21" s="74"/>
      <c r="K21" s="82">
        <f>K11-K14-K15-K16-K17-K18-K19</f>
        <v>35.900000000000034</v>
      </c>
      <c r="M21" s="82">
        <f>M11-M14-M15-M16-M17-M18-M19</f>
        <v>9.1999999999999496</v>
      </c>
    </row>
    <row r="22" spans="2:13" x14ac:dyDescent="0.25">
      <c r="B22" s="23"/>
      <c r="C22" s="78"/>
      <c r="D22" s="73"/>
      <c r="E22" s="78"/>
      <c r="F22" s="73"/>
      <c r="G22" s="78"/>
      <c r="H22" s="73"/>
      <c r="I22" s="78"/>
      <c r="J22" s="81"/>
      <c r="K22" s="78"/>
      <c r="M22" s="78"/>
    </row>
    <row r="23" spans="2:13" x14ac:dyDescent="0.25">
      <c r="B23" s="30" t="s">
        <v>8</v>
      </c>
      <c r="C23" s="82">
        <v>15.8</v>
      </c>
      <c r="D23" s="74"/>
      <c r="E23" s="82">
        <v>14.1</v>
      </c>
      <c r="F23" s="74"/>
      <c r="G23" s="82">
        <v>13.2</v>
      </c>
      <c r="H23" s="74"/>
      <c r="I23" s="82">
        <v>15.5</v>
      </c>
      <c r="J23" s="81"/>
      <c r="K23" s="78">
        <v>14.8</v>
      </c>
      <c r="M23" s="78">
        <v>14.2</v>
      </c>
    </row>
    <row r="24" spans="2:13" x14ac:dyDescent="0.25">
      <c r="B24" s="30" t="s">
        <v>46</v>
      </c>
      <c r="C24" s="78">
        <f>-0.4-0.1</f>
        <v>-0.5</v>
      </c>
      <c r="D24" s="73"/>
      <c r="E24" s="78">
        <v>-0.1</v>
      </c>
      <c r="F24" s="73"/>
      <c r="G24" s="78">
        <v>9.6</v>
      </c>
      <c r="H24" s="73"/>
      <c r="I24" s="78">
        <v>1.4</v>
      </c>
      <c r="J24" s="81"/>
      <c r="K24" s="78">
        <v>0.4</v>
      </c>
      <c r="M24" s="78">
        <v>-0.9</v>
      </c>
    </row>
    <row r="25" spans="2:13" x14ac:dyDescent="0.25">
      <c r="B25" s="30" t="s">
        <v>6</v>
      </c>
      <c r="C25" s="75">
        <v>61.3</v>
      </c>
      <c r="D25" s="73"/>
      <c r="E25" s="75">
        <v>45.3</v>
      </c>
      <c r="F25" s="73"/>
      <c r="G25" s="75">
        <v>46.8</v>
      </c>
      <c r="H25" s="73"/>
      <c r="I25" s="75">
        <v>40.1</v>
      </c>
      <c r="J25" s="81"/>
      <c r="K25" s="75">
        <v>38.9</v>
      </c>
      <c r="M25" s="75">
        <v>38.299999999999997</v>
      </c>
    </row>
    <row r="26" spans="2:13" x14ac:dyDescent="0.25">
      <c r="B26" s="30"/>
      <c r="C26" s="73"/>
      <c r="D26" s="73"/>
      <c r="E26" s="73"/>
      <c r="F26" s="73"/>
      <c r="G26" s="73"/>
      <c r="H26" s="73"/>
      <c r="I26" s="73"/>
      <c r="J26" s="81"/>
      <c r="K26" s="78"/>
      <c r="M26" s="78"/>
    </row>
    <row r="27" spans="2:13" x14ac:dyDescent="0.25">
      <c r="B27" s="22" t="s">
        <v>29</v>
      </c>
      <c r="C27" s="73"/>
      <c r="D27" s="73"/>
      <c r="E27" s="73"/>
      <c r="F27" s="73"/>
      <c r="G27" s="73"/>
      <c r="H27" s="73"/>
      <c r="I27" s="73"/>
      <c r="J27" s="81"/>
      <c r="K27" s="78"/>
      <c r="M27" s="78"/>
    </row>
    <row r="28" spans="2:13" ht="25" x14ac:dyDescent="0.25">
      <c r="B28" s="41" t="s">
        <v>28</v>
      </c>
      <c r="C28" s="73">
        <f>C21-C23-C24-C25</f>
        <v>267.90000000000003</v>
      </c>
      <c r="D28" s="73"/>
      <c r="E28" s="73">
        <f>E21-E23-E24-E25</f>
        <v>39.899999999999977</v>
      </c>
      <c r="F28" s="73"/>
      <c r="G28" s="73">
        <f>G21-G23-G24-G25</f>
        <v>-2268.9</v>
      </c>
      <c r="H28" s="73"/>
      <c r="I28" s="73">
        <f>I21-I23-I24-I25</f>
        <v>3.6999999999999957</v>
      </c>
      <c r="J28" s="73"/>
      <c r="K28" s="73">
        <f>K21-K23-K24-K25</f>
        <v>-18.199999999999964</v>
      </c>
      <c r="M28" s="73">
        <f>M21-M23-M24-M25</f>
        <v>-42.400000000000048</v>
      </c>
    </row>
    <row r="29" spans="2:13" x14ac:dyDescent="0.25">
      <c r="B29" s="23"/>
      <c r="C29" s="78"/>
      <c r="D29" s="73"/>
      <c r="E29" s="78"/>
      <c r="F29" s="73"/>
      <c r="G29" s="78"/>
      <c r="H29" s="73"/>
      <c r="I29" s="78"/>
      <c r="J29" s="81"/>
      <c r="K29" s="78"/>
      <c r="M29" s="78"/>
    </row>
    <row r="30" spans="2:13" x14ac:dyDescent="0.25">
      <c r="B30" s="30" t="s">
        <v>16</v>
      </c>
      <c r="C30" s="83">
        <v>-2</v>
      </c>
      <c r="D30" s="74"/>
      <c r="E30" s="83">
        <v>2</v>
      </c>
      <c r="F30" s="74"/>
      <c r="G30" s="83">
        <v>114.8</v>
      </c>
      <c r="H30" s="74"/>
      <c r="I30" s="83">
        <v>-0.3</v>
      </c>
      <c r="J30" s="81"/>
      <c r="K30" s="85">
        <v>0.1</v>
      </c>
      <c r="M30" s="85">
        <v>-8.9</v>
      </c>
    </row>
    <row r="31" spans="2:13" x14ac:dyDescent="0.25">
      <c r="B31" s="30"/>
      <c r="C31" s="74"/>
      <c r="D31" s="74"/>
      <c r="E31" s="74"/>
      <c r="F31" s="74"/>
      <c r="G31" s="74"/>
      <c r="H31" s="74"/>
      <c r="I31" s="74"/>
      <c r="J31" s="81"/>
      <c r="K31" s="77"/>
      <c r="M31" s="77"/>
    </row>
    <row r="32" spans="2:13" x14ac:dyDescent="0.25">
      <c r="B32" s="22" t="s">
        <v>25</v>
      </c>
      <c r="C32" s="74"/>
      <c r="D32" s="74"/>
      <c r="E32" s="74"/>
      <c r="F32" s="74"/>
      <c r="G32" s="74"/>
      <c r="H32" s="74"/>
      <c r="I32" s="74"/>
      <c r="J32" s="81"/>
      <c r="K32" s="77"/>
      <c r="M32" s="77"/>
    </row>
    <row r="33" spans="2:13" x14ac:dyDescent="0.25">
      <c r="B33" s="37" t="s">
        <v>24</v>
      </c>
      <c r="C33" s="74">
        <f>C28-C30</f>
        <v>269.90000000000003</v>
      </c>
      <c r="D33" s="74"/>
      <c r="E33" s="74">
        <f>E28-E30</f>
        <v>37.899999999999977</v>
      </c>
      <c r="F33" s="74"/>
      <c r="G33" s="74">
        <f>G28-G30</f>
        <v>-2383.7000000000003</v>
      </c>
      <c r="H33" s="74"/>
      <c r="I33" s="74">
        <f>I28-I30</f>
        <v>3.9999999999999956</v>
      </c>
      <c r="J33" s="74"/>
      <c r="K33" s="80">
        <f>K28-K30</f>
        <v>-18.299999999999965</v>
      </c>
      <c r="M33" s="80">
        <f>M28-M30</f>
        <v>-33.50000000000005</v>
      </c>
    </row>
    <row r="34" spans="2:13" x14ac:dyDescent="0.25">
      <c r="B34" s="37"/>
      <c r="C34" s="74"/>
      <c r="D34" s="74"/>
      <c r="E34" s="74"/>
      <c r="F34" s="74"/>
      <c r="G34" s="74"/>
      <c r="H34" s="74"/>
      <c r="I34" s="74"/>
      <c r="J34" s="81"/>
      <c r="K34" s="77"/>
      <c r="M34" s="77"/>
    </row>
    <row r="35" spans="2:13" x14ac:dyDescent="0.25">
      <c r="B35" s="30" t="s">
        <v>7</v>
      </c>
      <c r="C35" s="74">
        <v>0</v>
      </c>
      <c r="D35" s="74"/>
      <c r="E35" s="74">
        <v>0</v>
      </c>
      <c r="F35" s="74"/>
      <c r="G35" s="74">
        <v>0</v>
      </c>
      <c r="H35" s="74"/>
      <c r="I35" s="74">
        <v>0</v>
      </c>
      <c r="J35" s="81"/>
      <c r="K35" s="79">
        <v>-0.2</v>
      </c>
      <c r="M35" s="79">
        <v>217.8</v>
      </c>
    </row>
    <row r="36" spans="2:13" x14ac:dyDescent="0.25">
      <c r="B36" s="37"/>
      <c r="C36" s="74"/>
      <c r="D36" s="74"/>
      <c r="E36" s="74"/>
      <c r="F36" s="74"/>
      <c r="G36" s="74"/>
      <c r="H36" s="74"/>
      <c r="I36" s="74"/>
      <c r="J36" s="81"/>
      <c r="K36" s="77"/>
      <c r="M36" s="77"/>
    </row>
    <row r="37" spans="2:13" x14ac:dyDescent="0.25">
      <c r="B37" s="30" t="s">
        <v>17</v>
      </c>
      <c r="C37" s="83">
        <v>0</v>
      </c>
      <c r="D37" s="74"/>
      <c r="E37" s="83">
        <v>85.9</v>
      </c>
      <c r="F37" s="74"/>
      <c r="G37" s="83">
        <v>0</v>
      </c>
      <c r="H37" s="74"/>
      <c r="I37" s="83">
        <v>0</v>
      </c>
      <c r="J37" s="74"/>
      <c r="K37" s="85">
        <v>0</v>
      </c>
      <c r="M37" s="85">
        <v>-2008.7</v>
      </c>
    </row>
    <row r="38" spans="2:13" x14ac:dyDescent="0.25">
      <c r="B38" s="30"/>
      <c r="C38" s="74"/>
      <c r="D38" s="74"/>
      <c r="E38" s="74"/>
      <c r="F38" s="74"/>
      <c r="G38" s="74"/>
      <c r="H38" s="74"/>
      <c r="I38" s="74"/>
      <c r="J38" s="81"/>
      <c r="K38" s="77"/>
      <c r="M38" s="77"/>
    </row>
    <row r="39" spans="2:13" x14ac:dyDescent="0.25">
      <c r="B39" s="25" t="s">
        <v>18</v>
      </c>
      <c r="C39" s="73">
        <f>SUM(C33:C37)</f>
        <v>269.90000000000003</v>
      </c>
      <c r="D39" s="73"/>
      <c r="E39" s="73">
        <f>SUM(E33:E37)</f>
        <v>123.79999999999998</v>
      </c>
      <c r="F39" s="73"/>
      <c r="G39" s="73">
        <f>SUM(G33:G37)</f>
        <v>-2383.7000000000003</v>
      </c>
      <c r="H39" s="73"/>
      <c r="I39" s="73">
        <f>SUM(I33:I37)</f>
        <v>3.9999999999999956</v>
      </c>
      <c r="J39" s="73"/>
      <c r="K39" s="79">
        <f>SUM(K33:K37)</f>
        <v>-18.499999999999964</v>
      </c>
      <c r="M39" s="79">
        <f>SUM(M33:M37)</f>
        <v>-1824.4</v>
      </c>
    </row>
    <row r="40" spans="2:13" x14ac:dyDescent="0.25">
      <c r="C40" s="78"/>
      <c r="D40" s="73"/>
      <c r="E40" s="78"/>
      <c r="F40" s="73"/>
      <c r="G40" s="78"/>
      <c r="H40" s="73"/>
      <c r="I40" s="78"/>
      <c r="J40" s="81"/>
      <c r="K40" s="77"/>
      <c r="M40" s="77"/>
    </row>
    <row r="41" spans="2:13" x14ac:dyDescent="0.25">
      <c r="B41" s="13" t="s">
        <v>27</v>
      </c>
      <c r="C41" s="75">
        <v>2.6</v>
      </c>
      <c r="D41" s="73"/>
      <c r="E41" s="75">
        <v>2.6</v>
      </c>
      <c r="F41" s="73"/>
      <c r="G41" s="75">
        <v>2.6</v>
      </c>
      <c r="H41" s="73"/>
      <c r="I41" s="75">
        <v>2.6</v>
      </c>
      <c r="J41" s="81"/>
      <c r="K41" s="85">
        <v>2.6</v>
      </c>
      <c r="M41" s="85">
        <v>2.6</v>
      </c>
    </row>
    <row r="42" spans="2:13" x14ac:dyDescent="0.25">
      <c r="C42" s="7"/>
      <c r="D42" s="7"/>
      <c r="E42" s="7"/>
      <c r="F42" s="7"/>
      <c r="G42" s="7"/>
      <c r="H42" s="7"/>
      <c r="I42" s="7"/>
      <c r="J42" s="31"/>
      <c r="K42" s="3"/>
      <c r="M42" s="3"/>
    </row>
    <row r="43" spans="2:13" ht="13" thickBot="1" x14ac:dyDescent="0.3">
      <c r="B43" s="13" t="s">
        <v>19</v>
      </c>
      <c r="C43" s="86">
        <f>C39-C41</f>
        <v>267.3</v>
      </c>
      <c r="D43" s="87"/>
      <c r="E43" s="86">
        <f>E39-E41</f>
        <v>121.19999999999999</v>
      </c>
      <c r="F43" s="87"/>
      <c r="G43" s="86">
        <f>G39-G41</f>
        <v>-2386.3000000000002</v>
      </c>
      <c r="H43" s="87"/>
      <c r="I43" s="86">
        <f>I39-I41</f>
        <v>1.3999999999999955</v>
      </c>
      <c r="J43" s="87"/>
      <c r="K43" s="88">
        <f>K39-K41</f>
        <v>-21.099999999999966</v>
      </c>
      <c r="M43" s="88">
        <f>M39-M41</f>
        <v>-1827</v>
      </c>
    </row>
    <row r="44" spans="2:13" ht="13" thickTop="1" x14ac:dyDescent="0.25">
      <c r="C44" s="76"/>
      <c r="D44" s="76"/>
      <c r="E44" s="76"/>
      <c r="F44" s="76"/>
      <c r="G44" s="76"/>
      <c r="H44" s="76"/>
      <c r="I44" s="76"/>
      <c r="J44" s="89"/>
      <c r="K44" s="90"/>
      <c r="M44" s="90"/>
    </row>
    <row r="45" spans="2:13" x14ac:dyDescent="0.25">
      <c r="B45" s="32" t="s">
        <v>45</v>
      </c>
      <c r="C45" s="11"/>
      <c r="D45" s="70"/>
      <c r="E45" s="11"/>
      <c r="F45" s="70"/>
      <c r="G45" s="11"/>
      <c r="H45" s="70"/>
      <c r="I45" s="11"/>
      <c r="J45" s="31"/>
      <c r="K45" s="5"/>
      <c r="M45" s="5"/>
    </row>
    <row r="46" spans="2:13" x14ac:dyDescent="0.25">
      <c r="B46" s="33" t="s">
        <v>25</v>
      </c>
      <c r="C46" s="11"/>
      <c r="D46" s="70"/>
      <c r="E46" s="11"/>
      <c r="F46" s="70"/>
      <c r="G46" s="11"/>
      <c r="H46" s="70"/>
      <c r="I46" s="11"/>
      <c r="J46" s="31"/>
      <c r="K46" s="5"/>
      <c r="M46" s="5"/>
    </row>
    <row r="47" spans="2:13" x14ac:dyDescent="0.25">
      <c r="B47" s="22" t="s">
        <v>24</v>
      </c>
      <c r="C47" s="91">
        <v>1.22</v>
      </c>
      <c r="D47" s="91"/>
      <c r="E47" s="91">
        <v>0.16</v>
      </c>
      <c r="F47" s="91"/>
      <c r="G47" s="91">
        <v>-10.92</v>
      </c>
      <c r="H47" s="91"/>
      <c r="I47" s="91">
        <v>0.01</v>
      </c>
      <c r="J47" s="92"/>
      <c r="K47" s="91">
        <v>-0.1</v>
      </c>
      <c r="M47" s="91">
        <v>-0.17</v>
      </c>
    </row>
    <row r="48" spans="2:13" x14ac:dyDescent="0.25">
      <c r="B48" s="33" t="s">
        <v>7</v>
      </c>
      <c r="C48" s="93">
        <v>0</v>
      </c>
      <c r="D48" s="93"/>
      <c r="E48" s="93">
        <v>0</v>
      </c>
      <c r="F48" s="93"/>
      <c r="G48" s="93">
        <v>0</v>
      </c>
      <c r="H48" s="93"/>
      <c r="I48" s="93">
        <v>0</v>
      </c>
      <c r="J48" s="72"/>
      <c r="K48" s="94">
        <v>0</v>
      </c>
      <c r="M48" s="94">
        <v>1</v>
      </c>
    </row>
    <row r="49" spans="2:13" x14ac:dyDescent="0.25">
      <c r="B49" s="18" t="s">
        <v>17</v>
      </c>
      <c r="C49" s="93">
        <v>0</v>
      </c>
      <c r="D49" s="93"/>
      <c r="E49" s="93">
        <v>0.39</v>
      </c>
      <c r="F49" s="93"/>
      <c r="G49" s="93">
        <v>0</v>
      </c>
      <c r="H49" s="93"/>
      <c r="I49" s="93">
        <v>0</v>
      </c>
      <c r="J49" s="72"/>
      <c r="K49" s="94">
        <v>0</v>
      </c>
      <c r="M49" s="94">
        <v>0</v>
      </c>
    </row>
    <row r="50" spans="2:13" ht="13" thickBot="1" x14ac:dyDescent="0.3">
      <c r="B50" s="34" t="s">
        <v>26</v>
      </c>
      <c r="C50" s="95">
        <f>SUM(C47:C49)</f>
        <v>1.22</v>
      </c>
      <c r="D50" s="96"/>
      <c r="E50" s="95">
        <f>SUM(E47:E49)</f>
        <v>0.55000000000000004</v>
      </c>
      <c r="F50" s="96"/>
      <c r="G50" s="95">
        <f>SUM(G47:G49)</f>
        <v>-10.92</v>
      </c>
      <c r="H50" s="96"/>
      <c r="I50" s="95">
        <f>SUM(I47:I49)</f>
        <v>0.01</v>
      </c>
      <c r="J50" s="92"/>
      <c r="K50" s="97">
        <f>SUM(K47:K49)</f>
        <v>-0.1</v>
      </c>
      <c r="M50" s="97">
        <f>SUM(M47:M49)</f>
        <v>0.83</v>
      </c>
    </row>
    <row r="51" spans="2:13" ht="13" thickTop="1" x14ac:dyDescent="0.25">
      <c r="B51" s="34"/>
      <c r="C51" s="96"/>
      <c r="D51" s="96"/>
      <c r="E51" s="96"/>
      <c r="F51" s="96"/>
      <c r="G51" s="96"/>
      <c r="H51" s="96"/>
      <c r="I51" s="96"/>
      <c r="J51" s="92"/>
      <c r="K51" s="98"/>
      <c r="M51" s="98"/>
    </row>
    <row r="52" spans="2:13" x14ac:dyDescent="0.25">
      <c r="B52" s="32" t="s">
        <v>44</v>
      </c>
      <c r="C52" s="99"/>
      <c r="D52" s="100"/>
      <c r="E52" s="99"/>
      <c r="F52" s="100"/>
      <c r="G52" s="99"/>
      <c r="H52" s="100"/>
      <c r="I52" s="99"/>
      <c r="J52" s="92"/>
      <c r="K52" s="101"/>
      <c r="M52" s="101"/>
    </row>
    <row r="53" spans="2:13" x14ac:dyDescent="0.25">
      <c r="B53" s="33" t="s">
        <v>25</v>
      </c>
      <c r="C53" s="99"/>
      <c r="D53" s="100"/>
      <c r="E53" s="99"/>
      <c r="F53" s="100"/>
      <c r="G53" s="99"/>
      <c r="H53" s="100"/>
      <c r="I53" s="99"/>
      <c r="J53" s="92"/>
      <c r="K53" s="101"/>
      <c r="M53" s="101"/>
    </row>
    <row r="54" spans="2:13" x14ac:dyDescent="0.25">
      <c r="B54" s="22" t="s">
        <v>24</v>
      </c>
      <c r="C54" s="91">
        <v>1.18</v>
      </c>
      <c r="D54" s="91"/>
      <c r="E54" s="91">
        <v>0.16</v>
      </c>
      <c r="F54" s="91"/>
      <c r="G54" s="91">
        <v>-10.92</v>
      </c>
      <c r="H54" s="91"/>
      <c r="I54" s="91">
        <v>0.01</v>
      </c>
      <c r="J54" s="92"/>
      <c r="K54" s="91">
        <v>-0.1</v>
      </c>
      <c r="M54" s="91">
        <v>-0.17</v>
      </c>
    </row>
    <row r="55" spans="2:13" x14ac:dyDescent="0.25">
      <c r="B55" s="33" t="s">
        <v>7</v>
      </c>
      <c r="C55" s="93">
        <v>0</v>
      </c>
      <c r="D55" s="93"/>
      <c r="E55" s="93">
        <v>0</v>
      </c>
      <c r="F55" s="93"/>
      <c r="G55" s="93">
        <v>0</v>
      </c>
      <c r="H55" s="93"/>
      <c r="I55" s="93">
        <v>0</v>
      </c>
      <c r="J55" s="72"/>
      <c r="K55" s="94">
        <v>0</v>
      </c>
      <c r="M55" s="94">
        <v>1</v>
      </c>
    </row>
    <row r="56" spans="2:13" x14ac:dyDescent="0.25">
      <c r="B56" s="18" t="s">
        <v>17</v>
      </c>
      <c r="C56" s="93">
        <v>0</v>
      </c>
      <c r="D56" s="93"/>
      <c r="E56" s="93">
        <v>0.39</v>
      </c>
      <c r="F56" s="93"/>
      <c r="G56" s="93">
        <v>0</v>
      </c>
      <c r="H56" s="93"/>
      <c r="I56" s="93">
        <v>0</v>
      </c>
      <c r="J56" s="72"/>
      <c r="K56" s="94">
        <v>0</v>
      </c>
      <c r="M56" s="94">
        <v>0</v>
      </c>
    </row>
    <row r="57" spans="2:13" ht="13" thickBot="1" x14ac:dyDescent="0.3">
      <c r="B57" s="34" t="s">
        <v>26</v>
      </c>
      <c r="C57" s="95">
        <f>SUM(C54:C56)</f>
        <v>1.18</v>
      </c>
      <c r="D57" s="96"/>
      <c r="E57" s="95">
        <f>SUM(E54:E56)</f>
        <v>0.55000000000000004</v>
      </c>
      <c r="F57" s="96"/>
      <c r="G57" s="95">
        <f>SUM(G54:G56)</f>
        <v>-10.92</v>
      </c>
      <c r="H57" s="96"/>
      <c r="I57" s="95">
        <f>SUM(I54:I56)</f>
        <v>0.01</v>
      </c>
      <c r="J57" s="92"/>
      <c r="K57" s="97">
        <f>SUM(K54:K56)</f>
        <v>-0.1</v>
      </c>
      <c r="M57" s="97">
        <f>SUM(M54:M56)</f>
        <v>0.83</v>
      </c>
    </row>
    <row r="58" spans="2:13" ht="13" thickTop="1" x14ac:dyDescent="0.25">
      <c r="B58" s="34"/>
      <c r="C58" s="56"/>
      <c r="D58" s="56"/>
      <c r="E58" s="56"/>
      <c r="F58" s="56"/>
      <c r="G58" s="56"/>
      <c r="H58" s="56"/>
      <c r="I58" s="56"/>
      <c r="J58" s="72"/>
      <c r="K58" s="57"/>
      <c r="M58" s="57"/>
    </row>
    <row r="59" spans="2:13" x14ac:dyDescent="0.25">
      <c r="B59" s="32" t="s">
        <v>9</v>
      </c>
      <c r="C59" s="10"/>
      <c r="D59" s="69"/>
      <c r="E59" s="10"/>
      <c r="F59" s="69"/>
      <c r="G59" s="10"/>
      <c r="H59" s="69"/>
      <c r="I59" s="10"/>
      <c r="J59" s="31"/>
      <c r="K59" s="3"/>
      <c r="M59" s="3"/>
    </row>
    <row r="60" spans="2:13" x14ac:dyDescent="0.25">
      <c r="B60" s="35" t="s">
        <v>22</v>
      </c>
      <c r="C60" s="7">
        <v>218.9</v>
      </c>
      <c r="D60" s="7"/>
      <c r="E60" s="7">
        <v>218.9</v>
      </c>
      <c r="F60" s="7"/>
      <c r="G60" s="7">
        <v>218.5</v>
      </c>
      <c r="H60" s="7"/>
      <c r="I60" s="7">
        <v>218.5</v>
      </c>
      <c r="J60" s="31"/>
      <c r="K60" s="3">
        <v>218.4</v>
      </c>
      <c r="M60" s="3">
        <v>218.2</v>
      </c>
    </row>
    <row r="61" spans="2:13" x14ac:dyDescent="0.25">
      <c r="B61" s="35" t="s">
        <v>21</v>
      </c>
      <c r="C61" s="7">
        <v>227.2</v>
      </c>
      <c r="D61" s="7"/>
      <c r="E61" s="7">
        <v>219.9</v>
      </c>
      <c r="F61" s="7"/>
      <c r="G61" s="7">
        <v>218.5</v>
      </c>
      <c r="H61" s="7"/>
      <c r="I61" s="7">
        <v>219</v>
      </c>
      <c r="J61" s="31"/>
      <c r="K61" s="3">
        <v>218.4</v>
      </c>
      <c r="M61" s="3">
        <v>218.2</v>
      </c>
    </row>
    <row r="62" spans="2:13" x14ac:dyDescent="0.25">
      <c r="C62" s="7"/>
      <c r="D62" s="7"/>
      <c r="E62" s="7"/>
      <c r="F62" s="7"/>
      <c r="G62" s="7"/>
      <c r="H62" s="7"/>
      <c r="I62" s="7"/>
      <c r="J62" s="38"/>
      <c r="K62" s="4"/>
      <c r="M62" s="4"/>
    </row>
    <row r="63" spans="2:13" x14ac:dyDescent="0.25">
      <c r="C63" s="36"/>
      <c r="D63" s="64"/>
      <c r="E63" s="36"/>
      <c r="F63" s="64"/>
      <c r="G63" s="36"/>
      <c r="H63" s="64"/>
      <c r="I63" s="36"/>
      <c r="J63" s="64"/>
    </row>
    <row r="64" spans="2:13" x14ac:dyDescent="0.25">
      <c r="C64" s="58"/>
      <c r="D64" s="71"/>
      <c r="E64" s="58"/>
      <c r="F64" s="71"/>
      <c r="G64" s="58"/>
      <c r="H64" s="71"/>
      <c r="I64" s="58"/>
      <c r="J64" s="64"/>
      <c r="K64" s="36"/>
      <c r="M64" s="36"/>
    </row>
    <row r="65" spans="3:13" x14ac:dyDescent="0.25">
      <c r="C65" s="36"/>
      <c r="D65" s="64"/>
      <c r="E65" s="36"/>
      <c r="F65" s="64"/>
      <c r="G65" s="36"/>
      <c r="H65" s="64"/>
      <c r="I65" s="36"/>
      <c r="J65" s="64"/>
      <c r="K65" s="36"/>
      <c r="M65" s="36"/>
    </row>
    <row r="66" spans="3:13" x14ac:dyDescent="0.25">
      <c r="D66" s="38"/>
      <c r="F66" s="38"/>
      <c r="J66" s="38"/>
    </row>
    <row r="67" spans="3:13" x14ac:dyDescent="0.25">
      <c r="D67" s="38"/>
      <c r="F67" s="38"/>
      <c r="J67" s="38"/>
    </row>
    <row r="68" spans="3:13" x14ac:dyDescent="0.25">
      <c r="D68" s="38"/>
      <c r="F68" s="38"/>
      <c r="J68" s="38"/>
    </row>
    <row r="69" spans="3:13" x14ac:dyDescent="0.25">
      <c r="D69" s="38"/>
      <c r="F69" s="38"/>
      <c r="J69" s="38"/>
    </row>
    <row r="70" spans="3:13" x14ac:dyDescent="0.25">
      <c r="D70" s="38"/>
      <c r="F70" s="38"/>
      <c r="J70" s="38"/>
    </row>
    <row r="71" spans="3:13" x14ac:dyDescent="0.25">
      <c r="D71" s="38"/>
      <c r="F71" s="38"/>
      <c r="J71" s="38"/>
    </row>
    <row r="72" spans="3:13" x14ac:dyDescent="0.25">
      <c r="D72" s="38"/>
      <c r="F72" s="38"/>
      <c r="J72" s="38"/>
    </row>
    <row r="73" spans="3:13" x14ac:dyDescent="0.25">
      <c r="D73" s="38"/>
      <c r="F73" s="38"/>
      <c r="J73" s="38"/>
    </row>
    <row r="74" spans="3:13" x14ac:dyDescent="0.25">
      <c r="D74" s="38"/>
      <c r="F74" s="38"/>
      <c r="J74" s="38"/>
    </row>
    <row r="75" spans="3:13" x14ac:dyDescent="0.25">
      <c r="D75" s="38"/>
      <c r="F75" s="38"/>
    </row>
    <row r="76" spans="3:13" x14ac:dyDescent="0.25">
      <c r="D76" s="38"/>
      <c r="F76" s="38"/>
    </row>
    <row r="77" spans="3:13" x14ac:dyDescent="0.25">
      <c r="D77" s="38"/>
      <c r="F77" s="38"/>
    </row>
    <row r="78" spans="3:13" x14ac:dyDescent="0.25">
      <c r="D78" s="38"/>
      <c r="F78" s="38"/>
    </row>
    <row r="79" spans="3:13" x14ac:dyDescent="0.25">
      <c r="D79" s="38"/>
      <c r="F79" s="38"/>
    </row>
    <row r="80" spans="3:13" x14ac:dyDescent="0.25">
      <c r="D80" s="38"/>
      <c r="F80" s="38"/>
    </row>
    <row r="81" spans="4:6" x14ac:dyDescent="0.25">
      <c r="D81" s="38"/>
      <c r="F81" s="38"/>
    </row>
    <row r="82" spans="4:6" x14ac:dyDescent="0.25">
      <c r="D82" s="38"/>
      <c r="F82" s="38"/>
    </row>
    <row r="83" spans="4:6" x14ac:dyDescent="0.25">
      <c r="D83" s="38"/>
      <c r="F83" s="38"/>
    </row>
    <row r="84" spans="4:6" x14ac:dyDescent="0.25">
      <c r="D84" s="38"/>
      <c r="F84" s="38"/>
    </row>
    <row r="85" spans="4:6" x14ac:dyDescent="0.25">
      <c r="D85" s="38"/>
      <c r="F85" s="38"/>
    </row>
    <row r="86" spans="4:6" x14ac:dyDescent="0.25">
      <c r="D86" s="38"/>
      <c r="F86" s="38"/>
    </row>
    <row r="87" spans="4:6" x14ac:dyDescent="0.25">
      <c r="D87" s="38"/>
      <c r="F87" s="38"/>
    </row>
    <row r="88" spans="4:6" x14ac:dyDescent="0.25">
      <c r="D88" s="38"/>
      <c r="F88" s="38"/>
    </row>
    <row r="89" spans="4:6" x14ac:dyDescent="0.25">
      <c r="D89" s="38"/>
      <c r="F89" s="38"/>
    </row>
    <row r="90" spans="4:6" x14ac:dyDescent="0.25">
      <c r="D90" s="38"/>
      <c r="F90" s="38"/>
    </row>
    <row r="91" spans="4:6" x14ac:dyDescent="0.25">
      <c r="D91" s="38"/>
      <c r="F91" s="38"/>
    </row>
    <row r="92" spans="4:6" x14ac:dyDescent="0.25">
      <c r="D92" s="38"/>
      <c r="F92" s="38"/>
    </row>
    <row r="93" spans="4:6" x14ac:dyDescent="0.25">
      <c r="D93" s="38"/>
      <c r="F93" s="38"/>
    </row>
    <row r="94" spans="4:6" x14ac:dyDescent="0.25">
      <c r="D94" s="38"/>
      <c r="F94" s="38"/>
    </row>
    <row r="95" spans="4:6" x14ac:dyDescent="0.25">
      <c r="D95" s="38"/>
      <c r="F95" s="38"/>
    </row>
    <row r="96" spans="4:6" x14ac:dyDescent="0.25">
      <c r="D96" s="38"/>
      <c r="F96" s="38"/>
    </row>
    <row r="97" spans="4:6" x14ac:dyDescent="0.25">
      <c r="D97" s="38"/>
      <c r="F97" s="38"/>
    </row>
    <row r="98" spans="4:6" x14ac:dyDescent="0.25">
      <c r="F98" s="38"/>
    </row>
    <row r="99" spans="4:6" x14ac:dyDescent="0.25">
      <c r="F99" s="38"/>
    </row>
    <row r="100" spans="4:6" x14ac:dyDescent="0.25">
      <c r="F100" s="38"/>
    </row>
    <row r="101" spans="4:6" x14ac:dyDescent="0.25">
      <c r="F101" s="38"/>
    </row>
    <row r="102" spans="4:6" x14ac:dyDescent="0.25">
      <c r="F102" s="38"/>
    </row>
    <row r="103" spans="4:6" x14ac:dyDescent="0.25">
      <c r="F103" s="38"/>
    </row>
    <row r="104" spans="4:6" x14ac:dyDescent="0.25">
      <c r="F104" s="38"/>
    </row>
    <row r="105" spans="4:6" x14ac:dyDescent="0.25">
      <c r="F105" s="38"/>
    </row>
    <row r="106" spans="4:6" x14ac:dyDescent="0.25">
      <c r="F106" s="38"/>
    </row>
    <row r="107" spans="4:6" x14ac:dyDescent="0.25">
      <c r="F107" s="38"/>
    </row>
    <row r="108" spans="4:6" x14ac:dyDescent="0.25">
      <c r="F108" s="38"/>
    </row>
    <row r="109" spans="4:6" x14ac:dyDescent="0.25">
      <c r="F109" s="38"/>
    </row>
    <row r="110" spans="4:6" x14ac:dyDescent="0.25">
      <c r="F110" s="38"/>
    </row>
    <row r="111" spans="4:6" x14ac:dyDescent="0.25">
      <c r="F111" s="38"/>
    </row>
    <row r="112" spans="4:6" x14ac:dyDescent="0.25">
      <c r="F112" s="38"/>
    </row>
    <row r="113" spans="6:6" x14ac:dyDescent="0.25">
      <c r="F113" s="38"/>
    </row>
    <row r="114" spans="6:6" x14ac:dyDescent="0.25">
      <c r="F114" s="38"/>
    </row>
    <row r="115" spans="6:6" x14ac:dyDescent="0.25">
      <c r="F115" s="38"/>
    </row>
    <row r="116" spans="6:6" x14ac:dyDescent="0.25">
      <c r="F116" s="38"/>
    </row>
    <row r="117" spans="6:6" x14ac:dyDescent="0.25">
      <c r="F117" s="38"/>
    </row>
    <row r="118" spans="6:6" x14ac:dyDescent="0.25">
      <c r="F118" s="38"/>
    </row>
    <row r="119" spans="6:6" x14ac:dyDescent="0.25">
      <c r="F119" s="38"/>
    </row>
    <row r="120" spans="6:6" x14ac:dyDescent="0.25">
      <c r="F120" s="38"/>
    </row>
    <row r="121" spans="6:6" x14ac:dyDescent="0.25">
      <c r="F121" s="38"/>
    </row>
    <row r="122" spans="6:6" x14ac:dyDescent="0.25">
      <c r="F122" s="38"/>
    </row>
    <row r="123" spans="6:6" x14ac:dyDescent="0.25">
      <c r="F123" s="38"/>
    </row>
    <row r="124" spans="6:6" x14ac:dyDescent="0.25">
      <c r="F124" s="38"/>
    </row>
    <row r="125" spans="6:6" x14ac:dyDescent="0.25">
      <c r="F125" s="38"/>
    </row>
    <row r="126" spans="6:6" x14ac:dyDescent="0.25">
      <c r="F126" s="38"/>
    </row>
    <row r="127" spans="6:6" x14ac:dyDescent="0.25">
      <c r="F127" s="38"/>
    </row>
    <row r="128" spans="6:6" x14ac:dyDescent="0.25">
      <c r="F128" s="38"/>
    </row>
    <row r="129" spans="6:6" x14ac:dyDescent="0.25">
      <c r="F129" s="38"/>
    </row>
    <row r="130" spans="6:6" x14ac:dyDescent="0.25">
      <c r="F130" s="38"/>
    </row>
    <row r="131" spans="6:6" x14ac:dyDescent="0.25">
      <c r="F131" s="38"/>
    </row>
    <row r="132" spans="6:6" x14ac:dyDescent="0.25">
      <c r="F132" s="38"/>
    </row>
    <row r="133" spans="6:6" x14ac:dyDescent="0.25">
      <c r="F133" s="38"/>
    </row>
    <row r="134" spans="6:6" x14ac:dyDescent="0.25">
      <c r="F134" s="38"/>
    </row>
    <row r="135" spans="6:6" x14ac:dyDescent="0.25">
      <c r="F135" s="38"/>
    </row>
    <row r="136" spans="6:6" x14ac:dyDescent="0.25">
      <c r="F136" s="38"/>
    </row>
    <row r="137" spans="6:6" x14ac:dyDescent="0.25">
      <c r="F137" s="38"/>
    </row>
    <row r="138" spans="6:6" x14ac:dyDescent="0.25">
      <c r="F138" s="38"/>
    </row>
    <row r="139" spans="6:6" x14ac:dyDescent="0.25">
      <c r="F139" s="38"/>
    </row>
    <row r="140" spans="6:6" x14ac:dyDescent="0.25">
      <c r="F140" s="38"/>
    </row>
    <row r="141" spans="6:6" x14ac:dyDescent="0.25">
      <c r="F141" s="38"/>
    </row>
    <row r="142" spans="6:6" x14ac:dyDescent="0.25">
      <c r="F142" s="38"/>
    </row>
    <row r="143" spans="6:6" x14ac:dyDescent="0.25">
      <c r="F143" s="38"/>
    </row>
    <row r="144" spans="6:6" x14ac:dyDescent="0.25">
      <c r="F144" s="38"/>
    </row>
    <row r="145" spans="6:6" x14ac:dyDescent="0.25">
      <c r="F145" s="38"/>
    </row>
    <row r="146" spans="6:6" x14ac:dyDescent="0.25">
      <c r="F146" s="38"/>
    </row>
    <row r="147" spans="6:6" x14ac:dyDescent="0.25">
      <c r="F147" s="38"/>
    </row>
    <row r="148" spans="6:6" x14ac:dyDescent="0.25">
      <c r="F148" s="38"/>
    </row>
    <row r="149" spans="6:6" x14ac:dyDescent="0.25">
      <c r="F149" s="38"/>
    </row>
    <row r="150" spans="6:6" x14ac:dyDescent="0.25">
      <c r="F150" s="38"/>
    </row>
    <row r="151" spans="6:6" x14ac:dyDescent="0.25">
      <c r="F151" s="38"/>
    </row>
    <row r="152" spans="6:6" x14ac:dyDescent="0.25">
      <c r="F152" s="38"/>
    </row>
    <row r="153" spans="6:6" x14ac:dyDescent="0.25">
      <c r="F153" s="38"/>
    </row>
    <row r="154" spans="6:6" x14ac:dyDescent="0.25">
      <c r="F154" s="38"/>
    </row>
    <row r="155" spans="6:6" x14ac:dyDescent="0.25">
      <c r="F155" s="38"/>
    </row>
    <row r="156" spans="6:6" x14ac:dyDescent="0.25">
      <c r="F156" s="38"/>
    </row>
    <row r="157" spans="6:6" x14ac:dyDescent="0.25">
      <c r="F157" s="38"/>
    </row>
    <row r="158" spans="6:6" x14ac:dyDescent="0.25">
      <c r="F158" s="38"/>
    </row>
    <row r="159" spans="6:6" x14ac:dyDescent="0.25">
      <c r="F159" s="38"/>
    </row>
    <row r="160" spans="6:6" x14ac:dyDescent="0.25">
      <c r="F160" s="38"/>
    </row>
    <row r="161" spans="6:6" x14ac:dyDescent="0.25">
      <c r="F161" s="38"/>
    </row>
    <row r="162" spans="6:6" x14ac:dyDescent="0.25">
      <c r="F162" s="38"/>
    </row>
    <row r="163" spans="6:6" x14ac:dyDescent="0.25">
      <c r="F163" s="38"/>
    </row>
    <row r="164" spans="6:6" x14ac:dyDescent="0.25">
      <c r="F164" s="38"/>
    </row>
    <row r="165" spans="6:6" x14ac:dyDescent="0.25">
      <c r="F165" s="38"/>
    </row>
    <row r="166" spans="6:6" x14ac:dyDescent="0.25">
      <c r="F166" s="38"/>
    </row>
    <row r="167" spans="6:6" x14ac:dyDescent="0.25">
      <c r="F167" s="38"/>
    </row>
    <row r="168" spans="6:6" x14ac:dyDescent="0.25">
      <c r="F168" s="38"/>
    </row>
    <row r="169" spans="6:6" x14ac:dyDescent="0.25">
      <c r="F169" s="38"/>
    </row>
    <row r="170" spans="6:6" x14ac:dyDescent="0.25">
      <c r="F170" s="38"/>
    </row>
    <row r="171" spans="6:6" x14ac:dyDescent="0.25">
      <c r="F171" s="38"/>
    </row>
    <row r="172" spans="6:6" x14ac:dyDescent="0.25">
      <c r="F172" s="38"/>
    </row>
    <row r="173" spans="6:6" x14ac:dyDescent="0.25">
      <c r="F173" s="38"/>
    </row>
    <row r="174" spans="6:6" x14ac:dyDescent="0.25">
      <c r="F174" s="38"/>
    </row>
    <row r="175" spans="6:6" x14ac:dyDescent="0.25">
      <c r="F175" s="38"/>
    </row>
  </sheetData>
  <customSheetViews>
    <customSheetView guid="{AEADCD9C-38EF-44B6-8A6B-D55584A52E4B}" scale="90" showPageBreaks="1" fitToPage="1" showRuler="0">
      <pane xSplit="2" ySplit="9" topLeftCell="C10" activePane="bottomRight" state="frozen"/>
      <selection pane="bottomRight" activeCell="B21" sqref="B21"/>
      <pageMargins left="0.75" right="0.75" top="1" bottom="1" header="0.5" footer="0.5"/>
      <pageSetup scale="84" orientation="portrait" r:id="rId1"/>
      <headerFooter alignWithMargins="0">
        <oddFooter>&amp;L&amp;D&amp;T&amp;CBroadwing Confidential</oddFooter>
      </headerFooter>
    </customSheetView>
    <customSheetView guid="{A0A558AC-B09F-4D26-B371-4F17B7E0AA16}" scale="90" showPageBreaks="1" fitToPage="1" hiddenRows="1" showRuler="0">
      <selection activeCell="E24" sqref="E24"/>
      <pageMargins left="0.75" right="0.75" top="1" bottom="1" header="0.5" footer="0.5"/>
      <pageSetup scale="84" orientation="portrait" r:id="rId2"/>
      <headerFooter alignWithMargins="0">
        <oddFooter>&amp;L&amp;D&amp;T&amp;CBroadwing Confidential</oddFooter>
      </headerFooter>
    </customSheetView>
  </customSheetViews>
  <mergeCells count="1">
    <mergeCell ref="C7:M7"/>
  </mergeCells>
  <phoneticPr fontId="0" type="noConversion"/>
  <pageMargins left="0.75" right="0.75" top="1" bottom="1" header="0.5" footer="0.5"/>
  <pageSetup scale="55" orientation="portrait" r:id="rId3"/>
  <headerFooter alignWithMargins="0">
    <oddFooter>&amp;L&amp;D&amp;T&amp;CBroadwing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0"/>
  <sheetViews>
    <sheetView zoomScale="90" workbookViewId="0">
      <pane xSplit="2" ySplit="9" topLeftCell="D10" activePane="bottomRight" state="frozen"/>
      <selection pane="topRight" activeCell="C1" sqref="C1"/>
      <selection pane="bottomLeft" activeCell="A10" sqref="A10"/>
      <selection pane="bottomRight" activeCell="E76" sqref="E76"/>
    </sheetView>
  </sheetViews>
  <sheetFormatPr defaultColWidth="9.1796875" defaultRowHeight="12.5" x14ac:dyDescent="0.25"/>
  <cols>
    <col min="1" max="1" width="4.7265625" style="13" customWidth="1"/>
    <col min="2" max="2" width="52.54296875" style="13" bestFit="1" customWidth="1"/>
    <col min="3" max="3" width="14" style="13" customWidth="1"/>
    <col min="4" max="4" width="3.26953125" style="38" customWidth="1"/>
    <col min="5" max="5" width="14" style="13" customWidth="1"/>
    <col min="6" max="6" width="3.26953125" style="38" customWidth="1"/>
    <col min="7" max="7" width="13.81640625" style="13" customWidth="1"/>
    <col min="8" max="8" width="3.26953125" style="38" customWidth="1"/>
    <col min="9" max="9" width="14" style="13" bestFit="1" customWidth="1"/>
    <col min="10" max="10" width="3.26953125" style="38" customWidth="1"/>
    <col min="11" max="11" width="14" style="13" customWidth="1"/>
    <col min="12" max="12" width="3.26953125" style="13" customWidth="1"/>
    <col min="13" max="13" width="14" style="13" customWidth="1"/>
    <col min="14" max="16384" width="9.1796875" style="13"/>
  </cols>
  <sheetData>
    <row r="1" spans="1:13" ht="13" x14ac:dyDescent="0.3">
      <c r="A1" s="12" t="s">
        <v>43</v>
      </c>
      <c r="B1" s="12"/>
    </row>
    <row r="2" spans="1:13" ht="13" x14ac:dyDescent="0.3">
      <c r="A2" s="12" t="s">
        <v>31</v>
      </c>
      <c r="B2" s="12"/>
    </row>
    <row r="3" spans="1:13" ht="13" x14ac:dyDescent="0.3">
      <c r="A3" s="12" t="s">
        <v>0</v>
      </c>
      <c r="B3" s="12"/>
    </row>
    <row r="4" spans="1:13" ht="13" x14ac:dyDescent="0.3">
      <c r="A4" s="12"/>
      <c r="B4" s="12"/>
    </row>
    <row r="5" spans="1:13" x14ac:dyDescent="0.25">
      <c r="D5" s="66"/>
      <c r="E5" s="14"/>
      <c r="F5" s="66"/>
      <c r="G5" s="14"/>
      <c r="H5" s="66"/>
      <c r="I5" s="14"/>
      <c r="J5" s="66"/>
      <c r="K5" s="14"/>
      <c r="M5" s="14"/>
    </row>
    <row r="6" spans="1:13" x14ac:dyDescent="0.25">
      <c r="B6" s="13" t="s">
        <v>40</v>
      </c>
      <c r="C6" s="103" t="s">
        <v>50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</row>
    <row r="7" spans="1:13" x14ac:dyDescent="0.25">
      <c r="C7" s="16" t="s">
        <v>42</v>
      </c>
      <c r="D7" s="66"/>
      <c r="E7" s="16" t="s">
        <v>47</v>
      </c>
      <c r="F7" s="66"/>
      <c r="G7" s="16" t="s">
        <v>1</v>
      </c>
      <c r="H7" s="65"/>
      <c r="I7" s="16" t="s">
        <v>49</v>
      </c>
      <c r="J7" s="66"/>
      <c r="K7" s="16" t="s">
        <v>42</v>
      </c>
      <c r="M7" s="16" t="s">
        <v>47</v>
      </c>
    </row>
    <row r="8" spans="1:13" x14ac:dyDescent="0.25">
      <c r="C8" s="15">
        <v>2003</v>
      </c>
      <c r="D8" s="65"/>
      <c r="E8" s="15">
        <v>2003</v>
      </c>
      <c r="F8" s="65"/>
      <c r="G8" s="15">
        <v>2002</v>
      </c>
      <c r="H8" s="65"/>
      <c r="I8" s="15">
        <v>2002</v>
      </c>
      <c r="J8" s="65"/>
      <c r="K8" s="15">
        <v>2002</v>
      </c>
      <c r="M8" s="15">
        <v>2002</v>
      </c>
    </row>
    <row r="9" spans="1:13" ht="13" x14ac:dyDescent="0.3">
      <c r="B9" s="17" t="s">
        <v>13</v>
      </c>
    </row>
    <row r="10" spans="1:13" x14ac:dyDescent="0.25">
      <c r="B10" s="18" t="s">
        <v>10</v>
      </c>
      <c r="C10" s="19">
        <v>203.8</v>
      </c>
      <c r="D10" s="31"/>
      <c r="E10" s="51">
        <v>204.5</v>
      </c>
      <c r="F10" s="51"/>
      <c r="G10" s="51">
        <v>216.5</v>
      </c>
      <c r="H10" s="51"/>
      <c r="I10" s="51">
        <v>202.8</v>
      </c>
      <c r="J10" s="31"/>
      <c r="K10" s="19">
        <v>205.5</v>
      </c>
      <c r="M10" s="19">
        <v>208.3</v>
      </c>
    </row>
    <row r="11" spans="1:13" x14ac:dyDescent="0.25">
      <c r="B11" s="18" t="s">
        <v>2</v>
      </c>
      <c r="C11" s="21">
        <v>67.900000000000006</v>
      </c>
      <c r="D11" s="31"/>
      <c r="E11" s="20">
        <v>63.9</v>
      </c>
      <c r="F11" s="31"/>
      <c r="G11" s="20">
        <v>65.400000000000006</v>
      </c>
      <c r="H11" s="31"/>
      <c r="I11" s="20">
        <v>68.900000000000006</v>
      </c>
      <c r="J11" s="31"/>
      <c r="K11" s="59">
        <v>69.400000000000006</v>
      </c>
      <c r="M11" s="59">
        <v>63.5</v>
      </c>
    </row>
    <row r="12" spans="1:13" x14ac:dyDescent="0.25">
      <c r="B12" s="18" t="s">
        <v>11</v>
      </c>
      <c r="C12" s="21">
        <v>20.8</v>
      </c>
      <c r="D12" s="31"/>
      <c r="E12" s="20">
        <v>20</v>
      </c>
      <c r="F12" s="31"/>
      <c r="G12" s="20">
        <v>21.1</v>
      </c>
      <c r="H12" s="31"/>
      <c r="I12" s="20">
        <v>20.5</v>
      </c>
      <c r="J12" s="31"/>
      <c r="K12" s="59">
        <v>21.1</v>
      </c>
      <c r="M12" s="59">
        <v>20.100000000000001</v>
      </c>
    </row>
    <row r="13" spans="1:13" x14ac:dyDescent="0.25">
      <c r="B13" s="18" t="s">
        <v>23</v>
      </c>
      <c r="C13" s="21">
        <v>177</v>
      </c>
      <c r="D13" s="31"/>
      <c r="E13" s="20">
        <v>213.2</v>
      </c>
      <c r="F13" s="31"/>
      <c r="G13" s="20">
        <v>227.1</v>
      </c>
      <c r="H13" s="31"/>
      <c r="I13" s="20">
        <v>298.3</v>
      </c>
      <c r="J13" s="31"/>
      <c r="K13" s="59">
        <f>279.6+0.1</f>
        <v>279.70000000000005</v>
      </c>
      <c r="M13" s="59">
        <v>270.2</v>
      </c>
    </row>
    <row r="14" spans="1:13" x14ac:dyDescent="0.25">
      <c r="B14" s="18" t="s">
        <v>33</v>
      </c>
      <c r="C14" s="21">
        <v>-18.899999999999999</v>
      </c>
      <c r="D14" s="31"/>
      <c r="E14" s="20">
        <f>480.7-E13-E12-E11-E10</f>
        <v>-20.900000000000006</v>
      </c>
      <c r="F14" s="31"/>
      <c r="G14" s="20">
        <f>509.3-G13-G12-G11-G10</f>
        <v>-20.799999999999983</v>
      </c>
      <c r="H14" s="31"/>
      <c r="I14" s="20">
        <f>570.3-I13-I12-I11-I10</f>
        <v>-20.200000000000074</v>
      </c>
      <c r="J14" s="31"/>
      <c r="K14" s="21">
        <f>-19.4-0.1</f>
        <v>-19.5</v>
      </c>
      <c r="M14" s="21">
        <f>542.8-M13-M12-M11-M10</f>
        <v>-19.30000000000004</v>
      </c>
    </row>
    <row r="15" spans="1:13" ht="13" thickBot="1" x14ac:dyDescent="0.3">
      <c r="B15" s="22" t="s">
        <v>12</v>
      </c>
      <c r="C15" s="42">
        <f>SUM(C10:C14)</f>
        <v>450.60000000000008</v>
      </c>
      <c r="D15" s="67"/>
      <c r="E15" s="42">
        <f>SUM(E10:E14)</f>
        <v>480.69999999999993</v>
      </c>
      <c r="F15" s="67"/>
      <c r="G15" s="42">
        <f>SUM(G10:G14)</f>
        <v>509.30000000000007</v>
      </c>
      <c r="H15" s="67"/>
      <c r="I15" s="42">
        <f>SUM(I10:I14)</f>
        <v>570.29999999999995</v>
      </c>
      <c r="J15" s="31"/>
      <c r="K15" s="42">
        <f>SUM(K10:K14)</f>
        <v>556.20000000000005</v>
      </c>
      <c r="M15" s="42">
        <f>SUM(M10:M14)</f>
        <v>542.79999999999995</v>
      </c>
    </row>
    <row r="16" spans="1:13" ht="13" thickTop="1" x14ac:dyDescent="0.25">
      <c r="B16" s="23"/>
      <c r="C16" s="7"/>
      <c r="D16" s="31"/>
      <c r="E16" s="20"/>
      <c r="F16" s="31"/>
      <c r="G16" s="20"/>
      <c r="H16" s="31"/>
      <c r="I16" s="20"/>
      <c r="J16" s="31"/>
      <c r="K16" s="21"/>
      <c r="M16" s="21"/>
    </row>
    <row r="17" spans="2:13" ht="13" x14ac:dyDescent="0.3">
      <c r="B17" s="17" t="s">
        <v>14</v>
      </c>
      <c r="C17" s="7"/>
      <c r="D17" s="31"/>
      <c r="E17" s="20"/>
      <c r="F17" s="31"/>
      <c r="G17" s="20"/>
      <c r="H17" s="31"/>
      <c r="I17" s="20"/>
      <c r="J17" s="31"/>
      <c r="K17" s="21"/>
      <c r="M17" s="21"/>
    </row>
    <row r="18" spans="2:13" x14ac:dyDescent="0.25">
      <c r="B18" s="18" t="s">
        <v>10</v>
      </c>
      <c r="C18" s="51">
        <v>63.8</v>
      </c>
      <c r="D18" s="31"/>
      <c r="E18" s="51">
        <v>65.900000000000006</v>
      </c>
      <c r="F18" s="51"/>
      <c r="G18" s="51">
        <f>69.8</f>
        <v>69.8</v>
      </c>
      <c r="H18" s="51"/>
      <c r="I18" s="51">
        <v>63</v>
      </c>
      <c r="J18" s="31"/>
      <c r="K18" s="50">
        <v>63.4</v>
      </c>
      <c r="M18" s="50">
        <f>65.6+0.1</f>
        <v>65.699999999999989</v>
      </c>
    </row>
    <row r="19" spans="2:13" x14ac:dyDescent="0.25">
      <c r="B19" s="18" t="s">
        <v>2</v>
      </c>
      <c r="C19" s="7">
        <v>25.4</v>
      </c>
      <c r="D19" s="31"/>
      <c r="E19" s="20">
        <v>25.7</v>
      </c>
      <c r="F19" s="31"/>
      <c r="G19" s="20">
        <f>32.9</f>
        <v>32.9</v>
      </c>
      <c r="H19" s="31"/>
      <c r="I19" s="20">
        <v>27.8</v>
      </c>
      <c r="J19" s="31"/>
      <c r="K19" s="21">
        <v>30</v>
      </c>
      <c r="M19" s="21">
        <v>28.8</v>
      </c>
    </row>
    <row r="20" spans="2:13" x14ac:dyDescent="0.25">
      <c r="B20" s="18" t="s">
        <v>11</v>
      </c>
      <c r="C20" s="7">
        <v>13.9</v>
      </c>
      <c r="D20" s="31"/>
      <c r="E20" s="20">
        <v>14.7</v>
      </c>
      <c r="F20" s="31"/>
      <c r="G20" s="20">
        <v>16.5</v>
      </c>
      <c r="H20" s="31"/>
      <c r="I20" s="20">
        <f>11.8+3.6</f>
        <v>15.4</v>
      </c>
      <c r="J20" s="31"/>
      <c r="K20" s="21">
        <f>15.2+0.1</f>
        <v>15.299999999999999</v>
      </c>
      <c r="M20" s="21">
        <v>16.100000000000001</v>
      </c>
    </row>
    <row r="21" spans="2:13" x14ac:dyDescent="0.25">
      <c r="B21" s="18" t="s">
        <v>23</v>
      </c>
      <c r="C21" s="7">
        <f>171.9+0.1</f>
        <v>172</v>
      </c>
      <c r="D21" s="31"/>
      <c r="E21" s="20">
        <v>129.1</v>
      </c>
      <c r="F21" s="31"/>
      <c r="G21" s="20">
        <f>143.5+0.1</f>
        <v>143.6</v>
      </c>
      <c r="H21" s="31"/>
      <c r="I21" s="20">
        <v>162.69999999999999</v>
      </c>
      <c r="J21" s="31"/>
      <c r="K21" s="21">
        <f>177.1</f>
        <v>177.1</v>
      </c>
      <c r="M21" s="21">
        <v>172.2</v>
      </c>
    </row>
    <row r="22" spans="2:13" x14ac:dyDescent="0.25">
      <c r="B22" s="18" t="s">
        <v>33</v>
      </c>
      <c r="C22" s="7">
        <f>261.7-C21-C20-C19-C18</f>
        <v>-13.400000000000013</v>
      </c>
      <c r="D22" s="31"/>
      <c r="E22" s="20">
        <f>219.4-E21-E20-E19-E18</f>
        <v>-16</v>
      </c>
      <c r="F22" s="31"/>
      <c r="G22" s="20">
        <f>247.5-G21-G20-G19-G18</f>
        <v>-15.29999999999999</v>
      </c>
      <c r="H22" s="31"/>
      <c r="I22" s="20">
        <f>254.1-I21-I20-I19-I18</f>
        <v>-14.799999999999997</v>
      </c>
      <c r="J22" s="31"/>
      <c r="K22" s="21">
        <f>271.1-K21-K20-K19-K18</f>
        <v>-14.699999999999967</v>
      </c>
      <c r="M22" s="21">
        <f>268-M21-M20-M19-M18</f>
        <v>-14.799999999999969</v>
      </c>
    </row>
    <row r="23" spans="2:13" ht="13" thickBot="1" x14ac:dyDescent="0.3">
      <c r="B23" s="25" t="s">
        <v>34</v>
      </c>
      <c r="C23" s="49">
        <f>SUM(C18:C22)</f>
        <v>261.7</v>
      </c>
      <c r="D23" s="51"/>
      <c r="E23" s="49">
        <f>SUM(E18:E22)</f>
        <v>219.4</v>
      </c>
      <c r="F23" s="51"/>
      <c r="G23" s="49">
        <f>SUM(G18:G22)</f>
        <v>247.49999999999997</v>
      </c>
      <c r="H23" s="51"/>
      <c r="I23" s="49">
        <f>SUM(I18:I22)</f>
        <v>254.09999999999997</v>
      </c>
      <c r="J23" s="31"/>
      <c r="K23" s="49">
        <f>SUM(K18:K22)</f>
        <v>271.10000000000002</v>
      </c>
      <c r="M23" s="49">
        <f>SUM(M18:M22)</f>
        <v>268</v>
      </c>
    </row>
    <row r="24" spans="2:13" ht="13" thickTop="1" x14ac:dyDescent="0.25">
      <c r="B24" s="18"/>
      <c r="C24" s="21"/>
      <c r="D24" s="31"/>
      <c r="E24" s="20"/>
      <c r="F24" s="31"/>
      <c r="G24" s="20"/>
      <c r="H24" s="31"/>
      <c r="I24" s="20"/>
      <c r="J24" s="31"/>
      <c r="K24" s="21"/>
      <c r="M24" s="21"/>
    </row>
    <row r="25" spans="2:13" ht="13" x14ac:dyDescent="0.3">
      <c r="B25" s="17" t="s">
        <v>4</v>
      </c>
      <c r="C25" s="21"/>
      <c r="D25" s="31"/>
      <c r="E25" s="20"/>
      <c r="F25" s="31"/>
      <c r="G25" s="20"/>
      <c r="H25" s="31"/>
      <c r="I25" s="20"/>
      <c r="J25" s="31"/>
      <c r="K25" s="21"/>
      <c r="M25" s="21"/>
    </row>
    <row r="26" spans="2:13" x14ac:dyDescent="0.25">
      <c r="B26" s="18" t="s">
        <v>10</v>
      </c>
      <c r="C26" s="50">
        <v>32.9</v>
      </c>
      <c r="D26" s="31"/>
      <c r="E26" s="51">
        <v>35.6</v>
      </c>
      <c r="F26" s="51"/>
      <c r="G26" s="51">
        <f>36.2+0.1</f>
        <v>36.300000000000004</v>
      </c>
      <c r="H26" s="51"/>
      <c r="I26" s="51">
        <v>33.200000000000003</v>
      </c>
      <c r="J26" s="31"/>
      <c r="K26" s="50">
        <v>33.6</v>
      </c>
      <c r="M26" s="50">
        <f>36.4</f>
        <v>36.4</v>
      </c>
    </row>
    <row r="27" spans="2:13" x14ac:dyDescent="0.25">
      <c r="B27" s="18" t="s">
        <v>2</v>
      </c>
      <c r="C27" s="21">
        <v>12.5</v>
      </c>
      <c r="D27" s="31"/>
      <c r="E27" s="20">
        <v>11.2</v>
      </c>
      <c r="F27" s="31"/>
      <c r="G27" s="20">
        <f>11.6-0.1</f>
        <v>11.5</v>
      </c>
      <c r="H27" s="31"/>
      <c r="I27" s="20">
        <v>10.9</v>
      </c>
      <c r="J27" s="31"/>
      <c r="K27" s="21">
        <v>13.3</v>
      </c>
      <c r="M27" s="21">
        <v>11.5</v>
      </c>
    </row>
    <row r="28" spans="2:13" x14ac:dyDescent="0.25">
      <c r="B28" s="18" t="s">
        <v>11</v>
      </c>
      <c r="C28" s="21">
        <v>3.7</v>
      </c>
      <c r="D28" s="31"/>
      <c r="E28" s="20">
        <v>3.8</v>
      </c>
      <c r="F28" s="31"/>
      <c r="G28" s="20">
        <v>4.2</v>
      </c>
      <c r="H28" s="31"/>
      <c r="I28" s="20">
        <f>3.7+0.1</f>
        <v>3.8000000000000003</v>
      </c>
      <c r="J28" s="31"/>
      <c r="K28" s="21">
        <v>3.9</v>
      </c>
      <c r="M28" s="21">
        <v>4</v>
      </c>
    </row>
    <row r="29" spans="2:13" x14ac:dyDescent="0.25">
      <c r="B29" s="18" t="s">
        <v>23</v>
      </c>
      <c r="C29" s="21">
        <v>54.2</v>
      </c>
      <c r="D29" s="31"/>
      <c r="E29" s="20">
        <v>72.3</v>
      </c>
      <c r="F29" s="31"/>
      <c r="G29" s="20">
        <v>72.2</v>
      </c>
      <c r="H29" s="31"/>
      <c r="I29" s="20">
        <v>78.7</v>
      </c>
      <c r="J29" s="31"/>
      <c r="K29" s="21">
        <v>78.900000000000006</v>
      </c>
      <c r="M29" s="21">
        <v>78.5</v>
      </c>
    </row>
    <row r="30" spans="2:13" x14ac:dyDescent="0.25">
      <c r="B30" s="18" t="s">
        <v>33</v>
      </c>
      <c r="C30" s="21">
        <f>108.2-C29-C28-C27-C26</f>
        <v>4.8999999999999986</v>
      </c>
      <c r="D30" s="31"/>
      <c r="E30" s="20">
        <f>120.3-E29-E28-E27-E26</f>
        <v>-2.6000000000000014</v>
      </c>
      <c r="F30" s="31"/>
      <c r="G30" s="20">
        <f>120.7-G29-G28-G27-G26+0.1</f>
        <v>-3.400000000000007</v>
      </c>
      <c r="H30" s="31"/>
      <c r="I30" s="20">
        <f>121.6-I29-I28-I27-I26</f>
        <v>-5.0000000000000071</v>
      </c>
      <c r="J30" s="31"/>
      <c r="K30" s="21">
        <f>127-K29-K28-K27-K26</f>
        <v>-2.7000000000000064</v>
      </c>
      <c r="M30" s="21">
        <f>127.8-M29-M28-M27-M26</f>
        <v>-2.6000000000000014</v>
      </c>
    </row>
    <row r="31" spans="2:13" ht="13" thickBot="1" x14ac:dyDescent="0.3">
      <c r="B31" s="25" t="s">
        <v>35</v>
      </c>
      <c r="C31" s="49">
        <f>SUM(C26:C30)</f>
        <v>108.20000000000002</v>
      </c>
      <c r="D31" s="51"/>
      <c r="E31" s="49">
        <f>SUM(E26:E30)</f>
        <v>120.29999999999998</v>
      </c>
      <c r="F31" s="51"/>
      <c r="G31" s="49">
        <f>SUM(G26:G30)</f>
        <v>120.80000000000001</v>
      </c>
      <c r="H31" s="51"/>
      <c r="I31" s="49">
        <f>SUM(I26:I30)</f>
        <v>121.6</v>
      </c>
      <c r="J31" s="31"/>
      <c r="K31" s="49">
        <f>SUM(K26:K30)</f>
        <v>127.00000000000001</v>
      </c>
      <c r="L31" s="38"/>
      <c r="M31" s="49">
        <f>SUM(M26:M30)</f>
        <v>127.80000000000001</v>
      </c>
    </row>
    <row r="32" spans="2:13" ht="13" thickTop="1" x14ac:dyDescent="0.25">
      <c r="B32" s="18"/>
      <c r="C32" s="7"/>
      <c r="D32" s="31"/>
      <c r="E32" s="31"/>
      <c r="F32" s="31"/>
      <c r="G32" s="31"/>
      <c r="H32" s="31"/>
      <c r="I32" s="31"/>
      <c r="J32" s="31"/>
      <c r="K32" s="7"/>
      <c r="L32" s="38"/>
      <c r="M32" s="7"/>
    </row>
    <row r="33" spans="2:13" ht="13" x14ac:dyDescent="0.3">
      <c r="B33" s="17" t="s">
        <v>5</v>
      </c>
      <c r="C33" s="7"/>
      <c r="D33" s="31"/>
      <c r="E33" s="31"/>
      <c r="F33" s="31"/>
      <c r="G33" s="31"/>
      <c r="H33" s="31"/>
      <c r="I33" s="31"/>
      <c r="J33" s="31"/>
      <c r="K33" s="7"/>
      <c r="L33" s="38"/>
      <c r="M33" s="7"/>
    </row>
    <row r="34" spans="2:13" x14ac:dyDescent="0.25">
      <c r="B34" s="18" t="s">
        <v>10</v>
      </c>
      <c r="C34" s="51">
        <v>31.1</v>
      </c>
      <c r="D34" s="31"/>
      <c r="E34" s="51">
        <v>31.2</v>
      </c>
      <c r="F34" s="51"/>
      <c r="G34" s="51">
        <v>36.799999999999997</v>
      </c>
      <c r="H34" s="51"/>
      <c r="I34" s="51">
        <v>38</v>
      </c>
      <c r="J34" s="31"/>
      <c r="K34" s="51">
        <v>36</v>
      </c>
      <c r="L34" s="38"/>
      <c r="M34" s="51">
        <v>35.799999999999997</v>
      </c>
    </row>
    <row r="35" spans="2:13" x14ac:dyDescent="0.25">
      <c r="B35" s="18" t="s">
        <v>2</v>
      </c>
      <c r="C35" s="7">
        <v>7.7</v>
      </c>
      <c r="D35" s="31"/>
      <c r="E35" s="31">
        <v>7.7</v>
      </c>
      <c r="F35" s="31"/>
      <c r="G35" s="31">
        <v>8</v>
      </c>
      <c r="H35" s="31"/>
      <c r="I35" s="31">
        <v>8.1999999999999993</v>
      </c>
      <c r="J35" s="31"/>
      <c r="K35" s="7">
        <v>7.7</v>
      </c>
      <c r="L35" s="38"/>
      <c r="M35" s="7">
        <v>7.4</v>
      </c>
    </row>
    <row r="36" spans="2:13" x14ac:dyDescent="0.25">
      <c r="B36" s="18" t="s">
        <v>11</v>
      </c>
      <c r="C36" s="7">
        <v>0.6</v>
      </c>
      <c r="D36" s="31"/>
      <c r="E36" s="31">
        <v>0.5</v>
      </c>
      <c r="F36" s="31"/>
      <c r="G36" s="31">
        <v>0.5</v>
      </c>
      <c r="H36" s="31"/>
      <c r="I36" s="31">
        <v>0.5</v>
      </c>
      <c r="J36" s="31"/>
      <c r="K36" s="7">
        <f>0.5-0.1</f>
        <v>0.4</v>
      </c>
      <c r="L36" s="38"/>
      <c r="M36" s="7">
        <v>0.5</v>
      </c>
    </row>
    <row r="37" spans="2:13" x14ac:dyDescent="0.25">
      <c r="B37" s="18" t="s">
        <v>23</v>
      </c>
      <c r="C37" s="7">
        <v>0.2</v>
      </c>
      <c r="D37" s="31"/>
      <c r="E37" s="31">
        <v>2</v>
      </c>
      <c r="F37" s="31"/>
      <c r="G37" s="31">
        <v>80.099999999999994</v>
      </c>
      <c r="H37" s="31"/>
      <c r="I37" s="31">
        <v>80</v>
      </c>
      <c r="J37" s="31"/>
      <c r="K37" s="7">
        <v>78</v>
      </c>
      <c r="L37" s="38"/>
      <c r="M37" s="7">
        <v>77.900000000000006</v>
      </c>
    </row>
    <row r="38" spans="2:13" x14ac:dyDescent="0.25">
      <c r="B38" s="18" t="s">
        <v>33</v>
      </c>
      <c r="C38" s="7">
        <v>0.1</v>
      </c>
      <c r="D38" s="31"/>
      <c r="E38" s="31">
        <v>0.1</v>
      </c>
      <c r="F38" s="31"/>
      <c r="G38" s="31">
        <v>0.2</v>
      </c>
      <c r="H38" s="31"/>
      <c r="I38" s="31">
        <v>0.1</v>
      </c>
      <c r="J38" s="31"/>
      <c r="K38" s="7">
        <f>0+0.1</f>
        <v>0.1</v>
      </c>
      <c r="L38" s="38"/>
      <c r="M38" s="7">
        <v>0</v>
      </c>
    </row>
    <row r="39" spans="2:13" ht="13" thickBot="1" x14ac:dyDescent="0.3">
      <c r="B39" s="55" t="s">
        <v>36</v>
      </c>
      <c r="C39" s="48">
        <f>SUM(C34:C38)</f>
        <v>39.70000000000001</v>
      </c>
      <c r="D39" s="46"/>
      <c r="E39" s="48">
        <f>SUM(E34:E38)</f>
        <v>41.5</v>
      </c>
      <c r="F39" s="46"/>
      <c r="G39" s="48">
        <f>SUM(G34:G38)</f>
        <v>125.6</v>
      </c>
      <c r="H39" s="46"/>
      <c r="I39" s="48">
        <f>SUM(I34:I38)</f>
        <v>126.8</v>
      </c>
      <c r="J39" s="31"/>
      <c r="K39" s="48">
        <f>SUM(K34:K38)</f>
        <v>122.19999999999999</v>
      </c>
      <c r="M39" s="48">
        <f>SUM(M34:M38)</f>
        <v>121.6</v>
      </c>
    </row>
    <row r="40" spans="2:13" ht="13" thickTop="1" x14ac:dyDescent="0.25">
      <c r="B40" s="27"/>
      <c r="C40" s="6"/>
      <c r="D40" s="31"/>
      <c r="E40" s="20"/>
      <c r="F40" s="31"/>
      <c r="G40" s="20"/>
      <c r="H40" s="31"/>
      <c r="I40" s="20"/>
      <c r="J40" s="31"/>
      <c r="K40" s="21"/>
      <c r="M40" s="21"/>
    </row>
    <row r="41" spans="2:13" ht="13" x14ac:dyDescent="0.3">
      <c r="B41" s="17" t="s">
        <v>20</v>
      </c>
      <c r="C41" s="6"/>
      <c r="D41" s="31"/>
      <c r="E41" s="20"/>
      <c r="F41" s="31"/>
      <c r="G41" s="20"/>
      <c r="H41" s="31"/>
      <c r="I41" s="20"/>
      <c r="J41" s="31"/>
      <c r="K41" s="21"/>
      <c r="M41" s="21"/>
    </row>
    <row r="42" spans="2:13" x14ac:dyDescent="0.25">
      <c r="B42" s="18" t="s">
        <v>10</v>
      </c>
      <c r="C42" s="47">
        <v>0</v>
      </c>
      <c r="D42" s="31"/>
      <c r="E42" s="51">
        <v>0</v>
      </c>
      <c r="F42" s="51"/>
      <c r="G42" s="51">
        <v>1.1000000000000001</v>
      </c>
      <c r="H42" s="51"/>
      <c r="I42" s="51">
        <v>-2</v>
      </c>
      <c r="J42" s="31"/>
      <c r="K42" s="50">
        <v>0</v>
      </c>
      <c r="M42" s="50">
        <v>0.4</v>
      </c>
    </row>
    <row r="43" spans="2:13" x14ac:dyDescent="0.25">
      <c r="B43" s="18" t="s">
        <v>2</v>
      </c>
      <c r="C43" s="52">
        <v>0</v>
      </c>
      <c r="D43" s="31"/>
      <c r="E43" s="20">
        <v>0</v>
      </c>
      <c r="F43" s="31"/>
      <c r="G43" s="20">
        <v>0</v>
      </c>
      <c r="H43" s="31"/>
      <c r="I43" s="20">
        <v>0</v>
      </c>
      <c r="J43" s="31"/>
      <c r="K43" s="60">
        <v>0</v>
      </c>
      <c r="M43" s="60">
        <v>0</v>
      </c>
    </row>
    <row r="44" spans="2:13" x14ac:dyDescent="0.25">
      <c r="B44" s="18" t="s">
        <v>11</v>
      </c>
      <c r="C44" s="52">
        <v>0</v>
      </c>
      <c r="D44" s="31"/>
      <c r="E44" s="20">
        <v>0</v>
      </c>
      <c r="F44" s="31"/>
      <c r="G44" s="20">
        <v>0</v>
      </c>
      <c r="H44" s="31"/>
      <c r="I44" s="20">
        <v>0</v>
      </c>
      <c r="J44" s="31"/>
      <c r="K44" s="60">
        <v>0</v>
      </c>
      <c r="M44" s="60">
        <v>0</v>
      </c>
    </row>
    <row r="45" spans="2:13" x14ac:dyDescent="0.25">
      <c r="B45" s="18" t="s">
        <v>23</v>
      </c>
      <c r="C45" s="52">
        <v>-3.4</v>
      </c>
      <c r="D45" s="31"/>
      <c r="E45" s="20">
        <v>0</v>
      </c>
      <c r="F45" s="31"/>
      <c r="G45" s="20">
        <v>11.6</v>
      </c>
      <c r="H45" s="31"/>
      <c r="I45" s="20">
        <v>5</v>
      </c>
      <c r="J45" s="31"/>
      <c r="K45" s="60">
        <v>0</v>
      </c>
      <c r="M45" s="60">
        <v>15.9</v>
      </c>
    </row>
    <row r="46" spans="2:13" x14ac:dyDescent="0.25">
      <c r="B46" s="18" t="s">
        <v>33</v>
      </c>
      <c r="C46" s="53">
        <v>0</v>
      </c>
      <c r="D46" s="31"/>
      <c r="E46" s="20">
        <v>0</v>
      </c>
      <c r="F46" s="31"/>
      <c r="G46" s="20">
        <v>0.8</v>
      </c>
      <c r="H46" s="31"/>
      <c r="I46" s="20">
        <v>4.0999999999999996</v>
      </c>
      <c r="J46" s="31"/>
      <c r="K46" s="53">
        <v>0</v>
      </c>
      <c r="M46" s="53">
        <v>0.2</v>
      </c>
    </row>
    <row r="47" spans="2:13" ht="13" thickBot="1" x14ac:dyDescent="0.3">
      <c r="B47" s="55" t="s">
        <v>37</v>
      </c>
      <c r="C47" s="48">
        <f>SUM(C42:C46)</f>
        <v>-3.4</v>
      </c>
      <c r="D47" s="46"/>
      <c r="E47" s="48">
        <f>SUM(E42:E46)</f>
        <v>0</v>
      </c>
      <c r="F47" s="46"/>
      <c r="G47" s="48">
        <f>SUM(G42:G46)</f>
        <v>13.5</v>
      </c>
      <c r="H47" s="46"/>
      <c r="I47" s="48">
        <f>SUM(I42:I46)</f>
        <v>7.1</v>
      </c>
      <c r="J47" s="31"/>
      <c r="K47" s="49">
        <f>SUM(K42:K46)</f>
        <v>0</v>
      </c>
      <c r="L47" s="38"/>
      <c r="M47" s="49">
        <f>SUM(M42:M46)</f>
        <v>16.5</v>
      </c>
    </row>
    <row r="48" spans="2:13" ht="13" thickTop="1" x14ac:dyDescent="0.25">
      <c r="B48" s="27"/>
      <c r="C48" s="8"/>
      <c r="D48" s="31"/>
      <c r="E48" s="31"/>
      <c r="F48" s="31"/>
      <c r="G48" s="31"/>
      <c r="H48" s="31"/>
      <c r="I48" s="31"/>
      <c r="J48" s="31"/>
      <c r="K48" s="7"/>
      <c r="L48" s="38"/>
      <c r="M48" s="7"/>
    </row>
    <row r="49" spans="2:13" ht="13" x14ac:dyDescent="0.3">
      <c r="B49" s="17" t="s">
        <v>30</v>
      </c>
      <c r="C49" s="8"/>
      <c r="D49" s="31"/>
      <c r="E49" s="31"/>
      <c r="F49" s="31"/>
      <c r="G49" s="31"/>
      <c r="H49" s="31"/>
      <c r="I49" s="31"/>
      <c r="J49" s="31"/>
      <c r="K49" s="7"/>
      <c r="L49" s="38"/>
      <c r="M49" s="7"/>
    </row>
    <row r="50" spans="2:13" x14ac:dyDescent="0.25">
      <c r="B50" s="18" t="s">
        <v>10</v>
      </c>
      <c r="C50" s="46">
        <v>0</v>
      </c>
      <c r="D50" s="31"/>
      <c r="E50" s="51">
        <v>0.3</v>
      </c>
      <c r="F50" s="51"/>
      <c r="G50" s="51">
        <v>0.3</v>
      </c>
      <c r="H50" s="51"/>
      <c r="I50" s="51">
        <v>0</v>
      </c>
      <c r="J50" s="31"/>
      <c r="K50" s="51">
        <v>0</v>
      </c>
      <c r="L50" s="38"/>
      <c r="M50" s="51">
        <v>0</v>
      </c>
    </row>
    <row r="51" spans="2:13" x14ac:dyDescent="0.25">
      <c r="B51" s="18" t="s">
        <v>2</v>
      </c>
      <c r="C51" s="54">
        <v>0</v>
      </c>
      <c r="D51" s="31"/>
      <c r="E51" s="31">
        <v>0</v>
      </c>
      <c r="F51" s="31"/>
      <c r="G51" s="31">
        <v>0</v>
      </c>
      <c r="H51" s="31"/>
      <c r="I51" s="31">
        <v>0</v>
      </c>
      <c r="J51" s="31"/>
      <c r="K51" s="61">
        <v>0</v>
      </c>
      <c r="L51" s="38"/>
      <c r="M51" s="61">
        <v>0</v>
      </c>
    </row>
    <row r="52" spans="2:13" x14ac:dyDescent="0.25">
      <c r="B52" s="18" t="s">
        <v>11</v>
      </c>
      <c r="C52" s="54">
        <v>0</v>
      </c>
      <c r="D52" s="31"/>
      <c r="E52" s="31">
        <v>0</v>
      </c>
      <c r="F52" s="31"/>
      <c r="G52" s="31">
        <v>0</v>
      </c>
      <c r="H52" s="31"/>
      <c r="I52" s="31">
        <v>0</v>
      </c>
      <c r="J52" s="31"/>
      <c r="K52" s="61">
        <v>0</v>
      </c>
      <c r="L52" s="38"/>
      <c r="M52" s="61">
        <v>0</v>
      </c>
    </row>
    <row r="53" spans="2:13" x14ac:dyDescent="0.25">
      <c r="B53" s="18" t="s">
        <v>23</v>
      </c>
      <c r="C53" s="54">
        <v>-1.1000000000000001</v>
      </c>
      <c r="D53" s="31"/>
      <c r="E53" s="31">
        <v>0</v>
      </c>
      <c r="F53" s="31"/>
      <c r="G53" s="31">
        <f>2200+0.9</f>
        <v>2200.9</v>
      </c>
      <c r="H53" s="31"/>
      <c r="I53" s="31">
        <v>0</v>
      </c>
      <c r="J53" s="31"/>
      <c r="K53" s="61">
        <v>0</v>
      </c>
      <c r="L53" s="38"/>
      <c r="M53" s="61">
        <v>-0.3</v>
      </c>
    </row>
    <row r="54" spans="2:13" x14ac:dyDescent="0.25">
      <c r="B54" s="18" t="s">
        <v>33</v>
      </c>
      <c r="C54" s="53">
        <v>0</v>
      </c>
      <c r="D54" s="31"/>
      <c r="E54" s="102">
        <v>0</v>
      </c>
      <c r="F54" s="31"/>
      <c r="G54" s="102">
        <v>0</v>
      </c>
      <c r="H54" s="31"/>
      <c r="I54" s="102">
        <v>0</v>
      </c>
      <c r="J54" s="31"/>
      <c r="K54" s="62">
        <v>0</v>
      </c>
      <c r="L54" s="38"/>
      <c r="M54" s="62">
        <v>0</v>
      </c>
    </row>
    <row r="55" spans="2:13" ht="13" thickBot="1" x14ac:dyDescent="0.3">
      <c r="B55" s="55" t="s">
        <v>38</v>
      </c>
      <c r="C55" s="44">
        <f>SUM(C50:C54)</f>
        <v>-1.1000000000000001</v>
      </c>
      <c r="D55" s="46"/>
      <c r="E55" s="44">
        <f>SUM(E50:E54)</f>
        <v>0.3</v>
      </c>
      <c r="F55" s="46"/>
      <c r="G55" s="44">
        <f>SUM(G50:G54)</f>
        <v>2201.2000000000003</v>
      </c>
      <c r="H55" s="46"/>
      <c r="I55" s="44">
        <f>SUM(I50:I54)</f>
        <v>0</v>
      </c>
      <c r="J55" s="68"/>
      <c r="K55" s="63">
        <f>SUM(K50:K54)</f>
        <v>0</v>
      </c>
      <c r="M55" s="63">
        <f>SUM(M50:M54)</f>
        <v>-0.3</v>
      </c>
    </row>
    <row r="56" spans="2:13" ht="13" thickTop="1" x14ac:dyDescent="0.25">
      <c r="B56" s="28"/>
      <c r="C56" s="26"/>
      <c r="D56" s="31"/>
      <c r="E56" s="20"/>
      <c r="F56" s="31"/>
      <c r="G56" s="20"/>
      <c r="H56" s="31"/>
      <c r="I56" s="20"/>
      <c r="J56" s="31"/>
      <c r="K56" s="21"/>
      <c r="M56" s="21"/>
    </row>
    <row r="57" spans="2:13" ht="13" x14ac:dyDescent="0.3">
      <c r="B57" s="17" t="s">
        <v>48</v>
      </c>
      <c r="C57" s="8"/>
      <c r="D57" s="31"/>
      <c r="E57" s="31"/>
      <c r="F57" s="31"/>
      <c r="G57" s="31"/>
      <c r="H57" s="31"/>
      <c r="I57" s="31"/>
      <c r="J57" s="31"/>
      <c r="K57" s="7"/>
      <c r="L57" s="38"/>
      <c r="M57" s="7"/>
    </row>
    <row r="58" spans="2:13" x14ac:dyDescent="0.25">
      <c r="B58" s="18" t="s">
        <v>10</v>
      </c>
      <c r="C58" s="46">
        <v>0</v>
      </c>
      <c r="D58" s="31"/>
      <c r="E58" s="51">
        <v>0</v>
      </c>
      <c r="F58" s="51"/>
      <c r="G58" s="51">
        <v>0</v>
      </c>
      <c r="H58" s="51"/>
      <c r="I58" s="51">
        <v>0</v>
      </c>
      <c r="J58" s="31"/>
      <c r="K58" s="51">
        <v>0</v>
      </c>
      <c r="L58" s="38"/>
      <c r="M58" s="51">
        <v>0</v>
      </c>
    </row>
    <row r="59" spans="2:13" x14ac:dyDescent="0.25">
      <c r="B59" s="18" t="s">
        <v>2</v>
      </c>
      <c r="C59" s="54">
        <v>0</v>
      </c>
      <c r="D59" s="31"/>
      <c r="E59" s="31">
        <v>0</v>
      </c>
      <c r="F59" s="31"/>
      <c r="G59" s="31">
        <v>0</v>
      </c>
      <c r="H59" s="31"/>
      <c r="I59" s="31">
        <v>0</v>
      </c>
      <c r="J59" s="31"/>
      <c r="K59" s="61">
        <v>0</v>
      </c>
      <c r="L59" s="38"/>
      <c r="M59" s="61">
        <v>0</v>
      </c>
    </row>
    <row r="60" spans="2:13" x14ac:dyDescent="0.25">
      <c r="B60" s="18" t="s">
        <v>11</v>
      </c>
      <c r="C60" s="54">
        <v>0</v>
      </c>
      <c r="D60" s="31"/>
      <c r="E60" s="31">
        <v>0</v>
      </c>
      <c r="F60" s="31"/>
      <c r="G60" s="31">
        <v>0</v>
      </c>
      <c r="H60" s="31"/>
      <c r="I60" s="31">
        <v>0</v>
      </c>
      <c r="J60" s="31"/>
      <c r="K60" s="61">
        <v>0</v>
      </c>
      <c r="L60" s="38"/>
      <c r="M60" s="61">
        <v>0</v>
      </c>
    </row>
    <row r="61" spans="2:13" x14ac:dyDescent="0.25">
      <c r="B61" s="18" t="s">
        <v>23</v>
      </c>
      <c r="C61" s="54">
        <v>-299</v>
      </c>
      <c r="D61" s="31"/>
      <c r="E61" s="31">
        <v>0</v>
      </c>
      <c r="F61" s="31"/>
      <c r="G61" s="31">
        <v>0</v>
      </c>
      <c r="H61" s="31"/>
      <c r="I61" s="31">
        <v>0</v>
      </c>
      <c r="J61" s="31"/>
      <c r="K61" s="61">
        <v>0</v>
      </c>
      <c r="L61" s="38"/>
      <c r="M61" s="61">
        <v>0</v>
      </c>
    </row>
    <row r="62" spans="2:13" x14ac:dyDescent="0.25">
      <c r="B62" s="18" t="s">
        <v>33</v>
      </c>
      <c r="C62" s="53">
        <v>0</v>
      </c>
      <c r="D62" s="31"/>
      <c r="E62" s="102">
        <v>0</v>
      </c>
      <c r="F62" s="31"/>
      <c r="G62" s="102">
        <v>0</v>
      </c>
      <c r="H62" s="31"/>
      <c r="I62" s="102">
        <v>0</v>
      </c>
      <c r="J62" s="31"/>
      <c r="K62" s="62">
        <v>0</v>
      </c>
      <c r="L62" s="38"/>
      <c r="M62" s="62">
        <v>0</v>
      </c>
    </row>
    <row r="63" spans="2:13" ht="13" thickBot="1" x14ac:dyDescent="0.3">
      <c r="B63" s="55" t="s">
        <v>38</v>
      </c>
      <c r="C63" s="44">
        <f>SUM(C58:C62)</f>
        <v>-299</v>
      </c>
      <c r="D63" s="46"/>
      <c r="E63" s="44">
        <f>SUM(E58:E62)</f>
        <v>0</v>
      </c>
      <c r="F63" s="46"/>
      <c r="G63" s="44">
        <f>SUM(G58:G62)</f>
        <v>0</v>
      </c>
      <c r="H63" s="46"/>
      <c r="I63" s="44">
        <f>SUM(I58:I62)</f>
        <v>0</v>
      </c>
      <c r="J63" s="68"/>
      <c r="K63" s="63">
        <f>SUM(K58:K62)</f>
        <v>0</v>
      </c>
      <c r="M63" s="63">
        <f>SUM(M58:M62)</f>
        <v>0</v>
      </c>
    </row>
    <row r="64" spans="2:13" ht="13" thickTop="1" x14ac:dyDescent="0.25">
      <c r="B64" s="28"/>
      <c r="C64" s="26"/>
      <c r="D64" s="31"/>
      <c r="E64" s="20"/>
      <c r="F64" s="31"/>
      <c r="G64" s="20"/>
      <c r="H64" s="31"/>
      <c r="I64" s="20"/>
      <c r="J64" s="31"/>
      <c r="K64" s="21"/>
      <c r="M64" s="21"/>
    </row>
    <row r="65" spans="2:13" ht="13" x14ac:dyDescent="0.3">
      <c r="B65" s="17" t="s">
        <v>32</v>
      </c>
      <c r="C65" s="26"/>
      <c r="D65" s="31"/>
      <c r="E65" s="20"/>
      <c r="F65" s="31"/>
      <c r="G65" s="20"/>
      <c r="H65" s="31"/>
      <c r="I65" s="20"/>
      <c r="J65" s="31"/>
      <c r="K65" s="21"/>
      <c r="M65" s="21"/>
    </row>
    <row r="66" spans="2:13" x14ac:dyDescent="0.25">
      <c r="B66" s="18" t="s">
        <v>10</v>
      </c>
      <c r="C66" s="45">
        <v>76</v>
      </c>
      <c r="D66" s="31"/>
      <c r="E66" s="51">
        <v>71.5</v>
      </c>
      <c r="F66" s="51"/>
      <c r="G66" s="51">
        <v>72.2</v>
      </c>
      <c r="H66" s="51"/>
      <c r="I66" s="51">
        <v>70.599999999999994</v>
      </c>
      <c r="J66" s="31"/>
      <c r="K66" s="50">
        <v>72.5</v>
      </c>
      <c r="M66" s="50">
        <v>70</v>
      </c>
    </row>
    <row r="67" spans="2:13" x14ac:dyDescent="0.25">
      <c r="B67" s="18" t="s">
        <v>2</v>
      </c>
      <c r="C67" s="26">
        <v>22.3</v>
      </c>
      <c r="D67" s="31"/>
      <c r="E67" s="20">
        <v>19.3</v>
      </c>
      <c r="F67" s="31"/>
      <c r="G67" s="20">
        <v>13</v>
      </c>
      <c r="H67" s="31"/>
      <c r="I67" s="20">
        <v>22</v>
      </c>
      <c r="J67" s="31"/>
      <c r="K67" s="21">
        <v>18.399999999999999</v>
      </c>
      <c r="M67" s="21">
        <v>15.8</v>
      </c>
    </row>
    <row r="68" spans="2:13" x14ac:dyDescent="0.25">
      <c r="B68" s="18" t="s">
        <v>11</v>
      </c>
      <c r="C68" s="26">
        <v>2.6</v>
      </c>
      <c r="D68" s="31"/>
      <c r="E68" s="20">
        <v>1</v>
      </c>
      <c r="F68" s="31"/>
      <c r="G68" s="20">
        <v>-0.1</v>
      </c>
      <c r="H68" s="31"/>
      <c r="I68" s="20">
        <v>0.8</v>
      </c>
      <c r="J68" s="31"/>
      <c r="K68" s="21">
        <v>1.5</v>
      </c>
      <c r="M68" s="21">
        <v>-0.5</v>
      </c>
    </row>
    <row r="69" spans="2:13" x14ac:dyDescent="0.25">
      <c r="B69" s="18" t="s">
        <v>23</v>
      </c>
      <c r="C69" s="26">
        <v>254.1</v>
      </c>
      <c r="D69" s="31"/>
      <c r="E69" s="20">
        <v>9.8000000000000007</v>
      </c>
      <c r="F69" s="31"/>
      <c r="G69" s="20">
        <f>-2280.4-0.9</f>
        <v>-2281.3000000000002</v>
      </c>
      <c r="H69" s="31"/>
      <c r="I69" s="20">
        <v>-28.1</v>
      </c>
      <c r="J69" s="31"/>
      <c r="K69" s="21">
        <v>-54.3</v>
      </c>
      <c r="M69" s="21">
        <f>-74.3+0.3</f>
        <v>-74</v>
      </c>
    </row>
    <row r="70" spans="2:13" x14ac:dyDescent="0.25">
      <c r="B70" s="18" t="s">
        <v>33</v>
      </c>
      <c r="C70" s="43">
        <f>-10.4-0.1</f>
        <v>-10.5</v>
      </c>
      <c r="D70" s="31"/>
      <c r="E70" s="102">
        <v>-2.4</v>
      </c>
      <c r="F70" s="31"/>
      <c r="G70" s="102">
        <f>-2198.4-G69-G68-G67-G66-0.9</f>
        <v>-3.0999999999999175</v>
      </c>
      <c r="H70" s="31"/>
      <c r="I70" s="102">
        <f>60.7-I69-I68-I67-I66</f>
        <v>-4.5999999999999801</v>
      </c>
      <c r="J70" s="31"/>
      <c r="K70" s="9">
        <v>-2.2000000000000002</v>
      </c>
      <c r="M70" s="9">
        <f>8.9+0.3-M69-M68-M67-M66</f>
        <v>-2.0999999999999943</v>
      </c>
    </row>
    <row r="71" spans="2:13" ht="13" thickBot="1" x14ac:dyDescent="0.3">
      <c r="B71" s="29" t="s">
        <v>39</v>
      </c>
      <c r="C71" s="44">
        <f>SUM(C66:C70)</f>
        <v>344.5</v>
      </c>
      <c r="D71" s="46"/>
      <c r="E71" s="44">
        <f>SUM(E66:E70)</f>
        <v>99.199999999999989</v>
      </c>
      <c r="F71" s="46"/>
      <c r="G71" s="44">
        <f>SUM(G66:G70)</f>
        <v>-2199.3000000000002</v>
      </c>
      <c r="H71" s="46"/>
      <c r="I71" s="44">
        <f>SUM(I66:I70)</f>
        <v>60.7</v>
      </c>
      <c r="J71" s="8"/>
      <c r="K71" s="44">
        <f>SUM(K66:K70)</f>
        <v>35.900000000000006</v>
      </c>
      <c r="M71" s="44">
        <f>SUM(M66:M70)</f>
        <v>9.2000000000000028</v>
      </c>
    </row>
    <row r="72" spans="2:13" ht="13" thickTop="1" x14ac:dyDescent="0.25">
      <c r="B72" s="23"/>
      <c r="C72" s="10"/>
      <c r="D72" s="31"/>
      <c r="E72" s="20"/>
      <c r="F72" s="31"/>
      <c r="G72" s="20"/>
      <c r="H72" s="31"/>
      <c r="I72" s="20"/>
      <c r="J72" s="31"/>
      <c r="K72" s="21"/>
      <c r="M72" s="21"/>
    </row>
    <row r="73" spans="2:13" x14ac:dyDescent="0.25">
      <c r="C73" s="40"/>
      <c r="D73" s="40"/>
      <c r="E73" s="40"/>
      <c r="F73" s="40"/>
      <c r="G73" s="40"/>
      <c r="H73" s="40"/>
      <c r="I73" s="40"/>
      <c r="J73" s="40"/>
      <c r="K73" s="40"/>
      <c r="L73" s="38"/>
      <c r="M73" s="40"/>
    </row>
    <row r="74" spans="2:13" x14ac:dyDescent="0.25">
      <c r="C74" s="38"/>
      <c r="E74" s="38"/>
      <c r="G74" s="38"/>
      <c r="I74" s="38"/>
      <c r="K74" s="38"/>
      <c r="L74" s="38"/>
      <c r="M74" s="38"/>
    </row>
    <row r="75" spans="2:13" x14ac:dyDescent="0.25">
      <c r="C75" s="38"/>
      <c r="E75" s="38"/>
      <c r="G75" s="38"/>
      <c r="I75" s="38"/>
      <c r="K75" s="38"/>
      <c r="L75" s="38"/>
      <c r="M75" s="38"/>
    </row>
    <row r="76" spans="2:13" x14ac:dyDescent="0.25">
      <c r="C76" s="38"/>
      <c r="E76" s="38"/>
      <c r="G76" s="38"/>
      <c r="I76" s="38"/>
      <c r="K76" s="38"/>
      <c r="L76" s="38"/>
      <c r="M76" s="38"/>
    </row>
    <row r="77" spans="2:13" x14ac:dyDescent="0.25">
      <c r="C77" s="38"/>
      <c r="E77" s="38"/>
      <c r="G77" s="38"/>
      <c r="I77" s="38"/>
      <c r="K77" s="38"/>
      <c r="L77" s="38"/>
      <c r="M77" s="38"/>
    </row>
    <row r="78" spans="2:13" x14ac:dyDescent="0.25">
      <c r="C78" s="39"/>
      <c r="D78" s="40"/>
      <c r="E78" s="39"/>
      <c r="F78" s="40"/>
      <c r="G78" s="39"/>
      <c r="H78" s="40"/>
      <c r="I78" s="39"/>
      <c r="J78" s="40"/>
      <c r="K78" s="39"/>
      <c r="M78" s="39"/>
    </row>
    <row r="80" spans="2:13" x14ac:dyDescent="0.25">
      <c r="C80" s="39"/>
      <c r="D80" s="40"/>
      <c r="E80" s="39"/>
      <c r="F80" s="40"/>
      <c r="G80" s="39"/>
      <c r="H80" s="40"/>
      <c r="I80" s="39"/>
      <c r="J80" s="40"/>
      <c r="K80" s="39"/>
      <c r="M80" s="39"/>
    </row>
  </sheetData>
  <customSheetViews>
    <customSheetView guid="{AEADCD9C-38EF-44B6-8A6B-D55584A52E4B}" scale="90" showPageBreaks="1" fitToPage="1" showRuler="0">
      <selection activeCell="B4" sqref="B4"/>
      <pageMargins left="0.75" right="0.75" top="1" bottom="1" header="0.5" footer="0.5"/>
      <pageSetup scale="82" orientation="portrait" horizontalDpi="300" verticalDpi="300" r:id="rId1"/>
      <headerFooter alignWithMargins="0"/>
    </customSheetView>
    <customSheetView guid="{A0A558AC-B09F-4D26-B371-4F17B7E0AA16}" showPageBreaks="1" fitToPage="1" showRuler="0">
      <selection activeCell="G29" sqref="G29"/>
      <pageMargins left="0.75" right="0.75" top="1" bottom="1" header="0.5" footer="0.5"/>
      <pageSetup scale="81" orientation="portrait" horizontalDpi="300" verticalDpi="300" r:id="rId2"/>
      <headerFooter alignWithMargins="0"/>
    </customSheetView>
  </customSheetViews>
  <mergeCells count="1">
    <mergeCell ref="C6:M6"/>
  </mergeCells>
  <phoneticPr fontId="0" type="noConversion"/>
  <pageMargins left="0.75" right="0.75" top="1" bottom="1" header="0.5" footer="0.5"/>
  <pageSetup scale="57" orientation="portrait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 v. PY Qtr &amp; YTD</vt:lpstr>
      <vt:lpstr>Segment P&amp;L</vt:lpstr>
    </vt:vector>
  </TitlesOfParts>
  <Company>Broadwing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 Financial Statements</dc:title>
  <dc:creator>Broadwing Corporate Accounting</dc:creator>
  <cp:lastModifiedBy>Carina Negreanu</cp:lastModifiedBy>
  <cp:lastPrinted>2003-08-04T14:22:34Z</cp:lastPrinted>
  <dcterms:created xsi:type="dcterms:W3CDTF">2001-04-16T15:19:29Z</dcterms:created>
  <dcterms:modified xsi:type="dcterms:W3CDTF">2020-01-27T11:09:23Z</dcterms:modified>
</cp:coreProperties>
</file>