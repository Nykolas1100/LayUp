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8B8501-0D74-482B-B2C0-C8DD38BA410D}" xr6:coauthVersionLast="45" xr6:coauthVersionMax="45" xr10:uidLastSave="{00000000-0000-0000-0000-000000000000}"/>
  <bookViews>
    <workbookView xWindow="380" yWindow="380" windowWidth="28800" windowHeight="15460"/>
  </bookViews>
  <sheets>
    <sheet name="Data &amp; RP" sheetId="1" r:id="rId1"/>
  </sheets>
  <externalReferences>
    <externalReference r:id="rId2"/>
  </externalReferences>
  <definedNames>
    <definedName name="_xlnm.Print_Area" localSheetId="0">'Data &amp; RP'!$A$6:$S$147</definedName>
    <definedName name="_xlnm.Print_Titles" localSheetId="0">'Data &amp; RP'!$1:$4</definedName>
    <definedName name="Rf">'Data &amp; RP'!$K$114</definedName>
  </definedNames>
  <calcPr calcId="0" fullCalcOnLoad="1"/>
</workbook>
</file>

<file path=xl/calcChain.xml><?xml version="1.0" encoding="utf-8"?>
<calcChain xmlns="http://schemas.openxmlformats.org/spreadsheetml/2006/main">
  <c r="L51" i="1" l="1"/>
  <c r="M51" i="1"/>
  <c r="N51" i="1"/>
  <c r="O51" i="1"/>
  <c r="P51" i="1"/>
  <c r="Q51" i="1"/>
  <c r="R51" i="1"/>
  <c r="S51" i="1"/>
  <c r="L52" i="1"/>
  <c r="M52" i="1"/>
  <c r="N52" i="1"/>
  <c r="O52" i="1"/>
  <c r="P52" i="1"/>
  <c r="Q52" i="1"/>
  <c r="R52" i="1"/>
  <c r="S52" i="1"/>
  <c r="L53" i="1"/>
  <c r="M53" i="1"/>
  <c r="N53" i="1"/>
  <c r="O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M55" i="1"/>
  <c r="N55" i="1"/>
  <c r="O55" i="1"/>
  <c r="P55" i="1"/>
  <c r="Q55" i="1"/>
  <c r="R55" i="1"/>
  <c r="S55" i="1"/>
  <c r="L56" i="1"/>
  <c r="M56" i="1"/>
  <c r="N56" i="1"/>
  <c r="O56" i="1"/>
  <c r="P56" i="1"/>
  <c r="Q56" i="1"/>
  <c r="R56" i="1"/>
  <c r="S56" i="1"/>
  <c r="L57" i="1"/>
  <c r="M57" i="1"/>
  <c r="N57" i="1"/>
  <c r="O57" i="1"/>
  <c r="P57" i="1"/>
  <c r="Q57" i="1"/>
  <c r="R57" i="1"/>
  <c r="S57" i="1"/>
  <c r="L58" i="1"/>
  <c r="M58" i="1"/>
  <c r="N58" i="1"/>
  <c r="O58" i="1"/>
  <c r="P58" i="1"/>
  <c r="Q58" i="1"/>
  <c r="R58" i="1"/>
  <c r="S58" i="1"/>
  <c r="L59" i="1"/>
  <c r="M59" i="1"/>
  <c r="N59" i="1"/>
  <c r="O59" i="1"/>
  <c r="P59" i="1"/>
  <c r="Q59" i="1"/>
  <c r="R59" i="1"/>
  <c r="S59" i="1"/>
  <c r="L60" i="1"/>
  <c r="M60" i="1"/>
  <c r="N60" i="1"/>
  <c r="O60" i="1"/>
  <c r="P60" i="1"/>
  <c r="Q60" i="1"/>
  <c r="R60" i="1"/>
  <c r="S60" i="1"/>
  <c r="L61" i="1"/>
  <c r="M61" i="1"/>
  <c r="N61" i="1"/>
  <c r="O61" i="1"/>
  <c r="P61" i="1"/>
  <c r="Q61" i="1"/>
  <c r="R61" i="1"/>
  <c r="S61" i="1"/>
  <c r="L62" i="1"/>
  <c r="M62" i="1"/>
  <c r="N62" i="1"/>
  <c r="O62" i="1"/>
  <c r="P62" i="1"/>
  <c r="Q62" i="1"/>
  <c r="R62" i="1"/>
  <c r="S62" i="1"/>
  <c r="L63" i="1"/>
  <c r="M63" i="1"/>
  <c r="N63" i="1"/>
  <c r="O63" i="1"/>
  <c r="P63" i="1"/>
  <c r="Q63" i="1"/>
  <c r="R63" i="1"/>
  <c r="S63" i="1"/>
  <c r="L64" i="1"/>
  <c r="M64" i="1"/>
  <c r="N64" i="1"/>
  <c r="O64" i="1"/>
  <c r="P64" i="1"/>
  <c r="Q64" i="1"/>
  <c r="R64" i="1"/>
  <c r="S64" i="1"/>
  <c r="L65" i="1"/>
  <c r="M65" i="1"/>
  <c r="N65" i="1"/>
  <c r="O65" i="1"/>
  <c r="P65" i="1"/>
  <c r="Q65" i="1"/>
  <c r="R65" i="1"/>
  <c r="S65" i="1"/>
  <c r="L66" i="1"/>
  <c r="M66" i="1"/>
  <c r="N66" i="1"/>
  <c r="O66" i="1"/>
  <c r="P66" i="1"/>
  <c r="Q66" i="1"/>
  <c r="R66" i="1"/>
  <c r="S66" i="1"/>
  <c r="L67" i="1"/>
  <c r="M67" i="1"/>
  <c r="N67" i="1"/>
  <c r="O67" i="1"/>
  <c r="P67" i="1"/>
  <c r="Q67" i="1"/>
  <c r="R67" i="1"/>
  <c r="S67" i="1"/>
  <c r="L68" i="1"/>
  <c r="M68" i="1"/>
  <c r="N68" i="1"/>
  <c r="O68" i="1"/>
  <c r="P68" i="1"/>
  <c r="Q68" i="1"/>
  <c r="R68" i="1"/>
  <c r="S68" i="1"/>
  <c r="L69" i="1"/>
  <c r="M69" i="1"/>
  <c r="N69" i="1"/>
  <c r="O69" i="1"/>
  <c r="P69" i="1"/>
  <c r="Q69" i="1"/>
  <c r="R69" i="1"/>
  <c r="S69" i="1"/>
  <c r="L70" i="1"/>
  <c r="M70" i="1"/>
  <c r="N70" i="1"/>
  <c r="O70" i="1"/>
  <c r="P70" i="1"/>
  <c r="Q70" i="1"/>
  <c r="R70" i="1"/>
  <c r="S70" i="1"/>
  <c r="L71" i="1"/>
  <c r="M71" i="1"/>
  <c r="N71" i="1"/>
  <c r="O71" i="1"/>
  <c r="P71" i="1"/>
  <c r="Q71" i="1"/>
  <c r="R71" i="1"/>
  <c r="S71" i="1"/>
  <c r="L72" i="1"/>
  <c r="M72" i="1"/>
  <c r="N72" i="1"/>
  <c r="O72" i="1"/>
  <c r="P72" i="1"/>
  <c r="Q72" i="1"/>
  <c r="R72" i="1"/>
  <c r="S72" i="1"/>
  <c r="L73" i="1"/>
  <c r="M73" i="1"/>
  <c r="N73" i="1"/>
  <c r="O73" i="1"/>
  <c r="P73" i="1"/>
  <c r="Q73" i="1"/>
  <c r="R73" i="1"/>
  <c r="S73" i="1"/>
  <c r="L74" i="1"/>
  <c r="M74" i="1"/>
  <c r="N74" i="1"/>
  <c r="O74" i="1"/>
  <c r="P74" i="1"/>
  <c r="Q74" i="1"/>
  <c r="R74" i="1"/>
  <c r="S74" i="1"/>
  <c r="L75" i="1"/>
  <c r="M75" i="1"/>
  <c r="N75" i="1"/>
  <c r="O75" i="1"/>
  <c r="P75" i="1"/>
  <c r="Q75" i="1"/>
  <c r="R75" i="1"/>
  <c r="S75" i="1"/>
  <c r="L76" i="1"/>
  <c r="M76" i="1"/>
  <c r="N76" i="1"/>
  <c r="O76" i="1"/>
  <c r="P76" i="1"/>
  <c r="Q76" i="1"/>
  <c r="R76" i="1"/>
  <c r="S76" i="1"/>
  <c r="L77" i="1"/>
  <c r="M77" i="1"/>
  <c r="N77" i="1"/>
  <c r="O77" i="1"/>
  <c r="P77" i="1"/>
  <c r="Q77" i="1"/>
  <c r="R77" i="1"/>
  <c r="S77" i="1"/>
  <c r="L78" i="1"/>
  <c r="M78" i="1"/>
  <c r="N78" i="1"/>
  <c r="O78" i="1"/>
  <c r="P78" i="1"/>
  <c r="Q78" i="1"/>
  <c r="R78" i="1"/>
  <c r="S78" i="1"/>
  <c r="L79" i="1"/>
  <c r="M79" i="1"/>
  <c r="N79" i="1"/>
  <c r="O79" i="1"/>
  <c r="P79" i="1"/>
  <c r="Q79" i="1"/>
  <c r="R79" i="1"/>
  <c r="S79" i="1"/>
  <c r="L80" i="1"/>
  <c r="M80" i="1"/>
  <c r="N80" i="1"/>
  <c r="O80" i="1"/>
  <c r="P80" i="1"/>
  <c r="Q80" i="1"/>
  <c r="R80" i="1"/>
  <c r="S80" i="1"/>
  <c r="L81" i="1"/>
  <c r="M81" i="1"/>
  <c r="N81" i="1"/>
  <c r="O81" i="1"/>
  <c r="P81" i="1"/>
  <c r="Q81" i="1"/>
  <c r="R81" i="1"/>
  <c r="S81" i="1"/>
  <c r="L82" i="1"/>
  <c r="M82" i="1"/>
  <c r="N82" i="1"/>
  <c r="O82" i="1"/>
  <c r="P82" i="1"/>
  <c r="Q82" i="1"/>
  <c r="R82" i="1"/>
  <c r="S82" i="1"/>
  <c r="L83" i="1"/>
  <c r="M83" i="1"/>
  <c r="N83" i="1"/>
  <c r="O83" i="1"/>
  <c r="P83" i="1"/>
  <c r="Q83" i="1"/>
  <c r="R83" i="1"/>
  <c r="S83" i="1"/>
  <c r="L84" i="1"/>
  <c r="M84" i="1"/>
  <c r="N84" i="1"/>
  <c r="O84" i="1"/>
  <c r="P84" i="1"/>
  <c r="Q84" i="1"/>
  <c r="R84" i="1"/>
  <c r="S84" i="1"/>
  <c r="L85" i="1"/>
  <c r="M85" i="1"/>
  <c r="N85" i="1"/>
  <c r="O85" i="1"/>
  <c r="P85" i="1"/>
  <c r="Q85" i="1"/>
  <c r="R85" i="1"/>
  <c r="S85" i="1"/>
  <c r="L86" i="1"/>
  <c r="M86" i="1"/>
  <c r="N86" i="1"/>
  <c r="O86" i="1"/>
  <c r="P86" i="1"/>
  <c r="Q86" i="1"/>
  <c r="R86" i="1"/>
  <c r="S86" i="1"/>
  <c r="L87" i="1"/>
  <c r="M87" i="1"/>
  <c r="N87" i="1"/>
  <c r="O87" i="1"/>
  <c r="P87" i="1"/>
  <c r="Q87" i="1"/>
  <c r="R87" i="1"/>
  <c r="S87" i="1"/>
  <c r="L88" i="1"/>
  <c r="M88" i="1"/>
  <c r="N88" i="1"/>
  <c r="O88" i="1"/>
  <c r="P88" i="1"/>
  <c r="Q88" i="1"/>
  <c r="R88" i="1"/>
  <c r="S88" i="1"/>
  <c r="L89" i="1"/>
  <c r="M89" i="1"/>
  <c r="N89" i="1"/>
  <c r="O89" i="1"/>
  <c r="P89" i="1"/>
  <c r="Q89" i="1"/>
  <c r="R89" i="1"/>
  <c r="S89" i="1"/>
  <c r="L90" i="1"/>
  <c r="M90" i="1"/>
  <c r="N90" i="1"/>
  <c r="O90" i="1"/>
  <c r="P90" i="1"/>
  <c r="Q90" i="1"/>
  <c r="R90" i="1"/>
  <c r="S90" i="1"/>
  <c r="L91" i="1"/>
  <c r="M91" i="1"/>
  <c r="N91" i="1"/>
  <c r="O91" i="1"/>
  <c r="P91" i="1"/>
  <c r="Q91" i="1"/>
  <c r="R91" i="1"/>
  <c r="S91" i="1"/>
  <c r="L92" i="1"/>
  <c r="M92" i="1"/>
  <c r="N92" i="1"/>
  <c r="O92" i="1"/>
  <c r="P92" i="1"/>
  <c r="Q92" i="1"/>
  <c r="R92" i="1"/>
  <c r="S92" i="1"/>
  <c r="L93" i="1"/>
  <c r="M93" i="1"/>
  <c r="N93" i="1"/>
  <c r="O93" i="1"/>
  <c r="P93" i="1"/>
  <c r="Q93" i="1"/>
  <c r="R93" i="1"/>
  <c r="S93" i="1"/>
  <c r="L94" i="1"/>
  <c r="M94" i="1"/>
  <c r="N94" i="1"/>
  <c r="O94" i="1"/>
  <c r="P94" i="1"/>
  <c r="Q94" i="1"/>
  <c r="R94" i="1"/>
  <c r="S94" i="1"/>
  <c r="L95" i="1"/>
  <c r="M95" i="1"/>
  <c r="N95" i="1"/>
  <c r="O95" i="1"/>
  <c r="P95" i="1"/>
  <c r="Q95" i="1"/>
  <c r="R95" i="1"/>
  <c r="S95" i="1"/>
  <c r="L96" i="1"/>
  <c r="M96" i="1"/>
  <c r="N96" i="1"/>
  <c r="O96" i="1"/>
  <c r="P96" i="1"/>
  <c r="Q96" i="1"/>
  <c r="R96" i="1"/>
  <c r="S96" i="1"/>
  <c r="L97" i="1"/>
  <c r="M97" i="1"/>
  <c r="N97" i="1"/>
  <c r="O97" i="1"/>
  <c r="P97" i="1"/>
  <c r="Q97" i="1"/>
  <c r="R97" i="1"/>
  <c r="S97" i="1"/>
  <c r="L98" i="1"/>
  <c r="M98" i="1"/>
  <c r="N98" i="1"/>
  <c r="O98" i="1"/>
  <c r="P98" i="1"/>
  <c r="Q98" i="1"/>
  <c r="R98" i="1"/>
  <c r="S98" i="1"/>
  <c r="L99" i="1"/>
  <c r="M99" i="1"/>
  <c r="N99" i="1"/>
  <c r="O99" i="1"/>
  <c r="P99" i="1"/>
  <c r="Q99" i="1"/>
  <c r="R99" i="1"/>
  <c r="S99" i="1"/>
  <c r="L100" i="1"/>
  <c r="M100" i="1"/>
  <c r="N100" i="1"/>
  <c r="O100" i="1"/>
  <c r="P100" i="1"/>
  <c r="Q100" i="1"/>
  <c r="R100" i="1"/>
  <c r="S100" i="1"/>
  <c r="L101" i="1"/>
  <c r="M101" i="1"/>
  <c r="N101" i="1"/>
  <c r="O101" i="1"/>
  <c r="P101" i="1"/>
  <c r="Q101" i="1"/>
  <c r="R101" i="1"/>
  <c r="S101" i="1"/>
  <c r="L102" i="1"/>
  <c r="M102" i="1"/>
  <c r="N102" i="1"/>
  <c r="O102" i="1"/>
  <c r="P102" i="1"/>
  <c r="Q102" i="1"/>
  <c r="R102" i="1"/>
  <c r="S102" i="1"/>
  <c r="L103" i="1"/>
  <c r="M103" i="1"/>
  <c r="N103" i="1"/>
  <c r="O103" i="1"/>
  <c r="P103" i="1"/>
  <c r="Q103" i="1"/>
  <c r="R103" i="1"/>
  <c r="S103" i="1"/>
  <c r="L104" i="1"/>
  <c r="M104" i="1"/>
  <c r="N104" i="1"/>
  <c r="O104" i="1"/>
  <c r="P104" i="1"/>
  <c r="Q104" i="1"/>
  <c r="R104" i="1"/>
  <c r="S104" i="1"/>
  <c r="L105" i="1"/>
  <c r="M105" i="1"/>
  <c r="N105" i="1"/>
  <c r="O105" i="1"/>
  <c r="P105" i="1"/>
  <c r="Q105" i="1"/>
  <c r="R105" i="1"/>
  <c r="S105" i="1"/>
  <c r="L106" i="1"/>
  <c r="M106" i="1"/>
  <c r="N106" i="1"/>
  <c r="O106" i="1"/>
  <c r="P106" i="1"/>
  <c r="Q106" i="1"/>
  <c r="R106" i="1"/>
  <c r="S106" i="1"/>
  <c r="L107" i="1"/>
  <c r="M107" i="1"/>
  <c r="N107" i="1"/>
  <c r="O107" i="1"/>
  <c r="P107" i="1"/>
  <c r="Q107" i="1"/>
  <c r="R107" i="1"/>
  <c r="S107" i="1"/>
  <c r="L108" i="1"/>
  <c r="M108" i="1"/>
  <c r="N108" i="1"/>
  <c r="O108" i="1"/>
  <c r="P108" i="1"/>
  <c r="Q108" i="1"/>
  <c r="R108" i="1"/>
  <c r="S108" i="1"/>
  <c r="L109" i="1"/>
  <c r="M109" i="1"/>
  <c r="N109" i="1"/>
  <c r="O109" i="1"/>
  <c r="P109" i="1"/>
  <c r="Q109" i="1"/>
  <c r="R109" i="1"/>
  <c r="S109" i="1"/>
  <c r="L110" i="1"/>
  <c r="M110" i="1"/>
  <c r="N110" i="1"/>
  <c r="O110" i="1"/>
  <c r="P110" i="1"/>
  <c r="Q110" i="1"/>
  <c r="R110" i="1"/>
  <c r="S110" i="1"/>
  <c r="K114" i="1"/>
  <c r="L114" i="1"/>
  <c r="M114" i="1"/>
  <c r="N114" i="1"/>
  <c r="O114" i="1"/>
  <c r="P114" i="1"/>
  <c r="Q114" i="1"/>
  <c r="R114" i="1"/>
  <c r="S114" i="1"/>
  <c r="K115" i="1"/>
  <c r="L115" i="1"/>
  <c r="M115" i="1"/>
  <c r="N115" i="1"/>
  <c r="O115" i="1"/>
  <c r="P115" i="1"/>
  <c r="Q115" i="1"/>
  <c r="R115" i="1"/>
  <c r="S115" i="1"/>
  <c r="L117" i="1"/>
  <c r="M117" i="1"/>
  <c r="N117" i="1"/>
  <c r="O117" i="1"/>
  <c r="P117" i="1"/>
  <c r="Q117" i="1"/>
  <c r="R117" i="1"/>
  <c r="S117" i="1"/>
  <c r="L118" i="1"/>
  <c r="M118" i="1"/>
  <c r="N118" i="1"/>
  <c r="O118" i="1"/>
  <c r="P118" i="1"/>
  <c r="Q118" i="1"/>
  <c r="R118" i="1"/>
  <c r="S118" i="1"/>
  <c r="L119" i="1"/>
  <c r="M119" i="1"/>
  <c r="N119" i="1"/>
  <c r="O119" i="1"/>
  <c r="P119" i="1"/>
  <c r="Q119" i="1"/>
  <c r="R119" i="1"/>
  <c r="S119" i="1"/>
  <c r="L120" i="1"/>
  <c r="M120" i="1"/>
  <c r="N120" i="1"/>
  <c r="O120" i="1"/>
  <c r="P120" i="1"/>
  <c r="Q120" i="1"/>
  <c r="R120" i="1"/>
  <c r="S120" i="1"/>
  <c r="D124" i="1"/>
  <c r="M124" i="1"/>
  <c r="Q124" i="1"/>
  <c r="E125" i="1"/>
  <c r="M125" i="1"/>
  <c r="Q125" i="1"/>
  <c r="F126" i="1"/>
  <c r="M126" i="1"/>
  <c r="Q126" i="1"/>
  <c r="G127" i="1"/>
  <c r="M127" i="1"/>
  <c r="Q127" i="1"/>
  <c r="H128" i="1"/>
  <c r="M128" i="1"/>
  <c r="Q128" i="1"/>
  <c r="I129" i="1"/>
  <c r="M129" i="1"/>
  <c r="Q129" i="1"/>
  <c r="M130" i="1"/>
  <c r="Q130" i="1"/>
  <c r="M131" i="1"/>
  <c r="Q131" i="1"/>
  <c r="M132" i="1"/>
  <c r="Q132" i="1"/>
  <c r="D133" i="1"/>
  <c r="E133" i="1"/>
  <c r="F133" i="1"/>
  <c r="G133" i="1"/>
  <c r="H133" i="1"/>
  <c r="I133" i="1"/>
  <c r="M133" i="1"/>
  <c r="Q133" i="1"/>
  <c r="E134" i="1"/>
  <c r="F134" i="1"/>
  <c r="G134" i="1"/>
  <c r="H134" i="1"/>
  <c r="I134" i="1"/>
  <c r="M134" i="1"/>
  <c r="Q134" i="1"/>
  <c r="F135" i="1"/>
  <c r="G135" i="1"/>
  <c r="H135" i="1"/>
  <c r="I135" i="1"/>
  <c r="L135" i="1"/>
  <c r="M135" i="1"/>
  <c r="Q135" i="1"/>
  <c r="G136" i="1"/>
  <c r="H136" i="1"/>
  <c r="I136" i="1"/>
  <c r="L136" i="1"/>
  <c r="M136" i="1"/>
  <c r="N136" i="1"/>
  <c r="Q136" i="1"/>
  <c r="H137" i="1"/>
  <c r="I137" i="1"/>
  <c r="L137" i="1"/>
  <c r="M137" i="1"/>
  <c r="N137" i="1"/>
  <c r="Q137" i="1"/>
  <c r="I138" i="1"/>
  <c r="L138" i="1"/>
  <c r="M138" i="1"/>
  <c r="N138" i="1"/>
  <c r="Q138" i="1"/>
  <c r="L139" i="1"/>
  <c r="M139" i="1"/>
  <c r="N139" i="1"/>
  <c r="Q139" i="1"/>
  <c r="L140" i="1"/>
  <c r="M140" i="1"/>
  <c r="N140" i="1"/>
  <c r="P140" i="1"/>
  <c r="Q140" i="1"/>
  <c r="R140" i="1"/>
  <c r="L141" i="1"/>
  <c r="M141" i="1"/>
  <c r="N141" i="1"/>
  <c r="P141" i="1"/>
  <c r="Q141" i="1"/>
  <c r="R141" i="1"/>
  <c r="L142" i="1"/>
  <c r="M142" i="1"/>
  <c r="N142" i="1"/>
  <c r="P142" i="1"/>
  <c r="Q142" i="1"/>
  <c r="R142" i="1"/>
  <c r="L143" i="1"/>
  <c r="M143" i="1"/>
  <c r="N143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Q147" i="1"/>
  <c r="R147" i="1"/>
  <c r="E151" i="1"/>
  <c r="F151" i="1"/>
  <c r="G151" i="1"/>
  <c r="H151" i="1"/>
  <c r="I151" i="1"/>
  <c r="D152" i="1"/>
  <c r="F152" i="1"/>
  <c r="G152" i="1"/>
  <c r="H152" i="1"/>
  <c r="I152" i="1"/>
  <c r="D153" i="1"/>
  <c r="E153" i="1"/>
  <c r="G153" i="1"/>
  <c r="H153" i="1"/>
  <c r="I153" i="1"/>
  <c r="D154" i="1"/>
  <c r="E154" i="1"/>
  <c r="F154" i="1"/>
  <c r="H154" i="1"/>
  <c r="I154" i="1"/>
  <c r="D155" i="1"/>
  <c r="E155" i="1"/>
  <c r="F155" i="1"/>
  <c r="G155" i="1"/>
  <c r="I155" i="1"/>
  <c r="D156" i="1"/>
  <c r="E156" i="1"/>
  <c r="F156" i="1"/>
  <c r="G156" i="1"/>
  <c r="H156" i="1"/>
  <c r="C160" i="1"/>
  <c r="D160" i="1"/>
  <c r="E160" i="1"/>
  <c r="F160" i="1"/>
  <c r="G160" i="1"/>
  <c r="H160" i="1"/>
  <c r="I160" i="1"/>
  <c r="C162" i="1"/>
  <c r="D162" i="1"/>
  <c r="E162" i="1"/>
  <c r="F162" i="1"/>
  <c r="G162" i="1"/>
  <c r="H162" i="1"/>
  <c r="I162" i="1"/>
</calcChain>
</file>

<file path=xl/sharedStrings.xml><?xml version="1.0" encoding="utf-8"?>
<sst xmlns="http://schemas.openxmlformats.org/spreadsheetml/2006/main" count="187" uniqueCount="50">
  <si>
    <t>Homework No. 8</t>
  </si>
  <si>
    <t>Financial Management</t>
  </si>
  <si>
    <t>Data for Problems 16-20 from Take-Home Test</t>
  </si>
  <si>
    <t>Date</t>
  </si>
  <si>
    <t>T. Days</t>
  </si>
  <si>
    <t>Disc Rate</t>
  </si>
  <si>
    <t>CMB</t>
  </si>
  <si>
    <t>COL</t>
  </si>
  <si>
    <t>F</t>
  </si>
  <si>
    <t>HWP</t>
  </si>
  <si>
    <t>INTC</t>
  </si>
  <si>
    <t>KO</t>
  </si>
  <si>
    <t>S&amp;P500</t>
  </si>
  <si>
    <t>RP CMB</t>
  </si>
  <si>
    <t>RP COL</t>
  </si>
  <si>
    <t>RP F</t>
  </si>
  <si>
    <t>RP HWP</t>
  </si>
  <si>
    <t xml:space="preserve"> RP INTC</t>
  </si>
  <si>
    <t>RP KO</t>
  </si>
  <si>
    <t>RP Port</t>
  </si>
  <si>
    <t>RP S&amp;P</t>
  </si>
  <si>
    <t>Item</t>
  </si>
  <si>
    <t>Mean</t>
  </si>
  <si>
    <t>Std Dev</t>
  </si>
  <si>
    <t>Alpha</t>
  </si>
  <si>
    <t>Beta</t>
  </si>
  <si>
    <r>
      <t>R</t>
    </r>
    <r>
      <rPr>
        <b/>
        <vertAlign val="superscript"/>
        <sz val="10"/>
        <rFont val="Arial Narrow"/>
        <family val="2"/>
      </rPr>
      <t>2</t>
    </r>
  </si>
  <si>
    <t>R</t>
  </si>
  <si>
    <t>Covariance Matrix (from Tools|Data Analysis|Covariance)</t>
  </si>
  <si>
    <t>Plotting Data</t>
  </si>
  <si>
    <t>Ticker</t>
  </si>
  <si>
    <t>Risk</t>
  </si>
  <si>
    <t>CML</t>
  </si>
  <si>
    <t>SML</t>
  </si>
  <si>
    <t>Rf</t>
  </si>
  <si>
    <t>x</t>
  </si>
  <si>
    <t>Covariance Matrix (from COVAR(.,.)*(60/59))</t>
  </si>
  <si>
    <t>Quite Amazing!</t>
  </si>
  <si>
    <t>Full Covariance Matrix</t>
  </si>
  <si>
    <t>RP INTC</t>
  </si>
  <si>
    <t>Full Covariance Matrix (without Variances)</t>
  </si>
  <si>
    <t>Averages</t>
  </si>
  <si>
    <t>Grand Avg</t>
  </si>
  <si>
    <r>
      <t>Cov(R</t>
    </r>
    <r>
      <rPr>
        <b/>
        <vertAlign val="subscript"/>
        <sz val="10"/>
        <rFont val="Arial Narrow"/>
        <family val="2"/>
      </rPr>
      <t>j</t>
    </r>
    <r>
      <rPr>
        <b/>
        <sz val="10"/>
        <rFont val="Arial Narrow"/>
      </rPr>
      <t>, R</t>
    </r>
    <r>
      <rPr>
        <b/>
        <vertAlign val="subscript"/>
        <sz val="10"/>
        <rFont val="Arial Narrow"/>
        <family val="2"/>
      </rPr>
      <t>k</t>
    </r>
    <r>
      <rPr>
        <b/>
        <sz val="10"/>
        <rFont val="Arial Narrow"/>
      </rPr>
      <t>)</t>
    </r>
  </si>
  <si>
    <t>=AVERAGE($D$151:$I$156)</t>
  </si>
  <si>
    <r>
      <t>Var (R</t>
    </r>
    <r>
      <rPr>
        <b/>
        <vertAlign val="subscript"/>
        <sz val="10"/>
        <rFont val="Arial Narrow"/>
        <family val="2"/>
      </rPr>
      <t>j</t>
    </r>
    <r>
      <rPr>
        <b/>
        <sz val="10"/>
        <rFont val="Arial Narrow"/>
      </rPr>
      <t>)</t>
    </r>
  </si>
  <si>
    <t>=AVERAGE($D$162:$I$162)</t>
  </si>
  <si>
    <t>N</t>
  </si>
  <si>
    <r>
      <t>Var (R</t>
    </r>
    <r>
      <rPr>
        <b/>
        <vertAlign val="subscript"/>
        <sz val="10"/>
        <rFont val="Arial Narrow"/>
        <family val="2"/>
      </rPr>
      <t>p</t>
    </r>
    <r>
      <rPr>
        <b/>
        <sz val="10"/>
        <rFont val="Arial Narrow"/>
      </rPr>
      <t>)</t>
    </r>
  </si>
  <si>
    <r>
      <t>StdDev (R</t>
    </r>
    <r>
      <rPr>
        <b/>
        <vertAlign val="subscript"/>
        <sz val="10"/>
        <rFont val="Arial Narrow"/>
        <family val="2"/>
      </rPr>
      <t>p</t>
    </r>
    <r>
      <rPr>
        <b/>
        <sz val="10"/>
        <rFont val="Arial Narrow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</si>
</sst>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00000"/>
    <numFmt numFmtId="173" formatCode="0.00000000"/>
    <numFmt numFmtId="175" formatCode="0.0000000"/>
  </numFmts>
  <fonts count="8">
    <font>
      <sz val="10"/>
      <name val="Arial Narrow"/>
    </font>
    <font>
      <b/>
      <sz val="10"/>
      <name val="Arial Narrow"/>
    </font>
    <font>
      <i/>
      <sz val="10"/>
      <name val="Arial Narrow"/>
    </font>
    <font>
      <sz val="10"/>
      <name val="Arial Narrow"/>
      <family val="2"/>
    </font>
    <font>
      <sz val="10"/>
      <name val="Helvetica-Narrow"/>
    </font>
    <font>
      <b/>
      <vertAlign val="superscript"/>
      <sz val="10"/>
      <name val="Arial Narrow"/>
      <family val="2"/>
    </font>
    <font>
      <b/>
      <sz val="10"/>
      <name val="Arial Narrow"/>
      <family val="2"/>
    </font>
    <font>
      <b/>
      <vertAlign val="subscript"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3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17" fontId="0" fillId="0" borderId="0" xfId="0" applyNumberFormat="1"/>
    <xf numFmtId="172" fontId="4" fillId="0" borderId="0" xfId="1" applyNumberFormat="1"/>
    <xf numFmtId="172" fontId="0" fillId="0" borderId="0" xfId="0" applyNumberFormat="1"/>
    <xf numFmtId="0" fontId="1" fillId="0" borderId="0" xfId="0" applyFont="1"/>
    <xf numFmtId="173" fontId="0" fillId="0" borderId="0" xfId="0" applyNumberFormat="1"/>
    <xf numFmtId="0" fontId="6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2" fontId="0" fillId="0" borderId="0" xfId="0" applyNumberFormat="1"/>
    <xf numFmtId="0" fontId="3" fillId="0" borderId="0" xfId="0" applyFont="1" applyAlignment="1"/>
    <xf numFmtId="0" fontId="3" fillId="0" borderId="0" xfId="0" quotePrefix="1" applyFont="1" applyAlignment="1"/>
    <xf numFmtId="0" fontId="3" fillId="0" borderId="0" xfId="0" quotePrefix="1" applyFont="1" applyAlignment="1">
      <alignment horizontal="left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75" fontId="0" fillId="0" borderId="0" xfId="0" applyNumberFormat="1" applyFill="1" applyBorder="1" applyAlignment="1"/>
    <xf numFmtId="175" fontId="0" fillId="0" borderId="0" xfId="0" applyNumberFormat="1"/>
    <xf numFmtId="0" fontId="0" fillId="0" borderId="0" xfId="0" quotePrefix="1" applyAlignment="1">
      <alignment horizontal="left"/>
    </xf>
    <xf numFmtId="0" fontId="3" fillId="0" borderId="0" xfId="0" applyFont="1" applyFill="1" applyBorder="1" applyAlignment="1"/>
    <xf numFmtId="0" fontId="1" fillId="0" borderId="0" xfId="0" quotePrefix="1" applyFont="1" applyFill="1" applyBorder="1" applyAlignment="1">
      <alignment horizontal="left"/>
    </xf>
    <xf numFmtId="175" fontId="0" fillId="0" borderId="0" xfId="0" quotePrefix="1" applyNumberFormat="1" applyAlignment="1">
      <alignment horizontal="left"/>
    </xf>
  </cellXfs>
  <cellStyles count="2">
    <cellStyle name="Normal" xfId="0" builtinId="0"/>
    <cellStyle name="Normal_discr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VMIS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definedNames>
      <definedName name="CMLRet"/>
      <definedName name="SMLRet"/>
    </defined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7"/>
  <sheetViews>
    <sheetView tabSelected="1" topLeftCell="A144" workbookViewId="0">
      <selection activeCell="A164" sqref="A164"/>
    </sheetView>
  </sheetViews>
  <sheetFormatPr defaultRowHeight="13"/>
  <cols>
    <col min="1" max="1" width="12.109375" customWidth="1"/>
    <col min="2" max="2" width="9" customWidth="1"/>
    <col min="3" max="20" width="10.6640625" customWidth="1"/>
  </cols>
  <sheetData>
    <row r="1" spans="1:19">
      <c r="A1" t="s">
        <v>0</v>
      </c>
    </row>
    <row r="2" spans="1:19">
      <c r="A2" t="s">
        <v>1</v>
      </c>
    </row>
    <row r="3" spans="1:19">
      <c r="A3" s="22" t="s">
        <v>2</v>
      </c>
    </row>
    <row r="5" spans="1:19">
      <c r="L5" s="1"/>
      <c r="M5" s="1"/>
      <c r="N5" s="1"/>
      <c r="O5" s="1"/>
      <c r="P5" s="1"/>
      <c r="Q5" s="1"/>
      <c r="R5" s="1"/>
      <c r="S5" s="1"/>
    </row>
    <row r="6" spans="1:19" hidden="1">
      <c r="A6" s="2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5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</row>
    <row r="7" spans="1:19" hidden="1">
      <c r="A7" s="5">
        <v>32295</v>
      </c>
      <c r="B7">
        <v>22</v>
      </c>
      <c r="C7" s="6">
        <v>5.0000000000000001E-3</v>
      </c>
      <c r="D7" s="7">
        <v>7.6577000000000006E-2</v>
      </c>
      <c r="E7" s="7">
        <v>0.24983900000000001</v>
      </c>
      <c r="F7" s="7">
        <v>9.2308000000000001E-2</v>
      </c>
      <c r="G7" s="7">
        <v>-3.8759000000000002E-2</v>
      </c>
      <c r="H7" s="7">
        <v>0.155894</v>
      </c>
      <c r="I7" s="7">
        <v>1.2881999999999999E-2</v>
      </c>
      <c r="J7" s="7">
        <v>2.5547E-2</v>
      </c>
      <c r="K7" s="7"/>
      <c r="L7" s="7"/>
      <c r="M7" s="7"/>
      <c r="N7" s="7"/>
      <c r="O7" s="7"/>
      <c r="P7" s="7"/>
      <c r="Q7" s="7"/>
    </row>
    <row r="8" spans="1:19" hidden="1">
      <c r="A8" s="5">
        <v>32325</v>
      </c>
      <c r="B8">
        <v>21</v>
      </c>
      <c r="C8" s="6">
        <v>5.0000000000000001E-3</v>
      </c>
      <c r="D8" s="7">
        <v>8.3680000000000004E-3</v>
      </c>
      <c r="E8" s="7">
        <v>-5.7089000000000001E-2</v>
      </c>
      <c r="F8" s="7">
        <v>-4.6950000000000004E-3</v>
      </c>
      <c r="G8" s="7">
        <v>-9.4202999999999995E-2</v>
      </c>
      <c r="H8" s="7">
        <v>-3.798E-2</v>
      </c>
      <c r="I8" s="7">
        <v>-1.6E-2</v>
      </c>
      <c r="J8" s="7">
        <v>-5.411E-3</v>
      </c>
      <c r="K8" s="7"/>
      <c r="L8" s="7"/>
      <c r="M8" s="7"/>
      <c r="N8" s="7"/>
      <c r="O8" s="7"/>
      <c r="P8" s="7"/>
      <c r="Q8" s="7"/>
    </row>
    <row r="9" spans="1:19" hidden="1">
      <c r="A9" s="5">
        <v>32356</v>
      </c>
      <c r="B9">
        <v>23</v>
      </c>
      <c r="C9" s="6">
        <v>5.4079999999999996E-3</v>
      </c>
      <c r="D9" s="7">
        <v>-4.1494000000000003E-2</v>
      </c>
      <c r="E9" s="7">
        <v>6.0545000000000002E-2</v>
      </c>
      <c r="F9" s="7">
        <v>-7.0754999999999998E-2</v>
      </c>
      <c r="G9" s="7">
        <v>-7.9208000000000001E-2</v>
      </c>
      <c r="H9" s="7">
        <v>-0.19429099999999999</v>
      </c>
      <c r="I9" s="7">
        <v>4.2318000000000001E-2</v>
      </c>
      <c r="J9" s="7">
        <v>-3.8600000000000002E-2</v>
      </c>
      <c r="K9" s="7"/>
      <c r="L9" s="7"/>
      <c r="M9" s="7"/>
      <c r="N9" s="7"/>
      <c r="O9" s="7"/>
      <c r="P9" s="7"/>
      <c r="Q9" s="7"/>
    </row>
    <row r="10" spans="1:19" hidden="1">
      <c r="A10" s="5">
        <v>32387</v>
      </c>
      <c r="B10">
        <v>22</v>
      </c>
      <c r="C10" s="6">
        <v>5.4079999999999996E-3</v>
      </c>
      <c r="D10" s="7">
        <v>4.3290000000000002E-2</v>
      </c>
      <c r="E10" s="7">
        <v>0</v>
      </c>
      <c r="F10" s="7">
        <v>3.8091E-2</v>
      </c>
      <c r="G10" s="7">
        <v>7.2602E-2</v>
      </c>
      <c r="H10" s="7">
        <v>-1.7857000000000001E-2</v>
      </c>
      <c r="I10" s="7">
        <v>9.3799999999999994E-2</v>
      </c>
      <c r="J10" s="7">
        <v>3.9713999999999999E-2</v>
      </c>
      <c r="K10" s="7"/>
      <c r="L10" s="7"/>
      <c r="M10" s="7"/>
      <c r="N10" s="7"/>
      <c r="O10" s="7"/>
      <c r="P10" s="7"/>
      <c r="Q10" s="7"/>
    </row>
    <row r="11" spans="1:19" hidden="1">
      <c r="A11" s="5">
        <v>32417</v>
      </c>
      <c r="B11">
        <v>21</v>
      </c>
      <c r="C11" s="6">
        <v>5.4079999999999996E-3</v>
      </c>
      <c r="D11" s="7">
        <v>-3.7344000000000002E-2</v>
      </c>
      <c r="E11" s="7">
        <v>-8.5719000000000004E-2</v>
      </c>
      <c r="F11" s="7">
        <v>7.3150000000000003E-3</v>
      </c>
      <c r="G11" s="7">
        <v>1.2511E-2</v>
      </c>
      <c r="H11" s="7">
        <v>-9.9927000000000002E-2</v>
      </c>
      <c r="I11" s="7">
        <v>-1.4262E-2</v>
      </c>
      <c r="J11" s="7">
        <v>2.5971999999999999E-2</v>
      </c>
      <c r="K11" s="7"/>
      <c r="L11" s="7"/>
      <c r="M11" s="7"/>
      <c r="N11" s="7"/>
      <c r="O11" s="7"/>
      <c r="P11" s="7"/>
      <c r="Q11" s="7"/>
    </row>
    <row r="12" spans="1:19" hidden="1">
      <c r="A12" s="5">
        <v>32448</v>
      </c>
      <c r="B12">
        <v>22</v>
      </c>
      <c r="C12" s="6">
        <v>5.4079999999999996E-3</v>
      </c>
      <c r="D12" s="7">
        <v>-3.8793000000000001E-2</v>
      </c>
      <c r="E12" s="7">
        <v>0.156385</v>
      </c>
      <c r="F12" s="7">
        <v>9.7090000000000006E-3</v>
      </c>
      <c r="G12" s="7">
        <v>-4.2058999999999999E-2</v>
      </c>
      <c r="H12" s="7">
        <v>-0.17178399999999999</v>
      </c>
      <c r="I12" s="7">
        <v>5.7499999999999999E-3</v>
      </c>
      <c r="J12" s="7">
        <v>-1.8894999999999999E-2</v>
      </c>
      <c r="K12" s="7"/>
      <c r="L12" s="7"/>
      <c r="M12" s="7"/>
      <c r="N12" s="7"/>
      <c r="O12" s="7"/>
      <c r="P12" s="7"/>
      <c r="Q12" s="7"/>
    </row>
    <row r="13" spans="1:19" hidden="1">
      <c r="A13" s="5">
        <v>32478</v>
      </c>
      <c r="B13">
        <v>22</v>
      </c>
      <c r="C13" s="6">
        <v>5.4079999999999996E-3</v>
      </c>
      <c r="D13" s="7">
        <v>2.6905999999999999E-2</v>
      </c>
      <c r="E13" s="7">
        <v>0.16215299999999999</v>
      </c>
      <c r="F13" s="7">
        <v>-2.8846E-2</v>
      </c>
      <c r="G13" s="7">
        <v>0.10079399999999999</v>
      </c>
      <c r="H13" s="7">
        <v>0.158634</v>
      </c>
      <c r="I13" s="7">
        <v>2.8771999999999999E-2</v>
      </c>
      <c r="J13" s="7">
        <v>1.4690999999999999E-2</v>
      </c>
      <c r="K13" s="7"/>
      <c r="L13" s="7"/>
      <c r="M13" s="7"/>
      <c r="N13" s="7"/>
      <c r="O13" s="7"/>
      <c r="P13" s="7"/>
      <c r="Q13" s="7"/>
    </row>
    <row r="14" spans="1:19" hidden="1">
      <c r="A14" s="5">
        <v>32509</v>
      </c>
      <c r="B14">
        <v>22</v>
      </c>
      <c r="C14" s="6">
        <v>5.4079999999999996E-3</v>
      </c>
      <c r="D14" s="7">
        <v>0.100437</v>
      </c>
      <c r="E14" s="7">
        <v>-2.3300999999999999E-2</v>
      </c>
      <c r="F14" s="7">
        <v>8.1702999999999998E-2</v>
      </c>
      <c r="G14" s="7">
        <v>8.4503999999999996E-2</v>
      </c>
      <c r="H14" s="7">
        <v>9.4645000000000007E-2</v>
      </c>
      <c r="I14" s="7">
        <v>4.7687E-2</v>
      </c>
      <c r="J14" s="7">
        <v>7.1114999999999998E-2</v>
      </c>
      <c r="K14" s="7"/>
      <c r="L14" s="7"/>
      <c r="M14" s="7"/>
      <c r="N14" s="7"/>
      <c r="O14" s="7"/>
      <c r="P14" s="7"/>
      <c r="Q14" s="7"/>
    </row>
    <row r="15" spans="1:19" hidden="1">
      <c r="A15" s="5">
        <v>32540</v>
      </c>
      <c r="B15">
        <v>20</v>
      </c>
      <c r="C15" s="6">
        <v>5.8240000000000002E-3</v>
      </c>
      <c r="D15" s="7">
        <v>0</v>
      </c>
      <c r="E15" s="7">
        <v>0</v>
      </c>
      <c r="F15" s="7">
        <v>-5.4919000000000003E-2</v>
      </c>
      <c r="G15" s="7">
        <v>-4.3289000000000001E-2</v>
      </c>
      <c r="H15" s="7">
        <v>-9.5379999999999996E-3</v>
      </c>
      <c r="I15" s="7">
        <v>2.1388999999999998E-2</v>
      </c>
      <c r="J15" s="7">
        <v>-2.8937999999999998E-2</v>
      </c>
      <c r="K15" s="7"/>
      <c r="L15" s="7"/>
      <c r="M15" s="7"/>
      <c r="N15" s="7"/>
      <c r="O15" s="7"/>
      <c r="P15" s="7"/>
      <c r="Q15" s="7"/>
    </row>
    <row r="16" spans="1:19" hidden="1">
      <c r="A16" s="5">
        <v>32568</v>
      </c>
      <c r="B16">
        <v>23</v>
      </c>
      <c r="C16" s="6">
        <v>5.8329999999999996E-3</v>
      </c>
      <c r="D16" s="7">
        <v>0.20238100000000001</v>
      </c>
      <c r="E16" s="7">
        <v>-0.166714</v>
      </c>
      <c r="F16" s="7">
        <v>-5.3268000000000003E-2</v>
      </c>
      <c r="G16" s="7">
        <v>-7.0151000000000005E-2</v>
      </c>
      <c r="H16" s="7">
        <v>1.9571000000000002E-2</v>
      </c>
      <c r="I16" s="7">
        <v>7.3211999999999999E-2</v>
      </c>
      <c r="J16" s="7">
        <v>2.0806000000000002E-2</v>
      </c>
      <c r="K16" s="7"/>
      <c r="L16" s="7"/>
      <c r="M16" s="7"/>
      <c r="N16" s="7"/>
      <c r="O16" s="7"/>
      <c r="P16" s="7"/>
      <c r="Q16" s="7"/>
    </row>
    <row r="17" spans="1:17" hidden="1">
      <c r="A17" s="5">
        <v>32599</v>
      </c>
      <c r="B17">
        <v>20</v>
      </c>
      <c r="C17" s="6">
        <v>5.8329999999999996E-3</v>
      </c>
      <c r="D17" s="7">
        <v>-2.9703E-2</v>
      </c>
      <c r="E17" s="7">
        <v>0.14298</v>
      </c>
      <c r="F17" s="7">
        <v>-2.3037999999999999E-2</v>
      </c>
      <c r="G17" s="7">
        <v>0.10464</v>
      </c>
      <c r="H17" s="7">
        <v>0.104509</v>
      </c>
      <c r="I17" s="7">
        <v>5.8539000000000001E-2</v>
      </c>
      <c r="J17" s="7">
        <v>5.008E-2</v>
      </c>
      <c r="K17" s="7"/>
      <c r="L17" s="7"/>
      <c r="M17" s="7"/>
      <c r="N17" s="7"/>
      <c r="O17" s="7"/>
      <c r="P17" s="7"/>
      <c r="Q17" s="7"/>
    </row>
    <row r="18" spans="1:17" hidden="1">
      <c r="A18" s="5">
        <v>32629</v>
      </c>
      <c r="B18">
        <v>23</v>
      </c>
      <c r="C18" s="6">
        <v>5.8329999999999996E-3</v>
      </c>
      <c r="D18" s="7">
        <v>-6.803E-3</v>
      </c>
      <c r="E18" s="7">
        <v>-2.5048999999999998E-2</v>
      </c>
      <c r="F18" s="7">
        <v>2.0941999999999999E-2</v>
      </c>
      <c r="G18" s="7">
        <v>-4.8492E-2</v>
      </c>
      <c r="H18" s="7">
        <v>0.12069000000000001</v>
      </c>
      <c r="I18" s="7">
        <v>6.4591999999999997E-2</v>
      </c>
      <c r="J18" s="7">
        <v>3.5147999999999999E-2</v>
      </c>
      <c r="K18" s="7"/>
      <c r="L18" s="7"/>
      <c r="M18" s="7"/>
      <c r="N18" s="7"/>
      <c r="O18" s="7"/>
      <c r="P18" s="7"/>
      <c r="Q18" s="7"/>
    </row>
    <row r="19" spans="1:17" hidden="1">
      <c r="A19" s="5">
        <v>32660</v>
      </c>
      <c r="B19">
        <v>22</v>
      </c>
      <c r="C19" s="6">
        <v>5.8329999999999996E-3</v>
      </c>
      <c r="D19" s="7">
        <v>-6.8490000000000001E-3</v>
      </c>
      <c r="E19" s="7">
        <v>0</v>
      </c>
      <c r="F19" s="7">
        <v>-5.1279999999999997E-3</v>
      </c>
      <c r="G19" s="7">
        <v>-4.163E-2</v>
      </c>
      <c r="H19" s="7">
        <v>-0.107692</v>
      </c>
      <c r="I19" s="7">
        <v>-2.3826E-2</v>
      </c>
      <c r="J19" s="7">
        <v>-7.9279999999999993E-3</v>
      </c>
      <c r="K19" s="7"/>
      <c r="L19" s="7"/>
      <c r="M19" s="7"/>
      <c r="N19" s="7"/>
      <c r="O19" s="7"/>
      <c r="P19" s="7"/>
      <c r="Q19" s="7"/>
    </row>
    <row r="20" spans="1:17" hidden="1">
      <c r="A20" s="5">
        <v>32690</v>
      </c>
      <c r="B20">
        <v>21</v>
      </c>
      <c r="C20" s="6">
        <v>5.8329999999999996E-3</v>
      </c>
      <c r="D20" s="7">
        <v>7.2414000000000006E-2</v>
      </c>
      <c r="E20" s="7">
        <v>-7.6923000000000005E-2</v>
      </c>
      <c r="F20" s="7">
        <v>2.8371E-2</v>
      </c>
      <c r="G20" s="7">
        <v>3.8646E-2</v>
      </c>
      <c r="H20" s="7">
        <v>5.1999999999999998E-2</v>
      </c>
      <c r="I20" s="7">
        <v>0.20618700000000001</v>
      </c>
      <c r="J20" s="7">
        <v>8.8373999999999994E-2</v>
      </c>
      <c r="K20" s="7"/>
      <c r="L20" s="7"/>
      <c r="M20" s="7"/>
      <c r="N20" s="7"/>
      <c r="O20" s="7"/>
      <c r="P20" s="7"/>
      <c r="Q20" s="7"/>
    </row>
    <row r="21" spans="1:17" hidden="1">
      <c r="A21" s="5">
        <v>32721</v>
      </c>
      <c r="B21">
        <v>23</v>
      </c>
      <c r="C21" s="6">
        <v>5.8329999999999996E-3</v>
      </c>
      <c r="D21" s="7">
        <v>3.215E-3</v>
      </c>
      <c r="E21" s="7">
        <v>5.5500000000000001E-2</v>
      </c>
      <c r="F21" s="7">
        <v>8.0199000000000006E-2</v>
      </c>
      <c r="G21" s="7">
        <v>-2.3292E-2</v>
      </c>
      <c r="H21" s="7">
        <v>-1.6650999999999999E-2</v>
      </c>
      <c r="I21" s="7">
        <v>-2.1999999999999999E-2</v>
      </c>
      <c r="J21" s="7">
        <v>1.5507999999999999E-2</v>
      </c>
      <c r="K21" s="7"/>
      <c r="L21" s="7"/>
      <c r="M21" s="7"/>
      <c r="N21" s="7"/>
      <c r="O21" s="7"/>
      <c r="P21" s="7"/>
      <c r="Q21" s="7"/>
    </row>
    <row r="22" spans="1:17" hidden="1">
      <c r="A22" s="5">
        <v>32752</v>
      </c>
      <c r="B22">
        <v>21</v>
      </c>
      <c r="C22" s="6">
        <v>5.8329999999999996E-3</v>
      </c>
      <c r="D22" s="7">
        <v>7.6923000000000005E-2</v>
      </c>
      <c r="E22" s="7">
        <v>0</v>
      </c>
      <c r="F22" s="7">
        <v>-5.5683000000000003E-2</v>
      </c>
      <c r="G22" s="7">
        <v>-4.2819000000000003E-2</v>
      </c>
      <c r="H22" s="7">
        <v>7.5066999999999995E-2</v>
      </c>
      <c r="I22" s="7">
        <v>7.4580000000000002E-3</v>
      </c>
      <c r="J22" s="7">
        <v>-6.5440000000000003E-3</v>
      </c>
      <c r="K22" s="7"/>
      <c r="L22" s="7"/>
      <c r="M22" s="7"/>
      <c r="N22" s="7"/>
      <c r="O22" s="7"/>
      <c r="P22" s="7"/>
      <c r="Q22" s="7"/>
    </row>
    <row r="23" spans="1:17" hidden="1">
      <c r="A23" s="5">
        <v>32782</v>
      </c>
      <c r="B23">
        <v>22</v>
      </c>
      <c r="C23" s="6">
        <v>5.8329999999999996E-3</v>
      </c>
      <c r="D23" s="7">
        <v>-0.13095200000000001</v>
      </c>
      <c r="E23" s="7">
        <v>-0.10516300000000001</v>
      </c>
      <c r="F23" s="7">
        <v>-6.8794999999999995E-2</v>
      </c>
      <c r="G23" s="7">
        <v>-4.9749000000000002E-2</v>
      </c>
      <c r="H23" s="7">
        <v>4.6757E-2</v>
      </c>
      <c r="I23" s="7">
        <v>8.0239000000000005E-2</v>
      </c>
      <c r="J23" s="7">
        <v>-2.5166999999999998E-2</v>
      </c>
      <c r="K23" s="7"/>
      <c r="L23" s="7"/>
      <c r="M23" s="7"/>
      <c r="N23" s="7"/>
      <c r="O23" s="7"/>
      <c r="P23" s="7"/>
      <c r="Q23" s="7"/>
    </row>
    <row r="24" spans="1:17" hidden="1">
      <c r="A24" s="5">
        <v>32813</v>
      </c>
      <c r="B24">
        <v>22</v>
      </c>
      <c r="C24" s="6">
        <v>5.8329999999999996E-3</v>
      </c>
      <c r="D24" s="7">
        <v>-3.4250000000000001E-3</v>
      </c>
      <c r="E24" s="7">
        <v>0.117523</v>
      </c>
      <c r="F24" s="7">
        <v>-5.8046E-2</v>
      </c>
      <c r="G24" s="7">
        <v>-4.9757000000000003E-2</v>
      </c>
      <c r="H24" s="7">
        <v>2.9384E-2</v>
      </c>
      <c r="I24" s="7">
        <v>6.7315E-2</v>
      </c>
      <c r="J24" s="7">
        <v>1.6538000000000001E-2</v>
      </c>
      <c r="K24" s="7"/>
      <c r="L24" s="7"/>
      <c r="M24" s="7"/>
      <c r="N24" s="7"/>
      <c r="O24" s="7"/>
      <c r="P24" s="7"/>
      <c r="Q24" s="7"/>
    </row>
    <row r="25" spans="1:17" hidden="1">
      <c r="A25" s="5">
        <v>32843</v>
      </c>
      <c r="B25">
        <v>21</v>
      </c>
      <c r="C25" s="6">
        <v>5.8329999999999996E-3</v>
      </c>
      <c r="D25" s="7">
        <v>-4.4673999999999998E-2</v>
      </c>
      <c r="E25" s="7">
        <v>0.131691</v>
      </c>
      <c r="F25" s="7">
        <v>-2.2408000000000001E-2</v>
      </c>
      <c r="G25" s="7">
        <v>4.1342999999999998E-2</v>
      </c>
      <c r="H25" s="7">
        <v>-7.2509999999999996E-3</v>
      </c>
      <c r="I25" s="7">
        <v>0</v>
      </c>
      <c r="J25" s="7">
        <v>2.1410999999999999E-2</v>
      </c>
      <c r="K25" s="7"/>
      <c r="L25" s="7"/>
      <c r="M25" s="7"/>
      <c r="N25" s="7"/>
      <c r="O25" s="7"/>
      <c r="P25" s="7"/>
      <c r="Q25" s="7"/>
    </row>
    <row r="26" spans="1:17" hidden="1">
      <c r="A26" s="5">
        <v>32874</v>
      </c>
      <c r="B26">
        <v>23</v>
      </c>
      <c r="C26" s="6">
        <v>5.8329999999999996E-3</v>
      </c>
      <c r="D26" s="7">
        <v>-0.115108</v>
      </c>
      <c r="E26" s="7">
        <v>0</v>
      </c>
      <c r="F26" s="7">
        <v>-1.1461000000000001E-2</v>
      </c>
      <c r="G26" s="7">
        <v>-5.5617E-2</v>
      </c>
      <c r="H26" s="7">
        <v>0.14527499999999999</v>
      </c>
      <c r="I26" s="7">
        <v>-0.10843</v>
      </c>
      <c r="J26" s="7">
        <v>-6.8808999999999995E-2</v>
      </c>
      <c r="K26" s="7"/>
      <c r="L26" s="7"/>
      <c r="M26" s="7"/>
      <c r="N26" s="7"/>
      <c r="O26" s="7"/>
      <c r="P26" s="7"/>
      <c r="Q26" s="7"/>
    </row>
    <row r="27" spans="1:17" hidden="1">
      <c r="A27" s="5">
        <v>32905</v>
      </c>
      <c r="B27">
        <v>20</v>
      </c>
      <c r="C27" s="6">
        <v>5.8329999999999996E-3</v>
      </c>
      <c r="D27" s="7">
        <v>-2.0324999999999999E-2</v>
      </c>
      <c r="E27" s="7">
        <v>0.16269</v>
      </c>
      <c r="F27" s="7">
        <v>6.6642000000000007E-2</v>
      </c>
      <c r="G27" s="7">
        <v>-3.3613999999999998E-2</v>
      </c>
      <c r="H27" s="7">
        <v>1.8728000000000002E-2</v>
      </c>
      <c r="I27" s="7">
        <v>2.3695999999999998E-2</v>
      </c>
      <c r="J27" s="7">
        <v>-1.1000000000000001E-3</v>
      </c>
      <c r="K27" s="7"/>
      <c r="L27" s="7"/>
      <c r="M27" s="7"/>
      <c r="N27" s="7"/>
      <c r="O27" s="7"/>
      <c r="P27" s="7"/>
      <c r="Q27" s="7"/>
    </row>
    <row r="28" spans="1:17" hidden="1">
      <c r="A28" s="5">
        <v>32933</v>
      </c>
      <c r="B28">
        <v>22</v>
      </c>
      <c r="C28" s="6">
        <v>5.8329999999999996E-3</v>
      </c>
      <c r="D28" s="7">
        <v>-7.4689000000000005E-2</v>
      </c>
      <c r="E28" s="7">
        <v>-3.9961999999999998E-2</v>
      </c>
      <c r="F28" s="7">
        <v>2.7174E-2</v>
      </c>
      <c r="G28" s="7">
        <v>6.0941000000000002E-2</v>
      </c>
      <c r="H28" s="7">
        <v>3.7265E-2</v>
      </c>
      <c r="I28" s="7">
        <v>6.0252E-2</v>
      </c>
      <c r="J28" s="7">
        <v>3.4130000000000001E-2</v>
      </c>
      <c r="K28" s="7"/>
      <c r="L28" s="7"/>
      <c r="M28" s="7"/>
      <c r="N28" s="7"/>
      <c r="O28" s="7"/>
      <c r="P28" s="7"/>
      <c r="Q28" s="7"/>
    </row>
    <row r="29" spans="1:17" hidden="1">
      <c r="A29" s="5">
        <v>32964</v>
      </c>
      <c r="B29">
        <v>21</v>
      </c>
      <c r="C29" s="6">
        <v>5.8329999999999996E-3</v>
      </c>
      <c r="D29" s="7">
        <v>-8.9686000000000002E-2</v>
      </c>
      <c r="E29" s="7">
        <v>8.3375000000000005E-2</v>
      </c>
      <c r="F29" s="7">
        <v>-6.6115999999999994E-2</v>
      </c>
      <c r="G29" s="7">
        <v>-4.6948999999999998E-2</v>
      </c>
      <c r="H29" s="7">
        <v>-5.3938E-2</v>
      </c>
      <c r="I29" s="7">
        <v>2.0013E-2</v>
      </c>
      <c r="J29" s="7">
        <v>-2.6879E-2</v>
      </c>
      <c r="K29" s="7"/>
      <c r="L29" s="7"/>
      <c r="M29" s="7"/>
      <c r="N29" s="7"/>
      <c r="O29" s="7"/>
      <c r="P29" s="7"/>
      <c r="Q29" s="7"/>
    </row>
    <row r="30" spans="1:17" hidden="1">
      <c r="A30" s="5">
        <v>32994</v>
      </c>
      <c r="B30">
        <v>23</v>
      </c>
      <c r="C30" s="6">
        <v>5.8329999999999996E-3</v>
      </c>
      <c r="D30" s="7">
        <v>4.4334999999999999E-2</v>
      </c>
      <c r="E30" s="7">
        <v>-1.9268E-2</v>
      </c>
      <c r="F30" s="7">
        <v>4.5324999999999997E-2</v>
      </c>
      <c r="G30" s="7">
        <v>9.7747000000000001E-2</v>
      </c>
      <c r="H30" s="7">
        <v>0.22156999999999999</v>
      </c>
      <c r="I30" s="7">
        <v>0.183611</v>
      </c>
      <c r="J30" s="7">
        <v>9.1985999999999998E-2</v>
      </c>
      <c r="K30" s="7"/>
      <c r="L30" s="7"/>
      <c r="M30" s="7"/>
      <c r="N30" s="7"/>
      <c r="O30" s="7"/>
      <c r="P30" s="7"/>
      <c r="Q30" s="7"/>
    </row>
    <row r="31" spans="1:17" hidden="1">
      <c r="A31" s="5">
        <v>33025</v>
      </c>
      <c r="B31">
        <v>21</v>
      </c>
      <c r="C31" s="6">
        <v>5.8329999999999996E-3</v>
      </c>
      <c r="D31" s="7">
        <v>-9.9057000000000006E-2</v>
      </c>
      <c r="E31" s="7">
        <v>7.8470999999999999E-2</v>
      </c>
      <c r="F31" s="7">
        <v>-5.1511000000000001E-2</v>
      </c>
      <c r="G31" s="7">
        <v>-1.0470999999999999E-2</v>
      </c>
      <c r="H31" s="7">
        <v>-2.5947000000000001E-2</v>
      </c>
      <c r="I31" s="7">
        <v>-1.6577000000000001E-2</v>
      </c>
      <c r="J31" s="7">
        <v>-8.8839999999999995E-3</v>
      </c>
      <c r="K31" s="7"/>
      <c r="L31" s="7"/>
      <c r="M31" s="7"/>
      <c r="N31" s="7"/>
      <c r="O31" s="7"/>
      <c r="P31" s="7"/>
      <c r="Q31" s="7"/>
    </row>
    <row r="32" spans="1:17" hidden="1">
      <c r="A32" s="5">
        <v>33055</v>
      </c>
      <c r="B32">
        <v>22</v>
      </c>
      <c r="C32" s="6">
        <v>5.8329999999999996E-3</v>
      </c>
      <c r="D32" s="7">
        <v>-0.19895299999999999</v>
      </c>
      <c r="E32" s="7">
        <v>-1.8218000000000002E-2</v>
      </c>
      <c r="F32" s="7">
        <v>-5.1429000000000002E-2</v>
      </c>
      <c r="G32" s="7">
        <v>-8.516E-2</v>
      </c>
      <c r="H32" s="7">
        <v>-5.2935999999999997E-2</v>
      </c>
      <c r="I32" s="7">
        <v>2.2534999999999999E-2</v>
      </c>
      <c r="J32" s="7">
        <v>-5.2319999999999997E-3</v>
      </c>
      <c r="K32" s="7"/>
      <c r="L32" s="7"/>
      <c r="M32" s="7"/>
      <c r="N32" s="7"/>
      <c r="O32" s="7"/>
      <c r="P32" s="7"/>
      <c r="Q32" s="7"/>
    </row>
    <row r="33" spans="1:17" hidden="1">
      <c r="A33" s="5">
        <v>33086</v>
      </c>
      <c r="B33">
        <v>23</v>
      </c>
      <c r="C33" s="6">
        <v>5.8329999999999996E-3</v>
      </c>
      <c r="D33" s="7">
        <v>-7.1895000000000001E-2</v>
      </c>
      <c r="E33" s="7">
        <v>-7.4110999999999996E-2</v>
      </c>
      <c r="F33" s="7">
        <v>-0.15961400000000001</v>
      </c>
      <c r="G33" s="7">
        <v>-0.19126199999999999</v>
      </c>
      <c r="H33" s="7">
        <v>-0.25018000000000001</v>
      </c>
      <c r="I33" s="7">
        <v>-6.8847000000000005E-2</v>
      </c>
      <c r="J33" s="7">
        <v>-9.4307000000000002E-2</v>
      </c>
      <c r="K33" s="7"/>
      <c r="L33" s="7"/>
      <c r="M33" s="7"/>
      <c r="N33" s="7"/>
      <c r="O33" s="7"/>
      <c r="P33" s="7"/>
      <c r="Q33" s="7"/>
    </row>
    <row r="34" spans="1:17" hidden="1">
      <c r="A34" s="5">
        <v>33117</v>
      </c>
      <c r="B34">
        <v>20</v>
      </c>
      <c r="C34" s="6">
        <v>5.8329999999999996E-3</v>
      </c>
      <c r="D34" s="7">
        <v>-0.338028</v>
      </c>
      <c r="E34" s="7">
        <v>-3.9961999999999998E-2</v>
      </c>
      <c r="F34" s="7">
        <v>-0.114692</v>
      </c>
      <c r="G34" s="7">
        <v>-3.9454000000000003E-2</v>
      </c>
      <c r="H34" s="7">
        <v>-3.4759999999999999E-3</v>
      </c>
      <c r="I34" s="7">
        <v>-6.5132999999999996E-2</v>
      </c>
      <c r="J34" s="7">
        <v>-5.1184E-2</v>
      </c>
      <c r="K34" s="7"/>
      <c r="L34" s="7"/>
      <c r="M34" s="7"/>
      <c r="N34" s="7"/>
      <c r="O34" s="7"/>
      <c r="P34" s="7"/>
      <c r="Q34" s="7"/>
    </row>
    <row r="35" spans="1:17" hidden="1">
      <c r="A35" s="5">
        <v>33147</v>
      </c>
      <c r="B35">
        <v>23</v>
      </c>
      <c r="C35" s="6">
        <v>5.8329999999999996E-3</v>
      </c>
      <c r="D35" s="7">
        <v>-0.14893600000000001</v>
      </c>
      <c r="E35" s="7">
        <v>-0.125</v>
      </c>
      <c r="F35" s="7">
        <v>-0.101244</v>
      </c>
      <c r="G35" s="7">
        <v>-0.220776</v>
      </c>
      <c r="H35" s="7">
        <v>7.2160000000000002E-3</v>
      </c>
      <c r="I35" s="7">
        <v>0.136101</v>
      </c>
      <c r="J35" s="7">
        <v>-6.698E-3</v>
      </c>
      <c r="K35" s="7"/>
      <c r="L35" s="7"/>
      <c r="M35" s="7"/>
      <c r="N35" s="7"/>
      <c r="O35" s="7"/>
      <c r="P35" s="7"/>
      <c r="Q35" s="7"/>
    </row>
    <row r="36" spans="1:17" hidden="1">
      <c r="A36" s="5">
        <v>33178</v>
      </c>
      <c r="B36">
        <v>22</v>
      </c>
      <c r="C36" s="6">
        <v>5.8329999999999996E-3</v>
      </c>
      <c r="D36" s="7">
        <v>8.7499999999999994E-2</v>
      </c>
      <c r="E36" s="7">
        <v>0.166714</v>
      </c>
      <c r="F36" s="7">
        <v>-1.3476999999999999E-2</v>
      </c>
      <c r="G36" s="7">
        <v>0.15384600000000001</v>
      </c>
      <c r="H36" s="7">
        <v>0.119403</v>
      </c>
      <c r="I36" s="7">
        <v>3.0661999999999998E-2</v>
      </c>
      <c r="J36" s="7">
        <v>5.9928000000000002E-2</v>
      </c>
      <c r="K36" s="7"/>
      <c r="L36" s="7"/>
      <c r="M36" s="7"/>
      <c r="N36" s="7"/>
      <c r="O36" s="7"/>
      <c r="P36" s="7"/>
      <c r="Q36" s="7"/>
    </row>
    <row r="37" spans="1:17" hidden="1">
      <c r="A37" s="5">
        <v>33208</v>
      </c>
      <c r="B37">
        <v>21</v>
      </c>
      <c r="C37" s="6">
        <v>5.4169999999999999E-3</v>
      </c>
      <c r="D37" s="7">
        <v>-1.1494000000000001E-2</v>
      </c>
      <c r="E37" s="7">
        <v>-4.0896000000000002E-2</v>
      </c>
      <c r="F37" s="7">
        <v>0</v>
      </c>
      <c r="G37" s="7">
        <v>6.2533000000000005E-2</v>
      </c>
      <c r="H37" s="7">
        <v>2.6667E-2</v>
      </c>
      <c r="I37" s="7">
        <v>9.6860000000000002E-3</v>
      </c>
      <c r="J37" s="7">
        <v>2.4827999999999999E-2</v>
      </c>
      <c r="K37" s="7"/>
      <c r="L37" s="7"/>
      <c r="M37" s="7"/>
      <c r="N37" s="7"/>
      <c r="O37" s="7"/>
      <c r="P37" s="7"/>
      <c r="Q37" s="7"/>
    </row>
    <row r="38" spans="1:17" hidden="1">
      <c r="A38" s="5">
        <v>33239</v>
      </c>
      <c r="B38">
        <v>23</v>
      </c>
      <c r="C38" s="6">
        <v>5.4169999999999999E-3</v>
      </c>
      <c r="D38" s="7">
        <v>0.13095200000000001</v>
      </c>
      <c r="E38" s="7">
        <v>0.23413800000000001</v>
      </c>
      <c r="F38" s="7">
        <v>5.1603999999999997E-2</v>
      </c>
      <c r="G38" s="7">
        <v>0.22286400000000001</v>
      </c>
      <c r="H38" s="7">
        <v>0.18867500000000001</v>
      </c>
      <c r="I38" s="7">
        <v>4.8430000000000001E-2</v>
      </c>
      <c r="J38" s="7">
        <v>4.1515000000000003E-2</v>
      </c>
      <c r="K38" s="7"/>
      <c r="L38" s="7"/>
      <c r="M38" s="7"/>
      <c r="N38" s="7"/>
      <c r="O38" s="7"/>
      <c r="P38" s="7"/>
      <c r="Q38" s="7"/>
    </row>
    <row r="39" spans="1:17" hidden="1">
      <c r="A39" s="5">
        <v>33270</v>
      </c>
      <c r="B39">
        <v>20</v>
      </c>
      <c r="C39" s="6">
        <v>5.0000000000000001E-3</v>
      </c>
      <c r="D39" s="7">
        <v>0.189474</v>
      </c>
      <c r="E39" s="7">
        <v>0.103445</v>
      </c>
      <c r="F39" s="7">
        <v>0.165214</v>
      </c>
      <c r="G39" s="7">
        <v>0.1993</v>
      </c>
      <c r="H39" s="7">
        <v>4.3701999999999998E-2</v>
      </c>
      <c r="I39" s="7">
        <v>7.4334999999999998E-2</v>
      </c>
      <c r="J39" s="7">
        <v>6.7290000000000003E-2</v>
      </c>
      <c r="K39" s="7"/>
      <c r="L39" s="7"/>
      <c r="M39" s="7"/>
      <c r="N39" s="7"/>
      <c r="O39" s="7"/>
      <c r="P39" s="7"/>
      <c r="Q39" s="7"/>
    </row>
    <row r="40" spans="1:17" hidden="1">
      <c r="A40" s="5">
        <v>33298</v>
      </c>
      <c r="B40">
        <v>21</v>
      </c>
      <c r="C40" s="6">
        <v>5.0000000000000001E-3</v>
      </c>
      <c r="D40" s="7">
        <v>9.7345000000000001E-2</v>
      </c>
      <c r="E40" s="7">
        <v>0.12496500000000001</v>
      </c>
      <c r="F40" s="7">
        <v>-7.6629999999999997E-3</v>
      </c>
      <c r="G40" s="7">
        <v>7.2409000000000001E-2</v>
      </c>
      <c r="H40" s="7">
        <v>-2.1187999999999999E-2</v>
      </c>
      <c r="I40" s="7">
        <v>3.5818000000000003E-2</v>
      </c>
      <c r="J40" s="7">
        <v>2.2197000000000001E-2</v>
      </c>
      <c r="K40" s="7"/>
      <c r="L40" s="7"/>
      <c r="M40" s="7"/>
      <c r="N40" s="7"/>
      <c r="O40" s="7"/>
      <c r="P40" s="7"/>
      <c r="Q40" s="7"/>
    </row>
    <row r="41" spans="1:17" hidden="1">
      <c r="A41" s="5">
        <v>33329</v>
      </c>
      <c r="B41">
        <v>22</v>
      </c>
      <c r="C41" s="6">
        <v>4.5830000000000003E-3</v>
      </c>
      <c r="D41" s="7">
        <v>0.193548</v>
      </c>
      <c r="E41" s="7">
        <v>-6.9417000000000006E-2</v>
      </c>
      <c r="F41" s="7">
        <v>3.8300000000000001E-3</v>
      </c>
      <c r="G41" s="7">
        <v>2.496E-2</v>
      </c>
      <c r="H41" s="7">
        <v>5.3474000000000001E-2</v>
      </c>
      <c r="I41" s="7">
        <v>-2.7649E-2</v>
      </c>
      <c r="J41" s="7">
        <v>3.5199999999999999E-4</v>
      </c>
      <c r="K41" s="7"/>
      <c r="L41" s="7"/>
      <c r="M41" s="7"/>
      <c r="N41" s="7"/>
      <c r="O41" s="7"/>
      <c r="P41" s="7"/>
      <c r="Q41" s="7"/>
    </row>
    <row r="42" spans="1:17" hidden="1">
      <c r="A42" s="5">
        <v>33359</v>
      </c>
      <c r="B42">
        <v>23</v>
      </c>
      <c r="C42" s="6">
        <v>4.5830000000000003E-3</v>
      </c>
      <c r="D42" s="7">
        <v>4.7296999999999999E-2</v>
      </c>
      <c r="E42" s="7">
        <v>-7.4684E-2</v>
      </c>
      <c r="F42" s="7">
        <v>0.13464599999999999</v>
      </c>
      <c r="G42" s="7">
        <v>6.1185000000000003E-2</v>
      </c>
      <c r="H42" s="7">
        <v>0.132299</v>
      </c>
      <c r="I42" s="7">
        <v>8.5305000000000006E-2</v>
      </c>
      <c r="J42" s="7">
        <v>3.8577E-2</v>
      </c>
      <c r="K42" s="7"/>
      <c r="L42" s="7"/>
      <c r="M42" s="7"/>
      <c r="N42" s="7"/>
      <c r="O42" s="7"/>
      <c r="P42" s="7"/>
      <c r="Q42" s="7"/>
    </row>
    <row r="43" spans="1:17" hidden="1">
      <c r="A43" s="5">
        <v>33390</v>
      </c>
      <c r="B43">
        <v>20</v>
      </c>
      <c r="C43" s="6">
        <v>4.5830000000000003E-3</v>
      </c>
      <c r="D43" s="7">
        <v>-0.16128999999999999</v>
      </c>
      <c r="E43" s="7">
        <v>-0.120972</v>
      </c>
      <c r="F43" s="7">
        <v>-2.3754999999999998E-2</v>
      </c>
      <c r="G43" s="7">
        <v>-6.4514000000000002E-2</v>
      </c>
      <c r="H43" s="7">
        <v>-0.16597300000000001</v>
      </c>
      <c r="I43" s="7">
        <v>-4.8068E-2</v>
      </c>
      <c r="J43" s="7">
        <v>-4.7899999999999998E-2</v>
      </c>
      <c r="K43" s="7"/>
      <c r="L43" s="7"/>
      <c r="M43" s="7"/>
      <c r="N43" s="7"/>
      <c r="O43" s="7"/>
      <c r="P43" s="7"/>
      <c r="Q43" s="7"/>
    </row>
    <row r="44" spans="1:17" hidden="1">
      <c r="A44" s="5">
        <v>33420</v>
      </c>
      <c r="B44">
        <v>23</v>
      </c>
      <c r="C44" s="6">
        <v>4.5830000000000003E-3</v>
      </c>
      <c r="D44" s="7">
        <v>0.2</v>
      </c>
      <c r="E44" s="7">
        <v>-2.7524E-2</v>
      </c>
      <c r="F44" s="7">
        <v>-6.9444000000000006E-2</v>
      </c>
      <c r="G44" s="7">
        <v>6.1553999999999998E-2</v>
      </c>
      <c r="H44" s="7">
        <v>1.0836E-2</v>
      </c>
      <c r="I44" s="7">
        <v>0.10319300000000001</v>
      </c>
      <c r="J44" s="7">
        <v>4.4867999999999998E-2</v>
      </c>
      <c r="K44" s="7"/>
      <c r="L44" s="7"/>
      <c r="M44" s="7"/>
      <c r="N44" s="7"/>
      <c r="O44" s="7"/>
      <c r="P44" s="7"/>
      <c r="Q44" s="7"/>
    </row>
    <row r="45" spans="1:17" hidden="1">
      <c r="A45" s="5">
        <v>33451</v>
      </c>
      <c r="B45">
        <v>22</v>
      </c>
      <c r="C45" s="6">
        <v>4.5830000000000003E-3</v>
      </c>
      <c r="D45" s="7">
        <v>4.4872000000000002E-2</v>
      </c>
      <c r="E45" s="7">
        <v>-5.6605999999999997E-2</v>
      </c>
      <c r="F45" s="7">
        <v>-7.0865999999999998E-2</v>
      </c>
      <c r="G45" s="7">
        <v>-1.6296999999999999E-2</v>
      </c>
      <c r="H45" s="7">
        <v>5.3172999999999998E-2</v>
      </c>
      <c r="I45" s="7">
        <v>9.3606999999999996E-2</v>
      </c>
      <c r="J45" s="7">
        <v>1.9640999999999999E-2</v>
      </c>
      <c r="K45" s="7"/>
      <c r="L45" s="7"/>
      <c r="M45" s="7"/>
      <c r="N45" s="7"/>
      <c r="O45" s="7"/>
      <c r="P45" s="7"/>
      <c r="Q45" s="7"/>
    </row>
    <row r="46" spans="1:17" hidden="1">
      <c r="A46" s="5">
        <v>33482</v>
      </c>
      <c r="B46">
        <v>21</v>
      </c>
      <c r="C46" s="6">
        <v>4.1669999999999997E-3</v>
      </c>
      <c r="D46" s="7">
        <v>-9.2024999999999996E-2</v>
      </c>
      <c r="E46" s="7">
        <v>0.180007</v>
      </c>
      <c r="F46" s="7">
        <v>-2.3324999999999999E-2</v>
      </c>
      <c r="G46" s="7">
        <v>-6.3847000000000001E-2</v>
      </c>
      <c r="H46" s="7">
        <v>-0.1467</v>
      </c>
      <c r="I46" s="7">
        <v>-1.5391E-2</v>
      </c>
      <c r="J46" s="7">
        <v>-1.9136E-2</v>
      </c>
      <c r="K46" s="7"/>
      <c r="L46" s="7"/>
      <c r="M46" s="7"/>
      <c r="N46" s="7"/>
      <c r="O46" s="7"/>
      <c r="P46" s="7"/>
      <c r="Q46" s="7"/>
    </row>
    <row r="47" spans="1:17" hidden="1">
      <c r="A47" s="5">
        <v>33512</v>
      </c>
      <c r="B47">
        <v>23</v>
      </c>
      <c r="C47" s="6">
        <v>4.1669999999999997E-3</v>
      </c>
      <c r="D47" s="7">
        <v>2.7397000000000001E-2</v>
      </c>
      <c r="E47" s="7">
        <v>3.3966999999999997E-2</v>
      </c>
      <c r="F47" s="7">
        <v>-9.5799999999999996E-2</v>
      </c>
      <c r="G47" s="7">
        <v>2.0202000000000001E-2</v>
      </c>
      <c r="H47" s="7">
        <v>-3.8247000000000003E-2</v>
      </c>
      <c r="I47" s="7">
        <v>3.2930000000000001E-2</v>
      </c>
      <c r="J47" s="7">
        <v>1.1826E-2</v>
      </c>
      <c r="K47" s="7"/>
      <c r="L47" s="7"/>
      <c r="M47" s="7"/>
      <c r="N47" s="7"/>
      <c r="O47" s="7"/>
      <c r="P47" s="7"/>
      <c r="Q47" s="7"/>
    </row>
    <row r="48" spans="1:17" hidden="1">
      <c r="A48" s="5">
        <v>33543</v>
      </c>
      <c r="B48">
        <v>21</v>
      </c>
      <c r="C48" s="6">
        <v>3.7499999999999999E-3</v>
      </c>
      <c r="D48" s="7">
        <v>-0.2</v>
      </c>
      <c r="E48" s="7">
        <v>-1.6426E-2</v>
      </c>
      <c r="F48" s="7">
        <v>-0.11524</v>
      </c>
      <c r="G48" s="7">
        <v>-4.4704000000000001E-2</v>
      </c>
      <c r="H48" s="7">
        <v>8.9580000000000007E-3</v>
      </c>
      <c r="I48" s="7">
        <v>4.1306000000000002E-2</v>
      </c>
      <c r="J48" s="7">
        <v>-4.3901000000000003E-2</v>
      </c>
      <c r="K48" s="7"/>
      <c r="L48" s="7"/>
      <c r="M48" s="7"/>
      <c r="N48" s="7"/>
      <c r="O48" s="7"/>
      <c r="P48" s="7"/>
      <c r="Q48" s="7"/>
    </row>
    <row r="49" spans="1:20" hidden="1">
      <c r="A49" s="5">
        <v>33573</v>
      </c>
      <c r="B49">
        <v>22</v>
      </c>
      <c r="C49" s="6">
        <v>2.9169999999999999E-3</v>
      </c>
      <c r="D49" s="7">
        <v>0.17</v>
      </c>
      <c r="E49" s="7">
        <v>0.1333</v>
      </c>
      <c r="F49" s="7">
        <v>0.188583</v>
      </c>
      <c r="G49" s="7">
        <v>0.18443999999999999</v>
      </c>
      <c r="H49" s="7">
        <v>0.19512199999999999</v>
      </c>
      <c r="I49" s="7">
        <v>0.16022800000000001</v>
      </c>
      <c r="J49" s="7">
        <v>0.111594</v>
      </c>
      <c r="K49" s="7"/>
      <c r="L49" s="7"/>
      <c r="M49" s="7"/>
      <c r="N49" s="7"/>
      <c r="O49" s="7"/>
      <c r="P49" s="7"/>
      <c r="Q49" s="7"/>
    </row>
    <row r="50" spans="1:20">
      <c r="A50" s="2" t="s">
        <v>3</v>
      </c>
      <c r="B50" s="3" t="s">
        <v>4</v>
      </c>
      <c r="C50" s="3" t="s">
        <v>5</v>
      </c>
      <c r="D50" s="3" t="s">
        <v>6</v>
      </c>
      <c r="E50" s="3" t="s">
        <v>7</v>
      </c>
      <c r="F50" s="3" t="s">
        <v>8</v>
      </c>
      <c r="G50" s="3" t="s">
        <v>9</v>
      </c>
      <c r="H50" s="3" t="s">
        <v>10</v>
      </c>
      <c r="I50" s="3" t="s">
        <v>11</v>
      </c>
      <c r="J50" s="3" t="s">
        <v>12</v>
      </c>
      <c r="K50" s="3" t="s">
        <v>5</v>
      </c>
      <c r="L50" s="4" t="s">
        <v>13</v>
      </c>
      <c r="M50" s="4" t="s">
        <v>14</v>
      </c>
      <c r="N50" s="4" t="s">
        <v>15</v>
      </c>
      <c r="O50" s="4" t="s">
        <v>16</v>
      </c>
      <c r="P50" s="4" t="s">
        <v>17</v>
      </c>
      <c r="Q50" s="4" t="s">
        <v>18</v>
      </c>
      <c r="R50" s="4" t="s">
        <v>19</v>
      </c>
      <c r="S50" s="4" t="s">
        <v>20</v>
      </c>
      <c r="T50" s="4"/>
    </row>
    <row r="51" spans="1:20">
      <c r="A51" s="5">
        <v>33604</v>
      </c>
      <c r="B51">
        <v>23</v>
      </c>
      <c r="C51" s="6">
        <v>2.9169999999999999E-3</v>
      </c>
      <c r="D51" s="7">
        <v>0.18840599999999999</v>
      </c>
      <c r="E51" s="7">
        <v>0.147093</v>
      </c>
      <c r="F51" s="7">
        <v>8.4405999999999995E-2</v>
      </c>
      <c r="G51" s="7">
        <v>4.1683999999999999E-2</v>
      </c>
      <c r="H51" s="7">
        <v>0.22195899999999999</v>
      </c>
      <c r="I51" s="7">
        <v>-3.4292000000000003E-2</v>
      </c>
      <c r="J51" s="7">
        <v>-1.9924000000000001E-2</v>
      </c>
      <c r="K51" s="6">
        <v>2.9169999999999999E-3</v>
      </c>
      <c r="L51" s="7">
        <f t="shared" ref="L51:Q60" si="0">D51-$C51</f>
        <v>0.18548899999999999</v>
      </c>
      <c r="M51" s="7">
        <f t="shared" si="0"/>
        <v>0.144176</v>
      </c>
      <c r="N51" s="7">
        <f t="shared" si="0"/>
        <v>8.1488999999999992E-2</v>
      </c>
      <c r="O51" s="7">
        <f t="shared" si="0"/>
        <v>3.8766999999999996E-2</v>
      </c>
      <c r="P51" s="7">
        <f t="shared" si="0"/>
        <v>0.21904199999999999</v>
      </c>
      <c r="Q51" s="7">
        <f t="shared" si="0"/>
        <v>-3.7209000000000006E-2</v>
      </c>
      <c r="R51" s="7">
        <f t="shared" ref="R51:R82" si="1">SUM(L51:Q51)/6</f>
        <v>0.10529233333333332</v>
      </c>
      <c r="S51" s="7">
        <f t="shared" ref="S51:S82" si="2">J51-$C51</f>
        <v>-2.2841E-2</v>
      </c>
      <c r="T51" s="7"/>
    </row>
    <row r="52" spans="1:20">
      <c r="A52" s="5">
        <v>33635</v>
      </c>
      <c r="B52">
        <v>20</v>
      </c>
      <c r="C52" s="6">
        <v>2.9169999999999999E-3</v>
      </c>
      <c r="D52" s="7">
        <v>0.18292700000000001</v>
      </c>
      <c r="E52" s="7">
        <v>3.8462000000000003E-2</v>
      </c>
      <c r="F52" s="7">
        <v>0.20491799999999999</v>
      </c>
      <c r="G52" s="7">
        <v>0.23202600000000001</v>
      </c>
      <c r="H52" s="7">
        <v>6.0525000000000002E-2</v>
      </c>
      <c r="I52" s="7">
        <v>5.4864999999999997E-2</v>
      </c>
      <c r="J52" s="7">
        <v>9.5820000000000002E-3</v>
      </c>
      <c r="K52" s="6">
        <v>2.9169999999999999E-3</v>
      </c>
      <c r="L52" s="7">
        <f t="shared" si="0"/>
        <v>0.18001</v>
      </c>
      <c r="M52" s="7">
        <f t="shared" si="0"/>
        <v>3.5545E-2</v>
      </c>
      <c r="N52" s="7">
        <f t="shared" si="0"/>
        <v>0.20200099999999999</v>
      </c>
      <c r="O52" s="7">
        <f t="shared" si="0"/>
        <v>0.22910900000000001</v>
      </c>
      <c r="P52" s="7">
        <f t="shared" si="0"/>
        <v>5.7607999999999999E-2</v>
      </c>
      <c r="Q52" s="7">
        <f t="shared" si="0"/>
        <v>5.1947999999999994E-2</v>
      </c>
      <c r="R52" s="7">
        <f t="shared" si="1"/>
        <v>0.12603683333333335</v>
      </c>
      <c r="S52" s="7">
        <f t="shared" si="2"/>
        <v>6.6650000000000008E-3</v>
      </c>
      <c r="T52" s="7"/>
    </row>
    <row r="53" spans="1:20">
      <c r="A53" s="5">
        <v>33664</v>
      </c>
      <c r="B53">
        <v>22</v>
      </c>
      <c r="C53" s="6">
        <v>2.9169999999999999E-3</v>
      </c>
      <c r="D53" s="7">
        <v>-3.0929999999999998E-3</v>
      </c>
      <c r="E53" s="7">
        <v>1.2370000000000001E-2</v>
      </c>
      <c r="F53" s="7">
        <v>5.5128999999999997E-2</v>
      </c>
      <c r="G53" s="7">
        <v>0.10274</v>
      </c>
      <c r="H53" s="7">
        <v>-0.12989000000000001</v>
      </c>
      <c r="I53" s="7">
        <v>3.4250000000000001E-3</v>
      </c>
      <c r="J53" s="7">
        <v>-2.1832000000000001E-2</v>
      </c>
      <c r="K53" s="6">
        <v>2.9169999999999999E-3</v>
      </c>
      <c r="L53" s="7">
        <f t="shared" si="0"/>
        <v>-6.0099999999999997E-3</v>
      </c>
      <c r="M53" s="7">
        <f t="shared" si="0"/>
        <v>9.4530000000000013E-3</v>
      </c>
      <c r="N53" s="7">
        <f t="shared" si="0"/>
        <v>5.2211999999999995E-2</v>
      </c>
      <c r="O53" s="7">
        <f t="shared" si="0"/>
        <v>9.9822999999999995E-2</v>
      </c>
      <c r="P53" s="7">
        <f t="shared" si="0"/>
        <v>-0.13280700000000001</v>
      </c>
      <c r="Q53" s="7">
        <f t="shared" si="0"/>
        <v>5.080000000000002E-4</v>
      </c>
      <c r="R53" s="7">
        <f t="shared" si="1"/>
        <v>3.8631666666666662E-3</v>
      </c>
      <c r="S53" s="7">
        <f t="shared" si="2"/>
        <v>-2.4749E-2</v>
      </c>
      <c r="T53" s="7"/>
    </row>
    <row r="54" spans="1:20">
      <c r="A54" s="5">
        <v>33695</v>
      </c>
      <c r="B54">
        <v>22</v>
      </c>
      <c r="C54" s="6">
        <v>2.9169999999999999E-3</v>
      </c>
      <c r="D54" s="7">
        <v>7.3298000000000002E-2</v>
      </c>
      <c r="E54" s="7">
        <v>-0.121973</v>
      </c>
      <c r="F54" s="7">
        <v>0.18240600000000001</v>
      </c>
      <c r="G54" s="7">
        <v>-3.7269999999999998E-3</v>
      </c>
      <c r="H54" s="7">
        <v>-3.1709000000000001E-2</v>
      </c>
      <c r="I54" s="7">
        <v>1.5266E-2</v>
      </c>
      <c r="J54" s="7">
        <v>2.7893000000000001E-2</v>
      </c>
      <c r="K54" s="6">
        <v>2.9169999999999999E-3</v>
      </c>
      <c r="L54" s="7">
        <f t="shared" si="0"/>
        <v>7.0380999999999999E-2</v>
      </c>
      <c r="M54" s="7">
        <f t="shared" si="0"/>
        <v>-0.12489</v>
      </c>
      <c r="N54" s="7">
        <f t="shared" si="0"/>
        <v>0.17948900000000001</v>
      </c>
      <c r="O54" s="7">
        <f t="shared" si="0"/>
        <v>-6.6439999999999997E-3</v>
      </c>
      <c r="P54" s="7">
        <f t="shared" si="0"/>
        <v>-3.4626000000000004E-2</v>
      </c>
      <c r="Q54" s="7">
        <f t="shared" si="0"/>
        <v>1.2349000000000001E-2</v>
      </c>
      <c r="R54" s="7">
        <f t="shared" si="1"/>
        <v>1.6009833333333334E-2</v>
      </c>
      <c r="S54" s="7">
        <f t="shared" si="2"/>
        <v>2.4976000000000002E-2</v>
      </c>
      <c r="T54" s="7"/>
    </row>
    <row r="55" spans="1:20">
      <c r="A55" s="5">
        <v>33725</v>
      </c>
      <c r="B55">
        <v>21</v>
      </c>
      <c r="C55" s="6">
        <v>2.9169999999999999E-3</v>
      </c>
      <c r="D55" s="7">
        <v>8.2927000000000001E-2</v>
      </c>
      <c r="E55" s="7">
        <v>-1.3917000000000001E-2</v>
      </c>
      <c r="F55" s="7">
        <v>-2.2037999999999999E-2</v>
      </c>
      <c r="G55" s="7">
        <v>-0.05</v>
      </c>
      <c r="H55" s="7">
        <v>-6.5421000000000007E-2</v>
      </c>
      <c r="I55" s="7">
        <v>6.0241000000000003E-2</v>
      </c>
      <c r="J55" s="7">
        <v>9.7099999999999997E-4</v>
      </c>
      <c r="K55" s="6">
        <v>2.9169999999999999E-3</v>
      </c>
      <c r="L55" s="7">
        <f t="shared" si="0"/>
        <v>8.0009999999999998E-2</v>
      </c>
      <c r="M55" s="7">
        <f t="shared" si="0"/>
        <v>-1.6834000000000002E-2</v>
      </c>
      <c r="N55" s="7">
        <f t="shared" si="0"/>
        <v>-2.4954999999999998E-2</v>
      </c>
      <c r="O55" s="7">
        <f t="shared" si="0"/>
        <v>-5.2917000000000006E-2</v>
      </c>
      <c r="P55" s="7">
        <f t="shared" si="0"/>
        <v>-6.833800000000001E-2</v>
      </c>
      <c r="Q55" s="7">
        <f t="shared" si="0"/>
        <v>5.7324E-2</v>
      </c>
      <c r="R55" s="7">
        <f t="shared" si="1"/>
        <v>-4.2850000000000041E-3</v>
      </c>
      <c r="S55" s="7">
        <f t="shared" si="2"/>
        <v>-1.9459999999999998E-3</v>
      </c>
      <c r="T55" s="7"/>
    </row>
    <row r="56" spans="1:20">
      <c r="A56" s="5">
        <v>33756</v>
      </c>
      <c r="B56">
        <v>22</v>
      </c>
      <c r="C56" s="6">
        <v>2.9169999999999999E-3</v>
      </c>
      <c r="D56" s="7">
        <v>6.306E-3</v>
      </c>
      <c r="E56" s="7">
        <v>-7.0396E-2</v>
      </c>
      <c r="F56" s="7">
        <v>4.2816E-2</v>
      </c>
      <c r="G56" s="7">
        <v>-9.3737000000000001E-2</v>
      </c>
      <c r="H56" s="7">
        <v>0.14000000000000001</v>
      </c>
      <c r="I56" s="7">
        <v>-8.7726999999999999E-2</v>
      </c>
      <c r="J56" s="7">
        <v>-1.7365999999999999E-2</v>
      </c>
      <c r="K56" s="6">
        <v>2.9169999999999999E-3</v>
      </c>
      <c r="L56" s="7">
        <f t="shared" si="0"/>
        <v>3.3890000000000001E-3</v>
      </c>
      <c r="M56" s="7">
        <f t="shared" si="0"/>
        <v>-7.3313000000000003E-2</v>
      </c>
      <c r="N56" s="7">
        <f t="shared" si="0"/>
        <v>3.9898999999999997E-2</v>
      </c>
      <c r="O56" s="7">
        <f t="shared" si="0"/>
        <v>-9.6654000000000004E-2</v>
      </c>
      <c r="P56" s="7">
        <f t="shared" si="0"/>
        <v>0.13708300000000001</v>
      </c>
      <c r="Q56" s="7">
        <f t="shared" si="0"/>
        <v>-9.0644000000000002E-2</v>
      </c>
      <c r="R56" s="7">
        <f t="shared" si="1"/>
        <v>-1.3373333333333334E-2</v>
      </c>
      <c r="S56" s="7">
        <f t="shared" si="2"/>
        <v>-2.0282999999999999E-2</v>
      </c>
      <c r="T56" s="7"/>
    </row>
    <row r="57" spans="1:20">
      <c r="A57" s="5">
        <v>33786</v>
      </c>
      <c r="B57">
        <v>23</v>
      </c>
      <c r="C57" s="6">
        <v>2.5000000000000001E-3</v>
      </c>
      <c r="D57" s="7">
        <v>-9.5022999999999996E-2</v>
      </c>
      <c r="E57" s="7">
        <v>7.5727000000000003E-2</v>
      </c>
      <c r="F57" s="7">
        <v>-2.7469999999999999E-3</v>
      </c>
      <c r="G57" s="7">
        <v>7.0039000000000004E-2</v>
      </c>
      <c r="H57" s="7">
        <v>4.8280999999999998E-2</v>
      </c>
      <c r="I57" s="7">
        <v>4.6899999999999997E-2</v>
      </c>
      <c r="J57" s="7">
        <v>3.9377000000000002E-2</v>
      </c>
      <c r="K57" s="6">
        <v>2.5000000000000001E-3</v>
      </c>
      <c r="L57" s="7">
        <f t="shared" si="0"/>
        <v>-9.7522999999999999E-2</v>
      </c>
      <c r="M57" s="7">
        <f t="shared" si="0"/>
        <v>7.3227E-2</v>
      </c>
      <c r="N57" s="7">
        <f t="shared" si="0"/>
        <v>-5.2469999999999999E-3</v>
      </c>
      <c r="O57" s="7">
        <f t="shared" si="0"/>
        <v>6.7539000000000002E-2</v>
      </c>
      <c r="P57" s="7">
        <f t="shared" si="0"/>
        <v>4.5780999999999995E-2</v>
      </c>
      <c r="Q57" s="7">
        <f t="shared" si="0"/>
        <v>4.4399999999999995E-2</v>
      </c>
      <c r="R57" s="7">
        <f t="shared" si="1"/>
        <v>2.1362833333333331E-2</v>
      </c>
      <c r="S57" s="7">
        <f t="shared" si="2"/>
        <v>3.6877E-2</v>
      </c>
      <c r="T57" s="7"/>
    </row>
    <row r="58" spans="1:20">
      <c r="A58" s="5">
        <v>33817</v>
      </c>
      <c r="B58">
        <v>21</v>
      </c>
      <c r="C58" s="6">
        <v>2.5000000000000001E-3</v>
      </c>
      <c r="D58" s="7">
        <v>-0.09</v>
      </c>
      <c r="E58" s="7">
        <v>-2.8142E-2</v>
      </c>
      <c r="F58" s="7">
        <v>-0.10929</v>
      </c>
      <c r="G58" s="7">
        <v>-0.22106100000000001</v>
      </c>
      <c r="H58" s="7">
        <v>-2.9321E-2</v>
      </c>
      <c r="I58" s="7">
        <v>2.6841E-2</v>
      </c>
      <c r="J58" s="7">
        <v>-2.3993E-2</v>
      </c>
      <c r="K58" s="6">
        <v>2.5000000000000001E-3</v>
      </c>
      <c r="L58" s="7">
        <f t="shared" si="0"/>
        <v>-9.2499999999999999E-2</v>
      </c>
      <c r="M58" s="7">
        <f t="shared" si="0"/>
        <v>-3.0641999999999999E-2</v>
      </c>
      <c r="N58" s="7">
        <f t="shared" si="0"/>
        <v>-0.11179</v>
      </c>
      <c r="O58" s="7">
        <f t="shared" si="0"/>
        <v>-0.22356100000000001</v>
      </c>
      <c r="P58" s="7">
        <f t="shared" si="0"/>
        <v>-3.1821000000000002E-2</v>
      </c>
      <c r="Q58" s="7">
        <f t="shared" si="0"/>
        <v>2.4341000000000002E-2</v>
      </c>
      <c r="R58" s="7">
        <f t="shared" si="1"/>
        <v>-7.7662166666666671E-2</v>
      </c>
      <c r="S58" s="7">
        <f t="shared" si="2"/>
        <v>-2.6492999999999999E-2</v>
      </c>
      <c r="T58" s="7"/>
    </row>
    <row r="59" spans="1:20">
      <c r="A59" s="5">
        <v>33848</v>
      </c>
      <c r="B59">
        <v>22</v>
      </c>
      <c r="C59" s="6">
        <v>2.5000000000000001E-3</v>
      </c>
      <c r="D59" s="7">
        <v>2.1979999999999999E-3</v>
      </c>
      <c r="E59" s="7">
        <v>-1.4522E-2</v>
      </c>
      <c r="F59" s="7">
        <v>-2.0858999999999999E-2</v>
      </c>
      <c r="G59" s="7">
        <v>-2.6200000000000001E-2</v>
      </c>
      <c r="H59" s="7">
        <v>0.135379</v>
      </c>
      <c r="I59" s="7">
        <v>-5.4884000000000002E-2</v>
      </c>
      <c r="J59" s="7">
        <v>9.1059999999999995E-3</v>
      </c>
      <c r="K59" s="6">
        <v>2.5000000000000001E-3</v>
      </c>
      <c r="L59" s="7">
        <f t="shared" si="0"/>
        <v>-3.0200000000000018E-4</v>
      </c>
      <c r="M59" s="7">
        <f t="shared" si="0"/>
        <v>-1.7021999999999999E-2</v>
      </c>
      <c r="N59" s="7">
        <f t="shared" si="0"/>
        <v>-2.3358999999999998E-2</v>
      </c>
      <c r="O59" s="7">
        <f t="shared" si="0"/>
        <v>-2.87E-2</v>
      </c>
      <c r="P59" s="7">
        <f t="shared" si="0"/>
        <v>0.132879</v>
      </c>
      <c r="Q59" s="7">
        <f t="shared" si="0"/>
        <v>-5.7384000000000004E-2</v>
      </c>
      <c r="R59" s="7">
        <f t="shared" si="1"/>
        <v>1.0186666666666653E-3</v>
      </c>
      <c r="S59" s="7">
        <f t="shared" si="2"/>
        <v>6.605999999999999E-3</v>
      </c>
      <c r="T59" s="7"/>
    </row>
    <row r="60" spans="1:20">
      <c r="A60" s="5">
        <v>33878</v>
      </c>
      <c r="B60">
        <v>22</v>
      </c>
      <c r="C60" s="6">
        <v>2.5000000000000001E-3</v>
      </c>
      <c r="D60" s="7">
        <v>6.6667000000000004E-2</v>
      </c>
      <c r="E60" s="7">
        <v>-0.117621</v>
      </c>
      <c r="F60" s="7">
        <v>-7.5949000000000003E-2</v>
      </c>
      <c r="G60" s="7">
        <v>2.0160999999999998E-2</v>
      </c>
      <c r="H60" s="7">
        <v>2.6585000000000001E-2</v>
      </c>
      <c r="I60" s="7">
        <v>3.1110000000000001E-3</v>
      </c>
      <c r="J60" s="7">
        <v>2.0990000000000002E-3</v>
      </c>
      <c r="K60" s="6">
        <v>2.5000000000000001E-3</v>
      </c>
      <c r="L60" s="7">
        <f t="shared" si="0"/>
        <v>6.4167000000000002E-2</v>
      </c>
      <c r="M60" s="7">
        <f t="shared" si="0"/>
        <v>-0.12012100000000001</v>
      </c>
      <c r="N60" s="7">
        <f t="shared" si="0"/>
        <v>-7.8449000000000005E-2</v>
      </c>
      <c r="O60" s="7">
        <f t="shared" si="0"/>
        <v>1.7661E-2</v>
      </c>
      <c r="P60" s="7">
        <f t="shared" si="0"/>
        <v>2.4085000000000002E-2</v>
      </c>
      <c r="Q60" s="7">
        <f t="shared" si="0"/>
        <v>6.11E-4</v>
      </c>
      <c r="R60" s="7">
        <f t="shared" si="1"/>
        <v>-1.5340999999999999E-2</v>
      </c>
      <c r="S60" s="7">
        <f t="shared" si="2"/>
        <v>-4.0099999999999988E-4</v>
      </c>
      <c r="T60" s="7"/>
    </row>
    <row r="61" spans="1:20">
      <c r="A61" s="5">
        <v>33909</v>
      </c>
      <c r="B61">
        <v>21</v>
      </c>
      <c r="C61" s="6">
        <v>2.5000000000000001E-3</v>
      </c>
      <c r="D61" s="7">
        <v>0.140625</v>
      </c>
      <c r="E61" s="7">
        <v>0.36670000000000003</v>
      </c>
      <c r="F61" s="7">
        <v>0.15068500000000001</v>
      </c>
      <c r="G61" s="7">
        <v>0.16921</v>
      </c>
      <c r="H61" s="7">
        <v>5.9258999999999999E-2</v>
      </c>
      <c r="I61" s="7">
        <v>-2.1562999999999999E-2</v>
      </c>
      <c r="J61" s="7">
        <v>3.0269000000000001E-2</v>
      </c>
      <c r="K61" s="6">
        <v>2.5000000000000001E-3</v>
      </c>
      <c r="L61" s="7">
        <f t="shared" ref="L61:Q70" si="3">D61-$C61</f>
        <v>0.138125</v>
      </c>
      <c r="M61" s="7">
        <f t="shared" si="3"/>
        <v>0.36420000000000002</v>
      </c>
      <c r="N61" s="7">
        <f t="shared" si="3"/>
        <v>0.14818500000000001</v>
      </c>
      <c r="O61" s="7">
        <f t="shared" si="3"/>
        <v>0.16671</v>
      </c>
      <c r="P61" s="7">
        <f t="shared" si="3"/>
        <v>5.6758999999999997E-2</v>
      </c>
      <c r="Q61" s="7">
        <f t="shared" si="3"/>
        <v>-2.4062999999999998E-2</v>
      </c>
      <c r="R61" s="7">
        <f t="shared" si="1"/>
        <v>0.14165266666666668</v>
      </c>
      <c r="S61" s="7">
        <f t="shared" si="2"/>
        <v>2.7769000000000002E-2</v>
      </c>
      <c r="T61" s="7"/>
    </row>
    <row r="62" spans="1:20">
      <c r="A62" s="5">
        <v>33939</v>
      </c>
      <c r="B62">
        <v>23</v>
      </c>
      <c r="C62" s="6">
        <v>2.5000000000000001E-3</v>
      </c>
      <c r="D62" s="7">
        <v>5.2054999999999997E-2</v>
      </c>
      <c r="E62" s="7">
        <v>3.6583999999999998E-2</v>
      </c>
      <c r="F62" s="7">
        <v>3.0380999999999998E-2</v>
      </c>
      <c r="G62" s="7">
        <v>5.0767E-2</v>
      </c>
      <c r="H62" s="7">
        <v>0.21818199999999999</v>
      </c>
      <c r="I62" s="7">
        <v>5.7006000000000001E-2</v>
      </c>
      <c r="J62" s="7">
        <v>1.0106E-2</v>
      </c>
      <c r="K62" s="6">
        <v>2.5000000000000001E-3</v>
      </c>
      <c r="L62" s="7">
        <f t="shared" si="3"/>
        <v>4.9554999999999995E-2</v>
      </c>
      <c r="M62" s="7">
        <f t="shared" si="3"/>
        <v>3.4083999999999996E-2</v>
      </c>
      <c r="N62" s="7">
        <f t="shared" si="3"/>
        <v>2.7881E-2</v>
      </c>
      <c r="O62" s="7">
        <f t="shared" si="3"/>
        <v>4.8266999999999997E-2</v>
      </c>
      <c r="P62" s="7">
        <f t="shared" si="3"/>
        <v>0.21568199999999998</v>
      </c>
      <c r="Q62" s="7">
        <f t="shared" si="3"/>
        <v>5.4505999999999999E-2</v>
      </c>
      <c r="R62" s="7">
        <f t="shared" si="1"/>
        <v>7.166249999999999E-2</v>
      </c>
      <c r="S62" s="7">
        <f t="shared" si="2"/>
        <v>7.6059999999999999E-3</v>
      </c>
      <c r="T62" s="7"/>
    </row>
    <row r="63" spans="1:20">
      <c r="A63" s="5">
        <v>33970</v>
      </c>
      <c r="B63">
        <v>21</v>
      </c>
      <c r="C63" s="6">
        <v>2.5000000000000001E-3</v>
      </c>
      <c r="D63" s="7">
        <v>4.8245999999999997E-2</v>
      </c>
      <c r="E63" s="7">
        <v>0.129385</v>
      </c>
      <c r="F63" s="7">
        <v>7.5800000000000006E-2</v>
      </c>
      <c r="G63" s="7">
        <v>3.0397E-2</v>
      </c>
      <c r="H63" s="7">
        <v>0.22703400000000001</v>
      </c>
      <c r="I63" s="7">
        <v>1.1939999999999999E-2</v>
      </c>
      <c r="J63" s="7">
        <v>7.0479999999999996E-3</v>
      </c>
      <c r="K63" s="6">
        <v>2.5000000000000001E-3</v>
      </c>
      <c r="L63" s="7">
        <f t="shared" si="3"/>
        <v>4.5745999999999995E-2</v>
      </c>
      <c r="M63" s="7">
        <f t="shared" si="3"/>
        <v>0.126885</v>
      </c>
      <c r="N63" s="7">
        <f t="shared" si="3"/>
        <v>7.3300000000000004E-2</v>
      </c>
      <c r="O63" s="7">
        <f t="shared" si="3"/>
        <v>2.7897000000000002E-2</v>
      </c>
      <c r="P63" s="7">
        <f t="shared" si="3"/>
        <v>0.22453400000000001</v>
      </c>
      <c r="Q63" s="7">
        <f t="shared" si="3"/>
        <v>9.4399999999999987E-3</v>
      </c>
      <c r="R63" s="7">
        <f t="shared" si="1"/>
        <v>8.4633666666666663E-2</v>
      </c>
      <c r="S63" s="7">
        <f t="shared" si="2"/>
        <v>4.548E-3</v>
      </c>
      <c r="T63" s="7"/>
    </row>
    <row r="64" spans="1:20">
      <c r="A64" s="5">
        <v>34001</v>
      </c>
      <c r="B64">
        <v>20</v>
      </c>
      <c r="C64" s="6">
        <v>2.5000000000000001E-3</v>
      </c>
      <c r="D64" s="7">
        <v>5.4392999999999997E-2</v>
      </c>
      <c r="E64" s="7">
        <v>-0.15625</v>
      </c>
      <c r="F64" s="7">
        <v>-5.4200000000000003E-3</v>
      </c>
      <c r="G64" s="7">
        <v>2.4333E-2</v>
      </c>
      <c r="H64" s="7">
        <v>9.1314000000000006E-2</v>
      </c>
      <c r="I64" s="7">
        <v>0</v>
      </c>
      <c r="J64" s="7">
        <v>1.0479E-2</v>
      </c>
      <c r="K64" s="6">
        <v>2.5000000000000001E-3</v>
      </c>
      <c r="L64" s="7">
        <f t="shared" si="3"/>
        <v>5.1892999999999995E-2</v>
      </c>
      <c r="M64" s="7">
        <f t="shared" si="3"/>
        <v>-0.15875</v>
      </c>
      <c r="N64" s="7">
        <f t="shared" si="3"/>
        <v>-7.92E-3</v>
      </c>
      <c r="O64" s="7">
        <f t="shared" si="3"/>
        <v>2.1833000000000002E-2</v>
      </c>
      <c r="P64" s="7">
        <f t="shared" si="3"/>
        <v>8.8814000000000004E-2</v>
      </c>
      <c r="Q64" s="7">
        <f t="shared" si="3"/>
        <v>-2.5000000000000001E-3</v>
      </c>
      <c r="R64" s="7">
        <f t="shared" si="1"/>
        <v>-1.1049999999999992E-3</v>
      </c>
      <c r="S64" s="7">
        <f t="shared" si="2"/>
        <v>7.979E-3</v>
      </c>
      <c r="T64" s="7"/>
    </row>
    <row r="65" spans="1:20">
      <c r="A65" s="5">
        <v>34029</v>
      </c>
      <c r="B65">
        <v>23</v>
      </c>
      <c r="C65" s="6">
        <v>2.5000000000000001E-3</v>
      </c>
      <c r="D65" s="7">
        <v>0.117619</v>
      </c>
      <c r="E65" s="7">
        <v>-6.1704000000000002E-2</v>
      </c>
      <c r="F65" s="7">
        <v>0.142209</v>
      </c>
      <c r="G65" s="7">
        <v>3.2162000000000003E-2</v>
      </c>
      <c r="H65" s="7">
        <v>-1.2017E-2</v>
      </c>
      <c r="I65" s="7">
        <v>9.9109999999999997E-3</v>
      </c>
      <c r="J65" s="7">
        <v>1.8702E-2</v>
      </c>
      <c r="K65" s="6">
        <v>2.5000000000000001E-3</v>
      </c>
      <c r="L65" s="7">
        <f t="shared" si="3"/>
        <v>0.115119</v>
      </c>
      <c r="M65" s="7">
        <f t="shared" si="3"/>
        <v>-6.4203999999999997E-2</v>
      </c>
      <c r="N65" s="7">
        <f t="shared" si="3"/>
        <v>0.139709</v>
      </c>
      <c r="O65" s="7">
        <f t="shared" si="3"/>
        <v>2.9662000000000004E-2</v>
      </c>
      <c r="P65" s="7">
        <f t="shared" si="3"/>
        <v>-1.4517E-2</v>
      </c>
      <c r="Q65" s="7">
        <f t="shared" si="3"/>
        <v>7.4109999999999992E-3</v>
      </c>
      <c r="R65" s="7">
        <f t="shared" si="1"/>
        <v>3.5529999999999999E-2</v>
      </c>
      <c r="S65" s="7">
        <f t="shared" si="2"/>
        <v>1.6202000000000001E-2</v>
      </c>
      <c r="T65" s="7"/>
    </row>
    <row r="66" spans="1:20">
      <c r="A66" s="5">
        <v>34060</v>
      </c>
      <c r="B66">
        <v>22</v>
      </c>
      <c r="C66" s="6">
        <v>2.5000000000000001E-3</v>
      </c>
      <c r="D66" s="7">
        <v>-0.12903200000000001</v>
      </c>
      <c r="E66" s="7">
        <v>0.21709999999999999</v>
      </c>
      <c r="F66" s="7">
        <v>5.2885000000000001E-2</v>
      </c>
      <c r="G66" s="7">
        <v>-1.3767E-2</v>
      </c>
      <c r="H66" s="7">
        <v>-0.17283499999999999</v>
      </c>
      <c r="I66" s="7">
        <v>-7.6244999999999993E-2</v>
      </c>
      <c r="J66" s="7">
        <v>-2.5416999999999999E-2</v>
      </c>
      <c r="K66" s="6">
        <v>2.5000000000000001E-3</v>
      </c>
      <c r="L66" s="7">
        <f t="shared" si="3"/>
        <v>-0.13153200000000001</v>
      </c>
      <c r="M66" s="7">
        <f t="shared" si="3"/>
        <v>0.21459999999999999</v>
      </c>
      <c r="N66" s="7">
        <f t="shared" si="3"/>
        <v>5.0384999999999999E-2</v>
      </c>
      <c r="O66" s="7">
        <f t="shared" si="3"/>
        <v>-1.6267E-2</v>
      </c>
      <c r="P66" s="7">
        <f t="shared" si="3"/>
        <v>-0.17533499999999999</v>
      </c>
      <c r="Q66" s="7">
        <f t="shared" si="3"/>
        <v>-7.8744999999999996E-2</v>
      </c>
      <c r="R66" s="7">
        <f t="shared" si="1"/>
        <v>-2.2815666666666668E-2</v>
      </c>
      <c r="S66" s="7">
        <f t="shared" si="2"/>
        <v>-2.7916999999999997E-2</v>
      </c>
      <c r="T66" s="7"/>
    </row>
    <row r="67" spans="1:20">
      <c r="A67" s="5">
        <v>34090</v>
      </c>
      <c r="B67">
        <v>20</v>
      </c>
      <c r="C67" s="6">
        <v>2.5000000000000001E-3</v>
      </c>
      <c r="D67" s="7">
        <v>1.2345999999999999E-2</v>
      </c>
      <c r="E67" s="7">
        <v>0.167542</v>
      </c>
      <c r="F67" s="7">
        <v>-5.0228000000000002E-2</v>
      </c>
      <c r="G67" s="7">
        <v>0.113521</v>
      </c>
      <c r="H67" s="7">
        <v>0.16559399999999999</v>
      </c>
      <c r="I67" s="7">
        <v>5.3941999999999997E-2</v>
      </c>
      <c r="J67" s="7">
        <v>2.2717000000000001E-2</v>
      </c>
      <c r="K67" s="6">
        <v>2.5000000000000001E-3</v>
      </c>
      <c r="L67" s="7">
        <f t="shared" si="3"/>
        <v>9.8459999999999989E-3</v>
      </c>
      <c r="M67" s="7">
        <f t="shared" si="3"/>
        <v>0.16504199999999999</v>
      </c>
      <c r="N67" s="7">
        <f t="shared" si="3"/>
        <v>-5.2728000000000004E-2</v>
      </c>
      <c r="O67" s="7">
        <f t="shared" si="3"/>
        <v>0.11102099999999999</v>
      </c>
      <c r="P67" s="7">
        <f t="shared" si="3"/>
        <v>0.16309399999999999</v>
      </c>
      <c r="Q67" s="7">
        <f t="shared" si="3"/>
        <v>5.1441999999999995E-2</v>
      </c>
      <c r="R67" s="7">
        <f t="shared" si="1"/>
        <v>7.4619499999999991E-2</v>
      </c>
      <c r="S67" s="7">
        <f t="shared" si="2"/>
        <v>2.0217000000000002E-2</v>
      </c>
      <c r="T67" s="7"/>
    </row>
    <row r="68" spans="1:20">
      <c r="A68" s="5">
        <v>34121</v>
      </c>
      <c r="B68">
        <v>22</v>
      </c>
      <c r="C68" s="6">
        <v>2.5000000000000001E-3</v>
      </c>
      <c r="D68" s="7">
        <v>5.9512000000000002E-2</v>
      </c>
      <c r="E68" s="7">
        <v>-9.2779999999999998E-3</v>
      </c>
      <c r="F68" s="7">
        <v>1.2500000000000001E-2</v>
      </c>
      <c r="G68" s="7">
        <v>-2.8497000000000001E-2</v>
      </c>
      <c r="H68" s="7">
        <v>-6.999E-3</v>
      </c>
      <c r="I68" s="7">
        <v>4.0240999999999999E-2</v>
      </c>
      <c r="J68" s="7">
        <v>7.5500000000000003E-4</v>
      </c>
      <c r="K68" s="6">
        <v>2.5000000000000001E-3</v>
      </c>
      <c r="L68" s="7">
        <f t="shared" si="3"/>
        <v>5.7012E-2</v>
      </c>
      <c r="M68" s="7">
        <f t="shared" si="3"/>
        <v>-1.1778E-2</v>
      </c>
      <c r="N68" s="7">
        <f t="shared" si="3"/>
        <v>0.01</v>
      </c>
      <c r="O68" s="7">
        <f t="shared" si="3"/>
        <v>-3.0997E-2</v>
      </c>
      <c r="P68" s="7">
        <f t="shared" si="3"/>
        <v>-9.4990000000000005E-3</v>
      </c>
      <c r="Q68" s="7">
        <f t="shared" si="3"/>
        <v>3.7740999999999997E-2</v>
      </c>
      <c r="R68" s="7">
        <f t="shared" si="1"/>
        <v>8.7464999999999991E-3</v>
      </c>
      <c r="S68" s="7">
        <f t="shared" si="2"/>
        <v>-1.745E-3</v>
      </c>
      <c r="T68" s="7"/>
    </row>
    <row r="69" spans="1:20">
      <c r="A69" s="5">
        <v>34151</v>
      </c>
      <c r="B69">
        <v>22</v>
      </c>
      <c r="C69" s="6">
        <v>2.5000000000000001E-3</v>
      </c>
      <c r="D69" s="7">
        <v>-1.5504E-2</v>
      </c>
      <c r="E69" s="7">
        <v>7.4804999999999996E-2</v>
      </c>
      <c r="F69" s="7">
        <v>9.5689999999999994E-3</v>
      </c>
      <c r="G69" s="7">
        <v>-0.111111</v>
      </c>
      <c r="H69" s="7">
        <v>-0.05</v>
      </c>
      <c r="I69" s="7">
        <v>5.8139999999999997E-3</v>
      </c>
      <c r="J69" s="7">
        <v>-5.3290000000000004E-3</v>
      </c>
      <c r="K69" s="6">
        <v>2.5000000000000001E-3</v>
      </c>
      <c r="L69" s="7">
        <f t="shared" si="3"/>
        <v>-1.8003999999999999E-2</v>
      </c>
      <c r="M69" s="7">
        <f t="shared" si="3"/>
        <v>7.2304999999999994E-2</v>
      </c>
      <c r="N69" s="7">
        <f t="shared" si="3"/>
        <v>7.0689999999999989E-3</v>
      </c>
      <c r="O69" s="7">
        <f t="shared" si="3"/>
        <v>-0.113611</v>
      </c>
      <c r="P69" s="7">
        <f t="shared" si="3"/>
        <v>-5.2500000000000005E-2</v>
      </c>
      <c r="Q69" s="7">
        <f t="shared" si="3"/>
        <v>3.3139999999999997E-3</v>
      </c>
      <c r="R69" s="7">
        <f t="shared" si="1"/>
        <v>-1.6904500000000003E-2</v>
      </c>
      <c r="S69" s="7">
        <f t="shared" si="2"/>
        <v>-7.8290000000000009E-3</v>
      </c>
      <c r="T69" s="7"/>
    </row>
    <row r="70" spans="1:20">
      <c r="A70" s="5">
        <v>34182</v>
      </c>
      <c r="B70">
        <v>22</v>
      </c>
      <c r="C70" s="6">
        <v>2.5000000000000001E-3</v>
      </c>
      <c r="D70" s="7">
        <v>7.8740000000000004E-2</v>
      </c>
      <c r="E70" s="7">
        <v>-3.9129999999999998E-2</v>
      </c>
      <c r="F70" s="7">
        <v>-3.3175000000000003E-2</v>
      </c>
      <c r="G70" s="7">
        <v>2.9499999999999998E-2</v>
      </c>
      <c r="H70" s="7">
        <v>0.22966500000000001</v>
      </c>
      <c r="I70" s="7">
        <v>2.9129999999999998E-3</v>
      </c>
      <c r="J70" s="7">
        <v>3.4433999999999999E-2</v>
      </c>
      <c r="K70" s="6">
        <v>2.5000000000000001E-3</v>
      </c>
      <c r="L70" s="7">
        <f t="shared" si="3"/>
        <v>7.6240000000000002E-2</v>
      </c>
      <c r="M70" s="7">
        <f t="shared" si="3"/>
        <v>-4.163E-2</v>
      </c>
      <c r="N70" s="7">
        <f t="shared" si="3"/>
        <v>-3.5675000000000005E-2</v>
      </c>
      <c r="O70" s="7">
        <f t="shared" si="3"/>
        <v>2.7E-2</v>
      </c>
      <c r="P70" s="7">
        <f t="shared" si="3"/>
        <v>0.22716500000000001</v>
      </c>
      <c r="Q70" s="7">
        <f t="shared" si="3"/>
        <v>4.1299999999999974E-4</v>
      </c>
      <c r="R70" s="7">
        <f t="shared" si="1"/>
        <v>4.2252166666666667E-2</v>
      </c>
      <c r="S70" s="7">
        <f t="shared" si="2"/>
        <v>3.1933999999999997E-2</v>
      </c>
      <c r="T70" s="7"/>
    </row>
    <row r="71" spans="1:20">
      <c r="A71" s="5">
        <v>34213</v>
      </c>
      <c r="B71">
        <v>22</v>
      </c>
      <c r="C71" s="6">
        <v>2.5000000000000001E-3</v>
      </c>
      <c r="D71" s="7">
        <v>9.3576999999999994E-2</v>
      </c>
      <c r="E71" s="7">
        <v>5.9889999999999999E-2</v>
      </c>
      <c r="F71" s="7">
        <v>9.1175999999999993E-2</v>
      </c>
      <c r="G71" s="7">
        <v>-7.7546000000000004E-2</v>
      </c>
      <c r="H71" s="7">
        <v>0.10194599999999999</v>
      </c>
      <c r="I71" s="7">
        <v>-2.2040000000000001E-2</v>
      </c>
      <c r="J71" s="7">
        <v>-9.9880000000000004E-3</v>
      </c>
      <c r="K71" s="6">
        <v>2.5000000000000001E-3</v>
      </c>
      <c r="L71" s="7">
        <f t="shared" ref="L71:Q80" si="4">D71-$C71</f>
        <v>9.1076999999999991E-2</v>
      </c>
      <c r="M71" s="7">
        <f t="shared" si="4"/>
        <v>5.7389999999999997E-2</v>
      </c>
      <c r="N71" s="7">
        <f t="shared" si="4"/>
        <v>8.8675999999999991E-2</v>
      </c>
      <c r="O71" s="7">
        <f t="shared" si="4"/>
        <v>-8.0046000000000006E-2</v>
      </c>
      <c r="P71" s="7">
        <f t="shared" si="4"/>
        <v>9.9445999999999993E-2</v>
      </c>
      <c r="Q71" s="7">
        <f t="shared" si="4"/>
        <v>-2.4539999999999999E-2</v>
      </c>
      <c r="R71" s="7">
        <f t="shared" si="1"/>
        <v>3.8667166666666662E-2</v>
      </c>
      <c r="S71" s="7">
        <f t="shared" si="2"/>
        <v>-1.2488000000000001E-2</v>
      </c>
      <c r="T71" s="7"/>
    </row>
    <row r="72" spans="1:20">
      <c r="A72" s="5">
        <v>34243</v>
      </c>
      <c r="B72">
        <v>21</v>
      </c>
      <c r="C72" s="6">
        <v>2.5000000000000001E-3</v>
      </c>
      <c r="D72" s="7">
        <v>-0.111111</v>
      </c>
      <c r="E72" s="7">
        <v>-1.7076999999999998E-2</v>
      </c>
      <c r="F72" s="7">
        <v>0.11992800000000001</v>
      </c>
      <c r="G72" s="7">
        <v>7.6752000000000001E-2</v>
      </c>
      <c r="H72" s="7">
        <v>-0.106007</v>
      </c>
      <c r="I72" s="7">
        <v>2.6651000000000001E-2</v>
      </c>
      <c r="J72" s="7">
        <v>1.9393000000000001E-2</v>
      </c>
      <c r="K72" s="6">
        <v>2.5000000000000001E-3</v>
      </c>
      <c r="L72" s="7">
        <f t="shared" si="4"/>
        <v>-0.113611</v>
      </c>
      <c r="M72" s="7">
        <f t="shared" si="4"/>
        <v>-1.9576999999999997E-2</v>
      </c>
      <c r="N72" s="7">
        <f t="shared" si="4"/>
        <v>0.117428</v>
      </c>
      <c r="O72" s="7">
        <f t="shared" si="4"/>
        <v>7.4251999999999999E-2</v>
      </c>
      <c r="P72" s="7">
        <f t="shared" si="4"/>
        <v>-0.10850700000000001</v>
      </c>
      <c r="Q72" s="7">
        <f t="shared" si="4"/>
        <v>2.4151000000000002E-2</v>
      </c>
      <c r="R72" s="7">
        <f t="shared" si="1"/>
        <v>-4.3106666666666666E-3</v>
      </c>
      <c r="S72" s="7">
        <f t="shared" si="2"/>
        <v>1.6893000000000002E-2</v>
      </c>
      <c r="T72" s="7"/>
    </row>
    <row r="73" spans="1:20">
      <c r="A73" s="5">
        <v>34274</v>
      </c>
      <c r="B73">
        <v>22</v>
      </c>
      <c r="C73" s="6">
        <v>2.5000000000000001E-3</v>
      </c>
      <c r="D73" s="7">
        <v>1.5152000000000001E-2</v>
      </c>
      <c r="E73" s="7">
        <v>8.6610000000000003E-3</v>
      </c>
      <c r="F73" s="7">
        <v>-1.8197999999999999E-2</v>
      </c>
      <c r="G73" s="7">
        <v>1.7390000000000001E-3</v>
      </c>
      <c r="H73" s="7">
        <v>-2.7668000000000002E-2</v>
      </c>
      <c r="I73" s="7">
        <v>-3.1723000000000001E-2</v>
      </c>
      <c r="J73" s="7">
        <v>-1.2911000000000001E-2</v>
      </c>
      <c r="K73" s="6">
        <v>2.5000000000000001E-3</v>
      </c>
      <c r="L73" s="7">
        <f t="shared" si="4"/>
        <v>1.2652E-2</v>
      </c>
      <c r="M73" s="7">
        <f t="shared" si="4"/>
        <v>6.1609999999999998E-3</v>
      </c>
      <c r="N73" s="7">
        <f t="shared" si="4"/>
        <v>-2.0697999999999998E-2</v>
      </c>
      <c r="O73" s="7">
        <f t="shared" si="4"/>
        <v>-7.6099999999999996E-4</v>
      </c>
      <c r="P73" s="7">
        <f t="shared" si="4"/>
        <v>-3.0168E-2</v>
      </c>
      <c r="Q73" s="7">
        <f t="shared" si="4"/>
        <v>-3.4223000000000003E-2</v>
      </c>
      <c r="R73" s="7">
        <f t="shared" si="1"/>
        <v>-1.1172833333333333E-2</v>
      </c>
      <c r="S73" s="7">
        <f t="shared" si="2"/>
        <v>-1.5411000000000001E-2</v>
      </c>
      <c r="T73" s="7"/>
    </row>
    <row r="74" spans="1:20">
      <c r="A74" s="5">
        <v>34304</v>
      </c>
      <c r="B74">
        <v>23</v>
      </c>
      <c r="C74" s="6">
        <v>2.5000000000000001E-3</v>
      </c>
      <c r="D74" s="7">
        <v>2.2537000000000001E-2</v>
      </c>
      <c r="E74" s="7">
        <v>0.14327799999999999</v>
      </c>
      <c r="F74" s="7">
        <v>6.8312999999999999E-2</v>
      </c>
      <c r="G74" s="7">
        <v>7.1156999999999998E-2</v>
      </c>
      <c r="H74" s="7">
        <v>8.9429999999999996E-3</v>
      </c>
      <c r="I74" s="7">
        <v>6.6571000000000005E-2</v>
      </c>
      <c r="J74" s="7">
        <v>1.0090999999999999E-2</v>
      </c>
      <c r="K74" s="6">
        <v>2.5000000000000001E-3</v>
      </c>
      <c r="L74" s="7">
        <f t="shared" si="4"/>
        <v>2.0037000000000003E-2</v>
      </c>
      <c r="M74" s="7">
        <f t="shared" si="4"/>
        <v>0.14077799999999999</v>
      </c>
      <c r="N74" s="7">
        <f t="shared" si="4"/>
        <v>6.5812999999999997E-2</v>
      </c>
      <c r="O74" s="7">
        <f t="shared" si="4"/>
        <v>6.8656999999999996E-2</v>
      </c>
      <c r="P74" s="7">
        <f t="shared" si="4"/>
        <v>6.4429999999999991E-3</v>
      </c>
      <c r="Q74" s="7">
        <f t="shared" si="4"/>
        <v>6.4071000000000003E-2</v>
      </c>
      <c r="R74" s="7">
        <f t="shared" si="1"/>
        <v>6.09665E-2</v>
      </c>
      <c r="S74" s="7">
        <f t="shared" si="2"/>
        <v>7.5909999999999988E-3</v>
      </c>
      <c r="T74" s="7"/>
    </row>
    <row r="75" spans="1:20">
      <c r="A75" s="5">
        <v>34335</v>
      </c>
      <c r="B75">
        <v>21</v>
      </c>
      <c r="C75" s="6">
        <v>2.5000000000000001E-3</v>
      </c>
      <c r="D75" s="7">
        <v>6.6420999999999994E-2</v>
      </c>
      <c r="E75" s="7">
        <v>0.147172</v>
      </c>
      <c r="F75" s="7">
        <v>3.8760000000000003E-2</v>
      </c>
      <c r="G75" s="7">
        <v>8.2328999999999999E-2</v>
      </c>
      <c r="H75" s="7">
        <v>5.2419E-2</v>
      </c>
      <c r="I75" s="7">
        <v>-8.4031999999999996E-2</v>
      </c>
      <c r="J75" s="7">
        <v>3.2501000000000002E-2</v>
      </c>
      <c r="K75" s="6">
        <v>2.5000000000000001E-3</v>
      </c>
      <c r="L75" s="7">
        <f t="shared" si="4"/>
        <v>6.3920999999999992E-2</v>
      </c>
      <c r="M75" s="7">
        <f t="shared" si="4"/>
        <v>0.144672</v>
      </c>
      <c r="N75" s="7">
        <f t="shared" si="4"/>
        <v>3.6260000000000001E-2</v>
      </c>
      <c r="O75" s="7">
        <f t="shared" si="4"/>
        <v>7.9828999999999997E-2</v>
      </c>
      <c r="P75" s="7">
        <f t="shared" si="4"/>
        <v>4.9918999999999998E-2</v>
      </c>
      <c r="Q75" s="7">
        <f t="shared" si="4"/>
        <v>-8.6531999999999998E-2</v>
      </c>
      <c r="R75" s="7">
        <f t="shared" si="1"/>
        <v>4.8011499999999992E-2</v>
      </c>
      <c r="S75" s="7">
        <f t="shared" si="2"/>
        <v>3.0001000000000003E-2</v>
      </c>
      <c r="T75" s="7"/>
    </row>
    <row r="76" spans="1:20">
      <c r="A76" s="5">
        <v>34366</v>
      </c>
      <c r="B76">
        <v>20</v>
      </c>
      <c r="C76" s="6">
        <v>2.5000000000000001E-3</v>
      </c>
      <c r="D76" s="7">
        <v>-9.6886E-2</v>
      </c>
      <c r="E76" s="7">
        <v>0.131607</v>
      </c>
      <c r="F76" s="7">
        <v>-7.2746000000000005E-2</v>
      </c>
      <c r="G76" s="7">
        <v>6.3013E-2</v>
      </c>
      <c r="H76" s="7">
        <v>5.364E-2</v>
      </c>
      <c r="I76" s="7">
        <v>4.2812000000000003E-2</v>
      </c>
      <c r="J76" s="7">
        <v>-3.0044999999999999E-2</v>
      </c>
      <c r="K76" s="6">
        <v>2.5000000000000001E-3</v>
      </c>
      <c r="L76" s="7">
        <f t="shared" si="4"/>
        <v>-9.9386000000000002E-2</v>
      </c>
      <c r="M76" s="7">
        <f t="shared" si="4"/>
        <v>0.129107</v>
      </c>
      <c r="N76" s="7">
        <f t="shared" si="4"/>
        <v>-7.5246000000000007E-2</v>
      </c>
      <c r="O76" s="7">
        <f t="shared" si="4"/>
        <v>6.0512999999999997E-2</v>
      </c>
      <c r="P76" s="7">
        <f t="shared" si="4"/>
        <v>5.1139999999999998E-2</v>
      </c>
      <c r="Q76" s="7">
        <f t="shared" si="4"/>
        <v>4.0312000000000001E-2</v>
      </c>
      <c r="R76" s="7">
        <f t="shared" si="1"/>
        <v>1.7739999999999999E-2</v>
      </c>
      <c r="S76" s="7">
        <f t="shared" si="2"/>
        <v>-3.2544999999999998E-2</v>
      </c>
      <c r="T76" s="7"/>
    </row>
    <row r="77" spans="1:20">
      <c r="A77" s="5">
        <v>34394</v>
      </c>
      <c r="B77">
        <v>23</v>
      </c>
      <c r="C77" s="6">
        <v>2.5000000000000001E-3</v>
      </c>
      <c r="D77" s="7">
        <v>1.5300000000000001E-4</v>
      </c>
      <c r="E77" s="7">
        <v>-6.3278000000000001E-2</v>
      </c>
      <c r="F77" s="7">
        <v>-4.7903000000000001E-2</v>
      </c>
      <c r="G77" s="7">
        <v>-9.3794000000000002E-2</v>
      </c>
      <c r="H77" s="7">
        <v>-1.8182E-2</v>
      </c>
      <c r="I77" s="7">
        <v>-4.2321999999999999E-2</v>
      </c>
      <c r="J77" s="7">
        <v>-4.5768000000000003E-2</v>
      </c>
      <c r="K77" s="6">
        <v>2.5000000000000001E-3</v>
      </c>
      <c r="L77" s="7">
        <f t="shared" si="4"/>
        <v>-2.3470000000000001E-3</v>
      </c>
      <c r="M77" s="7">
        <f t="shared" si="4"/>
        <v>-6.5778000000000003E-2</v>
      </c>
      <c r="N77" s="7">
        <f t="shared" si="4"/>
        <v>-5.0403000000000003E-2</v>
      </c>
      <c r="O77" s="7">
        <f t="shared" si="4"/>
        <v>-9.6294000000000005E-2</v>
      </c>
      <c r="P77" s="7">
        <f t="shared" si="4"/>
        <v>-2.0681999999999999E-2</v>
      </c>
      <c r="Q77" s="7">
        <f t="shared" si="4"/>
        <v>-4.4822000000000001E-2</v>
      </c>
      <c r="R77" s="7">
        <f t="shared" si="1"/>
        <v>-4.6721000000000006E-2</v>
      </c>
      <c r="S77" s="7">
        <f t="shared" si="2"/>
        <v>-4.8268000000000005E-2</v>
      </c>
      <c r="T77" s="7"/>
    </row>
    <row r="78" spans="1:20">
      <c r="A78" s="5">
        <v>34425</v>
      </c>
      <c r="B78">
        <v>21</v>
      </c>
      <c r="C78" s="6">
        <v>2.5000000000000001E-3</v>
      </c>
      <c r="D78" s="7">
        <v>5.4264E-2</v>
      </c>
      <c r="E78" s="7">
        <v>5.2808000000000001E-2</v>
      </c>
      <c r="F78" s="7">
        <v>-6.3660000000000001E-3</v>
      </c>
      <c r="G78" s="7">
        <v>-2.2794999999999999E-2</v>
      </c>
      <c r="H78" s="7">
        <v>-9.5556000000000002E-2</v>
      </c>
      <c r="I78" s="7">
        <v>2.7667000000000001E-2</v>
      </c>
      <c r="J78" s="7">
        <v>1.1553000000000001E-2</v>
      </c>
      <c r="K78" s="6">
        <v>2.5000000000000001E-3</v>
      </c>
      <c r="L78" s="7">
        <f t="shared" si="4"/>
        <v>5.1763999999999998E-2</v>
      </c>
      <c r="M78" s="7">
        <f t="shared" si="4"/>
        <v>5.0307999999999999E-2</v>
      </c>
      <c r="N78" s="7">
        <f t="shared" si="4"/>
        <v>-8.8660000000000006E-3</v>
      </c>
      <c r="O78" s="7">
        <f t="shared" si="4"/>
        <v>-2.5294999999999998E-2</v>
      </c>
      <c r="P78" s="7">
        <f t="shared" si="4"/>
        <v>-9.8056000000000004E-2</v>
      </c>
      <c r="Q78" s="7">
        <f t="shared" si="4"/>
        <v>2.5167000000000002E-2</v>
      </c>
      <c r="R78" s="7">
        <f t="shared" si="1"/>
        <v>-8.2966666666666725E-4</v>
      </c>
      <c r="S78" s="7">
        <f t="shared" si="2"/>
        <v>9.0530000000000003E-3</v>
      </c>
      <c r="T78" s="7"/>
    </row>
    <row r="79" spans="1:20">
      <c r="A79" s="5">
        <v>34455</v>
      </c>
      <c r="B79">
        <v>22</v>
      </c>
      <c r="C79" s="6">
        <v>2.9169999999999999E-3</v>
      </c>
      <c r="D79" s="7">
        <v>0.110294</v>
      </c>
      <c r="E79" s="7">
        <v>-5.9008999999999999E-2</v>
      </c>
      <c r="F79" s="7">
        <v>-1.0723999999999999E-2</v>
      </c>
      <c r="G79" s="7">
        <v>-2.1831E-2</v>
      </c>
      <c r="H79" s="7">
        <v>2.4590000000000001E-2</v>
      </c>
      <c r="I79" s="7">
        <v>-3.5928000000000002E-2</v>
      </c>
      <c r="J79" s="7">
        <v>1.2418999999999999E-2</v>
      </c>
      <c r="K79" s="6">
        <v>2.9169999999999999E-3</v>
      </c>
      <c r="L79" s="7">
        <f t="shared" si="4"/>
        <v>0.107377</v>
      </c>
      <c r="M79" s="7">
        <f t="shared" si="4"/>
        <v>-6.1926000000000002E-2</v>
      </c>
      <c r="N79" s="7">
        <f t="shared" si="4"/>
        <v>-1.3640999999999999E-2</v>
      </c>
      <c r="O79" s="7">
        <f t="shared" si="4"/>
        <v>-2.4747999999999999E-2</v>
      </c>
      <c r="P79" s="7">
        <f t="shared" si="4"/>
        <v>2.1673000000000001E-2</v>
      </c>
      <c r="Q79" s="7">
        <f t="shared" si="4"/>
        <v>-3.8845000000000005E-2</v>
      </c>
      <c r="R79" s="7">
        <f t="shared" si="1"/>
        <v>-1.6850000000000007E-3</v>
      </c>
      <c r="S79" s="7">
        <f t="shared" si="2"/>
        <v>9.502E-3</v>
      </c>
      <c r="T79" s="7"/>
    </row>
    <row r="80" spans="1:20">
      <c r="A80" s="5">
        <v>34486</v>
      </c>
      <c r="B80">
        <v>22</v>
      </c>
      <c r="C80" s="6">
        <v>2.9169999999999999E-3</v>
      </c>
      <c r="D80" s="7">
        <v>2.3310999999999998E-2</v>
      </c>
      <c r="E80" s="7">
        <v>-5.8797000000000002E-2</v>
      </c>
      <c r="F80" s="7">
        <v>2.9437000000000001E-2</v>
      </c>
      <c r="G80" s="7">
        <v>-4.1376000000000003E-2</v>
      </c>
      <c r="H80" s="7">
        <v>-6.4000000000000001E-2</v>
      </c>
      <c r="I80" s="7">
        <v>1.4211E-2</v>
      </c>
      <c r="J80" s="7">
        <v>-2.6811999999999999E-2</v>
      </c>
      <c r="K80" s="6">
        <v>2.9169999999999999E-3</v>
      </c>
      <c r="L80" s="7">
        <f t="shared" si="4"/>
        <v>2.0393999999999999E-2</v>
      </c>
      <c r="M80" s="7">
        <f t="shared" si="4"/>
        <v>-6.1714000000000005E-2</v>
      </c>
      <c r="N80" s="7">
        <f t="shared" si="4"/>
        <v>2.6520000000000002E-2</v>
      </c>
      <c r="O80" s="7">
        <f t="shared" si="4"/>
        <v>-4.4293000000000006E-2</v>
      </c>
      <c r="P80" s="7">
        <f t="shared" si="4"/>
        <v>-6.6917000000000004E-2</v>
      </c>
      <c r="Q80" s="7">
        <f t="shared" si="4"/>
        <v>1.1294E-2</v>
      </c>
      <c r="R80" s="7">
        <f t="shared" si="1"/>
        <v>-1.9119333333333335E-2</v>
      </c>
      <c r="S80" s="7">
        <f t="shared" si="2"/>
        <v>-2.9728999999999998E-2</v>
      </c>
      <c r="T80" s="7"/>
    </row>
    <row r="81" spans="1:20">
      <c r="A81" s="5">
        <v>34516</v>
      </c>
      <c r="B81">
        <v>21</v>
      </c>
      <c r="C81" s="6">
        <v>2.9169999999999999E-3</v>
      </c>
      <c r="D81" s="7">
        <v>-3.5948000000000001E-2</v>
      </c>
      <c r="E81" s="7">
        <v>0.08</v>
      </c>
      <c r="F81" s="7">
        <v>8.0507999999999996E-2</v>
      </c>
      <c r="G81" s="7">
        <v>3.1521E-2</v>
      </c>
      <c r="H81" s="7">
        <v>1.3846000000000001E-2</v>
      </c>
      <c r="I81" s="7">
        <v>9.2304999999999998E-2</v>
      </c>
      <c r="J81" s="7">
        <v>3.1489999999999997E-2</v>
      </c>
      <c r="K81" s="6">
        <v>2.9169999999999999E-3</v>
      </c>
      <c r="L81" s="7">
        <f t="shared" ref="L81:Q90" si="5">D81-$C81</f>
        <v>-3.8865000000000004E-2</v>
      </c>
      <c r="M81" s="7">
        <f t="shared" si="5"/>
        <v>7.7082999999999999E-2</v>
      </c>
      <c r="N81" s="7">
        <f t="shared" si="5"/>
        <v>7.7590999999999993E-2</v>
      </c>
      <c r="O81" s="7">
        <f t="shared" si="5"/>
        <v>2.8604000000000001E-2</v>
      </c>
      <c r="P81" s="7">
        <f t="shared" si="5"/>
        <v>1.0929000000000001E-2</v>
      </c>
      <c r="Q81" s="7">
        <f t="shared" si="5"/>
        <v>8.9387999999999995E-2</v>
      </c>
      <c r="R81" s="7">
        <f t="shared" si="1"/>
        <v>4.0788333333333329E-2</v>
      </c>
      <c r="S81" s="7">
        <f t="shared" si="2"/>
        <v>2.8572999999999998E-2</v>
      </c>
      <c r="T81" s="7"/>
    </row>
    <row r="82" spans="1:20">
      <c r="A82" s="5">
        <v>34547</v>
      </c>
      <c r="B82">
        <v>23</v>
      </c>
      <c r="C82" s="6">
        <v>3.333E-3</v>
      </c>
      <c r="D82" s="7">
        <v>2.3729E-2</v>
      </c>
      <c r="E82" s="7">
        <v>4.9369999999999997E-2</v>
      </c>
      <c r="F82" s="7">
        <v>-8.2352999999999996E-2</v>
      </c>
      <c r="G82" s="7">
        <v>0.15783800000000001</v>
      </c>
      <c r="H82" s="7">
        <v>0.109705</v>
      </c>
      <c r="I82" s="7">
        <v>3.6595999999999997E-2</v>
      </c>
      <c r="J82" s="7">
        <v>3.7621000000000002E-2</v>
      </c>
      <c r="K82" s="6">
        <v>3.333E-3</v>
      </c>
      <c r="L82" s="7">
        <f t="shared" si="5"/>
        <v>2.0396000000000001E-2</v>
      </c>
      <c r="M82" s="7">
        <f t="shared" si="5"/>
        <v>4.6036999999999995E-2</v>
      </c>
      <c r="N82" s="7">
        <f t="shared" si="5"/>
        <v>-8.5685999999999998E-2</v>
      </c>
      <c r="O82" s="7">
        <f t="shared" si="5"/>
        <v>0.154505</v>
      </c>
      <c r="P82" s="7">
        <f t="shared" si="5"/>
        <v>0.10637199999999999</v>
      </c>
      <c r="Q82" s="7">
        <f t="shared" si="5"/>
        <v>3.3262999999999994E-2</v>
      </c>
      <c r="R82" s="7">
        <f t="shared" si="1"/>
        <v>4.5814500000000001E-2</v>
      </c>
      <c r="S82" s="7">
        <f t="shared" si="2"/>
        <v>3.4287999999999999E-2</v>
      </c>
      <c r="T82" s="7"/>
    </row>
    <row r="83" spans="1:20">
      <c r="A83" s="5">
        <v>34578</v>
      </c>
      <c r="B83">
        <v>22</v>
      </c>
      <c r="C83" s="6">
        <v>3.333E-3</v>
      </c>
      <c r="D83" s="7">
        <v>-7.1125999999999995E-2</v>
      </c>
      <c r="E83" s="7">
        <v>2.4247000000000001E-2</v>
      </c>
      <c r="F83" s="7">
        <v>-4.3589999999999997E-2</v>
      </c>
      <c r="G83" s="7">
        <v>-2.7816E-2</v>
      </c>
      <c r="H83" s="7">
        <v>-6.4639000000000002E-2</v>
      </c>
      <c r="I83" s="7">
        <v>6.1348E-2</v>
      </c>
      <c r="J83" s="7">
        <v>-2.6897999999999998E-2</v>
      </c>
      <c r="K83" s="6">
        <v>3.333E-3</v>
      </c>
      <c r="L83" s="7">
        <f t="shared" si="5"/>
        <v>-7.4458999999999997E-2</v>
      </c>
      <c r="M83" s="7">
        <f t="shared" si="5"/>
        <v>2.0914000000000002E-2</v>
      </c>
      <c r="N83" s="7">
        <f t="shared" si="5"/>
        <v>-4.6922999999999999E-2</v>
      </c>
      <c r="O83" s="7">
        <f t="shared" si="5"/>
        <v>-3.1149E-2</v>
      </c>
      <c r="P83" s="7">
        <f t="shared" si="5"/>
        <v>-6.7972000000000005E-2</v>
      </c>
      <c r="Q83" s="7">
        <f t="shared" si="5"/>
        <v>5.8014999999999997E-2</v>
      </c>
      <c r="R83" s="7">
        <f t="shared" ref="R83:R110" si="6">SUM(L83:Q83)/6</f>
        <v>-2.3595666666666671E-2</v>
      </c>
      <c r="S83" s="7">
        <f t="shared" ref="S83:S110" si="7">J83-$C83</f>
        <v>-3.0230999999999997E-2</v>
      </c>
      <c r="T83" s="7"/>
    </row>
    <row r="84" spans="1:20">
      <c r="A84" s="5">
        <v>34608</v>
      </c>
      <c r="B84">
        <v>21</v>
      </c>
      <c r="C84" s="6">
        <v>3.333E-3</v>
      </c>
      <c r="D84" s="7">
        <v>3.9711000000000003E-2</v>
      </c>
      <c r="E84" s="7">
        <v>-4.3103000000000002E-2</v>
      </c>
      <c r="F84" s="7">
        <v>6.3062999999999994E-2</v>
      </c>
      <c r="G84" s="7">
        <v>0.12360400000000001</v>
      </c>
      <c r="H84" s="7">
        <v>1.0179000000000001E-2</v>
      </c>
      <c r="I84" s="7">
        <v>3.5989E-2</v>
      </c>
      <c r="J84" s="7">
        <v>2.0833999999999998E-2</v>
      </c>
      <c r="K84" s="6">
        <v>3.333E-3</v>
      </c>
      <c r="L84" s="7">
        <f t="shared" si="5"/>
        <v>3.6378000000000001E-2</v>
      </c>
      <c r="M84" s="7">
        <f t="shared" si="5"/>
        <v>-4.6436000000000005E-2</v>
      </c>
      <c r="N84" s="7">
        <f t="shared" si="5"/>
        <v>5.9729999999999991E-2</v>
      </c>
      <c r="O84" s="7">
        <f t="shared" si="5"/>
        <v>0.120271</v>
      </c>
      <c r="P84" s="7">
        <f t="shared" si="5"/>
        <v>6.8460000000000005E-3</v>
      </c>
      <c r="Q84" s="7">
        <f t="shared" si="5"/>
        <v>3.2655999999999998E-2</v>
      </c>
      <c r="R84" s="7">
        <f t="shared" si="6"/>
        <v>3.4907499999999994E-2</v>
      </c>
      <c r="S84" s="7">
        <f t="shared" si="7"/>
        <v>1.7500999999999999E-2</v>
      </c>
      <c r="T84" s="7"/>
    </row>
    <row r="85" spans="1:20">
      <c r="A85" s="5">
        <v>34639</v>
      </c>
      <c r="B85">
        <v>22</v>
      </c>
      <c r="C85" s="6">
        <v>3.9579999999999997E-3</v>
      </c>
      <c r="D85" s="7">
        <v>-1.0416999999999999E-2</v>
      </c>
      <c r="E85" s="7">
        <v>-9.0090000000000003E-2</v>
      </c>
      <c r="F85" s="7">
        <v>-8.0507999999999996E-2</v>
      </c>
      <c r="G85" s="7">
        <v>-1.2669999999999999E-3</v>
      </c>
      <c r="H85" s="7">
        <v>1.6095999999999999E-2</v>
      </c>
      <c r="I85" s="7">
        <v>1.4888E-2</v>
      </c>
      <c r="J85" s="7">
        <v>-3.9504999999999998E-2</v>
      </c>
      <c r="K85" s="6">
        <v>3.9579999999999997E-3</v>
      </c>
      <c r="L85" s="7">
        <f t="shared" si="5"/>
        <v>-1.4374999999999999E-2</v>
      </c>
      <c r="M85" s="7">
        <f t="shared" si="5"/>
        <v>-9.4048000000000007E-2</v>
      </c>
      <c r="N85" s="7">
        <f t="shared" si="5"/>
        <v>-8.4465999999999999E-2</v>
      </c>
      <c r="O85" s="7">
        <f t="shared" si="5"/>
        <v>-5.2249999999999996E-3</v>
      </c>
      <c r="P85" s="7">
        <f t="shared" si="5"/>
        <v>1.2137999999999999E-2</v>
      </c>
      <c r="Q85" s="7">
        <f t="shared" si="5"/>
        <v>1.093E-2</v>
      </c>
      <c r="R85" s="7">
        <f t="shared" si="6"/>
        <v>-2.9174333333333333E-2</v>
      </c>
      <c r="S85" s="7">
        <f t="shared" si="7"/>
        <v>-4.3463000000000002E-2</v>
      </c>
      <c r="T85" s="7"/>
    </row>
    <row r="86" spans="1:20">
      <c r="A86" s="5">
        <v>34669</v>
      </c>
      <c r="B86">
        <v>22</v>
      </c>
      <c r="C86" s="6">
        <v>3.9579999999999997E-3</v>
      </c>
      <c r="D86" s="7">
        <v>-3.5088000000000001E-2</v>
      </c>
      <c r="E86" s="7">
        <v>-3.6317000000000002E-2</v>
      </c>
      <c r="F86" s="7">
        <v>2.7650000000000001E-2</v>
      </c>
      <c r="G86" s="7">
        <v>2.1728000000000001E-2</v>
      </c>
      <c r="H86" s="7">
        <v>1.1880999999999999E-2</v>
      </c>
      <c r="I86" s="7">
        <v>7.3150000000000003E-3</v>
      </c>
      <c r="J86" s="7">
        <v>1.2298999999999999E-2</v>
      </c>
      <c r="K86" s="6">
        <v>3.9579999999999997E-3</v>
      </c>
      <c r="L86" s="7">
        <f t="shared" si="5"/>
        <v>-3.9045999999999997E-2</v>
      </c>
      <c r="M86" s="7">
        <f t="shared" si="5"/>
        <v>-4.0275000000000005E-2</v>
      </c>
      <c r="N86" s="7">
        <f t="shared" si="5"/>
        <v>2.3692000000000001E-2</v>
      </c>
      <c r="O86" s="7">
        <f t="shared" si="5"/>
        <v>1.7770000000000001E-2</v>
      </c>
      <c r="P86" s="7">
        <f t="shared" si="5"/>
        <v>7.9229999999999995E-3</v>
      </c>
      <c r="Q86" s="7">
        <f t="shared" si="5"/>
        <v>3.3570000000000006E-3</v>
      </c>
      <c r="R86" s="7">
        <f t="shared" si="6"/>
        <v>-4.4298333333333334E-3</v>
      </c>
      <c r="S86" s="7">
        <f t="shared" si="7"/>
        <v>8.3409999999999995E-3</v>
      </c>
      <c r="T86" s="7"/>
    </row>
    <row r="87" spans="1:20">
      <c r="A87" s="5">
        <v>34700</v>
      </c>
      <c r="B87">
        <v>22</v>
      </c>
      <c r="C87" s="6">
        <v>3.9579999999999997E-3</v>
      </c>
      <c r="D87" s="7">
        <v>-3.6364E-2</v>
      </c>
      <c r="E87" s="7">
        <v>0.100152</v>
      </c>
      <c r="F87" s="7">
        <v>-9.4170000000000004E-2</v>
      </c>
      <c r="G87" s="7">
        <v>9.2510000000000005E-3</v>
      </c>
      <c r="H87" s="7">
        <v>8.6104E-2</v>
      </c>
      <c r="I87" s="7">
        <v>1.9417E-2</v>
      </c>
      <c r="J87" s="7">
        <v>2.4278000000000001E-2</v>
      </c>
      <c r="K87" s="6">
        <v>3.9579999999999997E-3</v>
      </c>
      <c r="L87" s="7">
        <f t="shared" si="5"/>
        <v>-4.0321999999999997E-2</v>
      </c>
      <c r="M87" s="7">
        <f t="shared" si="5"/>
        <v>9.6194000000000002E-2</v>
      </c>
      <c r="N87" s="7">
        <f t="shared" si="5"/>
        <v>-9.8128000000000007E-2</v>
      </c>
      <c r="O87" s="7">
        <f t="shared" si="5"/>
        <v>5.2930000000000008E-3</v>
      </c>
      <c r="P87" s="7">
        <f t="shared" si="5"/>
        <v>8.2145999999999997E-2</v>
      </c>
      <c r="Q87" s="7">
        <f t="shared" si="5"/>
        <v>1.5459000000000001E-2</v>
      </c>
      <c r="R87" s="7">
        <f t="shared" si="6"/>
        <v>1.0107E-2</v>
      </c>
      <c r="S87" s="7">
        <f t="shared" si="7"/>
        <v>2.0320000000000001E-2</v>
      </c>
      <c r="T87" s="7"/>
    </row>
    <row r="88" spans="1:20">
      <c r="A88" s="5">
        <v>34731</v>
      </c>
      <c r="B88">
        <v>20</v>
      </c>
      <c r="C88" s="6">
        <v>4.3750000000000004E-3</v>
      </c>
      <c r="D88" s="7">
        <v>8.3018999999999996E-2</v>
      </c>
      <c r="E88" s="7">
        <v>3.4279999999999998E-2</v>
      </c>
      <c r="F88" s="7">
        <v>3.4653000000000003E-2</v>
      </c>
      <c r="G88" s="7">
        <v>0.14427899999999999</v>
      </c>
      <c r="H88" s="7">
        <v>0.149533</v>
      </c>
      <c r="I88" s="7">
        <v>4.7619000000000002E-2</v>
      </c>
      <c r="J88" s="7">
        <v>3.6074000000000002E-2</v>
      </c>
      <c r="K88" s="6">
        <v>4.3750000000000004E-3</v>
      </c>
      <c r="L88" s="7">
        <f t="shared" si="5"/>
        <v>7.8643999999999992E-2</v>
      </c>
      <c r="M88" s="7">
        <f t="shared" si="5"/>
        <v>2.9904999999999998E-2</v>
      </c>
      <c r="N88" s="7">
        <f t="shared" si="5"/>
        <v>3.0278000000000003E-2</v>
      </c>
      <c r="O88" s="7">
        <f t="shared" si="5"/>
        <v>0.139904</v>
      </c>
      <c r="P88" s="7">
        <f t="shared" si="5"/>
        <v>0.14515800000000001</v>
      </c>
      <c r="Q88" s="7">
        <f t="shared" si="5"/>
        <v>4.3244000000000005E-2</v>
      </c>
      <c r="R88" s="7">
        <f t="shared" si="6"/>
        <v>7.7855500000000008E-2</v>
      </c>
      <c r="S88" s="7">
        <f t="shared" si="7"/>
        <v>3.1699000000000005E-2</v>
      </c>
      <c r="T88" s="7"/>
    </row>
    <row r="89" spans="1:20">
      <c r="A89" s="5">
        <v>34759</v>
      </c>
      <c r="B89">
        <v>23</v>
      </c>
      <c r="C89" s="6">
        <v>4.3750000000000004E-3</v>
      </c>
      <c r="D89" s="7">
        <v>5.2960000000000004E-3</v>
      </c>
      <c r="E89" s="7">
        <v>3.9867E-2</v>
      </c>
      <c r="F89" s="7">
        <v>3.866E-2</v>
      </c>
      <c r="G89" s="7">
        <v>4.6747999999999998E-2</v>
      </c>
      <c r="H89" s="7">
        <v>6.4276E-2</v>
      </c>
      <c r="I89" s="7">
        <v>2.9017999999999999E-2</v>
      </c>
      <c r="J89" s="7">
        <v>2.7328999999999999E-2</v>
      </c>
      <c r="K89" s="6">
        <v>4.3750000000000004E-3</v>
      </c>
      <c r="L89" s="7">
        <f t="shared" si="5"/>
        <v>9.2099999999999994E-4</v>
      </c>
      <c r="M89" s="7">
        <f t="shared" si="5"/>
        <v>3.5491999999999996E-2</v>
      </c>
      <c r="N89" s="7">
        <f t="shared" si="5"/>
        <v>3.4284999999999996E-2</v>
      </c>
      <c r="O89" s="7">
        <f t="shared" si="5"/>
        <v>4.2372999999999994E-2</v>
      </c>
      <c r="P89" s="7">
        <f t="shared" si="5"/>
        <v>5.9900999999999996E-2</v>
      </c>
      <c r="Q89" s="7">
        <f t="shared" si="5"/>
        <v>2.4642999999999998E-2</v>
      </c>
      <c r="R89" s="7">
        <f t="shared" si="6"/>
        <v>3.2935833333333324E-2</v>
      </c>
      <c r="S89" s="7">
        <f t="shared" si="7"/>
        <v>2.2953999999999999E-2</v>
      </c>
      <c r="T89" s="7"/>
    </row>
    <row r="90" spans="1:20">
      <c r="A90" s="5">
        <v>34790</v>
      </c>
      <c r="B90">
        <v>20</v>
      </c>
      <c r="C90" s="6">
        <v>4.3750000000000004E-3</v>
      </c>
      <c r="D90" s="7">
        <v>0.22806999999999999</v>
      </c>
      <c r="E90" s="7">
        <v>-2.3199999999999998E-2</v>
      </c>
      <c r="F90" s="7">
        <v>9.3019999999999995E-3</v>
      </c>
      <c r="G90" s="7">
        <v>9.8657999999999996E-2</v>
      </c>
      <c r="H90" s="7">
        <v>0.20618300000000001</v>
      </c>
      <c r="I90" s="7">
        <v>3.1042E-2</v>
      </c>
      <c r="J90" s="7">
        <v>2.7959999999999999E-2</v>
      </c>
      <c r="K90" s="6">
        <v>4.3750000000000004E-3</v>
      </c>
      <c r="L90" s="7">
        <f t="shared" si="5"/>
        <v>0.223695</v>
      </c>
      <c r="M90" s="7">
        <f t="shared" si="5"/>
        <v>-2.7574999999999999E-2</v>
      </c>
      <c r="N90" s="7">
        <f t="shared" si="5"/>
        <v>4.9269999999999991E-3</v>
      </c>
      <c r="O90" s="7">
        <f t="shared" si="5"/>
        <v>9.4282999999999992E-2</v>
      </c>
      <c r="P90" s="7">
        <f t="shared" si="5"/>
        <v>0.20180800000000002</v>
      </c>
      <c r="Q90" s="7">
        <f t="shared" si="5"/>
        <v>2.6667E-2</v>
      </c>
      <c r="R90" s="7">
        <f t="shared" si="6"/>
        <v>8.7300833333333328E-2</v>
      </c>
      <c r="S90" s="7">
        <f t="shared" si="7"/>
        <v>2.3584999999999998E-2</v>
      </c>
      <c r="T90" s="7"/>
    </row>
    <row r="91" spans="1:20">
      <c r="A91" s="5">
        <v>34820</v>
      </c>
      <c r="B91">
        <v>23</v>
      </c>
      <c r="C91" s="6">
        <v>4.3750000000000004E-3</v>
      </c>
      <c r="D91" s="7">
        <v>5.7142999999999999E-2</v>
      </c>
      <c r="E91" s="7">
        <v>-2.9662000000000001E-2</v>
      </c>
      <c r="F91" s="7">
        <v>7.8340999999999994E-2</v>
      </c>
      <c r="G91" s="7">
        <v>-1.905E-3</v>
      </c>
      <c r="H91" s="7">
        <v>9.6448000000000006E-2</v>
      </c>
      <c r="I91" s="7">
        <v>6.0213999999999997E-2</v>
      </c>
      <c r="J91" s="7">
        <v>3.6311999999999997E-2</v>
      </c>
      <c r="K91" s="6">
        <v>4.3750000000000004E-3</v>
      </c>
      <c r="L91" s="7">
        <f t="shared" ref="L91:Q100" si="8">D91-$C91</f>
        <v>5.2767999999999995E-2</v>
      </c>
      <c r="M91" s="7">
        <f t="shared" si="8"/>
        <v>-3.4036999999999998E-2</v>
      </c>
      <c r="N91" s="7">
        <f t="shared" si="8"/>
        <v>7.396599999999999E-2</v>
      </c>
      <c r="O91" s="7">
        <f t="shared" si="8"/>
        <v>-6.2800000000000009E-3</v>
      </c>
      <c r="P91" s="7">
        <f t="shared" si="8"/>
        <v>9.2073000000000002E-2</v>
      </c>
      <c r="Q91" s="7">
        <f t="shared" si="8"/>
        <v>5.5839E-2</v>
      </c>
      <c r="R91" s="7">
        <f t="shared" si="6"/>
        <v>3.905483333333333E-2</v>
      </c>
      <c r="S91" s="7">
        <f t="shared" si="7"/>
        <v>3.1936999999999993E-2</v>
      </c>
      <c r="T91" s="7"/>
    </row>
    <row r="92" spans="1:20">
      <c r="A92" s="5">
        <v>34851</v>
      </c>
      <c r="B92">
        <v>22</v>
      </c>
      <c r="C92" s="6">
        <v>4.3750000000000004E-3</v>
      </c>
      <c r="D92" s="7">
        <v>2.5729999999999999E-2</v>
      </c>
      <c r="E92" s="7">
        <v>5.8826000000000003E-2</v>
      </c>
      <c r="F92" s="7">
        <v>2.7692000000000001E-2</v>
      </c>
      <c r="G92" s="7">
        <v>0.12878800000000001</v>
      </c>
      <c r="H92" s="7">
        <v>0.12807099999999999</v>
      </c>
      <c r="I92" s="7">
        <v>3.8036E-2</v>
      </c>
      <c r="J92" s="7">
        <v>2.1278999999999999E-2</v>
      </c>
      <c r="K92" s="6">
        <v>4.3750000000000004E-3</v>
      </c>
      <c r="L92" s="7">
        <f t="shared" si="8"/>
        <v>2.1354999999999999E-2</v>
      </c>
      <c r="M92" s="7">
        <f t="shared" si="8"/>
        <v>5.4450999999999999E-2</v>
      </c>
      <c r="N92" s="7">
        <f t="shared" si="8"/>
        <v>2.3317000000000001E-2</v>
      </c>
      <c r="O92" s="7">
        <f t="shared" si="8"/>
        <v>0.12441300000000001</v>
      </c>
      <c r="P92" s="7">
        <f t="shared" si="8"/>
        <v>0.12369599999999999</v>
      </c>
      <c r="Q92" s="7">
        <f t="shared" si="8"/>
        <v>3.3660999999999996E-2</v>
      </c>
      <c r="R92" s="7">
        <f t="shared" si="6"/>
        <v>6.3482166666666659E-2</v>
      </c>
      <c r="S92" s="7">
        <f t="shared" si="7"/>
        <v>1.6903999999999999E-2</v>
      </c>
      <c r="T92" s="7"/>
    </row>
    <row r="93" spans="1:20">
      <c r="A93" s="5">
        <v>34881</v>
      </c>
      <c r="B93">
        <v>21</v>
      </c>
      <c r="C93" s="6">
        <v>4.3750000000000004E-3</v>
      </c>
      <c r="D93" s="7">
        <v>0.140957</v>
      </c>
      <c r="E93" s="7">
        <v>0.13297300000000001</v>
      </c>
      <c r="F93" s="7">
        <v>-2.521E-2</v>
      </c>
      <c r="G93" s="7">
        <v>4.8000000000000001E-2</v>
      </c>
      <c r="H93" s="7">
        <v>2.6644999999999999E-2</v>
      </c>
      <c r="I93" s="7">
        <v>2.9426999999999998E-2</v>
      </c>
      <c r="J93" s="7">
        <v>3.1775999999999999E-2</v>
      </c>
      <c r="K93" s="6">
        <v>4.3750000000000004E-3</v>
      </c>
      <c r="L93" s="7">
        <f t="shared" si="8"/>
        <v>0.13658200000000001</v>
      </c>
      <c r="M93" s="7">
        <f t="shared" si="8"/>
        <v>0.12859800000000002</v>
      </c>
      <c r="N93" s="7">
        <f t="shared" si="8"/>
        <v>-2.9585E-2</v>
      </c>
      <c r="O93" s="7">
        <f t="shared" si="8"/>
        <v>4.3624999999999997E-2</v>
      </c>
      <c r="P93" s="7">
        <f t="shared" si="8"/>
        <v>2.2269999999999998E-2</v>
      </c>
      <c r="Q93" s="7">
        <f t="shared" si="8"/>
        <v>2.5051999999999998E-2</v>
      </c>
      <c r="R93" s="7">
        <f t="shared" si="6"/>
        <v>5.4423666666666676E-2</v>
      </c>
      <c r="S93" s="7">
        <f t="shared" si="7"/>
        <v>2.7400999999999998E-2</v>
      </c>
      <c r="T93" s="7"/>
    </row>
    <row r="94" spans="1:20">
      <c r="A94" s="5">
        <v>34912</v>
      </c>
      <c r="B94">
        <v>23</v>
      </c>
      <c r="C94" s="6">
        <v>4.3750000000000004E-3</v>
      </c>
      <c r="D94" s="7">
        <v>7.2261000000000006E-2</v>
      </c>
      <c r="E94" s="7">
        <v>-4.0835999999999997E-2</v>
      </c>
      <c r="F94" s="7">
        <v>6.0345000000000003E-2</v>
      </c>
      <c r="G94" s="7">
        <v>2.7274E-2</v>
      </c>
      <c r="H94" s="7">
        <v>-5.5768999999999999E-2</v>
      </c>
      <c r="I94" s="7">
        <v>-2.0967E-2</v>
      </c>
      <c r="J94" s="7">
        <v>-3.2000000000000003E-4</v>
      </c>
      <c r="K94" s="6">
        <v>4.3750000000000004E-3</v>
      </c>
      <c r="L94" s="7">
        <f t="shared" si="8"/>
        <v>6.7886000000000002E-2</v>
      </c>
      <c r="M94" s="7">
        <f t="shared" si="8"/>
        <v>-4.5211000000000001E-2</v>
      </c>
      <c r="N94" s="7">
        <f t="shared" si="8"/>
        <v>5.5970000000000006E-2</v>
      </c>
      <c r="O94" s="7">
        <f t="shared" si="8"/>
        <v>2.2898999999999999E-2</v>
      </c>
      <c r="P94" s="7">
        <f t="shared" si="8"/>
        <v>-6.0144000000000003E-2</v>
      </c>
      <c r="Q94" s="7">
        <f t="shared" si="8"/>
        <v>-2.5342E-2</v>
      </c>
      <c r="R94" s="7">
        <f t="shared" si="6"/>
        <v>2.6763333333333344E-3</v>
      </c>
      <c r="S94" s="7">
        <f t="shared" si="7"/>
        <v>-4.6950000000000004E-3</v>
      </c>
      <c r="T94" s="7"/>
    </row>
    <row r="95" spans="1:20">
      <c r="A95" s="5">
        <v>34943</v>
      </c>
      <c r="B95">
        <v>21</v>
      </c>
      <c r="C95" s="6">
        <v>4.3750000000000004E-3</v>
      </c>
      <c r="D95" s="7">
        <v>6.3043000000000002E-2</v>
      </c>
      <c r="E95" s="7">
        <v>3.4596000000000002E-2</v>
      </c>
      <c r="F95" s="7">
        <v>1.2194999999999999E-2</v>
      </c>
      <c r="G95" s="7">
        <v>4.2200000000000001E-2</v>
      </c>
      <c r="H95" s="7">
        <v>-2.0367E-2</v>
      </c>
      <c r="I95" s="7">
        <v>7.3929999999999996E-2</v>
      </c>
      <c r="J95" s="7">
        <v>4.0097000000000001E-2</v>
      </c>
      <c r="K95" s="6">
        <v>4.3750000000000004E-3</v>
      </c>
      <c r="L95" s="7">
        <f t="shared" si="8"/>
        <v>5.8667999999999998E-2</v>
      </c>
      <c r="M95" s="7">
        <f t="shared" si="8"/>
        <v>3.0221000000000001E-2</v>
      </c>
      <c r="N95" s="7">
        <f t="shared" si="8"/>
        <v>7.8199999999999988E-3</v>
      </c>
      <c r="O95" s="7">
        <f t="shared" si="8"/>
        <v>3.7824999999999998E-2</v>
      </c>
      <c r="P95" s="7">
        <f t="shared" si="8"/>
        <v>-2.4742E-2</v>
      </c>
      <c r="Q95" s="7">
        <f t="shared" si="8"/>
        <v>6.9554999999999992E-2</v>
      </c>
      <c r="R95" s="7">
        <f t="shared" si="6"/>
        <v>2.9891166666666663E-2</v>
      </c>
      <c r="S95" s="7">
        <f t="shared" si="7"/>
        <v>3.5722000000000004E-2</v>
      </c>
      <c r="T95" s="7"/>
    </row>
    <row r="96" spans="1:20">
      <c r="A96" s="5">
        <v>34973</v>
      </c>
      <c r="B96">
        <v>22</v>
      </c>
      <c r="C96" s="6">
        <v>4.3750000000000004E-3</v>
      </c>
      <c r="D96" s="7">
        <v>-6.7485000000000003E-2</v>
      </c>
      <c r="E96" s="7">
        <v>1.0272E-2</v>
      </c>
      <c r="F96" s="7">
        <v>-7.6304999999999998E-2</v>
      </c>
      <c r="G96" s="7">
        <v>0.113342</v>
      </c>
      <c r="H96" s="7">
        <v>0.162162</v>
      </c>
      <c r="I96" s="7">
        <v>4.1681000000000003E-2</v>
      </c>
      <c r="J96" s="7">
        <v>-4.9789999999999999E-3</v>
      </c>
      <c r="K96" s="6">
        <v>4.3750000000000004E-3</v>
      </c>
      <c r="L96" s="7">
        <f t="shared" si="8"/>
        <v>-7.1860000000000007E-2</v>
      </c>
      <c r="M96" s="7">
        <f t="shared" si="8"/>
        <v>5.8969999999999995E-3</v>
      </c>
      <c r="N96" s="7">
        <f t="shared" si="8"/>
        <v>-8.0680000000000002E-2</v>
      </c>
      <c r="O96" s="7">
        <f t="shared" si="8"/>
        <v>0.10896699999999999</v>
      </c>
      <c r="P96" s="7">
        <f t="shared" si="8"/>
        <v>0.15778700000000001</v>
      </c>
      <c r="Q96" s="7">
        <f t="shared" si="8"/>
        <v>3.7306000000000006E-2</v>
      </c>
      <c r="R96" s="7">
        <f t="shared" si="6"/>
        <v>2.6236166666666661E-2</v>
      </c>
      <c r="S96" s="7">
        <f t="shared" si="7"/>
        <v>-9.3540000000000012E-3</v>
      </c>
      <c r="T96" s="7"/>
    </row>
    <row r="97" spans="1:20">
      <c r="A97" s="5">
        <v>35004</v>
      </c>
      <c r="B97">
        <v>22</v>
      </c>
      <c r="C97" s="6">
        <v>4.3750000000000004E-3</v>
      </c>
      <c r="D97" s="7">
        <v>6.7982000000000001E-2</v>
      </c>
      <c r="E97" s="7">
        <v>5.0901000000000002E-2</v>
      </c>
      <c r="F97" s="7">
        <v>-1.7391E-2</v>
      </c>
      <c r="G97" s="7">
        <v>-0.103923</v>
      </c>
      <c r="H97" s="7">
        <v>-0.128801</v>
      </c>
      <c r="I97" s="7">
        <v>5.3898000000000001E-2</v>
      </c>
      <c r="J97" s="7">
        <v>4.1049000000000002E-2</v>
      </c>
      <c r="K97" s="6">
        <v>4.3750000000000004E-3</v>
      </c>
      <c r="L97" s="7">
        <f t="shared" si="8"/>
        <v>6.3606999999999997E-2</v>
      </c>
      <c r="M97" s="7">
        <f t="shared" si="8"/>
        <v>4.6525999999999998E-2</v>
      </c>
      <c r="N97" s="7">
        <f t="shared" si="8"/>
        <v>-2.1766000000000001E-2</v>
      </c>
      <c r="O97" s="7">
        <f t="shared" si="8"/>
        <v>-0.10829800000000001</v>
      </c>
      <c r="P97" s="7">
        <f t="shared" si="8"/>
        <v>-0.13317599999999999</v>
      </c>
      <c r="Q97" s="7">
        <f t="shared" si="8"/>
        <v>4.9522999999999998E-2</v>
      </c>
      <c r="R97" s="7">
        <f t="shared" si="6"/>
        <v>-1.7263999999999998E-2</v>
      </c>
      <c r="S97" s="7">
        <f t="shared" si="7"/>
        <v>3.6673999999999998E-2</v>
      </c>
      <c r="T97" s="7"/>
    </row>
    <row r="98" spans="1:20">
      <c r="A98" s="5">
        <v>35034</v>
      </c>
      <c r="B98">
        <v>21</v>
      </c>
      <c r="C98" s="6">
        <v>4.3750000000000004E-3</v>
      </c>
      <c r="D98" s="7">
        <v>-8.2140000000000008E-3</v>
      </c>
      <c r="E98" s="7">
        <v>-1.6968E-2</v>
      </c>
      <c r="F98" s="7">
        <v>2.2124000000000001E-2</v>
      </c>
      <c r="G98" s="7">
        <v>9.0360000000000006E-3</v>
      </c>
      <c r="H98" s="7">
        <v>-6.7762000000000003E-2</v>
      </c>
      <c r="I98" s="7">
        <v>-1.9802E-2</v>
      </c>
      <c r="J98" s="7">
        <v>1.7444000000000001E-2</v>
      </c>
      <c r="K98" s="6">
        <v>4.3750000000000004E-3</v>
      </c>
      <c r="L98" s="7">
        <f t="shared" si="8"/>
        <v>-1.2589000000000001E-2</v>
      </c>
      <c r="M98" s="7">
        <f t="shared" si="8"/>
        <v>-2.1343000000000001E-2</v>
      </c>
      <c r="N98" s="7">
        <f t="shared" si="8"/>
        <v>1.7749000000000001E-2</v>
      </c>
      <c r="O98" s="7">
        <f t="shared" si="8"/>
        <v>4.6610000000000002E-3</v>
      </c>
      <c r="P98" s="7">
        <f t="shared" si="8"/>
        <v>-7.2137000000000007E-2</v>
      </c>
      <c r="Q98" s="7">
        <f t="shared" si="8"/>
        <v>-2.4177000000000001E-2</v>
      </c>
      <c r="R98" s="7">
        <f t="shared" si="6"/>
        <v>-1.7972666666666668E-2</v>
      </c>
      <c r="S98" s="7">
        <f t="shared" si="7"/>
        <v>1.3069000000000001E-2</v>
      </c>
      <c r="T98" s="7"/>
    </row>
    <row r="99" spans="1:20">
      <c r="A99" s="5">
        <v>35065</v>
      </c>
      <c r="B99">
        <v>23</v>
      </c>
      <c r="C99" s="6">
        <v>4.3750000000000004E-3</v>
      </c>
      <c r="D99" s="7">
        <v>0.14285700000000001</v>
      </c>
      <c r="E99" s="7">
        <v>9.6651000000000001E-2</v>
      </c>
      <c r="F99" s="7">
        <v>2.1645000000000001E-2</v>
      </c>
      <c r="G99" s="7">
        <v>1.4328E-2</v>
      </c>
      <c r="H99" s="7">
        <v>-2.6714000000000002E-2</v>
      </c>
      <c r="I99" s="7">
        <v>1.5165E-2</v>
      </c>
      <c r="J99" s="7">
        <v>3.2617E-2</v>
      </c>
      <c r="K99" s="6">
        <v>4.3750000000000004E-3</v>
      </c>
      <c r="L99" s="7">
        <f t="shared" si="8"/>
        <v>0.13848200000000002</v>
      </c>
      <c r="M99" s="7">
        <f t="shared" si="8"/>
        <v>9.2275999999999997E-2</v>
      </c>
      <c r="N99" s="7">
        <f t="shared" si="8"/>
        <v>1.7270000000000001E-2</v>
      </c>
      <c r="O99" s="7">
        <f t="shared" si="8"/>
        <v>9.953E-3</v>
      </c>
      <c r="P99" s="7">
        <f t="shared" si="8"/>
        <v>-3.1089000000000002E-2</v>
      </c>
      <c r="Q99" s="7">
        <f t="shared" si="8"/>
        <v>1.0789999999999999E-2</v>
      </c>
      <c r="R99" s="7">
        <f t="shared" si="6"/>
        <v>3.9613666666666665E-2</v>
      </c>
      <c r="S99" s="7">
        <f t="shared" si="7"/>
        <v>2.8242E-2</v>
      </c>
      <c r="T99" s="7"/>
    </row>
    <row r="100" spans="1:20">
      <c r="A100" s="5">
        <v>35096</v>
      </c>
      <c r="B100">
        <v>21</v>
      </c>
      <c r="C100" s="6">
        <v>4.1669999999999997E-3</v>
      </c>
      <c r="D100" s="7">
        <v>7.9710000000000003E-2</v>
      </c>
      <c r="E100" s="7">
        <v>-1.5720999999999999E-2</v>
      </c>
      <c r="F100" s="7">
        <v>5.9322E-2</v>
      </c>
      <c r="G100" s="7">
        <v>0.18879099999999999</v>
      </c>
      <c r="H100" s="7">
        <v>6.4796999999999993E-2</v>
      </c>
      <c r="I100" s="7">
        <v>7.1295999999999998E-2</v>
      </c>
      <c r="J100" s="7">
        <v>6.9179999999999997E-3</v>
      </c>
      <c r="K100" s="6">
        <v>4.1669999999999997E-3</v>
      </c>
      <c r="L100" s="7">
        <f t="shared" si="8"/>
        <v>7.5542999999999999E-2</v>
      </c>
      <c r="M100" s="7">
        <f t="shared" si="8"/>
        <v>-1.9887999999999999E-2</v>
      </c>
      <c r="N100" s="7">
        <f t="shared" si="8"/>
        <v>5.5155000000000003E-2</v>
      </c>
      <c r="O100" s="7">
        <f t="shared" si="8"/>
        <v>0.18462399999999998</v>
      </c>
      <c r="P100" s="7">
        <f t="shared" si="8"/>
        <v>6.0629999999999996E-2</v>
      </c>
      <c r="Q100" s="7">
        <f t="shared" si="8"/>
        <v>6.7128999999999994E-2</v>
      </c>
      <c r="R100" s="7">
        <f t="shared" si="6"/>
        <v>7.053216666666666E-2</v>
      </c>
      <c r="S100" s="7">
        <f t="shared" si="7"/>
        <v>2.751E-3</v>
      </c>
      <c r="T100" s="7"/>
    </row>
    <row r="101" spans="1:20">
      <c r="A101" s="5">
        <v>35125</v>
      </c>
      <c r="B101">
        <v>21</v>
      </c>
      <c r="C101" s="6">
        <v>4.1669999999999997E-3</v>
      </c>
      <c r="D101" s="7">
        <v>-1.3422999999999999E-2</v>
      </c>
      <c r="E101" s="7">
        <v>5.4795000000000003E-2</v>
      </c>
      <c r="F101" s="7">
        <v>0.1</v>
      </c>
      <c r="G101" s="7">
        <v>-6.5747E-2</v>
      </c>
      <c r="H101" s="7">
        <v>-3.2952000000000002E-2</v>
      </c>
      <c r="I101" s="7">
        <v>2.4767999999999998E-2</v>
      </c>
      <c r="J101" s="7">
        <v>7.9319999999999998E-3</v>
      </c>
      <c r="K101" s="6">
        <v>4.1669999999999997E-3</v>
      </c>
      <c r="L101" s="7">
        <f t="shared" ref="L101:Q110" si="9">D101-$C101</f>
        <v>-1.7589999999999998E-2</v>
      </c>
      <c r="M101" s="7">
        <f t="shared" si="9"/>
        <v>5.0628000000000006E-2</v>
      </c>
      <c r="N101" s="7">
        <f t="shared" si="9"/>
        <v>9.5833000000000002E-2</v>
      </c>
      <c r="O101" s="7">
        <f t="shared" si="9"/>
        <v>-6.9914000000000004E-2</v>
      </c>
      <c r="P101" s="7">
        <f t="shared" si="9"/>
        <v>-3.7118999999999999E-2</v>
      </c>
      <c r="Q101" s="7">
        <f t="shared" si="9"/>
        <v>2.0600999999999998E-2</v>
      </c>
      <c r="R101" s="7">
        <f t="shared" si="6"/>
        <v>7.0731666666666677E-3</v>
      </c>
      <c r="S101" s="7">
        <f t="shared" si="7"/>
        <v>3.7650000000000001E-3</v>
      </c>
      <c r="T101" s="7"/>
    </row>
    <row r="102" spans="1:20">
      <c r="A102" s="5">
        <v>35156</v>
      </c>
      <c r="B102">
        <v>22</v>
      </c>
      <c r="C102" s="6">
        <v>4.1669999999999997E-3</v>
      </c>
      <c r="D102" s="7">
        <v>-6.1224000000000001E-2</v>
      </c>
      <c r="E102" s="7">
        <v>-8.0077999999999996E-2</v>
      </c>
      <c r="F102" s="7">
        <v>4.3636000000000001E-2</v>
      </c>
      <c r="G102" s="7">
        <v>0.12695699999999999</v>
      </c>
      <c r="H102" s="7">
        <v>0.19120899999999999</v>
      </c>
      <c r="I102" s="7">
        <v>-1.5106E-2</v>
      </c>
      <c r="J102" s="7">
        <v>1.3416000000000001E-2</v>
      </c>
      <c r="K102" s="6">
        <v>4.1669999999999997E-3</v>
      </c>
      <c r="L102" s="7">
        <f t="shared" si="9"/>
        <v>-6.5391000000000005E-2</v>
      </c>
      <c r="M102" s="7">
        <f t="shared" si="9"/>
        <v>-8.4245E-2</v>
      </c>
      <c r="N102" s="7">
        <f t="shared" si="9"/>
        <v>3.9469000000000004E-2</v>
      </c>
      <c r="O102" s="7">
        <f t="shared" si="9"/>
        <v>0.12278999999999998</v>
      </c>
      <c r="P102" s="7">
        <f t="shared" si="9"/>
        <v>0.18704199999999999</v>
      </c>
      <c r="Q102" s="7">
        <f t="shared" si="9"/>
        <v>-1.9272999999999998E-2</v>
      </c>
      <c r="R102" s="7">
        <f t="shared" si="6"/>
        <v>3.0065333333333333E-2</v>
      </c>
      <c r="S102" s="7">
        <f t="shared" si="7"/>
        <v>9.2490000000000003E-3</v>
      </c>
      <c r="T102" s="7"/>
    </row>
    <row r="103" spans="1:20">
      <c r="A103" s="5">
        <v>35186</v>
      </c>
      <c r="B103">
        <v>23</v>
      </c>
      <c r="C103" s="6">
        <v>4.1669999999999997E-3</v>
      </c>
      <c r="D103" s="7">
        <v>1.4493000000000001E-2</v>
      </c>
      <c r="E103" s="7">
        <v>1.4118E-2</v>
      </c>
      <c r="F103" s="7">
        <v>1.7422E-2</v>
      </c>
      <c r="G103" s="7">
        <v>5.8939999999999999E-3</v>
      </c>
      <c r="H103" s="7">
        <v>0.11439100000000001</v>
      </c>
      <c r="I103" s="7">
        <v>0.128834</v>
      </c>
      <c r="J103" s="7">
        <v>2.2869E-2</v>
      </c>
      <c r="K103" s="6">
        <v>4.1669999999999997E-3</v>
      </c>
      <c r="L103" s="7">
        <f t="shared" si="9"/>
        <v>1.0326000000000002E-2</v>
      </c>
      <c r="M103" s="7">
        <f t="shared" si="9"/>
        <v>9.9510000000000015E-3</v>
      </c>
      <c r="N103" s="7">
        <f t="shared" si="9"/>
        <v>1.3254999999999999E-2</v>
      </c>
      <c r="O103" s="7">
        <f t="shared" si="9"/>
        <v>1.7270000000000002E-3</v>
      </c>
      <c r="P103" s="7">
        <f t="shared" si="9"/>
        <v>0.110224</v>
      </c>
      <c r="Q103" s="7">
        <f t="shared" si="9"/>
        <v>0.124667</v>
      </c>
      <c r="R103" s="7">
        <f t="shared" si="6"/>
        <v>4.5025000000000003E-2</v>
      </c>
      <c r="S103" s="7">
        <f t="shared" si="7"/>
        <v>1.8702E-2</v>
      </c>
      <c r="T103" s="7"/>
    </row>
    <row r="104" spans="1:20">
      <c r="A104" s="5">
        <v>35217</v>
      </c>
      <c r="B104">
        <v>20</v>
      </c>
      <c r="C104" s="6">
        <v>4.1669999999999997E-3</v>
      </c>
      <c r="D104" s="7">
        <v>8.9289999999999994E-3</v>
      </c>
      <c r="E104" s="7">
        <v>-4.6499999999999996E-3</v>
      </c>
      <c r="F104" s="7">
        <v>-0.113014</v>
      </c>
      <c r="G104" s="7">
        <v>-6.4545000000000005E-2</v>
      </c>
      <c r="H104" s="7">
        <v>-2.7310999999999998E-2</v>
      </c>
      <c r="I104" s="7">
        <v>6.5216999999999997E-2</v>
      </c>
      <c r="J104" s="7">
        <v>2.2420000000000001E-3</v>
      </c>
      <c r="K104" s="6">
        <v>4.1669999999999997E-3</v>
      </c>
      <c r="L104" s="7">
        <f t="shared" si="9"/>
        <v>4.7619999999999997E-3</v>
      </c>
      <c r="M104" s="7">
        <f t="shared" si="9"/>
        <v>-8.8169999999999984E-3</v>
      </c>
      <c r="N104" s="7">
        <f t="shared" si="9"/>
        <v>-0.11718100000000001</v>
      </c>
      <c r="O104" s="7">
        <f t="shared" si="9"/>
        <v>-6.8712000000000009E-2</v>
      </c>
      <c r="P104" s="7">
        <f t="shared" si="9"/>
        <v>-3.1477999999999999E-2</v>
      </c>
      <c r="Q104" s="7">
        <f t="shared" si="9"/>
        <v>6.105E-2</v>
      </c>
      <c r="R104" s="7">
        <f t="shared" si="6"/>
        <v>-2.6729333333333338E-2</v>
      </c>
      <c r="S104" s="7">
        <f t="shared" si="7"/>
        <v>-1.9249999999999996E-3</v>
      </c>
      <c r="T104" s="7"/>
    </row>
    <row r="105" spans="1:20">
      <c r="A105" s="5">
        <v>35247</v>
      </c>
      <c r="B105">
        <v>23</v>
      </c>
      <c r="C105" s="6">
        <v>4.1669999999999997E-3</v>
      </c>
      <c r="D105" s="7">
        <v>-1.5928999999999999E-2</v>
      </c>
      <c r="E105" s="7">
        <v>-4.428E-2</v>
      </c>
      <c r="F105" s="7">
        <v>0</v>
      </c>
      <c r="G105" s="7">
        <v>-0.11187800000000001</v>
      </c>
      <c r="H105" s="7">
        <v>2.2971999999999999E-2</v>
      </c>
      <c r="I105" s="7">
        <v>-4.3367000000000003E-2</v>
      </c>
      <c r="J105" s="7">
        <v>-4.5748999999999998E-2</v>
      </c>
      <c r="K105" s="6">
        <v>4.1669999999999997E-3</v>
      </c>
      <c r="L105" s="7">
        <f t="shared" si="9"/>
        <v>-2.0095999999999999E-2</v>
      </c>
      <c r="M105" s="7">
        <f t="shared" si="9"/>
        <v>-4.8446999999999997E-2</v>
      </c>
      <c r="N105" s="7">
        <f t="shared" si="9"/>
        <v>-4.1669999999999997E-3</v>
      </c>
      <c r="O105" s="7">
        <f t="shared" si="9"/>
        <v>-0.11604500000000001</v>
      </c>
      <c r="P105" s="7">
        <f t="shared" si="9"/>
        <v>1.8804999999999999E-2</v>
      </c>
      <c r="Q105" s="7">
        <f t="shared" si="9"/>
        <v>-4.7534E-2</v>
      </c>
      <c r="R105" s="7">
        <f t="shared" si="6"/>
        <v>-3.6247333333333333E-2</v>
      </c>
      <c r="S105" s="7">
        <f t="shared" si="7"/>
        <v>-4.9915999999999995E-2</v>
      </c>
      <c r="T105" s="7"/>
    </row>
    <row r="106" spans="1:20">
      <c r="A106" s="5">
        <v>35278</v>
      </c>
      <c r="B106">
        <v>22</v>
      </c>
      <c r="C106" s="6">
        <v>4.1669999999999997E-3</v>
      </c>
      <c r="D106" s="7">
        <v>7.0143999999999998E-2</v>
      </c>
      <c r="E106" s="7">
        <v>9.9979999999999999E-2</v>
      </c>
      <c r="F106" s="7">
        <v>3.4749000000000002E-2</v>
      </c>
      <c r="G106" s="7">
        <v>-5.6820000000000004E-3</v>
      </c>
      <c r="H106" s="7">
        <v>6.2403E-2</v>
      </c>
      <c r="I106" s="7">
        <v>6.6667000000000004E-2</v>
      </c>
      <c r="J106" s="7">
        <v>1.8814000000000001E-2</v>
      </c>
      <c r="K106" s="6">
        <v>4.1669999999999997E-3</v>
      </c>
      <c r="L106" s="7">
        <f t="shared" si="9"/>
        <v>6.5976999999999994E-2</v>
      </c>
      <c r="M106" s="7">
        <f t="shared" si="9"/>
        <v>9.5812999999999995E-2</v>
      </c>
      <c r="N106" s="7">
        <f t="shared" si="9"/>
        <v>3.0582000000000002E-2</v>
      </c>
      <c r="O106" s="7">
        <f t="shared" si="9"/>
        <v>-9.8490000000000001E-3</v>
      </c>
      <c r="P106" s="7">
        <f t="shared" si="9"/>
        <v>5.8236000000000003E-2</v>
      </c>
      <c r="Q106" s="7">
        <f t="shared" si="9"/>
        <v>6.25E-2</v>
      </c>
      <c r="R106" s="7">
        <f t="shared" si="6"/>
        <v>5.0543166666666667E-2</v>
      </c>
      <c r="S106" s="7">
        <f t="shared" si="7"/>
        <v>1.4647E-2</v>
      </c>
      <c r="T106" s="7"/>
    </row>
    <row r="107" spans="1:20">
      <c r="A107" s="5">
        <v>35309</v>
      </c>
      <c r="B107">
        <v>21</v>
      </c>
      <c r="C107" s="6">
        <v>4.1669999999999997E-3</v>
      </c>
      <c r="D107" s="7">
        <v>8.4839999999999999E-2</v>
      </c>
      <c r="E107" s="7">
        <v>9.4190000000000003E-3</v>
      </c>
      <c r="F107" s="7">
        <v>-5.5671999999999999E-2</v>
      </c>
      <c r="G107" s="7">
        <v>0.114286</v>
      </c>
      <c r="H107" s="7">
        <v>0.19639699999999999</v>
      </c>
      <c r="I107" s="7">
        <v>0.02</v>
      </c>
      <c r="J107" s="7">
        <v>5.4204000000000002E-2</v>
      </c>
      <c r="K107" s="6">
        <v>4.1669999999999997E-3</v>
      </c>
      <c r="L107" s="7">
        <f t="shared" si="9"/>
        <v>8.0672999999999995E-2</v>
      </c>
      <c r="M107" s="7">
        <f t="shared" si="9"/>
        <v>5.2520000000000006E-3</v>
      </c>
      <c r="N107" s="7">
        <f t="shared" si="9"/>
        <v>-5.9838999999999996E-2</v>
      </c>
      <c r="O107" s="7">
        <f t="shared" si="9"/>
        <v>0.11011899999999999</v>
      </c>
      <c r="P107" s="7">
        <f t="shared" si="9"/>
        <v>0.19222999999999998</v>
      </c>
      <c r="Q107" s="7">
        <f t="shared" si="9"/>
        <v>1.5833E-2</v>
      </c>
      <c r="R107" s="7">
        <f t="shared" si="6"/>
        <v>5.7377999999999992E-2</v>
      </c>
      <c r="S107" s="7">
        <f t="shared" si="7"/>
        <v>5.0037000000000005E-2</v>
      </c>
      <c r="T107" s="7"/>
    </row>
    <row r="108" spans="1:20">
      <c r="A108" s="5">
        <v>35339</v>
      </c>
      <c r="B108">
        <v>23</v>
      </c>
      <c r="C108" s="6">
        <v>4.1669999999999997E-3</v>
      </c>
      <c r="D108" s="7">
        <v>7.0203000000000002E-2</v>
      </c>
      <c r="E108" s="7">
        <v>-6.0448000000000002E-2</v>
      </c>
      <c r="F108" s="7">
        <v>0</v>
      </c>
      <c r="G108" s="7">
        <v>-9.4871999999999998E-2</v>
      </c>
      <c r="H108" s="7">
        <v>0.15127099999999999</v>
      </c>
      <c r="I108" s="7">
        <v>-7.3709999999999999E-3</v>
      </c>
      <c r="J108" s="7">
        <v>2.6116E-2</v>
      </c>
      <c r="K108" s="6">
        <v>4.1669999999999997E-3</v>
      </c>
      <c r="L108" s="7">
        <f t="shared" si="9"/>
        <v>6.6035999999999997E-2</v>
      </c>
      <c r="M108" s="7">
        <f t="shared" si="9"/>
        <v>-6.4615000000000006E-2</v>
      </c>
      <c r="N108" s="7">
        <f t="shared" si="9"/>
        <v>-4.1669999999999997E-3</v>
      </c>
      <c r="O108" s="7">
        <f t="shared" si="9"/>
        <v>-9.9039000000000002E-2</v>
      </c>
      <c r="P108" s="7">
        <f t="shared" si="9"/>
        <v>0.14710399999999998</v>
      </c>
      <c r="Q108" s="7">
        <f t="shared" si="9"/>
        <v>-1.1538E-2</v>
      </c>
      <c r="R108" s="7">
        <f t="shared" si="6"/>
        <v>5.6301666666666618E-3</v>
      </c>
      <c r="S108" s="7">
        <f t="shared" si="7"/>
        <v>2.1949E-2</v>
      </c>
      <c r="T108" s="7"/>
    </row>
    <row r="109" spans="1:20">
      <c r="A109" s="5">
        <v>35370</v>
      </c>
      <c r="B109">
        <v>20</v>
      </c>
      <c r="C109" s="6">
        <v>4.1669999999999997E-3</v>
      </c>
      <c r="D109" s="7">
        <v>0.10204100000000001</v>
      </c>
      <c r="E109" s="7">
        <v>0.122807</v>
      </c>
      <c r="F109" s="7">
        <v>4.8000000000000001E-2</v>
      </c>
      <c r="G109" s="7">
        <v>0.22096299999999999</v>
      </c>
      <c r="H109" s="7">
        <v>0.154721</v>
      </c>
      <c r="I109" s="7">
        <v>1.2376E-2</v>
      </c>
      <c r="J109" s="7">
        <v>7.3375999999999997E-2</v>
      </c>
      <c r="K109" s="6">
        <v>4.1669999999999997E-3</v>
      </c>
      <c r="L109" s="7">
        <f t="shared" si="9"/>
        <v>9.7874000000000003E-2</v>
      </c>
      <c r="M109" s="7">
        <f t="shared" si="9"/>
        <v>0.11864</v>
      </c>
      <c r="N109" s="7">
        <f t="shared" si="9"/>
        <v>4.3833000000000004E-2</v>
      </c>
      <c r="O109" s="7">
        <f t="shared" si="9"/>
        <v>0.21679599999999999</v>
      </c>
      <c r="P109" s="7">
        <f t="shared" si="9"/>
        <v>0.15055399999999999</v>
      </c>
      <c r="Q109" s="7">
        <f t="shared" si="9"/>
        <v>8.209000000000001E-3</v>
      </c>
      <c r="R109" s="7">
        <f t="shared" si="6"/>
        <v>0.10598433333333333</v>
      </c>
      <c r="S109" s="7">
        <f t="shared" si="7"/>
        <v>6.9208999999999993E-2</v>
      </c>
      <c r="T109" s="7"/>
    </row>
    <row r="110" spans="1:20">
      <c r="A110" s="5">
        <v>35400</v>
      </c>
      <c r="B110">
        <v>21</v>
      </c>
      <c r="C110" s="6">
        <v>4.1669999999999997E-3</v>
      </c>
      <c r="D110" s="7">
        <v>-5.4233000000000003E-2</v>
      </c>
      <c r="E110" s="7">
        <v>1.8749999999999999E-2</v>
      </c>
      <c r="F110" s="7">
        <v>-1.5266999999999999E-2</v>
      </c>
      <c r="G110" s="7">
        <v>-6.7284999999999998E-2</v>
      </c>
      <c r="H110" s="7">
        <v>3.2511999999999999E-2</v>
      </c>
      <c r="I110" s="7">
        <v>2.9340000000000001E-2</v>
      </c>
      <c r="J110" s="7">
        <v>-2.1505E-2</v>
      </c>
      <c r="K110" s="6">
        <v>4.1669999999999997E-3</v>
      </c>
      <c r="L110" s="7">
        <f t="shared" si="9"/>
        <v>-5.8400000000000001E-2</v>
      </c>
      <c r="M110" s="7">
        <f t="shared" si="9"/>
        <v>1.4582999999999999E-2</v>
      </c>
      <c r="N110" s="7">
        <f t="shared" si="9"/>
        <v>-1.9434E-2</v>
      </c>
      <c r="O110" s="7">
        <f t="shared" si="9"/>
        <v>-7.1452000000000002E-2</v>
      </c>
      <c r="P110" s="7">
        <f t="shared" si="9"/>
        <v>2.8344999999999999E-2</v>
      </c>
      <c r="Q110" s="7">
        <f t="shared" si="9"/>
        <v>2.5173000000000001E-2</v>
      </c>
      <c r="R110" s="7">
        <f t="shared" si="6"/>
        <v>-1.3530833333333337E-2</v>
      </c>
      <c r="S110" s="7">
        <f t="shared" si="7"/>
        <v>-2.5672E-2</v>
      </c>
      <c r="T110" s="7"/>
    </row>
    <row r="111" spans="1:20">
      <c r="A111" s="5">
        <v>35431</v>
      </c>
      <c r="B111">
        <v>23</v>
      </c>
      <c r="C111" s="6">
        <v>4.1669999999999997E-3</v>
      </c>
      <c r="D111" s="7">
        <v>3.4965000000000003E-2</v>
      </c>
      <c r="E111" s="7">
        <v>-3.0675000000000001E-2</v>
      </c>
      <c r="F111" s="7">
        <v>-3.8760000000000001E-3</v>
      </c>
      <c r="G111" s="7">
        <v>4.7264E-2</v>
      </c>
      <c r="H111" s="7">
        <v>0.23855000000000001</v>
      </c>
      <c r="I111" s="7">
        <v>9.9762000000000003E-2</v>
      </c>
      <c r="J111" s="7">
        <v>6.1289999999999997E-2</v>
      </c>
      <c r="K111" s="6">
        <v>4.1669999999999997E-3</v>
      </c>
      <c r="L111" s="7"/>
      <c r="M111" s="7"/>
      <c r="N111" s="7"/>
      <c r="O111" s="7"/>
      <c r="P111" s="7"/>
      <c r="Q111" s="7"/>
    </row>
    <row r="112" spans="1:20">
      <c r="A112" s="5"/>
      <c r="C112" s="6"/>
      <c r="D112" s="7"/>
      <c r="E112" s="7"/>
      <c r="F112" s="7"/>
      <c r="G112" s="7"/>
      <c r="H112" s="7"/>
      <c r="I112" s="7"/>
      <c r="J112" s="7"/>
      <c r="K112" s="6"/>
      <c r="L112" s="7"/>
      <c r="M112" s="7"/>
      <c r="N112" s="7"/>
      <c r="O112" s="7"/>
      <c r="P112" s="7"/>
      <c r="Q112" s="7"/>
    </row>
    <row r="113" spans="1:19">
      <c r="A113" s="8" t="s">
        <v>21</v>
      </c>
      <c r="B113" s="3" t="s">
        <v>4</v>
      </c>
      <c r="C113" s="3" t="s">
        <v>5</v>
      </c>
      <c r="D113" s="3" t="s">
        <v>6</v>
      </c>
      <c r="E113" s="3" t="s">
        <v>7</v>
      </c>
      <c r="F113" s="3" t="s">
        <v>8</v>
      </c>
      <c r="G113" s="3" t="s">
        <v>9</v>
      </c>
      <c r="H113" s="3" t="s">
        <v>10</v>
      </c>
      <c r="I113" s="3" t="s">
        <v>11</v>
      </c>
      <c r="J113" s="3" t="s">
        <v>12</v>
      </c>
      <c r="K113" s="3" t="s">
        <v>5</v>
      </c>
      <c r="L113" s="4" t="s">
        <v>13</v>
      </c>
      <c r="M113" s="4" t="s">
        <v>14</v>
      </c>
      <c r="N113" s="4" t="s">
        <v>15</v>
      </c>
      <c r="O113" s="4" t="s">
        <v>16</v>
      </c>
      <c r="P113" s="4" t="s">
        <v>17</v>
      </c>
      <c r="Q113" s="4" t="s">
        <v>18</v>
      </c>
      <c r="R113" s="4" t="s">
        <v>19</v>
      </c>
      <c r="S113" s="4" t="s">
        <v>20</v>
      </c>
    </row>
    <row r="114" spans="1:19">
      <c r="A114" s="8" t="s">
        <v>22</v>
      </c>
      <c r="C114" s="7"/>
      <c r="K114" s="7">
        <f t="shared" ref="K114:S114" si="10">AVERAGE(K$51:K$110)</f>
        <v>3.3577166666666674E-3</v>
      </c>
      <c r="L114" s="7">
        <f t="shared" si="10"/>
        <v>2.9676149999999991E-2</v>
      </c>
      <c r="M114" s="7">
        <f t="shared" si="10"/>
        <v>2.2054633333333341E-2</v>
      </c>
      <c r="N114" s="7">
        <f t="shared" si="10"/>
        <v>1.4833983333333328E-2</v>
      </c>
      <c r="O114" s="7">
        <f t="shared" si="10"/>
        <v>2.2219849999999999E-2</v>
      </c>
      <c r="P114" s="7">
        <f t="shared" si="10"/>
        <v>4.169556666666667E-2</v>
      </c>
      <c r="Q114" s="7">
        <f t="shared" si="10"/>
        <v>1.4631366666666664E-2</v>
      </c>
      <c r="R114" s="7">
        <f t="shared" si="10"/>
        <v>2.4185258333333331E-2</v>
      </c>
      <c r="S114" s="7">
        <f t="shared" si="10"/>
        <v>6.5672833333333324E-3</v>
      </c>
    </row>
    <row r="115" spans="1:19">
      <c r="A115" s="8" t="s">
        <v>23</v>
      </c>
      <c r="C115" s="7"/>
      <c r="K115" s="7">
        <f t="shared" ref="K115:S115" si="11">STDEV(K$51:K$110)</f>
        <v>8.0925333008884028E-4</v>
      </c>
      <c r="L115" s="7">
        <f t="shared" si="11"/>
        <v>7.4807768020649826E-2</v>
      </c>
      <c r="M115" s="7">
        <f t="shared" si="11"/>
        <v>9.0085725212431494E-2</v>
      </c>
      <c r="N115" s="7">
        <f t="shared" si="11"/>
        <v>6.7991419320654042E-2</v>
      </c>
      <c r="O115" s="7">
        <f t="shared" si="11"/>
        <v>8.8397431252812769E-2</v>
      </c>
      <c r="P115" s="7">
        <f t="shared" si="11"/>
        <v>9.8988719325695099E-2</v>
      </c>
      <c r="Q115" s="7">
        <f t="shared" si="11"/>
        <v>4.246628981888953E-2</v>
      </c>
      <c r="R115" s="7">
        <f t="shared" si="11"/>
        <v>4.3630425778146159E-2</v>
      </c>
      <c r="S115" s="7">
        <f t="shared" si="11"/>
        <v>2.4802137934154027E-2</v>
      </c>
    </row>
    <row r="116" spans="1:19">
      <c r="A116" s="8"/>
    </row>
    <row r="117" spans="1:19">
      <c r="A117" s="8" t="s">
        <v>24</v>
      </c>
      <c r="L117" s="9">
        <f t="shared" ref="L117:S117" si="12">INTERCEPT(L$51:L$110,$S$51:$S$110)</f>
        <v>2.2187354936915642E-2</v>
      </c>
      <c r="M117" s="9">
        <f t="shared" si="12"/>
        <v>1.7211084513393902E-2</v>
      </c>
      <c r="N117" s="9">
        <f t="shared" si="12"/>
        <v>1.1372343383805224E-2</v>
      </c>
      <c r="O117" s="9">
        <f t="shared" si="12"/>
        <v>1.0845176895691795E-2</v>
      </c>
      <c r="P117" s="9">
        <f t="shared" si="12"/>
        <v>3.38136849385096E-2</v>
      </c>
      <c r="Q117" s="9">
        <f t="shared" si="12"/>
        <v>1.1245317307293938E-2</v>
      </c>
      <c r="R117" s="9">
        <f t="shared" si="12"/>
        <v>1.7779160329268351E-2</v>
      </c>
      <c r="S117" s="9">
        <f t="shared" si="12"/>
        <v>0</v>
      </c>
    </row>
    <row r="118" spans="1:19">
      <c r="A118" s="8" t="s">
        <v>25</v>
      </c>
      <c r="L118" s="9">
        <f t="shared" ref="L118:S118" si="13">SLOPE(L$51:L$110,$S$51:$S$110)</f>
        <v>1.1403185583715769</v>
      </c>
      <c r="M118" s="9">
        <f t="shared" si="13"/>
        <v>0.73752700684546479</v>
      </c>
      <c r="N118" s="9">
        <f t="shared" si="13"/>
        <v>0.5271037922116103</v>
      </c>
      <c r="O118" s="9">
        <f t="shared" si="13"/>
        <v>1.7320210697434311</v>
      </c>
      <c r="P118" s="9">
        <f t="shared" si="13"/>
        <v>1.2001738509059408</v>
      </c>
      <c r="Q118" s="9">
        <f t="shared" si="13"/>
        <v>0.51559361573244034</v>
      </c>
      <c r="R118" s="9">
        <f t="shared" si="13"/>
        <v>0.97545631563507718</v>
      </c>
      <c r="S118" s="9">
        <f t="shared" si="13"/>
        <v>1</v>
      </c>
    </row>
    <row r="119" spans="1:19" ht="15">
      <c r="A119" s="10" t="s">
        <v>26</v>
      </c>
      <c r="L119" s="9">
        <f t="shared" ref="L119:S119" si="14">RSQ(L$51:L$110,$S$51:$S$110)</f>
        <v>0.142934552797672</v>
      </c>
      <c r="M119" s="9">
        <f t="shared" si="14"/>
        <v>4.1230835433324314E-2</v>
      </c>
      <c r="N119" s="9">
        <f t="shared" si="14"/>
        <v>3.6971094186000149E-2</v>
      </c>
      <c r="O119" s="9">
        <f t="shared" si="14"/>
        <v>0.23615942816878013</v>
      </c>
      <c r="P119" s="9">
        <f t="shared" si="14"/>
        <v>9.0426380197682107E-2</v>
      </c>
      <c r="Q119" s="9">
        <f t="shared" si="14"/>
        <v>9.0678569530847325E-2</v>
      </c>
      <c r="R119" s="9">
        <f t="shared" si="14"/>
        <v>0.30747866330598245</v>
      </c>
      <c r="S119" s="9">
        <f t="shared" si="14"/>
        <v>1</v>
      </c>
    </row>
    <row r="120" spans="1:19">
      <c r="A120" s="11" t="s">
        <v>27</v>
      </c>
      <c r="L120" s="9">
        <f t="shared" ref="L120:S120" si="15">PEARSON(L$51:L$110,$S$51:$S$110)</f>
        <v>0.37806686286644059</v>
      </c>
      <c r="M120" s="9">
        <f t="shared" si="15"/>
        <v>0.20305377473301084</v>
      </c>
      <c r="N120" s="9">
        <f t="shared" si="15"/>
        <v>0.19227868885032515</v>
      </c>
      <c r="O120" s="9">
        <f t="shared" si="15"/>
        <v>0.48596237320267927</v>
      </c>
      <c r="P120" s="9">
        <f t="shared" si="15"/>
        <v>0.30070979398363817</v>
      </c>
      <c r="Q120" s="9">
        <f t="shared" si="15"/>
        <v>0.30112882547316411</v>
      </c>
      <c r="R120" s="9">
        <f t="shared" si="15"/>
        <v>0.55450758633762842</v>
      </c>
      <c r="S120" s="9">
        <f t="shared" si="15"/>
        <v>1</v>
      </c>
    </row>
    <row r="121" spans="1:19">
      <c r="A121" s="11"/>
      <c r="L121" s="9"/>
      <c r="M121" s="9"/>
      <c r="N121" s="9"/>
      <c r="O121" s="9"/>
      <c r="P121" s="9"/>
      <c r="Q121" s="9"/>
      <c r="R121" s="9"/>
      <c r="S121" s="9"/>
    </row>
    <row r="122" spans="1:19">
      <c r="A122" s="11" t="s">
        <v>28</v>
      </c>
      <c r="K122" s="8" t="s">
        <v>29</v>
      </c>
    </row>
    <row r="123" spans="1:19">
      <c r="C123" s="18"/>
      <c r="D123" s="19" t="s">
        <v>6</v>
      </c>
      <c r="E123" s="19" t="s">
        <v>7</v>
      </c>
      <c r="F123" s="19" t="s">
        <v>8</v>
      </c>
      <c r="G123" s="19" t="s">
        <v>9</v>
      </c>
      <c r="H123" s="19" t="s">
        <v>10</v>
      </c>
      <c r="I123" s="19" t="s">
        <v>11</v>
      </c>
      <c r="K123" s="11" t="s">
        <v>30</v>
      </c>
      <c r="L123" s="3" t="s">
        <v>31</v>
      </c>
      <c r="M123" s="4" t="s">
        <v>32</v>
      </c>
      <c r="N123" s="3" t="s">
        <v>22</v>
      </c>
      <c r="O123" s="11" t="s">
        <v>30</v>
      </c>
      <c r="P123" s="3" t="s">
        <v>25</v>
      </c>
      <c r="Q123" s="3" t="s">
        <v>33</v>
      </c>
      <c r="R123" s="3" t="s">
        <v>22</v>
      </c>
    </row>
    <row r="124" spans="1:19">
      <c r="A124" s="23" t="s">
        <v>6</v>
      </c>
      <c r="D124" s="20">
        <f>VAR('Data &amp; RP'!$D$51:$D$110)</f>
        <v>5.6102002923209019E-3</v>
      </c>
      <c r="E124" s="20"/>
      <c r="F124" s="20"/>
      <c r="G124" s="20"/>
      <c r="H124" s="20"/>
      <c r="I124" s="20"/>
      <c r="K124" s="12" t="s">
        <v>34</v>
      </c>
      <c r="L124">
        <v>0</v>
      </c>
      <c r="M124" s="7">
        <f>[1]!CMLRet($K$114,$S$114,$S$115,L124)</f>
        <v>3.3577166666666674E-3</v>
      </c>
      <c r="O124" t="s">
        <v>34</v>
      </c>
      <c r="P124" s="9">
        <v>0</v>
      </c>
      <c r="Q124" s="7">
        <f>[1]!SMLRet($K$114,$S$114,P124)</f>
        <v>0</v>
      </c>
    </row>
    <row r="125" spans="1:19">
      <c r="A125" s="23" t="s">
        <v>7</v>
      </c>
      <c r="D125" s="20">
        <v>3.7150521679322053E-4</v>
      </c>
      <c r="E125" s="20">
        <f>VAR('Data &amp; RP'!$E$51:$E$110)</f>
        <v>8.0979429970788174E-3</v>
      </c>
      <c r="F125" s="20"/>
      <c r="G125" s="20"/>
      <c r="H125" s="20"/>
      <c r="I125" s="20"/>
      <c r="K125" t="s">
        <v>35</v>
      </c>
      <c r="L125">
        <v>0.01</v>
      </c>
      <c r="M125" s="7">
        <f>[1]!CMLRet($K$114,$S$114,$S$115,L125)</f>
        <v>4.651785216397173E-3</v>
      </c>
      <c r="O125" t="s">
        <v>35</v>
      </c>
      <c r="P125" s="13">
        <v>0.2</v>
      </c>
      <c r="Q125" s="7">
        <f>[1]!SMLRet($K$114,$S$114,P125)</f>
        <v>0</v>
      </c>
    </row>
    <row r="126" spans="1:19">
      <c r="A126" s="23" t="s">
        <v>8</v>
      </c>
      <c r="D126" s="20">
        <v>1.6762304792813558E-3</v>
      </c>
      <c r="E126" s="20">
        <v>9.6002765293728813E-4</v>
      </c>
      <c r="F126" s="20">
        <f>VAR('Data &amp; RP'!$F$51:$F$110)</f>
        <v>4.6091038537389821E-3</v>
      </c>
      <c r="G126" s="20"/>
      <c r="H126" s="20"/>
      <c r="I126" s="20"/>
      <c r="K126" t="s">
        <v>35</v>
      </c>
      <c r="L126">
        <v>0.02</v>
      </c>
      <c r="M126" s="7">
        <f>[1]!CMLRet($K$114,$S$114,$S$115,L126)</f>
        <v>5.9458537661276779E-3</v>
      </c>
      <c r="O126" t="s">
        <v>35</v>
      </c>
      <c r="P126" s="13">
        <v>0.4</v>
      </c>
      <c r="Q126" s="7">
        <f>[1]!SMLRet($K$114,$S$114,P126)</f>
        <v>0</v>
      </c>
    </row>
    <row r="127" spans="1:19">
      <c r="A127" s="23" t="s">
        <v>9</v>
      </c>
      <c r="D127" s="20">
        <v>1.8848683451446323E-3</v>
      </c>
      <c r="E127" s="20">
        <v>2.3369347794762723E-3</v>
      </c>
      <c r="F127" s="20">
        <v>1.8501561741050851E-3</v>
      </c>
      <c r="G127" s="20">
        <f>VAR('Data &amp; RP'!$G$51:$G$110)</f>
        <v>7.8302277580802257E-3</v>
      </c>
      <c r="H127" s="20"/>
      <c r="I127" s="20"/>
      <c r="K127" t="s">
        <v>35</v>
      </c>
      <c r="L127">
        <v>0.03</v>
      </c>
      <c r="M127" s="7">
        <f>[1]!CMLRet($K$114,$S$114,$S$115,L127)</f>
        <v>7.2399223158581827E-3</v>
      </c>
      <c r="O127" t="s">
        <v>35</v>
      </c>
      <c r="P127" s="13">
        <v>0.6</v>
      </c>
      <c r="Q127" s="7">
        <f>[1]!SMLRet($K$114,$S$114,P127)</f>
        <v>0</v>
      </c>
    </row>
    <row r="128" spans="1:19">
      <c r="A128" s="23" t="s">
        <v>10</v>
      </c>
      <c r="D128" s="20">
        <v>2.3346549054112987E-3</v>
      </c>
      <c r="E128" s="20">
        <v>3.9033103045847456E-4</v>
      </c>
      <c r="F128" s="20">
        <v>-3.8049699898135605E-4</v>
      </c>
      <c r="G128" s="20">
        <v>3.2328212228367229E-3</v>
      </c>
      <c r="H128" s="20">
        <f>VAR('Data &amp; RP'!$H$51:$H$110)</f>
        <v>9.8156264325454795E-3</v>
      </c>
      <c r="I128" s="20"/>
      <c r="K128" t="s">
        <v>35</v>
      </c>
      <c r="L128">
        <v>0.04</v>
      </c>
      <c r="M128" s="7">
        <f>[1]!CMLRet($K$114,$S$114,$S$115,L128)</f>
        <v>8.5339908655886892E-3</v>
      </c>
      <c r="O128" t="s">
        <v>35</v>
      </c>
      <c r="P128" s="13">
        <v>0.8</v>
      </c>
      <c r="Q128" s="7">
        <f>[1]!SMLRet($K$114,$S$114,P128)</f>
        <v>0</v>
      </c>
    </row>
    <row r="129" spans="1:18">
      <c r="A129" s="23" t="s">
        <v>11</v>
      </c>
      <c r="D129" s="20">
        <v>8.8298279096046569E-7</v>
      </c>
      <c r="E129" s="20">
        <v>1.4648294756355943E-4</v>
      </c>
      <c r="F129" s="20">
        <v>-1.9460384651694924E-4</v>
      </c>
      <c r="G129" s="20">
        <v>7.9358139813841808E-4</v>
      </c>
      <c r="H129" s="20">
        <v>7.3199785213276766E-5</v>
      </c>
      <c r="I129" s="20">
        <f>VAR('Data &amp; RP'!$I$51:$I$110)</f>
        <v>1.8223854959081914E-3</v>
      </c>
      <c r="K129" t="s">
        <v>35</v>
      </c>
      <c r="L129">
        <v>0.05</v>
      </c>
      <c r="M129" s="7">
        <f>[1]!CMLRet($K$114,$S$114,$S$115,L129)</f>
        <v>9.8280594153191923E-3</v>
      </c>
      <c r="O129" s="14" t="s">
        <v>35</v>
      </c>
      <c r="P129" s="13">
        <v>1</v>
      </c>
      <c r="Q129" s="7">
        <f>[1]!SMLRet($K$114,$S$114,P129)</f>
        <v>0</v>
      </c>
    </row>
    <row r="130" spans="1:18">
      <c r="K130" t="s">
        <v>35</v>
      </c>
      <c r="L130">
        <v>0.06</v>
      </c>
      <c r="M130" s="7">
        <f>[1]!CMLRet($K$114,$S$114,$S$115,L130)</f>
        <v>1.1122127965049699E-2</v>
      </c>
      <c r="O130" t="s">
        <v>35</v>
      </c>
      <c r="P130" s="13">
        <v>1.2</v>
      </c>
      <c r="Q130" s="7">
        <f>[1]!SMLRet($K$114,$S$114,P130)</f>
        <v>0</v>
      </c>
    </row>
    <row r="131" spans="1:18">
      <c r="A131" s="11" t="s">
        <v>36</v>
      </c>
      <c r="F131" s="11" t="s">
        <v>37</v>
      </c>
      <c r="K131" t="s">
        <v>35</v>
      </c>
      <c r="L131">
        <v>7.0000000000000007E-2</v>
      </c>
      <c r="M131" s="7">
        <f>[1]!CMLRet($K$114,$S$114,$S$115,L131)</f>
        <v>1.2416196514780205E-2</v>
      </c>
      <c r="O131" t="s">
        <v>35</v>
      </c>
      <c r="P131" s="13">
        <v>1.4</v>
      </c>
      <c r="Q131" s="7">
        <f>[1]!SMLRet($K$114,$S$114,P131)</f>
        <v>0</v>
      </c>
    </row>
    <row r="132" spans="1:18">
      <c r="C132" s="18"/>
      <c r="D132" s="19" t="s">
        <v>6</v>
      </c>
      <c r="E132" s="19" t="s">
        <v>7</v>
      </c>
      <c r="F132" s="19" t="s">
        <v>8</v>
      </c>
      <c r="G132" s="19" t="s">
        <v>9</v>
      </c>
      <c r="H132" s="19" t="s">
        <v>10</v>
      </c>
      <c r="I132" s="19" t="s">
        <v>11</v>
      </c>
      <c r="K132" t="s">
        <v>35</v>
      </c>
      <c r="L132">
        <v>0.08</v>
      </c>
      <c r="M132" s="7">
        <f>[1]!CMLRet($K$114,$S$114,$S$115,L132)</f>
        <v>1.3710265064510709E-2</v>
      </c>
      <c r="O132" t="s">
        <v>35</v>
      </c>
      <c r="P132" s="13">
        <v>1.6</v>
      </c>
      <c r="Q132" s="7">
        <f>[1]!SMLRet($K$114,$S$114,P132)</f>
        <v>0</v>
      </c>
    </row>
    <row r="133" spans="1:18">
      <c r="A133" s="23" t="s">
        <v>6</v>
      </c>
      <c r="D133" s="21">
        <f t="shared" ref="D133:I133" si="16">COVAR($D$51:$D$110,D$51:D$110)*(60/59)</f>
        <v>5.6102002923209037E-3</v>
      </c>
      <c r="E133" s="21">
        <f t="shared" si="16"/>
        <v>3.7150521679322053E-4</v>
      </c>
      <c r="F133" s="21">
        <f t="shared" si="16"/>
        <v>1.6762304792813558E-3</v>
      </c>
      <c r="G133" s="21">
        <f t="shared" si="16"/>
        <v>1.8848683451446323E-3</v>
      </c>
      <c r="H133" s="21">
        <f t="shared" si="16"/>
        <v>2.3346549054112987E-3</v>
      </c>
      <c r="I133" s="21">
        <f t="shared" si="16"/>
        <v>8.8298279096046569E-7</v>
      </c>
      <c r="K133" t="s">
        <v>35</v>
      </c>
      <c r="L133">
        <v>0.09</v>
      </c>
      <c r="M133" s="7">
        <f>[1]!CMLRet($K$114,$S$114,$S$115,L133)</f>
        <v>1.5004333614241215E-2</v>
      </c>
      <c r="O133" t="s">
        <v>35</v>
      </c>
      <c r="P133" s="13">
        <v>1.8</v>
      </c>
      <c r="Q133" s="7">
        <f>[1]!SMLRet($K$114,$S$114,P133)</f>
        <v>0</v>
      </c>
    </row>
    <row r="134" spans="1:18">
      <c r="A134" s="23" t="s">
        <v>7</v>
      </c>
      <c r="B134" s="15"/>
      <c r="C134" s="15"/>
      <c r="D134" s="21"/>
      <c r="E134" s="21">
        <f>COVAR($E$51:$E$110,E$51:E$110)*(60/59)</f>
        <v>8.0979429970788139E-3</v>
      </c>
      <c r="F134" s="21">
        <f t="shared" ref="F134:I134" si="17">COVAR($E$51:$E$110,F$51:F$110)*(60/59)</f>
        <v>9.6002765293728813E-4</v>
      </c>
      <c r="G134" s="21">
        <f t="shared" si="17"/>
        <v>2.3369347794762723E-3</v>
      </c>
      <c r="H134" s="21">
        <f t="shared" si="17"/>
        <v>3.9033103045847456E-4</v>
      </c>
      <c r="I134" s="21">
        <f t="shared" si="17"/>
        <v>1.4648294756355943E-4</v>
      </c>
      <c r="J134" s="14"/>
      <c r="K134" t="s">
        <v>35</v>
      </c>
      <c r="L134">
        <v>0.1</v>
      </c>
      <c r="M134" s="7">
        <f>[1]!CMLRet($K$114,$S$114,$S$115,L134)</f>
        <v>1.6298402163971718E-2</v>
      </c>
      <c r="O134" t="s">
        <v>35</v>
      </c>
      <c r="P134" s="13">
        <v>2</v>
      </c>
      <c r="Q134" s="7">
        <f>[1]!SMLRet($K$114,$S$114,P134)</f>
        <v>0</v>
      </c>
    </row>
    <row r="135" spans="1:18">
      <c r="A135" s="23" t="s">
        <v>8</v>
      </c>
      <c r="F135" s="21">
        <f>COVAR($F$51:$F$110,F$51:F$110)*(60/59)</f>
        <v>4.6091038537389838E-3</v>
      </c>
      <c r="G135" s="21">
        <f t="shared" ref="G135:I135" si="18">COVAR($F$51:$F$110,G$51:G$110)*(60/59)</f>
        <v>1.8501561741050849E-3</v>
      </c>
      <c r="H135" s="21">
        <f t="shared" si="18"/>
        <v>-3.8049699898135605E-4</v>
      </c>
      <c r="I135" s="21">
        <f t="shared" si="18"/>
        <v>-1.9460384651694921E-4</v>
      </c>
      <c r="K135" t="s">
        <v>35</v>
      </c>
      <c r="L135" s="7">
        <f>STDEV($K51:$K110)</f>
        <v>8.0925333008884028E-4</v>
      </c>
      <c r="M135" s="7">
        <f>[1]!CMLRet($K$114,$S$114,$S$115,L135)</f>
        <v>3.4624395949899322E-3</v>
      </c>
      <c r="O135" t="s">
        <v>35</v>
      </c>
      <c r="P135" s="13">
        <v>2.2000000000000002</v>
      </c>
      <c r="Q135" s="7">
        <f>[1]!SMLRet($K$114,$S$114,P135)</f>
        <v>0</v>
      </c>
    </row>
    <row r="136" spans="1:18">
      <c r="A136" s="23" t="s">
        <v>9</v>
      </c>
      <c r="G136" s="21">
        <f>COVAR($G$51:$G$110,G$51:G$110)*(60/59)</f>
        <v>7.830227758080224E-3</v>
      </c>
      <c r="H136" s="21">
        <f t="shared" ref="H136:I136" si="19">COVAR($G$51:$G$110,H$51:H$110)*(60/59)</f>
        <v>3.2328212228367229E-3</v>
      </c>
      <c r="I136" s="21">
        <f t="shared" si="19"/>
        <v>7.9358139813841808E-4</v>
      </c>
      <c r="K136" s="15" t="s">
        <v>13</v>
      </c>
      <c r="L136" s="7">
        <f>STDEV($L51:$L110)</f>
        <v>7.4807768020649826E-2</v>
      </c>
      <c r="M136" s="7">
        <f>[1]!CMLRet($K$114,$S$114,$S$115,L136)</f>
        <v>1.3038354653772507E-2</v>
      </c>
      <c r="N136" s="7">
        <f>AVERAGE($L51:$L110)</f>
        <v>2.9676149999999991E-2</v>
      </c>
      <c r="O136" t="s">
        <v>35</v>
      </c>
      <c r="P136" s="13">
        <v>2.4</v>
      </c>
      <c r="Q136" s="7">
        <f>[1]!SMLRet($K$114,$S$114,P136)</f>
        <v>0</v>
      </c>
    </row>
    <row r="137" spans="1:18">
      <c r="A137" s="23" t="s">
        <v>10</v>
      </c>
      <c r="H137" s="21">
        <f t="shared" ref="H137:I137" si="20">COVAR($H$51:$H$110,H$51:H$110)*(60/59)</f>
        <v>9.815626432545476E-3</v>
      </c>
      <c r="I137" s="21">
        <f t="shared" si="20"/>
        <v>7.3199785213276766E-5</v>
      </c>
      <c r="K137" s="15" t="s">
        <v>14</v>
      </c>
      <c r="L137" s="7">
        <f>STDEV($M51:$M110)</f>
        <v>9.0085725212431494E-2</v>
      </c>
      <c r="M137" s="7">
        <f>[1]!CMLRet($K$114,$S$114,$S$115,L137)</f>
        <v>1.501542704437387E-2</v>
      </c>
      <c r="N137" s="7">
        <f>AVERAGE($M51:$M110)</f>
        <v>2.2054633333333341E-2</v>
      </c>
      <c r="O137" t="s">
        <v>35</v>
      </c>
      <c r="P137" s="13">
        <v>2.6</v>
      </c>
      <c r="Q137" s="7">
        <f>[1]!SMLRet($K$114,$S$114,P137)</f>
        <v>0</v>
      </c>
    </row>
    <row r="138" spans="1:18">
      <c r="A138" s="23" t="s">
        <v>11</v>
      </c>
      <c r="I138" s="21">
        <f>COVAR($I$51:$I$110,I$51:I$110)*(60/59)</f>
        <v>1.8223854959081914E-3</v>
      </c>
      <c r="K138" s="15" t="s">
        <v>15</v>
      </c>
      <c r="L138" s="7">
        <f>STDEV($N51:$N110)</f>
        <v>6.7991419320654042E-2</v>
      </c>
      <c r="M138" s="7">
        <f>[1]!CMLRet($K$114,$S$114,$S$115,L138)</f>
        <v>1.2156272406106412E-2</v>
      </c>
      <c r="N138" s="7">
        <f>AVERAGE($N51:$N110)</f>
        <v>1.4833983333333328E-2</v>
      </c>
      <c r="O138" t="s">
        <v>35</v>
      </c>
      <c r="P138" s="13">
        <v>2.8</v>
      </c>
      <c r="Q138" s="7">
        <f>[1]!SMLRet($K$114,$S$114,P138)</f>
        <v>0</v>
      </c>
    </row>
    <row r="139" spans="1:18">
      <c r="K139" s="15" t="s">
        <v>16</v>
      </c>
      <c r="L139" s="7">
        <f>STDEV($O51:$O110)</f>
        <v>8.8397431252812769E-2</v>
      </c>
      <c r="M139" s="7">
        <f>[1]!CMLRet($K$114,$S$114,$S$115,L139)</f>
        <v>1.4796950232789614E-2</v>
      </c>
      <c r="N139" s="7">
        <f>AVERAGE($O51:$O110)</f>
        <v>2.2219849999999999E-2</v>
      </c>
      <c r="O139" t="s">
        <v>35</v>
      </c>
      <c r="P139" s="13">
        <v>3</v>
      </c>
      <c r="Q139" s="7">
        <f>[1]!SMLRet($K$114,$S$114,P139)</f>
        <v>0</v>
      </c>
    </row>
    <row r="140" spans="1:18">
      <c r="A140" s="8" t="s">
        <v>38</v>
      </c>
      <c r="K140" s="16" t="s">
        <v>39</v>
      </c>
      <c r="L140" s="7">
        <f>STDEV($P51:$P110)</f>
        <v>9.8988719325695099E-2</v>
      </c>
      <c r="M140" s="7">
        <f>[1]!CMLRet($K$114,$S$114,$S$115,L140)</f>
        <v>1.6167535512414895E-2</v>
      </c>
      <c r="N140" s="7">
        <f>AVERAGE($P51:$P110)</f>
        <v>4.169556666666667E-2</v>
      </c>
      <c r="O140" s="15" t="s">
        <v>13</v>
      </c>
      <c r="P140" s="9">
        <f>SLOPE($L51:$L110,$S$51:$S$110)</f>
        <v>1.1403185583715769</v>
      </c>
      <c r="Q140" s="7">
        <f>[1]!SMLRet($K$114,$S$114,P140)</f>
        <v>0</v>
      </c>
      <c r="R140" s="7">
        <f>AVERAGE($L51:$L110)</f>
        <v>2.9676149999999991E-2</v>
      </c>
    </row>
    <row r="141" spans="1:18">
      <c r="D141" s="19" t="s">
        <v>6</v>
      </c>
      <c r="E141" s="19" t="s">
        <v>7</v>
      </c>
      <c r="F141" s="19" t="s">
        <v>8</v>
      </c>
      <c r="G141" s="19" t="s">
        <v>9</v>
      </c>
      <c r="H141" s="19" t="s">
        <v>10</v>
      </c>
      <c r="I141" s="19" t="s">
        <v>11</v>
      </c>
      <c r="K141" s="15" t="s">
        <v>18</v>
      </c>
      <c r="L141" s="7">
        <f>STDEV($Q51:$Q110)</f>
        <v>4.246628981888953E-2</v>
      </c>
      <c r="M141" s="7">
        <f>[1]!CMLRet($K$114,$S$114,$S$115,L141)</f>
        <v>8.8531456745032377E-3</v>
      </c>
      <c r="N141" s="7">
        <f>AVERAGE($Q51:$Q110)</f>
        <v>1.4631366666666664E-2</v>
      </c>
      <c r="O141" s="15" t="s">
        <v>14</v>
      </c>
      <c r="P141" s="9">
        <f>SLOPE($M51:$M110,$S$51:$S$110)</f>
        <v>0.73752700684546479</v>
      </c>
      <c r="Q141" s="7">
        <f>[1]!SMLRet($K$114,$S$114,P141)</f>
        <v>0</v>
      </c>
      <c r="R141" s="7">
        <f>AVERAGE($M51:$M110)</f>
        <v>2.2054633333333341E-2</v>
      </c>
    </row>
    <row r="142" spans="1:18">
      <c r="A142" s="23" t="s">
        <v>6</v>
      </c>
      <c r="D142" s="21">
        <v>5.6102002923209002E-3</v>
      </c>
      <c r="E142" s="21">
        <v>3.7150521679322102E-4</v>
      </c>
      <c r="F142" s="21">
        <v>1.6762304792813599E-3</v>
      </c>
      <c r="G142" s="21">
        <v>1.8848683451446299E-3</v>
      </c>
      <c r="H142" s="21">
        <v>2.3346549054113E-3</v>
      </c>
      <c r="I142" s="21">
        <v>8.82982790960466E-7</v>
      </c>
      <c r="K142" s="15" t="s">
        <v>19</v>
      </c>
      <c r="L142" s="7">
        <f>STDEV($R51:$R110)</f>
        <v>4.3630425778146159E-2</v>
      </c>
      <c r="M142" s="7">
        <f>[1]!CMLRet($K$114,$S$114,$S$115,L142)</f>
        <v>9.003792847751671E-3</v>
      </c>
      <c r="N142" s="7">
        <f>AVERAGE($R51:$R110)</f>
        <v>2.4185258333333331E-2</v>
      </c>
      <c r="O142" s="15" t="s">
        <v>15</v>
      </c>
      <c r="P142" s="9">
        <f>SLOPE($N51:$N110,$S$51:$S$110)</f>
        <v>0.5271037922116103</v>
      </c>
      <c r="Q142" s="7">
        <f>[1]!SMLRet($K$114,$S$114,P142)</f>
        <v>0</v>
      </c>
      <c r="R142" s="7">
        <f>AVERAGE($N51:$N110)</f>
        <v>1.4833983333333328E-2</v>
      </c>
    </row>
    <row r="143" spans="1:18">
      <c r="A143" s="23" t="s">
        <v>7</v>
      </c>
      <c r="D143" s="21">
        <v>3.7150521679322102E-4</v>
      </c>
      <c r="E143" s="21">
        <v>8.0979429970788191E-3</v>
      </c>
      <c r="F143" s="21">
        <v>9.6002765293728802E-4</v>
      </c>
      <c r="G143" s="21">
        <v>2.3369347794762701E-3</v>
      </c>
      <c r="H143" s="21">
        <v>3.9033103045847499E-4</v>
      </c>
      <c r="I143" s="21">
        <v>1.46482947563559E-4</v>
      </c>
      <c r="K143" s="15" t="s">
        <v>20</v>
      </c>
      <c r="L143" s="7">
        <f>STDEV($S51:$S110)</f>
        <v>2.4802137934154027E-2</v>
      </c>
      <c r="M143" s="7">
        <f>[1]!CMLRet($K$114,$S$114,$S$115,L143)</f>
        <v>6.5672833333333324E-3</v>
      </c>
      <c r="N143" s="7">
        <f>AVERAGE($S51:$S110)</f>
        <v>6.5672833333333324E-3</v>
      </c>
      <c r="O143" s="15" t="s">
        <v>16</v>
      </c>
      <c r="P143" s="9">
        <f>SLOPE($O51:$O110,$S$51:$S$110)</f>
        <v>1.7320210697434311</v>
      </c>
      <c r="Q143" s="7">
        <f>[1]!SMLRet($K$114,$S$114,P143)</f>
        <v>0</v>
      </c>
      <c r="R143" s="7">
        <f>AVERAGE($O51:$O110)</f>
        <v>2.2219849999999999E-2</v>
      </c>
    </row>
    <row r="144" spans="1:18">
      <c r="A144" s="23" t="s">
        <v>8</v>
      </c>
      <c r="D144" s="21">
        <v>1.6762304792813599E-3</v>
      </c>
      <c r="E144" s="21">
        <v>9.6002765293728802E-4</v>
      </c>
      <c r="F144" s="21">
        <v>4.6091038537389804E-3</v>
      </c>
      <c r="G144" s="21">
        <v>1.8501561741050901E-3</v>
      </c>
      <c r="H144" s="21">
        <v>-3.80496998981356E-4</v>
      </c>
      <c r="I144" s="21">
        <v>-1.9460384651694899E-4</v>
      </c>
      <c r="O144" s="16" t="s">
        <v>39</v>
      </c>
      <c r="P144" s="9">
        <f>SLOPE($P51:$P110,$S$51:$S$110)</f>
        <v>1.2001738509059408</v>
      </c>
      <c r="Q144" s="7">
        <f>[1]!SMLRet($K$114,$S$114,P144)</f>
        <v>0</v>
      </c>
      <c r="R144" s="7">
        <f>AVERAGE($P51:$P110)</f>
        <v>4.169556666666667E-2</v>
      </c>
    </row>
    <row r="145" spans="1:18">
      <c r="A145" s="23" t="s">
        <v>9</v>
      </c>
      <c r="D145" s="21">
        <v>1.8848683451446299E-3</v>
      </c>
      <c r="E145" s="21">
        <v>2.3369347794762701E-3</v>
      </c>
      <c r="F145" s="21">
        <v>1.8501561741050901E-3</v>
      </c>
      <c r="G145" s="21">
        <v>7.8302277580802292E-3</v>
      </c>
      <c r="H145" s="21">
        <v>3.2328212228367199E-3</v>
      </c>
      <c r="I145" s="21">
        <v>7.9358139813841798E-4</v>
      </c>
      <c r="O145" s="15" t="s">
        <v>18</v>
      </c>
      <c r="P145" s="9">
        <f>SLOPE($Q51:$Q110,$S$51:$S$110)</f>
        <v>0.51559361573244034</v>
      </c>
      <c r="Q145" s="7">
        <f>[1]!SMLRet($K$114,$S$114,P145)</f>
        <v>0</v>
      </c>
      <c r="R145" s="7">
        <f>AVERAGE($Q51:$Q110)</f>
        <v>1.4631366666666664E-2</v>
      </c>
    </row>
    <row r="146" spans="1:18">
      <c r="A146" s="23" t="s">
        <v>10</v>
      </c>
      <c r="D146" s="21">
        <v>2.3346549054113E-3</v>
      </c>
      <c r="E146" s="21">
        <v>3.9033103045847499E-4</v>
      </c>
      <c r="F146" s="21">
        <v>-3.80496998981356E-4</v>
      </c>
      <c r="G146" s="21">
        <v>3.2328212228367199E-3</v>
      </c>
      <c r="H146" s="21">
        <v>9.8156264325454795E-3</v>
      </c>
      <c r="I146" s="21">
        <v>7.3199785213276807E-5</v>
      </c>
      <c r="O146" s="15" t="s">
        <v>19</v>
      </c>
      <c r="P146" s="9">
        <f>SLOPE($R51:$R110,$S$51:$S$110)</f>
        <v>0.97545631563507718</v>
      </c>
      <c r="Q146" s="7">
        <f>[1]!SMLRet($K$114,$S$114,P146)</f>
        <v>0</v>
      </c>
      <c r="R146" s="7">
        <f>AVERAGE($R51:$R110)</f>
        <v>2.4185258333333331E-2</v>
      </c>
    </row>
    <row r="147" spans="1:18">
      <c r="A147" s="23" t="s">
        <v>11</v>
      </c>
      <c r="D147" s="21">
        <v>8.82982790960466E-7</v>
      </c>
      <c r="E147" s="21">
        <v>1.46482947563559E-4</v>
      </c>
      <c r="F147" s="21">
        <v>-1.9460384651694899E-4</v>
      </c>
      <c r="G147" s="21">
        <v>7.9358139813841798E-4</v>
      </c>
      <c r="H147" s="21">
        <v>7.3199785213276807E-5</v>
      </c>
      <c r="I147" s="21">
        <v>1.8223854959081901E-3</v>
      </c>
      <c r="O147" s="15" t="s">
        <v>20</v>
      </c>
      <c r="P147" s="13">
        <v>1</v>
      </c>
      <c r="Q147" s="7">
        <f>[1]!SMLRet($K$114,$S$114,P147)</f>
        <v>0</v>
      </c>
      <c r="R147" s="7">
        <f>[1]!SMLRet($K$114,$S$114,P147)</f>
        <v>0</v>
      </c>
    </row>
    <row r="148" spans="1:18">
      <c r="O148" s="15"/>
    </row>
    <row r="149" spans="1:18">
      <c r="A149" s="8" t="s">
        <v>40</v>
      </c>
    </row>
    <row r="150" spans="1:18">
      <c r="D150" s="19" t="s">
        <v>6</v>
      </c>
      <c r="E150" s="19" t="s">
        <v>7</v>
      </c>
      <c r="F150" s="19" t="s">
        <v>8</v>
      </c>
      <c r="G150" s="19" t="s">
        <v>9</v>
      </c>
      <c r="H150" s="19" t="s">
        <v>10</v>
      </c>
      <c r="I150" s="19" t="s">
        <v>11</v>
      </c>
    </row>
    <row r="151" spans="1:18">
      <c r="A151" s="23" t="s">
        <v>6</v>
      </c>
      <c r="D151" s="21"/>
      <c r="E151" s="21">
        <f>E142</f>
        <v>3.7150521679322102E-4</v>
      </c>
      <c r="F151" s="21">
        <f>F142</f>
        <v>1.6762304792813599E-3</v>
      </c>
      <c r="G151" s="21">
        <f>G142</f>
        <v>1.8848683451446299E-3</v>
      </c>
      <c r="H151" s="21">
        <f>H142</f>
        <v>2.3346549054113E-3</v>
      </c>
      <c r="I151" s="21">
        <f>I142</f>
        <v>8.82982790960466E-7</v>
      </c>
    </row>
    <row r="152" spans="1:18">
      <c r="A152" s="23" t="s">
        <v>7</v>
      </c>
      <c r="D152" s="21">
        <f>D143</f>
        <v>3.7150521679322102E-4</v>
      </c>
      <c r="E152" s="21"/>
      <c r="F152" s="21">
        <f>F143</f>
        <v>9.6002765293728802E-4</v>
      </c>
      <c r="G152" s="21">
        <f>G143</f>
        <v>2.3369347794762701E-3</v>
      </c>
      <c r="H152" s="21">
        <f>H143</f>
        <v>3.9033103045847499E-4</v>
      </c>
      <c r="I152" s="21">
        <f>I143</f>
        <v>1.46482947563559E-4</v>
      </c>
    </row>
    <row r="153" spans="1:18">
      <c r="A153" s="23" t="s">
        <v>8</v>
      </c>
      <c r="D153" s="21">
        <f>D144</f>
        <v>1.6762304792813599E-3</v>
      </c>
      <c r="E153" s="21">
        <f>E144</f>
        <v>9.6002765293728802E-4</v>
      </c>
      <c r="F153" s="21"/>
      <c r="G153" s="21">
        <f>G144</f>
        <v>1.8501561741050901E-3</v>
      </c>
      <c r="H153" s="21">
        <f>H144</f>
        <v>-3.80496998981356E-4</v>
      </c>
      <c r="I153" s="21">
        <f>I144</f>
        <v>-1.9460384651694899E-4</v>
      </c>
    </row>
    <row r="154" spans="1:18">
      <c r="A154" s="23" t="s">
        <v>9</v>
      </c>
      <c r="D154" s="21">
        <f>D145</f>
        <v>1.8848683451446299E-3</v>
      </c>
      <c r="E154" s="21">
        <f>E145</f>
        <v>2.3369347794762701E-3</v>
      </c>
      <c r="F154" s="21">
        <f>F145</f>
        <v>1.8501561741050901E-3</v>
      </c>
      <c r="G154" s="21"/>
      <c r="H154" s="21">
        <f>H145</f>
        <v>3.2328212228367199E-3</v>
      </c>
      <c r="I154" s="21">
        <f>I145</f>
        <v>7.9358139813841798E-4</v>
      </c>
    </row>
    <row r="155" spans="1:18">
      <c r="A155" s="23" t="s">
        <v>10</v>
      </c>
      <c r="D155" s="21">
        <f>D146</f>
        <v>2.3346549054113E-3</v>
      </c>
      <c r="E155" s="21">
        <f>E146</f>
        <v>3.9033103045847499E-4</v>
      </c>
      <c r="F155" s="21">
        <f>F146</f>
        <v>-3.80496998981356E-4</v>
      </c>
      <c r="G155" s="21">
        <f>G146</f>
        <v>3.2328212228367199E-3</v>
      </c>
      <c r="H155" s="21"/>
      <c r="I155" s="21">
        <f>I146</f>
        <v>7.3199785213276807E-5</v>
      </c>
    </row>
    <row r="156" spans="1:18">
      <c r="A156" s="23" t="s">
        <v>11</v>
      </c>
      <c r="D156" s="21">
        <f>D147</f>
        <v>8.82982790960466E-7</v>
      </c>
      <c r="E156" s="21">
        <f>E147</f>
        <v>1.46482947563559E-4</v>
      </c>
      <c r="F156" s="21">
        <f>F147</f>
        <v>-1.9460384651694899E-4</v>
      </c>
      <c r="G156" s="21">
        <f>G147</f>
        <v>7.9358139813841798E-4</v>
      </c>
      <c r="H156" s="21">
        <f>H147</f>
        <v>7.3199785213276807E-5</v>
      </c>
      <c r="I156" s="21"/>
    </row>
    <row r="157" spans="1:18">
      <c r="A157" s="17"/>
    </row>
    <row r="158" spans="1:18">
      <c r="A158" s="24" t="s">
        <v>41</v>
      </c>
    </row>
    <row r="159" spans="1:18">
      <c r="C159" s="2" t="s">
        <v>42</v>
      </c>
      <c r="D159" s="19" t="s">
        <v>6</v>
      </c>
      <c r="E159" s="19" t="s">
        <v>7</v>
      </c>
      <c r="F159" s="19" t="s">
        <v>8</v>
      </c>
      <c r="G159" s="19" t="s">
        <v>9</v>
      </c>
      <c r="H159" s="19" t="s">
        <v>10</v>
      </c>
      <c r="I159" s="19" t="s">
        <v>11</v>
      </c>
    </row>
    <row r="160" spans="1:18" ht="15">
      <c r="A160" s="11" t="s">
        <v>43</v>
      </c>
      <c r="C160" s="21">
        <f>AVERAGE($D$160:$I$160)</f>
        <v>1.031771738310151E-3</v>
      </c>
      <c r="D160" s="21">
        <f>AVERAGE(D$151:D$156)</f>
        <v>1.2536283858842943E-3</v>
      </c>
      <c r="E160" s="21">
        <f t="shared" ref="E160:I160" si="21">AVERAGE(E$151:E$156)</f>
        <v>8.4105632544576264E-4</v>
      </c>
      <c r="F160" s="21">
        <f t="shared" si="21"/>
        <v>7.8226269216508657E-4</v>
      </c>
      <c r="G160" s="21">
        <f t="shared" si="21"/>
        <v>2.0196723839402257E-3</v>
      </c>
      <c r="H160" s="21">
        <f t="shared" si="21"/>
        <v>1.1301019889876831E-3</v>
      </c>
      <c r="I160" s="21">
        <f t="shared" si="21"/>
        <v>1.6390865343785305E-4</v>
      </c>
    </row>
    <row r="161" spans="1:9">
      <c r="C161" s="25" t="s">
        <v>44</v>
      </c>
    </row>
    <row r="162" spans="1:9" ht="15">
      <c r="A162" s="11" t="s">
        <v>45</v>
      </c>
      <c r="C162" s="21">
        <f>AVERAGE($D$162:$I$162)</f>
        <v>6.2975811382787661E-3</v>
      </c>
      <c r="D162" s="21">
        <f>D142</f>
        <v>5.6102002923209002E-3</v>
      </c>
      <c r="E162" s="21">
        <f>E143</f>
        <v>8.0979429970788191E-3</v>
      </c>
      <c r="F162" s="21">
        <f>F144</f>
        <v>4.6091038537389804E-3</v>
      </c>
      <c r="G162" s="21">
        <f>G145</f>
        <v>7.8302277580802292E-3</v>
      </c>
      <c r="H162" s="21">
        <f>H146</f>
        <v>9.8156264325454795E-3</v>
      </c>
      <c r="I162" s="21">
        <f>I147</f>
        <v>1.8223854959081901E-3</v>
      </c>
    </row>
    <row r="163" spans="1:9">
      <c r="A163" s="22"/>
      <c r="C163" s="25" t="s">
        <v>46</v>
      </c>
    </row>
    <row r="164" spans="1:9">
      <c r="A164" s="22"/>
      <c r="C164" s="25"/>
    </row>
    <row r="165" spans="1:9">
      <c r="A165" s="8" t="s">
        <v>47</v>
      </c>
    </row>
    <row r="166" spans="1:9" ht="15">
      <c r="A166" s="11" t="s">
        <v>48</v>
      </c>
    </row>
    <row r="167" spans="1:9" ht="15">
      <c r="A167" s="11" t="s">
        <v>49</v>
      </c>
    </row>
  </sheetData>
  <printOptions headings="1" gridLines="1"/>
  <pageMargins left="0.75" right="0.75" top="0.75" bottom="0.75" header="0.25" footer="0.25"/>
  <pageSetup orientation="portrait" verticalDpi="0" r:id="rId1"/>
  <headerFooter alignWithMargins="0">
    <oddHeader>&amp;LFinancial Management&amp;CCMT, Valuation, Cap Budget&amp;RHomework No. 8</oddHeader>
    <oddFooter>&amp;L&amp;F: &amp;A&amp;CPage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Data &amp; RP</vt:lpstr>
      <vt:lpstr>'Data &amp; RP'!Print_Area</vt:lpstr>
      <vt:lpstr>'Data &amp; RP'!Print_Titles</vt:lpstr>
      <vt:lpstr>Rf</vt:lpstr>
    </vt:vector>
  </TitlesOfParts>
  <Company>Albuquerque, NM 87111-5604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Vora</dc:creator>
  <cp:lastModifiedBy>Carina Negreanu</cp:lastModifiedBy>
  <dcterms:created xsi:type="dcterms:W3CDTF">1997-04-30T16:29:34Z</dcterms:created>
  <dcterms:modified xsi:type="dcterms:W3CDTF">2020-01-27T11:43:46Z</dcterms:modified>
</cp:coreProperties>
</file>