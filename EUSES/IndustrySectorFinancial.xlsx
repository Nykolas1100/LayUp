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E56C9E-79D0-4D99-BFF2-1BD7DEA2AD73}" xr6:coauthVersionLast="45" xr6:coauthVersionMax="45" xr10:uidLastSave="{00000000-0000-0000-0000-000000000000}"/>
  <bookViews>
    <workbookView xWindow="380" yWindow="380" windowWidth="28800" windowHeight="15460"/>
  </bookViews>
  <sheets>
    <sheet name="Financial All" sheetId="1" r:id="rId1"/>
  </sheets>
  <definedNames>
    <definedName name="_xlnm.Print_Titles" localSheetId="0">'Financial All'!$5:$5</definedName>
    <definedName name="_R841FinBanks">#REF!</definedName>
    <definedName name="_R842FinIns">#REF!</definedName>
    <definedName name="_R843FinOther">#REF!</definedName>
    <definedName name="_R84FinAll">'Financial All'!$A$5:$D$113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2" i="1" l="1"/>
  <c r="C122" i="1"/>
</calcChain>
</file>

<file path=xl/sharedStrings.xml><?xml version="1.0" encoding="utf-8"?>
<sst xmlns="http://schemas.openxmlformats.org/spreadsheetml/2006/main" count="124" uniqueCount="124">
  <si>
    <t>% Change</t>
  </si>
  <si>
    <t>Edelman Public Relations Worldwide</t>
  </si>
  <si>
    <t>The Ruder Finn Group</t>
  </si>
  <si>
    <t>Intermarket Communications/Trimedia</t>
  </si>
  <si>
    <t>PepperCom, Inc.</t>
  </si>
  <si>
    <t>Makovsky &amp; Company</t>
  </si>
  <si>
    <t>SLOANE &amp; CO.</t>
  </si>
  <si>
    <t>Dittus Communications, Inc.</t>
  </si>
  <si>
    <t>Creative Response Concepts</t>
  </si>
  <si>
    <t>Waggener Edstrom, Inc.</t>
  </si>
  <si>
    <t>KCSA Public Relations</t>
  </si>
  <si>
    <t>FD Morgen-Walke</t>
  </si>
  <si>
    <t>Bliss, Gouverneur &amp; Associates, Inc.</t>
  </si>
  <si>
    <t>Schenkein, Inc.</t>
  </si>
  <si>
    <t>DONLEY COMMUNICATIONS CORPORATION</t>
  </si>
  <si>
    <t>DAWSON/DUNCAN COMMUNICATIONS</t>
  </si>
  <si>
    <t>The Kamber Group</t>
  </si>
  <si>
    <t>G.S. Schwartz &amp; Company, Inc.</t>
  </si>
  <si>
    <t>Jasculca/Terman and Associates</t>
  </si>
  <si>
    <t>Edward Howard &amp; Co.</t>
  </si>
  <si>
    <t>THE PHELPS GROUP</t>
  </si>
  <si>
    <t>Carter Ryley Thomas, Inc.</t>
  </si>
  <si>
    <t>HLB Communications, Inc.</t>
  </si>
  <si>
    <t>IMRE Communications</t>
  </si>
  <si>
    <t>The Rasky/Baerlein Group</t>
  </si>
  <si>
    <t>WINNING STRATEGIES PUBLIC RELATIONS</t>
  </si>
  <si>
    <t>Campbell &amp; Co.</t>
  </si>
  <si>
    <t>Travers Collins &amp; Company</t>
  </si>
  <si>
    <t>Jacobs &amp; Prosek Public Relations</t>
  </si>
  <si>
    <t>WALT AND COMPANY COMMUNICATIONS INC</t>
  </si>
  <si>
    <t>Paine PR</t>
  </si>
  <si>
    <t>French/West/Vaughan</t>
  </si>
  <si>
    <t>Cooper Katz &amp; Company</t>
  </si>
  <si>
    <t>Anne Klein &amp; Associates, Inc.</t>
  </si>
  <si>
    <t>Ashton Partners</t>
  </si>
  <si>
    <t>CKPR</t>
  </si>
  <si>
    <t>Stanton Communications, Inc.</t>
  </si>
  <si>
    <t>Environics Communications, Inc.</t>
  </si>
  <si>
    <t>Cushman/Amberg Communications</t>
  </si>
  <si>
    <t>JOHN BAILEY &amp; ASSOCIATES</t>
  </si>
  <si>
    <t>DUFFEY COMMUNICATIONS INC</t>
  </si>
  <si>
    <t>Corporate Ink Public Relations</t>
  </si>
  <si>
    <t>Padilla Speer Beardsley, Inc.</t>
  </si>
  <si>
    <t>TRANSMEDIA GROUP</t>
  </si>
  <si>
    <t>Eric Mower and Associates Public Relations Service</t>
  </si>
  <si>
    <t>Caponigro Public Relations, Inc.</t>
  </si>
  <si>
    <t>Singer Associates, Inc.</t>
  </si>
  <si>
    <t>The SPI Group, LLC</t>
  </si>
  <si>
    <t>Trahan, Burden &amp; Charles, Inc.</t>
  </si>
  <si>
    <t>Patrice Tanaka &amp; Company, Inc.</t>
  </si>
  <si>
    <t>Morrissey &amp; Company</t>
  </si>
  <si>
    <t>Imada Wong Communications Group, Inc. dba IW Group</t>
  </si>
  <si>
    <t>MCNEELY PIGOTT &amp; FOX PUBLIC RELATIONS</t>
  </si>
  <si>
    <t>Lane Marketing Communications</t>
  </si>
  <si>
    <t>DUBLIN &amp; ASSOCIATES,INC</t>
  </si>
  <si>
    <t>Zeppos &amp; Associates, Incorporated</t>
  </si>
  <si>
    <t>COOKSEY COMMUNICATIONS</t>
  </si>
  <si>
    <t>MARX LAYNE &amp; COMPANY</t>
  </si>
  <si>
    <t>COLLE+McVOY Public Relations</t>
  </si>
  <si>
    <t>Morningstar Communications Company</t>
  </si>
  <si>
    <t>The Standing Partnership, Inc.</t>
  </si>
  <si>
    <t>Event Management Services, Inc.</t>
  </si>
  <si>
    <t>PIERPONT COMMUNICATIONS INC</t>
  </si>
  <si>
    <t>Northlich</t>
  </si>
  <si>
    <t>Toplin &amp; Associates, Inc.</t>
  </si>
  <si>
    <t>Cerrell Associates, Inc.</t>
  </si>
  <si>
    <t>Fletcher Martin Ewing PR</t>
  </si>
  <si>
    <t>The Weiser Group</t>
  </si>
  <si>
    <t>Rogers &amp; Associates</t>
  </si>
  <si>
    <t>Development Counsellors International</t>
  </si>
  <si>
    <t>PR21, Inc.</t>
  </si>
  <si>
    <t>Qorvis Communications, LLC</t>
  </si>
  <si>
    <t>PriceMcNabb, Inc.</t>
  </si>
  <si>
    <t>L.C. Williams &amp; Associates</t>
  </si>
  <si>
    <t>Guthrie/Mayes Public Relations</t>
  </si>
  <si>
    <t>Strat@comm</t>
  </si>
  <si>
    <t>Vollmer Public Relations</t>
  </si>
  <si>
    <t>Nichol &amp; Company</t>
  </si>
  <si>
    <t>Integrated Corporate Relations Inc.</t>
  </si>
  <si>
    <t>Millennium Communications</t>
  </si>
  <si>
    <t>MGA Communications, Inc.</t>
  </si>
  <si>
    <t>Valencia, Perez &amp; Echeveste</t>
  </si>
  <si>
    <t>Seigenthaler Public Relations Inc.</t>
  </si>
  <si>
    <t>Agnes Huff Communications Group, LLC</t>
  </si>
  <si>
    <t>VANDIVER GROUP</t>
  </si>
  <si>
    <t>PAN Communications, Inc</t>
  </si>
  <si>
    <t>Marcus Thomas LLC</t>
  </si>
  <si>
    <t>Archer Malmo</t>
  </si>
  <si>
    <t>Bottom Line Public Relations and Marketing</t>
  </si>
  <si>
    <t>Public Relations Network</t>
  </si>
  <si>
    <t>Seyferth Spaulding Tennyson</t>
  </si>
  <si>
    <t>JohnstonWells Public Relations</t>
  </si>
  <si>
    <t>Morgan&amp;Myers</t>
  </si>
  <si>
    <t>Ackermann Public Relations</t>
  </si>
  <si>
    <t>PRX Inc.</t>
  </si>
  <si>
    <t>PRStreet, Inc.</t>
  </si>
  <si>
    <t>OFF MADISON AVE</t>
  </si>
  <si>
    <t>Moore Consulting Group</t>
  </si>
  <si>
    <t>CATAPULT PR-IR</t>
  </si>
  <si>
    <t>The Powell Group</t>
  </si>
  <si>
    <t>Jack Horner Communications Inc.</t>
  </si>
  <si>
    <t>Public Communications Inc.</t>
  </si>
  <si>
    <t>Schneider &amp; Associates, Inc.</t>
  </si>
  <si>
    <t>Berry Associates Public Relations Inc.</t>
  </si>
  <si>
    <t>Hyde Park Communications</t>
  </si>
  <si>
    <t>Conkling, Fiskum &amp; McCormick, Inc.</t>
  </si>
  <si>
    <t>SCOTT PEYRON &amp; ASSOCIATES</t>
  </si>
  <si>
    <t>Siddall, Inc.</t>
  </si>
  <si>
    <t>LaBreche Murray</t>
  </si>
  <si>
    <t>Firm Name</t>
  </si>
  <si>
    <t>2002 Revenue</t>
  </si>
  <si>
    <t>2001 Revenue</t>
  </si>
  <si>
    <t>Council of Public Relations Firms</t>
  </si>
  <si>
    <t>Industry Sector: Financial</t>
  </si>
  <si>
    <t>Tierney Public Relation</t>
  </si>
  <si>
    <t>Carmichael Lynch Spong</t>
  </si>
  <si>
    <t>Total Financial</t>
  </si>
  <si>
    <t>Kupper Parker Communications</t>
  </si>
  <si>
    <t>Dye, Van Mol &amp; Lawrence, Inc.</t>
  </si>
  <si>
    <t>Barkley Evergreen &amp; Partners, Inc.</t>
  </si>
  <si>
    <t>Witeck Combs Communications, Inc.</t>
  </si>
  <si>
    <t>Clifford Public Relations, LLC</t>
  </si>
  <si>
    <t>Saphar &amp; Associates</t>
  </si>
  <si>
    <t>2002 Rankings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</si>
</sst>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6" x14ac:knownFonts="1">
    <font>
      <sz val="10"/>
      <name val="MS Sans Serif"/>
    </font>
    <font>
      <b/>
      <sz val="10"/>
      <name val="MS Sans Serif"/>
      <family val="2"/>
    </font>
    <font>
      <b/>
      <u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2"/>
      <color indexed="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172" fontId="0" fillId="0" borderId="0" xfId="0" applyNumberFormat="1"/>
    <xf numFmtId="0" fontId="1" fillId="2" borderId="1" xfId="0" applyFont="1" applyFill="1" applyBorder="1" applyAlignment="1">
      <alignment horizontal="right"/>
    </xf>
    <xf numFmtId="172" fontId="1" fillId="2" borderId="1" xfId="0" applyNumberFormat="1" applyFont="1" applyFill="1" applyBorder="1"/>
    <xf numFmtId="10" fontId="0" fillId="2" borderId="1" xfId="0" applyNumberFormat="1" applyFill="1" applyBorder="1"/>
    <xf numFmtId="0" fontId="4" fillId="3" borderId="2" xfId="0" applyFont="1" applyFill="1" applyBorder="1" applyAlignment="1">
      <alignment horizontal="centerContinuous"/>
    </xf>
    <xf numFmtId="172" fontId="3" fillId="3" borderId="3" xfId="0" applyNumberFormat="1" applyFont="1" applyFill="1" applyBorder="1" applyAlignment="1">
      <alignment horizontal="centerContinuous"/>
    </xf>
    <xf numFmtId="172" fontId="0" fillId="3" borderId="3" xfId="0" applyNumberFormat="1" applyFill="1" applyBorder="1" applyAlignment="1">
      <alignment horizontal="centerContinuous"/>
    </xf>
    <xf numFmtId="10" fontId="0" fillId="3" borderId="4" xfId="0" applyNumberFormat="1" applyFill="1" applyBorder="1" applyAlignment="1">
      <alignment horizontal="centerContinuous"/>
    </xf>
    <xf numFmtId="0" fontId="4" fillId="3" borderId="5" xfId="0" applyFont="1" applyFill="1" applyBorder="1" applyAlignment="1">
      <alignment horizontal="centerContinuous"/>
    </xf>
    <xf numFmtId="172" fontId="3" fillId="3" borderId="0" xfId="0" applyNumberFormat="1" applyFont="1" applyFill="1" applyBorder="1" applyAlignment="1">
      <alignment horizontal="centerContinuous"/>
    </xf>
    <xf numFmtId="172" fontId="0" fillId="3" borderId="0" xfId="0" applyNumberFormat="1" applyFill="1" applyBorder="1" applyAlignment="1">
      <alignment horizontal="centerContinuous"/>
    </xf>
    <xf numFmtId="10" fontId="0" fillId="3" borderId="6" xfId="0" applyNumberFormat="1" applyFill="1" applyBorder="1" applyAlignment="1">
      <alignment horizontal="centerContinuous"/>
    </xf>
    <xf numFmtId="0" fontId="2" fillId="3" borderId="7" xfId="0" applyFont="1" applyFill="1" applyBorder="1" applyAlignment="1">
      <alignment horizontal="centerContinuous"/>
    </xf>
    <xf numFmtId="172" fontId="0" fillId="3" borderId="8" xfId="0" applyNumberFormat="1" applyFill="1" applyBorder="1" applyAlignment="1">
      <alignment horizontal="centerContinuous"/>
    </xf>
    <xf numFmtId="10" fontId="0" fillId="3" borderId="9" xfId="0" applyNumberFormat="1" applyFill="1" applyBorder="1" applyAlignment="1">
      <alignment horizontal="centerContinuous"/>
    </xf>
    <xf numFmtId="0" fontId="4" fillId="4" borderId="1" xfId="0" quotePrefix="1" applyNumberFormat="1" applyFont="1" applyFill="1" applyBorder="1"/>
    <xf numFmtId="172" fontId="4" fillId="4" borderId="1" xfId="0" quotePrefix="1" applyNumberFormat="1" applyFont="1" applyFill="1" applyBorder="1"/>
    <xf numFmtId="10" fontId="5" fillId="4" borderId="1" xfId="0" quotePrefix="1" applyNumberFormat="1" applyFont="1" applyFill="1" applyBorder="1"/>
    <xf numFmtId="0" fontId="4" fillId="0" borderId="0" xfId="0" applyFont="1"/>
    <xf numFmtId="0" fontId="1" fillId="0" borderId="1" xfId="0" quotePrefix="1" applyNumberFormat="1" applyFont="1" applyBorder="1"/>
    <xf numFmtId="172" fontId="1" fillId="0" borderId="1" xfId="0" applyNumberFormat="1" applyFont="1" applyBorder="1"/>
    <xf numFmtId="10" fontId="1" fillId="0" borderId="1" xfId="0" quotePrefix="1" applyNumberFormat="1" applyFont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pane ySplit="5" topLeftCell="A6" activePane="bottomLeft" state="frozen"/>
      <selection pane="bottomLeft" activeCell="E2" sqref="E2"/>
    </sheetView>
  </sheetViews>
  <sheetFormatPr defaultRowHeight="13" x14ac:dyDescent="0.3"/>
  <cols>
    <col min="1" max="1" width="55.54296875" bestFit="1" customWidth="1"/>
    <col min="2" max="3" width="18.453125" style="2" bestFit="1" customWidth="1"/>
    <col min="4" max="4" width="13.26953125" style="1" bestFit="1" customWidth="1"/>
  </cols>
  <sheetData>
    <row r="1" spans="1:4" ht="15.5" x14ac:dyDescent="0.35">
      <c r="A1" s="6" t="s">
        <v>112</v>
      </c>
      <c r="B1" s="7"/>
      <c r="C1" s="8"/>
      <c r="D1" s="9"/>
    </row>
    <row r="2" spans="1:4" ht="15.5" x14ac:dyDescent="0.35">
      <c r="A2" s="10" t="s">
        <v>123</v>
      </c>
      <c r="B2" s="11"/>
      <c r="C2" s="12"/>
      <c r="D2" s="13"/>
    </row>
    <row r="3" spans="1:4" ht="15.5" x14ac:dyDescent="0.35">
      <c r="A3" s="10" t="s">
        <v>113</v>
      </c>
      <c r="B3" s="11"/>
      <c r="C3" s="12"/>
      <c r="D3" s="13"/>
    </row>
    <row r="4" spans="1:4" x14ac:dyDescent="0.3">
      <c r="A4" s="14"/>
      <c r="B4" s="15"/>
      <c r="C4" s="15"/>
      <c r="D4" s="16"/>
    </row>
    <row r="5" spans="1:4" s="20" customFormat="1" ht="15.5" x14ac:dyDescent="0.35">
      <c r="A5" s="17" t="s">
        <v>109</v>
      </c>
      <c r="B5" s="18" t="s">
        <v>110</v>
      </c>
      <c r="C5" s="18" t="s">
        <v>111</v>
      </c>
      <c r="D5" s="19" t="s">
        <v>0</v>
      </c>
    </row>
    <row r="6" spans="1:4" x14ac:dyDescent="0.3">
      <c r="A6" s="21" t="s">
        <v>93</v>
      </c>
      <c r="B6" s="22">
        <v>11448</v>
      </c>
      <c r="C6" s="22"/>
      <c r="D6" s="23">
        <v>0</v>
      </c>
    </row>
    <row r="7" spans="1:4" x14ac:dyDescent="0.3">
      <c r="A7" s="21" t="s">
        <v>83</v>
      </c>
      <c r="B7" s="22">
        <v>35000</v>
      </c>
      <c r="C7" s="22">
        <v>31000</v>
      </c>
      <c r="D7" s="23">
        <v>0.12903225806451613</v>
      </c>
    </row>
    <row r="8" spans="1:4" x14ac:dyDescent="0.3">
      <c r="A8" s="21" t="s">
        <v>33</v>
      </c>
      <c r="B8" s="22">
        <v>336071</v>
      </c>
      <c r="C8" s="22">
        <v>311700</v>
      </c>
      <c r="D8" s="23">
        <v>7.8187359640680146E-2</v>
      </c>
    </row>
    <row r="9" spans="1:4" x14ac:dyDescent="0.3">
      <c r="A9" s="21" t="s">
        <v>87</v>
      </c>
      <c r="B9" s="22">
        <v>27179.95</v>
      </c>
      <c r="C9" s="22"/>
      <c r="D9" s="23">
        <v>0</v>
      </c>
    </row>
    <row r="10" spans="1:4" x14ac:dyDescent="0.3">
      <c r="A10" s="21" t="s">
        <v>34</v>
      </c>
      <c r="B10" s="22">
        <v>323489.14</v>
      </c>
      <c r="C10" s="22">
        <v>219713.2</v>
      </c>
      <c r="D10" s="23">
        <v>0.47232455765060999</v>
      </c>
    </row>
    <row r="11" spans="1:4" x14ac:dyDescent="0.3">
      <c r="A11" s="21" t="s">
        <v>119</v>
      </c>
      <c r="B11" s="22">
        <v>165200</v>
      </c>
      <c r="C11" s="22">
        <v>0</v>
      </c>
      <c r="D11" s="23">
        <v>0</v>
      </c>
    </row>
    <row r="12" spans="1:4" x14ac:dyDescent="0.3">
      <c r="A12" s="21" t="s">
        <v>103</v>
      </c>
      <c r="B12" s="22">
        <v>0</v>
      </c>
      <c r="C12" s="22">
        <v>114825.62</v>
      </c>
      <c r="D12" s="23">
        <v>-1</v>
      </c>
    </row>
    <row r="13" spans="1:4" x14ac:dyDescent="0.3">
      <c r="A13" s="21" t="s">
        <v>12</v>
      </c>
      <c r="B13" s="22">
        <v>1070100</v>
      </c>
      <c r="C13" s="22"/>
      <c r="D13" s="23">
        <v>0</v>
      </c>
    </row>
    <row r="14" spans="1:4" x14ac:dyDescent="0.3">
      <c r="A14" s="21" t="s">
        <v>88</v>
      </c>
      <c r="B14" s="22">
        <v>26044</v>
      </c>
      <c r="C14" s="22"/>
      <c r="D14" s="23">
        <v>0</v>
      </c>
    </row>
    <row r="15" spans="1:4" x14ac:dyDescent="0.3">
      <c r="A15" s="21" t="s">
        <v>26</v>
      </c>
      <c r="B15" s="22">
        <v>500000</v>
      </c>
      <c r="C15" s="22">
        <v>0</v>
      </c>
      <c r="D15" s="23">
        <v>0</v>
      </c>
    </row>
    <row r="16" spans="1:4" x14ac:dyDescent="0.3">
      <c r="A16" s="21" t="s">
        <v>45</v>
      </c>
      <c r="B16" s="22">
        <v>221020</v>
      </c>
      <c r="C16" s="22">
        <v>391886</v>
      </c>
      <c r="D16" s="23">
        <v>-0.43600945172830874</v>
      </c>
    </row>
    <row r="17" spans="1:4" x14ac:dyDescent="0.3">
      <c r="A17" s="21" t="s">
        <v>115</v>
      </c>
      <c r="B17" s="22">
        <v>165644</v>
      </c>
      <c r="C17" s="22">
        <v>237000</v>
      </c>
      <c r="D17" s="23">
        <v>-0.30108016877637128</v>
      </c>
    </row>
    <row r="18" spans="1:4" x14ac:dyDescent="0.3">
      <c r="A18" s="21" t="s">
        <v>21</v>
      </c>
      <c r="B18" s="22">
        <v>715973</v>
      </c>
      <c r="C18" s="22">
        <v>166154</v>
      </c>
      <c r="D18" s="23">
        <v>3.3090927693585468</v>
      </c>
    </row>
    <row r="19" spans="1:4" x14ac:dyDescent="0.3">
      <c r="A19" s="21" t="s">
        <v>98</v>
      </c>
      <c r="B19" s="22">
        <v>0</v>
      </c>
      <c r="C19" s="22">
        <v>65000</v>
      </c>
      <c r="D19" s="23">
        <v>-1</v>
      </c>
    </row>
    <row r="20" spans="1:4" x14ac:dyDescent="0.3">
      <c r="A20" s="21" t="s">
        <v>65</v>
      </c>
      <c r="B20" s="22">
        <v>116725</v>
      </c>
      <c r="C20" s="22">
        <v>0</v>
      </c>
      <c r="D20" s="23">
        <v>0</v>
      </c>
    </row>
    <row r="21" spans="1:4" x14ac:dyDescent="0.3">
      <c r="A21" s="21" t="s">
        <v>35</v>
      </c>
      <c r="B21" s="22">
        <v>316000</v>
      </c>
      <c r="C21" s="22">
        <v>1087000</v>
      </c>
      <c r="D21" s="23">
        <v>-0.70929162833486659</v>
      </c>
    </row>
    <row r="22" spans="1:4" x14ac:dyDescent="0.3">
      <c r="A22" s="21" t="s">
        <v>121</v>
      </c>
      <c r="B22" s="22">
        <v>0</v>
      </c>
      <c r="C22" s="22">
        <v>235771.05</v>
      </c>
      <c r="D22" s="23">
        <v>-1</v>
      </c>
    </row>
    <row r="23" spans="1:4" x14ac:dyDescent="0.3">
      <c r="A23" s="21" t="s">
        <v>58</v>
      </c>
      <c r="B23" s="22">
        <v>145000</v>
      </c>
      <c r="C23" s="22"/>
      <c r="D23" s="23">
        <v>0</v>
      </c>
    </row>
    <row r="24" spans="1:4" x14ac:dyDescent="0.3">
      <c r="A24" s="21" t="s">
        <v>105</v>
      </c>
      <c r="B24" s="22">
        <v>0</v>
      </c>
      <c r="C24" s="22">
        <v>30725.17</v>
      </c>
      <c r="D24" s="23">
        <v>-1</v>
      </c>
    </row>
    <row r="25" spans="1:4" x14ac:dyDescent="0.3">
      <c r="A25" s="21" t="s">
        <v>56</v>
      </c>
      <c r="B25" s="22">
        <v>151928</v>
      </c>
      <c r="C25" s="22">
        <v>169482</v>
      </c>
      <c r="D25" s="23">
        <v>-0.1035744208824536</v>
      </c>
    </row>
    <row r="26" spans="1:4" x14ac:dyDescent="0.3">
      <c r="A26" s="21" t="s">
        <v>32</v>
      </c>
      <c r="B26" s="22">
        <v>355481</v>
      </c>
      <c r="C26" s="22">
        <v>117619</v>
      </c>
      <c r="D26" s="23">
        <v>2.0223093207730045</v>
      </c>
    </row>
    <row r="27" spans="1:4" x14ac:dyDescent="0.3">
      <c r="A27" s="21" t="s">
        <v>41</v>
      </c>
      <c r="B27" s="22">
        <v>240443</v>
      </c>
      <c r="C27" s="22">
        <v>218553</v>
      </c>
      <c r="D27" s="23">
        <v>0.10015877155655607</v>
      </c>
    </row>
    <row r="28" spans="1:4" x14ac:dyDescent="0.3">
      <c r="A28" s="21" t="s">
        <v>8</v>
      </c>
      <c r="B28" s="22">
        <v>1466106</v>
      </c>
      <c r="C28" s="22">
        <v>905303</v>
      </c>
      <c r="D28" s="23">
        <v>0.61946442240885091</v>
      </c>
    </row>
    <row r="29" spans="1:4" x14ac:dyDescent="0.3">
      <c r="A29" s="21" t="s">
        <v>38</v>
      </c>
      <c r="B29" s="22">
        <v>287000</v>
      </c>
      <c r="C29" s="22">
        <v>240000</v>
      </c>
      <c r="D29" s="23">
        <v>0.19583333333333333</v>
      </c>
    </row>
    <row r="30" spans="1:4" x14ac:dyDescent="0.3">
      <c r="A30" s="21" t="s">
        <v>15</v>
      </c>
      <c r="B30" s="22">
        <v>959345.1</v>
      </c>
      <c r="C30" s="22"/>
      <c r="D30" s="23">
        <v>0</v>
      </c>
    </row>
    <row r="31" spans="1:4" x14ac:dyDescent="0.3">
      <c r="A31" s="21" t="s">
        <v>69</v>
      </c>
      <c r="B31" s="22">
        <v>96000</v>
      </c>
      <c r="C31" s="22">
        <v>96000</v>
      </c>
      <c r="D31" s="23">
        <v>0</v>
      </c>
    </row>
    <row r="32" spans="1:4" x14ac:dyDescent="0.3">
      <c r="A32" s="21" t="s">
        <v>7</v>
      </c>
      <c r="B32" s="22">
        <v>1611070</v>
      </c>
      <c r="C32" s="22">
        <v>550000</v>
      </c>
      <c r="D32" s="23">
        <v>1.9292181818181817</v>
      </c>
    </row>
    <row r="33" spans="1:4" x14ac:dyDescent="0.3">
      <c r="A33" s="21" t="s">
        <v>14</v>
      </c>
      <c r="B33" s="22">
        <v>971229</v>
      </c>
      <c r="C33" s="22">
        <v>0</v>
      </c>
      <c r="D33" s="23">
        <v>0</v>
      </c>
    </row>
    <row r="34" spans="1:4" x14ac:dyDescent="0.3">
      <c r="A34" s="24" t="s">
        <v>54</v>
      </c>
      <c r="B34" s="22">
        <v>166909.51999999999</v>
      </c>
      <c r="C34" s="22">
        <v>147653.07</v>
      </c>
      <c r="D34" s="25">
        <v>0.13041686163382854</v>
      </c>
    </row>
    <row r="35" spans="1:4" x14ac:dyDescent="0.3">
      <c r="A35" s="21" t="s">
        <v>40</v>
      </c>
      <c r="B35" s="22">
        <v>252800</v>
      </c>
      <c r="C35" s="22">
        <v>290000</v>
      </c>
      <c r="D35" s="23">
        <v>-0.12827586206896552</v>
      </c>
    </row>
    <row r="36" spans="1:4" x14ac:dyDescent="0.3">
      <c r="A36" s="21" t="s">
        <v>118</v>
      </c>
      <c r="B36" s="22">
        <v>269247</v>
      </c>
      <c r="C36" s="22">
        <v>302572</v>
      </c>
      <c r="D36" s="23">
        <v>-0.11013907433602581</v>
      </c>
    </row>
    <row r="37" spans="1:4" x14ac:dyDescent="0.3">
      <c r="A37" s="21" t="s">
        <v>1</v>
      </c>
      <c r="B37" s="22">
        <v>13815636.740800001</v>
      </c>
      <c r="C37" s="22">
        <v>13559704</v>
      </c>
      <c r="D37" s="23">
        <v>1.8874507939111357E-2</v>
      </c>
    </row>
    <row r="38" spans="1:4" x14ac:dyDescent="0.3">
      <c r="A38" s="21" t="s">
        <v>19</v>
      </c>
      <c r="B38" s="22">
        <v>775100</v>
      </c>
      <c r="C38" s="22">
        <v>688300</v>
      </c>
      <c r="D38" s="23">
        <v>0.12610780183059711</v>
      </c>
    </row>
    <row r="39" spans="1:4" x14ac:dyDescent="0.3">
      <c r="A39" s="21" t="s">
        <v>37</v>
      </c>
      <c r="B39" s="22">
        <v>312917</v>
      </c>
      <c r="C39" s="22"/>
      <c r="D39" s="23">
        <v>0</v>
      </c>
    </row>
    <row r="40" spans="1:4" x14ac:dyDescent="0.3">
      <c r="A40" s="21" t="s">
        <v>44</v>
      </c>
      <c r="B40" s="22">
        <v>221438</v>
      </c>
      <c r="C40" s="22">
        <v>175000</v>
      </c>
      <c r="D40" s="23">
        <v>0.26535999999999998</v>
      </c>
    </row>
    <row r="41" spans="1:4" x14ac:dyDescent="0.3">
      <c r="A41" s="21" t="s">
        <v>61</v>
      </c>
      <c r="B41" s="22">
        <v>137700</v>
      </c>
      <c r="C41" s="22"/>
      <c r="D41" s="23">
        <v>0</v>
      </c>
    </row>
    <row r="42" spans="1:4" x14ac:dyDescent="0.3">
      <c r="A42" s="21" t="s">
        <v>11</v>
      </c>
      <c r="B42" s="22">
        <v>1090000</v>
      </c>
      <c r="C42" s="22">
        <v>1595000</v>
      </c>
      <c r="D42" s="23">
        <v>-0.31661442006269591</v>
      </c>
    </row>
    <row r="43" spans="1:4" x14ac:dyDescent="0.3">
      <c r="A43" s="21" t="s">
        <v>66</v>
      </c>
      <c r="B43" s="22">
        <v>110000</v>
      </c>
      <c r="C43" s="22">
        <v>150000</v>
      </c>
      <c r="D43" s="23">
        <v>-0.26666666666666666</v>
      </c>
    </row>
    <row r="44" spans="1:4" x14ac:dyDescent="0.3">
      <c r="A44" s="21" t="s">
        <v>31</v>
      </c>
      <c r="B44" s="22">
        <v>370009</v>
      </c>
      <c r="C44" s="22">
        <v>324959</v>
      </c>
      <c r="D44" s="23">
        <v>0.13863287368560342</v>
      </c>
    </row>
    <row r="45" spans="1:4" x14ac:dyDescent="0.3">
      <c r="A45" s="21" t="s">
        <v>17</v>
      </c>
      <c r="B45" s="22">
        <v>900000</v>
      </c>
      <c r="C45" s="22">
        <v>1000000</v>
      </c>
      <c r="D45" s="23">
        <v>-0.1</v>
      </c>
    </row>
    <row r="46" spans="1:4" x14ac:dyDescent="0.3">
      <c r="A46" s="21" t="s">
        <v>74</v>
      </c>
      <c r="B46" s="22">
        <v>67631</v>
      </c>
      <c r="C46" s="22">
        <v>135000</v>
      </c>
      <c r="D46" s="23">
        <v>-0.49902962962962966</v>
      </c>
    </row>
    <row r="47" spans="1:4" x14ac:dyDescent="0.3">
      <c r="A47" s="21" t="s">
        <v>22</v>
      </c>
      <c r="B47" s="22">
        <v>663189</v>
      </c>
      <c r="C47" s="22">
        <v>1156848</v>
      </c>
      <c r="D47" s="23">
        <v>-0.42672762540973402</v>
      </c>
    </row>
    <row r="48" spans="1:4" x14ac:dyDescent="0.3">
      <c r="A48" s="21" t="s">
        <v>104</v>
      </c>
      <c r="B48" s="22">
        <v>0</v>
      </c>
      <c r="C48" s="22">
        <v>60500</v>
      </c>
      <c r="D48" s="23">
        <v>-1</v>
      </c>
    </row>
    <row r="49" spans="1:4" x14ac:dyDescent="0.3">
      <c r="A49" s="21" t="s">
        <v>51</v>
      </c>
      <c r="B49" s="22">
        <v>180000</v>
      </c>
      <c r="C49" s="22">
        <v>600000</v>
      </c>
      <c r="D49" s="23">
        <v>-0.7</v>
      </c>
    </row>
    <row r="50" spans="1:4" x14ac:dyDescent="0.3">
      <c r="A50" s="21" t="s">
        <v>23</v>
      </c>
      <c r="B50" s="22">
        <v>570302</v>
      </c>
      <c r="C50" s="22">
        <v>554156</v>
      </c>
      <c r="D50" s="23">
        <v>2.9136199914825429E-2</v>
      </c>
    </row>
    <row r="51" spans="1:4" x14ac:dyDescent="0.3">
      <c r="A51" s="21" t="s">
        <v>78</v>
      </c>
      <c r="B51" s="22">
        <v>60000</v>
      </c>
      <c r="C51" s="22"/>
      <c r="D51" s="23">
        <v>0</v>
      </c>
    </row>
    <row r="52" spans="1:4" x14ac:dyDescent="0.3">
      <c r="A52" s="21" t="s">
        <v>3</v>
      </c>
      <c r="B52" s="22">
        <v>3670000</v>
      </c>
      <c r="C52" s="22">
        <v>3142000</v>
      </c>
      <c r="D52" s="23">
        <v>0.16804583068109485</v>
      </c>
    </row>
    <row r="53" spans="1:4" x14ac:dyDescent="0.3">
      <c r="A53" s="21" t="s">
        <v>100</v>
      </c>
      <c r="B53" s="22">
        <v>0</v>
      </c>
      <c r="C53" s="22">
        <v>2500</v>
      </c>
      <c r="D53" s="23">
        <v>-1</v>
      </c>
    </row>
    <row r="54" spans="1:4" x14ac:dyDescent="0.3">
      <c r="A54" s="24" t="s">
        <v>28</v>
      </c>
      <c r="B54" s="22">
        <v>431900.88</v>
      </c>
      <c r="C54" s="22">
        <v>713207.68</v>
      </c>
      <c r="D54" s="25">
        <v>-0.39442480484786702</v>
      </c>
    </row>
    <row r="55" spans="1:4" x14ac:dyDescent="0.3">
      <c r="A55" s="21" t="s">
        <v>18</v>
      </c>
      <c r="B55" s="22">
        <v>840800</v>
      </c>
      <c r="C55" s="22">
        <v>1289304</v>
      </c>
      <c r="D55" s="23">
        <v>-0.34786520479266331</v>
      </c>
    </row>
    <row r="56" spans="1:4" x14ac:dyDescent="0.3">
      <c r="A56" s="21" t="s">
        <v>39</v>
      </c>
      <c r="B56" s="22">
        <v>270000</v>
      </c>
      <c r="C56" s="22">
        <v>200000</v>
      </c>
      <c r="D56" s="23">
        <v>0.35</v>
      </c>
    </row>
    <row r="57" spans="1:4" x14ac:dyDescent="0.3">
      <c r="A57" s="21" t="s">
        <v>91</v>
      </c>
      <c r="B57" s="22">
        <v>23109</v>
      </c>
      <c r="C57" s="22">
        <v>165463</v>
      </c>
      <c r="D57" s="23">
        <v>-0.86033735638783293</v>
      </c>
    </row>
    <row r="58" spans="1:4" x14ac:dyDescent="0.3">
      <c r="A58" s="21" t="s">
        <v>10</v>
      </c>
      <c r="B58" s="22">
        <v>1250000</v>
      </c>
      <c r="C58" s="22">
        <v>1350000</v>
      </c>
      <c r="D58" s="23">
        <v>-7.407407407407407E-2</v>
      </c>
    </row>
    <row r="59" spans="1:4" x14ac:dyDescent="0.3">
      <c r="A59" s="21" t="s">
        <v>117</v>
      </c>
      <c r="B59" s="22">
        <v>440992</v>
      </c>
      <c r="C59" s="22">
        <v>519965</v>
      </c>
      <c r="D59" s="23">
        <v>-0.15188137663111939</v>
      </c>
    </row>
    <row r="60" spans="1:4" x14ac:dyDescent="0.3">
      <c r="A60" s="21" t="s">
        <v>73</v>
      </c>
      <c r="B60" s="22">
        <v>73206</v>
      </c>
      <c r="C60" s="22">
        <v>94176</v>
      </c>
      <c r="D60" s="23">
        <v>-0.22266819571865443</v>
      </c>
    </row>
    <row r="61" spans="1:4" x14ac:dyDescent="0.3">
      <c r="A61" s="21" t="s">
        <v>108</v>
      </c>
      <c r="B61" s="22">
        <v>0</v>
      </c>
      <c r="C61" s="22">
        <v>37000</v>
      </c>
      <c r="D61" s="23">
        <v>-1</v>
      </c>
    </row>
    <row r="62" spans="1:4" x14ac:dyDescent="0.3">
      <c r="A62" s="21" t="s">
        <v>53</v>
      </c>
      <c r="B62" s="22">
        <v>169776.96</v>
      </c>
      <c r="C62" s="22">
        <v>175415.67</v>
      </c>
      <c r="D62" s="23">
        <v>-3.2144847720845006E-2</v>
      </c>
    </row>
    <row r="63" spans="1:4" x14ac:dyDescent="0.3">
      <c r="A63" s="21" t="s">
        <v>5</v>
      </c>
      <c r="B63" s="22">
        <v>2155000</v>
      </c>
      <c r="C63" s="22">
        <v>2180000</v>
      </c>
      <c r="D63" s="23">
        <v>-1.1467889908256881E-2</v>
      </c>
    </row>
    <row r="64" spans="1:4" x14ac:dyDescent="0.3">
      <c r="A64" s="21" t="s">
        <v>86</v>
      </c>
      <c r="B64" s="22">
        <v>30323</v>
      </c>
      <c r="C64" s="22">
        <v>241436</v>
      </c>
      <c r="D64" s="23">
        <v>-0.87440563958978779</v>
      </c>
    </row>
    <row r="65" spans="1:4" x14ac:dyDescent="0.3">
      <c r="A65" s="21" t="s">
        <v>57</v>
      </c>
      <c r="B65" s="22">
        <v>148263.91</v>
      </c>
      <c r="C65" s="22">
        <v>153325.48000000001</v>
      </c>
      <c r="D65" s="23">
        <v>-3.3011929915366965E-2</v>
      </c>
    </row>
    <row r="66" spans="1:4" x14ac:dyDescent="0.3">
      <c r="A66" s="21" t="s">
        <v>52</v>
      </c>
      <c r="B66" s="22">
        <v>177780</v>
      </c>
      <c r="C66" s="22">
        <v>160133</v>
      </c>
      <c r="D66" s="23">
        <v>0.11020214446741146</v>
      </c>
    </row>
    <row r="67" spans="1:4" x14ac:dyDescent="0.3">
      <c r="A67" s="21" t="s">
        <v>80</v>
      </c>
      <c r="B67" s="22">
        <v>51191</v>
      </c>
      <c r="C67" s="22">
        <v>274596</v>
      </c>
      <c r="D67" s="23">
        <v>-0.81357703681044147</v>
      </c>
    </row>
    <row r="68" spans="1:4" x14ac:dyDescent="0.3">
      <c r="A68" s="21" t="s">
        <v>79</v>
      </c>
      <c r="B68" s="22">
        <v>59995</v>
      </c>
      <c r="C68" s="22">
        <v>41201</v>
      </c>
      <c r="D68" s="23">
        <v>0.45615397684522219</v>
      </c>
    </row>
    <row r="69" spans="1:4" x14ac:dyDescent="0.3">
      <c r="A69" s="21" t="s">
        <v>97</v>
      </c>
      <c r="B69" s="22">
        <v>799</v>
      </c>
      <c r="C69" s="22"/>
      <c r="D69" s="23">
        <v>0</v>
      </c>
    </row>
    <row r="70" spans="1:4" x14ac:dyDescent="0.3">
      <c r="A70" s="21" t="s">
        <v>92</v>
      </c>
      <c r="B70" s="22">
        <v>18914</v>
      </c>
      <c r="C70" s="22">
        <v>256687</v>
      </c>
      <c r="D70" s="23">
        <v>-0.92631492829788808</v>
      </c>
    </row>
    <row r="71" spans="1:4" x14ac:dyDescent="0.3">
      <c r="A71" s="21" t="s">
        <v>59</v>
      </c>
      <c r="B71" s="22">
        <v>141207</v>
      </c>
      <c r="C71" s="22">
        <v>78753</v>
      </c>
      <c r="D71" s="23">
        <v>0.79303645575406656</v>
      </c>
    </row>
    <row r="72" spans="1:4" x14ac:dyDescent="0.3">
      <c r="A72" s="21" t="s">
        <v>50</v>
      </c>
      <c r="B72" s="22">
        <v>182500</v>
      </c>
      <c r="C72" s="22">
        <v>188000</v>
      </c>
      <c r="D72" s="23">
        <v>-2.9255319148936171E-2</v>
      </c>
    </row>
    <row r="73" spans="1:4" x14ac:dyDescent="0.3">
      <c r="A73" s="21" t="s">
        <v>77</v>
      </c>
      <c r="B73" s="22">
        <v>60000</v>
      </c>
      <c r="C73" s="22">
        <v>0</v>
      </c>
      <c r="D73" s="23">
        <v>0</v>
      </c>
    </row>
    <row r="74" spans="1:4" x14ac:dyDescent="0.3">
      <c r="A74" s="21" t="s">
        <v>63</v>
      </c>
      <c r="B74" s="22">
        <v>130845</v>
      </c>
      <c r="C74" s="22"/>
      <c r="D74" s="23">
        <v>0</v>
      </c>
    </row>
    <row r="75" spans="1:4" x14ac:dyDescent="0.3">
      <c r="A75" s="21" t="s">
        <v>96</v>
      </c>
      <c r="B75" s="22">
        <v>3800</v>
      </c>
      <c r="C75" s="22"/>
      <c r="D75" s="23">
        <v>0</v>
      </c>
    </row>
    <row r="76" spans="1:4" x14ac:dyDescent="0.3">
      <c r="A76" s="21" t="s">
        <v>42</v>
      </c>
      <c r="B76" s="22">
        <v>232037</v>
      </c>
      <c r="C76" s="22">
        <v>583468</v>
      </c>
      <c r="D76" s="23">
        <v>-0.60231409434621952</v>
      </c>
    </row>
    <row r="77" spans="1:4" x14ac:dyDescent="0.3">
      <c r="A77" s="21" t="s">
        <v>30</v>
      </c>
      <c r="B77" s="22">
        <v>374158</v>
      </c>
      <c r="C77" s="22">
        <v>273225</v>
      </c>
      <c r="D77" s="23">
        <v>0.36941348705279531</v>
      </c>
    </row>
    <row r="78" spans="1:4" x14ac:dyDescent="0.3">
      <c r="A78" s="21" t="s">
        <v>85</v>
      </c>
      <c r="B78" s="22">
        <v>32100</v>
      </c>
      <c r="C78" s="22">
        <v>74940</v>
      </c>
      <c r="D78" s="23">
        <v>-0.57165732586068851</v>
      </c>
    </row>
    <row r="79" spans="1:4" x14ac:dyDescent="0.3">
      <c r="A79" s="21" t="s">
        <v>49</v>
      </c>
      <c r="B79" s="22">
        <v>184003</v>
      </c>
      <c r="C79" s="22">
        <v>180280</v>
      </c>
      <c r="D79" s="23">
        <v>2.0651209230086533E-2</v>
      </c>
    </row>
    <row r="80" spans="1:4" x14ac:dyDescent="0.3">
      <c r="A80" s="21" t="s">
        <v>4</v>
      </c>
      <c r="B80" s="22">
        <v>2609024</v>
      </c>
      <c r="C80" s="22">
        <v>2934575</v>
      </c>
      <c r="D80" s="23">
        <v>-0.11093633660751556</v>
      </c>
    </row>
    <row r="81" spans="1:4" x14ac:dyDescent="0.3">
      <c r="A81" s="21" t="s">
        <v>62</v>
      </c>
      <c r="B81" s="22">
        <v>133971</v>
      </c>
      <c r="C81" s="22">
        <v>55606</v>
      </c>
      <c r="D81" s="23">
        <v>1.409290364349171</v>
      </c>
    </row>
    <row r="82" spans="1:4" x14ac:dyDescent="0.3">
      <c r="A82" s="21" t="s">
        <v>70</v>
      </c>
      <c r="B82" s="22">
        <v>90173.7</v>
      </c>
      <c r="C82" s="22">
        <v>231933</v>
      </c>
      <c r="D82" s="23">
        <v>-0.61120797816610828</v>
      </c>
    </row>
    <row r="83" spans="1:4" x14ac:dyDescent="0.3">
      <c r="A83" s="21" t="s">
        <v>72</v>
      </c>
      <c r="B83" s="22">
        <v>79892</v>
      </c>
      <c r="C83" s="22"/>
      <c r="D83" s="23">
        <v>0</v>
      </c>
    </row>
    <row r="84" spans="1:4" x14ac:dyDescent="0.3">
      <c r="A84" s="21" t="s">
        <v>95</v>
      </c>
      <c r="B84" s="22">
        <v>6000</v>
      </c>
      <c r="C84" s="22"/>
      <c r="D84" s="23">
        <v>0</v>
      </c>
    </row>
    <row r="85" spans="1:4" x14ac:dyDescent="0.3">
      <c r="A85" s="21" t="s">
        <v>94</v>
      </c>
      <c r="B85" s="22">
        <v>8032</v>
      </c>
      <c r="C85" s="22">
        <v>104780</v>
      </c>
      <c r="D85" s="23">
        <v>-0.92334414964687916</v>
      </c>
    </row>
    <row r="86" spans="1:4" x14ac:dyDescent="0.3">
      <c r="A86" s="21" t="s">
        <v>101</v>
      </c>
      <c r="B86" s="22">
        <v>0</v>
      </c>
      <c r="C86" s="22">
        <v>60045</v>
      </c>
      <c r="D86" s="23">
        <v>-1</v>
      </c>
    </row>
    <row r="87" spans="1:4" x14ac:dyDescent="0.3">
      <c r="A87" s="21" t="s">
        <v>89</v>
      </c>
      <c r="B87" s="22">
        <v>25490</v>
      </c>
      <c r="C87" s="22">
        <v>0</v>
      </c>
      <c r="D87" s="23">
        <v>0</v>
      </c>
    </row>
    <row r="88" spans="1:4" x14ac:dyDescent="0.3">
      <c r="A88" s="21" t="s">
        <v>71</v>
      </c>
      <c r="B88" s="22">
        <v>83333</v>
      </c>
      <c r="C88" s="22">
        <v>0</v>
      </c>
      <c r="D88" s="23">
        <v>0</v>
      </c>
    </row>
    <row r="89" spans="1:4" x14ac:dyDescent="0.3">
      <c r="A89" s="21" t="s">
        <v>68</v>
      </c>
      <c r="B89" s="22">
        <v>99932</v>
      </c>
      <c r="C89" s="22">
        <v>0</v>
      </c>
      <c r="D89" s="23">
        <v>0</v>
      </c>
    </row>
    <row r="90" spans="1:4" x14ac:dyDescent="0.3">
      <c r="A90" s="21" t="s">
        <v>122</v>
      </c>
      <c r="B90" s="22">
        <v>0</v>
      </c>
      <c r="C90" s="22">
        <v>12365</v>
      </c>
      <c r="D90" s="23">
        <v>-1</v>
      </c>
    </row>
    <row r="91" spans="1:4" x14ac:dyDescent="0.3">
      <c r="A91" s="21" t="s">
        <v>13</v>
      </c>
      <c r="B91" s="22">
        <v>1022620.91</v>
      </c>
      <c r="C91" s="22">
        <v>328539.63</v>
      </c>
      <c r="D91" s="23">
        <v>2.112625743201817</v>
      </c>
    </row>
    <row r="92" spans="1:4" x14ac:dyDescent="0.3">
      <c r="A92" s="21" t="s">
        <v>102</v>
      </c>
      <c r="B92" s="22">
        <v>0</v>
      </c>
      <c r="C92" s="22">
        <v>3408</v>
      </c>
      <c r="D92" s="23">
        <v>-1</v>
      </c>
    </row>
    <row r="93" spans="1:4" x14ac:dyDescent="0.3">
      <c r="A93" s="21" t="s">
        <v>106</v>
      </c>
      <c r="B93" s="22">
        <v>0</v>
      </c>
      <c r="C93" s="22">
        <v>5082</v>
      </c>
      <c r="D93" s="23">
        <v>-1</v>
      </c>
    </row>
    <row r="94" spans="1:4" x14ac:dyDescent="0.3">
      <c r="A94" s="21" t="s">
        <v>82</v>
      </c>
      <c r="B94" s="22">
        <v>41337.5</v>
      </c>
      <c r="C94" s="22"/>
      <c r="D94" s="23">
        <v>0</v>
      </c>
    </row>
    <row r="95" spans="1:4" x14ac:dyDescent="0.3">
      <c r="A95" s="21" t="s">
        <v>90</v>
      </c>
      <c r="B95" s="22">
        <v>25006</v>
      </c>
      <c r="C95" s="22">
        <v>29180</v>
      </c>
      <c r="D95" s="23">
        <v>-0.14304318026045237</v>
      </c>
    </row>
    <row r="96" spans="1:4" x14ac:dyDescent="0.3">
      <c r="A96" s="21" t="s">
        <v>107</v>
      </c>
      <c r="B96" s="22">
        <v>0</v>
      </c>
      <c r="C96" s="22">
        <v>11587</v>
      </c>
      <c r="D96" s="23">
        <v>-1</v>
      </c>
    </row>
    <row r="97" spans="1:4" x14ac:dyDescent="0.3">
      <c r="A97" s="21" t="s">
        <v>46</v>
      </c>
      <c r="B97" s="22">
        <v>215033</v>
      </c>
      <c r="C97" s="22">
        <v>444055</v>
      </c>
      <c r="D97" s="23">
        <v>-0.51575142718807354</v>
      </c>
    </row>
    <row r="98" spans="1:4" x14ac:dyDescent="0.3">
      <c r="A98" s="21" t="s">
        <v>6</v>
      </c>
      <c r="B98" s="22">
        <v>2000000</v>
      </c>
      <c r="C98" s="22">
        <v>0</v>
      </c>
      <c r="D98" s="23">
        <v>0</v>
      </c>
    </row>
    <row r="99" spans="1:4" x14ac:dyDescent="0.3">
      <c r="A99" s="21" t="s">
        <v>36</v>
      </c>
      <c r="B99" s="22">
        <v>314609</v>
      </c>
      <c r="C99" s="22"/>
      <c r="D99" s="23">
        <v>0</v>
      </c>
    </row>
    <row r="100" spans="1:4" x14ac:dyDescent="0.3">
      <c r="A100" s="21" t="s">
        <v>75</v>
      </c>
      <c r="B100" s="22">
        <v>67494</v>
      </c>
      <c r="C100" s="22">
        <v>0</v>
      </c>
      <c r="D100" s="23">
        <v>0</v>
      </c>
    </row>
    <row r="101" spans="1:4" x14ac:dyDescent="0.3">
      <c r="A101" s="21" t="s">
        <v>16</v>
      </c>
      <c r="B101" s="22">
        <v>950000</v>
      </c>
      <c r="C101" s="22">
        <v>0</v>
      </c>
      <c r="D101" s="23">
        <v>0</v>
      </c>
    </row>
    <row r="102" spans="1:4" x14ac:dyDescent="0.3">
      <c r="A102" s="21" t="s">
        <v>20</v>
      </c>
      <c r="B102" s="22">
        <v>738000</v>
      </c>
      <c r="C102" s="22">
        <v>929000</v>
      </c>
      <c r="D102" s="23">
        <v>-0.20559741657696448</v>
      </c>
    </row>
    <row r="103" spans="1:4" x14ac:dyDescent="0.3">
      <c r="A103" s="21" t="s">
        <v>99</v>
      </c>
      <c r="B103" s="22">
        <v>0</v>
      </c>
      <c r="C103" s="22">
        <v>30171</v>
      </c>
      <c r="D103" s="23">
        <v>-1</v>
      </c>
    </row>
    <row r="104" spans="1:4" x14ac:dyDescent="0.3">
      <c r="A104" s="21" t="s">
        <v>24</v>
      </c>
      <c r="B104" s="22">
        <v>569989</v>
      </c>
      <c r="C104" s="22">
        <v>434089.39</v>
      </c>
      <c r="D104" s="23">
        <v>0.31306825997290555</v>
      </c>
    </row>
    <row r="105" spans="1:4" x14ac:dyDescent="0.3">
      <c r="A105" s="21" t="s">
        <v>2</v>
      </c>
      <c r="B105" s="22">
        <v>7074000</v>
      </c>
      <c r="C105" s="22">
        <v>6247000</v>
      </c>
      <c r="D105" s="23">
        <v>0.13238354410116857</v>
      </c>
    </row>
    <row r="106" spans="1:4" x14ac:dyDescent="0.3">
      <c r="A106" s="21" t="s">
        <v>47</v>
      </c>
      <c r="B106" s="22">
        <v>210733</v>
      </c>
      <c r="C106" s="22"/>
      <c r="D106" s="23">
        <v>0</v>
      </c>
    </row>
    <row r="107" spans="1:4" x14ac:dyDescent="0.3">
      <c r="A107" s="21" t="s">
        <v>60</v>
      </c>
      <c r="B107" s="22">
        <v>140000</v>
      </c>
      <c r="C107" s="22">
        <v>43728</v>
      </c>
      <c r="D107" s="23">
        <v>2.2016099524332238</v>
      </c>
    </row>
    <row r="108" spans="1:4" x14ac:dyDescent="0.3">
      <c r="A108" s="21" t="s">
        <v>67</v>
      </c>
      <c r="B108" s="22">
        <v>105000</v>
      </c>
      <c r="C108" s="22">
        <v>435000</v>
      </c>
      <c r="D108" s="23">
        <v>-0.75862068965517238</v>
      </c>
    </row>
    <row r="109" spans="1:4" x14ac:dyDescent="0.3">
      <c r="A109" s="21" t="s">
        <v>114</v>
      </c>
      <c r="B109" s="22">
        <v>404851</v>
      </c>
      <c r="C109" s="22"/>
      <c r="D109" s="23">
        <v>0</v>
      </c>
    </row>
    <row r="110" spans="1:4" x14ac:dyDescent="0.3">
      <c r="A110" s="21" t="s">
        <v>64</v>
      </c>
      <c r="B110" s="22">
        <v>120485</v>
      </c>
      <c r="C110" s="22">
        <v>0</v>
      </c>
      <c r="D110" s="23">
        <v>0</v>
      </c>
    </row>
    <row r="111" spans="1:4" x14ac:dyDescent="0.3">
      <c r="A111" s="21" t="s">
        <v>48</v>
      </c>
      <c r="B111" s="22">
        <v>184097.3</v>
      </c>
      <c r="C111" s="22"/>
      <c r="D111" s="23">
        <v>0</v>
      </c>
    </row>
    <row r="112" spans="1:4" x14ac:dyDescent="0.3">
      <c r="A112" s="21" t="s">
        <v>43</v>
      </c>
      <c r="B112" s="22">
        <v>226500</v>
      </c>
      <c r="C112" s="22"/>
      <c r="D112" s="23">
        <v>0</v>
      </c>
    </row>
    <row r="113" spans="1:4" x14ac:dyDescent="0.3">
      <c r="A113" s="21" t="s">
        <v>27</v>
      </c>
      <c r="B113" s="22">
        <v>498624</v>
      </c>
      <c r="C113" s="22">
        <v>467173</v>
      </c>
      <c r="D113" s="23">
        <v>6.7321955678089268E-2</v>
      </c>
    </row>
    <row r="114" spans="1:4" x14ac:dyDescent="0.3">
      <c r="A114" s="21" t="s">
        <v>81</v>
      </c>
      <c r="B114" s="22">
        <v>45554</v>
      </c>
      <c r="C114" s="22"/>
      <c r="D114" s="23">
        <v>0</v>
      </c>
    </row>
    <row r="115" spans="1:4" x14ac:dyDescent="0.3">
      <c r="A115" s="21" t="s">
        <v>84</v>
      </c>
      <c r="B115" s="22">
        <v>32801</v>
      </c>
      <c r="C115" s="22">
        <v>0</v>
      </c>
      <c r="D115" s="23">
        <v>0</v>
      </c>
    </row>
    <row r="116" spans="1:4" x14ac:dyDescent="0.3">
      <c r="A116" s="21" t="s">
        <v>76</v>
      </c>
      <c r="B116" s="22">
        <v>61272</v>
      </c>
      <c r="C116" s="22">
        <v>253963</v>
      </c>
      <c r="D116" s="23">
        <v>-0.7587365088615271</v>
      </c>
    </row>
    <row r="117" spans="1:4" x14ac:dyDescent="0.3">
      <c r="A117" s="21" t="s">
        <v>9</v>
      </c>
      <c r="B117" s="22">
        <v>1294000</v>
      </c>
      <c r="C117" s="22">
        <v>438000</v>
      </c>
      <c r="D117" s="23">
        <v>1.9543378995433789</v>
      </c>
    </row>
    <row r="118" spans="1:4" x14ac:dyDescent="0.3">
      <c r="A118" s="21" t="s">
        <v>29</v>
      </c>
      <c r="B118" s="22">
        <v>400000</v>
      </c>
      <c r="C118" s="22">
        <v>0</v>
      </c>
      <c r="D118" s="23">
        <v>0</v>
      </c>
    </row>
    <row r="119" spans="1:4" x14ac:dyDescent="0.3">
      <c r="A119" s="21" t="s">
        <v>25</v>
      </c>
      <c r="B119" s="22">
        <v>509147</v>
      </c>
      <c r="C119" s="22">
        <v>0</v>
      </c>
      <c r="D119" s="23">
        <v>0</v>
      </c>
    </row>
    <row r="120" spans="1:4" x14ac:dyDescent="0.3">
      <c r="A120" s="21" t="s">
        <v>120</v>
      </c>
      <c r="B120" s="22">
        <v>2500</v>
      </c>
      <c r="C120" s="22">
        <v>3980</v>
      </c>
      <c r="D120" s="23">
        <v>-0.37185929648241206</v>
      </c>
    </row>
    <row r="121" spans="1:4" x14ac:dyDescent="0.3">
      <c r="A121" s="21" t="s">
        <v>55</v>
      </c>
      <c r="B121" s="22">
        <v>166197.5</v>
      </c>
      <c r="C121" s="22">
        <v>186900</v>
      </c>
      <c r="D121" s="23">
        <v>-0.11076779026217229</v>
      </c>
    </row>
    <row r="122" spans="1:4" x14ac:dyDescent="0.3">
      <c r="A122" s="3" t="s">
        <v>116</v>
      </c>
      <c r="B122" s="4">
        <f>SUM(B6:B121)</f>
        <v>61984775.110799998</v>
      </c>
      <c r="C122" s="4">
        <f>SUM(C6:C121)</f>
        <v>51992659.960000001</v>
      </c>
      <c r="D122" s="5"/>
    </row>
  </sheetData>
  <phoneticPr fontId="0" type="noConversion"/>
  <conditionalFormatting sqref="D6:D65536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5" right="0.75" top="1" bottom="1" header="0.75" footer="0.5"/>
  <pageSetup orientation="landscape" verticalDpi="3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Financial All</vt:lpstr>
      <vt:lpstr>'Financial All'!Print_Titles</vt:lpstr>
      <vt:lpstr>R84FinAll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2003-03-18T17:49:23Z</cp:lastPrinted>
  <dcterms:created xsi:type="dcterms:W3CDTF">2003-05-12T06:19:58Z</dcterms:created>
  <dcterms:modified xsi:type="dcterms:W3CDTF">2020-01-27T11:44:48Z</dcterms:modified>
</cp:coreProperties>
</file>