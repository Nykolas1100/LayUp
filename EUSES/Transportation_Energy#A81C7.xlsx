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1D55682-716D-405A-B797-1C68FCD3AB47}" xr6:coauthVersionLast="45" xr6:coauthVersionMax="45" xr10:uidLastSave="{00000000-0000-0000-0000-000000000000}"/>
  <bookViews>
    <workbookView xWindow="3420" yWindow="3420" windowWidth="28800" windowHeight="15460" activeTab="1"/>
  </bookViews>
  <sheets>
    <sheet name="DATA" sheetId="1" r:id="rId1"/>
    <sheet name="HTML" sheetId="2" r:id="rId2"/>
  </sheets>
  <definedNames>
    <definedName name="HTML_CodePage" hidden="1">1252</definedName>
    <definedName name="HTML_Control" hidden="1">{"'HTML'!$A$2:$C$2"}</definedName>
    <definedName name="HTML_Description" hidden="1">""</definedName>
    <definedName name="HTML_Email" hidden="1">""</definedName>
    <definedName name="HTML_Header" hidden="1">"HTML"</definedName>
    <definedName name="HTML_LastUpdate" hidden="1">"3/5/02"</definedName>
    <definedName name="HTML_LineAfter" hidden="1">FALSE</definedName>
    <definedName name="HTML_LineBefore" hidden="1">FALSE</definedName>
    <definedName name="HTML_Name" hidden="1">"Ben Chang"</definedName>
    <definedName name="HTML_OBDlg2" hidden="1">TRUE</definedName>
    <definedName name="HTML_OBDlg4" hidden="1">TRUE</definedName>
    <definedName name="HTML_OS" hidden="1">0</definedName>
    <definedName name="HTML_PathFile" hidden="1">"C:\WINNT\Profiles\Bchang.000\Desktop\Transportation_Energy_Use_Per_Dollar_of_GDP.htm"</definedName>
    <definedName name="HTML_Title" hidden="1">"Transportation_Energy_Use_Per_Dollar_of_GDP"</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1" l="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alcChain>
</file>

<file path=xl/sharedStrings.xml><?xml version="1.0" encoding="utf-8"?>
<sst xmlns="http://schemas.openxmlformats.org/spreadsheetml/2006/main" count="74" uniqueCount="72">
  <si>
    <t>Q1 98</t>
  </si>
  <si>
    <t>Q2 98</t>
  </si>
  <si>
    <t>Q3 98</t>
  </si>
  <si>
    <t>Q4 98</t>
  </si>
  <si>
    <t>Q1 99</t>
  </si>
  <si>
    <t>Q2 99</t>
  </si>
  <si>
    <t>Q3 99</t>
  </si>
  <si>
    <t>Q4 99</t>
  </si>
  <si>
    <t>Q1 00</t>
  </si>
  <si>
    <t>Q2 00</t>
  </si>
  <si>
    <t>Q3 00</t>
  </si>
  <si>
    <t>Q4 00</t>
  </si>
  <si>
    <t>Q1 01</t>
  </si>
  <si>
    <t>Q2 01</t>
  </si>
  <si>
    <t>Q3 01</t>
  </si>
  <si>
    <t>Q4 01</t>
  </si>
  <si>
    <t>Change in Real GDP (from previous quarter)</t>
  </si>
  <si>
    <t>Date</t>
  </si>
  <si>
    <t>Unit of Measurement: Thousand BTU per Dollar of GDP</t>
  </si>
  <si>
    <t>Real GDP - Chained 1996 $</t>
  </si>
  <si>
    <t>Billion Chained 1996 $</t>
  </si>
  <si>
    <t>Transportation Energy Use Per $ GDP</t>
  </si>
  <si>
    <r>
      <t xml:space="preserve">Source:Department of Energy, Energy Information Administration, </t>
    </r>
    <r>
      <rPr>
        <i/>
        <sz val="10"/>
        <rFont val="Arial"/>
        <family val="2"/>
      </rPr>
      <t>Monthly Energy Review</t>
    </r>
    <r>
      <rPr>
        <sz val="10"/>
        <rFont val="Arial"/>
      </rPr>
      <t>, July 2000. Available at: www.eia.doe.gov</t>
    </r>
  </si>
  <si>
    <t>Transportation Energy Use Per $ of GDP</t>
  </si>
  <si>
    <t>Percent change from same quarter previous year</t>
  </si>
  <si>
    <t>Q1 96</t>
  </si>
  <si>
    <t>Q2 96</t>
  </si>
  <si>
    <t>Q3 96</t>
  </si>
  <si>
    <t>Q4 96</t>
  </si>
  <si>
    <t>Q1 97</t>
  </si>
  <si>
    <t>Q2 97</t>
  </si>
  <si>
    <t>Q3 97</t>
  </si>
  <si>
    <t>Q4 97</t>
  </si>
  <si>
    <t>US GDP numbers are from Charlie Han</t>
  </si>
  <si>
    <t>Q1 90</t>
  </si>
  <si>
    <t>Q2 90</t>
  </si>
  <si>
    <t>Q3 90</t>
  </si>
  <si>
    <t>Q4 90</t>
  </si>
  <si>
    <t>Q1 91</t>
  </si>
  <si>
    <t>Q2 91</t>
  </si>
  <si>
    <t>Q3 91</t>
  </si>
  <si>
    <t>Q4 91</t>
  </si>
  <si>
    <t>Q1 92</t>
  </si>
  <si>
    <t>Q2 92</t>
  </si>
  <si>
    <t>Q3 92</t>
  </si>
  <si>
    <t>Q4 92</t>
  </si>
  <si>
    <t>Q1 93</t>
  </si>
  <si>
    <t>Q2 93</t>
  </si>
  <si>
    <t>Q3 93</t>
  </si>
  <si>
    <t>Q4 93</t>
  </si>
  <si>
    <t>Q1 94</t>
  </si>
  <si>
    <t>Q2 94</t>
  </si>
  <si>
    <t>Q3 94</t>
  </si>
  <si>
    <t>Q4 94</t>
  </si>
  <si>
    <t>Q1 95</t>
  </si>
  <si>
    <t>Q2 95</t>
  </si>
  <si>
    <t>Q3 95</t>
  </si>
  <si>
    <t>Q4 95</t>
  </si>
  <si>
    <t>Transportation Energy Consumption (Quadrillion BTU)</t>
  </si>
  <si>
    <t>Thousand BTU per Dollar of GDP</t>
  </si>
  <si>
    <t>TRANSPORTATION ENERGY USE PER DOLLAR OF GDP</t>
  </si>
  <si>
    <t>BTU - British Thermal Unit</t>
  </si>
  <si>
    <t>The average heat content of motor gasoline is 129,024 BTU per gallon.  One quadrillion BTU is equivalent to 7.75 billion gallons of motor gasoline.</t>
  </si>
  <si>
    <t>This indicator shows the level of energy use for transportation with respect to production of GDP and the levels of personal consumption in the United States over time.  Transportation energy use reflects the seasonality of personal travel.</t>
  </si>
  <si>
    <t>NOTE:  The current value is compared to the value from the same period in the previous year to account for seasonality.</t>
  </si>
  <si>
    <t>Transportation Energy Use Per Dollar of GDP (quarterly data, not seasonally adjusted)</t>
  </si>
  <si>
    <r>
      <t xml:space="preserve">SOURCE:  U.S. Department of Energy, Energy Information Administration, </t>
    </r>
    <r>
      <rPr>
        <i/>
        <sz val="9"/>
        <rFont val="Arial"/>
        <family val="2"/>
      </rPr>
      <t>Monthly Energy Review</t>
    </r>
    <r>
      <rPr>
        <sz val="9"/>
        <rFont val="Arial"/>
        <family val="2"/>
      </rPr>
      <t>, available at: http://www.eia.doe.gov/mer.</t>
    </r>
  </si>
  <si>
    <r>
      <t xml:space="preserve">A trendline has been provided for transportation energy consumption.  The trend has been calculated through a statistical procedure called Structural Modeling, in which the time series under study is decomposed into seasonal, trend and irregular components. For further information on this statistical procedure, see: S.J.  Koopman, et al., </t>
    </r>
    <r>
      <rPr>
        <i/>
        <sz val="9"/>
        <rFont val="Arial"/>
        <family val="2"/>
      </rPr>
      <t>Structural Time Series Analyser, Modeller And Predictor</t>
    </r>
    <r>
      <rPr>
        <sz val="9"/>
        <rFont val="Arial"/>
        <family val="2"/>
      </rPr>
      <t xml:space="preserve"> (STAMP), London: Timberlake Consultants Ltd., 2000.</t>
    </r>
  </si>
  <si>
    <t>Trend</t>
  </si>
  <si>
    <t>Q1 02</t>
  </si>
  <si>
    <t>Q2 02</t>
  </si>
  <si>
    <t>DATE UPDATED: 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</si>
</sst>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0"/>
  </numFmts>
  <fonts count="12" x14ac:knownFonts="1">
    <font>
      <sz val="10"/>
      <name val="Arial"/>
    </font>
    <font>
      <b/>
      <sz val="10"/>
      <name val="Arial"/>
      <family val="2"/>
    </font>
    <font>
      <i/>
      <sz val="10"/>
      <name val="Arial"/>
      <family val="2"/>
    </font>
    <font>
      <sz val="10"/>
      <name val="Arial"/>
      <family val="2"/>
    </font>
    <font>
      <b/>
      <sz val="10"/>
      <color indexed="9"/>
      <name val="Arial"/>
      <family val="2"/>
    </font>
    <font>
      <b/>
      <sz val="14"/>
      <name val="Arial"/>
      <family val="2"/>
    </font>
    <font>
      <sz val="14"/>
      <name val="Arial"/>
      <family val="2"/>
    </font>
    <font>
      <b/>
      <sz val="12"/>
      <name val="Arial"/>
      <family val="2"/>
    </font>
    <font>
      <sz val="12"/>
      <name val="Arial"/>
      <family val="2"/>
    </font>
    <font>
      <sz val="9"/>
      <name val="Arial"/>
      <family val="2"/>
    </font>
    <font>
      <sz val="9"/>
      <color indexed="10"/>
      <name val="Arial"/>
      <family val="2"/>
    </font>
    <font>
      <i/>
      <sz val="9"/>
      <name val="Arial"/>
      <family val="2"/>
    </font>
  </fonts>
  <fills count="4">
    <fill>
      <patternFill patternType="none"/>
    </fill>
    <fill>
      <patternFill patternType="gray125"/>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wrapText="1"/>
    </xf>
    <xf numFmtId="4" fontId="0" fillId="0" borderId="0" xfId="0" applyNumberFormat="1"/>
    <xf numFmtId="174" fontId="0" fillId="0" borderId="0" xfId="0" applyNumberFormat="1"/>
    <xf numFmtId="1" fontId="0" fillId="0" borderId="0" xfId="0" applyNumberFormat="1" applyAlignment="1">
      <alignment wrapText="1"/>
    </xf>
    <xf numFmtId="4" fontId="3" fillId="0" borderId="0" xfId="0" applyNumberFormat="1" applyFont="1"/>
    <xf numFmtId="174" fontId="0" fillId="0" borderId="0" xfId="0" applyNumberFormat="1" applyAlignment="1">
      <alignment wrapText="1"/>
    </xf>
    <xf numFmtId="0" fontId="3" fillId="2" borderId="0" xfId="0" applyFont="1" applyFill="1" applyBorder="1" applyAlignment="1">
      <alignment vertical="top" wrapText="1"/>
    </xf>
    <xf numFmtId="3" fontId="3" fillId="2" borderId="0" xfId="0" applyNumberFormat="1" applyFont="1" applyFill="1" applyBorder="1" applyAlignment="1">
      <alignment vertical="top"/>
    </xf>
    <xf numFmtId="0" fontId="4" fillId="3" borderId="0" xfId="0" applyFont="1" applyFill="1" applyBorder="1" applyAlignment="1">
      <alignment horizontal="center" vertical="center" wrapText="1"/>
    </xf>
    <xf numFmtId="0" fontId="4" fillId="3" borderId="0" xfId="0" applyFont="1" applyFill="1" applyBorder="1" applyAlignment="1">
      <alignment horizontal="right" vertical="center" wrapText="1"/>
    </xf>
    <xf numFmtId="4" fontId="3" fillId="2" borderId="0" xfId="0" applyNumberFormat="1" applyFont="1" applyFill="1" applyBorder="1" applyAlignment="1">
      <alignment vertical="top"/>
    </xf>
    <xf numFmtId="4" fontId="3" fillId="0" borderId="0" xfId="0" applyNumberFormat="1" applyFont="1" applyFill="1" applyBorder="1" applyAlignment="1">
      <alignment horizontal="right" wrapText="1"/>
    </xf>
    <xf numFmtId="0" fontId="0" fillId="0" borderId="0" xfId="0" applyProtection="1">
      <protection locked="0"/>
    </xf>
    <xf numFmtId="0" fontId="4" fillId="3" borderId="0" xfId="0" applyNumberFormat="1" applyFont="1" applyFill="1" applyBorder="1" applyAlignment="1">
      <alignment horizontal="right" vertical="center" wrapText="1"/>
    </xf>
    <xf numFmtId="0" fontId="9" fillId="0" borderId="0" xfId="0" applyFont="1" applyAlignment="1"/>
    <xf numFmtId="0" fontId="10" fillId="0" borderId="0" xfId="0" applyFont="1" applyAlignment="1"/>
    <xf numFmtId="0" fontId="5" fillId="0" borderId="0" xfId="0" applyFont="1" applyAlignment="1"/>
    <xf numFmtId="0" fontId="6" fillId="0" borderId="0" xfId="0" applyFont="1" applyAlignment="1"/>
    <xf numFmtId="0" fontId="7" fillId="0" borderId="0" xfId="0" applyFont="1" applyFill="1" applyAlignment="1"/>
    <xf numFmtId="0" fontId="8" fillId="0" borderId="0" xfId="0" applyFont="1" applyAlignment="1"/>
    <xf numFmtId="0" fontId="0" fillId="0" borderId="0" xfId="0" applyAlignment="1"/>
    <xf numFmtId="0" fontId="9"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0066"/>
      <rgbColor rgb="00CC0000"/>
      <rgbColor rgb="00009900"/>
      <rgbColor rgb="00FFCC00"/>
      <rgbColor rgb="00660066"/>
      <rgbColor rgb="00FF9900"/>
      <rgbColor rgb="0000CCFF"/>
      <rgbColor rgb="00FF33FF"/>
      <rgbColor rgb="00000066"/>
      <rgbColor rgb="00CC0000"/>
      <rgbColor rgb="00009900"/>
      <rgbColor rgb="00FFCC00"/>
      <rgbColor rgb="00660066"/>
      <rgbColor rgb="00FF9900"/>
      <rgbColor rgb="0000CCFF"/>
      <rgbColor rgb="00FF33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FFFFFF"/>
                </a:solidFill>
                <a:latin typeface="Arial"/>
                <a:ea typeface="Arial"/>
                <a:cs typeface="Arial"/>
              </a:defRPr>
            </a:pPr>
            <a:r>
              <a:rPr lang="en-GB"/>
              <a:t>Transportation Energy Use Per Dollar of GDP (quarterly data, not seasonally adjusted)</a:t>
            </a:r>
          </a:p>
        </c:rich>
      </c:tx>
      <c:layout>
        <c:manualLayout>
          <c:xMode val="edge"/>
          <c:yMode val="edge"/>
          <c:x val="0.15032471041684656"/>
          <c:y val="3.3445887946068509E-2"/>
        </c:manualLayout>
      </c:layout>
      <c:overlay val="0"/>
      <c:spPr>
        <a:noFill/>
        <a:ln w="25400">
          <a:noFill/>
        </a:ln>
      </c:spPr>
    </c:title>
    <c:autoTitleDeleted val="0"/>
    <c:plotArea>
      <c:layout>
        <c:manualLayout>
          <c:layoutTarget val="inner"/>
          <c:xMode val="edge"/>
          <c:yMode val="edge"/>
          <c:x val="8.7422881235329208E-2"/>
          <c:y val="0.17559091171685964"/>
          <c:w val="0.8710304142593166"/>
          <c:h val="0.72744806282699004"/>
        </c:manualLayout>
      </c:layout>
      <c:lineChart>
        <c:grouping val="standard"/>
        <c:varyColors val="0"/>
        <c:ser>
          <c:idx val="0"/>
          <c:order val="0"/>
          <c:tx>
            <c:strRef>
              <c:f>DATA!$E$6</c:f>
              <c:strCache>
                <c:ptCount val="1"/>
                <c:pt idx="0">
                  <c:v>Transportation Energy Use Per $ GDP</c:v>
                </c:pt>
              </c:strCache>
            </c:strRef>
          </c:tx>
          <c:spPr>
            <a:ln w="12700">
              <a:solidFill>
                <a:srgbClr val="000080"/>
              </a:solidFill>
              <a:prstDash val="solid"/>
            </a:ln>
          </c:spPr>
          <c:marker>
            <c:symbol val="none"/>
          </c:marker>
          <c:cat>
            <c:strRef>
              <c:f>DATA!$A$15:$A$56</c:f>
              <c:strCache>
                <c:ptCount val="42"/>
                <c:pt idx="0">
                  <c:v>Q1 92</c:v>
                </c:pt>
                <c:pt idx="1">
                  <c:v>Q2 92</c:v>
                </c:pt>
                <c:pt idx="2">
                  <c:v>Q3 92</c:v>
                </c:pt>
                <c:pt idx="3">
                  <c:v>Q4 92</c:v>
                </c:pt>
                <c:pt idx="4">
                  <c:v>Q1 93</c:v>
                </c:pt>
                <c:pt idx="5">
                  <c:v>Q2 93</c:v>
                </c:pt>
                <c:pt idx="6">
                  <c:v>Q3 93</c:v>
                </c:pt>
                <c:pt idx="7">
                  <c:v>Q4 93</c:v>
                </c:pt>
                <c:pt idx="8">
                  <c:v>Q1 94</c:v>
                </c:pt>
                <c:pt idx="9">
                  <c:v>Q2 94</c:v>
                </c:pt>
                <c:pt idx="10">
                  <c:v>Q3 94</c:v>
                </c:pt>
                <c:pt idx="11">
                  <c:v>Q4 94</c:v>
                </c:pt>
                <c:pt idx="12">
                  <c:v>Q1 95</c:v>
                </c:pt>
                <c:pt idx="13">
                  <c:v>Q2 95</c:v>
                </c:pt>
                <c:pt idx="14">
                  <c:v>Q3 95</c:v>
                </c:pt>
                <c:pt idx="15">
                  <c:v>Q4 95</c:v>
                </c:pt>
                <c:pt idx="16">
                  <c:v>Q1 96</c:v>
                </c:pt>
                <c:pt idx="17">
                  <c:v>Q2 96</c:v>
                </c:pt>
                <c:pt idx="18">
                  <c:v>Q3 96</c:v>
                </c:pt>
                <c:pt idx="19">
                  <c:v>Q4 96</c:v>
                </c:pt>
                <c:pt idx="20">
                  <c:v>Q1 97</c:v>
                </c:pt>
                <c:pt idx="21">
                  <c:v>Q2 97</c:v>
                </c:pt>
                <c:pt idx="22">
                  <c:v>Q3 97</c:v>
                </c:pt>
                <c:pt idx="23">
                  <c:v>Q4 97</c:v>
                </c:pt>
                <c:pt idx="24">
                  <c:v>Q1 98</c:v>
                </c:pt>
                <c:pt idx="25">
                  <c:v>Q2 98</c:v>
                </c:pt>
                <c:pt idx="26">
                  <c:v>Q3 98</c:v>
                </c:pt>
                <c:pt idx="27">
                  <c:v>Q4 98</c:v>
                </c:pt>
                <c:pt idx="28">
                  <c:v>Q1 99</c:v>
                </c:pt>
                <c:pt idx="29">
                  <c:v>Q2 99</c:v>
                </c:pt>
                <c:pt idx="30">
                  <c:v>Q3 99</c:v>
                </c:pt>
                <c:pt idx="31">
                  <c:v>Q4 99</c:v>
                </c:pt>
                <c:pt idx="32">
                  <c:v>Q1 00</c:v>
                </c:pt>
                <c:pt idx="33">
                  <c:v>Q2 00</c:v>
                </c:pt>
                <c:pt idx="34">
                  <c:v>Q3 00</c:v>
                </c:pt>
                <c:pt idx="35">
                  <c:v>Q4 00</c:v>
                </c:pt>
                <c:pt idx="36">
                  <c:v>Q1 01</c:v>
                </c:pt>
                <c:pt idx="37">
                  <c:v>Q2 01</c:v>
                </c:pt>
                <c:pt idx="38">
                  <c:v>Q3 01</c:v>
                </c:pt>
                <c:pt idx="39">
                  <c:v>Q4 01</c:v>
                </c:pt>
                <c:pt idx="40">
                  <c:v>Q1 02</c:v>
                </c:pt>
                <c:pt idx="41">
                  <c:v>Q2 02</c:v>
                </c:pt>
              </c:strCache>
            </c:strRef>
          </c:cat>
          <c:val>
            <c:numRef>
              <c:f>DATA!$E$15:$E$56</c:f>
              <c:numCache>
                <c:formatCode>0</c:formatCode>
                <c:ptCount val="42"/>
                <c:pt idx="0">
                  <c:v>3192.9143632155437</c:v>
                </c:pt>
                <c:pt idx="1">
                  <c:v>3280.6846994216276</c:v>
                </c:pt>
                <c:pt idx="2">
                  <c:v>3343.2346333898577</c:v>
                </c:pt>
                <c:pt idx="3">
                  <c:v>3245.3740737561866</c:v>
                </c:pt>
                <c:pt idx="4">
                  <c:v>3103.4675976934195</c:v>
                </c:pt>
                <c:pt idx="5">
                  <c:v>3271.6924564796905</c:v>
                </c:pt>
                <c:pt idx="6">
                  <c:v>3356.1144151798353</c:v>
                </c:pt>
                <c:pt idx="7">
                  <c:v>3233.5765201500972</c:v>
                </c:pt>
                <c:pt idx="8">
                  <c:v>3096.0223531690044</c:v>
                </c:pt>
                <c:pt idx="9">
                  <c:v>3229.3198002783006</c:v>
                </c:pt>
                <c:pt idx="10">
                  <c:v>3290.782339692274</c:v>
                </c:pt>
                <c:pt idx="11">
                  <c:v>3185.1780568548875</c:v>
                </c:pt>
                <c:pt idx="12">
                  <c:v>3062.2628760666066</c:v>
                </c:pt>
                <c:pt idx="13">
                  <c:v>3205.9269921234659</c:v>
                </c:pt>
                <c:pt idx="14">
                  <c:v>3254.696220276669</c:v>
                </c:pt>
                <c:pt idx="15">
                  <c:v>3186.4359280494364</c:v>
                </c:pt>
                <c:pt idx="16">
                  <c:v>3082.7565004429161</c:v>
                </c:pt>
                <c:pt idx="17">
                  <c:v>3147.3790513783338</c:v>
                </c:pt>
                <c:pt idx="18">
                  <c:v>3202.5075555668909</c:v>
                </c:pt>
                <c:pt idx="19">
                  <c:v>3118.9030802012276</c:v>
                </c:pt>
                <c:pt idx="20">
                  <c:v>2925.0666134424432</c:v>
                </c:pt>
                <c:pt idx="21">
                  <c:v>3075.934037555799</c:v>
                </c:pt>
                <c:pt idx="22">
                  <c:v>3128.8615729133703</c:v>
                </c:pt>
                <c:pt idx="23">
                  <c:v>3034.4735219814097</c:v>
                </c:pt>
                <c:pt idx="24">
                  <c:v>2842.6060988233062</c:v>
                </c:pt>
                <c:pt idx="25">
                  <c:v>3015.1663201663196</c:v>
                </c:pt>
                <c:pt idx="26">
                  <c:v>3078.418759370315</c:v>
                </c:pt>
                <c:pt idx="27">
                  <c:v>2970.3303483736786</c:v>
                </c:pt>
                <c:pt idx="28">
                  <c:v>2854.5246277205042</c:v>
                </c:pt>
                <c:pt idx="29">
                  <c:v>3018.4898442481099</c:v>
                </c:pt>
                <c:pt idx="30">
                  <c:v>3033.0795661254465</c:v>
                </c:pt>
                <c:pt idx="31">
                  <c:v>2947.5677282284432</c:v>
                </c:pt>
                <c:pt idx="32">
                  <c:v>2742.8795230531559</c:v>
                </c:pt>
                <c:pt idx="33">
                  <c:v>2877.5928489413986</c:v>
                </c:pt>
                <c:pt idx="34">
                  <c:v>2966.6470996317839</c:v>
                </c:pt>
                <c:pt idx="35">
                  <c:v>2858.9373729201484</c:v>
                </c:pt>
                <c:pt idx="36">
                  <c:v>2822.1324174693113</c:v>
                </c:pt>
                <c:pt idx="37">
                  <c:v>3017.9156106210089</c:v>
                </c:pt>
                <c:pt idx="38">
                  <c:v>3058.4342070887401</c:v>
                </c:pt>
                <c:pt idx="39">
                  <c:v>2840.1522359657474</c:v>
                </c:pt>
                <c:pt idx="40">
                  <c:v>2703.7764866712232</c:v>
                </c:pt>
                <c:pt idx="41">
                  <c:v>2941.9783590355282</c:v>
                </c:pt>
              </c:numCache>
            </c:numRef>
          </c:val>
          <c:smooth val="0"/>
          <c:extLst>
            <c:ext xmlns:c16="http://schemas.microsoft.com/office/drawing/2014/chart" uri="{C3380CC4-5D6E-409C-BE32-E72D297353CC}">
              <c16:uniqueId val="{00000000-990F-4C66-8170-594C4FDEC23A}"/>
            </c:ext>
          </c:extLst>
        </c:ser>
        <c:ser>
          <c:idx val="1"/>
          <c:order val="1"/>
          <c:tx>
            <c:strRef>
              <c:f>DATA!$F$6</c:f>
              <c:strCache>
                <c:ptCount val="1"/>
                <c:pt idx="0">
                  <c:v>Trend</c:v>
                </c:pt>
              </c:strCache>
            </c:strRef>
          </c:tx>
          <c:spPr>
            <a:ln w="3175">
              <a:solidFill>
                <a:srgbClr val="FF0000"/>
              </a:solidFill>
              <a:prstDash val="solid"/>
            </a:ln>
          </c:spPr>
          <c:marker>
            <c:symbol val="none"/>
          </c:marker>
          <c:cat>
            <c:strRef>
              <c:f>DATA!$A$15:$A$56</c:f>
              <c:strCache>
                <c:ptCount val="42"/>
                <c:pt idx="0">
                  <c:v>Q1 92</c:v>
                </c:pt>
                <c:pt idx="1">
                  <c:v>Q2 92</c:v>
                </c:pt>
                <c:pt idx="2">
                  <c:v>Q3 92</c:v>
                </c:pt>
                <c:pt idx="3">
                  <c:v>Q4 92</c:v>
                </c:pt>
                <c:pt idx="4">
                  <c:v>Q1 93</c:v>
                </c:pt>
                <c:pt idx="5">
                  <c:v>Q2 93</c:v>
                </c:pt>
                <c:pt idx="6">
                  <c:v>Q3 93</c:v>
                </c:pt>
                <c:pt idx="7">
                  <c:v>Q4 93</c:v>
                </c:pt>
                <c:pt idx="8">
                  <c:v>Q1 94</c:v>
                </c:pt>
                <c:pt idx="9">
                  <c:v>Q2 94</c:v>
                </c:pt>
                <c:pt idx="10">
                  <c:v>Q3 94</c:v>
                </c:pt>
                <c:pt idx="11">
                  <c:v>Q4 94</c:v>
                </c:pt>
                <c:pt idx="12">
                  <c:v>Q1 95</c:v>
                </c:pt>
                <c:pt idx="13">
                  <c:v>Q2 95</c:v>
                </c:pt>
                <c:pt idx="14">
                  <c:v>Q3 95</c:v>
                </c:pt>
                <c:pt idx="15">
                  <c:v>Q4 95</c:v>
                </c:pt>
                <c:pt idx="16">
                  <c:v>Q1 96</c:v>
                </c:pt>
                <c:pt idx="17">
                  <c:v>Q2 96</c:v>
                </c:pt>
                <c:pt idx="18">
                  <c:v>Q3 96</c:v>
                </c:pt>
                <c:pt idx="19">
                  <c:v>Q4 96</c:v>
                </c:pt>
                <c:pt idx="20">
                  <c:v>Q1 97</c:v>
                </c:pt>
                <c:pt idx="21">
                  <c:v>Q2 97</c:v>
                </c:pt>
                <c:pt idx="22">
                  <c:v>Q3 97</c:v>
                </c:pt>
                <c:pt idx="23">
                  <c:v>Q4 97</c:v>
                </c:pt>
                <c:pt idx="24">
                  <c:v>Q1 98</c:v>
                </c:pt>
                <c:pt idx="25">
                  <c:v>Q2 98</c:v>
                </c:pt>
                <c:pt idx="26">
                  <c:v>Q3 98</c:v>
                </c:pt>
                <c:pt idx="27">
                  <c:v>Q4 98</c:v>
                </c:pt>
                <c:pt idx="28">
                  <c:v>Q1 99</c:v>
                </c:pt>
                <c:pt idx="29">
                  <c:v>Q2 99</c:v>
                </c:pt>
                <c:pt idx="30">
                  <c:v>Q3 99</c:v>
                </c:pt>
                <c:pt idx="31">
                  <c:v>Q4 99</c:v>
                </c:pt>
                <c:pt idx="32">
                  <c:v>Q1 00</c:v>
                </c:pt>
                <c:pt idx="33">
                  <c:v>Q2 00</c:v>
                </c:pt>
                <c:pt idx="34">
                  <c:v>Q3 00</c:v>
                </c:pt>
                <c:pt idx="35">
                  <c:v>Q4 00</c:v>
                </c:pt>
                <c:pt idx="36">
                  <c:v>Q1 01</c:v>
                </c:pt>
                <c:pt idx="37">
                  <c:v>Q2 01</c:v>
                </c:pt>
                <c:pt idx="38">
                  <c:v>Q3 01</c:v>
                </c:pt>
                <c:pt idx="39">
                  <c:v>Q4 01</c:v>
                </c:pt>
                <c:pt idx="40">
                  <c:v>Q1 02</c:v>
                </c:pt>
                <c:pt idx="41">
                  <c:v>Q2 02</c:v>
                </c:pt>
              </c:strCache>
            </c:strRef>
          </c:cat>
          <c:val>
            <c:numRef>
              <c:f>DATA!$F$15:$F$56</c:f>
              <c:numCache>
                <c:formatCode>General</c:formatCode>
                <c:ptCount val="42"/>
                <c:pt idx="0">
                  <c:v>3293.8934634704251</c:v>
                </c:pt>
                <c:pt idx="1">
                  <c:v>3273.5078624838402</c:v>
                </c:pt>
                <c:pt idx="2">
                  <c:v>3259.708082801053</c:v>
                </c:pt>
                <c:pt idx="3">
                  <c:v>3249.4879470060928</c:v>
                </c:pt>
                <c:pt idx="4">
                  <c:v>3244.0104439402762</c:v>
                </c:pt>
                <c:pt idx="5">
                  <c:v>3242.0793849563283</c:v>
                </c:pt>
                <c:pt idx="6">
                  <c:v>3239.1692692369525</c:v>
                </c:pt>
                <c:pt idx="7">
                  <c:v>3228.5265255901845</c:v>
                </c:pt>
                <c:pt idx="8">
                  <c:v>3219.2665371233047</c:v>
                </c:pt>
                <c:pt idx="9">
                  <c:v>3207.5681687195824</c:v>
                </c:pt>
                <c:pt idx="10">
                  <c:v>3197.7539166955753</c:v>
                </c:pt>
                <c:pt idx="11">
                  <c:v>3188.1618781463071</c:v>
                </c:pt>
                <c:pt idx="12">
                  <c:v>3182.8652039289595</c:v>
                </c:pt>
                <c:pt idx="13">
                  <c:v>3174.3202065798068</c:v>
                </c:pt>
                <c:pt idx="14">
                  <c:v>3164.2028010360686</c:v>
                </c:pt>
                <c:pt idx="15">
                  <c:v>3155.1335906390427</c:v>
                </c:pt>
                <c:pt idx="16">
                  <c:v>3138.8823785975619</c:v>
                </c:pt>
                <c:pt idx="17">
                  <c:v>3122.6311665560811</c:v>
                </c:pt>
                <c:pt idx="18">
                  <c:v>3107.2734524655534</c:v>
                </c:pt>
                <c:pt idx="19">
                  <c:v>3091.301318629442</c:v>
                </c:pt>
                <c:pt idx="20">
                  <c:v>3069.2156228536846</c:v>
                </c:pt>
                <c:pt idx="21">
                  <c:v>3051.7574426477763</c:v>
                </c:pt>
                <c:pt idx="22">
                  <c:v>3035.235351925473</c:v>
                </c:pt>
                <c:pt idx="23">
                  <c:v>3018.7605685017556</c:v>
                </c:pt>
                <c:pt idx="24">
                  <c:v>3000.3745906699678</c:v>
                </c:pt>
                <c:pt idx="25">
                  <c:v>2991.0545030828225</c:v>
                </c:pt>
                <c:pt idx="26">
                  <c:v>2982.7707001868544</c:v>
                </c:pt>
                <c:pt idx="27">
                  <c:v>2974.0401937160627</c:v>
                </c:pt>
                <c:pt idx="28">
                  <c:v>2969.9012977292987</c:v>
                </c:pt>
                <c:pt idx="29">
                  <c:v>2960.5025188433542</c:v>
                </c:pt>
                <c:pt idx="30">
                  <c:v>2940.8233105098652</c:v>
                </c:pt>
                <c:pt idx="31">
                  <c:v>2921.7270103871301</c:v>
                </c:pt>
                <c:pt idx="32">
                  <c:v>2896.9980184263959</c:v>
                </c:pt>
                <c:pt idx="33">
                  <c:v>2880.1960361428683</c:v>
                </c:pt>
                <c:pt idx="34">
                  <c:v>2873.2475892584648</c:v>
                </c:pt>
                <c:pt idx="35">
                  <c:v>2866.3505771900632</c:v>
                </c:pt>
                <c:pt idx="36">
                  <c:v>2865.1617314313426</c:v>
                </c:pt>
                <c:pt idx="37">
                  <c:v>2955.0913177996763</c:v>
                </c:pt>
                <c:pt idx="38">
                  <c:v>2938.9858854691765</c:v>
                </c:pt>
                <c:pt idx="39">
                  <c:v>2858.879930370143</c:v>
                </c:pt>
                <c:pt idx="40">
                  <c:v>2857.3938875203189</c:v>
                </c:pt>
                <c:pt idx="41">
                  <c:v>2863.63108765785</c:v>
                </c:pt>
              </c:numCache>
            </c:numRef>
          </c:val>
          <c:smooth val="0"/>
          <c:extLst>
            <c:ext xmlns:c16="http://schemas.microsoft.com/office/drawing/2014/chart" uri="{C3380CC4-5D6E-409C-BE32-E72D297353CC}">
              <c16:uniqueId val="{00000001-990F-4C66-8170-594C4FDEC23A}"/>
            </c:ext>
          </c:extLst>
        </c:ser>
        <c:dLbls>
          <c:showLegendKey val="0"/>
          <c:showVal val="0"/>
          <c:showCatName val="0"/>
          <c:showSerName val="0"/>
          <c:showPercent val="0"/>
          <c:showBubbleSize val="0"/>
        </c:dLbls>
        <c:smooth val="0"/>
        <c:axId val="862016175"/>
        <c:axId val="1"/>
      </c:lineChart>
      <c:catAx>
        <c:axId val="862016175"/>
        <c:scaling>
          <c:orientation val="minMax"/>
        </c:scaling>
        <c:delete val="0"/>
        <c:axPos val="b"/>
        <c:numFmt formatCode="General" sourceLinked="1"/>
        <c:majorTickMark val="cross"/>
        <c:minorTickMark val="in"/>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
        <c:crossesAt val="2000"/>
        <c:auto val="1"/>
        <c:lblAlgn val="ctr"/>
        <c:lblOffset val="100"/>
        <c:tickLblSkip val="8"/>
        <c:tickMarkSkip val="4"/>
        <c:noMultiLvlLbl val="0"/>
      </c:catAx>
      <c:valAx>
        <c:axId val="1"/>
        <c:scaling>
          <c:orientation val="minMax"/>
          <c:max val="3500"/>
          <c:min val="2500"/>
        </c:scaling>
        <c:delete val="0"/>
        <c:axPos val="l"/>
        <c:majorGridlines>
          <c:spPr>
            <a:ln w="3175">
              <a:solidFill>
                <a:srgbClr val="808080"/>
              </a:solidFill>
              <a:prstDash val="sysDash"/>
            </a:ln>
          </c:spPr>
        </c:majorGridlines>
        <c:title>
          <c:tx>
            <c:rich>
              <a:bodyPr rot="0" vert="horz"/>
              <a:lstStyle/>
              <a:p>
                <a:pPr algn="l">
                  <a:defRPr sz="1025" b="0" i="0" u="none" strike="noStrike" baseline="0">
                    <a:solidFill>
                      <a:srgbClr val="000000"/>
                    </a:solidFill>
                    <a:latin typeface="Arial"/>
                    <a:ea typeface="Arial"/>
                    <a:cs typeface="Arial"/>
                  </a:defRPr>
                </a:pPr>
                <a:r>
                  <a:rPr lang="en-GB"/>
                  <a:t>BTU Per Chained 1996 Dollar of GDP</a:t>
                </a:r>
              </a:p>
            </c:rich>
          </c:tx>
          <c:layout>
            <c:manualLayout>
              <c:xMode val="edge"/>
              <c:yMode val="edge"/>
              <c:x val="8.5290615839345562E-3"/>
              <c:y val="1.3378355178427403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862016175"/>
        <c:crosses val="autoZero"/>
        <c:crossBetween val="midCat"/>
        <c:majorUnit val="200"/>
        <c:minorUnit val="100"/>
      </c:valAx>
      <c:spPr>
        <a:solidFill>
          <a:srgbClr val="FFFFFF"/>
        </a:solidFill>
        <a:ln w="12700">
          <a:solidFill>
            <a:srgbClr val="FFFFFF"/>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2.75" l="3.5" r="3.5" t="2.75" header="0.5" footer="0.5"/>
    <c:pageSetup orientation="landscape" horizontalDpi="0"/>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12700</xdr:rowOff>
    </xdr:from>
    <xdr:to>
      <xdr:col>0</xdr:col>
      <xdr:colOff>5975350</xdr:colOff>
      <xdr:row>2</xdr:row>
      <xdr:rowOff>3810000</xdr:rowOff>
    </xdr:to>
    <xdr:graphicFrame macro="">
      <xdr:nvGraphicFramePr>
        <xdr:cNvPr id="1029" name="Chart 5">
          <a:extLst>
            <a:ext uri="{FF2B5EF4-FFF2-40B4-BE49-F238E27FC236}">
              <a16:creationId xmlns:a16="http://schemas.microsoft.com/office/drawing/2014/main" id="{B1118D82-6349-44E4-AE49-8AA1AA2AE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0.63221</cdr:x>
      <cdr:y>0.36544</cdr:y>
    </cdr:from>
    <cdr:to>
      <cdr:x>0.80177</cdr:x>
      <cdr:y>0.41995</cdr:y>
    </cdr:to>
    <cdr:sp macro="" textlink="">
      <cdr:nvSpPr>
        <cdr:cNvPr id="2049" name="Text Box 1">
          <a:extLst xmlns:a="http://schemas.openxmlformats.org/drawingml/2006/main">
            <a:ext uri="{FF2B5EF4-FFF2-40B4-BE49-F238E27FC236}">
              <a16:creationId xmlns:a16="http://schemas.microsoft.com/office/drawing/2014/main" id="{F4302B43-743F-4714-BDBF-DABA75CC23AB}"/>
            </a:ext>
          </a:extLst>
        </cdr:cNvPr>
        <cdr:cNvSpPr txBox="1">
          <a:spLocks xmlns:a="http://schemas.openxmlformats.org/drawingml/2006/main" noChangeArrowheads="1"/>
        </cdr:cNvSpPr>
      </cdr:nvSpPr>
      <cdr:spPr bwMode="auto">
        <a:xfrm xmlns:a="http://schemas.openxmlformats.org/drawingml/2006/main">
          <a:off x="3769636" y="1390017"/>
          <a:ext cx="1011031" cy="2073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36576" tIns="27432" rIns="36576" bIns="27432" anchor="ctr" upright="1"/>
        <a:lstStyle xmlns:a="http://schemas.openxmlformats.org/drawingml/2006/main"/>
        <a:p xmlns:a="http://schemas.openxmlformats.org/drawingml/2006/main">
          <a:pPr algn="ctr" rtl="0">
            <a:defRPr sz="1000"/>
          </a:pPr>
          <a:r>
            <a:rPr lang="en-GB" sz="975" b="0" i="0" u="none" strike="noStrike" baseline="0">
              <a:solidFill>
                <a:srgbClr val="CC0000"/>
              </a:solidFill>
              <a:latin typeface="Arial"/>
              <a:cs typeface="Arial"/>
            </a:rPr>
            <a:t>Underlying trend</a:t>
          </a:r>
        </a:p>
      </cdr:txBody>
    </cdr:sp>
  </cdr:relSizeAnchor>
  <cdr:relSizeAnchor xmlns:cdr="http://schemas.openxmlformats.org/drawingml/2006/chartDrawing">
    <cdr:from>
      <cdr:x>0.68185</cdr:x>
      <cdr:y>0.42798</cdr:y>
    </cdr:from>
    <cdr:to>
      <cdr:x>0.7079</cdr:x>
      <cdr:y>0.5202</cdr:y>
    </cdr:to>
    <cdr:sp macro="" textlink="">
      <cdr:nvSpPr>
        <cdr:cNvPr id="2054" name="Line 6">
          <a:extLst xmlns:a="http://schemas.openxmlformats.org/drawingml/2006/main">
            <a:ext uri="{FF2B5EF4-FFF2-40B4-BE49-F238E27FC236}">
              <a16:creationId xmlns:a16="http://schemas.microsoft.com/office/drawing/2014/main" id="{17B340A2-D97B-4262-A498-36C09BC8836E}"/>
            </a:ext>
          </a:extLst>
        </cdr:cNvPr>
        <cdr:cNvSpPr>
          <a:spLocks xmlns:a="http://schemas.openxmlformats.org/drawingml/2006/main" noChangeShapeType="1"/>
        </cdr:cNvSpPr>
      </cdr:nvSpPr>
      <cdr:spPr bwMode="auto">
        <a:xfrm xmlns:a="http://schemas.openxmlformats.org/drawingml/2006/main" flipH="1">
          <a:off x="4065619" y="1627873"/>
          <a:ext cx="155318" cy="350770"/>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CC0000" mc:Ignorable="a14" a14:legacySpreadsheetColorIndex="25"/>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56"/>
  <sheetViews>
    <sheetView workbookViewId="0">
      <selection activeCell="A7" sqref="A7:F56"/>
    </sheetView>
  </sheetViews>
  <sheetFormatPr defaultRowHeight="12.5" x14ac:dyDescent="0.25"/>
  <cols>
    <col min="2" max="2" width="12.7265625" customWidth="1"/>
    <col min="3" max="3" width="10.7265625" hidden="1" customWidth="1"/>
    <col min="5" max="6" width="13.1796875" customWidth="1"/>
  </cols>
  <sheetData>
    <row r="1" spans="1:6" x14ac:dyDescent="0.25">
      <c r="A1" t="s">
        <v>16</v>
      </c>
    </row>
    <row r="2" spans="1:6" ht="13" x14ac:dyDescent="0.3">
      <c r="A2" t="s">
        <v>22</v>
      </c>
    </row>
    <row r="3" spans="1:6" x14ac:dyDescent="0.25">
      <c r="A3" t="s">
        <v>33</v>
      </c>
    </row>
    <row r="4" spans="1:6" ht="13" x14ac:dyDescent="0.3">
      <c r="A4" s="1" t="s">
        <v>71</v>
      </c>
    </row>
    <row r="5" spans="1:6" x14ac:dyDescent="0.25">
      <c r="A5" t="s">
        <v>18</v>
      </c>
    </row>
    <row r="6" spans="1:6" ht="62.5" x14ac:dyDescent="0.25">
      <c r="A6" s="2" t="s">
        <v>17</v>
      </c>
      <c r="B6" s="2" t="s">
        <v>58</v>
      </c>
      <c r="C6" s="2" t="s">
        <v>19</v>
      </c>
      <c r="D6" s="2" t="s">
        <v>20</v>
      </c>
      <c r="E6" s="2" t="s">
        <v>21</v>
      </c>
      <c r="F6" s="2" t="s">
        <v>68</v>
      </c>
    </row>
    <row r="7" spans="1:6" x14ac:dyDescent="0.25">
      <c r="A7" t="s">
        <v>34</v>
      </c>
      <c r="B7" s="7">
        <v>5.4658829999999998</v>
      </c>
      <c r="C7" s="2"/>
      <c r="D7" s="3">
        <v>6716.3</v>
      </c>
      <c r="E7" s="5">
        <f>B7*4/D7*1000000</f>
        <v>3255.294135163706</v>
      </c>
      <c r="F7" s="14">
        <v>3374.7052977725339</v>
      </c>
    </row>
    <row r="8" spans="1:6" x14ac:dyDescent="0.25">
      <c r="A8" t="s">
        <v>35</v>
      </c>
      <c r="B8" s="7">
        <v>5.6692160000000005</v>
      </c>
      <c r="C8" s="2"/>
      <c r="D8" s="3">
        <v>6731.7</v>
      </c>
      <c r="E8" s="5">
        <f t="shared" ref="E8:E56" si="0">B8*4/D8*1000000</f>
        <v>3368.6682413060598</v>
      </c>
      <c r="F8" s="14">
        <v>3359.982818294834</v>
      </c>
    </row>
    <row r="9" spans="1:6" x14ac:dyDescent="0.25">
      <c r="A9" t="s">
        <v>36</v>
      </c>
      <c r="B9" s="7">
        <v>5.773244</v>
      </c>
      <c r="C9" s="2"/>
      <c r="D9" s="3">
        <v>6719.4</v>
      </c>
      <c r="E9" s="5">
        <f t="shared" si="0"/>
        <v>3436.7616156204426</v>
      </c>
      <c r="F9" s="14">
        <v>3351.3317795402568</v>
      </c>
    </row>
    <row r="10" spans="1:6" x14ac:dyDescent="0.25">
      <c r="A10" t="s">
        <v>37</v>
      </c>
      <c r="B10" s="7">
        <v>5.6313399999999998</v>
      </c>
      <c r="C10" s="2"/>
      <c r="D10" s="3">
        <v>6664.2</v>
      </c>
      <c r="E10" s="5">
        <f t="shared" si="0"/>
        <v>3380.0546202094774</v>
      </c>
      <c r="F10" s="14">
        <v>3345.4588837990004</v>
      </c>
    </row>
    <row r="11" spans="1:6" x14ac:dyDescent="0.25">
      <c r="A11" t="s">
        <v>38</v>
      </c>
      <c r="B11" s="7">
        <v>5.2983019999999996</v>
      </c>
      <c r="C11" s="2"/>
      <c r="D11" s="3">
        <v>6631.4</v>
      </c>
      <c r="E11" s="5">
        <f t="shared" si="0"/>
        <v>3195.8874445818378</v>
      </c>
      <c r="F11" s="14">
        <v>3331.1645483354837</v>
      </c>
    </row>
    <row r="12" spans="1:6" x14ac:dyDescent="0.25">
      <c r="A12" t="s">
        <v>39</v>
      </c>
      <c r="B12" s="7">
        <v>5.5383620000000002</v>
      </c>
      <c r="C12" s="2"/>
      <c r="D12" s="3">
        <v>6668.5</v>
      </c>
      <c r="E12" s="5">
        <f t="shared" si="0"/>
        <v>3322.1036215040863</v>
      </c>
      <c r="F12" s="14">
        <v>3318.4449008582174</v>
      </c>
    </row>
    <row r="13" spans="1:6" x14ac:dyDescent="0.25">
      <c r="A13" t="s">
        <v>40</v>
      </c>
      <c r="B13" s="7">
        <v>5.717695</v>
      </c>
      <c r="C13" s="2"/>
      <c r="D13" s="3">
        <v>6684.9</v>
      </c>
      <c r="E13" s="5">
        <f t="shared" si="0"/>
        <v>3421.2598542984938</v>
      </c>
      <c r="F13" s="14">
        <v>3313.6389942950468</v>
      </c>
    </row>
    <row r="14" spans="1:6" x14ac:dyDescent="0.25">
      <c r="A14" t="s">
        <v>41</v>
      </c>
      <c r="B14" s="7">
        <v>5.5733310000000005</v>
      </c>
      <c r="C14" s="2"/>
      <c r="D14" s="3">
        <v>6720.9</v>
      </c>
      <c r="E14" s="5">
        <f t="shared" si="0"/>
        <v>3317.0146855331882</v>
      </c>
      <c r="F14" s="14">
        <v>3304.2944935966402</v>
      </c>
    </row>
    <row r="15" spans="1:6" x14ac:dyDescent="0.25">
      <c r="A15" t="s">
        <v>42</v>
      </c>
      <c r="B15" s="7">
        <v>5.4146239999999999</v>
      </c>
      <c r="C15" s="2"/>
      <c r="D15" s="3">
        <v>6783.3</v>
      </c>
      <c r="E15" s="5">
        <f t="shared" si="0"/>
        <v>3192.9143632155437</v>
      </c>
      <c r="F15" s="14">
        <v>3293.8934634704251</v>
      </c>
    </row>
    <row r="16" spans="1:6" x14ac:dyDescent="0.25">
      <c r="A16" t="s">
        <v>43</v>
      </c>
      <c r="B16" s="7">
        <v>5.6155480000000004</v>
      </c>
      <c r="C16" s="2"/>
      <c r="D16" s="3">
        <v>6846.8</v>
      </c>
      <c r="E16" s="5">
        <f t="shared" si="0"/>
        <v>3280.6846994216276</v>
      </c>
      <c r="F16" s="14">
        <v>3273.5078624838402</v>
      </c>
    </row>
    <row r="17" spans="1:6" x14ac:dyDescent="0.25">
      <c r="A17" t="s">
        <v>44</v>
      </c>
      <c r="B17" s="4">
        <v>5.7668289999999995</v>
      </c>
      <c r="C17" s="2"/>
      <c r="D17" s="3">
        <v>6899.7</v>
      </c>
      <c r="E17" s="5">
        <f t="shared" si="0"/>
        <v>3343.2346333898577</v>
      </c>
      <c r="F17" s="14">
        <v>3259.708082801053</v>
      </c>
    </row>
    <row r="18" spans="1:6" x14ac:dyDescent="0.25">
      <c r="A18" t="s">
        <v>45</v>
      </c>
      <c r="B18" s="4">
        <v>5.6717779999999998</v>
      </c>
      <c r="C18" s="2"/>
      <c r="D18" s="3">
        <v>6990.6</v>
      </c>
      <c r="E18" s="5">
        <f t="shared" si="0"/>
        <v>3245.3740737561866</v>
      </c>
      <c r="F18" s="14">
        <v>3249.4879470060928</v>
      </c>
    </row>
    <row r="19" spans="1:6" x14ac:dyDescent="0.25">
      <c r="A19" t="s">
        <v>46</v>
      </c>
      <c r="B19" s="4">
        <v>5.422301</v>
      </c>
      <c r="C19" s="2"/>
      <c r="D19" s="3">
        <v>6988.7</v>
      </c>
      <c r="E19" s="5">
        <f t="shared" si="0"/>
        <v>3103.4675976934195</v>
      </c>
      <c r="F19" s="14">
        <v>3244.0104439402762</v>
      </c>
    </row>
    <row r="20" spans="1:6" x14ac:dyDescent="0.25">
      <c r="A20" t="s">
        <v>47</v>
      </c>
      <c r="B20" s="4">
        <v>5.7509809999999995</v>
      </c>
      <c r="C20" s="2"/>
      <c r="D20" s="3">
        <v>7031.2</v>
      </c>
      <c r="E20" s="5">
        <f t="shared" si="0"/>
        <v>3271.6924564796905</v>
      </c>
      <c r="F20" s="14">
        <v>3242.0793849563283</v>
      </c>
    </row>
    <row r="21" spans="1:6" x14ac:dyDescent="0.25">
      <c r="A21" t="s">
        <v>48</v>
      </c>
      <c r="B21" s="4">
        <v>5.9252199999999995</v>
      </c>
      <c r="C21" s="2"/>
      <c r="D21" s="3">
        <v>7062</v>
      </c>
      <c r="E21" s="5">
        <f t="shared" si="0"/>
        <v>3356.1144151798353</v>
      </c>
      <c r="F21" s="14">
        <v>3239.1692692369525</v>
      </c>
    </row>
    <row r="22" spans="1:6" x14ac:dyDescent="0.25">
      <c r="A22" t="s">
        <v>49</v>
      </c>
      <c r="B22" s="4">
        <v>5.7951350000000001</v>
      </c>
      <c r="C22" s="2"/>
      <c r="D22" s="3">
        <v>7168.7</v>
      </c>
      <c r="E22" s="5">
        <f t="shared" si="0"/>
        <v>3233.5765201500972</v>
      </c>
      <c r="F22" s="14">
        <v>3228.5265255901845</v>
      </c>
    </row>
    <row r="23" spans="1:6" x14ac:dyDescent="0.25">
      <c r="A23" t="s">
        <v>50</v>
      </c>
      <c r="B23" s="4">
        <v>5.5955959999999996</v>
      </c>
      <c r="C23" s="2"/>
      <c r="D23" s="3">
        <v>7229.4</v>
      </c>
      <c r="E23" s="5">
        <f t="shared" si="0"/>
        <v>3096.0223531690044</v>
      </c>
      <c r="F23" s="14">
        <v>3219.2665371233047</v>
      </c>
    </row>
    <row r="24" spans="1:6" x14ac:dyDescent="0.25">
      <c r="A24" t="s">
        <v>51</v>
      </c>
      <c r="B24" s="4">
        <v>5.9178899999999999</v>
      </c>
      <c r="C24" s="2"/>
      <c r="D24" s="3">
        <v>7330.2</v>
      </c>
      <c r="E24" s="5">
        <f t="shared" si="0"/>
        <v>3229.3198002783006</v>
      </c>
      <c r="F24" s="14">
        <v>3207.5681687195824</v>
      </c>
    </row>
    <row r="25" spans="1:6" x14ac:dyDescent="0.25">
      <c r="A25" t="s">
        <v>52</v>
      </c>
      <c r="B25" s="4">
        <v>6.0634309999999996</v>
      </c>
      <c r="C25" s="2"/>
      <c r="D25" s="3">
        <v>7370.2</v>
      </c>
      <c r="E25" s="5">
        <f t="shared" si="0"/>
        <v>3290.782339692274</v>
      </c>
      <c r="F25" s="14">
        <v>3197.7539166955753</v>
      </c>
    </row>
    <row r="26" spans="1:6" x14ac:dyDescent="0.25">
      <c r="A26" t="s">
        <v>53</v>
      </c>
      <c r="B26" s="4">
        <v>5.9412330000000004</v>
      </c>
      <c r="C26" s="2"/>
      <c r="D26" s="3">
        <v>7461.1</v>
      </c>
      <c r="E26" s="5">
        <f t="shared" si="0"/>
        <v>3185.1780568548875</v>
      </c>
      <c r="F26" s="14">
        <v>3188.1618781463071</v>
      </c>
    </row>
    <row r="27" spans="1:6" x14ac:dyDescent="0.25">
      <c r="A27" t="s">
        <v>54</v>
      </c>
      <c r="B27" s="4">
        <v>5.7330919999999992</v>
      </c>
      <c r="C27" s="2"/>
      <c r="D27" s="3">
        <v>7488.7</v>
      </c>
      <c r="E27" s="5">
        <f t="shared" si="0"/>
        <v>3062.2628760666066</v>
      </c>
      <c r="F27" s="14">
        <v>3182.8652039289595</v>
      </c>
    </row>
    <row r="28" spans="1:6" x14ac:dyDescent="0.25">
      <c r="A28" t="s">
        <v>55</v>
      </c>
      <c r="B28" s="4">
        <v>6.0137580000000002</v>
      </c>
      <c r="C28" s="2"/>
      <c r="D28" s="3">
        <v>7503.3</v>
      </c>
      <c r="E28" s="5">
        <f t="shared" si="0"/>
        <v>3205.9269921234659</v>
      </c>
      <c r="F28" s="14">
        <v>3174.3202065798068</v>
      </c>
    </row>
    <row r="29" spans="1:6" x14ac:dyDescent="0.25">
      <c r="A29" t="s">
        <v>56</v>
      </c>
      <c r="B29" s="4">
        <v>6.1525150000000011</v>
      </c>
      <c r="C29" s="2"/>
      <c r="D29" s="3">
        <v>7561.4</v>
      </c>
      <c r="E29" s="5">
        <f t="shared" si="0"/>
        <v>3254.696220276669</v>
      </c>
      <c r="F29" s="14">
        <v>3164.2028010360686</v>
      </c>
    </row>
    <row r="30" spans="1:6" x14ac:dyDescent="0.25">
      <c r="A30" t="s">
        <v>57</v>
      </c>
      <c r="B30" s="4">
        <v>6.0716739999999998</v>
      </c>
      <c r="C30" s="2"/>
      <c r="D30" s="3">
        <v>7621.9</v>
      </c>
      <c r="E30" s="5">
        <f t="shared" si="0"/>
        <v>3186.4359280494364</v>
      </c>
      <c r="F30" s="14">
        <v>3155.1335906390427</v>
      </c>
    </row>
    <row r="31" spans="1:6" x14ac:dyDescent="0.25">
      <c r="A31" s="2" t="s">
        <v>25</v>
      </c>
      <c r="B31" s="4">
        <v>5.916118</v>
      </c>
      <c r="C31" s="2"/>
      <c r="D31" s="3">
        <v>7676.4</v>
      </c>
      <c r="E31" s="5">
        <f t="shared" si="0"/>
        <v>3082.7565004429161</v>
      </c>
      <c r="F31" s="14">
        <v>3138.8823785975619</v>
      </c>
    </row>
    <row r="32" spans="1:6" x14ac:dyDescent="0.25">
      <c r="A32" s="2" t="s">
        <v>26</v>
      </c>
      <c r="B32" s="4">
        <v>6.1396709999999999</v>
      </c>
      <c r="C32" s="2"/>
      <c r="D32" s="3">
        <v>7802.9</v>
      </c>
      <c r="E32" s="5">
        <f t="shared" si="0"/>
        <v>3147.3790513783338</v>
      </c>
      <c r="F32" s="14">
        <v>3122.6311665560811</v>
      </c>
    </row>
    <row r="33" spans="1:6" x14ac:dyDescent="0.25">
      <c r="A33" s="2" t="s">
        <v>27</v>
      </c>
      <c r="B33" s="4">
        <v>6.2784360000000001</v>
      </c>
      <c r="C33" s="2"/>
      <c r="D33" s="3">
        <v>7841.9</v>
      </c>
      <c r="E33" s="5">
        <f t="shared" si="0"/>
        <v>3202.5075555668909</v>
      </c>
      <c r="F33" s="14">
        <v>3107.2734524655534</v>
      </c>
    </row>
    <row r="34" spans="1:6" x14ac:dyDescent="0.25">
      <c r="A34" s="2" t="s">
        <v>28</v>
      </c>
      <c r="B34" s="4">
        <v>6.1842389999999998</v>
      </c>
      <c r="C34" s="2"/>
      <c r="D34" s="3">
        <v>7931.3</v>
      </c>
      <c r="E34" s="5">
        <f t="shared" si="0"/>
        <v>3118.9030802012276</v>
      </c>
      <c r="F34" s="14">
        <v>3091.301318629442</v>
      </c>
    </row>
    <row r="35" spans="1:6" x14ac:dyDescent="0.25">
      <c r="A35" s="2" t="s">
        <v>29</v>
      </c>
      <c r="B35" s="4">
        <v>5.8621259999999999</v>
      </c>
      <c r="C35" s="2"/>
      <c r="D35" s="3">
        <v>8016.4</v>
      </c>
      <c r="E35" s="5">
        <f t="shared" si="0"/>
        <v>2925.0666134424432</v>
      </c>
      <c r="F35" s="14">
        <v>3069.2156228536846</v>
      </c>
    </row>
    <row r="36" spans="1:6" x14ac:dyDescent="0.25">
      <c r="A36" s="2" t="s">
        <v>30</v>
      </c>
      <c r="B36" s="4">
        <v>6.2532969999999999</v>
      </c>
      <c r="C36" s="2"/>
      <c r="D36" s="3">
        <v>8131.9</v>
      </c>
      <c r="E36" s="5">
        <f t="shared" si="0"/>
        <v>3075.934037555799</v>
      </c>
      <c r="F36" s="14">
        <v>3051.7574426477763</v>
      </c>
    </row>
    <row r="37" spans="1:6" x14ac:dyDescent="0.25">
      <c r="A37" s="2" t="s">
        <v>31</v>
      </c>
      <c r="B37" s="4">
        <v>6.4271509999999994</v>
      </c>
      <c r="C37" s="2"/>
      <c r="D37" s="3">
        <v>8216.6</v>
      </c>
      <c r="E37" s="5">
        <f t="shared" si="0"/>
        <v>3128.8615729133703</v>
      </c>
      <c r="F37" s="14">
        <v>3035.235351925473</v>
      </c>
    </row>
    <row r="38" spans="1:6" x14ac:dyDescent="0.25">
      <c r="A38" s="2" t="s">
        <v>32</v>
      </c>
      <c r="B38" s="4">
        <v>6.2759740000000006</v>
      </c>
      <c r="C38" s="2"/>
      <c r="D38" s="3">
        <v>8272.9</v>
      </c>
      <c r="E38" s="5">
        <f t="shared" si="0"/>
        <v>3034.4735219814097</v>
      </c>
      <c r="F38" s="14">
        <v>3018.7605685017556</v>
      </c>
    </row>
    <row r="39" spans="1:6" x14ac:dyDescent="0.25">
      <c r="A39" t="s">
        <v>0</v>
      </c>
      <c r="B39" s="4">
        <v>5.9729550000000007</v>
      </c>
      <c r="C39" s="3">
        <v>2101.2249999999999</v>
      </c>
      <c r="D39" s="3">
        <v>8404.9</v>
      </c>
      <c r="E39" s="5">
        <f t="shared" si="0"/>
        <v>2842.6060988233062</v>
      </c>
      <c r="F39" s="14">
        <v>3000.3745906699678</v>
      </c>
    </row>
    <row r="40" spans="1:6" x14ac:dyDescent="0.25">
      <c r="A40" t="s">
        <v>1</v>
      </c>
      <c r="B40" s="4">
        <v>6.3812979999999992</v>
      </c>
      <c r="C40" s="3">
        <v>2116.4</v>
      </c>
      <c r="D40" s="3">
        <v>8465.6</v>
      </c>
      <c r="E40" s="5">
        <f t="shared" si="0"/>
        <v>3015.1663201663196</v>
      </c>
      <c r="F40" s="14">
        <v>2991.0545030828225</v>
      </c>
    </row>
    <row r="41" spans="1:6" x14ac:dyDescent="0.25">
      <c r="A41" t="s">
        <v>2</v>
      </c>
      <c r="B41" s="4">
        <v>6.570577000000001</v>
      </c>
      <c r="C41" s="3">
        <v>2134.4</v>
      </c>
      <c r="D41" s="3">
        <v>8537.6</v>
      </c>
      <c r="E41" s="5">
        <f t="shared" si="0"/>
        <v>3078.418759370315</v>
      </c>
      <c r="F41" s="14">
        <v>2982.7707001868544</v>
      </c>
    </row>
    <row r="42" spans="1:6" x14ac:dyDescent="0.25">
      <c r="A42" t="s">
        <v>3</v>
      </c>
      <c r="B42" s="4">
        <v>6.4266810000000003</v>
      </c>
      <c r="C42" s="3">
        <v>2163.625</v>
      </c>
      <c r="D42" s="3">
        <v>8654.5</v>
      </c>
      <c r="E42" s="5">
        <f t="shared" si="0"/>
        <v>2970.3303483736786</v>
      </c>
      <c r="F42" s="14">
        <v>2974.0401937160627</v>
      </c>
    </row>
    <row r="43" spans="1:6" x14ac:dyDescent="0.25">
      <c r="A43" t="s">
        <v>4</v>
      </c>
      <c r="B43" s="4">
        <v>6.23</v>
      </c>
      <c r="C43" s="3">
        <v>2182.5</v>
      </c>
      <c r="D43" s="3">
        <v>8730</v>
      </c>
      <c r="E43" s="5">
        <f t="shared" si="0"/>
        <v>2854.5246277205042</v>
      </c>
      <c r="F43" s="14">
        <v>2969.9012977292987</v>
      </c>
    </row>
    <row r="44" spans="1:6" x14ac:dyDescent="0.25">
      <c r="A44" t="s">
        <v>5</v>
      </c>
      <c r="B44" s="4">
        <v>6.6280000000000001</v>
      </c>
      <c r="C44" s="3">
        <v>2195.8000000000002</v>
      </c>
      <c r="D44" s="3">
        <v>8783.2000000000007</v>
      </c>
      <c r="E44" s="5">
        <f t="shared" si="0"/>
        <v>3018.4898442481099</v>
      </c>
      <c r="F44" s="14">
        <v>2960.5025188433542</v>
      </c>
    </row>
    <row r="45" spans="1:6" x14ac:dyDescent="0.25">
      <c r="A45" t="s">
        <v>6</v>
      </c>
      <c r="B45" s="4">
        <v>6.7530000000000001</v>
      </c>
      <c r="C45" s="3">
        <v>2226.4499999999998</v>
      </c>
      <c r="D45" s="3">
        <v>8905.7999999999993</v>
      </c>
      <c r="E45" s="5">
        <f t="shared" si="0"/>
        <v>3033.0795661254465</v>
      </c>
      <c r="F45" s="14">
        <v>2940.8233105098652</v>
      </c>
    </row>
    <row r="46" spans="1:6" x14ac:dyDescent="0.25">
      <c r="A46" t="s">
        <v>7</v>
      </c>
      <c r="B46" s="4">
        <v>6.694</v>
      </c>
      <c r="C46" s="3">
        <v>2271.0250000000001</v>
      </c>
      <c r="D46" s="3">
        <v>9084.1</v>
      </c>
      <c r="E46" s="5">
        <f t="shared" si="0"/>
        <v>2947.5677282284432</v>
      </c>
      <c r="F46" s="14">
        <v>2921.7270103871301</v>
      </c>
    </row>
    <row r="47" spans="1:6" x14ac:dyDescent="0.25">
      <c r="A47" t="s">
        <v>8</v>
      </c>
      <c r="B47" s="4">
        <v>6.3029999999999999</v>
      </c>
      <c r="C47" s="3">
        <v>2297.9499999999998</v>
      </c>
      <c r="D47" s="3">
        <v>9191.7999999999993</v>
      </c>
      <c r="E47" s="5">
        <f t="shared" si="0"/>
        <v>2742.8795230531559</v>
      </c>
      <c r="F47" s="14">
        <v>2896.9980184263959</v>
      </c>
    </row>
    <row r="48" spans="1:6" x14ac:dyDescent="0.25">
      <c r="A48" t="s">
        <v>9</v>
      </c>
      <c r="B48" s="4">
        <v>6.7039999999999997</v>
      </c>
      <c r="C48">
        <v>2327.1999999999998</v>
      </c>
      <c r="D48" s="3">
        <v>9318.9</v>
      </c>
      <c r="E48" s="5">
        <f t="shared" si="0"/>
        <v>2877.5928489413986</v>
      </c>
      <c r="F48" s="14">
        <v>2880.1960361428683</v>
      </c>
    </row>
    <row r="49" spans="1:6" x14ac:dyDescent="0.25">
      <c r="A49" t="s">
        <v>10</v>
      </c>
      <c r="B49">
        <v>6.9489999999999998</v>
      </c>
      <c r="D49" s="6">
        <v>9369.5</v>
      </c>
      <c r="E49" s="5">
        <f t="shared" si="0"/>
        <v>2966.6470996317839</v>
      </c>
      <c r="F49" s="14">
        <v>2873.2475892584648</v>
      </c>
    </row>
    <row r="50" spans="1:6" x14ac:dyDescent="0.25">
      <c r="A50" t="s">
        <v>11</v>
      </c>
      <c r="B50">
        <v>6.7140000000000004</v>
      </c>
      <c r="D50" s="3">
        <v>9393.7000000000007</v>
      </c>
      <c r="E50" s="5">
        <f t="shared" si="0"/>
        <v>2858.9373729201484</v>
      </c>
      <c r="F50" s="14">
        <v>2866.3505771900632</v>
      </c>
    </row>
    <row r="51" spans="1:6" x14ac:dyDescent="0.25">
      <c r="A51" t="s">
        <v>12</v>
      </c>
      <c r="B51">
        <v>6.5119999999999996</v>
      </c>
      <c r="D51" s="13">
        <v>9229.9</v>
      </c>
      <c r="E51" s="5">
        <f t="shared" si="0"/>
        <v>2822.1324174693113</v>
      </c>
      <c r="F51" s="14">
        <v>2865.1617314313426</v>
      </c>
    </row>
    <row r="52" spans="1:6" x14ac:dyDescent="0.25">
      <c r="A52" t="s">
        <v>13</v>
      </c>
      <c r="B52">
        <v>6.9359999999999999</v>
      </c>
      <c r="D52" s="13">
        <v>9193.1</v>
      </c>
      <c r="E52" s="5">
        <f t="shared" si="0"/>
        <v>3017.9156106210089</v>
      </c>
      <c r="F52" s="14">
        <v>2955.0913177996763</v>
      </c>
    </row>
    <row r="53" spans="1:6" x14ac:dyDescent="0.25">
      <c r="A53" t="s">
        <v>14</v>
      </c>
      <c r="B53">
        <v>7.024</v>
      </c>
      <c r="D53" s="13">
        <v>9186.4</v>
      </c>
      <c r="E53" s="5">
        <f t="shared" si="0"/>
        <v>3058.4342070887401</v>
      </c>
      <c r="F53" s="14">
        <v>2938.9858854691765</v>
      </c>
    </row>
    <row r="54" spans="1:6" x14ac:dyDescent="0.25">
      <c r="A54" t="s">
        <v>15</v>
      </c>
      <c r="B54">
        <v>6.5670000000000002</v>
      </c>
      <c r="D54" s="13">
        <v>9248.7999999999993</v>
      </c>
      <c r="E54" s="5">
        <f t="shared" si="0"/>
        <v>2840.1522359657474</v>
      </c>
      <c r="F54" s="14">
        <v>2858.879930370143</v>
      </c>
    </row>
    <row r="55" spans="1:6" x14ac:dyDescent="0.25">
      <c r="A55" t="s">
        <v>69</v>
      </c>
      <c r="B55">
        <v>6.3289999999999997</v>
      </c>
      <c r="D55" s="13">
        <v>9363.2000000000007</v>
      </c>
      <c r="E55" s="5">
        <f>B55*4/D55*1000000</f>
        <v>2703.7764866712232</v>
      </c>
      <c r="F55" s="14">
        <v>2857.3938875203189</v>
      </c>
    </row>
    <row r="56" spans="1:6" x14ac:dyDescent="0.25">
      <c r="A56" t="s">
        <v>70</v>
      </c>
      <c r="B56">
        <v>6.9059999999999997</v>
      </c>
      <c r="D56" s="13">
        <v>9389.6</v>
      </c>
      <c r="E56" s="5">
        <f t="shared" si="0"/>
        <v>2941.9783590355282</v>
      </c>
      <c r="F56" s="14">
        <v>2863.63108765785</v>
      </c>
    </row>
  </sheetData>
  <pageMargins left="0.75" right="0.75" top="1" bottom="1" header="0.5" footer="0.5"/>
  <pageSetup orientation="portrait" horizont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12"/>
  <sheetViews>
    <sheetView tabSelected="1" workbookViewId="0">
      <selection sqref="A1:C1"/>
    </sheetView>
  </sheetViews>
  <sheetFormatPr defaultRowHeight="12.5" x14ac:dyDescent="0.25"/>
  <cols>
    <col min="1" max="1" width="85.7265625" customWidth="1"/>
    <col min="2" max="3" width="9.7265625" customWidth="1"/>
  </cols>
  <sheetData>
    <row r="1" spans="1:3" ht="18" x14ac:dyDescent="0.4">
      <c r="A1" s="18" t="s">
        <v>60</v>
      </c>
      <c r="B1" s="19"/>
      <c r="C1" s="19"/>
    </row>
    <row r="2" spans="1:3" ht="15" customHeight="1" x14ac:dyDescent="0.35">
      <c r="A2" s="20" t="s">
        <v>65</v>
      </c>
      <c r="B2" s="21"/>
      <c r="C2" s="21"/>
    </row>
    <row r="3" spans="1:3" ht="300" customHeight="1" x14ac:dyDescent="0.25"/>
    <row r="4" spans="1:3" x14ac:dyDescent="0.25">
      <c r="A4" s="16" t="s">
        <v>61</v>
      </c>
      <c r="B4" s="22"/>
      <c r="C4" s="22"/>
    </row>
    <row r="5" spans="1:3" x14ac:dyDescent="0.25">
      <c r="A5" s="22" t="s">
        <v>62</v>
      </c>
      <c r="B5" s="22"/>
      <c r="C5" s="22"/>
    </row>
    <row r="6" spans="1:3" x14ac:dyDescent="0.25">
      <c r="A6" s="22" t="s">
        <v>63</v>
      </c>
      <c r="B6" s="22"/>
      <c r="C6" s="22"/>
    </row>
    <row r="7" spans="1:3" ht="15" customHeight="1" x14ac:dyDescent="0.25">
      <c r="A7" s="10" t="s">
        <v>23</v>
      </c>
      <c r="B7" s="15" t="s">
        <v>13</v>
      </c>
      <c r="C7" s="11" t="s">
        <v>70</v>
      </c>
    </row>
    <row r="8" spans="1:3" ht="15" customHeight="1" x14ac:dyDescent="0.25">
      <c r="A8" s="8" t="s">
        <v>59</v>
      </c>
      <c r="B8" s="9">
        <v>3018</v>
      </c>
      <c r="C8" s="9">
        <v>2941.9783590355282</v>
      </c>
    </row>
    <row r="9" spans="1:3" ht="15" customHeight="1" x14ac:dyDescent="0.25">
      <c r="A9" s="8" t="s">
        <v>24</v>
      </c>
      <c r="B9" s="12">
        <v>4.8600000000000003</v>
      </c>
      <c r="C9" s="12">
        <v>-2.52</v>
      </c>
    </row>
    <row r="10" spans="1:3" x14ac:dyDescent="0.25">
      <c r="A10" s="16" t="s">
        <v>64</v>
      </c>
      <c r="B10" s="16"/>
      <c r="C10" s="16"/>
    </row>
    <row r="11" spans="1:3" ht="13" x14ac:dyDescent="0.3">
      <c r="A11" s="23" t="s">
        <v>67</v>
      </c>
      <c r="B11" s="23"/>
      <c r="C11" s="23"/>
    </row>
    <row r="12" spans="1:3" ht="13" x14ac:dyDescent="0.3">
      <c r="A12" s="16" t="s">
        <v>66</v>
      </c>
      <c r="B12" s="17"/>
      <c r="C12" s="17"/>
    </row>
  </sheetData>
  <mergeCells count="8">
    <mergeCell ref="A10:C10"/>
    <mergeCell ref="A12:C12"/>
    <mergeCell ref="A1:C1"/>
    <mergeCell ref="A2:C2"/>
    <mergeCell ref="A5:C5"/>
    <mergeCell ref="A6:C6"/>
    <mergeCell ref="A11:C11"/>
    <mergeCell ref="A4:C4"/>
  </mergeCells>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HTML</vt:lpstr>
    </vt:vector>
  </TitlesOfParts>
  <Company>BTS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johnson</dc:creator>
  <cp:lastModifiedBy>Carina Negreanu</cp:lastModifiedBy>
  <cp:lastPrinted>2000-09-01T14:52:53Z</cp:lastPrinted>
  <dcterms:created xsi:type="dcterms:W3CDTF">2000-08-23T15:10:39Z</dcterms:created>
  <dcterms:modified xsi:type="dcterms:W3CDTF">2020-01-27T12:47:57Z</dcterms:modified>
</cp:coreProperties>
</file>