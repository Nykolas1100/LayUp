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AEE85B10-6F54-47D1-8028-1ACE95443907}" xr6:coauthVersionLast="45" xr6:coauthVersionMax="45" xr10:uidLastSave="{00000000-0000-0000-0000-000000000000}"/>
  <bookViews>
    <workbookView xWindow="3420" yWindow="3420" windowWidth="28800" windowHeight="15460" firstSheet="3" activeTab="5"/>
  </bookViews>
  <sheets>
    <sheet name="Begin Model" sheetId="11" r:id="rId1"/>
    <sheet name="Model Assumptions" sheetId="8" r:id="rId2"/>
    <sheet name="Financial Model" sheetId="7" r:id="rId3"/>
    <sheet name="NPV Calculation" sheetId="9" r:id="rId4"/>
    <sheet name="End Model" sheetId="1" r:id="rId5"/>
    <sheet name="Goldman Integrated Model" sheetId="5" r:id="rId6"/>
  </sheets>
  <externalReferences>
    <externalReference r:id="rId7"/>
  </externalReferences>
  <definedNames>
    <definedName name="Maturity" localSheetId="2">'Financial Model'!$D$153:$E$162</definedName>
    <definedName name="Maturity">#REF!</definedName>
    <definedName name="MaturitySchedule" localSheetId="2">'Financial Model'!$D$153:$D$162</definedName>
    <definedName name="MaturitySchedule">#REF!</definedName>
    <definedName name="_xlnm.Print_Area" localSheetId="2">'Financial Model'!$A$1:$N$150</definedName>
    <definedName name="_xlnm.Print_Area" localSheetId="1">'Model Assumptions'!$A$3:$D$40</definedName>
    <definedName name="Retention" localSheetId="2">'Financial Model'!$D$153:$F$162</definedName>
    <definedName name="Retention">#REF!</definedName>
    <definedName name="Statement_Date">#REF!</definedName>
  </definedName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E11" i="7" l="1"/>
  <c r="F11" i="7"/>
  <c r="F24" i="7" s="1"/>
  <c r="D14" i="7"/>
  <c r="E10" i="7" s="1"/>
  <c r="D15" i="7"/>
  <c r="D20" i="7"/>
  <c r="D24" i="7"/>
  <c r="E24" i="7"/>
  <c r="D29" i="7"/>
  <c r="E29" i="7"/>
  <c r="F29" i="7"/>
  <c r="G29" i="7"/>
  <c r="H29" i="7"/>
  <c r="I29" i="7"/>
  <c r="J29" i="7"/>
  <c r="K29" i="7"/>
  <c r="L29" i="7"/>
  <c r="M29" i="7"/>
  <c r="D30" i="7"/>
  <c r="E30" i="7"/>
  <c r="F30" i="7"/>
  <c r="G30" i="7"/>
  <c r="H30" i="7"/>
  <c r="I30" i="7"/>
  <c r="J30" i="7"/>
  <c r="K30" i="7"/>
  <c r="L30" i="7"/>
  <c r="M30" i="7"/>
  <c r="E31" i="7"/>
  <c r="F31" i="7"/>
  <c r="F32" i="7" s="1"/>
  <c r="F33" i="7" s="1"/>
  <c r="G31" i="7"/>
  <c r="H31" i="7"/>
  <c r="H32" i="7" s="1"/>
  <c r="I31" i="7"/>
  <c r="I32" i="7" s="1"/>
  <c r="I33" i="7" s="1"/>
  <c r="J31" i="7"/>
  <c r="J32" i="7" s="1"/>
  <c r="J33" i="7" s="1"/>
  <c r="K31" i="7"/>
  <c r="L31" i="7"/>
  <c r="L32" i="7" s="1"/>
  <c r="M31" i="7"/>
  <c r="M32" i="7" s="1"/>
  <c r="M33" i="7" s="1"/>
  <c r="D32" i="7"/>
  <c r="D33" i="7" s="1"/>
  <c r="E32" i="7"/>
  <c r="E33" i="7" s="1"/>
  <c r="D34" i="7"/>
  <c r="D35" i="7" s="1"/>
  <c r="E34" i="7"/>
  <c r="E35" i="7" s="1"/>
  <c r="D47" i="7"/>
  <c r="D52" i="7"/>
  <c r="E52" i="7"/>
  <c r="F52" i="7"/>
  <c r="G52" i="7"/>
  <c r="H52" i="7"/>
  <c r="I52" i="7"/>
  <c r="J52" i="7"/>
  <c r="K52" i="7"/>
  <c r="L52" i="7"/>
  <c r="M52" i="7"/>
  <c r="D60" i="7"/>
  <c r="E60" i="7"/>
  <c r="F60" i="7"/>
  <c r="G60" i="7"/>
  <c r="H60" i="7"/>
  <c r="I60" i="7"/>
  <c r="J60" i="7"/>
  <c r="K60" i="7"/>
  <c r="L60" i="7"/>
  <c r="M60" i="7"/>
  <c r="D63" i="7"/>
  <c r="E63" i="7"/>
  <c r="D64" i="7"/>
  <c r="E64" i="7"/>
  <c r="M64" i="7"/>
  <c r="D65" i="7"/>
  <c r="E65" i="7"/>
  <c r="F65" i="7"/>
  <c r="D83" i="7"/>
  <c r="D110" i="7" s="1"/>
  <c r="D98" i="7"/>
  <c r="E98" i="7"/>
  <c r="F98" i="7"/>
  <c r="G98" i="7"/>
  <c r="H98" i="7"/>
  <c r="I98" i="7"/>
  <c r="D100" i="7"/>
  <c r="E100" i="7"/>
  <c r="F100" i="7"/>
  <c r="G100" i="7"/>
  <c r="H100" i="7"/>
  <c r="I100" i="7"/>
  <c r="J100" i="7"/>
  <c r="K100" i="7"/>
  <c r="L100" i="7"/>
  <c r="L101" i="7" s="1"/>
  <c r="M100" i="7"/>
  <c r="M101" i="7" s="1"/>
  <c r="D101" i="7"/>
  <c r="E101" i="7"/>
  <c r="F101" i="7"/>
  <c r="G101" i="7"/>
  <c r="H101" i="7"/>
  <c r="I101" i="7"/>
  <c r="J101" i="7"/>
  <c r="K101" i="7"/>
  <c r="I116" i="7"/>
  <c r="J116" i="7"/>
  <c r="K116" i="7"/>
  <c r="L116" i="7"/>
  <c r="M116" i="7" s="1"/>
  <c r="M144" i="7" s="1"/>
  <c r="D131" i="7"/>
  <c r="D143" i="7"/>
  <c r="E143" i="7"/>
  <c r="F18" i="9" s="1"/>
  <c r="F143" i="7"/>
  <c r="G143" i="7"/>
  <c r="H143" i="7"/>
  <c r="I143" i="7"/>
  <c r="J143" i="7"/>
  <c r="K143" i="7"/>
  <c r="K145" i="7" s="1"/>
  <c r="L143" i="7"/>
  <c r="M143" i="7"/>
  <c r="D144" i="7"/>
  <c r="E19" i="9" s="1"/>
  <c r="E144" i="7"/>
  <c r="F19" i="9" s="1"/>
  <c r="F144" i="7"/>
  <c r="G19" i="9" s="1"/>
  <c r="G144" i="7"/>
  <c r="G145" i="7" s="1"/>
  <c r="H144" i="7"/>
  <c r="I19" i="9" s="1"/>
  <c r="I144" i="7"/>
  <c r="I145" i="7" s="1"/>
  <c r="J144" i="7"/>
  <c r="J145" i="7" s="1"/>
  <c r="K144" i="7"/>
  <c r="L19" i="9" s="1"/>
  <c r="L144" i="7"/>
  <c r="L145" i="7" s="1"/>
  <c r="D145" i="7"/>
  <c r="E145" i="7"/>
  <c r="F20" i="9" s="1"/>
  <c r="F22" i="9" s="1"/>
  <c r="F145" i="7"/>
  <c r="D153" i="7"/>
  <c r="E153" i="7"/>
  <c r="F153" i="7"/>
  <c r="D154" i="7"/>
  <c r="E154" i="7"/>
  <c r="F154" i="7"/>
  <c r="D155" i="7"/>
  <c r="E155" i="7"/>
  <c r="D156" i="7"/>
  <c r="D157" i="7"/>
  <c r="F13" i="7" s="1"/>
  <c r="D158" i="7"/>
  <c r="D159" i="7"/>
  <c r="D160" i="7"/>
  <c r="D161" i="7"/>
  <c r="D162" i="7"/>
  <c r="D5" i="5"/>
  <c r="D6" i="5"/>
  <c r="D7" i="5"/>
  <c r="K7" i="5"/>
  <c r="D8" i="5"/>
  <c r="D9" i="5"/>
  <c r="K9" i="5" s="1"/>
  <c r="D20" i="5"/>
  <c r="D22" i="5" s="1"/>
  <c r="K5" i="5" s="1"/>
  <c r="K10" i="5" s="1"/>
  <c r="E18" i="9"/>
  <c r="G18" i="9"/>
  <c r="H18" i="9"/>
  <c r="I18" i="9"/>
  <c r="J18" i="9"/>
  <c r="K18" i="9"/>
  <c r="L18" i="9"/>
  <c r="M18" i="9"/>
  <c r="N18" i="9"/>
  <c r="E20" i="9"/>
  <c r="E22" i="9" s="1"/>
  <c r="G20" i="9"/>
  <c r="G22" i="9" s="1"/>
  <c r="E26" i="9"/>
  <c r="M145" i="7" l="1"/>
  <c r="N19" i="9"/>
  <c r="E36" i="7"/>
  <c r="E61" i="7"/>
  <c r="J20" i="9"/>
  <c r="J22" i="9" s="1"/>
  <c r="M20" i="9"/>
  <c r="M22" i="9" s="1"/>
  <c r="K20" i="9"/>
  <c r="K22" i="9" s="1"/>
  <c r="K61" i="7"/>
  <c r="H20" i="9"/>
  <c r="H22" i="9" s="1"/>
  <c r="H33" i="7"/>
  <c r="E14" i="7"/>
  <c r="E47" i="7" s="1"/>
  <c r="E15" i="7"/>
  <c r="D36" i="7"/>
  <c r="D61" i="7"/>
  <c r="L20" i="9"/>
  <c r="L22" i="9" s="1"/>
  <c r="G19" i="7"/>
  <c r="F155" i="7"/>
  <c r="D135" i="7"/>
  <c r="D51" i="7"/>
  <c r="D53" i="7" s="1"/>
  <c r="F23" i="7"/>
  <c r="G20" i="7" s="1"/>
  <c r="E13" i="7"/>
  <c r="E23" i="7"/>
  <c r="F20" i="7" s="1"/>
  <c r="D13" i="7"/>
  <c r="D23" i="7"/>
  <c r="E20" i="7" s="1"/>
  <c r="M19" i="9"/>
  <c r="D84" i="7"/>
  <c r="M34" i="7"/>
  <c r="M35" i="7" s="1"/>
  <c r="K19" i="9"/>
  <c r="L64" i="7"/>
  <c r="L34" i="7"/>
  <c r="L35" i="7" s="1"/>
  <c r="J19" i="9"/>
  <c r="K64" i="7"/>
  <c r="K34" i="7"/>
  <c r="K35" i="7" s="1"/>
  <c r="K36" i="7" s="1"/>
  <c r="K32" i="7"/>
  <c r="K33" i="7" s="1"/>
  <c r="J64" i="7"/>
  <c r="J34" i="7"/>
  <c r="J35" i="7" s="1"/>
  <c r="H19" i="9"/>
  <c r="I64" i="7"/>
  <c r="I34" i="7"/>
  <c r="I35" i="7" s="1"/>
  <c r="G11" i="7"/>
  <c r="H64" i="7"/>
  <c r="H34" i="7"/>
  <c r="H35" i="7" s="1"/>
  <c r="H145" i="7"/>
  <c r="G64" i="7"/>
  <c r="G34" i="7"/>
  <c r="G35" i="7" s="1"/>
  <c r="G32" i="7"/>
  <c r="G33" i="7" s="1"/>
  <c r="F19" i="7"/>
  <c r="F64" i="7"/>
  <c r="F34" i="7"/>
  <c r="F35" i="7" s="1"/>
  <c r="E19" i="7"/>
  <c r="L33" i="7"/>
  <c r="H13" i="7"/>
  <c r="H23" i="7"/>
  <c r="I20" i="7" s="1"/>
  <c r="G13" i="7"/>
  <c r="G23" i="7"/>
  <c r="H20" i="7" s="1"/>
  <c r="I20" i="9" l="1"/>
  <c r="I22" i="9" s="1"/>
  <c r="D23" i="9" s="1"/>
  <c r="D56" i="7"/>
  <c r="D85" i="7"/>
  <c r="J61" i="7"/>
  <c r="J36" i="7"/>
  <c r="D21" i="7"/>
  <c r="D90" i="7"/>
  <c r="D89" i="7"/>
  <c r="D87" i="7" s="1"/>
  <c r="F21" i="7"/>
  <c r="F36" i="7"/>
  <c r="F61" i="7"/>
  <c r="E90" i="7"/>
  <c r="F92" i="7" s="1"/>
  <c r="G93" i="7" s="1"/>
  <c r="H94" i="7" s="1"/>
  <c r="I95" i="7" s="1"/>
  <c r="J96" i="7" s="1"/>
  <c r="E89" i="7"/>
  <c r="G36" i="7"/>
  <c r="G61" i="7"/>
  <c r="H61" i="7"/>
  <c r="H36" i="7"/>
  <c r="F10" i="7"/>
  <c r="E83" i="7"/>
  <c r="G24" i="7"/>
  <c r="H11" i="7"/>
  <c r="E156" i="7"/>
  <c r="I13" i="7" s="1"/>
  <c r="F63" i="7"/>
  <c r="G65" i="7"/>
  <c r="I61" i="7"/>
  <c r="I36" i="7"/>
  <c r="E21" i="7"/>
  <c r="K89" i="7"/>
  <c r="K90" i="7"/>
  <c r="L92" i="7" s="1"/>
  <c r="M93" i="7" s="1"/>
  <c r="L61" i="7"/>
  <c r="L36" i="7"/>
  <c r="M61" i="7"/>
  <c r="M36" i="7"/>
  <c r="N20" i="9"/>
  <c r="N22" i="9" s="1"/>
  <c r="E87" i="7" l="1"/>
  <c r="G90" i="7"/>
  <c r="H92" i="7" s="1"/>
  <c r="I93" i="7" s="1"/>
  <c r="J94" i="7" s="1"/>
  <c r="K95" i="7" s="1"/>
  <c r="L96" i="7" s="1"/>
  <c r="G89" i="7"/>
  <c r="L89" i="7"/>
  <c r="L90" i="7"/>
  <c r="M92" i="7" s="1"/>
  <c r="D139" i="7"/>
  <c r="I89" i="7"/>
  <c r="I90" i="7"/>
  <c r="J92" i="7" s="1"/>
  <c r="K93" i="7" s="1"/>
  <c r="L94" i="7" s="1"/>
  <c r="M95" i="7" s="1"/>
  <c r="J89" i="7"/>
  <c r="J90" i="7"/>
  <c r="K92" i="7" s="1"/>
  <c r="L93" i="7" s="1"/>
  <c r="M94" i="7" s="1"/>
  <c r="H89" i="7"/>
  <c r="H90" i="7"/>
  <c r="I92" i="7" s="1"/>
  <c r="J93" i="7" s="1"/>
  <c r="K94" i="7" s="1"/>
  <c r="L95" i="7" s="1"/>
  <c r="M96" i="7" s="1"/>
  <c r="M89" i="7"/>
  <c r="M90" i="7"/>
  <c r="J97" i="7"/>
  <c r="K98" i="7"/>
  <c r="K87" i="7"/>
  <c r="D97" i="7"/>
  <c r="D99" i="7"/>
  <c r="E92" i="7"/>
  <c r="H65" i="7"/>
  <c r="H24" i="7"/>
  <c r="I11" i="7"/>
  <c r="E157" i="7"/>
  <c r="J13" i="7" s="1"/>
  <c r="G63" i="7"/>
  <c r="F90" i="7"/>
  <c r="G92" i="7" s="1"/>
  <c r="H93" i="7" s="1"/>
  <c r="I94" i="7" s="1"/>
  <c r="J95" i="7" s="1"/>
  <c r="K96" i="7" s="1"/>
  <c r="K97" i="7" s="1"/>
  <c r="L98" i="7" s="1"/>
  <c r="F89" i="7"/>
  <c r="F45" i="7"/>
  <c r="F38" i="7"/>
  <c r="E45" i="7"/>
  <c r="E38" i="7"/>
  <c r="D45" i="7"/>
  <c r="D38" i="7"/>
  <c r="E10" i="9"/>
  <c r="D128" i="7"/>
  <c r="F156" i="7"/>
  <c r="I23" i="7" s="1"/>
  <c r="J20" i="7" s="1"/>
  <c r="G21" i="7"/>
  <c r="H19" i="7"/>
  <c r="E110" i="7"/>
  <c r="E131" i="7"/>
  <c r="E84" i="7"/>
  <c r="E56" i="7" s="1"/>
  <c r="F14" i="7"/>
  <c r="M87" i="7" l="1"/>
  <c r="H87" i="7"/>
  <c r="I87" i="7"/>
  <c r="M97" i="7"/>
  <c r="M91" i="7" s="1"/>
  <c r="G10" i="7"/>
  <c r="F83" i="7"/>
  <c r="L87" i="7"/>
  <c r="L91" i="7"/>
  <c r="F47" i="7"/>
  <c r="J91" i="7"/>
  <c r="J87" i="7"/>
  <c r="F15" i="7"/>
  <c r="F10" i="9"/>
  <c r="E128" i="7"/>
  <c r="H63" i="7"/>
  <c r="E158" i="7"/>
  <c r="K13" i="7" s="1"/>
  <c r="I65" i="7"/>
  <c r="I24" i="7"/>
  <c r="J11" i="7"/>
  <c r="H21" i="7"/>
  <c r="F157" i="7"/>
  <c r="J23" i="7" s="1"/>
  <c r="K20" i="7" s="1"/>
  <c r="I19" i="7"/>
  <c r="E12" i="9"/>
  <c r="D140" i="7"/>
  <c r="E85" i="7"/>
  <c r="G87" i="7"/>
  <c r="E97" i="7"/>
  <c r="E91" i="7" s="1"/>
  <c r="F93" i="7"/>
  <c r="E99" i="7"/>
  <c r="D88" i="7"/>
  <c r="K91" i="7"/>
  <c r="E139" i="7"/>
  <c r="F87" i="7"/>
  <c r="E135" i="7"/>
  <c r="E51" i="7"/>
  <c r="E53" i="7" s="1"/>
  <c r="G45" i="7"/>
  <c r="G38" i="7"/>
  <c r="L97" i="7"/>
  <c r="M98" i="7" s="1"/>
  <c r="E88" i="7" l="1"/>
  <c r="L139" i="7"/>
  <c r="D62" i="7"/>
  <c r="D102" i="7"/>
  <c r="G139" i="7"/>
  <c r="G14" i="7"/>
  <c r="J139" i="7"/>
  <c r="G94" i="7"/>
  <c r="F97" i="7"/>
  <c r="F91" i="7" s="1"/>
  <c r="F99" i="7" s="1"/>
  <c r="F139" i="7"/>
  <c r="F158" i="7"/>
  <c r="K23" i="7" s="1"/>
  <c r="L20" i="7" s="1"/>
  <c r="I21" i="7"/>
  <c r="J19" i="7"/>
  <c r="M139" i="7"/>
  <c r="K139" i="7"/>
  <c r="F110" i="7"/>
  <c r="F131" i="7"/>
  <c r="F84" i="7"/>
  <c r="F56" i="7" s="1"/>
  <c r="I139" i="7"/>
  <c r="H38" i="7"/>
  <c r="H45" i="7"/>
  <c r="I63" i="7"/>
  <c r="J65" i="7"/>
  <c r="J24" i="7"/>
  <c r="K11" i="7"/>
  <c r="E159" i="7"/>
  <c r="L13" i="7" s="1"/>
  <c r="H139" i="7"/>
  <c r="F12" i="9"/>
  <c r="E140" i="7"/>
  <c r="F88" i="7" l="1"/>
  <c r="F159" i="7"/>
  <c r="L23" i="7" s="1"/>
  <c r="M20" i="7" s="1"/>
  <c r="J21" i="7"/>
  <c r="K19" i="7"/>
  <c r="H95" i="7"/>
  <c r="G97" i="7"/>
  <c r="G91" i="7" s="1"/>
  <c r="G99" i="7" s="1"/>
  <c r="I140" i="7"/>
  <c r="J12" i="9"/>
  <c r="I12" i="9"/>
  <c r="H140" i="7"/>
  <c r="J63" i="7"/>
  <c r="K65" i="7"/>
  <c r="E160" i="7"/>
  <c r="M13" i="7" s="1"/>
  <c r="K24" i="7"/>
  <c r="L11" i="7"/>
  <c r="G12" i="9"/>
  <c r="F140" i="7"/>
  <c r="J140" i="7"/>
  <c r="K12" i="9"/>
  <c r="H10" i="7"/>
  <c r="G83" i="7"/>
  <c r="G10" i="9"/>
  <c r="F128" i="7"/>
  <c r="H12" i="9"/>
  <c r="G140" i="7"/>
  <c r="K140" i="7"/>
  <c r="L12" i="9"/>
  <c r="M140" i="7"/>
  <c r="N12" i="9"/>
  <c r="E62" i="7"/>
  <c r="E102" i="7"/>
  <c r="G47" i="7"/>
  <c r="G15" i="7"/>
  <c r="F135" i="7"/>
  <c r="F51" i="7"/>
  <c r="F53" i="7" s="1"/>
  <c r="F85" i="7"/>
  <c r="D129" i="7"/>
  <c r="E9" i="9"/>
  <c r="D66" i="7"/>
  <c r="L140" i="7"/>
  <c r="M12" i="9"/>
  <c r="I38" i="7"/>
  <c r="I45" i="7"/>
  <c r="G88" i="7" l="1"/>
  <c r="L65" i="7"/>
  <c r="E161" i="7"/>
  <c r="L24" i="7"/>
  <c r="M11" i="7"/>
  <c r="K63" i="7"/>
  <c r="E129" i="7"/>
  <c r="F9" i="9"/>
  <c r="E66" i="7"/>
  <c r="D109" i="7"/>
  <c r="E109" i="7"/>
  <c r="J38" i="7"/>
  <c r="J45" i="7"/>
  <c r="G110" i="7"/>
  <c r="G131" i="7"/>
  <c r="G84" i="7"/>
  <c r="G56" i="7" s="1"/>
  <c r="H14" i="7"/>
  <c r="F62" i="7"/>
  <c r="F102" i="7"/>
  <c r="F160" i="7"/>
  <c r="M23" i="7" s="1"/>
  <c r="K21" i="7"/>
  <c r="L19" i="7"/>
  <c r="H97" i="7"/>
  <c r="H91" i="7" s="1"/>
  <c r="H99" i="7" s="1"/>
  <c r="I96" i="7"/>
  <c r="H88" i="7" l="1"/>
  <c r="E112" i="7"/>
  <c r="E134" i="7"/>
  <c r="I10" i="7"/>
  <c r="H83" i="7"/>
  <c r="I97" i="7"/>
  <c r="I91" i="7" s="1"/>
  <c r="I99" i="7" s="1"/>
  <c r="I88" i="7" s="1"/>
  <c r="J98" i="7"/>
  <c r="L63" i="7"/>
  <c r="M63" i="7"/>
  <c r="M65" i="7"/>
  <c r="E162" i="7"/>
  <c r="M24" i="7"/>
  <c r="H47" i="7"/>
  <c r="H10" i="9"/>
  <c r="G128" i="7"/>
  <c r="G135" i="7"/>
  <c r="G51" i="7"/>
  <c r="G53" i="7" s="1"/>
  <c r="G62" i="7"/>
  <c r="G102" i="7"/>
  <c r="D112" i="7"/>
  <c r="D134" i="7"/>
  <c r="K45" i="7"/>
  <c r="K38" i="7"/>
  <c r="F129" i="7"/>
  <c r="G9" i="9"/>
  <c r="F66" i="7"/>
  <c r="F161" i="7"/>
  <c r="L21" i="7"/>
  <c r="M19" i="7"/>
  <c r="H15" i="7"/>
  <c r="G85" i="7"/>
  <c r="I62" i="7" l="1"/>
  <c r="I102" i="7"/>
  <c r="L38" i="7"/>
  <c r="L45" i="7"/>
  <c r="F162" i="7"/>
  <c r="M21" i="7"/>
  <c r="G109" i="7"/>
  <c r="J99" i="7"/>
  <c r="H84" i="7"/>
  <c r="H56" i="7" s="1"/>
  <c r="H85" i="7"/>
  <c r="H110" i="7"/>
  <c r="H131" i="7"/>
  <c r="I14" i="7"/>
  <c r="H62" i="7"/>
  <c r="H102" i="7"/>
  <c r="F109" i="7"/>
  <c r="G129" i="7"/>
  <c r="H9" i="9"/>
  <c r="G66" i="7"/>
  <c r="H135" i="7" l="1"/>
  <c r="H51" i="7"/>
  <c r="H53" i="7" s="1"/>
  <c r="J10" i="7"/>
  <c r="I83" i="7"/>
  <c r="I47" i="7"/>
  <c r="J88" i="7"/>
  <c r="K99" i="7"/>
  <c r="M38" i="7"/>
  <c r="M45" i="7"/>
  <c r="F112" i="7"/>
  <c r="F134" i="7"/>
  <c r="H129" i="7"/>
  <c r="I9" i="9"/>
  <c r="H66" i="7"/>
  <c r="I109" i="7" s="1"/>
  <c r="I15" i="7"/>
  <c r="I10" i="9"/>
  <c r="H128" i="7"/>
  <c r="G112" i="7"/>
  <c r="G134" i="7"/>
  <c r="I129" i="7"/>
  <c r="J9" i="9"/>
  <c r="I66" i="7"/>
  <c r="K88" i="7" l="1"/>
  <c r="L99" i="7"/>
  <c r="J62" i="7"/>
  <c r="J102" i="7"/>
  <c r="H109" i="7"/>
  <c r="I134" i="7" s="1"/>
  <c r="I131" i="7"/>
  <c r="I84" i="7"/>
  <c r="I56" i="7" s="1"/>
  <c r="I85" i="7"/>
  <c r="I110" i="7"/>
  <c r="J14" i="7"/>
  <c r="J47" i="7" s="1"/>
  <c r="K10" i="7" l="1"/>
  <c r="J83" i="7"/>
  <c r="I128" i="7"/>
  <c r="J10" i="9"/>
  <c r="J15" i="7"/>
  <c r="I135" i="7"/>
  <c r="I51" i="7"/>
  <c r="I53" i="7" s="1"/>
  <c r="H112" i="7"/>
  <c r="H134" i="7"/>
  <c r="K9" i="9"/>
  <c r="J129" i="7"/>
  <c r="J66" i="7"/>
  <c r="I112" i="7"/>
  <c r="L88" i="7"/>
  <c r="M99" i="7"/>
  <c r="M88" i="7" s="1"/>
  <c r="K62" i="7"/>
  <c r="K102" i="7"/>
  <c r="M62" i="7" l="1"/>
  <c r="M102" i="7"/>
  <c r="J109" i="7"/>
  <c r="K129" i="7"/>
  <c r="L9" i="9"/>
  <c r="K66" i="7"/>
  <c r="L62" i="7"/>
  <c r="L102" i="7"/>
  <c r="J131" i="7"/>
  <c r="J84" i="7"/>
  <c r="J56" i="7" s="1"/>
  <c r="J85" i="7"/>
  <c r="J110" i="7"/>
  <c r="K14" i="7"/>
  <c r="L10" i="7" l="1"/>
  <c r="K83" i="7"/>
  <c r="J135" i="7"/>
  <c r="J51" i="7"/>
  <c r="J53" i="7" s="1"/>
  <c r="K47" i="7"/>
  <c r="K15" i="7"/>
  <c r="J128" i="7"/>
  <c r="K10" i="9"/>
  <c r="M9" i="9"/>
  <c r="L129" i="7"/>
  <c r="L66" i="7"/>
  <c r="J134" i="7"/>
  <c r="J112" i="7"/>
  <c r="K109" i="7"/>
  <c r="N9" i="9"/>
  <c r="M129" i="7"/>
  <c r="M66" i="7"/>
  <c r="M109" i="7" l="1"/>
  <c r="L109" i="7"/>
  <c r="K134" i="7"/>
  <c r="K131" i="7"/>
  <c r="K84" i="7"/>
  <c r="K56" i="7" s="1"/>
  <c r="K85" i="7"/>
  <c r="K110" i="7"/>
  <c r="L14" i="7"/>
  <c r="M10" i="7" l="1"/>
  <c r="L83" i="7"/>
  <c r="L15" i="7"/>
  <c r="L47" i="7"/>
  <c r="K135" i="7"/>
  <c r="K51" i="7"/>
  <c r="K53" i="7" s="1"/>
  <c r="K128" i="7"/>
  <c r="L10" i="9"/>
  <c r="K112" i="7"/>
  <c r="L134" i="7"/>
  <c r="M134" i="7"/>
  <c r="L84" i="7" l="1"/>
  <c r="L56" i="7" s="1"/>
  <c r="L131" i="7"/>
  <c r="L85" i="7"/>
  <c r="L110" i="7"/>
  <c r="M14" i="7"/>
  <c r="M83" i="7" s="1"/>
  <c r="M47" i="7" l="1"/>
  <c r="M131" i="7"/>
  <c r="M84" i="7"/>
  <c r="M56" i="7" s="1"/>
  <c r="M110" i="7"/>
  <c r="M15" i="7"/>
  <c r="L135" i="7"/>
  <c r="M51" i="7"/>
  <c r="M53" i="7" s="1"/>
  <c r="L51" i="7"/>
  <c r="L53" i="7" s="1"/>
  <c r="L112" i="7"/>
  <c r="M10" i="9"/>
  <c r="L128" i="7"/>
  <c r="M128" i="7" l="1"/>
  <c r="N10" i="9"/>
  <c r="M135" i="7"/>
  <c r="M112" i="7"/>
  <c r="M85" i="7"/>
  <c r="D46" i="7"/>
  <c r="E46" i="7"/>
  <c r="F46" i="7"/>
  <c r="G46" i="7"/>
  <c r="H46" i="7"/>
  <c r="I46" i="7"/>
  <c r="J46" i="7"/>
  <c r="K46" i="7"/>
  <c r="L46" i="7"/>
  <c r="M46" i="7"/>
  <c r="D48" i="7"/>
  <c r="E48" i="7"/>
  <c r="F48" i="7"/>
  <c r="G48" i="7"/>
  <c r="H48" i="7"/>
  <c r="I48" i="7"/>
  <c r="J48" i="7"/>
  <c r="K48" i="7"/>
  <c r="L48" i="7"/>
  <c r="M48" i="7"/>
  <c r="D55" i="7"/>
  <c r="E55" i="7"/>
  <c r="F55" i="7"/>
  <c r="G55" i="7"/>
  <c r="H55" i="7"/>
  <c r="I55" i="7"/>
  <c r="J55" i="7"/>
  <c r="K55" i="7"/>
  <c r="L55" i="7"/>
  <c r="M55" i="7"/>
  <c r="D57" i="7"/>
  <c r="E57" i="7"/>
  <c r="F57" i="7"/>
  <c r="G57" i="7"/>
  <c r="H57" i="7"/>
  <c r="I57" i="7"/>
  <c r="J57" i="7"/>
  <c r="K57" i="7"/>
  <c r="L57" i="7"/>
  <c r="M57" i="7"/>
  <c r="D68" i="7"/>
  <c r="E68" i="7"/>
  <c r="F68" i="7"/>
  <c r="G68" i="7"/>
  <c r="H68" i="7"/>
  <c r="I68" i="7"/>
  <c r="J68" i="7"/>
  <c r="K68" i="7"/>
  <c r="L68" i="7"/>
  <c r="M68" i="7"/>
  <c r="D70" i="7"/>
  <c r="E70" i="7"/>
  <c r="F70" i="7"/>
  <c r="G70" i="7"/>
  <c r="H70" i="7"/>
  <c r="I70" i="7"/>
  <c r="J70" i="7"/>
  <c r="K70" i="7"/>
  <c r="L70" i="7"/>
  <c r="M70" i="7"/>
  <c r="D71" i="7"/>
  <c r="E71" i="7"/>
  <c r="F71" i="7"/>
  <c r="G71" i="7"/>
  <c r="H71" i="7"/>
  <c r="I71" i="7"/>
  <c r="J71" i="7"/>
  <c r="K71" i="7"/>
  <c r="L71" i="7"/>
  <c r="M71" i="7"/>
  <c r="D73" i="7"/>
  <c r="E73" i="7"/>
  <c r="F73" i="7"/>
  <c r="G73" i="7"/>
  <c r="H73" i="7"/>
  <c r="I73" i="7"/>
  <c r="J73" i="7"/>
  <c r="K73" i="7"/>
  <c r="L73" i="7"/>
  <c r="M73" i="7"/>
  <c r="D82" i="7"/>
  <c r="E82" i="7"/>
  <c r="F82" i="7"/>
  <c r="G82" i="7"/>
  <c r="H82" i="7"/>
  <c r="I82" i="7"/>
  <c r="J82" i="7"/>
  <c r="K82" i="7"/>
  <c r="L82" i="7"/>
  <c r="M82" i="7"/>
  <c r="D103" i="7"/>
  <c r="E103" i="7"/>
  <c r="F103" i="7"/>
  <c r="G103" i="7"/>
  <c r="H103" i="7"/>
  <c r="I103" i="7"/>
  <c r="J103" i="7"/>
  <c r="K103" i="7"/>
  <c r="L103" i="7"/>
  <c r="M103" i="7"/>
  <c r="D105" i="7"/>
  <c r="E105" i="7"/>
  <c r="F105" i="7"/>
  <c r="G105" i="7"/>
  <c r="H105" i="7"/>
  <c r="I105" i="7"/>
  <c r="J105" i="7"/>
  <c r="K105" i="7"/>
  <c r="L105" i="7"/>
  <c r="M105" i="7"/>
  <c r="D115" i="7"/>
  <c r="E115" i="7"/>
  <c r="F115" i="7"/>
  <c r="G115" i="7"/>
  <c r="H115" i="7"/>
  <c r="I115" i="7"/>
  <c r="J115" i="7"/>
  <c r="K115" i="7"/>
  <c r="L115" i="7"/>
  <c r="M115" i="7"/>
  <c r="D117" i="7"/>
  <c r="E117" i="7"/>
  <c r="F117" i="7"/>
  <c r="G117" i="7"/>
  <c r="H117" i="7"/>
  <c r="I117" i="7"/>
  <c r="J117" i="7"/>
  <c r="K117" i="7"/>
  <c r="L117" i="7"/>
  <c r="M117" i="7"/>
  <c r="D118" i="7"/>
  <c r="E118" i="7"/>
  <c r="F118" i="7"/>
  <c r="G118" i="7"/>
  <c r="H118" i="7"/>
  <c r="I118" i="7"/>
  <c r="J118" i="7"/>
  <c r="K118" i="7"/>
  <c r="L118" i="7"/>
  <c r="M118" i="7"/>
  <c r="D127" i="7"/>
  <c r="E127" i="7"/>
  <c r="F127" i="7"/>
  <c r="G127" i="7"/>
  <c r="H127" i="7"/>
  <c r="I127" i="7"/>
  <c r="J127" i="7"/>
  <c r="K127" i="7"/>
  <c r="L127" i="7"/>
  <c r="M127" i="7"/>
  <c r="D132" i="7"/>
  <c r="E132" i="7"/>
  <c r="F132" i="7"/>
  <c r="G132" i="7"/>
  <c r="H132" i="7"/>
  <c r="I132" i="7"/>
  <c r="J132" i="7"/>
  <c r="K132" i="7"/>
  <c r="L132" i="7"/>
  <c r="M132" i="7"/>
  <c r="D136" i="7"/>
  <c r="E136" i="7"/>
  <c r="F136" i="7"/>
  <c r="G136" i="7"/>
  <c r="H136" i="7"/>
  <c r="I136" i="7"/>
  <c r="J136" i="7"/>
  <c r="K136" i="7"/>
  <c r="L136" i="7"/>
  <c r="M136" i="7"/>
  <c r="D147" i="7"/>
  <c r="E147" i="7"/>
  <c r="F147" i="7"/>
  <c r="G147" i="7"/>
  <c r="H147" i="7"/>
  <c r="I147" i="7"/>
  <c r="J147" i="7"/>
  <c r="K147" i="7"/>
  <c r="L147" i="7"/>
  <c r="M147" i="7"/>
  <c r="E148" i="7"/>
  <c r="F148" i="7"/>
  <c r="G148" i="7"/>
  <c r="H148" i="7"/>
  <c r="I148" i="7"/>
  <c r="J148" i="7"/>
  <c r="K148" i="7"/>
  <c r="L148" i="7"/>
  <c r="M148" i="7"/>
  <c r="D149" i="7"/>
  <c r="E149" i="7"/>
  <c r="F149" i="7"/>
  <c r="G149" i="7"/>
  <c r="H149" i="7"/>
  <c r="I149" i="7"/>
  <c r="J149" i="7"/>
  <c r="K149" i="7"/>
  <c r="L149" i="7"/>
  <c r="M149" i="7"/>
  <c r="E7" i="9"/>
  <c r="F7" i="9"/>
  <c r="G7" i="9"/>
  <c r="H7" i="9"/>
  <c r="I7" i="9"/>
  <c r="J7" i="9"/>
  <c r="K7" i="9"/>
  <c r="L7" i="9"/>
  <c r="M7" i="9"/>
  <c r="N7" i="9"/>
  <c r="E11" i="9"/>
  <c r="F11" i="9"/>
  <c r="G11" i="9"/>
  <c r="H11" i="9"/>
  <c r="I11" i="9"/>
  <c r="J11" i="9"/>
  <c r="K11" i="9"/>
  <c r="L11" i="9"/>
  <c r="M11" i="9"/>
  <c r="N11" i="9"/>
  <c r="E13" i="9"/>
  <c r="F13" i="9"/>
  <c r="G13" i="9"/>
  <c r="H13" i="9"/>
  <c r="I13" i="9"/>
  <c r="J13" i="9"/>
  <c r="K13" i="9"/>
  <c r="L13" i="9"/>
  <c r="M13" i="9"/>
  <c r="N13" i="9"/>
  <c r="O13" i="9"/>
  <c r="E15" i="9"/>
  <c r="F15" i="9"/>
  <c r="G15" i="9"/>
  <c r="H15" i="9"/>
  <c r="I15" i="9"/>
  <c r="J15" i="9"/>
  <c r="K15" i="9"/>
  <c r="L15" i="9"/>
  <c r="M15" i="9"/>
  <c r="N15" i="9"/>
  <c r="O15" i="9"/>
  <c r="D16" i="9"/>
  <c r="D25" i="9"/>
</calcChain>
</file>

<file path=xl/sharedStrings.xml><?xml version="1.0" encoding="utf-8"?>
<sst xmlns="http://schemas.openxmlformats.org/spreadsheetml/2006/main" count="216" uniqueCount="202">
  <si>
    <t>Sovereign Yield Spread</t>
  </si>
  <si>
    <t>New Bank Cost of Capital</t>
  </si>
  <si>
    <t>Ukraine</t>
  </si>
  <si>
    <t>US</t>
  </si>
  <si>
    <t>Sovereign</t>
  </si>
  <si>
    <t>Date of Ukrainian Issue</t>
  </si>
  <si>
    <t>98 day/90 day</t>
  </si>
  <si>
    <t>Beta x Risk Premium</t>
  </si>
  <si>
    <t>126-day/4 mo.</t>
  </si>
  <si>
    <t>+</t>
  </si>
  <si>
    <t>182 day/180 day</t>
  </si>
  <si>
    <t>Risk free Rate</t>
  </si>
  <si>
    <t>217-day/7 mo.</t>
  </si>
  <si>
    <t>Total CoC</t>
  </si>
  <si>
    <t>Risk-free Rate</t>
  </si>
  <si>
    <t>Based on 1 year Treasury Bond</t>
  </si>
  <si>
    <t>Estimated Market Beta</t>
  </si>
  <si>
    <t>Regional Banks</t>
  </si>
  <si>
    <t>Yardville National Bank</t>
  </si>
  <si>
    <t>Bank of the Ozarks</t>
  </si>
  <si>
    <t>Farquier Bankshares Inc</t>
  </si>
  <si>
    <t>Belmont Bancorp</t>
  </si>
  <si>
    <t xml:space="preserve">Acadiana BancShares, Inc. </t>
  </si>
  <si>
    <t>Ave. Reg. Bank Beta</t>
  </si>
  <si>
    <t>Premium for Microfinancing</t>
  </si>
  <si>
    <t>x 2</t>
  </si>
  <si>
    <t>Accounts for elevated risk of microfinancing</t>
  </si>
  <si>
    <t>Overall Estimated Beta</t>
  </si>
  <si>
    <t>Historical US Risk Premium</t>
  </si>
  <si>
    <t>Approximation</t>
  </si>
  <si>
    <t>(All dollar figures stated in '000USD 2001)</t>
  </si>
  <si>
    <t>Terminal</t>
  </si>
  <si>
    <t>LOAN PORTFOLIO DETAILS</t>
  </si>
  <si>
    <t>Loans issued during period</t>
  </si>
  <si>
    <t xml:space="preserve">          Growth in total value of loans issued</t>
  </si>
  <si>
    <t>Loans matured during period</t>
  </si>
  <si>
    <t>Average loan portfolio value</t>
  </si>
  <si>
    <t>BORROWER DETAILS</t>
  </si>
  <si>
    <t>Creditors with loans outstanding from prior period</t>
  </si>
  <si>
    <t>Returning creditors (2nd or 3rd loan)</t>
  </si>
  <si>
    <t>First-time creditors added during period</t>
  </si>
  <si>
    <t>Creditors defaulting during period</t>
  </si>
  <si>
    <t>Creditors with loans maturing during period</t>
  </si>
  <si>
    <t>Total current borrowers</t>
  </si>
  <si>
    <t>OPERATIONAL DETAILS</t>
  </si>
  <si>
    <t>Number of Branches</t>
  </si>
  <si>
    <t>Staffing</t>
  </si>
  <si>
    <t xml:space="preserve">          Senior Executives</t>
  </si>
  <si>
    <t xml:space="preserve">          Branch Directors</t>
  </si>
  <si>
    <t xml:space="preserve">          Loan Advisors</t>
  </si>
  <si>
    <t xml:space="preserve">                    Loan advisor turnover</t>
  </si>
  <si>
    <t xml:space="preserve">                    New loan advisors hired during period</t>
  </si>
  <si>
    <t>Total professional staff</t>
  </si>
  <si>
    <t>Administrative Coordinators</t>
  </si>
  <si>
    <t>Total employees</t>
  </si>
  <si>
    <t>New Creditors Per Advisor</t>
  </si>
  <si>
    <t>Application Fees</t>
  </si>
  <si>
    <t>Interest Income</t>
  </si>
  <si>
    <t>Salary Expense</t>
  </si>
  <si>
    <t>Depreciation</t>
  </si>
  <si>
    <t>Recruiting and Training Expense</t>
  </si>
  <si>
    <t>Legal / Accounting Expense</t>
  </si>
  <si>
    <t xml:space="preserve">          Loss Carryforward (cumulative 5yr max)</t>
  </si>
  <si>
    <t>Net Income</t>
  </si>
  <si>
    <t>ASSETS</t>
  </si>
  <si>
    <t xml:space="preserve">          Loan Portfolio</t>
  </si>
  <si>
    <t>Newly acquired equiptment</t>
  </si>
  <si>
    <t>Replacement equiptment</t>
  </si>
  <si>
    <t>1 yr old equiptment</t>
  </si>
  <si>
    <t>2 yr old equiptment</t>
  </si>
  <si>
    <t>3 yr old equiptment</t>
  </si>
  <si>
    <t>4 yr old equiptment</t>
  </si>
  <si>
    <t>5 yr old equiptment</t>
  </si>
  <si>
    <t>Equiptment Written Off</t>
  </si>
  <si>
    <t xml:space="preserve">          Less: Accumulated depreciation</t>
  </si>
  <si>
    <t>Branch office vehicles</t>
  </si>
  <si>
    <t>Issuance Year</t>
  </si>
  <si>
    <t>Maturity Year</t>
  </si>
  <si>
    <t>Amount</t>
  </si>
  <si>
    <t>Creditors</t>
  </si>
  <si>
    <t>NEWBANK PRO FORMA FINANCIAL INFORMATION</t>
  </si>
  <si>
    <t xml:space="preserve">Beginning portfolio value </t>
  </si>
  <si>
    <t>End-of-year portfolio value</t>
  </si>
  <si>
    <t>NEWBANK PRO FORMA INCOME STATEMENT</t>
  </si>
  <si>
    <t>Interest Income on Short Term Investments</t>
  </si>
  <si>
    <t>Interest Income on loans</t>
  </si>
  <si>
    <t>Total Interest Income</t>
  </si>
  <si>
    <t>Interest Expense</t>
  </si>
  <si>
    <t>Interest on Required Savings Deposits</t>
  </si>
  <si>
    <t>Interest on Long-term Debt</t>
  </si>
  <si>
    <t>Total Interest Expense</t>
  </si>
  <si>
    <t>Net Interest Income</t>
  </si>
  <si>
    <t>Provision for Loan Losses</t>
  </si>
  <si>
    <t>Net Interest Income after Provision for Loan Losses</t>
  </si>
  <si>
    <t>Non-Interest Expenses</t>
  </si>
  <si>
    <t>Office Space Lease Expense</t>
  </si>
  <si>
    <t>Marketing Expense</t>
  </si>
  <si>
    <t>Total Non-Interest Expenses</t>
  </si>
  <si>
    <t>Earnings before Income Taxes</t>
  </si>
  <si>
    <t>Income Tax Expense</t>
  </si>
  <si>
    <t>NEWBANK PRO FORMA BALANCE SHEET</t>
  </si>
  <si>
    <t xml:space="preserve">          Cash &amp; Short Term Investments</t>
  </si>
  <si>
    <t xml:space="preserve">                    Less: Loan Loss Allowance</t>
  </si>
  <si>
    <t>Net Loan Portfolio</t>
  </si>
  <si>
    <t xml:space="preserve">          Property and Equipment</t>
  </si>
  <si>
    <t xml:space="preserve">                    Less: Accumulated depreciation</t>
  </si>
  <si>
    <t>Computers and office equipment</t>
  </si>
  <si>
    <t xml:space="preserve">          Net Property and Equiptment</t>
  </si>
  <si>
    <t xml:space="preserve">          Other Assets</t>
  </si>
  <si>
    <t>Total Assets</t>
  </si>
  <si>
    <t>LIABILITIES</t>
  </si>
  <si>
    <t xml:space="preserve">          Accounts Payable</t>
  </si>
  <si>
    <t xml:space="preserve">          Required Savings Deposits</t>
  </si>
  <si>
    <t xml:space="preserve">          Long-term Debt</t>
  </si>
  <si>
    <t>Total Liabilities</t>
  </si>
  <si>
    <t>EQUITY</t>
  </si>
  <si>
    <t>Retained Earnings</t>
  </si>
  <si>
    <t>Equity to Common Shareholders</t>
  </si>
  <si>
    <t>Total Equity</t>
  </si>
  <si>
    <t>TOTAL LIABILITIES AND EQUITY</t>
  </si>
  <si>
    <t>NEWBANK PRO FORMA STATEMENT OF CASH FLOWS</t>
  </si>
  <si>
    <t>Cash Flows from Operating Activities:</t>
  </si>
  <si>
    <t>Decrease (Increase) in:</t>
  </si>
  <si>
    <t xml:space="preserve">   Loans </t>
  </si>
  <si>
    <t xml:space="preserve">   Other Assets</t>
  </si>
  <si>
    <t>(Decrease) Increase in:</t>
  </si>
  <si>
    <t xml:space="preserve">   Accounts Payable</t>
  </si>
  <si>
    <t xml:space="preserve">   Required Savings Deposits</t>
  </si>
  <si>
    <t>Net Cash Provided from Operating Activities</t>
  </si>
  <si>
    <t>Cash Flows From Investing Activities:</t>
  </si>
  <si>
    <t>Purchases of Property and Equipment</t>
  </si>
  <si>
    <t>Total Cash Flows From Investing Activities</t>
  </si>
  <si>
    <t>Cash Flows From Financing Activities:</t>
  </si>
  <si>
    <t>Cash receipt (repayment) from issuance of Long-Term Debt</t>
  </si>
  <si>
    <t>Cash obtained from Equity financing</t>
  </si>
  <si>
    <t>Total Cash Flows From Financing Activities</t>
  </si>
  <si>
    <t>Net Change In Cash Flows</t>
  </si>
  <si>
    <t>Cash Balance Beginning of Year</t>
  </si>
  <si>
    <t>Cash Balance End of Year</t>
  </si>
  <si>
    <t>ASSUMPTIONS</t>
  </si>
  <si>
    <t>Lo</t>
  </si>
  <si>
    <t>Med</t>
  </si>
  <si>
    <t>Hi</t>
  </si>
  <si>
    <t>Duration of average loan (years)</t>
  </si>
  <si>
    <t>Amount of average loan</t>
  </si>
  <si>
    <t>Interest rate of average loan (excluding inflation)</t>
  </si>
  <si>
    <t>Default rate</t>
  </si>
  <si>
    <t>Required deposits by borrowers</t>
  </si>
  <si>
    <t>Loan advisors per office</t>
  </si>
  <si>
    <t>Loan advisor annual salary</t>
  </si>
  <si>
    <t>Growth Rate</t>
  </si>
  <si>
    <t>Tax Rate</t>
  </si>
  <si>
    <t>Discount Rate</t>
  </si>
  <si>
    <t>Growth in Terminal Value</t>
  </si>
  <si>
    <t>Application fee</t>
  </si>
  <si>
    <t>Number of applications per office per year</t>
  </si>
  <si>
    <t>Interest rate on required deposits</t>
  </si>
  <si>
    <t>Annual office space, supplies expense (per office)</t>
  </si>
  <si>
    <t>Recruiting and training cost for new loan advisor</t>
  </si>
  <si>
    <t>Branch Directors per Branch</t>
  </si>
  <si>
    <t>Branch Director Salary</t>
  </si>
  <si>
    <t>Senior Executives</t>
  </si>
  <si>
    <t>Senior Executive Salaries</t>
  </si>
  <si>
    <t>Employee Turnover</t>
  </si>
  <si>
    <t>Professional staff per administrative coordinator</t>
  </si>
  <si>
    <t>Administrative coordinator salary</t>
  </si>
  <si>
    <t>Marketing Expense (% targeted new loans for following year)</t>
  </si>
  <si>
    <t>Fixed Annual Training Costs</t>
  </si>
  <si>
    <t>Borrower retention rate</t>
  </si>
  <si>
    <t>Legal/Accounting Expense Annual (% new loans)</t>
  </si>
  <si>
    <t>Legal/accounting expense (startup)</t>
  </si>
  <si>
    <t>Interest Rate Earned on ST Investments</t>
  </si>
  <si>
    <t>Accounts payable (% SGA &amp; Operating Expense)</t>
  </si>
  <si>
    <t>Interest on Debt from Ukrainian Investor</t>
  </si>
  <si>
    <t>Equipment</t>
  </si>
  <si>
    <t>Life</t>
  </si>
  <si>
    <t>Cost</t>
  </si>
  <si>
    <t>Computer (1 per staff member)</t>
  </si>
  <si>
    <t>Office fixtures ($50,000 per branch)</t>
  </si>
  <si>
    <t>same</t>
  </si>
  <si>
    <t>Photocopier (1 per branch)</t>
  </si>
  <si>
    <t>Automobile (1 per branch)</t>
  </si>
  <si>
    <t>NEWBANK NET PRESENT VALUE OF CASH FLOWS CALCULATION</t>
  </si>
  <si>
    <t>Value</t>
  </si>
  <si>
    <t>Add Non Cash Expenses:</t>
  </si>
  <si>
    <t>Less Change in Net Working Capital:</t>
  </si>
  <si>
    <t>Less Capital Expenditures:</t>
  </si>
  <si>
    <t>Free Cash Flows</t>
  </si>
  <si>
    <t>Present Value of Free Cash Flows</t>
  </si>
  <si>
    <t>Sum of PV Cash Flows</t>
  </si>
  <si>
    <t>Cost of Project - Debt</t>
  </si>
  <si>
    <t>Cost of Project - Equity</t>
  </si>
  <si>
    <t>Total Capital Expenditures</t>
  </si>
  <si>
    <t>Present Value of Project Costs</t>
  </si>
  <si>
    <t>Sum of PV Project Costs</t>
  </si>
  <si>
    <t>NPV</t>
  </si>
  <si>
    <t>(1)</t>
  </si>
  <si>
    <t>Discounted at 30 year US T Bond rate.</t>
  </si>
  <si>
    <r>
      <t>Exhibit 1</t>
    </r>
    <r>
      <rPr>
        <sz val="8"/>
        <rFont val="Times New Roman"/>
        <family val="1"/>
      </rPr>
      <t xml:space="preserve"> Model Assumptions</t>
    </r>
  </si>
  <si>
    <r>
      <t>Exhibit 2</t>
    </r>
    <r>
      <rPr>
        <sz val="10"/>
        <rFont val="Palatino"/>
        <family val="1"/>
      </rPr>
      <t xml:space="preserve">     Financial Model</t>
    </r>
  </si>
  <si>
    <r>
      <t>Exhibit 3</t>
    </r>
    <r>
      <rPr>
        <sz val="10"/>
        <rFont val="Times New Roman"/>
        <family val="1"/>
      </rPr>
      <t xml:space="preserve">   NPV Calculation</t>
    </r>
  </si>
  <si>
    <r>
      <t>Exhibit 4</t>
    </r>
    <r>
      <rPr>
        <sz val="10"/>
        <rFont val="Times New Roman"/>
        <family val="1"/>
      </rPr>
      <t xml:space="preserve">   Goldman Integrated Model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</si>
</sst>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0">
    <numFmt numFmtId="165" formatCode="&quot;$&quot;#,##0_);[Red]\(&quot;$&quot;#,##0\)"/>
    <numFmt numFmtId="169" formatCode="_(* #,##0_);_(* \(#,##0\);_(* &quot;-&quot;_);_(@_)"/>
    <numFmt numFmtId="170" formatCode="_(&quot;$&quot;* #,##0.00_);_(&quot;$&quot;* \(#,##0.00\);_(&quot;$&quot;* &quot;-&quot;??_);_(@_)"/>
    <numFmt numFmtId="171" formatCode="_(* #,##0.00_);_(* \(#,##0.00\);_(* &quot;-&quot;??_);_(@_)"/>
    <numFmt numFmtId="173" formatCode="0.0%"/>
    <numFmt numFmtId="182" formatCode="_(* #,##0_);_(* \(#,##0\);_(* &quot;-&quot;??_);_(@_)"/>
    <numFmt numFmtId="189" formatCode="_(&quot;$&quot;* #,##0_);_(&quot;$&quot;* \(#,##0\);_(&quot;$&quot;* &quot;-&quot;??_);_(@_)"/>
    <numFmt numFmtId="197" formatCode="0.0"/>
    <numFmt numFmtId="207" formatCode="_(* ###0_);_(* \(###0\);_(* &quot;-&quot;??_);_(@_)"/>
    <numFmt numFmtId="218" formatCode="_(* #,##0%_);_(* \(#,##0%\);_(* &quot;-&quot;_);_(@_)"/>
  </numFmts>
  <fonts count="28">
    <font>
      <sz val="10"/>
      <name val="Times New Roman"/>
    </font>
    <font>
      <sz val="10"/>
      <name val="Times New Roman"/>
    </font>
    <font>
      <sz val="10"/>
      <name val="Arial"/>
    </font>
    <font>
      <b/>
      <sz val="10"/>
      <name val="Arial"/>
      <family val="2"/>
    </font>
    <font>
      <sz val="10"/>
      <name val="Times New Roman"/>
      <family val="1"/>
    </font>
    <font>
      <b/>
      <sz val="10"/>
      <name val="Times New Roman"/>
      <family val="1"/>
    </font>
    <font>
      <b/>
      <i/>
      <sz val="10"/>
      <name val="Times New Roman"/>
      <family val="1"/>
    </font>
    <font>
      <sz val="10"/>
      <name val="Geneva"/>
    </font>
    <font>
      <sz val="10"/>
      <name val="Palatino"/>
      <family val="1"/>
    </font>
    <font>
      <b/>
      <sz val="10"/>
      <name val="Palatino"/>
      <family val="1"/>
    </font>
    <font>
      <sz val="8"/>
      <name val="Helvetica"/>
    </font>
    <font>
      <b/>
      <sz val="12"/>
      <name val="Palatino"/>
    </font>
    <font>
      <sz val="8"/>
      <name val="Palatino"/>
    </font>
    <font>
      <sz val="10"/>
      <name val="Palatino"/>
    </font>
    <font>
      <i/>
      <sz val="8"/>
      <name val="Palatino"/>
    </font>
    <font>
      <i/>
      <sz val="8"/>
      <name val="Helvetica"/>
    </font>
    <font>
      <b/>
      <sz val="8"/>
      <name val="helvetica"/>
    </font>
    <font>
      <u val="singleAccounting"/>
      <sz val="8"/>
      <name val="Helvetica"/>
    </font>
    <font>
      <u val="doubleAccounting"/>
      <sz val="8"/>
      <name val="helvetica"/>
    </font>
    <font>
      <b/>
      <u val="singleAccounting"/>
      <sz val="8"/>
      <name val="helvetica"/>
    </font>
    <font>
      <b/>
      <u val="doubleAccounting"/>
      <sz val="8"/>
      <name val="helvetica"/>
    </font>
    <font>
      <b/>
      <sz val="10"/>
      <name val="Book Antiqua"/>
      <family val="1"/>
    </font>
    <font>
      <sz val="10"/>
      <name val="Book Antiqua"/>
      <family val="1"/>
    </font>
    <font>
      <i/>
      <sz val="10"/>
      <name val="Book Antiqua"/>
      <family val="1"/>
    </font>
    <font>
      <b/>
      <u val="singleAccounting"/>
      <sz val="10"/>
      <name val="Book Antiqua"/>
      <family val="1"/>
    </font>
    <font>
      <u val="singleAccounting"/>
      <sz val="10"/>
      <name val="Book Antiqua"/>
      <family val="1"/>
    </font>
    <font>
      <b/>
      <sz val="8"/>
      <name val="Times New Roman"/>
      <family val="1"/>
    </font>
    <font>
      <sz val="8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44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medium">
        <color indexed="64"/>
      </top>
      <bottom/>
      <diagonal/>
    </border>
  </borders>
  <cellStyleXfs count="8">
    <xf numFmtId="0" fontId="0" fillId="0" borderId="0"/>
    <xf numFmtId="171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0" fontId="7" fillId="0" borderId="0"/>
    <xf numFmtId="0" fontId="2" fillId="0" borderId="0"/>
    <xf numFmtId="0" fontId="2" fillId="0" borderId="0"/>
    <xf numFmtId="9" fontId="1" fillId="0" borderId="0" applyFont="0" applyFill="0" applyBorder="0" applyAlignment="0" applyProtection="0"/>
  </cellStyleXfs>
  <cellXfs count="119">
    <xf numFmtId="0" fontId="0" fillId="0" borderId="0" xfId="0"/>
    <xf numFmtId="0" fontId="4" fillId="0" borderId="0" xfId="5" applyFont="1"/>
    <xf numFmtId="0" fontId="4" fillId="0" borderId="0" xfId="5" applyFont="1" applyAlignment="1">
      <alignment horizontal="center"/>
    </xf>
    <xf numFmtId="0" fontId="4" fillId="0" borderId="0" xfId="5" applyFont="1" applyAlignment="1">
      <alignment horizontal="left"/>
    </xf>
    <xf numFmtId="0" fontId="5" fillId="0" borderId="0" xfId="5" applyFont="1"/>
    <xf numFmtId="0" fontId="4" fillId="0" borderId="1" xfId="5" applyFont="1" applyBorder="1"/>
    <xf numFmtId="0" fontId="4" fillId="0" borderId="2" xfId="5" applyFont="1" applyBorder="1"/>
    <xf numFmtId="0" fontId="4" fillId="0" borderId="3" xfId="5" applyFont="1" applyBorder="1"/>
    <xf numFmtId="0" fontId="4" fillId="0" borderId="0" xfId="5" applyFont="1" applyBorder="1"/>
    <xf numFmtId="0" fontId="4" fillId="0" borderId="0" xfId="5" applyFont="1" applyBorder="1" applyAlignment="1">
      <alignment horizontal="left"/>
    </xf>
    <xf numFmtId="0" fontId="4" fillId="0" borderId="4" xfId="5" applyFont="1" applyBorder="1"/>
    <xf numFmtId="10" fontId="4" fillId="0" borderId="0" xfId="5" applyNumberFormat="1" applyFont="1" applyAlignment="1">
      <alignment horizontal="center"/>
    </xf>
    <xf numFmtId="16" fontId="4" fillId="0" borderId="0" xfId="5" applyNumberFormat="1" applyFont="1" applyAlignment="1">
      <alignment horizontal="center"/>
    </xf>
    <xf numFmtId="9" fontId="4" fillId="0" borderId="0" xfId="7" applyFont="1" applyBorder="1" applyAlignment="1">
      <alignment horizontal="left"/>
    </xf>
    <xf numFmtId="0" fontId="4" fillId="0" borderId="0" xfId="5" applyFont="1" applyBorder="1" applyAlignment="1">
      <alignment horizontal="center"/>
    </xf>
    <xf numFmtId="10" fontId="4" fillId="0" borderId="0" xfId="5" applyNumberFormat="1" applyFont="1" applyBorder="1" applyAlignment="1">
      <alignment horizontal="left"/>
    </xf>
    <xf numFmtId="10" fontId="4" fillId="0" borderId="5" xfId="5" applyNumberFormat="1" applyFont="1" applyBorder="1"/>
    <xf numFmtId="10" fontId="4" fillId="0" borderId="5" xfId="5" applyNumberFormat="1" applyFont="1" applyBorder="1" applyAlignment="1">
      <alignment horizontal="center"/>
    </xf>
    <xf numFmtId="16" fontId="4" fillId="0" borderId="5" xfId="5" applyNumberFormat="1" applyFont="1" applyBorder="1" applyAlignment="1">
      <alignment horizontal="center"/>
    </xf>
    <xf numFmtId="0" fontId="4" fillId="0" borderId="5" xfId="5" applyFont="1" applyBorder="1"/>
    <xf numFmtId="10" fontId="4" fillId="0" borderId="5" xfId="5" applyNumberFormat="1" applyFont="1" applyBorder="1" applyAlignment="1">
      <alignment horizontal="left"/>
    </xf>
    <xf numFmtId="0" fontId="4" fillId="0" borderId="6" xfId="5" applyFont="1" applyBorder="1"/>
    <xf numFmtId="0" fontId="4" fillId="0" borderId="7" xfId="5" applyFont="1" applyFill="1" applyBorder="1" applyAlignment="1">
      <alignment horizontal="center"/>
    </xf>
    <xf numFmtId="0" fontId="4" fillId="0" borderId="7" xfId="5" applyFont="1" applyBorder="1"/>
    <xf numFmtId="173" fontId="4" fillId="0" borderId="7" xfId="5" applyNumberFormat="1" applyFont="1" applyBorder="1" applyAlignment="1">
      <alignment horizontal="left"/>
    </xf>
    <xf numFmtId="0" fontId="4" fillId="0" borderId="8" xfId="5" applyFont="1" applyBorder="1"/>
    <xf numFmtId="0" fontId="4" fillId="0" borderId="5" xfId="5" applyFont="1" applyBorder="1" applyAlignment="1">
      <alignment horizontal="center"/>
    </xf>
    <xf numFmtId="0" fontId="4" fillId="0" borderId="5" xfId="5" applyFont="1" applyBorder="1" applyAlignment="1">
      <alignment horizontal="left"/>
    </xf>
    <xf numFmtId="9" fontId="4" fillId="0" borderId="0" xfId="5" applyNumberFormat="1" applyFont="1" applyAlignment="1">
      <alignment horizontal="center"/>
    </xf>
    <xf numFmtId="0" fontId="9" fillId="0" borderId="0" xfId="4" applyFont="1" applyAlignment="1">
      <alignment horizontal="left"/>
    </xf>
    <xf numFmtId="0" fontId="10" fillId="0" borderId="0" xfId="6" applyFont="1"/>
    <xf numFmtId="0" fontId="2" fillId="0" borderId="0" xfId="6"/>
    <xf numFmtId="0" fontId="11" fillId="0" borderId="0" xfId="6" applyFont="1" applyAlignment="1">
      <alignment horizontal="centerContinuous"/>
    </xf>
    <xf numFmtId="0" fontId="12" fillId="0" borderId="0" xfId="6" applyFont="1" applyAlignment="1">
      <alignment horizontal="centerContinuous"/>
    </xf>
    <xf numFmtId="0" fontId="12" fillId="0" borderId="0" xfId="6" applyFont="1" applyAlignment="1">
      <alignment horizontal="left"/>
    </xf>
    <xf numFmtId="0" fontId="13" fillId="0" borderId="0" xfId="6" applyFont="1" applyAlignment="1">
      <alignment horizontal="left"/>
    </xf>
    <xf numFmtId="0" fontId="14" fillId="0" borderId="0" xfId="6" applyFont="1" applyAlignment="1">
      <alignment horizontal="centerContinuous"/>
    </xf>
    <xf numFmtId="0" fontId="15" fillId="0" borderId="0" xfId="6" applyFont="1" applyAlignment="1">
      <alignment horizontal="centerContinuous"/>
    </xf>
    <xf numFmtId="0" fontId="10" fillId="0" borderId="0" xfId="6" applyFont="1" applyAlignment="1">
      <alignment horizontal="centerContinuous"/>
    </xf>
    <xf numFmtId="0" fontId="16" fillId="0" borderId="0" xfId="6" applyFont="1"/>
    <xf numFmtId="182" fontId="16" fillId="0" borderId="0" xfId="6" applyNumberFormat="1" applyFont="1"/>
    <xf numFmtId="182" fontId="10" fillId="0" borderId="0" xfId="6" applyNumberFormat="1" applyFont="1"/>
    <xf numFmtId="3" fontId="10" fillId="0" borderId="0" xfId="6" applyNumberFormat="1" applyFont="1"/>
    <xf numFmtId="218" fontId="10" fillId="0" borderId="0" xfId="6" applyNumberFormat="1" applyFont="1"/>
    <xf numFmtId="182" fontId="17" fillId="0" borderId="0" xfId="6" applyNumberFormat="1" applyFont="1"/>
    <xf numFmtId="0" fontId="15" fillId="0" borderId="0" xfId="6" applyFont="1"/>
    <xf numFmtId="182" fontId="15" fillId="0" borderId="0" xfId="6" applyNumberFormat="1" applyFont="1"/>
    <xf numFmtId="182" fontId="18" fillId="0" borderId="0" xfId="6" applyNumberFormat="1" applyFont="1"/>
    <xf numFmtId="182" fontId="10" fillId="0" borderId="0" xfId="6" applyNumberFormat="1" applyFont="1" applyBorder="1"/>
    <xf numFmtId="182" fontId="10" fillId="0" borderId="0" xfId="6" applyNumberFormat="1" applyFont="1" applyFill="1"/>
    <xf numFmtId="182" fontId="10" fillId="0" borderId="0" xfId="6" applyNumberFormat="1" applyFont="1" applyFill="1" applyBorder="1"/>
    <xf numFmtId="182" fontId="16" fillId="0" borderId="0" xfId="6" applyNumberFormat="1" applyFont="1" applyFill="1"/>
    <xf numFmtId="182" fontId="16" fillId="0" borderId="0" xfId="6" applyNumberFormat="1" applyFont="1" applyFill="1" applyBorder="1"/>
    <xf numFmtId="207" fontId="19" fillId="0" borderId="0" xfId="6" applyNumberFormat="1" applyFont="1"/>
    <xf numFmtId="0" fontId="10" fillId="0" borderId="0" xfId="6" applyFont="1" applyAlignment="1">
      <alignment horizontal="right"/>
    </xf>
    <xf numFmtId="182" fontId="19" fillId="0" borderId="0" xfId="6" applyNumberFormat="1" applyFont="1"/>
    <xf numFmtId="182" fontId="20" fillId="0" borderId="0" xfId="6" applyNumberFormat="1" applyFont="1"/>
    <xf numFmtId="0" fontId="16" fillId="0" borderId="9" xfId="6" applyFont="1" applyBorder="1"/>
    <xf numFmtId="0" fontId="16" fillId="0" borderId="10" xfId="6" applyFont="1" applyBorder="1" applyAlignment="1">
      <alignment horizontal="center"/>
    </xf>
    <xf numFmtId="0" fontId="16" fillId="0" borderId="11" xfId="6" applyFont="1" applyBorder="1" applyAlignment="1">
      <alignment horizontal="center"/>
    </xf>
    <xf numFmtId="0" fontId="10" fillId="0" borderId="0" xfId="6" applyFont="1" applyBorder="1"/>
    <xf numFmtId="0" fontId="2" fillId="0" borderId="0" xfId="6" applyBorder="1"/>
    <xf numFmtId="0" fontId="16" fillId="0" borderId="0" xfId="6" applyNumberFormat="1" applyFont="1"/>
    <xf numFmtId="0" fontId="3" fillId="0" borderId="0" xfId="6" applyFont="1"/>
    <xf numFmtId="0" fontId="10" fillId="0" borderId="3" xfId="6" applyFont="1" applyBorder="1"/>
    <xf numFmtId="197" fontId="10" fillId="0" borderId="4" xfId="6" applyNumberFormat="1" applyFont="1" applyBorder="1"/>
    <xf numFmtId="0" fontId="16" fillId="0" borderId="0" xfId="6" applyFont="1" applyBorder="1"/>
    <xf numFmtId="3" fontId="16" fillId="0" borderId="0" xfId="6" applyNumberFormat="1" applyFont="1"/>
    <xf numFmtId="189" fontId="10" fillId="0" borderId="0" xfId="3" applyNumberFormat="1" applyFont="1" applyBorder="1"/>
    <xf numFmtId="189" fontId="10" fillId="0" borderId="4" xfId="3" applyNumberFormat="1" applyFont="1" applyBorder="1"/>
    <xf numFmtId="173" fontId="10" fillId="0" borderId="0" xfId="6" applyNumberFormat="1" applyFont="1" applyBorder="1"/>
    <xf numFmtId="173" fontId="10" fillId="0" borderId="4" xfId="6" applyNumberFormat="1" applyFont="1" applyBorder="1"/>
    <xf numFmtId="9" fontId="10" fillId="0" borderId="0" xfId="6" applyNumberFormat="1" applyFont="1" applyBorder="1"/>
    <xf numFmtId="9" fontId="10" fillId="0" borderId="4" xfId="6" applyNumberFormat="1" applyFont="1" applyBorder="1"/>
    <xf numFmtId="9" fontId="10" fillId="0" borderId="0" xfId="7" applyFont="1" applyBorder="1"/>
    <xf numFmtId="9" fontId="10" fillId="0" borderId="4" xfId="7" applyFont="1" applyBorder="1"/>
    <xf numFmtId="0" fontId="10" fillId="0" borderId="4" xfId="6" applyFont="1" applyBorder="1"/>
    <xf numFmtId="165" fontId="10" fillId="0" borderId="0" xfId="6" applyNumberFormat="1" applyFont="1"/>
    <xf numFmtId="189" fontId="10" fillId="0" borderId="0" xfId="3" applyNumberFormat="1" applyFont="1" applyFill="1" applyBorder="1"/>
    <xf numFmtId="9" fontId="10" fillId="0" borderId="0" xfId="7" applyFont="1" applyFill="1" applyBorder="1"/>
    <xf numFmtId="0" fontId="10" fillId="0" borderId="3" xfId="6" applyFont="1" applyFill="1" applyBorder="1"/>
    <xf numFmtId="9" fontId="10" fillId="0" borderId="4" xfId="7" applyFont="1" applyFill="1" applyBorder="1"/>
    <xf numFmtId="3" fontId="16" fillId="0" borderId="0" xfId="6" applyNumberFormat="1" applyFont="1" applyBorder="1"/>
    <xf numFmtId="182" fontId="10" fillId="0" borderId="0" xfId="1" applyNumberFormat="1" applyFont="1" applyBorder="1"/>
    <xf numFmtId="182" fontId="10" fillId="0" borderId="4" xfId="1" applyNumberFormat="1" applyFont="1" applyBorder="1"/>
    <xf numFmtId="173" fontId="10" fillId="0" borderId="0" xfId="7" applyNumberFormat="1" applyFont="1" applyBorder="1"/>
    <xf numFmtId="173" fontId="10" fillId="0" borderId="4" xfId="7" applyNumberFormat="1" applyFont="1" applyBorder="1"/>
    <xf numFmtId="165" fontId="10" fillId="0" borderId="3" xfId="6" applyNumberFormat="1" applyFont="1" applyBorder="1"/>
    <xf numFmtId="10" fontId="10" fillId="0" borderId="0" xfId="6" applyNumberFormat="1" applyFont="1" applyBorder="1"/>
    <xf numFmtId="10" fontId="10" fillId="0" borderId="4" xfId="6" applyNumberFormat="1" applyFont="1" applyBorder="1"/>
    <xf numFmtId="0" fontId="19" fillId="0" borderId="3" xfId="6" applyFont="1" applyBorder="1"/>
    <xf numFmtId="189" fontId="10" fillId="0" borderId="0" xfId="3" applyNumberFormat="1" applyFont="1" applyBorder="1" applyAlignment="1">
      <alignment horizontal="right"/>
    </xf>
    <xf numFmtId="0" fontId="10" fillId="0" borderId="0" xfId="6" applyFont="1" applyBorder="1" applyAlignment="1">
      <alignment horizontal="right"/>
    </xf>
    <xf numFmtId="0" fontId="10" fillId="0" borderId="6" xfId="6" applyFont="1" applyBorder="1"/>
    <xf numFmtId="189" fontId="10" fillId="0" borderId="7" xfId="3" applyNumberFormat="1" applyFont="1" applyBorder="1" applyAlignment="1">
      <alignment horizontal="right"/>
    </xf>
    <xf numFmtId="189" fontId="10" fillId="0" borderId="7" xfId="3" applyNumberFormat="1" applyFont="1" applyBorder="1"/>
    <xf numFmtId="0" fontId="10" fillId="0" borderId="8" xfId="6" applyFont="1" applyBorder="1"/>
    <xf numFmtId="3" fontId="16" fillId="2" borderId="12" xfId="6" applyNumberFormat="1" applyFont="1" applyFill="1" applyBorder="1"/>
    <xf numFmtId="0" fontId="21" fillId="0" borderId="0" xfId="6" applyFont="1" applyAlignment="1">
      <alignment horizontal="centerContinuous"/>
    </xf>
    <xf numFmtId="0" fontId="22" fillId="0" borderId="0" xfId="6" applyFont="1" applyAlignment="1">
      <alignment horizontal="centerContinuous"/>
    </xf>
    <xf numFmtId="182" fontId="22" fillId="0" borderId="0" xfId="6" applyNumberFormat="1" applyFont="1"/>
    <xf numFmtId="0" fontId="23" fillId="0" borderId="0" xfId="6" applyFont="1" applyAlignment="1">
      <alignment horizontal="centerContinuous"/>
    </xf>
    <xf numFmtId="207" fontId="24" fillId="0" borderId="0" xfId="6" applyNumberFormat="1" applyFont="1"/>
    <xf numFmtId="0" fontId="24" fillId="0" borderId="0" xfId="6" applyFont="1" applyAlignment="1">
      <alignment horizontal="centerContinuous"/>
    </xf>
    <xf numFmtId="0" fontId="22" fillId="0" borderId="0" xfId="6" applyFont="1"/>
    <xf numFmtId="169" fontId="22" fillId="0" borderId="0" xfId="2" applyFont="1"/>
    <xf numFmtId="0" fontId="22" fillId="0" borderId="0" xfId="6" applyFont="1" applyAlignment="1">
      <alignment horizontal="left"/>
    </xf>
    <xf numFmtId="169" fontId="25" fillId="0" borderId="0" xfId="2" applyFont="1"/>
    <xf numFmtId="0" fontId="21" fillId="0" borderId="0" xfId="6" applyFont="1"/>
    <xf numFmtId="169" fontId="22" fillId="0" borderId="13" xfId="6" applyNumberFormat="1" applyFont="1" applyBorder="1"/>
    <xf numFmtId="169" fontId="22" fillId="0" borderId="0" xfId="2" applyFont="1" applyBorder="1"/>
    <xf numFmtId="169" fontId="25" fillId="0" borderId="0" xfId="2" applyFont="1" applyAlignment="1"/>
    <xf numFmtId="169" fontId="22" fillId="3" borderId="12" xfId="6" applyNumberFormat="1" applyFont="1" applyFill="1" applyBorder="1"/>
    <xf numFmtId="0" fontId="22" fillId="0" borderId="0" xfId="6" quotePrefix="1" applyFont="1"/>
    <xf numFmtId="173" fontId="22" fillId="0" borderId="0" xfId="7" applyNumberFormat="1" applyFont="1"/>
    <xf numFmtId="0" fontId="26" fillId="0" borderId="0" xfId="6" applyFont="1"/>
    <xf numFmtId="0" fontId="5" fillId="0" borderId="0" xfId="6" applyFont="1"/>
    <xf numFmtId="0" fontId="9" fillId="0" borderId="0" xfId="4" applyFont="1" applyAlignment="1">
      <alignment horizontal="left"/>
    </xf>
    <xf numFmtId="0" fontId="6" fillId="0" borderId="14" xfId="5" applyFont="1" applyBorder="1" applyAlignment="1">
      <alignment horizontal="center"/>
    </xf>
  </cellXfs>
  <cellStyles count="8">
    <cellStyle name="Comma" xfId="1" builtinId="3"/>
    <cellStyle name="Comma [0]" xfId="2" builtinId="6"/>
    <cellStyle name="Currency" xfId="3" builtinId="4"/>
    <cellStyle name="Normal" xfId="0" builtinId="0"/>
    <cellStyle name="Normal_Equate" xfId="4"/>
    <cellStyle name="Normal_GI Model" xfId="5"/>
    <cellStyle name="Normal_Model 022501 (Holly) Sensitivity" xfId="6"/>
    <cellStyle name="Percent" xfId="7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Exhibits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 Indicators"/>
      <sheetName val="2 Risk vs. Neighbors"/>
      <sheetName val="3 Exchange Rate"/>
      <sheetName val="4 Stock Market"/>
      <sheetName val=" 5 Sources of Funding"/>
      <sheetName val="6 Profiles of Banks"/>
      <sheetName val="7 Selected Model Assumptions"/>
      <sheetName val="8 Summary Financial Mode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"/>
  <sheetData/>
  <phoneticPr fontId="0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40"/>
  <sheetViews>
    <sheetView workbookViewId="0">
      <selection activeCell="A2" sqref="A2"/>
    </sheetView>
  </sheetViews>
  <sheetFormatPr defaultColWidth="10.69921875" defaultRowHeight="12.5"/>
  <cols>
    <col min="1" max="1" width="43.296875" style="30" bestFit="1" customWidth="1"/>
    <col min="2" max="2" width="8" style="30" bestFit="1" customWidth="1"/>
    <col min="3" max="4" width="9" style="30" bestFit="1" customWidth="1"/>
    <col min="5" max="5" width="12.19921875" style="31" bestFit="1" customWidth="1"/>
    <col min="6" max="6" width="10.69921875" style="31" customWidth="1"/>
    <col min="7" max="7" width="26.19921875" style="31" bestFit="1" customWidth="1"/>
    <col min="8" max="18" width="12.5" style="31" customWidth="1"/>
    <col min="19" max="19" width="11.296875" style="31" bestFit="1" customWidth="1"/>
    <col min="20" max="16384" width="10.69921875" style="31"/>
  </cols>
  <sheetData>
    <row r="1" spans="1:22">
      <c r="A1" s="115" t="s">
        <v>198</v>
      </c>
    </row>
    <row r="2" spans="1:22" ht="13" thickBot="1"/>
    <row r="3" spans="1:22" ht="13.5" thickBot="1">
      <c r="A3" s="57" t="s">
        <v>139</v>
      </c>
      <c r="B3" s="58" t="s">
        <v>140</v>
      </c>
      <c r="C3" s="58" t="s">
        <v>141</v>
      </c>
      <c r="D3" s="59" t="s">
        <v>142</v>
      </c>
      <c r="E3" s="60"/>
      <c r="F3" s="60"/>
      <c r="G3" s="61"/>
      <c r="H3" s="62"/>
      <c r="I3" s="62"/>
      <c r="J3" s="62"/>
      <c r="K3" s="62"/>
      <c r="L3" s="62"/>
      <c r="M3" s="62"/>
      <c r="N3" s="62"/>
      <c r="O3" s="62"/>
      <c r="P3" s="62"/>
      <c r="Q3" s="62"/>
      <c r="R3" s="63"/>
    </row>
    <row r="4" spans="1:22">
      <c r="A4" s="64" t="s">
        <v>143</v>
      </c>
      <c r="B4" s="60">
        <v>0.5</v>
      </c>
      <c r="C4" s="60">
        <v>1.5</v>
      </c>
      <c r="D4" s="65">
        <v>2</v>
      </c>
      <c r="E4" s="60"/>
      <c r="F4" s="66"/>
      <c r="G4" s="60"/>
      <c r="H4" s="67"/>
      <c r="I4" s="39"/>
      <c r="J4" s="39"/>
      <c r="K4" s="39"/>
      <c r="L4" s="39"/>
      <c r="M4" s="39"/>
      <c r="N4" s="39"/>
      <c r="O4" s="39"/>
      <c r="P4" s="39"/>
      <c r="Q4" s="39"/>
      <c r="R4" s="30"/>
      <c r="S4" s="30"/>
      <c r="T4" s="30"/>
      <c r="U4" s="30"/>
      <c r="V4" s="30"/>
    </row>
    <row r="5" spans="1:22">
      <c r="A5" s="64" t="s">
        <v>144</v>
      </c>
      <c r="B5" s="68">
        <v>5</v>
      </c>
      <c r="C5" s="68">
        <v>10</v>
      </c>
      <c r="D5" s="69">
        <v>30</v>
      </c>
      <c r="E5" s="60"/>
      <c r="F5" s="60"/>
      <c r="G5" s="60"/>
      <c r="H5" s="42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</row>
    <row r="6" spans="1:22">
      <c r="A6" s="64" t="s">
        <v>145</v>
      </c>
      <c r="B6" s="70">
        <v>0.35</v>
      </c>
      <c r="C6" s="70">
        <v>0.48499999999999999</v>
      </c>
      <c r="D6" s="71">
        <v>0.65</v>
      </c>
      <c r="E6" s="60"/>
      <c r="F6" s="66"/>
      <c r="G6" s="60"/>
      <c r="H6" s="42"/>
      <c r="I6" s="42"/>
      <c r="J6" s="42"/>
      <c r="K6" s="42"/>
      <c r="L6" s="42"/>
      <c r="M6" s="42"/>
      <c r="N6" s="42"/>
      <c r="O6" s="42"/>
      <c r="P6" s="42"/>
      <c r="Q6" s="42"/>
      <c r="R6" s="30"/>
      <c r="S6" s="30"/>
      <c r="T6" s="30"/>
      <c r="U6" s="30"/>
      <c r="V6" s="30"/>
    </row>
    <row r="7" spans="1:22">
      <c r="A7" s="64" t="s">
        <v>146</v>
      </c>
      <c r="B7" s="72">
        <v>0.05</v>
      </c>
      <c r="C7" s="72">
        <v>0.1</v>
      </c>
      <c r="D7" s="73">
        <v>0.15</v>
      </c>
      <c r="E7" s="60"/>
      <c r="F7" s="66"/>
      <c r="G7" s="60"/>
      <c r="H7" s="42"/>
      <c r="I7" s="42"/>
      <c r="J7" s="42"/>
      <c r="K7" s="42"/>
      <c r="L7" s="42"/>
      <c r="M7" s="42"/>
      <c r="N7" s="42"/>
      <c r="O7" s="42"/>
      <c r="P7" s="42"/>
      <c r="Q7" s="42"/>
      <c r="R7" s="30"/>
      <c r="S7" s="30"/>
      <c r="T7" s="30"/>
      <c r="U7" s="30"/>
      <c r="V7" s="30"/>
    </row>
    <row r="8" spans="1:22">
      <c r="A8" s="64" t="s">
        <v>147</v>
      </c>
      <c r="B8" s="74">
        <v>0.05</v>
      </c>
      <c r="C8" s="74">
        <v>0.1</v>
      </c>
      <c r="D8" s="75">
        <v>0.2</v>
      </c>
      <c r="E8" s="60"/>
      <c r="F8" s="60"/>
      <c r="G8" s="60"/>
      <c r="H8" s="42"/>
      <c r="I8" s="42"/>
      <c r="J8" s="42"/>
      <c r="K8" s="42"/>
      <c r="L8" s="42"/>
      <c r="M8" s="42"/>
      <c r="N8" s="42"/>
      <c r="O8" s="42"/>
      <c r="P8" s="42"/>
      <c r="Q8" s="42"/>
      <c r="R8" s="30"/>
      <c r="S8" s="30"/>
      <c r="T8" s="30"/>
      <c r="U8" s="30"/>
      <c r="V8" s="30"/>
    </row>
    <row r="9" spans="1:22">
      <c r="A9" s="64" t="s">
        <v>148</v>
      </c>
      <c r="B9" s="60">
        <v>2</v>
      </c>
      <c r="C9" s="60">
        <v>6</v>
      </c>
      <c r="D9" s="76">
        <v>7</v>
      </c>
      <c r="E9" s="60"/>
      <c r="F9" s="66"/>
      <c r="G9" s="60"/>
      <c r="H9" s="42"/>
      <c r="I9" s="77"/>
      <c r="J9" s="77"/>
      <c r="K9" s="77"/>
      <c r="L9" s="77"/>
      <c r="M9" s="77"/>
      <c r="N9" s="77"/>
      <c r="O9" s="77"/>
      <c r="P9" s="77"/>
      <c r="Q9" s="77"/>
      <c r="R9" s="30"/>
      <c r="S9" s="30"/>
      <c r="T9" s="30"/>
      <c r="U9" s="30"/>
      <c r="V9" s="30"/>
    </row>
    <row r="10" spans="1:22">
      <c r="A10" s="64" t="s">
        <v>149</v>
      </c>
      <c r="B10" s="78">
        <v>12</v>
      </c>
      <c r="C10" s="68">
        <v>15</v>
      </c>
      <c r="D10" s="69">
        <v>20</v>
      </c>
      <c r="E10" s="60"/>
      <c r="F10" s="60"/>
      <c r="G10" s="60"/>
      <c r="H10" s="42"/>
      <c r="I10" s="42"/>
      <c r="J10" s="42"/>
      <c r="K10" s="42"/>
      <c r="L10" s="42"/>
      <c r="M10" s="42"/>
      <c r="N10" s="42"/>
      <c r="O10" s="42"/>
      <c r="P10" s="42"/>
      <c r="Q10" s="42"/>
      <c r="R10" s="30"/>
      <c r="S10" s="30"/>
      <c r="T10" s="30"/>
      <c r="U10" s="30"/>
      <c r="V10" s="30"/>
    </row>
    <row r="11" spans="1:22">
      <c r="A11" s="64" t="s">
        <v>150</v>
      </c>
      <c r="B11" s="74">
        <v>0.05</v>
      </c>
      <c r="C11" s="79">
        <v>0.1</v>
      </c>
      <c r="D11" s="75">
        <v>0.15</v>
      </c>
      <c r="E11" s="60"/>
      <c r="F11" s="60"/>
      <c r="G11" s="61"/>
    </row>
    <row r="12" spans="1:22">
      <c r="A12" s="80" t="s">
        <v>151</v>
      </c>
      <c r="B12" s="74">
        <v>0.05</v>
      </c>
      <c r="C12" s="79">
        <v>0.15</v>
      </c>
      <c r="D12" s="75">
        <v>0.3</v>
      </c>
      <c r="E12" s="60"/>
      <c r="F12" s="60"/>
      <c r="G12" s="60"/>
      <c r="H12" s="42"/>
      <c r="I12" s="42"/>
      <c r="J12" s="42"/>
      <c r="K12" s="42"/>
      <c r="L12" s="42"/>
      <c r="M12" s="42"/>
      <c r="N12" s="42"/>
      <c r="O12" s="42"/>
      <c r="P12" s="42"/>
      <c r="Q12" s="42"/>
      <c r="R12" s="30"/>
      <c r="S12" s="30"/>
      <c r="T12" s="30"/>
      <c r="U12" s="30"/>
      <c r="V12" s="30"/>
    </row>
    <row r="13" spans="1:22" s="61" customFormat="1">
      <c r="A13" s="80" t="s">
        <v>152</v>
      </c>
      <c r="B13" s="79">
        <v>0.15</v>
      </c>
      <c r="C13" s="79">
        <v>0.29599999999999999</v>
      </c>
      <c r="D13" s="81">
        <v>0.35</v>
      </c>
      <c r="E13" s="60"/>
      <c r="F13" s="60"/>
      <c r="G13" s="60"/>
      <c r="H13" s="82"/>
      <c r="I13" s="82"/>
      <c r="J13" s="82"/>
      <c r="K13" s="82"/>
      <c r="L13" s="82"/>
      <c r="M13" s="82"/>
      <c r="N13" s="82"/>
      <c r="O13" s="82"/>
      <c r="P13" s="82"/>
      <c r="Q13" s="82"/>
      <c r="R13" s="60"/>
      <c r="S13" s="60"/>
      <c r="T13" s="60"/>
      <c r="U13" s="60"/>
      <c r="V13" s="60"/>
    </row>
    <row r="14" spans="1:22" s="61" customFormat="1">
      <c r="A14" s="80" t="s">
        <v>153</v>
      </c>
      <c r="B14" s="79">
        <v>0</v>
      </c>
      <c r="C14" s="79">
        <v>0.05</v>
      </c>
      <c r="D14" s="81">
        <v>0.1</v>
      </c>
      <c r="E14" s="60"/>
      <c r="F14" s="60"/>
      <c r="G14" s="60"/>
      <c r="H14" s="82"/>
      <c r="I14" s="82"/>
      <c r="J14" s="82"/>
      <c r="K14" s="82"/>
      <c r="L14" s="82"/>
      <c r="M14" s="82"/>
      <c r="N14" s="82"/>
      <c r="O14" s="82"/>
      <c r="P14" s="82"/>
      <c r="Q14" s="82"/>
      <c r="R14" s="60"/>
      <c r="S14" s="60"/>
      <c r="T14" s="60"/>
      <c r="U14" s="60"/>
      <c r="V14" s="60"/>
    </row>
    <row r="15" spans="1:22">
      <c r="A15" s="64" t="s">
        <v>154</v>
      </c>
      <c r="B15" s="60">
        <v>15</v>
      </c>
      <c r="C15" s="60">
        <v>35</v>
      </c>
      <c r="D15" s="76">
        <v>50</v>
      </c>
      <c r="E15" s="60"/>
      <c r="F15" s="60"/>
      <c r="G15" s="60"/>
      <c r="H15" s="42"/>
      <c r="I15" s="30"/>
      <c r="J15" s="30"/>
      <c r="K15" s="30"/>
      <c r="L15" s="30"/>
      <c r="M15" s="30"/>
      <c r="N15" s="30"/>
      <c r="O15" s="30"/>
      <c r="P15" s="30"/>
      <c r="Q15" s="30"/>
      <c r="R15" s="30"/>
      <c r="S15" s="30"/>
      <c r="T15" s="30"/>
      <c r="U15" s="30"/>
      <c r="V15" s="30"/>
    </row>
    <row r="16" spans="1:22">
      <c r="A16" s="64" t="s">
        <v>155</v>
      </c>
      <c r="B16" s="60">
        <v>2</v>
      </c>
      <c r="C16" s="60">
        <v>3</v>
      </c>
      <c r="D16" s="76">
        <v>4</v>
      </c>
      <c r="E16" s="60"/>
      <c r="F16" s="66"/>
      <c r="G16" s="60"/>
      <c r="H16" s="42"/>
      <c r="I16" s="42"/>
      <c r="J16" s="42"/>
      <c r="K16" s="42"/>
      <c r="L16" s="42"/>
      <c r="M16" s="42"/>
      <c r="N16" s="42"/>
      <c r="O16" s="42"/>
      <c r="P16" s="42"/>
      <c r="Q16" s="42"/>
      <c r="R16" s="30"/>
      <c r="S16" s="30"/>
      <c r="T16" s="30"/>
      <c r="U16" s="30"/>
      <c r="V16" s="30"/>
    </row>
    <row r="17" spans="1:22">
      <c r="A17" s="64" t="s">
        <v>156</v>
      </c>
      <c r="B17" s="74">
        <v>0.03</v>
      </c>
      <c r="C17" s="74">
        <v>0.04</v>
      </c>
      <c r="D17" s="75">
        <v>0.05</v>
      </c>
      <c r="E17" s="60"/>
      <c r="F17" s="66"/>
      <c r="G17" s="60"/>
      <c r="H17" s="67"/>
      <c r="I17" s="67"/>
      <c r="J17" s="67"/>
      <c r="K17" s="67"/>
      <c r="L17" s="67"/>
      <c r="M17" s="67"/>
      <c r="N17" s="67"/>
      <c r="O17" s="67"/>
      <c r="P17" s="67"/>
      <c r="Q17" s="67"/>
      <c r="R17" s="30"/>
      <c r="S17" s="30"/>
      <c r="T17" s="30"/>
      <c r="U17" s="30"/>
      <c r="V17" s="30"/>
    </row>
    <row r="18" spans="1:22">
      <c r="A18" s="64" t="s">
        <v>157</v>
      </c>
      <c r="B18" s="78">
        <v>25</v>
      </c>
      <c r="C18" s="68">
        <v>50</v>
      </c>
      <c r="D18" s="69">
        <v>75</v>
      </c>
      <c r="E18" s="60"/>
      <c r="F18" s="66"/>
      <c r="G18" s="60"/>
      <c r="H18" s="42"/>
      <c r="I18" s="42"/>
      <c r="J18" s="42"/>
      <c r="K18" s="42"/>
      <c r="L18" s="42"/>
      <c r="M18" s="42"/>
      <c r="N18" s="42"/>
      <c r="O18" s="42"/>
      <c r="P18" s="42"/>
      <c r="Q18" s="42"/>
      <c r="R18" s="30"/>
      <c r="S18" s="30"/>
      <c r="T18" s="30"/>
      <c r="U18" s="30"/>
      <c r="V18" s="30"/>
    </row>
    <row r="19" spans="1:22">
      <c r="A19" s="64" t="s">
        <v>158</v>
      </c>
      <c r="B19" s="68">
        <v>2.5</v>
      </c>
      <c r="C19" s="68">
        <v>5</v>
      </c>
      <c r="D19" s="69">
        <v>6.5</v>
      </c>
      <c r="E19" s="60"/>
      <c r="F19" s="66"/>
      <c r="G19" s="60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30"/>
      <c r="S19" s="30"/>
      <c r="T19" s="30"/>
      <c r="U19" s="30"/>
      <c r="V19" s="30"/>
    </row>
    <row r="20" spans="1:22">
      <c r="A20" s="64" t="s">
        <v>159</v>
      </c>
      <c r="B20" s="83">
        <v>0</v>
      </c>
      <c r="C20" s="83">
        <v>1</v>
      </c>
      <c r="D20" s="84">
        <v>2</v>
      </c>
      <c r="E20" s="60"/>
      <c r="F20" s="60"/>
      <c r="G20" s="60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30"/>
      <c r="S20" s="30"/>
      <c r="T20" s="30"/>
      <c r="U20" s="30"/>
      <c r="V20" s="30"/>
    </row>
    <row r="21" spans="1:22">
      <c r="A21" s="64" t="s">
        <v>160</v>
      </c>
      <c r="B21" s="68">
        <v>15</v>
      </c>
      <c r="C21" s="68">
        <v>25</v>
      </c>
      <c r="D21" s="69">
        <v>35</v>
      </c>
      <c r="E21" s="60"/>
      <c r="F21" s="60"/>
      <c r="G21" s="60"/>
      <c r="H21" s="42"/>
      <c r="I21" s="42"/>
      <c r="J21" s="42"/>
      <c r="K21" s="42"/>
      <c r="L21" s="42"/>
      <c r="M21" s="42"/>
      <c r="N21" s="42"/>
      <c r="O21" s="42"/>
      <c r="P21" s="42"/>
      <c r="Q21" s="42"/>
      <c r="R21" s="30"/>
      <c r="S21" s="30"/>
      <c r="T21" s="30"/>
      <c r="U21" s="30"/>
      <c r="V21" s="30"/>
    </row>
    <row r="22" spans="1:22">
      <c r="A22" s="64" t="s">
        <v>161</v>
      </c>
      <c r="B22" s="83">
        <v>1</v>
      </c>
      <c r="C22" s="83">
        <v>1</v>
      </c>
      <c r="D22" s="84">
        <v>2</v>
      </c>
      <c r="E22" s="60"/>
      <c r="F22" s="60"/>
      <c r="G22" s="60"/>
      <c r="H22" s="42"/>
      <c r="I22" s="42"/>
      <c r="J22" s="42"/>
      <c r="K22" s="42"/>
      <c r="L22" s="42"/>
      <c r="M22" s="42"/>
      <c r="N22" s="42"/>
      <c r="O22" s="42"/>
      <c r="P22" s="42"/>
      <c r="Q22" s="42"/>
      <c r="R22" s="30"/>
      <c r="S22" s="30"/>
      <c r="T22" s="30"/>
      <c r="U22" s="30"/>
      <c r="V22" s="30"/>
    </row>
    <row r="23" spans="1:22">
      <c r="A23" s="64" t="s">
        <v>162</v>
      </c>
      <c r="B23" s="68">
        <v>45</v>
      </c>
      <c r="C23" s="68">
        <v>60</v>
      </c>
      <c r="D23" s="69">
        <v>70</v>
      </c>
      <c r="E23" s="60"/>
      <c r="F23" s="60"/>
      <c r="G23" s="60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30"/>
      <c r="S23" s="30"/>
      <c r="T23" s="30"/>
      <c r="U23" s="30"/>
      <c r="V23" s="30"/>
    </row>
    <row r="24" spans="1:22">
      <c r="A24" s="64" t="s">
        <v>163</v>
      </c>
      <c r="B24" s="72">
        <v>0.1</v>
      </c>
      <c r="C24" s="72">
        <v>0.15</v>
      </c>
      <c r="D24" s="73">
        <v>0.2</v>
      </c>
      <c r="E24" s="60"/>
      <c r="F24" s="60"/>
      <c r="G24" s="60"/>
      <c r="H24" s="42"/>
      <c r="I24" s="42"/>
      <c r="J24" s="42"/>
      <c r="K24" s="42"/>
      <c r="L24" s="42"/>
      <c r="M24" s="42"/>
      <c r="N24" s="42"/>
      <c r="O24" s="42"/>
      <c r="P24" s="42"/>
      <c r="Q24" s="42"/>
      <c r="R24" s="30"/>
      <c r="S24" s="30"/>
      <c r="T24" s="30"/>
      <c r="U24" s="30"/>
      <c r="V24" s="30"/>
    </row>
    <row r="25" spans="1:22">
      <c r="A25" s="64" t="s">
        <v>164</v>
      </c>
      <c r="B25" s="60">
        <v>2</v>
      </c>
      <c r="C25" s="60">
        <v>3</v>
      </c>
      <c r="D25" s="76">
        <v>5</v>
      </c>
      <c r="E25" s="60"/>
      <c r="F25" s="66"/>
      <c r="G25" s="60"/>
      <c r="H25" s="67"/>
      <c r="I25" s="67"/>
      <c r="J25" s="67"/>
      <c r="K25" s="67"/>
      <c r="L25" s="67"/>
      <c r="M25" s="67"/>
      <c r="N25" s="67"/>
      <c r="O25" s="67"/>
      <c r="P25" s="67"/>
      <c r="Q25" s="67"/>
      <c r="R25" s="30"/>
      <c r="S25" s="30"/>
      <c r="T25" s="30"/>
      <c r="U25" s="30"/>
      <c r="V25" s="30"/>
    </row>
    <row r="26" spans="1:22">
      <c r="A26" s="64" t="s">
        <v>165</v>
      </c>
      <c r="B26" s="60">
        <v>6</v>
      </c>
      <c r="C26" s="60">
        <v>7.5</v>
      </c>
      <c r="D26" s="76">
        <v>10</v>
      </c>
      <c r="E26" s="60"/>
      <c r="F26" s="66"/>
      <c r="G26" s="60"/>
      <c r="H26" s="67"/>
      <c r="I26" s="67"/>
      <c r="J26" s="67"/>
      <c r="K26" s="67"/>
      <c r="L26" s="67"/>
      <c r="M26" s="67"/>
      <c r="N26" s="67"/>
      <c r="O26" s="67"/>
      <c r="P26" s="67"/>
      <c r="Q26" s="67"/>
      <c r="R26" s="30"/>
      <c r="S26" s="30"/>
      <c r="T26" s="30"/>
      <c r="U26" s="30"/>
      <c r="V26" s="30"/>
    </row>
    <row r="27" spans="1:22">
      <c r="A27" s="64" t="s">
        <v>166</v>
      </c>
      <c r="B27" s="85">
        <v>0.01</v>
      </c>
      <c r="C27" s="85">
        <v>1.4999999999999999E-2</v>
      </c>
      <c r="D27" s="86">
        <v>0.02</v>
      </c>
      <c r="E27" s="60"/>
      <c r="F27" s="60"/>
      <c r="G27" s="60"/>
      <c r="H27" s="42"/>
      <c r="I27" s="42"/>
      <c r="J27" s="42"/>
      <c r="K27" s="42"/>
      <c r="L27" s="42"/>
      <c r="M27" s="42"/>
      <c r="N27" s="42"/>
      <c r="O27" s="42"/>
      <c r="P27" s="42"/>
      <c r="Q27" s="42"/>
      <c r="R27" s="30"/>
      <c r="S27" s="30"/>
      <c r="T27" s="30"/>
      <c r="U27" s="30"/>
      <c r="V27" s="30"/>
    </row>
    <row r="28" spans="1:22">
      <c r="A28" s="87" t="s">
        <v>167</v>
      </c>
      <c r="B28" s="60">
        <v>15</v>
      </c>
      <c r="C28" s="68">
        <v>25</v>
      </c>
      <c r="D28" s="76">
        <v>35</v>
      </c>
      <c r="E28" s="60"/>
      <c r="F28" s="60"/>
      <c r="G28" s="60"/>
      <c r="H28" s="42"/>
      <c r="I28" s="42"/>
      <c r="J28" s="42"/>
      <c r="K28" s="42"/>
      <c r="L28" s="42"/>
      <c r="M28" s="42"/>
      <c r="N28" s="42"/>
      <c r="O28" s="42"/>
      <c r="P28" s="42"/>
      <c r="Q28" s="42"/>
      <c r="R28" s="30"/>
      <c r="S28" s="30"/>
      <c r="T28" s="30"/>
      <c r="U28" s="30"/>
      <c r="V28" s="30"/>
    </row>
    <row r="29" spans="1:22">
      <c r="A29" s="64" t="s">
        <v>168</v>
      </c>
      <c r="B29" s="60">
        <v>0.35</v>
      </c>
      <c r="C29" s="72">
        <v>0.5</v>
      </c>
      <c r="D29" s="76">
        <v>0.65</v>
      </c>
      <c r="E29" s="60"/>
      <c r="F29" s="60"/>
      <c r="G29" s="60"/>
      <c r="H29" s="42"/>
      <c r="I29" s="42"/>
      <c r="J29" s="42"/>
      <c r="K29" s="42"/>
      <c r="L29" s="42"/>
      <c r="M29" s="42"/>
      <c r="N29" s="42"/>
      <c r="O29" s="42"/>
      <c r="P29" s="42"/>
      <c r="Q29" s="42"/>
      <c r="R29" s="30"/>
      <c r="S29" s="30"/>
      <c r="T29" s="30"/>
      <c r="U29" s="30"/>
      <c r="V29" s="30"/>
    </row>
    <row r="30" spans="1:22">
      <c r="A30" s="64" t="s">
        <v>169</v>
      </c>
      <c r="B30" s="88">
        <v>2.5000000000000001E-3</v>
      </c>
      <c r="C30" s="88">
        <v>5.0000000000000001E-3</v>
      </c>
      <c r="D30" s="89">
        <v>7.4999999999999997E-3</v>
      </c>
      <c r="E30" s="60"/>
      <c r="F30" s="60"/>
      <c r="G30" s="60"/>
      <c r="H30" s="42"/>
      <c r="I30" s="42"/>
      <c r="J30" s="42"/>
      <c r="K30" s="42"/>
      <c r="L30" s="42"/>
      <c r="M30" s="42"/>
      <c r="N30" s="42"/>
      <c r="O30" s="42"/>
      <c r="P30" s="42"/>
      <c r="Q30" s="42"/>
      <c r="R30" s="30"/>
      <c r="S30" s="30"/>
      <c r="T30" s="30"/>
      <c r="U30" s="30"/>
      <c r="V30" s="30"/>
    </row>
    <row r="31" spans="1:22">
      <c r="A31" s="64" t="s">
        <v>170</v>
      </c>
      <c r="B31" s="68">
        <v>50</v>
      </c>
      <c r="C31" s="68">
        <v>100</v>
      </c>
      <c r="D31" s="69">
        <v>200</v>
      </c>
      <c r="E31" s="60"/>
      <c r="F31" s="60"/>
      <c r="G31" s="60"/>
      <c r="H31" s="67"/>
      <c r="I31" s="67"/>
      <c r="J31" s="67"/>
      <c r="K31" s="67"/>
      <c r="L31" s="67"/>
      <c r="M31" s="67"/>
      <c r="N31" s="67"/>
      <c r="O31" s="67"/>
      <c r="P31" s="67"/>
      <c r="Q31" s="67"/>
      <c r="R31" s="30"/>
      <c r="S31" s="30"/>
      <c r="T31" s="30"/>
      <c r="U31" s="30"/>
      <c r="V31" s="30"/>
    </row>
    <row r="32" spans="1:22">
      <c r="A32" s="64" t="s">
        <v>171</v>
      </c>
      <c r="B32" s="74">
        <v>0.08</v>
      </c>
      <c r="C32" s="79">
        <v>0.09</v>
      </c>
      <c r="D32" s="75">
        <v>0.1</v>
      </c>
      <c r="E32" s="60"/>
      <c r="F32" s="60"/>
      <c r="G32" s="61"/>
    </row>
    <row r="33" spans="1:22">
      <c r="A33" s="64" t="s">
        <v>172</v>
      </c>
      <c r="B33" s="74">
        <v>0.04</v>
      </c>
      <c r="C33" s="74">
        <v>0.05</v>
      </c>
      <c r="D33" s="75">
        <v>0.06</v>
      </c>
      <c r="E33" s="61"/>
      <c r="F33" s="61"/>
      <c r="G33" s="61"/>
    </row>
    <row r="34" spans="1:22">
      <c r="A34" s="64" t="s">
        <v>173</v>
      </c>
      <c r="B34" s="60"/>
      <c r="C34" s="74">
        <v>0</v>
      </c>
      <c r="D34" s="76"/>
      <c r="E34" s="61"/>
      <c r="F34" s="61"/>
      <c r="G34" s="61"/>
    </row>
    <row r="35" spans="1:22">
      <c r="A35" s="64"/>
      <c r="B35" s="60"/>
      <c r="C35" s="60"/>
      <c r="D35" s="76"/>
    </row>
    <row r="36" spans="1:22" ht="15.5">
      <c r="A36" s="90" t="s">
        <v>174</v>
      </c>
      <c r="B36" s="66" t="s">
        <v>175</v>
      </c>
      <c r="C36" s="66" t="s">
        <v>176</v>
      </c>
      <c r="D36" s="76"/>
      <c r="E36" s="61"/>
      <c r="F36" s="61"/>
      <c r="G36" s="60"/>
      <c r="H36" s="67"/>
      <c r="I36" s="67"/>
      <c r="J36" s="67"/>
      <c r="K36" s="67"/>
      <c r="L36" s="67"/>
      <c r="M36" s="67"/>
      <c r="N36" s="67"/>
      <c r="O36" s="67"/>
      <c r="P36" s="67"/>
      <c r="Q36" s="67"/>
      <c r="R36" s="67"/>
      <c r="S36" s="30"/>
      <c r="T36" s="30"/>
      <c r="U36" s="30"/>
      <c r="V36" s="30"/>
    </row>
    <row r="37" spans="1:22">
      <c r="A37" s="64" t="s">
        <v>177</v>
      </c>
      <c r="B37" s="91">
        <v>5</v>
      </c>
      <c r="C37" s="68">
        <v>1.5</v>
      </c>
      <c r="D37" s="76"/>
      <c r="E37" s="61"/>
      <c r="F37" s="61"/>
      <c r="G37" s="60"/>
      <c r="H37" s="30"/>
      <c r="I37" s="30"/>
      <c r="J37" s="30"/>
      <c r="K37" s="30"/>
      <c r="L37" s="30"/>
      <c r="M37" s="30"/>
      <c r="N37" s="30"/>
      <c r="O37" s="30"/>
      <c r="P37" s="30"/>
      <c r="Q37" s="30"/>
      <c r="R37" s="30"/>
      <c r="S37" s="30"/>
      <c r="T37" s="30"/>
      <c r="U37" s="30"/>
      <c r="V37" s="30"/>
    </row>
    <row r="38" spans="1:22">
      <c r="A38" s="64" t="s">
        <v>178</v>
      </c>
      <c r="B38" s="92" t="s">
        <v>179</v>
      </c>
      <c r="C38" s="68">
        <v>25</v>
      </c>
      <c r="D38" s="76"/>
      <c r="E38" s="61"/>
      <c r="F38" s="61"/>
      <c r="G38" s="61"/>
    </row>
    <row r="39" spans="1:22" ht="13" thickBot="1">
      <c r="A39" s="64" t="s">
        <v>180</v>
      </c>
      <c r="B39" s="92" t="s">
        <v>179</v>
      </c>
      <c r="C39" s="68">
        <v>10</v>
      </c>
      <c r="D39" s="76"/>
      <c r="E39" s="61"/>
      <c r="F39" s="61"/>
      <c r="G39" s="61"/>
    </row>
    <row r="40" spans="1:22" ht="13" thickBot="1">
      <c r="A40" s="93" t="s">
        <v>181</v>
      </c>
      <c r="B40" s="94">
        <v>5</v>
      </c>
      <c r="C40" s="95">
        <v>5</v>
      </c>
      <c r="D40" s="96"/>
      <c r="E40" s="61"/>
      <c r="F40" s="61"/>
      <c r="G40" s="60"/>
      <c r="H40" s="67"/>
      <c r="I40" s="67"/>
      <c r="J40" s="67"/>
      <c r="K40" s="67"/>
      <c r="L40" s="67"/>
      <c r="M40" s="67"/>
      <c r="N40" s="67"/>
      <c r="O40" s="67"/>
      <c r="P40" s="67"/>
      <c r="Q40" s="67"/>
      <c r="R40" s="67"/>
      <c r="S40" s="97"/>
      <c r="T40" s="30"/>
      <c r="U40" s="30"/>
      <c r="V40" s="30"/>
    </row>
  </sheetData>
  <phoneticPr fontId="2" type="noConversion"/>
  <pageMargins left="0.75" right="0.75" top="1" bottom="1" header="0.5" footer="0.5"/>
  <pageSetup orientation="portrait" horizontalDpi="4294967292" verticalDpi="30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V162"/>
  <sheetViews>
    <sheetView zoomScale="75" workbookViewId="0">
      <selection activeCell="L2" sqref="L2"/>
    </sheetView>
  </sheetViews>
  <sheetFormatPr defaultColWidth="10.69921875" defaultRowHeight="12.5"/>
  <cols>
    <col min="1" max="1" width="3" style="30" customWidth="1"/>
    <col min="2" max="2" width="4.796875" style="30" customWidth="1"/>
    <col min="3" max="3" width="44.19921875" style="30" customWidth="1"/>
    <col min="4" max="14" width="12.5" style="30" customWidth="1"/>
    <col min="15" max="15" width="8.5" style="30" customWidth="1"/>
    <col min="16" max="21" width="10.69921875" style="30" customWidth="1"/>
    <col min="22" max="16384" width="10.69921875" style="31"/>
  </cols>
  <sheetData>
    <row r="1" spans="1:21" ht="13">
      <c r="A1" s="117" t="s">
        <v>199</v>
      </c>
      <c r="B1" s="117"/>
      <c r="C1" s="117"/>
      <c r="D1" s="117"/>
      <c r="E1" s="117"/>
      <c r="F1" s="117"/>
      <c r="G1" s="117"/>
      <c r="H1" s="117"/>
      <c r="I1" s="117"/>
      <c r="J1" s="117"/>
      <c r="K1" s="117"/>
      <c r="L1" s="117"/>
    </row>
    <row r="2" spans="1:21" ht="13">
      <c r="A2" s="29"/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</row>
    <row r="3" spans="1:21" s="35" customFormat="1" ht="15">
      <c r="A3" s="32" t="s">
        <v>80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4"/>
      <c r="P3" s="34"/>
      <c r="Q3" s="34"/>
      <c r="R3" s="34"/>
      <c r="S3" s="34"/>
      <c r="T3" s="34"/>
      <c r="U3" s="34"/>
    </row>
    <row r="4" spans="1:21" s="35" customFormat="1" ht="13">
      <c r="A4" s="36" t="s">
        <v>30</v>
      </c>
      <c r="B4" s="33"/>
      <c r="C4" s="33"/>
      <c r="D4" s="33"/>
      <c r="E4" s="33"/>
      <c r="F4" s="33"/>
      <c r="G4" s="33"/>
      <c r="H4" s="33"/>
      <c r="I4" s="33"/>
      <c r="J4" s="33"/>
      <c r="K4" s="33"/>
      <c r="L4" s="33"/>
      <c r="M4" s="33"/>
      <c r="N4" s="33"/>
      <c r="O4" s="34"/>
      <c r="P4" s="34"/>
      <c r="Q4" s="34"/>
      <c r="R4" s="34"/>
      <c r="S4" s="34"/>
      <c r="T4" s="34"/>
      <c r="U4" s="34"/>
    </row>
    <row r="5" spans="1:21">
      <c r="A5" s="37"/>
      <c r="B5" s="38"/>
      <c r="C5" s="38"/>
      <c r="D5" s="38"/>
      <c r="E5" s="38"/>
      <c r="F5" s="38"/>
      <c r="G5" s="38"/>
      <c r="H5" s="38"/>
      <c r="I5" s="38"/>
      <c r="J5" s="38"/>
      <c r="K5" s="38"/>
      <c r="L5" s="38"/>
      <c r="M5" s="38"/>
    </row>
    <row r="6" spans="1:21" ht="15.5">
      <c r="B6" s="39"/>
      <c r="D6" s="53">
        <v>2001</v>
      </c>
      <c r="E6" s="53">
        <v>2002</v>
      </c>
      <c r="F6" s="53">
        <v>2003</v>
      </c>
      <c r="G6" s="53">
        <v>2004</v>
      </c>
      <c r="H6" s="53">
        <v>2005</v>
      </c>
      <c r="I6" s="53">
        <v>2006</v>
      </c>
      <c r="J6" s="53">
        <v>2007</v>
      </c>
      <c r="K6" s="53">
        <v>2008</v>
      </c>
      <c r="L6" s="53">
        <v>2009</v>
      </c>
      <c r="M6" s="53">
        <v>2010</v>
      </c>
      <c r="N6" s="40"/>
    </row>
    <row r="7" spans="1:21">
      <c r="C7" s="54"/>
      <c r="D7" s="40">
        <v>1</v>
      </c>
      <c r="E7" s="40">
        <v>2</v>
      </c>
      <c r="F7" s="40">
        <v>3</v>
      </c>
      <c r="G7" s="40">
        <v>4</v>
      </c>
      <c r="H7" s="40">
        <v>5</v>
      </c>
      <c r="I7" s="40">
        <v>6</v>
      </c>
      <c r="J7" s="40">
        <v>7</v>
      </c>
      <c r="K7" s="40">
        <v>8</v>
      </c>
      <c r="L7" s="40">
        <v>9</v>
      </c>
      <c r="M7" s="40">
        <v>10</v>
      </c>
      <c r="N7" s="40"/>
    </row>
    <row r="8" spans="1:21" ht="4" customHeight="1">
      <c r="B8" s="39"/>
      <c r="D8" s="40"/>
      <c r="E8" s="40"/>
      <c r="F8" s="40"/>
      <c r="G8" s="40"/>
      <c r="H8" s="40"/>
      <c r="I8" s="40"/>
      <c r="J8" s="40"/>
      <c r="K8" s="40"/>
      <c r="L8" s="40"/>
      <c r="M8" s="40"/>
      <c r="N8" s="40"/>
    </row>
    <row r="9" spans="1:21">
      <c r="A9" s="39" t="s">
        <v>32</v>
      </c>
      <c r="D9" s="40"/>
      <c r="E9" s="40"/>
      <c r="F9" s="40"/>
      <c r="G9" s="40"/>
      <c r="H9" s="40"/>
      <c r="I9" s="40"/>
      <c r="J9" s="40"/>
      <c r="K9" s="40"/>
      <c r="L9" s="40"/>
      <c r="M9" s="40"/>
      <c r="N9" s="40"/>
    </row>
    <row r="10" spans="1:21" s="41" customFormat="1" ht="10">
      <c r="B10" s="30" t="s">
        <v>81</v>
      </c>
      <c r="C10" s="30"/>
      <c r="D10" s="41">
        <v>0</v>
      </c>
      <c r="E10" s="41">
        <f t="shared" ref="E10:M10" si="0">D14</f>
        <v>1000</v>
      </c>
      <c r="F10" s="41">
        <f t="shared" si="0"/>
        <v>3000</v>
      </c>
      <c r="G10" s="41">
        <f t="shared" si="0"/>
        <v>5500</v>
      </c>
      <c r="H10" s="41">
        <f t="shared" si="0"/>
        <v>9625</v>
      </c>
      <c r="I10" s="41">
        <f t="shared" si="0"/>
        <v>13781.25</v>
      </c>
      <c r="J10" s="41">
        <f t="shared" si="0"/>
        <v>17226.5625</v>
      </c>
      <c r="K10" s="41">
        <f t="shared" si="0"/>
        <v>20097.65625</v>
      </c>
      <c r="L10" s="41">
        <f t="shared" si="0"/>
        <v>22107.421875</v>
      </c>
      <c r="M10" s="41">
        <f t="shared" si="0"/>
        <v>24318.1640625</v>
      </c>
    </row>
    <row r="11" spans="1:21">
      <c r="B11" s="30" t="s">
        <v>33</v>
      </c>
      <c r="D11" s="41">
        <v>1000</v>
      </c>
      <c r="E11" s="41">
        <f t="shared" ref="E11:M11" si="1">D11*(1+E12)</f>
        <v>2000</v>
      </c>
      <c r="F11" s="41">
        <f t="shared" si="1"/>
        <v>3500</v>
      </c>
      <c r="G11" s="41">
        <f t="shared" si="1"/>
        <v>6125</v>
      </c>
      <c r="H11" s="41">
        <f t="shared" si="1"/>
        <v>7656.25</v>
      </c>
      <c r="I11" s="41">
        <f t="shared" si="1"/>
        <v>9570.3125</v>
      </c>
      <c r="J11" s="41">
        <f t="shared" si="1"/>
        <v>10527.34375</v>
      </c>
      <c r="K11" s="41">
        <f t="shared" si="1"/>
        <v>11580.078125000002</v>
      </c>
      <c r="L11" s="41">
        <f t="shared" si="1"/>
        <v>12738.085937500004</v>
      </c>
      <c r="M11" s="41">
        <f t="shared" si="1"/>
        <v>14011.894531250005</v>
      </c>
    </row>
    <row r="12" spans="1:21">
      <c r="B12" s="30" t="s">
        <v>34</v>
      </c>
      <c r="D12" s="42"/>
      <c r="E12" s="43">
        <v>1</v>
      </c>
      <c r="F12" s="43">
        <v>0.75</v>
      </c>
      <c r="G12" s="43">
        <v>0.75</v>
      </c>
      <c r="H12" s="43">
        <v>0.25</v>
      </c>
      <c r="I12" s="43">
        <v>0.25</v>
      </c>
      <c r="J12" s="43">
        <v>0.1</v>
      </c>
      <c r="K12" s="43">
        <v>0.1</v>
      </c>
      <c r="L12" s="43">
        <v>0.1</v>
      </c>
      <c r="M12" s="43">
        <v>0.1</v>
      </c>
    </row>
    <row r="13" spans="1:21" ht="13.5">
      <c r="B13" s="30" t="s">
        <v>35</v>
      </c>
      <c r="D13" s="44">
        <f t="shared" ref="D13:M13" si="2">-IF(ISERROR(VLOOKUP(D7,Maturity,2)),0,VLOOKUP(D7,Maturity,2))</f>
        <v>0</v>
      </c>
      <c r="E13" s="44">
        <f t="shared" si="2"/>
        <v>0</v>
      </c>
      <c r="F13" s="44">
        <f t="shared" si="2"/>
        <v>-1000</v>
      </c>
      <c r="G13" s="44">
        <f t="shared" si="2"/>
        <v>-2000</v>
      </c>
      <c r="H13" s="44">
        <f t="shared" si="2"/>
        <v>-3500</v>
      </c>
      <c r="I13" s="44">
        <f t="shared" si="2"/>
        <v>-6125</v>
      </c>
      <c r="J13" s="44">
        <f t="shared" si="2"/>
        <v>-7656.25</v>
      </c>
      <c r="K13" s="44">
        <f t="shared" si="2"/>
        <v>-9570.3125</v>
      </c>
      <c r="L13" s="44">
        <f t="shared" si="2"/>
        <v>-10527.34375</v>
      </c>
      <c r="M13" s="44">
        <f t="shared" si="2"/>
        <v>-11580.078125000002</v>
      </c>
    </row>
    <row r="14" spans="1:21" s="41" customFormat="1" ht="10">
      <c r="B14" s="45" t="s">
        <v>82</v>
      </c>
      <c r="C14" s="30"/>
      <c r="D14" s="41">
        <f>D10+D11</f>
        <v>1000</v>
      </c>
      <c r="E14" s="41">
        <f>E10+E11</f>
        <v>3000</v>
      </c>
      <c r="F14" s="41">
        <f t="shared" ref="F14:M14" si="3">F10+F11+F13</f>
        <v>5500</v>
      </c>
      <c r="G14" s="41">
        <f t="shared" si="3"/>
        <v>9625</v>
      </c>
      <c r="H14" s="41">
        <f t="shared" si="3"/>
        <v>13781.25</v>
      </c>
      <c r="I14" s="41">
        <f t="shared" si="3"/>
        <v>17226.5625</v>
      </c>
      <c r="J14" s="41">
        <f t="shared" si="3"/>
        <v>20097.65625</v>
      </c>
      <c r="K14" s="41">
        <f t="shared" si="3"/>
        <v>22107.421875</v>
      </c>
      <c r="L14" s="41">
        <f t="shared" si="3"/>
        <v>24318.1640625</v>
      </c>
      <c r="M14" s="41">
        <f t="shared" si="3"/>
        <v>26749.980468750007</v>
      </c>
    </row>
    <row r="15" spans="1:21" s="41" customFormat="1" ht="10">
      <c r="B15" s="45" t="s">
        <v>36</v>
      </c>
      <c r="C15" s="30"/>
      <c r="D15" s="41">
        <f t="shared" ref="D15:M15" si="4">(D10+D14)/2</f>
        <v>500</v>
      </c>
      <c r="E15" s="41">
        <f t="shared" si="4"/>
        <v>2000</v>
      </c>
      <c r="F15" s="41">
        <f t="shared" si="4"/>
        <v>4250</v>
      </c>
      <c r="G15" s="41">
        <f t="shared" si="4"/>
        <v>7562.5</v>
      </c>
      <c r="H15" s="41">
        <f t="shared" si="4"/>
        <v>11703.125</v>
      </c>
      <c r="I15" s="41">
        <f t="shared" si="4"/>
        <v>15503.90625</v>
      </c>
      <c r="J15" s="41">
        <f t="shared" si="4"/>
        <v>18662.109375</v>
      </c>
      <c r="K15" s="41">
        <f t="shared" si="4"/>
        <v>21102.5390625</v>
      </c>
      <c r="L15" s="41">
        <f t="shared" si="4"/>
        <v>23212.79296875</v>
      </c>
      <c r="M15" s="41">
        <f t="shared" si="4"/>
        <v>25534.072265625004</v>
      </c>
    </row>
    <row r="16" spans="1:21" s="41" customFormat="1" ht="10.5">
      <c r="B16" s="39"/>
      <c r="C16" s="30"/>
    </row>
    <row r="17" spans="1:13">
      <c r="D17" s="41"/>
      <c r="E17" s="41"/>
      <c r="F17" s="41"/>
      <c r="G17" s="41"/>
      <c r="H17" s="41"/>
      <c r="I17" s="41"/>
      <c r="J17" s="41"/>
      <c r="K17" s="41"/>
      <c r="L17" s="41"/>
      <c r="M17" s="41"/>
    </row>
    <row r="18" spans="1:13">
      <c r="A18" s="39" t="s">
        <v>37</v>
      </c>
      <c r="D18" s="41"/>
      <c r="E18" s="41"/>
      <c r="F18" s="41"/>
      <c r="G18" s="41"/>
      <c r="H18" s="41"/>
      <c r="I18" s="41"/>
      <c r="J18" s="41"/>
      <c r="K18" s="41"/>
      <c r="L18" s="41"/>
      <c r="M18" s="41"/>
    </row>
    <row r="19" spans="1:13">
      <c r="B19" s="30" t="s">
        <v>38</v>
      </c>
      <c r="D19" s="41">
        <v>0</v>
      </c>
      <c r="E19" s="41">
        <f t="shared" ref="E19:M19" si="5">D24</f>
        <v>100</v>
      </c>
      <c r="F19" s="41">
        <f t="shared" si="5"/>
        <v>200</v>
      </c>
      <c r="G19" s="41">
        <f t="shared" si="5"/>
        <v>350</v>
      </c>
      <c r="H19" s="41">
        <f t="shared" si="5"/>
        <v>612.5</v>
      </c>
      <c r="I19" s="41">
        <f t="shared" si="5"/>
        <v>765.625</v>
      </c>
      <c r="J19" s="41">
        <f t="shared" si="5"/>
        <v>957.03125</v>
      </c>
      <c r="K19" s="41">
        <f t="shared" si="5"/>
        <v>1052.734375</v>
      </c>
      <c r="L19" s="41">
        <f t="shared" si="5"/>
        <v>1158.0078125000002</v>
      </c>
      <c r="M19" s="41">
        <f t="shared" si="5"/>
        <v>1273.8085937500005</v>
      </c>
    </row>
    <row r="20" spans="1:13">
      <c r="B20" s="30" t="s">
        <v>39</v>
      </c>
      <c r="D20" s="41">
        <f>'Model Assumptions'!$C$29*-1*'Financial Model'!C23</f>
        <v>0</v>
      </c>
      <c r="E20" s="41">
        <f>'Model Assumptions'!$C$29*-1*'Financial Model'!D23</f>
        <v>0</v>
      </c>
      <c r="F20" s="41">
        <f>'Model Assumptions'!$C$29*-1*'Financial Model'!E23</f>
        <v>0</v>
      </c>
      <c r="G20" s="41">
        <f>'Model Assumptions'!$C$29*-1*'Financial Model'!F23</f>
        <v>50</v>
      </c>
      <c r="H20" s="41">
        <f>'Model Assumptions'!$C$29*-1*'Financial Model'!G23</f>
        <v>100</v>
      </c>
      <c r="I20" s="41">
        <f>'Model Assumptions'!$C$29*-1*'Financial Model'!H23</f>
        <v>175</v>
      </c>
      <c r="J20" s="41">
        <f>'Model Assumptions'!$C$29*-1*'Financial Model'!I23</f>
        <v>306.25</v>
      </c>
      <c r="K20" s="41">
        <f>'Model Assumptions'!$C$29*-1*'Financial Model'!J23</f>
        <v>382.8125</v>
      </c>
      <c r="L20" s="41">
        <f>'Model Assumptions'!$C$29*-1*'Financial Model'!K23</f>
        <v>478.515625</v>
      </c>
      <c r="M20" s="41">
        <f>'Model Assumptions'!$C$29*-1*'Financial Model'!L23</f>
        <v>526.3671875</v>
      </c>
    </row>
    <row r="21" spans="1:13">
      <c r="B21" s="30" t="s">
        <v>40</v>
      </c>
      <c r="D21" s="41">
        <f t="shared" ref="D21:M21" si="6">D24-C24-D23-D20</f>
        <v>100</v>
      </c>
      <c r="E21" s="41">
        <f t="shared" si="6"/>
        <v>100</v>
      </c>
      <c r="F21" s="41">
        <f t="shared" si="6"/>
        <v>250</v>
      </c>
      <c r="G21" s="41">
        <f t="shared" si="6"/>
        <v>412.5</v>
      </c>
      <c r="H21" s="41">
        <f t="shared" si="6"/>
        <v>403.125</v>
      </c>
      <c r="I21" s="41">
        <f t="shared" si="6"/>
        <v>628.90625</v>
      </c>
      <c r="J21" s="41">
        <f t="shared" si="6"/>
        <v>555.078125</v>
      </c>
      <c r="K21" s="41">
        <f t="shared" si="6"/>
        <v>679.49218750000023</v>
      </c>
      <c r="L21" s="41">
        <f t="shared" si="6"/>
        <v>690.01953125000023</v>
      </c>
      <c r="M21" s="41">
        <f t="shared" si="6"/>
        <v>759.02148437500023</v>
      </c>
    </row>
    <row r="22" spans="1:13">
      <c r="B22" s="30" t="s">
        <v>41</v>
      </c>
      <c r="D22" s="41"/>
      <c r="E22" s="41"/>
      <c r="F22" s="41"/>
      <c r="G22" s="41"/>
      <c r="H22" s="41"/>
      <c r="I22" s="41"/>
      <c r="J22" s="41"/>
      <c r="K22" s="41"/>
      <c r="L22" s="41"/>
      <c r="M22" s="41"/>
    </row>
    <row r="23" spans="1:13" ht="13.5">
      <c r="B23" s="30" t="s">
        <v>42</v>
      </c>
      <c r="D23" s="44">
        <f t="shared" ref="D23:M23" si="7">-1*IF(ISERROR(VLOOKUP(D7,Retention,3)),0,VLOOKUP(D7,Retention,3))</f>
        <v>0</v>
      </c>
      <c r="E23" s="44">
        <f t="shared" si="7"/>
        <v>0</v>
      </c>
      <c r="F23" s="44">
        <f t="shared" si="7"/>
        <v>-100</v>
      </c>
      <c r="G23" s="44">
        <f t="shared" si="7"/>
        <v>-200</v>
      </c>
      <c r="H23" s="44">
        <f t="shared" si="7"/>
        <v>-350</v>
      </c>
      <c r="I23" s="44">
        <f t="shared" si="7"/>
        <v>-612.5</v>
      </c>
      <c r="J23" s="44">
        <f t="shared" si="7"/>
        <v>-765.625</v>
      </c>
      <c r="K23" s="44">
        <f t="shared" si="7"/>
        <v>-957.03125</v>
      </c>
      <c r="L23" s="44">
        <f t="shared" si="7"/>
        <v>-1052.734375</v>
      </c>
      <c r="M23" s="44">
        <f t="shared" si="7"/>
        <v>-1158.0078125000002</v>
      </c>
    </row>
    <row r="24" spans="1:13">
      <c r="B24" s="45" t="s">
        <v>43</v>
      </c>
      <c r="D24" s="41">
        <f>D11/'Model Assumptions'!$C$5</f>
        <v>100</v>
      </c>
      <c r="E24" s="41">
        <f>E11/'Model Assumptions'!$C$5</f>
        <v>200</v>
      </c>
      <c r="F24" s="41">
        <f>F11/'Model Assumptions'!$C$5</f>
        <v>350</v>
      </c>
      <c r="G24" s="41">
        <f>G11/'Model Assumptions'!$C$5</f>
        <v>612.5</v>
      </c>
      <c r="H24" s="41">
        <f>H11/'Model Assumptions'!$C$5</f>
        <v>765.625</v>
      </c>
      <c r="I24" s="41">
        <f>I11/'Model Assumptions'!$C$5</f>
        <v>957.03125</v>
      </c>
      <c r="J24" s="41">
        <f>J11/'Model Assumptions'!$C$5</f>
        <v>1052.734375</v>
      </c>
      <c r="K24" s="41">
        <f>K11/'Model Assumptions'!$C$5</f>
        <v>1158.0078125000002</v>
      </c>
      <c r="L24" s="41">
        <f>L11/'Model Assumptions'!$C$5</f>
        <v>1273.8085937500005</v>
      </c>
      <c r="M24" s="41">
        <f>M11/'Model Assumptions'!$C$5</f>
        <v>1401.1894531250005</v>
      </c>
    </row>
    <row r="25" spans="1:13">
      <c r="D25" s="42"/>
      <c r="G25" s="41"/>
      <c r="H25" s="41"/>
      <c r="I25" s="41"/>
      <c r="J25" s="41"/>
      <c r="K25" s="41"/>
      <c r="L25" s="41"/>
      <c r="M25" s="41"/>
    </row>
    <row r="26" spans="1:13" s="41" customFormat="1" ht="10.5">
      <c r="A26" s="39" t="s">
        <v>44</v>
      </c>
      <c r="C26" s="30"/>
    </row>
    <row r="27" spans="1:13" s="41" customFormat="1" ht="10">
      <c r="B27" s="30" t="s">
        <v>45</v>
      </c>
      <c r="C27" s="30"/>
      <c r="D27" s="41">
        <v>1</v>
      </c>
      <c r="E27" s="41">
        <v>3</v>
      </c>
      <c r="F27" s="41">
        <v>4</v>
      </c>
      <c r="G27" s="41">
        <v>7</v>
      </c>
      <c r="H27" s="41">
        <v>10</v>
      </c>
      <c r="I27" s="41">
        <v>13</v>
      </c>
      <c r="J27" s="41">
        <v>15</v>
      </c>
      <c r="K27" s="41">
        <v>17</v>
      </c>
      <c r="L27" s="41">
        <v>20</v>
      </c>
      <c r="M27" s="41">
        <v>24</v>
      </c>
    </row>
    <row r="28" spans="1:13" s="41" customFormat="1" ht="10">
      <c r="B28" s="45" t="s">
        <v>46</v>
      </c>
      <c r="C28" s="30"/>
    </row>
    <row r="29" spans="1:13" s="41" customFormat="1" ht="10">
      <c r="B29" s="30" t="s">
        <v>47</v>
      </c>
      <c r="C29" s="30"/>
      <c r="D29" s="41">
        <f>'Model Assumptions'!$C$22</f>
        <v>1</v>
      </c>
      <c r="E29" s="41">
        <f>'Model Assumptions'!$C$22</f>
        <v>1</v>
      </c>
      <c r="F29" s="41">
        <f>'Model Assumptions'!$C$22</f>
        <v>1</v>
      </c>
      <c r="G29" s="41">
        <f>'Model Assumptions'!$C$22</f>
        <v>1</v>
      </c>
      <c r="H29" s="41">
        <f>'Model Assumptions'!$C$22</f>
        <v>1</v>
      </c>
      <c r="I29" s="41">
        <f>'Model Assumptions'!$C$22</f>
        <v>1</v>
      </c>
      <c r="J29" s="41">
        <f>'Model Assumptions'!$C$22</f>
        <v>1</v>
      </c>
      <c r="K29" s="41">
        <f>'Model Assumptions'!$C$22</f>
        <v>1</v>
      </c>
      <c r="L29" s="41">
        <f>'Model Assumptions'!$C$22</f>
        <v>1</v>
      </c>
      <c r="M29" s="41">
        <f>'Model Assumptions'!$C$22</f>
        <v>1</v>
      </c>
    </row>
    <row r="30" spans="1:13" s="41" customFormat="1" ht="10">
      <c r="B30" s="30" t="s">
        <v>48</v>
      </c>
      <c r="C30" s="30"/>
      <c r="D30" s="41">
        <f>'Model Assumptions'!$C$20*D27</f>
        <v>1</v>
      </c>
      <c r="E30" s="41">
        <f>'Model Assumptions'!$C$20*E27</f>
        <v>3</v>
      </c>
      <c r="F30" s="41">
        <f>'Model Assumptions'!$C$20*F27</f>
        <v>4</v>
      </c>
      <c r="G30" s="41">
        <f>'Model Assumptions'!$C$20*G27</f>
        <v>7</v>
      </c>
      <c r="H30" s="41">
        <f>'Model Assumptions'!$C$20*H27</f>
        <v>10</v>
      </c>
      <c r="I30" s="41">
        <f>'Model Assumptions'!$C$20*I27</f>
        <v>13</v>
      </c>
      <c r="J30" s="41">
        <f>'Model Assumptions'!$C$20*J27</f>
        <v>15</v>
      </c>
      <c r="K30" s="41">
        <f>'Model Assumptions'!$C$20*K27</f>
        <v>17</v>
      </c>
      <c r="L30" s="41">
        <f>'Model Assumptions'!$C$20*L27</f>
        <v>20</v>
      </c>
      <c r="M30" s="41">
        <f>'Model Assumptions'!$C$20*M27</f>
        <v>24</v>
      </c>
    </row>
    <row r="31" spans="1:13" s="41" customFormat="1" ht="10">
      <c r="B31" s="30" t="s">
        <v>49</v>
      </c>
      <c r="C31" s="30"/>
      <c r="D31" s="41">
        <v>4</v>
      </c>
      <c r="E31" s="41">
        <f>E27*'Model Assumptions'!$C$9</f>
        <v>18</v>
      </c>
      <c r="F31" s="41">
        <f>F27*'Model Assumptions'!$C$9</f>
        <v>24</v>
      </c>
      <c r="G31" s="41">
        <f>G27*'Model Assumptions'!$C$9</f>
        <v>42</v>
      </c>
      <c r="H31" s="41">
        <f>H27*'Model Assumptions'!$C$9</f>
        <v>60</v>
      </c>
      <c r="I31" s="41">
        <f>I27*'Model Assumptions'!$C$9</f>
        <v>78</v>
      </c>
      <c r="J31" s="41">
        <f>J27*'Model Assumptions'!$C$9</f>
        <v>90</v>
      </c>
      <c r="K31" s="41">
        <f>K27*'Model Assumptions'!$C$9</f>
        <v>102</v>
      </c>
      <c r="L31" s="41">
        <f>L27*'Model Assumptions'!$C$9</f>
        <v>120</v>
      </c>
      <c r="M31" s="41">
        <f>M27*'Model Assumptions'!$C$9</f>
        <v>144</v>
      </c>
    </row>
    <row r="32" spans="1:13" s="41" customFormat="1" ht="10">
      <c r="A32" s="46"/>
      <c r="B32" s="30" t="s">
        <v>50</v>
      </c>
      <c r="C32" s="45"/>
      <c r="D32" s="41">
        <f>ROUNDDOWN(D31*'Model Assumptions'!$C$24,0)</f>
        <v>0</v>
      </c>
      <c r="E32" s="41">
        <f>ROUNDDOWN(E31*'Model Assumptions'!$C$24,0)</f>
        <v>2</v>
      </c>
      <c r="F32" s="41">
        <f>ROUNDDOWN(F31*'Model Assumptions'!$C$24,0)</f>
        <v>3</v>
      </c>
      <c r="G32" s="41">
        <f>ROUNDDOWN(G31*'Model Assumptions'!$C$24,0)</f>
        <v>6</v>
      </c>
      <c r="H32" s="41">
        <f>ROUNDDOWN(H31*'Model Assumptions'!$C$24,0)</f>
        <v>9</v>
      </c>
      <c r="I32" s="41">
        <f>ROUNDDOWN(I31*'Model Assumptions'!$C$24,0)</f>
        <v>11</v>
      </c>
      <c r="J32" s="41">
        <f>ROUNDDOWN(J31*'Model Assumptions'!$C$24,0)</f>
        <v>13</v>
      </c>
      <c r="K32" s="41">
        <f>ROUNDDOWN(K31*'Model Assumptions'!$C$24,0)</f>
        <v>15</v>
      </c>
      <c r="L32" s="41">
        <f>ROUNDDOWN(L31*'Model Assumptions'!$C$24,0)</f>
        <v>18</v>
      </c>
      <c r="M32" s="41">
        <f>ROUNDDOWN(M31*'Model Assumptions'!$C$24,0)</f>
        <v>21</v>
      </c>
    </row>
    <row r="33" spans="1:14" s="41" customFormat="1" ht="10">
      <c r="B33" s="30" t="s">
        <v>51</v>
      </c>
      <c r="C33" s="30"/>
      <c r="D33" s="41">
        <f t="shared" ref="D33:M33" si="8">D31-C31+D32</f>
        <v>4</v>
      </c>
      <c r="E33" s="41">
        <f t="shared" si="8"/>
        <v>16</v>
      </c>
      <c r="F33" s="41">
        <f t="shared" si="8"/>
        <v>9</v>
      </c>
      <c r="G33" s="41">
        <f t="shared" si="8"/>
        <v>24</v>
      </c>
      <c r="H33" s="41">
        <f t="shared" si="8"/>
        <v>27</v>
      </c>
      <c r="I33" s="41">
        <f t="shared" si="8"/>
        <v>29</v>
      </c>
      <c r="J33" s="41">
        <f t="shared" si="8"/>
        <v>25</v>
      </c>
      <c r="K33" s="41">
        <f t="shared" si="8"/>
        <v>27</v>
      </c>
      <c r="L33" s="41">
        <f t="shared" si="8"/>
        <v>36</v>
      </c>
      <c r="M33" s="41">
        <f t="shared" si="8"/>
        <v>45</v>
      </c>
    </row>
    <row r="34" spans="1:14" s="41" customFormat="1" ht="10">
      <c r="B34" s="30" t="s">
        <v>52</v>
      </c>
      <c r="C34" s="30"/>
      <c r="D34" s="41">
        <f t="shared" ref="D34:M34" si="9">D31+D30+D29</f>
        <v>6</v>
      </c>
      <c r="E34" s="41">
        <f t="shared" si="9"/>
        <v>22</v>
      </c>
      <c r="F34" s="41">
        <f t="shared" si="9"/>
        <v>29</v>
      </c>
      <c r="G34" s="41">
        <f t="shared" si="9"/>
        <v>50</v>
      </c>
      <c r="H34" s="41">
        <f t="shared" si="9"/>
        <v>71</v>
      </c>
      <c r="I34" s="41">
        <f t="shared" si="9"/>
        <v>92</v>
      </c>
      <c r="J34" s="41">
        <f t="shared" si="9"/>
        <v>106</v>
      </c>
      <c r="K34" s="41">
        <f t="shared" si="9"/>
        <v>120</v>
      </c>
      <c r="L34" s="41">
        <f t="shared" si="9"/>
        <v>141</v>
      </c>
      <c r="M34" s="41">
        <f t="shared" si="9"/>
        <v>169</v>
      </c>
    </row>
    <row r="35" spans="1:14" s="41" customFormat="1" ht="11.5">
      <c r="B35" s="39"/>
      <c r="C35" s="30" t="s">
        <v>53</v>
      </c>
      <c r="D35" s="44">
        <f>D34/'Model Assumptions'!$C$25</f>
        <v>2</v>
      </c>
      <c r="E35" s="44">
        <f>E34/'Model Assumptions'!$C$25</f>
        <v>7.333333333333333</v>
      </c>
      <c r="F35" s="44">
        <f>F34/'Model Assumptions'!$C$25</f>
        <v>9.6666666666666661</v>
      </c>
      <c r="G35" s="44">
        <f>G34/'Model Assumptions'!$C$25</f>
        <v>16.666666666666668</v>
      </c>
      <c r="H35" s="44">
        <f>H34/'Model Assumptions'!$C$25</f>
        <v>23.666666666666668</v>
      </c>
      <c r="I35" s="44">
        <f>I34/'Model Assumptions'!$C$25</f>
        <v>30.666666666666668</v>
      </c>
      <c r="J35" s="44">
        <f>J34/'Model Assumptions'!$C$25</f>
        <v>35.333333333333336</v>
      </c>
      <c r="K35" s="44">
        <f>K34/'Model Assumptions'!$C$25</f>
        <v>40</v>
      </c>
      <c r="L35" s="44">
        <f>L34/'Model Assumptions'!$C$25</f>
        <v>47</v>
      </c>
      <c r="M35" s="44">
        <f>M34/'Model Assumptions'!$C$25</f>
        <v>56.333333333333336</v>
      </c>
    </row>
    <row r="36" spans="1:14" s="41" customFormat="1" ht="10">
      <c r="B36" s="45" t="s">
        <v>54</v>
      </c>
      <c r="C36" s="30"/>
      <c r="D36" s="41">
        <f t="shared" ref="D36:M36" si="10">D35+D31+D30+D29</f>
        <v>8</v>
      </c>
      <c r="E36" s="41">
        <f t="shared" si="10"/>
        <v>29.333333333333332</v>
      </c>
      <c r="F36" s="41">
        <f t="shared" si="10"/>
        <v>38.666666666666664</v>
      </c>
      <c r="G36" s="41">
        <f t="shared" si="10"/>
        <v>66.666666666666671</v>
      </c>
      <c r="H36" s="41">
        <f t="shared" si="10"/>
        <v>94.666666666666671</v>
      </c>
      <c r="I36" s="41">
        <f t="shared" si="10"/>
        <v>122.66666666666667</v>
      </c>
      <c r="J36" s="41">
        <f t="shared" si="10"/>
        <v>141.33333333333334</v>
      </c>
      <c r="K36" s="41">
        <f t="shared" si="10"/>
        <v>160</v>
      </c>
      <c r="L36" s="41">
        <f t="shared" si="10"/>
        <v>188</v>
      </c>
      <c r="M36" s="41">
        <f t="shared" si="10"/>
        <v>225.33333333333334</v>
      </c>
    </row>
    <row r="37" spans="1:14" s="41" customFormat="1" ht="10.5">
      <c r="B37" s="39"/>
      <c r="C37" s="30"/>
    </row>
    <row r="38" spans="1:14" s="41" customFormat="1" ht="10">
      <c r="B38" s="45" t="s">
        <v>55</v>
      </c>
      <c r="C38" s="30"/>
      <c r="D38" s="41">
        <f t="shared" ref="D38:M38" si="11">D21/D31</f>
        <v>25</v>
      </c>
      <c r="E38" s="41">
        <f t="shared" si="11"/>
        <v>5.5555555555555554</v>
      </c>
      <c r="F38" s="41">
        <f t="shared" si="11"/>
        <v>10.416666666666666</v>
      </c>
      <c r="G38" s="41">
        <f t="shared" si="11"/>
        <v>9.8214285714285712</v>
      </c>
      <c r="H38" s="41">
        <f t="shared" si="11"/>
        <v>6.71875</v>
      </c>
      <c r="I38" s="41">
        <f t="shared" si="11"/>
        <v>8.0629006410256405</v>
      </c>
      <c r="J38" s="41">
        <f t="shared" si="11"/>
        <v>6.1675347222222223</v>
      </c>
      <c r="K38" s="41">
        <f t="shared" si="11"/>
        <v>6.6616881127451002</v>
      </c>
      <c r="L38" s="41">
        <f t="shared" si="11"/>
        <v>5.7501627604166687</v>
      </c>
      <c r="M38" s="41">
        <f t="shared" si="11"/>
        <v>5.2709825303819464</v>
      </c>
    </row>
    <row r="39" spans="1:14" s="41" customFormat="1" ht="10">
      <c r="B39" s="30"/>
      <c r="C39" s="30"/>
    </row>
    <row r="40" spans="1:14" s="41" customFormat="1" ht="15">
      <c r="A40" s="32" t="s">
        <v>83</v>
      </c>
      <c r="B40" s="33"/>
      <c r="C40" s="33"/>
      <c r="D40" s="33"/>
      <c r="E40" s="33"/>
      <c r="F40" s="33"/>
      <c r="G40" s="33"/>
      <c r="H40" s="33"/>
      <c r="I40" s="33"/>
      <c r="J40" s="33"/>
      <c r="K40" s="33"/>
      <c r="L40" s="33"/>
      <c r="M40" s="33"/>
      <c r="N40" s="33"/>
    </row>
    <row r="41" spans="1:14" s="41" customFormat="1" ht="10.5">
      <c r="A41" s="36" t="s">
        <v>30</v>
      </c>
      <c r="B41" s="33"/>
      <c r="C41" s="33"/>
      <c r="D41" s="33"/>
      <c r="E41" s="33"/>
      <c r="F41" s="33"/>
      <c r="G41" s="33"/>
      <c r="H41" s="33"/>
      <c r="I41" s="33"/>
      <c r="J41" s="33"/>
      <c r="K41" s="33"/>
      <c r="L41" s="33"/>
      <c r="M41" s="33"/>
      <c r="N41" s="33"/>
    </row>
    <row r="42" spans="1:14" s="41" customFormat="1" ht="10.5">
      <c r="A42" s="36"/>
      <c r="B42" s="33"/>
      <c r="C42" s="33"/>
      <c r="D42" s="33"/>
      <c r="E42" s="33"/>
      <c r="F42" s="33"/>
      <c r="G42" s="33"/>
      <c r="H42" s="33"/>
      <c r="I42" s="33"/>
      <c r="J42" s="33"/>
      <c r="K42" s="33"/>
      <c r="L42" s="33"/>
      <c r="M42" s="33"/>
      <c r="N42" s="33"/>
    </row>
    <row r="43" spans="1:14" s="41" customFormat="1" ht="13.5">
      <c r="A43" s="36"/>
      <c r="B43" s="33"/>
      <c r="C43" s="33"/>
      <c r="D43" s="53">
        <v>2001</v>
      </c>
      <c r="E43" s="53">
        <v>2002</v>
      </c>
      <c r="F43" s="53">
        <v>2003</v>
      </c>
      <c r="G43" s="53">
        <v>2004</v>
      </c>
      <c r="H43" s="53">
        <v>2005</v>
      </c>
      <c r="I43" s="53">
        <v>2006</v>
      </c>
      <c r="J43" s="53">
        <v>2007</v>
      </c>
      <c r="K43" s="53">
        <v>2008</v>
      </c>
      <c r="L43" s="53">
        <v>2009</v>
      </c>
      <c r="M43" s="53">
        <v>2010</v>
      </c>
      <c r="N43" s="33"/>
    </row>
    <row r="44" spans="1:14" s="41" customFormat="1" ht="10.5">
      <c r="B44" s="39" t="s">
        <v>57</v>
      </c>
      <c r="C44" s="30"/>
    </row>
    <row r="45" spans="1:14" s="41" customFormat="1" ht="10">
      <c r="B45" s="30"/>
      <c r="C45" s="30" t="s">
        <v>56</v>
      </c>
      <c r="D45" s="41">
        <f>D21*'Model Assumptions'!$C$15*'Model Assumptions'!$C$16/1000</f>
        <v>10.5</v>
      </c>
      <c r="E45" s="41">
        <f>E21*'Model Assumptions'!$C$15*'Model Assumptions'!$C$16/1000</f>
        <v>10.5</v>
      </c>
      <c r="F45" s="41">
        <f>F21*'Model Assumptions'!$C$15*'Model Assumptions'!$C$16/1000</f>
        <v>26.25</v>
      </c>
      <c r="G45" s="41">
        <f>G21*'Model Assumptions'!$C$15*'Model Assumptions'!$C$16/1000</f>
        <v>43.3125</v>
      </c>
      <c r="H45" s="41">
        <f>H21*'Model Assumptions'!$C$15*'Model Assumptions'!$C$16/1000</f>
        <v>42.328125</v>
      </c>
      <c r="I45" s="41">
        <f>I21*'Model Assumptions'!$C$15*'Model Assumptions'!$C$16/1000</f>
        <v>66.03515625</v>
      </c>
      <c r="J45" s="41">
        <f>J21*'Model Assumptions'!$C$15*'Model Assumptions'!$C$16/1000</f>
        <v>58.283203125</v>
      </c>
      <c r="K45" s="41">
        <f>K21*'Model Assumptions'!$C$15*'Model Assumptions'!$C$16/1000</f>
        <v>71.346679687500028</v>
      </c>
      <c r="L45" s="41">
        <f>L21*'Model Assumptions'!$C$15*'Model Assumptions'!$C$16/1000</f>
        <v>72.452050781250023</v>
      </c>
      <c r="M45" s="41">
        <f>M21*'Model Assumptions'!$C$15*'Model Assumptions'!$C$16/1000</f>
        <v>79.697255859375034</v>
      </c>
    </row>
    <row r="46" spans="1:14" s="41" customFormat="1" ht="10">
      <c r="B46" s="30"/>
      <c r="C46" s="30" t="s">
        <v>84</v>
      </c>
      <c r="D46" s="41">
        <f ca="1">D82*'Model Assumptions'!$C$32</f>
        <v>2.3074781794653085</v>
      </c>
      <c r="E46" s="41">
        <f ca="1">((D82+E82)/2)*'Model Assumptions'!$C$32</f>
        <v>12.632184047972649</v>
      </c>
      <c r="F46" s="41">
        <f ca="1">((E82+F82)/2)*'Model Assumptions'!$C$32</f>
        <v>45.612639049311795</v>
      </c>
      <c r="G46" s="41">
        <f ca="1">((F82+G82)/2)*'Model Assumptions'!$C$32</f>
        <v>38.04088194795002</v>
      </c>
      <c r="H46" s="41">
        <f ca="1">((G82+H82)/2)*'Model Assumptions'!$C$32</f>
        <v>6.2382826206237274</v>
      </c>
      <c r="I46" s="41">
        <f ca="1">((H82+I82)/2)*'Model Assumptions'!$C$32</f>
        <v>25.932497030045887</v>
      </c>
      <c r="J46" s="41">
        <f ca="1">((I82+J82)/2)*'Model Assumptions'!$C$32</f>
        <v>180.50664880349407</v>
      </c>
      <c r="K46" s="41">
        <f ca="1">((J82+K82)/2)*'Model Assumptions'!$C$32</f>
        <v>586.96796608078671</v>
      </c>
      <c r="L46" s="41">
        <f ca="1">((K82+L82)/2)*'Model Assumptions'!$C$32</f>
        <v>1172.728994792297</v>
      </c>
      <c r="M46" s="41">
        <f ca="1">((L82+M82)/2)*'Model Assumptions'!$C$32</f>
        <v>1836.4270492100432</v>
      </c>
    </row>
    <row r="47" spans="1:14" s="41" customFormat="1" ht="11.5">
      <c r="B47" s="30"/>
      <c r="C47" s="30" t="s">
        <v>85</v>
      </c>
      <c r="D47" s="44">
        <f>((D10+D14)/2)*'Model Assumptions'!$C$6</f>
        <v>242.5</v>
      </c>
      <c r="E47" s="44">
        <f>((E10+E14)/2)*'Model Assumptions'!$C$6</f>
        <v>970</v>
      </c>
      <c r="F47" s="44">
        <f>((F10+F14)/2)*'Model Assumptions'!$C$6</f>
        <v>2061.25</v>
      </c>
      <c r="G47" s="44">
        <f>((G10+G14)/2)*'Model Assumptions'!$C$6</f>
        <v>3667.8125</v>
      </c>
      <c r="H47" s="44">
        <f>((H10+H14)/2)*'Model Assumptions'!$C$6</f>
        <v>5676.015625</v>
      </c>
      <c r="I47" s="44">
        <f>((I10+I14)/2)*'Model Assumptions'!$C$6</f>
        <v>7519.39453125</v>
      </c>
      <c r="J47" s="44">
        <f>((J10+J14)/2)*'Model Assumptions'!$C$6</f>
        <v>9051.123046875</v>
      </c>
      <c r="K47" s="44">
        <f>((K10+K14)/2)*'Model Assumptions'!$C$6</f>
        <v>10234.7314453125</v>
      </c>
      <c r="L47" s="44">
        <f>((L10+L14)/2)*'Model Assumptions'!$C$6</f>
        <v>11258.20458984375</v>
      </c>
      <c r="M47" s="44">
        <f>((M10+M14)/2)*'Model Assumptions'!$C$6</f>
        <v>12384.025048828127</v>
      </c>
    </row>
    <row r="48" spans="1:14" s="41" customFormat="1" ht="10">
      <c r="B48" s="30" t="s">
        <v>86</v>
      </c>
      <c r="C48" s="30"/>
      <c r="D48" s="41">
        <f t="shared" ref="D48:M48" ca="1" si="12">SUM(D45:D47)</f>
        <v>255.30747817946531</v>
      </c>
      <c r="E48" s="41">
        <f t="shared" ca="1" si="12"/>
        <v>993.1321840479726</v>
      </c>
      <c r="F48" s="41">
        <f t="shared" ca="1" si="12"/>
        <v>2133.1126390493118</v>
      </c>
      <c r="G48" s="41">
        <f t="shared" ca="1" si="12"/>
        <v>3749.1658819479499</v>
      </c>
      <c r="H48" s="41">
        <f t="shared" ca="1" si="12"/>
        <v>5724.582032620624</v>
      </c>
      <c r="I48" s="41">
        <f t="shared" ca="1" si="12"/>
        <v>7611.3621845300459</v>
      </c>
      <c r="J48" s="41">
        <f t="shared" ca="1" si="12"/>
        <v>9289.9128988034936</v>
      </c>
      <c r="K48" s="41">
        <f t="shared" ca="1" si="12"/>
        <v>10893.046091080787</v>
      </c>
      <c r="L48" s="41">
        <f t="shared" ca="1" si="12"/>
        <v>12503.385635417297</v>
      </c>
      <c r="M48" s="41">
        <f t="shared" ca="1" si="12"/>
        <v>14300.149353897545</v>
      </c>
    </row>
    <row r="49" spans="2:13" s="41" customFormat="1" ht="10">
      <c r="C49" s="30"/>
    </row>
    <row r="50" spans="2:13" s="41" customFormat="1" ht="10.5">
      <c r="B50" s="39" t="s">
        <v>87</v>
      </c>
      <c r="C50" s="30"/>
    </row>
    <row r="51" spans="2:13" s="41" customFormat="1" ht="10.5">
      <c r="B51" s="39"/>
      <c r="C51" s="30" t="s">
        <v>88</v>
      </c>
      <c r="D51" s="41">
        <f>((C110+D110)/2)*'Model Assumptions'!$C$17</f>
        <v>2</v>
      </c>
      <c r="E51" s="41">
        <f>((D110+E110)/2)*'Model Assumptions'!$C$17</f>
        <v>8</v>
      </c>
      <c r="F51" s="41">
        <f>((E110+F110)/2)*'Model Assumptions'!$C$17</f>
        <v>17</v>
      </c>
      <c r="G51" s="41">
        <f>((F110+G110)/2)*'Model Assumptions'!$C$17</f>
        <v>30.25</v>
      </c>
      <c r="H51" s="41">
        <f>((G110+H110)/2)*'Model Assumptions'!$C$17</f>
        <v>46.8125</v>
      </c>
      <c r="I51" s="41">
        <f>((H110+I110)/2)*'Model Assumptions'!$C$17</f>
        <v>62.015625</v>
      </c>
      <c r="J51" s="41">
        <f>((I110+J110)/2)*'Model Assumptions'!$C$17</f>
        <v>74.6484375</v>
      </c>
      <c r="K51" s="41">
        <f>((J110+K110)/2)*'Model Assumptions'!$C$17</f>
        <v>84.41015625</v>
      </c>
      <c r="L51" s="41">
        <f>((K110+L110)/2)*'Model Assumptions'!$C$17</f>
        <v>92.851171875000006</v>
      </c>
      <c r="M51" s="41">
        <f>((L110+M110)/2)*'Model Assumptions'!$C$17</f>
        <v>102.13628906250003</v>
      </c>
    </row>
    <row r="52" spans="2:13" s="41" customFormat="1" ht="11.5">
      <c r="B52" s="39"/>
      <c r="C52" s="30" t="s">
        <v>89</v>
      </c>
      <c r="D52" s="44">
        <f>((C111+D111)/2)*'Model Assumptions'!$C$34</f>
        <v>0</v>
      </c>
      <c r="E52" s="44">
        <f>((D111+E111)/2)*'Model Assumptions'!$C$34</f>
        <v>0</v>
      </c>
      <c r="F52" s="44">
        <f>((E111+F111)/2)*'Model Assumptions'!$C$34</f>
        <v>0</v>
      </c>
      <c r="G52" s="44">
        <f>((F111+G111)/2)*'Model Assumptions'!$C$34</f>
        <v>0</v>
      </c>
      <c r="H52" s="44">
        <f>((G111+H111)/2)*'Model Assumptions'!$C$34</f>
        <v>0</v>
      </c>
      <c r="I52" s="44">
        <f>((H111+I111)/2)*'Model Assumptions'!$C$34</f>
        <v>0</v>
      </c>
      <c r="J52" s="44">
        <f>((I111+J111)/2)*'Model Assumptions'!$C$34</f>
        <v>0</v>
      </c>
      <c r="K52" s="44">
        <f>((J111+K111)/2)*'Model Assumptions'!$C$34</f>
        <v>0</v>
      </c>
      <c r="L52" s="44">
        <f>((K111+L111)/2)*'Model Assumptions'!$C$34</f>
        <v>0</v>
      </c>
      <c r="M52" s="44">
        <f>((L111+M111)/2)*'Model Assumptions'!$C$34</f>
        <v>0</v>
      </c>
    </row>
    <row r="53" spans="2:13" s="41" customFormat="1" ht="10">
      <c r="B53" s="30" t="s">
        <v>90</v>
      </c>
      <c r="C53" s="30"/>
      <c r="D53" s="41">
        <f t="shared" ref="D53:M53" si="13">SUM(D51:D52)</f>
        <v>2</v>
      </c>
      <c r="E53" s="41">
        <f t="shared" si="13"/>
        <v>8</v>
      </c>
      <c r="F53" s="41">
        <f t="shared" si="13"/>
        <v>17</v>
      </c>
      <c r="G53" s="41">
        <f t="shared" si="13"/>
        <v>30.25</v>
      </c>
      <c r="H53" s="41">
        <f t="shared" si="13"/>
        <v>46.8125</v>
      </c>
      <c r="I53" s="41">
        <f t="shared" si="13"/>
        <v>62.015625</v>
      </c>
      <c r="J53" s="41">
        <f t="shared" si="13"/>
        <v>74.6484375</v>
      </c>
      <c r="K53" s="41">
        <f t="shared" si="13"/>
        <v>84.41015625</v>
      </c>
      <c r="L53" s="41">
        <f t="shared" si="13"/>
        <v>92.851171875000006</v>
      </c>
      <c r="M53" s="41">
        <f t="shared" si="13"/>
        <v>102.13628906250003</v>
      </c>
    </row>
    <row r="54" spans="2:13" s="41" customFormat="1" ht="10">
      <c r="B54" s="30"/>
      <c r="C54" s="30"/>
    </row>
    <row r="55" spans="2:13" s="41" customFormat="1" ht="10">
      <c r="B55" s="30" t="s">
        <v>91</v>
      </c>
      <c r="C55" s="30"/>
      <c r="D55" s="41">
        <f t="shared" ref="D55:M55" ca="1" si="14">D48-D53</f>
        <v>253.30747817946531</v>
      </c>
      <c r="E55" s="41">
        <f t="shared" ca="1" si="14"/>
        <v>985.1321840479726</v>
      </c>
      <c r="F55" s="41">
        <f t="shared" ca="1" si="14"/>
        <v>2116.1126390493118</v>
      </c>
      <c r="G55" s="41">
        <f t="shared" ca="1" si="14"/>
        <v>3718.9158819479499</v>
      </c>
      <c r="H55" s="41">
        <f t="shared" ca="1" si="14"/>
        <v>5677.769532620624</v>
      </c>
      <c r="I55" s="41">
        <f t="shared" ca="1" si="14"/>
        <v>7549.3465595300459</v>
      </c>
      <c r="J55" s="41">
        <f t="shared" ca="1" si="14"/>
        <v>9215.2644613034936</v>
      </c>
      <c r="K55" s="41">
        <f t="shared" ca="1" si="14"/>
        <v>10808.635934830787</v>
      </c>
      <c r="L55" s="41">
        <f t="shared" ca="1" si="14"/>
        <v>12410.534463542297</v>
      </c>
      <c r="M55" s="41">
        <f t="shared" ca="1" si="14"/>
        <v>14198.013064835044</v>
      </c>
    </row>
    <row r="56" spans="2:13" s="41" customFormat="1" ht="11.5">
      <c r="C56" s="30" t="s">
        <v>92</v>
      </c>
      <c r="D56" s="44">
        <f>-D84</f>
        <v>100</v>
      </c>
      <c r="E56" s="44">
        <f t="shared" ref="E56:M56" si="15">-(E84-D84)</f>
        <v>200</v>
      </c>
      <c r="F56" s="44">
        <f t="shared" si="15"/>
        <v>250</v>
      </c>
      <c r="G56" s="44">
        <f t="shared" si="15"/>
        <v>412.5</v>
      </c>
      <c r="H56" s="44">
        <f t="shared" si="15"/>
        <v>415.625</v>
      </c>
      <c r="I56" s="44">
        <f t="shared" si="15"/>
        <v>344.53125</v>
      </c>
      <c r="J56" s="44">
        <f t="shared" si="15"/>
        <v>287.109375</v>
      </c>
      <c r="K56" s="44">
        <f t="shared" si="15"/>
        <v>200.9765625</v>
      </c>
      <c r="L56" s="44">
        <f t="shared" si="15"/>
        <v>221.07421875</v>
      </c>
      <c r="M56" s="44">
        <f t="shared" si="15"/>
        <v>243.18164062500091</v>
      </c>
    </row>
    <row r="57" spans="2:13" s="41" customFormat="1" ht="10.5">
      <c r="B57" s="39" t="s">
        <v>93</v>
      </c>
      <c r="C57" s="30"/>
      <c r="D57" s="41">
        <f t="shared" ref="D57:M57" ca="1" si="16">D55-D56</f>
        <v>153.30747817946531</v>
      </c>
      <c r="E57" s="41">
        <f t="shared" ca="1" si="16"/>
        <v>785.1321840479726</v>
      </c>
      <c r="F57" s="41">
        <f t="shared" ca="1" si="16"/>
        <v>1866.1126390493118</v>
      </c>
      <c r="G57" s="41">
        <f t="shared" ca="1" si="16"/>
        <v>3306.4158819479499</v>
      </c>
      <c r="H57" s="41">
        <f t="shared" ca="1" si="16"/>
        <v>5262.144532620624</v>
      </c>
      <c r="I57" s="41">
        <f t="shared" ca="1" si="16"/>
        <v>7204.8153095300459</v>
      </c>
      <c r="J57" s="41">
        <f t="shared" ca="1" si="16"/>
        <v>8928.1550863034936</v>
      </c>
      <c r="K57" s="41">
        <f t="shared" ca="1" si="16"/>
        <v>10607.659372330787</v>
      </c>
      <c r="L57" s="41">
        <f t="shared" ca="1" si="16"/>
        <v>12189.460244792297</v>
      </c>
      <c r="M57" s="41">
        <f t="shared" ca="1" si="16"/>
        <v>13954.831424210042</v>
      </c>
    </row>
    <row r="58" spans="2:13" s="41" customFormat="1" ht="10">
      <c r="B58" s="45"/>
      <c r="C58" s="30"/>
    </row>
    <row r="59" spans="2:13" s="41" customFormat="1" ht="10.5">
      <c r="B59" s="39" t="s">
        <v>94</v>
      </c>
      <c r="C59" s="30"/>
    </row>
    <row r="60" spans="2:13" s="41" customFormat="1" ht="10">
      <c r="B60" s="30"/>
      <c r="C60" s="30" t="s">
        <v>95</v>
      </c>
      <c r="D60" s="41">
        <f>D27*'Model Assumptions'!$C$18</f>
        <v>50</v>
      </c>
      <c r="E60" s="41">
        <f>E27*'Model Assumptions'!$C$18</f>
        <v>150</v>
      </c>
      <c r="F60" s="41">
        <f>F27*'Model Assumptions'!$C$18</f>
        <v>200</v>
      </c>
      <c r="G60" s="41">
        <f>G27*'Model Assumptions'!$C$18</f>
        <v>350</v>
      </c>
      <c r="H60" s="41">
        <f>H27*'Model Assumptions'!$C$18</f>
        <v>500</v>
      </c>
      <c r="I60" s="41">
        <f>I27*'Model Assumptions'!$C$18</f>
        <v>650</v>
      </c>
      <c r="J60" s="41">
        <f>J27*'Model Assumptions'!$C$18</f>
        <v>750</v>
      </c>
      <c r="K60" s="41">
        <f>K27*'Model Assumptions'!$C$18</f>
        <v>850</v>
      </c>
      <c r="L60" s="41">
        <f>L27*'Model Assumptions'!$C$18</f>
        <v>1000</v>
      </c>
      <c r="M60" s="41">
        <f>M27*'Model Assumptions'!$C$18</f>
        <v>1200</v>
      </c>
    </row>
    <row r="61" spans="2:13" s="41" customFormat="1" ht="10">
      <c r="B61" s="30"/>
      <c r="C61" s="30" t="s">
        <v>58</v>
      </c>
      <c r="D61" s="41">
        <f>D31*'Model Assumptions'!$C$10+'Financial Model'!D35*'Model Assumptions'!$C$26+'Financial Model'!D30*'Model Assumptions'!$C$21+D29*'Model Assumptions'!$C$23</f>
        <v>160</v>
      </c>
      <c r="E61" s="41">
        <f>E31*'Model Assumptions'!$C$10+'Financial Model'!E35*'Model Assumptions'!$C$26+'Financial Model'!E30*'Model Assumptions'!$C$21+E29*'Model Assumptions'!$C$23</f>
        <v>460</v>
      </c>
      <c r="F61" s="41">
        <f>F31*'Model Assumptions'!$C$10+'Financial Model'!F35*'Model Assumptions'!$C$26+'Financial Model'!F30*'Model Assumptions'!$C$21+F29*'Model Assumptions'!$C$23</f>
        <v>592.5</v>
      </c>
      <c r="G61" s="41">
        <f>G31*'Model Assumptions'!$C$10+'Financial Model'!G35*'Model Assumptions'!$C$26+'Financial Model'!G30*'Model Assumptions'!$C$21+G29*'Model Assumptions'!$C$23</f>
        <v>990</v>
      </c>
      <c r="H61" s="41">
        <f>H31*'Model Assumptions'!$C$10+'Financial Model'!H35*'Model Assumptions'!$C$26+'Financial Model'!H30*'Model Assumptions'!$C$21+H29*'Model Assumptions'!$C$23</f>
        <v>1387.5</v>
      </c>
      <c r="I61" s="41">
        <f>I31*'Model Assumptions'!$C$10+'Financial Model'!I35*'Model Assumptions'!$C$26+'Financial Model'!I30*'Model Assumptions'!$C$21+I29*'Model Assumptions'!$C$23</f>
        <v>1785</v>
      </c>
      <c r="J61" s="41">
        <f>J31*'Model Assumptions'!$C$10+'Financial Model'!J35*'Model Assumptions'!$C$26+'Financial Model'!J30*'Model Assumptions'!$C$21+J29*'Model Assumptions'!$C$23</f>
        <v>2050</v>
      </c>
      <c r="K61" s="41">
        <f>K31*'Model Assumptions'!$C$10+'Financial Model'!K35*'Model Assumptions'!$C$26+'Financial Model'!K30*'Model Assumptions'!$C$21+K29*'Model Assumptions'!$C$23</f>
        <v>2315</v>
      </c>
      <c r="L61" s="41">
        <f>L31*'Model Assumptions'!$C$10+'Financial Model'!L35*'Model Assumptions'!$C$26+'Financial Model'!L30*'Model Assumptions'!$C$21+L29*'Model Assumptions'!$C$23</f>
        <v>2712.5</v>
      </c>
      <c r="M61" s="41">
        <f>M31*'Model Assumptions'!$C$10+'Financial Model'!M35*'Model Assumptions'!$C$26+'Financial Model'!M30*'Model Assumptions'!$C$21+M29*'Model Assumptions'!$C$23</f>
        <v>3242.5</v>
      </c>
    </row>
    <row r="62" spans="2:13" s="41" customFormat="1" ht="10">
      <c r="B62" s="30"/>
      <c r="C62" s="30" t="s">
        <v>59</v>
      </c>
      <c r="D62" s="41">
        <f t="shared" ref="D62:M62" si="17">-D88+C88</f>
        <v>5.7</v>
      </c>
      <c r="E62" s="41">
        <f t="shared" si="17"/>
        <v>21.6</v>
      </c>
      <c r="F62" s="41">
        <f t="shared" si="17"/>
        <v>35.700000000000003</v>
      </c>
      <c r="G62" s="41">
        <f t="shared" si="17"/>
        <v>57.3</v>
      </c>
      <c r="H62" s="41">
        <f t="shared" si="17"/>
        <v>86.7</v>
      </c>
      <c r="I62" s="41">
        <f t="shared" si="17"/>
        <v>116.10000000000002</v>
      </c>
      <c r="J62" s="41">
        <f t="shared" si="17"/>
        <v>125.5</v>
      </c>
      <c r="K62" s="41">
        <f t="shared" si="17"/>
        <v>123.89999999999998</v>
      </c>
      <c r="L62" s="41">
        <f t="shared" si="17"/>
        <v>27.700000000000045</v>
      </c>
      <c r="M62" s="41">
        <f t="shared" si="17"/>
        <v>28.700000000000045</v>
      </c>
    </row>
    <row r="63" spans="2:13" s="41" customFormat="1" ht="10">
      <c r="B63" s="30"/>
      <c r="C63" s="30" t="s">
        <v>96</v>
      </c>
      <c r="D63" s="41">
        <f>E11*'Model Assumptions'!$C$27</f>
        <v>30</v>
      </c>
      <c r="E63" s="41">
        <f>F11*'Model Assumptions'!$C$27</f>
        <v>52.5</v>
      </c>
      <c r="F63" s="41">
        <f>G11*'Model Assumptions'!$C$27</f>
        <v>91.875</v>
      </c>
      <c r="G63" s="41">
        <f>H11*'Model Assumptions'!$C$27</f>
        <v>114.84375</v>
      </c>
      <c r="H63" s="41">
        <f>I11*'Model Assumptions'!$C$27</f>
        <v>143.5546875</v>
      </c>
      <c r="I63" s="41">
        <f>J11*'Model Assumptions'!$C$27</f>
        <v>157.91015625</v>
      </c>
      <c r="J63" s="41">
        <f>K11*'Model Assumptions'!$C$27</f>
        <v>173.70117187500003</v>
      </c>
      <c r="K63" s="41">
        <f>L11*'Model Assumptions'!$C$27</f>
        <v>191.07128906250006</v>
      </c>
      <c r="L63" s="41">
        <f>M11*'Model Assumptions'!$C$27</f>
        <v>210.17841796875007</v>
      </c>
      <c r="M63" s="41">
        <f>M11*'Model Assumptions'!$C$27</f>
        <v>210.17841796875007</v>
      </c>
    </row>
    <row r="64" spans="2:13" s="41" customFormat="1" ht="10">
      <c r="B64" s="30"/>
      <c r="C64" s="30" t="s">
        <v>60</v>
      </c>
      <c r="D64" s="41">
        <f>'Model Assumptions'!$C$28+'Model Assumptions'!$C$19*'Financial Model'!D31-'Financial Model'!C31</f>
        <v>45</v>
      </c>
      <c r="E64" s="41">
        <f>'Model Assumptions'!$C$28+'Model Assumptions'!$C$19*'Financial Model'!E31-'Financial Model'!D31</f>
        <v>111</v>
      </c>
      <c r="F64" s="41">
        <f>'Model Assumptions'!$C$28+'Model Assumptions'!$C$19*'Financial Model'!F31-'Financial Model'!E31</f>
        <v>127</v>
      </c>
      <c r="G64" s="41">
        <f>'Model Assumptions'!$C$28+'Model Assumptions'!$C$19*'Financial Model'!G31-'Financial Model'!F31</f>
        <v>211</v>
      </c>
      <c r="H64" s="41">
        <f>'Model Assumptions'!$C$28+'Model Assumptions'!$C$19*'Financial Model'!H31-'Financial Model'!G31</f>
        <v>283</v>
      </c>
      <c r="I64" s="41">
        <f>'Model Assumptions'!$C$28+'Model Assumptions'!$C$19*'Financial Model'!I31-'Financial Model'!H31</f>
        <v>355</v>
      </c>
      <c r="J64" s="41">
        <f>'Model Assumptions'!$C$28+'Model Assumptions'!$C$19*'Financial Model'!J31-'Financial Model'!I31</f>
        <v>397</v>
      </c>
      <c r="K64" s="41">
        <f>'Model Assumptions'!$C$28+'Model Assumptions'!$C$19*'Financial Model'!K31-'Financial Model'!J31</f>
        <v>445</v>
      </c>
      <c r="L64" s="41">
        <f>'Model Assumptions'!$C$28+'Model Assumptions'!$C$19*'Financial Model'!L31-'Financial Model'!K31</f>
        <v>523</v>
      </c>
      <c r="M64" s="41">
        <f>'Model Assumptions'!$C$28+'Model Assumptions'!$C$19*'Financial Model'!M31-'Financial Model'!L31</f>
        <v>625</v>
      </c>
    </row>
    <row r="65" spans="1:256" s="41" customFormat="1" ht="11.5">
      <c r="B65" s="30"/>
      <c r="C65" s="30" t="s">
        <v>61</v>
      </c>
      <c r="D65" s="44">
        <f>D11*'Model Assumptions'!$C$30+'Model Assumptions'!C31</f>
        <v>105</v>
      </c>
      <c r="E65" s="44">
        <f>E11*'Model Assumptions'!$C$30</f>
        <v>10</v>
      </c>
      <c r="F65" s="44">
        <f>F11*'Model Assumptions'!$C$30</f>
        <v>17.5</v>
      </c>
      <c r="G65" s="44">
        <f>G11*'Model Assumptions'!$C$30</f>
        <v>30.625</v>
      </c>
      <c r="H65" s="44">
        <f>H11*'Model Assumptions'!$C$30</f>
        <v>38.28125</v>
      </c>
      <c r="I65" s="44">
        <f>I11*'Model Assumptions'!$C$30</f>
        <v>47.8515625</v>
      </c>
      <c r="J65" s="44">
        <f>J11*'Model Assumptions'!$C$30</f>
        <v>52.63671875</v>
      </c>
      <c r="K65" s="44">
        <f>K11*'Model Assumptions'!$C$30</f>
        <v>57.900390625000007</v>
      </c>
      <c r="L65" s="44">
        <f>L11*'Model Assumptions'!$C$30</f>
        <v>63.690429687500021</v>
      </c>
      <c r="M65" s="44">
        <f>M11*'Model Assumptions'!$C$30</f>
        <v>70.059472656250023</v>
      </c>
    </row>
    <row r="66" spans="1:256" s="41" customFormat="1" ht="10">
      <c r="B66" s="30" t="s">
        <v>97</v>
      </c>
      <c r="C66" s="30"/>
      <c r="D66" s="41">
        <f t="shared" ref="D66:M66" si="18">SUM(D60:D65)</f>
        <v>395.7</v>
      </c>
      <c r="E66" s="41">
        <f t="shared" si="18"/>
        <v>805.1</v>
      </c>
      <c r="F66" s="41">
        <f t="shared" si="18"/>
        <v>1064.575</v>
      </c>
      <c r="G66" s="41">
        <f t="shared" si="18"/>
        <v>1753.76875</v>
      </c>
      <c r="H66" s="41">
        <f t="shared" si="18"/>
        <v>2439.0359374999998</v>
      </c>
      <c r="I66" s="41">
        <f t="shared" si="18"/>
        <v>3111.8617187499999</v>
      </c>
      <c r="J66" s="41">
        <f t="shared" si="18"/>
        <v>3548.837890625</v>
      </c>
      <c r="K66" s="41">
        <f t="shared" si="18"/>
        <v>3982.8716796875001</v>
      </c>
      <c r="L66" s="41">
        <f t="shared" si="18"/>
        <v>4537.06884765625</v>
      </c>
      <c r="M66" s="41">
        <f t="shared" si="18"/>
        <v>5376.4378906250004</v>
      </c>
    </row>
    <row r="67" spans="1:256" s="41" customFormat="1" ht="10">
      <c r="B67" s="30"/>
      <c r="C67" s="30"/>
    </row>
    <row r="68" spans="1:256" s="41" customFormat="1" ht="11.5">
      <c r="B68" s="39" t="s">
        <v>98</v>
      </c>
      <c r="C68" s="30"/>
      <c r="D68" s="44">
        <f t="shared" ref="D68:M68" ca="1" si="19">D57-D66</f>
        <v>-242.39252182053468</v>
      </c>
      <c r="E68" s="44">
        <f t="shared" ca="1" si="19"/>
        <v>-19.967815952027422</v>
      </c>
      <c r="F68" s="44">
        <f t="shared" ca="1" si="19"/>
        <v>801.53763904931179</v>
      </c>
      <c r="G68" s="44">
        <f t="shared" ca="1" si="19"/>
        <v>1552.6471319479499</v>
      </c>
      <c r="H68" s="44">
        <f t="shared" ca="1" si="19"/>
        <v>2823.1085951206242</v>
      </c>
      <c r="I68" s="44">
        <f t="shared" ca="1" si="19"/>
        <v>4092.9535907800459</v>
      </c>
      <c r="J68" s="44">
        <f t="shared" ca="1" si="19"/>
        <v>5379.3171956784936</v>
      </c>
      <c r="K68" s="44">
        <f t="shared" ca="1" si="19"/>
        <v>6624.7876926432873</v>
      </c>
      <c r="L68" s="44">
        <f t="shared" ca="1" si="19"/>
        <v>7652.3913971360471</v>
      </c>
      <c r="M68" s="44">
        <f t="shared" ca="1" si="19"/>
        <v>8578.393533585042</v>
      </c>
    </row>
    <row r="69" spans="1:256" s="41" customFormat="1" ht="10">
      <c r="B69" s="45"/>
      <c r="C69" s="30"/>
    </row>
    <row r="70" spans="1:256" s="41" customFormat="1" ht="10">
      <c r="B70" s="30" t="s">
        <v>99</v>
      </c>
      <c r="C70" s="30"/>
      <c r="D70" s="41">
        <f ca="1">IF(D$68*'Model Assumptions'!$C$12+C71&lt;0,0,D68*'Model Assumptions'!$C$12+C71)</f>
        <v>0</v>
      </c>
      <c r="E70" s="41">
        <f ca="1">IF(E$68*'Model Assumptions'!$C$12+D71&lt;0,0,E68*'Model Assumptions'!$C$12+D71)</f>
        <v>0</v>
      </c>
      <c r="F70" s="41">
        <f ca="1">IF(F$68*'Model Assumptions'!$C$12+E71&lt;0,0,F68*'Model Assumptions'!$C$12+E71)</f>
        <v>80.87659519151245</v>
      </c>
      <c r="G70" s="41">
        <f ca="1">IF(G$68*'Model Assumptions'!$C$12+F71&lt;0,0,G68*'Model Assumptions'!$C$12+F71)</f>
        <v>232.89706979219247</v>
      </c>
      <c r="H70" s="41">
        <f ca="1">IF(H$68*'Model Assumptions'!$C$12+G71&lt;0,0,H68*'Model Assumptions'!$C$12+G71)</f>
        <v>423.46628926809359</v>
      </c>
      <c r="I70" s="41">
        <f ca="1">IF(I$68*'Model Assumptions'!$C$12+H71&lt;0,0,I68*'Model Assumptions'!$C$12+H71)</f>
        <v>613.94303861700689</v>
      </c>
      <c r="J70" s="41">
        <f ca="1">IF(J$68*'Model Assumptions'!$C$12+I71&lt;0,0,J68*'Model Assumptions'!$C$12+I71)</f>
        <v>806.89757935177397</v>
      </c>
      <c r="K70" s="41">
        <f ca="1">IF(K$68*'Model Assumptions'!$C$12+J71&lt;0,0,K68*'Model Assumptions'!$C$12+J71)</f>
        <v>993.71815389649305</v>
      </c>
      <c r="L70" s="41">
        <f ca="1">IF(L$68*'Model Assumptions'!$C$12+K71&lt;0,0,L68*'Model Assumptions'!$C$12+K71)</f>
        <v>1147.858709570407</v>
      </c>
      <c r="M70" s="41">
        <f ca="1">IF(M$68*'Model Assumptions'!$C$12+L71&lt;0,0,M68*'Model Assumptions'!$C$12+L71)</f>
        <v>1286.7590300377562</v>
      </c>
    </row>
    <row r="71" spans="1:256" s="41" customFormat="1" ht="10" hidden="1">
      <c r="B71" s="30" t="s">
        <v>62</v>
      </c>
      <c r="C71" s="30"/>
      <c r="D71" s="41">
        <f ca="1">IF(D$68*'Model Assumptions'!$C$12+C71&gt;0,0,D68*'Model Assumptions'!$C$12+C71)</f>
        <v>-36.358878273080201</v>
      </c>
      <c r="E71" s="41">
        <f ca="1">IF(E$68*'Model Assumptions'!$C$12+D71&gt;0,0,E68*'Model Assumptions'!$C$12+D71)</f>
        <v>-39.354050665884316</v>
      </c>
      <c r="F71" s="41">
        <f ca="1">IF(F$68*'Model Assumptions'!$C$12+E71&gt;0,0,F68*'Model Assumptions'!$C$12+E71)</f>
        <v>0</v>
      </c>
      <c r="G71" s="41">
        <f ca="1">IF(G$68*'Model Assumptions'!$C$12+F71&gt;0,0,G68*'Model Assumptions'!$C$12+F71)</f>
        <v>0</v>
      </c>
      <c r="H71" s="41">
        <f ca="1">IF(H$68*'Model Assumptions'!$C$12+G71&gt;0,0,H68*'Model Assumptions'!$C$12+G71)</f>
        <v>0</v>
      </c>
      <c r="I71" s="41">
        <f ca="1">IF(I$68*'Model Assumptions'!$C$12+H71&gt;0,0,I68*'Model Assumptions'!$C$12+H71)</f>
        <v>0</v>
      </c>
      <c r="J71" s="41">
        <f ca="1">IF(J$68*'Model Assumptions'!$C$12+I71&gt;0,0,J68*'Model Assumptions'!$C$12+I71)</f>
        <v>0</v>
      </c>
      <c r="K71" s="41">
        <f ca="1">IF(K$68*'Model Assumptions'!$C$12+J71&gt;0,0,K68*'Model Assumptions'!$C$12+J71)</f>
        <v>0</v>
      </c>
      <c r="L71" s="41">
        <f ca="1">IF(L$68*'Model Assumptions'!$C$12+K71&gt;0,0,L68*'Model Assumptions'!$C$12+K71)</f>
        <v>0</v>
      </c>
      <c r="M71" s="41">
        <f ca="1">IF(M$68*'Model Assumptions'!$C$12+L71&gt;0,0,M68*'Model Assumptions'!$C$12+L71)</f>
        <v>0</v>
      </c>
    </row>
    <row r="72" spans="1:256" s="41" customFormat="1" ht="10">
      <c r="B72" s="30"/>
      <c r="C72" s="30"/>
    </row>
    <row r="73" spans="1:256" s="41" customFormat="1" ht="11.5">
      <c r="B73" s="39" t="s">
        <v>63</v>
      </c>
      <c r="C73" s="30"/>
      <c r="D73" s="47">
        <f t="shared" ref="D73:M73" ca="1" si="20">D68+D70</f>
        <v>-242.39252182053468</v>
      </c>
      <c r="E73" s="47">
        <f t="shared" ca="1" si="20"/>
        <v>-19.967815952027422</v>
      </c>
      <c r="F73" s="47">
        <f t="shared" ca="1" si="20"/>
        <v>882.41423424082427</v>
      </c>
      <c r="G73" s="47">
        <f t="shared" ca="1" si="20"/>
        <v>1785.5442017401424</v>
      </c>
      <c r="H73" s="47">
        <f t="shared" ca="1" si="20"/>
        <v>3246.5748843887177</v>
      </c>
      <c r="I73" s="47">
        <f t="shared" ca="1" si="20"/>
        <v>4706.8966293970525</v>
      </c>
      <c r="J73" s="47">
        <f t="shared" ca="1" si="20"/>
        <v>6186.2147750302674</v>
      </c>
      <c r="K73" s="47">
        <f t="shared" ca="1" si="20"/>
        <v>7618.5058465397806</v>
      </c>
      <c r="L73" s="47">
        <f t="shared" ca="1" si="20"/>
        <v>8800.250106706455</v>
      </c>
      <c r="M73" s="47">
        <f t="shared" ca="1" si="20"/>
        <v>9865.152563622798</v>
      </c>
      <c r="N73" s="47"/>
    </row>
    <row r="74" spans="1:256" s="41" customFormat="1" ht="10.5">
      <c r="B74" s="39"/>
      <c r="C74" s="30"/>
      <c r="D74" s="40"/>
      <c r="E74" s="40"/>
      <c r="F74" s="40"/>
      <c r="G74" s="40"/>
      <c r="H74" s="40"/>
      <c r="I74" s="40"/>
      <c r="J74" s="40"/>
      <c r="K74" s="40"/>
      <c r="L74" s="40"/>
      <c r="M74" s="40"/>
      <c r="N74" s="40"/>
    </row>
    <row r="75" spans="1:256">
      <c r="B75" s="41"/>
      <c r="D75" s="40"/>
      <c r="E75" s="40"/>
      <c r="F75" s="40"/>
      <c r="G75" s="40"/>
      <c r="H75" s="40"/>
      <c r="I75" s="40"/>
      <c r="J75" s="40"/>
      <c r="K75" s="40"/>
      <c r="L75" s="40"/>
      <c r="M75" s="40"/>
      <c r="N75" s="41"/>
      <c r="O75" s="41"/>
      <c r="P75" s="41"/>
      <c r="Q75" s="41"/>
      <c r="R75" s="41"/>
      <c r="S75" s="41"/>
      <c r="T75" s="41"/>
      <c r="U75" s="41"/>
      <c r="V75" s="41"/>
      <c r="W75" s="41"/>
      <c r="X75" s="41"/>
      <c r="Y75" s="41"/>
      <c r="Z75" s="41"/>
      <c r="AA75" s="41"/>
      <c r="AB75" s="41"/>
      <c r="AC75" s="41"/>
      <c r="AD75" s="41"/>
      <c r="AE75" s="41"/>
      <c r="AF75" s="41"/>
      <c r="AG75" s="41"/>
      <c r="AH75" s="41"/>
      <c r="AI75" s="41"/>
      <c r="AJ75" s="41"/>
      <c r="AK75" s="41"/>
      <c r="AL75" s="41"/>
      <c r="AM75" s="41"/>
      <c r="AN75" s="41"/>
      <c r="AO75" s="41"/>
      <c r="AP75" s="41"/>
      <c r="AQ75" s="41"/>
      <c r="AR75" s="41"/>
      <c r="AS75" s="41"/>
      <c r="AT75" s="41"/>
      <c r="AU75" s="41"/>
      <c r="AV75" s="41"/>
      <c r="AW75" s="41"/>
      <c r="AX75" s="41"/>
      <c r="AY75" s="41"/>
      <c r="AZ75" s="41"/>
      <c r="BA75" s="41"/>
      <c r="BB75" s="41"/>
      <c r="BC75" s="41"/>
      <c r="BD75" s="41"/>
      <c r="BE75" s="41"/>
      <c r="BF75" s="41"/>
      <c r="BG75" s="41"/>
      <c r="BH75" s="41"/>
      <c r="BI75" s="41"/>
      <c r="BJ75" s="41"/>
      <c r="BK75" s="41"/>
      <c r="BL75" s="41"/>
      <c r="BM75" s="41"/>
      <c r="BN75" s="41"/>
      <c r="BO75" s="41"/>
      <c r="BP75" s="41"/>
      <c r="BQ75" s="41"/>
      <c r="BR75" s="41"/>
      <c r="BS75" s="41"/>
      <c r="BT75" s="41"/>
      <c r="BU75" s="41"/>
      <c r="BV75" s="41"/>
      <c r="BW75" s="41"/>
      <c r="BX75" s="41"/>
      <c r="BY75" s="41"/>
      <c r="BZ75" s="41"/>
      <c r="CA75" s="41"/>
      <c r="CB75" s="41"/>
      <c r="CC75" s="41"/>
      <c r="CD75" s="41"/>
      <c r="CE75" s="41"/>
      <c r="CF75" s="41"/>
      <c r="CG75" s="41"/>
      <c r="CH75" s="41"/>
      <c r="CI75" s="41"/>
      <c r="CJ75" s="41"/>
      <c r="CK75" s="41"/>
      <c r="CL75" s="41"/>
      <c r="CM75" s="41"/>
      <c r="CN75" s="41"/>
      <c r="CO75" s="41"/>
      <c r="CP75" s="41"/>
      <c r="CQ75" s="41"/>
      <c r="CR75" s="41"/>
      <c r="CS75" s="41"/>
      <c r="CT75" s="41"/>
      <c r="CU75" s="41"/>
      <c r="CV75" s="41"/>
      <c r="CW75" s="41"/>
      <c r="CX75" s="41"/>
      <c r="CY75" s="41"/>
      <c r="CZ75" s="41"/>
      <c r="DA75" s="41"/>
      <c r="DB75" s="41"/>
      <c r="DC75" s="41"/>
      <c r="DD75" s="41"/>
      <c r="DE75" s="41"/>
      <c r="DF75" s="41"/>
      <c r="DG75" s="41"/>
      <c r="DH75" s="41"/>
      <c r="DI75" s="41"/>
      <c r="DJ75" s="41"/>
      <c r="DK75" s="41"/>
      <c r="DL75" s="41"/>
      <c r="DM75" s="41"/>
      <c r="DN75" s="41"/>
      <c r="DO75" s="41"/>
      <c r="DP75" s="41"/>
      <c r="DQ75" s="41"/>
      <c r="DR75" s="41"/>
      <c r="DS75" s="41"/>
      <c r="DT75" s="41"/>
      <c r="DU75" s="41"/>
      <c r="DV75" s="41"/>
      <c r="DW75" s="41"/>
      <c r="DX75" s="41"/>
      <c r="DY75" s="41"/>
      <c r="DZ75" s="41"/>
      <c r="EA75" s="41"/>
      <c r="EB75" s="41"/>
      <c r="EC75" s="41"/>
      <c r="ED75" s="41"/>
      <c r="EE75" s="41"/>
      <c r="EF75" s="41"/>
      <c r="EG75" s="41"/>
      <c r="EH75" s="41"/>
      <c r="EI75" s="41"/>
      <c r="EJ75" s="41"/>
      <c r="EK75" s="41"/>
      <c r="EL75" s="41"/>
      <c r="EM75" s="41"/>
      <c r="EN75" s="41"/>
      <c r="EO75" s="41"/>
      <c r="EP75" s="41"/>
      <c r="EQ75" s="41"/>
      <c r="ER75" s="41"/>
      <c r="ES75" s="41"/>
      <c r="ET75" s="41"/>
      <c r="EU75" s="41"/>
      <c r="EV75" s="41"/>
      <c r="EW75" s="41"/>
      <c r="EX75" s="41"/>
      <c r="EY75" s="41"/>
      <c r="EZ75" s="41"/>
      <c r="FA75" s="41"/>
      <c r="FB75" s="41"/>
      <c r="FC75" s="41"/>
      <c r="FD75" s="41"/>
      <c r="FE75" s="41"/>
      <c r="FF75" s="41"/>
      <c r="FG75" s="41"/>
      <c r="FH75" s="41"/>
      <c r="FI75" s="41"/>
      <c r="FJ75" s="41"/>
      <c r="FK75" s="41"/>
      <c r="FL75" s="41"/>
      <c r="FM75" s="41"/>
      <c r="FN75" s="41"/>
      <c r="FO75" s="41"/>
      <c r="FP75" s="41"/>
      <c r="FQ75" s="41"/>
      <c r="FR75" s="41"/>
      <c r="FS75" s="41"/>
      <c r="FT75" s="41"/>
      <c r="FU75" s="41"/>
      <c r="FV75" s="41"/>
      <c r="FW75" s="41"/>
      <c r="FX75" s="41"/>
      <c r="FY75" s="41"/>
      <c r="FZ75" s="41"/>
      <c r="GA75" s="41"/>
      <c r="GB75" s="41"/>
      <c r="GC75" s="41"/>
      <c r="GD75" s="41"/>
      <c r="GE75" s="41"/>
      <c r="GF75" s="41"/>
      <c r="GG75" s="41"/>
      <c r="GH75" s="41"/>
      <c r="GI75" s="41"/>
      <c r="GJ75" s="41"/>
      <c r="GK75" s="41"/>
      <c r="GL75" s="41"/>
      <c r="GM75" s="41"/>
      <c r="GN75" s="41"/>
      <c r="GO75" s="41"/>
      <c r="GP75" s="41"/>
      <c r="GQ75" s="41"/>
      <c r="GR75" s="41"/>
      <c r="GS75" s="41"/>
      <c r="GT75" s="41"/>
      <c r="GU75" s="41"/>
      <c r="GV75" s="41"/>
      <c r="GW75" s="41"/>
      <c r="GX75" s="41"/>
      <c r="GY75" s="41"/>
      <c r="GZ75" s="41"/>
      <c r="HA75" s="41"/>
      <c r="HB75" s="41"/>
      <c r="HC75" s="41"/>
      <c r="HD75" s="41"/>
      <c r="HE75" s="41"/>
      <c r="HF75" s="41"/>
      <c r="HG75" s="41"/>
      <c r="HH75" s="41"/>
      <c r="HI75" s="41"/>
      <c r="HJ75" s="41"/>
      <c r="HK75" s="41"/>
      <c r="HL75" s="41"/>
      <c r="HM75" s="41"/>
      <c r="HN75" s="41"/>
      <c r="HO75" s="41"/>
      <c r="HP75" s="41"/>
      <c r="HQ75" s="41"/>
      <c r="HR75" s="41"/>
      <c r="HS75" s="41"/>
      <c r="HT75" s="41"/>
      <c r="HU75" s="41"/>
      <c r="HV75" s="41"/>
      <c r="HW75" s="41"/>
      <c r="HX75" s="41"/>
      <c r="HY75" s="41"/>
      <c r="HZ75" s="41"/>
      <c r="IA75" s="41"/>
      <c r="IB75" s="41"/>
      <c r="IC75" s="41"/>
      <c r="ID75" s="41"/>
      <c r="IE75" s="41"/>
      <c r="IF75" s="41"/>
      <c r="IG75" s="41"/>
      <c r="IH75" s="41"/>
      <c r="II75" s="41"/>
      <c r="IJ75" s="41"/>
      <c r="IK75" s="41"/>
      <c r="IL75" s="41"/>
      <c r="IM75" s="41"/>
      <c r="IN75" s="41"/>
      <c r="IO75" s="41"/>
      <c r="IP75" s="41"/>
      <c r="IQ75" s="41"/>
      <c r="IR75" s="41"/>
      <c r="IS75" s="41"/>
      <c r="IT75" s="41"/>
      <c r="IU75" s="41"/>
      <c r="IV75" s="41"/>
    </row>
    <row r="76" spans="1:256" s="41" customFormat="1" ht="15">
      <c r="A76" s="32" t="s">
        <v>100</v>
      </c>
      <c r="B76" s="33"/>
      <c r="C76" s="33"/>
      <c r="D76" s="33"/>
      <c r="E76" s="33"/>
      <c r="F76" s="33"/>
      <c r="G76" s="33"/>
      <c r="H76" s="33"/>
      <c r="I76" s="33"/>
      <c r="J76" s="33"/>
      <c r="K76" s="33"/>
      <c r="L76" s="33"/>
      <c r="M76" s="33"/>
      <c r="N76" s="33"/>
    </row>
    <row r="77" spans="1:256" s="41" customFormat="1" ht="10.5">
      <c r="A77" s="36" t="s">
        <v>30</v>
      </c>
      <c r="B77" s="33"/>
      <c r="C77" s="33"/>
      <c r="D77" s="33"/>
      <c r="E77" s="33"/>
      <c r="F77" s="33"/>
      <c r="G77" s="33"/>
      <c r="H77" s="33"/>
      <c r="I77" s="33"/>
      <c r="J77" s="33"/>
      <c r="K77" s="33"/>
      <c r="L77" s="33"/>
      <c r="M77" s="33"/>
      <c r="N77" s="33"/>
    </row>
    <row r="78" spans="1:256" s="41" customFormat="1" ht="10">
      <c r="A78" s="37"/>
      <c r="B78" s="38"/>
      <c r="C78" s="38"/>
      <c r="D78" s="38"/>
      <c r="E78" s="38"/>
      <c r="F78" s="38"/>
      <c r="G78" s="38"/>
      <c r="H78" s="38"/>
      <c r="I78" s="38"/>
      <c r="J78" s="38"/>
      <c r="K78" s="38"/>
      <c r="L78" s="38"/>
      <c r="M78" s="38"/>
      <c r="N78" s="30"/>
    </row>
    <row r="79" spans="1:256" s="41" customFormat="1" ht="13.5">
      <c r="A79" s="30"/>
      <c r="B79" s="39"/>
      <c r="C79" s="30"/>
      <c r="D79" s="53">
        <v>2001</v>
      </c>
      <c r="E79" s="53">
        <v>2002</v>
      </c>
      <c r="F79" s="53">
        <v>2003</v>
      </c>
      <c r="G79" s="53">
        <v>2004</v>
      </c>
      <c r="H79" s="53">
        <v>2005</v>
      </c>
      <c r="I79" s="53">
        <v>2006</v>
      </c>
      <c r="J79" s="53">
        <v>2007</v>
      </c>
      <c r="K79" s="53">
        <v>2008</v>
      </c>
      <c r="L79" s="53">
        <v>2009</v>
      </c>
      <c r="M79" s="53">
        <v>2010</v>
      </c>
      <c r="N79" s="40"/>
    </row>
    <row r="80" spans="1:256" s="41" customFormat="1" ht="13.5">
      <c r="A80" s="30"/>
      <c r="B80" s="39"/>
      <c r="C80" s="30"/>
      <c r="D80" s="53"/>
      <c r="E80" s="53"/>
      <c r="F80" s="53"/>
      <c r="G80" s="53"/>
      <c r="H80" s="53"/>
      <c r="I80" s="53"/>
      <c r="J80" s="53"/>
      <c r="K80" s="53"/>
      <c r="L80" s="53"/>
      <c r="M80" s="53"/>
      <c r="N80" s="40"/>
    </row>
    <row r="81" spans="1:17" s="41" customFormat="1" ht="13.5">
      <c r="A81" s="30"/>
      <c r="B81" s="39" t="s">
        <v>64</v>
      </c>
      <c r="C81" s="30"/>
      <c r="D81" s="53"/>
      <c r="E81" s="53"/>
      <c r="F81" s="53"/>
      <c r="G81" s="53"/>
      <c r="H81" s="53"/>
      <c r="I81" s="53"/>
      <c r="J81" s="53"/>
      <c r="K81" s="53"/>
      <c r="L81" s="53"/>
      <c r="M81" s="53"/>
      <c r="N81" s="40"/>
    </row>
    <row r="82" spans="1:17" s="41" customFormat="1" ht="10">
      <c r="B82" s="30" t="s">
        <v>101</v>
      </c>
      <c r="C82" s="30"/>
      <c r="D82" s="41">
        <f t="shared" ref="D82:M82" ca="1" si="21">D149</f>
        <v>25.638646438503429</v>
      </c>
      <c r="E82" s="41">
        <f t="shared" ca="1" si="21"/>
        <v>255.07655462755542</v>
      </c>
      <c r="F82" s="41">
        <f t="shared" ca="1" si="21"/>
        <v>758.53764646826221</v>
      </c>
      <c r="G82" s="41">
        <f t="shared" ca="1" si="21"/>
        <v>86.815285708404872</v>
      </c>
      <c r="H82" s="41">
        <f t="shared" ca="1" si="21"/>
        <v>51.813216972122405</v>
      </c>
      <c r="I82" s="41">
        <f t="shared" ca="1" si="21"/>
        <v>524.46449480667513</v>
      </c>
      <c r="J82" s="41">
        <f t="shared" ca="1" si="21"/>
        <v>3486.794367493193</v>
      </c>
      <c r="K82" s="41">
        <f t="shared" ca="1" si="21"/>
        <v>9556.9382120798473</v>
      </c>
      <c r="L82" s="41">
        <f t="shared" ca="1" si="21"/>
        <v>16503.706116637866</v>
      </c>
      <c r="M82" s="41">
        <f t="shared" ca="1" si="21"/>
        <v>24305.783865807534</v>
      </c>
      <c r="O82" s="48"/>
      <c r="P82" s="48"/>
      <c r="Q82" s="48"/>
    </row>
    <row r="83" spans="1:17" s="41" customFormat="1" ht="10">
      <c r="B83" s="30" t="s">
        <v>65</v>
      </c>
      <c r="C83" s="30"/>
      <c r="D83" s="41">
        <f t="shared" ref="D83:M83" si="22">D14</f>
        <v>1000</v>
      </c>
      <c r="E83" s="41">
        <f t="shared" si="22"/>
        <v>3000</v>
      </c>
      <c r="F83" s="41">
        <f t="shared" si="22"/>
        <v>5500</v>
      </c>
      <c r="G83" s="41">
        <f t="shared" si="22"/>
        <v>9625</v>
      </c>
      <c r="H83" s="41">
        <f t="shared" si="22"/>
        <v>13781.25</v>
      </c>
      <c r="I83" s="41">
        <f t="shared" si="22"/>
        <v>17226.5625</v>
      </c>
      <c r="J83" s="41">
        <f t="shared" si="22"/>
        <v>20097.65625</v>
      </c>
      <c r="K83" s="41">
        <f t="shared" si="22"/>
        <v>22107.421875</v>
      </c>
      <c r="L83" s="41">
        <f t="shared" si="22"/>
        <v>24318.1640625</v>
      </c>
      <c r="M83" s="41">
        <f t="shared" si="22"/>
        <v>26749.980468750007</v>
      </c>
      <c r="N83" s="49"/>
      <c r="O83" s="50"/>
      <c r="P83" s="50"/>
      <c r="Q83" s="48"/>
    </row>
    <row r="84" spans="1:17" s="41" customFormat="1" ht="11.5">
      <c r="B84" s="30" t="s">
        <v>102</v>
      </c>
      <c r="D84" s="44">
        <f>-D83*'Model Assumptions'!$C$7</f>
        <v>-100</v>
      </c>
      <c r="E84" s="44">
        <f>-E83*'Model Assumptions'!$C$7</f>
        <v>-300</v>
      </c>
      <c r="F84" s="44">
        <f>-F83*'Model Assumptions'!$C$7</f>
        <v>-550</v>
      </c>
      <c r="G84" s="44">
        <f>-G83*'Model Assumptions'!$C$7</f>
        <v>-962.5</v>
      </c>
      <c r="H84" s="44">
        <f>-H83*'Model Assumptions'!$C$7</f>
        <v>-1378.125</v>
      </c>
      <c r="I84" s="44">
        <f>-I83*'Model Assumptions'!$C$7</f>
        <v>-1722.65625</v>
      </c>
      <c r="J84" s="44">
        <f>-J83*'Model Assumptions'!$C$7</f>
        <v>-2009.765625</v>
      </c>
      <c r="K84" s="44">
        <f>-K83*'Model Assumptions'!$C$7</f>
        <v>-2210.7421875</v>
      </c>
      <c r="L84" s="44">
        <f>-L83*'Model Assumptions'!$C$7</f>
        <v>-2431.81640625</v>
      </c>
      <c r="M84" s="44">
        <f>-M83*'Model Assumptions'!$C$7</f>
        <v>-2674.9980468750009</v>
      </c>
      <c r="N84" s="49"/>
      <c r="O84" s="50"/>
      <c r="P84" s="50"/>
      <c r="Q84" s="48"/>
    </row>
    <row r="85" spans="1:17" s="41" customFormat="1" ht="10">
      <c r="B85" s="30"/>
      <c r="C85" s="41" t="s">
        <v>103</v>
      </c>
      <c r="D85" s="41">
        <f t="shared" ref="D85:M85" si="23">D83+D84</f>
        <v>900</v>
      </c>
      <c r="E85" s="41">
        <f t="shared" si="23"/>
        <v>2700</v>
      </c>
      <c r="F85" s="41">
        <f t="shared" si="23"/>
        <v>4950</v>
      </c>
      <c r="G85" s="41">
        <f t="shared" si="23"/>
        <v>8662.5</v>
      </c>
      <c r="H85" s="41">
        <f t="shared" si="23"/>
        <v>12403.125</v>
      </c>
      <c r="I85" s="41">
        <f t="shared" si="23"/>
        <v>15503.90625</v>
      </c>
      <c r="J85" s="41">
        <f t="shared" si="23"/>
        <v>18087.890625</v>
      </c>
      <c r="K85" s="41">
        <f t="shared" si="23"/>
        <v>19896.6796875</v>
      </c>
      <c r="L85" s="41">
        <f t="shared" si="23"/>
        <v>21886.34765625</v>
      </c>
      <c r="M85" s="41">
        <f t="shared" si="23"/>
        <v>24074.982421875007</v>
      </c>
      <c r="N85" s="49"/>
      <c r="O85" s="50"/>
      <c r="P85" s="50"/>
      <c r="Q85" s="48"/>
    </row>
    <row r="86" spans="1:17" s="41" customFormat="1" ht="10">
      <c r="B86" s="30"/>
      <c r="N86" s="49"/>
      <c r="O86" s="50"/>
      <c r="P86" s="50"/>
      <c r="Q86" s="48"/>
    </row>
    <row r="87" spans="1:17" s="41" customFormat="1" ht="10">
      <c r="B87" s="30" t="s">
        <v>104</v>
      </c>
      <c r="D87" s="41">
        <f t="shared" ref="D87:M87" si="24">D89+D100</f>
        <v>52</v>
      </c>
      <c r="E87" s="41">
        <f t="shared" si="24"/>
        <v>164</v>
      </c>
      <c r="F87" s="41">
        <f t="shared" si="24"/>
        <v>218</v>
      </c>
      <c r="G87" s="41">
        <f t="shared" si="24"/>
        <v>380</v>
      </c>
      <c r="H87" s="41">
        <f t="shared" si="24"/>
        <v>542</v>
      </c>
      <c r="I87" s="41">
        <f t="shared" si="24"/>
        <v>704</v>
      </c>
      <c r="J87" s="41">
        <f t="shared" si="24"/>
        <v>812</v>
      </c>
      <c r="K87" s="41">
        <f t="shared" si="24"/>
        <v>920</v>
      </c>
      <c r="L87" s="41">
        <f t="shared" si="24"/>
        <v>1082</v>
      </c>
      <c r="M87" s="41">
        <f t="shared" si="24"/>
        <v>1298</v>
      </c>
      <c r="N87" s="49"/>
      <c r="O87" s="50"/>
      <c r="P87" s="50"/>
      <c r="Q87" s="48"/>
    </row>
    <row r="88" spans="1:17" s="41" customFormat="1" ht="11.5">
      <c r="B88" s="30" t="s">
        <v>105</v>
      </c>
      <c r="D88" s="44">
        <f t="shared" ref="D88:M88" si="25">(D99+D101)</f>
        <v>-5.7</v>
      </c>
      <c r="E88" s="44">
        <f t="shared" si="25"/>
        <v>-27.3</v>
      </c>
      <c r="F88" s="44">
        <f t="shared" si="25"/>
        <v>-63</v>
      </c>
      <c r="G88" s="44">
        <f t="shared" si="25"/>
        <v>-120.3</v>
      </c>
      <c r="H88" s="44">
        <f t="shared" si="25"/>
        <v>-207</v>
      </c>
      <c r="I88" s="44">
        <f t="shared" si="25"/>
        <v>-323.10000000000002</v>
      </c>
      <c r="J88" s="44">
        <f t="shared" si="25"/>
        <v>-448.6</v>
      </c>
      <c r="K88" s="44">
        <f t="shared" si="25"/>
        <v>-572.5</v>
      </c>
      <c r="L88" s="44">
        <f t="shared" si="25"/>
        <v>-600.20000000000005</v>
      </c>
      <c r="M88" s="44">
        <f t="shared" si="25"/>
        <v>-628.90000000000009</v>
      </c>
      <c r="N88" s="49"/>
      <c r="O88" s="50"/>
      <c r="P88" s="50"/>
      <c r="Q88" s="48"/>
    </row>
    <row r="89" spans="1:17" s="41" customFormat="1" ht="10.5">
      <c r="B89" s="30" t="s">
        <v>106</v>
      </c>
      <c r="C89" s="30"/>
      <c r="D89" s="41">
        <f>D36*'Model Assumptions'!$C$37+('Model Assumptions'!$C$38+'Model Assumptions'!$C$39)*'Financial Model'!D27</f>
        <v>47</v>
      </c>
      <c r="E89" s="41">
        <f>E36*'Model Assumptions'!$C$37+('Model Assumptions'!$C$38+'Model Assumptions'!$C$39)*'Financial Model'!E27</f>
        <v>149</v>
      </c>
      <c r="F89" s="41">
        <f>F36*'Model Assumptions'!$C$37+('Model Assumptions'!$C$38+'Model Assumptions'!$C$39)*'Financial Model'!F27</f>
        <v>198</v>
      </c>
      <c r="G89" s="41">
        <f>G36*'Model Assumptions'!$C$37+('Model Assumptions'!$C$38+'Model Assumptions'!$C$39)*'Financial Model'!G27</f>
        <v>345</v>
      </c>
      <c r="H89" s="41">
        <f>H36*'Model Assumptions'!$C$37+('Model Assumptions'!$C$38+'Model Assumptions'!$C$39)*'Financial Model'!H27</f>
        <v>492</v>
      </c>
      <c r="I89" s="41">
        <f>I36*'Model Assumptions'!$C$37+('Model Assumptions'!$C$38+'Model Assumptions'!$C$39)*'Financial Model'!I27</f>
        <v>639</v>
      </c>
      <c r="J89" s="41">
        <f>J36*'Model Assumptions'!$C$37+('Model Assumptions'!$C$38+'Model Assumptions'!$C$39)*'Financial Model'!J27</f>
        <v>737</v>
      </c>
      <c r="K89" s="41">
        <f>K36*'Model Assumptions'!$C$37+('Model Assumptions'!$C$38+'Model Assumptions'!$C$39)*'Financial Model'!K27</f>
        <v>835</v>
      </c>
      <c r="L89" s="41">
        <f>L36*'Model Assumptions'!$C$37+('Model Assumptions'!$C$38+'Model Assumptions'!$C$39)*'Financial Model'!L27</f>
        <v>982</v>
      </c>
      <c r="M89" s="41">
        <f>M36*'Model Assumptions'!$C$37+('Model Assumptions'!$C$38+'Model Assumptions'!$C$39)*'Financial Model'!M27</f>
        <v>1178</v>
      </c>
      <c r="N89" s="51"/>
      <c r="O89" s="52"/>
      <c r="P89" s="50"/>
      <c r="Q89" s="48"/>
    </row>
    <row r="90" spans="1:17" s="41" customFormat="1" ht="10.5" hidden="1">
      <c r="B90" s="30" t="s">
        <v>66</v>
      </c>
      <c r="C90" s="30"/>
      <c r="D90" s="41">
        <f>D36*'Model Assumptions'!$C$37+('Model Assumptions'!$C$38+'Model Assumptions'!$C$39)*'Financial Model'!D27</f>
        <v>47</v>
      </c>
      <c r="E90" s="41">
        <f>(E36-D36)*'Model Assumptions'!$C$37+('Model Assumptions'!$C$38+'Model Assumptions'!$C$39)*('Financial Model'!E27-'Financial Model'!D27)</f>
        <v>102</v>
      </c>
      <c r="F90" s="41">
        <f>(F36-E36)*'Model Assumptions'!$C$37+('Model Assumptions'!$C$38+'Model Assumptions'!$C$39)*('Financial Model'!F27-'Financial Model'!E27)</f>
        <v>49</v>
      </c>
      <c r="G90" s="41">
        <f>(G36-F36)*'Model Assumptions'!$C$37+('Model Assumptions'!$C$38+'Model Assumptions'!$C$39)*('Financial Model'!G27-'Financial Model'!F27)</f>
        <v>147</v>
      </c>
      <c r="H90" s="41">
        <f>(H36-G36)*'Model Assumptions'!$C$37+('Model Assumptions'!$C$38+'Model Assumptions'!$C$39)*('Financial Model'!H27-'Financial Model'!G27)</f>
        <v>147</v>
      </c>
      <c r="I90" s="41">
        <f>(I36-H36)*'Model Assumptions'!$C$37+('Model Assumptions'!$C$38+'Model Assumptions'!$C$39)*('Financial Model'!I27-'Financial Model'!H27)</f>
        <v>147</v>
      </c>
      <c r="J90" s="41">
        <f>(J36-I36)*'Model Assumptions'!$C$37+('Model Assumptions'!$C$38+'Model Assumptions'!$C$39)*('Financial Model'!J27-'Financial Model'!I27)</f>
        <v>98</v>
      </c>
      <c r="K90" s="41">
        <f>(K36-J36)*'Model Assumptions'!$C$37+('Model Assumptions'!$C$38+'Model Assumptions'!$C$39)*('Financial Model'!K27-'Financial Model'!J27)</f>
        <v>97.999999999999986</v>
      </c>
      <c r="L90" s="41">
        <f>(L36-K36)*'Model Assumptions'!$C$37+('Model Assumptions'!$C$38+'Model Assumptions'!$C$39)*('Financial Model'!L27-'Financial Model'!K27)</f>
        <v>147</v>
      </c>
      <c r="M90" s="41">
        <f>(M36-L36)*'Model Assumptions'!$C$37+('Model Assumptions'!$C$38+'Model Assumptions'!$C$39)*('Financial Model'!M27-'Financial Model'!L27)</f>
        <v>196</v>
      </c>
      <c r="N90" s="51"/>
      <c r="O90" s="52"/>
      <c r="P90" s="50"/>
      <c r="Q90" s="48"/>
    </row>
    <row r="91" spans="1:17" s="41" customFormat="1" ht="10.5" hidden="1">
      <c r="B91" s="30" t="s">
        <v>67</v>
      </c>
      <c r="C91" s="30"/>
      <c r="E91" s="41">
        <f t="shared" ref="E91:M91" si="26">E89-E97</f>
        <v>0</v>
      </c>
      <c r="F91" s="41">
        <f t="shared" si="26"/>
        <v>0</v>
      </c>
      <c r="G91" s="41">
        <f t="shared" si="26"/>
        <v>0</v>
      </c>
      <c r="H91" s="41">
        <f t="shared" si="26"/>
        <v>0</v>
      </c>
      <c r="I91" s="41">
        <f t="shared" si="26"/>
        <v>0</v>
      </c>
      <c r="J91" s="41">
        <f t="shared" si="26"/>
        <v>47</v>
      </c>
      <c r="K91" s="41">
        <f t="shared" si="26"/>
        <v>149</v>
      </c>
      <c r="L91" s="41">
        <f t="shared" si="26"/>
        <v>198</v>
      </c>
      <c r="M91" s="41">
        <f t="shared" si="26"/>
        <v>345</v>
      </c>
      <c r="N91" s="51"/>
      <c r="O91" s="52"/>
      <c r="P91" s="50"/>
      <c r="Q91" s="48"/>
    </row>
    <row r="92" spans="1:17" s="41" customFormat="1" ht="10.5" hidden="1">
      <c r="B92" s="30" t="s">
        <v>68</v>
      </c>
      <c r="C92" s="30"/>
      <c r="E92" s="41">
        <f t="shared" ref="E92:M92" si="27">D90</f>
        <v>47</v>
      </c>
      <c r="F92" s="41">
        <f t="shared" si="27"/>
        <v>102</v>
      </c>
      <c r="G92" s="41">
        <f t="shared" si="27"/>
        <v>49</v>
      </c>
      <c r="H92" s="41">
        <f t="shared" si="27"/>
        <v>147</v>
      </c>
      <c r="I92" s="41">
        <f t="shared" si="27"/>
        <v>147</v>
      </c>
      <c r="J92" s="41">
        <f t="shared" si="27"/>
        <v>147</v>
      </c>
      <c r="K92" s="41">
        <f t="shared" si="27"/>
        <v>98</v>
      </c>
      <c r="L92" s="41">
        <f t="shared" si="27"/>
        <v>97.999999999999986</v>
      </c>
      <c r="M92" s="41">
        <f t="shared" si="27"/>
        <v>147</v>
      </c>
      <c r="N92" s="51"/>
      <c r="O92" s="52"/>
      <c r="P92" s="50"/>
      <c r="Q92" s="48"/>
    </row>
    <row r="93" spans="1:17" s="41" customFormat="1" ht="10.5" hidden="1">
      <c r="B93" s="30" t="s">
        <v>69</v>
      </c>
      <c r="C93" s="30"/>
      <c r="F93" s="41">
        <f t="shared" ref="F93:M93" si="28">E92</f>
        <v>47</v>
      </c>
      <c r="G93" s="41">
        <f t="shared" si="28"/>
        <v>102</v>
      </c>
      <c r="H93" s="41">
        <f t="shared" si="28"/>
        <v>49</v>
      </c>
      <c r="I93" s="41">
        <f t="shared" si="28"/>
        <v>147</v>
      </c>
      <c r="J93" s="41">
        <f t="shared" si="28"/>
        <v>147</v>
      </c>
      <c r="K93" s="41">
        <f t="shared" si="28"/>
        <v>147</v>
      </c>
      <c r="L93" s="41">
        <f t="shared" si="28"/>
        <v>98</v>
      </c>
      <c r="M93" s="41">
        <f t="shared" si="28"/>
        <v>97.999999999999986</v>
      </c>
      <c r="N93" s="51"/>
      <c r="O93" s="52"/>
      <c r="P93" s="50"/>
      <c r="Q93" s="48"/>
    </row>
    <row r="94" spans="1:17" s="41" customFormat="1" ht="10.5" hidden="1">
      <c r="B94" s="30" t="s">
        <v>70</v>
      </c>
      <c r="C94" s="30"/>
      <c r="G94" s="41">
        <f t="shared" ref="G94:M94" si="29">F93</f>
        <v>47</v>
      </c>
      <c r="H94" s="41">
        <f t="shared" si="29"/>
        <v>102</v>
      </c>
      <c r="I94" s="41">
        <f t="shared" si="29"/>
        <v>49</v>
      </c>
      <c r="J94" s="41">
        <f t="shared" si="29"/>
        <v>147</v>
      </c>
      <c r="K94" s="41">
        <f t="shared" si="29"/>
        <v>147</v>
      </c>
      <c r="L94" s="41">
        <f t="shared" si="29"/>
        <v>147</v>
      </c>
      <c r="M94" s="41">
        <f t="shared" si="29"/>
        <v>98</v>
      </c>
      <c r="N94" s="51"/>
      <c r="O94" s="52"/>
      <c r="P94" s="50"/>
      <c r="Q94" s="48"/>
    </row>
    <row r="95" spans="1:17" s="41" customFormat="1" ht="10.5" hidden="1">
      <c r="B95" s="30" t="s">
        <v>71</v>
      </c>
      <c r="C95" s="30"/>
      <c r="H95" s="41">
        <f t="shared" ref="H95:M95" si="30">G94</f>
        <v>47</v>
      </c>
      <c r="I95" s="41">
        <f t="shared" si="30"/>
        <v>102</v>
      </c>
      <c r="J95" s="41">
        <f t="shared" si="30"/>
        <v>49</v>
      </c>
      <c r="K95" s="41">
        <f t="shared" si="30"/>
        <v>147</v>
      </c>
      <c r="L95" s="41">
        <f t="shared" si="30"/>
        <v>147</v>
      </c>
      <c r="M95" s="41">
        <f t="shared" si="30"/>
        <v>147</v>
      </c>
      <c r="N95" s="51"/>
      <c r="O95" s="52"/>
      <c r="P95" s="50"/>
      <c r="Q95" s="48"/>
    </row>
    <row r="96" spans="1:17" s="41" customFormat="1" ht="10.5" hidden="1">
      <c r="B96" s="30" t="s">
        <v>72</v>
      </c>
      <c r="C96" s="30"/>
      <c r="I96" s="41">
        <f>H95</f>
        <v>47</v>
      </c>
      <c r="J96" s="41">
        <f>I95</f>
        <v>102</v>
      </c>
      <c r="K96" s="41">
        <f>J95</f>
        <v>49</v>
      </c>
      <c r="L96" s="41">
        <f>K95</f>
        <v>147</v>
      </c>
      <c r="M96" s="41">
        <f>L95</f>
        <v>147</v>
      </c>
      <c r="N96" s="51"/>
      <c r="O96" s="52"/>
      <c r="P96" s="50"/>
      <c r="Q96" s="48"/>
    </row>
    <row r="97" spans="2:17" s="41" customFormat="1" ht="10.5" hidden="1">
      <c r="B97" s="30"/>
      <c r="C97" s="30"/>
      <c r="D97" s="41">
        <f t="shared" ref="D97:M97" si="31">D96+D95+D94+D93+D92+D90</f>
        <v>47</v>
      </c>
      <c r="E97" s="41">
        <f t="shared" si="31"/>
        <v>149</v>
      </c>
      <c r="F97" s="41">
        <f t="shared" si="31"/>
        <v>198</v>
      </c>
      <c r="G97" s="41">
        <f t="shared" si="31"/>
        <v>345</v>
      </c>
      <c r="H97" s="41">
        <f t="shared" si="31"/>
        <v>492</v>
      </c>
      <c r="I97" s="41">
        <f t="shared" si="31"/>
        <v>639</v>
      </c>
      <c r="J97" s="41">
        <f t="shared" si="31"/>
        <v>690</v>
      </c>
      <c r="K97" s="41">
        <f t="shared" si="31"/>
        <v>686</v>
      </c>
      <c r="L97" s="41">
        <f t="shared" si="31"/>
        <v>784</v>
      </c>
      <c r="M97" s="41">
        <f t="shared" si="31"/>
        <v>833</v>
      </c>
      <c r="N97" s="51"/>
      <c r="O97" s="52"/>
      <c r="P97" s="50"/>
      <c r="Q97" s="48"/>
    </row>
    <row r="98" spans="2:17" s="41" customFormat="1" ht="10.5" hidden="1">
      <c r="B98" s="30" t="s">
        <v>73</v>
      </c>
      <c r="C98" s="30"/>
      <c r="D98" s="41">
        <f t="shared" ref="D98:K98" si="32">C96</f>
        <v>0</v>
      </c>
      <c r="E98" s="41">
        <f t="shared" si="32"/>
        <v>0</v>
      </c>
      <c r="F98" s="41">
        <f t="shared" si="32"/>
        <v>0</v>
      </c>
      <c r="G98" s="41">
        <f t="shared" si="32"/>
        <v>0</v>
      </c>
      <c r="H98" s="41">
        <f t="shared" si="32"/>
        <v>0</v>
      </c>
      <c r="I98" s="41">
        <f t="shared" si="32"/>
        <v>0</v>
      </c>
      <c r="J98" s="41">
        <f t="shared" si="32"/>
        <v>47</v>
      </c>
      <c r="K98" s="41">
        <f t="shared" si="32"/>
        <v>102</v>
      </c>
      <c r="L98" s="41">
        <f>K97</f>
        <v>686</v>
      </c>
      <c r="M98" s="41">
        <f>L97</f>
        <v>784</v>
      </c>
      <c r="N98" s="51"/>
      <c r="O98" s="52"/>
      <c r="P98" s="50"/>
      <c r="Q98" s="48"/>
    </row>
    <row r="99" spans="2:17" s="41" customFormat="1" ht="10.5">
      <c r="B99" s="30" t="s">
        <v>74</v>
      </c>
      <c r="C99" s="30"/>
      <c r="D99" s="41">
        <f>-(SUM(D92:D96)-D98+SUM(D90:D91)/2)/'Model Assumptions'!$B$37+C99</f>
        <v>-4.7</v>
      </c>
      <c r="E99" s="41">
        <f>-(SUM(E92:E96)-E98+SUM(E90:E91)/2)/'Model Assumptions'!$B$37+D99</f>
        <v>-24.3</v>
      </c>
      <c r="F99" s="41">
        <f>-(SUM(F92:F96)-F98+SUM(F90:F91)/2)/'Model Assumptions'!$B$37+E99</f>
        <v>-59</v>
      </c>
      <c r="G99" s="41">
        <f>-(SUM(G92:G96)-G98+SUM(G90:G91)/2)/'Model Assumptions'!$B$37+F99</f>
        <v>-113.3</v>
      </c>
      <c r="H99" s="41">
        <f>-(SUM(H92:H96)-H98+SUM(H90:H91)/2)/'Model Assumptions'!$B$37+G99</f>
        <v>-197</v>
      </c>
      <c r="I99" s="41">
        <f>-(SUM(I92:I96)-I98+SUM(I90:I91)/2)/'Model Assumptions'!$B$37+H99</f>
        <v>-310.10000000000002</v>
      </c>
      <c r="J99" s="41">
        <f>-(SUM(J92:J96)-J98+SUM(J90:J91)/2)/'Model Assumptions'!$B$37+I99</f>
        <v>-433.6</v>
      </c>
      <c r="K99" s="41">
        <f>-(SUM(K92:K96)-K98+SUM(K90:K91)/2)/'Model Assumptions'!$B$37+J99</f>
        <v>-555.5</v>
      </c>
      <c r="L99" s="41">
        <f>-(SUM(L92:L96)-L98+SUM(L90:L91)/2)/'Model Assumptions'!$B$37+K99</f>
        <v>-580.20000000000005</v>
      </c>
      <c r="M99" s="41">
        <f>-(SUM(M92:M96)-M98+SUM(M90:M91)/2)/'Model Assumptions'!$B$37+L99</f>
        <v>-604.90000000000009</v>
      </c>
      <c r="N99" s="51"/>
      <c r="O99" s="52"/>
      <c r="P99" s="50"/>
      <c r="Q99" s="48"/>
    </row>
    <row r="100" spans="2:17" s="41" customFormat="1" ht="10">
      <c r="B100" s="30" t="s">
        <v>75</v>
      </c>
      <c r="C100" s="30"/>
      <c r="D100" s="41">
        <f>'Model Assumptions'!$C$40*'Financial Model'!D27</f>
        <v>5</v>
      </c>
      <c r="E100" s="41">
        <f>'Model Assumptions'!$C$40*'Financial Model'!E27</f>
        <v>15</v>
      </c>
      <c r="F100" s="41">
        <f>'Model Assumptions'!$C$40*'Financial Model'!F27</f>
        <v>20</v>
      </c>
      <c r="G100" s="41">
        <f>'Model Assumptions'!$C$40*'Financial Model'!G27</f>
        <v>35</v>
      </c>
      <c r="H100" s="41">
        <f>'Model Assumptions'!$C$40*'Financial Model'!H27</f>
        <v>50</v>
      </c>
      <c r="I100" s="41">
        <f>'Model Assumptions'!$C$40*'Financial Model'!I27</f>
        <v>65</v>
      </c>
      <c r="J100" s="41">
        <f>'Model Assumptions'!$C$40*'Financial Model'!J27</f>
        <v>75</v>
      </c>
      <c r="K100" s="41">
        <f>'Model Assumptions'!$C$40*'Financial Model'!K27</f>
        <v>85</v>
      </c>
      <c r="L100" s="41">
        <f>'Model Assumptions'!$C$40*'Financial Model'!L27</f>
        <v>100</v>
      </c>
      <c r="M100" s="41">
        <f>'Model Assumptions'!$C$40*'Financial Model'!M27</f>
        <v>120</v>
      </c>
      <c r="N100" s="49"/>
      <c r="O100" s="50"/>
      <c r="P100" s="50"/>
      <c r="Q100" s="48"/>
    </row>
    <row r="101" spans="2:17" s="41" customFormat="1" ht="10">
      <c r="B101" s="30" t="s">
        <v>74</v>
      </c>
      <c r="C101" s="30"/>
      <c r="D101" s="41">
        <f>-D100/'Model Assumptions'!$B$40</f>
        <v>-1</v>
      </c>
      <c r="E101" s="41">
        <f>-E100/'Model Assumptions'!$B$40</f>
        <v>-3</v>
      </c>
      <c r="F101" s="41">
        <f>-F100/'Model Assumptions'!$B$40</f>
        <v>-4</v>
      </c>
      <c r="G101" s="41">
        <f>-G100/'Model Assumptions'!$B$40</f>
        <v>-7</v>
      </c>
      <c r="H101" s="41">
        <f>-H100/'Model Assumptions'!$B$40</f>
        <v>-10</v>
      </c>
      <c r="I101" s="41">
        <f>-I100/'Model Assumptions'!$B$40</f>
        <v>-13</v>
      </c>
      <c r="J101" s="41">
        <f>-J100/'Model Assumptions'!$B$40</f>
        <v>-15</v>
      </c>
      <c r="K101" s="41">
        <f>-K100/'Model Assumptions'!$B$40</f>
        <v>-17</v>
      </c>
      <c r="L101" s="41">
        <f>-L100/'Model Assumptions'!$B$40</f>
        <v>-20</v>
      </c>
      <c r="M101" s="41">
        <f>-M100/'Model Assumptions'!$B$40</f>
        <v>-24</v>
      </c>
      <c r="N101" s="49"/>
      <c r="O101" s="49"/>
      <c r="P101" s="49"/>
    </row>
    <row r="102" spans="2:17" s="41" customFormat="1" ht="10">
      <c r="B102" s="30" t="s">
        <v>107</v>
      </c>
      <c r="C102" s="30"/>
      <c r="D102" s="41">
        <f t="shared" ref="D102:M102" si="33">D87+D88</f>
        <v>46.3</v>
      </c>
      <c r="E102" s="41">
        <f t="shared" si="33"/>
        <v>136.69999999999999</v>
      </c>
      <c r="F102" s="41">
        <f t="shared" si="33"/>
        <v>155</v>
      </c>
      <c r="G102" s="41">
        <f t="shared" si="33"/>
        <v>259.7</v>
      </c>
      <c r="H102" s="41">
        <f t="shared" si="33"/>
        <v>335</v>
      </c>
      <c r="I102" s="41">
        <f t="shared" si="33"/>
        <v>380.9</v>
      </c>
      <c r="J102" s="41">
        <f t="shared" si="33"/>
        <v>363.4</v>
      </c>
      <c r="K102" s="41">
        <f t="shared" si="33"/>
        <v>347.5</v>
      </c>
      <c r="L102" s="41">
        <f t="shared" si="33"/>
        <v>481.79999999999995</v>
      </c>
      <c r="M102" s="41">
        <f t="shared" si="33"/>
        <v>669.09999999999991</v>
      </c>
      <c r="N102" s="49"/>
      <c r="O102" s="49"/>
      <c r="P102" s="49"/>
    </row>
    <row r="103" spans="2:17" s="41" customFormat="1" ht="10">
      <c r="B103" s="30" t="s">
        <v>108</v>
      </c>
      <c r="C103" s="30"/>
      <c r="D103" s="41">
        <f ca="1">-D71*'Model Assumptions'!$C$12</f>
        <v>5.4538317409620296</v>
      </c>
      <c r="E103" s="41">
        <f ca="1">-E71*'Model Assumptions'!$C$12</f>
        <v>5.903107599882647</v>
      </c>
      <c r="F103" s="41">
        <f ca="1">-F71*'Model Assumptions'!$C$12</f>
        <v>0</v>
      </c>
      <c r="G103" s="41">
        <f ca="1">-G71*'Model Assumptions'!$C$12</f>
        <v>0</v>
      </c>
      <c r="H103" s="41">
        <f ca="1">-H71*'Model Assumptions'!$C$12</f>
        <v>0</v>
      </c>
      <c r="I103" s="41">
        <f ca="1">-I71*'Model Assumptions'!$C$12</f>
        <v>0</v>
      </c>
      <c r="J103" s="41">
        <f ca="1">-J71*'Model Assumptions'!$C$12</f>
        <v>0</v>
      </c>
      <c r="K103" s="41">
        <f ca="1">-K71*'Model Assumptions'!$C$12</f>
        <v>0</v>
      </c>
      <c r="L103" s="41">
        <f ca="1">-L71*'Model Assumptions'!$C$12</f>
        <v>0</v>
      </c>
      <c r="M103" s="41">
        <f ca="1">-M71*'Model Assumptions'!$C$12</f>
        <v>0</v>
      </c>
    </row>
    <row r="104" spans="2:17" s="41" customFormat="1" ht="13.5">
      <c r="B104" s="30"/>
      <c r="C104" s="30"/>
      <c r="D104" s="55"/>
      <c r="E104" s="55"/>
      <c r="F104" s="55"/>
      <c r="G104" s="55"/>
      <c r="H104" s="55"/>
      <c r="I104" s="55"/>
      <c r="J104" s="55"/>
      <c r="K104" s="55"/>
      <c r="L104" s="55"/>
      <c r="M104" s="55"/>
    </row>
    <row r="105" spans="2:17" s="41" customFormat="1" ht="15.75" customHeight="1">
      <c r="B105" s="30" t="s">
        <v>109</v>
      </c>
      <c r="C105" s="30"/>
      <c r="D105" s="56">
        <f t="shared" ref="D105:M105" ca="1" si="34">D103+D102+D85+D82</f>
        <v>977.39247817946546</v>
      </c>
      <c r="E105" s="56">
        <f t="shared" ca="1" si="34"/>
        <v>3097.6796622274378</v>
      </c>
      <c r="F105" s="56">
        <f t="shared" ca="1" si="34"/>
        <v>5863.5376464682622</v>
      </c>
      <c r="G105" s="56">
        <f t="shared" ca="1" si="34"/>
        <v>9009.0152857084049</v>
      </c>
      <c r="H105" s="56">
        <f t="shared" ca="1" si="34"/>
        <v>12789.938216972123</v>
      </c>
      <c r="I105" s="56">
        <f t="shared" ca="1" si="34"/>
        <v>16409.270744806676</v>
      </c>
      <c r="J105" s="56">
        <f t="shared" ca="1" si="34"/>
        <v>21938.084992493194</v>
      </c>
      <c r="K105" s="56">
        <f t="shared" ca="1" si="34"/>
        <v>29801.117899579847</v>
      </c>
      <c r="L105" s="56">
        <f t="shared" ca="1" si="34"/>
        <v>38871.853772887865</v>
      </c>
      <c r="M105" s="56">
        <f t="shared" ca="1" si="34"/>
        <v>49049.86628768254</v>
      </c>
    </row>
    <row r="106" spans="2:17" s="41" customFormat="1" ht="10.5">
      <c r="B106" s="30"/>
      <c r="C106" s="30"/>
      <c r="D106" s="40"/>
      <c r="E106" s="40"/>
      <c r="F106" s="40"/>
      <c r="G106" s="40"/>
      <c r="H106" s="40"/>
      <c r="I106" s="40"/>
      <c r="J106" s="40"/>
      <c r="K106" s="40"/>
      <c r="L106" s="40"/>
      <c r="M106" s="40"/>
    </row>
    <row r="107" spans="2:17" s="41" customFormat="1" ht="10.5">
      <c r="B107" s="39" t="s">
        <v>110</v>
      </c>
      <c r="C107" s="30"/>
      <c r="D107" s="40"/>
      <c r="E107" s="40"/>
      <c r="F107" s="40"/>
      <c r="G107" s="40"/>
      <c r="H107" s="40"/>
      <c r="I107" s="40"/>
      <c r="J107" s="40"/>
      <c r="K107" s="40"/>
      <c r="L107" s="40"/>
      <c r="M107" s="40"/>
    </row>
    <row r="108" spans="2:17" s="41" customFormat="1" ht="10.5">
      <c r="B108" s="39"/>
      <c r="C108" s="30"/>
      <c r="D108" s="40"/>
      <c r="E108" s="40"/>
      <c r="F108" s="40"/>
      <c r="G108" s="40"/>
      <c r="H108" s="40"/>
      <c r="I108" s="40"/>
      <c r="J108" s="40"/>
      <c r="K108" s="40"/>
      <c r="L108" s="40"/>
      <c r="M108" s="40"/>
    </row>
    <row r="109" spans="2:17" s="41" customFormat="1" ht="10">
      <c r="B109" s="30" t="s">
        <v>111</v>
      </c>
      <c r="C109" s="30"/>
      <c r="D109" s="41">
        <f>(C66+D66)*'Model Assumptions'!$C$33</f>
        <v>19.785</v>
      </c>
      <c r="E109" s="41">
        <f>(D66+E66)*'Model Assumptions'!$C$33</f>
        <v>60.04</v>
      </c>
      <c r="F109" s="41">
        <f>(E66+F66)*'Model Assumptions'!$C$33</f>
        <v>93.483750000000015</v>
      </c>
      <c r="G109" s="41">
        <f>(F66+G66)*'Model Assumptions'!$C$33</f>
        <v>140.91718750000001</v>
      </c>
      <c r="H109" s="41">
        <f>(G66+H66)*'Model Assumptions'!$C$33</f>
        <v>209.64023437500001</v>
      </c>
      <c r="I109" s="41">
        <f>(H66+I66)*'Model Assumptions'!$C$33</f>
        <v>277.54488281249996</v>
      </c>
      <c r="J109" s="41">
        <f>(I66+J66)*'Model Assumptions'!$C$33</f>
        <v>333.03498046875006</v>
      </c>
      <c r="K109" s="41">
        <f>(J66+K66)*'Model Assumptions'!$C$33</f>
        <v>376.58547851562503</v>
      </c>
      <c r="L109" s="41">
        <f>(K66+L66)*'Model Assumptions'!$C$33</f>
        <v>425.99702636718752</v>
      </c>
      <c r="M109" s="41">
        <f>(L66+M66)*'Model Assumptions'!$C$33</f>
        <v>495.67533691406254</v>
      </c>
    </row>
    <row r="110" spans="2:17" s="41" customFormat="1" ht="10">
      <c r="B110" s="30" t="s">
        <v>112</v>
      </c>
      <c r="C110" s="30"/>
      <c r="D110" s="41">
        <f>D83*'Model Assumptions'!$C$8</f>
        <v>100</v>
      </c>
      <c r="E110" s="41">
        <f>E83*'Model Assumptions'!$C$8</f>
        <v>300</v>
      </c>
      <c r="F110" s="41">
        <f>F83*'Model Assumptions'!$C$8</f>
        <v>550</v>
      </c>
      <c r="G110" s="41">
        <f>G83*'Model Assumptions'!$C$8</f>
        <v>962.5</v>
      </c>
      <c r="H110" s="41">
        <f>H83*'Model Assumptions'!$C$8</f>
        <v>1378.125</v>
      </c>
      <c r="I110" s="41">
        <f>I83*'Model Assumptions'!$C$8</f>
        <v>1722.65625</v>
      </c>
      <c r="J110" s="41">
        <f>J83*'Model Assumptions'!$C$8</f>
        <v>2009.765625</v>
      </c>
      <c r="K110" s="41">
        <f>K83*'Model Assumptions'!$C$8</f>
        <v>2210.7421875</v>
      </c>
      <c r="L110" s="41">
        <f>L83*'Model Assumptions'!$C$8</f>
        <v>2431.81640625</v>
      </c>
      <c r="M110" s="41">
        <f>M83*'Model Assumptions'!$C$8</f>
        <v>2674.9980468750009</v>
      </c>
    </row>
    <row r="111" spans="2:17" s="41" customFormat="1" ht="11.5">
      <c r="B111" s="30" t="s">
        <v>113</v>
      </c>
      <c r="D111" s="44">
        <v>1100</v>
      </c>
      <c r="E111" s="44">
        <v>2500</v>
      </c>
      <c r="F111" s="44">
        <v>2500</v>
      </c>
      <c r="G111" s="44">
        <v>2500</v>
      </c>
      <c r="H111" s="44">
        <v>2500</v>
      </c>
      <c r="I111" s="44">
        <v>1000</v>
      </c>
      <c r="J111" s="44">
        <v>0</v>
      </c>
      <c r="K111" s="44">
        <v>0</v>
      </c>
      <c r="L111" s="44">
        <v>0</v>
      </c>
      <c r="M111" s="44">
        <v>0</v>
      </c>
    </row>
    <row r="112" spans="2:17" s="41" customFormat="1" ht="13.5">
      <c r="B112" s="30" t="s">
        <v>114</v>
      </c>
      <c r="C112" s="30"/>
      <c r="D112" s="55">
        <f t="shared" ref="D112:M112" si="35">SUM(D109:D111)</f>
        <v>1219.7850000000001</v>
      </c>
      <c r="E112" s="55">
        <f t="shared" si="35"/>
        <v>2860.04</v>
      </c>
      <c r="F112" s="55">
        <f t="shared" si="35"/>
        <v>3143.4837499999999</v>
      </c>
      <c r="G112" s="55">
        <f t="shared" si="35"/>
        <v>3603.4171875000002</v>
      </c>
      <c r="H112" s="55">
        <f t="shared" si="35"/>
        <v>4087.7652343750001</v>
      </c>
      <c r="I112" s="55">
        <f t="shared" si="35"/>
        <v>3000.2011328125</v>
      </c>
      <c r="J112" s="55">
        <f t="shared" si="35"/>
        <v>2342.8006054687503</v>
      </c>
      <c r="K112" s="55">
        <f t="shared" si="35"/>
        <v>2587.3276660156253</v>
      </c>
      <c r="L112" s="55">
        <f t="shared" si="35"/>
        <v>2857.8134326171876</v>
      </c>
      <c r="M112" s="55">
        <f t="shared" si="35"/>
        <v>3170.6733837890633</v>
      </c>
    </row>
    <row r="113" spans="1:14" s="41" customFormat="1" ht="10.5">
      <c r="B113" s="39"/>
      <c r="C113" s="30"/>
      <c r="D113" s="40"/>
      <c r="E113" s="40"/>
      <c r="F113" s="40"/>
      <c r="G113" s="40"/>
      <c r="H113" s="40"/>
      <c r="I113" s="40"/>
      <c r="J113" s="40"/>
      <c r="K113" s="40"/>
      <c r="L113" s="40"/>
      <c r="M113" s="40"/>
    </row>
    <row r="114" spans="1:14" s="41" customFormat="1" ht="10.5">
      <c r="B114" s="39" t="s">
        <v>115</v>
      </c>
      <c r="C114" s="30"/>
      <c r="D114" s="40"/>
      <c r="E114" s="40"/>
      <c r="F114" s="40"/>
      <c r="G114" s="40"/>
      <c r="H114" s="40"/>
      <c r="I114" s="40"/>
      <c r="J114" s="40"/>
      <c r="K114" s="40"/>
      <c r="L114" s="40"/>
      <c r="M114" s="40"/>
    </row>
    <row r="115" spans="1:14" s="41" customFormat="1" ht="10.5">
      <c r="B115" s="39"/>
      <c r="C115" s="30" t="s">
        <v>116</v>
      </c>
      <c r="D115" s="41">
        <f ca="1">D73</f>
        <v>-242.39252182053468</v>
      </c>
      <c r="E115" s="41">
        <f t="shared" ref="E115:M115" ca="1" si="36">E73+D115</f>
        <v>-262.3603377725621</v>
      </c>
      <c r="F115" s="41">
        <f t="shared" ca="1" si="36"/>
        <v>620.05389646826211</v>
      </c>
      <c r="G115" s="41">
        <f t="shared" ca="1" si="36"/>
        <v>2405.5980982084047</v>
      </c>
      <c r="H115" s="41">
        <f t="shared" ca="1" si="36"/>
        <v>5652.1729825971224</v>
      </c>
      <c r="I115" s="41">
        <f t="shared" ca="1" si="36"/>
        <v>10359.069611994175</v>
      </c>
      <c r="J115" s="41">
        <f t="shared" ca="1" si="36"/>
        <v>16545.284387024443</v>
      </c>
      <c r="K115" s="41">
        <f t="shared" ca="1" si="36"/>
        <v>24163.790233564225</v>
      </c>
      <c r="L115" s="41">
        <f t="shared" ca="1" si="36"/>
        <v>32964.04034027068</v>
      </c>
      <c r="M115" s="41">
        <f t="shared" ca="1" si="36"/>
        <v>42829.192903893476</v>
      </c>
    </row>
    <row r="116" spans="1:14" s="41" customFormat="1" ht="11.5">
      <c r="B116" s="39"/>
      <c r="C116" s="30" t="s">
        <v>117</v>
      </c>
      <c r="D116" s="44">
        <v>0</v>
      </c>
      <c r="E116" s="44">
        <v>500</v>
      </c>
      <c r="F116" s="44">
        <v>2100</v>
      </c>
      <c r="G116" s="44">
        <v>3000</v>
      </c>
      <c r="H116" s="44">
        <v>3050</v>
      </c>
      <c r="I116" s="44">
        <f>H116</f>
        <v>3050</v>
      </c>
      <c r="J116" s="44">
        <f>I116</f>
        <v>3050</v>
      </c>
      <c r="K116" s="44">
        <f>J116</f>
        <v>3050</v>
      </c>
      <c r="L116" s="44">
        <f>K116</f>
        <v>3050</v>
      </c>
      <c r="M116" s="44">
        <f>L116</f>
        <v>3050</v>
      </c>
    </row>
    <row r="117" spans="1:14" s="41" customFormat="1" ht="11.5">
      <c r="B117" s="30" t="s">
        <v>118</v>
      </c>
      <c r="C117" s="30"/>
      <c r="D117" s="44">
        <f t="shared" ref="D117:M117" ca="1" si="37">SUM(D115:D116)</f>
        <v>-242.39252182053468</v>
      </c>
      <c r="E117" s="44">
        <f t="shared" ca="1" si="37"/>
        <v>237.6396622274379</v>
      </c>
      <c r="F117" s="44">
        <f t="shared" ca="1" si="37"/>
        <v>2720.0538964682619</v>
      </c>
      <c r="G117" s="44">
        <f t="shared" ca="1" si="37"/>
        <v>5405.5980982084047</v>
      </c>
      <c r="H117" s="44">
        <f t="shared" ca="1" si="37"/>
        <v>8702.1729825971233</v>
      </c>
      <c r="I117" s="44">
        <f t="shared" ca="1" si="37"/>
        <v>13409.069611994175</v>
      </c>
      <c r="J117" s="44">
        <f t="shared" ca="1" si="37"/>
        <v>19595.284387024443</v>
      </c>
      <c r="K117" s="44">
        <f t="shared" ca="1" si="37"/>
        <v>27213.790233564225</v>
      </c>
      <c r="L117" s="44">
        <f t="shared" ca="1" si="37"/>
        <v>36014.04034027068</v>
      </c>
      <c r="M117" s="44">
        <f t="shared" ca="1" si="37"/>
        <v>45879.192903893476</v>
      </c>
    </row>
    <row r="118" spans="1:14" s="41" customFormat="1" ht="12">
      <c r="B118" s="39" t="s">
        <v>119</v>
      </c>
      <c r="C118" s="30"/>
      <c r="D118" s="56">
        <f t="shared" ref="D118:M118" ca="1" si="38">D117+D112</f>
        <v>977.39247817946534</v>
      </c>
      <c r="E118" s="56">
        <f t="shared" ca="1" si="38"/>
        <v>3097.6796622274378</v>
      </c>
      <c r="F118" s="56">
        <f t="shared" ca="1" si="38"/>
        <v>5863.5376464682613</v>
      </c>
      <c r="G118" s="56">
        <f t="shared" ca="1" si="38"/>
        <v>9009.0152857084049</v>
      </c>
      <c r="H118" s="56">
        <f t="shared" ca="1" si="38"/>
        <v>12789.938216972123</v>
      </c>
      <c r="I118" s="56">
        <f t="shared" ca="1" si="38"/>
        <v>16409.270744806676</v>
      </c>
      <c r="J118" s="56">
        <f t="shared" ca="1" si="38"/>
        <v>21938.084992493194</v>
      </c>
      <c r="K118" s="56">
        <f t="shared" ca="1" si="38"/>
        <v>29801.117899579851</v>
      </c>
      <c r="L118" s="56">
        <f t="shared" ca="1" si="38"/>
        <v>38871.853772887865</v>
      </c>
      <c r="M118" s="56">
        <f t="shared" ca="1" si="38"/>
        <v>49049.86628768254</v>
      </c>
    </row>
    <row r="119" spans="1:14" s="41" customFormat="1" ht="10.5">
      <c r="B119" s="39"/>
      <c r="C119" s="30"/>
      <c r="D119" s="40"/>
      <c r="E119" s="40"/>
      <c r="F119" s="40"/>
      <c r="G119" s="40"/>
      <c r="H119" s="40"/>
      <c r="I119" s="40"/>
      <c r="J119" s="40"/>
      <c r="K119" s="40"/>
      <c r="L119" s="40"/>
      <c r="M119" s="40"/>
    </row>
    <row r="120" spans="1:14" s="41" customFormat="1" ht="10.5">
      <c r="A120" s="39"/>
      <c r="C120" s="30"/>
      <c r="D120" s="40"/>
      <c r="E120" s="40"/>
      <c r="F120" s="40"/>
      <c r="G120" s="40"/>
      <c r="H120" s="40"/>
      <c r="I120" s="40"/>
      <c r="J120" s="40"/>
      <c r="K120" s="40"/>
      <c r="L120" s="40"/>
      <c r="M120" s="40"/>
    </row>
    <row r="121" spans="1:14" s="41" customFormat="1" ht="15">
      <c r="A121" s="32" t="s">
        <v>120</v>
      </c>
      <c r="B121" s="33"/>
      <c r="C121" s="33"/>
      <c r="D121" s="33"/>
      <c r="E121" s="33"/>
      <c r="F121" s="33"/>
      <c r="G121" s="33"/>
      <c r="H121" s="33"/>
      <c r="I121" s="33"/>
      <c r="J121" s="33"/>
      <c r="K121" s="33"/>
      <c r="L121" s="33"/>
      <c r="M121" s="33"/>
      <c r="N121" s="33"/>
    </row>
    <row r="122" spans="1:14" s="41" customFormat="1" ht="10.5">
      <c r="A122" s="36" t="s">
        <v>30</v>
      </c>
      <c r="B122" s="33"/>
      <c r="C122" s="33"/>
      <c r="D122" s="33"/>
      <c r="E122" s="33"/>
      <c r="F122" s="33"/>
      <c r="G122" s="33"/>
      <c r="H122" s="33"/>
      <c r="I122" s="33"/>
      <c r="J122" s="33"/>
      <c r="K122" s="33"/>
      <c r="L122" s="33"/>
      <c r="M122" s="33"/>
      <c r="N122" s="33"/>
    </row>
    <row r="123" spans="1:14" s="41" customFormat="1" ht="10.5">
      <c r="A123" s="36"/>
      <c r="B123" s="33"/>
      <c r="C123" s="33"/>
      <c r="D123" s="33"/>
      <c r="E123" s="33"/>
      <c r="F123" s="33"/>
      <c r="G123" s="33"/>
      <c r="H123" s="33"/>
      <c r="I123" s="33"/>
      <c r="J123" s="33"/>
      <c r="K123" s="33"/>
      <c r="L123" s="33"/>
      <c r="M123" s="33"/>
      <c r="N123" s="33"/>
    </row>
    <row r="124" spans="1:14" s="41" customFormat="1" ht="13.5">
      <c r="A124" s="36"/>
      <c r="B124" s="33"/>
      <c r="C124" s="33"/>
      <c r="D124" s="53">
        <v>2001</v>
      </c>
      <c r="E124" s="53">
        <v>2002</v>
      </c>
      <c r="F124" s="53">
        <v>2003</v>
      </c>
      <c r="G124" s="53">
        <v>2004</v>
      </c>
      <c r="H124" s="53">
        <v>2005</v>
      </c>
      <c r="I124" s="53">
        <v>2006</v>
      </c>
      <c r="J124" s="53">
        <v>2007</v>
      </c>
      <c r="K124" s="53">
        <v>2008</v>
      </c>
      <c r="L124" s="53">
        <v>2009</v>
      </c>
      <c r="M124" s="53">
        <v>2010</v>
      </c>
      <c r="N124" s="33"/>
    </row>
    <row r="125" spans="1:14" s="41" customFormat="1" ht="10.5">
      <c r="A125" s="39"/>
      <c r="C125" s="30"/>
      <c r="D125" s="40"/>
      <c r="E125" s="40"/>
      <c r="F125" s="40"/>
      <c r="G125" s="40"/>
      <c r="H125" s="40"/>
      <c r="I125" s="40"/>
      <c r="J125" s="40"/>
      <c r="K125" s="40"/>
      <c r="L125" s="40"/>
      <c r="M125" s="40"/>
    </row>
    <row r="126" spans="1:14" s="41" customFormat="1" ht="10.5">
      <c r="A126" s="39" t="s">
        <v>121</v>
      </c>
      <c r="C126" s="30"/>
      <c r="D126" s="40"/>
      <c r="E126" s="40"/>
      <c r="F126" s="40"/>
      <c r="G126" s="40"/>
      <c r="H126" s="40"/>
      <c r="I126" s="40"/>
      <c r="J126" s="40"/>
      <c r="K126" s="40"/>
      <c r="L126" s="40"/>
      <c r="M126" s="40"/>
    </row>
    <row r="127" spans="1:14" s="41" customFormat="1" ht="10">
      <c r="B127" s="30"/>
      <c r="C127" s="30" t="s">
        <v>63</v>
      </c>
      <c r="D127" s="41">
        <f t="shared" ref="D127:M127" ca="1" si="39">D73</f>
        <v>-242.39252182053468</v>
      </c>
      <c r="E127" s="41">
        <f t="shared" ca="1" si="39"/>
        <v>-19.967815952027422</v>
      </c>
      <c r="F127" s="41">
        <f t="shared" ca="1" si="39"/>
        <v>882.41423424082427</v>
      </c>
      <c r="G127" s="41">
        <f t="shared" ca="1" si="39"/>
        <v>1785.5442017401424</v>
      </c>
      <c r="H127" s="41">
        <f t="shared" ca="1" si="39"/>
        <v>3246.5748843887177</v>
      </c>
      <c r="I127" s="41">
        <f t="shared" ca="1" si="39"/>
        <v>4706.8966293970525</v>
      </c>
      <c r="J127" s="41">
        <f t="shared" ca="1" si="39"/>
        <v>6186.2147750302674</v>
      </c>
      <c r="K127" s="41">
        <f t="shared" ca="1" si="39"/>
        <v>7618.5058465397806</v>
      </c>
      <c r="L127" s="41">
        <f t="shared" ca="1" si="39"/>
        <v>8800.250106706455</v>
      </c>
      <c r="M127" s="41">
        <f t="shared" ca="1" si="39"/>
        <v>9865.152563622798</v>
      </c>
    </row>
    <row r="128" spans="1:14" s="41" customFormat="1" ht="10.5">
      <c r="B128" s="39"/>
      <c r="C128" s="30" t="s">
        <v>92</v>
      </c>
      <c r="D128" s="41">
        <f t="shared" ref="D128:M128" si="40">D56</f>
        <v>100</v>
      </c>
      <c r="E128" s="41">
        <f t="shared" si="40"/>
        <v>200</v>
      </c>
      <c r="F128" s="41">
        <f t="shared" si="40"/>
        <v>250</v>
      </c>
      <c r="G128" s="41">
        <f t="shared" si="40"/>
        <v>412.5</v>
      </c>
      <c r="H128" s="41">
        <f t="shared" si="40"/>
        <v>415.625</v>
      </c>
      <c r="I128" s="41">
        <f t="shared" si="40"/>
        <v>344.53125</v>
      </c>
      <c r="J128" s="41">
        <f t="shared" si="40"/>
        <v>287.109375</v>
      </c>
      <c r="K128" s="41">
        <f t="shared" si="40"/>
        <v>200.9765625</v>
      </c>
      <c r="L128" s="41">
        <f t="shared" si="40"/>
        <v>221.07421875</v>
      </c>
      <c r="M128" s="41">
        <f t="shared" si="40"/>
        <v>243.18164062500091</v>
      </c>
    </row>
    <row r="129" spans="1:13" s="41" customFormat="1" ht="10.5">
      <c r="B129" s="39"/>
      <c r="C129" s="30" t="s">
        <v>59</v>
      </c>
      <c r="D129" s="41">
        <f t="shared" ref="D129:M129" si="41">D62</f>
        <v>5.7</v>
      </c>
      <c r="E129" s="41">
        <f t="shared" si="41"/>
        <v>21.6</v>
      </c>
      <c r="F129" s="41">
        <f t="shared" si="41"/>
        <v>35.700000000000003</v>
      </c>
      <c r="G129" s="41">
        <f t="shared" si="41"/>
        <v>57.3</v>
      </c>
      <c r="H129" s="41">
        <f t="shared" si="41"/>
        <v>86.7</v>
      </c>
      <c r="I129" s="41">
        <f t="shared" si="41"/>
        <v>116.10000000000002</v>
      </c>
      <c r="J129" s="41">
        <f t="shared" si="41"/>
        <v>125.5</v>
      </c>
      <c r="K129" s="41">
        <f t="shared" si="41"/>
        <v>123.89999999999998</v>
      </c>
      <c r="L129" s="41">
        <f t="shared" si="41"/>
        <v>27.700000000000045</v>
      </c>
      <c r="M129" s="41">
        <f t="shared" si="41"/>
        <v>28.700000000000045</v>
      </c>
    </row>
    <row r="130" spans="1:13" s="41" customFormat="1" ht="10.5">
      <c r="B130" s="39"/>
      <c r="C130" s="30" t="s">
        <v>122</v>
      </c>
    </row>
    <row r="131" spans="1:13" s="41" customFormat="1" ht="10.5">
      <c r="B131" s="39"/>
      <c r="C131" s="30" t="s">
        <v>123</v>
      </c>
      <c r="D131" s="41">
        <f t="shared" ref="D131:M131" si="42">-(D83-C83)</f>
        <v>-1000</v>
      </c>
      <c r="E131" s="41">
        <f t="shared" si="42"/>
        <v>-2000</v>
      </c>
      <c r="F131" s="41">
        <f t="shared" si="42"/>
        <v>-2500</v>
      </c>
      <c r="G131" s="41">
        <f t="shared" si="42"/>
        <v>-4125</v>
      </c>
      <c r="H131" s="41">
        <f t="shared" si="42"/>
        <v>-4156.25</v>
      </c>
      <c r="I131" s="41">
        <f t="shared" si="42"/>
        <v>-3445.3125</v>
      </c>
      <c r="J131" s="41">
        <f t="shared" si="42"/>
        <v>-2871.09375</v>
      </c>
      <c r="K131" s="41">
        <f t="shared" si="42"/>
        <v>-2009.765625</v>
      </c>
      <c r="L131" s="41">
        <f t="shared" si="42"/>
        <v>-2210.7421875</v>
      </c>
      <c r="M131" s="41">
        <f t="shared" si="42"/>
        <v>-2431.8164062500073</v>
      </c>
    </row>
    <row r="132" spans="1:13" s="41" customFormat="1" ht="10.5">
      <c r="B132" s="39"/>
      <c r="C132" s="30" t="s">
        <v>124</v>
      </c>
      <c r="D132" s="41">
        <f t="shared" ref="D132:M132" ca="1" si="43">-D103+C103</f>
        <v>-5.4538317409620296</v>
      </c>
      <c r="E132" s="41">
        <f t="shared" ca="1" si="43"/>
        <v>-0.44927585892061739</v>
      </c>
      <c r="F132" s="41">
        <f t="shared" ca="1" si="43"/>
        <v>5.903107599882647</v>
      </c>
      <c r="G132" s="41">
        <f t="shared" ca="1" si="43"/>
        <v>0</v>
      </c>
      <c r="H132" s="41">
        <f t="shared" ca="1" si="43"/>
        <v>0</v>
      </c>
      <c r="I132" s="41">
        <f t="shared" ca="1" si="43"/>
        <v>0</v>
      </c>
      <c r="J132" s="41">
        <f t="shared" ca="1" si="43"/>
        <v>0</v>
      </c>
      <c r="K132" s="41">
        <f t="shared" ca="1" si="43"/>
        <v>0</v>
      </c>
      <c r="L132" s="41">
        <f t="shared" ca="1" si="43"/>
        <v>0</v>
      </c>
      <c r="M132" s="41">
        <f t="shared" ca="1" si="43"/>
        <v>0</v>
      </c>
    </row>
    <row r="133" spans="1:13" s="41" customFormat="1" ht="10.5">
      <c r="B133" s="39"/>
      <c r="C133" s="30" t="s">
        <v>125</v>
      </c>
    </row>
    <row r="134" spans="1:13" s="41" customFormat="1" ht="10.5">
      <c r="B134" s="39"/>
      <c r="C134" s="30" t="s">
        <v>126</v>
      </c>
      <c r="D134" s="41">
        <f t="shared" ref="D134:M134" si="44">D109-C109</f>
        <v>19.785</v>
      </c>
      <c r="E134" s="41">
        <f t="shared" si="44"/>
        <v>40.254999999999995</v>
      </c>
      <c r="F134" s="41">
        <f t="shared" si="44"/>
        <v>33.443750000000016</v>
      </c>
      <c r="G134" s="41">
        <f t="shared" si="44"/>
        <v>47.433437499999997</v>
      </c>
      <c r="H134" s="41">
        <f t="shared" si="44"/>
        <v>68.723046874999994</v>
      </c>
      <c r="I134" s="41">
        <f t="shared" si="44"/>
        <v>67.904648437499958</v>
      </c>
      <c r="J134" s="41">
        <f t="shared" si="44"/>
        <v>55.4900976562501</v>
      </c>
      <c r="K134" s="41">
        <f t="shared" si="44"/>
        <v>43.550498046874964</v>
      </c>
      <c r="L134" s="41">
        <f t="shared" si="44"/>
        <v>49.411547851562489</v>
      </c>
      <c r="M134" s="41">
        <f t="shared" si="44"/>
        <v>69.678310546875025</v>
      </c>
    </row>
    <row r="135" spans="1:13" s="41" customFormat="1" ht="11.5">
      <c r="B135" s="39"/>
      <c r="C135" s="30" t="s">
        <v>127</v>
      </c>
      <c r="D135" s="44">
        <f t="shared" ref="D135:M135" si="45">D110-C110</f>
        <v>100</v>
      </c>
      <c r="E135" s="44">
        <f t="shared" si="45"/>
        <v>200</v>
      </c>
      <c r="F135" s="44">
        <f t="shared" si="45"/>
        <v>250</v>
      </c>
      <c r="G135" s="44">
        <f t="shared" si="45"/>
        <v>412.5</v>
      </c>
      <c r="H135" s="44">
        <f t="shared" si="45"/>
        <v>415.625</v>
      </c>
      <c r="I135" s="44">
        <f t="shared" si="45"/>
        <v>344.53125</v>
      </c>
      <c r="J135" s="44">
        <f t="shared" si="45"/>
        <v>287.109375</v>
      </c>
      <c r="K135" s="44">
        <f t="shared" si="45"/>
        <v>200.9765625</v>
      </c>
      <c r="L135" s="44">
        <f t="shared" si="45"/>
        <v>221.07421875</v>
      </c>
      <c r="M135" s="44">
        <f t="shared" si="45"/>
        <v>243.18164062500091</v>
      </c>
    </row>
    <row r="136" spans="1:13" s="41" customFormat="1" ht="13.5">
      <c r="B136" s="39" t="s">
        <v>128</v>
      </c>
      <c r="C136" s="30"/>
      <c r="D136" s="55">
        <f t="shared" ref="D136:M136" ca="1" si="46">SUM(D127:D135)</f>
        <v>-1022.3613535614966</v>
      </c>
      <c r="E136" s="55">
        <f t="shared" ca="1" si="46"/>
        <v>-1558.562091810948</v>
      </c>
      <c r="F136" s="55">
        <f t="shared" ca="1" si="46"/>
        <v>-1042.5389081592932</v>
      </c>
      <c r="G136" s="55">
        <f t="shared" ca="1" si="46"/>
        <v>-1409.7223607598573</v>
      </c>
      <c r="H136" s="55">
        <f t="shared" ca="1" si="46"/>
        <v>76.997931263717533</v>
      </c>
      <c r="I136" s="55">
        <f t="shared" ca="1" si="46"/>
        <v>2134.6512778345527</v>
      </c>
      <c r="J136" s="55">
        <f t="shared" ca="1" si="46"/>
        <v>4070.3298726865178</v>
      </c>
      <c r="K136" s="55">
        <f t="shared" ca="1" si="46"/>
        <v>6178.1438445866552</v>
      </c>
      <c r="L136" s="55">
        <f t="shared" ca="1" si="46"/>
        <v>7108.767904558018</v>
      </c>
      <c r="M136" s="55">
        <f t="shared" ca="1" si="46"/>
        <v>8018.077749169669</v>
      </c>
    </row>
    <row r="137" spans="1:13" s="41" customFormat="1" ht="13.5">
      <c r="B137" s="39"/>
      <c r="C137" s="30"/>
      <c r="D137" s="55"/>
      <c r="E137" s="55"/>
      <c r="F137" s="55"/>
      <c r="G137" s="55"/>
      <c r="H137" s="55"/>
      <c r="I137" s="55"/>
      <c r="J137" s="55"/>
      <c r="K137" s="55"/>
      <c r="L137" s="55"/>
      <c r="M137" s="55"/>
    </row>
    <row r="138" spans="1:13" s="41" customFormat="1" ht="10.5">
      <c r="A138" s="40" t="s">
        <v>129</v>
      </c>
      <c r="B138" s="39"/>
      <c r="C138" s="30"/>
      <c r="D138" s="40"/>
      <c r="E138" s="40"/>
      <c r="F138" s="40"/>
      <c r="G138" s="40"/>
      <c r="H138" s="40"/>
      <c r="I138" s="40"/>
      <c r="J138" s="40"/>
      <c r="K138" s="40"/>
      <c r="L138" s="40"/>
      <c r="M138" s="40"/>
    </row>
    <row r="139" spans="1:13" s="41" customFormat="1" ht="11.5">
      <c r="B139" s="30" t="s">
        <v>130</v>
      </c>
      <c r="C139" s="30"/>
      <c r="D139" s="44">
        <f>-D87</f>
        <v>-52</v>
      </c>
      <c r="E139" s="44">
        <f t="shared" ref="E139:M139" si="47">-(E87-D87)</f>
        <v>-112</v>
      </c>
      <c r="F139" s="44">
        <f t="shared" si="47"/>
        <v>-54</v>
      </c>
      <c r="G139" s="44">
        <f t="shared" si="47"/>
        <v>-162</v>
      </c>
      <c r="H139" s="44">
        <f t="shared" si="47"/>
        <v>-162</v>
      </c>
      <c r="I139" s="44">
        <f t="shared" si="47"/>
        <v>-162</v>
      </c>
      <c r="J139" s="44">
        <f t="shared" si="47"/>
        <v>-108</v>
      </c>
      <c r="K139" s="44">
        <f t="shared" si="47"/>
        <v>-108</v>
      </c>
      <c r="L139" s="44">
        <f t="shared" si="47"/>
        <v>-162</v>
      </c>
      <c r="M139" s="44">
        <f t="shared" si="47"/>
        <v>-216</v>
      </c>
    </row>
    <row r="140" spans="1:13" s="41" customFormat="1" ht="11.5">
      <c r="B140" s="40" t="s">
        <v>131</v>
      </c>
      <c r="C140" s="30"/>
      <c r="D140" s="44">
        <f>SUM(D139:D139)</f>
        <v>-52</v>
      </c>
      <c r="E140" s="44">
        <f t="shared" ref="E140:M140" si="48">SUM(E139)</f>
        <v>-112</v>
      </c>
      <c r="F140" s="44">
        <f t="shared" si="48"/>
        <v>-54</v>
      </c>
      <c r="G140" s="44">
        <f t="shared" si="48"/>
        <v>-162</v>
      </c>
      <c r="H140" s="44">
        <f t="shared" si="48"/>
        <v>-162</v>
      </c>
      <c r="I140" s="44">
        <f t="shared" si="48"/>
        <v>-162</v>
      </c>
      <c r="J140" s="44">
        <f t="shared" si="48"/>
        <v>-108</v>
      </c>
      <c r="K140" s="44">
        <f t="shared" si="48"/>
        <v>-108</v>
      </c>
      <c r="L140" s="44">
        <f t="shared" si="48"/>
        <v>-162</v>
      </c>
      <c r="M140" s="44">
        <f t="shared" si="48"/>
        <v>-216</v>
      </c>
    </row>
    <row r="141" spans="1:13" s="41" customFormat="1" ht="10">
      <c r="B141" s="30"/>
      <c r="C141" s="30"/>
    </row>
    <row r="142" spans="1:13" s="41" customFormat="1" ht="10.5">
      <c r="A142" s="40" t="s">
        <v>132</v>
      </c>
      <c r="B142" s="30"/>
      <c r="C142" s="30"/>
    </row>
    <row r="143" spans="1:13" s="41" customFormat="1" ht="10">
      <c r="B143" s="30" t="s">
        <v>133</v>
      </c>
      <c r="C143" s="30"/>
      <c r="D143" s="41">
        <f>D111</f>
        <v>1100</v>
      </c>
      <c r="E143" s="41">
        <f t="shared" ref="E143:M143" si="49">E111-D111</f>
        <v>1400</v>
      </c>
      <c r="F143" s="41">
        <f t="shared" si="49"/>
        <v>0</v>
      </c>
      <c r="G143" s="41">
        <f t="shared" si="49"/>
        <v>0</v>
      </c>
      <c r="H143" s="41">
        <f t="shared" si="49"/>
        <v>0</v>
      </c>
      <c r="I143" s="41">
        <f t="shared" si="49"/>
        <v>-1500</v>
      </c>
      <c r="J143" s="41">
        <f t="shared" si="49"/>
        <v>-1000</v>
      </c>
      <c r="K143" s="41">
        <f t="shared" si="49"/>
        <v>0</v>
      </c>
      <c r="L143" s="41">
        <f t="shared" si="49"/>
        <v>0</v>
      </c>
      <c r="M143" s="41">
        <f t="shared" si="49"/>
        <v>0</v>
      </c>
    </row>
    <row r="144" spans="1:13" s="41" customFormat="1" ht="11.5">
      <c r="B144" s="30" t="s">
        <v>134</v>
      </c>
      <c r="C144" s="30"/>
      <c r="D144" s="44">
        <f>D116</f>
        <v>0</v>
      </c>
      <c r="E144" s="44">
        <f t="shared" ref="E144:M144" si="50">E116-D116</f>
        <v>500</v>
      </c>
      <c r="F144" s="44">
        <f t="shared" si="50"/>
        <v>1600</v>
      </c>
      <c r="G144" s="44">
        <f t="shared" si="50"/>
        <v>900</v>
      </c>
      <c r="H144" s="44">
        <f t="shared" si="50"/>
        <v>50</v>
      </c>
      <c r="I144" s="44">
        <f t="shared" si="50"/>
        <v>0</v>
      </c>
      <c r="J144" s="44">
        <f t="shared" si="50"/>
        <v>0</v>
      </c>
      <c r="K144" s="44">
        <f t="shared" si="50"/>
        <v>0</v>
      </c>
      <c r="L144" s="44">
        <f t="shared" si="50"/>
        <v>0</v>
      </c>
      <c r="M144" s="44">
        <f t="shared" si="50"/>
        <v>0</v>
      </c>
    </row>
    <row r="145" spans="1:13" s="41" customFormat="1" ht="11.5">
      <c r="B145" s="40" t="s">
        <v>135</v>
      </c>
      <c r="C145" s="30"/>
      <c r="D145" s="44">
        <f t="shared" ref="D145:M145" si="51">SUM(D143:D144)</f>
        <v>1100</v>
      </c>
      <c r="E145" s="44">
        <f t="shared" si="51"/>
        <v>1900</v>
      </c>
      <c r="F145" s="44">
        <f t="shared" si="51"/>
        <v>1600</v>
      </c>
      <c r="G145" s="44">
        <f t="shared" si="51"/>
        <v>900</v>
      </c>
      <c r="H145" s="44">
        <f t="shared" si="51"/>
        <v>50</v>
      </c>
      <c r="I145" s="44">
        <f t="shared" si="51"/>
        <v>-1500</v>
      </c>
      <c r="J145" s="44">
        <f t="shared" si="51"/>
        <v>-1000</v>
      </c>
      <c r="K145" s="44">
        <f t="shared" si="51"/>
        <v>0</v>
      </c>
      <c r="L145" s="44">
        <f t="shared" si="51"/>
        <v>0</v>
      </c>
      <c r="M145" s="44">
        <f t="shared" si="51"/>
        <v>0</v>
      </c>
    </row>
    <row r="146" spans="1:13" s="41" customFormat="1" ht="10">
      <c r="B146" s="30"/>
      <c r="C146" s="30"/>
    </row>
    <row r="147" spans="1:13" s="41" customFormat="1" ht="10">
      <c r="A147" s="41" t="s">
        <v>136</v>
      </c>
      <c r="B147" s="30"/>
      <c r="C147" s="30"/>
      <c r="D147" s="41">
        <f t="shared" ref="D147:M147" ca="1" si="52">D145+D140+D136</f>
        <v>25.638646438503429</v>
      </c>
      <c r="E147" s="41">
        <f t="shared" ca="1" si="52"/>
        <v>229.437908189052</v>
      </c>
      <c r="F147" s="41">
        <f t="shared" ca="1" si="52"/>
        <v>503.46109184070679</v>
      </c>
      <c r="G147" s="41">
        <f t="shared" ca="1" si="52"/>
        <v>-671.72236075985734</v>
      </c>
      <c r="H147" s="41">
        <f t="shared" ca="1" si="52"/>
        <v>-35.002068736282467</v>
      </c>
      <c r="I147" s="41">
        <f t="shared" ca="1" si="52"/>
        <v>472.65127783455273</v>
      </c>
      <c r="J147" s="41">
        <f t="shared" ca="1" si="52"/>
        <v>2962.3298726865178</v>
      </c>
      <c r="K147" s="41">
        <f t="shared" ca="1" si="52"/>
        <v>6070.1438445866552</v>
      </c>
      <c r="L147" s="41">
        <f t="shared" ca="1" si="52"/>
        <v>6946.767904558018</v>
      </c>
      <c r="M147" s="41">
        <f t="shared" ca="1" si="52"/>
        <v>7802.077749169669</v>
      </c>
    </row>
    <row r="148" spans="1:13" s="41" customFormat="1" ht="11.5">
      <c r="A148" s="41" t="s">
        <v>137</v>
      </c>
      <c r="B148" s="30"/>
      <c r="C148" s="30"/>
      <c r="D148" s="44">
        <v>0</v>
      </c>
      <c r="E148" s="44">
        <f t="shared" ref="E148:M148" ca="1" si="53">D149</f>
        <v>25.638646438503429</v>
      </c>
      <c r="F148" s="44">
        <f t="shared" ca="1" si="53"/>
        <v>255.07655462755542</v>
      </c>
      <c r="G148" s="44">
        <f t="shared" ca="1" si="53"/>
        <v>758.53764646826221</v>
      </c>
      <c r="H148" s="44">
        <f t="shared" ca="1" si="53"/>
        <v>86.815285708404872</v>
      </c>
      <c r="I148" s="44">
        <f t="shared" ca="1" si="53"/>
        <v>51.813216972122405</v>
      </c>
      <c r="J148" s="44">
        <f t="shared" ca="1" si="53"/>
        <v>524.46449480667513</v>
      </c>
      <c r="K148" s="44">
        <f t="shared" ca="1" si="53"/>
        <v>3486.794367493193</v>
      </c>
      <c r="L148" s="44">
        <f t="shared" ca="1" si="53"/>
        <v>9556.9382120798473</v>
      </c>
      <c r="M148" s="44">
        <f t="shared" ca="1" si="53"/>
        <v>16503.706116637866</v>
      </c>
    </row>
    <row r="149" spans="1:13" s="41" customFormat="1" ht="11.5">
      <c r="A149" s="41" t="s">
        <v>138</v>
      </c>
      <c r="B149" s="30"/>
      <c r="C149" s="30"/>
      <c r="D149" s="47">
        <f t="shared" ref="D149:M149" ca="1" si="54">D147+D148</f>
        <v>25.638646438503429</v>
      </c>
      <c r="E149" s="47">
        <f t="shared" ca="1" si="54"/>
        <v>255.07655462755542</v>
      </c>
      <c r="F149" s="47">
        <f t="shared" ca="1" si="54"/>
        <v>758.53764646826221</v>
      </c>
      <c r="G149" s="47">
        <f t="shared" ca="1" si="54"/>
        <v>86.815285708404872</v>
      </c>
      <c r="H149" s="47">
        <f t="shared" ca="1" si="54"/>
        <v>51.813216972122405</v>
      </c>
      <c r="I149" s="47">
        <f t="shared" ca="1" si="54"/>
        <v>524.46449480667513</v>
      </c>
      <c r="J149" s="47">
        <f t="shared" ca="1" si="54"/>
        <v>3486.794367493193</v>
      </c>
      <c r="K149" s="47">
        <f t="shared" ca="1" si="54"/>
        <v>9556.9382120798473</v>
      </c>
      <c r="L149" s="47">
        <f t="shared" ca="1" si="54"/>
        <v>16503.706116637866</v>
      </c>
      <c r="M149" s="47">
        <f t="shared" ca="1" si="54"/>
        <v>24305.783865807534</v>
      </c>
    </row>
    <row r="150" spans="1:13" s="41" customFormat="1" ht="10">
      <c r="B150" s="30"/>
      <c r="C150" s="30"/>
    </row>
    <row r="151" spans="1:13" s="41" customFormat="1" ht="10">
      <c r="B151" s="30"/>
      <c r="C151" s="30"/>
    </row>
    <row r="152" spans="1:13">
      <c r="C152" s="30" t="s">
        <v>76</v>
      </c>
      <c r="D152" s="30" t="s">
        <v>77</v>
      </c>
      <c r="E152" s="30" t="s">
        <v>78</v>
      </c>
      <c r="F152" s="30" t="s">
        <v>79</v>
      </c>
    </row>
    <row r="153" spans="1:13">
      <c r="C153" s="30">
        <v>1</v>
      </c>
      <c r="D153" s="42">
        <f>'Model Assumptions'!$C$4+C153</f>
        <v>2.5</v>
      </c>
      <c r="E153" s="42">
        <f>D11</f>
        <v>1000</v>
      </c>
      <c r="F153" s="41">
        <f>D24</f>
        <v>100</v>
      </c>
    </row>
    <row r="154" spans="1:13">
      <c r="C154" s="30">
        <v>2</v>
      </c>
      <c r="D154" s="42">
        <f>'Model Assumptions'!$C$4+C154</f>
        <v>3.5</v>
      </c>
      <c r="E154" s="42">
        <f>E11</f>
        <v>2000</v>
      </c>
      <c r="F154" s="41">
        <f>E24</f>
        <v>200</v>
      </c>
    </row>
    <row r="155" spans="1:13">
      <c r="C155" s="30">
        <v>3</v>
      </c>
      <c r="D155" s="42">
        <f>'Model Assumptions'!$C$4+C155</f>
        <v>4.5</v>
      </c>
      <c r="E155" s="42">
        <f>F11</f>
        <v>3500</v>
      </c>
      <c r="F155" s="41">
        <f>F24</f>
        <v>350</v>
      </c>
    </row>
    <row r="156" spans="1:13">
      <c r="C156" s="30">
        <v>4</v>
      </c>
      <c r="D156" s="42">
        <f>'Model Assumptions'!$C$4+C156</f>
        <v>5.5</v>
      </c>
      <c r="E156" s="42">
        <f>G11</f>
        <v>6125</v>
      </c>
      <c r="F156" s="41">
        <f>G24</f>
        <v>612.5</v>
      </c>
      <c r="H156" s="39"/>
    </row>
    <row r="157" spans="1:13">
      <c r="C157" s="30">
        <v>5</v>
      </c>
      <c r="D157" s="42">
        <f>'Model Assumptions'!$C$4+C157</f>
        <v>6.5</v>
      </c>
      <c r="E157" s="42">
        <f>H11</f>
        <v>7656.25</v>
      </c>
      <c r="F157" s="41">
        <f>H24</f>
        <v>765.625</v>
      </c>
    </row>
    <row r="158" spans="1:13">
      <c r="C158" s="30">
        <v>6</v>
      </c>
      <c r="D158" s="42">
        <f>'Model Assumptions'!$C$4+C158</f>
        <v>7.5</v>
      </c>
      <c r="E158" s="42">
        <f>I11</f>
        <v>9570.3125</v>
      </c>
      <c r="F158" s="41">
        <f>I24</f>
        <v>957.03125</v>
      </c>
    </row>
    <row r="159" spans="1:13">
      <c r="C159" s="30">
        <v>7</v>
      </c>
      <c r="D159" s="42">
        <f>'Model Assumptions'!$C$4+C159</f>
        <v>8.5</v>
      </c>
      <c r="E159" s="42">
        <f>J11</f>
        <v>10527.34375</v>
      </c>
      <c r="F159" s="41">
        <f>J24</f>
        <v>1052.734375</v>
      </c>
    </row>
    <row r="160" spans="1:13">
      <c r="C160" s="30">
        <v>8</v>
      </c>
      <c r="D160" s="42">
        <f>'Model Assumptions'!$C$4+C160</f>
        <v>9.5</v>
      </c>
      <c r="E160" s="42">
        <f>K11</f>
        <v>11580.078125000002</v>
      </c>
      <c r="F160" s="41">
        <f>K24</f>
        <v>1158.0078125000002</v>
      </c>
    </row>
    <row r="161" spans="3:6">
      <c r="C161" s="30">
        <v>9</v>
      </c>
      <c r="D161" s="42">
        <f>'Model Assumptions'!$C$4+C161</f>
        <v>10.5</v>
      </c>
      <c r="E161" s="42">
        <f>L11</f>
        <v>12738.085937500004</v>
      </c>
      <c r="F161" s="41">
        <f>L24</f>
        <v>1273.8085937500005</v>
      </c>
    </row>
    <row r="162" spans="3:6">
      <c r="C162" s="30">
        <v>10</v>
      </c>
      <c r="D162" s="42">
        <f>'Model Assumptions'!$C$4+C162</f>
        <v>11.5</v>
      </c>
      <c r="E162" s="42">
        <f>M11</f>
        <v>14011.894531250005</v>
      </c>
      <c r="F162" s="41">
        <f>M24</f>
        <v>1401.1894531250005</v>
      </c>
    </row>
  </sheetData>
  <mergeCells count="1">
    <mergeCell ref="A1:L1"/>
  </mergeCells>
  <phoneticPr fontId="2" type="noConversion"/>
  <printOptions horizontalCentered="1"/>
  <pageMargins left="0.5" right="0.5" top="0.5" bottom="0.5" header="0.5" footer="0.5"/>
  <pageSetup scale="70" fitToHeight="2" orientation="landscape" verticalDpi="300" r:id="rId1"/>
  <headerFooter alignWithMargins="0"/>
  <rowBreaks count="3" manualBreakCount="3">
    <brk id="38" max="16383" man="1"/>
    <brk id="75" max="16383" man="1"/>
    <brk id="119" max="16383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S71"/>
  <sheetViews>
    <sheetView zoomScale="75" workbookViewId="0">
      <selection activeCell="C4" sqref="C4"/>
    </sheetView>
  </sheetViews>
  <sheetFormatPr defaultColWidth="10.69921875" defaultRowHeight="13"/>
  <cols>
    <col min="1" max="1" width="5.69921875" style="104" customWidth="1"/>
    <col min="2" max="2" width="10.69921875" style="104" customWidth="1"/>
    <col min="3" max="3" width="24" style="104" customWidth="1"/>
    <col min="4" max="4" width="11.5" style="104" customWidth="1"/>
    <col min="5" max="16384" width="10.69921875" style="104"/>
  </cols>
  <sheetData>
    <row r="1" spans="1:19">
      <c r="A1" s="116" t="s">
        <v>200</v>
      </c>
    </row>
    <row r="3" spans="1:19" s="100" customFormat="1">
      <c r="A3" s="98" t="s">
        <v>182</v>
      </c>
      <c r="B3" s="99"/>
      <c r="C3" s="99"/>
      <c r="D3" s="99"/>
      <c r="E3" s="99"/>
      <c r="F3" s="99"/>
      <c r="G3" s="99"/>
      <c r="H3" s="99"/>
      <c r="I3" s="99"/>
      <c r="J3" s="99"/>
      <c r="K3" s="99"/>
      <c r="L3" s="99"/>
      <c r="M3" s="99"/>
      <c r="N3" s="99"/>
      <c r="O3" s="99"/>
    </row>
    <row r="4" spans="1:19" s="100" customFormat="1" ht="13.5">
      <c r="A4" s="101" t="s">
        <v>30</v>
      </c>
      <c r="B4" s="99"/>
      <c r="C4" s="99"/>
      <c r="D4" s="99"/>
      <c r="E4" s="99"/>
      <c r="F4" s="99"/>
      <c r="G4" s="99"/>
      <c r="H4" s="99"/>
      <c r="I4" s="99"/>
      <c r="J4" s="99"/>
      <c r="K4" s="99"/>
      <c r="L4" s="99"/>
      <c r="M4" s="99"/>
      <c r="N4" s="99"/>
      <c r="O4" s="99"/>
    </row>
    <row r="5" spans="1:19" s="100" customFormat="1" ht="13.5">
      <c r="A5" s="101"/>
      <c r="B5" s="99"/>
      <c r="C5" s="99"/>
      <c r="D5" s="99"/>
      <c r="E5" s="99"/>
      <c r="F5" s="99"/>
      <c r="G5" s="99"/>
      <c r="H5" s="99"/>
      <c r="I5" s="99"/>
      <c r="J5" s="99"/>
      <c r="K5" s="99"/>
      <c r="L5" s="99"/>
      <c r="M5" s="99"/>
      <c r="N5" s="99"/>
      <c r="O5" s="98" t="s">
        <v>31</v>
      </c>
    </row>
    <row r="6" spans="1:19" s="100" customFormat="1" ht="14.5">
      <c r="A6" s="101"/>
      <c r="B6" s="99"/>
      <c r="C6" s="99"/>
      <c r="D6" s="102">
        <v>2000</v>
      </c>
      <c r="E6" s="102">
        <v>2001</v>
      </c>
      <c r="F6" s="102">
        <v>2002</v>
      </c>
      <c r="G6" s="102">
        <v>2003</v>
      </c>
      <c r="H6" s="102">
        <v>2004</v>
      </c>
      <c r="I6" s="102">
        <v>2005</v>
      </c>
      <c r="J6" s="102">
        <v>2006</v>
      </c>
      <c r="K6" s="102">
        <v>2007</v>
      </c>
      <c r="L6" s="102">
        <v>2008</v>
      </c>
      <c r="M6" s="102">
        <v>2009</v>
      </c>
      <c r="N6" s="102">
        <v>2010</v>
      </c>
      <c r="O6" s="103" t="s">
        <v>183</v>
      </c>
    </row>
    <row r="7" spans="1:19">
      <c r="B7" s="104" t="s">
        <v>63</v>
      </c>
      <c r="E7" s="105">
        <f ca="1">'Financial Model'!D73</f>
        <v>-242.39252182053468</v>
      </c>
      <c r="F7" s="105">
        <f ca="1">'Financial Model'!E73</f>
        <v>-19.967815952027422</v>
      </c>
      <c r="G7" s="105">
        <f ca="1">'Financial Model'!F73</f>
        <v>882.41423424082427</v>
      </c>
      <c r="H7" s="105">
        <f ca="1">'Financial Model'!G73</f>
        <v>1785.5442017401424</v>
      </c>
      <c r="I7" s="105">
        <f ca="1">'Financial Model'!H73</f>
        <v>3246.5748843887177</v>
      </c>
      <c r="J7" s="105">
        <f ca="1">'Financial Model'!I73</f>
        <v>4706.8966293970525</v>
      </c>
      <c r="K7" s="105">
        <f ca="1">'Financial Model'!J73</f>
        <v>6186.2147750302674</v>
      </c>
      <c r="L7" s="105">
        <f ca="1">'Financial Model'!K73</f>
        <v>7618.5058465397806</v>
      </c>
      <c r="M7" s="105">
        <f ca="1">'Financial Model'!L73</f>
        <v>8800.250106706455</v>
      </c>
      <c r="N7" s="105">
        <f ca="1">'Financial Model'!M73</f>
        <v>9865.152563622798</v>
      </c>
      <c r="O7" s="105"/>
      <c r="P7" s="105"/>
      <c r="Q7" s="105"/>
      <c r="R7" s="105"/>
      <c r="S7" s="105"/>
    </row>
    <row r="8" spans="1:19">
      <c r="A8" s="106" t="s">
        <v>184</v>
      </c>
      <c r="E8" s="105"/>
      <c r="F8" s="105"/>
      <c r="G8" s="105"/>
      <c r="H8" s="105"/>
      <c r="I8" s="105"/>
      <c r="J8" s="105"/>
      <c r="K8" s="105"/>
      <c r="L8" s="105"/>
      <c r="M8" s="105"/>
      <c r="N8" s="105"/>
      <c r="O8" s="105"/>
      <c r="P8" s="105"/>
      <c r="Q8" s="105"/>
      <c r="R8" s="105"/>
      <c r="S8" s="105"/>
    </row>
    <row r="9" spans="1:19">
      <c r="B9" s="104" t="s">
        <v>59</v>
      </c>
      <c r="E9" s="105">
        <f>'Financial Model'!D62</f>
        <v>5.7</v>
      </c>
      <c r="F9" s="105">
        <f>'Financial Model'!E62</f>
        <v>21.6</v>
      </c>
      <c r="G9" s="105">
        <f>'Financial Model'!F62</f>
        <v>35.700000000000003</v>
      </c>
      <c r="H9" s="105">
        <f>'Financial Model'!G62</f>
        <v>57.3</v>
      </c>
      <c r="I9" s="105">
        <f>'Financial Model'!H62</f>
        <v>86.7</v>
      </c>
      <c r="J9" s="105">
        <f>'Financial Model'!I62</f>
        <v>116.10000000000002</v>
      </c>
      <c r="K9" s="105">
        <f>'Financial Model'!J62</f>
        <v>125.5</v>
      </c>
      <c r="L9" s="105">
        <f>'Financial Model'!K62</f>
        <v>123.89999999999998</v>
      </c>
      <c r="M9" s="105">
        <f>'Financial Model'!L62</f>
        <v>27.700000000000045</v>
      </c>
      <c r="N9" s="105">
        <f>'Financial Model'!M62</f>
        <v>28.700000000000045</v>
      </c>
      <c r="O9" s="105"/>
      <c r="P9" s="105"/>
      <c r="Q9" s="105"/>
      <c r="R9" s="105"/>
      <c r="S9" s="105"/>
    </row>
    <row r="10" spans="1:19">
      <c r="B10" s="104" t="s">
        <v>92</v>
      </c>
      <c r="E10" s="105">
        <f>'Financial Model'!D56</f>
        <v>100</v>
      </c>
      <c r="F10" s="105">
        <f>'Financial Model'!E56</f>
        <v>200</v>
      </c>
      <c r="G10" s="105">
        <f>'Financial Model'!F56</f>
        <v>250</v>
      </c>
      <c r="H10" s="105">
        <f>'Financial Model'!G56</f>
        <v>412.5</v>
      </c>
      <c r="I10" s="105">
        <f>'Financial Model'!H56</f>
        <v>415.625</v>
      </c>
      <c r="J10" s="105">
        <f>'Financial Model'!I56</f>
        <v>344.53125</v>
      </c>
      <c r="K10" s="105">
        <f>'Financial Model'!J56</f>
        <v>287.109375</v>
      </c>
      <c r="L10" s="105">
        <f>'Financial Model'!K56</f>
        <v>200.9765625</v>
      </c>
      <c r="M10" s="105">
        <f>'Financial Model'!L56</f>
        <v>221.07421875</v>
      </c>
      <c r="N10" s="105">
        <f>'Financial Model'!M56</f>
        <v>243.18164062500091</v>
      </c>
      <c r="O10" s="105"/>
      <c r="P10" s="105"/>
      <c r="Q10" s="105"/>
      <c r="R10" s="105"/>
      <c r="S10" s="105"/>
    </row>
    <row r="11" spans="1:19">
      <c r="A11" s="104" t="s">
        <v>185</v>
      </c>
      <c r="E11" s="105">
        <f ca="1">'Financial Model'!D131+'Financial Model'!D132+'Financial Model'!D134+'Financial Model'!D135</f>
        <v>-885.6688317409621</v>
      </c>
      <c r="F11" s="105">
        <f ca="1">'Financial Model'!E131+'Financial Model'!E132+'Financial Model'!E134+'Financial Model'!E135</f>
        <v>-1760.1942758589207</v>
      </c>
      <c r="G11" s="105">
        <f ca="1">'Financial Model'!F131+'Financial Model'!F132+'Financial Model'!F134+'Financial Model'!F135</f>
        <v>-2210.6531424001173</v>
      </c>
      <c r="H11" s="105">
        <f ca="1">'Financial Model'!G131+'Financial Model'!G132+'Financial Model'!G134+'Financial Model'!G135</f>
        <v>-3665.0665625000001</v>
      </c>
      <c r="I11" s="105">
        <f ca="1">'Financial Model'!H131+'Financial Model'!H132+'Financial Model'!H134+'Financial Model'!H135</f>
        <v>-3671.9019531250001</v>
      </c>
      <c r="J11" s="105">
        <f ca="1">'Financial Model'!I131+'Financial Model'!I132+'Financial Model'!I134+'Financial Model'!I135</f>
        <v>-3032.8766015625001</v>
      </c>
      <c r="K11" s="105">
        <f ca="1">'Financial Model'!J131+'Financial Model'!J132+'Financial Model'!J134+'Financial Model'!J135</f>
        <v>-2528.4942773437497</v>
      </c>
      <c r="L11" s="105">
        <f ca="1">'Financial Model'!K131+'Financial Model'!K132+'Financial Model'!K134+'Financial Model'!K135</f>
        <v>-1765.238564453125</v>
      </c>
      <c r="M11" s="105">
        <f ca="1">'Financial Model'!L131+'Financial Model'!L132+'Financial Model'!L134+'Financial Model'!L135</f>
        <v>-1940.2564208984377</v>
      </c>
      <c r="N11" s="105">
        <f ca="1">'Financial Model'!M131+'Financial Model'!M132+'Financial Model'!M134+'Financial Model'!M135</f>
        <v>-2118.9564550781315</v>
      </c>
      <c r="O11" s="105"/>
      <c r="P11" s="105"/>
      <c r="Q11" s="105"/>
      <c r="R11" s="105"/>
      <c r="S11" s="105"/>
    </row>
    <row r="12" spans="1:19" ht="14.5">
      <c r="A12" s="104" t="s">
        <v>186</v>
      </c>
      <c r="E12" s="107">
        <f>'Financial Model'!D139</f>
        <v>-52</v>
      </c>
      <c r="F12" s="107">
        <f>'Financial Model'!E139</f>
        <v>-112</v>
      </c>
      <c r="G12" s="107">
        <f>'Financial Model'!F139</f>
        <v>-54</v>
      </c>
      <c r="H12" s="107">
        <f>'Financial Model'!G139</f>
        <v>-162</v>
      </c>
      <c r="I12" s="107">
        <f>'Financial Model'!H139</f>
        <v>-162</v>
      </c>
      <c r="J12" s="107">
        <f>'Financial Model'!I139</f>
        <v>-162</v>
      </c>
      <c r="K12" s="107">
        <f>'Financial Model'!J139</f>
        <v>-108</v>
      </c>
      <c r="L12" s="107">
        <f>'Financial Model'!K139</f>
        <v>-108</v>
      </c>
      <c r="M12" s="107">
        <f>'Financial Model'!L139</f>
        <v>-162</v>
      </c>
      <c r="N12" s="107">
        <f>'Financial Model'!M139</f>
        <v>-216</v>
      </c>
      <c r="O12" s="105"/>
      <c r="P12" s="105"/>
      <c r="Q12" s="105"/>
      <c r="R12" s="105"/>
      <c r="S12" s="105"/>
    </row>
    <row r="13" spans="1:19" ht="14.5">
      <c r="B13" s="108" t="s">
        <v>187</v>
      </c>
      <c r="E13" s="107">
        <f t="shared" ref="E13:N13" ca="1" si="0">SUM(E7:E12)</f>
        <v>-1074.3613535614968</v>
      </c>
      <c r="F13" s="107">
        <f t="shared" ca="1" si="0"/>
        <v>-1670.5620918109482</v>
      </c>
      <c r="G13" s="107">
        <f t="shared" ca="1" si="0"/>
        <v>-1096.538908159293</v>
      </c>
      <c r="H13" s="107">
        <f t="shared" ca="1" si="0"/>
        <v>-1571.722360759858</v>
      </c>
      <c r="I13" s="107">
        <f t="shared" ca="1" si="0"/>
        <v>-85.002068736282581</v>
      </c>
      <c r="J13" s="107">
        <f t="shared" ca="1" si="0"/>
        <v>1972.6512778345527</v>
      </c>
      <c r="K13" s="107">
        <f t="shared" ca="1" si="0"/>
        <v>3962.3298726865178</v>
      </c>
      <c r="L13" s="107">
        <f t="shared" ca="1" si="0"/>
        <v>6070.1438445866552</v>
      </c>
      <c r="M13" s="107">
        <f t="shared" ca="1" si="0"/>
        <v>6946.767904558018</v>
      </c>
      <c r="N13" s="107">
        <f t="shared" ca="1" si="0"/>
        <v>7802.077749169669</v>
      </c>
      <c r="O13" s="105">
        <f ca="1">N13*(1+'Model Assumptions'!C11)/('Model Assumptions'!C13-'Model Assumptions'!C11)</f>
        <v>43787.171041258356</v>
      </c>
      <c r="P13" s="105"/>
      <c r="Q13" s="105"/>
      <c r="R13" s="105"/>
      <c r="S13" s="105"/>
    </row>
    <row r="14" spans="1:19">
      <c r="E14" s="105"/>
      <c r="F14" s="105"/>
      <c r="G14" s="105"/>
      <c r="H14" s="105"/>
      <c r="I14" s="105"/>
      <c r="J14" s="105"/>
      <c r="K14" s="105"/>
      <c r="L14" s="105"/>
      <c r="M14" s="105"/>
      <c r="N14" s="105"/>
      <c r="O14" s="105"/>
      <c r="P14" s="105"/>
      <c r="Q14" s="105"/>
      <c r="R14" s="105"/>
      <c r="S14" s="105"/>
    </row>
    <row r="15" spans="1:19">
      <c r="A15" s="104" t="s">
        <v>188</v>
      </c>
      <c r="E15" s="105">
        <f ca="1">E13/(1+'Model Assumptions'!$C$13)^('NPV Calculation'!E6-'NPV Calculation'!$D$6)</f>
        <v>-828.98252589621666</v>
      </c>
      <c r="F15" s="105">
        <f ca="1">F13/(1+'Model Assumptions'!$C$13)^('NPV Calculation'!F6-'NPV Calculation'!$D$6)</f>
        <v>-994.60953682922059</v>
      </c>
      <c r="G15" s="105">
        <f ca="1">G13/(1+'Model Assumptions'!$C$13)^('NPV Calculation'!G6-'NPV Calculation'!$D$6)</f>
        <v>-503.74302015619304</v>
      </c>
      <c r="H15" s="105">
        <f ca="1">H13/(1+'Model Assumptions'!$C$13)^('NPV Calculation'!H6-'NPV Calculation'!$D$6)</f>
        <v>-557.12907767467823</v>
      </c>
      <c r="I15" s="105">
        <f ca="1">I13/(1+'Model Assumptions'!$C$13)^('NPV Calculation'!I6-'NPV Calculation'!$D$6)</f>
        <v>-23.249011258609034</v>
      </c>
      <c r="J15" s="105">
        <f ca="1">J13/(1+'Model Assumptions'!$C$13)^('NPV Calculation'!J6-'NPV Calculation'!$D$6)</f>
        <v>416.31332241682475</v>
      </c>
      <c r="K15" s="105">
        <f ca="1">K13/(1+'Model Assumptions'!$C$13)^('NPV Calculation'!K6-'NPV Calculation'!$D$6)</f>
        <v>645.23158406430889</v>
      </c>
      <c r="L15" s="105">
        <f ca="1">L13/(1+'Model Assumptions'!$C$13)^('NPV Calculation'!L6-'NPV Calculation'!$D$6)</f>
        <v>762.70917441131451</v>
      </c>
      <c r="M15" s="105">
        <f ca="1">M13/(1+'Model Assumptions'!$C$13)^('NPV Calculation'!M6-'NPV Calculation'!$D$6)</f>
        <v>673.50027173348951</v>
      </c>
      <c r="N15" s="105">
        <f ca="1">N13/(1+'Model Assumptions'!$C$13)^('NPV Calculation'!N6-'NPV Calculation'!$D$6)</f>
        <v>583.66044036884534</v>
      </c>
      <c r="O15" s="105">
        <f ca="1">O13/(1+'Model Assumptions'!$C$13-'Model Assumptions'!$C$14)^('NPV Calculation'!N6-'NPV Calculation'!$D$6)</f>
        <v>4854.7454613624377</v>
      </c>
      <c r="P15" s="105"/>
      <c r="Q15" s="105"/>
      <c r="R15" s="105"/>
      <c r="S15" s="105"/>
    </row>
    <row r="16" spans="1:19" ht="13.5" thickBot="1">
      <c r="A16" s="104" t="s">
        <v>189</v>
      </c>
      <c r="D16" s="109">
        <f ca="1">SUM(E15:O15)</f>
        <v>5028.4470825423032</v>
      </c>
      <c r="E16" s="110"/>
      <c r="F16" s="105"/>
      <c r="G16" s="105"/>
      <c r="H16" s="105"/>
      <c r="I16" s="105"/>
      <c r="J16" s="105"/>
      <c r="K16" s="105"/>
      <c r="L16" s="105"/>
      <c r="M16" s="105"/>
      <c r="N16" s="105"/>
      <c r="O16" s="105"/>
      <c r="P16" s="105"/>
      <c r="Q16" s="105"/>
      <c r="R16" s="105"/>
      <c r="S16" s="105"/>
    </row>
    <row r="17" spans="1:19" ht="13.5" thickTop="1">
      <c r="E17" s="105"/>
      <c r="F17" s="105"/>
      <c r="G17" s="105"/>
      <c r="H17" s="105"/>
      <c r="I17" s="105"/>
      <c r="J17" s="105"/>
      <c r="K17" s="105"/>
      <c r="L17" s="105"/>
      <c r="M17" s="105"/>
      <c r="N17" s="105"/>
      <c r="O17" s="105"/>
      <c r="P17" s="105"/>
      <c r="Q17" s="105"/>
      <c r="R17" s="105"/>
      <c r="S17" s="105"/>
    </row>
    <row r="18" spans="1:19">
      <c r="A18" s="104" t="s">
        <v>190</v>
      </c>
      <c r="E18" s="105">
        <f>IF(-'Financial Model'!D143&lt;0,-'Financial Model'!D143,0)</f>
        <v>-1100</v>
      </c>
      <c r="F18" s="105">
        <f>IF(-'Financial Model'!E143&lt;0,-'Financial Model'!E143,0)</f>
        <v>-1400</v>
      </c>
      <c r="G18" s="105">
        <f>IF(-'Financial Model'!F143&lt;0,-'Financial Model'!F143,0)</f>
        <v>0</v>
      </c>
      <c r="H18" s="105">
        <f>IF(-'Financial Model'!G143&lt;0,-'Financial Model'!G143,0)</f>
        <v>0</v>
      </c>
      <c r="I18" s="105">
        <f>IF(-'Financial Model'!H143&lt;0,-'Financial Model'!H143,0)</f>
        <v>0</v>
      </c>
      <c r="J18" s="105">
        <f>IF(-'Financial Model'!I143&lt;0,-'Financial Model'!I143,0)</f>
        <v>0</v>
      </c>
      <c r="K18" s="105">
        <f>IF(-'Financial Model'!J143&lt;0,-'Financial Model'!J143,0)</f>
        <v>0</v>
      </c>
      <c r="L18" s="105">
        <f>IF(-'Financial Model'!K143&lt;0,-'Financial Model'!K143,0)</f>
        <v>0</v>
      </c>
      <c r="M18" s="105">
        <f>IF(-'Financial Model'!L143&lt;0,-'Financial Model'!L143,0)</f>
        <v>0</v>
      </c>
      <c r="N18" s="105">
        <f>IF(-'Financial Model'!M143&lt;0,-'Financial Model'!M143,0)</f>
        <v>0</v>
      </c>
      <c r="O18" s="105"/>
      <c r="P18" s="105"/>
      <c r="Q18" s="105"/>
      <c r="R18" s="105"/>
      <c r="S18" s="105"/>
    </row>
    <row r="19" spans="1:19" ht="14.5">
      <c r="A19" s="104" t="s">
        <v>191</v>
      </c>
      <c r="E19" s="107">
        <f>IF(-'Financial Model'!D144&lt;0,-'Financial Model'!D144,0)</f>
        <v>0</v>
      </c>
      <c r="F19" s="107">
        <f>IF(-'Financial Model'!E144&lt;0,-'Financial Model'!E144,0)</f>
        <v>-500</v>
      </c>
      <c r="G19" s="107">
        <f>IF(-'Financial Model'!F144&lt;0,-'Financial Model'!F144,0)</f>
        <v>-1600</v>
      </c>
      <c r="H19" s="107">
        <f>IF(-'Financial Model'!G144&lt;0,-'Financial Model'!G144,0)</f>
        <v>-900</v>
      </c>
      <c r="I19" s="107">
        <f>IF(-'Financial Model'!H144&lt;0,-'Financial Model'!H144,0)</f>
        <v>-50</v>
      </c>
      <c r="J19" s="107">
        <f>IF(-'Financial Model'!I144&lt;0,-'Financial Model'!I144,0)</f>
        <v>0</v>
      </c>
      <c r="K19" s="107">
        <f>IF(-'Financial Model'!J144&lt;0,-'Financial Model'!J144,0)</f>
        <v>0</v>
      </c>
      <c r="L19" s="107">
        <f>IF(-'Financial Model'!K144&lt;0,-'Financial Model'!K144,0)</f>
        <v>0</v>
      </c>
      <c r="M19" s="107">
        <f>IF(-'Financial Model'!L144&lt;0,-'Financial Model'!L144,0)</f>
        <v>0</v>
      </c>
      <c r="N19" s="107">
        <f>IF(-'Financial Model'!M144&lt;0,-'Financial Model'!M144,0)</f>
        <v>0</v>
      </c>
      <c r="O19" s="105"/>
      <c r="P19" s="105"/>
      <c r="Q19" s="105"/>
      <c r="R19" s="105"/>
      <c r="S19" s="105"/>
    </row>
    <row r="20" spans="1:19" ht="14.5">
      <c r="B20" s="104" t="s">
        <v>192</v>
      </c>
      <c r="E20" s="111">
        <f>IF(-'Financial Model'!D145&lt;0,-'Financial Model'!D145,0)</f>
        <v>-1100</v>
      </c>
      <c r="F20" s="111">
        <f>IF(-'Financial Model'!E145&lt;0,-'Financial Model'!E145,0)</f>
        <v>-1900</v>
      </c>
      <c r="G20" s="111">
        <f>IF(-'Financial Model'!F145&lt;0,-'Financial Model'!F145,0)</f>
        <v>-1600</v>
      </c>
      <c r="H20" s="111">
        <f>IF(-'Financial Model'!G145&lt;0,-'Financial Model'!G145,0)</f>
        <v>-900</v>
      </c>
      <c r="I20" s="111">
        <f>IF(-'Financial Model'!H145&lt;0,-'Financial Model'!H145,0)</f>
        <v>-50</v>
      </c>
      <c r="J20" s="111">
        <f>IF(-'Financial Model'!I145&lt;0,-'Financial Model'!I145,0)</f>
        <v>0</v>
      </c>
      <c r="K20" s="111">
        <f>IF(-'Financial Model'!J145&lt;0,-'Financial Model'!J145,0)</f>
        <v>0</v>
      </c>
      <c r="L20" s="111">
        <f>IF(-'Financial Model'!K145&lt;0,-'Financial Model'!K145,0)</f>
        <v>0</v>
      </c>
      <c r="M20" s="111">
        <f>IF(-'Financial Model'!L145&lt;0,-'Financial Model'!L145,0)</f>
        <v>0</v>
      </c>
      <c r="N20" s="111">
        <f>IF(-'Financial Model'!M145&lt;0,-'Financial Model'!M145,0)</f>
        <v>0</v>
      </c>
      <c r="O20" s="105"/>
      <c r="P20" s="105"/>
      <c r="Q20" s="105"/>
      <c r="R20" s="105"/>
      <c r="S20" s="105"/>
    </row>
    <row r="21" spans="1:19">
      <c r="E21" s="105"/>
      <c r="F21" s="105"/>
      <c r="G21" s="105"/>
      <c r="H21" s="105"/>
      <c r="I21" s="105"/>
      <c r="J21" s="105"/>
      <c r="K21" s="105"/>
      <c r="L21" s="105"/>
      <c r="M21" s="105"/>
      <c r="N21" s="105"/>
      <c r="O21" s="105"/>
      <c r="P21" s="105"/>
      <c r="Q21" s="105"/>
      <c r="R21" s="105"/>
      <c r="S21" s="105"/>
    </row>
    <row r="22" spans="1:19">
      <c r="A22" s="104" t="s">
        <v>193</v>
      </c>
      <c r="E22" s="105">
        <f t="shared" ref="E22:N22" si="1">E20/(1+$H$28)^(E6-$D$6)</f>
        <v>-1043.8908659549229</v>
      </c>
      <c r="F22" s="105">
        <f t="shared" si="1"/>
        <v>-1711.1119554097734</v>
      </c>
      <c r="G22" s="105">
        <f t="shared" si="1"/>
        <v>-1367.4366628735156</v>
      </c>
      <c r="H22" s="105">
        <f t="shared" si="1"/>
        <v>-729.94839655169892</v>
      </c>
      <c r="I22" s="105">
        <f t="shared" si="1"/>
        <v>-38.484164837311134</v>
      </c>
      <c r="J22" s="105">
        <f t="shared" si="1"/>
        <v>0</v>
      </c>
      <c r="K22" s="105">
        <f t="shared" si="1"/>
        <v>0</v>
      </c>
      <c r="L22" s="105">
        <f t="shared" si="1"/>
        <v>0</v>
      </c>
      <c r="M22" s="105">
        <f t="shared" si="1"/>
        <v>0</v>
      </c>
      <c r="N22" s="105">
        <f t="shared" si="1"/>
        <v>0</v>
      </c>
      <c r="O22" s="105"/>
      <c r="P22" s="105"/>
      <c r="Q22" s="105"/>
      <c r="R22" s="105"/>
      <c r="S22" s="105"/>
    </row>
    <row r="23" spans="1:19" ht="13.5" thickBot="1">
      <c r="A23" s="104" t="s">
        <v>194</v>
      </c>
      <c r="D23" s="109">
        <f>SUM(E22:N22)</f>
        <v>-4890.8720456272222</v>
      </c>
      <c r="E23" s="105"/>
      <c r="F23" s="105"/>
      <c r="G23" s="105"/>
      <c r="H23" s="105"/>
      <c r="I23" s="105"/>
      <c r="J23" s="105"/>
      <c r="K23" s="105"/>
      <c r="L23" s="105"/>
      <c r="M23" s="105"/>
      <c r="N23" s="105"/>
      <c r="O23" s="105"/>
      <c r="P23" s="105"/>
      <c r="Q23" s="105"/>
      <c r="R23" s="105"/>
      <c r="S23" s="105"/>
    </row>
    <row r="24" spans="1:19" ht="14" thickTop="1" thickBot="1">
      <c r="E24" s="105"/>
      <c r="F24" s="105"/>
      <c r="G24" s="105"/>
      <c r="H24" s="105"/>
      <c r="I24" s="105"/>
      <c r="J24" s="105"/>
      <c r="K24" s="105"/>
      <c r="L24" s="105"/>
      <c r="M24" s="105"/>
      <c r="N24" s="105"/>
      <c r="O24" s="105"/>
      <c r="P24" s="105"/>
      <c r="Q24" s="105"/>
      <c r="R24" s="105"/>
      <c r="S24" s="105"/>
    </row>
    <row r="25" spans="1:19" ht="13.5" thickBot="1">
      <c r="A25" s="108" t="s">
        <v>195</v>
      </c>
      <c r="D25" s="112">
        <f ca="1">D16+D23</f>
        <v>137.575036915081</v>
      </c>
      <c r="E25" s="105"/>
      <c r="F25" s="105"/>
      <c r="G25" s="105"/>
      <c r="H25" s="105"/>
      <c r="I25" s="105"/>
      <c r="J25" s="105"/>
      <c r="K25" s="105"/>
      <c r="L25" s="105"/>
      <c r="M25" s="105"/>
      <c r="N25" s="105"/>
      <c r="O25" s="105"/>
      <c r="P25" s="105"/>
      <c r="Q25" s="105"/>
      <c r="R25" s="105"/>
      <c r="S25" s="105"/>
    </row>
    <row r="26" spans="1:19">
      <c r="E26" s="105">
        <f>E16</f>
        <v>0</v>
      </c>
      <c r="F26" s="105"/>
      <c r="G26" s="105"/>
      <c r="H26" s="105"/>
      <c r="I26" s="105"/>
      <c r="J26" s="105"/>
      <c r="K26" s="105"/>
      <c r="L26" s="105"/>
      <c r="M26" s="105"/>
      <c r="N26" s="105"/>
      <c r="O26" s="105"/>
      <c r="P26" s="105"/>
      <c r="Q26" s="105"/>
      <c r="R26" s="105"/>
      <c r="S26" s="105"/>
    </row>
    <row r="27" spans="1:19">
      <c r="E27" s="105"/>
      <c r="F27" s="105"/>
      <c r="G27" s="105"/>
      <c r="H27" s="105"/>
      <c r="I27" s="105"/>
      <c r="J27" s="105"/>
      <c r="K27" s="105"/>
      <c r="L27" s="105"/>
      <c r="M27" s="105"/>
      <c r="N27" s="105"/>
      <c r="O27" s="105"/>
      <c r="P27" s="105"/>
      <c r="Q27" s="105"/>
      <c r="R27" s="105"/>
      <c r="S27" s="105"/>
    </row>
    <row r="28" spans="1:19">
      <c r="A28" s="113" t="s">
        <v>196</v>
      </c>
      <c r="B28" s="104" t="s">
        <v>197</v>
      </c>
      <c r="E28" s="105"/>
      <c r="F28" s="105"/>
      <c r="G28" s="105"/>
      <c r="H28" s="114">
        <v>5.3749999999999999E-2</v>
      </c>
      <c r="I28" s="105"/>
      <c r="J28" s="105"/>
      <c r="K28" s="105"/>
      <c r="L28" s="105"/>
      <c r="M28" s="105"/>
      <c r="N28" s="105"/>
      <c r="O28" s="105"/>
      <c r="P28" s="105"/>
      <c r="Q28" s="105"/>
      <c r="R28" s="105"/>
      <c r="S28" s="105"/>
    </row>
    <row r="29" spans="1:19">
      <c r="E29" s="105"/>
      <c r="F29" s="105"/>
      <c r="G29" s="105"/>
      <c r="H29" s="105"/>
      <c r="I29" s="105"/>
      <c r="J29" s="105"/>
      <c r="K29" s="105"/>
      <c r="L29" s="105"/>
      <c r="M29" s="105"/>
      <c r="N29" s="105"/>
      <c r="O29" s="105"/>
      <c r="P29" s="105"/>
      <c r="Q29" s="105"/>
      <c r="R29" s="105"/>
      <c r="S29" s="105"/>
    </row>
    <row r="30" spans="1:19">
      <c r="E30" s="105"/>
      <c r="F30" s="105"/>
      <c r="G30" s="105"/>
      <c r="H30" s="105"/>
      <c r="I30" s="105"/>
      <c r="J30" s="105"/>
      <c r="K30" s="105"/>
      <c r="L30" s="105"/>
      <c r="M30" s="105"/>
      <c r="N30" s="105"/>
      <c r="O30" s="105"/>
      <c r="P30" s="105"/>
      <c r="Q30" s="105"/>
      <c r="R30" s="105"/>
      <c r="S30" s="105"/>
    </row>
    <row r="31" spans="1:19">
      <c r="E31" s="105"/>
      <c r="F31" s="105"/>
      <c r="G31" s="105"/>
      <c r="H31" s="105"/>
      <c r="I31" s="105"/>
      <c r="J31" s="105"/>
      <c r="K31" s="105"/>
      <c r="L31" s="105"/>
      <c r="M31" s="105"/>
      <c r="N31" s="105"/>
      <c r="O31" s="105"/>
      <c r="P31" s="105"/>
      <c r="Q31" s="105"/>
      <c r="R31" s="105"/>
      <c r="S31" s="105"/>
    </row>
    <row r="32" spans="1:19">
      <c r="E32" s="105"/>
      <c r="F32" s="105"/>
      <c r="G32" s="105"/>
      <c r="H32" s="105"/>
      <c r="I32" s="105"/>
      <c r="J32" s="105"/>
      <c r="K32" s="105"/>
      <c r="L32" s="105"/>
      <c r="M32" s="105"/>
      <c r="N32" s="105"/>
      <c r="O32" s="105"/>
      <c r="P32" s="105"/>
      <c r="Q32" s="105"/>
      <c r="R32" s="105"/>
      <c r="S32" s="105"/>
    </row>
    <row r="33" spans="5:19">
      <c r="E33" s="105"/>
      <c r="F33" s="105"/>
      <c r="G33" s="105"/>
      <c r="H33" s="105"/>
      <c r="I33" s="105"/>
      <c r="J33" s="105"/>
      <c r="K33" s="105"/>
      <c r="L33" s="105"/>
      <c r="M33" s="105"/>
      <c r="N33" s="105"/>
      <c r="O33" s="105"/>
      <c r="P33" s="105"/>
      <c r="Q33" s="105"/>
      <c r="R33" s="105"/>
      <c r="S33" s="105"/>
    </row>
    <row r="34" spans="5:19">
      <c r="E34" s="105"/>
      <c r="F34" s="105"/>
      <c r="G34" s="105"/>
      <c r="H34" s="105"/>
      <c r="I34" s="105"/>
      <c r="J34" s="105"/>
      <c r="K34" s="105"/>
      <c r="L34" s="105"/>
      <c r="M34" s="105"/>
      <c r="N34" s="105"/>
      <c r="O34" s="105"/>
      <c r="P34" s="105"/>
      <c r="Q34" s="105"/>
      <c r="R34" s="105"/>
      <c r="S34" s="105"/>
    </row>
    <row r="35" spans="5:19">
      <c r="E35" s="105"/>
      <c r="F35" s="105"/>
      <c r="G35" s="105"/>
      <c r="H35" s="105"/>
      <c r="I35" s="105"/>
      <c r="J35" s="105"/>
      <c r="K35" s="105"/>
      <c r="L35" s="105"/>
      <c r="M35" s="105"/>
      <c r="N35" s="105"/>
      <c r="O35" s="105"/>
      <c r="P35" s="105"/>
      <c r="Q35" s="105"/>
      <c r="R35" s="105"/>
      <c r="S35" s="105"/>
    </row>
    <row r="36" spans="5:19">
      <c r="E36" s="105"/>
      <c r="F36" s="105"/>
      <c r="G36" s="105"/>
      <c r="H36" s="105"/>
      <c r="I36" s="105"/>
      <c r="J36" s="105"/>
      <c r="K36" s="105"/>
      <c r="L36" s="105"/>
      <c r="M36" s="105"/>
      <c r="N36" s="105"/>
      <c r="O36" s="105"/>
      <c r="P36" s="105"/>
      <c r="Q36" s="105"/>
      <c r="R36" s="105"/>
      <c r="S36" s="105"/>
    </row>
    <row r="37" spans="5:19">
      <c r="E37" s="105"/>
      <c r="F37" s="105"/>
      <c r="G37" s="105"/>
      <c r="H37" s="105"/>
      <c r="I37" s="105"/>
      <c r="J37" s="105"/>
      <c r="K37" s="105"/>
      <c r="L37" s="105"/>
      <c r="M37" s="105"/>
      <c r="N37" s="105"/>
      <c r="O37" s="105"/>
      <c r="P37" s="105"/>
      <c r="Q37" s="105"/>
      <c r="R37" s="105"/>
      <c r="S37" s="105"/>
    </row>
    <row r="38" spans="5:19">
      <c r="E38" s="105"/>
      <c r="F38" s="105"/>
      <c r="G38" s="105"/>
      <c r="H38" s="105"/>
      <c r="I38" s="105"/>
      <c r="J38" s="105"/>
      <c r="K38" s="105"/>
      <c r="L38" s="105"/>
      <c r="M38" s="105"/>
      <c r="N38" s="105"/>
      <c r="O38" s="105"/>
      <c r="P38" s="105"/>
      <c r="Q38" s="105"/>
      <c r="R38" s="105"/>
      <c r="S38" s="105"/>
    </row>
    <row r="39" spans="5:19">
      <c r="E39" s="105"/>
      <c r="F39" s="105"/>
      <c r="G39" s="105"/>
      <c r="H39" s="105"/>
      <c r="I39" s="105"/>
      <c r="J39" s="105"/>
      <c r="K39" s="105"/>
      <c r="L39" s="105"/>
      <c r="M39" s="105"/>
      <c r="N39" s="105"/>
      <c r="O39" s="105"/>
      <c r="P39" s="105"/>
      <c r="Q39" s="105"/>
      <c r="R39" s="105"/>
      <c r="S39" s="105"/>
    </row>
    <row r="40" spans="5:19">
      <c r="E40" s="105"/>
      <c r="F40" s="105"/>
      <c r="G40" s="105"/>
      <c r="H40" s="105"/>
      <c r="I40" s="105"/>
      <c r="J40" s="105"/>
      <c r="K40" s="105"/>
      <c r="L40" s="105"/>
      <c r="M40" s="105"/>
      <c r="N40" s="105"/>
      <c r="O40" s="105"/>
      <c r="P40" s="105"/>
      <c r="Q40" s="105"/>
      <c r="R40" s="105"/>
      <c r="S40" s="105"/>
    </row>
    <row r="41" spans="5:19">
      <c r="E41" s="105"/>
      <c r="F41" s="105"/>
      <c r="G41" s="105"/>
      <c r="H41" s="105"/>
      <c r="I41" s="105"/>
      <c r="J41" s="105"/>
      <c r="K41" s="105"/>
      <c r="L41" s="105"/>
      <c r="M41" s="105"/>
      <c r="N41" s="105"/>
      <c r="O41" s="105"/>
      <c r="P41" s="105"/>
      <c r="Q41" s="105"/>
      <c r="R41" s="105"/>
      <c r="S41" s="105"/>
    </row>
    <row r="42" spans="5:19">
      <c r="E42" s="105"/>
      <c r="F42" s="105"/>
      <c r="G42" s="105"/>
      <c r="H42" s="105"/>
      <c r="I42" s="105"/>
      <c r="J42" s="105"/>
      <c r="K42" s="105"/>
      <c r="L42" s="105"/>
      <c r="M42" s="105"/>
      <c r="N42" s="105"/>
      <c r="O42" s="105"/>
      <c r="P42" s="105"/>
      <c r="Q42" s="105"/>
      <c r="R42" s="105"/>
      <c r="S42" s="105"/>
    </row>
    <row r="43" spans="5:19">
      <c r="E43" s="105"/>
      <c r="F43" s="105"/>
      <c r="G43" s="105"/>
      <c r="H43" s="105"/>
      <c r="I43" s="105"/>
      <c r="J43" s="105"/>
      <c r="K43" s="105"/>
      <c r="L43" s="105"/>
      <c r="M43" s="105"/>
      <c r="N43" s="105"/>
      <c r="O43" s="105"/>
      <c r="P43" s="105"/>
      <c r="Q43" s="105"/>
      <c r="R43" s="105"/>
      <c r="S43" s="105"/>
    </row>
    <row r="44" spans="5:19">
      <c r="E44" s="105"/>
      <c r="F44" s="105"/>
      <c r="G44" s="105"/>
      <c r="H44" s="105"/>
      <c r="I44" s="105"/>
      <c r="J44" s="105"/>
      <c r="K44" s="105"/>
      <c r="L44" s="105"/>
      <c r="M44" s="105"/>
      <c r="N44" s="105"/>
      <c r="O44" s="105"/>
      <c r="P44" s="105"/>
      <c r="Q44" s="105"/>
      <c r="R44" s="105"/>
      <c r="S44" s="105"/>
    </row>
    <row r="45" spans="5:19">
      <c r="E45" s="105"/>
      <c r="F45" s="105"/>
      <c r="G45" s="105"/>
      <c r="H45" s="105"/>
      <c r="I45" s="105"/>
      <c r="J45" s="105"/>
      <c r="K45" s="105"/>
      <c r="L45" s="105"/>
      <c r="M45" s="105"/>
      <c r="N45" s="105"/>
      <c r="O45" s="105"/>
      <c r="P45" s="105"/>
      <c r="Q45" s="105"/>
      <c r="R45" s="105"/>
      <c r="S45" s="105"/>
    </row>
    <row r="46" spans="5:19">
      <c r="E46" s="105"/>
      <c r="F46" s="105"/>
      <c r="G46" s="105"/>
      <c r="H46" s="105"/>
      <c r="I46" s="105"/>
      <c r="J46" s="105"/>
      <c r="K46" s="105"/>
      <c r="L46" s="105"/>
      <c r="M46" s="105"/>
      <c r="N46" s="105"/>
      <c r="O46" s="105"/>
      <c r="P46" s="105"/>
      <c r="Q46" s="105"/>
      <c r="R46" s="105"/>
      <c r="S46" s="105"/>
    </row>
    <row r="47" spans="5:19">
      <c r="E47" s="105"/>
      <c r="F47" s="105"/>
      <c r="G47" s="105"/>
      <c r="H47" s="105"/>
      <c r="I47" s="105"/>
      <c r="J47" s="105"/>
      <c r="K47" s="105"/>
      <c r="L47" s="105"/>
      <c r="M47" s="105"/>
      <c r="N47" s="105"/>
      <c r="O47" s="105"/>
      <c r="P47" s="105"/>
      <c r="Q47" s="105"/>
      <c r="R47" s="105"/>
      <c r="S47" s="105"/>
    </row>
    <row r="48" spans="5:19">
      <c r="E48" s="105"/>
      <c r="F48" s="105"/>
      <c r="G48" s="105"/>
      <c r="H48" s="105"/>
      <c r="I48" s="105"/>
      <c r="J48" s="105"/>
      <c r="K48" s="105"/>
      <c r="L48" s="105"/>
      <c r="M48" s="105"/>
      <c r="N48" s="105"/>
      <c r="O48" s="105"/>
      <c r="P48" s="105"/>
      <c r="Q48" s="105"/>
      <c r="R48" s="105"/>
      <c r="S48" s="105"/>
    </row>
    <row r="49" spans="5:19">
      <c r="E49" s="105"/>
      <c r="F49" s="105"/>
      <c r="G49" s="105"/>
      <c r="H49" s="105"/>
      <c r="I49" s="105"/>
      <c r="J49" s="105"/>
      <c r="K49" s="105"/>
      <c r="L49" s="105"/>
      <c r="M49" s="105"/>
      <c r="N49" s="105"/>
      <c r="O49" s="105"/>
      <c r="P49" s="105"/>
      <c r="Q49" s="105"/>
      <c r="R49" s="105"/>
      <c r="S49" s="105"/>
    </row>
    <row r="50" spans="5:19">
      <c r="E50" s="105"/>
      <c r="F50" s="105"/>
      <c r="G50" s="105"/>
      <c r="H50" s="105"/>
      <c r="I50" s="105"/>
      <c r="J50" s="105"/>
      <c r="K50" s="105"/>
      <c r="L50" s="105"/>
      <c r="M50" s="105"/>
      <c r="N50" s="105"/>
      <c r="O50" s="105"/>
      <c r="P50" s="105"/>
      <c r="Q50" s="105"/>
      <c r="R50" s="105"/>
      <c r="S50" s="105"/>
    </row>
    <row r="51" spans="5:19">
      <c r="E51" s="105"/>
      <c r="F51" s="105"/>
      <c r="G51" s="105"/>
      <c r="H51" s="105"/>
      <c r="I51" s="105"/>
      <c r="J51" s="105"/>
      <c r="K51" s="105"/>
      <c r="L51" s="105"/>
      <c r="M51" s="105"/>
      <c r="N51" s="105"/>
      <c r="O51" s="105"/>
      <c r="P51" s="105"/>
      <c r="Q51" s="105"/>
      <c r="R51" s="105"/>
      <c r="S51" s="105"/>
    </row>
    <row r="52" spans="5:19">
      <c r="E52" s="105"/>
      <c r="F52" s="105"/>
      <c r="G52" s="105"/>
      <c r="H52" s="105"/>
      <c r="I52" s="105"/>
      <c r="J52" s="105"/>
      <c r="K52" s="105"/>
      <c r="L52" s="105"/>
      <c r="M52" s="105"/>
      <c r="N52" s="105"/>
      <c r="O52" s="105"/>
      <c r="P52" s="105"/>
      <c r="Q52" s="105"/>
      <c r="R52" s="105"/>
      <c r="S52" s="105"/>
    </row>
    <row r="53" spans="5:19">
      <c r="E53" s="105"/>
      <c r="F53" s="105"/>
      <c r="G53" s="105"/>
      <c r="H53" s="105"/>
      <c r="I53" s="105"/>
      <c r="J53" s="105"/>
      <c r="K53" s="105"/>
      <c r="L53" s="105"/>
      <c r="M53" s="105"/>
      <c r="N53" s="105"/>
      <c r="O53" s="105"/>
      <c r="P53" s="105"/>
      <c r="Q53" s="105"/>
      <c r="R53" s="105"/>
      <c r="S53" s="105"/>
    </row>
    <row r="54" spans="5:19">
      <c r="E54" s="105"/>
      <c r="F54" s="105"/>
      <c r="G54" s="105"/>
      <c r="H54" s="105"/>
      <c r="I54" s="105"/>
      <c r="J54" s="105"/>
      <c r="K54" s="105"/>
      <c r="L54" s="105"/>
      <c r="M54" s="105"/>
      <c r="N54" s="105"/>
      <c r="O54" s="105"/>
      <c r="P54" s="105"/>
      <c r="Q54" s="105"/>
      <c r="R54" s="105"/>
      <c r="S54" s="105"/>
    </row>
    <row r="55" spans="5:19">
      <c r="E55" s="105"/>
      <c r="F55" s="105"/>
      <c r="G55" s="105"/>
      <c r="H55" s="105"/>
      <c r="I55" s="105"/>
      <c r="J55" s="105"/>
      <c r="K55" s="105"/>
      <c r="L55" s="105"/>
      <c r="M55" s="105"/>
      <c r="N55" s="105"/>
      <c r="O55" s="105"/>
      <c r="P55" s="105"/>
      <c r="Q55" s="105"/>
      <c r="R55" s="105"/>
      <c r="S55" s="105"/>
    </row>
    <row r="56" spans="5:19">
      <c r="E56" s="105"/>
      <c r="F56" s="105"/>
      <c r="G56" s="105"/>
      <c r="H56" s="105"/>
      <c r="I56" s="105"/>
      <c r="J56" s="105"/>
      <c r="K56" s="105"/>
      <c r="L56" s="105"/>
      <c r="M56" s="105"/>
      <c r="N56" s="105"/>
      <c r="O56" s="105"/>
      <c r="P56" s="105"/>
      <c r="Q56" s="105"/>
      <c r="R56" s="105"/>
      <c r="S56" s="105"/>
    </row>
    <row r="57" spans="5:19">
      <c r="E57" s="105"/>
      <c r="F57" s="105"/>
      <c r="G57" s="105"/>
      <c r="H57" s="105"/>
      <c r="I57" s="105"/>
      <c r="J57" s="105"/>
      <c r="K57" s="105"/>
      <c r="L57" s="105"/>
      <c r="M57" s="105"/>
      <c r="N57" s="105"/>
      <c r="O57" s="105"/>
      <c r="P57" s="105"/>
      <c r="Q57" s="105"/>
      <c r="R57" s="105"/>
      <c r="S57" s="105"/>
    </row>
    <row r="58" spans="5:19">
      <c r="E58" s="105"/>
      <c r="F58" s="105"/>
      <c r="G58" s="105"/>
      <c r="H58" s="105"/>
      <c r="I58" s="105"/>
      <c r="J58" s="105"/>
      <c r="K58" s="105"/>
      <c r="L58" s="105"/>
      <c r="M58" s="105"/>
      <c r="N58" s="105"/>
      <c r="O58" s="105"/>
      <c r="P58" s="105"/>
      <c r="Q58" s="105"/>
      <c r="R58" s="105"/>
      <c r="S58" s="105"/>
    </row>
    <row r="59" spans="5:19">
      <c r="E59" s="105"/>
      <c r="F59" s="105"/>
      <c r="G59" s="105"/>
      <c r="H59" s="105"/>
      <c r="I59" s="105"/>
      <c r="J59" s="105"/>
      <c r="K59" s="105"/>
      <c r="L59" s="105"/>
      <c r="M59" s="105"/>
      <c r="N59" s="105"/>
      <c r="O59" s="105"/>
      <c r="P59" s="105"/>
      <c r="Q59" s="105"/>
      <c r="R59" s="105"/>
      <c r="S59" s="105"/>
    </row>
    <row r="60" spans="5:19">
      <c r="E60" s="105"/>
      <c r="F60" s="105"/>
      <c r="G60" s="105"/>
      <c r="H60" s="105"/>
      <c r="I60" s="105"/>
      <c r="J60" s="105"/>
      <c r="K60" s="105"/>
      <c r="L60" s="105"/>
      <c r="M60" s="105"/>
      <c r="N60" s="105"/>
      <c r="O60" s="105"/>
      <c r="P60" s="105"/>
      <c r="Q60" s="105"/>
      <c r="R60" s="105"/>
      <c r="S60" s="105"/>
    </row>
    <row r="61" spans="5:19">
      <c r="E61" s="105"/>
      <c r="F61" s="105"/>
      <c r="G61" s="105"/>
      <c r="H61" s="105"/>
      <c r="I61" s="105"/>
      <c r="J61" s="105"/>
      <c r="K61" s="105"/>
      <c r="L61" s="105"/>
      <c r="M61" s="105"/>
      <c r="N61" s="105"/>
      <c r="O61" s="105"/>
      <c r="P61" s="105"/>
      <c r="Q61" s="105"/>
      <c r="R61" s="105"/>
      <c r="S61" s="105"/>
    </row>
    <row r="62" spans="5:19">
      <c r="E62" s="105"/>
      <c r="F62" s="105"/>
      <c r="G62" s="105"/>
      <c r="H62" s="105"/>
      <c r="I62" s="105"/>
      <c r="J62" s="105"/>
      <c r="K62" s="105"/>
      <c r="L62" s="105"/>
      <c r="M62" s="105"/>
      <c r="N62" s="105"/>
      <c r="O62" s="105"/>
      <c r="P62" s="105"/>
      <c r="Q62" s="105"/>
      <c r="R62" s="105"/>
      <c r="S62" s="105"/>
    </row>
    <row r="63" spans="5:19">
      <c r="E63" s="105"/>
      <c r="F63" s="105"/>
      <c r="G63" s="105"/>
      <c r="H63" s="105"/>
      <c r="I63" s="105"/>
      <c r="J63" s="105"/>
      <c r="K63" s="105"/>
      <c r="L63" s="105"/>
      <c r="M63" s="105"/>
      <c r="N63" s="105"/>
      <c r="O63" s="105"/>
      <c r="P63" s="105"/>
      <c r="Q63" s="105"/>
      <c r="R63" s="105"/>
      <c r="S63" s="105"/>
    </row>
    <row r="64" spans="5:19">
      <c r="E64" s="105"/>
      <c r="F64" s="105"/>
      <c r="G64" s="105"/>
      <c r="H64" s="105"/>
      <c r="I64" s="105"/>
      <c r="J64" s="105"/>
      <c r="K64" s="105"/>
      <c r="L64" s="105"/>
      <c r="M64" s="105"/>
      <c r="N64" s="105"/>
      <c r="O64" s="105"/>
      <c r="P64" s="105"/>
      <c r="Q64" s="105"/>
      <c r="R64" s="105"/>
      <c r="S64" s="105"/>
    </row>
    <row r="65" spans="5:19">
      <c r="E65" s="105"/>
      <c r="F65" s="105"/>
      <c r="G65" s="105"/>
      <c r="H65" s="105"/>
      <c r="I65" s="105"/>
      <c r="J65" s="105"/>
      <c r="K65" s="105"/>
      <c r="L65" s="105"/>
      <c r="M65" s="105"/>
      <c r="N65" s="105"/>
      <c r="O65" s="105"/>
      <c r="P65" s="105"/>
      <c r="Q65" s="105"/>
      <c r="R65" s="105"/>
      <c r="S65" s="105"/>
    </row>
    <row r="66" spans="5:19">
      <c r="E66" s="105"/>
      <c r="F66" s="105"/>
      <c r="G66" s="105"/>
      <c r="H66" s="105"/>
      <c r="I66" s="105"/>
      <c r="J66" s="105"/>
      <c r="K66" s="105"/>
      <c r="L66" s="105"/>
      <c r="M66" s="105"/>
      <c r="N66" s="105"/>
      <c r="O66" s="105"/>
      <c r="P66" s="105"/>
      <c r="Q66" s="105"/>
      <c r="R66" s="105"/>
      <c r="S66" s="105"/>
    </row>
    <row r="67" spans="5:19">
      <c r="E67" s="105"/>
      <c r="F67" s="105"/>
      <c r="G67" s="105"/>
      <c r="H67" s="105"/>
      <c r="I67" s="105"/>
      <c r="J67" s="105"/>
      <c r="K67" s="105"/>
      <c r="L67" s="105"/>
      <c r="M67" s="105"/>
      <c r="N67" s="105"/>
      <c r="O67" s="105"/>
      <c r="P67" s="105"/>
      <c r="Q67" s="105"/>
      <c r="R67" s="105"/>
      <c r="S67" s="105"/>
    </row>
    <row r="68" spans="5:19">
      <c r="E68" s="105"/>
      <c r="F68" s="105"/>
      <c r="G68" s="105"/>
      <c r="H68" s="105"/>
      <c r="I68" s="105"/>
      <c r="J68" s="105"/>
      <c r="K68" s="105"/>
      <c r="L68" s="105"/>
      <c r="M68" s="105"/>
      <c r="N68" s="105"/>
      <c r="O68" s="105"/>
      <c r="P68" s="105"/>
      <c r="Q68" s="105"/>
      <c r="R68" s="105"/>
      <c r="S68" s="105"/>
    </row>
    <row r="69" spans="5:19">
      <c r="E69" s="105"/>
      <c r="F69" s="105"/>
      <c r="G69" s="105"/>
      <c r="H69" s="105"/>
      <c r="I69" s="105"/>
      <c r="J69" s="105"/>
      <c r="K69" s="105"/>
      <c r="L69" s="105"/>
      <c r="M69" s="105"/>
      <c r="N69" s="105"/>
      <c r="O69" s="105"/>
      <c r="P69" s="105"/>
      <c r="Q69" s="105"/>
      <c r="R69" s="105"/>
      <c r="S69" s="105"/>
    </row>
    <row r="70" spans="5:19">
      <c r="E70" s="105"/>
      <c r="F70" s="105"/>
      <c r="G70" s="105"/>
      <c r="H70" s="105"/>
      <c r="I70" s="105"/>
      <c r="J70" s="105"/>
      <c r="K70" s="105"/>
      <c r="L70" s="105"/>
      <c r="M70" s="105"/>
      <c r="N70" s="105"/>
      <c r="O70" s="105"/>
      <c r="P70" s="105"/>
      <c r="Q70" s="105"/>
      <c r="R70" s="105"/>
      <c r="S70" s="105"/>
    </row>
    <row r="71" spans="5:19">
      <c r="E71" s="105"/>
      <c r="F71" s="105"/>
      <c r="G71" s="105"/>
      <c r="H71" s="105"/>
      <c r="I71" s="105"/>
      <c r="J71" s="105"/>
      <c r="K71" s="105"/>
      <c r="L71" s="105"/>
      <c r="M71" s="105"/>
      <c r="N71" s="105"/>
      <c r="O71" s="105"/>
      <c r="P71" s="105"/>
      <c r="Q71" s="105"/>
      <c r="R71" s="105"/>
      <c r="S71" s="105"/>
    </row>
  </sheetData>
  <phoneticPr fontId="2" type="noConversion"/>
  <pageMargins left="0.75" right="0.75" top="1" bottom="1" header="0.5" footer="0.5"/>
  <pageSetup scale="80" orientation="landscape" horizontalDpi="300" verticalDpi="300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"/>
  <sheetData/>
  <phoneticPr fontId="0" type="noConversion"/>
  <pageMargins left="0.75" right="0.75" top="1" bottom="1" header="0.5" footer="0.5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24"/>
  <sheetViews>
    <sheetView tabSelected="1" workbookViewId="0">
      <selection activeCell="A19" sqref="A19"/>
    </sheetView>
  </sheetViews>
  <sheetFormatPr defaultColWidth="10.69921875" defaultRowHeight="13"/>
  <cols>
    <col min="1" max="1" width="16.296875" style="1" customWidth="1"/>
    <col min="2" max="2" width="14.296875" style="2" customWidth="1"/>
    <col min="3" max="3" width="13.69921875" style="2" customWidth="1"/>
    <col min="4" max="4" width="15" style="2" customWidth="1"/>
    <col min="5" max="5" width="27.296875" style="2" customWidth="1"/>
    <col min="6" max="8" width="10.69921875" style="1" customWidth="1"/>
    <col min="9" max="9" width="12.5" style="1" customWidth="1"/>
    <col min="10" max="10" width="5.296875" style="1" customWidth="1"/>
    <col min="11" max="11" width="13" style="3" customWidth="1"/>
    <col min="12" max="16384" width="10.69921875" style="1"/>
  </cols>
  <sheetData>
    <row r="1" spans="1:12">
      <c r="A1" s="4" t="s">
        <v>201</v>
      </c>
    </row>
    <row r="2" spans="1:12" ht="13.5" thickBot="1"/>
    <row r="3" spans="1:12" ht="13.5">
      <c r="A3" s="4" t="s">
        <v>0</v>
      </c>
      <c r="G3" s="5"/>
      <c r="H3" s="118" t="s">
        <v>1</v>
      </c>
      <c r="I3" s="118"/>
      <c r="J3" s="118"/>
      <c r="K3" s="118"/>
      <c r="L3" s="6"/>
    </row>
    <row r="4" spans="1:12">
      <c r="B4" s="2" t="s">
        <v>2</v>
      </c>
      <c r="C4" s="2" t="s">
        <v>3</v>
      </c>
      <c r="D4" s="2" t="s">
        <v>4</v>
      </c>
      <c r="E4" s="2" t="s">
        <v>5</v>
      </c>
      <c r="G4" s="7"/>
      <c r="H4" s="8"/>
      <c r="I4" s="8"/>
      <c r="J4" s="8"/>
      <c r="K4" s="9"/>
      <c r="L4" s="10"/>
    </row>
    <row r="5" spans="1:12">
      <c r="A5" s="1" t="s">
        <v>6</v>
      </c>
      <c r="B5" s="11">
        <v>0.17499999999999999</v>
      </c>
      <c r="C5" s="11">
        <v>4.8300000000000003E-2</v>
      </c>
      <c r="D5" s="11">
        <f>B5-C5</f>
        <v>0.12669999999999998</v>
      </c>
      <c r="E5" s="12">
        <v>36942</v>
      </c>
      <c r="G5" s="7"/>
      <c r="H5" s="8" t="s">
        <v>7</v>
      </c>
      <c r="I5" s="8"/>
      <c r="J5" s="8"/>
      <c r="K5" s="13">
        <f>D22*C24</f>
        <v>5.7800000000000011E-2</v>
      </c>
      <c r="L5" s="10"/>
    </row>
    <row r="6" spans="1:12">
      <c r="A6" s="1" t="s">
        <v>8</v>
      </c>
      <c r="B6" s="11">
        <v>0.16980000000000001</v>
      </c>
      <c r="C6" s="11">
        <v>4.7500000000000001E-2</v>
      </c>
      <c r="D6" s="11">
        <f>B6-C6</f>
        <v>0.12230000000000001</v>
      </c>
      <c r="E6" s="12">
        <v>36950</v>
      </c>
      <c r="G6" s="7"/>
      <c r="H6" s="14" t="s">
        <v>9</v>
      </c>
      <c r="I6" s="8"/>
      <c r="J6" s="8"/>
      <c r="K6" s="9"/>
      <c r="L6" s="10"/>
    </row>
    <row r="7" spans="1:12">
      <c r="A7" s="1" t="s">
        <v>10</v>
      </c>
      <c r="B7" s="11">
        <v>0.189</v>
      </c>
      <c r="C7" s="11">
        <v>4.6899999999999997E-2</v>
      </c>
      <c r="D7" s="11">
        <f>B7-C7</f>
        <v>0.1421</v>
      </c>
      <c r="E7" s="12">
        <v>36942</v>
      </c>
      <c r="G7" s="7"/>
      <c r="H7" s="8" t="s">
        <v>11</v>
      </c>
      <c r="I7" s="8"/>
      <c r="J7" s="8"/>
      <c r="K7" s="15">
        <f>B11</f>
        <v>4.4999999999999998E-2</v>
      </c>
      <c r="L7" s="10"/>
    </row>
    <row r="8" spans="1:12">
      <c r="A8" s="16" t="s">
        <v>12</v>
      </c>
      <c r="B8" s="17">
        <v>0.1797</v>
      </c>
      <c r="C8" s="17">
        <v>4.6699999999999998E-2</v>
      </c>
      <c r="D8" s="17">
        <f>B8-C8</f>
        <v>0.13300000000000001</v>
      </c>
      <c r="E8" s="18">
        <v>36950</v>
      </c>
      <c r="G8" s="7"/>
      <c r="H8" s="14" t="s">
        <v>9</v>
      </c>
      <c r="I8" s="8"/>
      <c r="J8" s="8"/>
      <c r="K8" s="9"/>
      <c r="L8" s="10"/>
    </row>
    <row r="9" spans="1:12">
      <c r="D9" s="11">
        <f>AVERAGE(D5:D8)</f>
        <v>0.131025</v>
      </c>
      <c r="G9" s="7"/>
      <c r="H9" s="19" t="s">
        <v>0</v>
      </c>
      <c r="I9" s="19"/>
      <c r="J9" s="19"/>
      <c r="K9" s="20">
        <f>D9</f>
        <v>0.131025</v>
      </c>
      <c r="L9" s="10"/>
    </row>
    <row r="10" spans="1:12" ht="13.5" thickBot="1">
      <c r="G10" s="21"/>
      <c r="H10" s="22" t="s">
        <v>13</v>
      </c>
      <c r="I10" s="23"/>
      <c r="J10" s="23"/>
      <c r="K10" s="24">
        <f>SUM(K5:K9)</f>
        <v>0.23382500000000001</v>
      </c>
      <c r="L10" s="25"/>
    </row>
    <row r="11" spans="1:12">
      <c r="A11" s="4" t="s">
        <v>14</v>
      </c>
      <c r="B11" s="11">
        <v>4.4999999999999998E-2</v>
      </c>
      <c r="C11" s="3" t="s">
        <v>15</v>
      </c>
      <c r="H11" s="8"/>
      <c r="I11" s="8"/>
      <c r="J11" s="8"/>
      <c r="K11" s="9"/>
    </row>
    <row r="12" spans="1:12">
      <c r="H12" s="8"/>
      <c r="I12" s="8"/>
      <c r="J12" s="8"/>
      <c r="K12" s="9"/>
    </row>
    <row r="13" spans="1:12">
      <c r="H13" s="8"/>
      <c r="I13" s="8"/>
      <c r="J13" s="8"/>
      <c r="K13" s="9"/>
    </row>
    <row r="14" spans="1:12">
      <c r="A14" s="4" t="s">
        <v>16</v>
      </c>
      <c r="H14" s="8"/>
      <c r="I14" s="8"/>
      <c r="J14" s="8"/>
      <c r="K14" s="9"/>
    </row>
    <row r="15" spans="1:12">
      <c r="A15" s="1" t="s">
        <v>17</v>
      </c>
      <c r="D15" s="2">
        <v>0.67</v>
      </c>
      <c r="E15" s="3" t="s">
        <v>18</v>
      </c>
      <c r="H15" s="8"/>
      <c r="I15" s="8"/>
      <c r="J15" s="8"/>
      <c r="K15" s="9"/>
    </row>
    <row r="16" spans="1:12">
      <c r="D16" s="2">
        <v>0.75</v>
      </c>
      <c r="E16" s="3" t="s">
        <v>19</v>
      </c>
      <c r="H16" s="8"/>
      <c r="I16" s="8"/>
      <c r="J16" s="8"/>
      <c r="K16" s="9"/>
    </row>
    <row r="17" spans="1:11">
      <c r="D17" s="2">
        <v>0.31</v>
      </c>
      <c r="E17" s="3" t="s">
        <v>20</v>
      </c>
      <c r="H17" s="8"/>
      <c r="I17" s="8"/>
      <c r="J17" s="8"/>
      <c r="K17" s="9"/>
    </row>
    <row r="18" spans="1:11">
      <c r="D18" s="2">
        <v>0.72</v>
      </c>
      <c r="E18" s="3" t="s">
        <v>21</v>
      </c>
    </row>
    <row r="19" spans="1:11">
      <c r="A19" s="19"/>
      <c r="B19" s="26"/>
      <c r="C19" s="26"/>
      <c r="D19" s="26">
        <v>0.44</v>
      </c>
      <c r="E19" s="27" t="s">
        <v>22</v>
      </c>
    </row>
    <row r="20" spans="1:11">
      <c r="A20" s="1" t="s">
        <v>23</v>
      </c>
      <c r="D20" s="2">
        <f>AVERAGE(D15:D19)</f>
        <v>0.57800000000000007</v>
      </c>
    </row>
    <row r="21" spans="1:11">
      <c r="A21" s="19" t="s">
        <v>24</v>
      </c>
      <c r="B21" s="26"/>
      <c r="C21" s="26"/>
      <c r="D21" s="26" t="s">
        <v>25</v>
      </c>
      <c r="E21" s="27" t="s">
        <v>26</v>
      </c>
    </row>
    <row r="22" spans="1:11">
      <c r="A22" s="1" t="s">
        <v>27</v>
      </c>
      <c r="D22" s="2">
        <f>D20*2</f>
        <v>1.1560000000000001</v>
      </c>
    </row>
    <row r="24" spans="1:11">
      <c r="A24" s="4" t="s">
        <v>28</v>
      </c>
      <c r="C24" s="28">
        <v>0.05</v>
      </c>
      <c r="D24" s="2" t="s">
        <v>29</v>
      </c>
    </row>
  </sheetData>
  <mergeCells count="1">
    <mergeCell ref="H3:K3"/>
  </mergeCells>
  <phoneticPr fontId="2" type="noConversion"/>
  <pageMargins left="0.75" right="0.75" top="1" bottom="1" header="0.5" footer="0.5"/>
  <pageSetup scale="84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5</vt:i4>
      </vt:variant>
    </vt:vector>
  </HeadingPairs>
  <TitlesOfParts>
    <vt:vector size="11" baseType="lpstr">
      <vt:lpstr>Begin Model</vt:lpstr>
      <vt:lpstr>Model Assumptions</vt:lpstr>
      <vt:lpstr>Financial Model</vt:lpstr>
      <vt:lpstr>NPV Calculation</vt:lpstr>
      <vt:lpstr>End Model</vt:lpstr>
      <vt:lpstr>Goldman Integrated Model</vt:lpstr>
      <vt:lpstr>'Financial Model'!Maturity</vt:lpstr>
      <vt:lpstr>'Financial Model'!MaturitySchedule</vt:lpstr>
      <vt:lpstr>'Financial Model'!Print_Area</vt:lpstr>
      <vt:lpstr>'Model Assumptions'!Print_Area</vt:lpstr>
      <vt:lpstr>'Financial Model'!Retention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Andrew Khoo</dc:creator>
  <cp:lastModifiedBy>Carina Negreanu</cp:lastModifiedBy>
  <cp:lastPrinted>2001-03-08T22:05:22Z</cp:lastPrinted>
  <dcterms:created xsi:type="dcterms:W3CDTF">2001-03-08T17:45:44Z</dcterms:created>
  <dcterms:modified xsi:type="dcterms:W3CDTF">2020-01-27T11:13:01Z</dcterms:modified>
</cp:coreProperties>
</file>