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C4287F-A851-410A-BA15-3D2A29966458}" xr6:coauthVersionLast="45" xr6:coauthVersionMax="45" xr10:uidLastSave="{00000000-0000-0000-0000-000000000000}"/>
  <bookViews>
    <workbookView xWindow="1900" yWindow="1900" windowWidth="28800" windowHeight="15460" tabRatio="601"/>
  </bookViews>
  <sheets>
    <sheet name="3Assets" sheetId="1" r:id="rId1"/>
    <sheet name="EF1" sheetId="2" r:id="rId2"/>
    <sheet name="EF1HL" sheetId="3" r:id="rId3"/>
    <sheet name="EF2" sheetId="4" r:id="rId4"/>
    <sheet name="Generic" sheetId="5" r:id="rId5"/>
    <sheet name="Prob1" sheetId="6" r:id="rId6"/>
    <sheet name="Prob2" sheetId="7" r:id="rId7"/>
    <sheet name="Prob3" sheetId="8" r:id="rId8"/>
    <sheet name="Chart1" sheetId="11" r:id="rId9"/>
    <sheet name="Chart2" sheetId="12" r:id="rId10"/>
    <sheet name="Chart3" sheetId="13" r:id="rId11"/>
  </sheets>
  <definedNames>
    <definedName name="change1">'EF1'!$I$11:$I$12</definedName>
    <definedName name="change2">'EF2'!$I$8:$J$8</definedName>
    <definedName name="effwts2">'EF2'!$D$23</definedName>
    <definedName name="niter2">'EF2'!$I$17</definedName>
    <definedName name="portmax2">'EF2'!$H$9:$J$9</definedName>
    <definedName name="portmin2">'EF2'!$H$7:$J$7</definedName>
    <definedName name="portret1">'EF1'!$I$15</definedName>
    <definedName name="portret2">'EF2'!$I$11</definedName>
    <definedName name="portsd1">'EF1'!$I$16</definedName>
    <definedName name="portsd2">'EF2'!$I$12</definedName>
    <definedName name="portwts2">'EF2'!$H$8:$J$8</definedName>
    <definedName name="priter2">'EF2'!$I$18</definedName>
    <definedName name="solver_adj" localSheetId="1" hidden="1">'EF1'!$I$11:$I$12</definedName>
    <definedName name="solver_adj" localSheetId="3" hidden="1">'EF2'!$I$8:$J$8</definedName>
    <definedName name="solver_cvg" localSheetId="1" hidden="1">0.001</definedName>
    <definedName name="solver_drv" localSheetId="1" hidden="1">1</definedName>
    <definedName name="solver_drv" localSheetId="3" hidden="1">1</definedName>
    <definedName name="solver_est" localSheetId="1" hidden="1">1</definedName>
    <definedName name="solver_est" localSheetId="3" hidden="1">1</definedName>
    <definedName name="solver_itr" localSheetId="1" hidden="1">100</definedName>
    <definedName name="solver_itr" localSheetId="3" hidden="1">100</definedName>
    <definedName name="solver_lhs1" localSheetId="1" hidden="1">'EF1'!$I$15</definedName>
    <definedName name="solver_lhs1" localSheetId="3" hidden="1">'EF2'!$H$8:$J$8</definedName>
    <definedName name="solver_lhs2" localSheetId="1" hidden="1">'EF1'!$I$11:$I$12</definedName>
    <definedName name="solver_lhs2" localSheetId="3" hidden="1">'EF2'!$H$8:$J$8</definedName>
    <definedName name="solver_lhs3" localSheetId="3" hidden="1">'EF2'!$I$11</definedName>
    <definedName name="solver_lin" localSheetId="1" hidden="1">0</definedName>
    <definedName name="solver_lin" localSheetId="3" hidden="1">0</definedName>
    <definedName name="solver_neg" localSheetId="1" hidden="1">2</definedName>
    <definedName name="solver_num" localSheetId="1" hidden="1">1</definedName>
    <definedName name="solver_num" localSheetId="3" hidden="1">3</definedName>
    <definedName name="solver_nwt" localSheetId="1" hidden="1">1</definedName>
    <definedName name="solver_nwt" localSheetId="3" hidden="1">1</definedName>
    <definedName name="solver_opt" localSheetId="1" hidden="1">'EF1'!$I$16</definedName>
    <definedName name="solver_opt" localSheetId="3" hidden="1">'EF2'!$I$12</definedName>
    <definedName name="solver_pre" localSheetId="1" hidden="1">0.000001</definedName>
    <definedName name="solver_pre" localSheetId="3" hidden="1">0.000001</definedName>
    <definedName name="solver_rel1" localSheetId="1" hidden="1">2</definedName>
    <definedName name="solver_rel1" localSheetId="3" hidden="1">3</definedName>
    <definedName name="solver_rel2" localSheetId="1" hidden="1">3</definedName>
    <definedName name="solver_rel2" localSheetId="3" hidden="1">1</definedName>
    <definedName name="solver_rel3" localSheetId="3" hidden="1">2</definedName>
    <definedName name="solver_rhs1" localSheetId="1" hidden="1">'EF1'!$I$5</definedName>
    <definedName name="solver_rhs1" localSheetId="3" hidden="1">'EF2'!$H$7:$J$7</definedName>
    <definedName name="solver_rhs2" localSheetId="1" hidden="1">0</definedName>
    <definedName name="solver_rhs2" localSheetId="3" hidden="1">'EF2'!$H$9:$J$9</definedName>
    <definedName name="solver_rhs3" localSheetId="3" hidden="1">'EF2'!$I$18</definedName>
    <definedName name="solver_scl" localSheetId="1" hidden="1">0</definedName>
    <definedName name="solver_scl" localSheetId="3" hidden="1">0</definedName>
    <definedName name="solver_sho" localSheetId="1" hidden="1">0</definedName>
    <definedName name="solver_sho" localSheetId="3" hidden="1">0</definedName>
    <definedName name="solver_tim" localSheetId="1" hidden="1">100</definedName>
    <definedName name="solver_tim" localSheetId="3" hidden="1">100</definedName>
    <definedName name="solver_tol" localSheetId="1" hidden="1">0.05</definedName>
    <definedName name="solver_tol" localSheetId="3" hidden="1">0.05</definedName>
    <definedName name="solver_typ" localSheetId="1" hidden="1">2</definedName>
    <definedName name="solver_typ" localSheetId="3" hidden="1">2</definedName>
    <definedName name="solver_val" localSheetId="1" hidden="1">0</definedName>
    <definedName name="solver_val" localSheetId="3" hidden="1">0</definedName>
    <definedName name="target1">'EF1'!$I$5</definedName>
  </definedNames>
  <calcPr calcId="0"/>
</workbook>
</file>

<file path=xl/calcChain.xml><?xml version="1.0" encoding="utf-8"?>
<calcChain xmlns="http://schemas.openxmlformats.org/spreadsheetml/2006/main">
  <c r="C11" i="1" l="1"/>
  <c r="C12" i="1"/>
  <c r="D12" i="1"/>
  <c r="I12" i="1"/>
  <c r="C15" i="1"/>
  <c r="D15" i="1"/>
  <c r="E15" i="1"/>
  <c r="I15" i="1"/>
  <c r="C16" i="1"/>
  <c r="D16" i="1"/>
  <c r="E16" i="1"/>
  <c r="I16" i="1"/>
  <c r="C17" i="1"/>
  <c r="D17" i="1"/>
  <c r="E17" i="1"/>
  <c r="I18" i="1"/>
  <c r="I18" i="1" a="1"/>
  <c r="I10" i="2"/>
  <c r="C11" i="2"/>
  <c r="C12" i="2"/>
  <c r="D12" i="2"/>
  <c r="C15" i="2"/>
  <c r="D15" i="2"/>
  <c r="E15" i="2"/>
  <c r="I15" i="2"/>
  <c r="C16" i="2"/>
  <c r="D16" i="2"/>
  <c r="E16" i="2"/>
  <c r="I16" i="2"/>
  <c r="C17" i="2"/>
  <c r="D17" i="2"/>
  <c r="E17" i="2"/>
  <c r="I5" i="3"/>
  <c r="I6" i="3"/>
  <c r="I7" i="3"/>
  <c r="I10" i="3"/>
  <c r="I10" i="3" a="1"/>
  <c r="J10" i="3"/>
  <c r="C11" i="3"/>
  <c r="I11" i="3"/>
  <c r="I11" i="3" a="1"/>
  <c r="C12" i="3"/>
  <c r="D12" i="3"/>
  <c r="I12" i="3"/>
  <c r="J12" i="3"/>
  <c r="C15" i="3"/>
  <c r="D15" i="3"/>
  <c r="E15" i="3"/>
  <c r="H15" i="3"/>
  <c r="H15" i="3" a="1"/>
  <c r="I15" i="3"/>
  <c r="J15" i="3"/>
  <c r="C16" i="3"/>
  <c r="D16" i="3"/>
  <c r="E16" i="3"/>
  <c r="H16" i="3"/>
  <c r="I16" i="3"/>
  <c r="J16" i="3"/>
  <c r="C17" i="3"/>
  <c r="D17" i="3"/>
  <c r="E17" i="3"/>
  <c r="H17" i="3"/>
  <c r="I17" i="3"/>
  <c r="J17" i="3"/>
  <c r="G23" i="3"/>
  <c r="G23" i="3" a="1"/>
  <c r="C24" i="3"/>
  <c r="C24" i="3" a="1"/>
  <c r="D24" i="3"/>
  <c r="D24" i="3" a="1"/>
  <c r="G24" i="3"/>
  <c r="G24" i="3" a="1"/>
  <c r="I24" i="3"/>
  <c r="I24" i="3" a="1"/>
  <c r="J24" i="3"/>
  <c r="J24" i="3" a="1"/>
  <c r="K24" i="3"/>
  <c r="C25" i="3"/>
  <c r="D25" i="3"/>
  <c r="G25" i="3"/>
  <c r="G25" i="3" a="1"/>
  <c r="I25" i="3"/>
  <c r="J25" i="3"/>
  <c r="K25" i="3"/>
  <c r="C26" i="3"/>
  <c r="D26" i="3"/>
  <c r="G26" i="3"/>
  <c r="I26" i="3"/>
  <c r="J26" i="3"/>
  <c r="K26" i="3"/>
  <c r="I28" i="3"/>
  <c r="J28" i="3"/>
  <c r="K28" i="3"/>
  <c r="I29" i="3"/>
  <c r="K29" i="3"/>
  <c r="D36" i="3"/>
  <c r="E36" i="3"/>
  <c r="E36" i="3" a="1"/>
  <c r="H36" i="3"/>
  <c r="D37" i="3"/>
  <c r="E37" i="3"/>
  <c r="H37" i="3"/>
  <c r="D38" i="3"/>
  <c r="E38" i="3"/>
  <c r="D43" i="3"/>
  <c r="D46" i="3"/>
  <c r="E46" i="3"/>
  <c r="E46" i="3" a="1"/>
  <c r="H46" i="3"/>
  <c r="D47" i="3"/>
  <c r="E47" i="3"/>
  <c r="H47" i="3"/>
  <c r="D48" i="3"/>
  <c r="E48" i="3"/>
  <c r="D55" i="3"/>
  <c r="D58" i="3"/>
  <c r="E58" i="3"/>
  <c r="E58" i="3" a="1"/>
  <c r="H58" i="3"/>
  <c r="D59" i="3"/>
  <c r="E59" i="3"/>
  <c r="H59" i="3"/>
  <c r="D60" i="3"/>
  <c r="E60" i="3"/>
  <c r="H8" i="4"/>
  <c r="C11" i="4"/>
  <c r="I11" i="4"/>
  <c r="C12" i="4"/>
  <c r="D12" i="4"/>
  <c r="I12" i="4"/>
  <c r="C15" i="4"/>
  <c r="D15" i="4"/>
  <c r="E15" i="4"/>
  <c r="C16" i="4"/>
  <c r="D16" i="4"/>
  <c r="E16" i="4"/>
  <c r="C17" i="4"/>
  <c r="D17" i="4"/>
  <c r="E17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K10" i="5"/>
  <c r="C12" i="5"/>
  <c r="H13" i="5"/>
  <c r="K13" i="5"/>
  <c r="H14" i="5"/>
  <c r="K14" i="5"/>
  <c r="C15" i="5"/>
  <c r="D15" i="5"/>
  <c r="H15" i="5"/>
  <c r="C16" i="5"/>
  <c r="D16" i="5"/>
  <c r="K22" i="5"/>
  <c r="H24" i="5"/>
  <c r="K24" i="5"/>
  <c r="H25" i="5"/>
  <c r="K25" i="5"/>
  <c r="C26" i="5"/>
  <c r="K27" i="5"/>
  <c r="C29" i="5"/>
  <c r="D29" i="5"/>
  <c r="H29" i="5"/>
  <c r="K29" i="5"/>
  <c r="C30" i="5"/>
  <c r="D30" i="5"/>
  <c r="H30" i="5"/>
  <c r="K30" i="5"/>
  <c r="H31" i="5"/>
  <c r="E37" i="5"/>
  <c r="E38" i="5"/>
  <c r="K39" i="5"/>
  <c r="H41" i="5"/>
  <c r="K41" i="5"/>
  <c r="C42" i="5"/>
  <c r="H42" i="5"/>
  <c r="K42" i="5"/>
  <c r="C43" i="5"/>
  <c r="D43" i="5"/>
  <c r="H43" i="5"/>
  <c r="C46" i="5"/>
  <c r="D46" i="5"/>
  <c r="E46" i="5"/>
  <c r="K46" i="5"/>
  <c r="C47" i="5"/>
  <c r="D47" i="5"/>
  <c r="E47" i="5"/>
  <c r="C48" i="5"/>
  <c r="D48" i="5"/>
  <c r="E48" i="5"/>
  <c r="H48" i="5"/>
  <c r="H49" i="5"/>
  <c r="H50" i="5"/>
  <c r="H52" i="5"/>
  <c r="I52" i="5"/>
  <c r="I52" i="5" a="1"/>
  <c r="K52" i="5"/>
  <c r="H53" i="5"/>
  <c r="I53" i="5"/>
  <c r="K53" i="5"/>
  <c r="H54" i="5"/>
  <c r="I54" i="5"/>
  <c r="K11" i="6"/>
  <c r="L11" i="6"/>
  <c r="M11" i="6"/>
  <c r="C12" i="6"/>
  <c r="E12" i="6"/>
  <c r="G12" i="6"/>
  <c r="B13" i="6"/>
  <c r="C18" i="6"/>
  <c r="E18" i="6"/>
  <c r="G18" i="6"/>
  <c r="B19" i="6"/>
  <c r="B20" i="6"/>
  <c r="B21" i="6"/>
  <c r="K25" i="6"/>
  <c r="L25" i="6"/>
  <c r="M25" i="6"/>
  <c r="L2" i="7"/>
  <c r="C9" i="7"/>
  <c r="C12" i="7"/>
  <c r="E12" i="7"/>
  <c r="G12" i="7"/>
  <c r="B14" i="7"/>
  <c r="K15" i="7"/>
  <c r="L15" i="7"/>
  <c r="M15" i="7"/>
  <c r="C17" i="7"/>
  <c r="E17" i="7"/>
  <c r="G17" i="7"/>
  <c r="B18" i="7"/>
  <c r="B19" i="7"/>
  <c r="C22" i="7"/>
  <c r="E22" i="7"/>
  <c r="G22" i="7"/>
  <c r="B23" i="7"/>
  <c r="B24" i="7"/>
  <c r="D8" i="8"/>
  <c r="D9" i="8"/>
  <c r="C11" i="8"/>
  <c r="C16" i="8"/>
  <c r="E16" i="8"/>
  <c r="G16" i="8"/>
  <c r="K16" i="8"/>
  <c r="L16" i="8"/>
  <c r="M16" i="8"/>
  <c r="B19" i="8"/>
  <c r="C22" i="8"/>
  <c r="D22" i="8"/>
  <c r="E22" i="8"/>
  <c r="G22" i="8"/>
  <c r="B24" i="8"/>
  <c r="B25" i="8"/>
  <c r="C31" i="8"/>
  <c r="E31" i="8"/>
  <c r="G31" i="8"/>
  <c r="K32" i="8"/>
  <c r="L32" i="8"/>
  <c r="M32" i="8"/>
  <c r="B33" i="8"/>
  <c r="B34" i="8"/>
  <c r="C37" i="8"/>
  <c r="E37" i="8"/>
  <c r="G37" i="8"/>
  <c r="B38" i="8"/>
  <c r="B39" i="8"/>
  <c r="B40" i="8"/>
  <c r="K47" i="8"/>
  <c r="L47" i="8"/>
  <c r="N47" i="8"/>
  <c r="K48" i="8"/>
  <c r="L48" i="8"/>
  <c r="N48" i="8"/>
  <c r="K49" i="8"/>
  <c r="L49" i="8"/>
  <c r="N49" i="8"/>
  <c r="K50" i="8"/>
  <c r="L50" i="8"/>
  <c r="N50" i="8"/>
  <c r="K51" i="8"/>
  <c r="L51" i="8"/>
  <c r="N51" i="8"/>
  <c r="K52" i="8"/>
  <c r="L52" i="8"/>
  <c r="N52" i="8"/>
  <c r="K53" i="8"/>
  <c r="L53" i="8"/>
  <c r="N53" i="8"/>
  <c r="K54" i="8"/>
  <c r="L54" i="8"/>
  <c r="N54" i="8"/>
  <c r="K55" i="8"/>
  <c r="L55" i="8"/>
  <c r="N55" i="8"/>
  <c r="K56" i="8"/>
  <c r="L56" i="8"/>
  <c r="N56" i="8"/>
  <c r="K57" i="8"/>
  <c r="L57" i="8"/>
  <c r="N57" i="8"/>
  <c r="K58" i="8"/>
  <c r="M58" i="8"/>
  <c r="O58" i="8"/>
  <c r="K59" i="8"/>
  <c r="M59" i="8"/>
  <c r="O59" i="8"/>
  <c r="K60" i="8"/>
  <c r="M60" i="8"/>
  <c r="O60" i="8"/>
  <c r="K61" i="8"/>
  <c r="M61" i="8"/>
  <c r="O61" i="8"/>
  <c r="K62" i="8"/>
  <c r="M62" i="8"/>
  <c r="O62" i="8"/>
  <c r="K63" i="8"/>
  <c r="M63" i="8"/>
  <c r="O63" i="8"/>
  <c r="K64" i="8"/>
  <c r="M64" i="8"/>
  <c r="O64" i="8"/>
  <c r="K65" i="8"/>
  <c r="M65" i="8"/>
  <c r="O65" i="8"/>
  <c r="K66" i="8"/>
  <c r="M66" i="8"/>
  <c r="O66" i="8"/>
  <c r="K67" i="8"/>
  <c r="M67" i="8"/>
  <c r="O67" i="8"/>
  <c r="K68" i="8"/>
  <c r="M68" i="8"/>
  <c r="O68" i="8"/>
</calcChain>
</file>

<file path=xl/comments1.xml><?xml version="1.0" encoding="utf-8"?>
<comments xmlns="http://schemas.openxmlformats.org/spreadsheetml/2006/main">
  <authors>
    <author/>
  </authors>
  <commentList>
    <comment ref="I12" authorId="0" shapeId="0">
      <text>
        <r>
          <rPr>
            <sz val="9"/>
            <color indexed="81"/>
            <rFont val="Tahoma"/>
            <family val="2"/>
          </rPr>
          <t>formula to make weights sum to 1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H8" authorId="0" shapeId="0">
      <text>
        <r>
          <rPr>
            <sz val="9"/>
            <color indexed="81"/>
            <rFont val="Tahoma"/>
            <family val="2"/>
          </rPr>
          <t xml:space="preserve">formula to make weights sum to 1
</t>
        </r>
      </text>
    </comment>
  </commentList>
</comments>
</file>

<file path=xl/sharedStrings.xml><?xml version="1.0" encoding="utf-8"?>
<sst xmlns="http://schemas.openxmlformats.org/spreadsheetml/2006/main" count="418" uniqueCount="101">
  <si>
    <t>Equity1.XLS</t>
  </si>
  <si>
    <t>Risk &amp; return with three assets</t>
  </si>
  <si>
    <t>Asset Data</t>
  </si>
  <si>
    <t>Exp Ret</t>
  </si>
  <si>
    <t>Std Dev</t>
  </si>
  <si>
    <t>TBills</t>
  </si>
  <si>
    <t>Target exp return</t>
  </si>
  <si>
    <t>Bonds</t>
  </si>
  <si>
    <t>Shares</t>
  </si>
  <si>
    <t>Correlation Matrix</t>
  </si>
  <si>
    <t>Portfolio weights</t>
  </si>
  <si>
    <t>VCV matrix</t>
  </si>
  <si>
    <t>Variance</t>
  </si>
  <si>
    <t>Using Solver to reproduce Unconstrained Frontier Portfolios</t>
  </si>
  <si>
    <t>target1</t>
  </si>
  <si>
    <t>(Ctrl + Shift + U to run Macro)</t>
  </si>
  <si>
    <t>Frontier portfolio weights</t>
  </si>
  <si>
    <t>change1</t>
  </si>
  <si>
    <t>portret1</t>
  </si>
  <si>
    <t>portsd1</t>
  </si>
  <si>
    <t>Using Algebra to reproduce Unconstrained Frontier Portfolios</t>
  </si>
  <si>
    <t>Portfolio Weights</t>
  </si>
  <si>
    <t>via fn</t>
  </si>
  <si>
    <t>VCV inverse</t>
  </si>
  <si>
    <t>Finding weights, g and h, to generate points on the frontier</t>
  </si>
  <si>
    <t>uvec</t>
  </si>
  <si>
    <t>l</t>
  </si>
  <si>
    <t>m</t>
  </si>
  <si>
    <t>g</t>
  </si>
  <si>
    <t>h</t>
  </si>
  <si>
    <t>g+h</t>
  </si>
  <si>
    <t>A</t>
  </si>
  <si>
    <t>B</t>
  </si>
  <si>
    <t>C</t>
  </si>
  <si>
    <t>D</t>
  </si>
  <si>
    <t>Generating Frontier Portfolios, using g and h</t>
  </si>
  <si>
    <t>Target expected return</t>
  </si>
  <si>
    <t>weights</t>
  </si>
  <si>
    <t>Finding minimum variance portfolio</t>
  </si>
  <si>
    <t>Min variance expected return</t>
  </si>
  <si>
    <t>Given existence of risk-free asset, finding optimal risky portfolio</t>
  </si>
  <si>
    <t>Risk-free return</t>
  </si>
  <si>
    <t>Optimal risky expected return</t>
  </si>
  <si>
    <t>Using Solver to generate the Constrained Frontier</t>
  </si>
  <si>
    <t>Constraints on Frontier Portfolio Weights</t>
  </si>
  <si>
    <t>portmin2</t>
  </si>
  <si>
    <t>portwts2</t>
  </si>
  <si>
    <t>portmax2</t>
  </si>
  <si>
    <t>portret2</t>
  </si>
  <si>
    <t>portsd2</t>
  </si>
  <si>
    <t>(Ctrl + Shift + C to run Macro)</t>
  </si>
  <si>
    <t>niter2</t>
  </si>
  <si>
    <t>priter2</t>
  </si>
  <si>
    <t>Constrained Frontier Portfolios</t>
  </si>
  <si>
    <t>effwts2</t>
  </si>
  <si>
    <t>Generic Portfolio Problems</t>
  </si>
  <si>
    <t>Problem One : risk-free asset and 1 risky asset</t>
  </si>
  <si>
    <t>Risk aversion coefficient (A)</t>
  </si>
  <si>
    <t>asset 0</t>
  </si>
  <si>
    <t>asset 1</t>
  </si>
  <si>
    <t>Corr Matrix</t>
  </si>
  <si>
    <t>Optimal Portfolio</t>
  </si>
  <si>
    <t>utility</t>
  </si>
  <si>
    <t>return</t>
  </si>
  <si>
    <t>VCV Matrix</t>
  </si>
  <si>
    <t>std dev</t>
  </si>
  <si>
    <t>asset 1 via fn</t>
  </si>
  <si>
    <t>Problem Two : 2 risky assets and no risk-free asset</t>
  </si>
  <si>
    <t>asset 2</t>
  </si>
  <si>
    <t>Minimum Variance Portfolio</t>
  </si>
  <si>
    <t>Optimal Risky Portfolio</t>
  </si>
  <si>
    <t>Problem Three : risk-free asset and 2 risky assets</t>
  </si>
  <si>
    <t>Solved in 2 stages</t>
  </si>
  <si>
    <t>Stage 1</t>
  </si>
  <si>
    <t>Optimal Risky Portfolio ('revised' Problem2)</t>
  </si>
  <si>
    <t>Excess ret</t>
  </si>
  <si>
    <t>Independent of A</t>
  </si>
  <si>
    <t>Stage 2</t>
  </si>
  <si>
    <t>Optimal Portfolio (using Problem1)</t>
  </si>
  <si>
    <t>Depends on A</t>
  </si>
  <si>
    <t>opt risky</t>
  </si>
  <si>
    <t>opt risky via fn</t>
  </si>
  <si>
    <t>xs return</t>
  </si>
  <si>
    <t>cov (0,1)</t>
  </si>
  <si>
    <t>Data Table for Chart1</t>
  </si>
  <si>
    <t>CAL Portfolio</t>
  </si>
  <si>
    <t>via function</t>
  </si>
  <si>
    <t>risk aver A</t>
  </si>
  <si>
    <t>Problem Two : 2 risky assets</t>
  </si>
  <si>
    <t>asset 1  Bonds</t>
  </si>
  <si>
    <t>asset 2 Shares</t>
  </si>
  <si>
    <t>corr (1,2)</t>
  </si>
  <si>
    <t>cov (1,2)</t>
  </si>
  <si>
    <t>Frontier Portfolio</t>
  </si>
  <si>
    <t>Data Table for Chart2</t>
  </si>
  <si>
    <t>MV Portfolio</t>
  </si>
  <si>
    <t>Revised Problem Two : now with risk-free asset</t>
  </si>
  <si>
    <t>Data Table for Chart3</t>
  </si>
  <si>
    <t>Problem Three</t>
  </si>
  <si>
    <t>cov (0,opt)</t>
  </si>
  <si>
    <t>Problem One : risk-free asset and optimal risky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</si>
</sst>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0.0"/>
    <numFmt numFmtId="173" formatCode="0.000"/>
    <numFmt numFmtId="174" formatCode="0.0%"/>
    <numFmt numFmtId="175" formatCode="0.0000"/>
  </numFmts>
  <fonts count="10" x14ac:knownFonts="1">
    <font>
      <sz val="10"/>
      <name val="Times New Roman"/>
    </font>
    <font>
      <b/>
      <sz val="10"/>
      <name val="Times New Roman"/>
    </font>
    <font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0" fillId="0" borderId="0" xfId="0" quotePrefix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0" xfId="0" applyAlignment="1">
      <alignment horizontal="right"/>
    </xf>
    <xf numFmtId="10" fontId="0" fillId="0" borderId="0" xfId="0" applyNumberFormat="1"/>
    <xf numFmtId="2" fontId="1" fillId="0" borderId="0" xfId="0" applyNumberFormat="1" applyFont="1"/>
    <xf numFmtId="10" fontId="1" fillId="0" borderId="0" xfId="0" applyNumberFormat="1" applyFont="1"/>
    <xf numFmtId="173" fontId="0" fillId="0" borderId="0" xfId="0" applyNumberFormat="1"/>
    <xf numFmtId="174" fontId="1" fillId="0" borderId="0" xfId="0" applyNumberFormat="1" applyFont="1"/>
    <xf numFmtId="174" fontId="0" fillId="0" borderId="0" xfId="0" applyNumberFormat="1"/>
    <xf numFmtId="174" fontId="2" fillId="0" borderId="0" xfId="0" applyNumberFormat="1" applyFont="1"/>
    <xf numFmtId="2" fontId="2" fillId="0" borderId="0" xfId="0" applyNumberFormat="1" applyFont="1"/>
    <xf numFmtId="174" fontId="1" fillId="0" borderId="0" xfId="2" applyNumberFormat="1" applyFont="1"/>
    <xf numFmtId="0" fontId="1" fillId="0" borderId="0" xfId="1" applyFont="1"/>
    <xf numFmtId="0" fontId="4" fillId="0" borderId="0" xfId="1" applyFont="1"/>
    <xf numFmtId="0" fontId="4" fillId="0" borderId="0" xfId="1" quotePrefix="1" applyFont="1" applyAlignment="1">
      <alignment horizontal="right"/>
    </xf>
    <xf numFmtId="0" fontId="4" fillId="0" borderId="0" xfId="1" applyFont="1" applyAlignment="1">
      <alignment horizontal="right"/>
    </xf>
    <xf numFmtId="0" fontId="0" fillId="0" borderId="0" xfId="0" applyAlignment="1">
      <alignment horizontal="left"/>
    </xf>
    <xf numFmtId="2" fontId="5" fillId="0" borderId="0" xfId="1" applyNumberFormat="1" applyFont="1"/>
    <xf numFmtId="2" fontId="4" fillId="0" borderId="0" xfId="1" applyNumberFormat="1" applyFont="1"/>
    <xf numFmtId="0" fontId="5" fillId="0" borderId="0" xfId="1" quotePrefix="1" applyFont="1" applyAlignment="1">
      <alignment horizontal="left"/>
    </xf>
    <xf numFmtId="0" fontId="0" fillId="0" borderId="0" xfId="0" quotePrefix="1" applyAlignment="1">
      <alignment horizontal="right"/>
    </xf>
    <xf numFmtId="175" fontId="0" fillId="0" borderId="0" xfId="0" applyNumberFormat="1"/>
    <xf numFmtId="0" fontId="5" fillId="0" borderId="0" xfId="1" applyFont="1"/>
    <xf numFmtId="175" fontId="2" fillId="0" borderId="0" xfId="1" applyNumberFormat="1" applyFont="1"/>
    <xf numFmtId="0" fontId="2" fillId="0" borderId="0" xfId="0" quotePrefix="1" applyFont="1" applyAlignment="1">
      <alignment horizontal="left"/>
    </xf>
    <xf numFmtId="2" fontId="0" fillId="0" borderId="0" xfId="0" applyNumberFormat="1"/>
    <xf numFmtId="0" fontId="2" fillId="0" borderId="0" xfId="0" applyFont="1"/>
    <xf numFmtId="0" fontId="1" fillId="0" borderId="0" xfId="0" applyFont="1" applyAlignment="1">
      <alignment horizontal="right"/>
    </xf>
    <xf numFmtId="172" fontId="0" fillId="0" borderId="0" xfId="0" applyNumberFormat="1"/>
    <xf numFmtId="174" fontId="5" fillId="0" borderId="0" xfId="1" applyNumberFormat="1" applyFont="1"/>
    <xf numFmtId="10" fontId="2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right"/>
    </xf>
    <xf numFmtId="174" fontId="4" fillId="0" borderId="0" xfId="0" applyNumberFormat="1" applyFont="1"/>
    <xf numFmtId="174" fontId="5" fillId="0" borderId="0" xfId="0" applyNumberFormat="1" applyFont="1"/>
    <xf numFmtId="175" fontId="5" fillId="0" borderId="0" xfId="1" applyNumberFormat="1" applyFont="1"/>
    <xf numFmtId="0" fontId="7" fillId="0" borderId="0" xfId="0" quotePrefix="1" applyFont="1" applyAlignment="1">
      <alignment horizontal="left"/>
    </xf>
    <xf numFmtId="174" fontId="2" fillId="0" borderId="0" xfId="1" applyNumberFormat="1" applyFont="1"/>
    <xf numFmtId="10" fontId="2" fillId="0" borderId="0" xfId="1" applyNumberFormat="1" applyFont="1"/>
    <xf numFmtId="174" fontId="1" fillId="0" borderId="0" xfId="1" applyNumberFormat="1" applyFont="1"/>
    <xf numFmtId="0" fontId="8" fillId="0" borderId="0" xfId="0" applyFont="1"/>
  </cellXfs>
  <cellStyles count="3">
    <cellStyle name="Normal" xfId="0" builtinId="0"/>
    <cellStyle name="Normal_Efficient Frontier" xfId="1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hartsheet" Target="chartsheets/sheet2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Problem One</a:t>
            </a:r>
          </a:p>
        </c:rich>
      </c:tx>
      <c:layout>
        <c:manualLayout>
          <c:xMode val="edge"/>
          <c:yMode val="edge"/>
          <c:x val="0.4510344827586206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7586206896551718E-2"/>
          <c:y val="0.1425339366515837"/>
          <c:w val="0.85241379310344823"/>
          <c:h val="0.743212669683257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Prob1!$K$12:$K$22</c:f>
              <c:numCache>
                <c:formatCode>0.00%</c:formatCode>
                <c:ptCount val="11"/>
                <c:pt idx="0">
                  <c:v>0</c:v>
                </c:pt>
                <c:pt idx="1">
                  <c:v>1.5700000000000002E-2</c:v>
                </c:pt>
                <c:pt idx="2">
                  <c:v>3.1400000000000004E-2</c:v>
                </c:pt>
                <c:pt idx="3">
                  <c:v>4.7099999999999996E-2</c:v>
                </c:pt>
                <c:pt idx="4">
                  <c:v>6.2800000000000009E-2</c:v>
                </c:pt>
                <c:pt idx="5">
                  <c:v>7.85E-2</c:v>
                </c:pt>
                <c:pt idx="6">
                  <c:v>9.4199999999999992E-2</c:v>
                </c:pt>
                <c:pt idx="7">
                  <c:v>0.1099</c:v>
                </c:pt>
                <c:pt idx="8">
                  <c:v>0.12560000000000002</c:v>
                </c:pt>
                <c:pt idx="9">
                  <c:v>0.14130000000000001</c:v>
                </c:pt>
                <c:pt idx="10">
                  <c:v>0.157</c:v>
                </c:pt>
              </c:numCache>
            </c:numRef>
          </c:xVal>
          <c:yVal>
            <c:numRef>
              <c:f>Prob1!$L$12:$L$22</c:f>
              <c:numCache>
                <c:formatCode>0.00%</c:formatCode>
                <c:ptCount val="11"/>
                <c:pt idx="0">
                  <c:v>0.01</c:v>
                </c:pt>
                <c:pt idx="1">
                  <c:v>1.6E-2</c:v>
                </c:pt>
                <c:pt idx="2">
                  <c:v>2.2000000000000002E-2</c:v>
                </c:pt>
                <c:pt idx="3">
                  <c:v>2.8000000000000001E-2</c:v>
                </c:pt>
                <c:pt idx="4">
                  <c:v>3.4000000000000002E-2</c:v>
                </c:pt>
                <c:pt idx="5">
                  <c:v>0.04</c:v>
                </c:pt>
                <c:pt idx="6">
                  <c:v>4.5999999999999999E-2</c:v>
                </c:pt>
                <c:pt idx="7">
                  <c:v>5.2000000000000005E-2</c:v>
                </c:pt>
                <c:pt idx="8">
                  <c:v>5.800000000000001E-2</c:v>
                </c:pt>
                <c:pt idx="9">
                  <c:v>6.4000000000000015E-2</c:v>
                </c:pt>
                <c:pt idx="10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EB-4364-B0A3-225A8E9E3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399535"/>
        <c:axId val="1"/>
      </c:scatterChart>
      <c:scatterChart>
        <c:scatterStyle val="lineMarker"/>
        <c:varyColors val="0"/>
        <c:ser>
          <c:idx val="1"/>
          <c:order val="1"/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Prob1!$K$12:$K$22</c:f>
              <c:numCache>
                <c:formatCode>0.00%</c:formatCode>
                <c:ptCount val="11"/>
                <c:pt idx="0">
                  <c:v>0</c:v>
                </c:pt>
                <c:pt idx="1">
                  <c:v>1.5700000000000002E-2</c:v>
                </c:pt>
                <c:pt idx="2">
                  <c:v>3.1400000000000004E-2</c:v>
                </c:pt>
                <c:pt idx="3">
                  <c:v>4.7099999999999996E-2</c:v>
                </c:pt>
                <c:pt idx="4">
                  <c:v>6.2800000000000009E-2</c:v>
                </c:pt>
                <c:pt idx="5">
                  <c:v>7.85E-2</c:v>
                </c:pt>
                <c:pt idx="6">
                  <c:v>9.4199999999999992E-2</c:v>
                </c:pt>
                <c:pt idx="7">
                  <c:v>0.1099</c:v>
                </c:pt>
                <c:pt idx="8">
                  <c:v>0.12560000000000002</c:v>
                </c:pt>
                <c:pt idx="9">
                  <c:v>0.14130000000000001</c:v>
                </c:pt>
                <c:pt idx="10">
                  <c:v>0.157</c:v>
                </c:pt>
              </c:numCache>
            </c:numRef>
          </c:xVal>
          <c:yVal>
            <c:numRef>
              <c:f>Prob1!$M$12:$M$22</c:f>
              <c:numCache>
                <c:formatCode>0.0000</c:formatCode>
                <c:ptCount val="11"/>
                <c:pt idx="0">
                  <c:v>0.01</c:v>
                </c:pt>
                <c:pt idx="1">
                  <c:v>1.5630265000000001E-2</c:v>
                </c:pt>
                <c:pt idx="2">
                  <c:v>2.0521060000000001E-2</c:v>
                </c:pt>
                <c:pt idx="3">
                  <c:v>2.4672385000000002E-2</c:v>
                </c:pt>
                <c:pt idx="4">
                  <c:v>2.808424E-2</c:v>
                </c:pt>
                <c:pt idx="5">
                  <c:v>3.0756625000000003E-2</c:v>
                </c:pt>
                <c:pt idx="6">
                  <c:v>3.2689540000000003E-2</c:v>
                </c:pt>
                <c:pt idx="7">
                  <c:v>3.3882985000000004E-2</c:v>
                </c:pt>
                <c:pt idx="8">
                  <c:v>3.433696E-2</c:v>
                </c:pt>
                <c:pt idx="9">
                  <c:v>3.4051465000000017E-2</c:v>
                </c:pt>
                <c:pt idx="10">
                  <c:v>3.3026500000000007E-2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EB-4364-B0A3-225A8E9E3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77399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Portfolio risk (standard deviation)</a:t>
                </a:r>
              </a:p>
            </c:rich>
          </c:tx>
          <c:layout>
            <c:manualLayout>
              <c:xMode val="edge"/>
              <c:yMode val="edge"/>
              <c:x val="0.39379310344827584"/>
              <c:y val="0.9400452488687782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Portfolio return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3552036199095023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77399535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Portfolio utility</a:t>
                </a:r>
              </a:p>
            </c:rich>
          </c:tx>
          <c:layout>
            <c:manualLayout>
              <c:xMode val="edge"/>
              <c:yMode val="edge"/>
              <c:x val="0.96344827586206894"/>
              <c:y val="0.4377828054298642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Problem Two</a:t>
            </a:r>
          </a:p>
        </c:rich>
      </c:tx>
      <c:layout>
        <c:manualLayout>
          <c:xMode val="edge"/>
          <c:yMode val="edge"/>
          <c:x val="0.4503448275862069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482758620689649E-2"/>
          <c:y val="0.1425339366515837"/>
          <c:w val="0.84551724137931039"/>
          <c:h val="0.743212669683257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Prob2!$K$16:$K$26</c:f>
              <c:numCache>
                <c:formatCode>0.00%</c:formatCode>
                <c:ptCount val="11"/>
                <c:pt idx="0">
                  <c:v>0.20799999999999999</c:v>
                </c:pt>
                <c:pt idx="1">
                  <c:v>0.18977771523548281</c:v>
                </c:pt>
                <c:pt idx="2">
                  <c:v>0.17217197449062377</c:v>
                </c:pt>
                <c:pt idx="3">
                  <c:v>0.15539247986952262</c:v>
                </c:pt>
                <c:pt idx="4">
                  <c:v>0.13973719333090959</c:v>
                </c:pt>
                <c:pt idx="5">
                  <c:v>0.12562710694750556</c:v>
                </c:pt>
                <c:pt idx="6">
                  <c:v>0.11363926786106993</c:v>
                </c:pt>
                <c:pt idx="7">
                  <c:v>0.10450656821463425</c:v>
                </c:pt>
                <c:pt idx="8">
                  <c:v>9.9022163175725472E-2</c:v>
                </c:pt>
                <c:pt idx="9">
                  <c:v>9.7801744360721921E-2</c:v>
                </c:pt>
                <c:pt idx="10">
                  <c:v>0.10100000000000001</c:v>
                </c:pt>
              </c:numCache>
            </c:numRef>
          </c:xVal>
          <c:yVal>
            <c:numRef>
              <c:f>Prob2!$L$16:$L$26</c:f>
              <c:numCache>
                <c:formatCode>0.00%</c:formatCode>
                <c:ptCount val="11"/>
                <c:pt idx="0">
                  <c:v>0.09</c:v>
                </c:pt>
                <c:pt idx="1">
                  <c:v>8.3100000000000007E-2</c:v>
                </c:pt>
                <c:pt idx="2">
                  <c:v>7.619999999999999E-2</c:v>
                </c:pt>
                <c:pt idx="3">
                  <c:v>6.93E-2</c:v>
                </c:pt>
                <c:pt idx="4">
                  <c:v>6.2399999999999997E-2</c:v>
                </c:pt>
                <c:pt idx="5">
                  <c:v>5.5500000000000001E-2</c:v>
                </c:pt>
                <c:pt idx="6">
                  <c:v>4.8599999999999997E-2</c:v>
                </c:pt>
                <c:pt idx="7">
                  <c:v>4.1700000000000001E-2</c:v>
                </c:pt>
                <c:pt idx="8">
                  <c:v>3.4799999999999998E-2</c:v>
                </c:pt>
                <c:pt idx="9">
                  <c:v>2.7899999999999998E-2</c:v>
                </c:pt>
                <c:pt idx="10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DD-42BF-84D9-2FB04A899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399951"/>
        <c:axId val="1"/>
      </c:scatterChart>
      <c:scatterChart>
        <c:scatterStyle val="lineMarker"/>
        <c:varyColors val="0"/>
        <c:ser>
          <c:idx val="1"/>
          <c:order val="1"/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Prob2!$K$16:$K$26</c:f>
              <c:numCache>
                <c:formatCode>0.00%</c:formatCode>
                <c:ptCount val="11"/>
                <c:pt idx="0">
                  <c:v>0.20799999999999999</c:v>
                </c:pt>
                <c:pt idx="1">
                  <c:v>0.18977771523548281</c:v>
                </c:pt>
                <c:pt idx="2">
                  <c:v>0.17217197449062377</c:v>
                </c:pt>
                <c:pt idx="3">
                  <c:v>0.15539247986952262</c:v>
                </c:pt>
                <c:pt idx="4">
                  <c:v>0.13973719333090959</c:v>
                </c:pt>
                <c:pt idx="5">
                  <c:v>0.12562710694750556</c:v>
                </c:pt>
                <c:pt idx="6">
                  <c:v>0.11363926786106993</c:v>
                </c:pt>
                <c:pt idx="7">
                  <c:v>0.10450656821463425</c:v>
                </c:pt>
                <c:pt idx="8">
                  <c:v>9.9022163175725472E-2</c:v>
                </c:pt>
                <c:pt idx="9">
                  <c:v>9.7801744360721921E-2</c:v>
                </c:pt>
                <c:pt idx="10">
                  <c:v>0.10100000000000001</c:v>
                </c:pt>
              </c:numCache>
            </c:numRef>
          </c:xVal>
          <c:yVal>
            <c:numRef>
              <c:f>Prob2!$M$16:$M$26</c:f>
              <c:numCache>
                <c:formatCode>0.000</c:formatCode>
                <c:ptCount val="11"/>
                <c:pt idx="0">
                  <c:v>2.5104000000000001E-2</c:v>
                </c:pt>
                <c:pt idx="1">
                  <c:v>2.9076628199999996E-2</c:v>
                </c:pt>
                <c:pt idx="2">
                  <c:v>3.1735216799999987E-2</c:v>
                </c:pt>
                <c:pt idx="3">
                  <c:v>3.3079765800000015E-2</c:v>
                </c:pt>
                <c:pt idx="4">
                  <c:v>3.311027519999999E-2</c:v>
                </c:pt>
                <c:pt idx="5">
                  <c:v>3.1826744999999997E-2</c:v>
                </c:pt>
                <c:pt idx="6">
                  <c:v>2.9229175199999999E-2</c:v>
                </c:pt>
                <c:pt idx="7">
                  <c:v>2.53175658E-2</c:v>
                </c:pt>
                <c:pt idx="8">
                  <c:v>2.0091916799999995E-2</c:v>
                </c:pt>
                <c:pt idx="9">
                  <c:v>1.3552228199999995E-2</c:v>
                </c:pt>
                <c:pt idx="10">
                  <c:v>5.6984999999999987E-3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DD-42BF-84D9-2FB04A899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77399951"/>
        <c:scaling>
          <c:orientation val="minMax"/>
          <c:max val="0.22"/>
          <c:min val="0.08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Portfolio risk (standard deviation)</a:t>
                </a:r>
              </a:p>
            </c:rich>
          </c:tx>
          <c:layout>
            <c:manualLayout>
              <c:xMode val="edge"/>
              <c:yMode val="edge"/>
              <c:x val="0.39724137931034481"/>
              <c:y val="0.9400452488687782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02"/>
        <c:minorUnit val="0.01"/>
      </c:valAx>
      <c:valAx>
        <c:axId val="1"/>
        <c:scaling>
          <c:orientation val="minMax"/>
          <c:max val="0.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Portfolio return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3552036199095023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77399951"/>
        <c:crossesAt val="0.08"/>
        <c:crossBetween val="midCat"/>
        <c:majorUnit val="0.01"/>
        <c:minorUnit val="0.01"/>
      </c:valAx>
      <c:valAx>
        <c:axId val="3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Portfolio utility</a:t>
                </a:r>
              </a:p>
            </c:rich>
          </c:tx>
          <c:layout>
            <c:manualLayout>
              <c:xMode val="edge"/>
              <c:yMode val="edge"/>
              <c:x val="0.96344827586206894"/>
              <c:y val="0.4377828054298642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Problem Three</a:t>
            </a:r>
          </a:p>
        </c:rich>
      </c:tx>
      <c:layout>
        <c:manualLayout>
          <c:xMode val="edge"/>
          <c:yMode val="edge"/>
          <c:x val="0.4448275862068965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482758620689649E-2"/>
          <c:y val="0.1425339366515837"/>
          <c:w val="0.85241379310344823"/>
          <c:h val="0.743212669683257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Prob3!$K$47:$K$68</c:f>
              <c:numCache>
                <c:formatCode>0.00%</c:formatCode>
                <c:ptCount val="22"/>
                <c:pt idx="0">
                  <c:v>0.20799999999999999</c:v>
                </c:pt>
                <c:pt idx="1">
                  <c:v>0.18977771523548281</c:v>
                </c:pt>
                <c:pt idx="2">
                  <c:v>0.17217197449062377</c:v>
                </c:pt>
                <c:pt idx="3">
                  <c:v>0.15539247986952262</c:v>
                </c:pt>
                <c:pt idx="4">
                  <c:v>0.13973719333090959</c:v>
                </c:pt>
                <c:pt idx="5">
                  <c:v>0.12562710694750556</c:v>
                </c:pt>
                <c:pt idx="6">
                  <c:v>0.11363926786106993</c:v>
                </c:pt>
                <c:pt idx="7">
                  <c:v>0.10450656821463425</c:v>
                </c:pt>
                <c:pt idx="8">
                  <c:v>9.9022163175725472E-2</c:v>
                </c:pt>
                <c:pt idx="9">
                  <c:v>9.7801744360721921E-2</c:v>
                </c:pt>
                <c:pt idx="10">
                  <c:v>0.10100000000000001</c:v>
                </c:pt>
                <c:pt idx="11">
                  <c:v>0.18890934146643884</c:v>
                </c:pt>
                <c:pt idx="12">
                  <c:v>0.17001840731979495</c:v>
                </c:pt>
                <c:pt idx="13">
                  <c:v>0.15112747317315109</c:v>
                </c:pt>
                <c:pt idx="14">
                  <c:v>0.13223653902650717</c:v>
                </c:pt>
                <c:pt idx="15">
                  <c:v>0.1133456048798633</c:v>
                </c:pt>
                <c:pt idx="16">
                  <c:v>9.445467073321942E-2</c:v>
                </c:pt>
                <c:pt idx="17">
                  <c:v>7.5563736586575544E-2</c:v>
                </c:pt>
                <c:pt idx="18">
                  <c:v>5.6672802439931662E-2</c:v>
                </c:pt>
                <c:pt idx="19">
                  <c:v>3.7781868293287758E-2</c:v>
                </c:pt>
                <c:pt idx="20">
                  <c:v>1.8890934146643879E-2</c:v>
                </c:pt>
                <c:pt idx="21">
                  <c:v>0</c:v>
                </c:pt>
              </c:numCache>
            </c:numRef>
          </c:xVal>
          <c:yVal>
            <c:numRef>
              <c:f>Prob3!$L$47:$L$68</c:f>
              <c:numCache>
                <c:formatCode>0.00%</c:formatCode>
                <c:ptCount val="22"/>
                <c:pt idx="0">
                  <c:v>0.09</c:v>
                </c:pt>
                <c:pt idx="1">
                  <c:v>8.3100000000000007E-2</c:v>
                </c:pt>
                <c:pt idx="2">
                  <c:v>7.619999999999999E-2</c:v>
                </c:pt>
                <c:pt idx="3">
                  <c:v>6.93E-2</c:v>
                </c:pt>
                <c:pt idx="4">
                  <c:v>6.2399999999999997E-2</c:v>
                </c:pt>
                <c:pt idx="5">
                  <c:v>5.5500000000000001E-2</c:v>
                </c:pt>
                <c:pt idx="6">
                  <c:v>4.8599999999999997E-2</c:v>
                </c:pt>
                <c:pt idx="7">
                  <c:v>4.1700000000000001E-2</c:v>
                </c:pt>
                <c:pt idx="8">
                  <c:v>3.4799999999999998E-2</c:v>
                </c:pt>
                <c:pt idx="9">
                  <c:v>2.7899999999999998E-2</c:v>
                </c:pt>
                <c:pt idx="10">
                  <c:v>2.1000000000000001E-2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4B-46F6-B8CF-2ADF391C119C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Prob3!$K$47:$K$68</c:f>
              <c:numCache>
                <c:formatCode>0.00%</c:formatCode>
                <c:ptCount val="22"/>
                <c:pt idx="0">
                  <c:v>0.20799999999999999</c:v>
                </c:pt>
                <c:pt idx="1">
                  <c:v>0.18977771523548281</c:v>
                </c:pt>
                <c:pt idx="2">
                  <c:v>0.17217197449062377</c:v>
                </c:pt>
                <c:pt idx="3">
                  <c:v>0.15539247986952262</c:v>
                </c:pt>
                <c:pt idx="4">
                  <c:v>0.13973719333090959</c:v>
                </c:pt>
                <c:pt idx="5">
                  <c:v>0.12562710694750556</c:v>
                </c:pt>
                <c:pt idx="6">
                  <c:v>0.11363926786106993</c:v>
                </c:pt>
                <c:pt idx="7">
                  <c:v>0.10450656821463425</c:v>
                </c:pt>
                <c:pt idx="8">
                  <c:v>9.9022163175725472E-2</c:v>
                </c:pt>
                <c:pt idx="9">
                  <c:v>9.7801744360721921E-2</c:v>
                </c:pt>
                <c:pt idx="10">
                  <c:v>0.10100000000000001</c:v>
                </c:pt>
                <c:pt idx="11">
                  <c:v>0.18890934146643884</c:v>
                </c:pt>
                <c:pt idx="12">
                  <c:v>0.17001840731979495</c:v>
                </c:pt>
                <c:pt idx="13">
                  <c:v>0.15112747317315109</c:v>
                </c:pt>
                <c:pt idx="14">
                  <c:v>0.13223653902650717</c:v>
                </c:pt>
                <c:pt idx="15">
                  <c:v>0.1133456048798633</c:v>
                </c:pt>
                <c:pt idx="16">
                  <c:v>9.445467073321942E-2</c:v>
                </c:pt>
                <c:pt idx="17">
                  <c:v>7.5563736586575544E-2</c:v>
                </c:pt>
                <c:pt idx="18">
                  <c:v>5.6672802439931662E-2</c:v>
                </c:pt>
                <c:pt idx="19">
                  <c:v>3.7781868293287758E-2</c:v>
                </c:pt>
                <c:pt idx="20">
                  <c:v>1.8890934146643879E-2</c:v>
                </c:pt>
                <c:pt idx="21">
                  <c:v>0</c:v>
                </c:pt>
              </c:numCache>
            </c:numRef>
          </c:xVal>
          <c:yVal>
            <c:numRef>
              <c:f>Prob3!$M$47:$M$68</c:f>
              <c:numCache>
                <c:formatCode>General</c:formatCode>
                <c:ptCount val="22"/>
                <c:pt idx="11" formatCode="0.00%">
                  <c:v>8.276579088610761E-2</c:v>
                </c:pt>
                <c:pt idx="12" formatCode="0.00%">
                  <c:v>7.5489211797496847E-2</c:v>
                </c:pt>
                <c:pt idx="13" formatCode="0.00%">
                  <c:v>6.8212632708886098E-2</c:v>
                </c:pt>
                <c:pt idx="14" formatCode="0.00%">
                  <c:v>6.0936053620275328E-2</c:v>
                </c:pt>
                <c:pt idx="15" formatCode="0.00%">
                  <c:v>5.3659474531664558E-2</c:v>
                </c:pt>
                <c:pt idx="16" formatCode="0.00%">
                  <c:v>4.6382895443053802E-2</c:v>
                </c:pt>
                <c:pt idx="17" formatCode="0.00%">
                  <c:v>3.9106316354443046E-2</c:v>
                </c:pt>
                <c:pt idx="18" formatCode="0.00%">
                  <c:v>3.1829737265832284E-2</c:v>
                </c:pt>
                <c:pt idx="19" formatCode="0.00%">
                  <c:v>2.4553158177221517E-2</c:v>
                </c:pt>
                <c:pt idx="20" formatCode="0.00%">
                  <c:v>1.7276579088610758E-2</c:v>
                </c:pt>
                <c:pt idx="21" formatCode="0.00%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4B-46F6-B8CF-2ADF391C1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923999"/>
        <c:axId val="1"/>
      </c:scatterChart>
      <c:scatterChart>
        <c:scatterStyle val="lineMarker"/>
        <c:varyColors val="0"/>
        <c:ser>
          <c:idx val="2"/>
          <c:order val="2"/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Prob3!$K$47:$K$68</c:f>
              <c:numCache>
                <c:formatCode>0.00%</c:formatCode>
                <c:ptCount val="22"/>
                <c:pt idx="0">
                  <c:v>0.20799999999999999</c:v>
                </c:pt>
                <c:pt idx="1">
                  <c:v>0.18977771523548281</c:v>
                </c:pt>
                <c:pt idx="2">
                  <c:v>0.17217197449062377</c:v>
                </c:pt>
                <c:pt idx="3">
                  <c:v>0.15539247986952262</c:v>
                </c:pt>
                <c:pt idx="4">
                  <c:v>0.13973719333090959</c:v>
                </c:pt>
                <c:pt idx="5">
                  <c:v>0.12562710694750556</c:v>
                </c:pt>
                <c:pt idx="6">
                  <c:v>0.11363926786106993</c:v>
                </c:pt>
                <c:pt idx="7">
                  <c:v>0.10450656821463425</c:v>
                </c:pt>
                <c:pt idx="8">
                  <c:v>9.9022163175725472E-2</c:v>
                </c:pt>
                <c:pt idx="9">
                  <c:v>9.7801744360721921E-2</c:v>
                </c:pt>
                <c:pt idx="10">
                  <c:v>0.10100000000000001</c:v>
                </c:pt>
                <c:pt idx="11">
                  <c:v>0.18890934146643884</c:v>
                </c:pt>
                <c:pt idx="12">
                  <c:v>0.17001840731979495</c:v>
                </c:pt>
                <c:pt idx="13">
                  <c:v>0.15112747317315109</c:v>
                </c:pt>
                <c:pt idx="14">
                  <c:v>0.13223653902650717</c:v>
                </c:pt>
                <c:pt idx="15">
                  <c:v>0.1133456048798633</c:v>
                </c:pt>
                <c:pt idx="16">
                  <c:v>9.445467073321942E-2</c:v>
                </c:pt>
                <c:pt idx="17">
                  <c:v>7.5563736586575544E-2</c:v>
                </c:pt>
                <c:pt idx="18">
                  <c:v>5.6672802439931662E-2</c:v>
                </c:pt>
                <c:pt idx="19">
                  <c:v>3.7781868293287758E-2</c:v>
                </c:pt>
                <c:pt idx="20">
                  <c:v>1.8890934146643879E-2</c:v>
                </c:pt>
                <c:pt idx="21">
                  <c:v>0</c:v>
                </c:pt>
              </c:numCache>
            </c:numRef>
          </c:xVal>
          <c:yVal>
            <c:numRef>
              <c:f>Prob3!$O$47:$O$68</c:f>
              <c:numCache>
                <c:formatCode>General</c:formatCode>
                <c:ptCount val="22"/>
                <c:pt idx="11" formatCode="0.000">
                  <c:v>2.9235681946182229E-2</c:v>
                </c:pt>
                <c:pt idx="12" formatCode="0.000">
                  <c:v>3.2129823556157289E-2</c:v>
                </c:pt>
                <c:pt idx="13" formatCode="0.000">
                  <c:v>3.3953362987333841E-2</c:v>
                </c:pt>
                <c:pt idx="14" formatCode="0.000">
                  <c:v>3.4706300239711899E-2</c:v>
                </c:pt>
                <c:pt idx="15" formatCode="0.000">
                  <c:v>3.4388635313291421E-2</c:v>
                </c:pt>
                <c:pt idx="16" formatCode="0.000">
                  <c:v>3.3000368208072457E-2</c:v>
                </c:pt>
                <c:pt idx="17" formatCode="0.000">
                  <c:v>3.0541498924054982E-2</c:v>
                </c:pt>
                <c:pt idx="18" formatCode="0.000">
                  <c:v>2.7012027461238999E-2</c:v>
                </c:pt>
                <c:pt idx="19" formatCode="0.000">
                  <c:v>2.2411953819624502E-2</c:v>
                </c:pt>
                <c:pt idx="20" formatCode="0.000">
                  <c:v>1.6741277999211504E-2</c:v>
                </c:pt>
                <c:pt idx="21" formatCode="0.00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4B-46F6-B8CF-2ADF391C1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19923999"/>
        <c:scaling>
          <c:orientation val="minMax"/>
          <c:max val="0.25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Portfolio risk (standard deviation)</a:t>
                </a:r>
              </a:p>
            </c:rich>
          </c:tx>
          <c:layout>
            <c:manualLayout>
              <c:xMode val="edge"/>
              <c:yMode val="edge"/>
              <c:x val="0.40068965517241378"/>
              <c:y val="0.9400452488687782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0.1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Portfolio return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3552036199095023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9923999"/>
        <c:crosses val="autoZero"/>
        <c:crossBetween val="midCat"/>
        <c:majorUnit val="0.01"/>
        <c:minorUnit val="0.01"/>
      </c:valAx>
      <c:valAx>
        <c:axId val="3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0.14000000000000001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Portfolio utility</a:t>
                </a:r>
              </a:p>
            </c:rich>
          </c:tx>
          <c:layout>
            <c:manualLayout>
              <c:xMode val="edge"/>
              <c:yMode val="edge"/>
              <c:x val="0.96344827586206894"/>
              <c:y val="0.4377828054298642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pageSetup paperSize="9" orientation="landscape" blackAndWhite="1" horizontalDpi="300" verticalDpi="300" r:id="rId1"/>
  <headerFooter alignWithMargins="0">
    <oddHeader>&amp;L&amp;F&amp;C&amp;A</oddHeader>
    <oddFooter>Prepared by Mike Staunton &amp;D&amp;RPage &amp;P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pageSetup paperSize="9" orientation="landscape" blackAndWhite="1" horizontalDpi="300" verticalDpi="300" r:id="rId1"/>
  <headerFooter alignWithMargins="0">
    <oddHeader>&amp;L&amp;F&amp;C&amp;A</oddHeader>
    <oddFooter>Prepared by Mike Staunton &amp;D&amp;RPage &amp;P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8" workbookViewId="0"/>
  </sheetViews>
  <pageMargins left="0.75" right="0.75" top="1" bottom="1" header="0.5" footer="0.5"/>
  <pageSetup paperSize="9" orientation="landscape" blackAndWhite="1" horizontalDpi="300" verticalDpi="300" r:id="rId1"/>
  <headerFooter alignWithMargins="0">
    <oddHeader>&amp;L&amp;F&amp;C&amp;A</oddHeader>
    <oddFooter>Prepared by Mike Staunton &amp;D&amp;RPage 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736847-8CD0-4456-B5A7-967DD68EE5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9A123-736B-4B21-8DD4-569A32ACD3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DDE3A-24C4-439B-8864-C78C4DF796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8"/>
  <sheetViews>
    <sheetView tabSelected="1" workbookViewId="0"/>
  </sheetViews>
  <sheetFormatPr defaultRowHeight="13" x14ac:dyDescent="0.3"/>
  <sheetData>
    <row r="1" spans="1:10" x14ac:dyDescent="0.3">
      <c r="A1" s="1" t="s">
        <v>0</v>
      </c>
    </row>
    <row r="2" spans="1:10" x14ac:dyDescent="0.3">
      <c r="A2" s="3" t="s">
        <v>1</v>
      </c>
    </row>
    <row r="4" spans="1:10" x14ac:dyDescent="0.3">
      <c r="A4" s="14" t="s">
        <v>2</v>
      </c>
      <c r="B4" s="15"/>
      <c r="C4" s="16" t="s">
        <v>3</v>
      </c>
      <c r="D4" s="17" t="s">
        <v>4</v>
      </c>
    </row>
    <row r="5" spans="1:10" x14ac:dyDescent="0.3">
      <c r="B5" s="18" t="s">
        <v>5</v>
      </c>
      <c r="C5" s="31">
        <v>6.0000000000000001E-3</v>
      </c>
      <c r="D5" s="31">
        <v>4.2999999999999997E-2</v>
      </c>
      <c r="G5" s="26" t="s">
        <v>6</v>
      </c>
      <c r="I5" s="31">
        <v>7.0000000000000007E-2</v>
      </c>
      <c r="J5" s="22"/>
    </row>
    <row r="6" spans="1:10" x14ac:dyDescent="0.3">
      <c r="B6" s="18" t="s">
        <v>7</v>
      </c>
      <c r="C6" s="31">
        <v>2.1000000000000001E-2</v>
      </c>
      <c r="D6" s="31">
        <v>0.10100000000000001</v>
      </c>
    </row>
    <row r="7" spans="1:10" x14ac:dyDescent="0.3">
      <c r="B7" s="18" t="s">
        <v>8</v>
      </c>
      <c r="C7" s="31">
        <v>0.09</v>
      </c>
      <c r="D7" s="31">
        <v>0.20799999999999999</v>
      </c>
      <c r="G7" s="3"/>
    </row>
    <row r="8" spans="1:10" x14ac:dyDescent="0.3">
      <c r="A8" s="15"/>
      <c r="B8" s="15"/>
      <c r="C8" s="19"/>
      <c r="D8" s="20"/>
      <c r="E8" s="15"/>
    </row>
    <row r="9" spans="1:10" x14ac:dyDescent="0.3">
      <c r="A9" s="21" t="s">
        <v>9</v>
      </c>
      <c r="C9" s="4" t="s">
        <v>5</v>
      </c>
      <c r="D9" s="4" t="s">
        <v>7</v>
      </c>
      <c r="E9" s="4" t="s">
        <v>8</v>
      </c>
      <c r="G9" s="1" t="s">
        <v>10</v>
      </c>
    </row>
    <row r="10" spans="1:10" x14ac:dyDescent="0.3">
      <c r="B10" s="18" t="s">
        <v>5</v>
      </c>
      <c r="C10" s="27">
        <v>1</v>
      </c>
      <c r="D10" s="6">
        <v>0.63</v>
      </c>
      <c r="E10" s="6">
        <v>0.09</v>
      </c>
      <c r="H10" s="18" t="s">
        <v>5</v>
      </c>
      <c r="I10" s="10">
        <v>0.4</v>
      </c>
      <c r="J10" s="22"/>
    </row>
    <row r="11" spans="1:10" x14ac:dyDescent="0.3">
      <c r="B11" s="18" t="s">
        <v>7</v>
      </c>
      <c r="C11" s="27">
        <f>D10</f>
        <v>0.63</v>
      </c>
      <c r="D11" s="27">
        <v>1</v>
      </c>
      <c r="E11" s="6">
        <v>0.23</v>
      </c>
      <c r="H11" s="18" t="s">
        <v>7</v>
      </c>
      <c r="I11" s="10">
        <v>0.5</v>
      </c>
      <c r="J11" s="4"/>
    </row>
    <row r="12" spans="1:10" x14ac:dyDescent="0.3">
      <c r="B12" s="18" t="s">
        <v>8</v>
      </c>
      <c r="C12" s="27">
        <f>E10</f>
        <v>0.09</v>
      </c>
      <c r="D12" s="27">
        <f>E11</f>
        <v>0.23</v>
      </c>
      <c r="E12" s="27">
        <v>1</v>
      </c>
      <c r="H12" s="18" t="s">
        <v>8</v>
      </c>
      <c r="I12" s="10">
        <f>1-SUM(I10:I11)</f>
        <v>9.9999999999999978E-2</v>
      </c>
    </row>
    <row r="13" spans="1:10" x14ac:dyDescent="0.3">
      <c r="A13" s="15"/>
      <c r="B13" s="15"/>
      <c r="C13" s="19"/>
      <c r="D13" s="20"/>
      <c r="E13" s="15"/>
      <c r="I13" s="10"/>
      <c r="J13" s="4"/>
    </row>
    <row r="14" spans="1:10" x14ac:dyDescent="0.3">
      <c r="A14" s="24" t="s">
        <v>11</v>
      </c>
      <c r="C14" s="4" t="s">
        <v>5</v>
      </c>
      <c r="D14" s="4" t="s">
        <v>7</v>
      </c>
      <c r="E14" s="4" t="s">
        <v>8</v>
      </c>
      <c r="I14" s="10"/>
    </row>
    <row r="15" spans="1:10" x14ac:dyDescent="0.3">
      <c r="B15" s="18" t="s">
        <v>5</v>
      </c>
      <c r="C15" s="37">
        <f t="shared" ref="C15:E17" si="0">C10*VLOOKUP(C$14,$B$5:$D$7,3,FALSE)*VLOOKUP($B15,$B$5:$D$7,3,FALSE)</f>
        <v>1.8489999999999997E-3</v>
      </c>
      <c r="D15" s="25">
        <f t="shared" si="0"/>
        <v>2.73609E-3</v>
      </c>
      <c r="E15" s="25">
        <f t="shared" si="0"/>
        <v>8.0495999999999986E-4</v>
      </c>
      <c r="H15" t="s">
        <v>3</v>
      </c>
      <c r="I15" s="36">
        <f>SUMPRODUCT(C5:C7,I10:I12)</f>
        <v>2.1899999999999999E-2</v>
      </c>
      <c r="J15" s="22"/>
    </row>
    <row r="16" spans="1:10" x14ac:dyDescent="0.3">
      <c r="B16" s="18" t="s">
        <v>7</v>
      </c>
      <c r="C16" s="25">
        <f t="shared" si="0"/>
        <v>2.73609E-3</v>
      </c>
      <c r="D16" s="25">
        <f t="shared" si="0"/>
        <v>1.0201000000000002E-2</v>
      </c>
      <c r="E16" s="25">
        <f t="shared" si="0"/>
        <v>4.8318400000000004E-3</v>
      </c>
      <c r="H16" t="s">
        <v>4</v>
      </c>
      <c r="I16" s="36">
        <f>SQRT(I18)</f>
        <v>7.0148034897636297E-2</v>
      </c>
      <c r="J16" s="22"/>
    </row>
    <row r="17" spans="2:9" x14ac:dyDescent="0.3">
      <c r="B17" s="18" t="s">
        <v>8</v>
      </c>
      <c r="C17" s="25">
        <f t="shared" si="0"/>
        <v>8.0495999999999986E-4</v>
      </c>
      <c r="D17" s="25">
        <f t="shared" si="0"/>
        <v>4.8318400000000004E-3</v>
      </c>
      <c r="E17" s="25">
        <f t="shared" si="0"/>
        <v>4.3263999999999997E-2</v>
      </c>
    </row>
    <row r="18" spans="2:9" x14ac:dyDescent="0.3">
      <c r="B18" s="18"/>
      <c r="C18" s="25"/>
      <c r="D18" s="25"/>
      <c r="E18" s="25"/>
      <c r="H18" t="s">
        <v>12</v>
      </c>
      <c r="I18" s="23">
        <f t="array" ref="I18">MMULT(TRANSPOSE(I10:I12),MMULT(C15:E17,I10:I12))</f>
        <v>4.9207467999999996E-3</v>
      </c>
    </row>
  </sheetData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/>
  </sheetViews>
  <sheetFormatPr defaultRowHeight="13" x14ac:dyDescent="0.3"/>
  <sheetData>
    <row r="1" spans="1:10" x14ac:dyDescent="0.3">
      <c r="A1" s="1" t="s">
        <v>0</v>
      </c>
    </row>
    <row r="2" spans="1:10" x14ac:dyDescent="0.3">
      <c r="A2" s="3" t="s">
        <v>13</v>
      </c>
    </row>
    <row r="4" spans="1:10" x14ac:dyDescent="0.3">
      <c r="A4" s="14" t="s">
        <v>2</v>
      </c>
      <c r="B4" s="15"/>
      <c r="C4" s="16" t="s">
        <v>3</v>
      </c>
      <c r="D4" s="17" t="s">
        <v>4</v>
      </c>
    </row>
    <row r="5" spans="1:10" x14ac:dyDescent="0.3">
      <c r="B5" s="18" t="s">
        <v>5</v>
      </c>
      <c r="C5" s="31">
        <v>6.0000000000000001E-3</v>
      </c>
      <c r="D5" s="31">
        <v>4.2999999999999997E-2</v>
      </c>
      <c r="G5" s="26" t="s">
        <v>6</v>
      </c>
      <c r="I5" s="31">
        <v>7.0000000000000007E-2</v>
      </c>
      <c r="J5" s="22" t="s">
        <v>14</v>
      </c>
    </row>
    <row r="6" spans="1:10" x14ac:dyDescent="0.3">
      <c r="B6" s="18" t="s">
        <v>7</v>
      </c>
      <c r="C6" s="31">
        <v>2.1000000000000001E-2</v>
      </c>
      <c r="D6" s="31">
        <v>0.10100000000000001</v>
      </c>
    </row>
    <row r="7" spans="1:10" x14ac:dyDescent="0.3">
      <c r="B7" s="18" t="s">
        <v>8</v>
      </c>
      <c r="C7" s="31">
        <v>0.09</v>
      </c>
      <c r="D7" s="31">
        <v>0.20799999999999999</v>
      </c>
      <c r="G7" s="3" t="s">
        <v>15</v>
      </c>
    </row>
    <row r="8" spans="1:10" x14ac:dyDescent="0.3">
      <c r="A8" s="15"/>
      <c r="B8" s="15"/>
      <c r="C8" s="19"/>
      <c r="D8" s="20"/>
      <c r="E8" s="15"/>
    </row>
    <row r="9" spans="1:10" x14ac:dyDescent="0.3">
      <c r="A9" s="21" t="s">
        <v>9</v>
      </c>
      <c r="C9" s="4" t="s">
        <v>5</v>
      </c>
      <c r="D9" s="4" t="s">
        <v>7</v>
      </c>
      <c r="E9" s="4" t="s">
        <v>8</v>
      </c>
      <c r="G9" s="3" t="s">
        <v>16</v>
      </c>
    </row>
    <row r="10" spans="1:10" x14ac:dyDescent="0.3">
      <c r="B10" s="18" t="s">
        <v>5</v>
      </c>
      <c r="C10" s="27">
        <v>1</v>
      </c>
      <c r="D10" s="6">
        <v>0.63</v>
      </c>
      <c r="E10" s="6">
        <v>0.09</v>
      </c>
      <c r="H10" s="18" t="s">
        <v>5</v>
      </c>
      <c r="I10" s="35">
        <f>1-SUM(I11:I12)</f>
        <v>0.4</v>
      </c>
    </row>
    <row r="11" spans="1:10" x14ac:dyDescent="0.3">
      <c r="B11" s="18" t="s">
        <v>7</v>
      </c>
      <c r="C11" s="27">
        <f>D10</f>
        <v>0.63</v>
      </c>
      <c r="D11" s="27">
        <v>1</v>
      </c>
      <c r="E11" s="6">
        <v>0.23</v>
      </c>
      <c r="H11" s="18" t="s">
        <v>7</v>
      </c>
      <c r="I11" s="36">
        <v>0.5</v>
      </c>
      <c r="J11" s="22" t="s">
        <v>17</v>
      </c>
    </row>
    <row r="12" spans="1:10" x14ac:dyDescent="0.3">
      <c r="B12" s="18" t="s">
        <v>8</v>
      </c>
      <c r="C12" s="27">
        <f>E10</f>
        <v>0.09</v>
      </c>
      <c r="D12" s="27">
        <f>E11</f>
        <v>0.23</v>
      </c>
      <c r="E12" s="27">
        <v>1</v>
      </c>
      <c r="H12" s="18" t="s">
        <v>8</v>
      </c>
      <c r="I12" s="36">
        <v>0.1</v>
      </c>
    </row>
    <row r="13" spans="1:10" x14ac:dyDescent="0.3">
      <c r="A13" s="15"/>
      <c r="B13" s="15"/>
      <c r="C13" s="19"/>
      <c r="D13" s="20"/>
      <c r="E13" s="15"/>
    </row>
    <row r="14" spans="1:10" x14ac:dyDescent="0.3">
      <c r="A14" s="24" t="s">
        <v>11</v>
      </c>
      <c r="C14" s="4" t="s">
        <v>5</v>
      </c>
      <c r="D14" s="4" t="s">
        <v>7</v>
      </c>
      <c r="E14" s="4" t="s">
        <v>8</v>
      </c>
      <c r="I14" s="10"/>
    </row>
    <row r="15" spans="1:10" x14ac:dyDescent="0.3">
      <c r="B15" s="18" t="s">
        <v>5</v>
      </c>
      <c r="C15" s="37">
        <f t="shared" ref="C15:E17" si="0">C10*VLOOKUP(C$14,$B$5:$D$7,3,FALSE)*VLOOKUP($B15,$B$5:$D$7,3,FALSE)</f>
        <v>1.8489999999999997E-3</v>
      </c>
      <c r="D15" s="25">
        <f t="shared" si="0"/>
        <v>2.73609E-3</v>
      </c>
      <c r="E15" s="25">
        <f t="shared" si="0"/>
        <v>8.0495999999999986E-4</v>
      </c>
      <c r="H15" t="s">
        <v>3</v>
      </c>
      <c r="I15" s="36">
        <f>PortfolioReturn(C5:C7,I10:I12)</f>
        <v>2.1900000000000003E-2</v>
      </c>
      <c r="J15" s="22" t="s">
        <v>18</v>
      </c>
    </row>
    <row r="16" spans="1:10" x14ac:dyDescent="0.3">
      <c r="B16" s="18" t="s">
        <v>7</v>
      </c>
      <c r="C16" s="25">
        <f t="shared" si="0"/>
        <v>2.73609E-3</v>
      </c>
      <c r="D16" s="25">
        <f t="shared" si="0"/>
        <v>1.0201000000000002E-2</v>
      </c>
      <c r="E16" s="25">
        <f t="shared" si="0"/>
        <v>4.8318400000000004E-3</v>
      </c>
      <c r="H16" t="s">
        <v>4</v>
      </c>
      <c r="I16" s="36">
        <f>SQRT(PortfolioVariance(I10:I12,C15:E17))</f>
        <v>7.0148034897636311E-2</v>
      </c>
      <c r="J16" s="22" t="s">
        <v>19</v>
      </c>
    </row>
    <row r="17" spans="2:5" x14ac:dyDescent="0.3">
      <c r="B17" s="18" t="s">
        <v>8</v>
      </c>
      <c r="C17" s="25">
        <f t="shared" si="0"/>
        <v>8.0495999999999986E-4</v>
      </c>
      <c r="D17" s="25">
        <f t="shared" si="0"/>
        <v>4.8318400000000004E-3</v>
      </c>
      <c r="E17" s="25">
        <f t="shared" si="0"/>
        <v>4.3263999999999997E-2</v>
      </c>
    </row>
  </sheetData>
  <printOptions headings="1" gridLines="1"/>
  <pageMargins left="0.75" right="0.75" top="1" bottom="1" header="0.5" footer="0.5"/>
  <pageSetup paperSize="9" scale="99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0"/>
  <sheetViews>
    <sheetView workbookViewId="0">
      <selection activeCell="I24" sqref="I24:I26"/>
    </sheetView>
  </sheetViews>
  <sheetFormatPr defaultRowHeight="13" x14ac:dyDescent="0.3"/>
  <cols>
    <col min="11" max="11" width="9.796875" customWidth="1"/>
  </cols>
  <sheetData>
    <row r="1" spans="1:10" x14ac:dyDescent="0.3">
      <c r="A1" s="1" t="s">
        <v>0</v>
      </c>
    </row>
    <row r="2" spans="1:10" x14ac:dyDescent="0.3">
      <c r="A2" s="3" t="s">
        <v>20</v>
      </c>
    </row>
    <row r="4" spans="1:10" x14ac:dyDescent="0.3">
      <c r="A4" s="14" t="s">
        <v>2</v>
      </c>
      <c r="B4" s="15"/>
      <c r="C4" s="16" t="s">
        <v>3</v>
      </c>
      <c r="D4" s="17" t="s">
        <v>4</v>
      </c>
      <c r="G4" s="1" t="s">
        <v>21</v>
      </c>
    </row>
    <row r="5" spans="1:10" x14ac:dyDescent="0.3">
      <c r="B5" s="18" t="s">
        <v>5</v>
      </c>
      <c r="C5" s="31">
        <v>6.0000000000000001E-3</v>
      </c>
      <c r="D5" s="31">
        <v>4.2999999999999997E-2</v>
      </c>
      <c r="H5" t="s">
        <v>5</v>
      </c>
      <c r="I5" s="10">
        <f>1-SUM(I6:I7)</f>
        <v>0.33333333333333337</v>
      </c>
    </row>
    <row r="6" spans="1:10" x14ac:dyDescent="0.3">
      <c r="B6" s="18" t="s">
        <v>7</v>
      </c>
      <c r="C6" s="31">
        <v>2.1000000000000001E-2</v>
      </c>
      <c r="D6" s="31">
        <v>0.10100000000000001</v>
      </c>
      <c r="H6" t="s">
        <v>7</v>
      </c>
      <c r="I6" s="9">
        <f t="shared" ref="I6:I7" si="0">1/3</f>
        <v>0.33333333333333331</v>
      </c>
    </row>
    <row r="7" spans="1:10" x14ac:dyDescent="0.3">
      <c r="B7" s="18" t="s">
        <v>8</v>
      </c>
      <c r="C7" s="31">
        <v>0.09</v>
      </c>
      <c r="D7" s="31">
        <v>0.20799999999999999</v>
      </c>
      <c r="H7" t="s">
        <v>8</v>
      </c>
      <c r="I7" s="9">
        <f t="shared" si="0"/>
        <v>0.33333333333333331</v>
      </c>
    </row>
    <row r="8" spans="1:10" x14ac:dyDescent="0.3">
      <c r="A8" s="15"/>
      <c r="B8" s="15"/>
      <c r="C8" s="19"/>
      <c r="D8" s="20"/>
      <c r="E8" s="15"/>
    </row>
    <row r="9" spans="1:10" x14ac:dyDescent="0.3">
      <c r="A9" s="21" t="s">
        <v>9</v>
      </c>
      <c r="C9" s="4" t="s">
        <v>5</v>
      </c>
      <c r="D9" s="4" t="s">
        <v>7</v>
      </c>
      <c r="E9" s="4" t="s">
        <v>8</v>
      </c>
      <c r="J9" s="4" t="s">
        <v>22</v>
      </c>
    </row>
    <row r="10" spans="1:10" x14ac:dyDescent="0.3">
      <c r="B10" s="18" t="s">
        <v>5</v>
      </c>
      <c r="C10" s="27">
        <v>1</v>
      </c>
      <c r="D10" s="6">
        <v>0.63</v>
      </c>
      <c r="E10" s="6">
        <v>0.09</v>
      </c>
      <c r="H10" t="s">
        <v>3</v>
      </c>
      <c r="I10" s="5">
        <f t="array" ref="I10">MMULT(TRANSPOSE(I5:I7),C5:C7)</f>
        <v>3.9E-2</v>
      </c>
      <c r="J10" s="5">
        <f>PortfolioReturn(C5:C7,I5:I7)</f>
        <v>3.9E-2</v>
      </c>
    </row>
    <row r="11" spans="1:10" x14ac:dyDescent="0.3">
      <c r="B11" s="18" t="s">
        <v>7</v>
      </c>
      <c r="C11" s="27">
        <f>D10</f>
        <v>0.63</v>
      </c>
      <c r="D11" s="27">
        <v>1</v>
      </c>
      <c r="E11" s="6">
        <v>0.23</v>
      </c>
      <c r="H11" t="s">
        <v>12</v>
      </c>
      <c r="I11" s="23">
        <f t="array" ref="I11">MMULT(TRANSPOSE(I5:I7),MMULT(C15:E17,I5:I7))</f>
        <v>8.0066422222222211E-3</v>
      </c>
    </row>
    <row r="12" spans="1:10" x14ac:dyDescent="0.3">
      <c r="B12" s="18" t="s">
        <v>8</v>
      </c>
      <c r="C12" s="27">
        <f>E10</f>
        <v>0.09</v>
      </c>
      <c r="D12" s="27">
        <f>E11</f>
        <v>0.23</v>
      </c>
      <c r="E12" s="27">
        <v>1</v>
      </c>
      <c r="H12" t="s">
        <v>4</v>
      </c>
      <c r="I12" s="5">
        <f>SQRT(I11)</f>
        <v>8.9479842546923496E-2</v>
      </c>
      <c r="J12" s="5">
        <f>SQRT(PortfolioVariance(I5:I7,C15:E17))</f>
        <v>8.9479842546923496E-2</v>
      </c>
    </row>
    <row r="13" spans="1:10" x14ac:dyDescent="0.3">
      <c r="A13" s="15"/>
      <c r="B13" s="15"/>
      <c r="C13" s="19"/>
      <c r="D13" s="20"/>
      <c r="E13" s="15"/>
    </row>
    <row r="14" spans="1:10" x14ac:dyDescent="0.3">
      <c r="A14" s="24" t="s">
        <v>11</v>
      </c>
      <c r="C14" s="4" t="s">
        <v>5</v>
      </c>
      <c r="D14" s="4" t="s">
        <v>7</v>
      </c>
      <c r="E14" s="4" t="s">
        <v>8</v>
      </c>
      <c r="G14" s="1" t="s">
        <v>23</v>
      </c>
    </row>
    <row r="15" spans="1:10" x14ac:dyDescent="0.3">
      <c r="B15" s="18" t="s">
        <v>5</v>
      </c>
      <c r="C15" s="25">
        <f t="shared" ref="C15:E17" si="1">C10*VLOOKUP(C$14,$B$5:$D$7,3,FALSE)*VLOOKUP($B15,$B$5:$D$7,3,FALSE)</f>
        <v>1.8489999999999997E-3</v>
      </c>
      <c r="D15" s="25">
        <f t="shared" si="1"/>
        <v>2.73609E-3</v>
      </c>
      <c r="E15" s="25">
        <f t="shared" si="1"/>
        <v>8.0495999999999986E-4</v>
      </c>
      <c r="H15" s="27">
        <f t="array" ref="H15:J17">MINVERSE(C15:E17)</f>
        <v>901.51188025605791</v>
      </c>
      <c r="I15" s="27">
        <v>-246.91864076498965</v>
      </c>
      <c r="J15" s="27">
        <v>10.803216578748875</v>
      </c>
    </row>
    <row r="16" spans="1:10" x14ac:dyDescent="0.3">
      <c r="B16" s="18" t="s">
        <v>7</v>
      </c>
      <c r="C16" s="25">
        <f t="shared" si="1"/>
        <v>2.73609E-3</v>
      </c>
      <c r="D16" s="25">
        <f t="shared" si="1"/>
        <v>1.0201000000000002E-2</v>
      </c>
      <c r="E16" s="25">
        <f t="shared" si="1"/>
        <v>4.8318400000000004E-3</v>
      </c>
      <c r="H16" s="27">
        <v>-246.91864076498962</v>
      </c>
      <c r="I16" s="27">
        <v>171.1345398845308</v>
      </c>
      <c r="J16" s="27">
        <v>-14.51865491229395</v>
      </c>
    </row>
    <row r="17" spans="1:11" x14ac:dyDescent="0.3">
      <c r="B17" s="18" t="s">
        <v>8</v>
      </c>
      <c r="C17" s="25">
        <f t="shared" si="1"/>
        <v>8.0495999999999986E-4</v>
      </c>
      <c r="D17" s="25">
        <f t="shared" si="1"/>
        <v>4.8318400000000004E-3</v>
      </c>
      <c r="E17" s="25">
        <f t="shared" si="1"/>
        <v>4.3263999999999997E-2</v>
      </c>
      <c r="H17" s="27">
        <v>10.803216578748877</v>
      </c>
      <c r="I17" s="27">
        <v>-14.518654912293949</v>
      </c>
      <c r="J17" s="27">
        <v>24.53438564012086</v>
      </c>
    </row>
    <row r="20" spans="1:11" x14ac:dyDescent="0.3">
      <c r="A20" s="3" t="s">
        <v>24</v>
      </c>
    </row>
    <row r="22" spans="1:11" x14ac:dyDescent="0.3">
      <c r="A22" s="34" t="s">
        <v>25</v>
      </c>
      <c r="C22" s="34" t="s">
        <v>26</v>
      </c>
      <c r="D22" s="34" t="s">
        <v>27</v>
      </c>
      <c r="I22" s="29" t="s">
        <v>28</v>
      </c>
      <c r="J22" s="29" t="s">
        <v>29</v>
      </c>
      <c r="K22" s="29" t="s">
        <v>30</v>
      </c>
    </row>
    <row r="23" spans="1:11" x14ac:dyDescent="0.3">
      <c r="F23" t="s">
        <v>31</v>
      </c>
      <c r="G23" s="27">
        <f t="array" ref="G23">MMULT(TRANSPOSE(A24:A26),C24:C26)</f>
        <v>3.969726122362915</v>
      </c>
    </row>
    <row r="24" spans="1:11" x14ac:dyDescent="0.3">
      <c r="A24">
        <v>1</v>
      </c>
      <c r="C24" s="27">
        <f t="array" ref="C24:C26">MMULT(H15:J17,C5:C7)</f>
        <v>1.1960693175589641</v>
      </c>
      <c r="D24" s="27">
        <f t="array" ref="D24:D26">MMULT(H15:J17,A24:A26)</f>
        <v>665.39645606981719</v>
      </c>
      <c r="F24" t="s">
        <v>32</v>
      </c>
      <c r="G24" s="27">
        <f t="array" ref="G24">MMULT(TRANSPOSE(C5:C7),C24:C26)</f>
        <v>0.2012167443270754</v>
      </c>
      <c r="I24" s="10">
        <f t="array" ref="I24:I26">(1/G26)*(MMULT(D24:D26,G24)-MMULT(C24:C26,G23))</f>
        <v>1.2399638309330849</v>
      </c>
      <c r="J24" s="10">
        <f t="array" ref="J24:J26">(1/G26)*(MMULT(C24:C26,G25)-MMULT(D24:D26,G23))</f>
        <v>-18.518575605339908</v>
      </c>
      <c r="K24" s="10">
        <f t="shared" ref="K24:K26" si="2">I24+J24</f>
        <v>-17.278611774406823</v>
      </c>
    </row>
    <row r="25" spans="1:11" x14ac:dyDescent="0.3">
      <c r="A25">
        <v>1</v>
      </c>
      <c r="C25" s="27">
        <v>0.80563455087875346</v>
      </c>
      <c r="D25" s="27">
        <v>-90.302755792752777</v>
      </c>
      <c r="F25" t="s">
        <v>33</v>
      </c>
      <c r="G25" s="27">
        <f t="array" ref="G25">MMULT(TRANSPOSE(A24:A26),D24:D26)</f>
        <v>595.91264758364014</v>
      </c>
      <c r="I25" s="10">
        <v>-0.20517335939679865</v>
      </c>
      <c r="J25" s="10">
        <v>8.0515992876601743</v>
      </c>
      <c r="K25" s="10">
        <f t="shared" si="2"/>
        <v>7.8464259282633755</v>
      </c>
    </row>
    <row r="26" spans="1:11" x14ac:dyDescent="0.3">
      <c r="A26">
        <v>1</v>
      </c>
      <c r="C26" s="27">
        <v>1.9680222539251977</v>
      </c>
      <c r="D26" s="27">
        <v>20.818947306575787</v>
      </c>
      <c r="F26" t="s">
        <v>34</v>
      </c>
      <c r="G26" s="27">
        <f>G24*G25-G23^2</f>
        <v>104.14887736353739</v>
      </c>
      <c r="I26" s="10">
        <v>-3.479047153628595E-2</v>
      </c>
      <c r="J26" s="10">
        <v>10.46697631767973</v>
      </c>
      <c r="K26" s="10">
        <f t="shared" si="2"/>
        <v>10.432185846143444</v>
      </c>
    </row>
    <row r="27" spans="1:11" x14ac:dyDescent="0.3">
      <c r="I27" s="10"/>
      <c r="J27" s="10"/>
      <c r="K27" s="10"/>
    </row>
    <row r="28" spans="1:11" x14ac:dyDescent="0.3">
      <c r="H28" t="s">
        <v>3</v>
      </c>
      <c r="I28" s="10">
        <f t="shared" ref="I28:K28" si="3">PortfolioReturn($C$5:$C$7,I24:I26)</f>
        <v>2.6020852139652106E-18</v>
      </c>
      <c r="J28" s="10">
        <f t="shared" si="3"/>
        <v>1</v>
      </c>
      <c r="K28" s="10">
        <f t="shared" si="3"/>
        <v>0.99999999999999978</v>
      </c>
    </row>
    <row r="29" spans="1:11" x14ac:dyDescent="0.3">
      <c r="H29" t="s">
        <v>4</v>
      </c>
      <c r="I29" s="10">
        <f>SQRT(PortfolioVariance(I24:I26,$C$15:$E$17))</f>
        <v>4.3954643544549248E-2</v>
      </c>
      <c r="J29" s="10"/>
      <c r="K29" s="10">
        <f>SQRT(PortfolioVariance(K24:K26,$C$15:$E$17))</f>
        <v>2.3764340534523107</v>
      </c>
    </row>
    <row r="31" spans="1:11" x14ac:dyDescent="0.3">
      <c r="A31" s="3" t="s">
        <v>35</v>
      </c>
    </row>
    <row r="33" spans="1:12" x14ac:dyDescent="0.3">
      <c r="A33" t="s">
        <v>36</v>
      </c>
      <c r="D33" s="9">
        <v>7.0000000000000007E-2</v>
      </c>
      <c r="K33" s="10"/>
      <c r="L33" s="10"/>
    </row>
    <row r="34" spans="1:12" x14ac:dyDescent="0.3">
      <c r="K34" s="10"/>
      <c r="L34" s="10"/>
    </row>
    <row r="35" spans="1:12" x14ac:dyDescent="0.3">
      <c r="B35" t="s">
        <v>37</v>
      </c>
      <c r="E35" s="4" t="s">
        <v>22</v>
      </c>
      <c r="K35" s="10"/>
      <c r="L35" s="10"/>
    </row>
    <row r="36" spans="1:12" x14ac:dyDescent="0.3">
      <c r="C36" s="18" t="s">
        <v>5</v>
      </c>
      <c r="D36" s="10">
        <f t="shared" ref="D36:D38" si="4">I24+J24*$D$33</f>
        <v>-5.6336461440708696E-2</v>
      </c>
      <c r="E36" s="10">
        <f t="array" ref="E36:E38">TRANSPOSE(HLPortfolioWeights(D33,-1,C5:C7,C15:E17))</f>
        <v>-5.6336461440708641E-2</v>
      </c>
      <c r="G36" t="s">
        <v>3</v>
      </c>
      <c r="H36" s="10">
        <f>PortfolioReturn(C5:C7,D36:D38)</f>
        <v>7.0000000000000007E-2</v>
      </c>
      <c r="K36" s="10"/>
      <c r="L36" s="10"/>
    </row>
    <row r="37" spans="1:12" x14ac:dyDescent="0.3">
      <c r="C37" s="18" t="s">
        <v>7</v>
      </c>
      <c r="D37" s="10">
        <f t="shared" si="4"/>
        <v>0.35843859073941359</v>
      </c>
      <c r="E37" s="10">
        <v>0.35843859073941359</v>
      </c>
      <c r="G37" t="s">
        <v>4</v>
      </c>
      <c r="H37" s="10">
        <f>SQRT(PortfolioVariance(D36:D38,C15:E17))</f>
        <v>0.15694682672309387</v>
      </c>
      <c r="K37" s="10"/>
      <c r="L37" s="10"/>
    </row>
    <row r="38" spans="1:12" x14ac:dyDescent="0.3">
      <c r="C38" s="18" t="s">
        <v>8</v>
      </c>
      <c r="D38" s="10">
        <f t="shared" si="4"/>
        <v>0.69789787070129528</v>
      </c>
      <c r="E38" s="10">
        <v>0.69789787070129516</v>
      </c>
      <c r="K38" s="10"/>
      <c r="L38" s="10"/>
    </row>
    <row r="39" spans="1:12" x14ac:dyDescent="0.3">
      <c r="K39" s="10"/>
      <c r="L39" s="10"/>
    </row>
    <row r="40" spans="1:12" x14ac:dyDescent="0.3">
      <c r="K40" s="10"/>
      <c r="L40" s="10"/>
    </row>
    <row r="41" spans="1:12" x14ac:dyDescent="0.3">
      <c r="A41" s="1" t="s">
        <v>38</v>
      </c>
      <c r="K41" s="10"/>
      <c r="L41" s="10"/>
    </row>
    <row r="42" spans="1:12" x14ac:dyDescent="0.3">
      <c r="K42" s="10"/>
      <c r="L42" s="10"/>
    </row>
    <row r="43" spans="1:12" x14ac:dyDescent="0.3">
      <c r="A43" t="s">
        <v>39</v>
      </c>
      <c r="D43" s="5">
        <f>G23/G25</f>
        <v>6.6615906516831209E-3</v>
      </c>
      <c r="K43" s="10"/>
      <c r="L43" s="10"/>
    </row>
    <row r="44" spans="1:12" x14ac:dyDescent="0.3">
      <c r="K44" s="10"/>
      <c r="L44" s="10"/>
    </row>
    <row r="45" spans="1:12" x14ac:dyDescent="0.3">
      <c r="B45" t="s">
        <v>37</v>
      </c>
      <c r="E45" s="4" t="s">
        <v>22</v>
      </c>
    </row>
    <row r="46" spans="1:12" x14ac:dyDescent="0.3">
      <c r="C46" s="18" t="s">
        <v>5</v>
      </c>
      <c r="D46" s="10">
        <f t="shared" ref="D46:D48" si="5">I24+J24*$D$43</f>
        <v>1.1166006607980654</v>
      </c>
      <c r="E46" s="10">
        <f t="array" ref="E46:E48">TRANSPOSE(HLPortfolioWeights(-1,-1,C5:C7,C15:E17))</f>
        <v>1.1166006607980654</v>
      </c>
      <c r="G46" t="s">
        <v>3</v>
      </c>
      <c r="H46" s="5">
        <f>PortfolioReturn(C5:C7,D46:D48)</f>
        <v>6.6615906516831226E-3</v>
      </c>
    </row>
    <row r="47" spans="1:12" x14ac:dyDescent="0.3">
      <c r="C47" s="18" t="s">
        <v>7</v>
      </c>
      <c r="D47" s="10">
        <f t="shared" si="5"/>
        <v>-0.15153690085102317</v>
      </c>
      <c r="E47" s="10">
        <v>-0.15153690085102314</v>
      </c>
      <c r="G47" t="s">
        <v>4</v>
      </c>
      <c r="H47" s="5">
        <f>SQRT(PortfolioVariance(D46:D48,C15:E17))</f>
        <v>4.0964598112994785E-2</v>
      </c>
    </row>
    <row r="48" spans="1:12" x14ac:dyDescent="0.3">
      <c r="C48" s="18" t="s">
        <v>8</v>
      </c>
      <c r="D48" s="10">
        <f t="shared" si="5"/>
        <v>3.4936240052957965E-2</v>
      </c>
      <c r="E48" s="10">
        <v>3.4936240052957965E-2</v>
      </c>
    </row>
    <row r="51" spans="1:8" x14ac:dyDescent="0.3">
      <c r="A51" s="1" t="s">
        <v>40</v>
      </c>
    </row>
    <row r="53" spans="1:8" x14ac:dyDescent="0.3">
      <c r="A53" t="s">
        <v>41</v>
      </c>
      <c r="D53" s="7">
        <v>5.0000000000000001E-3</v>
      </c>
    </row>
    <row r="55" spans="1:8" x14ac:dyDescent="0.3">
      <c r="A55" s="2" t="s">
        <v>42</v>
      </c>
      <c r="D55" s="5">
        <f>(G23/G25)-(G26/G25^2)/(D53-(G23/G25))</f>
        <v>0.18316997795465992</v>
      </c>
    </row>
    <row r="57" spans="1:8" x14ac:dyDescent="0.3">
      <c r="B57" t="s">
        <v>37</v>
      </c>
      <c r="E57" s="4" t="s">
        <v>22</v>
      </c>
    </row>
    <row r="58" spans="1:8" x14ac:dyDescent="0.3">
      <c r="C58" s="18" t="s">
        <v>5</v>
      </c>
      <c r="D58" s="10">
        <f t="shared" ref="D58:D60" si="6">I24+J24*$D$55</f>
        <v>-2.1520832544487289</v>
      </c>
      <c r="E58" s="10">
        <f t="array" ref="E58:E60">TRANSPOSE(HLPortfolioWeights(-1,D53,C5:C7,C15:E17))</f>
        <v>-2.1520832544487289</v>
      </c>
      <c r="G58" t="s">
        <v>3</v>
      </c>
      <c r="H58" s="5">
        <f>PortfolioReturn(C5:C7,D58:D60)</f>
        <v>0.18316997795465992</v>
      </c>
    </row>
    <row r="59" spans="1:8" x14ac:dyDescent="0.3">
      <c r="C59" s="18" t="s">
        <v>7</v>
      </c>
      <c r="D59" s="10">
        <f t="shared" si="6"/>
        <v>1.269637904623671</v>
      </c>
      <c r="E59" s="10">
        <v>1.269637904623671</v>
      </c>
      <c r="G59" t="s">
        <v>4</v>
      </c>
      <c r="H59" s="5">
        <f>SQRT(PortfolioVariance(D58:D60,C15:E17))</f>
        <v>0.42419343371684798</v>
      </c>
    </row>
    <row r="60" spans="1:8" x14ac:dyDescent="0.3">
      <c r="C60" s="18" t="s">
        <v>8</v>
      </c>
      <c r="D60" s="10">
        <f t="shared" si="6"/>
        <v>1.8824453498250577</v>
      </c>
      <c r="E60" s="10">
        <v>1.8824453498250575</v>
      </c>
    </row>
  </sheetData>
  <printOptions headings="1" gridLines="1"/>
  <pageMargins left="0.75" right="0.75" top="1" bottom="1" header="0.5" footer="0.5"/>
  <pageSetup paperSize="9" scale="87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34"/>
  <sheetViews>
    <sheetView workbookViewId="0"/>
  </sheetViews>
  <sheetFormatPr defaultRowHeight="13" x14ac:dyDescent="0.3"/>
  <sheetData>
    <row r="1" spans="1:13" x14ac:dyDescent="0.3">
      <c r="A1" s="1" t="s">
        <v>0</v>
      </c>
    </row>
    <row r="2" spans="1:13" x14ac:dyDescent="0.3">
      <c r="A2" s="3" t="s">
        <v>43</v>
      </c>
    </row>
    <row r="4" spans="1:13" x14ac:dyDescent="0.3">
      <c r="A4" s="14" t="s">
        <v>2</v>
      </c>
      <c r="B4" s="15"/>
      <c r="C4" s="16" t="s">
        <v>3</v>
      </c>
      <c r="D4" s="17" t="s">
        <v>4</v>
      </c>
      <c r="G4" s="38" t="s">
        <v>44</v>
      </c>
    </row>
    <row r="5" spans="1:13" x14ac:dyDescent="0.3">
      <c r="B5" s="18" t="s">
        <v>5</v>
      </c>
      <c r="C5" s="31">
        <v>6.0000000000000001E-3</v>
      </c>
      <c r="D5" s="31">
        <v>4.2999999999999997E-2</v>
      </c>
    </row>
    <row r="6" spans="1:13" x14ac:dyDescent="0.3">
      <c r="B6" s="18" t="s">
        <v>7</v>
      </c>
      <c r="C6" s="31">
        <v>2.1000000000000001E-2</v>
      </c>
      <c r="D6" s="31">
        <v>0.10100000000000001</v>
      </c>
      <c r="H6" s="4" t="s">
        <v>5</v>
      </c>
      <c r="I6" s="4" t="s">
        <v>7</v>
      </c>
      <c r="J6" s="4" t="s">
        <v>8</v>
      </c>
    </row>
    <row r="7" spans="1:13" x14ac:dyDescent="0.3">
      <c r="B7" s="18" t="s">
        <v>8</v>
      </c>
      <c r="C7" s="31">
        <v>0.09</v>
      </c>
      <c r="D7" s="31">
        <v>0.20799999999999999</v>
      </c>
      <c r="G7" t="s">
        <v>45</v>
      </c>
      <c r="H7" s="10">
        <v>0</v>
      </c>
      <c r="I7" s="10">
        <v>0</v>
      </c>
      <c r="J7" s="10">
        <v>0</v>
      </c>
    </row>
    <row r="8" spans="1:13" x14ac:dyDescent="0.3">
      <c r="A8" s="15"/>
      <c r="B8" s="15"/>
      <c r="C8" s="19"/>
      <c r="D8" s="20"/>
      <c r="E8" s="15"/>
      <c r="G8" t="s">
        <v>46</v>
      </c>
      <c r="H8" s="35">
        <f>1-SUM(I8:J8)</f>
        <v>7.3571431510778496E-2</v>
      </c>
      <c r="I8" s="10">
        <v>0.2</v>
      </c>
      <c r="J8" s="10">
        <v>0.72642856848922155</v>
      </c>
      <c r="K8" s="27"/>
      <c r="L8" s="27"/>
      <c r="M8" s="27"/>
    </row>
    <row r="9" spans="1:13" x14ac:dyDescent="0.3">
      <c r="A9" s="21" t="s">
        <v>9</v>
      </c>
      <c r="C9" s="4" t="s">
        <v>5</v>
      </c>
      <c r="D9" s="4" t="s">
        <v>7</v>
      </c>
      <c r="E9" s="4" t="s">
        <v>8</v>
      </c>
      <c r="G9" t="s">
        <v>47</v>
      </c>
      <c r="H9" s="10">
        <v>0.1</v>
      </c>
      <c r="I9" s="10">
        <v>0.2</v>
      </c>
      <c r="J9" s="10">
        <v>1</v>
      </c>
    </row>
    <row r="10" spans="1:13" x14ac:dyDescent="0.3">
      <c r="B10" s="18" t="s">
        <v>5</v>
      </c>
      <c r="C10" s="27">
        <v>1</v>
      </c>
      <c r="D10" s="6">
        <v>0.63</v>
      </c>
      <c r="E10" s="6">
        <v>0.09</v>
      </c>
    </row>
    <row r="11" spans="1:13" x14ac:dyDescent="0.3">
      <c r="B11" s="18" t="s">
        <v>7</v>
      </c>
      <c r="C11" s="27">
        <f>D10</f>
        <v>0.63</v>
      </c>
      <c r="D11" s="27">
        <v>1</v>
      </c>
      <c r="E11" s="6">
        <v>0.23</v>
      </c>
      <c r="H11" t="s">
        <v>3</v>
      </c>
      <c r="I11" s="10">
        <f>PortfolioReturn(C5:C7,H8:J8)</f>
        <v>7.0019999753094614E-2</v>
      </c>
      <c r="J11" s="22" t="s">
        <v>48</v>
      </c>
    </row>
    <row r="12" spans="1:13" x14ac:dyDescent="0.3">
      <c r="B12" s="18" t="s">
        <v>8</v>
      </c>
      <c r="C12" s="27">
        <f>E10</f>
        <v>0.09</v>
      </c>
      <c r="D12" s="27">
        <f>E11</f>
        <v>0.23</v>
      </c>
      <c r="E12" s="27">
        <v>1</v>
      </c>
      <c r="H12" t="s">
        <v>4</v>
      </c>
      <c r="I12" s="10">
        <f>SQRT(PortfolioVariance(H8:J8,C15:E17))</f>
        <v>0.15754031116068939</v>
      </c>
      <c r="J12" s="22" t="s">
        <v>49</v>
      </c>
    </row>
    <row r="13" spans="1:13" x14ac:dyDescent="0.3">
      <c r="A13" s="15"/>
      <c r="B13" s="15"/>
      <c r="C13" s="19"/>
      <c r="D13" s="20"/>
      <c r="E13" s="15"/>
    </row>
    <row r="14" spans="1:13" x14ac:dyDescent="0.3">
      <c r="A14" s="24" t="s">
        <v>11</v>
      </c>
      <c r="C14" s="4" t="s">
        <v>5</v>
      </c>
      <c r="D14" s="4" t="s">
        <v>7</v>
      </c>
      <c r="E14" s="4" t="s">
        <v>8</v>
      </c>
      <c r="G14" s="3"/>
    </row>
    <row r="15" spans="1:13" x14ac:dyDescent="0.3">
      <c r="B15" s="18" t="s">
        <v>5</v>
      </c>
      <c r="C15" s="25">
        <f t="shared" ref="C15:E17" si="0">C10*VLOOKUP(C$14,$B$5:$D$7,3,FALSE)*VLOOKUP($B15,$B$5:$D$7,3,FALSE)</f>
        <v>1.8489999999999997E-3</v>
      </c>
      <c r="D15" s="25">
        <f t="shared" si="0"/>
        <v>2.73609E-3</v>
      </c>
      <c r="E15" s="25">
        <f t="shared" si="0"/>
        <v>8.0495999999999986E-4</v>
      </c>
    </row>
    <row r="16" spans="1:13" x14ac:dyDescent="0.3">
      <c r="B16" s="18" t="s">
        <v>7</v>
      </c>
      <c r="C16" s="25">
        <f t="shared" si="0"/>
        <v>2.73609E-3</v>
      </c>
      <c r="D16" s="25">
        <f t="shared" si="0"/>
        <v>1.0201000000000002E-2</v>
      </c>
      <c r="E16" s="25">
        <f t="shared" si="0"/>
        <v>4.8318400000000004E-3</v>
      </c>
      <c r="G16" s="3" t="s">
        <v>50</v>
      </c>
    </row>
    <row r="17" spans="1:9" x14ac:dyDescent="0.3">
      <c r="B17" s="18" t="s">
        <v>8</v>
      </c>
      <c r="C17" s="25">
        <f t="shared" si="0"/>
        <v>8.0495999999999986E-4</v>
      </c>
      <c r="D17" s="25">
        <f t="shared" si="0"/>
        <v>4.8318400000000004E-3</v>
      </c>
      <c r="E17" s="25">
        <f t="shared" si="0"/>
        <v>4.3263999999999997E-2</v>
      </c>
      <c r="H17" t="s">
        <v>51</v>
      </c>
      <c r="I17" s="28">
        <v>11</v>
      </c>
    </row>
    <row r="18" spans="1:9" x14ac:dyDescent="0.3">
      <c r="H18" t="s">
        <v>52</v>
      </c>
      <c r="I18" s="10">
        <v>7.0000000000000007E-2</v>
      </c>
    </row>
    <row r="21" spans="1:9" x14ac:dyDescent="0.3">
      <c r="A21" s="1" t="s">
        <v>53</v>
      </c>
    </row>
    <row r="22" spans="1:9" x14ac:dyDescent="0.3">
      <c r="D22" s="4" t="s">
        <v>5</v>
      </c>
      <c r="E22" s="4" t="s">
        <v>7</v>
      </c>
      <c r="F22" s="4" t="s">
        <v>8</v>
      </c>
      <c r="H22" s="4" t="s">
        <v>4</v>
      </c>
      <c r="I22" s="4" t="s">
        <v>3</v>
      </c>
    </row>
    <row r="23" spans="1:9" x14ac:dyDescent="0.3">
      <c r="C23" t="s">
        <v>54</v>
      </c>
    </row>
    <row r="24" spans="1:9" x14ac:dyDescent="0.3">
      <c r="D24" s="10">
        <v>0.1</v>
      </c>
      <c r="E24" s="10">
        <v>0.2</v>
      </c>
      <c r="F24" s="10">
        <v>0.7</v>
      </c>
      <c r="H24" s="10">
        <f>SQRT(PortfolioVariance(D24:F24,$C$15:$E$17))</f>
        <v>0.15231855829149643</v>
      </c>
      <c r="I24" s="10">
        <f>PortfolioReturn($C$5:$C$7,D24:F24)</f>
        <v>6.7799999999999999E-2</v>
      </c>
    </row>
    <row r="25" spans="1:9" x14ac:dyDescent="0.3">
      <c r="D25" s="10">
        <v>7.3571431510778496E-2</v>
      </c>
      <c r="E25" s="10">
        <v>0.2</v>
      </c>
      <c r="F25" s="10">
        <v>0.72642856848922155</v>
      </c>
      <c r="H25" s="10">
        <f t="shared" ref="H25:H34" si="1">SQRT(PortfolioVariance(D25:F25,$C$15:$E$17))</f>
        <v>0.15754031116068939</v>
      </c>
      <c r="I25" s="10">
        <f t="shared" ref="I25:I34" si="2">PortfolioReturn($C$5:$C$7,D25:F25)</f>
        <v>7.0019999753094614E-2</v>
      </c>
    </row>
    <row r="26" spans="1:9" x14ac:dyDescent="0.3">
      <c r="D26" s="10">
        <v>4.7142026202568577E-2</v>
      </c>
      <c r="E26" s="10">
        <v>0.2</v>
      </c>
      <c r="F26" s="10">
        <v>0.75285797379743147</v>
      </c>
      <c r="H26" s="10">
        <f t="shared" si="1"/>
        <v>0.16278139121223448</v>
      </c>
      <c r="I26" s="10">
        <f t="shared" si="2"/>
        <v>7.2240069798984244E-2</v>
      </c>
    </row>
    <row r="27" spans="1:9" x14ac:dyDescent="0.3">
      <c r="D27" s="10">
        <v>2.0713428015700197E-2</v>
      </c>
      <c r="E27" s="10">
        <v>0.2</v>
      </c>
      <c r="F27" s="10">
        <v>0.77928657198429974</v>
      </c>
      <c r="H27" s="10">
        <f t="shared" si="1"/>
        <v>0.16803967963033098</v>
      </c>
      <c r="I27" s="10">
        <f t="shared" si="2"/>
        <v>7.4460072046681175E-2</v>
      </c>
    </row>
    <row r="28" spans="1:9" x14ac:dyDescent="0.3">
      <c r="D28" s="10">
        <v>-5.2893245339191708E-12</v>
      </c>
      <c r="E28" s="10">
        <v>0.19304240153817312</v>
      </c>
      <c r="F28" s="10">
        <v>0.80695759846711612</v>
      </c>
      <c r="H28" s="10">
        <f t="shared" si="1"/>
        <v>0.17337300660232</v>
      </c>
      <c r="I28" s="10">
        <f t="shared" si="2"/>
        <v>7.6680074294310355E-2</v>
      </c>
    </row>
    <row r="29" spans="1:9" x14ac:dyDescent="0.3">
      <c r="D29" s="10">
        <v>8.287268649098678E-10</v>
      </c>
      <c r="E29" s="10">
        <v>0.16086845490503551</v>
      </c>
      <c r="F29" s="10">
        <v>0.83913154426623759</v>
      </c>
      <c r="H29" s="10">
        <f t="shared" si="1"/>
        <v>0.17897618557509742</v>
      </c>
      <c r="I29" s="10">
        <f t="shared" si="2"/>
        <v>7.8900076541939479E-2</v>
      </c>
    </row>
    <row r="30" spans="1:9" x14ac:dyDescent="0.3">
      <c r="D30" s="10">
        <v>1.2200753740643222E-9</v>
      </c>
      <c r="E30" s="10">
        <v>0.1286947639240284</v>
      </c>
      <c r="F30" s="10">
        <v>0.87130523485589617</v>
      </c>
      <c r="H30" s="10">
        <f t="shared" si="1"/>
        <v>0.18465485871168358</v>
      </c>
      <c r="I30" s="10">
        <f t="shared" si="2"/>
        <v>8.1120061186755701E-2</v>
      </c>
    </row>
    <row r="31" spans="1:9" x14ac:dyDescent="0.3">
      <c r="D31" s="10">
        <v>2.4665495201858789E-9</v>
      </c>
      <c r="E31" s="10">
        <v>9.6520561675792108E-2</v>
      </c>
      <c r="F31" s="10">
        <v>0.90347943585765833</v>
      </c>
      <c r="H31" s="10">
        <f t="shared" si="1"/>
        <v>0.1904024032215276</v>
      </c>
      <c r="I31" s="10">
        <f t="shared" si="2"/>
        <v>8.3340081037180172E-2</v>
      </c>
    </row>
    <row r="32" spans="1:9" x14ac:dyDescent="0.3">
      <c r="D32" s="10">
        <v>4.4413570599033392E-9</v>
      </c>
      <c r="E32" s="10">
        <v>6.4346613653609719E-2</v>
      </c>
      <c r="F32" s="10">
        <v>0.93565338190503322</v>
      </c>
      <c r="H32" s="10">
        <f t="shared" si="1"/>
        <v>0.1962126390565565</v>
      </c>
      <c r="I32" s="10">
        <f t="shared" si="2"/>
        <v>8.5560083284826935E-2</v>
      </c>
    </row>
    <row r="33" spans="4:9" x14ac:dyDescent="0.3">
      <c r="D33" s="10">
        <v>5.7450761925537108E-9</v>
      </c>
      <c r="E33" s="10">
        <v>3.217266644865973E-2</v>
      </c>
      <c r="F33" s="10">
        <v>0.96782732780626413</v>
      </c>
      <c r="H33" s="10">
        <f t="shared" si="1"/>
        <v>0.2020802001400247</v>
      </c>
      <c r="I33" s="10">
        <f t="shared" si="2"/>
        <v>8.7780085532456073E-2</v>
      </c>
    </row>
    <row r="34" spans="4:9" x14ac:dyDescent="0.3">
      <c r="D34" s="10">
        <v>6.9375639677460299E-9</v>
      </c>
      <c r="E34" s="10">
        <v>0</v>
      </c>
      <c r="F34" s="10">
        <v>0.99999999306243603</v>
      </c>
      <c r="H34" s="10">
        <f t="shared" si="1"/>
        <v>0.20799999858383506</v>
      </c>
      <c r="I34" s="10">
        <f t="shared" si="2"/>
        <v>8.9999999417244625E-2</v>
      </c>
    </row>
  </sheetData>
  <printOptions headings="1" gridLines="1"/>
  <pageMargins left="0.75" right="0.75" top="1" bottom="1" header="0.5" footer="0.5"/>
  <pageSetup paperSize="9" scale="99" orientation="portrait" horizontalDpi="300" verticalDpi="300" r:id="rId1"/>
  <headerFooter alignWithMargins="0">
    <oddHeader>&amp;L&amp;F&amp;C&amp;A</oddHeader>
    <oddFooter>Prepared by Mike Staunton &amp;D&amp;RPage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Views>
    <sheetView workbookViewId="0"/>
  </sheetViews>
  <sheetFormatPr defaultRowHeight="13" x14ac:dyDescent="0.3"/>
  <cols>
    <col min="7" max="7" width="14.796875" customWidth="1"/>
    <col min="8" max="8" width="9.796875" customWidth="1"/>
  </cols>
  <sheetData>
    <row r="1" spans="1:11" x14ac:dyDescent="0.3">
      <c r="A1" s="1" t="s">
        <v>0</v>
      </c>
    </row>
    <row r="2" spans="1:11" x14ac:dyDescent="0.3">
      <c r="A2" s="1" t="s">
        <v>55</v>
      </c>
    </row>
    <row r="4" spans="1:11" x14ac:dyDescent="0.3">
      <c r="A4" s="1" t="s">
        <v>56</v>
      </c>
    </row>
    <row r="6" spans="1:11" x14ac:dyDescent="0.3">
      <c r="A6" s="14" t="s">
        <v>2</v>
      </c>
      <c r="B6" s="15"/>
      <c r="C6" s="16" t="s">
        <v>3</v>
      </c>
      <c r="D6" s="17" t="s">
        <v>4</v>
      </c>
      <c r="E6" s="17"/>
      <c r="G6" s="3" t="s">
        <v>57</v>
      </c>
      <c r="K6" s="6">
        <v>3</v>
      </c>
    </row>
    <row r="7" spans="1:11" x14ac:dyDescent="0.3">
      <c r="B7" s="18" t="s">
        <v>58</v>
      </c>
      <c r="C7" s="31">
        <v>0.01</v>
      </c>
      <c r="D7" s="39">
        <v>0</v>
      </c>
      <c r="E7" s="39"/>
    </row>
    <row r="8" spans="1:11" x14ac:dyDescent="0.3">
      <c r="B8" s="18" t="s">
        <v>59</v>
      </c>
      <c r="C8" s="31">
        <v>2.1000000000000001E-2</v>
      </c>
      <c r="D8" s="31">
        <v>0.10100000000000001</v>
      </c>
      <c r="E8" s="31"/>
    </row>
    <row r="9" spans="1:11" x14ac:dyDescent="0.3">
      <c r="A9" s="15"/>
      <c r="B9" s="15"/>
      <c r="C9" s="19"/>
      <c r="D9" s="20"/>
      <c r="E9" s="20"/>
    </row>
    <row r="10" spans="1:11" x14ac:dyDescent="0.3">
      <c r="A10" s="21" t="s">
        <v>60</v>
      </c>
      <c r="C10" s="18" t="s">
        <v>58</v>
      </c>
      <c r="D10" s="18" t="s">
        <v>59</v>
      </c>
      <c r="E10" s="18"/>
      <c r="G10" s="1" t="s">
        <v>61</v>
      </c>
      <c r="J10" t="s">
        <v>62</v>
      </c>
      <c r="K10" s="25">
        <f>K13-0.5*K6*K14^2</f>
        <v>1.1976930366303956E-2</v>
      </c>
    </row>
    <row r="11" spans="1:11" x14ac:dyDescent="0.3">
      <c r="B11" s="18" t="s">
        <v>58</v>
      </c>
      <c r="C11" s="27">
        <v>1</v>
      </c>
      <c r="D11" s="12">
        <v>0</v>
      </c>
      <c r="E11" s="12"/>
    </row>
    <row r="12" spans="1:11" x14ac:dyDescent="0.3">
      <c r="B12" s="18" t="s">
        <v>59</v>
      </c>
      <c r="C12" s="27">
        <f>D11</f>
        <v>0</v>
      </c>
      <c r="D12" s="27">
        <v>1</v>
      </c>
      <c r="E12" s="27"/>
      <c r="H12" t="s">
        <v>37</v>
      </c>
    </row>
    <row r="13" spans="1:11" x14ac:dyDescent="0.3">
      <c r="A13" s="15"/>
      <c r="B13" s="15"/>
      <c r="C13" s="19"/>
      <c r="D13" s="20"/>
      <c r="E13" s="20"/>
      <c r="G13" s="18" t="s">
        <v>58</v>
      </c>
      <c r="H13" s="39">
        <f>1-H14</f>
        <v>0.64055811521746242</v>
      </c>
      <c r="J13" t="s">
        <v>63</v>
      </c>
      <c r="K13" s="40">
        <f>PortfolioReturn(C7:C8,H13:H14)</f>
        <v>1.3953860732607914E-2</v>
      </c>
    </row>
    <row r="14" spans="1:11" x14ac:dyDescent="0.3">
      <c r="A14" s="21" t="s">
        <v>64</v>
      </c>
      <c r="C14" s="18" t="s">
        <v>58</v>
      </c>
      <c r="D14" s="18" t="s">
        <v>59</v>
      </c>
      <c r="E14" s="18"/>
      <c r="G14" s="2" t="s">
        <v>59</v>
      </c>
      <c r="H14" s="31">
        <f>(C8-C7)/(K6*D8^2)</f>
        <v>0.35944188478253764</v>
      </c>
      <c r="J14" s="2" t="s">
        <v>65</v>
      </c>
      <c r="K14" s="40">
        <f>SQRT(PortfolioVariance(H13:H14,C15:D16))</f>
        <v>3.6303630363036306E-2</v>
      </c>
    </row>
    <row r="15" spans="1:11" x14ac:dyDescent="0.3">
      <c r="B15" s="2" t="s">
        <v>58</v>
      </c>
      <c r="C15" s="25">
        <f>C11*D7^2</f>
        <v>0</v>
      </c>
      <c r="D15" s="25">
        <f>D11*D7*D8</f>
        <v>0</v>
      </c>
      <c r="E15" s="25"/>
      <c r="G15" s="2" t="s">
        <v>66</v>
      </c>
      <c r="H15" s="31">
        <f>Prob1OptimalRiskyWeight(C8,C7,D8,K6)</f>
        <v>0.35944188478253764</v>
      </c>
    </row>
    <row r="16" spans="1:11" x14ac:dyDescent="0.3">
      <c r="B16" s="18" t="s">
        <v>59</v>
      </c>
      <c r="C16" s="25">
        <f>D15</f>
        <v>0</v>
      </c>
      <c r="D16" s="25">
        <f>D12*D8^2</f>
        <v>1.0201000000000002E-2</v>
      </c>
      <c r="E16" s="25"/>
    </row>
    <row r="18" spans="1:11" x14ac:dyDescent="0.3">
      <c r="A18" s="3" t="s">
        <v>67</v>
      </c>
    </row>
    <row r="20" spans="1:11" x14ac:dyDescent="0.3">
      <c r="A20" s="14" t="s">
        <v>2</v>
      </c>
      <c r="B20" s="15"/>
      <c r="C20" s="16" t="s">
        <v>3</v>
      </c>
      <c r="D20" s="17" t="s">
        <v>4</v>
      </c>
      <c r="E20" s="17"/>
      <c r="G20" s="3" t="s">
        <v>57</v>
      </c>
      <c r="K20" s="6">
        <v>3</v>
      </c>
    </row>
    <row r="21" spans="1:11" x14ac:dyDescent="0.3">
      <c r="B21" s="18" t="s">
        <v>59</v>
      </c>
      <c r="C21" s="31">
        <v>2.1000000000000001E-2</v>
      </c>
      <c r="D21" s="41">
        <v>0.10100000000000001</v>
      </c>
      <c r="E21" s="41"/>
    </row>
    <row r="22" spans="1:11" x14ac:dyDescent="0.3">
      <c r="B22" s="18" t="s">
        <v>68</v>
      </c>
      <c r="C22" s="31">
        <v>0.09</v>
      </c>
      <c r="D22" s="31">
        <v>0.20799999999999999</v>
      </c>
      <c r="E22" s="31"/>
      <c r="G22" s="3" t="s">
        <v>69</v>
      </c>
      <c r="J22" t="s">
        <v>62</v>
      </c>
      <c r="K22" s="25">
        <f>K24-0.5*K20*K25^2</f>
        <v>1.5143737236192892E-2</v>
      </c>
    </row>
    <row r="23" spans="1:11" x14ac:dyDescent="0.3">
      <c r="A23" s="15"/>
      <c r="B23" s="15"/>
      <c r="C23" s="19"/>
      <c r="D23" s="20"/>
      <c r="E23" s="20"/>
      <c r="H23" t="s">
        <v>37</v>
      </c>
    </row>
    <row r="24" spans="1:11" x14ac:dyDescent="0.3">
      <c r="A24" s="21" t="s">
        <v>60</v>
      </c>
      <c r="C24" s="18" t="s">
        <v>59</v>
      </c>
      <c r="D24" s="18" t="s">
        <v>68</v>
      </c>
      <c r="E24" s="18"/>
      <c r="G24" s="18" t="s">
        <v>59</v>
      </c>
      <c r="H24" s="41">
        <f>(D22^2-D29)/(D21^2+D22^2-2*D29)</f>
        <v>0.87742013254395057</v>
      </c>
      <c r="J24" t="s">
        <v>63</v>
      </c>
      <c r="K24" s="40">
        <f>PortfolioReturn(C21:C22,H24:H25)</f>
        <v>2.9458010854467413E-2</v>
      </c>
    </row>
    <row r="25" spans="1:11" x14ac:dyDescent="0.3">
      <c r="B25" s="18" t="s">
        <v>59</v>
      </c>
      <c r="C25" s="27">
        <v>1</v>
      </c>
      <c r="D25" s="6">
        <v>0.23</v>
      </c>
      <c r="E25" s="6"/>
      <c r="G25" s="18" t="s">
        <v>68</v>
      </c>
      <c r="H25" s="10">
        <f>1-H24</f>
        <v>0.12257986745604943</v>
      </c>
      <c r="J25" s="2" t="s">
        <v>65</v>
      </c>
      <c r="K25" s="40">
        <f>SQRT(PortfolioVariance(H24:H25,C29:D30))</f>
        <v>9.7687507281380051E-2</v>
      </c>
    </row>
    <row r="26" spans="1:11" x14ac:dyDescent="0.3">
      <c r="B26" s="18" t="s">
        <v>68</v>
      </c>
      <c r="C26" s="27">
        <f>D25</f>
        <v>0.23</v>
      </c>
      <c r="D26" s="27">
        <v>1</v>
      </c>
      <c r="E26" s="27"/>
    </row>
    <row r="27" spans="1:11" x14ac:dyDescent="0.3">
      <c r="A27" s="15"/>
      <c r="B27" s="15"/>
      <c r="C27" s="19"/>
      <c r="D27" s="20"/>
      <c r="E27" s="20"/>
      <c r="G27" s="3" t="s">
        <v>70</v>
      </c>
      <c r="J27" t="s">
        <v>62</v>
      </c>
      <c r="K27" s="25">
        <f>K29-0.5*K20*K30^2</f>
        <v>3.3259629633956227E-2</v>
      </c>
    </row>
    <row r="28" spans="1:11" x14ac:dyDescent="0.3">
      <c r="A28" s="21" t="s">
        <v>64</v>
      </c>
      <c r="C28" s="18" t="s">
        <v>59</v>
      </c>
      <c r="D28" s="18" t="s">
        <v>68</v>
      </c>
      <c r="E28" s="18"/>
      <c r="H28" t="s">
        <v>37</v>
      </c>
    </row>
    <row r="29" spans="1:11" x14ac:dyDescent="0.3">
      <c r="B29" s="18" t="s">
        <v>59</v>
      </c>
      <c r="C29" s="25">
        <f>C25*D21^2</f>
        <v>1.0201000000000002E-2</v>
      </c>
      <c r="D29" s="25">
        <f>D25*D21*D22</f>
        <v>4.8318400000000004E-3</v>
      </c>
      <c r="E29" s="25"/>
      <c r="G29" t="s">
        <v>59</v>
      </c>
      <c r="H29" s="10">
        <f>H24+(C21-C22)/($K$20*(D21^2+D22^2-2*D29))</f>
        <v>0.35232180217399822</v>
      </c>
      <c r="J29" t="s">
        <v>63</v>
      </c>
      <c r="K29" s="40">
        <f>PortfolioReturn(C21:C22,H29:H30)</f>
        <v>6.5689795649994123E-2</v>
      </c>
    </row>
    <row r="30" spans="1:11" x14ac:dyDescent="0.3">
      <c r="B30" s="18" t="s">
        <v>68</v>
      </c>
      <c r="C30" s="25">
        <f>D29</f>
        <v>4.8318400000000004E-3</v>
      </c>
      <c r="D30" s="25">
        <f>D26*D22^2</f>
        <v>4.3263999999999997E-2</v>
      </c>
      <c r="E30" s="25"/>
      <c r="G30" s="18" t="s">
        <v>68</v>
      </c>
      <c r="H30" s="39">
        <f>1-H31</f>
        <v>0.64767819782600178</v>
      </c>
      <c r="J30" s="2" t="s">
        <v>65</v>
      </c>
      <c r="K30" s="40">
        <f>SQRT(PortfolioVariance(H29:H30,C29:D30))</f>
        <v>0.14703778656304167</v>
      </c>
    </row>
    <row r="31" spans="1:11" x14ac:dyDescent="0.3">
      <c r="B31" s="18"/>
      <c r="C31" s="25"/>
      <c r="D31" s="25"/>
      <c r="E31" s="25"/>
      <c r="G31" s="2" t="s">
        <v>66</v>
      </c>
      <c r="H31" s="41">
        <f>Prob2OptimalRiskyWeight1(C21,C22,0,D21,D22,D25,K20)</f>
        <v>0.35232180217399822</v>
      </c>
    </row>
    <row r="33" spans="1:11" x14ac:dyDescent="0.3">
      <c r="A33" s="3" t="s">
        <v>71</v>
      </c>
      <c r="G33" s="1" t="s">
        <v>72</v>
      </c>
    </row>
    <row r="34" spans="1:11" x14ac:dyDescent="0.3">
      <c r="G34" s="1" t="s">
        <v>73</v>
      </c>
      <c r="H34" t="s">
        <v>74</v>
      </c>
    </row>
    <row r="35" spans="1:11" x14ac:dyDescent="0.3">
      <c r="A35" s="14" t="s">
        <v>2</v>
      </c>
      <c r="B35" s="15"/>
      <c r="C35" s="16" t="s">
        <v>3</v>
      </c>
      <c r="D35" s="17" t="s">
        <v>4</v>
      </c>
      <c r="E35" t="s">
        <v>75</v>
      </c>
      <c r="H35" s="42" t="s">
        <v>76</v>
      </c>
    </row>
    <row r="36" spans="1:11" x14ac:dyDescent="0.3">
      <c r="B36" s="18" t="s">
        <v>58</v>
      </c>
      <c r="C36" s="7">
        <v>0.01</v>
      </c>
      <c r="D36" s="5">
        <v>0</v>
      </c>
      <c r="G36" s="1" t="s">
        <v>77</v>
      </c>
      <c r="H36" t="s">
        <v>78</v>
      </c>
    </row>
    <row r="37" spans="1:11" x14ac:dyDescent="0.3">
      <c r="B37" s="18" t="s">
        <v>59</v>
      </c>
      <c r="C37" s="31">
        <v>2.1000000000000001E-2</v>
      </c>
      <c r="D37" s="41">
        <v>0.10100000000000001</v>
      </c>
      <c r="E37" s="5">
        <f t="shared" ref="E37:E38" si="0">C37-$C$36</f>
        <v>1.1000000000000001E-2</v>
      </c>
      <c r="H37" s="42" t="s">
        <v>79</v>
      </c>
    </row>
    <row r="38" spans="1:11" x14ac:dyDescent="0.3">
      <c r="B38" s="18" t="s">
        <v>68</v>
      </c>
      <c r="C38" s="31">
        <v>0.09</v>
      </c>
      <c r="D38" s="31">
        <v>0.20799999999999999</v>
      </c>
      <c r="E38" s="5">
        <f t="shared" si="0"/>
        <v>0.08</v>
      </c>
    </row>
    <row r="39" spans="1:11" x14ac:dyDescent="0.3">
      <c r="G39" s="3" t="s">
        <v>70</v>
      </c>
      <c r="J39" t="s">
        <v>62</v>
      </c>
      <c r="K39" s="25">
        <f>K41-0.5*K45*K42^2</f>
        <v>2.9235681946182229E-2</v>
      </c>
    </row>
    <row r="40" spans="1:11" x14ac:dyDescent="0.3">
      <c r="A40" s="21" t="s">
        <v>60</v>
      </c>
      <c r="C40" s="18" t="s">
        <v>58</v>
      </c>
      <c r="D40" s="18" t="s">
        <v>59</v>
      </c>
      <c r="E40" s="18" t="s">
        <v>68</v>
      </c>
      <c r="H40" t="s">
        <v>37</v>
      </c>
    </row>
    <row r="41" spans="1:11" x14ac:dyDescent="0.3">
      <c r="B41" s="18" t="s">
        <v>58</v>
      </c>
      <c r="C41" s="27">
        <v>1</v>
      </c>
      <c r="D41" s="27">
        <v>0</v>
      </c>
      <c r="E41" s="27">
        <v>0</v>
      </c>
      <c r="G41" t="s">
        <v>59</v>
      </c>
      <c r="H41" s="10">
        <f>(E37*D38^2-E38*E47)/(E37*D38^2+E38*D37^2-(E37+E38)*E47)</f>
        <v>0.10484361034626659</v>
      </c>
      <c r="J41" t="s">
        <v>63</v>
      </c>
      <c r="K41" s="40">
        <f>PortfolioReturn(C37:C38,H41:H42)</f>
        <v>8.276579088610761E-2</v>
      </c>
    </row>
    <row r="42" spans="1:11" x14ac:dyDescent="0.3">
      <c r="B42" s="18" t="s">
        <v>59</v>
      </c>
      <c r="C42" s="27">
        <f>D41</f>
        <v>0</v>
      </c>
      <c r="D42" s="27">
        <v>1</v>
      </c>
      <c r="E42" s="6">
        <v>0.23</v>
      </c>
      <c r="G42" s="18" t="s">
        <v>68</v>
      </c>
      <c r="H42" s="39">
        <f>1-H43</f>
        <v>0.89515638965373345</v>
      </c>
      <c r="J42" s="2" t="s">
        <v>65</v>
      </c>
      <c r="K42" s="40">
        <f>SQRT(PortfolioVariance(H41:H42,D47:E48))</f>
        <v>0.18890934146643884</v>
      </c>
    </row>
    <row r="43" spans="1:11" x14ac:dyDescent="0.3">
      <c r="B43" s="18" t="s">
        <v>68</v>
      </c>
      <c r="C43" s="27">
        <f>E41</f>
        <v>0</v>
      </c>
      <c r="D43" s="27">
        <f>E42</f>
        <v>0.23</v>
      </c>
      <c r="E43" s="27">
        <v>1</v>
      </c>
      <c r="G43" s="2" t="s">
        <v>66</v>
      </c>
      <c r="H43" s="41">
        <f>Prob2OptimalRiskyWeight1(C37,C38,C36,D37,D38,E42,0)</f>
        <v>0.10484361034626659</v>
      </c>
    </row>
    <row r="45" spans="1:11" x14ac:dyDescent="0.3">
      <c r="A45" s="21" t="s">
        <v>64</v>
      </c>
      <c r="C45" s="18" t="s">
        <v>58</v>
      </c>
      <c r="D45" s="18" t="s">
        <v>59</v>
      </c>
      <c r="E45" s="18" t="s">
        <v>68</v>
      </c>
      <c r="G45" s="3" t="s">
        <v>57</v>
      </c>
      <c r="K45" s="6">
        <v>3</v>
      </c>
    </row>
    <row r="46" spans="1:11" x14ac:dyDescent="0.3">
      <c r="B46" s="18" t="s">
        <v>58</v>
      </c>
      <c r="C46" s="25">
        <f>C41*D36^2</f>
        <v>0</v>
      </c>
      <c r="D46" s="25">
        <f>D41*D36*D37</f>
        <v>0</v>
      </c>
      <c r="E46" s="25">
        <f>E41*D36*D38</f>
        <v>0</v>
      </c>
      <c r="G46" s="1" t="s">
        <v>61</v>
      </c>
      <c r="J46" t="s">
        <v>62</v>
      </c>
      <c r="K46" s="25">
        <f>K52-0.5*K45*K53^2</f>
        <v>3.4728421201341758E-2</v>
      </c>
    </row>
    <row r="47" spans="1:11" x14ac:dyDescent="0.3">
      <c r="B47" s="18" t="s">
        <v>59</v>
      </c>
      <c r="C47" s="25">
        <f>D46</f>
        <v>0</v>
      </c>
      <c r="D47" s="25">
        <f>D42*D37^2</f>
        <v>1.0201000000000002E-2</v>
      </c>
      <c r="E47" s="25">
        <f>E42*D37*D38</f>
        <v>4.8318400000000004E-3</v>
      </c>
      <c r="H47" t="s">
        <v>37</v>
      </c>
    </row>
    <row r="48" spans="1:11" x14ac:dyDescent="0.3">
      <c r="B48" s="18" t="s">
        <v>68</v>
      </c>
      <c r="C48" s="25">
        <f>E46</f>
        <v>0</v>
      </c>
      <c r="D48" s="25">
        <f>E47</f>
        <v>4.8318400000000004E-3</v>
      </c>
      <c r="E48" s="25">
        <f>E43*D38^2</f>
        <v>4.3263999999999997E-2</v>
      </c>
      <c r="G48" s="18" t="s">
        <v>58</v>
      </c>
      <c r="H48" s="39">
        <f>1-H50</f>
        <v>0.320328387825909</v>
      </c>
    </row>
    <row r="49" spans="7:11" x14ac:dyDescent="0.3">
      <c r="G49" t="s">
        <v>80</v>
      </c>
      <c r="H49" s="39">
        <f>(K41-C36)/(K45*K42^2)</f>
        <v>0.679671612174091</v>
      </c>
    </row>
    <row r="50" spans="7:11" x14ac:dyDescent="0.3">
      <c r="G50" s="2" t="s">
        <v>81</v>
      </c>
      <c r="H50" s="31">
        <f>Prob1OptimalRiskyWeight(K41,C36,K42,K45)</f>
        <v>0.679671612174091</v>
      </c>
    </row>
    <row r="51" spans="7:11" x14ac:dyDescent="0.3">
      <c r="I51" t="s">
        <v>22</v>
      </c>
    </row>
    <row r="52" spans="7:11" x14ac:dyDescent="0.3">
      <c r="G52" s="18" t="s">
        <v>58</v>
      </c>
      <c r="H52" s="10">
        <f>H48</f>
        <v>0.320328387825909</v>
      </c>
      <c r="I52" s="10">
        <f t="array" ref="I52:I54">TRANSPOSE(Prob3OptimalWeightsVec(C37,C38,C36,D37,D38,E42,K45))</f>
        <v>0.320328387825909</v>
      </c>
      <c r="J52" t="s">
        <v>63</v>
      </c>
      <c r="K52" s="40">
        <f>PortfolioReturn(C36:C38,H52:H54)</f>
        <v>5.9456842402683542E-2</v>
      </c>
    </row>
    <row r="53" spans="7:11" x14ac:dyDescent="0.3">
      <c r="G53" s="18" t="s">
        <v>59</v>
      </c>
      <c r="H53" s="10">
        <f>$H$50*H43</f>
        <v>7.1259225670199225E-2</v>
      </c>
      <c r="I53" s="10">
        <v>7.1259225670199225E-2</v>
      </c>
      <c r="J53" s="2" t="s">
        <v>65</v>
      </c>
      <c r="K53" s="40">
        <f>SQRT(PortfolioVariance(H52:H54,C46:E48))</f>
        <v>0.12839631666924037</v>
      </c>
    </row>
    <row r="54" spans="7:11" x14ac:dyDescent="0.3">
      <c r="G54" s="18" t="s">
        <v>68</v>
      </c>
      <c r="H54" s="10">
        <f>$H$50*H42</f>
        <v>0.60841238650389184</v>
      </c>
      <c r="I54" s="10">
        <v>0.60841238650389184</v>
      </c>
    </row>
  </sheetData>
  <printOptions headings="1" gridLines="1"/>
  <pageMargins left="0.75" right="0.75" top="1" bottom="1" header="0.5" footer="0.5"/>
  <pageSetup paperSize="9" scale="85" orientation="portrait" blackAndWhite="1" horizontalDpi="4294967292" verticalDpi="300" r:id="rId1"/>
  <headerFooter alignWithMargins="0">
    <oddHeader>&amp;L&amp;F&amp;C&amp;A</oddHeader>
    <oddFooter>Prepared by Mike Staunton &amp;D&amp;RPage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0"/>
  <sheetViews>
    <sheetView workbookViewId="0"/>
  </sheetViews>
  <sheetFormatPr defaultRowHeight="13" x14ac:dyDescent="0.3"/>
  <cols>
    <col min="1" max="1" width="22.796875" customWidth="1"/>
    <col min="2" max="2" width="10.296875" customWidth="1"/>
    <col min="10" max="10" width="10.296875" customWidth="1"/>
  </cols>
  <sheetData>
    <row r="1" spans="1:13" x14ac:dyDescent="0.3">
      <c r="A1" s="1" t="s">
        <v>0</v>
      </c>
    </row>
    <row r="2" spans="1:13" x14ac:dyDescent="0.3">
      <c r="A2" s="1" t="s">
        <v>55</v>
      </c>
    </row>
    <row r="4" spans="1:13" x14ac:dyDescent="0.3">
      <c r="A4" s="3" t="s">
        <v>56</v>
      </c>
      <c r="F4" s="1" t="s">
        <v>57</v>
      </c>
    </row>
    <row r="5" spans="1:13" x14ac:dyDescent="0.3">
      <c r="C5" s="4" t="s">
        <v>63</v>
      </c>
      <c r="D5" s="4" t="s">
        <v>82</v>
      </c>
      <c r="E5" s="4" t="s">
        <v>65</v>
      </c>
      <c r="G5" s="6">
        <v>3</v>
      </c>
    </row>
    <row r="6" spans="1:13" x14ac:dyDescent="0.3">
      <c r="A6" t="s">
        <v>58</v>
      </c>
      <c r="C6" s="9">
        <v>0.01</v>
      </c>
      <c r="E6" s="32">
        <v>0</v>
      </c>
    </row>
    <row r="7" spans="1:13" x14ac:dyDescent="0.3">
      <c r="A7" s="2" t="s">
        <v>59</v>
      </c>
      <c r="C7" s="9">
        <v>7.0000000000000007E-2</v>
      </c>
      <c r="E7" s="9">
        <v>0.157</v>
      </c>
    </row>
    <row r="9" spans="1:13" x14ac:dyDescent="0.3">
      <c r="B9" s="2" t="s">
        <v>83</v>
      </c>
      <c r="C9" s="12">
        <v>0</v>
      </c>
      <c r="K9" t="s">
        <v>84</v>
      </c>
    </row>
    <row r="10" spans="1:13" x14ac:dyDescent="0.3">
      <c r="K10" s="4" t="s">
        <v>65</v>
      </c>
      <c r="L10" s="4" t="s">
        <v>63</v>
      </c>
      <c r="M10" s="4" t="s">
        <v>62</v>
      </c>
    </row>
    <row r="11" spans="1:13" x14ac:dyDescent="0.3">
      <c r="A11" s="3" t="s">
        <v>85</v>
      </c>
      <c r="B11" s="4" t="s">
        <v>37</v>
      </c>
      <c r="C11" s="4" t="s">
        <v>63</v>
      </c>
      <c r="D11" s="4" t="s">
        <v>82</v>
      </c>
      <c r="E11" s="4" t="s">
        <v>65</v>
      </c>
      <c r="G11" s="4" t="s">
        <v>62</v>
      </c>
      <c r="K11" s="5">
        <f>E12</f>
        <v>9.4199999999999992E-2</v>
      </c>
      <c r="L11" s="5">
        <f>C12</f>
        <v>4.5999999999999999E-2</v>
      </c>
      <c r="M11" s="23">
        <f>G12</f>
        <v>3.2689540000000003E-2</v>
      </c>
    </row>
    <row r="12" spans="1:13" x14ac:dyDescent="0.3">
      <c r="C12" s="5">
        <f>B13*$C$6+B14*$C$7</f>
        <v>4.5999999999999999E-2</v>
      </c>
      <c r="E12" s="5">
        <f>SQRT((B13*$E$6)^2+(B14*$E$7)^2+2*B13*B14*$C$9)</f>
        <v>9.4199999999999992E-2</v>
      </c>
      <c r="G12" s="23">
        <f>C12-0.5*$G$5*E12^2</f>
        <v>3.2689540000000003E-2</v>
      </c>
      <c r="J12" s="10">
        <v>0</v>
      </c>
      <c r="K12" s="5">
        <f t="dataTable" ref="K12:M22" dt2D="0" dtr="0" r1="B14"/>
        <v>0</v>
      </c>
      <c r="L12" s="5">
        <v>0.01</v>
      </c>
      <c r="M12" s="23">
        <v>0.01</v>
      </c>
    </row>
    <row r="13" spans="1:13" x14ac:dyDescent="0.3">
      <c r="A13" t="s">
        <v>58</v>
      </c>
      <c r="B13" s="10">
        <f>1-B14</f>
        <v>0.4</v>
      </c>
      <c r="J13" s="10">
        <v>0.1</v>
      </c>
      <c r="K13" s="5">
        <v>1.5700000000000002E-2</v>
      </c>
      <c r="L13" s="5">
        <v>1.6E-2</v>
      </c>
      <c r="M13" s="23">
        <v>1.5630265000000001E-2</v>
      </c>
    </row>
    <row r="14" spans="1:13" x14ac:dyDescent="0.3">
      <c r="A14" s="2" t="s">
        <v>59</v>
      </c>
      <c r="B14" s="9">
        <v>0.6</v>
      </c>
      <c r="J14" s="10">
        <v>0.2</v>
      </c>
      <c r="K14" s="5">
        <v>3.1400000000000004E-2</v>
      </c>
      <c r="L14" s="5">
        <v>2.2000000000000002E-2</v>
      </c>
      <c r="M14" s="23">
        <v>2.0521060000000001E-2</v>
      </c>
    </row>
    <row r="15" spans="1:13" x14ac:dyDescent="0.3">
      <c r="J15" s="10">
        <v>0.3</v>
      </c>
      <c r="K15" s="5">
        <v>4.7099999999999996E-2</v>
      </c>
      <c r="L15" s="5">
        <v>2.8000000000000001E-2</v>
      </c>
      <c r="M15" s="23">
        <v>2.4672385000000002E-2</v>
      </c>
    </row>
    <row r="16" spans="1:13" x14ac:dyDescent="0.3">
      <c r="J16" s="10">
        <v>0.4</v>
      </c>
      <c r="K16" s="5">
        <v>6.2800000000000009E-2</v>
      </c>
      <c r="L16" s="5">
        <v>3.4000000000000002E-2</v>
      </c>
      <c r="M16" s="23">
        <v>2.808424E-2</v>
      </c>
    </row>
    <row r="17" spans="1:13" x14ac:dyDescent="0.3">
      <c r="A17" s="3" t="s">
        <v>61</v>
      </c>
      <c r="B17" s="4" t="s">
        <v>37</v>
      </c>
      <c r="C17" s="4" t="s">
        <v>63</v>
      </c>
      <c r="D17" s="4" t="s">
        <v>82</v>
      </c>
      <c r="E17" s="4" t="s">
        <v>65</v>
      </c>
      <c r="G17" s="4" t="s">
        <v>62</v>
      </c>
      <c r="J17" s="10">
        <v>0.5</v>
      </c>
      <c r="K17" s="5">
        <v>7.85E-2</v>
      </c>
      <c r="L17" s="5">
        <v>0.04</v>
      </c>
      <c r="M17" s="23">
        <v>3.0756625000000003E-2</v>
      </c>
    </row>
    <row r="18" spans="1:13" x14ac:dyDescent="0.3">
      <c r="C18" s="5">
        <f>B19*$C$6+B20*$C$7</f>
        <v>5.8683516572680443E-2</v>
      </c>
      <c r="E18" s="5">
        <f>SQRT((B19*$E$6)^2+(B20*$E$7)^2+2*B19*B20*$C$9)</f>
        <v>0.12738853503184716</v>
      </c>
      <c r="G18" s="23">
        <f>C18-0.5*$G$5*E18^2</f>
        <v>3.4341758286340215E-2</v>
      </c>
      <c r="J18" s="10">
        <v>0.6</v>
      </c>
      <c r="K18" s="5">
        <v>9.4199999999999992E-2</v>
      </c>
      <c r="L18" s="5">
        <v>4.5999999999999999E-2</v>
      </c>
      <c r="M18" s="23">
        <v>3.2689540000000003E-2</v>
      </c>
    </row>
    <row r="19" spans="1:13" x14ac:dyDescent="0.3">
      <c r="A19" t="s">
        <v>58</v>
      </c>
      <c r="B19" s="10">
        <f>1-B20</f>
        <v>0.18860805712199269</v>
      </c>
      <c r="J19" s="10">
        <v>0.7</v>
      </c>
      <c r="K19" s="5">
        <v>0.1099</v>
      </c>
      <c r="L19" s="5">
        <v>5.2000000000000005E-2</v>
      </c>
      <c r="M19" s="23">
        <v>3.3882985000000004E-2</v>
      </c>
    </row>
    <row r="20" spans="1:13" x14ac:dyDescent="0.3">
      <c r="A20" s="2" t="s">
        <v>59</v>
      </c>
      <c r="B20" s="9">
        <f>(C7-C6)/(G5*E7^2)</f>
        <v>0.81139194287800731</v>
      </c>
      <c r="J20" s="10">
        <v>0.8</v>
      </c>
      <c r="K20" s="5">
        <v>0.12560000000000002</v>
      </c>
      <c r="L20" s="5">
        <v>5.800000000000001E-2</v>
      </c>
      <c r="M20" s="23">
        <v>3.433696E-2</v>
      </c>
    </row>
    <row r="21" spans="1:13" x14ac:dyDescent="0.3">
      <c r="A21" s="4" t="s">
        <v>86</v>
      </c>
      <c r="B21" s="5">
        <f>Prob1OptimalRiskyWeight(C7,C6,E7,G5)</f>
        <v>0.81139194287800731</v>
      </c>
      <c r="J21" s="10">
        <v>0.9</v>
      </c>
      <c r="K21" s="5">
        <v>0.14130000000000001</v>
      </c>
      <c r="L21" s="5">
        <v>6.4000000000000015E-2</v>
      </c>
      <c r="M21" s="23">
        <v>3.4051465000000017E-2</v>
      </c>
    </row>
    <row r="22" spans="1:13" x14ac:dyDescent="0.3">
      <c r="J22" s="10">
        <v>1</v>
      </c>
      <c r="K22" s="5">
        <v>0.157</v>
      </c>
      <c r="L22" s="5">
        <v>7.0000000000000007E-2</v>
      </c>
      <c r="M22" s="23">
        <v>3.3026500000000007E-2</v>
      </c>
    </row>
    <row r="24" spans="1:13" x14ac:dyDescent="0.3">
      <c r="J24" s="33" t="s">
        <v>87</v>
      </c>
      <c r="K24" s="4" t="s">
        <v>65</v>
      </c>
      <c r="L24" s="4" t="s">
        <v>63</v>
      </c>
      <c r="M24" s="4" t="s">
        <v>62</v>
      </c>
    </row>
    <row r="25" spans="1:13" x14ac:dyDescent="0.3">
      <c r="K25" s="5">
        <f>E18</f>
        <v>0.12738853503184716</v>
      </c>
      <c r="L25" s="5">
        <f>C18</f>
        <v>5.8683516572680443E-2</v>
      </c>
      <c r="M25" s="23">
        <f>G18</f>
        <v>3.4341758286340215E-2</v>
      </c>
    </row>
    <row r="26" spans="1:13" x14ac:dyDescent="0.3">
      <c r="J26">
        <v>2</v>
      </c>
      <c r="K26" s="5">
        <f t="dataTable" ref="K26:M30" dt2D="0" dtr="0" r1="G5"/>
        <v>0.19108280254777069</v>
      </c>
      <c r="L26" s="5">
        <v>8.3025274859020656E-2</v>
      </c>
      <c r="M26" s="23">
        <v>4.651263742951034E-2</v>
      </c>
    </row>
    <row r="27" spans="1:13" x14ac:dyDescent="0.3">
      <c r="J27">
        <v>2.5</v>
      </c>
      <c r="K27" s="5">
        <v>0.15286624203821655</v>
      </c>
      <c r="L27" s="5">
        <v>6.8420219887216541E-2</v>
      </c>
      <c r="M27" s="23">
        <v>3.9210109943608282E-2</v>
      </c>
    </row>
    <row r="28" spans="1:13" x14ac:dyDescent="0.3">
      <c r="J28">
        <v>3</v>
      </c>
      <c r="K28" s="5">
        <v>0.12738853503184716</v>
      </c>
      <c r="L28" s="5">
        <v>5.8683516572680443E-2</v>
      </c>
      <c r="M28" s="23">
        <v>3.4341758286340215E-2</v>
      </c>
    </row>
    <row r="29" spans="1:13" x14ac:dyDescent="0.3">
      <c r="J29">
        <v>3.5</v>
      </c>
      <c r="K29" s="5">
        <v>0.1091901728844404</v>
      </c>
      <c r="L29" s="5">
        <v>5.1728728490868951E-2</v>
      </c>
      <c r="M29" s="23">
        <v>3.086436424543448E-2</v>
      </c>
    </row>
    <row r="30" spans="1:13" x14ac:dyDescent="0.3">
      <c r="J30">
        <v>4</v>
      </c>
      <c r="K30" s="5">
        <v>9.5541401273885343E-2</v>
      </c>
      <c r="L30" s="5">
        <v>4.6512637429510326E-2</v>
      </c>
      <c r="M30" s="23">
        <v>2.8256318714755167E-2</v>
      </c>
    </row>
  </sheetData>
  <printOptions headings="1" gridLines="1"/>
  <pageMargins left="0.75" right="0.75" top="1" bottom="1" header="0.5" footer="0.5"/>
  <pageSetup paperSize="9" scale="68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6"/>
  <sheetViews>
    <sheetView workbookViewId="0"/>
  </sheetViews>
  <sheetFormatPr defaultRowHeight="13" x14ac:dyDescent="0.3"/>
  <cols>
    <col min="1" max="1" width="22.796875" customWidth="1"/>
    <col min="2" max="2" width="10.296875" customWidth="1"/>
  </cols>
  <sheetData>
    <row r="1" spans="1:17" x14ac:dyDescent="0.3">
      <c r="A1" s="1" t="s">
        <v>0</v>
      </c>
    </row>
    <row r="2" spans="1:17" x14ac:dyDescent="0.3">
      <c r="A2" s="1" t="s">
        <v>55</v>
      </c>
      <c r="L2" s="10">
        <f>B23</f>
        <v>0.35232180217399822</v>
      </c>
    </row>
    <row r="3" spans="1:17" x14ac:dyDescent="0.3">
      <c r="K3" s="30">
        <v>0.5</v>
      </c>
      <c r="L3" s="10">
        <f t="dataTable" ref="L3:L12" dt2D="0" dtr="0" r1="G5"/>
        <v>-2.2731698496757629</v>
      </c>
    </row>
    <row r="4" spans="1:17" x14ac:dyDescent="0.3">
      <c r="A4" s="3" t="s">
        <v>88</v>
      </c>
      <c r="F4" s="1" t="s">
        <v>57</v>
      </c>
      <c r="K4" s="30">
        <v>1</v>
      </c>
      <c r="L4" s="10">
        <v>-0.69787485856590625</v>
      </c>
    </row>
    <row r="5" spans="1:17" x14ac:dyDescent="0.3">
      <c r="C5" s="4" t="s">
        <v>63</v>
      </c>
      <c r="D5" s="4" t="s">
        <v>82</v>
      </c>
      <c r="E5" s="4" t="s">
        <v>65</v>
      </c>
      <c r="G5" s="6">
        <v>3</v>
      </c>
      <c r="K5" s="30">
        <v>1.5</v>
      </c>
      <c r="L5" s="10">
        <v>-0.17277652819595413</v>
      </c>
    </row>
    <row r="6" spans="1:17" x14ac:dyDescent="0.3">
      <c r="A6" s="2" t="s">
        <v>89</v>
      </c>
      <c r="C6" s="31">
        <v>2.1000000000000001E-2</v>
      </c>
      <c r="E6" s="31">
        <v>0.10100000000000001</v>
      </c>
      <c r="K6" s="30">
        <v>2</v>
      </c>
      <c r="L6" s="10">
        <v>8.9772636989022159E-2</v>
      </c>
    </row>
    <row r="7" spans="1:17" x14ac:dyDescent="0.3">
      <c r="A7" t="s">
        <v>90</v>
      </c>
      <c r="C7" s="31">
        <v>0.09</v>
      </c>
      <c r="E7" s="31">
        <v>0.20799999999999999</v>
      </c>
      <c r="K7" s="30">
        <v>2.5</v>
      </c>
      <c r="L7" s="10">
        <v>0.24730213610000784</v>
      </c>
    </row>
    <row r="8" spans="1:17" x14ac:dyDescent="0.3">
      <c r="B8" s="2" t="s">
        <v>91</v>
      </c>
      <c r="C8" s="6">
        <v>0.23</v>
      </c>
      <c r="G8" s="31"/>
      <c r="H8" s="31"/>
      <c r="K8" s="30">
        <v>3</v>
      </c>
      <c r="L8" s="10">
        <v>0.35232180217399822</v>
      </c>
    </row>
    <row r="9" spans="1:17" x14ac:dyDescent="0.3">
      <c r="B9" s="2" t="s">
        <v>92</v>
      </c>
      <c r="C9" s="8">
        <f>C8*E6*E7</f>
        <v>4.8318400000000004E-3</v>
      </c>
      <c r="G9" s="31"/>
      <c r="H9" s="31"/>
      <c r="K9" s="30">
        <v>3.5</v>
      </c>
      <c r="L9" s="10">
        <v>0.42733584936970581</v>
      </c>
    </row>
    <row r="10" spans="1:17" x14ac:dyDescent="0.3">
      <c r="K10" s="30">
        <v>4</v>
      </c>
      <c r="L10" s="10">
        <v>0.48359638476648636</v>
      </c>
    </row>
    <row r="11" spans="1:17" x14ac:dyDescent="0.3">
      <c r="A11" s="3" t="s">
        <v>93</v>
      </c>
      <c r="B11" s="4" t="s">
        <v>37</v>
      </c>
      <c r="C11" s="4" t="s">
        <v>63</v>
      </c>
      <c r="D11" s="4" t="s">
        <v>82</v>
      </c>
      <c r="E11" s="4" t="s">
        <v>65</v>
      </c>
      <c r="G11" s="4" t="s">
        <v>62</v>
      </c>
      <c r="K11" s="30">
        <v>4.5</v>
      </c>
      <c r="L11" s="10">
        <v>0.52735457896398241</v>
      </c>
    </row>
    <row r="12" spans="1:17" x14ac:dyDescent="0.3">
      <c r="C12" s="5">
        <f>B13*$C$6+B14*$C$7</f>
        <v>6.2399999999999997E-2</v>
      </c>
      <c r="E12" s="5">
        <f>SQRT((B13*$E$6)^2+(B14*$E$7)^2+2*B13*B14*$C$9)</f>
        <v>0.13973719333090959</v>
      </c>
      <c r="G12" s="8">
        <f>C12-0.5*$G$5*E12^2</f>
        <v>3.311027519999999E-2</v>
      </c>
      <c r="K12" s="30">
        <v>5</v>
      </c>
      <c r="L12" s="10">
        <v>0.56236113432197921</v>
      </c>
    </row>
    <row r="13" spans="1:17" x14ac:dyDescent="0.3">
      <c r="A13" s="2" t="s">
        <v>59</v>
      </c>
      <c r="B13" s="9">
        <v>0.4</v>
      </c>
      <c r="K13" t="s">
        <v>94</v>
      </c>
    </row>
    <row r="14" spans="1:17" x14ac:dyDescent="0.3">
      <c r="A14" t="s">
        <v>68</v>
      </c>
      <c r="B14" s="11">
        <f>1-B13</f>
        <v>0.6</v>
      </c>
      <c r="K14" s="4" t="s">
        <v>65</v>
      </c>
      <c r="L14" s="4" t="s">
        <v>63</v>
      </c>
      <c r="M14" s="4" t="s">
        <v>62</v>
      </c>
    </row>
    <row r="15" spans="1:17" x14ac:dyDescent="0.3">
      <c r="K15" s="5">
        <f>E12</f>
        <v>0.13973719333090959</v>
      </c>
      <c r="L15" s="5">
        <f>C12</f>
        <v>6.2399999999999997E-2</v>
      </c>
      <c r="M15" s="8">
        <f>G12</f>
        <v>3.311027519999999E-2</v>
      </c>
      <c r="N15" s="10"/>
      <c r="O15" s="5"/>
      <c r="P15" s="5"/>
      <c r="Q15" s="8"/>
    </row>
    <row r="16" spans="1:17" x14ac:dyDescent="0.3">
      <c r="A16" s="3" t="s">
        <v>95</v>
      </c>
      <c r="B16" s="4" t="s">
        <v>37</v>
      </c>
      <c r="C16" s="4" t="s">
        <v>63</v>
      </c>
      <c r="D16" s="4" t="s">
        <v>82</v>
      </c>
      <c r="E16" s="4" t="s">
        <v>65</v>
      </c>
      <c r="G16" s="4" t="s">
        <v>62</v>
      </c>
      <c r="J16" s="10">
        <v>0</v>
      </c>
      <c r="K16" s="5">
        <f t="dataTable" ref="K16:M26" dt2D="0" dtr="0" r1="B13"/>
        <v>0.20799999999999999</v>
      </c>
      <c r="L16" s="5">
        <v>0.09</v>
      </c>
      <c r="M16" s="8">
        <v>2.5104000000000001E-2</v>
      </c>
      <c r="N16" s="10"/>
      <c r="O16" s="5"/>
      <c r="P16" s="5"/>
      <c r="Q16" s="8"/>
    </row>
    <row r="17" spans="1:17" x14ac:dyDescent="0.3">
      <c r="C17" s="5">
        <f>B18*$C$6+B19*$C$7</f>
        <v>2.9458010854467413E-2</v>
      </c>
      <c r="E17" s="5">
        <f>SQRT((B18*$E$6)^2+(B19*$E$7)^2+2*B18*B19*$C$9)</f>
        <v>9.7687507281380051E-2</v>
      </c>
      <c r="G17" s="8">
        <f>C17-0.5*$G$5*E17^2</f>
        <v>1.5143737236192892E-2</v>
      </c>
      <c r="J17" s="10">
        <v>0.1</v>
      </c>
      <c r="K17" s="5">
        <v>0.18977771523548281</v>
      </c>
      <c r="L17" s="5">
        <v>8.3100000000000007E-2</v>
      </c>
      <c r="M17" s="8">
        <v>2.9076628199999996E-2</v>
      </c>
      <c r="N17" s="10"/>
      <c r="O17" s="5"/>
      <c r="P17" s="5"/>
      <c r="Q17" s="8"/>
    </row>
    <row r="18" spans="1:17" x14ac:dyDescent="0.3">
      <c r="A18" s="2" t="s">
        <v>59</v>
      </c>
      <c r="B18" s="9">
        <f>(E7^2-C9)/(E6^2+E7^2-2*C9)</f>
        <v>0.87742013254395057</v>
      </c>
      <c r="J18" s="10">
        <v>0.2</v>
      </c>
      <c r="K18" s="5">
        <v>0.17217197449062377</v>
      </c>
      <c r="L18" s="5">
        <v>7.619999999999999E-2</v>
      </c>
      <c r="M18" s="8">
        <v>3.1735216799999987E-2</v>
      </c>
      <c r="N18" s="10"/>
      <c r="O18" s="5"/>
      <c r="P18" s="5"/>
      <c r="Q18" s="8"/>
    </row>
    <row r="19" spans="1:17" x14ac:dyDescent="0.3">
      <c r="A19" t="s">
        <v>68</v>
      </c>
      <c r="B19" s="11">
        <f>1-B18</f>
        <v>0.12257986745604943</v>
      </c>
      <c r="J19" s="10">
        <v>0.3</v>
      </c>
      <c r="K19" s="5">
        <v>0.15539247986952262</v>
      </c>
      <c r="L19" s="5">
        <v>6.93E-2</v>
      </c>
      <c r="M19" s="8">
        <v>3.3079765800000015E-2</v>
      </c>
      <c r="N19" s="10"/>
      <c r="O19" s="5"/>
      <c r="P19" s="5"/>
      <c r="Q19" s="8"/>
    </row>
    <row r="20" spans="1:17" x14ac:dyDescent="0.3">
      <c r="J20" s="10">
        <v>0.4</v>
      </c>
      <c r="K20" s="5">
        <v>0.13973719333090959</v>
      </c>
      <c r="L20" s="5">
        <v>6.2399999999999997E-2</v>
      </c>
      <c r="M20" s="8">
        <v>3.311027519999999E-2</v>
      </c>
      <c r="N20" s="10"/>
      <c r="O20" s="5"/>
      <c r="P20" s="5"/>
      <c r="Q20" s="8"/>
    </row>
    <row r="21" spans="1:17" x14ac:dyDescent="0.3">
      <c r="A21" s="3" t="s">
        <v>70</v>
      </c>
      <c r="B21" s="4" t="s">
        <v>37</v>
      </c>
      <c r="C21" s="4" t="s">
        <v>63</v>
      </c>
      <c r="D21" s="4" t="s">
        <v>82</v>
      </c>
      <c r="E21" s="4" t="s">
        <v>65</v>
      </c>
      <c r="G21" s="4" t="s">
        <v>62</v>
      </c>
      <c r="J21" s="10">
        <v>0.5</v>
      </c>
      <c r="K21" s="5">
        <v>0.12562710694750556</v>
      </c>
      <c r="L21" s="5">
        <v>5.5500000000000001E-2</v>
      </c>
      <c r="M21" s="8">
        <v>3.1826744999999997E-2</v>
      </c>
      <c r="N21" s="10"/>
      <c r="O21" s="5"/>
      <c r="P21" s="5"/>
      <c r="Q21" s="8"/>
    </row>
    <row r="22" spans="1:17" x14ac:dyDescent="0.3">
      <c r="C22" s="5">
        <f>B23*$C$6+B24*$C$7</f>
        <v>6.5689795649994123E-2</v>
      </c>
      <c r="E22" s="5">
        <f>SQRT((B23*$E$6)^2+(B24*$E$7)^2+2*B23*B24*$C$9)</f>
        <v>0.14703778656304167</v>
      </c>
      <c r="G22" s="8">
        <f>C22-0.5*$G$5*E22^2</f>
        <v>3.3259629633956227E-2</v>
      </c>
      <c r="J22" s="10">
        <v>0.6</v>
      </c>
      <c r="K22" s="5">
        <v>0.11363926786106993</v>
      </c>
      <c r="L22" s="5">
        <v>4.8599999999999997E-2</v>
      </c>
      <c r="M22" s="8">
        <v>2.9229175199999999E-2</v>
      </c>
      <c r="N22" s="10"/>
      <c r="O22" s="5"/>
      <c r="P22" s="5"/>
      <c r="Q22" s="8"/>
    </row>
    <row r="23" spans="1:17" x14ac:dyDescent="0.3">
      <c r="A23" s="2" t="s">
        <v>59</v>
      </c>
      <c r="B23" s="9">
        <f>B18+(C6-C7)/(G5*(E6^2+E7^2-2*C9))</f>
        <v>0.35232180217399822</v>
      </c>
      <c r="J23" s="10">
        <v>0.7</v>
      </c>
      <c r="K23" s="5">
        <v>0.10450656821463425</v>
      </c>
      <c r="L23" s="5">
        <v>4.1700000000000001E-2</v>
      </c>
      <c r="M23" s="8">
        <v>2.53175658E-2</v>
      </c>
      <c r="N23" s="10"/>
      <c r="O23" s="5"/>
      <c r="P23" s="5"/>
      <c r="Q23" s="8"/>
    </row>
    <row r="24" spans="1:17" x14ac:dyDescent="0.3">
      <c r="A24" t="s">
        <v>68</v>
      </c>
      <c r="B24" s="11">
        <f>1-B23</f>
        <v>0.64767819782600178</v>
      </c>
      <c r="J24" s="10">
        <v>0.8</v>
      </c>
      <c r="K24" s="5">
        <v>9.9022163175725472E-2</v>
      </c>
      <c r="L24" s="5">
        <v>3.4799999999999998E-2</v>
      </c>
      <c r="M24" s="8">
        <v>2.0091916799999995E-2</v>
      </c>
      <c r="N24" s="10"/>
      <c r="O24" s="5"/>
      <c r="P24" s="5"/>
      <c r="Q24" s="8"/>
    </row>
    <row r="25" spans="1:17" x14ac:dyDescent="0.3">
      <c r="J25" s="10">
        <v>0.9</v>
      </c>
      <c r="K25" s="5">
        <v>9.7801744360721921E-2</v>
      </c>
      <c r="L25" s="5">
        <v>2.7899999999999998E-2</v>
      </c>
      <c r="M25" s="8">
        <v>1.3552228199999995E-2</v>
      </c>
      <c r="N25" s="10"/>
      <c r="O25" s="5"/>
      <c r="P25" s="5"/>
      <c r="Q25" s="8"/>
    </row>
    <row r="26" spans="1:17" x14ac:dyDescent="0.3">
      <c r="J26" s="10">
        <v>1</v>
      </c>
      <c r="K26" s="5">
        <v>0.10100000000000001</v>
      </c>
      <c r="L26" s="5">
        <v>2.1000000000000001E-2</v>
      </c>
      <c r="M26" s="8">
        <v>5.6984999999999987E-3</v>
      </c>
    </row>
  </sheetData>
  <printOptions headings="1" gridLines="1"/>
  <pageMargins left="0.75" right="0.75" top="1" bottom="1" header="0.5" footer="0.5"/>
  <pageSetup paperSize="9" scale="94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8"/>
  <sheetViews>
    <sheetView workbookViewId="0"/>
  </sheetViews>
  <sheetFormatPr defaultRowHeight="13" x14ac:dyDescent="0.3"/>
  <cols>
    <col min="1" max="1" width="23" customWidth="1"/>
    <col min="2" max="2" width="10.296875" customWidth="1"/>
  </cols>
  <sheetData>
    <row r="1" spans="1:13" x14ac:dyDescent="0.3">
      <c r="A1" s="1" t="s">
        <v>0</v>
      </c>
    </row>
    <row r="2" spans="1:13" x14ac:dyDescent="0.3">
      <c r="A2" s="1" t="s">
        <v>55</v>
      </c>
    </row>
    <row r="4" spans="1:13" x14ac:dyDescent="0.3">
      <c r="A4" s="3" t="s">
        <v>71</v>
      </c>
      <c r="F4" s="1" t="s">
        <v>57</v>
      </c>
    </row>
    <row r="5" spans="1:13" x14ac:dyDescent="0.3">
      <c r="G5" s="6">
        <v>3</v>
      </c>
    </row>
    <row r="6" spans="1:13" x14ac:dyDescent="0.3">
      <c r="C6" s="4" t="s">
        <v>63</v>
      </c>
      <c r="D6" s="4" t="s">
        <v>82</v>
      </c>
      <c r="E6" s="4" t="s">
        <v>65</v>
      </c>
    </row>
    <row r="7" spans="1:13" x14ac:dyDescent="0.3">
      <c r="A7" t="s">
        <v>58</v>
      </c>
      <c r="C7" s="31">
        <v>0.01</v>
      </c>
      <c r="E7" s="5">
        <v>0</v>
      </c>
    </row>
    <row r="8" spans="1:13" x14ac:dyDescent="0.3">
      <c r="A8" s="2" t="s">
        <v>59</v>
      </c>
      <c r="C8" s="31">
        <v>2.1000000000000001E-2</v>
      </c>
      <c r="D8" s="5">
        <f>C8-C7</f>
        <v>1.1000000000000001E-2</v>
      </c>
      <c r="E8" s="31">
        <v>0.10100000000000001</v>
      </c>
      <c r="G8" s="31"/>
      <c r="I8" s="31"/>
    </row>
    <row r="9" spans="1:13" x14ac:dyDescent="0.3">
      <c r="A9" t="s">
        <v>68</v>
      </c>
      <c r="C9" s="31">
        <v>0.09</v>
      </c>
      <c r="D9" s="5">
        <f>C9-C7</f>
        <v>0.08</v>
      </c>
      <c r="E9" s="31">
        <v>0.20799999999999999</v>
      </c>
      <c r="G9" s="31"/>
      <c r="I9" s="31"/>
    </row>
    <row r="10" spans="1:13" x14ac:dyDescent="0.3">
      <c r="B10" s="2" t="s">
        <v>91</v>
      </c>
      <c r="C10" s="6">
        <v>0.23</v>
      </c>
    </row>
    <row r="11" spans="1:13" x14ac:dyDescent="0.3">
      <c r="B11" s="2" t="s">
        <v>92</v>
      </c>
      <c r="C11" s="8">
        <f>C10*E8*E9</f>
        <v>4.8318400000000004E-3</v>
      </c>
    </row>
    <row r="13" spans="1:13" x14ac:dyDescent="0.3">
      <c r="A13" s="1" t="s">
        <v>96</v>
      </c>
    </row>
    <row r="14" spans="1:13" x14ac:dyDescent="0.3">
      <c r="K14" t="s">
        <v>97</v>
      </c>
    </row>
    <row r="15" spans="1:13" x14ac:dyDescent="0.3">
      <c r="A15" s="3" t="s">
        <v>93</v>
      </c>
      <c r="B15" s="4" t="s">
        <v>37</v>
      </c>
      <c r="C15" s="4" t="s">
        <v>63</v>
      </c>
      <c r="D15" s="4" t="s">
        <v>82</v>
      </c>
      <c r="E15" s="4" t="s">
        <v>65</v>
      </c>
      <c r="G15" s="4" t="s">
        <v>62</v>
      </c>
      <c r="K15" s="4" t="s">
        <v>65</v>
      </c>
      <c r="L15" s="4" t="s">
        <v>63</v>
      </c>
      <c r="M15" s="4" t="s">
        <v>62</v>
      </c>
    </row>
    <row r="16" spans="1:13" x14ac:dyDescent="0.3">
      <c r="C16" s="5">
        <f>B18*$C$8+B19*$C$9</f>
        <v>6.93E-2</v>
      </c>
      <c r="D16" s="5"/>
      <c r="E16" s="5">
        <f>SQRT((B18*$E$8)^2+(B19*$E$9)^2+2*B18*B19*$C$11)</f>
        <v>0.15539247986952262</v>
      </c>
      <c r="G16" s="8">
        <f>C16-0.5*$G$5*E16^2</f>
        <v>3.3079765800000015E-2</v>
      </c>
      <c r="K16" s="5">
        <f>E16</f>
        <v>0.15539247986952262</v>
      </c>
      <c r="L16" s="5">
        <f>C16</f>
        <v>6.93E-2</v>
      </c>
      <c r="M16" s="8">
        <f>G16</f>
        <v>3.3079765800000015E-2</v>
      </c>
    </row>
    <row r="17" spans="1:13" x14ac:dyDescent="0.3">
      <c r="A17" t="s">
        <v>58</v>
      </c>
      <c r="J17" s="10">
        <v>0</v>
      </c>
      <c r="K17" s="5">
        <f t="dataTable" ref="K17:M27" dt2D="0" dtr="0" r1="B18"/>
        <v>0.20799999999999999</v>
      </c>
      <c r="L17" s="5">
        <v>0.09</v>
      </c>
      <c r="M17" s="8">
        <v>2.5104000000000001E-2</v>
      </c>
    </row>
    <row r="18" spans="1:13" x14ac:dyDescent="0.3">
      <c r="A18" s="2" t="s">
        <v>59</v>
      </c>
      <c r="B18" s="9">
        <v>0.3</v>
      </c>
      <c r="J18" s="10">
        <v>0.1</v>
      </c>
      <c r="K18" s="5">
        <v>0.18977771523548281</v>
      </c>
      <c r="L18" s="5">
        <v>8.3100000000000007E-2</v>
      </c>
      <c r="M18" s="8">
        <v>2.9076628199999996E-2</v>
      </c>
    </row>
    <row r="19" spans="1:13" x14ac:dyDescent="0.3">
      <c r="A19" t="s">
        <v>68</v>
      </c>
      <c r="B19" s="11">
        <f>1-B18</f>
        <v>0.7</v>
      </c>
      <c r="J19" s="10">
        <v>0.2</v>
      </c>
      <c r="K19" s="5">
        <v>0.17217197449062377</v>
      </c>
      <c r="L19" s="5">
        <v>7.619999999999999E-2</v>
      </c>
      <c r="M19" s="8">
        <v>3.1735216799999987E-2</v>
      </c>
    </row>
    <row r="20" spans="1:13" x14ac:dyDescent="0.3">
      <c r="J20" s="10">
        <v>0.3</v>
      </c>
      <c r="K20" s="5">
        <v>0.15539247986952262</v>
      </c>
      <c r="L20" s="5">
        <v>6.93E-2</v>
      </c>
      <c r="M20" s="8">
        <v>3.3079765800000015E-2</v>
      </c>
    </row>
    <row r="21" spans="1:13" x14ac:dyDescent="0.3">
      <c r="A21" s="3" t="s">
        <v>70</v>
      </c>
      <c r="B21" s="4" t="s">
        <v>37</v>
      </c>
      <c r="C21" s="4" t="s">
        <v>63</v>
      </c>
      <c r="D21" s="4" t="s">
        <v>82</v>
      </c>
      <c r="E21" s="4" t="s">
        <v>65</v>
      </c>
      <c r="G21" s="4" t="s">
        <v>62</v>
      </c>
      <c r="J21" s="10">
        <v>0.4</v>
      </c>
      <c r="K21" s="5">
        <v>0.13973719333090959</v>
      </c>
      <c r="L21" s="5">
        <v>6.2399999999999997E-2</v>
      </c>
      <c r="M21" s="8">
        <v>3.311027519999999E-2</v>
      </c>
    </row>
    <row r="22" spans="1:13" x14ac:dyDescent="0.3">
      <c r="C22" s="5">
        <f>B24*$C$8+B25*$C$9</f>
        <v>8.276579088610761E-2</v>
      </c>
      <c r="D22" s="5">
        <f>C22-C7</f>
        <v>7.2765790886107615E-2</v>
      </c>
      <c r="E22" s="5">
        <f>SQRT((B24*$E$8)^2+(B25*$E$9)^2+2*B24*B25*$C$11)</f>
        <v>0.18890934146643884</v>
      </c>
      <c r="G22" s="8">
        <f>C22-0.5*$G$5*E22^2</f>
        <v>2.9235681946182229E-2</v>
      </c>
      <c r="J22" s="10">
        <v>0.5</v>
      </c>
      <c r="K22" s="5">
        <v>0.12562710694750556</v>
      </c>
      <c r="L22" s="5">
        <v>5.5500000000000001E-2</v>
      </c>
      <c r="M22" s="8">
        <v>3.1826744999999997E-2</v>
      </c>
    </row>
    <row r="23" spans="1:13" x14ac:dyDescent="0.3">
      <c r="A23" t="s">
        <v>58</v>
      </c>
      <c r="J23" s="10">
        <v>0.6</v>
      </c>
      <c r="K23" s="5">
        <v>0.11363926786106993</v>
      </c>
      <c r="L23" s="5">
        <v>4.8599999999999997E-2</v>
      </c>
      <c r="M23" s="8">
        <v>2.9229175199999999E-2</v>
      </c>
    </row>
    <row r="24" spans="1:13" x14ac:dyDescent="0.3">
      <c r="A24" s="2" t="s">
        <v>59</v>
      </c>
      <c r="B24" s="9">
        <f>(D8*E9^2-D9*C11)/(D8*E9^2+D9*E8^2-(D8+D9)*C11)</f>
        <v>0.10484361034626659</v>
      </c>
      <c r="J24" s="10">
        <v>0.7</v>
      </c>
      <c r="K24" s="5">
        <v>0.10450656821463425</v>
      </c>
      <c r="L24" s="5">
        <v>4.1700000000000001E-2</v>
      </c>
      <c r="M24" s="8">
        <v>2.53175658E-2</v>
      </c>
    </row>
    <row r="25" spans="1:13" x14ac:dyDescent="0.3">
      <c r="A25" t="s">
        <v>68</v>
      </c>
      <c r="B25" s="11">
        <f>1-B24</f>
        <v>0.89515638965373345</v>
      </c>
      <c r="J25" s="10">
        <v>0.8</v>
      </c>
      <c r="K25" s="5">
        <v>9.9022163175725472E-2</v>
      </c>
      <c r="L25" s="5">
        <v>3.4799999999999998E-2</v>
      </c>
      <c r="M25" s="8">
        <v>2.0091916799999995E-2</v>
      </c>
    </row>
    <row r="26" spans="1:13" x14ac:dyDescent="0.3">
      <c r="J26" s="10">
        <v>0.9</v>
      </c>
      <c r="K26" s="5">
        <v>9.7801744360721921E-2</v>
      </c>
      <c r="L26" s="5">
        <v>2.7899999999999998E-2</v>
      </c>
      <c r="M26" s="8">
        <v>1.3552228199999995E-2</v>
      </c>
    </row>
    <row r="27" spans="1:13" x14ac:dyDescent="0.3">
      <c r="A27" s="1" t="s">
        <v>98</v>
      </c>
      <c r="B27" s="2" t="s">
        <v>99</v>
      </c>
      <c r="C27" s="8">
        <v>0</v>
      </c>
      <c r="J27" s="10">
        <v>1</v>
      </c>
      <c r="K27" s="5">
        <v>0.10100000000000001</v>
      </c>
      <c r="L27" s="5">
        <v>2.1000000000000001E-2</v>
      </c>
      <c r="M27" s="8">
        <v>5.6984999999999987E-3</v>
      </c>
    </row>
    <row r="29" spans="1:13" x14ac:dyDescent="0.3">
      <c r="A29" s="1" t="s">
        <v>100</v>
      </c>
    </row>
    <row r="30" spans="1:13" x14ac:dyDescent="0.3">
      <c r="A30" s="1" t="s">
        <v>85</v>
      </c>
      <c r="B30" s="4" t="s">
        <v>37</v>
      </c>
      <c r="C30" s="4" t="s">
        <v>63</v>
      </c>
      <c r="D30" s="4" t="s">
        <v>82</v>
      </c>
      <c r="E30" s="4" t="s">
        <v>65</v>
      </c>
      <c r="G30" s="4" t="s">
        <v>62</v>
      </c>
    </row>
    <row r="31" spans="1:13" x14ac:dyDescent="0.3">
      <c r="C31" s="5">
        <f>B32*C7+(1-B32)*C22</f>
        <v>4.6382895443053802E-2</v>
      </c>
      <c r="E31" s="5">
        <f>SQRT((B32*E7)^2+((1-B32)*E22)^2+2*B32*(1-B32)*C27)</f>
        <v>9.445467073321942E-2</v>
      </c>
      <c r="G31" s="8">
        <f>C31-0.5*$G$5*E31^2</f>
        <v>3.3000368208072457E-2</v>
      </c>
    </row>
    <row r="32" spans="1:13" x14ac:dyDescent="0.3">
      <c r="A32" t="s">
        <v>58</v>
      </c>
      <c r="B32" s="13">
        <v>0.5</v>
      </c>
      <c r="K32" s="5">
        <f>E31</f>
        <v>9.445467073321942E-2</v>
      </c>
      <c r="L32" s="5">
        <f>C31</f>
        <v>4.6382895443053802E-2</v>
      </c>
      <c r="M32" s="8">
        <f>G31</f>
        <v>3.3000368208072457E-2</v>
      </c>
    </row>
    <row r="33" spans="1:14" x14ac:dyDescent="0.3">
      <c r="A33" s="2" t="s">
        <v>59</v>
      </c>
      <c r="B33" s="11">
        <f>B24*(1-B32)</f>
        <v>5.2421805173133294E-2</v>
      </c>
      <c r="J33" s="10">
        <v>0</v>
      </c>
      <c r="K33" s="5">
        <f t="dataTable" ref="K33:M43" dt2D="0" dtr="0" r1="B32"/>
        <v>0.18890934146643884</v>
      </c>
      <c r="L33" s="5">
        <v>8.276579088610761E-2</v>
      </c>
      <c r="M33" s="8">
        <v>2.9235681946182229E-2</v>
      </c>
    </row>
    <row r="34" spans="1:14" x14ac:dyDescent="0.3">
      <c r="A34" t="s">
        <v>68</v>
      </c>
      <c r="B34" s="11">
        <f>B25*(1-B32)</f>
        <v>0.44757819482686673</v>
      </c>
      <c r="J34" s="10">
        <v>0.1</v>
      </c>
      <c r="K34" s="5">
        <v>0.17001840731979495</v>
      </c>
      <c r="L34" s="5">
        <v>7.5489211797496847E-2</v>
      </c>
      <c r="M34" s="8">
        <v>3.2129823556157289E-2</v>
      </c>
    </row>
    <row r="35" spans="1:14" x14ac:dyDescent="0.3">
      <c r="J35" s="10">
        <v>0.2</v>
      </c>
      <c r="K35" s="5">
        <v>0.15112747317315109</v>
      </c>
      <c r="L35" s="5">
        <v>6.8212632708886098E-2</v>
      </c>
      <c r="M35" s="8">
        <v>3.3953362987333841E-2</v>
      </c>
    </row>
    <row r="36" spans="1:14" x14ac:dyDescent="0.3">
      <c r="A36" s="1" t="s">
        <v>61</v>
      </c>
      <c r="B36" s="4" t="s">
        <v>37</v>
      </c>
      <c r="C36" s="4" t="s">
        <v>63</v>
      </c>
      <c r="D36" s="4" t="s">
        <v>82</v>
      </c>
      <c r="E36" s="4" t="s">
        <v>65</v>
      </c>
      <c r="G36" s="4" t="s">
        <v>62</v>
      </c>
      <c r="J36" s="10">
        <v>0.3</v>
      </c>
      <c r="K36" s="5">
        <v>0.13223653902650717</v>
      </c>
      <c r="L36" s="5">
        <v>6.0936053620275328E-2</v>
      </c>
      <c r="M36" s="8">
        <v>3.4706300239711899E-2</v>
      </c>
    </row>
    <row r="37" spans="1:14" x14ac:dyDescent="0.3">
      <c r="C37" s="5">
        <f>B38*C7+(1-B38)*C22</f>
        <v>5.9456842402683535E-2</v>
      </c>
      <c r="E37" s="5">
        <f>SQRT((B38*E7)^2+((1-B38)*E22)^2+2*B38*(1-B38)*C27)</f>
        <v>0.12839631666924034</v>
      </c>
      <c r="G37" s="8">
        <f>C37-0.5*$G$5*E37^2</f>
        <v>3.4728421201341772E-2</v>
      </c>
      <c r="J37" s="10">
        <v>0.4</v>
      </c>
      <c r="K37" s="5">
        <v>0.1133456048798633</v>
      </c>
      <c r="L37" s="5">
        <v>5.3659474531664558E-2</v>
      </c>
      <c r="M37" s="8">
        <v>3.4388635313291421E-2</v>
      </c>
    </row>
    <row r="38" spans="1:14" x14ac:dyDescent="0.3">
      <c r="A38" t="s">
        <v>58</v>
      </c>
      <c r="B38" s="13">
        <f>1-D22/(G5*E22^2)</f>
        <v>0.320328387825909</v>
      </c>
      <c r="J38" s="10">
        <v>0.5</v>
      </c>
      <c r="K38" s="5">
        <v>9.445467073321942E-2</v>
      </c>
      <c r="L38" s="5">
        <v>4.6382895443053802E-2</v>
      </c>
      <c r="M38" s="8">
        <v>3.3000368208072457E-2</v>
      </c>
    </row>
    <row r="39" spans="1:14" x14ac:dyDescent="0.3">
      <c r="A39" s="2" t="s">
        <v>59</v>
      </c>
      <c r="B39" s="11">
        <f>B24*(1-B38)</f>
        <v>7.1259225670199225E-2</v>
      </c>
      <c r="J39" s="10">
        <v>0.6</v>
      </c>
      <c r="K39" s="5">
        <v>7.5563736586575544E-2</v>
      </c>
      <c r="L39" s="5">
        <v>3.9106316354443046E-2</v>
      </c>
      <c r="M39" s="8">
        <v>3.0541498924054982E-2</v>
      </c>
    </row>
    <row r="40" spans="1:14" x14ac:dyDescent="0.3">
      <c r="A40" t="s">
        <v>68</v>
      </c>
      <c r="B40" s="11">
        <f>B25*(1-B38)</f>
        <v>0.60841238650389184</v>
      </c>
      <c r="J40" s="10">
        <v>0.7</v>
      </c>
      <c r="K40" s="5">
        <v>5.6672802439931662E-2</v>
      </c>
      <c r="L40" s="5">
        <v>3.1829737265832284E-2</v>
      </c>
      <c r="M40" s="8">
        <v>2.7012027461238999E-2</v>
      </c>
    </row>
    <row r="41" spans="1:14" x14ac:dyDescent="0.3">
      <c r="J41" s="10">
        <v>0.8</v>
      </c>
      <c r="K41" s="5">
        <v>3.7781868293287758E-2</v>
      </c>
      <c r="L41" s="5">
        <v>2.4553158177221517E-2</v>
      </c>
      <c r="M41" s="8">
        <v>2.2411953819624502E-2</v>
      </c>
    </row>
    <row r="42" spans="1:14" x14ac:dyDescent="0.3">
      <c r="J42" s="10">
        <v>0.9</v>
      </c>
      <c r="K42" s="5">
        <v>1.8890934146643879E-2</v>
      </c>
      <c r="L42" s="5">
        <v>1.7276579088610758E-2</v>
      </c>
      <c r="M42" s="8">
        <v>1.6741277999211504E-2</v>
      </c>
    </row>
    <row r="43" spans="1:14" x14ac:dyDescent="0.3">
      <c r="J43" s="10">
        <v>1</v>
      </c>
      <c r="K43" s="5">
        <v>0</v>
      </c>
      <c r="L43" s="5">
        <v>0.01</v>
      </c>
      <c r="M43" s="8">
        <v>0.01</v>
      </c>
    </row>
    <row r="47" spans="1:14" x14ac:dyDescent="0.3">
      <c r="K47" s="5">
        <f t="shared" ref="K47:L57" si="0">K17</f>
        <v>0.20799999999999999</v>
      </c>
      <c r="L47" s="5">
        <f t="shared" si="0"/>
        <v>0.09</v>
      </c>
      <c r="N47" s="8">
        <f t="shared" ref="N47:N57" si="1">M17</f>
        <v>2.5104000000000001E-2</v>
      </c>
    </row>
    <row r="48" spans="1:14" x14ac:dyDescent="0.3">
      <c r="K48" s="5">
        <f t="shared" si="0"/>
        <v>0.18977771523548281</v>
      </c>
      <c r="L48" s="5">
        <f t="shared" si="0"/>
        <v>8.3100000000000007E-2</v>
      </c>
      <c r="N48" s="8">
        <f t="shared" si="1"/>
        <v>2.9076628199999996E-2</v>
      </c>
    </row>
    <row r="49" spans="11:15" x14ac:dyDescent="0.3">
      <c r="K49" s="5">
        <f t="shared" si="0"/>
        <v>0.17217197449062377</v>
      </c>
      <c r="L49" s="5">
        <f t="shared" si="0"/>
        <v>7.619999999999999E-2</v>
      </c>
      <c r="N49" s="8">
        <f t="shared" si="1"/>
        <v>3.1735216799999987E-2</v>
      </c>
    </row>
    <row r="50" spans="11:15" x14ac:dyDescent="0.3">
      <c r="K50" s="5">
        <f t="shared" si="0"/>
        <v>0.15539247986952262</v>
      </c>
      <c r="L50" s="5">
        <f t="shared" si="0"/>
        <v>6.93E-2</v>
      </c>
      <c r="N50" s="8">
        <f t="shared" si="1"/>
        <v>3.3079765800000015E-2</v>
      </c>
    </row>
    <row r="51" spans="11:15" x14ac:dyDescent="0.3">
      <c r="K51" s="5">
        <f t="shared" si="0"/>
        <v>0.13973719333090959</v>
      </c>
      <c r="L51" s="5">
        <f t="shared" si="0"/>
        <v>6.2399999999999997E-2</v>
      </c>
      <c r="N51" s="8">
        <f t="shared" si="1"/>
        <v>3.311027519999999E-2</v>
      </c>
    </row>
    <row r="52" spans="11:15" x14ac:dyDescent="0.3">
      <c r="K52" s="5">
        <f t="shared" si="0"/>
        <v>0.12562710694750556</v>
      </c>
      <c r="L52" s="5">
        <f t="shared" si="0"/>
        <v>5.5500000000000001E-2</v>
      </c>
      <c r="N52" s="8">
        <f t="shared" si="1"/>
        <v>3.1826744999999997E-2</v>
      </c>
    </row>
    <row r="53" spans="11:15" x14ac:dyDescent="0.3">
      <c r="K53" s="5">
        <f t="shared" si="0"/>
        <v>0.11363926786106993</v>
      </c>
      <c r="L53" s="5">
        <f t="shared" si="0"/>
        <v>4.8599999999999997E-2</v>
      </c>
      <c r="N53" s="8">
        <f t="shared" si="1"/>
        <v>2.9229175199999999E-2</v>
      </c>
    </row>
    <row r="54" spans="11:15" x14ac:dyDescent="0.3">
      <c r="K54" s="5">
        <f t="shared" si="0"/>
        <v>0.10450656821463425</v>
      </c>
      <c r="L54" s="5">
        <f t="shared" si="0"/>
        <v>4.1700000000000001E-2</v>
      </c>
      <c r="N54" s="8">
        <f t="shared" si="1"/>
        <v>2.53175658E-2</v>
      </c>
    </row>
    <row r="55" spans="11:15" x14ac:dyDescent="0.3">
      <c r="K55" s="5">
        <f t="shared" si="0"/>
        <v>9.9022163175725472E-2</v>
      </c>
      <c r="L55" s="5">
        <f t="shared" si="0"/>
        <v>3.4799999999999998E-2</v>
      </c>
      <c r="N55" s="8">
        <f t="shared" si="1"/>
        <v>2.0091916799999995E-2</v>
      </c>
    </row>
    <row r="56" spans="11:15" x14ac:dyDescent="0.3">
      <c r="K56" s="5">
        <f t="shared" si="0"/>
        <v>9.7801744360721921E-2</v>
      </c>
      <c r="L56" s="5">
        <f t="shared" si="0"/>
        <v>2.7899999999999998E-2</v>
      </c>
      <c r="N56" s="8">
        <f t="shared" si="1"/>
        <v>1.3552228199999995E-2</v>
      </c>
    </row>
    <row r="57" spans="11:15" x14ac:dyDescent="0.3">
      <c r="K57" s="5">
        <f t="shared" si="0"/>
        <v>0.10100000000000001</v>
      </c>
      <c r="L57" s="5">
        <f t="shared" si="0"/>
        <v>2.1000000000000001E-2</v>
      </c>
      <c r="N57" s="8">
        <f t="shared" si="1"/>
        <v>5.6984999999999987E-3</v>
      </c>
    </row>
    <row r="58" spans="11:15" x14ac:dyDescent="0.3">
      <c r="K58" s="5">
        <f t="shared" ref="K58:K68" si="2">K33</f>
        <v>0.18890934146643884</v>
      </c>
      <c r="M58" s="5">
        <f t="shared" ref="M58:M68" si="3">L33</f>
        <v>8.276579088610761E-2</v>
      </c>
      <c r="O58" s="8">
        <f t="shared" ref="O58:O68" si="4">M33</f>
        <v>2.9235681946182229E-2</v>
      </c>
    </row>
    <row r="59" spans="11:15" x14ac:dyDescent="0.3">
      <c r="K59" s="5">
        <f t="shared" si="2"/>
        <v>0.17001840731979495</v>
      </c>
      <c r="M59" s="5">
        <f t="shared" si="3"/>
        <v>7.5489211797496847E-2</v>
      </c>
      <c r="O59" s="8">
        <f t="shared" si="4"/>
        <v>3.2129823556157289E-2</v>
      </c>
    </row>
    <row r="60" spans="11:15" x14ac:dyDescent="0.3">
      <c r="K60" s="5">
        <f t="shared" si="2"/>
        <v>0.15112747317315109</v>
      </c>
      <c r="M60" s="5">
        <f t="shared" si="3"/>
        <v>6.8212632708886098E-2</v>
      </c>
      <c r="O60" s="8">
        <f t="shared" si="4"/>
        <v>3.3953362987333841E-2</v>
      </c>
    </row>
    <row r="61" spans="11:15" x14ac:dyDescent="0.3">
      <c r="K61" s="5">
        <f t="shared" si="2"/>
        <v>0.13223653902650717</v>
      </c>
      <c r="M61" s="5">
        <f t="shared" si="3"/>
        <v>6.0936053620275328E-2</v>
      </c>
      <c r="O61" s="8">
        <f t="shared" si="4"/>
        <v>3.4706300239711899E-2</v>
      </c>
    </row>
    <row r="62" spans="11:15" x14ac:dyDescent="0.3">
      <c r="K62" s="5">
        <f t="shared" si="2"/>
        <v>0.1133456048798633</v>
      </c>
      <c r="M62" s="5">
        <f t="shared" si="3"/>
        <v>5.3659474531664558E-2</v>
      </c>
      <c r="O62" s="8">
        <f t="shared" si="4"/>
        <v>3.4388635313291421E-2</v>
      </c>
    </row>
    <row r="63" spans="11:15" x14ac:dyDescent="0.3">
      <c r="K63" s="5">
        <f t="shared" si="2"/>
        <v>9.445467073321942E-2</v>
      </c>
      <c r="M63" s="5">
        <f t="shared" si="3"/>
        <v>4.6382895443053802E-2</v>
      </c>
      <c r="O63" s="8">
        <f t="shared" si="4"/>
        <v>3.3000368208072457E-2</v>
      </c>
    </row>
    <row r="64" spans="11:15" x14ac:dyDescent="0.3">
      <c r="K64" s="5">
        <f t="shared" si="2"/>
        <v>7.5563736586575544E-2</v>
      </c>
      <c r="M64" s="5">
        <f t="shared" si="3"/>
        <v>3.9106316354443046E-2</v>
      </c>
      <c r="O64" s="8">
        <f t="shared" si="4"/>
        <v>3.0541498924054982E-2</v>
      </c>
    </row>
    <row r="65" spans="11:15" x14ac:dyDescent="0.3">
      <c r="K65" s="5">
        <f t="shared" si="2"/>
        <v>5.6672802439931662E-2</v>
      </c>
      <c r="M65" s="5">
        <f t="shared" si="3"/>
        <v>3.1829737265832284E-2</v>
      </c>
      <c r="O65" s="8">
        <f t="shared" si="4"/>
        <v>2.7012027461238999E-2</v>
      </c>
    </row>
    <row r="66" spans="11:15" x14ac:dyDescent="0.3">
      <c r="K66" s="5">
        <f t="shared" si="2"/>
        <v>3.7781868293287758E-2</v>
      </c>
      <c r="M66" s="5">
        <f t="shared" si="3"/>
        <v>2.4553158177221517E-2</v>
      </c>
      <c r="O66" s="8">
        <f t="shared" si="4"/>
        <v>2.2411953819624502E-2</v>
      </c>
    </row>
    <row r="67" spans="11:15" x14ac:dyDescent="0.3">
      <c r="K67" s="5">
        <f t="shared" si="2"/>
        <v>1.8890934146643879E-2</v>
      </c>
      <c r="M67" s="5">
        <f t="shared" si="3"/>
        <v>1.7276579088610758E-2</v>
      </c>
      <c r="O67" s="8">
        <f t="shared" si="4"/>
        <v>1.6741277999211504E-2</v>
      </c>
    </row>
    <row r="68" spans="11:15" x14ac:dyDescent="0.3">
      <c r="K68" s="5">
        <f t="shared" si="2"/>
        <v>0</v>
      </c>
      <c r="M68" s="5">
        <f t="shared" si="3"/>
        <v>0.01</v>
      </c>
      <c r="O68" s="8">
        <f t="shared" si="4"/>
        <v>0.01</v>
      </c>
    </row>
  </sheetData>
  <printOptions headings="1" gridLines="1"/>
  <pageMargins left="0.75" right="0.75" top="1" bottom="1" header="0.5" footer="0.5"/>
  <pageSetup paperSize="9" scale="94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3Assets</vt:lpstr>
      <vt:lpstr>EF1</vt:lpstr>
      <vt:lpstr>EF1HL</vt:lpstr>
      <vt:lpstr>EF2</vt:lpstr>
      <vt:lpstr>Generic</vt:lpstr>
      <vt:lpstr>Prob1</vt:lpstr>
      <vt:lpstr>Prob2</vt:lpstr>
      <vt:lpstr>Prob3</vt:lpstr>
      <vt:lpstr>Chart1</vt:lpstr>
      <vt:lpstr>Chart2</vt:lpstr>
      <vt:lpstr>Chart3</vt:lpstr>
      <vt:lpstr>change1</vt:lpstr>
      <vt:lpstr>change2</vt:lpstr>
      <vt:lpstr>effwts2</vt:lpstr>
      <vt:lpstr>niter2</vt:lpstr>
      <vt:lpstr>portmax2</vt:lpstr>
      <vt:lpstr>portmin2</vt:lpstr>
      <vt:lpstr>portret1</vt:lpstr>
      <vt:lpstr>portret2</vt:lpstr>
      <vt:lpstr>portsd1</vt:lpstr>
      <vt:lpstr>portsd2</vt:lpstr>
      <vt:lpstr>portwts2</vt:lpstr>
      <vt:lpstr>priter2</vt:lpstr>
      <vt:lpstr>target1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chapter 6</dc:title>
  <dc:creator>Mary Jackson and Mike Staunton</dc:creator>
  <dc:description/>
  <cp:lastModifiedBy>Carina Negreanu</cp:lastModifiedBy>
  <cp:lastPrinted>2000-06-07T14:52:54Z</cp:lastPrinted>
  <dcterms:created xsi:type="dcterms:W3CDTF">1997-06-13T13:38:33Z</dcterms:created>
  <dcterms:modified xsi:type="dcterms:W3CDTF">2020-01-27T11:31:27Z</dcterms:modified>
</cp:coreProperties>
</file>