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498BD4D-17A9-4284-9862-45197986A1B4}" xr6:coauthVersionLast="45" xr6:coauthVersionMax="45" xr10:uidLastSave="{00000000-0000-0000-0000-000000000000}"/>
  <bookViews>
    <workbookView xWindow="1900" yWindow="1900" windowWidth="28800" windowHeight="15460" tabRatio="460"/>
  </bookViews>
  <sheets>
    <sheet name="Sheet1" sheetId="1" r:id="rId1"/>
    <sheet name="Sheet2" sheetId="2" r:id="rId2"/>
    <sheet name="Sheet3" sheetId="3" r:id="rId3"/>
  </sheets>
  <calcPr calcId="191029"/>
  <webPublishObjects count="1">
    <webPublishObject id="27120" divId="EXCEL GRADEBOOK 2_27120" destinationFile="D:\EXCEL GRADEBOOK.htm"/>
  </webPublishObject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2" i="1"/>
  <c r="Q3" i="1"/>
  <c r="Q4" i="1"/>
  <c r="Q5" i="1"/>
  <c r="Q6" i="1"/>
  <c r="Q2" i="1"/>
  <c r="I3" i="1"/>
  <c r="AE3" i="1" s="1"/>
  <c r="I4" i="1"/>
  <c r="AE4" i="1" s="1"/>
  <c r="I5" i="1"/>
  <c r="AE5" i="1" s="1"/>
  <c r="I6" i="1"/>
  <c r="AE6" i="1" s="1"/>
  <c r="I2" i="1"/>
  <c r="AE2" i="1" s="1"/>
  <c r="AD3" i="1"/>
  <c r="AD4" i="1"/>
  <c r="AD5" i="1"/>
  <c r="AD6" i="1"/>
  <c r="AD2" i="1"/>
  <c r="AC3" i="1"/>
  <c r="AC4" i="1"/>
  <c r="AC5" i="1"/>
  <c r="AC6" i="1"/>
  <c r="AC2" i="1"/>
  <c r="W3" i="1"/>
  <c r="W4" i="1"/>
  <c r="W5" i="1"/>
  <c r="W6" i="1"/>
  <c r="W2" i="1"/>
  <c r="P3" i="1"/>
  <c r="P4" i="1"/>
  <c r="P5" i="1"/>
  <c r="P6" i="1"/>
  <c r="P2" i="1"/>
  <c r="H3" i="1"/>
  <c r="H4" i="1"/>
  <c r="H5" i="1"/>
  <c r="H6" i="1"/>
  <c r="H2" i="1"/>
</calcChain>
</file>

<file path=xl/sharedStrings.xml><?xml version="1.0" encoding="utf-8"?>
<sst xmlns="http://schemas.openxmlformats.org/spreadsheetml/2006/main" count="48" uniqueCount="35">
  <si>
    <t>King, Maggie</t>
  </si>
  <si>
    <t>Vincent, Lillian</t>
  </si>
  <si>
    <t>Reed, Bret</t>
  </si>
  <si>
    <t>Alderson, Mathew</t>
  </si>
  <si>
    <t>Brown, Charleigh</t>
  </si>
  <si>
    <t>Homework</t>
  </si>
  <si>
    <t>Classwork</t>
  </si>
  <si>
    <t>Quizzes</t>
  </si>
  <si>
    <t>Tests</t>
  </si>
  <si>
    <t>p.23 # 7-25</t>
  </si>
  <si>
    <t>p. 26 q. 3,5,7</t>
  </si>
  <si>
    <t>essay q.</t>
  </si>
  <si>
    <t>p.45, q. 5,6,7</t>
  </si>
  <si>
    <t>wrk.bk p.6</t>
  </si>
  <si>
    <t>wrk bk p.9</t>
  </si>
  <si>
    <t>pg. 35 #5-15</t>
  </si>
  <si>
    <t>pg. 45 #6-11</t>
  </si>
  <si>
    <t>pg. 40 # 8-19</t>
  </si>
  <si>
    <t>wrk.bk p. 88</t>
  </si>
  <si>
    <t>Multiply 1-3</t>
  </si>
  <si>
    <t>Multiply 4-6</t>
  </si>
  <si>
    <t>Multiply 7-9</t>
  </si>
  <si>
    <t>Multiply 10-12</t>
  </si>
  <si>
    <t>Multiply 1-4</t>
  </si>
  <si>
    <t>Multiply 5-8</t>
  </si>
  <si>
    <t>Multiply 9-12</t>
  </si>
  <si>
    <t>Homework Total</t>
  </si>
  <si>
    <t>Classwork Total</t>
  </si>
  <si>
    <t>Quiz Total</t>
  </si>
  <si>
    <t>Test Total</t>
  </si>
  <si>
    <t>Test Average</t>
  </si>
  <si>
    <t>Quiz Average</t>
  </si>
  <si>
    <t>Classwork Average</t>
  </si>
  <si>
    <t>Homework Average</t>
  </si>
  <si>
    <t>Final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</si>
</sst>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0" borderId="0" xfId="0" applyAlignment="1">
      <alignment textRotation="90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918128954038679"/>
          <c:y val="4.794686413198263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279221744512577"/>
          <c:y val="0.3253537208955965"/>
          <c:w val="0.49407367326245877"/>
          <c:h val="0.328778496905023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Sheet1!$AE$1</c:f>
              <c:strCache>
                <c:ptCount val="1"/>
                <c:pt idx="0">
                  <c:v>Final Grade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Sheet1!$AE$2:$AE$6</c:f>
              <c:numCache>
                <c:formatCode>0.00</c:formatCode>
                <c:ptCount val="5"/>
                <c:pt idx="0">
                  <c:v>77.542500000000004</c:v>
                </c:pt>
                <c:pt idx="1">
                  <c:v>81.517499999999998</c:v>
                </c:pt>
                <c:pt idx="2">
                  <c:v>90.882499999999993</c:v>
                </c:pt>
                <c:pt idx="3">
                  <c:v>87.722499999999997</c:v>
                </c:pt>
                <c:pt idx="4">
                  <c:v>83.78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6E-4AF2-B509-D2E609568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5782095"/>
        <c:axId val="1"/>
      </c:barChart>
      <c:catAx>
        <c:axId val="865782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Students</a:t>
                </a:r>
              </a:p>
            </c:rich>
          </c:tx>
          <c:layout>
            <c:manualLayout>
              <c:xMode val="edge"/>
              <c:yMode val="edge"/>
              <c:x val="0.41257698488926969"/>
              <c:y val="0.808247138224850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Grades</a:t>
                </a:r>
              </a:p>
            </c:rich>
          </c:tx>
          <c:layout>
            <c:manualLayout>
              <c:xMode val="edge"/>
              <c:yMode val="edge"/>
              <c:x val="4.7539734884360293E-2"/>
              <c:y val="0.3630262569992971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578209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705297675423321"/>
          <c:y val="0.4349465531972711"/>
          <c:w val="0.23090728372403571"/>
          <c:h val="0.1027432802828199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831850</xdr:colOff>
      <xdr:row>11</xdr:row>
      <xdr:rowOff>76200</xdr:rowOff>
    </xdr:from>
    <xdr:to>
      <xdr:col>29</xdr:col>
      <xdr:colOff>19050</xdr:colOff>
      <xdr:row>23</xdr:row>
      <xdr:rowOff>25400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EEB901D-6D85-4B3E-B1B9-6FD605D8A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tabSelected="1" workbookViewId="0">
      <pane xSplit="2080" ySplit="450" topLeftCell="Y1" activePane="bottomRight"/>
      <selection activeCell="AD14" sqref="AD14"/>
      <selection pane="topRight" activeCell="B1" sqref="B1"/>
      <selection pane="bottomLeft"/>
      <selection pane="bottomRight" activeCell="Y1" sqref="A1:IV65536"/>
    </sheetView>
  </sheetViews>
  <sheetFormatPr defaultRowHeight="12.5" x14ac:dyDescent="0.25"/>
  <cols>
    <col min="1" max="1" width="16.1796875" customWidth="1"/>
    <col min="2" max="2" width="10.1796875" customWidth="1"/>
    <col min="4" max="4" width="11.453125" customWidth="1"/>
    <col min="5" max="5" width="9.7265625" customWidth="1"/>
    <col min="6" max="6" width="9.81640625" customWidth="1"/>
    <col min="7" max="7" width="12" customWidth="1"/>
    <col min="8" max="8" width="14.54296875" customWidth="1"/>
    <col min="9" max="9" width="17" customWidth="1"/>
    <col min="10" max="10" width="10.54296875" customWidth="1"/>
    <col min="12" max="12" width="11.1796875" customWidth="1"/>
    <col min="13" max="13" width="12.453125" customWidth="1"/>
    <col min="14" max="15" width="11" customWidth="1"/>
    <col min="16" max="16" width="14.54296875" customWidth="1"/>
    <col min="17" max="17" width="16.54296875" customWidth="1"/>
    <col min="18" max="18" width="10.453125" customWidth="1"/>
    <col min="20" max="20" width="10.453125" customWidth="1"/>
    <col min="21" max="21" width="10.54296875" customWidth="1"/>
    <col min="22" max="24" width="12.453125" customWidth="1"/>
    <col min="25" max="25" width="10.54296875" customWidth="1"/>
    <col min="27" max="27" width="10.54296875" customWidth="1"/>
    <col min="28" max="29" width="11.453125" customWidth="1"/>
    <col min="30" max="30" width="12.1796875" customWidth="1"/>
    <col min="31" max="31" width="11" customWidth="1"/>
  </cols>
  <sheetData>
    <row r="1" spans="1:31" x14ac:dyDescent="0.25">
      <c r="B1" t="s">
        <v>5</v>
      </c>
      <c r="C1" s="1">
        <v>0.2</v>
      </c>
      <c r="D1" t="s">
        <v>5</v>
      </c>
      <c r="E1" t="s">
        <v>5</v>
      </c>
      <c r="F1" t="s">
        <v>5</v>
      </c>
      <c r="G1" t="s">
        <v>5</v>
      </c>
      <c r="H1" t="s">
        <v>26</v>
      </c>
      <c r="I1" t="s">
        <v>33</v>
      </c>
      <c r="J1" t="s">
        <v>6</v>
      </c>
      <c r="K1" s="1">
        <v>0.15</v>
      </c>
      <c r="L1" t="s">
        <v>6</v>
      </c>
      <c r="M1" t="s">
        <v>6</v>
      </c>
      <c r="N1" t="s">
        <v>6</v>
      </c>
      <c r="O1" t="s">
        <v>6</v>
      </c>
      <c r="P1" t="s">
        <v>27</v>
      </c>
      <c r="Q1" t="s">
        <v>32</v>
      </c>
      <c r="R1" t="s">
        <v>7</v>
      </c>
      <c r="S1" s="1">
        <v>0.25</v>
      </c>
      <c r="T1" t="s">
        <v>7</v>
      </c>
      <c r="U1" t="s">
        <v>7</v>
      </c>
      <c r="V1" t="s">
        <v>7</v>
      </c>
      <c r="W1" t="s">
        <v>28</v>
      </c>
      <c r="X1" t="s">
        <v>31</v>
      </c>
      <c r="Y1" t="s">
        <v>8</v>
      </c>
      <c r="Z1" s="1">
        <v>0.4</v>
      </c>
      <c r="AA1" t="s">
        <v>8</v>
      </c>
      <c r="AB1" t="s">
        <v>8</v>
      </c>
      <c r="AC1" t="s">
        <v>29</v>
      </c>
      <c r="AD1" t="s">
        <v>30</v>
      </c>
      <c r="AE1" t="s">
        <v>34</v>
      </c>
    </row>
    <row r="2" spans="1:31" x14ac:dyDescent="0.25">
      <c r="A2" t="s">
        <v>3</v>
      </c>
      <c r="B2">
        <v>78</v>
      </c>
      <c r="C2">
        <v>76</v>
      </c>
      <c r="D2">
        <v>87</v>
      </c>
      <c r="E2">
        <v>37</v>
      </c>
      <c r="F2">
        <v>97</v>
      </c>
      <c r="G2">
        <v>94</v>
      </c>
      <c r="H2">
        <f>SUM(B2:G2)</f>
        <v>469</v>
      </c>
      <c r="I2" s="3">
        <f>(SUM(B2:G2)-MIN(B2:G2))/(COUNT(B2:G2)-1)</f>
        <v>86.4</v>
      </c>
      <c r="J2">
        <v>97</v>
      </c>
      <c r="K2">
        <v>76</v>
      </c>
      <c r="L2">
        <v>64</v>
      </c>
      <c r="M2">
        <v>76</v>
      </c>
      <c r="N2">
        <v>92</v>
      </c>
      <c r="O2">
        <v>74</v>
      </c>
      <c r="P2">
        <f>SUM(J2:O2)</f>
        <v>479</v>
      </c>
      <c r="Q2" s="3">
        <f>(SUM(J2:O2)-MIN(J2:O2))/(COUNT(J2:O2)-1)</f>
        <v>83</v>
      </c>
      <c r="R2">
        <v>80</v>
      </c>
      <c r="S2">
        <v>82</v>
      </c>
      <c r="T2">
        <v>87</v>
      </c>
      <c r="U2">
        <v>76</v>
      </c>
      <c r="V2">
        <v>76</v>
      </c>
      <c r="W2">
        <f>SUM(R2:V2)</f>
        <v>401</v>
      </c>
      <c r="X2" s="3">
        <f>(SUM(R2:V2)-MIN(R2:V2))/(COUNT(R2:V2)-1)</f>
        <v>81.25</v>
      </c>
      <c r="Y2">
        <v>88</v>
      </c>
      <c r="Z2">
        <v>67</v>
      </c>
      <c r="AA2">
        <v>53</v>
      </c>
      <c r="AB2">
        <v>67</v>
      </c>
      <c r="AC2">
        <f>SUM(Y2:AB2)</f>
        <v>275</v>
      </c>
      <c r="AD2">
        <f>AVERAGE(Y2:AB2)</f>
        <v>68.75</v>
      </c>
      <c r="AE2" s="3">
        <f>(I2*C$1)+(Q2*K$1)+(X2*S$1)+(AD2*Z$1)</f>
        <v>77.542500000000004</v>
      </c>
    </row>
    <row r="3" spans="1:31" x14ac:dyDescent="0.25">
      <c r="A3" t="s">
        <v>4</v>
      </c>
      <c r="B3">
        <v>86</v>
      </c>
      <c r="C3">
        <v>74</v>
      </c>
      <c r="D3">
        <v>90</v>
      </c>
      <c r="E3">
        <v>68</v>
      </c>
      <c r="F3">
        <v>85</v>
      </c>
      <c r="G3">
        <v>75</v>
      </c>
      <c r="H3">
        <f>SUM(B3:G3)</f>
        <v>478</v>
      </c>
      <c r="I3" s="3">
        <f>(SUM(B3:G3)-MIN(B3:G3))/(COUNT(B3:G3)-1)</f>
        <v>82</v>
      </c>
      <c r="J3">
        <v>90</v>
      </c>
      <c r="K3">
        <v>87</v>
      </c>
      <c r="L3">
        <v>86</v>
      </c>
      <c r="M3">
        <v>97</v>
      </c>
      <c r="N3">
        <v>64</v>
      </c>
      <c r="O3">
        <v>96</v>
      </c>
      <c r="P3">
        <f>SUM(J3:O3)</f>
        <v>520</v>
      </c>
      <c r="Q3" s="3">
        <f>(SUM(J3:O3)-MIN(J3:O3))/(COUNT(J3:O3)-1)</f>
        <v>91.2</v>
      </c>
      <c r="R3">
        <v>74</v>
      </c>
      <c r="S3">
        <v>71</v>
      </c>
      <c r="T3">
        <v>79</v>
      </c>
      <c r="U3">
        <v>57</v>
      </c>
      <c r="V3">
        <v>87</v>
      </c>
      <c r="W3">
        <f>SUM(R3:V3)</f>
        <v>368</v>
      </c>
      <c r="X3" s="3">
        <f>(SUM(R3:V3)-MIN(R3:V3))/(COUNT(R3:V3)-1)</f>
        <v>77.75</v>
      </c>
      <c r="Y3">
        <v>77</v>
      </c>
      <c r="Z3">
        <v>87</v>
      </c>
      <c r="AA3">
        <v>68</v>
      </c>
      <c r="AB3">
        <v>88</v>
      </c>
      <c r="AC3">
        <f>SUM(Y3:AB3)</f>
        <v>320</v>
      </c>
      <c r="AD3" s="3">
        <f>AVERAGE(Y3:AB3)</f>
        <v>80</v>
      </c>
      <c r="AE3" s="3">
        <f>(I3*C$1)+(Q3*K$1)+(X3*S$1)+(AD3*Z$1)</f>
        <v>81.517499999999998</v>
      </c>
    </row>
    <row r="4" spans="1:31" x14ac:dyDescent="0.25">
      <c r="A4" t="s">
        <v>0</v>
      </c>
      <c r="B4">
        <v>87</v>
      </c>
      <c r="C4">
        <v>89</v>
      </c>
      <c r="D4">
        <v>64</v>
      </c>
      <c r="E4">
        <v>97</v>
      </c>
      <c r="F4">
        <v>96</v>
      </c>
      <c r="G4">
        <v>96</v>
      </c>
      <c r="H4">
        <f>SUM(B4:G4)</f>
        <v>529</v>
      </c>
      <c r="I4" s="3">
        <f>(SUM(B4:G4)-MIN(B4:G4))/(COUNT(B4:G4)-1)</f>
        <v>93</v>
      </c>
      <c r="J4">
        <v>97</v>
      </c>
      <c r="K4">
        <v>99</v>
      </c>
      <c r="L4">
        <v>87</v>
      </c>
      <c r="M4">
        <v>99</v>
      </c>
      <c r="N4">
        <v>85</v>
      </c>
      <c r="O4">
        <v>87</v>
      </c>
      <c r="P4">
        <f>SUM(J4:O4)</f>
        <v>554</v>
      </c>
      <c r="Q4" s="3">
        <f>(SUM(J4:O4)-MIN(J4:O4))/(COUNT(J4:O4)-1)</f>
        <v>93.8</v>
      </c>
      <c r="R4">
        <v>79</v>
      </c>
      <c r="S4">
        <v>78</v>
      </c>
      <c r="T4">
        <v>98</v>
      </c>
      <c r="U4">
        <v>74</v>
      </c>
      <c r="V4">
        <v>86</v>
      </c>
      <c r="W4">
        <f>SUM(R4:V4)</f>
        <v>415</v>
      </c>
      <c r="X4" s="3">
        <f>(SUM(R4:V4)-MIN(R4:V4))/(COUNT(R4:V4)-1)</f>
        <v>85.25</v>
      </c>
      <c r="Y4">
        <v>99</v>
      </c>
      <c r="Z4">
        <v>96</v>
      </c>
      <c r="AA4">
        <v>85</v>
      </c>
      <c r="AB4">
        <v>89</v>
      </c>
      <c r="AC4">
        <f>SUM(Y4:AB4)</f>
        <v>369</v>
      </c>
      <c r="AD4">
        <f>AVERAGE(Y4:AB4)</f>
        <v>92.25</v>
      </c>
      <c r="AE4" s="3">
        <f>(I4*C$1)+(Q4*K$1)+(X4*S$1)+(AD4*Z$1)</f>
        <v>90.882499999999993</v>
      </c>
    </row>
    <row r="5" spans="1:31" x14ac:dyDescent="0.25">
      <c r="A5" t="s">
        <v>2</v>
      </c>
      <c r="B5">
        <v>90</v>
      </c>
      <c r="C5">
        <v>86</v>
      </c>
      <c r="D5">
        <v>94</v>
      </c>
      <c r="E5">
        <v>74</v>
      </c>
      <c r="F5">
        <v>86</v>
      </c>
      <c r="G5">
        <v>87</v>
      </c>
      <c r="H5">
        <f>SUM(B5:G5)</f>
        <v>517</v>
      </c>
      <c r="I5" s="3">
        <f>(SUM(B5:G5)-MIN(B5:G5))/(COUNT(B5:G5)-1)</f>
        <v>88.6</v>
      </c>
      <c r="J5">
        <v>86</v>
      </c>
      <c r="K5">
        <v>86</v>
      </c>
      <c r="L5">
        <v>85</v>
      </c>
      <c r="M5">
        <v>100</v>
      </c>
      <c r="N5">
        <v>76</v>
      </c>
      <c r="O5">
        <v>64</v>
      </c>
      <c r="P5">
        <f>SUM(J5:O5)</f>
        <v>497</v>
      </c>
      <c r="Q5" s="3">
        <f>(SUM(J5:O5)-MIN(J5:O5))/(COUNT(J5:O5)-1)</f>
        <v>86.6</v>
      </c>
      <c r="R5">
        <v>75</v>
      </c>
      <c r="S5">
        <v>93</v>
      </c>
      <c r="T5">
        <v>97</v>
      </c>
      <c r="U5">
        <v>95</v>
      </c>
      <c r="V5">
        <v>96</v>
      </c>
      <c r="W5">
        <f>SUM(R5:V5)</f>
        <v>456</v>
      </c>
      <c r="X5" s="3">
        <f>(SUM(R5:V5)-MIN(R5:V5))/(COUNT(R5:V5)-1)</f>
        <v>95.25</v>
      </c>
      <c r="Y5">
        <v>79</v>
      </c>
      <c r="Z5">
        <v>84</v>
      </c>
      <c r="AA5">
        <v>79</v>
      </c>
      <c r="AB5">
        <v>90</v>
      </c>
      <c r="AC5">
        <f>SUM(Y5:AB5)</f>
        <v>332</v>
      </c>
      <c r="AD5" s="3">
        <f>AVERAGE(Y5:AB5)</f>
        <v>83</v>
      </c>
      <c r="AE5" s="3">
        <f>(I5*C$1)+(Q5*K$1)+(X5*S$1)+(AD5*Z$1)</f>
        <v>87.722499999999997</v>
      </c>
    </row>
    <row r="6" spans="1:31" x14ac:dyDescent="0.25">
      <c r="A6" t="s">
        <v>1</v>
      </c>
      <c r="B6">
        <v>85</v>
      </c>
      <c r="C6">
        <v>84</v>
      </c>
      <c r="D6">
        <v>72</v>
      </c>
      <c r="E6">
        <v>68</v>
      </c>
      <c r="F6">
        <v>77</v>
      </c>
      <c r="G6">
        <v>87</v>
      </c>
      <c r="H6">
        <f>SUM(B6:G6)</f>
        <v>473</v>
      </c>
      <c r="I6" s="3">
        <f>(SUM(B6:G6)-MIN(B6:G6))/(COUNT(B6:G6)-1)</f>
        <v>81</v>
      </c>
      <c r="J6">
        <v>87</v>
      </c>
      <c r="K6">
        <v>86</v>
      </c>
      <c r="L6">
        <v>83</v>
      </c>
      <c r="M6">
        <v>79</v>
      </c>
      <c r="N6">
        <v>63</v>
      </c>
      <c r="O6">
        <v>86</v>
      </c>
      <c r="P6">
        <f>SUM(J6:O6)</f>
        <v>484</v>
      </c>
      <c r="Q6" s="3">
        <f>(SUM(J6:O6)-MIN(J6:O6))/(COUNT(J6:O6)-1)</f>
        <v>84.2</v>
      </c>
      <c r="R6">
        <v>79</v>
      </c>
      <c r="S6">
        <v>95</v>
      </c>
      <c r="T6">
        <v>67</v>
      </c>
      <c r="U6">
        <v>87</v>
      </c>
      <c r="V6">
        <v>79</v>
      </c>
      <c r="W6">
        <f>SUM(R6:V6)</f>
        <v>407</v>
      </c>
      <c r="X6" s="3">
        <f>(SUM(R6:V6)-MIN(R6:V6))/(COUNT(R6:V6)-1)</f>
        <v>85</v>
      </c>
      <c r="Y6">
        <v>76</v>
      </c>
      <c r="Z6">
        <v>93</v>
      </c>
      <c r="AA6">
        <v>77</v>
      </c>
      <c r="AB6">
        <v>91</v>
      </c>
      <c r="AC6">
        <f>SUM(Y6:AB6)</f>
        <v>337</v>
      </c>
      <c r="AD6">
        <f>AVERAGE(Y6:AB6)</f>
        <v>84.25</v>
      </c>
      <c r="AE6" s="3">
        <f>(I6*C$1)+(Q6*K$1)+(X6*S$1)+(AD6*Z$1)</f>
        <v>83.78</v>
      </c>
    </row>
    <row r="7" spans="1:31" ht="66" x14ac:dyDescent="0.25">
      <c r="A7" s="2"/>
      <c r="B7" s="2" t="s">
        <v>9</v>
      </c>
      <c r="C7" s="2"/>
      <c r="D7" s="2" t="s">
        <v>10</v>
      </c>
      <c r="E7" s="2" t="s">
        <v>13</v>
      </c>
      <c r="F7" s="2" t="s">
        <v>11</v>
      </c>
      <c r="G7" s="2" t="s">
        <v>12</v>
      </c>
      <c r="H7" s="2"/>
      <c r="I7" s="2"/>
      <c r="J7" s="2" t="s">
        <v>14</v>
      </c>
      <c r="K7" s="2"/>
      <c r="L7" s="2" t="s">
        <v>15</v>
      </c>
      <c r="M7" s="2" t="s">
        <v>17</v>
      </c>
      <c r="N7" s="2" t="s">
        <v>16</v>
      </c>
      <c r="O7" s="2" t="s">
        <v>18</v>
      </c>
      <c r="P7" s="2"/>
      <c r="Q7" s="2"/>
      <c r="R7" s="2" t="s">
        <v>19</v>
      </c>
      <c r="S7" s="2"/>
      <c r="T7" s="2" t="s">
        <v>20</v>
      </c>
      <c r="U7" s="2" t="s">
        <v>21</v>
      </c>
      <c r="V7" s="2" t="s">
        <v>22</v>
      </c>
      <c r="W7" s="2"/>
      <c r="X7" s="2"/>
      <c r="Y7" s="2" t="s">
        <v>23</v>
      </c>
      <c r="Z7" s="2"/>
      <c r="AA7" s="2" t="s">
        <v>24</v>
      </c>
      <c r="AB7" s="2" t="s">
        <v>25</v>
      </c>
      <c r="AC7" s="2"/>
      <c r="AD7" s="2"/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TUCKER</dc:creator>
  <cp:lastModifiedBy>Carina Negreanu</cp:lastModifiedBy>
  <dcterms:created xsi:type="dcterms:W3CDTF">2003-02-19T22:21:21Z</dcterms:created>
  <dcterms:modified xsi:type="dcterms:W3CDTF">2020-01-27T11:32:09Z</dcterms:modified>
</cp:coreProperties>
</file>