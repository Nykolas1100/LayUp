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738BF10-AAC6-4849-AF77-59CF4EC0DA6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5" i="1" l="1"/>
  <c r="G18" i="1" s="1"/>
  <c r="G16" i="1"/>
  <c r="C17" i="1"/>
  <c r="G17" i="1"/>
  <c r="C18" i="1"/>
  <c r="C20" i="1"/>
  <c r="C27" i="1"/>
  <c r="C30" i="1"/>
  <c r="C31" i="1"/>
  <c r="C32" i="1"/>
  <c r="C33" i="1"/>
  <c r="C34" i="1"/>
  <c r="C37" i="1"/>
  <c r="C38" i="1"/>
  <c r="C39" i="1"/>
  <c r="C40" i="1"/>
  <c r="C41" i="1" s="1"/>
  <c r="H23" i="1" l="1"/>
</calcChain>
</file>

<file path=xl/sharedStrings.xml><?xml version="1.0" encoding="utf-8"?>
<sst xmlns="http://schemas.openxmlformats.org/spreadsheetml/2006/main" count="38" uniqueCount="29">
  <si>
    <t>Annual Ohio Ad Valorem Savings</t>
  </si>
  <si>
    <t>Avg. Value</t>
  </si>
  <si>
    <t>tax rate</t>
  </si>
  <si>
    <t>savings</t>
  </si>
  <si>
    <t>assumptions:</t>
  </si>
  <si>
    <t>FTZ #181 Located in Stark County, Ohio</t>
  </si>
  <si>
    <t>avg.foreign inventory value</t>
  </si>
  <si>
    <t>Annual Duty Savings on Scrap</t>
  </si>
  <si>
    <t>Import Duty Deferal Savings</t>
  </si>
  <si>
    <t>4turns</t>
  </si>
  <si>
    <t>Duty Elimination on Re-exports</t>
  </si>
  <si>
    <t>re-exports</t>
  </si>
  <si>
    <t xml:space="preserve">duty </t>
  </si>
  <si>
    <t xml:space="preserve">scrap </t>
  </si>
  <si>
    <t xml:space="preserve">cost of capital </t>
  </si>
  <si>
    <t>duty</t>
  </si>
  <si>
    <t>drawback fees</t>
  </si>
  <si>
    <t>Estimated Total Savings</t>
  </si>
  <si>
    <t>temporary inventory</t>
  </si>
  <si>
    <t>net inventory</t>
  </si>
  <si>
    <t>true value</t>
  </si>
  <si>
    <t>Duty Elimination on defects</t>
  </si>
  <si>
    <t>defect/spoils</t>
  </si>
  <si>
    <r>
      <t xml:space="preserve">Example: </t>
    </r>
    <r>
      <rPr>
        <i/>
        <sz val="14"/>
        <color indexed="17"/>
        <rFont val="Arial"/>
        <family val="2"/>
      </rPr>
      <t xml:space="preserve"> Estimated FTZ Savings </t>
    </r>
  </si>
  <si>
    <r>
      <t>*</t>
    </r>
    <r>
      <rPr>
        <sz val="8"/>
        <color indexed="62"/>
        <rFont val="Arial"/>
        <family val="2"/>
      </rPr>
      <t>(merchandise brought into Ohio, for temporary storage with no further manufacturing taking place, then shipped outside Ohio)</t>
    </r>
  </si>
  <si>
    <r>
      <t xml:space="preserve">1.) Foreign </t>
    </r>
    <r>
      <rPr>
        <sz val="10"/>
        <color indexed="18"/>
        <rFont val="Arial"/>
        <family val="2"/>
      </rPr>
      <t>(imported)</t>
    </r>
    <r>
      <rPr>
        <sz val="11"/>
        <color indexed="18"/>
        <rFont val="Arial"/>
        <family val="2"/>
      </rPr>
      <t xml:space="preserve"> inventory annual average $1,800,000</t>
    </r>
  </si>
  <si>
    <t xml:space="preserve">2.) Duty rate @2.2%, cost of capital @ 8.5%, inventory turns @ 4, re-export 15%, spoils  4% of inventory, </t>
  </si>
  <si>
    <r>
      <t xml:space="preserve">3.) Inventory break-out values:  $1,800,000 total;  goods shipped in then out </t>
    </r>
    <r>
      <rPr>
        <sz val="10"/>
        <color indexed="18"/>
        <rFont val="Arial"/>
        <family val="2"/>
      </rPr>
      <t>(storage only)</t>
    </r>
    <r>
      <rPr>
        <sz val="11"/>
        <color indexed="18"/>
        <rFont val="Arial"/>
        <family val="2"/>
      </rPr>
      <t xml:space="preserve"> $500,000</t>
    </r>
    <r>
      <rPr>
        <b/>
        <sz val="11"/>
        <color indexed="62"/>
        <rFont val="Arial"/>
        <family val="2"/>
      </rPr>
      <t>*</t>
    </r>
  </si>
  <si>
    <r>
      <t xml:space="preserve">4.) Personal property taxes </t>
    </r>
    <r>
      <rPr>
        <sz val="10"/>
        <color indexed="18"/>
        <rFont val="Arial"/>
        <family val="2"/>
      </rPr>
      <t>(inventory)</t>
    </r>
    <r>
      <rPr>
        <sz val="11"/>
        <color indexed="18"/>
        <rFont val="Arial"/>
        <family val="2"/>
      </rPr>
      <t xml:space="preserve"> based on Perry LSD-2000 tax rate, true value at 25%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</si>
</sst>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3" formatCode="_(&quot;$&quot;* #,##0_);_(&quot;$&quot;* \(#,##0\);_(&quot;$&quot;* &quot;-&quot;??_);_(@_)"/>
  </numFmts>
  <fonts count="1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i/>
      <sz val="14"/>
      <color indexed="17"/>
      <name val="Arial"/>
      <family val="2"/>
    </font>
    <font>
      <b/>
      <sz val="10"/>
      <color indexed="17"/>
      <name val="Arial"/>
      <family val="2"/>
    </font>
    <font>
      <b/>
      <sz val="12"/>
      <color indexed="17"/>
      <name val="Arial"/>
      <family val="2"/>
    </font>
    <font>
      <sz val="11"/>
      <color indexed="18"/>
      <name val="Arial"/>
      <family val="2"/>
    </font>
    <font>
      <sz val="10"/>
      <color indexed="18"/>
      <name val="Arial"/>
      <family val="2"/>
    </font>
    <font>
      <b/>
      <i/>
      <sz val="10"/>
      <color indexed="62"/>
      <name val="Arial"/>
      <family val="2"/>
    </font>
    <font>
      <b/>
      <i/>
      <sz val="14"/>
      <color indexed="18"/>
      <name val="Arial"/>
      <family val="2"/>
    </font>
    <font>
      <b/>
      <sz val="11"/>
      <color indexed="62"/>
      <name val="Arial"/>
      <family val="2"/>
    </font>
    <font>
      <b/>
      <sz val="8"/>
      <color indexed="62"/>
      <name val="Arial"/>
      <family val="2"/>
    </font>
    <font>
      <sz val="8"/>
      <color indexed="6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173" fontId="8" fillId="0" borderId="0" xfId="1" applyNumberFormat="1" applyFont="1"/>
    <xf numFmtId="0" fontId="2" fillId="0" borderId="0" xfId="0" applyFont="1" applyBorder="1"/>
    <xf numFmtId="0" fontId="0" fillId="0" borderId="0" xfId="0" applyBorder="1"/>
    <xf numFmtId="173" fontId="9" fillId="0" borderId="2" xfId="1" applyNumberFormat="1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9" fillId="0" borderId="0" xfId="0" applyFont="1"/>
    <xf numFmtId="0" fontId="13" fillId="0" borderId="0" xfId="0" applyFont="1"/>
    <xf numFmtId="0" fontId="15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>
      <selection activeCell="I7" sqref="I7"/>
    </sheetView>
  </sheetViews>
  <sheetFormatPr defaultRowHeight="12.5" x14ac:dyDescent="0.25"/>
  <cols>
    <col min="2" max="2" width="12.7265625" customWidth="1"/>
    <col min="3" max="3" width="13" customWidth="1"/>
    <col min="4" max="4" width="12.1796875" style="3" customWidth="1"/>
    <col min="5" max="5" width="14.54296875" customWidth="1"/>
    <col min="7" max="7" width="10.26953125" bestFit="1" customWidth="1"/>
    <col min="8" max="8" width="11.81640625" customWidth="1"/>
  </cols>
  <sheetData>
    <row r="1" spans="1:8" ht="17.5" x14ac:dyDescent="0.35">
      <c r="A1" s="14" t="s">
        <v>23</v>
      </c>
    </row>
    <row r="2" spans="1:8" ht="15.5" x14ac:dyDescent="0.35">
      <c r="A2" s="13" t="s">
        <v>5</v>
      </c>
    </row>
    <row r="3" spans="1:8" ht="15.5" x14ac:dyDescent="0.35">
      <c r="A3" s="13"/>
    </row>
    <row r="5" spans="1:8" ht="13" x14ac:dyDescent="0.3">
      <c r="A5" s="12" t="s">
        <v>4</v>
      </c>
    </row>
    <row r="6" spans="1:8" ht="14" x14ac:dyDescent="0.3">
      <c r="A6" s="10" t="s">
        <v>25</v>
      </c>
      <c r="B6" s="11"/>
      <c r="C6" s="11"/>
      <c r="D6" s="11"/>
      <c r="E6" s="11"/>
      <c r="F6" s="11"/>
      <c r="G6" s="11"/>
      <c r="H6" s="11"/>
    </row>
    <row r="7" spans="1:8" x14ac:dyDescent="0.25">
      <c r="A7" s="11" t="s">
        <v>26</v>
      </c>
      <c r="B7" s="11"/>
      <c r="C7" s="11"/>
      <c r="D7" s="11"/>
      <c r="E7" s="11"/>
      <c r="F7" s="11"/>
      <c r="G7" s="11"/>
      <c r="H7" s="11"/>
    </row>
    <row r="8" spans="1:8" ht="14" x14ac:dyDescent="0.3">
      <c r="A8" s="10" t="s">
        <v>27</v>
      </c>
      <c r="B8" s="11"/>
      <c r="C8" s="11"/>
      <c r="D8" s="11"/>
      <c r="E8" s="11"/>
      <c r="F8" s="11"/>
      <c r="G8" s="11"/>
      <c r="H8" s="11"/>
    </row>
    <row r="9" spans="1:8" x14ac:dyDescent="0.25">
      <c r="A9" s="15" t="s">
        <v>24</v>
      </c>
      <c r="B9" s="11"/>
      <c r="C9" s="11"/>
      <c r="D9" s="11"/>
      <c r="E9" s="11"/>
      <c r="F9" s="11"/>
      <c r="G9" s="11"/>
      <c r="H9" s="11"/>
    </row>
    <row r="10" spans="1:8" ht="14" x14ac:dyDescent="0.3">
      <c r="A10" s="10" t="s">
        <v>28</v>
      </c>
      <c r="B10" s="11"/>
      <c r="C10" s="11"/>
      <c r="D10" s="11"/>
      <c r="E10" s="11"/>
      <c r="F10" s="11"/>
      <c r="G10" s="11"/>
      <c r="H10" s="11"/>
    </row>
    <row r="11" spans="1:8" ht="14" x14ac:dyDescent="0.3">
      <c r="A11" s="1"/>
    </row>
    <row r="13" spans="1:8" x14ac:dyDescent="0.25">
      <c r="F13" s="3"/>
    </row>
    <row r="14" spans="1:8" ht="14" x14ac:dyDescent="0.3">
      <c r="A14" s="4" t="s">
        <v>0</v>
      </c>
      <c r="E14" s="4" t="s">
        <v>21</v>
      </c>
    </row>
    <row r="15" spans="1:8" x14ac:dyDescent="0.25">
      <c r="A15" t="s">
        <v>1</v>
      </c>
      <c r="C15">
        <v>1800000</v>
      </c>
      <c r="E15" t="s">
        <v>6</v>
      </c>
      <c r="G15">
        <f>C24</f>
        <v>1800000</v>
      </c>
    </row>
    <row r="16" spans="1:8" x14ac:dyDescent="0.25">
      <c r="A16" t="s">
        <v>18</v>
      </c>
      <c r="C16">
        <v>500000</v>
      </c>
      <c r="E16" s="3" t="s">
        <v>22</v>
      </c>
      <c r="G16">
        <f>0.04</f>
        <v>0.04</v>
      </c>
    </row>
    <row r="17" spans="1:8" x14ac:dyDescent="0.25">
      <c r="A17" t="s">
        <v>19</v>
      </c>
      <c r="C17">
        <f>C15-C16</f>
        <v>1300000</v>
      </c>
      <c r="E17" t="s">
        <v>15</v>
      </c>
      <c r="G17" s="5">
        <f>C25</f>
        <v>2.1999999999999999E-2</v>
      </c>
    </row>
    <row r="18" spans="1:8" ht="13" x14ac:dyDescent="0.3">
      <c r="A18" t="s">
        <v>20</v>
      </c>
      <c r="C18">
        <f>0.25*C17</f>
        <v>325000</v>
      </c>
      <c r="E18" t="s">
        <v>3</v>
      </c>
      <c r="G18" s="6">
        <f>G15*G16*G17</f>
        <v>1584</v>
      </c>
    </row>
    <row r="19" spans="1:8" x14ac:dyDescent="0.25">
      <c r="A19" t="s">
        <v>2</v>
      </c>
      <c r="C19" s="5">
        <v>6.9750000000000006E-2</v>
      </c>
    </row>
    <row r="20" spans="1:8" ht="13" x14ac:dyDescent="0.3">
      <c r="A20" s="2" t="s">
        <v>3</v>
      </c>
      <c r="C20" s="6">
        <f>C19*C18</f>
        <v>22668.750000000004</v>
      </c>
    </row>
    <row r="23" spans="1:8" ht="16" thickBot="1" x14ac:dyDescent="0.4">
      <c r="A23" s="4" t="s">
        <v>7</v>
      </c>
      <c r="E23" s="7" t="s">
        <v>17</v>
      </c>
      <c r="F23" s="8"/>
      <c r="G23" s="8"/>
      <c r="H23" s="9">
        <f>C20+C27+C34+C41+G18</f>
        <v>28856.250000000004</v>
      </c>
    </row>
    <row r="24" spans="1:8" ht="13" thickTop="1" x14ac:dyDescent="0.25">
      <c r="A24" t="s">
        <v>6</v>
      </c>
      <c r="C24">
        <v>1800000</v>
      </c>
    </row>
    <row r="25" spans="1:8" x14ac:dyDescent="0.25">
      <c r="A25" t="s">
        <v>12</v>
      </c>
      <c r="C25">
        <v>2.1999999999999999E-2</v>
      </c>
    </row>
    <row r="26" spans="1:8" x14ac:dyDescent="0.25">
      <c r="A26" t="s">
        <v>13</v>
      </c>
      <c r="C26" s="5">
        <v>0.05</v>
      </c>
    </row>
    <row r="27" spans="1:8" ht="13" x14ac:dyDescent="0.3">
      <c r="A27" s="2" t="s">
        <v>3</v>
      </c>
      <c r="C27" s="6">
        <f>C24*C25*C26</f>
        <v>1980</v>
      </c>
    </row>
    <row r="29" spans="1:8" ht="14" x14ac:dyDescent="0.3">
      <c r="A29" s="4" t="s">
        <v>8</v>
      </c>
    </row>
    <row r="30" spans="1:8" x14ac:dyDescent="0.25">
      <c r="A30" t="s">
        <v>6</v>
      </c>
      <c r="C30">
        <f>C24</f>
        <v>1800000</v>
      </c>
    </row>
    <row r="31" spans="1:8" x14ac:dyDescent="0.25">
      <c r="A31" t="s">
        <v>12</v>
      </c>
      <c r="C31">
        <f>C25</f>
        <v>2.1999999999999999E-2</v>
      </c>
    </row>
    <row r="32" spans="1:8" x14ac:dyDescent="0.25">
      <c r="A32" t="s">
        <v>14</v>
      </c>
      <c r="C32">
        <f>0.085</f>
        <v>8.5000000000000006E-2</v>
      </c>
    </row>
    <row r="33" spans="1:3" x14ac:dyDescent="0.25">
      <c r="A33" t="s">
        <v>9</v>
      </c>
      <c r="C33" s="5">
        <f>4</f>
        <v>4</v>
      </c>
    </row>
    <row r="34" spans="1:3" ht="13" x14ac:dyDescent="0.3">
      <c r="A34" t="s">
        <v>3</v>
      </c>
      <c r="C34" s="6">
        <f>C30*C31*C32/C33</f>
        <v>841.50000000000011</v>
      </c>
    </row>
    <row r="36" spans="1:3" ht="14" x14ac:dyDescent="0.3">
      <c r="A36" s="4" t="s">
        <v>10</v>
      </c>
    </row>
    <row r="37" spans="1:3" x14ac:dyDescent="0.25">
      <c r="A37" t="s">
        <v>6</v>
      </c>
      <c r="C37">
        <f>C24</f>
        <v>1800000</v>
      </c>
    </row>
    <row r="38" spans="1:3" x14ac:dyDescent="0.25">
      <c r="A38" t="s">
        <v>11</v>
      </c>
      <c r="C38">
        <f>0.15</f>
        <v>0.15</v>
      </c>
    </row>
    <row r="39" spans="1:3" x14ac:dyDescent="0.25">
      <c r="A39" t="s">
        <v>15</v>
      </c>
      <c r="C39">
        <f>C25</f>
        <v>2.1999999999999999E-2</v>
      </c>
    </row>
    <row r="40" spans="1:3" x14ac:dyDescent="0.25">
      <c r="A40" t="s">
        <v>16</v>
      </c>
      <c r="C40" s="5">
        <f>0.3</f>
        <v>0.3</v>
      </c>
    </row>
    <row r="41" spans="1:3" ht="13" x14ac:dyDescent="0.3">
      <c r="A41" t="s">
        <v>3</v>
      </c>
      <c r="C41" s="6">
        <f>C37*C38*C39*C40</f>
        <v>1782</v>
      </c>
    </row>
  </sheetData>
  <pageMargins left="0.5" right="0.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SDB File Room</dc:creator>
  <cp:lastModifiedBy>Carina Negreanu</cp:lastModifiedBy>
  <cp:lastPrinted>2001-05-16T17:55:58Z</cp:lastPrinted>
  <dcterms:created xsi:type="dcterms:W3CDTF">1999-08-24T20:13:25Z</dcterms:created>
  <dcterms:modified xsi:type="dcterms:W3CDTF">2020-01-27T10:30:14Z</dcterms:modified>
</cp:coreProperties>
</file>