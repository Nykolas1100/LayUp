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42EEEA-DD65-4DD5-8DD6-6E1EEE7955FE}" xr6:coauthVersionLast="45" xr6:coauthVersionMax="45" xr10:uidLastSave="{00000000-0000-0000-0000-000000000000}"/>
  <bookViews>
    <workbookView xWindow="3420" yWindow="3420" windowWidth="28800" windowHeight="15460"/>
  </bookViews>
  <sheets>
    <sheet name="30-204" sheetId="3" r:id="rId1"/>
  </sheets>
  <definedNames>
    <definedName name="_xlnm.Print_Area" localSheetId="0">'30-204'!$A$1:$G$141</definedName>
    <definedName name="_xlnm.Print_Titles" localSheetId="0">'30-204'!$1:$5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3" l="1"/>
  <c r="G6" i="3" s="1"/>
  <c r="G12" i="3"/>
  <c r="D13" i="3"/>
  <c r="D14" i="3"/>
  <c r="G33" i="3"/>
  <c r="G44" i="3"/>
  <c r="C45" i="3"/>
  <c r="D45" i="3"/>
  <c r="F49" i="3"/>
  <c r="G48" i="3" s="1"/>
  <c r="B50" i="3"/>
  <c r="G52" i="3"/>
  <c r="C53" i="3"/>
  <c r="G58" i="3"/>
  <c r="D59" i="3"/>
  <c r="D60" i="3"/>
  <c r="C61" i="3"/>
  <c r="B63" i="3"/>
  <c r="B123" i="3" s="1"/>
  <c r="B135" i="3" s="1"/>
  <c r="B137" i="3" s="1"/>
  <c r="G64" i="3"/>
  <c r="G69" i="3"/>
  <c r="D70" i="3"/>
  <c r="G80" i="3"/>
  <c r="C81" i="3"/>
  <c r="G87" i="3"/>
  <c r="C89" i="3"/>
  <c r="G94" i="3"/>
  <c r="D95" i="3"/>
  <c r="G99" i="3"/>
  <c r="G102" i="3"/>
  <c r="C104" i="3"/>
  <c r="D105" i="3"/>
  <c r="G112" i="3"/>
  <c r="D113" i="3"/>
  <c r="D114" i="3"/>
  <c r="D115" i="3"/>
  <c r="C123" i="3"/>
  <c r="D123" i="3"/>
  <c r="C135" i="3" s="1"/>
  <c r="B126" i="3"/>
  <c r="D126" i="3"/>
  <c r="B127" i="3"/>
  <c r="D127" i="3"/>
  <c r="B128" i="3"/>
  <c r="D128" i="3"/>
  <c r="B129" i="3"/>
  <c r="D129" i="3"/>
  <c r="B130" i="3"/>
  <c r="D130" i="3"/>
  <c r="B131" i="3"/>
  <c r="D131" i="3"/>
  <c r="B133" i="3"/>
  <c r="C133" i="3"/>
  <c r="C137" i="3" s="1"/>
  <c r="D133" i="3"/>
  <c r="G133" i="3"/>
  <c r="G137" i="3" s="1"/>
  <c r="G141" i="3" s="1"/>
  <c r="D135" i="3" l="1"/>
  <c r="D137" i="3"/>
  <c r="G123" i="3"/>
</calcChain>
</file>

<file path=xl/sharedStrings.xml><?xml version="1.0" encoding="utf-8"?>
<sst xmlns="http://schemas.openxmlformats.org/spreadsheetml/2006/main" count="157" uniqueCount="154">
  <si>
    <t>Fire Emissions Forum</t>
  </si>
  <si>
    <t>Mobile Sources Forum</t>
  </si>
  <si>
    <t>Sources In and Near Class I Areas Forum</t>
  </si>
  <si>
    <t>Air Quality Modeling Forum</t>
  </si>
  <si>
    <t>Tribal Data Development Work Group</t>
  </si>
  <si>
    <t>Ambient Monitoring and Reporting Forum</t>
  </si>
  <si>
    <t>Communications Committee</t>
  </si>
  <si>
    <t>Subtotal for Contractor Assistance</t>
  </si>
  <si>
    <t>Emissions Forum</t>
  </si>
  <si>
    <t>Jump Start Contract (MCNC)</t>
  </si>
  <si>
    <t>Fugitive Dust Workshop (Panelists)</t>
  </si>
  <si>
    <t>Tribal Inventory Gathering and Analysis (ITEP/NAU)</t>
  </si>
  <si>
    <t>Web Site Administration   (B. Bissey)</t>
  </si>
  <si>
    <t>Expenses</t>
  </si>
  <si>
    <t>Projects</t>
  </si>
  <si>
    <t>Underway</t>
  </si>
  <si>
    <t>Develop Basis for Enhanced Smoke Mgmt. Progs. (Reynolds)</t>
  </si>
  <si>
    <t>2018 Inventory, Y2K SO2, and 1996 QA Forecast (Pechan)</t>
  </si>
  <si>
    <t>Outreach Assistance (Pat Murdo)</t>
  </si>
  <si>
    <t>to Date</t>
  </si>
  <si>
    <t>Expenditures</t>
  </si>
  <si>
    <t>Budgeted</t>
  </si>
  <si>
    <t>Evaluate Fire Emissions Estimation Systems</t>
  </si>
  <si>
    <t>2018 Fire Inventory (Air Sciences)</t>
  </si>
  <si>
    <t>Wildland Emission Trade-Offs Review</t>
  </si>
  <si>
    <t>Integration of RE and EE Strategies (Tellus)</t>
  </si>
  <si>
    <t>Gateway Community Demonstration Project</t>
  </si>
  <si>
    <t>Economic Analysis Forum</t>
  </si>
  <si>
    <t>Public Outreach and Communication on WRAP Issues</t>
  </si>
  <si>
    <t>Tribal Inventory Gathering &amp; Analysis + Tribal Smoke (ITEP/NAU)</t>
  </si>
  <si>
    <t>Travel and Project Management</t>
  </si>
  <si>
    <t>Travel Reimbursed by WGA</t>
  </si>
  <si>
    <t>Conference Calls</t>
  </si>
  <si>
    <t>Meeting Expenses</t>
  </si>
  <si>
    <t>Other Expenses</t>
  </si>
  <si>
    <t>WGA Salaries and Benefits</t>
  </si>
  <si>
    <t>WGA Overhead</t>
  </si>
  <si>
    <t>Budget</t>
  </si>
  <si>
    <t>Subtotal for Travel and Project Management</t>
  </si>
  <si>
    <t>Grant Total</t>
  </si>
  <si>
    <t>Percent Spent</t>
  </si>
  <si>
    <t>Percent Obligated</t>
  </si>
  <si>
    <t>WGA Acct. # 30-204</t>
  </si>
  <si>
    <t>Causes of Haze Report (DRI)</t>
  </si>
  <si>
    <t>STIP-II:  State Staff Support (OR)</t>
  </si>
  <si>
    <t>STIP-II:  Model Rule / MOU (WESTAR)</t>
  </si>
  <si>
    <t>State Caucus Staff Support (WESTAR)</t>
  </si>
  <si>
    <t>Victor Wouters</t>
  </si>
  <si>
    <t>STIP-II: Contractor Assistance</t>
  </si>
  <si>
    <t>EI Data Base System - Development / User Access Capability</t>
  </si>
  <si>
    <t>Emission Inventories Near Class I Areas (Environ)</t>
  </si>
  <si>
    <t>Total = $8,282,200</t>
  </si>
  <si>
    <t>Economic Forecasts &amp; Evaluations (BBC)</t>
  </si>
  <si>
    <t>Identify BART-Eligible Sources</t>
  </si>
  <si>
    <t>Co-Sponsor National Fire Conference</t>
  </si>
  <si>
    <t>WRAP policy to coordinate regional ESMP implementation including workshop</t>
  </si>
  <si>
    <t>Develop Market Guidelines and Verification Protocols for Regional Credit Trading</t>
  </si>
  <si>
    <t>Tracking and Reporting RE and EE Implementation and Impacts of Legislation</t>
  </si>
  <si>
    <t>Air Pollution Prevention Forum</t>
  </si>
  <si>
    <t>Support Non-Road Demonstration Projects</t>
  </si>
  <si>
    <t>Draft Guidance for Promoting Non-Road Demonstration Projects</t>
  </si>
  <si>
    <t>Develop Baseline and 2018 Mobile Source Inventories, incl. updates   (Environ)</t>
  </si>
  <si>
    <t>Alaska Modeling</t>
  </si>
  <si>
    <t>Wind Blown Dust Inventory Improvement (Environ)</t>
  </si>
  <si>
    <t>Followup Secondary Org Aerosols Analysis Work</t>
  </si>
  <si>
    <t>Geographic Data Display</t>
  </si>
  <si>
    <t>Quality Management Plan</t>
  </si>
  <si>
    <t>SO2 Monitoring Protocols for Annex (Pechan)</t>
  </si>
  <si>
    <t>Analysis of NOx and PM for Section 309 &amp; 308 (Reaction Engineering)</t>
  </si>
  <si>
    <t>NOx and PM Study (Ted Russell)</t>
  </si>
  <si>
    <t>2002 Regional Technical Center (UCR)</t>
  </si>
  <si>
    <t>2003 Regional Technical Center (UCR)</t>
  </si>
  <si>
    <t>Model Training</t>
  </si>
  <si>
    <t>Emission Inventory Data Base System - Needs Assessment (EA Eng)</t>
  </si>
  <si>
    <t>Technical Guidance on ERT Use (supports emissions goal reporting) [MACTEC]</t>
  </si>
  <si>
    <t>ATS/ETS Specifications (PQ)</t>
  </si>
  <si>
    <t>Annex Implementation</t>
  </si>
  <si>
    <t>Forum</t>
  </si>
  <si>
    <t>Subtotal</t>
  </si>
  <si>
    <t xml:space="preserve">In/Near Strategies for Reasonable Progress </t>
  </si>
  <si>
    <t>Framework Application Test</t>
  </si>
  <si>
    <t xml:space="preserve">Development of Baseline Economic Data </t>
  </si>
  <si>
    <t xml:space="preserve">Enhancement of Cost and Benefit Unit Values </t>
  </si>
  <si>
    <t>Screening Tool</t>
  </si>
  <si>
    <t>CY 2004</t>
  </si>
  <si>
    <t>Dust Emissions Joint Forum</t>
  </si>
  <si>
    <t>Agricultural Dust - Summary of Existing 2002 Inventories and Control Programs</t>
  </si>
  <si>
    <t>Construction Dust - Summary of Existing 2002 Inventories and Control Programs</t>
  </si>
  <si>
    <t>Road Dust - Summary of Existing 2002 Inventories and Control Programs</t>
  </si>
  <si>
    <t>Literature Review - Definitions (e.g., natural/manmade) and Emission Tools</t>
  </si>
  <si>
    <t>Continue and Expand Publications</t>
  </si>
  <si>
    <t>Update Presentation Material to Tell the WRAP Story</t>
  </si>
  <si>
    <t>Expand Speakers' Bureau</t>
  </si>
  <si>
    <t>Support Forums in Conducting Public Meetings</t>
  </si>
  <si>
    <t>Other Outreach Efforts to Reach Wider Audience</t>
  </si>
  <si>
    <t>Tech-Wide Projects (TOC)</t>
  </si>
  <si>
    <t>Attribution of Haze</t>
  </si>
  <si>
    <t>AK Tribal Outreach Coordinator</t>
  </si>
  <si>
    <t>Health and Environmental Assessment of Haze-Related Improvements</t>
  </si>
  <si>
    <t>308 Template</t>
  </si>
  <si>
    <t>309 Follow-Up</t>
  </si>
  <si>
    <t>Transmission Reform</t>
  </si>
  <si>
    <t>Displaced Emissions Analysis</t>
  </si>
  <si>
    <t>VIEWS Data Base 2003 (CSU)</t>
  </si>
  <si>
    <t>Air Managers Committee</t>
  </si>
  <si>
    <t xml:space="preserve">2002 Inventory of Wx, Rx, and WFU for wildland, rangeland, ag - </t>
  </si>
  <si>
    <r>
      <t xml:space="preserve">Feasibility Criteria/Technical Guidance on </t>
    </r>
    <r>
      <rPr>
        <i/>
        <sz val="11"/>
        <rFont val="Arial"/>
        <family val="2"/>
      </rPr>
      <t>Policy for Categorizing Fire Emissions</t>
    </r>
    <r>
      <rPr>
        <sz val="11"/>
        <rFont val="Arial"/>
        <family val="2"/>
      </rPr>
      <t xml:space="preserve"> </t>
    </r>
  </si>
  <si>
    <t>Bridge to FTS into WRAP EI DMS</t>
  </si>
  <si>
    <t>Model Assessment/Sensitivity Runs (RMC task under development)</t>
  </si>
  <si>
    <t>Modeling to Assess/Establish deminimus levels -- local scale?</t>
  </si>
  <si>
    <r>
      <t>Guidance for implementation of FTS &amp; AEG policies, including policy/tech. options</t>
    </r>
    <r>
      <rPr>
        <sz val="11"/>
        <rFont val="Arial"/>
        <family val="2"/>
      </rPr>
      <t xml:space="preserve"> </t>
    </r>
  </si>
  <si>
    <t>Modeling Support</t>
  </si>
  <si>
    <t>Guidance on Nat/Anth Apportionment, including support for AMRF &amp; TOC projects</t>
  </si>
  <si>
    <t>Smoke Mgt Techniques to reduce regional haze impacts on Class I areas</t>
  </si>
  <si>
    <t>Refine 2018/2064 emissions -- Natural and Anthropogenic Split for 308/309</t>
  </si>
  <si>
    <t xml:space="preserve">Tribal Regional Haze TSD Guidance/Template Development </t>
  </si>
  <si>
    <t>Program Enhancement</t>
  </si>
  <si>
    <t>Monitoring Data Analysis (separate addition to Causes of Haze)</t>
  </si>
  <si>
    <t>Emissions Data Development support (ITEP/NAU continuation)</t>
  </si>
  <si>
    <t>Update Non-Road Projections to Reflect new Diesel Fuel Regulations</t>
  </si>
  <si>
    <t>Develop Representative Community EI's (Phase 1+2 - RFP under development)</t>
  </si>
  <si>
    <t>EI Improvements for Spatial and Temporal Allocations</t>
  </si>
  <si>
    <t xml:space="preserve">Canadian &amp; Mexican Emissions – to grow, QA, &amp; prepare EI for 2002 base case  </t>
  </si>
  <si>
    <t>2002 Interim EI – for TOC geographic haze attribution exercise in late 2004</t>
  </si>
  <si>
    <t>2002 Base Year Emission Inventory –gap fill and QA. SO2 inventory for Annex</t>
  </si>
  <si>
    <t>Alaska Aviation Inventory</t>
  </si>
  <si>
    <t>Traditional Tribal Practices and Regional Haze</t>
  </si>
  <si>
    <t>Fire Emissions/Categorization Guidance - diff. between restoration &amp; maintenance</t>
  </si>
  <si>
    <t>Market Trading Forum / Stationary Sources Forum</t>
  </si>
  <si>
    <t>Net Request</t>
  </si>
  <si>
    <t>Alternatives to Wildland Burning (Jones and Stokes)</t>
  </si>
  <si>
    <t>2002 National Wildfire EI (f$100K rom OAQPS, national project)</t>
  </si>
  <si>
    <t>Tribal RE/EE (NAU)</t>
  </si>
  <si>
    <t>Technical Assistance to States/Tribes for SIPs/TIPs (GETF)</t>
  </si>
  <si>
    <t>Renewable Certificate Track System (Center for Resource Solutions)</t>
  </si>
  <si>
    <t>AP2 Forum Meeting Assistance (ICF)</t>
  </si>
  <si>
    <t>Request</t>
  </si>
  <si>
    <t>VIEWS Data Base 2004 (CSU) - CENRAP in current grant</t>
  </si>
  <si>
    <t>Natural Haze Levels Analysis (from OAQPS, national project) $75,000</t>
  </si>
  <si>
    <t>STIP-II:  Tribal Staff Support (NM)</t>
  </si>
  <si>
    <t>Retool Web Site (Cobalt)</t>
  </si>
  <si>
    <t>Est (11 mos actual)</t>
  </si>
  <si>
    <t>July 2001 - December 2003</t>
  </si>
  <si>
    <t>7/02-6/03</t>
  </si>
  <si>
    <t>Grand Total</t>
  </si>
  <si>
    <t>FY 2001 STAG Grant -- $3,962,200</t>
  </si>
  <si>
    <t>FY 2002 STAG Grant -- $4,320,000</t>
  </si>
  <si>
    <t>FY 2003 Grant</t>
  </si>
  <si>
    <t>Amount Over</t>
  </si>
  <si>
    <t>Van Jamison 196977</t>
  </si>
  <si>
    <t>309 Coordinating Committee</t>
  </si>
  <si>
    <t>Adjustment</t>
  </si>
  <si>
    <t>NTEC</t>
  </si>
  <si>
    <t>Status Report and 2004 Budget Requests - August 18,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</si>
</sst>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"/>
  </numFmts>
  <fonts count="11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3" fontId="1" fillId="0" borderId="0" xfId="0" applyNumberFormat="1" applyFont="1" applyFill="1" applyAlignment="1">
      <alignment horizontal="center"/>
    </xf>
    <xf numFmtId="3" fontId="2" fillId="0" borderId="0" xfId="0" applyNumberFormat="1" applyFont="1" applyFill="1" applyAlignment="1"/>
    <xf numFmtId="3" fontId="1" fillId="0" borderId="0" xfId="0" applyNumberFormat="1" applyFont="1" applyFill="1" applyAlignment="1"/>
    <xf numFmtId="3" fontId="1" fillId="0" borderId="1" xfId="0" applyNumberFormat="1" applyFont="1" applyFill="1" applyBorder="1" applyAlignment="1">
      <alignment horizontal="center"/>
    </xf>
    <xf numFmtId="3" fontId="2" fillId="0" borderId="2" xfId="0" applyNumberFormat="1" applyFont="1" applyFill="1" applyBorder="1" applyAlignment="1"/>
    <xf numFmtId="3" fontId="2" fillId="0" borderId="3" xfId="0" applyNumberFormat="1" applyFont="1" applyFill="1" applyBorder="1" applyAlignment="1"/>
    <xf numFmtId="3" fontId="2" fillId="0" borderId="0" xfId="0" applyNumberFormat="1" applyFont="1" applyFill="1" applyBorder="1" applyAlignment="1"/>
    <xf numFmtId="3" fontId="2" fillId="0" borderId="4" xfId="0" applyNumberFormat="1" applyFont="1" applyFill="1" applyBorder="1" applyAlignment="1"/>
    <xf numFmtId="3" fontId="1" fillId="0" borderId="5" xfId="0" applyNumberFormat="1" applyFont="1" applyFill="1" applyBorder="1" applyAlignment="1">
      <alignment horizontal="center"/>
    </xf>
    <xf numFmtId="3" fontId="1" fillId="0" borderId="6" xfId="0" applyNumberFormat="1" applyFont="1" applyFill="1" applyBorder="1" applyAlignment="1">
      <alignment horizontal="center"/>
    </xf>
    <xf numFmtId="3" fontId="2" fillId="0" borderId="7" xfId="0" applyNumberFormat="1" applyFont="1" applyFill="1" applyBorder="1" applyAlignment="1"/>
    <xf numFmtId="3" fontId="2" fillId="0" borderId="8" xfId="0" applyNumberFormat="1" applyFont="1" applyFill="1" applyBorder="1" applyAlignment="1"/>
    <xf numFmtId="3" fontId="1" fillId="0" borderId="8" xfId="0" applyNumberFormat="1" applyFont="1" applyFill="1" applyBorder="1" applyAlignment="1">
      <alignment horizontal="center"/>
    </xf>
    <xf numFmtId="3" fontId="2" fillId="0" borderId="9" xfId="0" applyNumberFormat="1" applyFont="1" applyFill="1" applyBorder="1" applyAlignment="1"/>
    <xf numFmtId="3" fontId="1" fillId="0" borderId="9" xfId="0" applyNumberFormat="1" applyFont="1" applyFill="1" applyBorder="1" applyAlignment="1">
      <alignment horizontal="center"/>
    </xf>
    <xf numFmtId="4" fontId="1" fillId="0" borderId="9" xfId="0" applyNumberFormat="1" applyFont="1" applyFill="1" applyBorder="1" applyAlignment="1">
      <alignment horizontal="center"/>
    </xf>
    <xf numFmtId="3" fontId="2" fillId="0" borderId="10" xfId="0" applyNumberFormat="1" applyFont="1" applyFill="1" applyBorder="1" applyAlignment="1"/>
    <xf numFmtId="3" fontId="2" fillId="0" borderId="11" xfId="0" applyNumberFormat="1" applyFont="1" applyFill="1" applyBorder="1" applyAlignment="1"/>
    <xf numFmtId="3" fontId="1" fillId="0" borderId="8" xfId="0" applyNumberFormat="1" applyFont="1" applyFill="1" applyBorder="1" applyAlignment="1"/>
    <xf numFmtId="3" fontId="1" fillId="0" borderId="9" xfId="0" applyNumberFormat="1" applyFont="1" applyFill="1" applyBorder="1" applyAlignment="1"/>
    <xf numFmtId="3" fontId="6" fillId="0" borderId="10" xfId="0" applyNumberFormat="1" applyFont="1" applyFill="1" applyBorder="1" applyAlignment="1"/>
    <xf numFmtId="3" fontId="7" fillId="0" borderId="10" xfId="0" applyNumberFormat="1" applyFont="1" applyFill="1" applyBorder="1" applyAlignment="1"/>
    <xf numFmtId="3" fontId="7" fillId="0" borderId="0" xfId="0" applyNumberFormat="1" applyFont="1" applyFill="1" applyAlignment="1"/>
    <xf numFmtId="3" fontId="2" fillId="0" borderId="12" xfId="0" applyNumberFormat="1" applyFont="1" applyFill="1" applyBorder="1" applyAlignment="1"/>
    <xf numFmtId="3" fontId="2" fillId="0" borderId="13" xfId="0" applyNumberFormat="1" applyFont="1" applyFill="1" applyBorder="1" applyAlignment="1"/>
    <xf numFmtId="3" fontId="1" fillId="0" borderId="14" xfId="0" applyNumberFormat="1" applyFont="1" applyFill="1" applyBorder="1" applyAlignment="1">
      <alignment horizontal="center"/>
    </xf>
    <xf numFmtId="3" fontId="1" fillId="0" borderId="15" xfId="0" applyNumberFormat="1" applyFont="1" applyFill="1" applyBorder="1" applyAlignment="1">
      <alignment horizontal="center"/>
    </xf>
    <xf numFmtId="3" fontId="1" fillId="0" borderId="16" xfId="0" applyNumberFormat="1" applyFont="1" applyFill="1" applyBorder="1" applyAlignment="1">
      <alignment horizontal="center"/>
    </xf>
    <xf numFmtId="3" fontId="2" fillId="0" borderId="17" xfId="0" applyNumberFormat="1" applyFont="1" applyFill="1" applyBorder="1" applyAlignment="1">
      <alignment horizontal="left"/>
    </xf>
    <xf numFmtId="3" fontId="2" fillId="0" borderId="17" xfId="0" applyNumberFormat="1" applyFont="1" applyFill="1" applyBorder="1" applyAlignment="1"/>
    <xf numFmtId="176" fontId="2" fillId="0" borderId="0" xfId="0" applyNumberFormat="1" applyFont="1" applyFill="1" applyAlignment="1"/>
    <xf numFmtId="3" fontId="1" fillId="0" borderId="0" xfId="0" applyNumberFormat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3" fontId="2" fillId="0" borderId="18" xfId="0" applyNumberFormat="1" applyFont="1" applyFill="1" applyBorder="1" applyAlignment="1"/>
    <xf numFmtId="3" fontId="2" fillId="0" borderId="19" xfId="0" applyNumberFormat="1" applyFont="1" applyFill="1" applyBorder="1" applyAlignment="1"/>
    <xf numFmtId="3" fontId="2" fillId="0" borderId="20" xfId="0" applyNumberFormat="1" applyFont="1" applyFill="1" applyBorder="1" applyAlignment="1"/>
    <xf numFmtId="3" fontId="2" fillId="0" borderId="21" xfId="0" applyNumberFormat="1" applyFont="1" applyFill="1" applyBorder="1" applyAlignment="1"/>
    <xf numFmtId="0" fontId="3" fillId="0" borderId="0" xfId="0" applyFont="1" applyFill="1" applyAlignment="1">
      <alignment horizontal="left"/>
    </xf>
    <xf numFmtId="3" fontId="1" fillId="0" borderId="2" xfId="0" applyNumberFormat="1" applyFont="1" applyFill="1" applyBorder="1" applyAlignment="1">
      <alignment horizontal="right"/>
    </xf>
    <xf numFmtId="3" fontId="1" fillId="0" borderId="22" xfId="0" applyNumberFormat="1" applyFont="1" applyFill="1" applyBorder="1" applyAlignment="1">
      <alignment horizontal="right"/>
    </xf>
    <xf numFmtId="3" fontId="1" fillId="0" borderId="23" xfId="0" applyNumberFormat="1" applyFont="1" applyFill="1" applyBorder="1" applyAlignment="1"/>
    <xf numFmtId="3" fontId="1" fillId="0" borderId="6" xfId="0" applyNumberFormat="1" applyFont="1" applyFill="1" applyBorder="1" applyAlignment="1"/>
    <xf numFmtId="3" fontId="2" fillId="0" borderId="17" xfId="0" applyNumberFormat="1" applyFont="1" applyFill="1" applyBorder="1" applyAlignment="1">
      <alignment vertical="center"/>
    </xf>
    <xf numFmtId="3" fontId="2" fillId="0" borderId="24" xfId="0" applyNumberFormat="1" applyFont="1" applyFill="1" applyBorder="1" applyAlignment="1"/>
    <xf numFmtId="3" fontId="2" fillId="0" borderId="25" xfId="0" applyNumberFormat="1" applyFont="1" applyFill="1" applyBorder="1" applyAlignment="1"/>
    <xf numFmtId="3" fontId="1" fillId="2" borderId="17" xfId="0" applyNumberFormat="1" applyFont="1" applyFill="1" applyBorder="1" applyAlignment="1">
      <alignment horizontal="center"/>
    </xf>
    <xf numFmtId="3" fontId="1" fillId="2" borderId="26" xfId="0" applyNumberFormat="1" applyFont="1" applyFill="1" applyBorder="1" applyAlignment="1">
      <alignment horizontal="center"/>
    </xf>
    <xf numFmtId="3" fontId="1" fillId="2" borderId="27" xfId="0" applyNumberFormat="1" applyFont="1" applyFill="1" applyBorder="1" applyAlignment="1">
      <alignment horizontal="right"/>
    </xf>
    <xf numFmtId="3" fontId="1" fillId="2" borderId="7" xfId="0" applyNumberFormat="1" applyFont="1" applyFill="1" applyBorder="1" applyAlignment="1"/>
    <xf numFmtId="3" fontId="1" fillId="2" borderId="3" xfId="0" applyNumberFormat="1" applyFont="1" applyFill="1" applyBorder="1" applyAlignment="1"/>
    <xf numFmtId="3" fontId="1" fillId="2" borderId="2" xfId="0" applyNumberFormat="1" applyFont="1" applyFill="1" applyBorder="1" applyAlignment="1">
      <alignment horizontal="right"/>
    </xf>
    <xf numFmtId="3" fontId="1" fillId="2" borderId="4" xfId="0" applyNumberFormat="1" applyFont="1" applyFill="1" applyBorder="1" applyAlignment="1"/>
    <xf numFmtId="3" fontId="1" fillId="2" borderId="12" xfId="0" applyNumberFormat="1" applyFont="1" applyFill="1" applyBorder="1" applyAlignment="1"/>
    <xf numFmtId="3" fontId="1" fillId="2" borderId="13" xfId="0" applyNumberFormat="1" applyFont="1" applyFill="1" applyBorder="1" applyAlignment="1"/>
    <xf numFmtId="3" fontId="1" fillId="2" borderId="28" xfId="0" applyNumberFormat="1" applyFont="1" applyFill="1" applyBorder="1" applyAlignment="1">
      <alignment horizontal="center"/>
    </xf>
    <xf numFmtId="3" fontId="1" fillId="2" borderId="20" xfId="0" applyNumberFormat="1" applyFont="1" applyFill="1" applyBorder="1" applyAlignment="1"/>
    <xf numFmtId="3" fontId="2" fillId="2" borderId="7" xfId="0" applyNumberFormat="1" applyFont="1" applyFill="1" applyBorder="1" applyAlignment="1"/>
    <xf numFmtId="3" fontId="2" fillId="2" borderId="4" xfId="0" applyNumberFormat="1" applyFont="1" applyFill="1" applyBorder="1" applyAlignment="1"/>
    <xf numFmtId="3" fontId="1" fillId="2" borderId="18" xfId="0" applyNumberFormat="1" applyFont="1" applyFill="1" applyBorder="1" applyAlignment="1"/>
    <xf numFmtId="3" fontId="1" fillId="2" borderId="29" xfId="0" applyNumberFormat="1" applyFont="1" applyFill="1" applyBorder="1" applyAlignment="1"/>
    <xf numFmtId="3" fontId="1" fillId="2" borderId="30" xfId="0" applyNumberFormat="1" applyFont="1" applyFill="1" applyBorder="1" applyAlignment="1">
      <alignment horizontal="right"/>
    </xf>
    <xf numFmtId="0" fontId="0" fillId="0" borderId="0" xfId="0" applyBorder="1"/>
    <xf numFmtId="3" fontId="10" fillId="0" borderId="17" xfId="0" applyNumberFormat="1" applyFont="1" applyFill="1" applyBorder="1" applyAlignment="1">
      <alignment horizontal="left"/>
    </xf>
    <xf numFmtId="3" fontId="1" fillId="2" borderId="31" xfId="0" applyNumberFormat="1" applyFont="1" applyFill="1" applyBorder="1" applyAlignment="1">
      <alignment horizontal="right"/>
    </xf>
    <xf numFmtId="3" fontId="1" fillId="0" borderId="16" xfId="0" applyNumberFormat="1" applyFont="1" applyFill="1" applyBorder="1" applyAlignment="1"/>
    <xf numFmtId="3" fontId="2" fillId="0" borderId="6" xfId="0" applyNumberFormat="1" applyFont="1" applyFill="1" applyBorder="1" applyAlignment="1"/>
    <xf numFmtId="3" fontId="6" fillId="0" borderId="6" xfId="0" applyNumberFormat="1" applyFont="1" applyFill="1" applyBorder="1" applyAlignment="1"/>
    <xf numFmtId="3" fontId="6" fillId="0" borderId="16" xfId="0" applyNumberFormat="1" applyFont="1" applyFill="1" applyBorder="1" applyAlignment="1"/>
    <xf numFmtId="3" fontId="1" fillId="0" borderId="32" xfId="0" quotePrefix="1" applyNumberFormat="1" applyFont="1" applyFill="1" applyBorder="1" applyAlignment="1">
      <alignment horizontal="center"/>
    </xf>
    <xf numFmtId="3" fontId="1" fillId="0" borderId="33" xfId="0" applyNumberFormat="1" applyFont="1" applyFill="1" applyBorder="1" applyAlignment="1">
      <alignment horizontal="center"/>
    </xf>
    <xf numFmtId="3" fontId="2" fillId="0" borderId="7" xfId="0" applyNumberFormat="1" applyFont="1" applyFill="1" applyBorder="1" applyAlignment="1">
      <alignment horizontal="right"/>
    </xf>
    <xf numFmtId="3" fontId="1" fillId="2" borderId="12" xfId="0" applyNumberFormat="1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7" xfId="0" applyNumberFormat="1" applyFont="1" applyBorder="1"/>
    <xf numFmtId="3" fontId="10" fillId="0" borderId="7" xfId="0" applyNumberFormat="1" applyFont="1" applyFill="1" applyBorder="1" applyAlignment="1"/>
    <xf numFmtId="3" fontId="2" fillId="0" borderId="34" xfId="0" applyNumberFormat="1" applyFont="1" applyFill="1" applyBorder="1" applyAlignment="1"/>
    <xf numFmtId="3" fontId="1" fillId="2" borderId="33" xfId="0" applyNumberFormat="1" applyFont="1" applyFill="1" applyBorder="1" applyAlignment="1"/>
    <xf numFmtId="3" fontId="1" fillId="0" borderId="35" xfId="0" applyNumberFormat="1" applyFont="1" applyFill="1" applyBorder="1" applyAlignment="1"/>
    <xf numFmtId="3" fontId="2" fillId="0" borderId="36" xfId="0" applyNumberFormat="1" applyFont="1" applyFill="1" applyBorder="1" applyAlignment="1"/>
    <xf numFmtId="3" fontId="2" fillId="0" borderId="35" xfId="0" applyNumberFormat="1" applyFont="1" applyFill="1" applyBorder="1" applyAlignment="1"/>
    <xf numFmtId="3" fontId="6" fillId="0" borderId="0" xfId="0" applyNumberFormat="1" applyFont="1" applyFill="1" applyBorder="1" applyAlignment="1"/>
    <xf numFmtId="3" fontId="6" fillId="0" borderId="19" xfId="0" applyNumberFormat="1" applyFont="1" applyFill="1" applyBorder="1" applyAlignment="1"/>
    <xf numFmtId="3" fontId="1" fillId="0" borderId="37" xfId="0" applyNumberFormat="1" applyFont="1" applyFill="1" applyBorder="1" applyAlignment="1">
      <alignment horizontal="center"/>
    </xf>
    <xf numFmtId="3" fontId="1" fillId="0" borderId="38" xfId="0" applyNumberFormat="1" applyFont="1" applyFill="1" applyBorder="1" applyAlignment="1">
      <alignment horizontal="center"/>
    </xf>
    <xf numFmtId="3" fontId="1" fillId="2" borderId="39" xfId="0" applyNumberFormat="1" applyFont="1" applyFill="1" applyBorder="1" applyAlignment="1">
      <alignment horizontal="center"/>
    </xf>
    <xf numFmtId="3" fontId="2" fillId="0" borderId="40" xfId="0" applyNumberFormat="1" applyFont="1" applyFill="1" applyBorder="1" applyAlignment="1"/>
    <xf numFmtId="3" fontId="1" fillId="2" borderId="40" xfId="0" applyNumberFormat="1" applyFont="1" applyFill="1" applyBorder="1" applyAlignment="1"/>
    <xf numFmtId="3" fontId="2" fillId="0" borderId="41" xfId="0" applyNumberFormat="1" applyFont="1" applyFill="1" applyBorder="1" applyAlignment="1"/>
    <xf numFmtId="3" fontId="1" fillId="2" borderId="41" xfId="0" applyNumberFormat="1" applyFont="1" applyFill="1" applyBorder="1" applyAlignment="1"/>
    <xf numFmtId="3" fontId="2" fillId="0" borderId="42" xfId="0" applyNumberFormat="1" applyFont="1" applyFill="1" applyBorder="1" applyAlignment="1"/>
    <xf numFmtId="3" fontId="2" fillId="2" borderId="41" xfId="0" applyNumberFormat="1" applyFont="1" applyFill="1" applyBorder="1" applyAlignment="1"/>
    <xf numFmtId="3" fontId="2" fillId="0" borderId="43" xfId="0" applyNumberFormat="1" applyFont="1" applyFill="1" applyBorder="1" applyAlignment="1"/>
    <xf numFmtId="3" fontId="1" fillId="2" borderId="44" xfId="0" applyNumberFormat="1" applyFont="1" applyFill="1" applyBorder="1" applyAlignment="1"/>
    <xf numFmtId="3" fontId="2" fillId="0" borderId="45" xfId="0" applyNumberFormat="1" applyFont="1" applyFill="1" applyBorder="1" applyAlignment="1">
      <alignment horizontal="center"/>
    </xf>
    <xf numFmtId="3" fontId="2" fillId="0" borderId="46" xfId="0" applyNumberFormat="1" applyFont="1" applyFill="1" applyBorder="1" applyAlignment="1">
      <alignment horizontal="center"/>
    </xf>
    <xf numFmtId="3" fontId="2" fillId="0" borderId="47" xfId="0" applyNumberFormat="1" applyFont="1" applyFill="1" applyBorder="1" applyAlignment="1"/>
    <xf numFmtId="3" fontId="2" fillId="0" borderId="44" xfId="0" applyNumberFormat="1" applyFont="1" applyFill="1" applyBorder="1" applyAlignment="1"/>
    <xf numFmtId="3" fontId="2" fillId="0" borderId="45" xfId="0" applyNumberFormat="1" applyFont="1" applyFill="1" applyBorder="1" applyAlignment="1"/>
    <xf numFmtId="9" fontId="2" fillId="0" borderId="47" xfId="0" applyNumberFormat="1" applyFont="1" applyFill="1" applyBorder="1" applyAlignment="1"/>
    <xf numFmtId="9" fontId="2" fillId="0" borderId="46" xfId="0" applyNumberFormat="1" applyFont="1" applyFill="1" applyBorder="1" applyAlignment="1"/>
    <xf numFmtId="4" fontId="1" fillId="0" borderId="48" xfId="0" applyNumberFormat="1" applyFont="1" applyFill="1" applyBorder="1" applyAlignment="1"/>
    <xf numFmtId="3" fontId="2" fillId="0" borderId="49" xfId="0" applyNumberFormat="1" applyFont="1" applyFill="1" applyBorder="1" applyAlignment="1"/>
    <xf numFmtId="9" fontId="2" fillId="0" borderId="49" xfId="0" applyNumberFormat="1" applyFont="1" applyFill="1" applyBorder="1" applyAlignment="1"/>
    <xf numFmtId="4" fontId="1" fillId="0" borderId="49" xfId="0" applyNumberFormat="1" applyFont="1" applyFill="1" applyBorder="1" applyAlignment="1"/>
    <xf numFmtId="0" fontId="5" fillId="0" borderId="49" xfId="0" applyFont="1" applyFill="1" applyBorder="1" applyAlignment="1">
      <alignment horizontal="right"/>
    </xf>
    <xf numFmtId="0" fontId="0" fillId="0" borderId="49" xfId="0" applyFill="1" applyBorder="1" applyAlignment="1">
      <alignment horizontal="center"/>
    </xf>
    <xf numFmtId="3" fontId="1" fillId="0" borderId="49" xfId="0" applyNumberFormat="1" applyFont="1" applyFill="1" applyBorder="1" applyAlignment="1">
      <alignment horizontal="center"/>
    </xf>
    <xf numFmtId="3" fontId="1" fillId="0" borderId="49" xfId="0" applyNumberFormat="1" applyFont="1" applyFill="1" applyBorder="1" applyAlignment="1"/>
    <xf numFmtId="3" fontId="2" fillId="0" borderId="49" xfId="0" applyNumberFormat="1" applyFont="1" applyFill="1" applyBorder="1" applyAlignment="1">
      <alignment horizontal="center"/>
    </xf>
    <xf numFmtId="0" fontId="6" fillId="0" borderId="49" xfId="0" applyFont="1" applyFill="1" applyBorder="1" applyAlignment="1">
      <alignment horizontal="right"/>
    </xf>
    <xf numFmtId="3" fontId="1" fillId="0" borderId="50" xfId="0" applyNumberFormat="1" applyFont="1" applyFill="1" applyBorder="1" applyAlignment="1"/>
    <xf numFmtId="0" fontId="2" fillId="0" borderId="17" xfId="0" applyFont="1" applyBorder="1"/>
    <xf numFmtId="3" fontId="2" fillId="0" borderId="28" xfId="0" applyNumberFormat="1" applyFont="1" applyFill="1" applyBorder="1" applyAlignment="1"/>
    <xf numFmtId="3" fontId="1" fillId="0" borderId="51" xfId="0" applyNumberFormat="1" applyFont="1" applyFill="1" applyBorder="1" applyAlignment="1">
      <alignment horizontal="center"/>
    </xf>
    <xf numFmtId="3" fontId="1" fillId="0" borderId="52" xfId="0" applyNumberFormat="1" applyFont="1" applyFill="1" applyBorder="1" applyAlignment="1">
      <alignment horizontal="center"/>
    </xf>
    <xf numFmtId="3" fontId="1" fillId="0" borderId="11" xfId="0" applyNumberFormat="1" applyFont="1" applyFill="1" applyBorder="1" applyAlignment="1">
      <alignment horizontal="right"/>
    </xf>
    <xf numFmtId="0" fontId="5" fillId="0" borderId="48" xfId="0" applyFont="1" applyFill="1" applyBorder="1" applyAlignment="1">
      <alignment horizontal="right"/>
    </xf>
    <xf numFmtId="3" fontId="6" fillId="0" borderId="53" xfId="0" applyNumberFormat="1" applyFont="1" applyFill="1" applyBorder="1" applyAlignment="1">
      <alignment horizontal="right"/>
    </xf>
    <xf numFmtId="0" fontId="6" fillId="0" borderId="38" xfId="0" applyFont="1" applyFill="1" applyBorder="1" applyAlignment="1">
      <alignment horizontal="right"/>
    </xf>
    <xf numFmtId="3" fontId="1" fillId="0" borderId="54" xfId="0" applyNumberFormat="1" applyFont="1" applyFill="1" applyBorder="1" applyAlignment="1">
      <alignment horizontal="center"/>
    </xf>
    <xf numFmtId="0" fontId="0" fillId="0" borderId="51" xfId="0" applyFill="1" applyBorder="1" applyAlignment="1">
      <alignment horizontal="center"/>
    </xf>
    <xf numFmtId="0" fontId="0" fillId="0" borderId="5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2"/>
  <sheetViews>
    <sheetView tabSelected="1" zoomScale="75" zoomScaleNormal="75" workbookViewId="0">
      <pane ySplit="5" topLeftCell="A6" activePane="bottomLeft" state="frozen"/>
      <selection pane="bottomLeft" activeCell="G1" sqref="G1"/>
    </sheetView>
  </sheetViews>
  <sheetFormatPr defaultColWidth="9.1796875" defaultRowHeight="15.5" x14ac:dyDescent="0.35"/>
  <cols>
    <col min="1" max="1" width="83" style="2" customWidth="1"/>
    <col min="2" max="2" width="20.7265625" style="7" customWidth="1"/>
    <col min="3" max="4" width="20.7265625" style="2" customWidth="1"/>
    <col min="5" max="5" width="1.7265625" style="2" customWidth="1"/>
    <col min="6" max="6" width="20.7265625" style="2" customWidth="1"/>
    <col min="7" max="7" width="15.26953125" style="3" bestFit="1" customWidth="1"/>
    <col min="8" max="8" width="9.81640625" style="2" bestFit="1" customWidth="1"/>
    <col min="9" max="9" width="9.1796875" style="2"/>
    <col min="10" max="10" width="11.7265625" style="2" bestFit="1" customWidth="1"/>
    <col min="11" max="16384" width="9.1796875" style="2"/>
  </cols>
  <sheetData>
    <row r="1" spans="1:7" ht="20" x14ac:dyDescent="0.4">
      <c r="A1" s="33" t="s">
        <v>153</v>
      </c>
      <c r="B1" s="34"/>
      <c r="C1" s="33"/>
      <c r="D1" s="34"/>
      <c r="E1" s="34"/>
      <c r="F1" s="33"/>
      <c r="G1" s="39"/>
    </row>
    <row r="2" spans="1:7" ht="20.5" thickBot="1" x14ac:dyDescent="0.45">
      <c r="A2" s="33"/>
      <c r="B2" s="34"/>
      <c r="C2" s="33"/>
      <c r="D2" s="34"/>
      <c r="E2" s="34"/>
      <c r="F2" s="33"/>
      <c r="G2" s="39"/>
    </row>
    <row r="3" spans="1:7" ht="16" thickTop="1" x14ac:dyDescent="0.35">
      <c r="A3" s="1"/>
      <c r="B3" s="121" t="s">
        <v>42</v>
      </c>
      <c r="C3" s="122"/>
      <c r="D3" s="123"/>
      <c r="E3" s="107"/>
      <c r="F3" s="115" t="s">
        <v>84</v>
      </c>
      <c r="G3" s="116"/>
    </row>
    <row r="4" spans="1:7" x14ac:dyDescent="0.35">
      <c r="A4" s="63"/>
      <c r="B4" s="4" t="s">
        <v>14</v>
      </c>
      <c r="C4" s="9" t="s">
        <v>14</v>
      </c>
      <c r="D4" s="84" t="s">
        <v>20</v>
      </c>
      <c r="E4" s="108"/>
      <c r="F4" s="70"/>
      <c r="G4" s="10" t="s">
        <v>77</v>
      </c>
    </row>
    <row r="5" spans="1:7" ht="16" thickBot="1" x14ac:dyDescent="0.4">
      <c r="A5" s="32"/>
      <c r="B5" s="26" t="s">
        <v>21</v>
      </c>
      <c r="C5" s="27" t="s">
        <v>15</v>
      </c>
      <c r="D5" s="85" t="s">
        <v>19</v>
      </c>
      <c r="E5" s="108"/>
      <c r="F5" s="71"/>
      <c r="G5" s="28" t="s">
        <v>78</v>
      </c>
    </row>
    <row r="6" spans="1:7" ht="16" thickTop="1" x14ac:dyDescent="0.35">
      <c r="A6" s="47" t="s">
        <v>128</v>
      </c>
      <c r="B6" s="48"/>
      <c r="C6" s="65"/>
      <c r="D6" s="86"/>
      <c r="E6" s="108"/>
      <c r="F6" s="73"/>
      <c r="G6" s="49">
        <f>SUM(F11)</f>
        <v>124367</v>
      </c>
    </row>
    <row r="7" spans="1:7" x14ac:dyDescent="0.35">
      <c r="A7" s="29" t="s">
        <v>68</v>
      </c>
      <c r="B7" s="11"/>
      <c r="C7" s="8">
        <v>49985</v>
      </c>
      <c r="D7" s="87">
        <v>28818</v>
      </c>
      <c r="E7" s="103"/>
      <c r="F7" s="11"/>
      <c r="G7" s="40"/>
    </row>
    <row r="8" spans="1:7" x14ac:dyDescent="0.35">
      <c r="A8" s="29" t="s">
        <v>69</v>
      </c>
      <c r="B8" s="11"/>
      <c r="C8" s="8">
        <v>6500</v>
      </c>
      <c r="D8" s="87">
        <v>6500</v>
      </c>
      <c r="E8" s="103"/>
      <c r="F8" s="11"/>
      <c r="G8" s="40"/>
    </row>
    <row r="9" spans="1:7" x14ac:dyDescent="0.35">
      <c r="A9" s="30" t="s">
        <v>67</v>
      </c>
      <c r="B9" s="11"/>
      <c r="C9" s="8">
        <v>71110</v>
      </c>
      <c r="D9" s="87">
        <v>71110</v>
      </c>
      <c r="E9" s="103"/>
      <c r="F9" s="11"/>
      <c r="G9" s="40"/>
    </row>
    <row r="10" spans="1:7" x14ac:dyDescent="0.35">
      <c r="A10" s="29" t="s">
        <v>75</v>
      </c>
      <c r="B10" s="11"/>
      <c r="C10" s="8">
        <v>17000</v>
      </c>
      <c r="D10" s="87">
        <v>13412</v>
      </c>
      <c r="E10" s="103"/>
      <c r="F10" s="11"/>
      <c r="G10" s="40"/>
    </row>
    <row r="11" spans="1:7" x14ac:dyDescent="0.35">
      <c r="A11" s="30" t="s">
        <v>53</v>
      </c>
      <c r="B11" s="11">
        <v>75633</v>
      </c>
      <c r="C11" s="8"/>
      <c r="D11" s="87"/>
      <c r="E11" s="103"/>
      <c r="F11" s="11">
        <f>170000-45633</f>
        <v>124367</v>
      </c>
      <c r="G11" s="40"/>
    </row>
    <row r="12" spans="1:7" x14ac:dyDescent="0.35">
      <c r="A12" s="47" t="s">
        <v>0</v>
      </c>
      <c r="B12" s="48"/>
      <c r="C12" s="50"/>
      <c r="D12" s="88"/>
      <c r="E12" s="109"/>
      <c r="F12" s="74"/>
      <c r="G12" s="52">
        <f>SUM(F16:F31)</f>
        <v>375000</v>
      </c>
    </row>
    <row r="13" spans="1:7" x14ac:dyDescent="0.35">
      <c r="A13" s="29" t="s">
        <v>16</v>
      </c>
      <c r="B13" s="11"/>
      <c r="C13" s="8">
        <v>63704</v>
      </c>
      <c r="D13" s="87">
        <f>11288.45+12557.01+10569.33+11018.95+5911.65+5111.8</f>
        <v>56457.19000000001</v>
      </c>
      <c r="E13" s="103"/>
      <c r="F13" s="11"/>
      <c r="G13" s="40"/>
    </row>
    <row r="14" spans="1:7" x14ac:dyDescent="0.35">
      <c r="A14" s="30" t="s">
        <v>23</v>
      </c>
      <c r="B14" s="11"/>
      <c r="C14" s="8">
        <v>268780</v>
      </c>
      <c r="D14" s="87">
        <f>104943.6+40056.4+24712.14+3213.97+6443.96+35374.35+1482.42</f>
        <v>216226.84000000003</v>
      </c>
      <c r="E14" s="103"/>
      <c r="F14" s="11"/>
      <c r="G14" s="40"/>
    </row>
    <row r="15" spans="1:7" x14ac:dyDescent="0.35">
      <c r="A15" s="30" t="s">
        <v>130</v>
      </c>
      <c r="B15" s="11">
        <v>5000</v>
      </c>
      <c r="C15" s="8">
        <v>8912</v>
      </c>
      <c r="D15" s="87"/>
      <c r="E15" s="103"/>
      <c r="F15" s="11"/>
      <c r="G15" s="40"/>
    </row>
    <row r="16" spans="1:7" x14ac:dyDescent="0.35">
      <c r="A16" s="30" t="s">
        <v>74</v>
      </c>
      <c r="B16" s="11"/>
      <c r="C16" s="8">
        <v>54918</v>
      </c>
      <c r="D16" s="87">
        <v>12631</v>
      </c>
      <c r="E16" s="103"/>
      <c r="F16" s="75">
        <v>25000</v>
      </c>
      <c r="G16" s="40"/>
    </row>
    <row r="17" spans="1:7" x14ac:dyDescent="0.35">
      <c r="A17" s="30" t="s">
        <v>22</v>
      </c>
      <c r="B17" s="11">
        <v>14578</v>
      </c>
      <c r="C17" s="8"/>
      <c r="D17" s="87"/>
      <c r="E17" s="103"/>
      <c r="F17" s="11"/>
      <c r="G17" s="40"/>
    </row>
    <row r="18" spans="1:7" x14ac:dyDescent="0.35">
      <c r="A18" s="30" t="s">
        <v>108</v>
      </c>
      <c r="B18" s="11">
        <v>50000</v>
      </c>
      <c r="C18" s="8"/>
      <c r="D18" s="87"/>
      <c r="E18" s="103"/>
      <c r="F18" s="72"/>
      <c r="G18" s="40"/>
    </row>
    <row r="19" spans="1:7" x14ac:dyDescent="0.35">
      <c r="A19" s="30" t="s">
        <v>105</v>
      </c>
      <c r="B19" s="11">
        <v>278754</v>
      </c>
      <c r="C19" s="8"/>
      <c r="D19" s="87"/>
      <c r="E19" s="103"/>
      <c r="F19" s="11"/>
      <c r="G19" s="40"/>
    </row>
    <row r="20" spans="1:7" x14ac:dyDescent="0.35">
      <c r="A20" s="30" t="s">
        <v>109</v>
      </c>
      <c r="B20" s="11">
        <v>100000</v>
      </c>
      <c r="C20" s="8"/>
      <c r="D20" s="87"/>
      <c r="E20" s="103"/>
      <c r="F20" s="11"/>
      <c r="G20" s="40"/>
    </row>
    <row r="21" spans="1:7" x14ac:dyDescent="0.35">
      <c r="A21" s="30" t="s">
        <v>127</v>
      </c>
      <c r="B21" s="11">
        <v>40000</v>
      </c>
      <c r="C21" s="8"/>
      <c r="D21" s="87"/>
      <c r="E21" s="103"/>
      <c r="F21" s="11"/>
      <c r="G21" s="40"/>
    </row>
    <row r="22" spans="1:7" x14ac:dyDescent="0.35">
      <c r="A22" s="30" t="s">
        <v>110</v>
      </c>
      <c r="B22" s="11">
        <v>50000</v>
      </c>
      <c r="C22" s="8"/>
      <c r="D22" s="87"/>
      <c r="E22" s="103"/>
      <c r="F22" s="11"/>
      <c r="G22" s="40"/>
    </row>
    <row r="23" spans="1:7" x14ac:dyDescent="0.35">
      <c r="A23" s="30" t="s">
        <v>24</v>
      </c>
      <c r="B23" s="11"/>
      <c r="C23" s="8"/>
      <c r="D23" s="87"/>
      <c r="E23" s="103"/>
      <c r="F23" s="11">
        <v>20000</v>
      </c>
      <c r="G23" s="40"/>
    </row>
    <row r="24" spans="1:7" x14ac:dyDescent="0.35">
      <c r="A24" s="30" t="s">
        <v>111</v>
      </c>
      <c r="B24" s="11"/>
      <c r="C24" s="8"/>
      <c r="D24" s="87"/>
      <c r="E24" s="103"/>
      <c r="F24" s="11">
        <v>25000</v>
      </c>
      <c r="G24" s="40"/>
    </row>
    <row r="25" spans="1:7" x14ac:dyDescent="0.35">
      <c r="A25" s="30" t="s">
        <v>107</v>
      </c>
      <c r="B25" s="11"/>
      <c r="C25" s="8"/>
      <c r="D25" s="87"/>
      <c r="E25" s="103"/>
      <c r="F25" s="11">
        <v>10000</v>
      </c>
      <c r="G25" s="40"/>
    </row>
    <row r="26" spans="1:7" x14ac:dyDescent="0.35">
      <c r="A26" s="30" t="s">
        <v>114</v>
      </c>
      <c r="B26" s="11"/>
      <c r="C26" s="8"/>
      <c r="D26" s="87"/>
      <c r="E26" s="103"/>
      <c r="F26" s="11">
        <v>130000</v>
      </c>
      <c r="G26" s="40"/>
    </row>
    <row r="27" spans="1:7" x14ac:dyDescent="0.35">
      <c r="A27" s="30" t="s">
        <v>106</v>
      </c>
      <c r="B27" s="6"/>
      <c r="C27" s="8"/>
      <c r="D27" s="87"/>
      <c r="E27" s="103"/>
      <c r="F27" s="11">
        <v>20000</v>
      </c>
      <c r="G27" s="40"/>
    </row>
    <row r="28" spans="1:7" x14ac:dyDescent="0.35">
      <c r="A28" s="30" t="s">
        <v>55</v>
      </c>
      <c r="B28" s="11"/>
      <c r="C28" s="8"/>
      <c r="D28" s="87"/>
      <c r="E28" s="103"/>
      <c r="F28" s="11">
        <v>25000</v>
      </c>
      <c r="G28" s="40"/>
    </row>
    <row r="29" spans="1:7" x14ac:dyDescent="0.35">
      <c r="A29" s="30" t="s">
        <v>112</v>
      </c>
      <c r="B29" s="11"/>
      <c r="C29" s="8"/>
      <c r="D29" s="87"/>
      <c r="E29" s="103"/>
      <c r="F29" s="11">
        <v>50000</v>
      </c>
      <c r="G29" s="40"/>
    </row>
    <row r="30" spans="1:7" x14ac:dyDescent="0.35">
      <c r="A30" s="30" t="s">
        <v>54</v>
      </c>
      <c r="B30" s="11"/>
      <c r="C30" s="8"/>
      <c r="D30" s="87"/>
      <c r="E30" s="103"/>
      <c r="F30" s="11">
        <v>60000</v>
      </c>
      <c r="G30" s="40"/>
    </row>
    <row r="31" spans="1:7" x14ac:dyDescent="0.35">
      <c r="A31" s="30" t="s">
        <v>113</v>
      </c>
      <c r="B31" s="6"/>
      <c r="C31" s="37"/>
      <c r="D31" s="87"/>
      <c r="E31" s="103"/>
      <c r="F31" s="11">
        <v>10000</v>
      </c>
      <c r="G31" s="40"/>
    </row>
    <row r="32" spans="1:7" x14ac:dyDescent="0.35">
      <c r="A32" s="64" t="s">
        <v>131</v>
      </c>
      <c r="B32" s="6"/>
      <c r="C32" s="37"/>
      <c r="D32" s="87"/>
      <c r="E32" s="103"/>
      <c r="F32" s="76"/>
      <c r="G32" s="5"/>
    </row>
    <row r="33" spans="1:7" x14ac:dyDescent="0.35">
      <c r="A33" s="47" t="s">
        <v>58</v>
      </c>
      <c r="B33" s="50"/>
      <c r="C33" s="53"/>
      <c r="D33" s="88"/>
      <c r="E33" s="109"/>
      <c r="F33" s="50"/>
      <c r="G33" s="52">
        <f>SUM(F38:F43)</f>
        <v>128023</v>
      </c>
    </row>
    <row r="34" spans="1:7" x14ac:dyDescent="0.35">
      <c r="A34" s="29" t="s">
        <v>132</v>
      </c>
      <c r="B34" s="11"/>
      <c r="C34" s="8">
        <v>4905</v>
      </c>
      <c r="D34" s="87"/>
      <c r="E34" s="103"/>
      <c r="F34" s="11"/>
      <c r="G34" s="40"/>
    </row>
    <row r="35" spans="1:7" x14ac:dyDescent="0.35">
      <c r="A35" s="29" t="s">
        <v>25</v>
      </c>
      <c r="B35" s="11"/>
      <c r="C35" s="8">
        <v>25000</v>
      </c>
      <c r="D35" s="87">
        <v>25000</v>
      </c>
      <c r="E35" s="103"/>
      <c r="F35" s="11"/>
      <c r="G35" s="40"/>
    </row>
    <row r="36" spans="1:7" x14ac:dyDescent="0.35">
      <c r="A36" s="29" t="s">
        <v>149</v>
      </c>
      <c r="B36" s="11"/>
      <c r="C36" s="8">
        <v>552</v>
      </c>
      <c r="D36" s="87">
        <v>552</v>
      </c>
      <c r="E36" s="103"/>
      <c r="F36" s="11"/>
      <c r="G36" s="40"/>
    </row>
    <row r="37" spans="1:7" x14ac:dyDescent="0.35">
      <c r="A37" s="29" t="s">
        <v>57</v>
      </c>
      <c r="B37" s="11">
        <v>50000</v>
      </c>
      <c r="C37" s="8"/>
      <c r="D37" s="87"/>
      <c r="E37" s="103"/>
      <c r="F37" s="11"/>
      <c r="G37" s="40"/>
    </row>
    <row r="38" spans="1:7" x14ac:dyDescent="0.35">
      <c r="A38" s="29" t="s">
        <v>56</v>
      </c>
      <c r="B38" s="11">
        <v>76977</v>
      </c>
      <c r="C38" s="8"/>
      <c r="D38" s="87"/>
      <c r="E38" s="103"/>
      <c r="F38" s="11">
        <v>103023</v>
      </c>
      <c r="G38" s="40"/>
    </row>
    <row r="39" spans="1:7" x14ac:dyDescent="0.35">
      <c r="A39" s="29" t="s">
        <v>133</v>
      </c>
      <c r="B39" s="11">
        <v>70000</v>
      </c>
      <c r="C39" s="8"/>
      <c r="D39" s="87"/>
      <c r="E39" s="103"/>
      <c r="F39" s="11"/>
      <c r="G39" s="40"/>
    </row>
    <row r="40" spans="1:7" x14ac:dyDescent="0.35">
      <c r="A40" s="29" t="s">
        <v>134</v>
      </c>
      <c r="B40" s="11"/>
      <c r="C40" s="8">
        <v>11500</v>
      </c>
      <c r="D40" s="87">
        <v>500</v>
      </c>
      <c r="E40" s="103"/>
      <c r="F40" s="11"/>
      <c r="G40" s="40"/>
    </row>
    <row r="41" spans="1:7" x14ac:dyDescent="0.35">
      <c r="A41" s="29" t="s">
        <v>135</v>
      </c>
      <c r="B41" s="11"/>
      <c r="C41" s="8">
        <v>10971</v>
      </c>
      <c r="D41" s="87">
        <v>10954.34</v>
      </c>
      <c r="E41" s="103"/>
      <c r="F41" s="11"/>
      <c r="G41" s="40"/>
    </row>
    <row r="42" spans="1:7" x14ac:dyDescent="0.35">
      <c r="A42" s="29" t="s">
        <v>101</v>
      </c>
      <c r="B42" s="11"/>
      <c r="C42" s="8"/>
      <c r="D42" s="87"/>
      <c r="E42" s="103"/>
      <c r="F42" s="11"/>
      <c r="G42" s="40"/>
    </row>
    <row r="43" spans="1:7" x14ac:dyDescent="0.35">
      <c r="A43" s="29" t="s">
        <v>102</v>
      </c>
      <c r="B43" s="11"/>
      <c r="C43" s="8"/>
      <c r="D43" s="87"/>
      <c r="E43" s="103"/>
      <c r="F43" s="11">
        <v>25000</v>
      </c>
      <c r="G43" s="40"/>
    </row>
    <row r="44" spans="1:7" x14ac:dyDescent="0.35">
      <c r="A44" s="47" t="s">
        <v>1</v>
      </c>
      <c r="B44" s="50"/>
      <c r="C44" s="53"/>
      <c r="D44" s="88"/>
      <c r="E44" s="109"/>
      <c r="F44" s="50"/>
      <c r="G44" s="52">
        <f>SUM(F47)</f>
        <v>50000</v>
      </c>
    </row>
    <row r="45" spans="1:7" x14ac:dyDescent="0.35">
      <c r="A45" s="29" t="s">
        <v>61</v>
      </c>
      <c r="B45" s="11"/>
      <c r="C45" s="8">
        <f>16000+72499</f>
        <v>88499</v>
      </c>
      <c r="D45" s="87">
        <f>14153.51+1229.63+617+31350.06+29655.11+11051.04</f>
        <v>88056.35</v>
      </c>
      <c r="E45" s="103"/>
      <c r="F45" s="11"/>
      <c r="G45" s="40"/>
    </row>
    <row r="46" spans="1:7" x14ac:dyDescent="0.35">
      <c r="A46" s="29" t="s">
        <v>60</v>
      </c>
      <c r="B46" s="11">
        <v>20000</v>
      </c>
      <c r="C46" s="8"/>
      <c r="D46" s="87"/>
      <c r="E46" s="103"/>
      <c r="F46" s="11"/>
      <c r="G46" s="40"/>
    </row>
    <row r="47" spans="1:7" x14ac:dyDescent="0.35">
      <c r="A47" s="29" t="s">
        <v>59</v>
      </c>
      <c r="B47" s="11">
        <v>75000</v>
      </c>
      <c r="C47" s="8"/>
      <c r="D47" s="87"/>
      <c r="E47" s="103"/>
      <c r="F47" s="11">
        <v>50000</v>
      </c>
      <c r="G47" s="40"/>
    </row>
    <row r="48" spans="1:7" x14ac:dyDescent="0.35">
      <c r="A48" s="47" t="s">
        <v>2</v>
      </c>
      <c r="B48" s="50"/>
      <c r="C48" s="53"/>
      <c r="D48" s="88"/>
      <c r="E48" s="109"/>
      <c r="F48" s="50"/>
      <c r="G48" s="52">
        <f>SUM(F49:F51)</f>
        <v>110000</v>
      </c>
    </row>
    <row r="49" spans="1:7" x14ac:dyDescent="0.35">
      <c r="A49" s="29" t="s">
        <v>50</v>
      </c>
      <c r="B49" s="11">
        <v>34600</v>
      </c>
      <c r="C49" s="8">
        <v>70008</v>
      </c>
      <c r="D49" s="87">
        <v>63678</v>
      </c>
      <c r="E49" s="103"/>
      <c r="F49" s="11">
        <f>100000-34600</f>
        <v>65400</v>
      </c>
      <c r="G49" s="40"/>
    </row>
    <row r="50" spans="1:7" x14ac:dyDescent="0.35">
      <c r="A50" s="30" t="s">
        <v>26</v>
      </c>
      <c r="B50" s="11">
        <f>64992-34600</f>
        <v>30392</v>
      </c>
      <c r="C50" s="8"/>
      <c r="D50" s="87"/>
      <c r="E50" s="103"/>
      <c r="F50" s="11">
        <v>34600</v>
      </c>
      <c r="G50" s="40"/>
    </row>
    <row r="51" spans="1:7" x14ac:dyDescent="0.35">
      <c r="A51" s="30" t="s">
        <v>79</v>
      </c>
      <c r="B51" s="11"/>
      <c r="C51" s="8"/>
      <c r="D51" s="87"/>
      <c r="E51" s="103"/>
      <c r="F51" s="11">
        <v>10000</v>
      </c>
      <c r="G51" s="40"/>
    </row>
    <row r="52" spans="1:7" x14ac:dyDescent="0.35">
      <c r="A52" s="47" t="s">
        <v>27</v>
      </c>
      <c r="B52" s="50"/>
      <c r="C52" s="53"/>
      <c r="D52" s="88"/>
      <c r="E52" s="109"/>
      <c r="F52" s="50"/>
      <c r="G52" s="52">
        <f>SUM(F56)</f>
        <v>54600</v>
      </c>
    </row>
    <row r="53" spans="1:7" x14ac:dyDescent="0.35">
      <c r="A53" s="29" t="s">
        <v>52</v>
      </c>
      <c r="B53" s="11"/>
      <c r="C53" s="8">
        <f>57500+2100</f>
        <v>59600</v>
      </c>
      <c r="D53" s="87">
        <v>59516</v>
      </c>
      <c r="E53" s="103"/>
      <c r="F53" s="11"/>
      <c r="G53" s="40"/>
    </row>
    <row r="54" spans="1:7" x14ac:dyDescent="0.35">
      <c r="A54" s="29" t="s">
        <v>80</v>
      </c>
      <c r="B54" s="24">
        <v>50000</v>
      </c>
      <c r="C54" s="25"/>
      <c r="D54" s="89"/>
      <c r="E54" s="103"/>
      <c r="F54" s="11"/>
      <c r="G54" s="40"/>
    </row>
    <row r="55" spans="1:7" x14ac:dyDescent="0.35">
      <c r="A55" s="29" t="s">
        <v>81</v>
      </c>
      <c r="B55" s="24">
        <v>80000</v>
      </c>
      <c r="C55" s="25"/>
      <c r="D55" s="89"/>
      <c r="E55" s="103"/>
      <c r="F55" s="11"/>
      <c r="G55" s="40"/>
    </row>
    <row r="56" spans="1:7" x14ac:dyDescent="0.35">
      <c r="A56" s="29" t="s">
        <v>82</v>
      </c>
      <c r="B56" s="24">
        <v>45400</v>
      </c>
      <c r="C56" s="25"/>
      <c r="D56" s="89"/>
      <c r="E56" s="103"/>
      <c r="F56" s="11">
        <v>54600</v>
      </c>
      <c r="G56" s="40"/>
    </row>
    <row r="57" spans="1:7" x14ac:dyDescent="0.35">
      <c r="A57" s="29" t="s">
        <v>83</v>
      </c>
      <c r="B57" s="24">
        <v>40000</v>
      </c>
      <c r="C57" s="25"/>
      <c r="D57" s="89"/>
      <c r="E57" s="103"/>
      <c r="F57" s="11"/>
      <c r="G57" s="40"/>
    </row>
    <row r="58" spans="1:7" x14ac:dyDescent="0.35">
      <c r="A58" s="47" t="s">
        <v>3</v>
      </c>
      <c r="B58" s="54"/>
      <c r="C58" s="55"/>
      <c r="D58" s="90"/>
      <c r="E58" s="109"/>
      <c r="F58" s="50"/>
      <c r="G58" s="52">
        <f>SUM(F61:F63)</f>
        <v>700000</v>
      </c>
    </row>
    <row r="59" spans="1:7" x14ac:dyDescent="0.35">
      <c r="A59" s="29" t="s">
        <v>9</v>
      </c>
      <c r="B59" s="11"/>
      <c r="C59" s="8">
        <v>99754</v>
      </c>
      <c r="D59" s="87">
        <f>361096-261342</f>
        <v>99754</v>
      </c>
      <c r="E59" s="103"/>
      <c r="F59" s="11"/>
      <c r="G59" s="40"/>
    </row>
    <row r="60" spans="1:7" x14ac:dyDescent="0.35">
      <c r="A60" s="29" t="s">
        <v>70</v>
      </c>
      <c r="B60" s="11"/>
      <c r="C60" s="8">
        <v>530362</v>
      </c>
      <c r="D60" s="87">
        <f>153427.95+47041.49+76113.68+63400.57+47950.2+61575.32+66971.59+8384.71</f>
        <v>524865.51</v>
      </c>
      <c r="E60" s="103"/>
      <c r="F60" s="11"/>
      <c r="G60" s="40"/>
    </row>
    <row r="61" spans="1:7" x14ac:dyDescent="0.35">
      <c r="A61" s="29" t="s">
        <v>71</v>
      </c>
      <c r="B61" s="11"/>
      <c r="C61" s="8">
        <f>650965+24035</f>
        <v>675000</v>
      </c>
      <c r="D61" s="87">
        <v>201152</v>
      </c>
      <c r="E61" s="103"/>
      <c r="F61" s="11">
        <v>600000</v>
      </c>
      <c r="G61" s="40"/>
    </row>
    <row r="62" spans="1:7" x14ac:dyDescent="0.35">
      <c r="A62" s="29" t="s">
        <v>72</v>
      </c>
      <c r="B62" s="11">
        <v>85000</v>
      </c>
      <c r="C62" s="8"/>
      <c r="D62" s="87"/>
      <c r="E62" s="103"/>
      <c r="F62" s="11"/>
      <c r="G62" s="40"/>
    </row>
    <row r="63" spans="1:7" x14ac:dyDescent="0.35">
      <c r="A63" s="29" t="s">
        <v>62</v>
      </c>
      <c r="B63" s="11">
        <f>200000-24035</f>
        <v>175965</v>
      </c>
      <c r="C63" s="8"/>
      <c r="D63" s="87"/>
      <c r="E63" s="103"/>
      <c r="F63" s="11">
        <v>100000</v>
      </c>
      <c r="G63" s="40"/>
    </row>
    <row r="64" spans="1:7" x14ac:dyDescent="0.35">
      <c r="A64" s="56" t="s">
        <v>95</v>
      </c>
      <c r="B64" s="54"/>
      <c r="C64" s="55"/>
      <c r="D64" s="90"/>
      <c r="E64" s="109"/>
      <c r="F64" s="50"/>
      <c r="G64" s="52">
        <f>SUM(F67)</f>
        <v>50000</v>
      </c>
    </row>
    <row r="65" spans="1:7" x14ac:dyDescent="0.35">
      <c r="A65" s="29" t="s">
        <v>66</v>
      </c>
      <c r="B65" s="11">
        <v>25000</v>
      </c>
      <c r="C65" s="8"/>
      <c r="D65" s="87"/>
      <c r="E65" s="103"/>
      <c r="F65" s="11"/>
      <c r="G65" s="40"/>
    </row>
    <row r="66" spans="1:7" x14ac:dyDescent="0.35">
      <c r="A66" s="29" t="s">
        <v>65</v>
      </c>
      <c r="B66" s="11">
        <v>25000</v>
      </c>
      <c r="C66" s="37"/>
      <c r="D66" s="87"/>
      <c r="E66" s="103"/>
      <c r="F66" s="11"/>
      <c r="G66" s="40"/>
    </row>
    <row r="67" spans="1:7" x14ac:dyDescent="0.35">
      <c r="A67" s="29" t="s">
        <v>96</v>
      </c>
      <c r="B67" s="6"/>
      <c r="C67" s="37"/>
      <c r="D67" s="91"/>
      <c r="E67" s="103"/>
      <c r="F67" s="11">
        <v>50000</v>
      </c>
      <c r="G67" s="40"/>
    </row>
    <row r="68" spans="1:7" x14ac:dyDescent="0.35">
      <c r="A68" s="30" t="s">
        <v>64</v>
      </c>
      <c r="B68" s="11"/>
      <c r="C68" s="8">
        <v>10000</v>
      </c>
      <c r="D68" s="89"/>
      <c r="E68" s="103"/>
      <c r="F68" s="11"/>
      <c r="G68" s="40"/>
    </row>
    <row r="69" spans="1:7" x14ac:dyDescent="0.35">
      <c r="A69" s="47" t="s">
        <v>8</v>
      </c>
      <c r="B69" s="51"/>
      <c r="C69" s="57"/>
      <c r="D69" s="88"/>
      <c r="E69" s="109"/>
      <c r="F69" s="50"/>
      <c r="G69" s="52">
        <f>SUM(F72:F79)</f>
        <v>720000</v>
      </c>
    </row>
    <row r="70" spans="1:7" x14ac:dyDescent="0.35">
      <c r="A70" s="30" t="s">
        <v>17</v>
      </c>
      <c r="B70" s="11"/>
      <c r="C70" s="8">
        <v>15320</v>
      </c>
      <c r="D70" s="87">
        <f>477.79+1006.68+172.71+3420.55+1902.12+4199.45+4140.27</f>
        <v>15319.57</v>
      </c>
      <c r="E70" s="103"/>
      <c r="F70" s="11"/>
      <c r="G70" s="40"/>
    </row>
    <row r="71" spans="1:7" x14ac:dyDescent="0.35">
      <c r="A71" s="30" t="s">
        <v>73</v>
      </c>
      <c r="B71" s="6"/>
      <c r="C71" s="8">
        <v>35000</v>
      </c>
      <c r="D71" s="87">
        <v>20290</v>
      </c>
      <c r="E71" s="103"/>
      <c r="F71" s="11"/>
      <c r="G71" s="40"/>
    </row>
    <row r="72" spans="1:7" x14ac:dyDescent="0.35">
      <c r="A72" s="30" t="s">
        <v>49</v>
      </c>
      <c r="B72" s="6">
        <v>162496</v>
      </c>
      <c r="C72" s="8"/>
      <c r="D72" s="87"/>
      <c r="E72" s="103"/>
      <c r="F72" s="75">
        <v>475000</v>
      </c>
      <c r="G72" s="40"/>
    </row>
    <row r="73" spans="1:7" x14ac:dyDescent="0.35">
      <c r="A73" s="30" t="s">
        <v>123</v>
      </c>
      <c r="B73" s="6">
        <v>25000</v>
      </c>
      <c r="C73" s="8"/>
      <c r="D73" s="87"/>
      <c r="E73" s="103"/>
      <c r="F73" s="75"/>
      <c r="G73" s="40"/>
    </row>
    <row r="74" spans="1:7" x14ac:dyDescent="0.35">
      <c r="A74" s="30" t="s">
        <v>120</v>
      </c>
      <c r="B74" s="6">
        <v>175000</v>
      </c>
      <c r="C74" s="8"/>
      <c r="D74" s="87"/>
      <c r="E74" s="103"/>
      <c r="F74" s="11">
        <v>50000</v>
      </c>
      <c r="G74" s="40"/>
    </row>
    <row r="75" spans="1:7" x14ac:dyDescent="0.35">
      <c r="A75" s="30" t="s">
        <v>119</v>
      </c>
      <c r="B75" s="6"/>
      <c r="C75" s="8"/>
      <c r="D75" s="87"/>
      <c r="E75" s="103"/>
      <c r="F75" s="75">
        <v>50000</v>
      </c>
      <c r="G75" s="40"/>
    </row>
    <row r="76" spans="1:7" x14ac:dyDescent="0.35">
      <c r="A76" s="30" t="s">
        <v>121</v>
      </c>
      <c r="B76" s="6"/>
      <c r="C76" s="8"/>
      <c r="D76" s="87"/>
      <c r="E76" s="103"/>
      <c r="F76" s="75">
        <v>25000</v>
      </c>
      <c r="G76" s="40"/>
    </row>
    <row r="77" spans="1:7" x14ac:dyDescent="0.35">
      <c r="A77" s="30" t="s">
        <v>122</v>
      </c>
      <c r="B77" s="6"/>
      <c r="C77" s="8"/>
      <c r="D77" s="87"/>
      <c r="E77" s="103"/>
      <c r="F77" s="75">
        <v>25000</v>
      </c>
      <c r="G77" s="40"/>
    </row>
    <row r="78" spans="1:7" x14ac:dyDescent="0.35">
      <c r="A78" s="30" t="s">
        <v>124</v>
      </c>
      <c r="B78" s="6"/>
      <c r="C78" s="8"/>
      <c r="D78" s="87"/>
      <c r="E78" s="103"/>
      <c r="F78" s="75">
        <v>45000</v>
      </c>
      <c r="G78" s="40"/>
    </row>
    <row r="79" spans="1:7" x14ac:dyDescent="0.35">
      <c r="A79" s="30" t="s">
        <v>125</v>
      </c>
      <c r="B79" s="6"/>
      <c r="C79" s="8"/>
      <c r="D79" s="87"/>
      <c r="E79" s="103"/>
      <c r="F79" s="75">
        <v>50000</v>
      </c>
      <c r="G79" s="40"/>
    </row>
    <row r="80" spans="1:7" x14ac:dyDescent="0.35">
      <c r="A80" s="47" t="s">
        <v>4</v>
      </c>
      <c r="B80" s="50"/>
      <c r="C80" s="53"/>
      <c r="D80" s="88"/>
      <c r="E80" s="109"/>
      <c r="F80" s="50"/>
      <c r="G80" s="52">
        <f>SUM(F83:F86)</f>
        <v>400000</v>
      </c>
    </row>
    <row r="81" spans="1:7" x14ac:dyDescent="0.35">
      <c r="A81" s="29" t="s">
        <v>29</v>
      </c>
      <c r="B81" s="11"/>
      <c r="C81" s="8">
        <f>55227+59870-5722+17302+12500</f>
        <v>139177</v>
      </c>
      <c r="D81" s="87"/>
      <c r="E81" s="103"/>
      <c r="F81" s="11"/>
      <c r="G81" s="40"/>
    </row>
    <row r="82" spans="1:7" x14ac:dyDescent="0.35">
      <c r="A82" s="29" t="s">
        <v>11</v>
      </c>
      <c r="B82" s="11"/>
      <c r="C82" s="8">
        <v>345573</v>
      </c>
      <c r="D82" s="87">
        <v>130613</v>
      </c>
      <c r="E82" s="103"/>
      <c r="F82" s="11"/>
      <c r="G82" s="40"/>
    </row>
    <row r="83" spans="1:7" x14ac:dyDescent="0.35">
      <c r="A83" s="113" t="s">
        <v>118</v>
      </c>
      <c r="B83" s="11"/>
      <c r="C83" s="8"/>
      <c r="D83" s="87"/>
      <c r="E83" s="103"/>
      <c r="F83" s="11">
        <v>200000</v>
      </c>
      <c r="G83" s="40"/>
    </row>
    <row r="84" spans="1:7" x14ac:dyDescent="0.35">
      <c r="A84" s="113" t="s">
        <v>117</v>
      </c>
      <c r="B84" s="11"/>
      <c r="C84" s="8"/>
      <c r="D84" s="87"/>
      <c r="E84" s="103"/>
      <c r="F84" s="11">
        <v>100000</v>
      </c>
      <c r="G84" s="40"/>
    </row>
    <row r="85" spans="1:7" x14ac:dyDescent="0.35">
      <c r="A85" s="29" t="s">
        <v>115</v>
      </c>
      <c r="B85" s="11"/>
      <c r="C85" s="8"/>
      <c r="D85" s="87"/>
      <c r="E85" s="103"/>
      <c r="F85" s="11">
        <v>50000</v>
      </c>
      <c r="G85" s="40"/>
    </row>
    <row r="86" spans="1:7" x14ac:dyDescent="0.35">
      <c r="A86" s="114" t="s">
        <v>116</v>
      </c>
      <c r="B86" s="6"/>
      <c r="C86" s="37"/>
      <c r="D86" s="87"/>
      <c r="E86" s="103"/>
      <c r="F86" s="11">
        <v>50000</v>
      </c>
      <c r="G86" s="40"/>
    </row>
    <row r="87" spans="1:7" x14ac:dyDescent="0.35">
      <c r="A87" s="47" t="s">
        <v>85</v>
      </c>
      <c r="B87" s="58"/>
      <c r="C87" s="59"/>
      <c r="D87" s="92"/>
      <c r="E87" s="103"/>
      <c r="F87" s="50"/>
      <c r="G87" s="52">
        <f>SUM(F92:F93)</f>
        <v>186745</v>
      </c>
    </row>
    <row r="88" spans="1:7" x14ac:dyDescent="0.35">
      <c r="A88" s="29" t="s">
        <v>10</v>
      </c>
      <c r="B88" s="11"/>
      <c r="C88" s="8">
        <v>14800</v>
      </c>
      <c r="D88" s="87">
        <v>14800</v>
      </c>
      <c r="E88" s="103"/>
      <c r="F88" s="11"/>
      <c r="G88" s="40"/>
    </row>
    <row r="89" spans="1:7" x14ac:dyDescent="0.35">
      <c r="A89" s="30" t="s">
        <v>63</v>
      </c>
      <c r="B89" s="11"/>
      <c r="C89" s="8">
        <f>125000+29795+27545-16</f>
        <v>182324</v>
      </c>
      <c r="D89" s="87">
        <v>90355</v>
      </c>
      <c r="E89" s="103"/>
      <c r="F89" s="11"/>
      <c r="G89" s="40"/>
    </row>
    <row r="90" spans="1:7" x14ac:dyDescent="0.35">
      <c r="A90" s="30" t="s">
        <v>89</v>
      </c>
      <c r="B90" s="11">
        <v>40000</v>
      </c>
      <c r="C90" s="8"/>
      <c r="D90" s="89"/>
      <c r="E90" s="103"/>
      <c r="F90" s="11"/>
      <c r="G90" s="40"/>
    </row>
    <row r="91" spans="1:7" x14ac:dyDescent="0.35">
      <c r="A91" s="30" t="s">
        <v>86</v>
      </c>
      <c r="B91" s="11">
        <v>100000</v>
      </c>
      <c r="C91" s="8"/>
      <c r="D91" s="89"/>
      <c r="E91" s="103"/>
      <c r="F91" s="11"/>
      <c r="G91" s="40"/>
    </row>
    <row r="92" spans="1:7" x14ac:dyDescent="0.35">
      <c r="A92" s="30" t="s">
        <v>87</v>
      </c>
      <c r="B92" s="11">
        <v>13255</v>
      </c>
      <c r="C92" s="8"/>
      <c r="D92" s="89"/>
      <c r="E92" s="103"/>
      <c r="F92" s="11">
        <v>86745</v>
      </c>
      <c r="G92" s="40"/>
    </row>
    <row r="93" spans="1:7" x14ac:dyDescent="0.35">
      <c r="A93" s="30" t="s">
        <v>88</v>
      </c>
      <c r="B93" s="11"/>
      <c r="C93" s="8"/>
      <c r="D93" s="89"/>
      <c r="E93" s="103"/>
      <c r="F93" s="11">
        <v>100000</v>
      </c>
      <c r="G93" s="40"/>
    </row>
    <row r="94" spans="1:7" x14ac:dyDescent="0.35">
      <c r="A94" s="56" t="s">
        <v>5</v>
      </c>
      <c r="B94" s="54"/>
      <c r="C94" s="55"/>
      <c r="D94" s="90"/>
      <c r="E94" s="109"/>
      <c r="F94" s="50"/>
      <c r="G94" s="52">
        <f>SUM(F96)</f>
        <v>200000</v>
      </c>
    </row>
    <row r="95" spans="1:7" x14ac:dyDescent="0.35">
      <c r="A95" s="29" t="s">
        <v>103</v>
      </c>
      <c r="B95" s="11"/>
      <c r="C95" s="8">
        <v>249724</v>
      </c>
      <c r="D95" s="87">
        <f>48226.69+19701.59+19767.3+18610.75+20054.31</f>
        <v>126360.64</v>
      </c>
      <c r="E95" s="103"/>
      <c r="F95" s="11"/>
      <c r="G95" s="40"/>
    </row>
    <row r="96" spans="1:7" x14ac:dyDescent="0.35">
      <c r="A96" s="29" t="s">
        <v>137</v>
      </c>
      <c r="B96" s="11"/>
      <c r="C96" s="8">
        <v>50000</v>
      </c>
      <c r="D96" s="87"/>
      <c r="E96" s="103"/>
      <c r="F96" s="11">
        <v>200000</v>
      </c>
      <c r="G96" s="40"/>
    </row>
    <row r="97" spans="1:7" x14ac:dyDescent="0.35">
      <c r="A97" s="29" t="s">
        <v>43</v>
      </c>
      <c r="B97" s="11">
        <v>225000</v>
      </c>
      <c r="C97" s="8">
        <v>190000</v>
      </c>
      <c r="D97" s="87">
        <v>64874</v>
      </c>
      <c r="E97" s="103"/>
      <c r="F97" s="11"/>
      <c r="G97" s="40"/>
    </row>
    <row r="98" spans="1:7" x14ac:dyDescent="0.35">
      <c r="A98" s="64" t="s">
        <v>138</v>
      </c>
      <c r="B98" s="11"/>
      <c r="C98" s="8"/>
      <c r="D98" s="87"/>
      <c r="E98" s="103"/>
      <c r="F98" s="76"/>
      <c r="G98" s="40"/>
    </row>
    <row r="99" spans="1:7" x14ac:dyDescent="0.35">
      <c r="A99" s="47" t="s">
        <v>150</v>
      </c>
      <c r="B99" s="50"/>
      <c r="C99" s="53"/>
      <c r="D99" s="88"/>
      <c r="E99" s="109"/>
      <c r="F99" s="50"/>
      <c r="G99" s="52">
        <f>SUM(F101)</f>
        <v>25000</v>
      </c>
    </row>
    <row r="100" spans="1:7" x14ac:dyDescent="0.35">
      <c r="A100" s="30" t="s">
        <v>76</v>
      </c>
      <c r="B100" s="11">
        <v>50000</v>
      </c>
      <c r="C100" s="8"/>
      <c r="D100" s="87"/>
      <c r="E100" s="103"/>
      <c r="F100" s="11"/>
      <c r="G100" s="40"/>
    </row>
    <row r="101" spans="1:7" x14ac:dyDescent="0.35">
      <c r="A101" s="30" t="s">
        <v>100</v>
      </c>
      <c r="B101" s="11"/>
      <c r="C101" s="8"/>
      <c r="D101" s="87"/>
      <c r="E101" s="103"/>
      <c r="F101" s="11">
        <v>25000</v>
      </c>
      <c r="G101" s="40"/>
    </row>
    <row r="102" spans="1:7" x14ac:dyDescent="0.35">
      <c r="A102" s="47" t="s">
        <v>104</v>
      </c>
      <c r="B102" s="50"/>
      <c r="C102" s="53"/>
      <c r="D102" s="88"/>
      <c r="E102" s="109"/>
      <c r="F102" s="50"/>
      <c r="G102" s="52">
        <f>SUM(F103:F111)</f>
        <v>312000</v>
      </c>
    </row>
    <row r="103" spans="1:7" x14ac:dyDescent="0.35">
      <c r="A103" s="29" t="s">
        <v>46</v>
      </c>
      <c r="B103" s="11"/>
      <c r="C103" s="8">
        <v>227400</v>
      </c>
      <c r="D103" s="87">
        <v>144474</v>
      </c>
      <c r="E103" s="103"/>
      <c r="F103" s="11">
        <v>117000</v>
      </c>
      <c r="G103" s="40"/>
    </row>
    <row r="104" spans="1:7" x14ac:dyDescent="0.35">
      <c r="A104" s="29" t="s">
        <v>45</v>
      </c>
      <c r="B104" s="11"/>
      <c r="C104" s="8">
        <f>31692+15169</f>
        <v>46861</v>
      </c>
      <c r="D104" s="87">
        <v>32998</v>
      </c>
      <c r="E104" s="103"/>
      <c r="F104" s="11"/>
      <c r="G104" s="40"/>
    </row>
    <row r="105" spans="1:7" x14ac:dyDescent="0.35">
      <c r="A105" s="29" t="s">
        <v>44</v>
      </c>
      <c r="B105" s="11"/>
      <c r="C105" s="8">
        <v>115000</v>
      </c>
      <c r="D105" s="87">
        <f>28750*3</f>
        <v>86250</v>
      </c>
      <c r="E105" s="103"/>
      <c r="F105" s="11"/>
      <c r="G105" s="40"/>
    </row>
    <row r="106" spans="1:7" x14ac:dyDescent="0.35">
      <c r="A106" s="29" t="s">
        <v>139</v>
      </c>
      <c r="B106" s="11"/>
      <c r="C106" s="8">
        <v>28763</v>
      </c>
      <c r="D106" s="87">
        <v>28763</v>
      </c>
      <c r="E106" s="103"/>
      <c r="F106" s="11"/>
      <c r="G106" s="40"/>
    </row>
    <row r="107" spans="1:7" x14ac:dyDescent="0.35">
      <c r="A107" s="30" t="s">
        <v>48</v>
      </c>
      <c r="B107" s="11">
        <v>186467</v>
      </c>
      <c r="C107" s="8"/>
      <c r="D107" s="87"/>
      <c r="E107" s="103"/>
      <c r="F107" s="11"/>
      <c r="G107" s="40"/>
    </row>
    <row r="108" spans="1:7" x14ac:dyDescent="0.35">
      <c r="A108" s="30" t="s">
        <v>97</v>
      </c>
      <c r="B108" s="11">
        <v>50000</v>
      </c>
      <c r="C108" s="8"/>
      <c r="D108" s="87"/>
      <c r="E108" s="103"/>
      <c r="F108" s="11">
        <v>65000</v>
      </c>
      <c r="G108" s="40"/>
    </row>
    <row r="109" spans="1:7" x14ac:dyDescent="0.35">
      <c r="A109" s="30" t="s">
        <v>98</v>
      </c>
      <c r="B109" s="11"/>
      <c r="C109" s="8"/>
      <c r="D109" s="87"/>
      <c r="E109" s="103"/>
      <c r="F109" s="11">
        <v>45000</v>
      </c>
      <c r="G109" s="40"/>
    </row>
    <row r="110" spans="1:7" x14ac:dyDescent="0.35">
      <c r="A110" s="30" t="s">
        <v>99</v>
      </c>
      <c r="B110" s="11"/>
      <c r="C110" s="8"/>
      <c r="D110" s="87"/>
      <c r="E110" s="103"/>
      <c r="F110" s="11">
        <v>30000</v>
      </c>
      <c r="G110" s="40"/>
    </row>
    <row r="111" spans="1:7" x14ac:dyDescent="0.35">
      <c r="A111" s="30" t="s">
        <v>126</v>
      </c>
      <c r="B111" s="11"/>
      <c r="C111" s="8"/>
      <c r="D111" s="87"/>
      <c r="E111" s="103"/>
      <c r="F111" s="72">
        <v>55000</v>
      </c>
      <c r="G111" s="40"/>
    </row>
    <row r="112" spans="1:7" x14ac:dyDescent="0.35">
      <c r="A112" s="47" t="s">
        <v>6</v>
      </c>
      <c r="B112" s="50"/>
      <c r="C112" s="53"/>
      <c r="D112" s="88"/>
      <c r="E112" s="109"/>
      <c r="F112" s="50"/>
      <c r="G112" s="52">
        <f>SUM(F113:F122)</f>
        <v>79000</v>
      </c>
    </row>
    <row r="113" spans="1:7" ht="13.5" customHeight="1" x14ac:dyDescent="0.35">
      <c r="A113" s="29" t="s">
        <v>12</v>
      </c>
      <c r="B113" s="11"/>
      <c r="C113" s="11">
        <v>40718</v>
      </c>
      <c r="D113" s="87">
        <f>5319.43+4799.78</f>
        <v>10119.209999999999</v>
      </c>
      <c r="E113" s="103"/>
      <c r="F113" s="11">
        <v>32500</v>
      </c>
      <c r="G113" s="40"/>
    </row>
    <row r="114" spans="1:7" ht="13.5" customHeight="1" x14ac:dyDescent="0.35">
      <c r="A114" s="29" t="s">
        <v>18</v>
      </c>
      <c r="B114" s="11"/>
      <c r="C114" s="8">
        <v>30827</v>
      </c>
      <c r="D114" s="87">
        <f>255+1530.92</f>
        <v>1785.92</v>
      </c>
      <c r="E114" s="103"/>
      <c r="F114" s="11"/>
      <c r="G114" s="40"/>
    </row>
    <row r="115" spans="1:7" ht="13.5" customHeight="1" x14ac:dyDescent="0.35">
      <c r="A115" s="29" t="s">
        <v>47</v>
      </c>
      <c r="B115" s="11"/>
      <c r="C115" s="8">
        <v>1559</v>
      </c>
      <c r="D115" s="87">
        <f>366.48+310.68+219+164.7+498</f>
        <v>1558.8600000000001</v>
      </c>
      <c r="E115" s="103"/>
      <c r="F115" s="11"/>
      <c r="G115" s="40"/>
    </row>
    <row r="116" spans="1:7" ht="13.5" customHeight="1" x14ac:dyDescent="0.35">
      <c r="A116" s="29" t="s">
        <v>140</v>
      </c>
      <c r="B116" s="11"/>
      <c r="C116" s="8">
        <v>28263</v>
      </c>
      <c r="D116" s="87">
        <v>22269</v>
      </c>
      <c r="E116" s="103"/>
      <c r="F116" s="11"/>
      <c r="G116" s="40"/>
    </row>
    <row r="117" spans="1:7" ht="13.5" customHeight="1" x14ac:dyDescent="0.35">
      <c r="A117" s="44" t="s">
        <v>28</v>
      </c>
      <c r="B117" s="11">
        <v>50550</v>
      </c>
      <c r="C117" s="37"/>
      <c r="D117" s="91"/>
      <c r="E117" s="103"/>
      <c r="F117" s="11"/>
      <c r="G117" s="40"/>
    </row>
    <row r="118" spans="1:7" ht="13.5" customHeight="1" x14ac:dyDescent="0.35">
      <c r="A118" s="44" t="s">
        <v>90</v>
      </c>
      <c r="B118" s="6"/>
      <c r="C118" s="37"/>
      <c r="D118" s="91"/>
      <c r="E118" s="103"/>
      <c r="F118" s="11">
        <v>8500</v>
      </c>
      <c r="G118" s="40"/>
    </row>
    <row r="119" spans="1:7" ht="13.5" customHeight="1" x14ac:dyDescent="0.35">
      <c r="A119" s="44" t="s">
        <v>91</v>
      </c>
      <c r="B119" s="6"/>
      <c r="C119" s="37"/>
      <c r="D119" s="91"/>
      <c r="E119" s="103"/>
      <c r="F119" s="11">
        <v>8000</v>
      </c>
      <c r="G119" s="40"/>
    </row>
    <row r="120" spans="1:7" ht="13.5" customHeight="1" x14ac:dyDescent="0.35">
      <c r="A120" s="44" t="s">
        <v>92</v>
      </c>
      <c r="B120" s="6"/>
      <c r="C120" s="37"/>
      <c r="D120" s="91"/>
      <c r="E120" s="103"/>
      <c r="F120" s="11">
        <v>12000</v>
      </c>
      <c r="G120" s="40"/>
    </row>
    <row r="121" spans="1:7" ht="13.5" customHeight="1" x14ac:dyDescent="0.35">
      <c r="A121" s="30" t="s">
        <v>93</v>
      </c>
      <c r="B121" s="6"/>
      <c r="C121" s="37"/>
      <c r="D121" s="91"/>
      <c r="E121" s="103"/>
      <c r="F121" s="11">
        <v>10000</v>
      </c>
      <c r="G121" s="40"/>
    </row>
    <row r="122" spans="1:7" ht="13.5" customHeight="1" thickBot="1" x14ac:dyDescent="0.4">
      <c r="A122" s="45" t="s">
        <v>94</v>
      </c>
      <c r="B122" s="38"/>
      <c r="C122" s="46"/>
      <c r="D122" s="93"/>
      <c r="E122" s="103"/>
      <c r="F122" s="77">
        <v>8000</v>
      </c>
      <c r="G122" s="41"/>
    </row>
    <row r="123" spans="1:7" ht="16.5" thickTop="1" thickBot="1" x14ac:dyDescent="0.4">
      <c r="A123" s="60" t="s">
        <v>7</v>
      </c>
      <c r="B123" s="61">
        <f>SUM(B6:B122)</f>
        <v>2575067</v>
      </c>
      <c r="C123" s="61">
        <f>SUM(C6:C122)</f>
        <v>3868369</v>
      </c>
      <c r="D123" s="94">
        <f>SUM(D6:D122)</f>
        <v>2270013.4299999997</v>
      </c>
      <c r="E123" s="109"/>
      <c r="F123" s="78"/>
      <c r="G123" s="62">
        <f>SUM(G6+G12+G33+G44+G48+G52+G58+G64+G69+G80+G87+G94+G99+G102+G112)</f>
        <v>3514735</v>
      </c>
    </row>
    <row r="124" spans="1:7" ht="16" thickTop="1" x14ac:dyDescent="0.35">
      <c r="A124" s="19" t="s">
        <v>142</v>
      </c>
      <c r="B124" s="13"/>
      <c r="C124" s="13" t="s">
        <v>13</v>
      </c>
      <c r="D124" s="95" t="s">
        <v>143</v>
      </c>
      <c r="E124" s="110"/>
      <c r="F124" s="79"/>
      <c r="G124" s="42"/>
    </row>
    <row r="125" spans="1:7" ht="16" thickBot="1" x14ac:dyDescent="0.4">
      <c r="A125" s="20" t="s">
        <v>30</v>
      </c>
      <c r="B125" s="15" t="s">
        <v>37</v>
      </c>
      <c r="C125" s="16" t="s">
        <v>19</v>
      </c>
      <c r="D125" s="96" t="s">
        <v>141</v>
      </c>
      <c r="E125" s="110"/>
      <c r="F125" s="36"/>
      <c r="G125" s="66" t="s">
        <v>136</v>
      </c>
    </row>
    <row r="126" spans="1:7" ht="16" thickTop="1" x14ac:dyDescent="0.35">
      <c r="A126" s="12" t="s">
        <v>31</v>
      </c>
      <c r="B126" s="12">
        <f>220184.62+180000</f>
        <v>400184.62</v>
      </c>
      <c r="C126" s="12">
        <v>257326</v>
      </c>
      <c r="D126" s="97">
        <f>129925*12/11</f>
        <v>141736.36363636365</v>
      </c>
      <c r="E126" s="103"/>
      <c r="G126" s="67">
        <v>150000</v>
      </c>
    </row>
    <row r="127" spans="1:7" x14ac:dyDescent="0.35">
      <c r="A127" s="14" t="s">
        <v>32</v>
      </c>
      <c r="B127" s="14">
        <f>49419+40000</f>
        <v>89419</v>
      </c>
      <c r="C127" s="14">
        <v>50202</v>
      </c>
      <c r="D127" s="97">
        <f>21238*1.09090909090909</f>
        <v>23168.727272727272</v>
      </c>
      <c r="E127" s="103"/>
      <c r="G127" s="67">
        <v>25000</v>
      </c>
    </row>
    <row r="128" spans="1:7" x14ac:dyDescent="0.35">
      <c r="A128" s="14" t="s">
        <v>33</v>
      </c>
      <c r="B128" s="14">
        <f>75716.32+50000</f>
        <v>125716.32</v>
      </c>
      <c r="C128" s="14">
        <v>91135</v>
      </c>
      <c r="D128" s="97">
        <f>58426*1.09090909090909</f>
        <v>63737.454545454544</v>
      </c>
      <c r="E128" s="103"/>
      <c r="G128" s="67">
        <v>70000</v>
      </c>
    </row>
    <row r="129" spans="1:8" x14ac:dyDescent="0.35">
      <c r="A129" s="14" t="s">
        <v>34</v>
      </c>
      <c r="B129" s="14">
        <f>18879.48+20000</f>
        <v>38879.479999999996</v>
      </c>
      <c r="C129" s="14">
        <v>20244</v>
      </c>
      <c r="D129" s="97">
        <f>10054*1.09090909090909</f>
        <v>10968</v>
      </c>
      <c r="E129" s="103"/>
      <c r="G129" s="67">
        <v>12000</v>
      </c>
    </row>
    <row r="130" spans="1:8" x14ac:dyDescent="0.35">
      <c r="A130" s="14" t="s">
        <v>35</v>
      </c>
      <c r="B130" s="14">
        <f>355752+770+370000</f>
        <v>726522</v>
      </c>
      <c r="C130" s="14">
        <v>443956</v>
      </c>
      <c r="D130" s="97">
        <f>285541*1.09090909090909</f>
        <v>311499.27272727271</v>
      </c>
      <c r="E130" s="103"/>
      <c r="G130" s="67">
        <v>325000</v>
      </c>
    </row>
    <row r="131" spans="1:8" x14ac:dyDescent="0.35">
      <c r="A131" s="14" t="s">
        <v>36</v>
      </c>
      <c r="B131" s="14">
        <f>218043+240000</f>
        <v>458043</v>
      </c>
      <c r="C131" s="14">
        <v>254233</v>
      </c>
      <c r="D131" s="97">
        <f>158866*1.09090909090909</f>
        <v>173308.36363636362</v>
      </c>
      <c r="E131" s="103"/>
      <c r="G131" s="67">
        <v>175000</v>
      </c>
    </row>
    <row r="132" spans="1:8" ht="16" thickBot="1" x14ac:dyDescent="0.4">
      <c r="A132" s="14"/>
      <c r="B132" s="14"/>
      <c r="C132" s="14"/>
      <c r="D132" s="97"/>
      <c r="E132" s="103"/>
      <c r="F132" s="2" t="s">
        <v>151</v>
      </c>
      <c r="G132" s="67">
        <v>-51735</v>
      </c>
    </row>
    <row r="133" spans="1:8" ht="16.5" thickTop="1" thickBot="1" x14ac:dyDescent="0.4">
      <c r="A133" s="35" t="s">
        <v>38</v>
      </c>
      <c r="B133" s="35">
        <f>SUM(B126:B131)</f>
        <v>1838764.42</v>
      </c>
      <c r="C133" s="35">
        <f>SUM(C126:C131)</f>
        <v>1117096</v>
      </c>
      <c r="D133" s="98">
        <f>SUM(D126:D131)</f>
        <v>724418.18181818177</v>
      </c>
      <c r="E133" s="103"/>
      <c r="F133" s="80" t="s">
        <v>129</v>
      </c>
      <c r="G133" s="112">
        <f>SUM(G126:G132)</f>
        <v>705265</v>
      </c>
    </row>
    <row r="134" spans="1:8" ht="16" thickTop="1" x14ac:dyDescent="0.35">
      <c r="A134" s="12"/>
      <c r="B134" s="12"/>
      <c r="C134" s="12"/>
      <c r="D134" s="99" t="s">
        <v>41</v>
      </c>
      <c r="E134" s="103"/>
      <c r="F134" s="81"/>
      <c r="G134" s="42"/>
      <c r="H134" s="31"/>
    </row>
    <row r="135" spans="1:8" ht="18.5" thickBot="1" x14ac:dyDescent="0.45">
      <c r="A135" s="17" t="s">
        <v>7</v>
      </c>
      <c r="B135" s="17">
        <f>+B123+C123</f>
        <v>6443436</v>
      </c>
      <c r="C135" s="17">
        <f>+D123</f>
        <v>2270013.4299999997</v>
      </c>
      <c r="D135" s="100">
        <f>(B133+C123)/B137</f>
        <v>0.68908419629864504</v>
      </c>
      <c r="E135" s="104"/>
      <c r="F135" s="82" t="s">
        <v>152</v>
      </c>
      <c r="G135" s="68">
        <v>305000</v>
      </c>
    </row>
    <row r="136" spans="1:8" ht="16" thickTop="1" x14ac:dyDescent="0.35">
      <c r="A136" s="14"/>
      <c r="B136" s="14"/>
      <c r="C136" s="14"/>
      <c r="D136" s="97" t="s">
        <v>40</v>
      </c>
      <c r="E136" s="103"/>
      <c r="F136" s="7"/>
      <c r="G136" s="43"/>
    </row>
    <row r="137" spans="1:8" s="23" customFormat="1" ht="18.5" thickBot="1" x14ac:dyDescent="0.45">
      <c r="A137" s="21" t="s">
        <v>39</v>
      </c>
      <c r="B137" s="21">
        <f>+B135+B133</f>
        <v>8282200.4199999999</v>
      </c>
      <c r="C137" s="22">
        <f>+C133+D123</f>
        <v>3387109.4299999997</v>
      </c>
      <c r="D137" s="101">
        <f>+C137/B137</f>
        <v>0.40896250491846947</v>
      </c>
      <c r="E137" s="104"/>
      <c r="F137" s="82" t="s">
        <v>144</v>
      </c>
      <c r="G137" s="68">
        <f>+G133+G135+SUM(F7:F122)</f>
        <v>4525000</v>
      </c>
    </row>
    <row r="138" spans="1:8" ht="16" thickTop="1" x14ac:dyDescent="0.35">
      <c r="C138" s="18"/>
      <c r="D138" s="102"/>
      <c r="E138" s="105"/>
      <c r="F138" s="7"/>
      <c r="G138" s="43"/>
    </row>
    <row r="139" spans="1:8" ht="18" x14ac:dyDescent="0.4">
      <c r="C139" s="117" t="s">
        <v>145</v>
      </c>
      <c r="D139" s="118"/>
      <c r="E139" s="106"/>
      <c r="F139" s="82" t="s">
        <v>147</v>
      </c>
      <c r="G139" s="68">
        <v>4525000</v>
      </c>
    </row>
    <row r="140" spans="1:8" x14ac:dyDescent="0.35">
      <c r="C140" s="117" t="s">
        <v>146</v>
      </c>
      <c r="D140" s="118"/>
      <c r="E140" s="106"/>
      <c r="F140" s="7"/>
      <c r="G140" s="43"/>
    </row>
    <row r="141" spans="1:8" ht="18.5" thickBot="1" x14ac:dyDescent="0.45">
      <c r="C141" s="119" t="s">
        <v>51</v>
      </c>
      <c r="D141" s="120"/>
      <c r="E141" s="111"/>
      <c r="F141" s="83" t="s">
        <v>148</v>
      </c>
      <c r="G141" s="69">
        <f>+G137-G139</f>
        <v>0</v>
      </c>
    </row>
    <row r="142" spans="1:8" ht="16" thickTop="1" x14ac:dyDescent="0.35"/>
  </sheetData>
  <mergeCells count="5">
    <mergeCell ref="F3:G3"/>
    <mergeCell ref="C140:D140"/>
    <mergeCell ref="C141:D141"/>
    <mergeCell ref="C139:D139"/>
    <mergeCell ref="B3:D3"/>
  </mergeCells>
  <phoneticPr fontId="0" type="noConversion"/>
  <pageMargins left="0.75" right="0.75" top="1" bottom="1" header="0.5" footer="0.5"/>
  <pageSetup scale="67" fitToHeight="0" orientation="landscape" r:id="rId1"/>
  <headerFooter alignWithMargins="0">
    <oddFooter>&amp;C&amp;"Allegro BT,Regular"&amp;14Page &amp;P of &amp;N</oddFooter>
  </headerFooter>
  <rowBreaks count="3" manualBreakCount="3">
    <brk id="43" max="6" man="1"/>
    <brk id="79" max="6" man="1"/>
    <brk id="11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30-204</vt:lpstr>
      <vt:lpstr>'30-204'!Print_Area</vt:lpstr>
      <vt:lpstr>'30-204'!Print_Titles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Miller</dc:creator>
  <cp:lastModifiedBy>Carina Negreanu</cp:lastModifiedBy>
  <cp:lastPrinted>2003-09-11T22:26:04Z</cp:lastPrinted>
  <dcterms:created xsi:type="dcterms:W3CDTF">1999-12-01T01:14:05Z</dcterms:created>
  <dcterms:modified xsi:type="dcterms:W3CDTF">2020-01-27T11:11:22Z</dcterms:modified>
</cp:coreProperties>
</file>