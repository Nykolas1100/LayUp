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165656-8F4F-4B8F-A01F-699164A339A7}" xr6:coauthVersionLast="45" xr6:coauthVersionMax="45" xr10:uidLastSave="{00000000-0000-0000-0000-000000000000}"/>
  <bookViews>
    <workbookView xWindow="380" yWindow="380" windowWidth="28800" windowHeight="15460" activeTab="2"/>
  </bookViews>
  <sheets>
    <sheet name="7.14" sheetId="2" r:id="rId1"/>
    <sheet name="7.16 (a)" sheetId="1" r:id="rId2"/>
    <sheet name="8.15(a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2" l="1"/>
  <c r="C12" i="2"/>
  <c r="B14" i="1"/>
  <c r="B16" i="1" s="1"/>
  <c r="E7" i="3" a="1"/>
  <c r="G9" i="3" s="1"/>
  <c r="E9" i="3" l="1"/>
  <c r="G8" i="3"/>
  <c r="E8" i="3"/>
  <c r="F9" i="3"/>
  <c r="F8" i="3"/>
  <c r="G7" i="3"/>
  <c r="F7" i="3"/>
  <c r="E7" i="3"/>
  <c r="K7" i="3" s="1" a="1"/>
  <c r="B21" i="1"/>
  <c r="K9" i="3" l="1"/>
  <c r="K8" i="3"/>
  <c r="K7" i="3"/>
  <c r="M7" i="3" s="1" a="1"/>
  <c r="M9" i="3" l="1"/>
  <c r="M7" i="3"/>
  <c r="M8" i="3"/>
</calcChain>
</file>

<file path=xl/sharedStrings.xml><?xml version="1.0" encoding="utf-8"?>
<sst xmlns="http://schemas.openxmlformats.org/spreadsheetml/2006/main" count="51" uniqueCount="38">
  <si>
    <t>612 - 101</t>
  </si>
  <si>
    <t>Homework 3</t>
  </si>
  <si>
    <r>
      <t xml:space="preserve">Length </t>
    </r>
    <r>
      <rPr>
        <b/>
        <sz val="10"/>
        <color indexed="10"/>
        <rFont val="Arial"/>
        <family val="2"/>
      </rPr>
      <t>L</t>
    </r>
    <r>
      <rPr>
        <sz val="10"/>
        <rFont val="Arial"/>
      </rPr>
      <t xml:space="preserve"> = </t>
    </r>
  </si>
  <si>
    <r>
      <t xml:space="preserve">Force </t>
    </r>
    <r>
      <rPr>
        <b/>
        <sz val="10"/>
        <color indexed="10"/>
        <rFont val="Arial"/>
        <family val="2"/>
      </rPr>
      <t>F</t>
    </r>
    <r>
      <rPr>
        <sz val="10"/>
        <rFont val="Arial"/>
      </rPr>
      <t xml:space="preserve"> = </t>
    </r>
  </si>
  <si>
    <r>
      <t xml:space="preserve">Modulus </t>
    </r>
    <r>
      <rPr>
        <b/>
        <sz val="10"/>
        <color indexed="10"/>
        <rFont val="Arial"/>
        <family val="2"/>
      </rPr>
      <t>E</t>
    </r>
    <r>
      <rPr>
        <sz val="10"/>
        <rFont val="Arial"/>
      </rPr>
      <t xml:space="preserve"> =</t>
    </r>
  </si>
  <si>
    <r>
      <t xml:space="preserve">Inertia </t>
    </r>
    <r>
      <rPr>
        <b/>
        <sz val="10"/>
        <color indexed="10"/>
        <rFont val="Arial"/>
        <family val="2"/>
      </rPr>
      <t>I</t>
    </r>
    <r>
      <rPr>
        <sz val="10"/>
        <rFont val="Arial"/>
      </rPr>
      <t xml:space="preserve"> =</t>
    </r>
  </si>
  <si>
    <r>
      <t xml:space="preserve">Length </t>
    </r>
    <r>
      <rPr>
        <b/>
        <sz val="10"/>
        <color indexed="10"/>
        <rFont val="Arial"/>
        <family val="2"/>
      </rPr>
      <t>a</t>
    </r>
    <r>
      <rPr>
        <sz val="10"/>
        <rFont val="Arial"/>
      </rPr>
      <t xml:space="preserve"> =</t>
    </r>
  </si>
  <si>
    <r>
      <t xml:space="preserve">Length </t>
    </r>
    <r>
      <rPr>
        <b/>
        <sz val="10"/>
        <color indexed="10"/>
        <rFont val="Arial"/>
        <family val="2"/>
      </rPr>
      <t>b</t>
    </r>
    <r>
      <rPr>
        <sz val="10"/>
        <rFont val="Arial"/>
      </rPr>
      <t xml:space="preserve"> =</t>
    </r>
  </si>
  <si>
    <r>
      <t>x max</t>
    </r>
    <r>
      <rPr>
        <sz val="10"/>
        <rFont val="Arial"/>
      </rPr>
      <t xml:space="preserve"> = </t>
    </r>
  </si>
  <si>
    <r>
      <t xml:space="preserve">Deflection </t>
    </r>
    <r>
      <rPr>
        <b/>
        <sz val="10"/>
        <color indexed="10"/>
        <rFont val="Arial"/>
        <family val="2"/>
      </rPr>
      <t>y</t>
    </r>
    <r>
      <rPr>
        <sz val="10"/>
        <rFont val="Arial"/>
      </rPr>
      <t xml:space="preserve"> =</t>
    </r>
  </si>
  <si>
    <t>Part (a)</t>
  </si>
  <si>
    <t>lbf</t>
  </si>
  <si>
    <t>in</t>
  </si>
  <si>
    <t>psi</t>
  </si>
  <si>
    <t>in^4</t>
  </si>
  <si>
    <t>Part (b)</t>
  </si>
  <si>
    <t xml:space="preserve">Total money borrowed </t>
  </si>
  <si>
    <t>Total monthly payment</t>
  </si>
  <si>
    <t>Monthly interest rate</t>
  </si>
  <si>
    <t># of payments</t>
  </si>
  <si>
    <r>
      <t>P</t>
    </r>
    <r>
      <rPr>
        <sz val="10"/>
        <rFont val="Arial"/>
      </rPr>
      <t xml:space="preserve"> =</t>
    </r>
  </si>
  <si>
    <r>
      <t>A</t>
    </r>
    <r>
      <rPr>
        <sz val="10"/>
        <rFont val="Arial"/>
      </rPr>
      <t xml:space="preserve"> = </t>
    </r>
  </si>
  <si>
    <r>
      <t>i</t>
    </r>
    <r>
      <rPr>
        <sz val="10"/>
        <rFont val="Arial"/>
      </rPr>
      <t xml:space="preserve"> =</t>
    </r>
  </si>
  <si>
    <r>
      <t>n</t>
    </r>
    <r>
      <rPr>
        <sz val="10"/>
        <rFont val="Arial"/>
      </rPr>
      <t xml:space="preserve"> =</t>
    </r>
  </si>
  <si>
    <t>$</t>
  </si>
  <si>
    <t>months</t>
  </si>
  <si>
    <t>Annual percentage rate</t>
  </si>
  <si>
    <t>%</t>
  </si>
  <si>
    <r>
      <t>API</t>
    </r>
    <r>
      <rPr>
        <sz val="10"/>
        <rFont val="Arial"/>
      </rPr>
      <t xml:space="preserve"> =</t>
    </r>
  </si>
  <si>
    <t>Goal seek not required</t>
  </si>
  <si>
    <t>Part (c)</t>
  </si>
  <si>
    <t>Goal seek required</t>
  </si>
  <si>
    <t>31.8 mon</t>
  </si>
  <si>
    <t>A Matrix</t>
  </si>
  <si>
    <t>A Inverse</t>
  </si>
  <si>
    <t>B Vector</t>
  </si>
  <si>
    <t>X Vector</t>
  </si>
  <si>
    <t>Check: AX =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</si>
</sst>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5" x14ac:knownFonts="1">
    <font>
      <sz val="10"/>
      <name val="Arial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color indexed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7" fontId="0" fillId="0" borderId="0" xfId="0" applyNumberFormat="1"/>
    <xf numFmtId="0" fontId="3" fillId="0" borderId="0" xfId="0" applyFont="1"/>
    <xf numFmtId="10" fontId="0" fillId="0" borderId="0" xfId="0" applyNumberFormat="1"/>
    <xf numFmtId="0" fontId="2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11" fontId="0" fillId="0" borderId="0" xfId="0" applyNumberFormat="1" applyFill="1"/>
    <xf numFmtId="0" fontId="2" fillId="0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E23" sqref="E23"/>
    </sheetView>
  </sheetViews>
  <sheetFormatPr defaultRowHeight="12.5" x14ac:dyDescent="0.25"/>
  <cols>
    <col min="1" max="1" width="19.90625" customWidth="1"/>
  </cols>
  <sheetData>
    <row r="1" spans="1:4" x14ac:dyDescent="0.25">
      <c r="A1" t="s">
        <v>0</v>
      </c>
    </row>
    <row r="2" spans="1:4" ht="13" x14ac:dyDescent="0.3">
      <c r="A2" s="1" t="s">
        <v>1</v>
      </c>
    </row>
    <row r="4" spans="1:4" ht="13" x14ac:dyDescent="0.3">
      <c r="A4" t="s">
        <v>16</v>
      </c>
      <c r="B4" s="1" t="s">
        <v>20</v>
      </c>
      <c r="C4">
        <v>10000</v>
      </c>
      <c r="D4" t="s">
        <v>24</v>
      </c>
    </row>
    <row r="6" spans="1:4" ht="13" x14ac:dyDescent="0.3">
      <c r="A6" t="s">
        <v>26</v>
      </c>
      <c r="B6" s="1" t="s">
        <v>28</v>
      </c>
      <c r="C6">
        <v>8</v>
      </c>
      <c r="D6" t="s">
        <v>27</v>
      </c>
    </row>
    <row r="8" spans="1:4" ht="13" x14ac:dyDescent="0.3">
      <c r="A8" t="s">
        <v>18</v>
      </c>
      <c r="B8" s="1" t="s">
        <v>22</v>
      </c>
      <c r="C8">
        <f>((C6/100)/12)</f>
        <v>6.6666666666666671E-3</v>
      </c>
      <c r="D8" t="s">
        <v>27</v>
      </c>
    </row>
    <row r="10" spans="1:4" ht="13" x14ac:dyDescent="0.3">
      <c r="A10" t="s">
        <v>19</v>
      </c>
      <c r="B10" s="1" t="s">
        <v>23</v>
      </c>
      <c r="C10">
        <v>36</v>
      </c>
      <c r="D10" t="s">
        <v>25</v>
      </c>
    </row>
    <row r="12" spans="1:4" ht="13" x14ac:dyDescent="0.3">
      <c r="A12" t="s">
        <v>17</v>
      </c>
      <c r="B12" s="1" t="s">
        <v>21</v>
      </c>
      <c r="C12">
        <f>(C4*((C8*((1+C8)^C10))/(((1+C8)^C10)-1)))</f>
        <v>313.36365461431086</v>
      </c>
      <c r="D12" t="s">
        <v>24</v>
      </c>
    </row>
    <row r="15" spans="1:4" ht="13" x14ac:dyDescent="0.3">
      <c r="A15" s="1" t="s">
        <v>10</v>
      </c>
      <c r="B15" s="2">
        <v>313.36</v>
      </c>
      <c r="C15" s="3" t="s">
        <v>29</v>
      </c>
    </row>
    <row r="17" spans="1:3" ht="13" x14ac:dyDescent="0.3">
      <c r="A17" s="1" t="s">
        <v>15</v>
      </c>
      <c r="B17" s="4">
        <v>1.3067999999999999E-4</v>
      </c>
      <c r="C17" s="3" t="s">
        <v>31</v>
      </c>
    </row>
    <row r="19" spans="1:3" ht="13" x14ac:dyDescent="0.3">
      <c r="A19" s="1" t="s">
        <v>30</v>
      </c>
      <c r="B19" t="s">
        <v>32</v>
      </c>
      <c r="C19" s="3" t="s">
        <v>31</v>
      </c>
    </row>
    <row r="21" spans="1:3" ht="13" x14ac:dyDescent="0.3">
      <c r="A21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H11" sqref="H11"/>
    </sheetView>
  </sheetViews>
  <sheetFormatPr defaultRowHeight="12.5" x14ac:dyDescent="0.25"/>
  <cols>
    <col min="1" max="1" width="12.08984375" customWidth="1"/>
    <col min="6" max="6" width="19.81640625" customWidth="1"/>
  </cols>
  <sheetData>
    <row r="1" spans="1:3" x14ac:dyDescent="0.25">
      <c r="A1" t="s">
        <v>0</v>
      </c>
    </row>
    <row r="2" spans="1:3" ht="13" x14ac:dyDescent="0.3">
      <c r="A2" s="1" t="s">
        <v>1</v>
      </c>
    </row>
    <row r="4" spans="1:3" ht="13" x14ac:dyDescent="0.3">
      <c r="A4" s="9" t="s">
        <v>3</v>
      </c>
      <c r="B4" s="9">
        <v>15000</v>
      </c>
      <c r="C4" s="9" t="s">
        <v>11</v>
      </c>
    </row>
    <row r="5" spans="1:3" x14ac:dyDescent="0.25">
      <c r="A5" s="9"/>
      <c r="B5" s="9"/>
      <c r="C5" s="9"/>
    </row>
    <row r="6" spans="1:3" ht="13" x14ac:dyDescent="0.3">
      <c r="A6" s="9" t="s">
        <v>2</v>
      </c>
      <c r="B6" s="9">
        <v>120</v>
      </c>
      <c r="C6" s="9" t="s">
        <v>12</v>
      </c>
    </row>
    <row r="7" spans="1:3" x14ac:dyDescent="0.25">
      <c r="A7" s="9"/>
      <c r="B7" s="9"/>
      <c r="C7" s="9"/>
    </row>
    <row r="8" spans="1:3" ht="13" x14ac:dyDescent="0.3">
      <c r="A8" s="9" t="s">
        <v>4</v>
      </c>
      <c r="B8" s="11">
        <v>30000000</v>
      </c>
      <c r="C8" s="9" t="s">
        <v>13</v>
      </c>
    </row>
    <row r="9" spans="1:3" x14ac:dyDescent="0.25">
      <c r="A9" s="9"/>
      <c r="B9" s="9"/>
      <c r="C9" s="9"/>
    </row>
    <row r="10" spans="1:3" ht="13" x14ac:dyDescent="0.3">
      <c r="A10" s="9" t="s">
        <v>5</v>
      </c>
      <c r="B10" s="9">
        <v>5</v>
      </c>
      <c r="C10" s="9" t="s">
        <v>14</v>
      </c>
    </row>
    <row r="11" spans="1:3" x14ac:dyDescent="0.25">
      <c r="A11" s="9"/>
      <c r="B11" s="9"/>
      <c r="C11" s="9"/>
    </row>
    <row r="12" spans="1:3" ht="13" x14ac:dyDescent="0.3">
      <c r="A12" s="9" t="s">
        <v>6</v>
      </c>
      <c r="B12" s="9">
        <v>48</v>
      </c>
      <c r="C12" s="9" t="s">
        <v>12</v>
      </c>
    </row>
    <row r="13" spans="1:3" x14ac:dyDescent="0.25">
      <c r="A13" s="9"/>
      <c r="B13" s="9"/>
      <c r="C13" s="9"/>
    </row>
    <row r="14" spans="1:3" ht="13" x14ac:dyDescent="0.3">
      <c r="A14" s="9" t="s">
        <v>7</v>
      </c>
      <c r="B14" s="9">
        <f>(B6-B12)</f>
        <v>72</v>
      </c>
      <c r="C14" s="9" t="s">
        <v>12</v>
      </c>
    </row>
    <row r="15" spans="1:3" x14ac:dyDescent="0.25">
      <c r="A15" s="9"/>
      <c r="B15" s="9"/>
      <c r="C15" s="9"/>
    </row>
    <row r="16" spans="1:3" ht="13" x14ac:dyDescent="0.3">
      <c r="A16" s="12" t="s">
        <v>8</v>
      </c>
      <c r="B16" s="9">
        <f>SQRT(((B6^2-B14^2)/3))</f>
        <v>55.42562584220407</v>
      </c>
      <c r="C16" s="9" t="s">
        <v>12</v>
      </c>
    </row>
    <row r="20" spans="1:3" ht="13" x14ac:dyDescent="0.3">
      <c r="A20" s="1" t="s">
        <v>10</v>
      </c>
    </row>
    <row r="21" spans="1:3" ht="13" x14ac:dyDescent="0.3">
      <c r="A21" s="9" t="s">
        <v>9</v>
      </c>
      <c r="B21" s="9">
        <f>(((B4*B14*B16)/(6*B8*B10*B6))*(B6^2-B16^2-B14^2))</f>
        <v>3.4053504517450177</v>
      </c>
      <c r="C21" s="9" t="s">
        <v>12</v>
      </c>
    </row>
  </sheetData>
  <phoneticPr fontId="0" type="noConversion"/>
  <pageMargins left="0.75" right="0.75" top="1" bottom="1" header="0.5" footer="0.5"/>
  <pageSetup orientation="portrait" horizontalDpi="30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H16" sqref="H16"/>
    </sheetView>
  </sheetViews>
  <sheetFormatPr defaultRowHeight="12.5" x14ac:dyDescent="0.25"/>
  <cols>
    <col min="1" max="1" width="11.453125" customWidth="1"/>
    <col min="4" max="4" width="4.36328125" customWidth="1"/>
    <col min="8" max="8" width="4.08984375" customWidth="1"/>
    <col min="10" max="10" width="4.81640625" customWidth="1"/>
    <col min="12" max="12" width="4.1796875" customWidth="1"/>
    <col min="13" max="13" width="13.81640625" customWidth="1"/>
  </cols>
  <sheetData>
    <row r="1" spans="1:13" x14ac:dyDescent="0.25">
      <c r="A1" t="s">
        <v>0</v>
      </c>
    </row>
    <row r="2" spans="1:13" ht="13" x14ac:dyDescent="0.3">
      <c r="A2" s="1" t="s">
        <v>1</v>
      </c>
    </row>
    <row r="4" spans="1:13" ht="13" x14ac:dyDescent="0.3">
      <c r="A4" s="6" t="s">
        <v>10</v>
      </c>
    </row>
    <row r="6" spans="1:13" ht="13" x14ac:dyDescent="0.3">
      <c r="A6" s="5" t="s">
        <v>33</v>
      </c>
      <c r="E6" s="5" t="s">
        <v>34</v>
      </c>
      <c r="I6" s="5" t="s">
        <v>35</v>
      </c>
      <c r="K6" s="5" t="s">
        <v>36</v>
      </c>
      <c r="M6" s="5" t="s">
        <v>37</v>
      </c>
    </row>
    <row r="7" spans="1:13" x14ac:dyDescent="0.25">
      <c r="A7" s="7">
        <v>1</v>
      </c>
      <c r="B7" s="7">
        <v>-2</v>
      </c>
      <c r="C7" s="7">
        <v>3</v>
      </c>
      <c r="E7" s="13">
        <f t="array" ref="E7:G9">MINVERSE(A7:C9)</f>
        <v>0.16666666666666666</v>
      </c>
      <c r="F7" s="13">
        <v>0.26190476190476192</v>
      </c>
      <c r="G7" s="13">
        <v>2.3809523809523819E-2</v>
      </c>
      <c r="I7" s="8">
        <v>17</v>
      </c>
      <c r="K7" s="10">
        <f t="array" ref="K7:K9">MMULT(E7:G9,I7:I9)</f>
        <v>3</v>
      </c>
      <c r="M7" s="14">
        <f t="array" ref="M7:M9">MMULT(A7:C9,K7:K9)</f>
        <v>17</v>
      </c>
    </row>
    <row r="8" spans="1:13" x14ac:dyDescent="0.25">
      <c r="A8" s="7">
        <v>3</v>
      </c>
      <c r="B8" s="7">
        <v>1</v>
      </c>
      <c r="C8" s="7">
        <v>-2</v>
      </c>
      <c r="E8" s="13">
        <v>-0.16666666666666669</v>
      </c>
      <c r="F8" s="13">
        <v>-0.11904761904761903</v>
      </c>
      <c r="G8" s="13">
        <v>0.26190476190476186</v>
      </c>
      <c r="I8" s="8">
        <v>0</v>
      </c>
      <c r="K8" s="10">
        <v>-1.0000000000000004</v>
      </c>
      <c r="M8" s="14">
        <v>8.8817841970012523E-16</v>
      </c>
    </row>
    <row r="9" spans="1:13" x14ac:dyDescent="0.25">
      <c r="A9" s="7">
        <v>2</v>
      </c>
      <c r="B9" s="7">
        <v>3</v>
      </c>
      <c r="C9" s="7">
        <v>1</v>
      </c>
      <c r="E9" s="13">
        <v>0.16666666666666666</v>
      </c>
      <c r="F9" s="13">
        <v>-0.16666666666666666</v>
      </c>
      <c r="G9" s="13">
        <v>0.16666666666666666</v>
      </c>
      <c r="I9" s="8">
        <v>7</v>
      </c>
      <c r="K9" s="10">
        <v>3.9999999999999996</v>
      </c>
      <c r="M9" s="14">
        <v>6.9999999999999982</v>
      </c>
    </row>
  </sheetData>
  <phoneticPr fontId="0" type="noConversion"/>
  <pageMargins left="0.75" right="0.75" top="1" bottom="1" header="0.5" footer="0.5"/>
  <pageSetup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7.14</vt:lpstr>
      <vt:lpstr>7.16 (a)</vt:lpstr>
      <vt:lpstr>8.15(a)</vt:lpstr>
    </vt:vector>
  </TitlesOfParts>
  <Company>UWM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Computational Technologies</dc:creator>
  <cp:lastModifiedBy>Carina Negreanu</cp:lastModifiedBy>
  <dcterms:created xsi:type="dcterms:W3CDTF">2002-01-16T20:18:57Z</dcterms:created>
  <dcterms:modified xsi:type="dcterms:W3CDTF">2020-01-27T11:43:38Z</dcterms:modified>
</cp:coreProperties>
</file>