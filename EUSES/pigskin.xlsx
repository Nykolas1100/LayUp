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8262C6C-8A00-44FD-82B6-94934B2A4538}" xr6:coauthVersionLast="45" xr6:coauthVersionMax="45" xr10:uidLastSave="{00000000-0000-0000-0000-000000000000}"/>
  <bookViews>
    <workbookView xWindow="380" yWindow="380" windowWidth="28800" windowHeight="15460"/>
  </bookViews>
  <sheets>
    <sheet name="Values" sheetId="1" r:id="rId1"/>
    <sheet name="Formulas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solver_adj" localSheetId="0" hidden="1">Values!$B$16:$G$16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Values!$B$16:$G$16</definedName>
    <definedName name="solver_lhs2" localSheetId="0" hidden="1">Values!$B$16:$G$16</definedName>
    <definedName name="solver_lhs3" localSheetId="0" hidden="1">Values!$B$20:$G$20</definedName>
    <definedName name="solver_lhs4" localSheetId="0" hidden="1">Values!$B$20:$G$20</definedName>
    <definedName name="solver_lin" localSheetId="0" hidden="1">1</definedName>
    <definedName name="solver_num" localSheetId="0" hidden="1">4</definedName>
    <definedName name="solver_nwt" localSheetId="0" hidden="1">1</definedName>
    <definedName name="solver_opt" localSheetId="0" hidden="1">Values!$B$12</definedName>
    <definedName name="solver_pre" localSheetId="0" hidden="1">0.000001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hs1" localSheetId="0" hidden="1">0</definedName>
    <definedName name="solver_rhs2" localSheetId="0" hidden="1">Values!$B$18:$G$18</definedName>
    <definedName name="solver_rhs3" localSheetId="0" hidden="1">0</definedName>
    <definedName name="solver_rhs4" localSheetId="0" hidden="1">Values!$B$22:$G$22</definedName>
    <definedName name="solver_scl" localSheetId="0" hidden="1">0</definedName>
    <definedName name="solver_sho" localSheetId="0" hidden="1">0</definedName>
    <definedName name="solver_tim" localSheetId="0" hidden="1">100</definedName>
    <definedName name="solver_tmp" localSheetId="0" hidden="1">Values!$B$22:$G$22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0" iterate="1" iterateCount="1"/>
</workbook>
</file>

<file path=xl/calcChain.xml><?xml version="1.0" encoding="utf-8"?>
<calcChain xmlns="http://schemas.openxmlformats.org/spreadsheetml/2006/main">
  <c r="B7" i="2" l="1"/>
  <c r="C7" i="2"/>
  <c r="D7" i="2"/>
  <c r="E7" i="2"/>
  <c r="F7" i="2"/>
  <c r="G7" i="2"/>
  <c r="B10" i="2"/>
  <c r="B11" i="2"/>
  <c r="B12" i="2"/>
  <c r="B20" i="2"/>
  <c r="C20" i="2"/>
  <c r="D20" i="2"/>
  <c r="E20" i="2"/>
  <c r="F20" i="2"/>
  <c r="G20" i="2"/>
  <c r="B7" i="1"/>
  <c r="C7" i="1"/>
  <c r="D7" i="1"/>
  <c r="E7" i="1"/>
  <c r="F7" i="1"/>
  <c r="G7" i="1"/>
  <c r="B10" i="1"/>
  <c r="B11" i="1"/>
  <c r="B12" i="1"/>
  <c r="B20" i="1"/>
  <c r="C20" i="1"/>
  <c r="D20" i="1"/>
  <c r="E20" i="1"/>
  <c r="F20" i="1"/>
  <c r="G20" i="1"/>
</calcChain>
</file>

<file path=xl/sharedStrings.xml><?xml version="1.0" encoding="utf-8"?>
<sst xmlns="http://schemas.openxmlformats.org/spreadsheetml/2006/main" count="62" uniqueCount="22">
  <si>
    <t>Multiperiod Production Problem</t>
  </si>
  <si>
    <t>Start inventory</t>
  </si>
  <si>
    <t>Month</t>
  </si>
  <si>
    <t>Demand</t>
  </si>
  <si>
    <t>Prod. cost/unit</t>
  </si>
  <si>
    <t>Holding cost/unit</t>
  </si>
  <si>
    <t>Summary of costs</t>
  </si>
  <si>
    <t>Total prod. cost</t>
  </si>
  <si>
    <t>Total holding cost</t>
  </si>
  <si>
    <t>Total cost</t>
  </si>
  <si>
    <t>Production plan</t>
  </si>
  <si>
    <t>Units produced</t>
  </si>
  <si>
    <t>&lt;=</t>
  </si>
  <si>
    <t>Production capacity</t>
  </si>
  <si>
    <t>Ending inventory</t>
  </si>
  <si>
    <t>Storage capacity</t>
  </si>
  <si>
    <t>Objective, Min</t>
  </si>
  <si>
    <t xml:space="preserve">Decision </t>
  </si>
  <si>
    <t>Variables,</t>
  </si>
  <si>
    <t>&gt;= 0</t>
  </si>
  <si>
    <t>Constraints</t>
  </si>
  <si>
    <t>Constrained &gt;=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</si>
</sst>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6" formatCode="&quot;$&quot;#,##0.00_);\(&quot;$&quot;#,##0.00\)"/>
    <numFmt numFmtId="170" formatCode="_(&quot;$&quot;* #,##0.00_);_(&quot;$&quot;* \(#,##0.00\);_(&quot;$&quot;* &quot;-&quot;??_);_(@_)"/>
    <numFmt numFmtId="172" formatCode="0.0000"/>
    <numFmt numFmtId="174" formatCode="0.000"/>
    <numFmt numFmtId="175" formatCode="&quot;$&quot;#,##0.000_);\(&quot;$&quot;#,##0.000\)"/>
  </numFmts>
  <fonts count="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/>
      <diagonal/>
    </border>
    <border>
      <left/>
      <right style="medium">
        <color indexed="12"/>
      </right>
      <top/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quotePrefix="1" applyFont="1" applyAlignment="1">
      <alignment horizontal="left"/>
    </xf>
    <xf numFmtId="0" fontId="3" fillId="0" borderId="0" xfId="0" applyFont="1"/>
    <xf numFmtId="0" fontId="3" fillId="0" borderId="1" xfId="0" applyFont="1" applyFill="1" applyBorder="1"/>
    <xf numFmtId="0" fontId="3" fillId="0" borderId="0" xfId="0" applyFont="1" applyFill="1"/>
    <xf numFmtId="0" fontId="2" fillId="0" borderId="0" xfId="0" applyFont="1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172" fontId="3" fillId="0" borderId="0" xfId="0" applyNumberFormat="1" applyFont="1" applyFill="1" applyAlignment="1">
      <alignment horizontal="centerContinuous"/>
    </xf>
    <xf numFmtId="1" fontId="3" fillId="0" borderId="0" xfId="0" applyNumberFormat="1" applyFont="1" applyFill="1" applyAlignment="1">
      <alignment horizontal="center"/>
    </xf>
    <xf numFmtId="174" fontId="3" fillId="0" borderId="0" xfId="0" applyNumberFormat="1" applyFont="1"/>
    <xf numFmtId="0" fontId="3" fillId="0" borderId="2" xfId="0" applyFont="1" applyFill="1" applyBorder="1"/>
    <xf numFmtId="0" fontId="3" fillId="0" borderId="3" xfId="0" applyFont="1" applyFill="1" applyBorder="1"/>
    <xf numFmtId="1" fontId="3" fillId="0" borderId="3" xfId="0" applyNumberFormat="1" applyFont="1" applyFill="1" applyBorder="1"/>
    <xf numFmtId="0" fontId="3" fillId="0" borderId="4" xfId="0" applyFont="1" applyFill="1" applyBorder="1"/>
    <xf numFmtId="0" fontId="3" fillId="0" borderId="0" xfId="0" quotePrefix="1" applyFont="1" applyAlignment="1">
      <alignment horizontal="left"/>
    </xf>
    <xf numFmtId="170" fontId="3" fillId="0" borderId="5" xfId="1" applyFont="1" applyFill="1" applyBorder="1"/>
    <xf numFmtId="170" fontId="3" fillId="0" borderId="0" xfId="1" applyFont="1" applyFill="1" applyBorder="1"/>
    <xf numFmtId="170" fontId="3" fillId="0" borderId="6" xfId="1" applyFont="1" applyFill="1" applyBorder="1"/>
    <xf numFmtId="175" fontId="3" fillId="0" borderId="7" xfId="0" applyNumberFormat="1" applyFont="1" applyFill="1" applyBorder="1"/>
    <xf numFmtId="175" fontId="3" fillId="0" borderId="8" xfId="0" applyNumberFormat="1" applyFont="1" applyFill="1" applyBorder="1"/>
    <xf numFmtId="175" fontId="3" fillId="0" borderId="9" xfId="0" applyNumberFormat="1" applyFont="1" applyFill="1" applyBorder="1"/>
    <xf numFmtId="175" fontId="3" fillId="0" borderId="0" xfId="0" applyNumberFormat="1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Border="1"/>
    <xf numFmtId="166" fontId="3" fillId="0" borderId="10" xfId="0" applyNumberFormat="1" applyFont="1" applyBorder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172" fontId="3" fillId="0" borderId="0" xfId="0" applyNumberFormat="1" applyFont="1" applyAlignment="1">
      <alignment horizontal="centerContinuous"/>
    </xf>
    <xf numFmtId="1" fontId="3" fillId="0" borderId="0" xfId="0" applyNumberFormat="1" applyFont="1" applyAlignment="1">
      <alignment horizontal="center"/>
    </xf>
    <xf numFmtId="0" fontId="3" fillId="0" borderId="11" xfId="0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0" fontId="3" fillId="0" borderId="0" xfId="0" quotePrefix="1" applyFont="1" applyBorder="1" applyAlignment="1">
      <alignment horizontal="right"/>
    </xf>
    <xf numFmtId="0" fontId="3" fillId="0" borderId="14" xfId="0" applyFont="1" applyFill="1" applyBorder="1"/>
    <xf numFmtId="0" fontId="3" fillId="0" borderId="15" xfId="0" applyFont="1" applyFill="1" applyBorder="1"/>
    <xf numFmtId="1" fontId="3" fillId="0" borderId="15" xfId="0" applyNumberFormat="1" applyFont="1" applyFill="1" applyBorder="1"/>
    <xf numFmtId="0" fontId="3" fillId="0" borderId="16" xfId="0" applyFont="1" applyFill="1" applyBorder="1"/>
    <xf numFmtId="0" fontId="3" fillId="0" borderId="0" xfId="0" applyFont="1" applyFill="1" applyBorder="1"/>
    <xf numFmtId="0" fontId="3" fillId="0" borderId="0" xfId="0" quotePrefix="1" applyFont="1" applyFill="1" applyBorder="1" applyAlignment="1">
      <alignment horizontal="right"/>
    </xf>
    <xf numFmtId="170" fontId="3" fillId="0" borderId="0" xfId="1" applyFont="1"/>
    <xf numFmtId="1" fontId="3" fillId="0" borderId="17" xfId="0" applyNumberFormat="1" applyFont="1" applyFill="1" applyBorder="1"/>
    <xf numFmtId="1" fontId="3" fillId="0" borderId="18" xfId="0" applyNumberFormat="1" applyFont="1" applyFill="1" applyBorder="1"/>
    <xf numFmtId="1" fontId="3" fillId="0" borderId="19" xfId="0" applyNumberFormat="1" applyFont="1" applyFill="1" applyBorder="1"/>
    <xf numFmtId="175" fontId="4" fillId="0" borderId="0" xfId="0" applyNumberFormat="1" applyFont="1" applyBorder="1"/>
    <xf numFmtId="170" fontId="4" fillId="0" borderId="0" xfId="1" applyFont="1"/>
    <xf numFmtId="0" fontId="4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9</xdr:row>
      <xdr:rowOff>101600</xdr:rowOff>
    </xdr:from>
    <xdr:to>
      <xdr:col>3</xdr:col>
      <xdr:colOff>0</xdr:colOff>
      <xdr:row>11</xdr:row>
      <xdr:rowOff>88900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A129523D-4040-49A0-A8C5-BC9DBEB3482D}"/>
            </a:ext>
          </a:extLst>
        </xdr:cNvPr>
        <xdr:cNvSpPr>
          <a:spLocks noChangeShapeType="1"/>
        </xdr:cNvSpPr>
      </xdr:nvSpPr>
      <xdr:spPr bwMode="auto">
        <a:xfrm flipH="1">
          <a:off x="4127500" y="1898650"/>
          <a:ext cx="1079500" cy="387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355600</xdr:colOff>
      <xdr:row>10</xdr:row>
      <xdr:rowOff>171450</xdr:rowOff>
    </xdr:from>
    <xdr:to>
      <xdr:col>4</xdr:col>
      <xdr:colOff>533400</xdr:colOff>
      <xdr:row>14</xdr:row>
      <xdr:rowOff>165100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90A7AA37-0AC1-486F-81E2-F4913A97D805}"/>
            </a:ext>
          </a:extLst>
        </xdr:cNvPr>
        <xdr:cNvSpPr>
          <a:spLocks noChangeShapeType="1"/>
        </xdr:cNvSpPr>
      </xdr:nvSpPr>
      <xdr:spPr bwMode="auto">
        <a:xfrm flipH="1">
          <a:off x="7048500" y="2165350"/>
          <a:ext cx="355600" cy="806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25400</xdr:colOff>
      <xdr:row>16</xdr:row>
      <xdr:rowOff>133350</xdr:rowOff>
    </xdr:from>
    <xdr:to>
      <xdr:col>7</xdr:col>
      <xdr:colOff>196850</xdr:colOff>
      <xdr:row>17</xdr:row>
      <xdr:rowOff>171450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A23144E9-58C1-4999-98F9-CBF71B9CA705}"/>
            </a:ext>
          </a:extLst>
        </xdr:cNvPr>
        <xdr:cNvSpPr>
          <a:spLocks noChangeShapeType="1"/>
        </xdr:cNvSpPr>
      </xdr:nvSpPr>
      <xdr:spPr bwMode="auto">
        <a:xfrm flipH="1" flipV="1">
          <a:off x="9728200" y="3352800"/>
          <a:ext cx="342900" cy="247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38100</xdr:colOff>
      <xdr:row>19</xdr:row>
      <xdr:rowOff>0</xdr:rowOff>
    </xdr:from>
    <xdr:to>
      <xdr:col>7</xdr:col>
      <xdr:colOff>215900</xdr:colOff>
      <xdr:row>20</xdr:row>
      <xdr:rowOff>133350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57B7FBE3-153E-4290-ABC0-D441B72B9C2A}"/>
            </a:ext>
          </a:extLst>
        </xdr:cNvPr>
        <xdr:cNvSpPr>
          <a:spLocks noChangeShapeType="1"/>
        </xdr:cNvSpPr>
      </xdr:nvSpPr>
      <xdr:spPr bwMode="auto">
        <a:xfrm flipH="1">
          <a:off x="9753600" y="3829050"/>
          <a:ext cx="355600" cy="33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20</xdr:row>
      <xdr:rowOff>6350</xdr:rowOff>
    </xdr:from>
    <xdr:to>
      <xdr:col>1</xdr:col>
      <xdr:colOff>1028700</xdr:colOff>
      <xdr:row>23</xdr:row>
      <xdr:rowOff>114300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92310029-D456-47C5-8C89-0D640C7B8A5A}"/>
            </a:ext>
          </a:extLst>
        </xdr:cNvPr>
        <xdr:cNvSpPr>
          <a:spLocks noChangeShapeType="1"/>
        </xdr:cNvSpPr>
      </xdr:nvSpPr>
      <xdr:spPr bwMode="auto">
        <a:xfrm flipV="1">
          <a:off x="2832100" y="4032250"/>
          <a:ext cx="774700" cy="711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F10" sqref="F10"/>
    </sheetView>
  </sheetViews>
  <sheetFormatPr defaultColWidth="21.453125" defaultRowHeight="15.5" x14ac:dyDescent="0.35"/>
  <cols>
    <col min="1" max="1" width="21.453125" style="2"/>
    <col min="2" max="2" width="13.453125" style="2" customWidth="1"/>
    <col min="3" max="7" width="9.6328125" style="2" customWidth="1"/>
    <col min="8" max="16384" width="21.453125" style="2"/>
  </cols>
  <sheetData>
    <row r="1" spans="1:8" ht="16" thickBot="1" x14ac:dyDescent="0.4">
      <c r="A1" s="1" t="s">
        <v>0</v>
      </c>
    </row>
    <row r="2" spans="1:8" ht="16" thickBot="1" x14ac:dyDescent="0.4">
      <c r="A2" s="2" t="s">
        <v>1</v>
      </c>
      <c r="B2" s="3">
        <v>50</v>
      </c>
      <c r="C2" s="4"/>
      <c r="D2" s="4"/>
      <c r="E2" s="4"/>
      <c r="F2" s="4"/>
      <c r="G2" s="4"/>
    </row>
    <row r="3" spans="1:8" x14ac:dyDescent="0.35">
      <c r="A3" s="5"/>
      <c r="B3" s="6" t="s">
        <v>2</v>
      </c>
      <c r="C3" s="7"/>
      <c r="D3" s="7"/>
      <c r="E3" s="8"/>
      <c r="F3" s="7"/>
      <c r="G3" s="7"/>
    </row>
    <row r="4" spans="1:8" ht="16" thickBot="1" x14ac:dyDescent="0.4">
      <c r="A4" s="5"/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10"/>
    </row>
    <row r="5" spans="1:8" x14ac:dyDescent="0.35">
      <c r="A5" s="2" t="s">
        <v>3</v>
      </c>
      <c r="B5" s="11">
        <v>100</v>
      </c>
      <c r="C5" s="12">
        <v>150</v>
      </c>
      <c r="D5" s="12">
        <v>300</v>
      </c>
      <c r="E5" s="13">
        <v>350</v>
      </c>
      <c r="F5" s="12">
        <v>250</v>
      </c>
      <c r="G5" s="14">
        <v>100</v>
      </c>
    </row>
    <row r="6" spans="1:8" x14ac:dyDescent="0.35">
      <c r="A6" s="15" t="s">
        <v>4</v>
      </c>
      <c r="B6" s="16">
        <v>12.5</v>
      </c>
      <c r="C6" s="17">
        <v>12.55</v>
      </c>
      <c r="D6" s="17">
        <v>12.7</v>
      </c>
      <c r="E6" s="17">
        <v>12.8</v>
      </c>
      <c r="F6" s="17">
        <v>12.85</v>
      </c>
      <c r="G6" s="18">
        <v>12.95</v>
      </c>
    </row>
    <row r="7" spans="1:8" ht="16" thickBot="1" x14ac:dyDescent="0.4">
      <c r="A7" s="15" t="s">
        <v>5</v>
      </c>
      <c r="B7" s="19">
        <f t="shared" ref="B7:G7" si="0">0.05*B6</f>
        <v>0.625</v>
      </c>
      <c r="C7" s="20">
        <f t="shared" si="0"/>
        <v>0.62750000000000006</v>
      </c>
      <c r="D7" s="20">
        <f t="shared" si="0"/>
        <v>0.63500000000000001</v>
      </c>
      <c r="E7" s="20">
        <f t="shared" si="0"/>
        <v>0.64000000000000012</v>
      </c>
      <c r="F7" s="20">
        <f t="shared" si="0"/>
        <v>0.64250000000000007</v>
      </c>
      <c r="G7" s="21">
        <f t="shared" si="0"/>
        <v>0.64749999999999996</v>
      </c>
    </row>
    <row r="8" spans="1:8" x14ac:dyDescent="0.35">
      <c r="A8" s="15"/>
      <c r="B8" s="22"/>
      <c r="C8" s="22"/>
      <c r="D8" s="22"/>
      <c r="E8" s="22"/>
      <c r="F8" s="22"/>
      <c r="G8" s="22"/>
    </row>
    <row r="9" spans="1:8" x14ac:dyDescent="0.35">
      <c r="A9" s="23" t="s">
        <v>6</v>
      </c>
      <c r="B9" s="22"/>
      <c r="C9" s="22"/>
      <c r="D9" s="22"/>
      <c r="E9" s="22"/>
      <c r="F9" s="22"/>
      <c r="G9" s="22"/>
    </row>
    <row r="10" spans="1:8" x14ac:dyDescent="0.35">
      <c r="A10" s="24" t="s">
        <v>7</v>
      </c>
      <c r="B10" s="25">
        <f>SUMPRODUCT(B6:G6,B16:G16)</f>
        <v>15292.500000000004</v>
      </c>
      <c r="C10" s="22"/>
      <c r="D10" s="22"/>
      <c r="E10" s="22"/>
      <c r="F10" s="22"/>
      <c r="G10" s="22"/>
    </row>
    <row r="11" spans="1:8" ht="16" thickBot="1" x14ac:dyDescent="0.4">
      <c r="A11" s="24" t="s">
        <v>8</v>
      </c>
      <c r="B11" s="25">
        <f>SUMPRODUCT(B7:G7,B20:G20)</f>
        <v>63.124999999942794</v>
      </c>
      <c r="C11" s="22"/>
      <c r="D11" s="22"/>
      <c r="E11" s="22"/>
      <c r="F11" s="22"/>
      <c r="G11" s="22"/>
    </row>
    <row r="12" spans="1:8" ht="16.5" thickTop="1" thickBot="1" x14ac:dyDescent="0.4">
      <c r="A12" s="23" t="s">
        <v>9</v>
      </c>
      <c r="B12" s="26">
        <f>B10+B11</f>
        <v>15355.624999999947</v>
      </c>
      <c r="C12" s="22"/>
      <c r="D12" s="22"/>
      <c r="E12" s="22"/>
      <c r="F12" s="22"/>
      <c r="G12" s="22"/>
    </row>
    <row r="13" spans="1:8" ht="16" thickTop="1" x14ac:dyDescent="0.35">
      <c r="A13" s="15"/>
      <c r="B13" s="22"/>
      <c r="C13" s="22"/>
      <c r="D13" s="22"/>
      <c r="E13" s="22"/>
      <c r="F13" s="22"/>
      <c r="G13" s="22"/>
    </row>
    <row r="14" spans="1:8" x14ac:dyDescent="0.35">
      <c r="A14" s="5" t="s">
        <v>10</v>
      </c>
      <c r="B14" s="27" t="s">
        <v>2</v>
      </c>
      <c r="C14" s="28"/>
      <c r="D14" s="28"/>
      <c r="E14" s="29"/>
      <c r="F14" s="28"/>
      <c r="G14" s="28"/>
    </row>
    <row r="15" spans="1:8" ht="16" thickBot="1" x14ac:dyDescent="0.4">
      <c r="A15" s="5"/>
      <c r="B15" s="30">
        <v>1</v>
      </c>
      <c r="C15" s="30">
        <v>2</v>
      </c>
      <c r="D15" s="30">
        <v>3</v>
      </c>
      <c r="E15" s="30">
        <v>4</v>
      </c>
      <c r="F15" s="30">
        <v>5</v>
      </c>
      <c r="G15" s="30">
        <v>6</v>
      </c>
    </row>
    <row r="16" spans="1:8" ht="16.5" thickTop="1" thickBot="1" x14ac:dyDescent="0.4">
      <c r="A16" s="2" t="s">
        <v>11</v>
      </c>
      <c r="B16" s="31">
        <v>49.999999999909036</v>
      </c>
      <c r="C16" s="32">
        <v>200.00000000009084</v>
      </c>
      <c r="D16" s="32">
        <v>300</v>
      </c>
      <c r="E16" s="32">
        <v>300</v>
      </c>
      <c r="F16" s="32">
        <v>250</v>
      </c>
      <c r="G16" s="33">
        <v>100</v>
      </c>
    </row>
    <row r="17" spans="1:7" ht="16.5" thickTop="1" thickBot="1" x14ac:dyDescent="0.4">
      <c r="B17" s="34" t="s">
        <v>12</v>
      </c>
      <c r="C17" s="34" t="s">
        <v>12</v>
      </c>
      <c r="D17" s="34" t="s">
        <v>12</v>
      </c>
      <c r="E17" s="34" t="s">
        <v>12</v>
      </c>
      <c r="F17" s="34" t="s">
        <v>12</v>
      </c>
      <c r="G17" s="34" t="s">
        <v>12</v>
      </c>
    </row>
    <row r="18" spans="1:7" ht="16" thickBot="1" x14ac:dyDescent="0.4">
      <c r="A18" s="2" t="s">
        <v>13</v>
      </c>
      <c r="B18" s="35">
        <v>300</v>
      </c>
      <c r="C18" s="36">
        <v>300</v>
      </c>
      <c r="D18" s="36">
        <v>300</v>
      </c>
      <c r="E18" s="37">
        <v>300</v>
      </c>
      <c r="F18" s="36">
        <v>300</v>
      </c>
      <c r="G18" s="38">
        <v>300</v>
      </c>
    </row>
    <row r="19" spans="1:7" x14ac:dyDescent="0.35">
      <c r="B19" s="39"/>
      <c r="C19" s="39"/>
      <c r="D19" s="39"/>
      <c r="E19" s="39"/>
      <c r="F19" s="39"/>
      <c r="G19" s="39"/>
    </row>
    <row r="20" spans="1:7" x14ac:dyDescent="0.35">
      <c r="A20" s="2" t="s">
        <v>14</v>
      </c>
      <c r="B20" s="42">
        <f>B2+B16-B5</f>
        <v>-9.0963681032008026E-11</v>
      </c>
      <c r="C20" s="43">
        <f>B20+C16-C5</f>
        <v>49.999999999999886</v>
      </c>
      <c r="D20" s="43">
        <f>C20+D16-D5</f>
        <v>49.999999999999886</v>
      </c>
      <c r="E20" s="43">
        <f>D20+E16-E5</f>
        <v>-1.1368683772161603E-13</v>
      </c>
      <c r="F20" s="43">
        <f>E20+F16-F5</f>
        <v>-1.1368683772161603E-13</v>
      </c>
      <c r="G20" s="44">
        <f>F20+G16-G5</f>
        <v>-1.1368683772161603E-13</v>
      </c>
    </row>
    <row r="21" spans="1:7" ht="16" thickBot="1" x14ac:dyDescent="0.4">
      <c r="B21" s="40" t="s">
        <v>12</v>
      </c>
      <c r="C21" s="40" t="s">
        <v>12</v>
      </c>
      <c r="D21" s="40" t="s">
        <v>12</v>
      </c>
      <c r="E21" s="40" t="s">
        <v>12</v>
      </c>
      <c r="F21" s="40" t="s">
        <v>12</v>
      </c>
      <c r="G21" s="40" t="s">
        <v>12</v>
      </c>
    </row>
    <row r="22" spans="1:7" ht="16" thickBot="1" x14ac:dyDescent="0.4">
      <c r="A22" s="2" t="s">
        <v>15</v>
      </c>
      <c r="B22" s="35">
        <v>100</v>
      </c>
      <c r="C22" s="36">
        <v>100</v>
      </c>
      <c r="D22" s="36">
        <v>100</v>
      </c>
      <c r="E22" s="36">
        <v>100</v>
      </c>
      <c r="F22" s="36">
        <v>100</v>
      </c>
      <c r="G22" s="38">
        <v>100</v>
      </c>
    </row>
    <row r="23" spans="1:7" x14ac:dyDescent="0.35">
      <c r="A23" s="5"/>
    </row>
    <row r="24" spans="1:7" x14ac:dyDescent="0.35">
      <c r="A24" s="5"/>
      <c r="B24" s="41"/>
    </row>
    <row r="25" spans="1:7" x14ac:dyDescent="0.35">
      <c r="A25" s="5"/>
      <c r="B25" s="41"/>
    </row>
    <row r="26" spans="1:7" x14ac:dyDescent="0.35">
      <c r="A26" s="5"/>
      <c r="B26" s="41"/>
    </row>
    <row r="27" spans="1:7" x14ac:dyDescent="0.35">
      <c r="A27" s="1"/>
      <c r="B27" s="17"/>
    </row>
  </sheetData>
  <printOptions horizontalCentered="1" verticalCentered="1" headings="1" gridLines="1" gridLinesSet="0"/>
  <pageMargins left="0.75" right="0.75" top="1" bottom="1" header="0.5" footer="0.5"/>
  <pageSetup scale="125" orientation="landscape" horizontalDpi="300" r:id="rId1"/>
  <headerFooter alignWithMargins="0">
    <oddHeader>PIGSKIN.XLS</oddHeader>
    <oddFooter>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showFormulas="1" workbookViewId="0">
      <selection activeCell="B24" sqref="B24"/>
    </sheetView>
  </sheetViews>
  <sheetFormatPr defaultColWidth="8.90625" defaultRowHeight="15.5" x14ac:dyDescent="0.35"/>
  <cols>
    <col min="1" max="1" width="11.08984375" style="2" customWidth="1"/>
    <col min="2" max="2" width="18.08984375" style="2" customWidth="1"/>
    <col min="3" max="4" width="8.08984375" style="2" customWidth="1"/>
    <col min="5" max="5" width="8" style="2" customWidth="1"/>
    <col min="6" max="6" width="7.90625" style="2" customWidth="1"/>
    <col min="7" max="7" width="8" style="2" customWidth="1"/>
    <col min="8" max="16384" width="8.90625" style="2"/>
  </cols>
  <sheetData>
    <row r="1" spans="1:8" ht="16" thickBot="1" x14ac:dyDescent="0.4">
      <c r="A1" s="1" t="s">
        <v>0</v>
      </c>
    </row>
    <row r="2" spans="1:8" ht="16" thickBot="1" x14ac:dyDescent="0.4">
      <c r="A2" s="2" t="s">
        <v>1</v>
      </c>
      <c r="B2" s="3">
        <v>50</v>
      </c>
      <c r="C2" s="4"/>
      <c r="D2" s="4"/>
      <c r="E2" s="4"/>
      <c r="F2" s="4"/>
      <c r="G2" s="4"/>
    </row>
    <row r="3" spans="1:8" x14ac:dyDescent="0.35">
      <c r="A3" s="5"/>
      <c r="B3" s="6" t="s">
        <v>2</v>
      </c>
      <c r="C3" s="7"/>
      <c r="D3" s="7"/>
      <c r="E3" s="8"/>
      <c r="F3" s="7"/>
      <c r="G3" s="7"/>
    </row>
    <row r="4" spans="1:8" ht="16" thickBot="1" x14ac:dyDescent="0.4">
      <c r="A4" s="5"/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10"/>
    </row>
    <row r="5" spans="1:8" x14ac:dyDescent="0.35">
      <c r="A5" s="2" t="s">
        <v>3</v>
      </c>
      <c r="B5" s="11">
        <v>100</v>
      </c>
      <c r="C5" s="12">
        <v>150</v>
      </c>
      <c r="D5" s="12">
        <v>300</v>
      </c>
      <c r="E5" s="13">
        <v>350</v>
      </c>
      <c r="F5" s="12">
        <v>250</v>
      </c>
      <c r="G5" s="14">
        <v>100</v>
      </c>
    </row>
    <row r="6" spans="1:8" x14ac:dyDescent="0.35">
      <c r="A6" s="15" t="s">
        <v>4</v>
      </c>
      <c r="B6" s="16">
        <v>12.5</v>
      </c>
      <c r="C6" s="17">
        <v>12.55</v>
      </c>
      <c r="D6" s="17">
        <v>12.7</v>
      </c>
      <c r="E6" s="17">
        <v>12.8</v>
      </c>
      <c r="F6" s="17">
        <v>12.85</v>
      </c>
      <c r="G6" s="18">
        <v>12.95</v>
      </c>
    </row>
    <row r="7" spans="1:8" ht="16" thickBot="1" x14ac:dyDescent="0.4">
      <c r="A7" s="15" t="s">
        <v>5</v>
      </c>
      <c r="B7" s="19">
        <f t="shared" ref="B7:G7" si="0">0.05*B6</f>
        <v>0.625</v>
      </c>
      <c r="C7" s="20">
        <f t="shared" si="0"/>
        <v>0.62750000000000006</v>
      </c>
      <c r="D7" s="20">
        <f t="shared" si="0"/>
        <v>0.63500000000000001</v>
      </c>
      <c r="E7" s="20">
        <f t="shared" si="0"/>
        <v>0.64000000000000012</v>
      </c>
      <c r="F7" s="20">
        <f t="shared" si="0"/>
        <v>0.64250000000000007</v>
      </c>
      <c r="G7" s="21">
        <f t="shared" si="0"/>
        <v>0.64749999999999996</v>
      </c>
    </row>
    <row r="8" spans="1:8" x14ac:dyDescent="0.35">
      <c r="A8" s="15"/>
      <c r="B8" s="22"/>
      <c r="C8" s="22"/>
      <c r="D8" s="22"/>
      <c r="E8" s="22"/>
      <c r="F8" s="22"/>
      <c r="G8" s="22"/>
    </row>
    <row r="9" spans="1:8" x14ac:dyDescent="0.35">
      <c r="A9" s="23" t="s">
        <v>6</v>
      </c>
      <c r="B9" s="22"/>
      <c r="C9" s="22"/>
      <c r="D9" s="22"/>
      <c r="E9" s="22"/>
      <c r="F9" s="22"/>
      <c r="G9" s="22"/>
    </row>
    <row r="10" spans="1:8" x14ac:dyDescent="0.35">
      <c r="A10" s="24" t="s">
        <v>7</v>
      </c>
      <c r="B10" s="25">
        <f>SUMPRODUCT(B6:G6,B16:G16)</f>
        <v>15292.500000000004</v>
      </c>
      <c r="C10" s="22"/>
      <c r="D10" s="45" t="s">
        <v>16</v>
      </c>
      <c r="E10" s="22"/>
      <c r="F10" s="45" t="s">
        <v>17</v>
      </c>
      <c r="G10" s="22"/>
    </row>
    <row r="11" spans="1:8" ht="16" thickBot="1" x14ac:dyDescent="0.4">
      <c r="A11" s="24" t="s">
        <v>8</v>
      </c>
      <c r="B11" s="25">
        <f>SUMPRODUCT(B7:G7,B20:G20)</f>
        <v>63.124999999942794</v>
      </c>
      <c r="C11" s="22"/>
      <c r="D11" s="22"/>
      <c r="E11" s="22"/>
      <c r="F11" s="45" t="s">
        <v>18</v>
      </c>
      <c r="G11" s="22"/>
    </row>
    <row r="12" spans="1:8" ht="16.5" thickTop="1" thickBot="1" x14ac:dyDescent="0.4">
      <c r="A12" s="23" t="s">
        <v>9</v>
      </c>
      <c r="B12" s="26">
        <f>B10+B11</f>
        <v>15355.624999999947</v>
      </c>
      <c r="C12" s="22"/>
      <c r="D12" s="22"/>
      <c r="E12" s="22"/>
      <c r="F12" s="45" t="s">
        <v>19</v>
      </c>
      <c r="G12" s="22"/>
    </row>
    <row r="13" spans="1:8" ht="16" thickTop="1" x14ac:dyDescent="0.35">
      <c r="A13" s="15"/>
      <c r="B13" s="22"/>
      <c r="C13" s="22"/>
      <c r="D13" s="22"/>
      <c r="E13" s="22"/>
      <c r="F13" s="22"/>
      <c r="G13" s="22"/>
    </row>
    <row r="14" spans="1:8" x14ac:dyDescent="0.35">
      <c r="A14" s="5" t="s">
        <v>10</v>
      </c>
      <c r="B14" s="27" t="s">
        <v>2</v>
      </c>
      <c r="C14" s="28"/>
      <c r="D14" s="28"/>
      <c r="E14" s="29"/>
      <c r="F14" s="28"/>
      <c r="G14" s="28"/>
    </row>
    <row r="15" spans="1:8" ht="16" thickBot="1" x14ac:dyDescent="0.4">
      <c r="A15" s="5"/>
      <c r="B15" s="30">
        <v>1</v>
      </c>
      <c r="C15" s="30">
        <v>2</v>
      </c>
      <c r="D15" s="30">
        <v>3</v>
      </c>
      <c r="E15" s="30">
        <v>4</v>
      </c>
      <c r="F15" s="30">
        <v>5</v>
      </c>
      <c r="G15" s="30">
        <v>6</v>
      </c>
    </row>
    <row r="16" spans="1:8" ht="16.5" thickTop="1" thickBot="1" x14ac:dyDescent="0.4">
      <c r="A16" s="2" t="s">
        <v>11</v>
      </c>
      <c r="B16" s="31">
        <v>49.999999999909036</v>
      </c>
      <c r="C16" s="32">
        <v>200.00000000009084</v>
      </c>
      <c r="D16" s="32">
        <v>300</v>
      </c>
      <c r="E16" s="32">
        <v>300</v>
      </c>
      <c r="F16" s="32">
        <v>250</v>
      </c>
      <c r="G16" s="33">
        <v>100</v>
      </c>
    </row>
    <row r="17" spans="1:8" ht="16.5" thickTop="1" thickBot="1" x14ac:dyDescent="0.4">
      <c r="B17" s="34" t="s">
        <v>12</v>
      </c>
      <c r="C17" s="34" t="s">
        <v>12</v>
      </c>
      <c r="D17" s="34" t="s">
        <v>12</v>
      </c>
      <c r="E17" s="34" t="s">
        <v>12</v>
      </c>
      <c r="F17" s="34" t="s">
        <v>12</v>
      </c>
      <c r="G17" s="34" t="s">
        <v>12</v>
      </c>
    </row>
    <row r="18" spans="1:8" ht="16" thickBot="1" x14ac:dyDescent="0.4">
      <c r="A18" s="2" t="s">
        <v>13</v>
      </c>
      <c r="B18" s="35">
        <v>300</v>
      </c>
      <c r="C18" s="36">
        <v>300</v>
      </c>
      <c r="D18" s="36">
        <v>300</v>
      </c>
      <c r="E18" s="37">
        <v>300</v>
      </c>
      <c r="F18" s="36">
        <v>300</v>
      </c>
      <c r="G18" s="38">
        <v>300</v>
      </c>
    </row>
    <row r="19" spans="1:8" x14ac:dyDescent="0.35">
      <c r="B19" s="39"/>
      <c r="C19" s="39"/>
      <c r="D19" s="39"/>
      <c r="E19" s="39"/>
      <c r="F19" s="39"/>
      <c r="G19" s="39"/>
      <c r="H19" s="47" t="s">
        <v>20</v>
      </c>
    </row>
    <row r="20" spans="1:8" x14ac:dyDescent="0.35">
      <c r="A20" s="2" t="s">
        <v>14</v>
      </c>
      <c r="B20" s="42">
        <f>B2+B16-B5</f>
        <v>-9.0963681032008026E-11</v>
      </c>
      <c r="C20" s="43">
        <f>B20+C16-C5</f>
        <v>49.999999999999886</v>
      </c>
      <c r="D20" s="43">
        <f>C20+D16-D5</f>
        <v>49.999999999999886</v>
      </c>
      <c r="E20" s="43">
        <f>D20+E16-E5</f>
        <v>-1.1368683772161603E-13</v>
      </c>
      <c r="F20" s="43">
        <f>E20+F16-F5</f>
        <v>-1.1368683772161603E-13</v>
      </c>
      <c r="G20" s="44">
        <f>F20+G16-G5</f>
        <v>-1.1368683772161603E-13</v>
      </c>
    </row>
    <row r="21" spans="1:8" ht="16" thickBot="1" x14ac:dyDescent="0.4">
      <c r="B21" s="40" t="s">
        <v>12</v>
      </c>
      <c r="C21" s="40" t="s">
        <v>12</v>
      </c>
      <c r="D21" s="40" t="s">
        <v>12</v>
      </c>
      <c r="E21" s="40" t="s">
        <v>12</v>
      </c>
      <c r="F21" s="40" t="s">
        <v>12</v>
      </c>
      <c r="G21" s="40" t="s">
        <v>12</v>
      </c>
    </row>
    <row r="22" spans="1:8" ht="16" thickBot="1" x14ac:dyDescent="0.4">
      <c r="A22" s="2" t="s">
        <v>15</v>
      </c>
      <c r="B22" s="35">
        <v>100</v>
      </c>
      <c r="C22" s="36">
        <v>100</v>
      </c>
      <c r="D22" s="36">
        <v>100</v>
      </c>
      <c r="E22" s="36">
        <v>100</v>
      </c>
      <c r="F22" s="36">
        <v>100</v>
      </c>
      <c r="G22" s="38">
        <v>100</v>
      </c>
    </row>
    <row r="23" spans="1:8" x14ac:dyDescent="0.35">
      <c r="A23" s="5"/>
    </row>
    <row r="24" spans="1:8" x14ac:dyDescent="0.35">
      <c r="A24" s="5"/>
      <c r="B24" s="46" t="s">
        <v>21</v>
      </c>
    </row>
    <row r="25" spans="1:8" x14ac:dyDescent="0.35">
      <c r="A25" s="5"/>
      <c r="B25" s="41"/>
    </row>
    <row r="26" spans="1:8" x14ac:dyDescent="0.35">
      <c r="A26" s="5"/>
      <c r="B26" s="41"/>
    </row>
    <row r="27" spans="1:8" x14ac:dyDescent="0.35">
      <c r="A27" s="1"/>
      <c r="B27" s="17"/>
    </row>
  </sheetData>
  <printOptions horizontalCentered="1" verticalCentered="1" headings="1" gridLines="1" gridLinesSet="0"/>
  <pageMargins left="0.75" right="0.75" top="1" bottom="1" header="0.5" footer="0.5"/>
  <pageSetup scale="77" orientation="landscape" horizontalDpi="300" r:id="rId1"/>
  <headerFooter alignWithMargins="0">
    <oddHeader>PIGSKIN.XLS</oddHeader>
    <oddFooter>&amp;A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Values</vt:lpstr>
      <vt:lpstr>Formulas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Business/FOM - New Br</dc:creator>
  <cp:lastModifiedBy>Carina Negreanu</cp:lastModifiedBy>
  <cp:lastPrinted>2000-02-08T21:24:28Z</cp:lastPrinted>
  <dcterms:created xsi:type="dcterms:W3CDTF">2020-01-27T10:33:18Z</dcterms:created>
  <dcterms:modified xsi:type="dcterms:W3CDTF">2020-01-27T10:33:18Z</dcterms:modified>
</cp:coreProperties>
</file>