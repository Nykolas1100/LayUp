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6AA38B-BC71-42B0-8C92-AAB6E52DCADB}" xr6:coauthVersionLast="45" xr6:coauthVersionMax="45" xr10:uidLastSave="{00000000-0000-0000-0000-000000000000}"/>
  <bookViews>
    <workbookView xWindow="2280" yWindow="2280" windowWidth="28800" windowHeight="15460" tabRatio="608" activeTab="3"/>
  </bookViews>
  <sheets>
    <sheet name="problem 2.1" sheetId="1" r:id="rId1"/>
    <sheet name="problem 2.2" sheetId="2" r:id="rId2"/>
    <sheet name="problem 2.3" sheetId="3" r:id="rId3"/>
    <sheet name="problem 2.4" sheetId="4" r:id="rId4"/>
    <sheet name="problem 2.5" sheetId="5" r:id="rId5"/>
    <sheet name="problem 2.6" sheetId="6" r:id="rId6"/>
    <sheet name="problem 2.7" sheetId="7" r:id="rId7"/>
    <sheet name="-----------" sheetId="8" r:id="rId8"/>
    <sheet name="Sheet7" sheetId="9" r:id="rId9"/>
    <sheet name="Sheet8" sheetId="10" r:id="rId10"/>
    <sheet name="Sheet9" sheetId="11" r:id="rId11"/>
    <sheet name="Sheet10" sheetId="12" r:id="rId12"/>
    <sheet name="Sheet11" sheetId="13" r:id="rId13"/>
    <sheet name="Sheet12" sheetId="14" r:id="rId14"/>
    <sheet name="Sheet13" sheetId="15" r:id="rId15"/>
    <sheet name="Sheet14" sheetId="16" r:id="rId16"/>
    <sheet name="Sheet15" sheetId="17" r:id="rId17"/>
    <sheet name="Sheet16" sheetId="18" r:id="rId18"/>
  </sheets>
  <calcPr calcId="0" iterate="1"/>
</workbook>
</file>

<file path=xl/calcChain.xml><?xml version="1.0" encoding="utf-8"?>
<calcChain xmlns="http://schemas.openxmlformats.org/spreadsheetml/2006/main">
  <c r="D47" i="5" l="1"/>
  <c r="E47" i="5"/>
  <c r="D48" i="5"/>
  <c r="E48" i="5"/>
  <c r="D49" i="5"/>
  <c r="E49" i="5"/>
  <c r="D50" i="5"/>
  <c r="E50" i="5"/>
  <c r="D51" i="5"/>
  <c r="E51" i="5"/>
  <c r="D52" i="5"/>
  <c r="E52" i="5"/>
  <c r="D53" i="5"/>
  <c r="E53" i="5"/>
  <c r="G66" i="5"/>
  <c r="G67" i="5"/>
  <c r="G68" i="5"/>
  <c r="G69" i="5"/>
  <c r="G70" i="5"/>
  <c r="G72" i="5"/>
  <c r="G73" i="5"/>
  <c r="G74" i="5"/>
  <c r="G76" i="5"/>
  <c r="G77" i="5"/>
  <c r="D94" i="5"/>
  <c r="F94" i="5"/>
  <c r="G94" i="5"/>
  <c r="H94" i="5"/>
  <c r="I94" i="5"/>
  <c r="J94" i="5"/>
  <c r="K94" i="5"/>
  <c r="D95" i="5"/>
  <c r="F95" i="5"/>
  <c r="G95" i="5"/>
  <c r="H95" i="5"/>
  <c r="I95" i="5"/>
  <c r="J95" i="5"/>
  <c r="K95" i="5"/>
  <c r="D98" i="5"/>
  <c r="D98" i="5" a="1"/>
  <c r="F98" i="5"/>
  <c r="F98" i="5" a="1"/>
  <c r="G98" i="5"/>
  <c r="G98" i="5" a="1"/>
  <c r="H98" i="5"/>
  <c r="H98" i="5" a="1"/>
  <c r="I98" i="5"/>
  <c r="I98" i="5" a="1"/>
  <c r="J98" i="5"/>
  <c r="J98" i="5" a="1"/>
  <c r="K98" i="5"/>
  <c r="K98" i="5" a="1"/>
  <c r="D99" i="5"/>
  <c r="D99" i="5" a="1"/>
  <c r="F99" i="5"/>
  <c r="F99" i="5" a="1"/>
  <c r="G99" i="5"/>
  <c r="H99" i="5"/>
  <c r="H99" i="5" a="1"/>
  <c r="I99" i="5"/>
  <c r="I99" i="5" a="1"/>
  <c r="J99" i="5"/>
  <c r="J99" i="5" a="1"/>
  <c r="K99" i="5"/>
  <c r="K99" i="5" a="1"/>
  <c r="G45" i="6"/>
  <c r="H45" i="6"/>
  <c r="G46" i="6"/>
  <c r="H46" i="6"/>
  <c r="G48" i="6"/>
  <c r="H48" i="6"/>
  <c r="G49" i="6"/>
  <c r="H49" i="6"/>
  <c r="G50" i="6"/>
  <c r="H50" i="6"/>
  <c r="G51" i="6"/>
  <c r="H51" i="6"/>
  <c r="G53" i="6"/>
  <c r="H53" i="6"/>
  <c r="G54" i="6"/>
  <c r="H54" i="6"/>
  <c r="G55" i="6"/>
  <c r="H55" i="6"/>
  <c r="G56" i="6"/>
  <c r="H56" i="6"/>
  <c r="G58" i="6"/>
  <c r="H58" i="6"/>
  <c r="G59" i="6"/>
  <c r="H59" i="6"/>
  <c r="G61" i="6"/>
  <c r="H61" i="6"/>
  <c r="G62" i="6"/>
  <c r="H62" i="6"/>
  <c r="G64" i="6"/>
  <c r="H64" i="6"/>
  <c r="G65" i="6"/>
  <c r="H65" i="6"/>
  <c r="D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D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D110" i="6"/>
  <c r="D110" i="6" a="1"/>
  <c r="F110" i="6"/>
  <c r="F110" i="6" a="1"/>
  <c r="G110" i="6"/>
  <c r="G110" i="6" a="1"/>
  <c r="H110" i="6"/>
  <c r="H110" i="6" a="1"/>
  <c r="I110" i="6"/>
  <c r="I110" i="6" a="1"/>
  <c r="J110" i="6"/>
  <c r="J110" i="6" a="1"/>
  <c r="K110" i="6"/>
  <c r="K110" i="6" a="1"/>
  <c r="L110" i="6"/>
  <c r="L110" i="6" a="1"/>
  <c r="M110" i="6"/>
  <c r="M110" i="6" a="1"/>
  <c r="N110" i="6"/>
  <c r="N110" i="6" a="1"/>
  <c r="O110" i="6"/>
  <c r="O110" i="6" a="1"/>
  <c r="P110" i="6"/>
  <c r="P110" i="6" a="1"/>
  <c r="Q110" i="6"/>
  <c r="Q110" i="6" a="1"/>
  <c r="R110" i="6"/>
  <c r="R110" i="6" a="1"/>
  <c r="S110" i="6"/>
  <c r="S110" i="6" a="1"/>
  <c r="T110" i="6"/>
  <c r="T110" i="6" a="1"/>
  <c r="U110" i="6"/>
  <c r="U110" i="6" a="1"/>
  <c r="D111" i="6"/>
  <c r="D111" i="6" a="1"/>
  <c r="F111" i="6"/>
  <c r="F111" i="6" a="1"/>
  <c r="G111" i="6"/>
  <c r="G111" i="6" a="1"/>
  <c r="H111" i="6"/>
  <c r="H111" i="6" a="1"/>
  <c r="I111" i="6"/>
  <c r="I111" i="6" a="1"/>
  <c r="J111" i="6"/>
  <c r="J111" i="6" a="1"/>
  <c r="K111" i="6"/>
  <c r="K111" i="6" a="1"/>
  <c r="L111" i="6"/>
  <c r="L111" i="6" a="1"/>
  <c r="M111" i="6"/>
  <c r="M111" i="6" a="1"/>
  <c r="N111" i="6"/>
  <c r="N111" i="6" a="1"/>
  <c r="O111" i="6"/>
  <c r="O111" i="6" a="1"/>
  <c r="P111" i="6"/>
  <c r="Q111" i="6"/>
  <c r="Q111" i="6" a="1"/>
  <c r="R111" i="6"/>
  <c r="R111" i="6" a="1"/>
  <c r="S111" i="6"/>
  <c r="S111" i="6" a="1"/>
  <c r="T111" i="6"/>
  <c r="T111" i="6" a="1"/>
  <c r="U111" i="6"/>
  <c r="U111" i="6" a="1"/>
  <c r="J8" i="7"/>
  <c r="K8" i="7"/>
  <c r="J9" i="7"/>
  <c r="K9" i="7"/>
  <c r="J11" i="7"/>
  <c r="K11" i="7"/>
  <c r="J12" i="7"/>
  <c r="K12" i="7"/>
  <c r="J14" i="7"/>
  <c r="K14" i="7"/>
  <c r="J15" i="7"/>
  <c r="K15" i="7"/>
  <c r="J17" i="7"/>
  <c r="K17" i="7"/>
  <c r="J18" i="7"/>
  <c r="K18" i="7"/>
  <c r="J20" i="7"/>
  <c r="K20" i="7"/>
  <c r="J21" i="7"/>
  <c r="K21" i="7"/>
  <c r="J23" i="7"/>
  <c r="K23" i="7"/>
  <c r="J24" i="7"/>
  <c r="K24" i="7"/>
  <c r="J25" i="7"/>
  <c r="K25" i="7"/>
  <c r="J27" i="7"/>
  <c r="K27" i="7"/>
  <c r="J28" i="7"/>
  <c r="K28" i="7"/>
  <c r="J30" i="7"/>
  <c r="K30" i="7"/>
  <c r="J31" i="7"/>
  <c r="K31" i="7"/>
  <c r="J32" i="7"/>
  <c r="K32" i="7"/>
  <c r="J34" i="7"/>
  <c r="K34" i="7"/>
  <c r="J35" i="7"/>
  <c r="K35" i="7"/>
  <c r="J36" i="7"/>
  <c r="K36" i="7"/>
  <c r="D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D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D81" i="7"/>
  <c r="D81" i="7" a="1"/>
  <c r="F81" i="7"/>
  <c r="F81" i="7" a="1"/>
  <c r="G81" i="7"/>
  <c r="G81" i="7" a="1"/>
  <c r="H81" i="7"/>
  <c r="H81" i="7" a="1"/>
  <c r="I81" i="7"/>
  <c r="I81" i="7" a="1"/>
  <c r="J81" i="7"/>
  <c r="J81" i="7" a="1"/>
  <c r="K81" i="7"/>
  <c r="K81" i="7" a="1"/>
  <c r="L81" i="7"/>
  <c r="L81" i="7" a="1"/>
  <c r="M81" i="7"/>
  <c r="M81" i="7" a="1"/>
  <c r="N81" i="7"/>
  <c r="N81" i="7" a="1"/>
  <c r="O81" i="7"/>
  <c r="O81" i="7" a="1"/>
  <c r="P81" i="7"/>
  <c r="P81" i="7" a="1"/>
  <c r="Q81" i="7"/>
  <c r="Q81" i="7" a="1"/>
  <c r="R81" i="7"/>
  <c r="R81" i="7" a="1"/>
  <c r="S81" i="7"/>
  <c r="S81" i="7" a="1"/>
  <c r="T81" i="7"/>
  <c r="T81" i="7" a="1"/>
  <c r="U81" i="7"/>
  <c r="U81" i="7" a="1"/>
  <c r="V81" i="7"/>
  <c r="V81" i="7" a="1"/>
  <c r="W81" i="7"/>
  <c r="W81" i="7" a="1"/>
  <c r="X81" i="7"/>
  <c r="X81" i="7" a="1"/>
  <c r="Y81" i="7"/>
  <c r="Y81" i="7" a="1"/>
  <c r="Z81" i="7"/>
  <c r="Z81" i="7" a="1"/>
  <c r="D82" i="7"/>
  <c r="D82" i="7" a="1"/>
  <c r="F82" i="7"/>
  <c r="F82" i="7" a="1"/>
  <c r="G82" i="7"/>
  <c r="G82" i="7" a="1"/>
  <c r="H82" i="7"/>
  <c r="H82" i="7" a="1"/>
  <c r="I82" i="7"/>
  <c r="I82" i="7" a="1"/>
  <c r="J82" i="7"/>
  <c r="J82" i="7" a="1"/>
  <c r="K82" i="7"/>
  <c r="K82" i="7" a="1"/>
  <c r="L82" i="7"/>
  <c r="L82" i="7" a="1"/>
  <c r="M82" i="7"/>
  <c r="M82" i="7" a="1"/>
  <c r="N82" i="7"/>
  <c r="N82" i="7" a="1"/>
  <c r="O82" i="7"/>
  <c r="O82" i="7" a="1"/>
  <c r="P82" i="7"/>
  <c r="P82" i="7" a="1"/>
  <c r="Q82" i="7"/>
  <c r="Q82" i="7" a="1"/>
  <c r="R82" i="7"/>
  <c r="R82" i="7" a="1"/>
  <c r="S82" i="7"/>
  <c r="S82" i="7" a="1"/>
  <c r="T82" i="7"/>
  <c r="T82" i="7" a="1"/>
  <c r="U82" i="7"/>
  <c r="U82" i="7" a="1"/>
  <c r="V82" i="7"/>
  <c r="V82" i="7" a="1"/>
  <c r="W82" i="7"/>
  <c r="W82" i="7" a="1"/>
  <c r="X82" i="7"/>
  <c r="X82" i="7" a="1"/>
  <c r="Y82" i="7"/>
  <c r="Y82" i="7" a="1"/>
  <c r="Z82" i="7"/>
  <c r="Z82" i="7" a="1"/>
</calcChain>
</file>

<file path=xl/sharedStrings.xml><?xml version="1.0" encoding="utf-8"?>
<sst xmlns="http://schemas.openxmlformats.org/spreadsheetml/2006/main" count="640" uniqueCount="234">
  <si>
    <t>Problem 2.1</t>
  </si>
  <si>
    <t>Table 2.1: Suitability of household and school-based survey data for analyzing selected issues in education</t>
  </si>
  <si>
    <t>Household Survey</t>
  </si>
  <si>
    <t>School-Based Survey</t>
  </si>
  <si>
    <t>Entry rates to Grade 1</t>
  </si>
  <si>
    <t>Survival patterns within cycles of education</t>
  </si>
  <si>
    <t>Grade repetition</t>
  </si>
  <si>
    <t>Dropout behavior</t>
  </si>
  <si>
    <t>Transition between cycles of education</t>
  </si>
  <si>
    <t>Problem 2.2</t>
  </si>
  <si>
    <t>(i) Your thoughts on sampling criteria:</t>
  </si>
  <si>
    <t xml:space="preserve">(Comment on the selection of regions to sample, as well as the selection of localities within the regions  </t>
  </si>
  <si>
    <t>and households within the sample localities.)</t>
  </si>
  <si>
    <t>(ii) Your thoughts on the data to be collected regarding:</t>
  </si>
  <si>
    <t>a) The household and its composition of members?</t>
  </si>
  <si>
    <t>b) The adult members of the household?</t>
  </si>
  <si>
    <t>c) The school-age children in the household?</t>
  </si>
  <si>
    <t>d) Schools in the household's neighborhood?</t>
  </si>
  <si>
    <t>e) The household's community?</t>
  </si>
  <si>
    <t>Problem 2.3</t>
  </si>
  <si>
    <t>Table 2.2: Regression estimates of the probability of ever being enrolled in grade 1, rural girls and boys in Country Y</t>
  </si>
  <si>
    <t>Boys</t>
  </si>
  <si>
    <t>Girls</t>
  </si>
  <si>
    <t>Coefficient</t>
  </si>
  <si>
    <t>Statistical significance</t>
  </si>
  <si>
    <t>Characteristics of the school nearest to child's home</t>
  </si>
  <si>
    <t xml:space="preserve"> .Free meal at school:</t>
  </si>
  <si>
    <t xml:space="preserve">      Not offered (omitted category)</t>
  </si>
  <si>
    <t>__</t>
  </si>
  <si>
    <t xml:space="preserve">      Offered &amp; school is &lt;2 km from home</t>
  </si>
  <si>
    <t>ns</t>
  </si>
  <si>
    <t xml:space="preserve">      Offered &amp; school is &gt;2 km from home</t>
  </si>
  <si>
    <t>*</t>
  </si>
  <si>
    <t>***</t>
  </si>
  <si>
    <t xml:space="preserve"> .School has toilet facilities</t>
  </si>
  <si>
    <t>**</t>
  </si>
  <si>
    <t xml:space="preserve"> .School uses multigrade teaching</t>
  </si>
  <si>
    <t xml:space="preserve"> .School offers all grades of instruction in primary cycle</t>
  </si>
  <si>
    <t xml:space="preserve"> .Distance between the school and child's home:</t>
  </si>
  <si>
    <t xml:space="preserve">       Less than 0.5 km (omitted category)</t>
  </si>
  <si>
    <t xml:space="preserve">    </t>
  </si>
  <si>
    <t xml:space="preserve">   </t>
  </si>
  <si>
    <t xml:space="preserve">       Between 0.5 km and 2 km</t>
  </si>
  <si>
    <t xml:space="preserve">       Between 2 km and 4km</t>
  </si>
  <si>
    <t xml:space="preserve">       More than 4 km</t>
  </si>
  <si>
    <t xml:space="preserve"> .School  is in district with publicity campaign for girls' schooling</t>
  </si>
  <si>
    <t xml:space="preserve"> .First grade teacher in the school is a woman</t>
  </si>
  <si>
    <t>Child's family background variables</t>
  </si>
  <si>
    <t xml:space="preserve">        .Father is a farmer </t>
  </si>
  <si>
    <t xml:space="preserve">        .Father has at least primary education</t>
  </si>
  <si>
    <t xml:space="preserve">        .Mother is literate</t>
  </si>
  <si>
    <t xml:space="preserve">        .Number of adult women in the household</t>
  </si>
  <si>
    <t xml:space="preserve">        .Number of children under 6 years of age</t>
  </si>
  <si>
    <t>Indicators of constraints on child's time for school</t>
  </si>
  <si>
    <t xml:space="preserve">        .Family relies on collected fuel wood</t>
  </si>
  <si>
    <t xml:space="preserve">        .Distance of home to source of water (km)</t>
  </si>
  <si>
    <t xml:space="preserve">        .Index of household reliance on home-based economic activities</t>
  </si>
  <si>
    <t>Constant</t>
  </si>
  <si>
    <t>Number of observations</t>
  </si>
  <si>
    <t>Sommer's D</t>
  </si>
  <si>
    <t xml:space="preserve">Average probability of ever enrolling in grade 1 </t>
  </si>
  <si>
    <t>Note: three stars  (***) indicate statistical significance at the 1 percent level; two stars (**) at the 5 percent level;</t>
  </si>
  <si>
    <t>and one star (*) at the 10 percent level.  The notation "ns" stands for "not statistically significant".  Sommer's D is an</t>
  </si>
  <si>
    <t>index of the overall goodness-of-fit of the regression equation, ranging between 0 (no fit) and 1 (percent fit).</t>
  </si>
  <si>
    <t>Comment on impact of supply-side factors:</t>
  </si>
  <si>
    <t>Comment on impact of demand-side factors:</t>
  </si>
  <si>
    <t>Problem 2.4</t>
  </si>
  <si>
    <r>
      <t>Regression variables X</t>
    </r>
    <r>
      <rPr>
        <vertAlign val="subscript"/>
        <sz val="10"/>
        <rFont val="Arial"/>
        <family val="2"/>
      </rPr>
      <t>i</t>
    </r>
  </si>
  <si>
    <t>Statistical
 significance</t>
  </si>
  <si>
    <t xml:space="preserve"> __  </t>
  </si>
  <si>
    <t xml:space="preserve">Average probability of ever enrolling in Grade 1 </t>
  </si>
  <si>
    <t>Note: Three stars  (***) indicate statistical significance at the 1 percent level; two stars (**) at the 5 percent level;</t>
  </si>
  <si>
    <t xml:space="preserve">Table 2.3: Marginal impact of selected variables on enrollment probabilities among rural boys and girls, </t>
  </si>
  <si>
    <t xml:space="preserve">                     country  Y  (percentage point change)</t>
  </si>
  <si>
    <t>Variable</t>
  </si>
  <si>
    <r>
      <t xml:space="preserve">School offers free meal &amp; school is more than 2km away from child's home </t>
    </r>
    <r>
      <rPr>
        <vertAlign val="superscript"/>
        <sz val="10"/>
        <rFont val="Arial"/>
        <family val="2"/>
      </rPr>
      <t>a</t>
    </r>
    <r>
      <rPr>
        <sz val="10"/>
        <rFont val="Arial"/>
        <family val="2"/>
      </rPr>
      <t>/</t>
    </r>
  </si>
  <si>
    <r>
      <t xml:space="preserve">School is more than 4 km from home </t>
    </r>
    <r>
      <rPr>
        <vertAlign val="superscript"/>
        <sz val="10"/>
        <rFont val="Arial"/>
        <family val="2"/>
      </rPr>
      <t>b/</t>
    </r>
  </si>
  <si>
    <r>
      <t xml:space="preserve">Child's father has at least primary education </t>
    </r>
    <r>
      <rPr>
        <vertAlign val="superscript"/>
        <sz val="10"/>
        <rFont val="Arial"/>
        <family val="2"/>
      </rPr>
      <t>c/</t>
    </r>
  </si>
  <si>
    <t>a/ Relative to school that does not offer free meals</t>
  </si>
  <si>
    <t>b/ Relative to school that is less than 0.5 km from home</t>
  </si>
  <si>
    <t>c/ Relative to child whose father has no schooling</t>
  </si>
  <si>
    <t>Comment:</t>
  </si>
  <si>
    <t>Problem 2.5</t>
  </si>
  <si>
    <t>Step 1:</t>
  </si>
  <si>
    <t>Table 2.4: Data for simulating girls' entry rate to grade 1 in country Y under selected supply- and demand-side conditions</t>
  </si>
  <si>
    <t>Regression coefficient</t>
  </si>
  <si>
    <t xml:space="preserve">Sample mean </t>
  </si>
  <si>
    <r>
      <t>Value of X</t>
    </r>
    <r>
      <rPr>
        <vertAlign val="subscript"/>
        <sz val="10"/>
        <rFont val="Arial"/>
        <family val="2"/>
      </rPr>
      <t>i</t>
    </r>
    <r>
      <rPr>
        <sz val="10"/>
        <rFont val="Arial"/>
      </rPr>
      <t xml:space="preserve">  assumed
 for simulation</t>
    </r>
  </si>
  <si>
    <t xml:space="preserve">  .Free meal at school:</t>
  </si>
  <si>
    <t xml:space="preserve">     No free meal offered </t>
  </si>
  <si>
    <t xml:space="preserve">     Offered &amp; school is &lt; 2 km from home</t>
  </si>
  <si>
    <t xml:space="preserve">     Offered &amp; school is &gt; 2 km from home</t>
  </si>
  <si>
    <t xml:space="preserve">   .School has toilet facilities</t>
  </si>
  <si>
    <t xml:space="preserve">   .School uses multigrade teaching</t>
  </si>
  <si>
    <t xml:space="preserve">   .School offers all grades of instruction in primary cycle</t>
  </si>
  <si>
    <t xml:space="preserve">   .Distance between the school and child's home:</t>
  </si>
  <si>
    <t xml:space="preserve">                   Less than 0.5 km</t>
  </si>
  <si>
    <t xml:space="preserve">                   Between 0.5 km and 4 km</t>
  </si>
  <si>
    <t xml:space="preserve">                   Between 2 km and 4 km</t>
  </si>
  <si>
    <t xml:space="preserve">                   More than 4 km</t>
  </si>
  <si>
    <t xml:space="preserve">   .School is in district with publicity campaign for girls' schooling</t>
  </si>
  <si>
    <t xml:space="preserve">   .First grade teacher in the school is a woman</t>
  </si>
  <si>
    <t xml:space="preserve">    .Father is a farmer</t>
  </si>
  <si>
    <t xml:space="preserve">    .Father has at least primary education</t>
  </si>
  <si>
    <t xml:space="preserve">    .Mother is literate</t>
  </si>
  <si>
    <t xml:space="preserve">    .Number of adult women in the household</t>
  </si>
  <si>
    <t xml:space="preserve">    .Number of children under 6 years of age</t>
  </si>
  <si>
    <t xml:space="preserve">    .Family relies on collected fuel wood</t>
  </si>
  <si>
    <t xml:space="preserve">    .Distance of home to source of water (km)</t>
  </si>
  <si>
    <t xml:space="preserve">    .Index of household reliance on home-based economic activities</t>
  </si>
  <si>
    <t xml:space="preserve">Constant </t>
  </si>
  <si>
    <t>Working calculations for sum of array product:</t>
  </si>
  <si>
    <r>
      <t>Simulated entry rate to grade 1</t>
    </r>
    <r>
      <rPr>
        <vertAlign val="superscript"/>
        <sz val="10"/>
        <rFont val="Arial"/>
        <family val="2"/>
      </rPr>
      <t>a/</t>
    </r>
  </si>
  <si>
    <t>Sum of array product:</t>
  </si>
  <si>
    <r>
      <t>a/ Corresponding to assumed values of X</t>
    </r>
    <r>
      <rPr>
        <vertAlign val="subscript"/>
        <sz val="10"/>
        <rFont val="Arial"/>
        <family val="2"/>
      </rPr>
      <t>i</t>
    </r>
    <r>
      <rPr>
        <sz val="10"/>
        <rFont val="Arial"/>
      </rPr>
      <t>'s in last column, and evaluated using equation 1 in the text.</t>
    </r>
  </si>
  <si>
    <t>Step 2:</t>
  </si>
  <si>
    <t xml:space="preserve">Table 2.5: Simulation of boys' and girls' grade 1 enrollment probabilities under the combined influence of various supply- and demand combined conditions </t>
  </si>
  <si>
    <t xml:space="preserve">Simulation </t>
  </si>
  <si>
    <t>Supply-side conditions</t>
  </si>
  <si>
    <t>Demand-side conditions</t>
  </si>
  <si>
    <t>Base case</t>
  </si>
  <si>
    <t>At sample mean</t>
  </si>
  <si>
    <t>S.1a</t>
  </si>
  <si>
    <t>All favorable</t>
  </si>
  <si>
    <t>S.1b</t>
  </si>
  <si>
    <t>All unfavorable</t>
  </si>
  <si>
    <t>D.1a</t>
  </si>
  <si>
    <t>D.1b</t>
  </si>
  <si>
    <t>SD.1a</t>
  </si>
  <si>
    <t>SD.1b</t>
  </si>
  <si>
    <t xml:space="preserve">All unfavorable </t>
  </si>
  <si>
    <t>Working table for calculations in table 2.5</t>
  </si>
  <si>
    <t>Regression variables Xi</t>
  </si>
  <si>
    <t>Sample mean</t>
  </si>
  <si>
    <t>Simulations</t>
  </si>
  <si>
    <t xml:space="preserve">   . School uses multigrade teaching</t>
  </si>
  <si>
    <t xml:space="preserve">    .Number of adult women in the e household</t>
  </si>
  <si>
    <t>Simulated entry rate to Grade 1</t>
  </si>
  <si>
    <t xml:space="preserve">   Boys</t>
  </si>
  <si>
    <t xml:space="preserve">   Girls</t>
  </si>
  <si>
    <t>Sum of array product</t>
  </si>
  <si>
    <t xml:space="preserve">  Boys</t>
  </si>
  <si>
    <t xml:space="preserve">  Girls</t>
  </si>
  <si>
    <t>Comment on your results:</t>
  </si>
  <si>
    <t>Problem 2.6</t>
  </si>
  <si>
    <t>Table 2.6: Data for simulating girls' entry rate to grade 1 in country Y when the school is equipped with toilet facilities</t>
  </si>
  <si>
    <r>
      <t>Regression variables X</t>
    </r>
    <r>
      <rPr>
        <vertAlign val="subscript"/>
        <sz val="8"/>
        <rFont val="Arial"/>
        <family val="2"/>
      </rPr>
      <t>i</t>
    </r>
  </si>
  <si>
    <r>
      <t>Value of X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 xml:space="preserve"> assumed for simulation </t>
    </r>
  </si>
  <si>
    <r>
      <t>Simulated entry rate to grade 1</t>
    </r>
    <r>
      <rPr>
        <vertAlign val="superscript"/>
        <sz val="8"/>
        <rFont val="Arial"/>
        <family val="2"/>
      </rPr>
      <t>a/</t>
    </r>
  </si>
  <si>
    <r>
      <t>a/ Corresponding to assumed values of X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>'s in last column, and evaluated using equation 1 in the text.</t>
    </r>
  </si>
  <si>
    <t>Table 2.7:  Predicted probability of ever being enrolled in grade 1 under various supply-side conditions</t>
  </si>
  <si>
    <t xml:space="preserve">
Simulation
</t>
  </si>
  <si>
    <t>Assumption about supply-side factors
(with demand-side factors set at sample mean)</t>
  </si>
  <si>
    <t xml:space="preserve">Probability of entering Grade 1 </t>
  </si>
  <si>
    <t>Free meal</t>
  </si>
  <si>
    <t>Latrines</t>
  </si>
  <si>
    <t>Complete</t>
  </si>
  <si>
    <t>Campaign</t>
  </si>
  <si>
    <t>Distance to school (km)</t>
  </si>
  <si>
    <t xml:space="preserve">Boys </t>
  </si>
  <si>
    <t>Extreme cases (from table 2.5 above)</t>
  </si>
  <si>
    <t>S.1a: Least favorable</t>
  </si>
  <si>
    <t>no</t>
  </si>
  <si>
    <t>S.2b: Most favorable</t>
  </si>
  <si>
    <t>yes</t>
  </si>
  <si>
    <t>Varying distance to school with no school meal</t>
  </si>
  <si>
    <t>S.2a</t>
  </si>
  <si>
    <t>average</t>
  </si>
  <si>
    <t>S.2b</t>
  </si>
  <si>
    <t>S.2c</t>
  </si>
  <si>
    <t>S.2d</t>
  </si>
  <si>
    <t>Varying distance to school with school meal</t>
  </si>
  <si>
    <t>S.3a</t>
  </si>
  <si>
    <t>S.3b</t>
  </si>
  <si>
    <t>S.3c</t>
  </si>
  <si>
    <t>S.3d</t>
  </si>
  <si>
    <t>Varying availability of toilets</t>
  </si>
  <si>
    <t>S.4a</t>
  </si>
  <si>
    <t>S.4b</t>
  </si>
  <si>
    <t>Varying completeness of instruction offered</t>
  </si>
  <si>
    <t>S.5a</t>
  </si>
  <si>
    <t>S.5b</t>
  </si>
  <si>
    <t>Varying the use of publicity campaigns</t>
  </si>
  <si>
    <t>S.6a</t>
  </si>
  <si>
    <t>S.6b</t>
  </si>
  <si>
    <t>Working table for calculations in table 2.7</t>
  </si>
  <si>
    <t>Probability</t>
  </si>
  <si>
    <t>Problem 2.7</t>
  </si>
  <si>
    <t>Table 2.8 Simulated probability of ever being enrolled under various demand-side conditions</t>
  </si>
  <si>
    <t>Assumption about demand-side factors
(with supply-side factors set at sample mean)</t>
  </si>
  <si>
    <t xml:space="preserve">Probability of entering Grade 1
</t>
  </si>
  <si>
    <t>Father</t>
  </si>
  <si>
    <t>Mother</t>
  </si>
  <si>
    <t>No. of women at home</t>
  </si>
  <si>
    <t>No. of children 
under 6</t>
  </si>
  <si>
    <t>Indicators of constraints on children's time for school</t>
  </si>
  <si>
    <t>Farmer</t>
  </si>
  <si>
    <t>Primary</t>
  </si>
  <si>
    <t>Literate</t>
  </si>
  <si>
    <t>Wood</t>
  </si>
  <si>
    <t>Water</t>
  </si>
  <si>
    <t>Production</t>
  </si>
  <si>
    <t>D.1a: Least favorable</t>
  </si>
  <si>
    <t>D.1b: Most favorable</t>
  </si>
  <si>
    <t>Varying father's job</t>
  </si>
  <si>
    <t>D.2a</t>
  </si>
  <si>
    <t xml:space="preserve">yes </t>
  </si>
  <si>
    <t>D.2b</t>
  </si>
  <si>
    <t>Varying father's education</t>
  </si>
  <si>
    <t>D.3a</t>
  </si>
  <si>
    <t>D.3b</t>
  </si>
  <si>
    <t>Varying mother's literacy</t>
  </si>
  <si>
    <t>D.4a</t>
  </si>
  <si>
    <t>D.4b</t>
  </si>
  <si>
    <t>Varying no. of women at home</t>
  </si>
  <si>
    <t>D.5a</t>
  </si>
  <si>
    <t>D.5b</t>
  </si>
  <si>
    <t>Varying no. of under 6 children at home</t>
  </si>
  <si>
    <t>D.6a</t>
  </si>
  <si>
    <t>D.6b</t>
  </si>
  <si>
    <t>D.6c</t>
  </si>
  <si>
    <t>Varying dependence on fuel wood</t>
  </si>
  <si>
    <t>D.7a</t>
  </si>
  <si>
    <t>D.7b</t>
  </si>
  <si>
    <t>Varying distance to water source</t>
  </si>
  <si>
    <t>D.8a</t>
  </si>
  <si>
    <t>D.8b</t>
  </si>
  <si>
    <t>D.8c</t>
  </si>
  <si>
    <t>Varying children's involvement in production</t>
  </si>
  <si>
    <t>D.9a</t>
  </si>
  <si>
    <t>D.9b</t>
  </si>
  <si>
    <t>D.9c</t>
  </si>
  <si>
    <t>Working table for table 2.8</t>
  </si>
  <si>
    <t>Comment on results: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</si>
</sst>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00"/>
    <numFmt numFmtId="174" formatCode="0.0"/>
  </numFmts>
  <fonts count="20" x14ac:knownFonts="1">
    <font>
      <sz val="10"/>
      <name val="Arial"/>
    </font>
    <font>
      <b/>
      <sz val="10"/>
      <name val="Arial"/>
    </font>
    <font>
      <u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8"/>
      <name val="Arial"/>
      <family val="2"/>
    </font>
    <font>
      <sz val="9"/>
      <name val="Arial"/>
      <family val="2"/>
    </font>
    <font>
      <b/>
      <u/>
      <sz val="10"/>
      <name val="Arial"/>
      <family val="2"/>
    </font>
    <font>
      <b/>
      <u/>
      <sz val="10"/>
      <name val="Arial"/>
      <family val="2"/>
    </font>
    <font>
      <vertAlign val="subscript"/>
      <sz val="8"/>
      <name val="Arial"/>
      <family val="2"/>
    </font>
    <font>
      <vertAlign val="subscript"/>
      <sz val="10"/>
      <name val="Arial"/>
      <family val="2"/>
    </font>
    <font>
      <vertAlign val="superscript"/>
      <sz val="8"/>
      <name val="Arial"/>
      <family val="2"/>
    </font>
    <font>
      <b/>
      <u/>
      <sz val="12"/>
      <name val="Arial"/>
      <family val="2"/>
    </font>
    <font>
      <sz val="10"/>
      <name val="Times New Roman"/>
      <family val="1"/>
    </font>
    <font>
      <b/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0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6">
    <xf numFmtId="0" fontId="0" fillId="0" borderId="0" xfId="0"/>
    <xf numFmtId="0" fontId="1" fillId="0" borderId="0" xfId="0" applyFont="1"/>
    <xf numFmtId="0" fontId="0" fillId="0" borderId="0" xfId="0" applyAlignment="1">
      <alignment horizontal="centerContinuous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horizontal="centerContinuous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horizontal="centerContinuous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3" xfId="0" applyFill="1" applyBorder="1" applyAlignment="1">
      <alignment horizontal="centerContinuous"/>
    </xf>
    <xf numFmtId="0" fontId="2" fillId="0" borderId="4" xfId="0" applyFont="1" applyBorder="1"/>
    <xf numFmtId="0" fontId="0" fillId="0" borderId="7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15" xfId="0" applyBorder="1"/>
    <xf numFmtId="0" fontId="0" fillId="0" borderId="16" xfId="0" applyBorder="1" applyAlignment="1">
      <alignment horizontal="centerContinuous"/>
    </xf>
    <xf numFmtId="0" fontId="0" fillId="0" borderId="17" xfId="0" applyBorder="1" applyAlignment="1">
      <alignment horizontal="centerContinuous"/>
    </xf>
    <xf numFmtId="0" fontId="0" fillId="0" borderId="18" xfId="0" applyBorder="1" applyAlignment="1">
      <alignment horizontal="centerContinuous"/>
    </xf>
    <xf numFmtId="0" fontId="0" fillId="0" borderId="19" xfId="0" applyBorder="1" applyAlignment="1">
      <alignment horizontal="centerContinuous"/>
    </xf>
    <xf numFmtId="0" fontId="0" fillId="2" borderId="5" xfId="0" applyFill="1" applyBorder="1"/>
    <xf numFmtId="0" fontId="0" fillId="0" borderId="0" xfId="0" applyAlignment="1">
      <alignment wrapText="1"/>
    </xf>
    <xf numFmtId="0" fontId="6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7" fillId="0" borderId="0" xfId="0" applyFont="1"/>
    <xf numFmtId="0" fontId="0" fillId="0" borderId="22" xfId="0" applyBorder="1"/>
    <xf numFmtId="0" fontId="8" fillId="0" borderId="0" xfId="0" applyFont="1"/>
    <xf numFmtId="0" fontId="0" fillId="0" borderId="3" xfId="0" applyBorder="1"/>
    <xf numFmtId="0" fontId="0" fillId="0" borderId="23" xfId="0" applyBorder="1"/>
    <xf numFmtId="0" fontId="0" fillId="0" borderId="20" xfId="0" applyBorder="1"/>
    <xf numFmtId="0" fontId="0" fillId="0" borderId="21" xfId="0" applyBorder="1"/>
    <xf numFmtId="0" fontId="0" fillId="0" borderId="24" xfId="0" applyBorder="1"/>
    <xf numFmtId="0" fontId="0" fillId="0" borderId="25" xfId="0" applyBorder="1"/>
    <xf numFmtId="0" fontId="0" fillId="0" borderId="19" xfId="0" applyBorder="1"/>
    <xf numFmtId="0" fontId="5" fillId="0" borderId="0" xfId="0" applyFont="1" applyBorder="1" applyAlignment="1">
      <alignment wrapText="1"/>
    </xf>
    <xf numFmtId="0" fontId="4" fillId="0" borderId="0" xfId="0" applyFont="1" applyBorder="1" applyAlignment="1">
      <alignment horizontal="centerContinuous" wrapText="1"/>
    </xf>
    <xf numFmtId="0" fontId="0" fillId="0" borderId="24" xfId="0" applyBorder="1" applyAlignment="1">
      <alignment horizontal="centerContinuous"/>
    </xf>
    <xf numFmtId="0" fontId="7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2" fontId="0" fillId="0" borderId="26" xfId="0" applyNumberForma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28" xfId="0" applyBorder="1" applyAlignment="1">
      <alignment horizontal="centerContinuous"/>
    </xf>
    <xf numFmtId="0" fontId="0" fillId="0" borderId="29" xfId="0" applyBorder="1" applyAlignment="1">
      <alignment horizontal="centerContinuous"/>
    </xf>
    <xf numFmtId="0" fontId="0" fillId="0" borderId="30" xfId="0" applyBorder="1" applyAlignment="1">
      <alignment horizontal="center"/>
    </xf>
    <xf numFmtId="0" fontId="4" fillId="0" borderId="23" xfId="0" applyFont="1" applyBorder="1"/>
    <xf numFmtId="0" fontId="4" fillId="0" borderId="25" xfId="0" applyFont="1" applyBorder="1"/>
    <xf numFmtId="0" fontId="5" fillId="0" borderId="23" xfId="0" applyFont="1" applyBorder="1"/>
    <xf numFmtId="0" fontId="0" fillId="0" borderId="26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6" fillId="0" borderId="10" xfId="0" applyFont="1" applyBorder="1" applyAlignment="1">
      <alignment horizontal="centerContinuous" vertical="center" wrapText="1"/>
    </xf>
    <xf numFmtId="0" fontId="0" fillId="0" borderId="10" xfId="0" applyBorder="1" applyAlignment="1">
      <alignment horizontal="centerContinuous" vertical="center" wrapText="1"/>
    </xf>
    <xf numFmtId="0" fontId="0" fillId="0" borderId="31" xfId="0" applyBorder="1" applyAlignment="1">
      <alignment horizontal="centerContinuous" vertical="center" wrapText="1"/>
    </xf>
    <xf numFmtId="0" fontId="0" fillId="0" borderId="32" xfId="0" applyBorder="1" applyAlignment="1">
      <alignment horizontal="centerContinuous" vertical="center" wrapText="1"/>
    </xf>
    <xf numFmtId="0" fontId="1" fillId="0" borderId="2" xfId="0" applyFont="1" applyBorder="1" applyAlignment="1">
      <alignment horizontal="centerContinuous"/>
    </xf>
    <xf numFmtId="0" fontId="1" fillId="0" borderId="0" xfId="0" applyFont="1" applyBorder="1"/>
    <xf numFmtId="0" fontId="12" fillId="0" borderId="0" xfId="0" applyFont="1"/>
    <xf numFmtId="0" fontId="0" fillId="0" borderId="33" xfId="0" applyBorder="1"/>
    <xf numFmtId="0" fontId="0" fillId="0" borderId="34" xfId="0" applyBorder="1"/>
    <xf numFmtId="0" fontId="0" fillId="2" borderId="35" xfId="0" applyFill="1" applyBorder="1" applyAlignment="1">
      <alignment horizontal="centerContinuous"/>
    </xf>
    <xf numFmtId="0" fontId="0" fillId="2" borderId="36" xfId="0" applyFill="1" applyBorder="1" applyAlignment="1">
      <alignment horizontal="centerContinuous"/>
    </xf>
    <xf numFmtId="0" fontId="0" fillId="2" borderId="35" xfId="0" applyFill="1" applyBorder="1" applyAlignment="1"/>
    <xf numFmtId="0" fontId="0" fillId="0" borderId="27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2" borderId="36" xfId="0" applyFill="1" applyBorder="1" applyAlignment="1"/>
    <xf numFmtId="0" fontId="0" fillId="2" borderId="11" xfId="0" applyFill="1" applyBorder="1" applyAlignment="1">
      <alignment horizontal="centerContinuous"/>
    </xf>
    <xf numFmtId="0" fontId="0" fillId="2" borderId="12" xfId="0" applyFill="1" applyBorder="1" applyAlignment="1">
      <alignment horizontal="centerContinuous"/>
    </xf>
    <xf numFmtId="0" fontId="0" fillId="2" borderId="38" xfId="0" applyFill="1" applyBorder="1" applyAlignment="1">
      <alignment horizontal="centerContinuous"/>
    </xf>
    <xf numFmtId="0" fontId="0" fillId="0" borderId="39" xfId="0" applyBorder="1" applyAlignment="1">
      <alignment horizontal="centerContinuous" vertical="center"/>
    </xf>
    <xf numFmtId="0" fontId="0" fillId="0" borderId="36" xfId="0" applyBorder="1" applyAlignment="1">
      <alignment horizontal="centerContinuous" vertical="center" wrapText="1"/>
    </xf>
    <xf numFmtId="0" fontId="0" fillId="0" borderId="13" xfId="0" applyBorder="1" applyAlignment="1">
      <alignment horizontal="centerContinuous" vertical="center" wrapText="1"/>
    </xf>
    <xf numFmtId="0" fontId="0" fillId="0" borderId="27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0" fontId="0" fillId="0" borderId="4" xfId="0" applyBorder="1" applyAlignment="1"/>
    <xf numFmtId="0" fontId="0" fillId="0" borderId="9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27" xfId="0" applyBorder="1" applyAlignment="1"/>
    <xf numFmtId="0" fontId="2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horizontal="centerContinuous" vertical="top"/>
    </xf>
    <xf numFmtId="0" fontId="2" fillId="0" borderId="5" xfId="0" applyFont="1" applyBorder="1" applyAlignment="1">
      <alignment horizontal="centerContinuous" vertical="top"/>
    </xf>
    <xf numFmtId="0" fontId="2" fillId="0" borderId="40" xfId="0" applyFont="1" applyBorder="1"/>
    <xf numFmtId="0" fontId="0" fillId="0" borderId="26" xfId="0" applyBorder="1" applyAlignment="1">
      <alignment horizontal="centerContinuous"/>
    </xf>
    <xf numFmtId="0" fontId="0" fillId="0" borderId="41" xfId="0" applyBorder="1" applyAlignment="1">
      <alignment horizontal="centerContinuous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Continuous"/>
    </xf>
    <xf numFmtId="0" fontId="6" fillId="0" borderId="6" xfId="0" applyFont="1" applyBorder="1"/>
    <xf numFmtId="174" fontId="0" fillId="2" borderId="14" xfId="0" applyNumberFormat="1" applyFill="1" applyBorder="1" applyAlignment="1">
      <alignment horizontal="center"/>
    </xf>
    <xf numFmtId="0" fontId="0" fillId="0" borderId="19" xfId="0" applyBorder="1" applyAlignment="1">
      <alignment horizontal="center"/>
    </xf>
    <xf numFmtId="174" fontId="0" fillId="0" borderId="24" xfId="0" applyNumberFormat="1" applyBorder="1" applyAlignment="1">
      <alignment horizontal="center"/>
    </xf>
    <xf numFmtId="172" fontId="13" fillId="0" borderId="30" xfId="0" applyNumberFormat="1" applyFont="1" applyBorder="1" applyAlignment="1">
      <alignment horizontal="center" vertical="center"/>
    </xf>
    <xf numFmtId="172" fontId="13" fillId="3" borderId="29" xfId="0" applyNumberFormat="1" applyFont="1" applyFill="1" applyBorder="1" applyAlignment="1">
      <alignment horizontal="center" vertical="center"/>
    </xf>
    <xf numFmtId="172" fontId="13" fillId="3" borderId="30" xfId="0" applyNumberFormat="1" applyFont="1" applyFill="1" applyBorder="1" applyAlignment="1">
      <alignment horizontal="center" vertical="center" wrapText="1"/>
    </xf>
    <xf numFmtId="172" fontId="13" fillId="3" borderId="29" xfId="0" applyNumberFormat="1" applyFont="1" applyFill="1" applyBorder="1" applyAlignment="1">
      <alignment horizontal="center" vertical="center" wrapText="1"/>
    </xf>
    <xf numFmtId="172" fontId="13" fillId="3" borderId="24" xfId="0" applyNumberFormat="1" applyFont="1" applyFill="1" applyBorder="1" applyAlignment="1">
      <alignment horizontal="center" vertical="center"/>
    </xf>
    <xf numFmtId="172" fontId="13" fillId="2" borderId="14" xfId="0" applyNumberFormat="1" applyFont="1" applyFill="1" applyBorder="1" applyAlignment="1">
      <alignment horizontal="center" vertical="center"/>
    </xf>
    <xf numFmtId="172" fontId="13" fillId="3" borderId="30" xfId="0" applyNumberFormat="1" applyFont="1" applyFill="1" applyBorder="1" applyAlignment="1">
      <alignment horizontal="center" vertical="center"/>
    </xf>
    <xf numFmtId="172" fontId="13" fillId="3" borderId="14" xfId="0" applyNumberFormat="1" applyFont="1" applyFill="1" applyBorder="1" applyAlignment="1">
      <alignment horizontal="center" vertical="center"/>
    </xf>
    <xf numFmtId="0" fontId="0" fillId="2" borderId="7" xfId="0" applyFill="1" applyBorder="1"/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72" fontId="0" fillId="0" borderId="0" xfId="0" applyNumberFormat="1" applyBorder="1" applyAlignment="1">
      <alignment horizontal="center"/>
    </xf>
    <xf numFmtId="172" fontId="0" fillId="0" borderId="5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72" fontId="0" fillId="0" borderId="9" xfId="0" applyNumberFormat="1" applyBorder="1" applyAlignment="1">
      <alignment horizontal="center"/>
    </xf>
    <xf numFmtId="0" fontId="1" fillId="0" borderId="19" xfId="0" applyFont="1" applyBorder="1" applyAlignment="1">
      <alignment horizontal="centerContinuous"/>
    </xf>
    <xf numFmtId="0" fontId="0" fillId="2" borderId="14" xfId="0" applyFill="1" applyBorder="1" applyAlignment="1">
      <alignment horizontal="center"/>
    </xf>
    <xf numFmtId="0" fontId="8" fillId="0" borderId="0" xfId="0" applyFont="1" applyBorder="1"/>
    <xf numFmtId="0" fontId="6" fillId="4" borderId="7" xfId="0" applyFont="1" applyFill="1" applyBorder="1" applyAlignment="1">
      <alignment wrapText="1"/>
    </xf>
    <xf numFmtId="172" fontId="6" fillId="4" borderId="14" xfId="0" applyNumberFormat="1" applyFont="1" applyFill="1" applyBorder="1" applyAlignment="1">
      <alignment horizontal="center" wrapText="1"/>
    </xf>
    <xf numFmtId="0" fontId="6" fillId="4" borderId="25" xfId="0" applyFont="1" applyFill="1" applyBorder="1" applyAlignment="1">
      <alignment wrapText="1"/>
    </xf>
    <xf numFmtId="0" fontId="6" fillId="0" borderId="30" xfId="0" applyFont="1" applyBorder="1" applyAlignment="1">
      <alignment horizontal="centerContinuous" vertical="center" wrapText="1"/>
    </xf>
    <xf numFmtId="0" fontId="6" fillId="0" borderId="29" xfId="0" applyFont="1" applyBorder="1" applyAlignment="1">
      <alignment horizontal="centerContinuous" vertical="center" wrapText="1"/>
    </xf>
    <xf numFmtId="0" fontId="6" fillId="0" borderId="30" xfId="0" applyFont="1" applyBorder="1" applyAlignment="1">
      <alignment horizontal="centerContinuous" wrapText="1"/>
    </xf>
    <xf numFmtId="0" fontId="6" fillId="0" borderId="28" xfId="0" applyFont="1" applyBorder="1" applyAlignment="1">
      <alignment horizontal="centerContinuous" wrapText="1"/>
    </xf>
    <xf numFmtId="0" fontId="6" fillId="0" borderId="29" xfId="0" applyFont="1" applyBorder="1" applyAlignment="1">
      <alignment horizontal="centerContinuous" wrapText="1"/>
    </xf>
    <xf numFmtId="0" fontId="6" fillId="0" borderId="21" xfId="0" applyFont="1" applyBorder="1" applyAlignment="1">
      <alignment horizontal="left" wrapText="1"/>
    </xf>
    <xf numFmtId="172" fontId="6" fillId="0" borderId="29" xfId="0" applyNumberFormat="1" applyFont="1" applyBorder="1" applyAlignment="1">
      <alignment horizontal="center" wrapText="1"/>
    </xf>
    <xf numFmtId="0" fontId="6" fillId="5" borderId="28" xfId="0" applyFont="1" applyFill="1" applyBorder="1" applyAlignment="1">
      <alignment horizontal="center" wrapText="1"/>
    </xf>
    <xf numFmtId="0" fontId="6" fillId="5" borderId="28" xfId="0" applyFont="1" applyFill="1" applyBorder="1" applyAlignment="1">
      <alignment horizontal="centerContinuous" wrapText="1"/>
    </xf>
    <xf numFmtId="172" fontId="6" fillId="5" borderId="28" xfId="0" applyNumberFormat="1" applyFont="1" applyFill="1" applyBorder="1" applyAlignment="1">
      <alignment horizontal="centerContinuous" wrapText="1"/>
    </xf>
    <xf numFmtId="172" fontId="6" fillId="5" borderId="29" xfId="0" applyNumberFormat="1" applyFont="1" applyFill="1" applyBorder="1" applyAlignment="1">
      <alignment horizontal="centerContinuous" wrapText="1"/>
    </xf>
    <xf numFmtId="0" fontId="6" fillId="5" borderId="21" xfId="0" applyFont="1" applyFill="1" applyBorder="1" applyAlignment="1">
      <alignment wrapText="1"/>
    </xf>
    <xf numFmtId="0" fontId="6" fillId="5" borderId="28" xfId="0" applyFont="1" applyFill="1" applyBorder="1" applyAlignment="1">
      <alignment wrapText="1"/>
    </xf>
    <xf numFmtId="172" fontId="6" fillId="5" borderId="29" xfId="0" applyNumberFormat="1" applyFont="1" applyFill="1" applyBorder="1" applyAlignment="1">
      <alignment horizontal="center" wrapText="1"/>
    </xf>
    <xf numFmtId="0" fontId="6" fillId="6" borderId="28" xfId="0" applyFont="1" applyFill="1" applyBorder="1" applyAlignment="1">
      <alignment horizontal="center" wrapText="1"/>
    </xf>
    <xf numFmtId="0" fontId="6" fillId="6" borderId="28" xfId="0" applyFont="1" applyFill="1" applyBorder="1" applyAlignment="1">
      <alignment wrapText="1"/>
    </xf>
    <xf numFmtId="174" fontId="6" fillId="6" borderId="28" xfId="0" applyNumberFormat="1" applyFont="1" applyFill="1" applyBorder="1" applyAlignment="1">
      <alignment horizontal="center" wrapText="1"/>
    </xf>
    <xf numFmtId="172" fontId="6" fillId="6" borderId="28" xfId="0" applyNumberFormat="1" applyFont="1" applyFill="1" applyBorder="1" applyAlignment="1">
      <alignment horizontal="center" wrapText="1"/>
    </xf>
    <xf numFmtId="172" fontId="6" fillId="6" borderId="29" xfId="0" applyNumberFormat="1" applyFont="1" applyFill="1" applyBorder="1" applyAlignment="1">
      <alignment horizontal="center" wrapText="1"/>
    </xf>
    <xf numFmtId="0" fontId="6" fillId="6" borderId="21" xfId="0" applyFont="1" applyFill="1" applyBorder="1" applyAlignment="1">
      <alignment wrapText="1"/>
    </xf>
    <xf numFmtId="0" fontId="6" fillId="7" borderId="28" xfId="0" applyFont="1" applyFill="1" applyBorder="1" applyAlignment="1">
      <alignment wrapText="1"/>
    </xf>
    <xf numFmtId="174" fontId="6" fillId="7" borderId="28" xfId="0" applyNumberFormat="1" applyFont="1" applyFill="1" applyBorder="1" applyAlignment="1">
      <alignment horizontal="center" wrapText="1"/>
    </xf>
    <xf numFmtId="172" fontId="6" fillId="7" borderId="28" xfId="0" applyNumberFormat="1" applyFont="1" applyFill="1" applyBorder="1" applyAlignment="1">
      <alignment horizontal="center" wrapText="1"/>
    </xf>
    <xf numFmtId="172" fontId="6" fillId="7" borderId="29" xfId="0" applyNumberFormat="1" applyFont="1" applyFill="1" applyBorder="1" applyAlignment="1">
      <alignment horizontal="center" wrapText="1"/>
    </xf>
    <xf numFmtId="0" fontId="6" fillId="7" borderId="21" xfId="0" applyFont="1" applyFill="1" applyBorder="1" applyAlignment="1">
      <alignment wrapText="1"/>
    </xf>
    <xf numFmtId="0" fontId="6" fillId="7" borderId="28" xfId="0" applyFont="1" applyFill="1" applyBorder="1" applyAlignment="1">
      <alignment horizontal="center" wrapText="1"/>
    </xf>
    <xf numFmtId="0" fontId="6" fillId="8" borderId="28" xfId="0" applyFont="1" applyFill="1" applyBorder="1" applyAlignment="1">
      <alignment wrapText="1"/>
    </xf>
    <xf numFmtId="0" fontId="6" fillId="8" borderId="28" xfId="0" applyFont="1" applyFill="1" applyBorder="1" applyAlignment="1">
      <alignment horizontal="centerContinuous" wrapText="1"/>
    </xf>
    <xf numFmtId="172" fontId="6" fillId="8" borderId="28" xfId="0" applyNumberFormat="1" applyFont="1" applyFill="1" applyBorder="1" applyAlignment="1">
      <alignment horizontal="centerContinuous" wrapText="1"/>
    </xf>
    <xf numFmtId="172" fontId="6" fillId="8" borderId="29" xfId="0" applyNumberFormat="1" applyFont="1" applyFill="1" applyBorder="1" applyAlignment="1">
      <alignment horizontal="centerContinuous" wrapText="1"/>
    </xf>
    <xf numFmtId="0" fontId="6" fillId="8" borderId="21" xfId="0" applyFont="1" applyFill="1" applyBorder="1" applyAlignment="1">
      <alignment wrapText="1"/>
    </xf>
    <xf numFmtId="172" fontId="6" fillId="8" borderId="29" xfId="0" applyNumberFormat="1" applyFont="1" applyFill="1" applyBorder="1" applyAlignment="1">
      <alignment horizontal="center" wrapText="1"/>
    </xf>
    <xf numFmtId="0" fontId="6" fillId="4" borderId="28" xfId="0" applyFont="1" applyFill="1" applyBorder="1" applyAlignment="1">
      <alignment wrapText="1"/>
    </xf>
    <xf numFmtId="0" fontId="6" fillId="4" borderId="28" xfId="0" applyFont="1" applyFill="1" applyBorder="1" applyAlignment="1">
      <alignment horizontal="centerContinuous" wrapText="1"/>
    </xf>
    <xf numFmtId="172" fontId="6" fillId="4" borderId="28" xfId="0" applyNumberFormat="1" applyFont="1" applyFill="1" applyBorder="1" applyAlignment="1">
      <alignment horizontal="center" wrapText="1"/>
    </xf>
    <xf numFmtId="172" fontId="6" fillId="4" borderId="29" xfId="0" applyNumberFormat="1" applyFont="1" applyFill="1" applyBorder="1" applyAlignment="1">
      <alignment horizontal="center" wrapText="1"/>
    </xf>
    <xf numFmtId="0" fontId="6" fillId="4" borderId="21" xfId="0" applyFont="1" applyFill="1" applyBorder="1" applyAlignment="1">
      <alignment wrapText="1"/>
    </xf>
    <xf numFmtId="0" fontId="6" fillId="0" borderId="30" xfId="0" applyFont="1" applyBorder="1" applyAlignment="1">
      <alignment horizontal="center" wrapText="1"/>
    </xf>
    <xf numFmtId="174" fontId="6" fillId="0" borderId="30" xfId="0" applyNumberFormat="1" applyFont="1" applyBorder="1" applyAlignment="1">
      <alignment horizontal="center" wrapText="1"/>
    </xf>
    <xf numFmtId="172" fontId="6" fillId="0" borderId="30" xfId="0" applyNumberFormat="1" applyFont="1" applyBorder="1" applyAlignment="1">
      <alignment horizontal="center" wrapText="1"/>
    </xf>
    <xf numFmtId="0" fontId="6" fillId="5" borderId="30" xfId="0" applyFont="1" applyFill="1" applyBorder="1" applyAlignment="1">
      <alignment horizontal="center" wrapText="1"/>
    </xf>
    <xf numFmtId="0" fontId="6" fillId="5" borderId="30" xfId="0" applyFont="1" applyFill="1" applyBorder="1" applyAlignment="1">
      <alignment wrapText="1"/>
    </xf>
    <xf numFmtId="174" fontId="6" fillId="5" borderId="30" xfId="0" applyNumberFormat="1" applyFont="1" applyFill="1" applyBorder="1" applyAlignment="1">
      <alignment horizontal="center" wrapText="1"/>
    </xf>
    <xf numFmtId="172" fontId="6" fillId="5" borderId="30" xfId="0" applyNumberFormat="1" applyFont="1" applyFill="1" applyBorder="1" applyAlignment="1">
      <alignment horizontal="center" wrapText="1"/>
    </xf>
    <xf numFmtId="0" fontId="6" fillId="6" borderId="30" xfId="0" applyFont="1" applyFill="1" applyBorder="1" applyAlignment="1">
      <alignment horizontal="center" wrapText="1"/>
    </xf>
    <xf numFmtId="0" fontId="6" fillId="6" borderId="30" xfId="0" applyFont="1" applyFill="1" applyBorder="1" applyAlignment="1">
      <alignment wrapText="1"/>
    </xf>
    <xf numFmtId="174" fontId="6" fillId="6" borderId="30" xfId="0" applyNumberFormat="1" applyFont="1" applyFill="1" applyBorder="1" applyAlignment="1">
      <alignment horizontal="center" wrapText="1"/>
    </xf>
    <xf numFmtId="172" fontId="6" fillId="6" borderId="30" xfId="0" applyNumberFormat="1" applyFont="1" applyFill="1" applyBorder="1" applyAlignment="1">
      <alignment horizontal="center" wrapText="1"/>
    </xf>
    <xf numFmtId="0" fontId="6" fillId="7" borderId="30" xfId="0" applyFont="1" applyFill="1" applyBorder="1" applyAlignment="1">
      <alignment horizontal="center" wrapText="1"/>
    </xf>
    <xf numFmtId="174" fontId="6" fillId="7" borderId="30" xfId="0" applyNumberFormat="1" applyFont="1" applyFill="1" applyBorder="1" applyAlignment="1">
      <alignment horizontal="center" wrapText="1"/>
    </xf>
    <xf numFmtId="172" fontId="6" fillId="7" borderId="30" xfId="0" applyNumberFormat="1" applyFont="1" applyFill="1" applyBorder="1" applyAlignment="1">
      <alignment horizontal="center" wrapText="1"/>
    </xf>
    <xf numFmtId="0" fontId="6" fillId="8" borderId="30" xfId="0" applyFont="1" applyFill="1" applyBorder="1" applyAlignment="1">
      <alignment horizontal="centerContinuous" wrapText="1"/>
    </xf>
    <xf numFmtId="172" fontId="6" fillId="8" borderId="30" xfId="0" applyNumberFormat="1" applyFont="1" applyFill="1" applyBorder="1" applyAlignment="1">
      <alignment horizontal="center" wrapText="1"/>
    </xf>
    <xf numFmtId="0" fontId="6" fillId="8" borderId="30" xfId="0" applyFont="1" applyFill="1" applyBorder="1" applyAlignment="1">
      <alignment horizontal="center" wrapText="1"/>
    </xf>
    <xf numFmtId="0" fontId="6" fillId="4" borderId="30" xfId="0" applyFont="1" applyFill="1" applyBorder="1" applyAlignment="1">
      <alignment horizontal="center" wrapText="1"/>
    </xf>
    <xf numFmtId="172" fontId="6" fillId="4" borderId="30" xfId="0" applyNumberFormat="1" applyFont="1" applyFill="1" applyBorder="1" applyAlignment="1">
      <alignment horizontal="center" wrapText="1"/>
    </xf>
    <xf numFmtId="0" fontId="6" fillId="4" borderId="24" xfId="0" applyFont="1" applyFill="1" applyBorder="1" applyAlignment="1">
      <alignment horizontal="center" wrapText="1"/>
    </xf>
    <xf numFmtId="172" fontId="6" fillId="4" borderId="24" xfId="0" applyNumberFormat="1" applyFont="1" applyFill="1" applyBorder="1" applyAlignment="1">
      <alignment horizontal="center" wrapText="1"/>
    </xf>
    <xf numFmtId="0" fontId="6" fillId="4" borderId="30" xfId="0" applyFont="1" applyFill="1" applyBorder="1" applyAlignment="1">
      <alignment wrapText="1"/>
    </xf>
    <xf numFmtId="0" fontId="6" fillId="4" borderId="24" xfId="0" applyFont="1" applyFill="1" applyBorder="1" applyAlignment="1">
      <alignment wrapText="1"/>
    </xf>
    <xf numFmtId="0" fontId="0" fillId="0" borderId="10" xfId="0" applyBorder="1" applyAlignment="1">
      <alignment horizontal="centerContinuous"/>
    </xf>
    <xf numFmtId="0" fontId="0" fillId="0" borderId="31" xfId="0" applyBorder="1" applyAlignment="1">
      <alignment horizontal="centerContinuous"/>
    </xf>
    <xf numFmtId="0" fontId="0" fillId="5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72" fontId="0" fillId="2" borderId="0" xfId="0" applyNumberFormat="1" applyFill="1" applyBorder="1" applyAlignment="1">
      <alignment horizontal="center"/>
    </xf>
    <xf numFmtId="0" fontId="14" fillId="0" borderId="21" xfId="0" applyFont="1" applyBorder="1" applyAlignment="1">
      <alignment horizontal="left" wrapText="1"/>
    </xf>
    <xf numFmtId="0" fontId="14" fillId="5" borderId="21" xfId="0" applyFont="1" applyFill="1" applyBorder="1" applyAlignment="1">
      <alignment wrapText="1"/>
    </xf>
    <xf numFmtId="0" fontId="14" fillId="6" borderId="21" xfId="0" applyFont="1" applyFill="1" applyBorder="1" applyAlignment="1">
      <alignment wrapText="1"/>
    </xf>
    <xf numFmtId="0" fontId="14" fillId="7" borderId="21" xfId="0" applyFont="1" applyFill="1" applyBorder="1" applyAlignment="1">
      <alignment wrapText="1"/>
    </xf>
    <xf numFmtId="0" fontId="14" fillId="8" borderId="21" xfId="0" applyFont="1" applyFill="1" applyBorder="1" applyAlignment="1">
      <alignment wrapText="1"/>
    </xf>
    <xf numFmtId="0" fontId="14" fillId="4" borderId="21" xfId="0" applyFont="1" applyFill="1" applyBorder="1" applyAlignment="1">
      <alignment wrapText="1"/>
    </xf>
    <xf numFmtId="0" fontId="0" fillId="0" borderId="20" xfId="0" applyBorder="1" applyAlignment="1">
      <alignment horizontal="center" wrapText="1"/>
    </xf>
    <xf numFmtId="0" fontId="0" fillId="0" borderId="10" xfId="0" applyBorder="1" applyAlignment="1">
      <alignment horizontal="centerContinuous" vertical="center"/>
    </xf>
    <xf numFmtId="0" fontId="0" fillId="0" borderId="28" xfId="0" applyBorder="1" applyAlignment="1">
      <alignment horizontal="centerContinuous" vertical="center"/>
    </xf>
    <xf numFmtId="0" fontId="0" fillId="0" borderId="30" xfId="0" applyBorder="1" applyAlignment="1">
      <alignment horizontal="centerContinuous" vertical="center"/>
    </xf>
    <xf numFmtId="0" fontId="0" fillId="0" borderId="3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21" xfId="0" applyFont="1" applyBorder="1"/>
    <xf numFmtId="172" fontId="0" fillId="0" borderId="30" xfId="0" applyNumberFormat="1" applyBorder="1" applyAlignment="1">
      <alignment horizontal="center"/>
    </xf>
    <xf numFmtId="172" fontId="0" fillId="0" borderId="29" xfId="0" applyNumberFormat="1" applyBorder="1" applyAlignment="1">
      <alignment horizontal="center"/>
    </xf>
    <xf numFmtId="0" fontId="14" fillId="9" borderId="21" xfId="0" applyFont="1" applyFill="1" applyBorder="1"/>
    <xf numFmtId="0" fontId="0" fillId="9" borderId="28" xfId="0" applyFill="1" applyBorder="1"/>
    <xf numFmtId="172" fontId="0" fillId="9" borderId="28" xfId="0" applyNumberFormat="1" applyFill="1" applyBorder="1" applyAlignment="1">
      <alignment horizontal="center"/>
    </xf>
    <xf numFmtId="172" fontId="0" fillId="9" borderId="29" xfId="0" applyNumberFormat="1" applyFill="1" applyBorder="1" applyAlignment="1">
      <alignment horizontal="center"/>
    </xf>
    <xf numFmtId="0" fontId="0" fillId="9" borderId="21" xfId="0" applyFill="1" applyBorder="1"/>
    <xf numFmtId="0" fontId="0" fillId="9" borderId="30" xfId="0" applyFill="1" applyBorder="1" applyAlignment="1">
      <alignment horizontal="center"/>
    </xf>
    <xf numFmtId="0" fontId="0" fillId="9" borderId="28" xfId="0" applyFill="1" applyBorder="1" applyAlignment="1">
      <alignment horizontal="centerContinuous"/>
    </xf>
    <xf numFmtId="0" fontId="0" fillId="9" borderId="30" xfId="0" applyFill="1" applyBorder="1" applyAlignment="1">
      <alignment horizontal="centerContinuous"/>
    </xf>
    <xf numFmtId="172" fontId="0" fillId="9" borderId="30" xfId="0" applyNumberFormat="1" applyFill="1" applyBorder="1" applyAlignment="1">
      <alignment horizontal="center"/>
    </xf>
    <xf numFmtId="0" fontId="14" fillId="10" borderId="21" xfId="0" applyFont="1" applyFill="1" applyBorder="1"/>
    <xf numFmtId="0" fontId="0" fillId="10" borderId="28" xfId="0" applyFill="1" applyBorder="1"/>
    <xf numFmtId="172" fontId="0" fillId="10" borderId="28" xfId="0" applyNumberFormat="1" applyFill="1" applyBorder="1" applyAlignment="1">
      <alignment horizontal="center"/>
    </xf>
    <xf numFmtId="172" fontId="0" fillId="10" borderId="29" xfId="0" applyNumberFormat="1" applyFill="1" applyBorder="1" applyAlignment="1">
      <alignment horizontal="center"/>
    </xf>
    <xf numFmtId="0" fontId="0" fillId="10" borderId="21" xfId="0" applyFill="1" applyBorder="1"/>
    <xf numFmtId="0" fontId="0" fillId="10" borderId="30" xfId="0" applyFill="1" applyBorder="1" applyAlignment="1">
      <alignment horizontal="center"/>
    </xf>
    <xf numFmtId="0" fontId="0" fillId="10" borderId="28" xfId="0" applyFill="1" applyBorder="1" applyAlignment="1">
      <alignment horizontal="centerContinuous"/>
    </xf>
    <xf numFmtId="0" fontId="0" fillId="10" borderId="30" xfId="0" applyFill="1" applyBorder="1" applyAlignment="1">
      <alignment horizontal="centerContinuous"/>
    </xf>
    <xf numFmtId="172" fontId="0" fillId="10" borderId="30" xfId="0" applyNumberFormat="1" applyFill="1" applyBorder="1" applyAlignment="1">
      <alignment horizontal="center"/>
    </xf>
    <xf numFmtId="0" fontId="14" fillId="6" borderId="21" xfId="0" applyFont="1" applyFill="1" applyBorder="1"/>
    <xf numFmtId="0" fontId="0" fillId="6" borderId="28" xfId="0" applyFill="1" applyBorder="1"/>
    <xf numFmtId="172" fontId="0" fillId="6" borderId="28" xfId="0" applyNumberFormat="1" applyFill="1" applyBorder="1" applyAlignment="1">
      <alignment horizontal="center"/>
    </xf>
    <xf numFmtId="172" fontId="0" fillId="6" borderId="29" xfId="0" applyNumberFormat="1" applyFill="1" applyBorder="1" applyAlignment="1">
      <alignment horizontal="center"/>
    </xf>
    <xf numFmtId="0" fontId="0" fillId="6" borderId="21" xfId="0" applyFill="1" applyBorder="1"/>
    <xf numFmtId="0" fontId="0" fillId="6" borderId="28" xfId="0" applyFill="1" applyBorder="1" applyAlignment="1">
      <alignment horizontal="centerContinuous"/>
    </xf>
    <xf numFmtId="0" fontId="0" fillId="6" borderId="30" xfId="0" applyFill="1" applyBorder="1" applyAlignment="1">
      <alignment horizontal="centerContinuous"/>
    </xf>
    <xf numFmtId="0" fontId="0" fillId="6" borderId="30" xfId="0" applyFill="1" applyBorder="1" applyAlignment="1">
      <alignment horizontal="center"/>
    </xf>
    <xf numFmtId="172" fontId="0" fillId="6" borderId="30" xfId="0" applyNumberFormat="1" applyFill="1" applyBorder="1" applyAlignment="1">
      <alignment horizontal="center"/>
    </xf>
    <xf numFmtId="0" fontId="14" fillId="8" borderId="21" xfId="0" applyFont="1" applyFill="1" applyBorder="1"/>
    <xf numFmtId="0" fontId="0" fillId="8" borderId="28" xfId="0" applyFill="1" applyBorder="1"/>
    <xf numFmtId="172" fontId="0" fillId="8" borderId="28" xfId="0" applyNumberFormat="1" applyFill="1" applyBorder="1" applyAlignment="1">
      <alignment horizontal="center"/>
    </xf>
    <xf numFmtId="172" fontId="0" fillId="8" borderId="29" xfId="0" applyNumberFormat="1" applyFill="1" applyBorder="1" applyAlignment="1">
      <alignment horizontal="center"/>
    </xf>
    <xf numFmtId="0" fontId="0" fillId="8" borderId="21" xfId="0" applyFill="1" applyBorder="1"/>
    <xf numFmtId="0" fontId="0" fillId="8" borderId="28" xfId="0" applyFill="1" applyBorder="1" applyAlignment="1">
      <alignment horizontal="centerContinuous"/>
    </xf>
    <xf numFmtId="0" fontId="0" fillId="8" borderId="30" xfId="0" applyFill="1" applyBorder="1" applyAlignment="1">
      <alignment horizontal="centerContinuous"/>
    </xf>
    <xf numFmtId="0" fontId="0" fillId="8" borderId="30" xfId="0" applyFill="1" applyBorder="1" applyAlignment="1">
      <alignment horizontal="center"/>
    </xf>
    <xf numFmtId="0" fontId="14" fillId="11" borderId="21" xfId="0" applyFont="1" applyFill="1" applyBorder="1"/>
    <xf numFmtId="0" fontId="0" fillId="11" borderId="28" xfId="0" applyFill="1" applyBorder="1"/>
    <xf numFmtId="172" fontId="0" fillId="11" borderId="28" xfId="0" applyNumberFormat="1" applyFill="1" applyBorder="1" applyAlignment="1">
      <alignment horizontal="center"/>
    </xf>
    <xf numFmtId="172" fontId="0" fillId="11" borderId="29" xfId="0" applyNumberFormat="1" applyFill="1" applyBorder="1" applyAlignment="1">
      <alignment horizontal="center"/>
    </xf>
    <xf numFmtId="0" fontId="0" fillId="11" borderId="21" xfId="0" applyFill="1" applyBorder="1"/>
    <xf numFmtId="0" fontId="0" fillId="11" borderId="28" xfId="0" applyFill="1" applyBorder="1" applyAlignment="1">
      <alignment horizontal="centerContinuous"/>
    </xf>
    <xf numFmtId="0" fontId="0" fillId="11" borderId="30" xfId="0" applyFill="1" applyBorder="1" applyAlignment="1">
      <alignment horizontal="centerContinuous"/>
    </xf>
    <xf numFmtId="0" fontId="0" fillId="11" borderId="30" xfId="0" applyFill="1" applyBorder="1" applyAlignment="1">
      <alignment horizontal="center"/>
    </xf>
    <xf numFmtId="172" fontId="0" fillId="11" borderId="30" xfId="0" applyNumberFormat="1" applyFill="1" applyBorder="1" applyAlignment="1">
      <alignment horizontal="center"/>
    </xf>
    <xf numFmtId="0" fontId="14" fillId="4" borderId="21" xfId="0" applyFont="1" applyFill="1" applyBorder="1"/>
    <xf numFmtId="0" fontId="0" fillId="4" borderId="28" xfId="0" applyFill="1" applyBorder="1"/>
    <xf numFmtId="172" fontId="0" fillId="4" borderId="28" xfId="0" applyNumberFormat="1" applyFill="1" applyBorder="1" applyAlignment="1">
      <alignment horizontal="center"/>
    </xf>
    <xf numFmtId="172" fontId="0" fillId="4" borderId="29" xfId="0" applyNumberFormat="1" applyFill="1" applyBorder="1" applyAlignment="1">
      <alignment horizontal="center"/>
    </xf>
    <xf numFmtId="0" fontId="0" fillId="4" borderId="21" xfId="0" applyFill="1" applyBorder="1"/>
    <xf numFmtId="0" fontId="0" fillId="4" borderId="28" xfId="0" applyFill="1" applyBorder="1" applyAlignment="1">
      <alignment horizontal="centerContinuous"/>
    </xf>
    <xf numFmtId="0" fontId="0" fillId="4" borderId="30" xfId="0" applyFill="1" applyBorder="1" applyAlignment="1">
      <alignment horizontal="centerContinuous"/>
    </xf>
    <xf numFmtId="0" fontId="0" fillId="4" borderId="30" xfId="0" applyFill="1" applyBorder="1" applyAlignment="1">
      <alignment horizontal="center"/>
    </xf>
    <xf numFmtId="172" fontId="0" fillId="4" borderId="30" xfId="0" applyNumberFormat="1" applyFill="1" applyBorder="1" applyAlignment="1">
      <alignment horizontal="center"/>
    </xf>
    <xf numFmtId="0" fontId="15" fillId="5" borderId="21" xfId="0" applyFont="1" applyFill="1" applyBorder="1"/>
    <xf numFmtId="0" fontId="0" fillId="5" borderId="28" xfId="0" applyFill="1" applyBorder="1"/>
    <xf numFmtId="172" fontId="0" fillId="5" borderId="28" xfId="0" applyNumberFormat="1" applyFill="1" applyBorder="1" applyAlignment="1">
      <alignment horizontal="center"/>
    </xf>
    <xf numFmtId="172" fontId="0" fillId="5" borderId="29" xfId="0" applyNumberFormat="1" applyFill="1" applyBorder="1" applyAlignment="1">
      <alignment horizontal="center"/>
    </xf>
    <xf numFmtId="0" fontId="0" fillId="5" borderId="21" xfId="0" applyFill="1" applyBorder="1"/>
    <xf numFmtId="0" fontId="0" fillId="5" borderId="28" xfId="0" applyFill="1" applyBorder="1" applyAlignment="1">
      <alignment horizontal="centerContinuous"/>
    </xf>
    <xf numFmtId="0" fontId="0" fillId="5" borderId="30" xfId="0" applyFill="1" applyBorder="1" applyAlignment="1">
      <alignment horizontal="centerContinuous"/>
    </xf>
    <xf numFmtId="0" fontId="0" fillId="5" borderId="30" xfId="0" applyFill="1" applyBorder="1" applyAlignment="1">
      <alignment horizontal="center"/>
    </xf>
    <xf numFmtId="172" fontId="0" fillId="5" borderId="30" xfId="0" applyNumberFormat="1" applyFill="1" applyBorder="1" applyAlignment="1">
      <alignment horizontal="center"/>
    </xf>
    <xf numFmtId="0" fontId="15" fillId="12" borderId="21" xfId="0" applyFont="1" applyFill="1" applyBorder="1"/>
    <xf numFmtId="0" fontId="0" fillId="12" borderId="28" xfId="0" applyFill="1" applyBorder="1"/>
    <xf numFmtId="172" fontId="0" fillId="12" borderId="28" xfId="0" applyNumberFormat="1" applyFill="1" applyBorder="1" applyAlignment="1">
      <alignment horizontal="center"/>
    </xf>
    <xf numFmtId="172" fontId="0" fillId="12" borderId="29" xfId="0" applyNumberFormat="1" applyFill="1" applyBorder="1" applyAlignment="1">
      <alignment horizontal="center"/>
    </xf>
    <xf numFmtId="0" fontId="0" fillId="12" borderId="21" xfId="0" applyFill="1" applyBorder="1"/>
    <xf numFmtId="0" fontId="0" fillId="12" borderId="28" xfId="0" applyFill="1" applyBorder="1" applyAlignment="1">
      <alignment horizontal="centerContinuous"/>
    </xf>
    <xf numFmtId="0" fontId="0" fillId="12" borderId="30" xfId="0" applyFill="1" applyBorder="1" applyAlignment="1">
      <alignment horizontal="centerContinuous"/>
    </xf>
    <xf numFmtId="0" fontId="0" fillId="12" borderId="30" xfId="0" applyFill="1" applyBorder="1" applyAlignment="1">
      <alignment horizontal="center"/>
    </xf>
    <xf numFmtId="172" fontId="0" fillId="12" borderId="30" xfId="0" applyNumberFormat="1" applyFill="1" applyBorder="1" applyAlignment="1">
      <alignment horizontal="center"/>
    </xf>
    <xf numFmtId="0" fontId="0" fillId="11" borderId="25" xfId="0" applyFill="1" applyBorder="1"/>
    <xf numFmtId="0" fontId="0" fillId="11" borderId="7" xfId="0" applyFill="1" applyBorder="1" applyAlignment="1">
      <alignment horizontal="centerContinuous"/>
    </xf>
    <xf numFmtId="0" fontId="0" fillId="11" borderId="24" xfId="0" applyFill="1" applyBorder="1" applyAlignment="1">
      <alignment horizontal="centerContinuous"/>
    </xf>
    <xf numFmtId="172" fontId="0" fillId="11" borderId="24" xfId="0" applyNumberFormat="1" applyFill="1" applyBorder="1" applyAlignment="1">
      <alignment horizontal="center"/>
    </xf>
    <xf numFmtId="172" fontId="0" fillId="11" borderId="14" xfId="0" applyNumberForma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2" borderId="13" xfId="0" applyFill="1" applyBorder="1" applyAlignment="1"/>
    <xf numFmtId="0" fontId="6" fillId="0" borderId="15" xfId="0" applyFont="1" applyBorder="1"/>
    <xf numFmtId="174" fontId="0" fillId="0" borderId="30" xfId="0" applyNumberFormat="1" applyBorder="1" applyAlignment="1">
      <alignment horizontal="center"/>
    </xf>
    <xf numFmtId="174" fontId="0" fillId="2" borderId="29" xfId="0" applyNumberForma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1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6" fillId="0" borderId="0" xfId="0" applyFont="1"/>
    <xf numFmtId="0" fontId="0" fillId="0" borderId="32" xfId="0" applyBorder="1" applyAlignment="1">
      <alignment horizontal="centerContinuous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6" xfId="0" applyBorder="1" applyAlignment="1">
      <alignment horizontal="center"/>
    </xf>
    <xf numFmtId="0" fontId="0" fillId="0" borderId="43" xfId="0" applyBorder="1"/>
    <xf numFmtId="1" fontId="0" fillId="2" borderId="38" xfId="0" applyNumberFormat="1" applyFill="1" applyBorder="1"/>
    <xf numFmtId="0" fontId="0" fillId="2" borderId="14" xfId="0" applyFill="1" applyBorder="1"/>
    <xf numFmtId="172" fontId="0" fillId="2" borderId="9" xfId="0" applyNumberFormat="1" applyFill="1" applyBorder="1" applyAlignment="1">
      <alignment horizontal="center"/>
    </xf>
    <xf numFmtId="0" fontId="0" fillId="3" borderId="14" xfId="0" applyFill="1" applyBorder="1"/>
    <xf numFmtId="172" fontId="0" fillId="2" borderId="24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172" fontId="0" fillId="2" borderId="7" xfId="0" applyNumberFormat="1" applyFill="1" applyBorder="1" applyAlignment="1">
      <alignment horizontal="center"/>
    </xf>
    <xf numFmtId="0" fontId="4" fillId="0" borderId="21" xfId="0" applyFont="1" applyBorder="1"/>
    <xf numFmtId="174" fontId="0" fillId="0" borderId="29" xfId="0" applyNumberFormat="1" applyBorder="1" applyAlignment="1">
      <alignment horizontal="center"/>
    </xf>
    <xf numFmtId="172" fontId="0" fillId="0" borderId="9" xfId="0" applyNumberFormat="1" applyBorder="1"/>
    <xf numFmtId="0" fontId="0" fillId="0" borderId="31" xfId="0" applyBorder="1" applyAlignment="1">
      <alignment horizontal="centerContinuous" vertical="center"/>
    </xf>
    <xf numFmtId="0" fontId="17" fillId="0" borderId="23" xfId="0" applyFont="1" applyBorder="1" applyAlignment="1">
      <alignment horizontal="left" vertical="center"/>
    </xf>
    <xf numFmtId="0" fontId="17" fillId="0" borderId="44" xfId="0" applyFont="1" applyBorder="1" applyAlignment="1">
      <alignment horizontal="centerContinuous" vertical="center"/>
    </xf>
    <xf numFmtId="0" fontId="17" fillId="0" borderId="45" xfId="0" applyFont="1" applyBorder="1" applyAlignment="1">
      <alignment horizontal="centerContinuous" vertical="center"/>
    </xf>
    <xf numFmtId="0" fontId="17" fillId="0" borderId="39" xfId="0" applyFont="1" applyBorder="1" applyAlignment="1">
      <alignment horizontal="centerContinuous" vertical="center"/>
    </xf>
    <xf numFmtId="0" fontId="17" fillId="0" borderId="0" xfId="0" applyFont="1" applyBorder="1" applyAlignment="1">
      <alignment horizontal="centerContinuous" vertical="center"/>
    </xf>
    <xf numFmtId="0" fontId="0" fillId="0" borderId="9" xfId="0" applyBorder="1" applyAlignment="1">
      <alignment horizontal="centerContinuous" vertical="center"/>
    </xf>
    <xf numFmtId="0" fontId="17" fillId="0" borderId="34" xfId="0" applyFon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0" fontId="17" fillId="0" borderId="4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2" xfId="0" applyBorder="1" applyAlignment="1">
      <alignment vertical="center"/>
    </xf>
    <xf numFmtId="0" fontId="2" fillId="0" borderId="23" xfId="0" applyFont="1" applyBorder="1"/>
    <xf numFmtId="174" fontId="0" fillId="0" borderId="36" xfId="0" applyNumberFormat="1" applyBorder="1" applyAlignment="1">
      <alignment horizontal="center"/>
    </xf>
    <xf numFmtId="174" fontId="0" fillId="0" borderId="13" xfId="0" applyNumberFormat="1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9" fillId="0" borderId="1" xfId="0" applyFont="1" applyBorder="1"/>
    <xf numFmtId="0" fontId="0" fillId="0" borderId="10" xfId="0" applyBorder="1" applyAlignment="1">
      <alignment horizontal="centerContinuous" wrapText="1"/>
    </xf>
    <xf numFmtId="174" fontId="0" fillId="11" borderId="24" xfId="0" applyNumberFormat="1" applyFill="1" applyBorder="1" applyAlignment="1">
      <alignment horizontal="center"/>
    </xf>
    <xf numFmtId="172" fontId="0" fillId="8" borderId="41" xfId="0" applyNumberFormat="1" applyFill="1" applyBorder="1" applyAlignment="1">
      <alignment horizontal="center"/>
    </xf>
    <xf numFmtId="0" fontId="0" fillId="0" borderId="32" xfId="0" applyBorder="1" applyAlignment="1">
      <alignment horizontal="center" vertical="center" wrapText="1"/>
    </xf>
    <xf numFmtId="0" fontId="19" fillId="0" borderId="0" xfId="0" applyFont="1" applyBorder="1"/>
    <xf numFmtId="0" fontId="1" fillId="9" borderId="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63500</xdr:colOff>
      <xdr:row>0</xdr:row>
      <xdr:rowOff>0</xdr:rowOff>
    </xdr:from>
    <xdr:to>
      <xdr:col>16</xdr:col>
      <xdr:colOff>63500</xdr:colOff>
      <xdr:row>0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D5B9126A-5CCF-48EF-AA98-B3A141558F56}"/>
            </a:ext>
          </a:extLst>
        </xdr:cNvPr>
        <xdr:cNvSpPr>
          <a:spLocks noChangeShapeType="1"/>
        </xdr:cNvSpPr>
      </xdr:nvSpPr>
      <xdr:spPr bwMode="auto">
        <a:xfrm flipV="1">
          <a:off x="10547350" y="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zoomScale="75" workbookViewId="0">
      <selection activeCell="J13" sqref="J13"/>
    </sheetView>
  </sheetViews>
  <sheetFormatPr defaultRowHeight="12.5" x14ac:dyDescent="0.25"/>
  <cols>
    <col min="4" max="4" width="14.6328125" customWidth="1"/>
    <col min="8" max="8" width="9.81640625" customWidth="1"/>
    <col min="10" max="10" width="12.1796875" customWidth="1"/>
  </cols>
  <sheetData>
    <row r="1" spans="1:10" ht="15.5" x14ac:dyDescent="0.35">
      <c r="A1" s="72" t="s">
        <v>0</v>
      </c>
    </row>
    <row r="2" spans="1:10" ht="15.5" x14ac:dyDescent="0.35">
      <c r="A2" s="72"/>
    </row>
    <row r="4" spans="1:10" ht="13.5" thickBot="1" x14ac:dyDescent="0.35">
      <c r="A4" s="1" t="s">
        <v>1</v>
      </c>
    </row>
    <row r="5" spans="1:10" ht="16.75" customHeight="1" x14ac:dyDescent="0.25">
      <c r="A5" s="73"/>
      <c r="B5" s="17"/>
      <c r="C5" s="17"/>
      <c r="D5" s="17"/>
      <c r="E5" s="17"/>
      <c r="F5" s="17"/>
      <c r="G5" s="335" t="s">
        <v>2</v>
      </c>
      <c r="H5" s="335"/>
      <c r="I5" s="335" t="s">
        <v>3</v>
      </c>
      <c r="J5" s="336"/>
    </row>
    <row r="6" spans="1:10" ht="20.399999999999999" customHeight="1" x14ac:dyDescent="0.25">
      <c r="A6" s="340" t="s">
        <v>4</v>
      </c>
      <c r="B6" s="341"/>
      <c r="C6" s="342"/>
      <c r="D6" s="342"/>
      <c r="E6" s="14"/>
      <c r="F6" s="14"/>
      <c r="G6" s="75"/>
      <c r="H6" s="76"/>
      <c r="I6" s="77"/>
      <c r="J6" s="20"/>
    </row>
    <row r="7" spans="1:10" ht="19.25" customHeight="1" x14ac:dyDescent="0.25">
      <c r="A7" s="334" t="s">
        <v>5</v>
      </c>
      <c r="B7" s="78"/>
      <c r="C7" s="79"/>
      <c r="D7" s="80"/>
      <c r="E7" s="337" t="s">
        <v>6</v>
      </c>
      <c r="F7" s="85"/>
      <c r="G7" s="77"/>
      <c r="H7" s="81"/>
      <c r="I7" s="75"/>
      <c r="J7" s="20"/>
    </row>
    <row r="8" spans="1:10" ht="18" customHeight="1" x14ac:dyDescent="0.25">
      <c r="A8" s="343"/>
      <c r="B8" s="344"/>
      <c r="C8" s="344"/>
      <c r="D8" s="345"/>
      <c r="E8" s="338" t="s">
        <v>7</v>
      </c>
      <c r="F8" s="339"/>
      <c r="G8" s="77"/>
      <c r="H8" s="81"/>
      <c r="I8" s="77"/>
      <c r="J8" s="308"/>
    </row>
    <row r="9" spans="1:10" ht="21.65" customHeight="1" thickBot="1" x14ac:dyDescent="0.3">
      <c r="A9" s="346" t="s">
        <v>8</v>
      </c>
      <c r="B9" s="347"/>
      <c r="C9" s="347"/>
      <c r="D9" s="348"/>
      <c r="E9" s="18"/>
      <c r="F9" s="19"/>
      <c r="G9" s="82"/>
      <c r="H9" s="83"/>
      <c r="I9" s="82"/>
      <c r="J9" s="84"/>
    </row>
  </sheetData>
  <pageMargins left="0.2" right="0.5" top="0.8" bottom="0.8" header="0.5" footer="0.5"/>
  <pageSetup scale="90" orientation="portrait" horizontalDpi="4294967292" verticalDpi="0" r:id="rId1"/>
  <headerFooter alignWithMargins="0">
    <oddHeader>&amp;A</oddHead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6" sqref="B6"/>
    </sheetView>
  </sheetViews>
  <sheetFormatPr defaultRowHeight="12.5" x14ac:dyDescent="0.25"/>
  <sheetData>
    <row r="1" spans="1:4" ht="13" x14ac:dyDescent="0.3">
      <c r="A1" s="33" t="s">
        <v>9</v>
      </c>
    </row>
    <row r="3" spans="1:4" ht="13" x14ac:dyDescent="0.3">
      <c r="A3" s="35" t="s">
        <v>10</v>
      </c>
      <c r="B3" s="35"/>
      <c r="C3" s="35"/>
      <c r="D3" s="35"/>
    </row>
    <row r="4" spans="1:4" x14ac:dyDescent="0.25">
      <c r="A4" t="s">
        <v>11</v>
      </c>
    </row>
    <row r="5" spans="1:4" x14ac:dyDescent="0.25">
      <c r="A5" t="s">
        <v>12</v>
      </c>
    </row>
    <row r="11" spans="1:4" ht="13" x14ac:dyDescent="0.3">
      <c r="A11" s="35" t="s">
        <v>13</v>
      </c>
    </row>
    <row r="13" spans="1:4" x14ac:dyDescent="0.25">
      <c r="B13" t="s">
        <v>14</v>
      </c>
    </row>
    <row r="17" spans="1:2" x14ac:dyDescent="0.25">
      <c r="B17" t="s">
        <v>15</v>
      </c>
    </row>
    <row r="21" spans="1:2" x14ac:dyDescent="0.25">
      <c r="B21" t="s">
        <v>16</v>
      </c>
    </row>
    <row r="25" spans="1:2" x14ac:dyDescent="0.25">
      <c r="B25" t="s">
        <v>17</v>
      </c>
    </row>
    <row r="29" spans="1:2" x14ac:dyDescent="0.25">
      <c r="B29" t="s">
        <v>18</v>
      </c>
    </row>
    <row r="32" spans="1:2" ht="13" x14ac:dyDescent="0.3">
      <c r="A32" s="33"/>
    </row>
  </sheetData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topLeftCell="A25" zoomScale="75" workbookViewId="0">
      <selection activeCell="A37" sqref="A37"/>
    </sheetView>
  </sheetViews>
  <sheetFormatPr defaultRowHeight="12.5" x14ac:dyDescent="0.25"/>
  <cols>
    <col min="1" max="1" width="53.453125" customWidth="1"/>
    <col min="2" max="2" width="9.90625" customWidth="1"/>
    <col min="3" max="3" width="11.08984375" customWidth="1"/>
    <col min="4" max="4" width="10.6328125" customWidth="1"/>
    <col min="5" max="5" width="11.54296875" customWidth="1"/>
  </cols>
  <sheetData>
    <row r="1" spans="1:5" ht="15.5" x14ac:dyDescent="0.35">
      <c r="A1" s="72" t="s">
        <v>19</v>
      </c>
    </row>
    <row r="2" spans="1:5" ht="13" x14ac:dyDescent="0.3">
      <c r="A2" s="1"/>
    </row>
    <row r="3" spans="1:5" ht="13.5" thickBot="1" x14ac:dyDescent="0.35">
      <c r="A3" s="1" t="s">
        <v>20</v>
      </c>
    </row>
    <row r="4" spans="1:5" x14ac:dyDescent="0.25">
      <c r="A4" s="3"/>
      <c r="B4" s="27" t="s">
        <v>21</v>
      </c>
      <c r="C4" s="28"/>
      <c r="D4" s="27" t="s">
        <v>22</v>
      </c>
      <c r="E4" s="6"/>
    </row>
    <row r="5" spans="1:5" ht="25" x14ac:dyDescent="0.25">
      <c r="A5" s="24"/>
      <c r="B5" s="85" t="s">
        <v>23</v>
      </c>
      <c r="C5" s="86" t="s">
        <v>24</v>
      </c>
      <c r="D5" s="85" t="s">
        <v>23</v>
      </c>
      <c r="E5" s="87" t="s">
        <v>24</v>
      </c>
    </row>
    <row r="6" spans="1:5" x14ac:dyDescent="0.25">
      <c r="A6" s="7"/>
      <c r="B6" s="88"/>
      <c r="C6" s="16"/>
      <c r="D6" s="16"/>
      <c r="E6" s="89"/>
    </row>
    <row r="7" spans="1:5" x14ac:dyDescent="0.25">
      <c r="A7" s="21" t="s">
        <v>25</v>
      </c>
      <c r="B7" s="88"/>
      <c r="C7" s="16"/>
      <c r="D7" s="16"/>
      <c r="E7" s="89"/>
    </row>
    <row r="8" spans="1:5" x14ac:dyDescent="0.25">
      <c r="A8" s="90" t="s">
        <v>26</v>
      </c>
      <c r="B8" s="88"/>
      <c r="C8" s="16"/>
      <c r="D8" s="16"/>
      <c r="E8" s="89"/>
    </row>
    <row r="9" spans="1:5" x14ac:dyDescent="0.25">
      <c r="A9" s="37" t="s">
        <v>27</v>
      </c>
      <c r="B9" s="91" t="s">
        <v>28</v>
      </c>
      <c r="C9" s="91" t="s">
        <v>28</v>
      </c>
      <c r="D9" s="91" t="s">
        <v>28</v>
      </c>
      <c r="E9" s="92" t="s">
        <v>28</v>
      </c>
    </row>
    <row r="10" spans="1:5" x14ac:dyDescent="0.25">
      <c r="A10" s="37" t="s">
        <v>29</v>
      </c>
      <c r="B10" s="88">
        <v>-0.01</v>
      </c>
      <c r="C10" s="16" t="s">
        <v>30</v>
      </c>
      <c r="D10" s="16">
        <v>0.03</v>
      </c>
      <c r="E10" s="89" t="s">
        <v>30</v>
      </c>
    </row>
    <row r="11" spans="1:5" x14ac:dyDescent="0.25">
      <c r="A11" s="37" t="s">
        <v>31</v>
      </c>
      <c r="B11" s="88">
        <v>0.22</v>
      </c>
      <c r="C11" s="16" t="s">
        <v>32</v>
      </c>
      <c r="D11" s="16">
        <v>0.56999999999999995</v>
      </c>
      <c r="E11" s="89" t="s">
        <v>33</v>
      </c>
    </row>
    <row r="12" spans="1:5" x14ac:dyDescent="0.25">
      <c r="A12" s="37" t="s">
        <v>34</v>
      </c>
      <c r="B12" s="88">
        <v>-0.14000000000000001</v>
      </c>
      <c r="C12" s="16" t="s">
        <v>30</v>
      </c>
      <c r="D12" s="16">
        <v>0.55000000000000004</v>
      </c>
      <c r="E12" s="89" t="s">
        <v>35</v>
      </c>
    </row>
    <row r="13" spans="1:5" x14ac:dyDescent="0.25">
      <c r="A13" s="37" t="s">
        <v>36</v>
      </c>
      <c r="B13" s="88">
        <v>-7.0000000000000007E-2</v>
      </c>
      <c r="C13" s="16" t="s">
        <v>30</v>
      </c>
      <c r="D13" s="16">
        <v>0.09</v>
      </c>
      <c r="E13" s="89" t="s">
        <v>30</v>
      </c>
    </row>
    <row r="14" spans="1:5" x14ac:dyDescent="0.25">
      <c r="A14" s="37" t="s">
        <v>37</v>
      </c>
      <c r="B14" s="49">
        <v>0.38</v>
      </c>
      <c r="C14" s="50" t="s">
        <v>33</v>
      </c>
      <c r="D14" s="50">
        <v>0.03</v>
      </c>
      <c r="E14" s="89" t="s">
        <v>30</v>
      </c>
    </row>
    <row r="15" spans="1:5" x14ac:dyDescent="0.25">
      <c r="A15" s="37" t="s">
        <v>38</v>
      </c>
      <c r="B15" s="93"/>
      <c r="C15" s="15"/>
      <c r="D15" s="15"/>
      <c r="E15" s="89"/>
    </row>
    <row r="16" spans="1:5" x14ac:dyDescent="0.25">
      <c r="A16" s="37" t="s">
        <v>39</v>
      </c>
      <c r="B16" s="94" t="s">
        <v>28</v>
      </c>
      <c r="C16" s="95" t="s">
        <v>40</v>
      </c>
      <c r="D16" s="95" t="s">
        <v>40</v>
      </c>
      <c r="E16" s="96" t="s">
        <v>41</v>
      </c>
    </row>
    <row r="17" spans="1:5" x14ac:dyDescent="0.25">
      <c r="A17" s="37" t="s">
        <v>42</v>
      </c>
      <c r="B17" s="88">
        <v>-0.08</v>
      </c>
      <c r="C17" s="16" t="s">
        <v>30</v>
      </c>
      <c r="D17" s="16">
        <v>-0.43</v>
      </c>
      <c r="E17" s="89" t="s">
        <v>33</v>
      </c>
    </row>
    <row r="18" spans="1:5" x14ac:dyDescent="0.25">
      <c r="A18" s="37" t="s">
        <v>43</v>
      </c>
      <c r="B18" s="88">
        <v>-0.23</v>
      </c>
      <c r="C18" s="16" t="s">
        <v>30</v>
      </c>
      <c r="D18" s="16">
        <v>-0.91</v>
      </c>
      <c r="E18" s="89" t="s">
        <v>33</v>
      </c>
    </row>
    <row r="19" spans="1:5" x14ac:dyDescent="0.25">
      <c r="A19" s="37" t="s">
        <v>44</v>
      </c>
      <c r="B19" s="88">
        <v>-0.51</v>
      </c>
      <c r="C19" s="16" t="s">
        <v>35</v>
      </c>
      <c r="D19" s="16">
        <v>-1.1499999999999999</v>
      </c>
      <c r="E19" s="89" t="s">
        <v>33</v>
      </c>
    </row>
    <row r="20" spans="1:5" x14ac:dyDescent="0.25">
      <c r="A20" s="37" t="s">
        <v>45</v>
      </c>
      <c r="B20" s="88">
        <v>0.19</v>
      </c>
      <c r="C20" s="16" t="s">
        <v>30</v>
      </c>
      <c r="D20" s="16">
        <v>0.45</v>
      </c>
      <c r="E20" s="89" t="s">
        <v>33</v>
      </c>
    </row>
    <row r="21" spans="1:5" ht="13" thickBot="1" x14ac:dyDescent="0.3">
      <c r="A21" s="41" t="s">
        <v>46</v>
      </c>
      <c r="B21" s="48">
        <v>-0.12</v>
      </c>
      <c r="C21" s="51" t="s">
        <v>30</v>
      </c>
      <c r="D21" s="51">
        <v>-0.11</v>
      </c>
      <c r="E21" s="23" t="s">
        <v>30</v>
      </c>
    </row>
    <row r="22" spans="1:5" x14ac:dyDescent="0.25">
      <c r="A22" s="97" t="s">
        <v>47</v>
      </c>
      <c r="B22" s="88"/>
      <c r="C22" s="16"/>
      <c r="D22" s="16"/>
      <c r="E22" s="89"/>
    </row>
    <row r="23" spans="1:5" x14ac:dyDescent="0.25">
      <c r="A23" s="37" t="s">
        <v>48</v>
      </c>
      <c r="B23" s="88">
        <v>0.03</v>
      </c>
      <c r="C23" s="16" t="s">
        <v>30</v>
      </c>
      <c r="D23" s="16">
        <v>-0.37</v>
      </c>
      <c r="E23" s="89" t="s">
        <v>33</v>
      </c>
    </row>
    <row r="24" spans="1:5" x14ac:dyDescent="0.25">
      <c r="A24" s="37" t="s">
        <v>49</v>
      </c>
      <c r="B24" s="88">
        <v>0.31</v>
      </c>
      <c r="C24" s="16" t="s">
        <v>32</v>
      </c>
      <c r="D24" s="16">
        <v>0.37</v>
      </c>
      <c r="E24" s="89" t="s">
        <v>33</v>
      </c>
    </row>
    <row r="25" spans="1:5" x14ac:dyDescent="0.25">
      <c r="A25" s="37" t="s">
        <v>50</v>
      </c>
      <c r="B25" s="88">
        <v>-0.03</v>
      </c>
      <c r="C25" s="16" t="s">
        <v>30</v>
      </c>
      <c r="D25" s="16">
        <v>0.44</v>
      </c>
      <c r="E25" s="89" t="s">
        <v>35</v>
      </c>
    </row>
    <row r="26" spans="1:5" x14ac:dyDescent="0.25">
      <c r="A26" s="37" t="s">
        <v>51</v>
      </c>
      <c r="B26" s="88">
        <v>0.08</v>
      </c>
      <c r="C26" s="16" t="s">
        <v>30</v>
      </c>
      <c r="D26" s="16">
        <v>0.12</v>
      </c>
      <c r="E26" s="89" t="s">
        <v>32</v>
      </c>
    </row>
    <row r="27" spans="1:5" ht="13" thickBot="1" x14ac:dyDescent="0.3">
      <c r="A27" s="41" t="s">
        <v>52</v>
      </c>
      <c r="B27" s="98">
        <v>-0.04</v>
      </c>
      <c r="C27" s="45" t="s">
        <v>30</v>
      </c>
      <c r="D27" s="45">
        <v>-0.32</v>
      </c>
      <c r="E27" s="23" t="s">
        <v>33</v>
      </c>
    </row>
    <row r="28" spans="1:5" x14ac:dyDescent="0.25">
      <c r="A28" s="97" t="s">
        <v>53</v>
      </c>
      <c r="B28" s="15"/>
      <c r="C28" s="16"/>
      <c r="D28" s="16"/>
      <c r="E28" s="89"/>
    </row>
    <row r="29" spans="1:5" x14ac:dyDescent="0.25">
      <c r="A29" s="37" t="s">
        <v>54</v>
      </c>
      <c r="B29" s="88">
        <v>0.04</v>
      </c>
      <c r="C29" s="16" t="s">
        <v>30</v>
      </c>
      <c r="D29" s="16">
        <v>-0.31</v>
      </c>
      <c r="E29" s="89" t="s">
        <v>32</v>
      </c>
    </row>
    <row r="30" spans="1:5" x14ac:dyDescent="0.25">
      <c r="A30" s="37" t="s">
        <v>55</v>
      </c>
      <c r="B30" s="88">
        <v>7.0000000000000007E-2</v>
      </c>
      <c r="C30" s="16" t="s">
        <v>30</v>
      </c>
      <c r="D30" s="16">
        <v>-0.03</v>
      </c>
      <c r="E30" s="89" t="s">
        <v>32</v>
      </c>
    </row>
    <row r="31" spans="1:5" x14ac:dyDescent="0.25">
      <c r="A31" s="37" t="s">
        <v>56</v>
      </c>
      <c r="B31" s="99">
        <v>-0.12</v>
      </c>
      <c r="C31" s="16" t="s">
        <v>35</v>
      </c>
      <c r="D31" s="16">
        <v>-0.14000000000000001</v>
      </c>
      <c r="E31" s="89" t="s">
        <v>35</v>
      </c>
    </row>
    <row r="32" spans="1:5" x14ac:dyDescent="0.25">
      <c r="A32" s="74" t="s">
        <v>57</v>
      </c>
      <c r="B32" s="2">
        <v>0.98499999999999999</v>
      </c>
      <c r="C32" s="25"/>
      <c r="D32" s="53">
        <v>1.3049999999999999</v>
      </c>
      <c r="E32" s="54"/>
    </row>
    <row r="33" spans="1:5" x14ac:dyDescent="0.25">
      <c r="A33" s="39" t="s">
        <v>58</v>
      </c>
      <c r="B33" s="25">
        <v>1621</v>
      </c>
      <c r="C33" s="25"/>
      <c r="D33" s="55">
        <v>1465</v>
      </c>
      <c r="E33" s="56"/>
    </row>
    <row r="34" spans="1:5" x14ac:dyDescent="0.25">
      <c r="A34" s="39" t="s">
        <v>59</v>
      </c>
      <c r="B34" s="25">
        <v>0.44</v>
      </c>
      <c r="C34" s="25"/>
      <c r="D34" s="55">
        <v>0.49</v>
      </c>
      <c r="E34" s="56"/>
    </row>
    <row r="35" spans="1:5" ht="13" thickBot="1" x14ac:dyDescent="0.3">
      <c r="A35" s="41" t="s">
        <v>60</v>
      </c>
      <c r="B35" s="26">
        <v>0.78700000000000003</v>
      </c>
      <c r="C35" s="26"/>
      <c r="D35" s="22">
        <v>0.65800000000000003</v>
      </c>
      <c r="E35" s="23"/>
    </row>
    <row r="36" spans="1:5" x14ac:dyDescent="0.25">
      <c r="A36" s="8" t="s">
        <v>61</v>
      </c>
      <c r="B36" s="9"/>
      <c r="C36" s="9"/>
      <c r="D36" s="9"/>
      <c r="E36" s="9"/>
    </row>
    <row r="37" spans="1:5" x14ac:dyDescent="0.25">
      <c r="A37" t="s">
        <v>62</v>
      </c>
    </row>
    <row r="38" spans="1:5" x14ac:dyDescent="0.25">
      <c r="A38" t="s">
        <v>63</v>
      </c>
    </row>
    <row r="43" spans="1:5" ht="14" x14ac:dyDescent="0.3">
      <c r="A43" s="316" t="s">
        <v>64</v>
      </c>
    </row>
    <row r="49" spans="1:1" ht="14" x14ac:dyDescent="0.3">
      <c r="A49" s="316" t="s">
        <v>65</v>
      </c>
    </row>
  </sheetData>
  <pageMargins left="0.56000000000000005" right="0.35" top="1" bottom="1" header="0.5" footer="0.5"/>
  <pageSetup scale="90" orientation="portrait" horizontalDpi="0" verticalDpi="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topLeftCell="A22" zoomScale="85" workbookViewId="0">
      <selection activeCell="C31" sqref="C31"/>
    </sheetView>
  </sheetViews>
  <sheetFormatPr defaultRowHeight="12.5" x14ac:dyDescent="0.25"/>
  <cols>
    <col min="1" max="1" width="59.36328125" customWidth="1"/>
    <col min="2" max="2" width="9.453125" customWidth="1"/>
    <col min="3" max="3" width="10.6328125" customWidth="1"/>
    <col min="4" max="4" width="10.08984375" customWidth="1"/>
    <col min="5" max="5" width="11.54296875" customWidth="1"/>
    <col min="6" max="6" width="11.90625" customWidth="1"/>
    <col min="7" max="7" width="10.90625" customWidth="1"/>
    <col min="8" max="8" width="9.453125" customWidth="1"/>
    <col min="9" max="9" width="10.6328125" customWidth="1"/>
  </cols>
  <sheetData>
    <row r="1" spans="1:5" ht="13" x14ac:dyDescent="0.3">
      <c r="A1" s="35" t="s">
        <v>66</v>
      </c>
    </row>
    <row r="3" spans="1:5" ht="13.5" thickBot="1" x14ac:dyDescent="0.35">
      <c r="A3" s="1" t="s">
        <v>20</v>
      </c>
    </row>
    <row r="4" spans="1:5" x14ac:dyDescent="0.25">
      <c r="A4" s="38"/>
      <c r="B4" s="190" t="s">
        <v>21</v>
      </c>
      <c r="C4" s="191"/>
      <c r="D4" s="190" t="s">
        <v>22</v>
      </c>
      <c r="E4" s="317"/>
    </row>
    <row r="5" spans="1:5" ht="25" x14ac:dyDescent="0.25">
      <c r="A5" s="318" t="s">
        <v>67</v>
      </c>
      <c r="B5" s="319" t="s">
        <v>23</v>
      </c>
      <c r="C5" s="319" t="s">
        <v>24</v>
      </c>
      <c r="D5" s="319" t="s">
        <v>23</v>
      </c>
      <c r="E5" s="320" t="s">
        <v>68</v>
      </c>
    </row>
    <row r="6" spans="1:5" x14ac:dyDescent="0.25">
      <c r="A6" s="37"/>
      <c r="B6" s="50"/>
      <c r="C6" s="50"/>
      <c r="D6" s="50"/>
      <c r="E6" s="52"/>
    </row>
    <row r="7" spans="1:5" x14ac:dyDescent="0.25">
      <c r="A7" s="349" t="s">
        <v>25</v>
      </c>
      <c r="B7" s="50"/>
      <c r="C7" s="50"/>
      <c r="D7" s="50"/>
      <c r="E7" s="52"/>
    </row>
    <row r="8" spans="1:5" x14ac:dyDescent="0.25">
      <c r="A8" s="37" t="s">
        <v>26</v>
      </c>
      <c r="B8" s="50"/>
      <c r="C8" s="50"/>
      <c r="D8" s="50"/>
      <c r="E8" s="52"/>
    </row>
    <row r="9" spans="1:5" x14ac:dyDescent="0.25">
      <c r="A9" s="37" t="s">
        <v>27</v>
      </c>
      <c r="B9" s="91" t="s">
        <v>28</v>
      </c>
      <c r="C9" s="91" t="s">
        <v>28</v>
      </c>
      <c r="D9" s="91" t="s">
        <v>28</v>
      </c>
      <c r="E9" s="92" t="s">
        <v>28</v>
      </c>
    </row>
    <row r="10" spans="1:5" x14ac:dyDescent="0.25">
      <c r="A10" s="37" t="s">
        <v>29</v>
      </c>
      <c r="B10" s="50">
        <v>-0.01</v>
      </c>
      <c r="C10" s="50" t="s">
        <v>30</v>
      </c>
      <c r="D10" s="50">
        <v>0.03</v>
      </c>
      <c r="E10" s="52" t="s">
        <v>30</v>
      </c>
    </row>
    <row r="11" spans="1:5" x14ac:dyDescent="0.25">
      <c r="A11" s="37" t="s">
        <v>31</v>
      </c>
      <c r="B11" s="50">
        <v>0.22</v>
      </c>
      <c r="C11" s="50" t="s">
        <v>32</v>
      </c>
      <c r="D11" s="50">
        <v>0.56999999999999995</v>
      </c>
      <c r="E11" s="52" t="s">
        <v>33</v>
      </c>
    </row>
    <row r="12" spans="1:5" x14ac:dyDescent="0.25">
      <c r="A12" s="37" t="s">
        <v>34</v>
      </c>
      <c r="B12" s="50">
        <v>-0.14000000000000001</v>
      </c>
      <c r="C12" s="50" t="s">
        <v>30</v>
      </c>
      <c r="D12" s="50">
        <v>0.55000000000000004</v>
      </c>
      <c r="E12" s="52" t="s">
        <v>35</v>
      </c>
    </row>
    <row r="13" spans="1:5" x14ac:dyDescent="0.25">
      <c r="A13" s="37" t="s">
        <v>36</v>
      </c>
      <c r="B13" s="50">
        <v>-7.0000000000000007E-2</v>
      </c>
      <c r="C13" s="50" t="s">
        <v>30</v>
      </c>
      <c r="D13" s="50">
        <v>0.09</v>
      </c>
      <c r="E13" s="52" t="s">
        <v>30</v>
      </c>
    </row>
    <row r="14" spans="1:5" x14ac:dyDescent="0.25">
      <c r="A14" s="37" t="s">
        <v>37</v>
      </c>
      <c r="B14" s="50">
        <v>0.38</v>
      </c>
      <c r="C14" s="50" t="s">
        <v>33</v>
      </c>
      <c r="D14" s="50">
        <v>0.03</v>
      </c>
      <c r="E14" s="52" t="s">
        <v>30</v>
      </c>
    </row>
    <row r="15" spans="1:5" x14ac:dyDescent="0.25">
      <c r="A15" s="37" t="s">
        <v>38</v>
      </c>
      <c r="B15" s="50"/>
      <c r="C15" s="50"/>
      <c r="D15" s="50"/>
      <c r="E15" s="52"/>
    </row>
    <row r="16" spans="1:5" x14ac:dyDescent="0.25">
      <c r="A16" s="37" t="s">
        <v>39</v>
      </c>
      <c r="B16" s="91" t="s">
        <v>69</v>
      </c>
      <c r="C16" s="91" t="s">
        <v>69</v>
      </c>
      <c r="D16" s="91" t="s">
        <v>69</v>
      </c>
      <c r="E16" s="91" t="s">
        <v>69</v>
      </c>
    </row>
    <row r="17" spans="1:5" x14ac:dyDescent="0.25">
      <c r="A17" s="37" t="s">
        <v>42</v>
      </c>
      <c r="B17" s="50">
        <v>-0.08</v>
      </c>
      <c r="C17" s="50" t="s">
        <v>30</v>
      </c>
      <c r="D17" s="50">
        <v>-0.43</v>
      </c>
      <c r="E17" s="52" t="s">
        <v>33</v>
      </c>
    </row>
    <row r="18" spans="1:5" x14ac:dyDescent="0.25">
      <c r="A18" s="37" t="s">
        <v>43</v>
      </c>
      <c r="B18" s="50">
        <v>-0.23</v>
      </c>
      <c r="C18" s="50" t="s">
        <v>30</v>
      </c>
      <c r="D18" s="50">
        <v>-0.91</v>
      </c>
      <c r="E18" s="52" t="s">
        <v>33</v>
      </c>
    </row>
    <row r="19" spans="1:5" x14ac:dyDescent="0.25">
      <c r="A19" s="37" t="s">
        <v>44</v>
      </c>
      <c r="B19" s="50">
        <v>-0.51</v>
      </c>
      <c r="C19" s="50" t="s">
        <v>35</v>
      </c>
      <c r="D19" s="50">
        <v>-1.1499999999999999</v>
      </c>
      <c r="E19" s="52" t="s">
        <v>33</v>
      </c>
    </row>
    <row r="20" spans="1:5" x14ac:dyDescent="0.25">
      <c r="A20" s="37" t="s">
        <v>45</v>
      </c>
      <c r="B20" s="50">
        <v>0.19</v>
      </c>
      <c r="C20" s="50" t="s">
        <v>30</v>
      </c>
      <c r="D20" s="50">
        <v>0.45</v>
      </c>
      <c r="E20" s="52" t="s">
        <v>33</v>
      </c>
    </row>
    <row r="21" spans="1:5" ht="13" thickBot="1" x14ac:dyDescent="0.3">
      <c r="A21" s="41" t="s">
        <v>46</v>
      </c>
      <c r="B21" s="51">
        <v>-0.12</v>
      </c>
      <c r="C21" s="51" t="s">
        <v>30</v>
      </c>
      <c r="D21" s="51">
        <v>-0.11</v>
      </c>
      <c r="E21" s="62" t="s">
        <v>30</v>
      </c>
    </row>
    <row r="22" spans="1:5" x14ac:dyDescent="0.25">
      <c r="A22" s="349" t="s">
        <v>47</v>
      </c>
      <c r="B22" s="50"/>
      <c r="C22" s="50"/>
      <c r="D22" s="50"/>
      <c r="E22" s="52"/>
    </row>
    <row r="23" spans="1:5" x14ac:dyDescent="0.25">
      <c r="A23" s="37" t="s">
        <v>48</v>
      </c>
      <c r="B23" s="50">
        <v>0.03</v>
      </c>
      <c r="C23" s="50" t="s">
        <v>30</v>
      </c>
      <c r="D23" s="50">
        <v>-0.37</v>
      </c>
      <c r="E23" s="52" t="s">
        <v>33</v>
      </c>
    </row>
    <row r="24" spans="1:5" x14ac:dyDescent="0.25">
      <c r="A24" s="37" t="s">
        <v>49</v>
      </c>
      <c r="B24" s="50">
        <v>0.31</v>
      </c>
      <c r="C24" s="50" t="s">
        <v>32</v>
      </c>
      <c r="D24" s="50">
        <v>0.37</v>
      </c>
      <c r="E24" s="52" t="s">
        <v>33</v>
      </c>
    </row>
    <row r="25" spans="1:5" x14ac:dyDescent="0.25">
      <c r="A25" s="37" t="s">
        <v>50</v>
      </c>
      <c r="B25" s="50">
        <v>-0.03</v>
      </c>
      <c r="C25" s="50" t="s">
        <v>30</v>
      </c>
      <c r="D25" s="50">
        <v>0.44</v>
      </c>
      <c r="E25" s="52" t="s">
        <v>35</v>
      </c>
    </row>
    <row r="26" spans="1:5" x14ac:dyDescent="0.25">
      <c r="A26" s="37" t="s">
        <v>51</v>
      </c>
      <c r="B26" s="50">
        <v>0.08</v>
      </c>
      <c r="C26" s="50" t="s">
        <v>30</v>
      </c>
      <c r="D26" s="50">
        <v>0.12</v>
      </c>
      <c r="E26" s="52" t="s">
        <v>32</v>
      </c>
    </row>
    <row r="27" spans="1:5" ht="13" thickBot="1" x14ac:dyDescent="0.3">
      <c r="A27" s="41" t="s">
        <v>52</v>
      </c>
      <c r="B27" s="51">
        <v>-0.04</v>
      </c>
      <c r="C27" s="51" t="s">
        <v>30</v>
      </c>
      <c r="D27" s="51">
        <v>-0.32</v>
      </c>
      <c r="E27" s="62" t="s">
        <v>33</v>
      </c>
    </row>
    <row r="28" spans="1:5" x14ac:dyDescent="0.25">
      <c r="A28" s="349" t="s">
        <v>53</v>
      </c>
      <c r="B28" s="50"/>
      <c r="C28" s="50"/>
      <c r="D28" s="50"/>
      <c r="E28" s="52"/>
    </row>
    <row r="29" spans="1:5" x14ac:dyDescent="0.25">
      <c r="A29" s="37" t="s">
        <v>54</v>
      </c>
      <c r="B29" s="50">
        <v>0.04</v>
      </c>
      <c r="C29" s="50" t="s">
        <v>30</v>
      </c>
      <c r="D29" s="50">
        <v>-0.31</v>
      </c>
      <c r="E29" s="52" t="s">
        <v>32</v>
      </c>
    </row>
    <row r="30" spans="1:5" x14ac:dyDescent="0.25">
      <c r="A30" s="37" t="s">
        <v>55</v>
      </c>
      <c r="B30" s="50">
        <v>7.0000000000000007E-2</v>
      </c>
      <c r="C30" s="50" t="s">
        <v>30</v>
      </c>
      <c r="D30" s="50">
        <v>-0.03</v>
      </c>
      <c r="E30" s="52" t="s">
        <v>32</v>
      </c>
    </row>
    <row r="31" spans="1:5" x14ac:dyDescent="0.25">
      <c r="A31" s="39" t="s">
        <v>56</v>
      </c>
      <c r="B31" s="57">
        <v>-0.12</v>
      </c>
      <c r="C31" s="57" t="s">
        <v>35</v>
      </c>
      <c r="D31" s="57">
        <v>-0.14000000000000001</v>
      </c>
      <c r="E31" s="102" t="s">
        <v>35</v>
      </c>
    </row>
    <row r="32" spans="1:5" x14ac:dyDescent="0.25">
      <c r="A32" s="39" t="s">
        <v>57</v>
      </c>
      <c r="B32" s="103">
        <v>0.98499999999999999</v>
      </c>
      <c r="C32" s="103"/>
      <c r="D32" s="103">
        <v>1.3049999999999999</v>
      </c>
      <c r="E32" s="56"/>
    </row>
    <row r="33" spans="1:5" x14ac:dyDescent="0.25">
      <c r="A33" s="39" t="s">
        <v>58</v>
      </c>
      <c r="B33" s="103">
        <v>1621</v>
      </c>
      <c r="C33" s="103"/>
      <c r="D33" s="103">
        <v>1465</v>
      </c>
      <c r="E33" s="56"/>
    </row>
    <row r="34" spans="1:5" x14ac:dyDescent="0.25">
      <c r="A34" s="39" t="s">
        <v>59</v>
      </c>
      <c r="B34" s="103">
        <v>0.44</v>
      </c>
      <c r="C34" s="103"/>
      <c r="D34" s="103">
        <v>0.49</v>
      </c>
      <c r="E34" s="56"/>
    </row>
    <row r="35" spans="1:5" ht="13" thickBot="1" x14ac:dyDescent="0.3">
      <c r="A35" s="41" t="s">
        <v>70</v>
      </c>
      <c r="B35" s="45">
        <v>0.78700000000000003</v>
      </c>
      <c r="C35" s="45"/>
      <c r="D35" s="45">
        <v>0.65800000000000003</v>
      </c>
      <c r="E35" s="23"/>
    </row>
    <row r="36" spans="1:5" x14ac:dyDescent="0.25">
      <c r="A36" t="s">
        <v>71</v>
      </c>
    </row>
    <row r="37" spans="1:5" x14ac:dyDescent="0.25">
      <c r="A37" t="s">
        <v>62</v>
      </c>
    </row>
    <row r="38" spans="1:5" x14ac:dyDescent="0.25">
      <c r="A38" t="s">
        <v>63</v>
      </c>
    </row>
    <row r="44" spans="1:5" ht="13" x14ac:dyDescent="0.3">
      <c r="A44" s="1" t="s">
        <v>72</v>
      </c>
    </row>
    <row r="45" spans="1:5" ht="13.5" thickBot="1" x14ac:dyDescent="0.35">
      <c r="A45" s="1" t="s">
        <v>73</v>
      </c>
    </row>
    <row r="46" spans="1:5" x14ac:dyDescent="0.25">
      <c r="A46" s="312" t="s">
        <v>74</v>
      </c>
      <c r="B46" s="313"/>
      <c r="C46" s="314" t="s">
        <v>21</v>
      </c>
      <c r="D46" s="315" t="s">
        <v>22</v>
      </c>
    </row>
    <row r="47" spans="1:5" ht="14.5" x14ac:dyDescent="0.25">
      <c r="A47" s="309" t="s">
        <v>75</v>
      </c>
      <c r="B47" s="213"/>
      <c r="C47" s="310">
        <v>3.6878820000000001</v>
      </c>
      <c r="D47" s="311"/>
    </row>
    <row r="48" spans="1:5" ht="14.5" x14ac:dyDescent="0.25">
      <c r="A48" s="309" t="s">
        <v>76</v>
      </c>
      <c r="B48" s="213"/>
      <c r="C48" s="310">
        <v>-8.549180999999999</v>
      </c>
      <c r="D48" s="311"/>
    </row>
    <row r="49" spans="1:4" ht="15" thickBot="1" x14ac:dyDescent="0.3">
      <c r="A49" s="104" t="s">
        <v>77</v>
      </c>
      <c r="B49" s="40"/>
      <c r="C49" s="107">
        <v>5.1965609999999991</v>
      </c>
      <c r="D49" s="105"/>
    </row>
    <row r="50" spans="1:4" x14ac:dyDescent="0.25">
      <c r="A50" t="s">
        <v>78</v>
      </c>
    </row>
    <row r="51" spans="1:4" x14ac:dyDescent="0.25">
      <c r="A51" t="s">
        <v>79</v>
      </c>
    </row>
    <row r="52" spans="1:4" x14ac:dyDescent="0.25">
      <c r="A52" t="s">
        <v>80</v>
      </c>
    </row>
    <row r="56" spans="1:4" ht="13" x14ac:dyDescent="0.3">
      <c r="A56" s="1" t="s">
        <v>81</v>
      </c>
    </row>
  </sheetData>
  <pageMargins left="0.46" right="0.37" top="0.76" bottom="1" header="0.5" footer="0.5"/>
  <pageSetup scale="90" orientation="portrait" horizontalDpi="0" verticalDpi="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opLeftCell="A74" zoomScale="75" workbookViewId="0">
      <selection activeCell="H50" sqref="H50"/>
    </sheetView>
  </sheetViews>
  <sheetFormatPr defaultColWidth="8.90625" defaultRowHeight="12.5" x14ac:dyDescent="0.25"/>
  <cols>
    <col min="1" max="1" width="55" customWidth="1"/>
    <col min="2" max="2" width="19.81640625" customWidth="1"/>
    <col min="3" max="3" width="21.08984375" customWidth="1"/>
    <col min="4" max="4" width="15" customWidth="1"/>
    <col min="5" max="5" width="12" customWidth="1"/>
    <col min="6" max="6" width="10.81640625" customWidth="1"/>
    <col min="8" max="8" width="11.36328125" customWidth="1"/>
    <col min="9" max="9" width="8.6328125" customWidth="1"/>
  </cols>
  <sheetData>
    <row r="1" spans="1:4" ht="13" x14ac:dyDescent="0.3">
      <c r="A1" s="35" t="s">
        <v>82</v>
      </c>
    </row>
    <row r="3" spans="1:4" ht="13" x14ac:dyDescent="0.3">
      <c r="A3" s="35" t="s">
        <v>83</v>
      </c>
    </row>
    <row r="5" spans="1:4" ht="13.5" thickBot="1" x14ac:dyDescent="0.35">
      <c r="A5" s="1" t="s">
        <v>84</v>
      </c>
    </row>
    <row r="6" spans="1:4" ht="40.5" x14ac:dyDescent="0.25">
      <c r="A6" s="117" t="s">
        <v>67</v>
      </c>
      <c r="B6" s="118" t="s">
        <v>85</v>
      </c>
      <c r="C6" s="118" t="s">
        <v>86</v>
      </c>
      <c r="D6" s="368" t="s">
        <v>87</v>
      </c>
    </row>
    <row r="7" spans="1:4" x14ac:dyDescent="0.25">
      <c r="A7" s="349" t="s">
        <v>25</v>
      </c>
      <c r="B7" s="50"/>
      <c r="C7" s="50"/>
      <c r="D7" s="52"/>
    </row>
    <row r="8" spans="1:4" x14ac:dyDescent="0.25">
      <c r="A8" s="37" t="s">
        <v>88</v>
      </c>
      <c r="B8" s="50"/>
      <c r="C8" s="50"/>
      <c r="D8" s="52"/>
    </row>
    <row r="9" spans="1:4" x14ac:dyDescent="0.25">
      <c r="A9" s="37" t="s">
        <v>89</v>
      </c>
      <c r="B9" s="50">
        <v>0</v>
      </c>
      <c r="C9" s="50">
        <v>0.6</v>
      </c>
      <c r="D9" s="65"/>
    </row>
    <row r="10" spans="1:4" x14ac:dyDescent="0.25">
      <c r="A10" s="37" t="s">
        <v>90</v>
      </c>
      <c r="B10" s="50">
        <v>0.03</v>
      </c>
      <c r="C10" s="50">
        <v>0.2</v>
      </c>
      <c r="D10" s="65"/>
    </row>
    <row r="11" spans="1:4" x14ac:dyDescent="0.25">
      <c r="A11" s="37" t="s">
        <v>91</v>
      </c>
      <c r="B11" s="50">
        <v>0.56999999999999995</v>
      </c>
      <c r="C11" s="50">
        <v>0.2</v>
      </c>
      <c r="D11" s="65"/>
    </row>
    <row r="12" spans="1:4" x14ac:dyDescent="0.25">
      <c r="A12" s="37" t="s">
        <v>92</v>
      </c>
      <c r="B12" s="50">
        <v>0.55000000000000004</v>
      </c>
      <c r="C12" s="50">
        <v>0.4</v>
      </c>
      <c r="D12" s="65"/>
    </row>
    <row r="13" spans="1:4" x14ac:dyDescent="0.25">
      <c r="A13" s="37" t="s">
        <v>93</v>
      </c>
      <c r="B13" s="50">
        <v>0.09</v>
      </c>
      <c r="C13" s="50">
        <v>0.3</v>
      </c>
      <c r="D13" s="52">
        <v>0.3</v>
      </c>
    </row>
    <row r="14" spans="1:4" x14ac:dyDescent="0.25">
      <c r="A14" s="37" t="s">
        <v>94</v>
      </c>
      <c r="B14" s="50">
        <v>0.03</v>
      </c>
      <c r="C14" s="50">
        <v>0.6</v>
      </c>
      <c r="D14" s="65"/>
    </row>
    <row r="15" spans="1:4" x14ac:dyDescent="0.25">
      <c r="A15" s="37" t="s">
        <v>95</v>
      </c>
      <c r="B15" s="50"/>
      <c r="C15" s="50"/>
      <c r="D15" s="52"/>
    </row>
    <row r="16" spans="1:4" x14ac:dyDescent="0.25">
      <c r="A16" s="37" t="s">
        <v>96</v>
      </c>
      <c r="B16" s="50">
        <v>0</v>
      </c>
      <c r="C16" s="50">
        <v>0.4</v>
      </c>
      <c r="D16" s="65"/>
    </row>
    <row r="17" spans="1:9" x14ac:dyDescent="0.25">
      <c r="A17" s="37" t="s">
        <v>97</v>
      </c>
      <c r="B17" s="50">
        <v>-0.43</v>
      </c>
      <c r="C17" s="50">
        <v>0.3</v>
      </c>
      <c r="D17" s="65"/>
    </row>
    <row r="18" spans="1:9" x14ac:dyDescent="0.25">
      <c r="A18" s="37" t="s">
        <v>98</v>
      </c>
      <c r="B18" s="50">
        <v>-0.91</v>
      </c>
      <c r="C18" s="50">
        <v>0.2</v>
      </c>
      <c r="D18" s="65"/>
    </row>
    <row r="19" spans="1:9" x14ac:dyDescent="0.25">
      <c r="A19" s="37" t="s">
        <v>99</v>
      </c>
      <c r="B19" s="50">
        <v>-1.1499999999999999</v>
      </c>
      <c r="C19" s="50">
        <v>0.1</v>
      </c>
      <c r="D19" s="65"/>
    </row>
    <row r="20" spans="1:9" x14ac:dyDescent="0.25">
      <c r="A20" s="37" t="s">
        <v>100</v>
      </c>
      <c r="B20" s="50">
        <v>0.45</v>
      </c>
      <c r="C20" s="50">
        <v>0.3</v>
      </c>
      <c r="D20" s="65"/>
    </row>
    <row r="21" spans="1:9" ht="13" thickBot="1" x14ac:dyDescent="0.3">
      <c r="A21" s="41" t="s">
        <v>101</v>
      </c>
      <c r="B21" s="51">
        <v>-0.11</v>
      </c>
      <c r="C21" s="51">
        <v>0.2</v>
      </c>
      <c r="D21" s="62">
        <v>0.2</v>
      </c>
    </row>
    <row r="22" spans="1:9" x14ac:dyDescent="0.25">
      <c r="A22" s="349" t="s">
        <v>47</v>
      </c>
      <c r="B22" s="50"/>
      <c r="C22" s="50"/>
      <c r="D22" s="52"/>
    </row>
    <row r="23" spans="1:9" x14ac:dyDescent="0.25">
      <c r="A23" s="37" t="s">
        <v>102</v>
      </c>
      <c r="B23" s="50">
        <v>-0.37</v>
      </c>
      <c r="C23" s="50">
        <v>0.8</v>
      </c>
      <c r="D23" s="52">
        <v>0.8</v>
      </c>
    </row>
    <row r="24" spans="1:9" x14ac:dyDescent="0.25">
      <c r="A24" s="37" t="s">
        <v>103</v>
      </c>
      <c r="B24" s="50">
        <v>0.37</v>
      </c>
      <c r="C24" s="50">
        <v>0.7</v>
      </c>
      <c r="D24" s="52">
        <v>0.7</v>
      </c>
    </row>
    <row r="25" spans="1:9" x14ac:dyDescent="0.25">
      <c r="A25" s="37" t="s">
        <v>104</v>
      </c>
      <c r="B25" s="50">
        <v>0.44</v>
      </c>
      <c r="C25" s="50">
        <v>0.3</v>
      </c>
      <c r="D25" s="52">
        <v>0.3</v>
      </c>
    </row>
    <row r="26" spans="1:9" x14ac:dyDescent="0.25">
      <c r="A26" s="37" t="s">
        <v>105</v>
      </c>
      <c r="B26" s="50">
        <v>0.12</v>
      </c>
      <c r="C26" s="50">
        <v>1.6</v>
      </c>
      <c r="D26" s="52">
        <v>1.6</v>
      </c>
    </row>
    <row r="27" spans="1:9" ht="13" thickBot="1" x14ac:dyDescent="0.3">
      <c r="A27" s="41" t="s">
        <v>106</v>
      </c>
      <c r="B27" s="51">
        <v>-0.32</v>
      </c>
      <c r="C27" s="51">
        <v>1.8</v>
      </c>
      <c r="D27" s="62">
        <v>1.8</v>
      </c>
    </row>
    <row r="28" spans="1:9" x14ac:dyDescent="0.25">
      <c r="A28" s="349" t="s">
        <v>53</v>
      </c>
      <c r="B28" s="50"/>
      <c r="C28" s="50"/>
      <c r="D28" s="52"/>
    </row>
    <row r="29" spans="1:9" x14ac:dyDescent="0.25">
      <c r="A29" s="37" t="s">
        <v>107</v>
      </c>
      <c r="B29" s="50">
        <v>-0.31</v>
      </c>
      <c r="C29" s="50">
        <v>0.6</v>
      </c>
      <c r="D29" s="52">
        <v>0.6</v>
      </c>
    </row>
    <row r="30" spans="1:9" x14ac:dyDescent="0.25">
      <c r="A30" s="37" t="s">
        <v>108</v>
      </c>
      <c r="B30" s="50">
        <v>-0.03</v>
      </c>
      <c r="C30" s="50">
        <v>1.2</v>
      </c>
      <c r="D30" s="52">
        <v>1.2</v>
      </c>
    </row>
    <row r="31" spans="1:9" x14ac:dyDescent="0.25">
      <c r="A31" s="37" t="s">
        <v>109</v>
      </c>
      <c r="B31" s="50">
        <v>-0.14000000000000001</v>
      </c>
      <c r="C31" s="50">
        <v>1.5</v>
      </c>
      <c r="D31" s="52">
        <v>1.5</v>
      </c>
    </row>
    <row r="32" spans="1:9" ht="13" thickBot="1" x14ac:dyDescent="0.3">
      <c r="A32" s="74" t="s">
        <v>110</v>
      </c>
      <c r="B32" s="321">
        <v>1.3049999999999999</v>
      </c>
      <c r="C32" s="350">
        <v>1</v>
      </c>
      <c r="D32" s="351">
        <v>1</v>
      </c>
      <c r="F32" s="369" t="s">
        <v>111</v>
      </c>
      <c r="G32" s="8"/>
      <c r="H32" s="8"/>
      <c r="I32" s="8"/>
    </row>
    <row r="33" spans="1:9" x14ac:dyDescent="0.25">
      <c r="A33" s="7"/>
      <c r="B33" s="8"/>
      <c r="C33" s="8"/>
      <c r="D33" s="10"/>
      <c r="F33" s="3"/>
      <c r="G33" s="4"/>
      <c r="H33" s="4"/>
      <c r="I33" s="36"/>
    </row>
    <row r="34" spans="1:9" ht="15" thickBot="1" x14ac:dyDescent="0.3">
      <c r="A34" s="322" t="s">
        <v>112</v>
      </c>
      <c r="B34" s="34"/>
      <c r="C34" s="34"/>
      <c r="D34" s="323"/>
      <c r="F34" s="11" t="s">
        <v>113</v>
      </c>
      <c r="G34" s="12"/>
      <c r="H34" s="116"/>
      <c r="I34" s="326"/>
    </row>
    <row r="35" spans="1:9" ht="15.5" x14ac:dyDescent="0.4">
      <c r="A35" t="s">
        <v>114</v>
      </c>
    </row>
    <row r="42" spans="1:9" ht="13" x14ac:dyDescent="0.3">
      <c r="A42" s="35" t="s">
        <v>115</v>
      </c>
    </row>
    <row r="45" spans="1:9" ht="13.5" thickBot="1" x14ac:dyDescent="0.35">
      <c r="A45" s="1" t="s">
        <v>116</v>
      </c>
    </row>
    <row r="46" spans="1:9" ht="19.25" customHeight="1" thickBot="1" x14ac:dyDescent="0.3">
      <c r="A46" s="352" t="s">
        <v>117</v>
      </c>
      <c r="B46" s="363" t="s">
        <v>118</v>
      </c>
      <c r="C46" s="363" t="s">
        <v>119</v>
      </c>
      <c r="D46" s="363" t="s">
        <v>21</v>
      </c>
      <c r="E46" s="362" t="s">
        <v>22</v>
      </c>
    </row>
    <row r="47" spans="1:9" ht="19.25" customHeight="1" thickBot="1" x14ac:dyDescent="0.3">
      <c r="A47" s="353" t="s">
        <v>120</v>
      </c>
      <c r="B47" s="354" t="s">
        <v>121</v>
      </c>
      <c r="C47" s="355" t="s">
        <v>121</v>
      </c>
      <c r="D47" s="108">
        <f>D94</f>
        <v>0.78650740678695175</v>
      </c>
      <c r="E47" s="109">
        <f>D95</f>
        <v>0.65836127236121422</v>
      </c>
    </row>
    <row r="48" spans="1:9" ht="19.25" customHeight="1" x14ac:dyDescent="0.25">
      <c r="A48" s="318" t="s">
        <v>122</v>
      </c>
      <c r="B48" s="356" t="s">
        <v>123</v>
      </c>
      <c r="C48" s="357" t="s">
        <v>121</v>
      </c>
      <c r="D48" s="110">
        <f>F94</f>
        <v>0.82835309246108124</v>
      </c>
      <c r="E48" s="111">
        <f>F95</f>
        <v>0.83875585176112177</v>
      </c>
    </row>
    <row r="49" spans="1:11" ht="19.25" customHeight="1" thickBot="1" x14ac:dyDescent="0.3">
      <c r="A49" s="353" t="s">
        <v>124</v>
      </c>
      <c r="B49" s="358" t="s">
        <v>125</v>
      </c>
      <c r="C49" s="355" t="s">
        <v>121</v>
      </c>
      <c r="D49" s="112">
        <f>G94</f>
        <v>0.65565710549848433</v>
      </c>
      <c r="E49" s="113">
        <f>G95</f>
        <v>0</v>
      </c>
    </row>
    <row r="50" spans="1:11" ht="19.25" customHeight="1" x14ac:dyDescent="0.25">
      <c r="A50" s="318" t="s">
        <v>126</v>
      </c>
      <c r="B50" s="359" t="s">
        <v>121</v>
      </c>
      <c r="C50" s="360" t="s">
        <v>123</v>
      </c>
      <c r="D50" s="114">
        <f>H94</f>
        <v>0.83313352753972303</v>
      </c>
      <c r="E50" s="109">
        <f>H95</f>
        <v>0.92737171326632839</v>
      </c>
    </row>
    <row r="51" spans="1:11" ht="19.25" customHeight="1" thickBot="1" x14ac:dyDescent="0.3">
      <c r="A51" s="353" t="s">
        <v>127</v>
      </c>
      <c r="B51" s="354" t="s">
        <v>121</v>
      </c>
      <c r="C51" s="361" t="s">
        <v>125</v>
      </c>
      <c r="D51" s="112">
        <f>I94</f>
        <v>0.71053832867349631</v>
      </c>
      <c r="E51" s="115">
        <f>I95</f>
        <v>0.34909945611971144</v>
      </c>
    </row>
    <row r="52" spans="1:11" ht="19.25" customHeight="1" x14ac:dyDescent="0.25">
      <c r="A52" s="318" t="s">
        <v>128</v>
      </c>
      <c r="B52" s="356" t="s">
        <v>123</v>
      </c>
      <c r="C52" s="360" t="s">
        <v>123</v>
      </c>
      <c r="D52" s="114">
        <f>J94</f>
        <v>0.8673812333926596</v>
      </c>
      <c r="E52" s="109">
        <f>J95</f>
        <v>0.97180471202985741</v>
      </c>
    </row>
    <row r="53" spans="1:11" ht="19.25" customHeight="1" thickBot="1" x14ac:dyDescent="0.3">
      <c r="A53" s="353" t="s">
        <v>129</v>
      </c>
      <c r="B53" s="358" t="s">
        <v>130</v>
      </c>
      <c r="C53" s="361" t="s">
        <v>125</v>
      </c>
      <c r="D53" s="112">
        <f>K94</f>
        <v>0.55922072200234807</v>
      </c>
      <c r="E53" s="115">
        <f>K95</f>
        <v>0.13705129257545964</v>
      </c>
    </row>
    <row r="60" spans="1:11" ht="13.5" thickBot="1" x14ac:dyDescent="0.35">
      <c r="A60" s="1" t="s">
        <v>131</v>
      </c>
    </row>
    <row r="61" spans="1:11" ht="13" x14ac:dyDescent="0.3">
      <c r="A61" s="122" t="s">
        <v>132</v>
      </c>
      <c r="B61" s="190" t="s">
        <v>23</v>
      </c>
      <c r="C61" s="191"/>
      <c r="D61" s="106" t="s">
        <v>133</v>
      </c>
      <c r="E61" s="42"/>
      <c r="F61" s="124" t="s">
        <v>134</v>
      </c>
      <c r="G61" s="5"/>
      <c r="H61" s="5"/>
      <c r="I61" s="5"/>
      <c r="J61" s="5"/>
      <c r="K61" s="6"/>
    </row>
    <row r="62" spans="1:11" ht="13" x14ac:dyDescent="0.3">
      <c r="A62" s="39"/>
      <c r="B62" s="57" t="s">
        <v>21</v>
      </c>
      <c r="C62" s="57" t="s">
        <v>22</v>
      </c>
      <c r="D62" s="213"/>
      <c r="E62" s="15"/>
      <c r="F62" s="370" t="s">
        <v>122</v>
      </c>
      <c r="G62" s="371" t="s">
        <v>124</v>
      </c>
      <c r="H62" s="370" t="s">
        <v>126</v>
      </c>
      <c r="I62" s="371" t="s">
        <v>127</v>
      </c>
      <c r="J62" s="370" t="s">
        <v>128</v>
      </c>
      <c r="K62" s="372" t="s">
        <v>129</v>
      </c>
    </row>
    <row r="63" spans="1:11" x14ac:dyDescent="0.25">
      <c r="A63" s="37" t="s">
        <v>25</v>
      </c>
      <c r="B63" s="15"/>
      <c r="C63" s="15"/>
      <c r="D63" s="15"/>
      <c r="E63" s="15"/>
      <c r="F63" s="8"/>
      <c r="G63" s="15"/>
      <c r="H63" s="8"/>
      <c r="I63" s="15"/>
      <c r="J63" s="8"/>
      <c r="K63" s="10"/>
    </row>
    <row r="64" spans="1:11" x14ac:dyDescent="0.25">
      <c r="A64" s="37" t="s">
        <v>88</v>
      </c>
      <c r="B64" s="15"/>
      <c r="C64" s="15"/>
      <c r="D64" s="15"/>
      <c r="E64" s="15"/>
      <c r="F64" s="8"/>
      <c r="G64" s="15"/>
      <c r="H64" s="8"/>
      <c r="I64" s="15"/>
      <c r="J64" s="8"/>
      <c r="K64" s="10"/>
    </row>
    <row r="65" spans="1:11" x14ac:dyDescent="0.25">
      <c r="A65" s="37" t="s">
        <v>89</v>
      </c>
      <c r="B65" s="50">
        <v>0</v>
      </c>
      <c r="C65" s="50">
        <v>0</v>
      </c>
      <c r="D65" s="50">
        <v>0.6</v>
      </c>
      <c r="E65" s="50"/>
      <c r="F65" s="100">
        <v>0</v>
      </c>
      <c r="G65" s="328">
        <v>1</v>
      </c>
      <c r="H65" s="100">
        <v>0.6</v>
      </c>
      <c r="I65" s="50">
        <v>0.6</v>
      </c>
      <c r="J65" s="100">
        <v>0</v>
      </c>
      <c r="K65" s="52">
        <v>1</v>
      </c>
    </row>
    <row r="66" spans="1:11" x14ac:dyDescent="0.25">
      <c r="A66" s="37" t="s">
        <v>90</v>
      </c>
      <c r="B66" s="50">
        <v>-0.01</v>
      </c>
      <c r="C66" s="50">
        <v>0.03</v>
      </c>
      <c r="D66" s="50">
        <v>0.2</v>
      </c>
      <c r="E66" s="50"/>
      <c r="F66" s="100">
        <v>1</v>
      </c>
      <c r="G66" s="328">
        <f>D10</f>
        <v>0</v>
      </c>
      <c r="H66" s="100">
        <v>0.2</v>
      </c>
      <c r="I66" s="50">
        <v>0.2</v>
      </c>
      <c r="J66" s="100">
        <v>1</v>
      </c>
      <c r="K66" s="52">
        <v>0</v>
      </c>
    </row>
    <row r="67" spans="1:11" x14ac:dyDescent="0.25">
      <c r="A67" s="37" t="s">
        <v>91</v>
      </c>
      <c r="B67" s="50">
        <v>0.22</v>
      </c>
      <c r="C67" s="50">
        <v>0.56999999999999995</v>
      </c>
      <c r="D67" s="50">
        <v>0.2</v>
      </c>
      <c r="E67" s="50"/>
      <c r="F67" s="100">
        <v>0</v>
      </c>
      <c r="G67" s="328">
        <f>D11</f>
        <v>0</v>
      </c>
      <c r="H67" s="100">
        <v>0.2</v>
      </c>
      <c r="I67" s="50">
        <v>0.2</v>
      </c>
      <c r="J67" s="100">
        <v>0</v>
      </c>
      <c r="K67" s="52">
        <v>0</v>
      </c>
    </row>
    <row r="68" spans="1:11" x14ac:dyDescent="0.25">
      <c r="A68" s="37" t="s">
        <v>92</v>
      </c>
      <c r="B68" s="50">
        <v>-0.14000000000000001</v>
      </c>
      <c r="C68" s="50">
        <v>0.55000000000000004</v>
      </c>
      <c r="D68" s="50">
        <v>0.4</v>
      </c>
      <c r="E68" s="50"/>
      <c r="F68" s="100">
        <v>1</v>
      </c>
      <c r="G68" s="328">
        <f>D12</f>
        <v>0</v>
      </c>
      <c r="H68" s="100">
        <v>0.4</v>
      </c>
      <c r="I68" s="50">
        <v>0.4</v>
      </c>
      <c r="J68" s="100">
        <v>1</v>
      </c>
      <c r="K68" s="52">
        <v>0</v>
      </c>
    </row>
    <row r="69" spans="1:11" x14ac:dyDescent="0.25">
      <c r="A69" s="37" t="s">
        <v>135</v>
      </c>
      <c r="B69" s="50">
        <v>-7.0000000000000007E-2</v>
      </c>
      <c r="C69" s="50">
        <v>0.09</v>
      </c>
      <c r="D69" s="50">
        <v>0.3</v>
      </c>
      <c r="E69" s="50"/>
      <c r="F69" s="100">
        <v>0.3</v>
      </c>
      <c r="G69" s="50">
        <f>D13</f>
        <v>0.3</v>
      </c>
      <c r="H69" s="100">
        <v>0.3</v>
      </c>
      <c r="I69" s="50">
        <v>0.3</v>
      </c>
      <c r="J69" s="100">
        <v>0.3</v>
      </c>
      <c r="K69" s="52">
        <v>0.3</v>
      </c>
    </row>
    <row r="70" spans="1:11" x14ac:dyDescent="0.25">
      <c r="A70" s="37" t="s">
        <v>94</v>
      </c>
      <c r="B70" s="50">
        <v>0.38</v>
      </c>
      <c r="C70" s="50">
        <v>0.03</v>
      </c>
      <c r="D70" s="50">
        <v>0.6</v>
      </c>
      <c r="E70" s="50"/>
      <c r="F70" s="100">
        <v>1</v>
      </c>
      <c r="G70" s="328">
        <f>D14</f>
        <v>0</v>
      </c>
      <c r="H70" s="100">
        <v>0.6</v>
      </c>
      <c r="I70" s="50">
        <v>0.6</v>
      </c>
      <c r="J70" s="100">
        <v>1</v>
      </c>
      <c r="K70" s="52">
        <v>0</v>
      </c>
    </row>
    <row r="71" spans="1:11" x14ac:dyDescent="0.25">
      <c r="A71" s="37" t="s">
        <v>95</v>
      </c>
      <c r="B71" s="50"/>
      <c r="C71" s="50"/>
      <c r="D71" s="50"/>
      <c r="E71" s="50"/>
      <c r="F71" s="100"/>
      <c r="G71" s="50"/>
      <c r="H71" s="100"/>
      <c r="I71" s="50"/>
      <c r="J71" s="100"/>
      <c r="K71" s="52"/>
    </row>
    <row r="72" spans="1:11" x14ac:dyDescent="0.25">
      <c r="A72" s="37" t="s">
        <v>96</v>
      </c>
      <c r="B72" s="50">
        <v>0</v>
      </c>
      <c r="C72" s="50">
        <v>0</v>
      </c>
      <c r="D72" s="50">
        <v>0.4</v>
      </c>
      <c r="E72" s="50"/>
      <c r="F72" s="100">
        <v>1</v>
      </c>
      <c r="G72" s="328">
        <f>D16</f>
        <v>0</v>
      </c>
      <c r="H72" s="100">
        <v>0.4</v>
      </c>
      <c r="I72" s="50">
        <v>0.4</v>
      </c>
      <c r="J72" s="100">
        <v>1</v>
      </c>
      <c r="K72" s="52">
        <v>0</v>
      </c>
    </row>
    <row r="73" spans="1:11" x14ac:dyDescent="0.25">
      <c r="A73" s="37" t="s">
        <v>97</v>
      </c>
      <c r="B73" s="50">
        <v>-0.08</v>
      </c>
      <c r="C73" s="50">
        <v>-0.43</v>
      </c>
      <c r="D73" s="50">
        <v>0.3</v>
      </c>
      <c r="E73" s="50"/>
      <c r="F73" s="100">
        <v>0</v>
      </c>
      <c r="G73" s="328">
        <f>D17</f>
        <v>0</v>
      </c>
      <c r="H73" s="100">
        <v>0.3</v>
      </c>
      <c r="I73" s="50">
        <v>0.3</v>
      </c>
      <c r="J73" s="100">
        <v>0</v>
      </c>
      <c r="K73" s="52">
        <v>0</v>
      </c>
    </row>
    <row r="74" spans="1:11" x14ac:dyDescent="0.25">
      <c r="A74" s="37" t="s">
        <v>98</v>
      </c>
      <c r="B74" s="50">
        <v>-0.23</v>
      </c>
      <c r="C74" s="50">
        <v>-0.91</v>
      </c>
      <c r="D74" s="50">
        <v>0.2</v>
      </c>
      <c r="E74" s="50"/>
      <c r="F74" s="100">
        <v>0</v>
      </c>
      <c r="G74" s="328">
        <f>D18</f>
        <v>0</v>
      </c>
      <c r="H74" s="100">
        <v>0.2</v>
      </c>
      <c r="I74" s="50">
        <v>0.2</v>
      </c>
      <c r="J74" s="100">
        <v>0</v>
      </c>
      <c r="K74" s="52">
        <v>0</v>
      </c>
    </row>
    <row r="75" spans="1:11" x14ac:dyDescent="0.25">
      <c r="A75" s="37" t="s">
        <v>99</v>
      </c>
      <c r="B75" s="50">
        <v>-0.51</v>
      </c>
      <c r="C75" s="50">
        <v>-1.1499999999999999</v>
      </c>
      <c r="D75" s="50">
        <v>0.1</v>
      </c>
      <c r="E75" s="50"/>
      <c r="F75" s="100">
        <v>0</v>
      </c>
      <c r="G75" s="328">
        <v>1</v>
      </c>
      <c r="H75" s="100">
        <v>0.1</v>
      </c>
      <c r="I75" s="50">
        <v>0.1</v>
      </c>
      <c r="J75" s="100">
        <v>0</v>
      </c>
      <c r="K75" s="52">
        <v>1</v>
      </c>
    </row>
    <row r="76" spans="1:11" x14ac:dyDescent="0.25">
      <c r="A76" s="37" t="s">
        <v>100</v>
      </c>
      <c r="B76" s="50">
        <v>0.19</v>
      </c>
      <c r="C76" s="50">
        <v>0.45</v>
      </c>
      <c r="D76" s="50">
        <v>0.3</v>
      </c>
      <c r="E76" s="50"/>
      <c r="F76" s="100">
        <v>1</v>
      </c>
      <c r="G76" s="328">
        <f>D20</f>
        <v>0</v>
      </c>
      <c r="H76" s="100">
        <v>0.3</v>
      </c>
      <c r="I76" s="50">
        <v>0.3</v>
      </c>
      <c r="J76" s="100">
        <v>1</v>
      </c>
      <c r="K76" s="52">
        <v>0</v>
      </c>
    </row>
    <row r="77" spans="1:11" x14ac:dyDescent="0.25">
      <c r="A77" s="37" t="s">
        <v>101</v>
      </c>
      <c r="B77" s="50">
        <v>-0.12</v>
      </c>
      <c r="C77" s="50">
        <v>-0.11</v>
      </c>
      <c r="D77" s="50">
        <v>0.2</v>
      </c>
      <c r="E77" s="50"/>
      <c r="F77" s="100">
        <v>0.2</v>
      </c>
      <c r="G77" s="50">
        <f>D21</f>
        <v>0.2</v>
      </c>
      <c r="H77" s="100">
        <v>0.2</v>
      </c>
      <c r="I77" s="50">
        <v>0.2</v>
      </c>
      <c r="J77" s="100">
        <v>0.2</v>
      </c>
      <c r="K77" s="52">
        <v>0.2</v>
      </c>
    </row>
    <row r="78" spans="1:11" x14ac:dyDescent="0.25">
      <c r="A78" s="37"/>
      <c r="B78" s="50"/>
      <c r="C78" s="50"/>
      <c r="D78" s="50"/>
      <c r="E78" s="50"/>
      <c r="F78" s="100"/>
      <c r="G78" s="50"/>
      <c r="H78" s="100"/>
      <c r="I78" s="50"/>
      <c r="J78" s="100"/>
      <c r="K78" s="52"/>
    </row>
    <row r="79" spans="1:11" x14ac:dyDescent="0.25">
      <c r="A79" s="37" t="s">
        <v>47</v>
      </c>
      <c r="B79" s="50"/>
      <c r="C79" s="50"/>
      <c r="D79" s="50"/>
      <c r="E79" s="50"/>
      <c r="F79" s="100"/>
      <c r="G79" s="50"/>
      <c r="H79" s="100"/>
      <c r="I79" s="50"/>
      <c r="J79" s="100"/>
      <c r="K79" s="52"/>
    </row>
    <row r="80" spans="1:11" x14ac:dyDescent="0.25">
      <c r="A80" s="37" t="s">
        <v>102</v>
      </c>
      <c r="B80" s="50">
        <v>0.03</v>
      </c>
      <c r="C80" s="50">
        <v>-0.37</v>
      </c>
      <c r="D80" s="50">
        <v>0.8</v>
      </c>
      <c r="E80" s="50"/>
      <c r="F80" s="100">
        <v>0.8</v>
      </c>
      <c r="G80" s="50">
        <v>0.8</v>
      </c>
      <c r="H80" s="100">
        <v>0</v>
      </c>
      <c r="I80" s="50">
        <v>1</v>
      </c>
      <c r="J80" s="100">
        <v>0</v>
      </c>
      <c r="K80" s="52">
        <v>1</v>
      </c>
    </row>
    <row r="81" spans="1:11" x14ac:dyDescent="0.25">
      <c r="A81" s="37" t="s">
        <v>103</v>
      </c>
      <c r="B81" s="50">
        <v>0.31</v>
      </c>
      <c r="C81" s="50">
        <v>0.37</v>
      </c>
      <c r="D81" s="50">
        <v>0.7</v>
      </c>
      <c r="E81" s="50"/>
      <c r="F81" s="100">
        <v>0.7</v>
      </c>
      <c r="G81" s="50">
        <v>0.7</v>
      </c>
      <c r="H81" s="100">
        <v>1</v>
      </c>
      <c r="I81" s="50">
        <v>0</v>
      </c>
      <c r="J81" s="100">
        <v>1</v>
      </c>
      <c r="K81" s="52">
        <v>0</v>
      </c>
    </row>
    <row r="82" spans="1:11" x14ac:dyDescent="0.25">
      <c r="A82" s="37" t="s">
        <v>104</v>
      </c>
      <c r="B82" s="50">
        <v>-0.03</v>
      </c>
      <c r="C82" s="50">
        <v>0.44</v>
      </c>
      <c r="D82" s="50">
        <v>0.3</v>
      </c>
      <c r="E82" s="50"/>
      <c r="F82" s="100">
        <v>0.3</v>
      </c>
      <c r="G82" s="50">
        <v>0.3</v>
      </c>
      <c r="H82" s="100">
        <v>1</v>
      </c>
      <c r="I82" s="50">
        <v>0</v>
      </c>
      <c r="J82" s="100">
        <v>1</v>
      </c>
      <c r="K82" s="52">
        <v>0</v>
      </c>
    </row>
    <row r="83" spans="1:11" x14ac:dyDescent="0.25">
      <c r="A83" s="37" t="s">
        <v>136</v>
      </c>
      <c r="B83" s="50">
        <v>0.08</v>
      </c>
      <c r="C83" s="50">
        <v>0.12</v>
      </c>
      <c r="D83" s="50">
        <v>1.6</v>
      </c>
      <c r="E83" s="50"/>
      <c r="F83" s="100">
        <v>1.6</v>
      </c>
      <c r="G83" s="50">
        <v>1.6</v>
      </c>
      <c r="H83" s="100">
        <v>3</v>
      </c>
      <c r="I83" s="50">
        <v>1</v>
      </c>
      <c r="J83" s="100">
        <v>3</v>
      </c>
      <c r="K83" s="52">
        <v>1</v>
      </c>
    </row>
    <row r="84" spans="1:11" x14ac:dyDescent="0.25">
      <c r="A84" s="37" t="s">
        <v>106</v>
      </c>
      <c r="B84" s="50">
        <v>-0.04</v>
      </c>
      <c r="C84" s="50">
        <v>-0.32</v>
      </c>
      <c r="D84" s="50">
        <v>1.8</v>
      </c>
      <c r="E84" s="50"/>
      <c r="F84" s="100">
        <v>1.8</v>
      </c>
      <c r="G84" s="50">
        <v>1.8</v>
      </c>
      <c r="H84" s="100">
        <v>0</v>
      </c>
      <c r="I84" s="50">
        <v>3</v>
      </c>
      <c r="J84" s="100">
        <v>0</v>
      </c>
      <c r="K84" s="52">
        <v>3</v>
      </c>
    </row>
    <row r="85" spans="1:11" x14ac:dyDescent="0.25">
      <c r="A85" s="37"/>
      <c r="B85" s="50"/>
      <c r="C85" s="50"/>
      <c r="D85" s="50"/>
      <c r="E85" s="50"/>
      <c r="F85" s="100"/>
      <c r="G85" s="50"/>
      <c r="H85" s="100"/>
      <c r="I85" s="50"/>
      <c r="J85" s="100"/>
      <c r="K85" s="52"/>
    </row>
    <row r="86" spans="1:11" x14ac:dyDescent="0.25">
      <c r="A86" s="37" t="s">
        <v>53</v>
      </c>
      <c r="B86" s="50"/>
      <c r="C86" s="50"/>
      <c r="D86" s="50"/>
      <c r="E86" s="50"/>
      <c r="F86" s="100"/>
      <c r="G86" s="50"/>
      <c r="H86" s="100"/>
      <c r="I86" s="50"/>
      <c r="J86" s="100"/>
      <c r="K86" s="52"/>
    </row>
    <row r="87" spans="1:11" x14ac:dyDescent="0.25">
      <c r="A87" s="37" t="s">
        <v>107</v>
      </c>
      <c r="B87" s="50">
        <v>0.04</v>
      </c>
      <c r="C87" s="50">
        <v>-0.31</v>
      </c>
      <c r="D87" s="50">
        <v>0.6</v>
      </c>
      <c r="E87" s="50"/>
      <c r="F87" s="100">
        <v>0.6</v>
      </c>
      <c r="G87" s="50">
        <v>0.6</v>
      </c>
      <c r="H87" s="100">
        <v>0</v>
      </c>
      <c r="I87" s="50">
        <v>1</v>
      </c>
      <c r="J87" s="100">
        <v>0</v>
      </c>
      <c r="K87" s="52">
        <v>1</v>
      </c>
    </row>
    <row r="88" spans="1:11" x14ac:dyDescent="0.25">
      <c r="A88" s="37" t="s">
        <v>108</v>
      </c>
      <c r="B88" s="50">
        <v>7.0000000000000007E-2</v>
      </c>
      <c r="C88" s="50">
        <v>-0.03</v>
      </c>
      <c r="D88" s="50">
        <v>1.2</v>
      </c>
      <c r="E88" s="50"/>
      <c r="F88" s="100">
        <v>1.2</v>
      </c>
      <c r="G88" s="50">
        <v>1.2</v>
      </c>
      <c r="H88" s="100">
        <v>0</v>
      </c>
      <c r="I88" s="50">
        <v>2</v>
      </c>
      <c r="J88" s="100">
        <v>0</v>
      </c>
      <c r="K88" s="52">
        <v>2</v>
      </c>
    </row>
    <row r="89" spans="1:11" x14ac:dyDescent="0.25">
      <c r="A89" s="37" t="s">
        <v>109</v>
      </c>
      <c r="B89" s="50">
        <v>-0.12</v>
      </c>
      <c r="C89" s="50">
        <v>-0.14000000000000001</v>
      </c>
      <c r="D89" s="50">
        <v>1.5</v>
      </c>
      <c r="E89" s="50"/>
      <c r="F89" s="100">
        <v>1.5</v>
      </c>
      <c r="G89" s="50">
        <v>1.5</v>
      </c>
      <c r="H89" s="100">
        <v>0</v>
      </c>
      <c r="I89" s="50">
        <v>3</v>
      </c>
      <c r="J89" s="100">
        <v>0</v>
      </c>
      <c r="K89" s="52">
        <v>3</v>
      </c>
    </row>
    <row r="90" spans="1:11" x14ac:dyDescent="0.25">
      <c r="A90" s="37"/>
      <c r="B90" s="50"/>
      <c r="C90" s="50"/>
      <c r="D90" s="50"/>
      <c r="E90" s="50"/>
      <c r="F90" s="100"/>
      <c r="G90" s="50"/>
      <c r="H90" s="100"/>
      <c r="I90" s="50"/>
      <c r="J90" s="100"/>
      <c r="K90" s="52"/>
    </row>
    <row r="91" spans="1:11" x14ac:dyDescent="0.25">
      <c r="A91" s="37" t="s">
        <v>57</v>
      </c>
      <c r="B91" s="50">
        <v>0.98299999999999998</v>
      </c>
      <c r="C91" s="50">
        <v>1.3049999999999999</v>
      </c>
      <c r="D91" s="50">
        <v>1</v>
      </c>
      <c r="E91" s="50"/>
      <c r="F91" s="100">
        <v>1</v>
      </c>
      <c r="G91" s="50">
        <v>1</v>
      </c>
      <c r="H91" s="100">
        <v>1</v>
      </c>
      <c r="I91" s="50">
        <v>1</v>
      </c>
      <c r="J91" s="100">
        <v>1</v>
      </c>
      <c r="K91" s="52">
        <v>1</v>
      </c>
    </row>
    <row r="92" spans="1:11" x14ac:dyDescent="0.25">
      <c r="A92" s="37"/>
      <c r="B92" s="50"/>
      <c r="C92" s="50"/>
      <c r="D92" s="50"/>
      <c r="E92" s="50"/>
      <c r="F92" s="100"/>
      <c r="G92" s="50"/>
      <c r="H92" s="100"/>
      <c r="I92" s="50"/>
      <c r="J92" s="100"/>
      <c r="K92" s="52"/>
    </row>
    <row r="93" spans="1:11" x14ac:dyDescent="0.25">
      <c r="A93" s="37" t="s">
        <v>137</v>
      </c>
      <c r="B93" s="50"/>
      <c r="C93" s="50"/>
      <c r="D93" s="50"/>
      <c r="E93" s="50"/>
      <c r="F93" s="100"/>
      <c r="G93" s="50"/>
      <c r="H93" s="100"/>
      <c r="I93" s="50"/>
      <c r="J93" s="100"/>
      <c r="K93" s="52"/>
    </row>
    <row r="94" spans="1:11" x14ac:dyDescent="0.25">
      <c r="A94" s="37" t="s">
        <v>138</v>
      </c>
      <c r="B94" s="50"/>
      <c r="C94" s="50"/>
      <c r="D94" s="123">
        <f t="shared" ref="D94:D95" si="0">1/(1+EXP(-D98))</f>
        <v>0.78650740678695175</v>
      </c>
      <c r="E94" s="123"/>
      <c r="F94" s="120">
        <f t="shared" ref="F94:K95" si="1">1/(1+EXP(-F98))</f>
        <v>0.82835309246108124</v>
      </c>
      <c r="G94" s="123">
        <f>1/(1+EXP(-G98))</f>
        <v>0.65565710549848433</v>
      </c>
      <c r="H94" s="120">
        <f t="shared" si="1"/>
        <v>0.83313352753972303</v>
      </c>
      <c r="I94" s="123">
        <f t="shared" si="1"/>
        <v>0.71053832867349631</v>
      </c>
      <c r="J94" s="120">
        <f t="shared" si="1"/>
        <v>0.8673812333926596</v>
      </c>
      <c r="K94" s="121">
        <f t="shared" si="1"/>
        <v>0.55922072200234807</v>
      </c>
    </row>
    <row r="95" spans="1:11" x14ac:dyDescent="0.25">
      <c r="A95" s="37" t="s">
        <v>139</v>
      </c>
      <c r="B95" s="50"/>
      <c r="C95" s="50"/>
      <c r="D95" s="123">
        <f t="shared" si="0"/>
        <v>0.65836127236121422</v>
      </c>
      <c r="E95" s="123"/>
      <c r="F95" s="120">
        <f t="shared" si="1"/>
        <v>0.83875585176112177</v>
      </c>
      <c r="G95" s="325">
        <f>(D34)</f>
        <v>0</v>
      </c>
      <c r="H95" s="120">
        <f t="shared" si="1"/>
        <v>0.92737171326632839</v>
      </c>
      <c r="I95" s="123">
        <f t="shared" si="1"/>
        <v>0.34909945611971144</v>
      </c>
      <c r="J95" s="120">
        <f t="shared" si="1"/>
        <v>0.97180471202985741</v>
      </c>
      <c r="K95" s="121">
        <f t="shared" si="1"/>
        <v>0.13705129257545964</v>
      </c>
    </row>
    <row r="96" spans="1:11" x14ac:dyDescent="0.25">
      <c r="A96" s="37"/>
      <c r="B96" s="15"/>
      <c r="C96" s="15"/>
      <c r="D96" s="15"/>
      <c r="E96" s="15"/>
      <c r="F96" s="8"/>
      <c r="G96" s="15"/>
      <c r="H96" s="8"/>
      <c r="I96" s="15"/>
      <c r="J96" s="8"/>
      <c r="K96" s="10"/>
    </row>
    <row r="97" spans="1:11" x14ac:dyDescent="0.25">
      <c r="A97" s="37" t="s">
        <v>140</v>
      </c>
      <c r="B97" s="15"/>
      <c r="C97" s="15"/>
      <c r="D97" s="15"/>
      <c r="E97" s="15"/>
      <c r="F97" s="8"/>
      <c r="G97" s="15"/>
      <c r="H97" s="8"/>
      <c r="I97" s="15"/>
      <c r="J97" s="8"/>
      <c r="K97" s="10"/>
    </row>
    <row r="98" spans="1:11" x14ac:dyDescent="0.25">
      <c r="A98" s="37" t="s">
        <v>141</v>
      </c>
      <c r="B98" s="15"/>
      <c r="C98" s="15"/>
      <c r="D98" s="50">
        <f t="array" ref="D98">SUM($B66:$B91*D66:D91)</f>
        <v>1.304</v>
      </c>
      <c r="E98" s="50"/>
      <c r="F98" s="100">
        <f t="array" ref="F98">SUM($B66:$B91*F66:F91)</f>
        <v>1.5739999999999998</v>
      </c>
      <c r="G98" s="50">
        <f t="array" ref="G98">SUM($B66:$B91*G66:G91)</f>
        <v>0.64399999999999991</v>
      </c>
      <c r="H98" s="100">
        <f t="array" ref="H98">SUM($B66:$B91*H66:H91)</f>
        <v>1.6079999999999999</v>
      </c>
      <c r="I98" s="50">
        <f t="array" ref="I98">SUM($B66:$B91*I66:I91)</f>
        <v>0.89800000000000002</v>
      </c>
      <c r="J98" s="100">
        <f t="array" ref="J98">SUM($B66:$B91*J66:J91)</f>
        <v>1.8780000000000001</v>
      </c>
      <c r="K98" s="52">
        <f t="array" ref="K98">SUM($B66:$B91*K66:K91)</f>
        <v>0.2380000000000001</v>
      </c>
    </row>
    <row r="99" spans="1:11" ht="13" thickBot="1" x14ac:dyDescent="0.3">
      <c r="A99" s="41" t="s">
        <v>142</v>
      </c>
      <c r="B99" s="40"/>
      <c r="C99" s="40"/>
      <c r="D99" s="51">
        <f t="array" ref="D99">SUM($C66:$C91*D66:D91)</f>
        <v>0.65599999999999992</v>
      </c>
      <c r="E99" s="51"/>
      <c r="F99" s="119">
        <f t="array" ref="F99">SUM($C66:$C91*F66:F91)</f>
        <v>1.649</v>
      </c>
      <c r="G99" s="327">
        <f>(H34)</f>
        <v>0</v>
      </c>
      <c r="H99" s="119">
        <f t="array" ref="H99">SUM($C66:$C91*H66:H91)</f>
        <v>2.5469999999999997</v>
      </c>
      <c r="I99" s="51">
        <f t="array" ref="I99">SUM($C66:$C91*I66:I91)</f>
        <v>-0.623</v>
      </c>
      <c r="J99" s="119">
        <f t="array" ref="J99">SUM($C66:$C91*J66:J91)</f>
        <v>3.54</v>
      </c>
      <c r="K99" s="62">
        <f t="array" ref="K99">SUM($C66:$C91*K66:K91)</f>
        <v>-1.84</v>
      </c>
    </row>
    <row r="102" spans="1:11" ht="13" x14ac:dyDescent="0.3">
      <c r="A102" s="1" t="s">
        <v>143</v>
      </c>
    </row>
  </sheetData>
  <pageMargins left="0.22" right="0.25" top="0.95" bottom="1" header="0.46" footer="0.5"/>
  <pageSetup scale="71" orientation="landscape" horizontalDpi="4294967292" verticalDpi="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4"/>
  <sheetViews>
    <sheetView topLeftCell="A24" zoomScale="75" workbookViewId="0">
      <selection activeCell="H33" sqref="H33"/>
    </sheetView>
  </sheetViews>
  <sheetFormatPr defaultRowHeight="12.5" x14ac:dyDescent="0.25"/>
  <cols>
    <col min="1" max="1" width="46.54296875" customWidth="1"/>
    <col min="2" max="2" width="15.54296875" customWidth="1"/>
    <col min="3" max="3" width="12.08984375" customWidth="1"/>
    <col min="4" max="4" width="17.453125" customWidth="1"/>
    <col min="5" max="5" width="11" customWidth="1"/>
    <col min="6" max="6" width="13.81640625" customWidth="1"/>
    <col min="7" max="7" width="10.1796875" customWidth="1"/>
    <col min="8" max="8" width="14.90625" customWidth="1"/>
  </cols>
  <sheetData>
    <row r="1" spans="1:4" ht="13" x14ac:dyDescent="0.3">
      <c r="A1" s="35" t="s">
        <v>144</v>
      </c>
    </row>
    <row r="3" spans="1:4" ht="13" x14ac:dyDescent="0.3">
      <c r="A3" s="33" t="s">
        <v>83</v>
      </c>
    </row>
    <row r="5" spans="1:4" ht="13.5" thickBot="1" x14ac:dyDescent="0.35">
      <c r="A5" s="1" t="s">
        <v>145</v>
      </c>
    </row>
    <row r="6" spans="1:4" ht="40.5" x14ac:dyDescent="0.25">
      <c r="A6" s="373" t="s">
        <v>146</v>
      </c>
      <c r="B6" s="374" t="s">
        <v>85</v>
      </c>
      <c r="C6" s="374" t="s">
        <v>86</v>
      </c>
      <c r="D6" s="375" t="s">
        <v>147</v>
      </c>
    </row>
    <row r="7" spans="1:4" x14ac:dyDescent="0.25">
      <c r="A7" s="60" t="s">
        <v>25</v>
      </c>
      <c r="B7" s="63"/>
      <c r="C7" s="63"/>
      <c r="D7" s="10"/>
    </row>
    <row r="8" spans="1:4" x14ac:dyDescent="0.25">
      <c r="A8" s="58" t="s">
        <v>88</v>
      </c>
      <c r="B8" s="50"/>
      <c r="C8" s="63"/>
      <c r="D8" s="10"/>
    </row>
    <row r="9" spans="1:4" x14ac:dyDescent="0.25">
      <c r="A9" s="58" t="s">
        <v>89</v>
      </c>
      <c r="B9" s="63">
        <v>0</v>
      </c>
      <c r="C9" s="63">
        <v>0.6</v>
      </c>
      <c r="D9" s="64">
        <v>0.6</v>
      </c>
    </row>
    <row r="10" spans="1:4" x14ac:dyDescent="0.25">
      <c r="A10" s="58" t="s">
        <v>90</v>
      </c>
      <c r="B10" s="63">
        <v>0.03</v>
      </c>
      <c r="C10" s="63">
        <v>0.2</v>
      </c>
      <c r="D10" s="64">
        <v>0.2</v>
      </c>
    </row>
    <row r="11" spans="1:4" x14ac:dyDescent="0.25">
      <c r="A11" s="58" t="s">
        <v>91</v>
      </c>
      <c r="B11" s="63">
        <v>0.56999999999999995</v>
      </c>
      <c r="C11" s="63">
        <v>0.2</v>
      </c>
      <c r="D11" s="64">
        <v>0.2</v>
      </c>
    </row>
    <row r="12" spans="1:4" x14ac:dyDescent="0.25">
      <c r="A12" s="58" t="s">
        <v>92</v>
      </c>
      <c r="B12" s="63">
        <v>0.55000000000000004</v>
      </c>
      <c r="C12" s="63">
        <v>0.4</v>
      </c>
      <c r="D12" s="29"/>
    </row>
    <row r="13" spans="1:4" x14ac:dyDescent="0.25">
      <c r="A13" s="58" t="s">
        <v>135</v>
      </c>
      <c r="B13" s="63">
        <v>0.09</v>
      </c>
      <c r="C13" s="63">
        <v>0.3</v>
      </c>
      <c r="D13" s="64">
        <v>0.3</v>
      </c>
    </row>
    <row r="14" spans="1:4" x14ac:dyDescent="0.25">
      <c r="A14" s="58" t="s">
        <v>94</v>
      </c>
      <c r="B14" s="63">
        <v>0.03</v>
      </c>
      <c r="C14" s="63">
        <v>0.6</v>
      </c>
      <c r="D14" s="64">
        <v>0.6</v>
      </c>
    </row>
    <row r="15" spans="1:4" x14ac:dyDescent="0.25">
      <c r="A15" s="58" t="s">
        <v>95</v>
      </c>
      <c r="B15" s="50"/>
      <c r="C15" s="50"/>
      <c r="D15" s="52"/>
    </row>
    <row r="16" spans="1:4" x14ac:dyDescent="0.25">
      <c r="A16" s="58" t="s">
        <v>96</v>
      </c>
      <c r="B16" s="50">
        <v>0</v>
      </c>
      <c r="C16" s="50">
        <v>0.4</v>
      </c>
      <c r="D16" s="52">
        <v>0.4</v>
      </c>
    </row>
    <row r="17" spans="1:8" x14ac:dyDescent="0.25">
      <c r="A17" s="58" t="s">
        <v>97</v>
      </c>
      <c r="B17" s="50">
        <v>-0.43</v>
      </c>
      <c r="C17" s="50">
        <v>0.3</v>
      </c>
      <c r="D17" s="52">
        <v>0.3</v>
      </c>
    </row>
    <row r="18" spans="1:8" x14ac:dyDescent="0.25">
      <c r="A18" s="58" t="s">
        <v>98</v>
      </c>
      <c r="B18" s="50">
        <v>-0.91</v>
      </c>
      <c r="C18" s="50">
        <v>0.2</v>
      </c>
      <c r="D18" s="52">
        <v>0.2</v>
      </c>
    </row>
    <row r="19" spans="1:8" x14ac:dyDescent="0.25">
      <c r="A19" s="58" t="s">
        <v>99</v>
      </c>
      <c r="B19" s="50">
        <v>-1.1499999999999999</v>
      </c>
      <c r="C19" s="50">
        <v>0.1</v>
      </c>
      <c r="D19" s="52">
        <v>0.1</v>
      </c>
    </row>
    <row r="20" spans="1:8" x14ac:dyDescent="0.25">
      <c r="A20" s="58" t="s">
        <v>100</v>
      </c>
      <c r="B20" s="50">
        <v>0.45</v>
      </c>
      <c r="C20" s="50">
        <v>0.3</v>
      </c>
      <c r="D20" s="52">
        <v>0.3</v>
      </c>
    </row>
    <row r="21" spans="1:8" ht="13.75" customHeight="1" thickBot="1" x14ac:dyDescent="0.3">
      <c r="A21" s="59" t="s">
        <v>101</v>
      </c>
      <c r="B21" s="51">
        <v>-0.11</v>
      </c>
      <c r="C21" s="51">
        <v>0.2</v>
      </c>
      <c r="D21" s="62">
        <v>0.2</v>
      </c>
    </row>
    <row r="22" spans="1:8" ht="13.75" customHeight="1" x14ac:dyDescent="0.25">
      <c r="A22" s="60" t="s">
        <v>47</v>
      </c>
      <c r="B22" s="50"/>
      <c r="C22" s="50"/>
      <c r="D22" s="52"/>
    </row>
    <row r="23" spans="1:8" ht="13.75" customHeight="1" x14ac:dyDescent="0.25">
      <c r="A23" s="58" t="s">
        <v>102</v>
      </c>
      <c r="B23" s="50">
        <v>-0.37</v>
      </c>
      <c r="C23" s="50">
        <v>0.8</v>
      </c>
      <c r="D23" s="52">
        <v>0.8</v>
      </c>
    </row>
    <row r="24" spans="1:8" ht="13.75" customHeight="1" x14ac:dyDescent="0.25">
      <c r="A24" s="58" t="s">
        <v>103</v>
      </c>
      <c r="B24" s="50">
        <v>0.37</v>
      </c>
      <c r="C24" s="50">
        <v>0.7</v>
      </c>
      <c r="D24" s="52">
        <v>0.7</v>
      </c>
    </row>
    <row r="25" spans="1:8" ht="13.75" customHeight="1" x14ac:dyDescent="0.25">
      <c r="A25" s="58" t="s">
        <v>104</v>
      </c>
      <c r="B25" s="50">
        <v>0.44</v>
      </c>
      <c r="C25" s="50">
        <v>0.3</v>
      </c>
      <c r="D25" s="52">
        <v>0.3</v>
      </c>
    </row>
    <row r="26" spans="1:8" ht="13.75" customHeight="1" x14ac:dyDescent="0.25">
      <c r="A26" s="58" t="s">
        <v>105</v>
      </c>
      <c r="B26" s="50">
        <v>0.12</v>
      </c>
      <c r="C26" s="50">
        <v>1.6</v>
      </c>
      <c r="D26" s="52">
        <v>1.6</v>
      </c>
    </row>
    <row r="27" spans="1:8" ht="13.75" customHeight="1" thickBot="1" x14ac:dyDescent="0.3">
      <c r="A27" s="59" t="s">
        <v>106</v>
      </c>
      <c r="B27" s="51">
        <v>-0.32</v>
      </c>
      <c r="C27" s="51">
        <v>1.8</v>
      </c>
      <c r="D27" s="62">
        <v>1.8</v>
      </c>
    </row>
    <row r="28" spans="1:8" ht="13.75" customHeight="1" x14ac:dyDescent="0.25">
      <c r="A28" s="60" t="s">
        <v>53</v>
      </c>
      <c r="B28" s="50"/>
      <c r="C28" s="50"/>
      <c r="D28" s="52"/>
    </row>
    <row r="29" spans="1:8" ht="13.75" customHeight="1" x14ac:dyDescent="0.25">
      <c r="A29" s="58" t="s">
        <v>107</v>
      </c>
      <c r="B29" s="50">
        <v>-0.31</v>
      </c>
      <c r="C29" s="50">
        <v>0.6</v>
      </c>
      <c r="D29" s="52">
        <v>0.6</v>
      </c>
    </row>
    <row r="30" spans="1:8" ht="13.75" customHeight="1" thickBot="1" x14ac:dyDescent="0.3">
      <c r="A30" s="58" t="s">
        <v>108</v>
      </c>
      <c r="B30" s="50">
        <v>-0.03</v>
      </c>
      <c r="C30" s="50">
        <v>1.2</v>
      </c>
      <c r="D30" s="52">
        <v>1.2</v>
      </c>
    </row>
    <row r="31" spans="1:8" ht="13.75" customHeight="1" thickBot="1" x14ac:dyDescent="0.3">
      <c r="A31" s="59" t="s">
        <v>109</v>
      </c>
      <c r="B31" s="51">
        <v>-0.14000000000000001</v>
      </c>
      <c r="C31" s="51">
        <v>1.5</v>
      </c>
      <c r="D31" s="62">
        <v>1.5</v>
      </c>
      <c r="F31" s="364" t="s">
        <v>111</v>
      </c>
      <c r="G31" s="4"/>
      <c r="H31" s="36"/>
    </row>
    <row r="32" spans="1:8" ht="16.75" customHeight="1" x14ac:dyDescent="0.25">
      <c r="A32" s="330" t="s">
        <v>110</v>
      </c>
      <c r="B32" s="57">
        <v>1.3049999999999999</v>
      </c>
      <c r="C32" s="310">
        <v>1</v>
      </c>
      <c r="D32" s="331">
        <v>1</v>
      </c>
      <c r="F32" s="7"/>
      <c r="G32" s="8"/>
      <c r="H32" s="10"/>
    </row>
    <row r="33" spans="1:10" ht="18.649999999999999" customHeight="1" thickBot="1" x14ac:dyDescent="0.3">
      <c r="A33" s="59" t="s">
        <v>148</v>
      </c>
      <c r="B33" s="51"/>
      <c r="C33" s="51"/>
      <c r="D33" s="125"/>
      <c r="F33" s="11" t="s">
        <v>113</v>
      </c>
      <c r="G33" s="12"/>
      <c r="H33" s="324"/>
    </row>
    <row r="34" spans="1:10" ht="13.75" customHeight="1" x14ac:dyDescent="0.4">
      <c r="A34" s="13" t="s">
        <v>149</v>
      </c>
      <c r="B34" s="30"/>
      <c r="C34" s="30"/>
    </row>
    <row r="35" spans="1:10" ht="13" x14ac:dyDescent="0.3">
      <c r="A35" s="1"/>
    </row>
    <row r="36" spans="1:10" ht="13" x14ac:dyDescent="0.3">
      <c r="A36" s="1"/>
    </row>
    <row r="37" spans="1:10" ht="13" x14ac:dyDescent="0.3">
      <c r="A37" s="1"/>
    </row>
    <row r="38" spans="1:10" ht="13" x14ac:dyDescent="0.3">
      <c r="A38" s="1"/>
    </row>
    <row r="39" spans="1:10" ht="13" x14ac:dyDescent="0.3">
      <c r="A39" s="126" t="s">
        <v>115</v>
      </c>
      <c r="B39" s="8"/>
      <c r="C39" s="8"/>
      <c r="D39" s="8"/>
      <c r="E39" s="8"/>
      <c r="F39" s="8"/>
      <c r="G39" s="8"/>
      <c r="H39" s="8"/>
    </row>
    <row r="40" spans="1:10" ht="13" x14ac:dyDescent="0.3">
      <c r="A40" s="71"/>
      <c r="B40" s="8"/>
      <c r="C40" s="8"/>
      <c r="D40" s="8"/>
      <c r="E40" s="8"/>
      <c r="F40" s="8"/>
      <c r="G40" s="8"/>
      <c r="H40" s="8"/>
    </row>
    <row r="41" spans="1:10" ht="13.5" thickBot="1" x14ac:dyDescent="0.35">
      <c r="A41" s="71" t="s">
        <v>150</v>
      </c>
      <c r="B41" s="8"/>
      <c r="C41" s="8"/>
      <c r="D41" s="8"/>
      <c r="E41" s="8"/>
      <c r="F41" s="8"/>
      <c r="G41" s="8"/>
      <c r="H41" s="8"/>
    </row>
    <row r="42" spans="1:10" ht="34.5" x14ac:dyDescent="0.25">
      <c r="A42" s="31" t="s">
        <v>151</v>
      </c>
      <c r="B42" s="66" t="s">
        <v>152</v>
      </c>
      <c r="C42" s="67"/>
      <c r="D42" s="67"/>
      <c r="E42" s="67"/>
      <c r="F42" s="68"/>
      <c r="G42" s="67" t="s">
        <v>153</v>
      </c>
      <c r="H42" s="69"/>
      <c r="I42" s="30"/>
      <c r="J42" s="30"/>
    </row>
    <row r="43" spans="1:10" ht="23" x14ac:dyDescent="0.25">
      <c r="A43" s="32"/>
      <c r="B43" s="130" t="s">
        <v>154</v>
      </c>
      <c r="C43" s="130" t="s">
        <v>155</v>
      </c>
      <c r="D43" s="130" t="s">
        <v>156</v>
      </c>
      <c r="E43" s="130" t="s">
        <v>157</v>
      </c>
      <c r="F43" s="132" t="s">
        <v>158</v>
      </c>
      <c r="G43" s="130" t="s">
        <v>159</v>
      </c>
      <c r="H43" s="131" t="s">
        <v>22</v>
      </c>
      <c r="I43" s="30"/>
      <c r="J43" s="30"/>
    </row>
    <row r="44" spans="1:10" x14ac:dyDescent="0.25">
      <c r="A44" s="199" t="s">
        <v>160</v>
      </c>
      <c r="B44" s="133"/>
      <c r="C44" s="133"/>
      <c r="D44" s="133"/>
      <c r="E44" s="133"/>
      <c r="F44" s="133"/>
      <c r="G44" s="133"/>
      <c r="H44" s="134"/>
      <c r="I44" s="30"/>
      <c r="J44" s="30"/>
    </row>
    <row r="45" spans="1:10" x14ac:dyDescent="0.25">
      <c r="A45" s="135" t="s">
        <v>161</v>
      </c>
      <c r="B45" s="167" t="s">
        <v>162</v>
      </c>
      <c r="C45" s="167" t="s">
        <v>162</v>
      </c>
      <c r="D45" s="167" t="s">
        <v>162</v>
      </c>
      <c r="E45" s="167" t="s">
        <v>162</v>
      </c>
      <c r="F45" s="168">
        <v>5</v>
      </c>
      <c r="G45" s="169">
        <f>G106</f>
        <v>0.65565710549848433</v>
      </c>
      <c r="H45" s="136">
        <f>G107</f>
        <v>0.36331611060163677</v>
      </c>
      <c r="I45" s="30"/>
      <c r="J45" s="30"/>
    </row>
    <row r="46" spans="1:10" x14ac:dyDescent="0.25">
      <c r="A46" s="135" t="s">
        <v>163</v>
      </c>
      <c r="B46" s="167" t="s">
        <v>164</v>
      </c>
      <c r="C46" s="167" t="s">
        <v>164</v>
      </c>
      <c r="D46" s="167" t="s">
        <v>164</v>
      </c>
      <c r="E46" s="167" t="s">
        <v>164</v>
      </c>
      <c r="F46" s="168">
        <v>0.2</v>
      </c>
      <c r="G46" s="169">
        <f>F106</f>
        <v>0.82835309246108124</v>
      </c>
      <c r="H46" s="136">
        <f>F107</f>
        <v>0.83875585176112177</v>
      </c>
      <c r="I46" s="30"/>
      <c r="J46" s="30"/>
    </row>
    <row r="47" spans="1:10" ht="13.25" customHeight="1" x14ac:dyDescent="0.25">
      <c r="A47" s="200" t="s">
        <v>165</v>
      </c>
      <c r="B47" s="137"/>
      <c r="C47" s="138"/>
      <c r="D47" s="138"/>
      <c r="E47" s="138"/>
      <c r="F47" s="138"/>
      <c r="G47" s="139"/>
      <c r="H47" s="140"/>
      <c r="I47" s="30"/>
      <c r="J47" s="30"/>
    </row>
    <row r="48" spans="1:10" ht="13.25" customHeight="1" x14ac:dyDescent="0.25">
      <c r="A48" s="141" t="s">
        <v>166</v>
      </c>
      <c r="B48" s="170" t="s">
        <v>162</v>
      </c>
      <c r="C48" s="142"/>
      <c r="D48" s="142" t="s">
        <v>167</v>
      </c>
      <c r="E48" s="171"/>
      <c r="F48" s="172">
        <v>0.2</v>
      </c>
      <c r="G48" s="173">
        <f>H106</f>
        <v>0.7994723812479857</v>
      </c>
      <c r="H48" s="143">
        <f>H107</f>
        <v>0.72352205970008088</v>
      </c>
      <c r="I48" s="30"/>
      <c r="J48" s="30"/>
    </row>
    <row r="49" spans="1:10" ht="13.25" customHeight="1" x14ac:dyDescent="0.25">
      <c r="A49" s="141" t="s">
        <v>168</v>
      </c>
      <c r="B49" s="170" t="s">
        <v>162</v>
      </c>
      <c r="C49" s="142"/>
      <c r="D49" s="142" t="s">
        <v>167</v>
      </c>
      <c r="E49" s="171"/>
      <c r="F49" s="172">
        <v>1</v>
      </c>
      <c r="G49" s="173">
        <f>I106</f>
        <v>0.78633944517284593</v>
      </c>
      <c r="H49" s="143">
        <f>I107</f>
        <v>0.62994945929117063</v>
      </c>
      <c r="I49" s="30"/>
      <c r="J49" s="30"/>
    </row>
    <row r="50" spans="1:10" ht="13.25" customHeight="1" x14ac:dyDescent="0.25">
      <c r="A50" s="141" t="s">
        <v>169</v>
      </c>
      <c r="B50" s="170" t="s">
        <v>162</v>
      </c>
      <c r="C50" s="142"/>
      <c r="D50" s="142" t="s">
        <v>167</v>
      </c>
      <c r="E50" s="171"/>
      <c r="F50" s="172">
        <v>3</v>
      </c>
      <c r="G50" s="173">
        <f>J106</f>
        <v>0.76005845251604098</v>
      </c>
      <c r="H50" s="143">
        <f>J107</f>
        <v>0.51299707145854168</v>
      </c>
      <c r="I50" s="30"/>
      <c r="J50" s="30"/>
    </row>
    <row r="51" spans="1:10" ht="13.25" customHeight="1" x14ac:dyDescent="0.25">
      <c r="A51" s="141" t="s">
        <v>170</v>
      </c>
      <c r="B51" s="170" t="s">
        <v>162</v>
      </c>
      <c r="C51" s="142"/>
      <c r="D51" s="142" t="s">
        <v>167</v>
      </c>
      <c r="E51" s="171"/>
      <c r="F51" s="172">
        <v>5</v>
      </c>
      <c r="G51" s="173">
        <f>K106</f>
        <v>0.7053695519334261</v>
      </c>
      <c r="H51" s="143">
        <f>K107</f>
        <v>0.45313794314093542</v>
      </c>
      <c r="I51" s="30"/>
      <c r="J51" s="30"/>
    </row>
    <row r="52" spans="1:10" ht="13.25" customHeight="1" x14ac:dyDescent="0.25">
      <c r="A52" s="201" t="s">
        <v>171</v>
      </c>
      <c r="B52" s="144"/>
      <c r="C52" s="145"/>
      <c r="D52" s="145"/>
      <c r="E52" s="145"/>
      <c r="F52" s="146"/>
      <c r="G52" s="147"/>
      <c r="H52" s="148"/>
      <c r="I52" s="30"/>
      <c r="J52" s="30"/>
    </row>
    <row r="53" spans="1:10" ht="13.25" customHeight="1" x14ac:dyDescent="0.25">
      <c r="A53" s="149" t="s">
        <v>172</v>
      </c>
      <c r="B53" s="174" t="s">
        <v>164</v>
      </c>
      <c r="C53" s="145"/>
      <c r="D53" s="145" t="s">
        <v>167</v>
      </c>
      <c r="E53" s="175"/>
      <c r="F53" s="176">
        <v>0.2</v>
      </c>
      <c r="G53" s="177">
        <f>L106</f>
        <v>0.79786441630807936</v>
      </c>
      <c r="H53" s="148">
        <f>L107</f>
        <v>0.72948277875168943</v>
      </c>
      <c r="I53" s="30"/>
      <c r="J53" s="30"/>
    </row>
    <row r="54" spans="1:10" ht="13.25" customHeight="1" x14ac:dyDescent="0.25">
      <c r="A54" s="149" t="s">
        <v>173</v>
      </c>
      <c r="B54" s="174" t="s">
        <v>164</v>
      </c>
      <c r="C54" s="145"/>
      <c r="D54" s="145" t="s">
        <v>167</v>
      </c>
      <c r="E54" s="175"/>
      <c r="F54" s="176">
        <v>1</v>
      </c>
      <c r="G54" s="177">
        <f>M106</f>
        <v>0.78465453743687641</v>
      </c>
      <c r="H54" s="148">
        <f>M107</f>
        <v>0.63691517528041441</v>
      </c>
      <c r="I54" s="30"/>
      <c r="J54" s="30"/>
    </row>
    <row r="55" spans="1:10" ht="13.25" customHeight="1" x14ac:dyDescent="0.25">
      <c r="A55" s="149" t="s">
        <v>174</v>
      </c>
      <c r="B55" s="174" t="s">
        <v>164</v>
      </c>
      <c r="C55" s="145"/>
      <c r="D55" s="145" t="s">
        <v>167</v>
      </c>
      <c r="E55" s="175"/>
      <c r="F55" s="176">
        <v>3</v>
      </c>
      <c r="G55" s="177">
        <f>N106</f>
        <v>0.79786441630807936</v>
      </c>
      <c r="H55" s="148">
        <f>N107</f>
        <v>0.65067328057921481</v>
      </c>
      <c r="I55" s="30"/>
      <c r="J55" s="30"/>
    </row>
    <row r="56" spans="1:10" ht="13.25" customHeight="1" x14ac:dyDescent="0.25">
      <c r="A56" s="149" t="s">
        <v>175</v>
      </c>
      <c r="B56" s="174" t="s">
        <v>164</v>
      </c>
      <c r="C56" s="145"/>
      <c r="D56" s="145" t="s">
        <v>167</v>
      </c>
      <c r="E56" s="175"/>
      <c r="F56" s="176">
        <v>5</v>
      </c>
      <c r="G56" s="177">
        <f>O106</f>
        <v>0.74894622011147383</v>
      </c>
      <c r="H56" s="148">
        <f>O107</f>
        <v>0.59435538790729825</v>
      </c>
      <c r="I56" s="30"/>
      <c r="J56" s="30"/>
    </row>
    <row r="57" spans="1:10" ht="13.25" customHeight="1" x14ac:dyDescent="0.25">
      <c r="A57" s="202" t="s">
        <v>176</v>
      </c>
      <c r="B57" s="150"/>
      <c r="C57" s="150"/>
      <c r="D57" s="150"/>
      <c r="E57" s="150"/>
      <c r="F57" s="151"/>
      <c r="G57" s="152"/>
      <c r="H57" s="153"/>
      <c r="I57" s="30"/>
      <c r="J57" s="30"/>
    </row>
    <row r="58" spans="1:10" ht="13.25" customHeight="1" x14ac:dyDescent="0.25">
      <c r="A58" s="154" t="s">
        <v>177</v>
      </c>
      <c r="B58" s="178" t="s">
        <v>167</v>
      </c>
      <c r="C58" s="178" t="s">
        <v>164</v>
      </c>
      <c r="D58" s="155"/>
      <c r="E58" s="155" t="s">
        <v>167</v>
      </c>
      <c r="F58" s="179"/>
      <c r="G58" s="180">
        <f>P106</f>
        <v>0.77206354942678368</v>
      </c>
      <c r="H58" s="153">
        <f>P107</f>
        <v>0</v>
      </c>
      <c r="I58" s="30"/>
      <c r="J58" s="30"/>
    </row>
    <row r="59" spans="1:10" ht="13.25" customHeight="1" x14ac:dyDescent="0.25">
      <c r="A59" s="154" t="s">
        <v>178</v>
      </c>
      <c r="B59" s="178" t="s">
        <v>167</v>
      </c>
      <c r="C59" s="178" t="s">
        <v>162</v>
      </c>
      <c r="D59" s="155"/>
      <c r="E59" s="155" t="s">
        <v>167</v>
      </c>
      <c r="F59" s="179"/>
      <c r="G59" s="180">
        <f>Q106</f>
        <v>0.79575969771590827</v>
      </c>
      <c r="H59" s="153">
        <f>Q107</f>
        <v>0.60730549917522736</v>
      </c>
      <c r="I59" s="30"/>
      <c r="J59" s="30"/>
    </row>
    <row r="60" spans="1:10" x14ac:dyDescent="0.25">
      <c r="A60" s="203" t="s">
        <v>179</v>
      </c>
      <c r="B60" s="156"/>
      <c r="C60" s="156"/>
      <c r="D60" s="157"/>
      <c r="E60" s="157"/>
      <c r="F60" s="157"/>
      <c r="G60" s="158"/>
      <c r="H60" s="159"/>
      <c r="I60" s="30"/>
      <c r="J60" s="30"/>
    </row>
    <row r="61" spans="1:10" x14ac:dyDescent="0.25">
      <c r="A61" s="160" t="s">
        <v>180</v>
      </c>
      <c r="B61" s="157" t="s">
        <v>167</v>
      </c>
      <c r="C61" s="181"/>
      <c r="D61" s="183" t="s">
        <v>164</v>
      </c>
      <c r="E61" s="157" t="s">
        <v>167</v>
      </c>
      <c r="F61" s="181"/>
      <c r="G61" s="182">
        <f>R106</f>
        <v>0.81092012271281078</v>
      </c>
      <c r="H61" s="161">
        <f>R107</f>
        <v>0.66105518119341589</v>
      </c>
      <c r="I61" s="30"/>
      <c r="J61" s="30"/>
    </row>
    <row r="62" spans="1:10" x14ac:dyDescent="0.25">
      <c r="A62" s="160" t="s">
        <v>181</v>
      </c>
      <c r="B62" s="157" t="s">
        <v>167</v>
      </c>
      <c r="C62" s="181"/>
      <c r="D62" s="183" t="s">
        <v>162</v>
      </c>
      <c r="E62" s="157" t="s">
        <v>167</v>
      </c>
      <c r="F62" s="181"/>
      <c r="G62" s="182">
        <f>S106</f>
        <v>0.74573627440045054</v>
      </c>
      <c r="H62" s="161">
        <f>S107</f>
        <v>0.65430121805200536</v>
      </c>
      <c r="I62" s="30"/>
      <c r="J62" s="30"/>
    </row>
    <row r="63" spans="1:10" x14ac:dyDescent="0.25">
      <c r="A63" s="204" t="s">
        <v>182</v>
      </c>
      <c r="B63" s="162"/>
      <c r="C63" s="162"/>
      <c r="D63" s="162"/>
      <c r="E63" s="163"/>
      <c r="F63" s="163"/>
      <c r="G63" s="164"/>
      <c r="H63" s="165"/>
      <c r="I63" s="30"/>
      <c r="J63" s="30"/>
    </row>
    <row r="64" spans="1:10" x14ac:dyDescent="0.25">
      <c r="A64" s="166" t="s">
        <v>183</v>
      </c>
      <c r="B64" s="162"/>
      <c r="C64" s="162" t="s">
        <v>167</v>
      </c>
      <c r="D64" s="188"/>
      <c r="E64" s="184" t="s">
        <v>164</v>
      </c>
      <c r="F64" s="184" t="s">
        <v>167</v>
      </c>
      <c r="G64" s="185">
        <f>T106</f>
        <v>0.80798965431168246</v>
      </c>
      <c r="H64" s="165">
        <f>T107</f>
        <v>0.7253187741239433</v>
      </c>
      <c r="I64" s="30"/>
      <c r="J64" s="30"/>
    </row>
    <row r="65" spans="1:21" ht="13" thickBot="1" x14ac:dyDescent="0.3">
      <c r="A65" s="129" t="s">
        <v>184</v>
      </c>
      <c r="B65" s="127"/>
      <c r="C65" s="127" t="s">
        <v>167</v>
      </c>
      <c r="D65" s="189"/>
      <c r="E65" s="186" t="s">
        <v>162</v>
      </c>
      <c r="F65" s="186" t="s">
        <v>167</v>
      </c>
      <c r="G65" s="187">
        <f>U106</f>
        <v>0.77678011482675302</v>
      </c>
      <c r="H65" s="128">
        <f>U107</f>
        <v>0.62738157001161543</v>
      </c>
      <c r="I65" s="30"/>
      <c r="J65" s="30"/>
    </row>
    <row r="66" spans="1:21" x14ac:dyDescent="0.25">
      <c r="A66" s="43"/>
      <c r="B66" s="44"/>
      <c r="C66" s="44"/>
      <c r="D66" s="44"/>
      <c r="E66" s="44"/>
      <c r="F66" s="44"/>
      <c r="G66" s="44"/>
      <c r="H66" s="44"/>
      <c r="I66" s="30"/>
      <c r="J66" s="30"/>
    </row>
    <row r="67" spans="1:21" x14ac:dyDescent="0.25">
      <c r="A67" s="43"/>
      <c r="B67" s="44"/>
      <c r="C67" s="44"/>
      <c r="D67" s="44"/>
      <c r="E67" s="44"/>
      <c r="F67" s="44"/>
      <c r="G67" s="44"/>
      <c r="H67" s="44"/>
      <c r="I67" s="30"/>
      <c r="J67" s="30"/>
    </row>
    <row r="68" spans="1:21" ht="13" x14ac:dyDescent="0.3">
      <c r="A68" s="46"/>
      <c r="B68" s="44"/>
      <c r="C68" s="44"/>
      <c r="D68" s="44"/>
      <c r="E68" s="44"/>
      <c r="F68" s="44"/>
      <c r="G68" s="44"/>
      <c r="H68" s="44"/>
      <c r="I68" s="30"/>
      <c r="J68" s="30"/>
    </row>
    <row r="69" spans="1:21" x14ac:dyDescent="0.25">
      <c r="A69" s="47"/>
      <c r="B69" s="44"/>
      <c r="C69" s="44"/>
      <c r="D69" s="44"/>
      <c r="E69" s="44"/>
      <c r="F69" s="44"/>
      <c r="G69" s="44"/>
      <c r="H69" s="44"/>
      <c r="I69" s="30"/>
      <c r="J69" s="30"/>
    </row>
    <row r="70" spans="1:21" x14ac:dyDescent="0.25">
      <c r="A70" s="43"/>
      <c r="B70" s="44"/>
      <c r="C70" s="44"/>
      <c r="D70" s="44"/>
      <c r="E70" s="44"/>
      <c r="F70" s="44"/>
      <c r="G70" s="44"/>
      <c r="H70" s="44"/>
      <c r="I70" s="30"/>
      <c r="J70" s="30"/>
    </row>
    <row r="71" spans="1:21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</row>
    <row r="72" spans="1:21" ht="13.5" thickBot="1" x14ac:dyDescent="0.35">
      <c r="A72" s="1" t="s">
        <v>185</v>
      </c>
    </row>
    <row r="73" spans="1:21" ht="15.5" x14ac:dyDescent="0.4">
      <c r="A73" s="122" t="s">
        <v>67</v>
      </c>
      <c r="B73" s="190" t="s">
        <v>23</v>
      </c>
      <c r="C73" s="191"/>
      <c r="D73" s="106" t="s">
        <v>133</v>
      </c>
      <c r="E73" s="42"/>
      <c r="F73" s="70" t="s">
        <v>134</v>
      </c>
      <c r="G73" s="70"/>
      <c r="H73" s="70"/>
      <c r="I73" s="70"/>
      <c r="J73" s="70"/>
      <c r="K73" s="4"/>
      <c r="L73" s="4"/>
      <c r="M73" s="4"/>
      <c r="N73" s="4"/>
      <c r="O73" s="4"/>
      <c r="P73" s="4"/>
      <c r="Q73" s="4"/>
      <c r="R73" s="4"/>
      <c r="S73" s="4"/>
      <c r="T73" s="4"/>
      <c r="U73" s="36"/>
    </row>
    <row r="74" spans="1:21" x14ac:dyDescent="0.25">
      <c r="A74" s="39"/>
      <c r="B74" s="57" t="s">
        <v>21</v>
      </c>
      <c r="C74" s="57" t="s">
        <v>22</v>
      </c>
      <c r="D74" s="57"/>
      <c r="E74" s="15"/>
      <c r="F74" s="100" t="s">
        <v>122</v>
      </c>
      <c r="G74" s="50" t="s">
        <v>124</v>
      </c>
      <c r="H74" s="192" t="s">
        <v>166</v>
      </c>
      <c r="I74" s="192" t="s">
        <v>168</v>
      </c>
      <c r="J74" s="192" t="s">
        <v>169</v>
      </c>
      <c r="K74" s="295" t="s">
        <v>170</v>
      </c>
      <c r="L74" s="193" t="s">
        <v>172</v>
      </c>
      <c r="M74" s="193" t="s">
        <v>173</v>
      </c>
      <c r="N74" s="193" t="s">
        <v>174</v>
      </c>
      <c r="O74" s="296" t="s">
        <v>175</v>
      </c>
      <c r="P74" s="194" t="s">
        <v>177</v>
      </c>
      <c r="Q74" s="297" t="s">
        <v>178</v>
      </c>
      <c r="R74" s="195" t="s">
        <v>180</v>
      </c>
      <c r="S74" s="298" t="s">
        <v>181</v>
      </c>
      <c r="T74" s="196" t="s">
        <v>183</v>
      </c>
      <c r="U74" s="197" t="s">
        <v>184</v>
      </c>
    </row>
    <row r="75" spans="1:21" x14ac:dyDescent="0.25">
      <c r="A75" s="37" t="s">
        <v>25</v>
      </c>
      <c r="B75" s="50"/>
      <c r="C75" s="50"/>
      <c r="D75" s="50"/>
      <c r="E75" s="15"/>
      <c r="F75" s="100"/>
      <c r="G75" s="50"/>
      <c r="H75" s="100"/>
      <c r="I75" s="100"/>
      <c r="J75" s="100"/>
      <c r="K75" s="50"/>
      <c r="L75" s="100"/>
      <c r="M75" s="100"/>
      <c r="N75" s="100"/>
      <c r="O75" s="50"/>
      <c r="P75" s="100"/>
      <c r="Q75" s="50"/>
      <c r="R75" s="100"/>
      <c r="S75" s="50"/>
      <c r="T75" s="100"/>
      <c r="U75" s="52"/>
    </row>
    <row r="76" spans="1:21" x14ac:dyDescent="0.25">
      <c r="A76" s="37" t="s">
        <v>88</v>
      </c>
      <c r="B76" s="50"/>
      <c r="C76" s="50"/>
      <c r="D76" s="50"/>
      <c r="E76" s="15"/>
      <c r="F76" s="100"/>
      <c r="G76" s="50"/>
      <c r="H76" s="100"/>
      <c r="I76" s="100"/>
      <c r="J76" s="100"/>
      <c r="K76" s="50"/>
      <c r="L76" s="100"/>
      <c r="M76" s="100"/>
      <c r="N76" s="100"/>
      <c r="O76" s="50"/>
      <c r="P76" s="100"/>
      <c r="Q76" s="50"/>
      <c r="R76" s="100"/>
      <c r="S76" s="50"/>
      <c r="T76" s="100"/>
      <c r="U76" s="52"/>
    </row>
    <row r="77" spans="1:21" x14ac:dyDescent="0.25">
      <c r="A77" s="37" t="s">
        <v>89</v>
      </c>
      <c r="B77" s="50">
        <v>0</v>
      </c>
      <c r="C77" s="50">
        <v>0</v>
      </c>
      <c r="D77" s="50">
        <v>0.6</v>
      </c>
      <c r="E77" s="15"/>
      <c r="F77" s="100">
        <v>0</v>
      </c>
      <c r="G77" s="50">
        <v>1</v>
      </c>
      <c r="H77" s="192">
        <v>1</v>
      </c>
      <c r="I77" s="192">
        <v>1</v>
      </c>
      <c r="J77" s="192">
        <v>1</v>
      </c>
      <c r="K77" s="295">
        <v>1</v>
      </c>
      <c r="L77" s="193">
        <v>0</v>
      </c>
      <c r="M77" s="193">
        <v>0</v>
      </c>
      <c r="N77" s="193">
        <v>0</v>
      </c>
      <c r="O77" s="296">
        <v>0</v>
      </c>
      <c r="P77" s="100">
        <v>0.6</v>
      </c>
      <c r="Q77" s="50">
        <v>0.6</v>
      </c>
      <c r="R77" s="100">
        <v>0.6</v>
      </c>
      <c r="S77" s="50">
        <v>0.6</v>
      </c>
      <c r="T77" s="100">
        <v>0.6</v>
      </c>
      <c r="U77" s="52">
        <v>0.6</v>
      </c>
    </row>
    <row r="78" spans="1:21" x14ac:dyDescent="0.25">
      <c r="A78" s="37" t="s">
        <v>90</v>
      </c>
      <c r="B78" s="50">
        <v>-0.01</v>
      </c>
      <c r="C78" s="50">
        <v>0.03</v>
      </c>
      <c r="D78" s="50">
        <v>0.2</v>
      </c>
      <c r="E78" s="15"/>
      <c r="F78" s="100">
        <v>1</v>
      </c>
      <c r="G78" s="50">
        <v>0</v>
      </c>
      <c r="H78" s="192">
        <v>0</v>
      </c>
      <c r="I78" s="192">
        <v>0</v>
      </c>
      <c r="J78" s="192">
        <v>0</v>
      </c>
      <c r="K78" s="295">
        <v>0</v>
      </c>
      <c r="L78" s="193">
        <v>1</v>
      </c>
      <c r="M78" s="193">
        <v>1</v>
      </c>
      <c r="N78" s="193">
        <v>0</v>
      </c>
      <c r="O78" s="296">
        <v>0</v>
      </c>
      <c r="P78" s="100">
        <v>0.2</v>
      </c>
      <c r="Q78" s="50">
        <v>0.2</v>
      </c>
      <c r="R78" s="100">
        <v>0.2</v>
      </c>
      <c r="S78" s="50">
        <v>0.2</v>
      </c>
      <c r="T78" s="100">
        <v>0.2</v>
      </c>
      <c r="U78" s="52">
        <v>0.2</v>
      </c>
    </row>
    <row r="79" spans="1:21" x14ac:dyDescent="0.25">
      <c r="A79" s="37" t="s">
        <v>91</v>
      </c>
      <c r="B79" s="50">
        <v>0.22</v>
      </c>
      <c r="C79" s="50">
        <v>0.56999999999999995</v>
      </c>
      <c r="D79" s="50">
        <v>0.2</v>
      </c>
      <c r="E79" s="15"/>
      <c r="F79" s="100">
        <v>0</v>
      </c>
      <c r="G79" s="50">
        <v>0</v>
      </c>
      <c r="H79" s="192">
        <v>0</v>
      </c>
      <c r="I79" s="192">
        <v>0</v>
      </c>
      <c r="J79" s="192">
        <v>0</v>
      </c>
      <c r="K79" s="295">
        <v>0</v>
      </c>
      <c r="L79" s="193">
        <v>0</v>
      </c>
      <c r="M79" s="193">
        <v>0</v>
      </c>
      <c r="N79" s="193">
        <v>1</v>
      </c>
      <c r="O79" s="296">
        <v>1</v>
      </c>
      <c r="P79" s="100">
        <v>0.2</v>
      </c>
      <c r="Q79" s="50">
        <v>0.2</v>
      </c>
      <c r="R79" s="100">
        <v>0.2</v>
      </c>
      <c r="S79" s="50">
        <v>0.2</v>
      </c>
      <c r="T79" s="100">
        <v>0.2</v>
      </c>
      <c r="U79" s="52">
        <v>0.2</v>
      </c>
    </row>
    <row r="80" spans="1:21" x14ac:dyDescent="0.25">
      <c r="A80" s="37" t="s">
        <v>92</v>
      </c>
      <c r="B80" s="50">
        <v>-0.14000000000000001</v>
      </c>
      <c r="C80" s="50">
        <v>0.55000000000000004</v>
      </c>
      <c r="D80" s="50">
        <v>0.4</v>
      </c>
      <c r="E80" s="15"/>
      <c r="F80" s="100">
        <v>1</v>
      </c>
      <c r="G80" s="50">
        <v>0</v>
      </c>
      <c r="H80" s="100">
        <v>0.4</v>
      </c>
      <c r="I80" s="100">
        <v>0.4</v>
      </c>
      <c r="J80" s="100">
        <v>0.4</v>
      </c>
      <c r="K80" s="50">
        <v>0.4</v>
      </c>
      <c r="L80" s="100">
        <v>0.4</v>
      </c>
      <c r="M80" s="100">
        <v>0.4</v>
      </c>
      <c r="N80" s="100">
        <v>0.4</v>
      </c>
      <c r="O80" s="50">
        <v>0.4</v>
      </c>
      <c r="P80" s="194">
        <v>1</v>
      </c>
      <c r="Q80" s="297">
        <v>0</v>
      </c>
      <c r="R80" s="100">
        <v>0.4</v>
      </c>
      <c r="S80" s="50">
        <v>0.4</v>
      </c>
      <c r="T80" s="100">
        <v>0.4</v>
      </c>
      <c r="U80" s="52">
        <v>0.4</v>
      </c>
    </row>
    <row r="81" spans="1:21" x14ac:dyDescent="0.25">
      <c r="A81" s="37" t="s">
        <v>135</v>
      </c>
      <c r="B81" s="50">
        <v>-7.0000000000000007E-2</v>
      </c>
      <c r="C81" s="50">
        <v>0.09</v>
      </c>
      <c r="D81" s="50">
        <v>0.3</v>
      </c>
      <c r="E81" s="15"/>
      <c r="F81" s="100">
        <v>0.3</v>
      </c>
      <c r="G81" s="50">
        <v>0.3</v>
      </c>
      <c r="H81" s="100">
        <v>0.3</v>
      </c>
      <c r="I81" s="100">
        <v>0.3</v>
      </c>
      <c r="J81" s="100">
        <v>0.3</v>
      </c>
      <c r="K81" s="50">
        <v>0.3</v>
      </c>
      <c r="L81" s="100">
        <v>0.3</v>
      </c>
      <c r="M81" s="100">
        <v>0.3</v>
      </c>
      <c r="N81" s="100">
        <v>0.3</v>
      </c>
      <c r="O81" s="50">
        <v>0.3</v>
      </c>
      <c r="P81" s="100">
        <v>0.3</v>
      </c>
      <c r="Q81" s="50">
        <v>0.3</v>
      </c>
      <c r="R81" s="100">
        <v>0.3</v>
      </c>
      <c r="S81" s="50">
        <v>0.3</v>
      </c>
      <c r="T81" s="100">
        <v>0.3</v>
      </c>
      <c r="U81" s="52">
        <v>0.3</v>
      </c>
    </row>
    <row r="82" spans="1:21" x14ac:dyDescent="0.25">
      <c r="A82" s="37" t="s">
        <v>94</v>
      </c>
      <c r="B82" s="50">
        <v>0.38</v>
      </c>
      <c r="C82" s="50">
        <v>0.03</v>
      </c>
      <c r="D82" s="50">
        <v>0.6</v>
      </c>
      <c r="E82" s="15"/>
      <c r="F82" s="100">
        <v>1</v>
      </c>
      <c r="G82" s="50">
        <v>0</v>
      </c>
      <c r="H82" s="100">
        <v>0.6</v>
      </c>
      <c r="I82" s="100">
        <v>0.6</v>
      </c>
      <c r="J82" s="100">
        <v>0.6</v>
      </c>
      <c r="K82" s="50">
        <v>0.6</v>
      </c>
      <c r="L82" s="100">
        <v>0.6</v>
      </c>
      <c r="M82" s="100">
        <v>0.6</v>
      </c>
      <c r="N82" s="100">
        <v>0.6</v>
      </c>
      <c r="O82" s="50">
        <v>0.6</v>
      </c>
      <c r="P82" s="100">
        <v>0.6</v>
      </c>
      <c r="Q82" s="50">
        <v>0.6</v>
      </c>
      <c r="R82" s="195">
        <v>1</v>
      </c>
      <c r="S82" s="298">
        <v>0</v>
      </c>
      <c r="T82" s="100">
        <v>0.6</v>
      </c>
      <c r="U82" s="52">
        <v>0.6</v>
      </c>
    </row>
    <row r="83" spans="1:21" x14ac:dyDescent="0.25">
      <c r="A83" s="37" t="s">
        <v>95</v>
      </c>
      <c r="B83" s="50"/>
      <c r="C83" s="50"/>
      <c r="D83" s="50"/>
      <c r="E83" s="15"/>
      <c r="F83" s="100"/>
      <c r="G83" s="50"/>
      <c r="H83" s="100"/>
      <c r="I83" s="100"/>
      <c r="J83" s="100"/>
      <c r="K83" s="50"/>
      <c r="L83" s="100"/>
      <c r="M83" s="100"/>
      <c r="N83" s="100"/>
      <c r="O83" s="50"/>
      <c r="P83" s="100"/>
      <c r="Q83" s="50"/>
      <c r="R83" s="100"/>
      <c r="S83" s="50"/>
      <c r="T83" s="100"/>
      <c r="U83" s="52"/>
    </row>
    <row r="84" spans="1:21" x14ac:dyDescent="0.25">
      <c r="A84" s="37" t="s">
        <v>96</v>
      </c>
      <c r="B84" s="50">
        <v>0</v>
      </c>
      <c r="C84" s="50">
        <v>0</v>
      </c>
      <c r="D84" s="50">
        <v>0.4</v>
      </c>
      <c r="E84" s="15"/>
      <c r="F84" s="100">
        <v>1</v>
      </c>
      <c r="G84" s="50">
        <v>0</v>
      </c>
      <c r="H84" s="192">
        <v>1</v>
      </c>
      <c r="I84" s="192">
        <v>0</v>
      </c>
      <c r="J84" s="192">
        <v>0</v>
      </c>
      <c r="K84" s="295">
        <v>0</v>
      </c>
      <c r="L84" s="193">
        <v>1</v>
      </c>
      <c r="M84" s="193">
        <v>0</v>
      </c>
      <c r="N84" s="193">
        <v>0</v>
      </c>
      <c r="O84" s="296">
        <v>0</v>
      </c>
      <c r="P84" s="100">
        <v>0.4</v>
      </c>
      <c r="Q84" s="50">
        <v>0.4</v>
      </c>
      <c r="R84" s="100">
        <v>0.4</v>
      </c>
      <c r="S84" s="50">
        <v>0.4</v>
      </c>
      <c r="T84" s="100">
        <v>0.4</v>
      </c>
      <c r="U84" s="52">
        <v>0.4</v>
      </c>
    </row>
    <row r="85" spans="1:21" x14ac:dyDescent="0.25">
      <c r="A85" s="37" t="s">
        <v>97</v>
      </c>
      <c r="B85" s="50">
        <v>-0.08</v>
      </c>
      <c r="C85" s="50">
        <v>-0.43</v>
      </c>
      <c r="D85" s="50">
        <v>0.3</v>
      </c>
      <c r="E85" s="15"/>
      <c r="F85" s="100">
        <v>0</v>
      </c>
      <c r="G85" s="50">
        <v>0</v>
      </c>
      <c r="H85" s="192">
        <v>0</v>
      </c>
      <c r="I85" s="192">
        <v>1</v>
      </c>
      <c r="J85" s="192">
        <v>0</v>
      </c>
      <c r="K85" s="295">
        <v>0</v>
      </c>
      <c r="L85" s="193">
        <v>0</v>
      </c>
      <c r="M85" s="193">
        <v>1</v>
      </c>
      <c r="N85" s="193">
        <v>0</v>
      </c>
      <c r="O85" s="296">
        <v>0</v>
      </c>
      <c r="P85" s="100">
        <v>0.3</v>
      </c>
      <c r="Q85" s="50">
        <v>0.3</v>
      </c>
      <c r="R85" s="100">
        <v>0.3</v>
      </c>
      <c r="S85" s="50">
        <v>0.3</v>
      </c>
      <c r="T85" s="100">
        <v>0.3</v>
      </c>
      <c r="U85" s="52">
        <v>0.3</v>
      </c>
    </row>
    <row r="86" spans="1:21" x14ac:dyDescent="0.25">
      <c r="A86" s="37" t="s">
        <v>98</v>
      </c>
      <c r="B86" s="50">
        <v>-0.23</v>
      </c>
      <c r="C86" s="50">
        <v>-0.91</v>
      </c>
      <c r="D86" s="50">
        <v>0.2</v>
      </c>
      <c r="E86" s="15"/>
      <c r="F86" s="100">
        <v>0</v>
      </c>
      <c r="G86" s="50">
        <v>0</v>
      </c>
      <c r="H86" s="192">
        <v>0</v>
      </c>
      <c r="I86" s="192">
        <v>0</v>
      </c>
      <c r="J86" s="192">
        <v>1</v>
      </c>
      <c r="K86" s="295">
        <v>0</v>
      </c>
      <c r="L86" s="193">
        <v>0</v>
      </c>
      <c r="M86" s="193">
        <v>0</v>
      </c>
      <c r="N86" s="193">
        <v>1</v>
      </c>
      <c r="O86" s="296">
        <v>0</v>
      </c>
      <c r="P86" s="100">
        <v>0.2</v>
      </c>
      <c r="Q86" s="50">
        <v>0.2</v>
      </c>
      <c r="R86" s="100">
        <v>0.2</v>
      </c>
      <c r="S86" s="50">
        <v>0.2</v>
      </c>
      <c r="T86" s="100">
        <v>0.2</v>
      </c>
      <c r="U86" s="52">
        <v>0.2</v>
      </c>
    </row>
    <row r="87" spans="1:21" x14ac:dyDescent="0.25">
      <c r="A87" s="37" t="s">
        <v>99</v>
      </c>
      <c r="B87" s="50">
        <v>-0.51</v>
      </c>
      <c r="C87" s="50">
        <v>-1.1499999999999999</v>
      </c>
      <c r="D87" s="50">
        <v>0.1</v>
      </c>
      <c r="E87" s="15"/>
      <c r="F87" s="100">
        <v>0</v>
      </c>
      <c r="G87" s="50">
        <v>1</v>
      </c>
      <c r="H87" s="192">
        <v>0</v>
      </c>
      <c r="I87" s="192">
        <v>0</v>
      </c>
      <c r="J87" s="192">
        <v>0</v>
      </c>
      <c r="K87" s="295">
        <v>1</v>
      </c>
      <c r="L87" s="193">
        <v>0</v>
      </c>
      <c r="M87" s="193">
        <v>0</v>
      </c>
      <c r="N87" s="193">
        <v>0</v>
      </c>
      <c r="O87" s="296">
        <v>1</v>
      </c>
      <c r="P87" s="100">
        <v>0.1</v>
      </c>
      <c r="Q87" s="50">
        <v>0.1</v>
      </c>
      <c r="R87" s="100">
        <v>0.1</v>
      </c>
      <c r="S87" s="50">
        <v>0.1</v>
      </c>
      <c r="T87" s="100">
        <v>0.1</v>
      </c>
      <c r="U87" s="52">
        <v>0.1</v>
      </c>
    </row>
    <row r="88" spans="1:21" x14ac:dyDescent="0.25">
      <c r="A88" s="37" t="s">
        <v>100</v>
      </c>
      <c r="B88" s="50">
        <v>0.19</v>
      </c>
      <c r="C88" s="50">
        <v>0.45</v>
      </c>
      <c r="D88" s="50">
        <v>0.3</v>
      </c>
      <c r="E88" s="15"/>
      <c r="F88" s="100">
        <v>1</v>
      </c>
      <c r="G88" s="50">
        <v>0</v>
      </c>
      <c r="H88" s="100">
        <v>0.3</v>
      </c>
      <c r="I88" s="100">
        <v>0.3</v>
      </c>
      <c r="J88" s="100">
        <v>0.3</v>
      </c>
      <c r="K88" s="50">
        <v>0.3</v>
      </c>
      <c r="L88" s="100">
        <v>0.3</v>
      </c>
      <c r="M88" s="100">
        <v>0.3</v>
      </c>
      <c r="N88" s="100">
        <v>0.3</v>
      </c>
      <c r="O88" s="50">
        <v>0.3</v>
      </c>
      <c r="P88" s="100">
        <v>0.3</v>
      </c>
      <c r="Q88" s="50">
        <v>0.3</v>
      </c>
      <c r="R88" s="100">
        <v>0.3</v>
      </c>
      <c r="S88" s="50">
        <v>0.3</v>
      </c>
      <c r="T88" s="196">
        <v>1</v>
      </c>
      <c r="U88" s="197">
        <v>0</v>
      </c>
    </row>
    <row r="89" spans="1:21" x14ac:dyDescent="0.25">
      <c r="A89" s="37" t="s">
        <v>101</v>
      </c>
      <c r="B89" s="50">
        <v>-0.12</v>
      </c>
      <c r="C89" s="50">
        <v>-0.11</v>
      </c>
      <c r="D89" s="50">
        <v>0.2</v>
      </c>
      <c r="E89" s="15"/>
      <c r="F89" s="100">
        <v>0.2</v>
      </c>
      <c r="G89" s="50">
        <v>0.2</v>
      </c>
      <c r="H89" s="100">
        <v>0.2</v>
      </c>
      <c r="I89" s="100">
        <v>0.2</v>
      </c>
      <c r="J89" s="100">
        <v>0.2</v>
      </c>
      <c r="K89" s="50">
        <v>0.2</v>
      </c>
      <c r="L89" s="100">
        <v>0.2</v>
      </c>
      <c r="M89" s="100">
        <v>0.2</v>
      </c>
      <c r="N89" s="100">
        <v>0.2</v>
      </c>
      <c r="O89" s="50">
        <v>0.2</v>
      </c>
      <c r="P89" s="100">
        <v>0.2</v>
      </c>
      <c r="Q89" s="50">
        <v>0.2</v>
      </c>
      <c r="R89" s="100">
        <v>0.2</v>
      </c>
      <c r="S89" s="50">
        <v>0.2</v>
      </c>
      <c r="T89" s="100">
        <v>0.2</v>
      </c>
      <c r="U89" s="52">
        <v>0.2</v>
      </c>
    </row>
    <row r="90" spans="1:21" x14ac:dyDescent="0.25">
      <c r="A90" s="37"/>
      <c r="B90" s="50"/>
      <c r="C90" s="50"/>
      <c r="D90" s="50"/>
      <c r="E90" s="15"/>
      <c r="F90" s="100"/>
      <c r="G90" s="50"/>
      <c r="H90" s="100"/>
      <c r="I90" s="100"/>
      <c r="J90" s="100"/>
      <c r="K90" s="50"/>
      <c r="L90" s="100"/>
      <c r="M90" s="100"/>
      <c r="N90" s="100"/>
      <c r="O90" s="50"/>
      <c r="P90" s="100"/>
      <c r="Q90" s="50"/>
      <c r="R90" s="100"/>
      <c r="S90" s="50"/>
      <c r="T90" s="100"/>
      <c r="U90" s="52"/>
    </row>
    <row r="91" spans="1:21" x14ac:dyDescent="0.25">
      <c r="A91" s="37" t="s">
        <v>47</v>
      </c>
      <c r="B91" s="50"/>
      <c r="C91" s="50"/>
      <c r="D91" s="50"/>
      <c r="E91" s="15"/>
      <c r="F91" s="100"/>
      <c r="G91" s="50"/>
      <c r="H91" s="100"/>
      <c r="I91" s="100"/>
      <c r="J91" s="100"/>
      <c r="K91" s="50"/>
      <c r="L91" s="100"/>
      <c r="M91" s="100"/>
      <c r="N91" s="100"/>
      <c r="O91" s="50"/>
      <c r="P91" s="100"/>
      <c r="Q91" s="50"/>
      <c r="R91" s="100"/>
      <c r="S91" s="50"/>
      <c r="T91" s="100"/>
      <c r="U91" s="52"/>
    </row>
    <row r="92" spans="1:21" x14ac:dyDescent="0.25">
      <c r="A92" s="37" t="s">
        <v>102</v>
      </c>
      <c r="B92" s="50">
        <v>0.03</v>
      </c>
      <c r="C92" s="50">
        <v>-0.37</v>
      </c>
      <c r="D92" s="50">
        <v>0.8</v>
      </c>
      <c r="E92" s="15"/>
      <c r="F92" s="100">
        <v>0.8</v>
      </c>
      <c r="G92" s="50">
        <v>0.8</v>
      </c>
      <c r="H92" s="100">
        <v>0.8</v>
      </c>
      <c r="I92" s="100">
        <v>0.8</v>
      </c>
      <c r="J92" s="100">
        <v>0.8</v>
      </c>
      <c r="K92" s="50">
        <v>0.8</v>
      </c>
      <c r="L92" s="100">
        <v>0.8</v>
      </c>
      <c r="M92" s="100">
        <v>0.8</v>
      </c>
      <c r="N92" s="100">
        <v>0.8</v>
      </c>
      <c r="O92" s="50">
        <v>0.8</v>
      </c>
      <c r="P92" s="100">
        <v>0.8</v>
      </c>
      <c r="Q92" s="50">
        <v>0.8</v>
      </c>
      <c r="R92" s="100">
        <v>0.8</v>
      </c>
      <c r="S92" s="50">
        <v>0.8</v>
      </c>
      <c r="T92" s="100">
        <v>0.8</v>
      </c>
      <c r="U92" s="52">
        <v>0.8</v>
      </c>
    </row>
    <row r="93" spans="1:21" x14ac:dyDescent="0.25">
      <c r="A93" s="37" t="s">
        <v>103</v>
      </c>
      <c r="B93" s="50">
        <v>0.31</v>
      </c>
      <c r="C93" s="50">
        <v>0.37</v>
      </c>
      <c r="D93" s="50">
        <v>0.7</v>
      </c>
      <c r="E93" s="15"/>
      <c r="F93" s="100">
        <v>0.7</v>
      </c>
      <c r="G93" s="50">
        <v>0.7</v>
      </c>
      <c r="H93" s="100">
        <v>0.7</v>
      </c>
      <c r="I93" s="100">
        <v>0.7</v>
      </c>
      <c r="J93" s="100">
        <v>0.7</v>
      </c>
      <c r="K93" s="50">
        <v>0.7</v>
      </c>
      <c r="L93" s="100">
        <v>0.7</v>
      </c>
      <c r="M93" s="100">
        <v>0.7</v>
      </c>
      <c r="N93" s="100">
        <v>0.7</v>
      </c>
      <c r="O93" s="50">
        <v>0.7</v>
      </c>
      <c r="P93" s="100">
        <v>0.7</v>
      </c>
      <c r="Q93" s="50">
        <v>0.7</v>
      </c>
      <c r="R93" s="100">
        <v>0.7</v>
      </c>
      <c r="S93" s="50">
        <v>0.7</v>
      </c>
      <c r="T93" s="100">
        <v>0.7</v>
      </c>
      <c r="U93" s="52">
        <v>0.7</v>
      </c>
    </row>
    <row r="94" spans="1:21" x14ac:dyDescent="0.25">
      <c r="A94" s="37" t="s">
        <v>104</v>
      </c>
      <c r="B94" s="50">
        <v>-0.03</v>
      </c>
      <c r="C94" s="50">
        <v>0.44</v>
      </c>
      <c r="D94" s="50">
        <v>0.3</v>
      </c>
      <c r="E94" s="15"/>
      <c r="F94" s="100">
        <v>0.3</v>
      </c>
      <c r="G94" s="50">
        <v>0.3</v>
      </c>
      <c r="H94" s="100">
        <v>0.3</v>
      </c>
      <c r="I94" s="100">
        <v>0.3</v>
      </c>
      <c r="J94" s="100">
        <v>0.3</v>
      </c>
      <c r="K94" s="50">
        <v>0.3</v>
      </c>
      <c r="L94" s="100">
        <v>0.3</v>
      </c>
      <c r="M94" s="100">
        <v>0.3</v>
      </c>
      <c r="N94" s="100">
        <v>0.3</v>
      </c>
      <c r="O94" s="50">
        <v>0.3</v>
      </c>
      <c r="P94" s="100">
        <v>0.3</v>
      </c>
      <c r="Q94" s="50">
        <v>0.3</v>
      </c>
      <c r="R94" s="100">
        <v>0.3</v>
      </c>
      <c r="S94" s="50">
        <v>0.3</v>
      </c>
      <c r="T94" s="100">
        <v>0.3</v>
      </c>
      <c r="U94" s="52">
        <v>0.3</v>
      </c>
    </row>
    <row r="95" spans="1:21" x14ac:dyDescent="0.25">
      <c r="A95" s="37" t="s">
        <v>105</v>
      </c>
      <c r="B95" s="50">
        <v>0.08</v>
      </c>
      <c r="C95" s="50">
        <v>0.12</v>
      </c>
      <c r="D95" s="50">
        <v>1.6</v>
      </c>
      <c r="E95" s="15"/>
      <c r="F95" s="100">
        <v>1.6</v>
      </c>
      <c r="G95" s="50">
        <v>1.6</v>
      </c>
      <c r="H95" s="100">
        <v>1.6</v>
      </c>
      <c r="I95" s="100">
        <v>1.6</v>
      </c>
      <c r="J95" s="100">
        <v>1.6</v>
      </c>
      <c r="K95" s="50">
        <v>1.6</v>
      </c>
      <c r="L95" s="100">
        <v>1.6</v>
      </c>
      <c r="M95" s="100">
        <v>1.6</v>
      </c>
      <c r="N95" s="100">
        <v>1.6</v>
      </c>
      <c r="O95" s="50">
        <v>1.6</v>
      </c>
      <c r="P95" s="100">
        <v>1.6</v>
      </c>
      <c r="Q95" s="50">
        <v>1.6</v>
      </c>
      <c r="R95" s="100">
        <v>1.6</v>
      </c>
      <c r="S95" s="50">
        <v>1.6</v>
      </c>
      <c r="T95" s="100">
        <v>1.6</v>
      </c>
      <c r="U95" s="52">
        <v>1.6</v>
      </c>
    </row>
    <row r="96" spans="1:21" x14ac:dyDescent="0.25">
      <c r="A96" s="37" t="s">
        <v>106</v>
      </c>
      <c r="B96" s="50">
        <v>-0.04</v>
      </c>
      <c r="C96" s="50">
        <v>-0.32</v>
      </c>
      <c r="D96" s="50">
        <v>1.8</v>
      </c>
      <c r="E96" s="15"/>
      <c r="F96" s="100">
        <v>1.8</v>
      </c>
      <c r="G96" s="50">
        <v>1.8</v>
      </c>
      <c r="H96" s="100">
        <v>1.8</v>
      </c>
      <c r="I96" s="100">
        <v>1.8</v>
      </c>
      <c r="J96" s="100">
        <v>1.8</v>
      </c>
      <c r="K96" s="50">
        <v>1.8</v>
      </c>
      <c r="L96" s="100">
        <v>1.8</v>
      </c>
      <c r="M96" s="100">
        <v>1.8</v>
      </c>
      <c r="N96" s="100">
        <v>1.8</v>
      </c>
      <c r="O96" s="50">
        <v>1.8</v>
      </c>
      <c r="P96" s="100">
        <v>1.8</v>
      </c>
      <c r="Q96" s="50">
        <v>1.8</v>
      </c>
      <c r="R96" s="100">
        <v>1.8</v>
      </c>
      <c r="S96" s="50">
        <v>1.8</v>
      </c>
      <c r="T96" s="100">
        <v>1.8</v>
      </c>
      <c r="U96" s="52">
        <v>1.8</v>
      </c>
    </row>
    <row r="97" spans="1:21" x14ac:dyDescent="0.25">
      <c r="A97" s="37"/>
      <c r="B97" s="50"/>
      <c r="C97" s="50"/>
      <c r="D97" s="50"/>
      <c r="E97" s="15"/>
      <c r="F97" s="100"/>
      <c r="G97" s="50"/>
      <c r="H97" s="100"/>
      <c r="I97" s="100"/>
      <c r="J97" s="100"/>
      <c r="K97" s="50"/>
      <c r="L97" s="100"/>
      <c r="M97" s="100"/>
      <c r="N97" s="100"/>
      <c r="O97" s="50"/>
      <c r="P97" s="100"/>
      <c r="Q97" s="50"/>
      <c r="R97" s="100"/>
      <c r="S97" s="50"/>
      <c r="T97" s="100"/>
      <c r="U97" s="52"/>
    </row>
    <row r="98" spans="1:21" x14ac:dyDescent="0.25">
      <c r="A98" s="37" t="s">
        <v>53</v>
      </c>
      <c r="B98" s="50"/>
      <c r="C98" s="50"/>
      <c r="D98" s="50"/>
      <c r="E98" s="15"/>
      <c r="F98" s="100"/>
      <c r="G98" s="50"/>
      <c r="H98" s="100"/>
      <c r="I98" s="100"/>
      <c r="J98" s="100"/>
      <c r="K98" s="50"/>
      <c r="L98" s="100"/>
      <c r="M98" s="100"/>
      <c r="N98" s="100"/>
      <c r="O98" s="50"/>
      <c r="P98" s="100"/>
      <c r="Q98" s="50"/>
      <c r="R98" s="100"/>
      <c r="S98" s="50"/>
      <c r="T98" s="100"/>
      <c r="U98" s="52"/>
    </row>
    <row r="99" spans="1:21" x14ac:dyDescent="0.25">
      <c r="A99" s="37" t="s">
        <v>107</v>
      </c>
      <c r="B99" s="50">
        <v>0.04</v>
      </c>
      <c r="C99" s="50">
        <v>-0.31</v>
      </c>
      <c r="D99" s="50">
        <v>0.6</v>
      </c>
      <c r="E99" s="15"/>
      <c r="F99" s="100">
        <v>0.6</v>
      </c>
      <c r="G99" s="50">
        <v>0.6</v>
      </c>
      <c r="H99" s="100">
        <v>0.6</v>
      </c>
      <c r="I99" s="100">
        <v>0.6</v>
      </c>
      <c r="J99" s="100">
        <v>0.6</v>
      </c>
      <c r="K99" s="50">
        <v>0.6</v>
      </c>
      <c r="L99" s="100">
        <v>0.6</v>
      </c>
      <c r="M99" s="100">
        <v>0.6</v>
      </c>
      <c r="N99" s="100">
        <v>0.6</v>
      </c>
      <c r="O99" s="50">
        <v>0.6</v>
      </c>
      <c r="P99" s="100">
        <v>0.6</v>
      </c>
      <c r="Q99" s="50">
        <v>0.6</v>
      </c>
      <c r="R99" s="100">
        <v>0.6</v>
      </c>
      <c r="S99" s="50">
        <v>0.6</v>
      </c>
      <c r="T99" s="100">
        <v>0.6</v>
      </c>
      <c r="U99" s="52">
        <v>0.6</v>
      </c>
    </row>
    <row r="100" spans="1:21" x14ac:dyDescent="0.25">
      <c r="A100" s="37" t="s">
        <v>108</v>
      </c>
      <c r="B100" s="50">
        <v>7.0000000000000007E-2</v>
      </c>
      <c r="C100" s="50">
        <v>-0.03</v>
      </c>
      <c r="D100" s="50">
        <v>1.2</v>
      </c>
      <c r="E100" s="15"/>
      <c r="F100" s="100">
        <v>1.2</v>
      </c>
      <c r="G100" s="50">
        <v>1.2</v>
      </c>
      <c r="H100" s="100">
        <v>1.2</v>
      </c>
      <c r="I100" s="100">
        <v>1.2</v>
      </c>
      <c r="J100" s="100">
        <v>1.2</v>
      </c>
      <c r="K100" s="50">
        <v>1.2</v>
      </c>
      <c r="L100" s="100">
        <v>1.2</v>
      </c>
      <c r="M100" s="100">
        <v>1.2</v>
      </c>
      <c r="N100" s="100">
        <v>1.2</v>
      </c>
      <c r="O100" s="50">
        <v>1.2</v>
      </c>
      <c r="P100" s="100">
        <v>1.2</v>
      </c>
      <c r="Q100" s="50">
        <v>1.2</v>
      </c>
      <c r="R100" s="100">
        <v>1.2</v>
      </c>
      <c r="S100" s="50">
        <v>1.2</v>
      </c>
      <c r="T100" s="100">
        <v>1.2</v>
      </c>
      <c r="U100" s="52">
        <v>1.2</v>
      </c>
    </row>
    <row r="101" spans="1:21" x14ac:dyDescent="0.25">
      <c r="A101" s="37" t="s">
        <v>109</v>
      </c>
      <c r="B101" s="50">
        <v>-0.12</v>
      </c>
      <c r="C101" s="50">
        <v>-0.14000000000000001</v>
      </c>
      <c r="D101" s="50">
        <v>1.5</v>
      </c>
      <c r="E101" s="15"/>
      <c r="F101" s="100">
        <v>1.5</v>
      </c>
      <c r="G101" s="50">
        <v>1.5</v>
      </c>
      <c r="H101" s="100">
        <v>1.5</v>
      </c>
      <c r="I101" s="100">
        <v>1.5</v>
      </c>
      <c r="J101" s="100">
        <v>1.5</v>
      </c>
      <c r="K101" s="50">
        <v>1.5</v>
      </c>
      <c r="L101" s="100">
        <v>1.5</v>
      </c>
      <c r="M101" s="100">
        <v>1.5</v>
      </c>
      <c r="N101" s="100">
        <v>1.5</v>
      </c>
      <c r="O101" s="50">
        <v>1.5</v>
      </c>
      <c r="P101" s="100">
        <v>1.5</v>
      </c>
      <c r="Q101" s="50">
        <v>1.5</v>
      </c>
      <c r="R101" s="100">
        <v>1.5</v>
      </c>
      <c r="S101" s="50">
        <v>1.5</v>
      </c>
      <c r="T101" s="100">
        <v>1.5</v>
      </c>
      <c r="U101" s="52">
        <v>1.5</v>
      </c>
    </row>
    <row r="102" spans="1:21" x14ac:dyDescent="0.25">
      <c r="A102" s="37"/>
      <c r="B102" s="50"/>
      <c r="C102" s="50"/>
      <c r="D102" s="50"/>
      <c r="E102" s="15"/>
      <c r="F102" s="100"/>
      <c r="G102" s="50"/>
      <c r="H102" s="100"/>
      <c r="I102" s="100"/>
      <c r="J102" s="100"/>
      <c r="K102" s="50"/>
      <c r="L102" s="100"/>
      <c r="M102" s="100"/>
      <c r="N102" s="100"/>
      <c r="O102" s="50"/>
      <c r="P102" s="100"/>
      <c r="Q102" s="50"/>
      <c r="R102" s="100"/>
      <c r="S102" s="50"/>
      <c r="T102" s="100"/>
      <c r="U102" s="52"/>
    </row>
    <row r="103" spans="1:21" x14ac:dyDescent="0.25">
      <c r="A103" s="37" t="s">
        <v>57</v>
      </c>
      <c r="B103" s="50">
        <v>0.98299999999999998</v>
      </c>
      <c r="C103" s="50">
        <v>1.3049999999999999</v>
      </c>
      <c r="D103" s="50">
        <v>1</v>
      </c>
      <c r="E103" s="15"/>
      <c r="F103" s="100">
        <v>1</v>
      </c>
      <c r="G103" s="50">
        <v>1</v>
      </c>
      <c r="H103" s="100">
        <v>1</v>
      </c>
      <c r="I103" s="100">
        <v>1</v>
      </c>
      <c r="J103" s="100">
        <v>1</v>
      </c>
      <c r="K103" s="50">
        <v>1</v>
      </c>
      <c r="L103" s="100">
        <v>1</v>
      </c>
      <c r="M103" s="100">
        <v>1</v>
      </c>
      <c r="N103" s="100">
        <v>1</v>
      </c>
      <c r="O103" s="50">
        <v>1</v>
      </c>
      <c r="P103" s="100">
        <v>1</v>
      </c>
      <c r="Q103" s="50">
        <v>1</v>
      </c>
      <c r="R103" s="100">
        <v>1</v>
      </c>
      <c r="S103" s="50">
        <v>1</v>
      </c>
      <c r="T103" s="100">
        <v>1</v>
      </c>
      <c r="U103" s="52">
        <v>1</v>
      </c>
    </row>
    <row r="104" spans="1:21" x14ac:dyDescent="0.25">
      <c r="A104" s="37"/>
      <c r="B104" s="50"/>
      <c r="C104" s="50"/>
      <c r="D104" s="50"/>
      <c r="E104" s="15"/>
      <c r="F104" s="100"/>
      <c r="G104" s="50"/>
      <c r="H104" s="100"/>
      <c r="I104" s="100"/>
      <c r="J104" s="100"/>
      <c r="K104" s="50"/>
      <c r="L104" s="100"/>
      <c r="M104" s="100"/>
      <c r="N104" s="100"/>
      <c r="O104" s="50"/>
      <c r="P104" s="100"/>
      <c r="Q104" s="50"/>
      <c r="R104" s="100"/>
      <c r="S104" s="50"/>
      <c r="T104" s="100"/>
      <c r="U104" s="52"/>
    </row>
    <row r="105" spans="1:21" x14ac:dyDescent="0.25">
      <c r="A105" s="37" t="s">
        <v>186</v>
      </c>
      <c r="B105" s="50"/>
      <c r="C105" s="50"/>
      <c r="D105" s="50"/>
      <c r="E105" s="15"/>
      <c r="F105" s="100"/>
      <c r="G105" s="50"/>
      <c r="H105" s="100"/>
      <c r="I105" s="100"/>
      <c r="J105" s="100"/>
      <c r="K105" s="50"/>
      <c r="L105" s="100"/>
      <c r="M105" s="100"/>
      <c r="N105" s="100"/>
      <c r="O105" s="50"/>
      <c r="P105" s="100"/>
      <c r="Q105" s="50"/>
      <c r="R105" s="100"/>
      <c r="S105" s="50"/>
      <c r="T105" s="100"/>
      <c r="U105" s="52"/>
    </row>
    <row r="106" spans="1:21" x14ac:dyDescent="0.25">
      <c r="A106" s="37" t="s">
        <v>138</v>
      </c>
      <c r="B106" s="50"/>
      <c r="C106" s="50"/>
      <c r="D106" s="123">
        <f t="shared" ref="D106:D107" si="0">1/(1+EXP(-D110))</f>
        <v>0.78650740678695175</v>
      </c>
      <c r="E106" s="332"/>
      <c r="F106" s="120">
        <f t="shared" ref="F106:U107" si="1">1/(1+EXP(-F110))</f>
        <v>0.82835309246108124</v>
      </c>
      <c r="G106" s="123">
        <f t="shared" si="1"/>
        <v>0.65565710549848433</v>
      </c>
      <c r="H106" s="120">
        <f t="shared" si="1"/>
        <v>0.7994723812479857</v>
      </c>
      <c r="I106" s="120">
        <f t="shared" si="1"/>
        <v>0.78633944517284593</v>
      </c>
      <c r="J106" s="120">
        <f t="shared" si="1"/>
        <v>0.76005845251604098</v>
      </c>
      <c r="K106" s="123">
        <f t="shared" si="1"/>
        <v>0.7053695519334261</v>
      </c>
      <c r="L106" s="120">
        <f t="shared" si="1"/>
        <v>0.79786441630807936</v>
      </c>
      <c r="M106" s="120">
        <f t="shared" si="1"/>
        <v>0.78465453743687641</v>
      </c>
      <c r="N106" s="120">
        <f t="shared" si="1"/>
        <v>0.79786441630807936</v>
      </c>
      <c r="O106" s="123">
        <f t="shared" si="1"/>
        <v>0.74894622011147383</v>
      </c>
      <c r="P106" s="120">
        <f t="shared" si="1"/>
        <v>0.77206354942678368</v>
      </c>
      <c r="Q106" s="123">
        <f t="shared" si="1"/>
        <v>0.79575969771590827</v>
      </c>
      <c r="R106" s="120">
        <f t="shared" si="1"/>
        <v>0.81092012271281078</v>
      </c>
      <c r="S106" s="123">
        <f t="shared" si="1"/>
        <v>0.74573627440045054</v>
      </c>
      <c r="T106" s="120">
        <f t="shared" si="1"/>
        <v>0.80798965431168246</v>
      </c>
      <c r="U106" s="121">
        <f t="shared" si="1"/>
        <v>0.77678011482675302</v>
      </c>
    </row>
    <row r="107" spans="1:21" x14ac:dyDescent="0.25">
      <c r="A107" s="37" t="s">
        <v>139</v>
      </c>
      <c r="B107" s="50"/>
      <c r="C107" s="50"/>
      <c r="D107" s="123">
        <f t="shared" si="0"/>
        <v>0.65836127236121422</v>
      </c>
      <c r="E107" s="332"/>
      <c r="F107" s="120">
        <f t="shared" si="1"/>
        <v>0.83875585176112177</v>
      </c>
      <c r="G107" s="123">
        <f t="shared" si="1"/>
        <v>0.36331611060163677</v>
      </c>
      <c r="H107" s="120">
        <f t="shared" si="1"/>
        <v>0.72352205970008088</v>
      </c>
      <c r="I107" s="120">
        <f t="shared" si="1"/>
        <v>0.62994945929117063</v>
      </c>
      <c r="J107" s="120">
        <f t="shared" si="1"/>
        <v>0.51299707145854168</v>
      </c>
      <c r="K107" s="123">
        <f t="shared" si="1"/>
        <v>0.45313794314093542</v>
      </c>
      <c r="L107" s="120">
        <f t="shared" si="1"/>
        <v>0.72948277875168943</v>
      </c>
      <c r="M107" s="120">
        <f t="shared" si="1"/>
        <v>0.63691517528041441</v>
      </c>
      <c r="N107" s="120">
        <f t="shared" si="1"/>
        <v>0.65067328057921481</v>
      </c>
      <c r="O107" s="123">
        <f t="shared" si="1"/>
        <v>0.59435538790729825</v>
      </c>
      <c r="P107" s="198">
        <f>D33</f>
        <v>0</v>
      </c>
      <c r="Q107" s="123">
        <f>1/(1+EXP(-Q111))</f>
        <v>0.60730549917522736</v>
      </c>
      <c r="R107" s="120">
        <f t="shared" si="1"/>
        <v>0.66105518119341589</v>
      </c>
      <c r="S107" s="123">
        <f t="shared" si="1"/>
        <v>0.65430121805200536</v>
      </c>
      <c r="T107" s="120">
        <f t="shared" si="1"/>
        <v>0.7253187741239433</v>
      </c>
      <c r="U107" s="121">
        <f t="shared" si="1"/>
        <v>0.62738157001161543</v>
      </c>
    </row>
    <row r="108" spans="1:21" x14ac:dyDescent="0.25">
      <c r="A108" s="37"/>
      <c r="B108" s="50"/>
      <c r="C108" s="50"/>
      <c r="D108" s="50"/>
      <c r="E108" s="15"/>
      <c r="F108" s="100"/>
      <c r="G108" s="50"/>
      <c r="H108" s="100"/>
      <c r="I108" s="100"/>
      <c r="J108" s="100"/>
      <c r="K108" s="50"/>
      <c r="L108" s="100"/>
      <c r="M108" s="100"/>
      <c r="N108" s="100"/>
      <c r="O108" s="50"/>
      <c r="P108" s="100"/>
      <c r="Q108" s="50"/>
      <c r="R108" s="100"/>
      <c r="S108" s="50"/>
      <c r="T108" s="100"/>
      <c r="U108" s="52"/>
    </row>
    <row r="109" spans="1:21" x14ac:dyDescent="0.25">
      <c r="A109" s="37" t="s">
        <v>140</v>
      </c>
      <c r="B109" s="50"/>
      <c r="C109" s="50"/>
      <c r="D109" s="50"/>
      <c r="E109" s="15"/>
      <c r="F109" s="100"/>
      <c r="G109" s="50"/>
      <c r="H109" s="100"/>
      <c r="I109" s="100"/>
      <c r="J109" s="100"/>
      <c r="K109" s="50"/>
      <c r="L109" s="100"/>
      <c r="M109" s="100"/>
      <c r="N109" s="100"/>
      <c r="O109" s="50"/>
      <c r="P109" s="100"/>
      <c r="Q109" s="50"/>
      <c r="R109" s="100"/>
      <c r="S109" s="50"/>
      <c r="T109" s="100"/>
      <c r="U109" s="52"/>
    </row>
    <row r="110" spans="1:21" x14ac:dyDescent="0.25">
      <c r="A110" s="37" t="s">
        <v>141</v>
      </c>
      <c r="B110" s="50"/>
      <c r="C110" s="50"/>
      <c r="D110" s="50">
        <f t="array" ref="D110">SUM($B78:$B103*D78:D103)</f>
        <v>1.304</v>
      </c>
      <c r="E110" s="15"/>
      <c r="F110" s="100">
        <f t="array" ref="F110">SUM($B78:$B103*F78:F103)</f>
        <v>1.5739999999999998</v>
      </c>
      <c r="G110" s="50">
        <f t="array" ref="G110">SUM($B78:$B103*G78:G103)</f>
        <v>0.64399999999999991</v>
      </c>
      <c r="H110" s="100">
        <f t="array" ref="H110">SUM($B78:$B103*H78:H103)</f>
        <v>1.383</v>
      </c>
      <c r="I110" s="100">
        <f t="array" ref="I110">SUM($B78:$B103*I78:I103)</f>
        <v>1.3029999999999999</v>
      </c>
      <c r="J110" s="100">
        <f t="array" ref="J110">SUM($B78:$B103*J78:J103)</f>
        <v>1.153</v>
      </c>
      <c r="K110" s="50">
        <f t="array" ref="K110">SUM($B78:$B103*K78:K103)</f>
        <v>0.873</v>
      </c>
      <c r="L110" s="100">
        <f t="array" ref="L110">SUM($B78:$B103*L78:L103)</f>
        <v>1.373</v>
      </c>
      <c r="M110" s="100">
        <f t="array" ref="M110">SUM($B78:$B103*M78:M103)</f>
        <v>1.2929999999999999</v>
      </c>
      <c r="N110" s="100">
        <f t="array" ref="N110">SUM($B78:$B103*N78:N103)</f>
        <v>1.373</v>
      </c>
      <c r="O110" s="50">
        <f t="array" ref="O110">SUM($B78:$B103*O78:O103)</f>
        <v>1.093</v>
      </c>
      <c r="P110" s="100">
        <f t="array" ref="P110">SUM($B78:$B103*P78:P103)</f>
        <v>1.22</v>
      </c>
      <c r="Q110" s="50">
        <f t="array" ref="Q110">SUM($B78:$B103*Q78:Q103)</f>
        <v>1.3599999999999999</v>
      </c>
      <c r="R110" s="100">
        <f t="array" ref="R110">SUM($B78:$B103*R78:R103)</f>
        <v>1.456</v>
      </c>
      <c r="S110" s="50">
        <f t="array" ref="S110">SUM($B78:$B103*S78:S103)</f>
        <v>1.0760000000000001</v>
      </c>
      <c r="T110" s="100">
        <f t="array" ref="T110">SUM($B78:$B103*T78:T103)</f>
        <v>1.4370000000000001</v>
      </c>
      <c r="U110" s="52">
        <f t="array" ref="U110">SUM($B78:$B103*U78:U103)</f>
        <v>1.2469999999999999</v>
      </c>
    </row>
    <row r="111" spans="1:21" ht="13" thickBot="1" x14ac:dyDescent="0.3">
      <c r="A111" s="41" t="s">
        <v>142</v>
      </c>
      <c r="B111" s="51"/>
      <c r="C111" s="51"/>
      <c r="D111" s="51">
        <f t="array" ref="D111">SUM($C78:$C103*D78:D103)</f>
        <v>0.65599999999999992</v>
      </c>
      <c r="E111" s="40"/>
      <c r="F111" s="119">
        <f t="array" ref="F111">SUM($C78:$C103*F78:F103)</f>
        <v>1.649</v>
      </c>
      <c r="G111" s="51">
        <f t="array" ref="G111">SUM($C78:$C103*G78:G103)</f>
        <v>-0.56099999999999994</v>
      </c>
      <c r="H111" s="119">
        <f t="array" ref="H111">SUM($C78:$C103*H78:H103)</f>
        <v>0.96199999999999986</v>
      </c>
      <c r="I111" s="119">
        <f t="array" ref="I111">SUM($C78:$C103*I78:I103)</f>
        <v>0.53199999999999981</v>
      </c>
      <c r="J111" s="119">
        <f t="array" ref="J111">SUM($C78:$C103*J78:J103)</f>
        <v>5.1999999999999824E-2</v>
      </c>
      <c r="K111" s="51">
        <f t="array" ref="K111">SUM($C78:$C103*K78:K103)</f>
        <v>-0.18799999999999994</v>
      </c>
      <c r="L111" s="119">
        <f t="array" ref="L111">SUM($C78:$C103*L78:L103)</f>
        <v>0.99199999999999988</v>
      </c>
      <c r="M111" s="119">
        <f t="array" ref="M111">SUM($C78:$C103*M78:M103)</f>
        <v>0.56199999999999983</v>
      </c>
      <c r="N111" s="119">
        <f t="array" ref="N111">SUM($C78:$C103*N78:N103)</f>
        <v>0.62199999999999989</v>
      </c>
      <c r="O111" s="51">
        <f t="array" ref="O111">SUM($C78:$C103*O78:O103)</f>
        <v>0.38200000000000012</v>
      </c>
      <c r="P111" s="329">
        <f>H33</f>
        <v>0</v>
      </c>
      <c r="Q111" s="51">
        <f t="array" ref="Q111">SUM(C78:C103*Q78:Q103)</f>
        <v>0.43599999999999994</v>
      </c>
      <c r="R111" s="119">
        <f t="array" ref="R111">SUM($C78:$C103*R78:R103)</f>
        <v>0.66799999999999993</v>
      </c>
      <c r="S111" s="51">
        <f t="array" ref="S111">SUM($C78:$C103*S78:S103)</f>
        <v>0.6379999999999999</v>
      </c>
      <c r="T111" s="119">
        <f t="array" ref="T111">SUM($C78:$C103*T78:T103)</f>
        <v>0.97099999999999986</v>
      </c>
      <c r="U111" s="62">
        <f t="array" ref="U111">SUM($C78:$C103*U78:U103)</f>
        <v>0.52099999999999991</v>
      </c>
    </row>
    <row r="114" spans="1:1" ht="13" x14ac:dyDescent="0.3">
      <c r="A114" s="1" t="s">
        <v>81</v>
      </c>
    </row>
  </sheetData>
  <pageMargins left="0.22" right="0.25" top="1" bottom="0.7" header="0.5" footer="0.5"/>
  <pageSetup scale="86" orientation="landscape" horizontalDpi="4294967292" verticalDpi="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"/>
  <sheetViews>
    <sheetView topLeftCell="C20" zoomScale="75" workbookViewId="0">
      <selection activeCell="K35" sqref="K35"/>
    </sheetView>
  </sheetViews>
  <sheetFormatPr defaultRowHeight="12.5" x14ac:dyDescent="0.25"/>
  <cols>
    <col min="1" max="1" width="44.08984375" customWidth="1"/>
    <col min="2" max="2" width="9.6328125" customWidth="1"/>
    <col min="3" max="3" width="9.1796875" customWidth="1"/>
    <col min="4" max="4" width="11.36328125" customWidth="1"/>
    <col min="5" max="5" width="10.453125" customWidth="1"/>
    <col min="6" max="6" width="11.54296875" customWidth="1"/>
    <col min="7" max="7" width="9.453125" customWidth="1"/>
    <col min="8" max="8" width="9.90625" customWidth="1"/>
    <col min="9" max="9" width="22.54296875" customWidth="1"/>
    <col min="10" max="10" width="8.6328125" customWidth="1"/>
    <col min="11" max="11" width="8.81640625" customWidth="1"/>
    <col min="12" max="12" width="8.453125" customWidth="1"/>
    <col min="13" max="13" width="8" customWidth="1"/>
    <col min="14" max="14" width="8.54296875" customWidth="1"/>
    <col min="16" max="16" width="8.36328125" customWidth="1"/>
    <col min="17" max="17" width="8.54296875" customWidth="1"/>
    <col min="20" max="20" width="8.54296875" customWidth="1"/>
  </cols>
  <sheetData>
    <row r="1" spans="1:11" ht="13" x14ac:dyDescent="0.3">
      <c r="A1" s="35" t="s">
        <v>187</v>
      </c>
    </row>
    <row r="3" spans="1:11" ht="13.5" thickBot="1" x14ac:dyDescent="0.35">
      <c r="A3" s="1" t="s">
        <v>188</v>
      </c>
    </row>
    <row r="4" spans="1:11" ht="43.25" customHeight="1" x14ac:dyDescent="0.25">
      <c r="A4" s="205" t="s">
        <v>151</v>
      </c>
      <c r="B4" s="67" t="s">
        <v>189</v>
      </c>
      <c r="C4" s="206"/>
      <c r="D4" s="206"/>
      <c r="E4" s="206"/>
      <c r="F4" s="206"/>
      <c r="G4" s="206"/>
      <c r="H4" s="206"/>
      <c r="I4" s="333"/>
      <c r="J4" s="365" t="s">
        <v>190</v>
      </c>
      <c r="K4" s="317"/>
    </row>
    <row r="5" spans="1:11" ht="40.25" customHeight="1" x14ac:dyDescent="0.25">
      <c r="A5" s="37"/>
      <c r="B5" s="207" t="s">
        <v>191</v>
      </c>
      <c r="C5" s="208"/>
      <c r="D5" s="209" t="s">
        <v>192</v>
      </c>
      <c r="E5" s="101" t="s">
        <v>193</v>
      </c>
      <c r="F5" s="210" t="s">
        <v>194</v>
      </c>
      <c r="G5" s="207" t="s">
        <v>195</v>
      </c>
      <c r="H5" s="207"/>
      <c r="I5" s="208"/>
      <c r="J5" s="214" t="s">
        <v>21</v>
      </c>
      <c r="K5" s="215" t="s">
        <v>22</v>
      </c>
    </row>
    <row r="6" spans="1:11" x14ac:dyDescent="0.25">
      <c r="A6" s="39"/>
      <c r="B6" s="57" t="s">
        <v>196</v>
      </c>
      <c r="C6" s="57" t="s">
        <v>197</v>
      </c>
      <c r="D6" s="57" t="s">
        <v>198</v>
      </c>
      <c r="E6" s="213"/>
      <c r="F6" s="213"/>
      <c r="G6" s="57" t="s">
        <v>199</v>
      </c>
      <c r="H6" s="57" t="s">
        <v>200</v>
      </c>
      <c r="I6" s="57" t="s">
        <v>201</v>
      </c>
      <c r="J6" s="213"/>
      <c r="K6" s="212"/>
    </row>
    <row r="7" spans="1:11" x14ac:dyDescent="0.25">
      <c r="A7" s="216" t="s">
        <v>160</v>
      </c>
      <c r="B7" s="211"/>
      <c r="C7" s="211"/>
      <c r="D7" s="211"/>
      <c r="E7" s="211"/>
      <c r="F7" s="211"/>
      <c r="G7" s="211"/>
      <c r="H7" s="211"/>
      <c r="I7" s="211"/>
      <c r="J7" s="211"/>
      <c r="K7" s="212"/>
    </row>
    <row r="8" spans="1:11" x14ac:dyDescent="0.25">
      <c r="A8" s="39" t="s">
        <v>202</v>
      </c>
      <c r="B8" s="57" t="s">
        <v>164</v>
      </c>
      <c r="C8" s="57" t="s">
        <v>162</v>
      </c>
      <c r="D8" s="57" t="s">
        <v>162</v>
      </c>
      <c r="E8" s="57">
        <v>1</v>
      </c>
      <c r="F8" s="57">
        <v>3</v>
      </c>
      <c r="G8" s="57" t="s">
        <v>164</v>
      </c>
      <c r="H8" s="310">
        <v>2</v>
      </c>
      <c r="I8" s="310">
        <v>3</v>
      </c>
      <c r="J8" s="217">
        <f>F77</f>
        <v>0.71053832867349631</v>
      </c>
      <c r="K8" s="218">
        <f>F78</f>
        <v>0.34909945611971144</v>
      </c>
    </row>
    <row r="9" spans="1:11" x14ac:dyDescent="0.25">
      <c r="A9" s="39" t="s">
        <v>203</v>
      </c>
      <c r="B9" s="57" t="s">
        <v>162</v>
      </c>
      <c r="C9" s="57" t="s">
        <v>164</v>
      </c>
      <c r="D9" s="57" t="s">
        <v>164</v>
      </c>
      <c r="E9" s="57">
        <v>3</v>
      </c>
      <c r="F9" s="57">
        <v>0</v>
      </c>
      <c r="G9" s="57" t="s">
        <v>162</v>
      </c>
      <c r="H9" s="57">
        <v>0</v>
      </c>
      <c r="I9" s="57">
        <v>0</v>
      </c>
      <c r="J9" s="217">
        <f>G77</f>
        <v>0.83313352753972303</v>
      </c>
      <c r="K9" s="218">
        <f>G78</f>
        <v>0.92737171326632839</v>
      </c>
    </row>
    <row r="10" spans="1:11" x14ac:dyDescent="0.25">
      <c r="A10" s="219" t="s">
        <v>204</v>
      </c>
      <c r="B10" s="220"/>
      <c r="C10" s="220"/>
      <c r="D10" s="220"/>
      <c r="E10" s="220"/>
      <c r="F10" s="220"/>
      <c r="G10" s="220"/>
      <c r="H10" s="220"/>
      <c r="I10" s="220"/>
      <c r="J10" s="221"/>
      <c r="K10" s="222"/>
    </row>
    <row r="11" spans="1:11" x14ac:dyDescent="0.25">
      <c r="A11" s="223" t="s">
        <v>205</v>
      </c>
      <c r="B11" s="224" t="s">
        <v>206</v>
      </c>
      <c r="C11" s="225" t="s">
        <v>167</v>
      </c>
      <c r="D11" s="225"/>
      <c r="E11" s="225"/>
      <c r="F11" s="225"/>
      <c r="G11" s="225"/>
      <c r="H11" s="225"/>
      <c r="I11" s="226"/>
      <c r="J11" s="227">
        <f>H77</f>
        <v>0.78751315587746085</v>
      </c>
      <c r="K11" s="222">
        <f>H78</f>
        <v>0.64152747635343188</v>
      </c>
    </row>
    <row r="12" spans="1:11" x14ac:dyDescent="0.25">
      <c r="A12" s="223" t="s">
        <v>207</v>
      </c>
      <c r="B12" s="224" t="s">
        <v>162</v>
      </c>
      <c r="C12" s="225" t="s">
        <v>167</v>
      </c>
      <c r="D12" s="225"/>
      <c r="E12" s="225"/>
      <c r="F12" s="225"/>
      <c r="G12" s="225"/>
      <c r="H12" s="225"/>
      <c r="I12" s="226"/>
      <c r="J12" s="227">
        <f>I77</f>
        <v>0.78244977642311242</v>
      </c>
      <c r="K12" s="222">
        <f>I78</f>
        <v>0.72151721625143717</v>
      </c>
    </row>
    <row r="13" spans="1:11" x14ac:dyDescent="0.25">
      <c r="A13" s="228" t="s">
        <v>208</v>
      </c>
      <c r="B13" s="229"/>
      <c r="C13" s="229"/>
      <c r="D13" s="229"/>
      <c r="E13" s="229"/>
      <c r="F13" s="229"/>
      <c r="G13" s="229"/>
      <c r="H13" s="229"/>
      <c r="I13" s="229"/>
      <c r="J13" s="230"/>
      <c r="K13" s="231"/>
    </row>
    <row r="14" spans="1:11" x14ac:dyDescent="0.25">
      <c r="A14" s="232" t="s">
        <v>209</v>
      </c>
      <c r="B14" s="233" t="s">
        <v>167</v>
      </c>
      <c r="C14" s="233" t="s">
        <v>164</v>
      </c>
      <c r="D14" s="234" t="s">
        <v>167</v>
      </c>
      <c r="E14" s="234"/>
      <c r="F14" s="234"/>
      <c r="G14" s="234"/>
      <c r="H14" s="234"/>
      <c r="I14" s="235"/>
      <c r="J14" s="236">
        <f>J77</f>
        <v>0.80170740226401549</v>
      </c>
      <c r="K14" s="231">
        <f>J78</f>
        <v>0.68287157648877206</v>
      </c>
    </row>
    <row r="15" spans="1:11" x14ac:dyDescent="0.25">
      <c r="A15" s="232" t="s">
        <v>210</v>
      </c>
      <c r="B15" s="233" t="s">
        <v>167</v>
      </c>
      <c r="C15" s="233" t="s">
        <v>162</v>
      </c>
      <c r="D15" s="234" t="s">
        <v>167</v>
      </c>
      <c r="E15" s="234"/>
      <c r="F15" s="234"/>
      <c r="G15" s="234"/>
      <c r="H15" s="234"/>
      <c r="I15" s="235"/>
      <c r="J15" s="236">
        <f>K77</f>
        <v>0.74781638120929106</v>
      </c>
      <c r="K15" s="231">
        <f>K78</f>
        <v>0.59796666495599893</v>
      </c>
    </row>
    <row r="16" spans="1:11" x14ac:dyDescent="0.25">
      <c r="A16" s="237" t="s">
        <v>211</v>
      </c>
      <c r="B16" s="238"/>
      <c r="C16" s="238"/>
      <c r="D16" s="238"/>
      <c r="E16" s="238"/>
      <c r="F16" s="238"/>
      <c r="G16" s="238"/>
      <c r="H16" s="238"/>
      <c r="I16" s="238"/>
      <c r="J16" s="239"/>
      <c r="K16" s="240"/>
    </row>
    <row r="17" spans="1:11" x14ac:dyDescent="0.25">
      <c r="A17" s="241" t="s">
        <v>212</v>
      </c>
      <c r="B17" s="242" t="s">
        <v>167</v>
      </c>
      <c r="C17" s="243"/>
      <c r="D17" s="244" t="s">
        <v>164</v>
      </c>
      <c r="E17" s="242" t="s">
        <v>167</v>
      </c>
      <c r="F17" s="242"/>
      <c r="G17" s="242"/>
      <c r="H17" s="242"/>
      <c r="I17" s="243"/>
      <c r="J17" s="245">
        <f>L77</f>
        <v>0.78296001006569815</v>
      </c>
      <c r="K17" s="240">
        <f>L78</f>
        <v>0.72392195657289138</v>
      </c>
    </row>
    <row r="18" spans="1:11" x14ac:dyDescent="0.25">
      <c r="A18" s="241" t="s">
        <v>213</v>
      </c>
      <c r="B18" s="242" t="s">
        <v>167</v>
      </c>
      <c r="C18" s="243"/>
      <c r="D18" s="244" t="s">
        <v>162</v>
      </c>
      <c r="E18" s="242" t="s">
        <v>167</v>
      </c>
      <c r="F18" s="242"/>
      <c r="G18" s="242"/>
      <c r="H18" s="242"/>
      <c r="I18" s="243"/>
      <c r="J18" s="245">
        <f>M77</f>
        <v>0.78801473142816281</v>
      </c>
      <c r="K18" s="240">
        <f>M78</f>
        <v>0.62808262338885001</v>
      </c>
    </row>
    <row r="19" spans="1:11" x14ac:dyDescent="0.25">
      <c r="A19" s="246" t="s">
        <v>214</v>
      </c>
      <c r="B19" s="247"/>
      <c r="C19" s="247"/>
      <c r="D19" s="247"/>
      <c r="E19" s="247"/>
      <c r="F19" s="247"/>
      <c r="G19" s="247"/>
      <c r="H19" s="247"/>
      <c r="I19" s="247"/>
      <c r="J19" s="248"/>
      <c r="K19" s="249"/>
    </row>
    <row r="20" spans="1:11" x14ac:dyDescent="0.25">
      <c r="A20" s="250" t="s">
        <v>215</v>
      </c>
      <c r="B20" s="251" t="s">
        <v>167</v>
      </c>
      <c r="C20" s="251"/>
      <c r="D20" s="252"/>
      <c r="E20" s="253">
        <v>1</v>
      </c>
      <c r="F20" s="251" t="s">
        <v>167</v>
      </c>
      <c r="G20" s="251"/>
      <c r="H20" s="251"/>
      <c r="I20" s="251"/>
      <c r="J20" s="367">
        <f>N77</f>
        <v>0.77833676159189624</v>
      </c>
      <c r="K20" s="249">
        <f>N78</f>
        <v>0.64198728599563948</v>
      </c>
    </row>
    <row r="21" spans="1:11" x14ac:dyDescent="0.25">
      <c r="A21" s="250" t="s">
        <v>216</v>
      </c>
      <c r="B21" s="251" t="s">
        <v>167</v>
      </c>
      <c r="C21" s="251"/>
      <c r="D21" s="252"/>
      <c r="E21" s="253">
        <v>3</v>
      </c>
      <c r="F21" s="251" t="s">
        <v>167</v>
      </c>
      <c r="G21" s="251"/>
      <c r="H21" s="251"/>
      <c r="I21" s="251"/>
      <c r="J21" s="367">
        <f>O77</f>
        <v>0.80471057662526013</v>
      </c>
      <c r="K21" s="249">
        <f>O78</f>
        <v>0.69508476877080516</v>
      </c>
    </row>
    <row r="22" spans="1:11" x14ac:dyDescent="0.25">
      <c r="A22" s="263" t="s">
        <v>217</v>
      </c>
      <c r="B22" s="264"/>
      <c r="C22" s="264"/>
      <c r="D22" s="264"/>
      <c r="E22" s="264"/>
      <c r="F22" s="264"/>
      <c r="G22" s="264"/>
      <c r="H22" s="264"/>
      <c r="I22" s="264"/>
      <c r="J22" s="265"/>
      <c r="K22" s="266"/>
    </row>
    <row r="23" spans="1:11" x14ac:dyDescent="0.25">
      <c r="A23" s="267" t="s">
        <v>218</v>
      </c>
      <c r="B23" s="268" t="s">
        <v>167</v>
      </c>
      <c r="C23" s="268"/>
      <c r="D23" s="268"/>
      <c r="E23" s="269"/>
      <c r="F23" s="270">
        <v>0</v>
      </c>
      <c r="G23" s="268" t="s">
        <v>167</v>
      </c>
      <c r="H23" s="268"/>
      <c r="I23" s="269"/>
      <c r="J23" s="271">
        <f>P77</f>
        <v>0.79834781435279389</v>
      </c>
      <c r="K23" s="266">
        <f>P78</f>
        <v>0.77416842933597441</v>
      </c>
    </row>
    <row r="24" spans="1:11" x14ac:dyDescent="0.25">
      <c r="A24" s="267" t="s">
        <v>219</v>
      </c>
      <c r="B24" s="268" t="s">
        <v>167</v>
      </c>
      <c r="C24" s="268"/>
      <c r="D24" s="268"/>
      <c r="E24" s="269"/>
      <c r="F24" s="270">
        <v>1</v>
      </c>
      <c r="G24" s="268" t="s">
        <v>167</v>
      </c>
      <c r="H24" s="268"/>
      <c r="I24" s="269"/>
      <c r="J24" s="271">
        <f>Q77</f>
        <v>0.79183137328358377</v>
      </c>
      <c r="K24" s="266">
        <f>Q78</f>
        <v>0.71340925020586576</v>
      </c>
    </row>
    <row r="25" spans="1:11" x14ac:dyDescent="0.25">
      <c r="A25" s="267" t="s">
        <v>220</v>
      </c>
      <c r="B25" s="268" t="s">
        <v>167</v>
      </c>
      <c r="C25" s="268"/>
      <c r="D25" s="268"/>
      <c r="E25" s="269"/>
      <c r="F25" s="270">
        <v>3</v>
      </c>
      <c r="G25" s="268" t="s">
        <v>167</v>
      </c>
      <c r="H25" s="268"/>
      <c r="I25" s="269"/>
      <c r="J25" s="271">
        <f>R77</f>
        <v>0.77833676159189624</v>
      </c>
      <c r="K25" s="266">
        <f>R78</f>
        <v>0.56758383601003737</v>
      </c>
    </row>
    <row r="26" spans="1:11" x14ac:dyDescent="0.25">
      <c r="A26" s="272" t="s">
        <v>221</v>
      </c>
      <c r="B26" s="273"/>
      <c r="C26" s="273"/>
      <c r="D26" s="273"/>
      <c r="E26" s="273"/>
      <c r="F26" s="273"/>
      <c r="G26" s="273"/>
      <c r="H26" s="273"/>
      <c r="I26" s="273"/>
      <c r="J26" s="274"/>
      <c r="K26" s="275"/>
    </row>
    <row r="27" spans="1:11" x14ac:dyDescent="0.25">
      <c r="A27" s="276" t="s">
        <v>222</v>
      </c>
      <c r="B27" s="277" t="s">
        <v>167</v>
      </c>
      <c r="C27" s="277"/>
      <c r="D27" s="277"/>
      <c r="E27" s="277"/>
      <c r="F27" s="278"/>
      <c r="G27" s="279" t="s">
        <v>164</v>
      </c>
      <c r="H27" s="277" t="s">
        <v>167</v>
      </c>
      <c r="I27" s="278"/>
      <c r="J27" s="280">
        <f>S77</f>
        <v>0.78918170652225283</v>
      </c>
      <c r="K27" s="275">
        <f>S78</f>
        <v>0.62994945929117085</v>
      </c>
    </row>
    <row r="28" spans="1:11" x14ac:dyDescent="0.25">
      <c r="A28" s="276" t="s">
        <v>223</v>
      </c>
      <c r="B28" s="277" t="s">
        <v>167</v>
      </c>
      <c r="C28" s="277"/>
      <c r="D28" s="277"/>
      <c r="E28" s="277"/>
      <c r="F28" s="278"/>
      <c r="G28" s="279" t="s">
        <v>162</v>
      </c>
      <c r="H28" s="277" t="s">
        <v>167</v>
      </c>
      <c r="I28" s="278"/>
      <c r="J28" s="280">
        <f>T77</f>
        <v>0.78244977642311242</v>
      </c>
      <c r="K28" s="275">
        <f>T78</f>
        <v>0.69888627184838226</v>
      </c>
    </row>
    <row r="29" spans="1:11" x14ac:dyDescent="0.25">
      <c r="A29" s="281" t="s">
        <v>224</v>
      </c>
      <c r="B29" s="282"/>
      <c r="C29" s="282"/>
      <c r="D29" s="282"/>
      <c r="E29" s="282"/>
      <c r="F29" s="282"/>
      <c r="G29" s="282"/>
      <c r="H29" s="282"/>
      <c r="I29" s="282"/>
      <c r="J29" s="283"/>
      <c r="K29" s="284"/>
    </row>
    <row r="30" spans="1:11" x14ac:dyDescent="0.25">
      <c r="A30" s="285" t="s">
        <v>225</v>
      </c>
      <c r="B30" s="286" t="s">
        <v>167</v>
      </c>
      <c r="C30" s="286"/>
      <c r="D30" s="286"/>
      <c r="E30" s="286"/>
      <c r="F30" s="286"/>
      <c r="G30" s="287"/>
      <c r="H30" s="288">
        <v>0</v>
      </c>
      <c r="I30" s="288" t="s">
        <v>167</v>
      </c>
      <c r="J30" s="289">
        <f>U77</f>
        <v>0.77206354942678368</v>
      </c>
      <c r="K30" s="284">
        <f>U78</f>
        <v>0.66641168893039138</v>
      </c>
    </row>
    <row r="31" spans="1:11" x14ac:dyDescent="0.25">
      <c r="A31" s="285" t="s">
        <v>226</v>
      </c>
      <c r="B31" s="286" t="s">
        <v>167</v>
      </c>
      <c r="C31" s="286"/>
      <c r="D31" s="286"/>
      <c r="E31" s="286"/>
      <c r="F31" s="286"/>
      <c r="G31" s="287"/>
      <c r="H31" s="288">
        <v>1</v>
      </c>
      <c r="I31" s="288" t="s">
        <v>167</v>
      </c>
      <c r="J31" s="289">
        <f>V77</f>
        <v>0.78414718917748549</v>
      </c>
      <c r="K31" s="284">
        <f>V78</f>
        <v>0.65970951750208218</v>
      </c>
    </row>
    <row r="32" spans="1:11" x14ac:dyDescent="0.25">
      <c r="A32" s="285" t="s">
        <v>227</v>
      </c>
      <c r="B32" s="286" t="s">
        <v>167</v>
      </c>
      <c r="C32" s="286"/>
      <c r="D32" s="286"/>
      <c r="E32" s="286"/>
      <c r="F32" s="286"/>
      <c r="G32" s="287"/>
      <c r="H32" s="288">
        <v>2</v>
      </c>
      <c r="I32" s="288" t="s">
        <v>167</v>
      </c>
      <c r="J32" s="289">
        <f>W77</f>
        <v>0.79575969771590827</v>
      </c>
      <c r="K32" s="284">
        <f>W78</f>
        <v>0.6529428177055896</v>
      </c>
    </row>
    <row r="33" spans="1:26" x14ac:dyDescent="0.25">
      <c r="A33" s="254" t="s">
        <v>228</v>
      </c>
      <c r="B33" s="255"/>
      <c r="C33" s="255"/>
      <c r="D33" s="255"/>
      <c r="E33" s="255"/>
      <c r="F33" s="255"/>
      <c r="G33" s="255"/>
      <c r="H33" s="255"/>
      <c r="I33" s="255"/>
      <c r="J33" s="256"/>
      <c r="K33" s="257"/>
    </row>
    <row r="34" spans="1:26" x14ac:dyDescent="0.25">
      <c r="A34" s="258" t="s">
        <v>229</v>
      </c>
      <c r="B34" s="259" t="s">
        <v>167</v>
      </c>
      <c r="C34" s="259"/>
      <c r="D34" s="259"/>
      <c r="E34" s="259"/>
      <c r="F34" s="259"/>
      <c r="G34" s="259"/>
      <c r="H34" s="260"/>
      <c r="I34" s="261">
        <v>0</v>
      </c>
      <c r="J34" s="262">
        <f>X77</f>
        <v>0.81517599699545584</v>
      </c>
      <c r="K34" s="257">
        <f>X78</f>
        <v>0.70391270010120621</v>
      </c>
    </row>
    <row r="35" spans="1:26" x14ac:dyDescent="0.25">
      <c r="A35" s="258" t="s">
        <v>230</v>
      </c>
      <c r="B35" s="259" t="s">
        <v>167</v>
      </c>
      <c r="C35" s="259"/>
      <c r="D35" s="259"/>
      <c r="E35" s="259"/>
      <c r="F35" s="259"/>
      <c r="G35" s="259"/>
      <c r="H35" s="260"/>
      <c r="I35" s="261">
        <v>1.5</v>
      </c>
      <c r="J35" s="262">
        <f>Y77</f>
        <v>0.78650740678695175</v>
      </c>
      <c r="K35" s="257">
        <f>Y78</f>
        <v>0.65836127236121422</v>
      </c>
    </row>
    <row r="36" spans="1:26" ht="13" thickBot="1" x14ac:dyDescent="0.3">
      <c r="A36" s="290" t="s">
        <v>231</v>
      </c>
      <c r="B36" s="291" t="s">
        <v>167</v>
      </c>
      <c r="C36" s="291"/>
      <c r="D36" s="291"/>
      <c r="E36" s="291"/>
      <c r="F36" s="291"/>
      <c r="G36" s="291"/>
      <c r="H36" s="292"/>
      <c r="I36" s="366">
        <v>3</v>
      </c>
      <c r="J36" s="293">
        <f>Z77</f>
        <v>0.75472992135760819</v>
      </c>
      <c r="K36" s="294">
        <f>Z78</f>
        <v>0.60968777830489018</v>
      </c>
    </row>
    <row r="43" spans="1:26" ht="13.5" thickBot="1" x14ac:dyDescent="0.35">
      <c r="A43" s="1" t="s">
        <v>232</v>
      </c>
    </row>
    <row r="44" spans="1:26" ht="13" x14ac:dyDescent="0.3">
      <c r="A44" s="122" t="s">
        <v>132</v>
      </c>
      <c r="B44" s="190" t="s">
        <v>23</v>
      </c>
      <c r="C44" s="191"/>
      <c r="D44" s="106" t="s">
        <v>133</v>
      </c>
      <c r="E44" s="42"/>
      <c r="F44" s="70" t="s">
        <v>134</v>
      </c>
      <c r="G44" s="70"/>
      <c r="H44" s="70"/>
      <c r="I44" s="70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36"/>
    </row>
    <row r="45" spans="1:26" x14ac:dyDescent="0.25">
      <c r="A45" s="39"/>
      <c r="B45" s="57" t="s">
        <v>21</v>
      </c>
      <c r="C45" s="57" t="s">
        <v>22</v>
      </c>
      <c r="D45" s="213"/>
      <c r="E45" s="15"/>
      <c r="F45" s="100" t="s">
        <v>126</v>
      </c>
      <c r="G45" s="50" t="s">
        <v>127</v>
      </c>
      <c r="H45" s="303" t="s">
        <v>205</v>
      </c>
      <c r="I45" s="299" t="s">
        <v>207</v>
      </c>
      <c r="J45" s="304" t="s">
        <v>209</v>
      </c>
      <c r="K45" s="301" t="s">
        <v>210</v>
      </c>
      <c r="L45" s="193" t="s">
        <v>212</v>
      </c>
      <c r="M45" s="296" t="s">
        <v>213</v>
      </c>
      <c r="N45" s="195" t="s">
        <v>215</v>
      </c>
      <c r="O45" s="298" t="s">
        <v>216</v>
      </c>
      <c r="P45" s="196" t="s">
        <v>218</v>
      </c>
      <c r="Q45" s="196" t="s">
        <v>219</v>
      </c>
      <c r="R45" s="300" t="s">
        <v>220</v>
      </c>
      <c r="S45" s="192" t="s">
        <v>222</v>
      </c>
      <c r="T45" s="295" t="s">
        <v>223</v>
      </c>
      <c r="U45" s="305" t="s">
        <v>225</v>
      </c>
      <c r="V45" s="305" t="s">
        <v>226</v>
      </c>
      <c r="W45" s="302" t="s">
        <v>227</v>
      </c>
      <c r="X45" s="306" t="s">
        <v>229</v>
      </c>
      <c r="Y45" s="306" t="s">
        <v>230</v>
      </c>
      <c r="Z45" s="307" t="s">
        <v>231</v>
      </c>
    </row>
    <row r="46" spans="1:26" x14ac:dyDescent="0.25">
      <c r="A46" s="37" t="s">
        <v>25</v>
      </c>
      <c r="B46" s="15"/>
      <c r="C46" s="15"/>
      <c r="D46" s="15"/>
      <c r="E46" s="15"/>
      <c r="F46" s="8"/>
      <c r="G46" s="15"/>
      <c r="H46" s="8"/>
      <c r="I46" s="15"/>
      <c r="J46" s="8"/>
      <c r="K46" s="15"/>
      <c r="L46" s="8"/>
      <c r="M46" s="15"/>
      <c r="N46" s="8"/>
      <c r="O46" s="15"/>
      <c r="P46" s="8"/>
      <c r="Q46" s="8"/>
      <c r="R46" s="15"/>
      <c r="S46" s="8"/>
      <c r="T46" s="15"/>
      <c r="U46" s="8"/>
      <c r="V46" s="8"/>
      <c r="W46" s="15"/>
      <c r="X46" s="8"/>
      <c r="Y46" s="8"/>
      <c r="Z46" s="10"/>
    </row>
    <row r="47" spans="1:26" x14ac:dyDescent="0.25">
      <c r="A47" s="37" t="s">
        <v>88</v>
      </c>
      <c r="B47" s="15"/>
      <c r="C47" s="15"/>
      <c r="D47" s="15"/>
      <c r="E47" s="15"/>
      <c r="F47" s="8"/>
      <c r="G47" s="15"/>
      <c r="H47" s="8"/>
      <c r="I47" s="15"/>
      <c r="J47" s="8"/>
      <c r="K47" s="15"/>
      <c r="L47" s="8"/>
      <c r="M47" s="15"/>
      <c r="N47" s="8"/>
      <c r="O47" s="15"/>
      <c r="P47" s="8"/>
      <c r="Q47" s="8"/>
      <c r="R47" s="15"/>
      <c r="S47" s="8"/>
      <c r="T47" s="15"/>
      <c r="U47" s="8"/>
      <c r="V47" s="8"/>
      <c r="W47" s="15"/>
      <c r="X47" s="8"/>
      <c r="Y47" s="8"/>
      <c r="Z47" s="10"/>
    </row>
    <row r="48" spans="1:26" x14ac:dyDescent="0.25">
      <c r="A48" s="37" t="s">
        <v>89</v>
      </c>
      <c r="B48" s="50">
        <v>0</v>
      </c>
      <c r="C48" s="50">
        <v>0</v>
      </c>
      <c r="D48" s="50">
        <v>0.6</v>
      </c>
      <c r="E48" s="50"/>
      <c r="F48" s="100">
        <v>0.6</v>
      </c>
      <c r="G48" s="50">
        <v>0.6</v>
      </c>
      <c r="H48" s="100">
        <v>0.6</v>
      </c>
      <c r="I48" s="50">
        <v>0.6</v>
      </c>
      <c r="J48" s="100">
        <v>0.6</v>
      </c>
      <c r="K48" s="50">
        <v>0.6</v>
      </c>
      <c r="L48" s="100">
        <v>0.6</v>
      </c>
      <c r="M48" s="50">
        <v>0.6</v>
      </c>
      <c r="N48" s="100">
        <v>0.6</v>
      </c>
      <c r="O48" s="50">
        <v>0.6</v>
      </c>
      <c r="P48" s="100">
        <v>0.6</v>
      </c>
      <c r="Q48" s="100">
        <v>0.6</v>
      </c>
      <c r="R48" s="50">
        <v>0.6</v>
      </c>
      <c r="S48" s="100">
        <v>0.6</v>
      </c>
      <c r="T48" s="50">
        <v>0.6</v>
      </c>
      <c r="U48" s="100">
        <v>0.6</v>
      </c>
      <c r="V48" s="100">
        <v>0.6</v>
      </c>
      <c r="W48" s="50">
        <v>0.6</v>
      </c>
      <c r="X48" s="100">
        <v>0.6</v>
      </c>
      <c r="Y48" s="100">
        <v>0.6</v>
      </c>
      <c r="Z48" s="52">
        <v>0.6</v>
      </c>
    </row>
    <row r="49" spans="1:26" x14ac:dyDescent="0.25">
      <c r="A49" s="37" t="s">
        <v>90</v>
      </c>
      <c r="B49" s="50">
        <v>-0.01</v>
      </c>
      <c r="C49" s="50">
        <v>0.03</v>
      </c>
      <c r="D49" s="50">
        <v>0.2</v>
      </c>
      <c r="E49" s="50"/>
      <c r="F49" s="100">
        <v>0.2</v>
      </c>
      <c r="G49" s="50">
        <v>0.2</v>
      </c>
      <c r="H49" s="100">
        <v>0.2</v>
      </c>
      <c r="I49" s="50">
        <v>0.2</v>
      </c>
      <c r="J49" s="100">
        <v>0.2</v>
      </c>
      <c r="K49" s="50">
        <v>0.2</v>
      </c>
      <c r="L49" s="100">
        <v>0.2</v>
      </c>
      <c r="M49" s="50">
        <v>0.2</v>
      </c>
      <c r="N49" s="100">
        <v>0.2</v>
      </c>
      <c r="O49" s="50">
        <v>0.2</v>
      </c>
      <c r="P49" s="100">
        <v>0.2</v>
      </c>
      <c r="Q49" s="100">
        <v>0.2</v>
      </c>
      <c r="R49" s="50">
        <v>0.2</v>
      </c>
      <c r="S49" s="100">
        <v>0.2</v>
      </c>
      <c r="T49" s="50">
        <v>0.2</v>
      </c>
      <c r="U49" s="100">
        <v>0.2</v>
      </c>
      <c r="V49" s="100">
        <v>0.2</v>
      </c>
      <c r="W49" s="50">
        <v>0.2</v>
      </c>
      <c r="X49" s="100">
        <v>0.2</v>
      </c>
      <c r="Y49" s="100">
        <v>0.2</v>
      </c>
      <c r="Z49" s="52">
        <v>0.2</v>
      </c>
    </row>
    <row r="50" spans="1:26" x14ac:dyDescent="0.25">
      <c r="A50" s="37" t="s">
        <v>91</v>
      </c>
      <c r="B50" s="50">
        <v>0.22</v>
      </c>
      <c r="C50" s="50">
        <v>0.56999999999999995</v>
      </c>
      <c r="D50" s="50">
        <v>0.2</v>
      </c>
      <c r="E50" s="50"/>
      <c r="F50" s="100">
        <v>0.2</v>
      </c>
      <c r="G50" s="50">
        <v>0.2</v>
      </c>
      <c r="H50" s="100">
        <v>0.2</v>
      </c>
      <c r="I50" s="50">
        <v>0.2</v>
      </c>
      <c r="J50" s="100">
        <v>0.2</v>
      </c>
      <c r="K50" s="50">
        <v>0.2</v>
      </c>
      <c r="L50" s="100">
        <v>0.2</v>
      </c>
      <c r="M50" s="50">
        <v>0.2</v>
      </c>
      <c r="N50" s="100">
        <v>0.2</v>
      </c>
      <c r="O50" s="50">
        <v>0.2</v>
      </c>
      <c r="P50" s="100">
        <v>0.2</v>
      </c>
      <c r="Q50" s="100">
        <v>0.2</v>
      </c>
      <c r="R50" s="50">
        <v>0.2</v>
      </c>
      <c r="S50" s="100">
        <v>0.2</v>
      </c>
      <c r="T50" s="50">
        <v>0.2</v>
      </c>
      <c r="U50" s="100">
        <v>0.2</v>
      </c>
      <c r="V50" s="100">
        <v>0.2</v>
      </c>
      <c r="W50" s="50">
        <v>0.2</v>
      </c>
      <c r="X50" s="100">
        <v>0.2</v>
      </c>
      <c r="Y50" s="100">
        <v>0.2</v>
      </c>
      <c r="Z50" s="52">
        <v>0.2</v>
      </c>
    </row>
    <row r="51" spans="1:26" x14ac:dyDescent="0.25">
      <c r="A51" s="37" t="s">
        <v>92</v>
      </c>
      <c r="B51" s="50">
        <v>-0.14000000000000001</v>
      </c>
      <c r="C51" s="50">
        <v>0.55000000000000004</v>
      </c>
      <c r="D51" s="50">
        <v>0.4</v>
      </c>
      <c r="E51" s="50"/>
      <c r="F51" s="100">
        <v>0.4</v>
      </c>
      <c r="G51" s="50">
        <v>0.4</v>
      </c>
      <c r="H51" s="100">
        <v>0.4</v>
      </c>
      <c r="I51" s="50">
        <v>0.4</v>
      </c>
      <c r="J51" s="100">
        <v>0.4</v>
      </c>
      <c r="K51" s="50">
        <v>0.4</v>
      </c>
      <c r="L51" s="100">
        <v>0.4</v>
      </c>
      <c r="M51" s="50">
        <v>0.4</v>
      </c>
      <c r="N51" s="100">
        <v>0.4</v>
      </c>
      <c r="O51" s="50">
        <v>0.4</v>
      </c>
      <c r="P51" s="100">
        <v>0.4</v>
      </c>
      <c r="Q51" s="100">
        <v>0.4</v>
      </c>
      <c r="R51" s="50">
        <v>0.4</v>
      </c>
      <c r="S51" s="100">
        <v>0.4</v>
      </c>
      <c r="T51" s="50">
        <v>0.4</v>
      </c>
      <c r="U51" s="100">
        <v>0.4</v>
      </c>
      <c r="V51" s="100">
        <v>0.4</v>
      </c>
      <c r="W51" s="50">
        <v>0.4</v>
      </c>
      <c r="X51" s="100">
        <v>0.4</v>
      </c>
      <c r="Y51" s="100">
        <v>0.4</v>
      </c>
      <c r="Z51" s="52">
        <v>0.4</v>
      </c>
    </row>
    <row r="52" spans="1:26" x14ac:dyDescent="0.25">
      <c r="A52" s="37" t="s">
        <v>135</v>
      </c>
      <c r="B52" s="50">
        <v>-7.0000000000000007E-2</v>
      </c>
      <c r="C52" s="50">
        <v>0.09</v>
      </c>
      <c r="D52" s="50">
        <v>0.3</v>
      </c>
      <c r="E52" s="50"/>
      <c r="F52" s="100">
        <v>0.3</v>
      </c>
      <c r="G52" s="50">
        <v>0.3</v>
      </c>
      <c r="H52" s="100">
        <v>0.3</v>
      </c>
      <c r="I52" s="50">
        <v>0.3</v>
      </c>
      <c r="J52" s="100">
        <v>0.3</v>
      </c>
      <c r="K52" s="50">
        <v>0.3</v>
      </c>
      <c r="L52" s="100">
        <v>0.3</v>
      </c>
      <c r="M52" s="50">
        <v>0.3</v>
      </c>
      <c r="N52" s="100">
        <v>0.3</v>
      </c>
      <c r="O52" s="50">
        <v>0.3</v>
      </c>
      <c r="P52" s="100">
        <v>0.3</v>
      </c>
      <c r="Q52" s="100">
        <v>0.3</v>
      </c>
      <c r="R52" s="50">
        <v>0.3</v>
      </c>
      <c r="S52" s="100">
        <v>0.3</v>
      </c>
      <c r="T52" s="50">
        <v>0.3</v>
      </c>
      <c r="U52" s="100">
        <v>0.3</v>
      </c>
      <c r="V52" s="100">
        <v>0.3</v>
      </c>
      <c r="W52" s="50">
        <v>0.3</v>
      </c>
      <c r="X52" s="100">
        <v>0.3</v>
      </c>
      <c r="Y52" s="100">
        <v>0.3</v>
      </c>
      <c r="Z52" s="52">
        <v>0.3</v>
      </c>
    </row>
    <row r="53" spans="1:26" x14ac:dyDescent="0.25">
      <c r="A53" s="37" t="s">
        <v>94</v>
      </c>
      <c r="B53" s="50">
        <v>0.38</v>
      </c>
      <c r="C53" s="50">
        <v>0.03</v>
      </c>
      <c r="D53" s="50">
        <v>0.6</v>
      </c>
      <c r="E53" s="50"/>
      <c r="F53" s="100">
        <v>0.6</v>
      </c>
      <c r="G53" s="50">
        <v>0.6</v>
      </c>
      <c r="H53" s="100">
        <v>0.6</v>
      </c>
      <c r="I53" s="50">
        <v>0.6</v>
      </c>
      <c r="J53" s="100">
        <v>0.6</v>
      </c>
      <c r="K53" s="50">
        <v>0.6</v>
      </c>
      <c r="L53" s="100">
        <v>0.6</v>
      </c>
      <c r="M53" s="50">
        <v>0.6</v>
      </c>
      <c r="N53" s="100">
        <v>0.6</v>
      </c>
      <c r="O53" s="50">
        <v>0.6</v>
      </c>
      <c r="P53" s="100">
        <v>0.6</v>
      </c>
      <c r="Q53" s="100">
        <v>0.6</v>
      </c>
      <c r="R53" s="50">
        <v>0.6</v>
      </c>
      <c r="S53" s="100">
        <v>0.6</v>
      </c>
      <c r="T53" s="50">
        <v>0.6</v>
      </c>
      <c r="U53" s="100">
        <v>0.6</v>
      </c>
      <c r="V53" s="100">
        <v>0.6</v>
      </c>
      <c r="W53" s="50">
        <v>0.6</v>
      </c>
      <c r="X53" s="100">
        <v>0.6</v>
      </c>
      <c r="Y53" s="100">
        <v>0.6</v>
      </c>
      <c r="Z53" s="52">
        <v>0.6</v>
      </c>
    </row>
    <row r="54" spans="1:26" x14ac:dyDescent="0.25">
      <c r="A54" s="37" t="s">
        <v>95</v>
      </c>
      <c r="B54" s="50"/>
      <c r="C54" s="50"/>
      <c r="D54" s="50"/>
      <c r="E54" s="50"/>
      <c r="F54" s="100"/>
      <c r="G54" s="50"/>
      <c r="H54" s="100"/>
      <c r="I54" s="50"/>
      <c r="J54" s="100"/>
      <c r="K54" s="50"/>
      <c r="L54" s="100"/>
      <c r="M54" s="50"/>
      <c r="N54" s="100"/>
      <c r="O54" s="50"/>
      <c r="P54" s="100"/>
      <c r="Q54" s="100"/>
      <c r="R54" s="50"/>
      <c r="S54" s="100"/>
      <c r="T54" s="50"/>
      <c r="U54" s="100"/>
      <c r="V54" s="100"/>
      <c r="W54" s="50"/>
      <c r="X54" s="100"/>
      <c r="Y54" s="100"/>
      <c r="Z54" s="52"/>
    </row>
    <row r="55" spans="1:26" x14ac:dyDescent="0.25">
      <c r="A55" s="37" t="s">
        <v>96</v>
      </c>
      <c r="B55" s="50">
        <v>0</v>
      </c>
      <c r="C55" s="50">
        <v>0</v>
      </c>
      <c r="D55" s="50">
        <v>0.4</v>
      </c>
      <c r="E55" s="50"/>
      <c r="F55" s="100">
        <v>0.4</v>
      </c>
      <c r="G55" s="50">
        <v>0.4</v>
      </c>
      <c r="H55" s="100">
        <v>0.4</v>
      </c>
      <c r="I55" s="50">
        <v>0.4</v>
      </c>
      <c r="J55" s="100">
        <v>0.4</v>
      </c>
      <c r="K55" s="50">
        <v>0.4</v>
      </c>
      <c r="L55" s="100">
        <v>0.4</v>
      </c>
      <c r="M55" s="50">
        <v>0.4</v>
      </c>
      <c r="N55" s="100">
        <v>0.4</v>
      </c>
      <c r="O55" s="50">
        <v>0.4</v>
      </c>
      <c r="P55" s="100">
        <v>0.4</v>
      </c>
      <c r="Q55" s="100">
        <v>0.4</v>
      </c>
      <c r="R55" s="50">
        <v>0.4</v>
      </c>
      <c r="S55" s="100">
        <v>0.4</v>
      </c>
      <c r="T55" s="50">
        <v>0.4</v>
      </c>
      <c r="U55" s="100">
        <v>0.4</v>
      </c>
      <c r="V55" s="100">
        <v>0.4</v>
      </c>
      <c r="W55" s="50">
        <v>0.4</v>
      </c>
      <c r="X55" s="100">
        <v>0.4</v>
      </c>
      <c r="Y55" s="100">
        <v>0.4</v>
      </c>
      <c r="Z55" s="52">
        <v>0.4</v>
      </c>
    </row>
    <row r="56" spans="1:26" x14ac:dyDescent="0.25">
      <c r="A56" s="37" t="s">
        <v>97</v>
      </c>
      <c r="B56" s="50">
        <v>-0.08</v>
      </c>
      <c r="C56" s="50">
        <v>-0.43</v>
      </c>
      <c r="D56" s="50">
        <v>0.3</v>
      </c>
      <c r="E56" s="50"/>
      <c r="F56" s="100">
        <v>0.3</v>
      </c>
      <c r="G56" s="50">
        <v>0.3</v>
      </c>
      <c r="H56" s="100">
        <v>0.3</v>
      </c>
      <c r="I56" s="50">
        <v>0.3</v>
      </c>
      <c r="J56" s="100">
        <v>0.3</v>
      </c>
      <c r="K56" s="50">
        <v>0.3</v>
      </c>
      <c r="L56" s="100">
        <v>0.3</v>
      </c>
      <c r="M56" s="50">
        <v>0.3</v>
      </c>
      <c r="N56" s="100">
        <v>0.3</v>
      </c>
      <c r="O56" s="50">
        <v>0.3</v>
      </c>
      <c r="P56" s="100">
        <v>0.3</v>
      </c>
      <c r="Q56" s="100">
        <v>0.3</v>
      </c>
      <c r="R56" s="50">
        <v>0.3</v>
      </c>
      <c r="S56" s="100">
        <v>0.3</v>
      </c>
      <c r="T56" s="50">
        <v>0.3</v>
      </c>
      <c r="U56" s="100">
        <v>0.3</v>
      </c>
      <c r="V56" s="100">
        <v>0.3</v>
      </c>
      <c r="W56" s="50">
        <v>0.3</v>
      </c>
      <c r="X56" s="100">
        <v>0.3</v>
      </c>
      <c r="Y56" s="100">
        <v>0.3</v>
      </c>
      <c r="Z56" s="52">
        <v>0.3</v>
      </c>
    </row>
    <row r="57" spans="1:26" x14ac:dyDescent="0.25">
      <c r="A57" s="37" t="s">
        <v>98</v>
      </c>
      <c r="B57" s="50">
        <v>-0.23</v>
      </c>
      <c r="C57" s="50">
        <v>-0.91</v>
      </c>
      <c r="D57" s="50">
        <v>0.2</v>
      </c>
      <c r="E57" s="50"/>
      <c r="F57" s="100">
        <v>0.2</v>
      </c>
      <c r="G57" s="50">
        <v>0.2</v>
      </c>
      <c r="H57" s="100">
        <v>0.2</v>
      </c>
      <c r="I57" s="50">
        <v>0.2</v>
      </c>
      <c r="J57" s="100">
        <v>0.2</v>
      </c>
      <c r="K57" s="50">
        <v>0.2</v>
      </c>
      <c r="L57" s="100">
        <v>0.2</v>
      </c>
      <c r="M57" s="50">
        <v>0.2</v>
      </c>
      <c r="N57" s="100">
        <v>0.2</v>
      </c>
      <c r="O57" s="50">
        <v>0.2</v>
      </c>
      <c r="P57" s="100">
        <v>0.2</v>
      </c>
      <c r="Q57" s="100">
        <v>0.2</v>
      </c>
      <c r="R57" s="50">
        <v>0.2</v>
      </c>
      <c r="S57" s="100">
        <v>0.2</v>
      </c>
      <c r="T57" s="50">
        <v>0.2</v>
      </c>
      <c r="U57" s="100">
        <v>0.2</v>
      </c>
      <c r="V57" s="100">
        <v>0.2</v>
      </c>
      <c r="W57" s="50">
        <v>0.2</v>
      </c>
      <c r="X57" s="100">
        <v>0.2</v>
      </c>
      <c r="Y57" s="100">
        <v>0.2</v>
      </c>
      <c r="Z57" s="52">
        <v>0.2</v>
      </c>
    </row>
    <row r="58" spans="1:26" x14ac:dyDescent="0.25">
      <c r="A58" s="37" t="s">
        <v>99</v>
      </c>
      <c r="B58" s="50">
        <v>-0.51</v>
      </c>
      <c r="C58" s="50">
        <v>-1.1499999999999999</v>
      </c>
      <c r="D58" s="50">
        <v>0.1</v>
      </c>
      <c r="E58" s="50"/>
      <c r="F58" s="100">
        <v>0.1</v>
      </c>
      <c r="G58" s="50">
        <v>0.1</v>
      </c>
      <c r="H58" s="100">
        <v>0.1</v>
      </c>
      <c r="I58" s="50">
        <v>0.1</v>
      </c>
      <c r="J58" s="100">
        <v>0.1</v>
      </c>
      <c r="K58" s="50">
        <v>0.1</v>
      </c>
      <c r="L58" s="100">
        <v>0.1</v>
      </c>
      <c r="M58" s="50">
        <v>0.1</v>
      </c>
      <c r="N58" s="100">
        <v>0.1</v>
      </c>
      <c r="O58" s="50">
        <v>0.1</v>
      </c>
      <c r="P58" s="100">
        <v>0.1</v>
      </c>
      <c r="Q58" s="100">
        <v>0.1</v>
      </c>
      <c r="R58" s="50">
        <v>0.1</v>
      </c>
      <c r="S58" s="100">
        <v>0.1</v>
      </c>
      <c r="T58" s="50">
        <v>0.1</v>
      </c>
      <c r="U58" s="100">
        <v>0.1</v>
      </c>
      <c r="V58" s="100">
        <v>0.1</v>
      </c>
      <c r="W58" s="50">
        <v>0.1</v>
      </c>
      <c r="X58" s="100">
        <v>0.1</v>
      </c>
      <c r="Y58" s="100">
        <v>0.1</v>
      </c>
      <c r="Z58" s="52">
        <v>0.1</v>
      </c>
    </row>
    <row r="59" spans="1:26" x14ac:dyDescent="0.25">
      <c r="A59" s="37" t="s">
        <v>100</v>
      </c>
      <c r="B59" s="50">
        <v>0.19</v>
      </c>
      <c r="C59" s="50">
        <v>0.45</v>
      </c>
      <c r="D59" s="50">
        <v>0.3</v>
      </c>
      <c r="E59" s="50"/>
      <c r="F59" s="100">
        <v>0.3</v>
      </c>
      <c r="G59" s="50">
        <v>0.3</v>
      </c>
      <c r="H59" s="100">
        <v>0.3</v>
      </c>
      <c r="I59" s="50">
        <v>0.3</v>
      </c>
      <c r="J59" s="100">
        <v>0.3</v>
      </c>
      <c r="K59" s="50">
        <v>0.3</v>
      </c>
      <c r="L59" s="100">
        <v>0.3</v>
      </c>
      <c r="M59" s="50">
        <v>0.3</v>
      </c>
      <c r="N59" s="100">
        <v>0.3</v>
      </c>
      <c r="O59" s="50">
        <v>0.3</v>
      </c>
      <c r="P59" s="100">
        <v>0.3</v>
      </c>
      <c r="Q59" s="100">
        <v>0.3</v>
      </c>
      <c r="R59" s="50">
        <v>0.3</v>
      </c>
      <c r="S59" s="100">
        <v>0.3</v>
      </c>
      <c r="T59" s="50">
        <v>0.3</v>
      </c>
      <c r="U59" s="100">
        <v>0.3</v>
      </c>
      <c r="V59" s="100">
        <v>0.3</v>
      </c>
      <c r="W59" s="50">
        <v>0.3</v>
      </c>
      <c r="X59" s="100">
        <v>0.3</v>
      </c>
      <c r="Y59" s="100">
        <v>0.3</v>
      </c>
      <c r="Z59" s="52">
        <v>0.3</v>
      </c>
    </row>
    <row r="60" spans="1:26" x14ac:dyDescent="0.25">
      <c r="A60" s="37" t="s">
        <v>101</v>
      </c>
      <c r="B60" s="50">
        <v>-0.12</v>
      </c>
      <c r="C60" s="50">
        <v>-0.11</v>
      </c>
      <c r="D60" s="50">
        <v>0.2</v>
      </c>
      <c r="E60" s="50"/>
      <c r="F60" s="100">
        <v>0.2</v>
      </c>
      <c r="G60" s="50">
        <v>0.2</v>
      </c>
      <c r="H60" s="100">
        <v>0.2</v>
      </c>
      <c r="I60" s="50">
        <v>0.2</v>
      </c>
      <c r="J60" s="100">
        <v>0.2</v>
      </c>
      <c r="K60" s="50">
        <v>0.2</v>
      </c>
      <c r="L60" s="100">
        <v>0.2</v>
      </c>
      <c r="M60" s="50">
        <v>0.2</v>
      </c>
      <c r="N60" s="100">
        <v>0.2</v>
      </c>
      <c r="O60" s="50">
        <v>0.2</v>
      </c>
      <c r="P60" s="100">
        <v>0.2</v>
      </c>
      <c r="Q60" s="100">
        <v>0.2</v>
      </c>
      <c r="R60" s="50">
        <v>0.2</v>
      </c>
      <c r="S60" s="100">
        <v>0.2</v>
      </c>
      <c r="T60" s="50">
        <v>0.2</v>
      </c>
      <c r="U60" s="100">
        <v>0.2</v>
      </c>
      <c r="V60" s="100">
        <v>0.2</v>
      </c>
      <c r="W60" s="50">
        <v>0.2</v>
      </c>
      <c r="X60" s="100">
        <v>0.2</v>
      </c>
      <c r="Y60" s="100">
        <v>0.2</v>
      </c>
      <c r="Z60" s="52">
        <v>0.2</v>
      </c>
    </row>
    <row r="61" spans="1:26" x14ac:dyDescent="0.25">
      <c r="A61" s="37"/>
      <c r="B61" s="50"/>
      <c r="C61" s="50"/>
      <c r="D61" s="50"/>
      <c r="E61" s="50"/>
      <c r="F61" s="100"/>
      <c r="G61" s="50"/>
      <c r="H61" s="100"/>
      <c r="I61" s="50"/>
      <c r="J61" s="100"/>
      <c r="K61" s="50"/>
      <c r="L61" s="100"/>
      <c r="M61" s="50"/>
      <c r="N61" s="100"/>
      <c r="O61" s="50"/>
      <c r="P61" s="100"/>
      <c r="Q61" s="100"/>
      <c r="R61" s="50"/>
      <c r="S61" s="100"/>
      <c r="T61" s="50"/>
      <c r="U61" s="100"/>
      <c r="V61" s="100"/>
      <c r="W61" s="50"/>
      <c r="X61" s="100"/>
      <c r="Y61" s="100"/>
      <c r="Z61" s="52"/>
    </row>
    <row r="62" spans="1:26" x14ac:dyDescent="0.25">
      <c r="A62" s="37" t="s">
        <v>47</v>
      </c>
      <c r="B62" s="50"/>
      <c r="C62" s="50"/>
      <c r="D62" s="50"/>
      <c r="E62" s="50"/>
      <c r="F62" s="100"/>
      <c r="G62" s="50"/>
      <c r="H62" s="100"/>
      <c r="I62" s="50"/>
      <c r="J62" s="100"/>
      <c r="K62" s="50"/>
      <c r="L62" s="100"/>
      <c r="M62" s="50"/>
      <c r="N62" s="100"/>
      <c r="O62" s="50"/>
      <c r="P62" s="100"/>
      <c r="Q62" s="100"/>
      <c r="R62" s="50"/>
      <c r="S62" s="100"/>
      <c r="T62" s="50"/>
      <c r="U62" s="100"/>
      <c r="V62" s="100"/>
      <c r="W62" s="50"/>
      <c r="X62" s="100"/>
      <c r="Y62" s="100"/>
      <c r="Z62" s="52"/>
    </row>
    <row r="63" spans="1:26" x14ac:dyDescent="0.25">
      <c r="A63" s="37" t="s">
        <v>102</v>
      </c>
      <c r="B63" s="50">
        <v>0.03</v>
      </c>
      <c r="C63" s="50">
        <v>-0.37</v>
      </c>
      <c r="D63" s="50">
        <v>0.8</v>
      </c>
      <c r="E63" s="50"/>
      <c r="F63" s="100">
        <v>1</v>
      </c>
      <c r="G63" s="50">
        <v>0</v>
      </c>
      <c r="H63" s="100">
        <v>1</v>
      </c>
      <c r="I63" s="50">
        <v>0</v>
      </c>
      <c r="J63" s="100">
        <v>0.8</v>
      </c>
      <c r="K63" s="50">
        <v>0.8</v>
      </c>
      <c r="L63" s="100">
        <v>0.8</v>
      </c>
      <c r="M63" s="50">
        <v>0.8</v>
      </c>
      <c r="N63" s="100">
        <v>0.8</v>
      </c>
      <c r="O63" s="50">
        <v>0.8</v>
      </c>
      <c r="P63" s="100">
        <v>0.8</v>
      </c>
      <c r="Q63" s="100">
        <v>0.8</v>
      </c>
      <c r="R63" s="50">
        <v>0.8</v>
      </c>
      <c r="S63" s="100">
        <v>0.8</v>
      </c>
      <c r="T63" s="50">
        <v>0.8</v>
      </c>
      <c r="U63" s="100">
        <v>0.8</v>
      </c>
      <c r="V63" s="100">
        <v>0.8</v>
      </c>
      <c r="W63" s="50">
        <v>0.8</v>
      </c>
      <c r="X63" s="100">
        <v>0.8</v>
      </c>
      <c r="Y63" s="100">
        <v>0.8</v>
      </c>
      <c r="Z63" s="52">
        <v>0.8</v>
      </c>
    </row>
    <row r="64" spans="1:26" x14ac:dyDescent="0.25">
      <c r="A64" s="37" t="s">
        <v>103</v>
      </c>
      <c r="B64" s="50">
        <v>0.31</v>
      </c>
      <c r="C64" s="50">
        <v>0.37</v>
      </c>
      <c r="D64" s="50">
        <v>0.7</v>
      </c>
      <c r="E64" s="50"/>
      <c r="F64" s="100">
        <v>0</v>
      </c>
      <c r="G64" s="50">
        <v>1</v>
      </c>
      <c r="H64" s="100">
        <v>0.7</v>
      </c>
      <c r="I64" s="50">
        <v>0.7</v>
      </c>
      <c r="J64" s="100">
        <v>1</v>
      </c>
      <c r="K64" s="50">
        <v>0</v>
      </c>
      <c r="L64" s="100">
        <v>0.7</v>
      </c>
      <c r="M64" s="50">
        <v>0.7</v>
      </c>
      <c r="N64" s="100">
        <v>0.7</v>
      </c>
      <c r="O64" s="50">
        <v>0.7</v>
      </c>
      <c r="P64" s="100">
        <v>0.7</v>
      </c>
      <c r="Q64" s="100">
        <v>0.7</v>
      </c>
      <c r="R64" s="50">
        <v>0.7</v>
      </c>
      <c r="S64" s="100">
        <v>0.7</v>
      </c>
      <c r="T64" s="50">
        <v>0.7</v>
      </c>
      <c r="U64" s="100">
        <v>0.7</v>
      </c>
      <c r="V64" s="100">
        <v>0.7</v>
      </c>
      <c r="W64" s="50">
        <v>0.7</v>
      </c>
      <c r="X64" s="100">
        <v>0.7</v>
      </c>
      <c r="Y64" s="100">
        <v>0.7</v>
      </c>
      <c r="Z64" s="52">
        <v>0.7</v>
      </c>
    </row>
    <row r="65" spans="1:26" x14ac:dyDescent="0.25">
      <c r="A65" s="37" t="s">
        <v>104</v>
      </c>
      <c r="B65" s="50">
        <v>-0.03</v>
      </c>
      <c r="C65" s="50">
        <v>0.44</v>
      </c>
      <c r="D65" s="50">
        <v>0.3</v>
      </c>
      <c r="E65" s="50"/>
      <c r="F65" s="100">
        <v>0</v>
      </c>
      <c r="G65" s="50">
        <v>1</v>
      </c>
      <c r="H65" s="100">
        <v>0.3</v>
      </c>
      <c r="I65" s="50">
        <v>0.3</v>
      </c>
      <c r="J65" s="100">
        <v>0.3</v>
      </c>
      <c r="K65" s="50">
        <v>0.3</v>
      </c>
      <c r="L65" s="100">
        <v>1</v>
      </c>
      <c r="M65" s="50">
        <v>0</v>
      </c>
      <c r="N65" s="100">
        <v>0.3</v>
      </c>
      <c r="O65" s="50">
        <v>0.3</v>
      </c>
      <c r="P65" s="100">
        <v>0.3</v>
      </c>
      <c r="Q65" s="100">
        <v>0.3</v>
      </c>
      <c r="R65" s="50">
        <v>0.3</v>
      </c>
      <c r="S65" s="100">
        <v>0.3</v>
      </c>
      <c r="T65" s="50">
        <v>0.3</v>
      </c>
      <c r="U65" s="100">
        <v>0.3</v>
      </c>
      <c r="V65" s="100">
        <v>0.3</v>
      </c>
      <c r="W65" s="50">
        <v>0.3</v>
      </c>
      <c r="X65" s="100">
        <v>0.3</v>
      </c>
      <c r="Y65" s="100">
        <v>0.3</v>
      </c>
      <c r="Z65" s="52">
        <v>0.3</v>
      </c>
    </row>
    <row r="66" spans="1:26" x14ac:dyDescent="0.25">
      <c r="A66" s="37" t="s">
        <v>105</v>
      </c>
      <c r="B66" s="50">
        <v>0.08</v>
      </c>
      <c r="C66" s="50">
        <v>0.12</v>
      </c>
      <c r="D66" s="50">
        <v>1.6</v>
      </c>
      <c r="E66" s="50"/>
      <c r="F66" s="100">
        <v>1</v>
      </c>
      <c r="G66" s="50">
        <v>3</v>
      </c>
      <c r="H66" s="100">
        <v>1.6</v>
      </c>
      <c r="I66" s="50">
        <v>1.6</v>
      </c>
      <c r="J66" s="100">
        <v>1.6</v>
      </c>
      <c r="K66" s="50">
        <v>1.6</v>
      </c>
      <c r="L66" s="100">
        <v>1.6</v>
      </c>
      <c r="M66" s="50">
        <v>1.6</v>
      </c>
      <c r="N66" s="100">
        <v>1</v>
      </c>
      <c r="O66" s="50">
        <v>3</v>
      </c>
      <c r="P66" s="100">
        <v>1.6</v>
      </c>
      <c r="Q66" s="100">
        <v>1.6</v>
      </c>
      <c r="R66" s="50">
        <v>1.6</v>
      </c>
      <c r="S66" s="100">
        <v>1.6</v>
      </c>
      <c r="T66" s="50">
        <v>1.6</v>
      </c>
      <c r="U66" s="100">
        <v>1.6</v>
      </c>
      <c r="V66" s="100">
        <v>1.6</v>
      </c>
      <c r="W66" s="50">
        <v>1.6</v>
      </c>
      <c r="X66" s="100">
        <v>1.6</v>
      </c>
      <c r="Y66" s="100">
        <v>1.6</v>
      </c>
      <c r="Z66" s="52">
        <v>1.6</v>
      </c>
    </row>
    <row r="67" spans="1:26" x14ac:dyDescent="0.25">
      <c r="A67" s="37" t="s">
        <v>106</v>
      </c>
      <c r="B67" s="50">
        <v>-0.04</v>
      </c>
      <c r="C67" s="50">
        <v>-0.32</v>
      </c>
      <c r="D67" s="50">
        <v>1.8</v>
      </c>
      <c r="E67" s="50"/>
      <c r="F67" s="100">
        <v>3</v>
      </c>
      <c r="G67" s="50">
        <v>0</v>
      </c>
      <c r="H67" s="100">
        <v>1.8</v>
      </c>
      <c r="I67" s="50">
        <v>1.8</v>
      </c>
      <c r="J67" s="100">
        <v>1.8</v>
      </c>
      <c r="K67" s="50">
        <v>1.8</v>
      </c>
      <c r="L67" s="100">
        <v>1.8</v>
      </c>
      <c r="M67" s="50">
        <v>1.8</v>
      </c>
      <c r="N67" s="100">
        <v>1.8</v>
      </c>
      <c r="O67" s="50">
        <v>1.8</v>
      </c>
      <c r="P67" s="100">
        <v>0</v>
      </c>
      <c r="Q67" s="100">
        <v>1</v>
      </c>
      <c r="R67" s="50">
        <v>3</v>
      </c>
      <c r="S67" s="100">
        <v>1.8</v>
      </c>
      <c r="T67" s="50">
        <v>1.8</v>
      </c>
      <c r="U67" s="100">
        <v>1.8</v>
      </c>
      <c r="V67" s="100">
        <v>1.8</v>
      </c>
      <c r="W67" s="50">
        <v>1.8</v>
      </c>
      <c r="X67" s="100">
        <v>1.8</v>
      </c>
      <c r="Y67" s="100">
        <v>1.8</v>
      </c>
      <c r="Z67" s="52">
        <v>1.8</v>
      </c>
    </row>
    <row r="68" spans="1:26" x14ac:dyDescent="0.25">
      <c r="A68" s="37"/>
      <c r="B68" s="50"/>
      <c r="C68" s="50"/>
      <c r="D68" s="50"/>
      <c r="E68" s="50"/>
      <c r="F68" s="100"/>
      <c r="G68" s="50"/>
      <c r="H68" s="100"/>
      <c r="I68" s="50"/>
      <c r="J68" s="100"/>
      <c r="K68" s="50"/>
      <c r="L68" s="100"/>
      <c r="M68" s="50"/>
      <c r="N68" s="100"/>
      <c r="O68" s="50"/>
      <c r="P68" s="100"/>
      <c r="Q68" s="100"/>
      <c r="R68" s="50"/>
      <c r="S68" s="100"/>
      <c r="T68" s="50"/>
      <c r="U68" s="100"/>
      <c r="V68" s="100"/>
      <c r="W68" s="50"/>
      <c r="X68" s="100"/>
      <c r="Y68" s="100"/>
      <c r="Z68" s="52"/>
    </row>
    <row r="69" spans="1:26" x14ac:dyDescent="0.25">
      <c r="A69" s="37" t="s">
        <v>53</v>
      </c>
      <c r="B69" s="50"/>
      <c r="C69" s="50"/>
      <c r="D69" s="50"/>
      <c r="E69" s="50"/>
      <c r="F69" s="100"/>
      <c r="G69" s="50"/>
      <c r="H69" s="100"/>
      <c r="I69" s="50"/>
      <c r="J69" s="100"/>
      <c r="K69" s="50"/>
      <c r="L69" s="100"/>
      <c r="M69" s="50"/>
      <c r="N69" s="100"/>
      <c r="O69" s="50"/>
      <c r="P69" s="100"/>
      <c r="Q69" s="100"/>
      <c r="R69" s="50"/>
      <c r="S69" s="100"/>
      <c r="T69" s="50"/>
      <c r="U69" s="100"/>
      <c r="V69" s="100"/>
      <c r="W69" s="50"/>
      <c r="X69" s="100"/>
      <c r="Y69" s="100"/>
      <c r="Z69" s="52"/>
    </row>
    <row r="70" spans="1:26" x14ac:dyDescent="0.25">
      <c r="A70" s="37" t="s">
        <v>107</v>
      </c>
      <c r="B70" s="50">
        <v>0.04</v>
      </c>
      <c r="C70" s="50">
        <v>-0.31</v>
      </c>
      <c r="D70" s="50">
        <v>0.6</v>
      </c>
      <c r="E70" s="50"/>
      <c r="F70" s="100">
        <v>1</v>
      </c>
      <c r="G70" s="50">
        <v>0</v>
      </c>
      <c r="H70" s="100">
        <v>0.6</v>
      </c>
      <c r="I70" s="50">
        <v>0.6</v>
      </c>
      <c r="J70" s="100">
        <v>0.6</v>
      </c>
      <c r="K70" s="50">
        <v>0.6</v>
      </c>
      <c r="L70" s="100">
        <v>0.6</v>
      </c>
      <c r="M70" s="50">
        <v>0.6</v>
      </c>
      <c r="N70" s="100">
        <v>0.6</v>
      </c>
      <c r="O70" s="50">
        <v>0.6</v>
      </c>
      <c r="P70" s="100">
        <v>0.6</v>
      </c>
      <c r="Q70" s="100">
        <v>0.6</v>
      </c>
      <c r="R70" s="50">
        <v>0.6</v>
      </c>
      <c r="S70" s="100">
        <v>1</v>
      </c>
      <c r="T70" s="50">
        <v>0</v>
      </c>
      <c r="U70" s="100">
        <v>0.6</v>
      </c>
      <c r="V70" s="100">
        <v>0.6</v>
      </c>
      <c r="W70" s="50">
        <v>0.6</v>
      </c>
      <c r="X70" s="100">
        <v>0.6</v>
      </c>
      <c r="Y70" s="100">
        <v>0.6</v>
      </c>
      <c r="Z70" s="52">
        <v>0.6</v>
      </c>
    </row>
    <row r="71" spans="1:26" x14ac:dyDescent="0.25">
      <c r="A71" s="37" t="s">
        <v>108</v>
      </c>
      <c r="B71" s="50">
        <v>7.0000000000000007E-2</v>
      </c>
      <c r="C71" s="50">
        <v>-0.03</v>
      </c>
      <c r="D71" s="50">
        <v>1.2</v>
      </c>
      <c r="E71" s="50"/>
      <c r="F71" s="100">
        <v>2</v>
      </c>
      <c r="G71" s="50">
        <v>0</v>
      </c>
      <c r="H71" s="100">
        <v>1.2</v>
      </c>
      <c r="I71" s="50">
        <v>1.2</v>
      </c>
      <c r="J71" s="100">
        <v>1.2</v>
      </c>
      <c r="K71" s="50">
        <v>1.2</v>
      </c>
      <c r="L71" s="100">
        <v>1.2</v>
      </c>
      <c r="M71" s="50">
        <v>1.2</v>
      </c>
      <c r="N71" s="100">
        <v>1.2</v>
      </c>
      <c r="O71" s="50">
        <v>1.2</v>
      </c>
      <c r="P71" s="100">
        <v>1.2</v>
      </c>
      <c r="Q71" s="100">
        <v>1.2</v>
      </c>
      <c r="R71" s="50">
        <v>1.2</v>
      </c>
      <c r="S71" s="100">
        <v>1.2</v>
      </c>
      <c r="T71" s="50">
        <v>1.2</v>
      </c>
      <c r="U71" s="100">
        <v>0</v>
      </c>
      <c r="V71" s="100">
        <v>1</v>
      </c>
      <c r="W71" s="50">
        <v>2</v>
      </c>
      <c r="X71" s="100">
        <v>1.2</v>
      </c>
      <c r="Y71" s="100">
        <v>1.2</v>
      </c>
      <c r="Z71" s="52">
        <v>1.2</v>
      </c>
    </row>
    <row r="72" spans="1:26" x14ac:dyDescent="0.25">
      <c r="A72" s="37" t="s">
        <v>109</v>
      </c>
      <c r="B72" s="50">
        <v>-0.12</v>
      </c>
      <c r="C72" s="50">
        <v>-0.14000000000000001</v>
      </c>
      <c r="D72" s="50">
        <v>1.5</v>
      </c>
      <c r="E72" s="50"/>
      <c r="F72" s="100">
        <v>3</v>
      </c>
      <c r="G72" s="50">
        <v>0</v>
      </c>
      <c r="H72" s="100">
        <v>1.5</v>
      </c>
      <c r="I72" s="50">
        <v>1.5</v>
      </c>
      <c r="J72" s="100">
        <v>1.5</v>
      </c>
      <c r="K72" s="50">
        <v>1.5</v>
      </c>
      <c r="L72" s="100">
        <v>1.5</v>
      </c>
      <c r="M72" s="50">
        <v>1.5</v>
      </c>
      <c r="N72" s="100">
        <v>1.5</v>
      </c>
      <c r="O72" s="50">
        <v>1.5</v>
      </c>
      <c r="P72" s="100">
        <v>1.5</v>
      </c>
      <c r="Q72" s="100">
        <v>1.5</v>
      </c>
      <c r="R72" s="50">
        <v>1.5</v>
      </c>
      <c r="S72" s="100">
        <v>1.5</v>
      </c>
      <c r="T72" s="50">
        <v>1.5</v>
      </c>
      <c r="U72" s="100">
        <v>1.5</v>
      </c>
      <c r="V72" s="100">
        <v>1.5</v>
      </c>
      <c r="W72" s="50">
        <v>1.5</v>
      </c>
      <c r="X72" s="100">
        <v>0</v>
      </c>
      <c r="Y72" s="100">
        <v>1.5</v>
      </c>
      <c r="Z72" s="52">
        <v>3</v>
      </c>
    </row>
    <row r="73" spans="1:26" x14ac:dyDescent="0.25">
      <c r="A73" s="37"/>
      <c r="B73" s="50"/>
      <c r="C73" s="50"/>
      <c r="D73" s="50"/>
      <c r="E73" s="50"/>
      <c r="F73" s="100"/>
      <c r="G73" s="50"/>
      <c r="H73" s="100"/>
      <c r="I73" s="50"/>
      <c r="J73" s="100"/>
      <c r="K73" s="50"/>
      <c r="L73" s="100"/>
      <c r="M73" s="50"/>
      <c r="N73" s="100"/>
      <c r="O73" s="50"/>
      <c r="P73" s="100"/>
      <c r="Q73" s="100"/>
      <c r="R73" s="50"/>
      <c r="S73" s="100"/>
      <c r="T73" s="50"/>
      <c r="U73" s="100"/>
      <c r="V73" s="100"/>
      <c r="W73" s="50"/>
      <c r="X73" s="100"/>
      <c r="Y73" s="100"/>
      <c r="Z73" s="52"/>
    </row>
    <row r="74" spans="1:26" x14ac:dyDescent="0.25">
      <c r="A74" s="37" t="s">
        <v>57</v>
      </c>
      <c r="B74" s="50">
        <v>0.98299999999999998</v>
      </c>
      <c r="C74" s="50">
        <v>1.3049999999999999</v>
      </c>
      <c r="D74" s="50">
        <v>1</v>
      </c>
      <c r="E74" s="50"/>
      <c r="F74" s="100">
        <v>1</v>
      </c>
      <c r="G74" s="50">
        <v>1</v>
      </c>
      <c r="H74" s="100">
        <v>1</v>
      </c>
      <c r="I74" s="50">
        <v>1</v>
      </c>
      <c r="J74" s="100">
        <v>1</v>
      </c>
      <c r="K74" s="50">
        <v>1</v>
      </c>
      <c r="L74" s="100">
        <v>1</v>
      </c>
      <c r="M74" s="50">
        <v>1</v>
      </c>
      <c r="N74" s="100">
        <v>1</v>
      </c>
      <c r="O74" s="50">
        <v>1</v>
      </c>
      <c r="P74" s="100">
        <v>1</v>
      </c>
      <c r="Q74" s="100">
        <v>1</v>
      </c>
      <c r="R74" s="50">
        <v>1</v>
      </c>
      <c r="S74" s="100">
        <v>1</v>
      </c>
      <c r="T74" s="50">
        <v>1</v>
      </c>
      <c r="U74" s="100">
        <v>1</v>
      </c>
      <c r="V74" s="100">
        <v>1</v>
      </c>
      <c r="W74" s="50">
        <v>1</v>
      </c>
      <c r="X74" s="100">
        <v>1</v>
      </c>
      <c r="Y74" s="100">
        <v>1</v>
      </c>
      <c r="Z74" s="52">
        <v>1</v>
      </c>
    </row>
    <row r="75" spans="1:26" x14ac:dyDescent="0.25">
      <c r="A75" s="37"/>
      <c r="B75" s="50"/>
      <c r="C75" s="50"/>
      <c r="D75" s="50"/>
      <c r="E75" s="50"/>
      <c r="F75" s="100"/>
      <c r="G75" s="50"/>
      <c r="H75" s="100"/>
      <c r="I75" s="50"/>
      <c r="J75" s="100"/>
      <c r="K75" s="50"/>
      <c r="L75" s="100"/>
      <c r="M75" s="50"/>
      <c r="N75" s="100"/>
      <c r="O75" s="50"/>
      <c r="P75" s="100"/>
      <c r="Q75" s="100"/>
      <c r="R75" s="50"/>
      <c r="S75" s="100"/>
      <c r="T75" s="50"/>
      <c r="U75" s="100"/>
      <c r="V75" s="100"/>
      <c r="W75" s="50"/>
      <c r="X75" s="100"/>
      <c r="Y75" s="100"/>
      <c r="Z75" s="52"/>
    </row>
    <row r="76" spans="1:26" x14ac:dyDescent="0.25">
      <c r="A76" s="37" t="s">
        <v>186</v>
      </c>
      <c r="B76" s="50"/>
      <c r="C76" s="50"/>
      <c r="D76" s="50"/>
      <c r="E76" s="50"/>
      <c r="F76" s="100"/>
      <c r="G76" s="50"/>
      <c r="H76" s="100"/>
      <c r="I76" s="50"/>
      <c r="J76" s="100"/>
      <c r="K76" s="50"/>
      <c r="L76" s="100"/>
      <c r="M76" s="50"/>
      <c r="N76" s="100"/>
      <c r="O76" s="50"/>
      <c r="P76" s="100"/>
      <c r="Q76" s="100"/>
      <c r="R76" s="50"/>
      <c r="S76" s="100"/>
      <c r="T76" s="50"/>
      <c r="U76" s="100"/>
      <c r="V76" s="100"/>
      <c r="W76" s="50"/>
      <c r="X76" s="100"/>
      <c r="Y76" s="100"/>
      <c r="Z76" s="52"/>
    </row>
    <row r="77" spans="1:26" x14ac:dyDescent="0.25">
      <c r="A77" s="37" t="s">
        <v>138</v>
      </c>
      <c r="B77" s="50"/>
      <c r="C77" s="50"/>
      <c r="D77" s="123">
        <f t="shared" ref="D77:S78" si="0">1/(1+EXP(-D81))</f>
        <v>0.78650740678695175</v>
      </c>
      <c r="E77" s="123"/>
      <c r="F77" s="120">
        <f t="shared" si="0"/>
        <v>0.71053832867349631</v>
      </c>
      <c r="G77" s="123">
        <f t="shared" si="0"/>
        <v>0.83313352753972303</v>
      </c>
      <c r="H77" s="120">
        <f t="shared" si="0"/>
        <v>0.78751315587746085</v>
      </c>
      <c r="I77" s="123">
        <f t="shared" si="0"/>
        <v>0.78244977642311242</v>
      </c>
      <c r="J77" s="120">
        <f t="shared" si="0"/>
        <v>0.80170740226401549</v>
      </c>
      <c r="K77" s="123">
        <f t="shared" si="0"/>
        <v>0.74781638120929106</v>
      </c>
      <c r="L77" s="120">
        <f t="shared" si="0"/>
        <v>0.78296001006569815</v>
      </c>
      <c r="M77" s="123">
        <f t="shared" si="0"/>
        <v>0.78801473142816281</v>
      </c>
      <c r="N77" s="120">
        <f t="shared" si="0"/>
        <v>0.77833676159189624</v>
      </c>
      <c r="O77" s="123">
        <f t="shared" si="0"/>
        <v>0.80471057662526013</v>
      </c>
      <c r="P77" s="120">
        <f t="shared" si="0"/>
        <v>0.79834781435279389</v>
      </c>
      <c r="Q77" s="120">
        <f t="shared" si="0"/>
        <v>0.79183137328358377</v>
      </c>
      <c r="R77" s="123">
        <f t="shared" si="0"/>
        <v>0.77833676159189624</v>
      </c>
      <c r="S77" s="120">
        <f t="shared" si="0"/>
        <v>0.78918170652225283</v>
      </c>
      <c r="T77" s="123">
        <f t="shared" ref="T77:Z78" si="1">1/(1+EXP(-T81))</f>
        <v>0.78244977642311242</v>
      </c>
      <c r="U77" s="120">
        <f t="shared" si="1"/>
        <v>0.77206354942678368</v>
      </c>
      <c r="V77" s="120">
        <f t="shared" si="1"/>
        <v>0.78414718917748549</v>
      </c>
      <c r="W77" s="123">
        <f t="shared" si="1"/>
        <v>0.79575969771590827</v>
      </c>
      <c r="X77" s="120">
        <f t="shared" si="1"/>
        <v>0.81517599699545584</v>
      </c>
      <c r="Y77" s="120">
        <f t="shared" si="1"/>
        <v>0.78650740678695175</v>
      </c>
      <c r="Z77" s="121">
        <f t="shared" si="1"/>
        <v>0.75472992135760819</v>
      </c>
    </row>
    <row r="78" spans="1:26" x14ac:dyDescent="0.25">
      <c r="A78" s="37" t="s">
        <v>139</v>
      </c>
      <c r="B78" s="50"/>
      <c r="C78" s="50"/>
      <c r="D78" s="123">
        <f t="shared" si="0"/>
        <v>0.65836127236121422</v>
      </c>
      <c r="E78" s="123"/>
      <c r="F78" s="120">
        <f t="shared" si="0"/>
        <v>0.34909945611971144</v>
      </c>
      <c r="G78" s="123">
        <f t="shared" si="0"/>
        <v>0.92737171326632839</v>
      </c>
      <c r="H78" s="120">
        <f t="shared" si="0"/>
        <v>0.64152747635343188</v>
      </c>
      <c r="I78" s="123">
        <f t="shared" si="0"/>
        <v>0.72151721625143717</v>
      </c>
      <c r="J78" s="120">
        <f t="shared" si="0"/>
        <v>0.68287157648877206</v>
      </c>
      <c r="K78" s="123">
        <f t="shared" si="0"/>
        <v>0.59796666495599893</v>
      </c>
      <c r="L78" s="120">
        <f t="shared" si="0"/>
        <v>0.72392195657289138</v>
      </c>
      <c r="M78" s="123">
        <f t="shared" si="0"/>
        <v>0.62808262338885001</v>
      </c>
      <c r="N78" s="120">
        <f t="shared" si="0"/>
        <v>0.64198728599563948</v>
      </c>
      <c r="O78" s="123">
        <f t="shared" si="0"/>
        <v>0.69508476877080516</v>
      </c>
      <c r="P78" s="120">
        <f t="shared" si="0"/>
        <v>0.77416842933597441</v>
      </c>
      <c r="Q78" s="120">
        <f t="shared" si="0"/>
        <v>0.71340925020586576</v>
      </c>
      <c r="R78" s="123">
        <f t="shared" si="0"/>
        <v>0.56758383601003737</v>
      </c>
      <c r="S78" s="120">
        <f t="shared" si="0"/>
        <v>0.62994945929117085</v>
      </c>
      <c r="T78" s="123">
        <f t="shared" si="1"/>
        <v>0.69888627184838226</v>
      </c>
      <c r="U78" s="120">
        <f t="shared" si="1"/>
        <v>0.66641168893039138</v>
      </c>
      <c r="V78" s="120">
        <f t="shared" si="1"/>
        <v>0.65970951750208218</v>
      </c>
      <c r="W78" s="123">
        <f t="shared" si="1"/>
        <v>0.6529428177055896</v>
      </c>
      <c r="X78" s="120">
        <f t="shared" si="1"/>
        <v>0.70391270010120621</v>
      </c>
      <c r="Y78" s="120">
        <f t="shared" si="1"/>
        <v>0.65836127236121422</v>
      </c>
      <c r="Z78" s="121">
        <f t="shared" si="1"/>
        <v>0.60968777830489018</v>
      </c>
    </row>
    <row r="79" spans="1:26" x14ac:dyDescent="0.25">
      <c r="A79" s="7"/>
      <c r="B79" s="49"/>
      <c r="C79" s="100"/>
      <c r="D79" s="49"/>
      <c r="E79" s="50"/>
      <c r="F79" s="100"/>
      <c r="G79" s="50"/>
      <c r="H79" s="100"/>
      <c r="I79" s="50"/>
      <c r="J79" s="100"/>
      <c r="K79" s="50"/>
      <c r="L79" s="100"/>
      <c r="M79" s="50"/>
      <c r="N79" s="100"/>
      <c r="O79" s="50"/>
      <c r="P79" s="100"/>
      <c r="Q79" s="100"/>
      <c r="R79" s="50"/>
      <c r="S79" s="100"/>
      <c r="T79" s="50"/>
      <c r="U79" s="100"/>
      <c r="V79" s="100"/>
      <c r="W79" s="50"/>
      <c r="X79" s="100"/>
      <c r="Y79" s="100"/>
      <c r="Z79" s="52"/>
    </row>
    <row r="80" spans="1:26" x14ac:dyDescent="0.25">
      <c r="A80" s="7" t="s">
        <v>140</v>
      </c>
      <c r="B80" s="49"/>
      <c r="C80" s="100"/>
      <c r="D80" s="49"/>
      <c r="E80" s="50"/>
      <c r="F80" s="100"/>
      <c r="G80" s="50"/>
      <c r="H80" s="100"/>
      <c r="I80" s="50"/>
      <c r="J80" s="100"/>
      <c r="K80" s="50"/>
      <c r="L80" s="100"/>
      <c r="M80" s="50"/>
      <c r="N80" s="100"/>
      <c r="O80" s="50"/>
      <c r="P80" s="100"/>
      <c r="Q80" s="100"/>
      <c r="R80" s="50"/>
      <c r="S80" s="100"/>
      <c r="T80" s="50"/>
      <c r="U80" s="100"/>
      <c r="V80" s="100"/>
      <c r="W80" s="50"/>
      <c r="X80" s="100"/>
      <c r="Y80" s="100"/>
      <c r="Z80" s="52"/>
    </row>
    <row r="81" spans="1:26" x14ac:dyDescent="0.25">
      <c r="A81" s="7" t="s">
        <v>141</v>
      </c>
      <c r="B81" s="49"/>
      <c r="C81" s="100"/>
      <c r="D81" s="49">
        <f t="array" ref="D81">SUM($B49:$B74*D49:D74)</f>
        <v>1.304</v>
      </c>
      <c r="E81" s="50"/>
      <c r="F81" s="100">
        <f t="array" ref="F81">SUM($B49:$B74*F49:F74)</f>
        <v>0.89800000000000002</v>
      </c>
      <c r="G81" s="50">
        <f t="array" ref="G81">SUM($B49:$B74*G49:G74)</f>
        <v>1.6079999999999999</v>
      </c>
      <c r="H81" s="100">
        <f t="array" ref="H81">SUM($B49:$B74*H49:H74)</f>
        <v>1.31</v>
      </c>
      <c r="I81" s="50">
        <f t="array" ref="I81">SUM($B49:$B74*I49:I74)</f>
        <v>1.28</v>
      </c>
      <c r="J81" s="100">
        <f t="array" ref="J81">SUM($B49:$B74*J49:J74)</f>
        <v>1.3969999999999998</v>
      </c>
      <c r="K81" s="50">
        <f t="array" ref="K81">SUM($B49:$B74*K49:K74)</f>
        <v>1.087</v>
      </c>
      <c r="L81" s="100">
        <f t="array" ref="L81">SUM($B49:$B74*L49:L74)</f>
        <v>1.2829999999999999</v>
      </c>
      <c r="M81" s="50">
        <f t="array" ref="M81">SUM($B49:$B74*M49:M74)</f>
        <v>1.3129999999999999</v>
      </c>
      <c r="N81" s="100">
        <f t="array" ref="N81">SUM($B49:$B74*N49:N74)</f>
        <v>1.256</v>
      </c>
      <c r="O81" s="50">
        <f t="array" ref="O81">SUM($B49:$B74*O49:O74)</f>
        <v>1.4159999999999999</v>
      </c>
      <c r="P81" s="100">
        <f t="array" ref="P81">SUM($B49:$B74*P49:P74)</f>
        <v>1.3759999999999999</v>
      </c>
      <c r="Q81" s="100">
        <f t="array" ref="Q81">SUM($B49:$B74*Q49:Q74)</f>
        <v>1.3360000000000001</v>
      </c>
      <c r="R81" s="50">
        <f t="array" ref="R81">SUM($B49:$B74*R49:R74)</f>
        <v>1.256</v>
      </c>
      <c r="S81" s="100">
        <f t="array" ref="S81">SUM($B49:$B74*S49:S74)</f>
        <v>1.3199999999999998</v>
      </c>
      <c r="T81" s="50">
        <f t="array" ref="T81">SUM($B49:$B74*T49:T74)</f>
        <v>1.28</v>
      </c>
      <c r="U81" s="100">
        <f t="array" ref="U81">SUM($B49:$B74*U49:U74)</f>
        <v>1.22</v>
      </c>
      <c r="V81" s="100">
        <f t="array" ref="V81">SUM($B49:$B74*V49:V74)</f>
        <v>1.29</v>
      </c>
      <c r="W81" s="50">
        <f t="array" ref="W81">SUM($B49:$B74*W49:W74)</f>
        <v>1.3599999999999999</v>
      </c>
      <c r="X81" s="100">
        <f t="array" ref="X81">SUM($B49:$B74*X49:X74)</f>
        <v>1.484</v>
      </c>
      <c r="Y81" s="100">
        <f t="array" ref="Y81">SUM($B49:$B74*Y49:Y74)</f>
        <v>1.304</v>
      </c>
      <c r="Z81" s="52">
        <f t="array" ref="Z81">SUM($B49:$B74*Z49:Z74)</f>
        <v>1.1240000000000001</v>
      </c>
    </row>
    <row r="82" spans="1:26" ht="13" thickBot="1" x14ac:dyDescent="0.3">
      <c r="A82" s="11" t="s">
        <v>142</v>
      </c>
      <c r="B82" s="61"/>
      <c r="C82" s="119"/>
      <c r="D82" s="61">
        <f t="array" ref="D82">SUM($C49:$C74*D49:D74)</f>
        <v>0.65599999999999992</v>
      </c>
      <c r="E82" s="51"/>
      <c r="F82" s="119">
        <f t="array" ref="F82">SUM($C49:$C74*F49:F74)</f>
        <v>-0.623</v>
      </c>
      <c r="G82" s="51">
        <f t="array" ref="G82">SUM($C49:$C74*G49:G74)</f>
        <v>2.5469999999999997</v>
      </c>
      <c r="H82" s="119">
        <f t="array" ref="H82">SUM($C49:$C74*H49:H74)</f>
        <v>0.58199999999999985</v>
      </c>
      <c r="I82" s="51">
        <f t="array" ref="I82">SUM($C49:$C74*I49:I74)</f>
        <v>0.95199999999999985</v>
      </c>
      <c r="J82" s="119">
        <f t="array" ref="J82">SUM($C49:$C74*J49:J74)</f>
        <v>0.7669999999999999</v>
      </c>
      <c r="K82" s="51">
        <f t="array" ref="K82">SUM($C49:$C74*K49:K74)</f>
        <v>0.39700000000000002</v>
      </c>
      <c r="L82" s="119">
        <f t="array" ref="L82">SUM($C49:$C74*L49:L74)</f>
        <v>0.96399999999999986</v>
      </c>
      <c r="M82" s="51">
        <f t="array" ref="M82">SUM($C49:$C74*M49:M74)</f>
        <v>0.52400000000000002</v>
      </c>
      <c r="N82" s="119">
        <f t="array" ref="N82">SUM($C49:$C74*N49:N74)</f>
        <v>0.58399999999999985</v>
      </c>
      <c r="O82" s="51">
        <f t="array" ref="O82">SUM($C49:$C74*O49:O74)</f>
        <v>0.82400000000000007</v>
      </c>
      <c r="P82" s="119">
        <f t="array" ref="P82">SUM($C49:$C74*P49:P74)</f>
        <v>1.232</v>
      </c>
      <c r="Q82" s="119">
        <f t="array" ref="Q82">SUM($C49:$C74*Q49:Q74)</f>
        <v>0.91200000000000003</v>
      </c>
      <c r="R82" s="51">
        <f t="array" ref="R82">SUM($C49:$C74*R49:R74)</f>
        <v>0.27200000000000002</v>
      </c>
      <c r="S82" s="119">
        <f t="array" ref="S82">SUM($C49:$C74*S49:S74)</f>
        <v>0.53200000000000003</v>
      </c>
      <c r="T82" s="51">
        <f t="array" ref="T82">SUM($C49:$C74*T49:T74)</f>
        <v>0.84199999999999997</v>
      </c>
      <c r="U82" s="119">
        <f t="array" ref="U82">SUM($C49:$C74*U49:U74)</f>
        <v>0.69199999999999995</v>
      </c>
      <c r="V82" s="119">
        <f t="array" ref="V82">SUM($C49:$C74*V49:V74)</f>
        <v>0.66199999999999992</v>
      </c>
      <c r="W82" s="51">
        <f t="array" ref="W82">SUM($C49:$C74*W49:W74)</f>
        <v>0.6319999999999999</v>
      </c>
      <c r="X82" s="119">
        <f t="array" ref="X82">SUM($C49:$C74*X49:X74)</f>
        <v>0.86599999999999999</v>
      </c>
      <c r="Y82" s="119">
        <f t="array" ref="Y82">SUM($C49:$C74*Y49:Y74)</f>
        <v>0.65599999999999992</v>
      </c>
      <c r="Z82" s="62">
        <f t="array" ref="Z82">SUM($C49:$C74*Z49:Z74)</f>
        <v>0.44599999999999995</v>
      </c>
    </row>
    <row r="85" spans="1:26" ht="13" x14ac:dyDescent="0.3">
      <c r="A85" s="1" t="s">
        <v>233</v>
      </c>
    </row>
  </sheetData>
  <pageMargins left="0.22" right="0.25" top="1" bottom="1" header="0.51" footer="0.5"/>
  <pageSetup scale="85" orientation="landscape" horizontalDpi="0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problem 2.1</vt:lpstr>
      <vt:lpstr>problem 2.2</vt:lpstr>
      <vt:lpstr>problem 2.3</vt:lpstr>
      <vt:lpstr>problem 2.4</vt:lpstr>
      <vt:lpstr>problem 2.5</vt:lpstr>
      <vt:lpstr>problem 2.6</vt:lpstr>
      <vt:lpstr>problem 2.7</vt:lpstr>
      <vt:lpstr>-----------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policy issues in girls' schooling</dc:title>
  <dc:subject>part2: identifying possible solutions</dc:subject>
  <dc:creator>HDD</dc:creator>
  <cp:keywords/>
  <dc:description/>
  <cp:lastModifiedBy>Carina Negreanu</cp:lastModifiedBy>
  <dcterms:created xsi:type="dcterms:W3CDTF">2020-01-27T12:47:16Z</dcterms:created>
  <dcterms:modified xsi:type="dcterms:W3CDTF">2020-01-27T12:47:16Z</dcterms:modified>
</cp:coreProperties>
</file>