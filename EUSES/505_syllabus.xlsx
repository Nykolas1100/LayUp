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2F57FD-4167-46B6-B200-5CA6E374081B}" xr6:coauthVersionLast="45" xr6:coauthVersionMax="45" xr10:uidLastSave="{00000000-0000-0000-0000-000000000000}"/>
  <bookViews>
    <workbookView xWindow="3420" yWindow="3420" windowWidth="28800" windowHeight="15460"/>
  </bookViews>
  <sheets>
    <sheet name="Micro 505 Syllabu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5" l="1"/>
  <c r="B13" i="5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A12" i="5"/>
  <c r="D12" i="5" s="1"/>
  <c r="A13" i="5"/>
  <c r="C13" i="5" s="1"/>
  <c r="D11" i="5"/>
  <c r="C11" i="5"/>
  <c r="C12" i="5" l="1"/>
  <c r="A14" i="5"/>
  <c r="D13" i="5"/>
  <c r="D14" i="5" l="1"/>
  <c r="A15" i="5"/>
  <c r="C14" i="5"/>
  <c r="C15" i="5" l="1"/>
  <c r="D15" i="5"/>
  <c r="A16" i="5"/>
  <c r="D16" i="5" l="1"/>
  <c r="C16" i="5"/>
  <c r="A17" i="5"/>
  <c r="D17" i="5" l="1"/>
  <c r="C17" i="5"/>
  <c r="A18" i="5"/>
  <c r="A19" i="5" l="1"/>
  <c r="D18" i="5"/>
  <c r="C18" i="5"/>
  <c r="A20" i="5" l="1"/>
  <c r="D19" i="5"/>
  <c r="C19" i="5"/>
  <c r="A21" i="5" l="1"/>
  <c r="C20" i="5"/>
  <c r="D20" i="5"/>
  <c r="A22" i="5" l="1"/>
  <c r="D21" i="5"/>
  <c r="C21" i="5"/>
  <c r="C22" i="5" l="1"/>
  <c r="D22" i="5"/>
  <c r="A23" i="5"/>
  <c r="D23" i="5" l="1"/>
  <c r="C23" i="5"/>
  <c r="A24" i="5"/>
  <c r="C24" i="5" l="1"/>
  <c r="D24" i="5"/>
</calcChain>
</file>

<file path=xl/sharedStrings.xml><?xml version="1.0" encoding="utf-8"?>
<sst xmlns="http://schemas.openxmlformats.org/spreadsheetml/2006/main" count="119" uniqueCount="89">
  <si>
    <t>Course Outline for Microbiology 505 - "Introduction to Infectious Diseases"</t>
  </si>
  <si>
    <t>Lecture</t>
  </si>
  <si>
    <t>Mon</t>
  </si>
  <si>
    <t>Day</t>
  </si>
  <si>
    <t>Topic</t>
  </si>
  <si>
    <t>Lecturer</t>
  </si>
  <si>
    <t>Wed</t>
  </si>
  <si>
    <t>Fri</t>
  </si>
  <si>
    <t>The Dynamics of Infectious Diseases</t>
  </si>
  <si>
    <t>Huffnagle</t>
  </si>
  <si>
    <t>Books</t>
  </si>
  <si>
    <t>Month</t>
  </si>
  <si>
    <t>Date</t>
  </si>
  <si>
    <t>Dangerous Friends &amp; Friendly Enemies (Video)</t>
  </si>
  <si>
    <t>Fungi</t>
  </si>
  <si>
    <t>Impact of Infectious Diseases on History and Society</t>
  </si>
  <si>
    <t>Murray</t>
  </si>
  <si>
    <t>Supplemental References</t>
  </si>
  <si>
    <t>The Coming Plague by Laurie Garrett</t>
  </si>
  <si>
    <t>Plagues and People by William H. McNeil</t>
  </si>
  <si>
    <t>Armies of Pestilence: The Impact of Disease on History by RS Bray</t>
  </si>
  <si>
    <t>Guns, Germs, and Steel: The Fate of Human Societies by Jared Diamond</t>
  </si>
  <si>
    <t>Disease and History by Frederick Cartwright and Michael Biddiss</t>
  </si>
  <si>
    <t>The course will discuss concepts in microbial pathogenesis, explore a number of important pathogens in detail,</t>
  </si>
  <si>
    <t>describe the largely ignored impact of infectious diseases on major turning points in history, and highlight that societal</t>
  </si>
  <si>
    <t>evolution is also driving the emergence of new and previously unrecognized infectious diseases.</t>
  </si>
  <si>
    <r>
      <t>Course Objective</t>
    </r>
    <r>
      <rPr>
        <sz val="10"/>
        <rFont val="Arial"/>
        <family val="2"/>
      </rPr>
      <t xml:space="preserve"> - to introduce the student to the dynamics of host-pathogen interactions and illustrate how </t>
    </r>
  </si>
  <si>
    <t>infectious diseases has been and continues to be an ever-changing challenge for medicine and society.</t>
  </si>
  <si>
    <t>Medical Microbiology by Murray, Rosenthal, Kobayshi, Pfaller (Mosby Press)</t>
  </si>
  <si>
    <t>Medical Microbiology by Mims, Playfair, Roitt, Wakelin, Williams (Mosby Press)</t>
  </si>
  <si>
    <t>Host Defense - Innate Immunity</t>
  </si>
  <si>
    <t>Host Defense - Acquired Immunity</t>
  </si>
  <si>
    <t>Noverr / Huffnagle</t>
  </si>
  <si>
    <t>12-14</t>
  </si>
  <si>
    <t>Host Defense - Acquired Immunity and Pathology of Infections</t>
  </si>
  <si>
    <t>Microflora and Immune Regulation</t>
  </si>
  <si>
    <t>Concepts in Emerging Infections</t>
  </si>
  <si>
    <t>Unit 1 - Concepts in microbial pathogenesis and host defense</t>
  </si>
  <si>
    <t>10/6-11/5</t>
  </si>
  <si>
    <t>Unit 2 - Viral Pathogenesis and Disease</t>
  </si>
  <si>
    <t>Unit 3 - Bacterial Pathogenesis and Disease</t>
  </si>
  <si>
    <t>Telesnitsky</t>
  </si>
  <si>
    <t>DiRita</t>
  </si>
  <si>
    <t>15-27</t>
  </si>
  <si>
    <t>28-41</t>
  </si>
  <si>
    <t>11/7-12/10</t>
  </si>
  <si>
    <t>http://www.med.umich.edu/microbio/phd/505.htm</t>
  </si>
  <si>
    <t xml:space="preserve">PDFs are found at </t>
  </si>
  <si>
    <t>Lecturers</t>
  </si>
  <si>
    <t>Mairi Noverr, PhD - Post-doctoral fellow, Internal Medicine</t>
  </si>
  <si>
    <t>Gary Huffnagle, PhD - Associate Professor of Microbiology/Immunology and Internal Medicine  (ghuff@umich.edu, 936-9369)</t>
  </si>
  <si>
    <t>Alice Telesnitsky, PhD - Associate Professor of Microbiology/Immunology (ateles@umich.edu)</t>
  </si>
  <si>
    <t>Vic DiRita, PhD - Professor of Microbiology/Immunology (vdirita@umich.edu)</t>
  </si>
  <si>
    <t>Office Hours: by appointment</t>
  </si>
  <si>
    <t>Test (lectures 1-3, 7, 8-13)</t>
  </si>
  <si>
    <t>Smallpox- Deadly again? (Video) **</t>
  </si>
  <si>
    <t>**</t>
  </si>
  <si>
    <t>Grades</t>
  </si>
  <si>
    <t>Unit 1</t>
  </si>
  <si>
    <t>Unit 2</t>
  </si>
  <si>
    <t>Unit 3</t>
  </si>
  <si>
    <t>if grades are curved, it will be applied at the end of the course for the average of all three units</t>
  </si>
  <si>
    <t>Unit 1 - 50% paper, 50% test (short answer)</t>
  </si>
  <si>
    <t>Paper assigned (lectures 1-7) due 9/29 at the start of class - no electronic submissions!!!</t>
  </si>
  <si>
    <t xml:space="preserve">Chapters listed contain information discussed during lecture.  </t>
  </si>
  <si>
    <t xml:space="preserve">  Background Reading</t>
  </si>
  <si>
    <t>Other</t>
  </si>
  <si>
    <t>a, b</t>
  </si>
  <si>
    <t>Other Reading Material</t>
  </si>
  <si>
    <t>c</t>
  </si>
  <si>
    <t>a- Mims, Medical Microbiology, Chapter 7 (coursepack)</t>
  </si>
  <si>
    <t>b- Mims, Medical Microbiology, Chapter 8 (coursepack)</t>
  </si>
  <si>
    <t>c - Smallpox, or the conqueror conquered (coursepack)</t>
  </si>
  <si>
    <t xml:space="preserve">d- Woolhouse - "Population biology of emerging and re-emerging pathogens" (pdf) </t>
  </si>
  <si>
    <t>e- Harvell - "Climate Warming and Disease Risks for Terrestrial and Marine Biota" (pdf)</t>
  </si>
  <si>
    <t>d, e</t>
  </si>
  <si>
    <t>f</t>
  </si>
  <si>
    <t>f- Medzhitov - "Innate Immunity" (pdf)</t>
  </si>
  <si>
    <t>g- Casadevall - "Host-Pathogen Interactions: Basic Concepts of Microbial Commensalism, Colonization, Infection, and Disease"</t>
  </si>
  <si>
    <t>h- Casdaevall - "Host-Pathogen Interactions: The Attributes of Virulence"</t>
  </si>
  <si>
    <t xml:space="preserve">i- Casadevall- "Host Pathogen Interactions: Redefining the Basic Concepts of Virulence and Pathogenicity" </t>
  </si>
  <si>
    <t>g,h,i</t>
  </si>
  <si>
    <t>g, h, i, j, k, l</t>
  </si>
  <si>
    <t>j- Tannock - The Normal Microflora (coursepack)</t>
  </si>
  <si>
    <t>k- Probiotics and prebiotics (coursepack)</t>
  </si>
  <si>
    <t>l- Wills-Karp- Germless Theory of Allergic Disease (pdf)</t>
  </si>
  <si>
    <t>12-14,19,46</t>
  </si>
  <si>
    <t>7,66,69-71</t>
  </si>
  <si>
    <t>Coursepacks available at Dollar Bill Copying on Church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</si>
</sst>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8"/>
      <name val="Arial"/>
    </font>
    <font>
      <u/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16" fontId="3" fillId="0" borderId="0" xfId="0" applyNumberFormat="1" applyFont="1" applyAlignment="1">
      <alignment horizontal="center"/>
    </xf>
    <xf numFmtId="16" fontId="3" fillId="0" borderId="0" xfId="0" quotePrefix="1" applyNumberFormat="1" applyFont="1" applyAlignment="1">
      <alignment horizontal="center"/>
    </xf>
    <xf numFmtId="9" fontId="3" fillId="0" borderId="0" xfId="0" applyNumberFormat="1" applyFont="1"/>
    <xf numFmtId="0" fontId="1" fillId="0" borderId="0" xfId="0" applyFont="1" applyAlignment="1">
      <alignment horizontal="right"/>
    </xf>
    <xf numFmtId="0" fontId="7" fillId="0" borderId="0" xfId="1" applyAlignment="1" applyProtection="1"/>
    <xf numFmtId="16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d.umich.edu/microbio/phd/505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tabSelected="1" topLeftCell="A31" workbookViewId="0">
      <selection activeCell="G53" sqref="G53"/>
    </sheetView>
  </sheetViews>
  <sheetFormatPr defaultRowHeight="12.5" x14ac:dyDescent="0.25"/>
  <cols>
    <col min="1" max="1" width="1.26953125" customWidth="1"/>
    <col min="2" max="2" width="8" customWidth="1"/>
    <col min="3" max="3" width="7.453125" customWidth="1"/>
    <col min="4" max="4" width="4.453125" style="10" customWidth="1"/>
    <col min="5" max="5" width="6.26953125" customWidth="1"/>
    <col min="6" max="6" width="52.54296875" customWidth="1"/>
    <col min="7" max="7" width="17" customWidth="1"/>
    <col min="8" max="8" width="13.26953125" style="10" customWidth="1"/>
    <col min="9" max="9" width="13.54296875" style="7" customWidth="1"/>
    <col min="10" max="10" width="24.1796875" customWidth="1"/>
  </cols>
  <sheetData>
    <row r="1" spans="1:10" s="13" customFormat="1" ht="18" x14ac:dyDescent="0.4">
      <c r="A1" s="11"/>
      <c r="B1" s="11"/>
      <c r="C1" s="12" t="s">
        <v>0</v>
      </c>
      <c r="D1" s="11"/>
      <c r="E1" s="11"/>
      <c r="F1" s="11"/>
      <c r="G1" s="11"/>
      <c r="H1" s="11"/>
      <c r="I1" s="11"/>
    </row>
    <row r="2" spans="1:10" ht="13" x14ac:dyDescent="0.3">
      <c r="A2" s="7"/>
      <c r="B2" s="7"/>
      <c r="C2" s="1"/>
      <c r="D2" s="7"/>
      <c r="E2" s="7"/>
      <c r="F2" s="7"/>
      <c r="G2" s="7"/>
      <c r="H2" s="3"/>
      <c r="I2" s="3"/>
      <c r="J2" s="8"/>
    </row>
    <row r="3" spans="1:10" ht="13" x14ac:dyDescent="0.3">
      <c r="A3" s="7"/>
      <c r="B3" s="1" t="s">
        <v>26</v>
      </c>
      <c r="C3" s="1"/>
      <c r="D3" s="7"/>
      <c r="E3" s="7"/>
      <c r="F3" s="7"/>
      <c r="G3" s="7"/>
      <c r="H3" s="3"/>
      <c r="I3" s="3"/>
      <c r="J3" s="8"/>
    </row>
    <row r="4" spans="1:10" s="14" customFormat="1" ht="13" x14ac:dyDescent="0.3">
      <c r="A4" s="5"/>
      <c r="B4" s="5" t="s">
        <v>27</v>
      </c>
      <c r="C4" s="1"/>
      <c r="D4" s="5"/>
      <c r="E4" s="5"/>
      <c r="F4" s="5"/>
      <c r="G4" s="5"/>
      <c r="H4" s="1"/>
      <c r="I4" s="1"/>
      <c r="J4" s="5"/>
    </row>
    <row r="5" spans="1:10" s="14" customFormat="1" ht="13" x14ac:dyDescent="0.3">
      <c r="A5" s="5"/>
      <c r="B5" s="5" t="s">
        <v>23</v>
      </c>
      <c r="C5" s="1"/>
      <c r="D5" s="5"/>
      <c r="E5" s="5"/>
      <c r="F5" s="5"/>
      <c r="G5" s="5"/>
      <c r="H5" s="1"/>
      <c r="I5" s="1"/>
      <c r="J5" s="5"/>
    </row>
    <row r="6" spans="1:10" s="14" customFormat="1" ht="13" x14ac:dyDescent="0.3">
      <c r="A6" s="5"/>
      <c r="B6" s="5" t="s">
        <v>24</v>
      </c>
      <c r="C6" s="1"/>
      <c r="D6" s="5"/>
      <c r="E6" s="5"/>
      <c r="F6" s="5"/>
      <c r="G6" s="5"/>
      <c r="H6" s="1"/>
      <c r="I6" s="1"/>
      <c r="J6" s="5"/>
    </row>
    <row r="7" spans="1:10" s="14" customFormat="1" ht="13" x14ac:dyDescent="0.3">
      <c r="A7" s="5"/>
      <c r="B7" s="5" t="s">
        <v>25</v>
      </c>
      <c r="C7" s="1"/>
      <c r="D7" s="5"/>
      <c r="E7" s="5"/>
      <c r="F7" s="5"/>
      <c r="G7" s="5"/>
      <c r="H7" s="1"/>
      <c r="I7" s="1"/>
      <c r="J7" s="5"/>
    </row>
    <row r="8" spans="1:10" s="14" customFormat="1" ht="13" x14ac:dyDescent="0.3">
      <c r="A8" s="5"/>
      <c r="B8" s="5"/>
      <c r="C8" s="1"/>
      <c r="D8" s="5"/>
      <c r="E8" s="5"/>
      <c r="F8" s="5"/>
      <c r="G8" s="5"/>
      <c r="I8" s="5"/>
    </row>
    <row r="9" spans="1:10" s="14" customFormat="1" ht="13" x14ac:dyDescent="0.3">
      <c r="A9" s="5"/>
      <c r="B9" s="5"/>
      <c r="C9" s="1"/>
      <c r="D9" s="5"/>
      <c r="E9" s="5"/>
      <c r="F9" s="4" t="s">
        <v>37</v>
      </c>
      <c r="G9" s="5"/>
      <c r="H9" s="18" t="s">
        <v>65</v>
      </c>
      <c r="I9" s="1"/>
      <c r="J9" s="5"/>
    </row>
    <row r="10" spans="1:10" ht="13" x14ac:dyDescent="0.3">
      <c r="A10" s="9"/>
      <c r="B10" s="3" t="s">
        <v>1</v>
      </c>
      <c r="C10" s="3" t="s">
        <v>11</v>
      </c>
      <c r="D10" s="3" t="s">
        <v>12</v>
      </c>
      <c r="E10" s="3" t="s">
        <v>3</v>
      </c>
      <c r="F10" s="1" t="s">
        <v>4</v>
      </c>
      <c r="G10" s="4" t="s">
        <v>5</v>
      </c>
      <c r="H10" s="3" t="s">
        <v>16</v>
      </c>
      <c r="I10" s="3" t="s">
        <v>66</v>
      </c>
    </row>
    <row r="11" spans="1:10" x14ac:dyDescent="0.25">
      <c r="A11" s="9">
        <v>247</v>
      </c>
      <c r="B11" s="7">
        <v>1</v>
      </c>
      <c r="C11" s="7">
        <f t="shared" ref="C11:C24" si="0">MONTH(A11)</f>
        <v>9</v>
      </c>
      <c r="D11" s="7">
        <f t="shared" ref="D11:D24" si="1">DAY(A11)</f>
        <v>3</v>
      </c>
      <c r="E11" s="7" t="s">
        <v>6</v>
      </c>
      <c r="F11" s="8" t="s">
        <v>8</v>
      </c>
      <c r="G11" t="s">
        <v>9</v>
      </c>
      <c r="H11" s="7">
        <v>1</v>
      </c>
      <c r="I11" s="7" t="s">
        <v>67</v>
      </c>
      <c r="J11" s="8"/>
    </row>
    <row r="12" spans="1:10" x14ac:dyDescent="0.25">
      <c r="A12" s="9">
        <f>A11+2</f>
        <v>249</v>
      </c>
      <c r="B12" s="7">
        <f t="shared" ref="B12:B24" si="2">B11+1</f>
        <v>2</v>
      </c>
      <c r="C12" s="7">
        <f t="shared" si="0"/>
        <v>9</v>
      </c>
      <c r="D12" s="7">
        <f t="shared" si="1"/>
        <v>5</v>
      </c>
      <c r="E12" s="7" t="s">
        <v>7</v>
      </c>
      <c r="F12" t="s">
        <v>13</v>
      </c>
      <c r="G12" t="s">
        <v>9</v>
      </c>
      <c r="J12" s="8"/>
    </row>
    <row r="13" spans="1:10" x14ac:dyDescent="0.25">
      <c r="A13" s="9">
        <f>A12+3</f>
        <v>252</v>
      </c>
      <c r="B13" s="7">
        <f t="shared" si="2"/>
        <v>3</v>
      </c>
      <c r="C13" s="7">
        <f t="shared" si="0"/>
        <v>9</v>
      </c>
      <c r="D13" s="7">
        <f t="shared" si="1"/>
        <v>8</v>
      </c>
      <c r="E13" s="7" t="s">
        <v>2</v>
      </c>
      <c r="F13" s="8" t="s">
        <v>8</v>
      </c>
      <c r="G13" t="s">
        <v>9</v>
      </c>
      <c r="H13" s="7">
        <v>1</v>
      </c>
      <c r="I13" s="7" t="s">
        <v>67</v>
      </c>
      <c r="J13" s="8"/>
    </row>
    <row r="14" spans="1:10" x14ac:dyDescent="0.25">
      <c r="A14" s="9">
        <f>A13+2</f>
        <v>254</v>
      </c>
      <c r="B14" s="7">
        <f t="shared" si="2"/>
        <v>4</v>
      </c>
      <c r="C14" s="7">
        <f t="shared" si="0"/>
        <v>9</v>
      </c>
      <c r="D14" s="7">
        <f t="shared" si="1"/>
        <v>10</v>
      </c>
      <c r="E14" s="7" t="s">
        <v>6</v>
      </c>
      <c r="F14" t="s">
        <v>15</v>
      </c>
      <c r="G14" t="s">
        <v>9</v>
      </c>
      <c r="I14" s="7" t="s">
        <v>69</v>
      </c>
    </row>
    <row r="15" spans="1:10" x14ac:dyDescent="0.25">
      <c r="A15" s="9">
        <f>A14+2</f>
        <v>256</v>
      </c>
      <c r="B15" s="7">
        <f t="shared" si="2"/>
        <v>5</v>
      </c>
      <c r="C15" s="7">
        <f t="shared" si="0"/>
        <v>9</v>
      </c>
      <c r="D15" s="7">
        <f t="shared" si="1"/>
        <v>12</v>
      </c>
      <c r="E15" s="7" t="s">
        <v>7</v>
      </c>
      <c r="F15" t="s">
        <v>15</v>
      </c>
      <c r="G15" t="s">
        <v>9</v>
      </c>
      <c r="I15" s="7" t="s">
        <v>69</v>
      </c>
    </row>
    <row r="16" spans="1:10" x14ac:dyDescent="0.25">
      <c r="A16" s="9">
        <f>A15+3</f>
        <v>259</v>
      </c>
      <c r="B16" s="7">
        <f t="shared" si="2"/>
        <v>6</v>
      </c>
      <c r="C16" s="7">
        <f t="shared" si="0"/>
        <v>9</v>
      </c>
      <c r="D16" s="7">
        <f t="shared" si="1"/>
        <v>15</v>
      </c>
      <c r="E16" s="7" t="s">
        <v>2</v>
      </c>
      <c r="F16" t="s">
        <v>36</v>
      </c>
      <c r="G16" t="s">
        <v>9</v>
      </c>
      <c r="I16" s="7" t="s">
        <v>75</v>
      </c>
      <c r="J16" s="8"/>
    </row>
    <row r="17" spans="1:10" x14ac:dyDescent="0.25">
      <c r="A17" s="9">
        <f>A16+2</f>
        <v>261</v>
      </c>
      <c r="B17" s="7">
        <f t="shared" si="2"/>
        <v>7</v>
      </c>
      <c r="C17" s="7">
        <f t="shared" si="0"/>
        <v>9</v>
      </c>
      <c r="D17" s="7">
        <f t="shared" si="1"/>
        <v>17</v>
      </c>
      <c r="E17" s="7" t="s">
        <v>6</v>
      </c>
      <c r="F17" t="s">
        <v>55</v>
      </c>
      <c r="G17" t="s">
        <v>9</v>
      </c>
      <c r="I17" s="7" t="s">
        <v>69</v>
      </c>
      <c r="J17" s="8"/>
    </row>
    <row r="18" spans="1:10" x14ac:dyDescent="0.25">
      <c r="A18" s="9">
        <f>A17+2</f>
        <v>263</v>
      </c>
      <c r="B18" s="7">
        <f t="shared" si="2"/>
        <v>8</v>
      </c>
      <c r="C18" s="7">
        <f t="shared" si="0"/>
        <v>9</v>
      </c>
      <c r="D18" s="7">
        <f t="shared" si="1"/>
        <v>19</v>
      </c>
      <c r="E18" s="7" t="s">
        <v>7</v>
      </c>
      <c r="F18" t="s">
        <v>30</v>
      </c>
      <c r="G18" t="s">
        <v>9</v>
      </c>
      <c r="H18" s="10">
        <v>11</v>
      </c>
      <c r="I18" s="7" t="s">
        <v>76</v>
      </c>
      <c r="J18" s="8"/>
    </row>
    <row r="19" spans="1:10" x14ac:dyDescent="0.25">
      <c r="A19" s="9">
        <f>A18+3</f>
        <v>266</v>
      </c>
      <c r="B19" s="7">
        <f t="shared" si="2"/>
        <v>9</v>
      </c>
      <c r="C19" s="7">
        <f t="shared" si="0"/>
        <v>9</v>
      </c>
      <c r="D19" s="7">
        <f t="shared" si="1"/>
        <v>22</v>
      </c>
      <c r="E19" s="7" t="s">
        <v>2</v>
      </c>
      <c r="F19" t="s">
        <v>31</v>
      </c>
      <c r="G19" t="s">
        <v>9</v>
      </c>
      <c r="H19" s="16" t="s">
        <v>33</v>
      </c>
      <c r="J19" s="8"/>
    </row>
    <row r="20" spans="1:10" x14ac:dyDescent="0.25">
      <c r="A20" s="9">
        <f>A19+2</f>
        <v>268</v>
      </c>
      <c r="B20" s="7">
        <f t="shared" si="2"/>
        <v>10</v>
      </c>
      <c r="C20" s="7">
        <f t="shared" si="0"/>
        <v>9</v>
      </c>
      <c r="D20" s="7">
        <f t="shared" si="1"/>
        <v>24</v>
      </c>
      <c r="E20" s="7" t="s">
        <v>6</v>
      </c>
      <c r="F20" t="s">
        <v>34</v>
      </c>
      <c r="G20" t="s">
        <v>9</v>
      </c>
      <c r="H20" s="20" t="s">
        <v>86</v>
      </c>
      <c r="I20" s="7" t="s">
        <v>81</v>
      </c>
      <c r="J20" s="8"/>
    </row>
    <row r="21" spans="1:10" x14ac:dyDescent="0.25">
      <c r="A21" s="9">
        <f>A20+2</f>
        <v>270</v>
      </c>
      <c r="B21" s="7">
        <f t="shared" si="2"/>
        <v>11</v>
      </c>
      <c r="C21" s="7">
        <f t="shared" si="0"/>
        <v>9</v>
      </c>
      <c r="D21" s="7">
        <f t="shared" si="1"/>
        <v>26</v>
      </c>
      <c r="E21" s="7" t="s">
        <v>7</v>
      </c>
      <c r="F21" t="s">
        <v>14</v>
      </c>
      <c r="G21" t="s">
        <v>9</v>
      </c>
      <c r="H21" s="10" t="s">
        <v>87</v>
      </c>
    </row>
    <row r="22" spans="1:10" x14ac:dyDescent="0.25">
      <c r="A22" s="9">
        <f>A21+3</f>
        <v>273</v>
      </c>
      <c r="B22" s="7">
        <f t="shared" si="2"/>
        <v>12</v>
      </c>
      <c r="C22" s="7">
        <f t="shared" si="0"/>
        <v>9</v>
      </c>
      <c r="D22" s="7">
        <f t="shared" si="1"/>
        <v>29</v>
      </c>
      <c r="E22" s="7" t="s">
        <v>2</v>
      </c>
      <c r="F22" t="s">
        <v>35</v>
      </c>
      <c r="G22" t="s">
        <v>32</v>
      </c>
      <c r="I22" s="10" t="s">
        <v>82</v>
      </c>
    </row>
    <row r="23" spans="1:10" x14ac:dyDescent="0.25">
      <c r="A23" s="9">
        <f>A22+2</f>
        <v>275</v>
      </c>
      <c r="B23" s="7">
        <f t="shared" si="2"/>
        <v>13</v>
      </c>
      <c r="C23" s="7">
        <f t="shared" si="0"/>
        <v>10</v>
      </c>
      <c r="D23" s="7">
        <f t="shared" si="1"/>
        <v>1</v>
      </c>
      <c r="E23" s="7" t="s">
        <v>6</v>
      </c>
      <c r="F23" t="s">
        <v>35</v>
      </c>
      <c r="G23" t="s">
        <v>32</v>
      </c>
      <c r="I23" s="10" t="s">
        <v>82</v>
      </c>
    </row>
    <row r="24" spans="1:10" x14ac:dyDescent="0.25">
      <c r="A24" s="9">
        <f>A23+2</f>
        <v>277</v>
      </c>
      <c r="B24" s="7">
        <f t="shared" si="2"/>
        <v>14</v>
      </c>
      <c r="C24" s="7">
        <f t="shared" si="0"/>
        <v>10</v>
      </c>
      <c r="D24" s="7">
        <f t="shared" si="1"/>
        <v>3</v>
      </c>
      <c r="E24" s="7" t="s">
        <v>7</v>
      </c>
      <c r="F24" t="s">
        <v>54</v>
      </c>
      <c r="G24" t="s">
        <v>9</v>
      </c>
      <c r="J24" s="8"/>
    </row>
    <row r="25" spans="1:10" x14ac:dyDescent="0.25">
      <c r="B25" s="7"/>
      <c r="C25" s="7"/>
      <c r="D25" s="7"/>
      <c r="E25" s="7" t="s">
        <v>56</v>
      </c>
      <c r="F25" t="s">
        <v>63</v>
      </c>
    </row>
    <row r="26" spans="1:10" x14ac:dyDescent="0.25">
      <c r="B26" s="7"/>
      <c r="C26" s="7"/>
      <c r="D26" s="7"/>
      <c r="E26" s="7"/>
    </row>
    <row r="27" spans="1:10" ht="13" x14ac:dyDescent="0.3">
      <c r="B27" s="7" t="s">
        <v>43</v>
      </c>
      <c r="C27" s="5" t="s">
        <v>38</v>
      </c>
      <c r="D27" s="7"/>
      <c r="E27" s="7"/>
      <c r="F27" s="4" t="s">
        <v>39</v>
      </c>
      <c r="G27" s="5" t="s">
        <v>41</v>
      </c>
    </row>
    <row r="28" spans="1:10" ht="13" x14ac:dyDescent="0.3">
      <c r="B28" s="7" t="s">
        <v>44</v>
      </c>
      <c r="C28" s="5" t="s">
        <v>45</v>
      </c>
      <c r="D28" s="7"/>
      <c r="E28" s="7"/>
      <c r="F28" s="4" t="s">
        <v>40</v>
      </c>
      <c r="G28" s="5" t="s">
        <v>42</v>
      </c>
    </row>
    <row r="29" spans="1:10" x14ac:dyDescent="0.25">
      <c r="B29" s="7"/>
      <c r="C29" s="7"/>
      <c r="D29" s="7"/>
      <c r="E29" s="7"/>
    </row>
    <row r="30" spans="1:10" ht="13" x14ac:dyDescent="0.3">
      <c r="B30" s="4" t="s">
        <v>57</v>
      </c>
      <c r="C30" t="s">
        <v>61</v>
      </c>
    </row>
    <row r="31" spans="1:10" s="8" customFormat="1" x14ac:dyDescent="0.25">
      <c r="B31" s="8" t="s">
        <v>58</v>
      </c>
      <c r="C31" s="17">
        <v>0.33</v>
      </c>
      <c r="D31" s="7"/>
      <c r="F31" s="8" t="s">
        <v>62</v>
      </c>
      <c r="H31" s="7"/>
      <c r="I31" s="7"/>
    </row>
    <row r="32" spans="1:10" s="8" customFormat="1" x14ac:dyDescent="0.25">
      <c r="B32" s="8" t="s">
        <v>59</v>
      </c>
      <c r="C32" s="17">
        <v>0.33</v>
      </c>
      <c r="D32" s="7"/>
      <c r="H32" s="7"/>
      <c r="I32" s="7"/>
    </row>
    <row r="33" spans="2:9" s="8" customFormat="1" x14ac:dyDescent="0.25">
      <c r="B33" s="8" t="s">
        <v>60</v>
      </c>
      <c r="C33" s="17">
        <v>0.33</v>
      </c>
      <c r="D33" s="7"/>
      <c r="H33" s="7"/>
      <c r="I33" s="7"/>
    </row>
    <row r="34" spans="2:9" ht="13" x14ac:dyDescent="0.3">
      <c r="B34" s="4"/>
    </row>
    <row r="35" spans="2:9" ht="13" x14ac:dyDescent="0.3">
      <c r="B35" s="4" t="s">
        <v>10</v>
      </c>
    </row>
    <row r="36" spans="2:9" x14ac:dyDescent="0.25">
      <c r="B36" s="14" t="s">
        <v>28</v>
      </c>
    </row>
    <row r="37" spans="2:9" x14ac:dyDescent="0.25">
      <c r="B37" s="8" t="s">
        <v>64</v>
      </c>
      <c r="D37"/>
    </row>
    <row r="38" spans="2:9" x14ac:dyDescent="0.25">
      <c r="B38" s="8"/>
      <c r="D38"/>
    </row>
    <row r="39" spans="2:9" ht="13" x14ac:dyDescent="0.3">
      <c r="B39" s="4" t="s">
        <v>68</v>
      </c>
      <c r="D39"/>
    </row>
    <row r="40" spans="2:9" x14ac:dyDescent="0.25">
      <c r="B40" s="8" t="s">
        <v>70</v>
      </c>
      <c r="C40" s="8"/>
      <c r="D40" s="8"/>
      <c r="E40" s="8"/>
      <c r="F40" s="8"/>
    </row>
    <row r="41" spans="2:9" x14ac:dyDescent="0.25">
      <c r="B41" s="8" t="s">
        <v>71</v>
      </c>
      <c r="C41" s="8"/>
      <c r="D41" s="8"/>
      <c r="E41" s="8"/>
      <c r="F41" s="8"/>
    </row>
    <row r="42" spans="2:9" x14ac:dyDescent="0.25">
      <c r="B42" s="8" t="s">
        <v>72</v>
      </c>
    </row>
    <row r="43" spans="2:9" x14ac:dyDescent="0.25">
      <c r="B43" s="8" t="s">
        <v>73</v>
      </c>
      <c r="C43" s="8"/>
      <c r="D43" s="8"/>
      <c r="E43" s="8"/>
      <c r="F43" s="8"/>
    </row>
    <row r="44" spans="2:9" x14ac:dyDescent="0.25">
      <c r="B44" s="8" t="s">
        <v>74</v>
      </c>
      <c r="C44" s="8"/>
      <c r="D44" s="8"/>
      <c r="E44" s="8"/>
      <c r="F44" s="8"/>
    </row>
    <row r="45" spans="2:9" x14ac:dyDescent="0.25">
      <c r="B45" s="8" t="s">
        <v>77</v>
      </c>
      <c r="C45" s="8"/>
      <c r="D45" s="8"/>
      <c r="E45" s="8"/>
      <c r="F45" s="8"/>
    </row>
    <row r="46" spans="2:9" x14ac:dyDescent="0.25">
      <c r="B46" s="8" t="s">
        <v>78</v>
      </c>
      <c r="C46" s="8"/>
      <c r="D46" s="8"/>
      <c r="E46" s="8"/>
      <c r="F46" s="8"/>
    </row>
    <row r="47" spans="2:9" x14ac:dyDescent="0.25">
      <c r="B47" s="8" t="s">
        <v>79</v>
      </c>
    </row>
    <row r="48" spans="2:9" x14ac:dyDescent="0.25">
      <c r="B48" s="8" t="s">
        <v>80</v>
      </c>
      <c r="C48" s="8"/>
      <c r="D48" s="8"/>
      <c r="E48" s="8"/>
      <c r="F48" s="8"/>
      <c r="G48" s="8"/>
    </row>
    <row r="49" spans="2:7" x14ac:dyDescent="0.25">
      <c r="B49" s="8" t="s">
        <v>83</v>
      </c>
      <c r="C49" s="8"/>
      <c r="D49" s="8"/>
      <c r="E49" s="8"/>
      <c r="F49" s="8"/>
      <c r="G49" s="8"/>
    </row>
    <row r="50" spans="2:7" x14ac:dyDescent="0.25">
      <c r="B50" s="8" t="s">
        <v>84</v>
      </c>
    </row>
    <row r="51" spans="2:7" x14ac:dyDescent="0.25">
      <c r="B51" s="8" t="s">
        <v>85</v>
      </c>
    </row>
    <row r="52" spans="2:7" x14ac:dyDescent="0.25">
      <c r="B52" s="8"/>
    </row>
    <row r="53" spans="2:7" x14ac:dyDescent="0.25">
      <c r="B53" s="8" t="s">
        <v>47</v>
      </c>
      <c r="D53"/>
      <c r="E53" s="19" t="s">
        <v>46</v>
      </c>
    </row>
    <row r="54" spans="2:7" x14ac:dyDescent="0.25">
      <c r="B54" s="8" t="s">
        <v>88</v>
      </c>
    </row>
    <row r="55" spans="2:7" ht="13" x14ac:dyDescent="0.3">
      <c r="B55" s="4"/>
      <c r="D55"/>
    </row>
    <row r="56" spans="2:7" ht="13" x14ac:dyDescent="0.3">
      <c r="B56" s="4" t="s">
        <v>17</v>
      </c>
      <c r="D56"/>
    </row>
    <row r="57" spans="2:7" ht="13" x14ac:dyDescent="0.3">
      <c r="B57" s="4"/>
      <c r="D57" t="s">
        <v>29</v>
      </c>
    </row>
    <row r="58" spans="2:7" ht="13" x14ac:dyDescent="0.3">
      <c r="B58" s="4"/>
      <c r="D58" t="s">
        <v>19</v>
      </c>
    </row>
    <row r="59" spans="2:7" ht="13" x14ac:dyDescent="0.3">
      <c r="B59" s="4"/>
      <c r="D59" t="s">
        <v>18</v>
      </c>
    </row>
    <row r="60" spans="2:7" x14ac:dyDescent="0.25">
      <c r="D60" s="14" t="s">
        <v>21</v>
      </c>
    </row>
    <row r="61" spans="2:7" x14ac:dyDescent="0.25">
      <c r="D61" s="14" t="s">
        <v>20</v>
      </c>
    </row>
    <row r="62" spans="2:7" x14ac:dyDescent="0.25">
      <c r="D62" s="14" t="s">
        <v>22</v>
      </c>
    </row>
    <row r="64" spans="2:7" ht="13" x14ac:dyDescent="0.3">
      <c r="B64" s="4" t="s">
        <v>48</v>
      </c>
    </row>
    <row r="65" spans="2:9" ht="13" x14ac:dyDescent="0.3">
      <c r="B65" s="6" t="s">
        <v>50</v>
      </c>
      <c r="H65" s="1"/>
      <c r="I65" s="4"/>
    </row>
    <row r="66" spans="2:9" ht="13" x14ac:dyDescent="0.3">
      <c r="B66" s="6"/>
      <c r="C66" t="s">
        <v>53</v>
      </c>
      <c r="H66" s="1"/>
      <c r="I66" s="4"/>
    </row>
    <row r="67" spans="2:9" x14ac:dyDescent="0.25">
      <c r="B67" s="6" t="s">
        <v>49</v>
      </c>
      <c r="H67" s="14"/>
      <c r="I67" s="8"/>
    </row>
    <row r="68" spans="2:9" x14ac:dyDescent="0.25">
      <c r="B68" s="6"/>
      <c r="H68" s="14"/>
      <c r="I68" s="8"/>
    </row>
    <row r="69" spans="2:9" x14ac:dyDescent="0.25">
      <c r="B69" s="5" t="s">
        <v>51</v>
      </c>
    </row>
    <row r="70" spans="2:9" x14ac:dyDescent="0.25">
      <c r="B70" s="8" t="s">
        <v>52</v>
      </c>
    </row>
    <row r="72" spans="2:9" x14ac:dyDescent="0.25">
      <c r="B72" s="8"/>
    </row>
    <row r="73" spans="2:9" x14ac:dyDescent="0.25">
      <c r="B73" s="5"/>
    </row>
    <row r="74" spans="2:9" x14ac:dyDescent="0.25">
      <c r="B74" s="5"/>
    </row>
    <row r="77" spans="2:9" ht="13" x14ac:dyDescent="0.3">
      <c r="F77" s="3"/>
      <c r="G77" s="3"/>
    </row>
    <row r="78" spans="2:9" ht="13" x14ac:dyDescent="0.3">
      <c r="B78" s="4"/>
      <c r="E78" s="3"/>
      <c r="F78" s="10"/>
      <c r="G78" s="10"/>
    </row>
    <row r="79" spans="2:9" x14ac:dyDescent="0.25">
      <c r="E79" s="10"/>
      <c r="F79" s="10"/>
      <c r="G79" s="10"/>
    </row>
    <row r="80" spans="2:9" x14ac:dyDescent="0.25">
      <c r="E80" s="10"/>
      <c r="F80" s="10"/>
      <c r="G80" s="10"/>
    </row>
    <row r="81" spans="5:10" x14ac:dyDescent="0.25">
      <c r="E81" s="10"/>
      <c r="F81" s="10"/>
      <c r="G81" s="10"/>
    </row>
    <row r="82" spans="5:10" x14ac:dyDescent="0.25">
      <c r="E82" s="10"/>
      <c r="F82" s="10"/>
      <c r="G82" s="10"/>
    </row>
    <row r="83" spans="5:10" x14ac:dyDescent="0.25">
      <c r="F83" s="10"/>
      <c r="G83" s="10"/>
    </row>
    <row r="87" spans="5:10" x14ac:dyDescent="0.25">
      <c r="E87" s="10"/>
      <c r="F87" s="10"/>
      <c r="G87" s="10"/>
    </row>
    <row r="90" spans="5:10" x14ac:dyDescent="0.25">
      <c r="H90" s="7"/>
      <c r="J90" s="8"/>
    </row>
    <row r="91" spans="5:10" x14ac:dyDescent="0.25">
      <c r="H91" s="7"/>
      <c r="J91" s="8"/>
    </row>
    <row r="92" spans="5:10" x14ac:dyDescent="0.25">
      <c r="H92" s="7"/>
      <c r="J92" s="8"/>
    </row>
    <row r="93" spans="5:10" x14ac:dyDescent="0.25">
      <c r="H93" s="7"/>
      <c r="J93" s="8"/>
    </row>
    <row r="94" spans="5:10" x14ac:dyDescent="0.25">
      <c r="H94" s="7"/>
      <c r="J94" s="8"/>
    </row>
    <row r="95" spans="5:10" x14ac:dyDescent="0.25">
      <c r="H95" s="7"/>
      <c r="J95" s="8"/>
    </row>
    <row r="96" spans="5:10" x14ac:dyDescent="0.25">
      <c r="H96" s="7"/>
      <c r="J96" s="8"/>
    </row>
    <row r="97" spans="8:10" x14ac:dyDescent="0.25">
      <c r="H97" s="7"/>
      <c r="J97" s="8"/>
    </row>
    <row r="98" spans="8:10" x14ac:dyDescent="0.25">
      <c r="H98" s="7"/>
      <c r="J98" s="8"/>
    </row>
    <row r="99" spans="8:10" x14ac:dyDescent="0.25">
      <c r="H99" s="7"/>
      <c r="J99" s="8"/>
    </row>
    <row r="100" spans="8:10" x14ac:dyDescent="0.25">
      <c r="H100" s="7"/>
      <c r="J100" s="8"/>
    </row>
    <row r="101" spans="8:10" x14ac:dyDescent="0.25">
      <c r="H101" s="7"/>
      <c r="J101" s="8"/>
    </row>
    <row r="102" spans="8:10" x14ac:dyDescent="0.25">
      <c r="H102" s="7"/>
      <c r="J102" s="8"/>
    </row>
    <row r="103" spans="8:10" x14ac:dyDescent="0.25">
      <c r="H103" s="7"/>
      <c r="J103" s="8"/>
    </row>
    <row r="104" spans="8:10" x14ac:dyDescent="0.25">
      <c r="H104" s="7"/>
      <c r="J104" s="8"/>
    </row>
    <row r="105" spans="8:10" x14ac:dyDescent="0.25">
      <c r="H105" s="7"/>
      <c r="J105" s="8"/>
    </row>
    <row r="106" spans="8:10" ht="13" x14ac:dyDescent="0.3">
      <c r="H106" s="3"/>
      <c r="I106" s="3"/>
      <c r="J106" s="8"/>
    </row>
    <row r="107" spans="8:10" ht="13" x14ac:dyDescent="0.3">
      <c r="H107" s="3"/>
      <c r="I107" s="3"/>
      <c r="J107" s="8"/>
    </row>
    <row r="108" spans="8:10" x14ac:dyDescent="0.25">
      <c r="H108" s="7"/>
      <c r="J108" s="8"/>
    </row>
    <row r="109" spans="8:10" x14ac:dyDescent="0.25">
      <c r="H109" s="7"/>
      <c r="J109" s="8"/>
    </row>
    <row r="110" spans="8:10" x14ac:dyDescent="0.25">
      <c r="H110" s="7"/>
      <c r="J110" s="8"/>
    </row>
    <row r="111" spans="8:10" x14ac:dyDescent="0.25">
      <c r="H111" s="7"/>
      <c r="J111" s="8"/>
    </row>
    <row r="112" spans="8:10" x14ac:dyDescent="0.25">
      <c r="H112" s="7"/>
      <c r="J112" s="8"/>
    </row>
    <row r="113" spans="8:10" x14ac:dyDescent="0.25">
      <c r="H113" s="7"/>
      <c r="J113" s="8"/>
    </row>
    <row r="114" spans="8:10" x14ac:dyDescent="0.25">
      <c r="H114" s="7"/>
      <c r="J114" s="8"/>
    </row>
    <row r="115" spans="8:10" x14ac:dyDescent="0.25">
      <c r="H115" s="7"/>
      <c r="J115" s="8"/>
    </row>
    <row r="116" spans="8:10" x14ac:dyDescent="0.25">
      <c r="H116" s="7"/>
      <c r="J116" s="8"/>
    </row>
    <row r="117" spans="8:10" x14ac:dyDescent="0.25">
      <c r="H117" s="15"/>
      <c r="I117" s="15"/>
      <c r="J117" s="8"/>
    </row>
    <row r="118" spans="8:10" x14ac:dyDescent="0.25">
      <c r="H118" s="7"/>
      <c r="J118" s="8"/>
    </row>
    <row r="119" spans="8:10" ht="13" x14ac:dyDescent="0.3">
      <c r="H119" s="3"/>
      <c r="I119" s="3"/>
      <c r="J119" s="8"/>
    </row>
    <row r="120" spans="8:10" ht="13" x14ac:dyDescent="0.3">
      <c r="H120" s="3"/>
      <c r="I120" s="3"/>
      <c r="J120" s="8"/>
    </row>
    <row r="121" spans="8:10" x14ac:dyDescent="0.25">
      <c r="H121" s="7"/>
      <c r="J121" s="8"/>
    </row>
    <row r="122" spans="8:10" ht="13" x14ac:dyDescent="0.3">
      <c r="H122" s="2"/>
      <c r="J122" s="8"/>
    </row>
    <row r="124" spans="8:10" x14ac:dyDescent="0.25">
      <c r="H124" s="7"/>
      <c r="J124" s="8"/>
    </row>
    <row r="125" spans="8:10" x14ac:dyDescent="0.25">
      <c r="H125" s="7"/>
      <c r="J125" s="8"/>
    </row>
    <row r="126" spans="8:10" x14ac:dyDescent="0.25">
      <c r="H126" s="7"/>
      <c r="J126" s="8"/>
    </row>
    <row r="127" spans="8:10" x14ac:dyDescent="0.25">
      <c r="H127" s="7"/>
      <c r="J127" s="8"/>
    </row>
    <row r="128" spans="8:10" x14ac:dyDescent="0.25">
      <c r="H128" s="7"/>
      <c r="J128" s="8"/>
    </row>
    <row r="129" spans="8:10" x14ac:dyDescent="0.25">
      <c r="H129" s="7"/>
      <c r="J129" s="8"/>
    </row>
    <row r="130" spans="8:10" x14ac:dyDescent="0.25">
      <c r="H130" s="7"/>
      <c r="J130" s="8"/>
    </row>
    <row r="131" spans="8:10" ht="13" x14ac:dyDescent="0.3">
      <c r="H131" s="3"/>
      <c r="I131" s="3"/>
      <c r="J131" s="8"/>
    </row>
  </sheetData>
  <phoneticPr fontId="6" type="noConversion"/>
  <hyperlinks>
    <hyperlink ref="E53" r:id="rId1"/>
  </hyperlinks>
  <pageMargins left="0.6" right="0.56000000000000005" top="1" bottom="0.64" header="0.5" footer="0.5"/>
  <pageSetup scale="80" orientation="portrait" horizontalDpi="4294967292" verticalDpi="36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 505 Syllabus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B. Huffnagle, PhD</dc:creator>
  <cp:lastModifiedBy>Carina Negreanu</cp:lastModifiedBy>
  <cp:lastPrinted>2003-09-03T13:42:29Z</cp:lastPrinted>
  <dcterms:created xsi:type="dcterms:W3CDTF">1998-09-02T18:10:11Z</dcterms:created>
  <dcterms:modified xsi:type="dcterms:W3CDTF">2020-01-27T11:12:34Z</dcterms:modified>
</cp:coreProperties>
</file>