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928EFF-4865-4A8C-AC05-89F69A018783}" xr6:coauthVersionLast="45" xr6:coauthVersionMax="45" xr10:uidLastSave="{00000000-0000-0000-0000-000000000000}"/>
  <bookViews>
    <workbookView xWindow="380" yWindow="380" windowWidth="28800" windowHeight="15460"/>
  </bookViews>
  <sheets>
    <sheet name="11-25-03" sheetId="1" r:id="rId1"/>
  </sheets>
  <definedNames>
    <definedName name="_xlnm._FilterDatabase" localSheetId="0" hidden="1">'11-25-03'!$A$2:$L$116</definedName>
    <definedName name="_xlnm.Print_Area" localSheetId="0">'11-25-03'!$A$3:$L$241</definedName>
    <definedName name="_xlnm.Print_Titles" localSheetId="0">'11-25-03'!$1:$2</definedName>
    <definedName name="Z_1FF959B5_1C74_11D4_AF66_0010A4F55F3B_.wvu.FilterData" localSheetId="0" hidden="1">'11-25-03'!$B$2:$L$44</definedName>
    <definedName name="Z_1FF959B5_1C74_11D4_AF66_0010A4F55F3B_.wvu.PrintArea" localSheetId="0" hidden="1">'11-25-03'!$B$1:$L$44</definedName>
    <definedName name="Z_1FF959B5_1C74_11D4_AF66_0010A4F55F3B_.wvu.PrintTitles" localSheetId="0" hidden="1">'11-25-03'!$1:$2</definedName>
    <definedName name="Z_70B92BD4_2066_11D4_991A_0010A407E056_.wvu.FilterData" localSheetId="0" hidden="1">'11-25-03'!$B$2:$L$44</definedName>
    <definedName name="Z_70B92BD4_2066_11D4_991A_0010A407E056_.wvu.PrintArea" localSheetId="0" hidden="1">'11-25-03'!$B$1:$L$44</definedName>
    <definedName name="Z_70B92BD4_2066_11D4_991A_0010A407E056_.wvu.PrintTitles" localSheetId="0" hidden="1">'11-25-03'!$1:$2</definedName>
    <definedName name="Z_75F0B7A2_22DC_11D4_8378_0060B0A1550A_.wvu.FilterData" localSheetId="0" hidden="1">'11-25-03'!$B$2:$L$44</definedName>
    <definedName name="Z_75F0B7A2_22DC_11D4_8378_0060B0A1550A_.wvu.PrintArea" localSheetId="0" hidden="1">'11-25-03'!$B$1:$L$44</definedName>
    <definedName name="Z_75F0B7A2_22DC_11D4_8378_0060B0A1550A_.wvu.PrintTitles" localSheetId="0" hidden="1">'11-25-03'!$1:$2</definedName>
    <definedName name="Z_826298DF_20F5_11D4_994C_0010A4073063_.wvu.FilterData" localSheetId="0" hidden="1">'11-25-03'!$B$2:$L$44</definedName>
    <definedName name="Z_826298DF_20F5_11D4_994C_0010A4073063_.wvu.PrintArea" localSheetId="0" hidden="1">'11-25-03'!$B$1:$L$44</definedName>
    <definedName name="Z_826298DF_20F5_11D4_994C_0010A4073063_.wvu.PrintTitles" localSheetId="0" hidden="1">'11-25-03'!$1:$2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18" i="1" l="1"/>
  <c r="K218" i="1"/>
  <c r="J218" i="1"/>
  <c r="I218" i="1"/>
  <c r="L217" i="1"/>
  <c r="K217" i="1"/>
  <c r="J217" i="1"/>
  <c r="I217" i="1"/>
  <c r="L216" i="1"/>
  <c r="L215" i="1"/>
  <c r="I216" i="1"/>
  <c r="J215" i="1"/>
  <c r="L214" i="1"/>
  <c r="K214" i="1"/>
  <c r="J214" i="1"/>
  <c r="L213" i="1"/>
  <c r="I213" i="1"/>
  <c r="J212" i="1"/>
  <c r="I211" i="1"/>
  <c r="I210" i="1"/>
  <c r="L209" i="1"/>
  <c r="K209" i="1"/>
  <c r="J209" i="1"/>
  <c r="I209" i="1"/>
  <c r="L208" i="1"/>
  <c r="K208" i="1"/>
  <c r="J208" i="1"/>
  <c r="I208" i="1"/>
  <c r="I207" i="1"/>
  <c r="L206" i="1"/>
  <c r="L205" i="1"/>
  <c r="J205" i="1"/>
  <c r="J204" i="1"/>
  <c r="I204" i="1"/>
  <c r="L203" i="1"/>
  <c r="I203" i="1"/>
  <c r="I202" i="1"/>
  <c r="I201" i="1"/>
  <c r="L200" i="1"/>
  <c r="J200" i="1"/>
  <c r="L199" i="1"/>
  <c r="I199" i="1"/>
  <c r="L198" i="1"/>
  <c r="J198" i="1"/>
  <c r="I198" i="1"/>
  <c r="L197" i="1"/>
  <c r="I197" i="1"/>
  <c r="I196" i="1"/>
  <c r="I195" i="1"/>
  <c r="J194" i="1"/>
  <c r="I194" i="1"/>
  <c r="L193" i="1"/>
  <c r="K193" i="1"/>
  <c r="J193" i="1"/>
  <c r="I193" i="1"/>
  <c r="L192" i="1"/>
  <c r="K192" i="1"/>
  <c r="J192" i="1"/>
  <c r="I192" i="1"/>
  <c r="L191" i="1"/>
  <c r="J191" i="1"/>
  <c r="I190" i="1"/>
  <c r="L189" i="1"/>
  <c r="K189" i="1"/>
  <c r="J189" i="1"/>
  <c r="I189" i="1"/>
  <c r="J164" i="1"/>
  <c r="L162" i="1"/>
  <c r="J162" i="1"/>
  <c r="I162" i="1"/>
  <c r="I161" i="1"/>
  <c r="I160" i="1"/>
  <c r="I159" i="1"/>
  <c r="I158" i="1"/>
  <c r="I157" i="1"/>
  <c r="I156" i="1"/>
  <c r="J155" i="1"/>
  <c r="K154" i="1"/>
  <c r="J154" i="1"/>
  <c r="I154" i="1"/>
  <c r="I153" i="1"/>
  <c r="L160" i="1"/>
  <c r="L159" i="1"/>
  <c r="L158" i="1"/>
  <c r="L157" i="1"/>
  <c r="L156" i="1"/>
  <c r="L155" i="1"/>
  <c r="L154" i="1"/>
  <c r="L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L147" i="1"/>
  <c r="L146" i="1"/>
  <c r="L144" i="1"/>
  <c r="K144" i="1"/>
  <c r="J144" i="1"/>
  <c r="I148" i="1"/>
  <c r="I147" i="1"/>
  <c r="I146" i="1"/>
  <c r="I145" i="1"/>
  <c r="I144" i="1"/>
  <c r="I143" i="1"/>
  <c r="I142" i="1"/>
  <c r="I141" i="1"/>
  <c r="I140" i="1"/>
  <c r="I139" i="1"/>
  <c r="J138" i="1"/>
  <c r="I138" i="1"/>
  <c r="L137" i="1"/>
  <c r="K137" i="1"/>
  <c r="J137" i="1"/>
  <c r="I137" i="1"/>
  <c r="L127" i="1"/>
  <c r="I136" i="1"/>
  <c r="I135" i="1"/>
  <c r="I134" i="1"/>
  <c r="I133" i="1"/>
  <c r="I132" i="1"/>
  <c r="I131" i="1"/>
  <c r="I130" i="1"/>
  <c r="I129" i="1"/>
  <c r="I128" i="1"/>
  <c r="I127" i="1"/>
  <c r="I126" i="1"/>
  <c r="L125" i="1"/>
  <c r="J125" i="1"/>
  <c r="I125" i="1"/>
  <c r="I124" i="1"/>
  <c r="I123" i="1"/>
  <c r="K122" i="1"/>
  <c r="J122" i="1"/>
  <c r="I122" i="1"/>
  <c r="L121" i="1"/>
  <c r="J121" i="1"/>
  <c r="I121" i="1"/>
  <c r="L120" i="1"/>
  <c r="K120" i="1"/>
  <c r="I120" i="1"/>
  <c r="I119" i="1"/>
  <c r="K118" i="1"/>
  <c r="I118" i="1"/>
  <c r="K117" i="1"/>
  <c r="J117" i="1"/>
  <c r="I117" i="1"/>
  <c r="L116" i="1"/>
  <c r="J116" i="1"/>
  <c r="I116" i="1"/>
  <c r="L115" i="1"/>
  <c r="J115" i="1"/>
  <c r="I115" i="1"/>
  <c r="K98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1" i="1"/>
  <c r="I79" i="1"/>
  <c r="I78" i="1"/>
  <c r="I77" i="1"/>
  <c r="I72" i="1"/>
  <c r="I71" i="1"/>
  <c r="I70" i="1"/>
  <c r="I61" i="1"/>
  <c r="I59" i="1"/>
  <c r="I58" i="1"/>
  <c r="I57" i="1"/>
  <c r="I52" i="1"/>
  <c r="I51" i="1"/>
  <c r="I50" i="1"/>
  <c r="I41" i="1"/>
  <c r="I39" i="1"/>
  <c r="I38" i="1"/>
  <c r="I37" i="1"/>
  <c r="I32" i="1"/>
  <c r="I31" i="1"/>
  <c r="I30" i="1"/>
  <c r="I21" i="1"/>
  <c r="I19" i="1"/>
  <c r="L96" i="1"/>
  <c r="L95" i="1"/>
  <c r="L94" i="1"/>
  <c r="L93" i="1"/>
  <c r="L92" i="1"/>
  <c r="L91" i="1"/>
  <c r="L90" i="1"/>
  <c r="L89" i="1"/>
  <c r="L88" i="1"/>
  <c r="L87" i="1"/>
  <c r="L86" i="1"/>
  <c r="L84" i="1"/>
  <c r="L77" i="1"/>
  <c r="L70" i="1"/>
  <c r="L57" i="1"/>
  <c r="L50" i="1"/>
  <c r="L37" i="1"/>
  <c r="L30" i="1"/>
  <c r="H18" i="1"/>
  <c r="L18" i="1"/>
  <c r="G18" i="1"/>
  <c r="K18" i="1" s="1"/>
  <c r="F18" i="1"/>
  <c r="J18" i="1" s="1"/>
  <c r="I18" i="1"/>
  <c r="H17" i="1"/>
  <c r="L17" i="1"/>
  <c r="G17" i="1"/>
  <c r="K17" i="1"/>
  <c r="F17" i="1"/>
  <c r="J17" i="1" s="1"/>
  <c r="I17" i="1"/>
  <c r="H16" i="1"/>
  <c r="L16" i="1" s="1"/>
  <c r="G16" i="1"/>
  <c r="K16" i="1"/>
  <c r="F16" i="1"/>
  <c r="J16" i="1"/>
  <c r="I16" i="1"/>
  <c r="H15" i="1"/>
  <c r="L15" i="1"/>
  <c r="G15" i="1"/>
  <c r="K15" i="1"/>
  <c r="F15" i="1"/>
  <c r="J15" i="1"/>
  <c r="I15" i="1"/>
  <c r="H14" i="1"/>
  <c r="L14" i="1" s="1"/>
  <c r="G14" i="1"/>
  <c r="K14" i="1" s="1"/>
  <c r="F14" i="1"/>
  <c r="J14" i="1"/>
  <c r="I14" i="1"/>
  <c r="H13" i="1"/>
  <c r="L13" i="1"/>
  <c r="G13" i="1"/>
  <c r="K13" i="1" s="1"/>
  <c r="F13" i="1"/>
  <c r="J13" i="1" s="1"/>
  <c r="I13" i="1"/>
  <c r="H12" i="1"/>
  <c r="L12" i="1" s="1"/>
  <c r="G12" i="1"/>
  <c r="K12" i="1" s="1"/>
  <c r="J12" i="1"/>
  <c r="I12" i="1"/>
  <c r="H11" i="1"/>
  <c r="L11" i="1" s="1"/>
  <c r="G11" i="1"/>
  <c r="K11" i="1" s="1"/>
  <c r="F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H6" i="1"/>
  <c r="L6" i="1" s="1"/>
  <c r="G6" i="1"/>
  <c r="K6" i="1"/>
  <c r="F6" i="1"/>
  <c r="J6" i="1"/>
  <c r="I6" i="1"/>
  <c r="L5" i="1"/>
  <c r="K5" i="1"/>
  <c r="J5" i="1"/>
  <c r="I5" i="1"/>
  <c r="H4" i="1"/>
  <c r="L4" i="1" s="1"/>
  <c r="G4" i="1"/>
  <c r="K4" i="1" s="1"/>
  <c r="F4" i="1"/>
  <c r="J4" i="1" s="1"/>
  <c r="I4" i="1"/>
  <c r="H3" i="1"/>
  <c r="L3" i="1"/>
  <c r="G3" i="1"/>
  <c r="K3" i="1" s="1"/>
  <c r="F3" i="1"/>
  <c r="J3" i="1"/>
  <c r="I3" i="1"/>
  <c r="E19" i="1"/>
  <c r="H19" i="1"/>
  <c r="L19" i="1" s="1"/>
  <c r="E20" i="1"/>
  <c r="I20" i="1" s="1"/>
  <c r="H20" i="1"/>
  <c r="L20" i="1" s="1"/>
  <c r="E21" i="1"/>
  <c r="H21" i="1"/>
  <c r="L21" i="1" s="1"/>
  <c r="E22" i="1"/>
  <c r="I22" i="1" s="1"/>
  <c r="E23" i="1"/>
  <c r="I23" i="1" s="1"/>
  <c r="E24" i="1"/>
  <c r="I24" i="1" s="1"/>
  <c r="E25" i="1"/>
  <c r="I25" i="1" s="1"/>
  <c r="E26" i="1"/>
  <c r="H26" i="1" s="1"/>
  <c r="L26" i="1" s="1"/>
  <c r="E27" i="1"/>
  <c r="I27" i="1" s="1"/>
  <c r="H27" i="1"/>
  <c r="L27" i="1" s="1"/>
  <c r="E28" i="1"/>
  <c r="I28" i="1" s="1"/>
  <c r="E29" i="1"/>
  <c r="I29" i="1" s="1"/>
  <c r="H29" i="1"/>
  <c r="L29" i="1" s="1"/>
  <c r="E30" i="1"/>
  <c r="H30" i="1"/>
  <c r="E31" i="1"/>
  <c r="H31" i="1"/>
  <c r="L31" i="1" s="1"/>
  <c r="E32" i="1"/>
  <c r="H32" i="1" s="1"/>
  <c r="L32" i="1" s="1"/>
  <c r="E33" i="1"/>
  <c r="H33" i="1" s="1"/>
  <c r="L33" i="1" s="1"/>
  <c r="E34" i="1"/>
  <c r="I34" i="1" s="1"/>
  <c r="E35" i="1"/>
  <c r="I35" i="1" s="1"/>
  <c r="E36" i="1"/>
  <c r="H36" i="1" s="1"/>
  <c r="L36" i="1" s="1"/>
  <c r="E37" i="1"/>
  <c r="H37" i="1"/>
  <c r="E38" i="1"/>
  <c r="H38" i="1" s="1"/>
  <c r="L38" i="1" s="1"/>
  <c r="E39" i="1"/>
  <c r="H39" i="1"/>
  <c r="L39" i="1" s="1"/>
  <c r="E40" i="1"/>
  <c r="I40" i="1" s="1"/>
  <c r="H40" i="1"/>
  <c r="L40" i="1" s="1"/>
  <c r="E41" i="1"/>
  <c r="H41" i="1"/>
  <c r="L41" i="1" s="1"/>
  <c r="E42" i="1"/>
  <c r="I42" i="1" s="1"/>
  <c r="E43" i="1"/>
  <c r="I43" i="1" s="1"/>
  <c r="E44" i="1"/>
  <c r="I44" i="1" s="1"/>
  <c r="E45" i="1"/>
  <c r="I45" i="1" s="1"/>
  <c r="E46" i="1"/>
  <c r="H46" i="1" s="1"/>
  <c r="L46" i="1" s="1"/>
  <c r="E47" i="1"/>
  <c r="I47" i="1" s="1"/>
  <c r="H47" i="1"/>
  <c r="L47" i="1" s="1"/>
  <c r="E48" i="1"/>
  <c r="I48" i="1" s="1"/>
  <c r="E49" i="1"/>
  <c r="I49" i="1" s="1"/>
  <c r="H49" i="1"/>
  <c r="L49" i="1" s="1"/>
  <c r="E50" i="1"/>
  <c r="H50" i="1"/>
  <c r="E51" i="1"/>
  <c r="H51" i="1"/>
  <c r="L51" i="1" s="1"/>
  <c r="E52" i="1"/>
  <c r="H52" i="1" s="1"/>
  <c r="L52" i="1" s="1"/>
  <c r="E53" i="1"/>
  <c r="H53" i="1" s="1"/>
  <c r="L53" i="1" s="1"/>
  <c r="E54" i="1"/>
  <c r="I54" i="1" s="1"/>
  <c r="E55" i="1"/>
  <c r="I55" i="1" s="1"/>
  <c r="E56" i="1"/>
  <c r="H56" i="1" s="1"/>
  <c r="L56" i="1" s="1"/>
  <c r="E57" i="1"/>
  <c r="H57" i="1"/>
  <c r="E58" i="1"/>
  <c r="H58" i="1" s="1"/>
  <c r="L58" i="1" s="1"/>
  <c r="E59" i="1"/>
  <c r="H59" i="1"/>
  <c r="L59" i="1" s="1"/>
  <c r="E60" i="1"/>
  <c r="I60" i="1" s="1"/>
  <c r="H60" i="1"/>
  <c r="L60" i="1" s="1"/>
  <c r="E61" i="1"/>
  <c r="H61" i="1"/>
  <c r="L61" i="1" s="1"/>
  <c r="E62" i="1"/>
  <c r="I62" i="1" s="1"/>
  <c r="E63" i="1"/>
  <c r="I63" i="1" s="1"/>
  <c r="E64" i="1"/>
  <c r="I64" i="1" s="1"/>
  <c r="E65" i="1"/>
  <c r="I65" i="1" s="1"/>
  <c r="E66" i="1"/>
  <c r="H66" i="1" s="1"/>
  <c r="L66" i="1" s="1"/>
  <c r="E67" i="1"/>
  <c r="I67" i="1" s="1"/>
  <c r="H67" i="1"/>
  <c r="L67" i="1" s="1"/>
  <c r="E68" i="1"/>
  <c r="I68" i="1" s="1"/>
  <c r="E69" i="1"/>
  <c r="I69" i="1" s="1"/>
  <c r="H69" i="1"/>
  <c r="L69" i="1" s="1"/>
  <c r="E70" i="1"/>
  <c r="H70" i="1"/>
  <c r="E71" i="1"/>
  <c r="H71" i="1"/>
  <c r="L71" i="1" s="1"/>
  <c r="E72" i="1"/>
  <c r="H72" i="1" s="1"/>
  <c r="L72" i="1" s="1"/>
  <c r="E73" i="1"/>
  <c r="H73" i="1" s="1"/>
  <c r="L73" i="1" s="1"/>
  <c r="E74" i="1"/>
  <c r="I74" i="1" s="1"/>
  <c r="E75" i="1"/>
  <c r="I75" i="1" s="1"/>
  <c r="E76" i="1"/>
  <c r="H76" i="1" s="1"/>
  <c r="L76" i="1" s="1"/>
  <c r="E77" i="1"/>
  <c r="H77" i="1"/>
  <c r="E78" i="1"/>
  <c r="H78" i="1" s="1"/>
  <c r="L78" i="1" s="1"/>
  <c r="E79" i="1"/>
  <c r="H79" i="1"/>
  <c r="L79" i="1" s="1"/>
  <c r="E80" i="1"/>
  <c r="I80" i="1" s="1"/>
  <c r="H80" i="1"/>
  <c r="L80" i="1" s="1"/>
  <c r="E81" i="1"/>
  <c r="H81" i="1"/>
  <c r="L81" i="1" s="1"/>
  <c r="E82" i="1"/>
  <c r="I82" i="1" s="1"/>
  <c r="E83" i="1"/>
  <c r="I83" i="1" s="1"/>
  <c r="H85" i="1"/>
  <c r="L85" i="1" s="1"/>
  <c r="F97" i="1"/>
  <c r="J97" i="1" s="1"/>
  <c r="G97" i="1"/>
  <c r="K97" i="1" s="1"/>
  <c r="H97" i="1"/>
  <c r="L97" i="1" s="1"/>
  <c r="F98" i="1"/>
  <c r="J98" i="1" s="1"/>
  <c r="G98" i="1"/>
  <c r="H98" i="1"/>
  <c r="L98" i="1" s="1"/>
  <c r="E99" i="1"/>
  <c r="I99" i="1" s="1"/>
  <c r="F99" i="1"/>
  <c r="J99" i="1" s="1"/>
  <c r="H99" i="1"/>
  <c r="L99" i="1" s="1"/>
  <c r="E100" i="1"/>
  <c r="I100" i="1" s="1"/>
  <c r="G100" i="1"/>
  <c r="K100" i="1" s="1"/>
  <c r="E101" i="1"/>
  <c r="G101" i="1" s="1"/>
  <c r="K101" i="1" s="1"/>
  <c r="F101" i="1"/>
  <c r="J101" i="1" s="1"/>
  <c r="H101" i="1"/>
  <c r="L101" i="1" s="1"/>
  <c r="E102" i="1"/>
  <c r="I102" i="1" s="1"/>
  <c r="F102" i="1"/>
  <c r="J102" i="1" s="1"/>
  <c r="G102" i="1"/>
  <c r="K102" i="1" s="1"/>
  <c r="H102" i="1"/>
  <c r="L102" i="1" s="1"/>
  <c r="E103" i="1"/>
  <c r="G103" i="1" s="1"/>
  <c r="K103" i="1" s="1"/>
  <c r="F103" i="1"/>
  <c r="J103" i="1" s="1"/>
  <c r="E104" i="1"/>
  <c r="I104" i="1" s="1"/>
  <c r="F104" i="1"/>
  <c r="J104" i="1" s="1"/>
  <c r="H104" i="1"/>
  <c r="L104" i="1" s="1"/>
  <c r="E105" i="1"/>
  <c r="I105" i="1" s="1"/>
  <c r="E106" i="1"/>
  <c r="I106" i="1" s="1"/>
  <c r="F106" i="1"/>
  <c r="J106" i="1" s="1"/>
  <c r="G106" i="1"/>
  <c r="K106" i="1" s="1"/>
  <c r="H106" i="1"/>
  <c r="L106" i="1" s="1"/>
  <c r="E107" i="1"/>
  <c r="I107" i="1" s="1"/>
  <c r="F107" i="1"/>
  <c r="J107" i="1" s="1"/>
  <c r="G107" i="1"/>
  <c r="K107" i="1" s="1"/>
  <c r="H107" i="1"/>
  <c r="L107" i="1" s="1"/>
  <c r="E108" i="1"/>
  <c r="G108" i="1" s="1"/>
  <c r="K108" i="1" s="1"/>
  <c r="F108" i="1"/>
  <c r="J108" i="1" s="1"/>
  <c r="E109" i="1"/>
  <c r="I109" i="1" s="1"/>
  <c r="F109" i="1"/>
  <c r="J109" i="1" s="1"/>
  <c r="H109" i="1"/>
  <c r="L109" i="1" s="1"/>
  <c r="E110" i="1"/>
  <c r="I110" i="1" s="1"/>
  <c r="G110" i="1"/>
  <c r="K110" i="1" s="1"/>
  <c r="E111" i="1"/>
  <c r="I111" i="1" s="1"/>
  <c r="F111" i="1"/>
  <c r="J111" i="1" s="1"/>
  <c r="G111" i="1"/>
  <c r="K111" i="1" s="1"/>
  <c r="H111" i="1"/>
  <c r="L111" i="1" s="1"/>
  <c r="E112" i="1"/>
  <c r="I112" i="1" s="1"/>
  <c r="F112" i="1"/>
  <c r="J112" i="1" s="1"/>
  <c r="G112" i="1"/>
  <c r="K112" i="1" s="1"/>
  <c r="H112" i="1"/>
  <c r="L112" i="1" s="1"/>
  <c r="E113" i="1"/>
  <c r="G113" i="1" s="1"/>
  <c r="K113" i="1" s="1"/>
  <c r="F113" i="1"/>
  <c r="J113" i="1" s="1"/>
  <c r="E114" i="1"/>
  <c r="I114" i="1" s="1"/>
  <c r="F114" i="1"/>
  <c r="J114" i="1" s="1"/>
  <c r="H114" i="1"/>
  <c r="L114" i="1" s="1"/>
  <c r="F115" i="1"/>
  <c r="G115" i="1"/>
  <c r="K115" i="1" s="1"/>
  <c r="H115" i="1"/>
  <c r="F116" i="1"/>
  <c r="G116" i="1"/>
  <c r="K116" i="1" s="1"/>
  <c r="H116" i="1"/>
  <c r="H117" i="1"/>
  <c r="L117" i="1" s="1"/>
  <c r="F118" i="1"/>
  <c r="J118" i="1" s="1"/>
  <c r="G118" i="1"/>
  <c r="H118" i="1"/>
  <c r="L118" i="1" s="1"/>
  <c r="F119" i="1"/>
  <c r="J119" i="1" s="1"/>
  <c r="G119" i="1"/>
  <c r="K119" i="1" s="1"/>
  <c r="H119" i="1"/>
  <c r="L119" i="1" s="1"/>
  <c r="F120" i="1"/>
  <c r="J120" i="1" s="1"/>
  <c r="G120" i="1"/>
  <c r="H120" i="1"/>
  <c r="F121" i="1"/>
  <c r="G121" i="1"/>
  <c r="K121" i="1" s="1"/>
  <c r="H121" i="1"/>
  <c r="H122" i="1"/>
  <c r="L122" i="1" s="1"/>
  <c r="F123" i="1"/>
  <c r="J123" i="1" s="1"/>
  <c r="G123" i="1"/>
  <c r="K123" i="1" s="1"/>
  <c r="H123" i="1"/>
  <c r="L123" i="1" s="1"/>
  <c r="F124" i="1"/>
  <c r="J124" i="1" s="1"/>
  <c r="G124" i="1"/>
  <c r="K124" i="1" s="1"/>
  <c r="H124" i="1"/>
  <c r="L124" i="1" s="1"/>
  <c r="F125" i="1"/>
  <c r="G125" i="1"/>
  <c r="K125" i="1" s="1"/>
  <c r="H125" i="1"/>
  <c r="F126" i="1"/>
  <c r="J126" i="1" s="1"/>
  <c r="G126" i="1"/>
  <c r="K126" i="1" s="1"/>
  <c r="H126" i="1"/>
  <c r="L126" i="1" s="1"/>
  <c r="F128" i="1"/>
  <c r="J128" i="1" s="1"/>
  <c r="G128" i="1"/>
  <c r="K128" i="1" s="1"/>
  <c r="H128" i="1"/>
  <c r="L128" i="1" s="1"/>
  <c r="F137" i="1"/>
  <c r="G137" i="1"/>
  <c r="H137" i="1"/>
  <c r="F138" i="1"/>
  <c r="G138" i="1"/>
  <c r="K138" i="1" s="1"/>
  <c r="H138" i="1"/>
  <c r="L138" i="1" s="1"/>
  <c r="I155" i="1"/>
  <c r="H156" i="1"/>
  <c r="H157" i="1"/>
  <c r="H158" i="1"/>
  <c r="F161" i="1"/>
  <c r="J161" i="1" s="1"/>
  <c r="G161" i="1"/>
  <c r="K161" i="1" s="1"/>
  <c r="H161" i="1"/>
  <c r="L161" i="1" s="1"/>
  <c r="F162" i="1"/>
  <c r="G162" i="1"/>
  <c r="K162" i="1" s="1"/>
  <c r="H162" i="1"/>
  <c r="E163" i="1"/>
  <c r="H163" i="1" s="1"/>
  <c r="L163" i="1" s="1"/>
  <c r="G163" i="1"/>
  <c r="K163" i="1" s="1"/>
  <c r="E164" i="1"/>
  <c r="I164" i="1" s="1"/>
  <c r="F164" i="1"/>
  <c r="G164" i="1"/>
  <c r="K164" i="1" s="1"/>
  <c r="H164" i="1"/>
  <c r="L164" i="1" s="1"/>
  <c r="E165" i="1"/>
  <c r="I165" i="1" s="1"/>
  <c r="F165" i="1"/>
  <c r="J165" i="1" s="1"/>
  <c r="G165" i="1"/>
  <c r="K165" i="1" s="1"/>
  <c r="H165" i="1"/>
  <c r="L165" i="1" s="1"/>
  <c r="E166" i="1"/>
  <c r="I166" i="1" s="1"/>
  <c r="F166" i="1"/>
  <c r="J166" i="1" s="1"/>
  <c r="G166" i="1"/>
  <c r="K166" i="1" s="1"/>
  <c r="H166" i="1"/>
  <c r="L166" i="1" s="1"/>
  <c r="E167" i="1"/>
  <c r="I167" i="1" s="1"/>
  <c r="E168" i="1"/>
  <c r="H168" i="1" s="1"/>
  <c r="L168" i="1" s="1"/>
  <c r="G168" i="1"/>
  <c r="K168" i="1" s="1"/>
  <c r="E169" i="1"/>
  <c r="I169" i="1" s="1"/>
  <c r="F169" i="1"/>
  <c r="J169" i="1" s="1"/>
  <c r="G169" i="1"/>
  <c r="K169" i="1" s="1"/>
  <c r="H169" i="1"/>
  <c r="L169" i="1" s="1"/>
  <c r="E170" i="1"/>
  <c r="I170" i="1" s="1"/>
  <c r="F170" i="1"/>
  <c r="J170" i="1" s="1"/>
  <c r="G170" i="1"/>
  <c r="K170" i="1" s="1"/>
  <c r="H170" i="1"/>
  <c r="L170" i="1" s="1"/>
  <c r="E171" i="1"/>
  <c r="I171" i="1" s="1"/>
  <c r="F171" i="1"/>
  <c r="J171" i="1" s="1"/>
  <c r="G171" i="1"/>
  <c r="K171" i="1" s="1"/>
  <c r="H171" i="1"/>
  <c r="L171" i="1" s="1"/>
  <c r="E172" i="1"/>
  <c r="I172" i="1" s="1"/>
  <c r="E173" i="1"/>
  <c r="H173" i="1" s="1"/>
  <c r="L173" i="1" s="1"/>
  <c r="G173" i="1"/>
  <c r="K173" i="1" s="1"/>
  <c r="E174" i="1"/>
  <c r="I174" i="1" s="1"/>
  <c r="F174" i="1"/>
  <c r="J174" i="1" s="1"/>
  <c r="G174" i="1"/>
  <c r="K174" i="1" s="1"/>
  <c r="H174" i="1"/>
  <c r="L174" i="1" s="1"/>
  <c r="E175" i="1"/>
  <c r="I175" i="1" s="1"/>
  <c r="F175" i="1"/>
  <c r="J175" i="1" s="1"/>
  <c r="G175" i="1"/>
  <c r="K175" i="1" s="1"/>
  <c r="H175" i="1"/>
  <c r="L175" i="1" s="1"/>
  <c r="E176" i="1"/>
  <c r="I176" i="1" s="1"/>
  <c r="F176" i="1"/>
  <c r="J176" i="1" s="1"/>
  <c r="G176" i="1"/>
  <c r="K176" i="1" s="1"/>
  <c r="H176" i="1"/>
  <c r="L176" i="1" s="1"/>
  <c r="E177" i="1"/>
  <c r="I177" i="1" s="1"/>
  <c r="E178" i="1"/>
  <c r="H178" i="1" s="1"/>
  <c r="L178" i="1" s="1"/>
  <c r="G178" i="1"/>
  <c r="K178" i="1" s="1"/>
  <c r="E179" i="1"/>
  <c r="I179" i="1" s="1"/>
  <c r="F179" i="1"/>
  <c r="J179" i="1" s="1"/>
  <c r="G179" i="1"/>
  <c r="K179" i="1" s="1"/>
  <c r="H179" i="1"/>
  <c r="L179" i="1" s="1"/>
  <c r="E180" i="1"/>
  <c r="I180" i="1" s="1"/>
  <c r="F180" i="1"/>
  <c r="J180" i="1" s="1"/>
  <c r="G180" i="1"/>
  <c r="K180" i="1" s="1"/>
  <c r="H180" i="1"/>
  <c r="L180" i="1" s="1"/>
  <c r="E181" i="1"/>
  <c r="I181" i="1" s="1"/>
  <c r="F181" i="1"/>
  <c r="J181" i="1" s="1"/>
  <c r="G181" i="1"/>
  <c r="K181" i="1" s="1"/>
  <c r="H181" i="1"/>
  <c r="L181" i="1" s="1"/>
  <c r="E182" i="1"/>
  <c r="I182" i="1" s="1"/>
  <c r="E183" i="1"/>
  <c r="H183" i="1" s="1"/>
  <c r="L183" i="1" s="1"/>
  <c r="G183" i="1"/>
  <c r="K183" i="1" s="1"/>
  <c r="E184" i="1"/>
  <c r="I184" i="1" s="1"/>
  <c r="F184" i="1"/>
  <c r="J184" i="1" s="1"/>
  <c r="G184" i="1"/>
  <c r="K184" i="1" s="1"/>
  <c r="H184" i="1"/>
  <c r="L184" i="1" s="1"/>
  <c r="E185" i="1"/>
  <c r="I185" i="1" s="1"/>
  <c r="F185" i="1"/>
  <c r="J185" i="1" s="1"/>
  <c r="G185" i="1"/>
  <c r="K185" i="1" s="1"/>
  <c r="H185" i="1"/>
  <c r="L185" i="1" s="1"/>
  <c r="E186" i="1"/>
  <c r="I186" i="1" s="1"/>
  <c r="F186" i="1"/>
  <c r="J186" i="1" s="1"/>
  <c r="G186" i="1"/>
  <c r="K186" i="1" s="1"/>
  <c r="H186" i="1"/>
  <c r="L186" i="1" s="1"/>
  <c r="E187" i="1"/>
  <c r="I187" i="1" s="1"/>
  <c r="E188" i="1"/>
  <c r="H188" i="1" s="1"/>
  <c r="L188" i="1" s="1"/>
  <c r="G188" i="1"/>
  <c r="K188" i="1" s="1"/>
  <c r="F190" i="1"/>
  <c r="J190" i="1" s="1"/>
  <c r="G190" i="1"/>
  <c r="K190" i="1" s="1"/>
  <c r="H190" i="1"/>
  <c r="L190" i="1" s="1"/>
  <c r="F194" i="1"/>
  <c r="G194" i="1"/>
  <c r="K194" i="1" s="1"/>
  <c r="H194" i="1"/>
  <c r="L194" i="1" s="1"/>
  <c r="F195" i="1"/>
  <c r="J195" i="1" s="1"/>
  <c r="G195" i="1"/>
  <c r="K195" i="1" s="1"/>
  <c r="H195" i="1"/>
  <c r="L195" i="1" s="1"/>
  <c r="F196" i="1"/>
  <c r="J196" i="1" s="1"/>
  <c r="G196" i="1"/>
  <c r="K196" i="1" s="1"/>
  <c r="H196" i="1"/>
  <c r="L196" i="1" s="1"/>
  <c r="F198" i="1"/>
  <c r="G198" i="1"/>
  <c r="K198" i="1" s="1"/>
  <c r="H198" i="1"/>
  <c r="F199" i="1"/>
  <c r="J199" i="1" s="1"/>
  <c r="G199" i="1"/>
  <c r="K199" i="1" s="1"/>
  <c r="H199" i="1"/>
  <c r="F201" i="1"/>
  <c r="J201" i="1" s="1"/>
  <c r="G201" i="1"/>
  <c r="K201" i="1" s="1"/>
  <c r="H201" i="1"/>
  <c r="L201" i="1" s="1"/>
  <c r="F202" i="1"/>
  <c r="J202" i="1" s="1"/>
  <c r="G202" i="1"/>
  <c r="K202" i="1" s="1"/>
  <c r="H202" i="1"/>
  <c r="L202" i="1" s="1"/>
  <c r="F203" i="1"/>
  <c r="J203" i="1" s="1"/>
  <c r="G203" i="1"/>
  <c r="K203" i="1" s="1"/>
  <c r="H203" i="1"/>
  <c r="F204" i="1"/>
  <c r="G204" i="1"/>
  <c r="K204" i="1" s="1"/>
  <c r="H204" i="1"/>
  <c r="L204" i="1" s="1"/>
  <c r="F207" i="1"/>
  <c r="J207" i="1" s="1"/>
  <c r="G207" i="1"/>
  <c r="K207" i="1" s="1"/>
  <c r="H207" i="1"/>
  <c r="L207" i="1" s="1"/>
  <c r="F188" i="1" l="1"/>
  <c r="J188" i="1" s="1"/>
  <c r="F183" i="1"/>
  <c r="J183" i="1" s="1"/>
  <c r="F178" i="1"/>
  <c r="J178" i="1" s="1"/>
  <c r="F173" i="1"/>
  <c r="J173" i="1" s="1"/>
  <c r="F168" i="1"/>
  <c r="J168" i="1" s="1"/>
  <c r="F163" i="1"/>
  <c r="J163" i="1" s="1"/>
  <c r="H75" i="1"/>
  <c r="L75" i="1" s="1"/>
  <c r="H65" i="1"/>
  <c r="L65" i="1" s="1"/>
  <c r="H55" i="1"/>
  <c r="L55" i="1" s="1"/>
  <c r="H45" i="1"/>
  <c r="L45" i="1" s="1"/>
  <c r="H35" i="1"/>
  <c r="L35" i="1" s="1"/>
  <c r="H25" i="1"/>
  <c r="L25" i="1" s="1"/>
  <c r="H187" i="1"/>
  <c r="L187" i="1" s="1"/>
  <c r="H182" i="1"/>
  <c r="L182" i="1" s="1"/>
  <c r="H177" i="1"/>
  <c r="L177" i="1" s="1"/>
  <c r="H172" i="1"/>
  <c r="L172" i="1" s="1"/>
  <c r="H167" i="1"/>
  <c r="L167" i="1" s="1"/>
  <c r="H74" i="1"/>
  <c r="L74" i="1" s="1"/>
  <c r="H64" i="1"/>
  <c r="L64" i="1" s="1"/>
  <c r="H54" i="1"/>
  <c r="L54" i="1" s="1"/>
  <c r="H44" i="1"/>
  <c r="L44" i="1" s="1"/>
  <c r="H34" i="1"/>
  <c r="L34" i="1" s="1"/>
  <c r="H24" i="1"/>
  <c r="L24" i="1" s="1"/>
  <c r="I33" i="1"/>
  <c r="I53" i="1"/>
  <c r="I73" i="1"/>
  <c r="I101" i="1"/>
  <c r="I163" i="1"/>
  <c r="I168" i="1"/>
  <c r="I173" i="1"/>
  <c r="I178" i="1"/>
  <c r="I183" i="1"/>
  <c r="I188" i="1"/>
  <c r="G187" i="1"/>
  <c r="K187" i="1" s="1"/>
  <c r="G182" i="1"/>
  <c r="K182" i="1" s="1"/>
  <c r="G177" i="1"/>
  <c r="K177" i="1" s="1"/>
  <c r="G172" i="1"/>
  <c r="K172" i="1" s="1"/>
  <c r="G167" i="1"/>
  <c r="K167" i="1" s="1"/>
  <c r="F187" i="1"/>
  <c r="J187" i="1" s="1"/>
  <c r="F182" i="1"/>
  <c r="J182" i="1" s="1"/>
  <c r="F177" i="1"/>
  <c r="J177" i="1" s="1"/>
  <c r="F172" i="1"/>
  <c r="J172" i="1" s="1"/>
  <c r="F167" i="1"/>
  <c r="J167" i="1" s="1"/>
  <c r="H83" i="1"/>
  <c r="L83" i="1" s="1"/>
  <c r="H63" i="1"/>
  <c r="L63" i="1" s="1"/>
  <c r="H43" i="1"/>
  <c r="L43" i="1" s="1"/>
  <c r="H23" i="1"/>
  <c r="L23" i="1" s="1"/>
  <c r="H82" i="1"/>
  <c r="L82" i="1" s="1"/>
  <c r="H62" i="1"/>
  <c r="L62" i="1" s="1"/>
  <c r="H42" i="1"/>
  <c r="L42" i="1" s="1"/>
  <c r="H22" i="1"/>
  <c r="L22" i="1" s="1"/>
  <c r="I56" i="1"/>
  <c r="H110" i="1"/>
  <c r="L110" i="1" s="1"/>
  <c r="H105" i="1"/>
  <c r="L105" i="1" s="1"/>
  <c r="H100" i="1"/>
  <c r="L100" i="1" s="1"/>
  <c r="I103" i="1"/>
  <c r="I108" i="1"/>
  <c r="I113" i="1"/>
  <c r="F110" i="1"/>
  <c r="J110" i="1" s="1"/>
  <c r="F105" i="1"/>
  <c r="J105" i="1" s="1"/>
  <c r="F100" i="1"/>
  <c r="J100" i="1" s="1"/>
  <c r="I36" i="1"/>
  <c r="G114" i="1"/>
  <c r="K114" i="1" s="1"/>
  <c r="G109" i="1"/>
  <c r="K109" i="1" s="1"/>
  <c r="G104" i="1"/>
  <c r="K104" i="1" s="1"/>
  <c r="G99" i="1"/>
  <c r="K99" i="1" s="1"/>
  <c r="H68" i="1"/>
  <c r="L68" i="1" s="1"/>
  <c r="H48" i="1"/>
  <c r="L48" i="1" s="1"/>
  <c r="H28" i="1"/>
  <c r="L28" i="1" s="1"/>
  <c r="I26" i="1"/>
  <c r="I46" i="1"/>
  <c r="I66" i="1"/>
  <c r="I76" i="1"/>
  <c r="G105" i="1"/>
  <c r="K105" i="1" s="1"/>
  <c r="H113" i="1"/>
  <c r="L113" i="1" s="1"/>
  <c r="H108" i="1"/>
  <c r="L108" i="1" s="1"/>
  <c r="H103" i="1"/>
  <c r="L103" i="1" s="1"/>
</calcChain>
</file>

<file path=xl/comments1.xml><?xml version="1.0" encoding="utf-8"?>
<comments xmlns="http://schemas.openxmlformats.org/spreadsheetml/2006/main">
  <authors>
    <author>Mike Jhala</author>
  </authors>
  <commentList>
    <comment ref="B120" authorId="0" shapeId="0">
      <text>
        <r>
          <rPr>
            <b/>
            <sz val="8"/>
            <color indexed="81"/>
            <rFont val="Tahoma"/>
            <family val="2"/>
          </rPr>
          <t>Mike Jhala:</t>
        </r>
        <r>
          <rPr>
            <sz val="8"/>
            <color indexed="81"/>
            <rFont val="Tahoma"/>
            <family val="2"/>
          </rPr>
          <t xml:space="preserve">
H1846S was replaced with he H9015S.  The H1846S can be taught ONLY as Onsite. 
</t>
        </r>
      </text>
    </comment>
  </commentList>
</comments>
</file>

<file path=xl/sharedStrings.xml><?xml version="1.0" encoding="utf-8"?>
<sst xmlns="http://schemas.openxmlformats.org/spreadsheetml/2006/main" count="1176" uniqueCount="466">
  <si>
    <t xml:space="preserve">               Commercial On-Site Prcing </t>
  </si>
  <si>
    <t xml:space="preserve">               GSA On-Site Prcing </t>
  </si>
  <si>
    <t>Program</t>
  </si>
  <si>
    <t>Course #</t>
  </si>
  <si>
    <t>Course Name</t>
  </si>
  <si>
    <t>Days</t>
  </si>
  <si>
    <t>No Equip.</t>
  </si>
  <si>
    <t>2 stdts per w/s</t>
  </si>
  <si>
    <t>1 stdts per w/s</t>
  </si>
  <si>
    <t>At HP</t>
  </si>
  <si>
    <t>Linux</t>
  </si>
  <si>
    <t>H7091X</t>
  </si>
  <si>
    <t>Linux Admin I</t>
  </si>
  <si>
    <t>H7092X</t>
  </si>
  <si>
    <t>Linux Admin II</t>
  </si>
  <si>
    <t>U2387X</t>
  </si>
  <si>
    <t>HP Secure Linux</t>
  </si>
  <si>
    <t>U2794X</t>
  </si>
  <si>
    <t>Linux Administration for Experienced HP-UX Administrators</t>
  </si>
  <si>
    <t>U5086X</t>
  </si>
  <si>
    <t>Linux network security</t>
  </si>
  <si>
    <t>U5087X</t>
  </si>
  <si>
    <t>Linux administration for experienced Sun Solaris (UNIX) administrators</t>
  </si>
  <si>
    <t>U5513X</t>
  </si>
  <si>
    <t>Linux development tools and techniques</t>
  </si>
  <si>
    <t>U5514X</t>
  </si>
  <si>
    <t>Linux device and driver development</t>
  </si>
  <si>
    <t>MPE</t>
  </si>
  <si>
    <t xml:space="preserve">36389X </t>
  </si>
  <si>
    <t xml:space="preserve">Allbase/SQL MPE/XL and HPUX  </t>
  </si>
  <si>
    <t xml:space="preserve">B1772X </t>
  </si>
  <si>
    <t>MPE/iX Performance and Tuning</t>
  </si>
  <si>
    <t>H3072X</t>
  </si>
  <si>
    <t>New Features and Functions of MPE/iX 6.0</t>
  </si>
  <si>
    <t>H3217X</t>
  </si>
  <si>
    <t>MPE/iX Fundamentals</t>
  </si>
  <si>
    <t>H3218X</t>
  </si>
  <si>
    <t>MPE/iX Network Administration</t>
  </si>
  <si>
    <t>H3219X</t>
  </si>
  <si>
    <t>MPE/iX System Management</t>
  </si>
  <si>
    <t>H3223X</t>
  </si>
  <si>
    <t>TurboIMAGE &amp; IMAGE/SQL for the Database Administrator</t>
  </si>
  <si>
    <t>U1621X</t>
  </si>
  <si>
    <t>MPE/iX 7.0 Express 1 Hands-On Wkshp</t>
  </si>
  <si>
    <t>Non-Stop</t>
  </si>
  <si>
    <t>U3959X</t>
  </si>
  <si>
    <t>Web Foundations for NonStop Systems</t>
  </si>
  <si>
    <t>N/A</t>
  </si>
  <si>
    <t>U4141X</t>
  </si>
  <si>
    <t xml:space="preserve">An IT Manager's Introduction to Zero Latency Enterprise (ZLE) </t>
  </si>
  <si>
    <t>U4142X</t>
  </si>
  <si>
    <t>Architecture &amp; Tools for (ZLE)</t>
  </si>
  <si>
    <t>U4143X</t>
  </si>
  <si>
    <t>C Programming in the Guardian Environment</t>
  </si>
  <si>
    <t>U4144X</t>
  </si>
  <si>
    <t xml:space="preserve">C Programming on Tandem Non-Stop Systems </t>
  </si>
  <si>
    <t>U4145X</t>
  </si>
  <si>
    <t>Capacity Modeling with TCM</t>
  </si>
  <si>
    <t>U4146X</t>
  </si>
  <si>
    <t>Remote Database Facility (RDF) Workshop</t>
  </si>
  <si>
    <t>U4147X</t>
  </si>
  <si>
    <t xml:space="preserve">Concepts and Facilities </t>
  </si>
  <si>
    <t>U4148X</t>
  </si>
  <si>
    <t xml:space="preserve">CORBA for NonStop Systems </t>
  </si>
  <si>
    <t>U4149X</t>
  </si>
  <si>
    <t xml:space="preserve">Data Communications Concepts </t>
  </si>
  <si>
    <t>U4150X</t>
  </si>
  <si>
    <t xml:space="preserve">DSM/SCM Operations &amp; Management </t>
  </si>
  <si>
    <t>U4151X</t>
  </si>
  <si>
    <t>EJB Development using NonStop Enterprise Application Server</t>
  </si>
  <si>
    <t>U4152X</t>
  </si>
  <si>
    <t xml:space="preserve">Guardian API Programming </t>
  </si>
  <si>
    <t>U4153X</t>
  </si>
  <si>
    <t xml:space="preserve">Integrity S4000 Administraton &amp; Troubleshooting </t>
  </si>
  <si>
    <t>U4154X</t>
  </si>
  <si>
    <t xml:space="preserve">Integrity S4000 &amp; S5000 Advanced SPM </t>
  </si>
  <si>
    <t>U4155X</t>
  </si>
  <si>
    <t xml:space="preserve">S4000/S5000 System Configuration &amp; Administration </t>
  </si>
  <si>
    <t>U4156X</t>
  </si>
  <si>
    <t xml:space="preserve">Integrity S5000 DNP Administration </t>
  </si>
  <si>
    <t>U4157X</t>
  </si>
  <si>
    <t xml:space="preserve">Introduction to NonStop Himalaya K2000 Servers </t>
  </si>
  <si>
    <t>U4158X</t>
  </si>
  <si>
    <t xml:space="preserve">Introduction to NonStop Himalaya S-Series </t>
  </si>
  <si>
    <t>U4159X</t>
  </si>
  <si>
    <t xml:space="preserve">Introduction to OSS for Guardian Developers </t>
  </si>
  <si>
    <t>U4160X</t>
  </si>
  <si>
    <t xml:space="preserve">iTP WebServer Workshop </t>
  </si>
  <si>
    <t>U4161X</t>
  </si>
  <si>
    <t>Native Mode Compiling &amp; Debugging</t>
  </si>
  <si>
    <t>U4162X</t>
  </si>
  <si>
    <t xml:space="preserve">NonStop Himalaya K20000 Server Support </t>
  </si>
  <si>
    <t>U4163X</t>
  </si>
  <si>
    <t xml:space="preserve">NonStop Himalaya K/S Series Differences </t>
  </si>
  <si>
    <t>U4164X</t>
  </si>
  <si>
    <t xml:space="preserve">NonStop K/S Series &amp; Planning Management </t>
  </si>
  <si>
    <t>U4165X</t>
  </si>
  <si>
    <t xml:space="preserve">NonStop S-Series Basic Operator Tasks </t>
  </si>
  <si>
    <t>U4166X</t>
  </si>
  <si>
    <t xml:space="preserve">NonStop Himalaya S-Series Communication Products </t>
  </si>
  <si>
    <t>U4167X</t>
  </si>
  <si>
    <t xml:space="preserve">NonStop S-Series Configuration &amp; Change Management </t>
  </si>
  <si>
    <t>U4168X</t>
  </si>
  <si>
    <t xml:space="preserve">NonStop API Test Preparation </t>
  </si>
  <si>
    <t>U4169X</t>
  </si>
  <si>
    <t xml:space="preserve">NonStop Data Communicatons Basics API Test Prep </t>
  </si>
  <si>
    <t>U4170X</t>
  </si>
  <si>
    <t xml:space="preserve">NonStop S-Series Field Support Training </t>
  </si>
  <si>
    <t>U4171X</t>
  </si>
  <si>
    <t xml:space="preserve">NonStop S-Series Introduction for Tandem Operators </t>
  </si>
  <si>
    <t>U4172X</t>
  </si>
  <si>
    <t xml:space="preserve"> NonStop S-Series Problem Management</t>
  </si>
  <si>
    <t>U4173X</t>
  </si>
  <si>
    <t>NonStop Himalaya S-Series Production Management</t>
  </si>
  <si>
    <t>U4174X</t>
  </si>
  <si>
    <t xml:space="preserve">NonStop S-Series ServerNet Cluster Workshop </t>
  </si>
  <si>
    <t>U4175X</t>
  </si>
  <si>
    <t xml:space="preserve">NonStop SWAN Troubleshooting &amp; Maintenance Workshop </t>
  </si>
  <si>
    <t>U4176X</t>
  </si>
  <si>
    <t xml:space="preserve">NonStop S-Series TCP/IP System Management </t>
  </si>
  <si>
    <t>U4177X</t>
  </si>
  <si>
    <t xml:space="preserve">NonStop Himalaya S-Series Tools Workshop </t>
  </si>
  <si>
    <t>U4178X</t>
  </si>
  <si>
    <t xml:space="preserve">Non-Stop Kernel Architecture </t>
  </si>
  <si>
    <t>U4179X</t>
  </si>
  <si>
    <t xml:space="preserve">NonStop Kernel Principles </t>
  </si>
  <si>
    <t>U4180X</t>
  </si>
  <si>
    <t>NonStop SQL/MP Database Management</t>
  </si>
  <si>
    <t>U4181X</t>
  </si>
  <si>
    <t xml:space="preserve">NonStop SQL/MP Essentials </t>
  </si>
  <si>
    <t>U4182X</t>
  </si>
  <si>
    <t>NonStop SQL/MP Programming</t>
  </si>
  <si>
    <t>U4183X</t>
  </si>
  <si>
    <t>NonStop SQL/MP Query Design for Performance</t>
  </si>
  <si>
    <t>U4184X</t>
  </si>
  <si>
    <t xml:space="preserve">NonStop SQL/MX Basics </t>
  </si>
  <si>
    <t>U4185X</t>
  </si>
  <si>
    <t>NonStop SQL/MX Database Quick Start</t>
  </si>
  <si>
    <t>U4186X</t>
  </si>
  <si>
    <t xml:space="preserve">NonStop Transaction Mgr/MP Operations &amp; Management </t>
  </si>
  <si>
    <t>U4187X</t>
  </si>
  <si>
    <t>OSS for UNIX Application Developers</t>
  </si>
  <si>
    <t>U4188X</t>
  </si>
  <si>
    <t>OSS Ops &amp; Management</t>
  </si>
  <si>
    <t>U4189X</t>
  </si>
  <si>
    <t>Pathway Application Programming I (C Language)</t>
  </si>
  <si>
    <t>U4190X</t>
  </si>
  <si>
    <t>Pathway Application Programming I (COBOL)</t>
  </si>
  <si>
    <t>U4191X</t>
  </si>
  <si>
    <t>Pathway Application Programming II</t>
  </si>
  <si>
    <t>U4192X</t>
  </si>
  <si>
    <t xml:space="preserve">Pathway iTS </t>
  </si>
  <si>
    <t>U4193X</t>
  </si>
  <si>
    <t>Pathway Performance Workshop</t>
  </si>
  <si>
    <t>U4194X</t>
  </si>
  <si>
    <t>Pathway System Management</t>
  </si>
  <si>
    <t>U4195X</t>
  </si>
  <si>
    <t>Performance Analysis and Tuning</t>
  </si>
  <si>
    <t>U4196X</t>
  </si>
  <si>
    <t>Securing Guardian Systems</t>
  </si>
  <si>
    <t>U4197X</t>
  </si>
  <si>
    <t>Security for Auditors</t>
  </si>
  <si>
    <t>U4198X</t>
  </si>
  <si>
    <t>TAL/pTAL Programming</t>
  </si>
  <si>
    <t>U4199X</t>
  </si>
  <si>
    <t>TACL Programming</t>
  </si>
  <si>
    <t>U4200X</t>
  </si>
  <si>
    <t>UNIX Network Administration</t>
  </si>
  <si>
    <t>U4201X</t>
  </si>
  <si>
    <t>UNIX System Basics</t>
  </si>
  <si>
    <t>U4202X</t>
  </si>
  <si>
    <t>UNIX System V Release 4 Administration</t>
  </si>
  <si>
    <t>U4203X</t>
  </si>
  <si>
    <t>Using the Zero Latency Development Kit</t>
  </si>
  <si>
    <t>U4204X</t>
  </si>
  <si>
    <t>Veritas Volume Manager &amp; File System Administration</t>
  </si>
  <si>
    <t>U5081X</t>
  </si>
  <si>
    <t>enterprise toolkit</t>
  </si>
  <si>
    <t>U5082X</t>
  </si>
  <si>
    <t>NonStop SQL/MP physical database design</t>
  </si>
  <si>
    <t>U5083X</t>
  </si>
  <si>
    <t>basic network management and troubleshooting workshop</t>
  </si>
  <si>
    <t>U5084X</t>
  </si>
  <si>
    <t>NonStop Kernel basics AIS exam preparation</t>
  </si>
  <si>
    <t>U5085X</t>
  </si>
  <si>
    <t>NonStop systems and technologies AIS exam preparation</t>
  </si>
  <si>
    <t>NonStop</t>
  </si>
  <si>
    <t>U5448X</t>
  </si>
  <si>
    <t>NonStop S-series accelerated operator training</t>
  </si>
  <si>
    <t>U5449X</t>
  </si>
  <si>
    <t>NonStop S-series server admin training</t>
  </si>
  <si>
    <t>U5512X</t>
  </si>
  <si>
    <t>NonStop SQL/MX programming</t>
  </si>
  <si>
    <t>NT/MS</t>
  </si>
  <si>
    <t>H4278X</t>
  </si>
  <si>
    <t>Accelerated Training for Windows 2000 for Experienced Network Operating System Administrators</t>
  </si>
  <si>
    <t>NT/UNIX</t>
  </si>
  <si>
    <t>H6867X</t>
  </si>
  <si>
    <t>Integrating UNIX and MS Windows 2000 Key Technologies</t>
  </si>
  <si>
    <t>OpenVMS</t>
  </si>
  <si>
    <t>U3585X</t>
  </si>
  <si>
    <t xml:space="preserve"> OpenVMS Immersion</t>
  </si>
  <si>
    <t>U3716X</t>
  </si>
  <si>
    <t xml:space="preserve"> OpenVMS Fundamentals</t>
  </si>
  <si>
    <t>U3717X</t>
  </si>
  <si>
    <t xml:space="preserve"> OpenVMS V7.3 Alpha Programming Features I</t>
  </si>
  <si>
    <t>U3718X</t>
  </si>
  <si>
    <t xml:space="preserve"> OpenVMS V7.3 Alpha Programming Features II</t>
  </si>
  <si>
    <t>U3719X</t>
  </si>
  <si>
    <t xml:space="preserve"> OpenVMS V7.3 Alpha Internals I</t>
  </si>
  <si>
    <t>U3720X</t>
  </si>
  <si>
    <t xml:space="preserve"> OpenVMS V7.3 Alpha Internals II</t>
  </si>
  <si>
    <t>U3721X</t>
  </si>
  <si>
    <t xml:space="preserve"> OpenVMS V7.3 Alpha Internals III</t>
  </si>
  <si>
    <t>U3722X</t>
  </si>
  <si>
    <t xml:space="preserve"> OpenVMS V7.3 Galaxy and NUMA Programming and Internals</t>
  </si>
  <si>
    <t>U3723X</t>
  </si>
  <si>
    <t xml:space="preserve"> OpenVMS V7.3 Crash Dump Analysis</t>
  </si>
  <si>
    <t>U3724X</t>
  </si>
  <si>
    <t xml:space="preserve"> OpenVMS System Mgmt I:Essentials for Established Systems</t>
  </si>
  <si>
    <t>U3725X</t>
  </si>
  <si>
    <t xml:space="preserve"> OpenVMS Sys Mgmt II:Installation, Config &amp; Customization</t>
  </si>
  <si>
    <t>U3726X</t>
  </si>
  <si>
    <t>Managing Complex  OpenVMS Systems</t>
  </si>
  <si>
    <t>U3727X</t>
  </si>
  <si>
    <t xml:space="preserve"> OpenVMS V7.3 System Performance Management</t>
  </si>
  <si>
    <t>U3728X</t>
  </si>
  <si>
    <t>TCP/IP for  OpenVMS</t>
  </si>
  <si>
    <t>U3729X</t>
  </si>
  <si>
    <t xml:space="preserve"> OpenVMS V7.3 Internals for System Managers</t>
  </si>
  <si>
    <t>U3730X</t>
  </si>
  <si>
    <t xml:space="preserve"> OpenVMS V7.3 Technical Update</t>
  </si>
  <si>
    <t>OV/ITSM</t>
  </si>
  <si>
    <t>B3305X</t>
  </si>
  <si>
    <t xml:space="preserve">HP OV Network Node Mgr Fundamental Operators  </t>
  </si>
  <si>
    <t>B4743X</t>
  </si>
  <si>
    <t>HP OV Network Node Manager on Unix System 1</t>
  </si>
  <si>
    <t>B4756X</t>
  </si>
  <si>
    <t>HP OpenView Network Node Manager II</t>
  </si>
  <si>
    <t>B5136X</t>
  </si>
  <si>
    <t>Performance Management with HP OpenView</t>
  </si>
  <si>
    <t>H1662X</t>
  </si>
  <si>
    <t>HP OpenView Network Node Manager on Win NT I</t>
  </si>
  <si>
    <t xml:space="preserve">H1846X </t>
  </si>
  <si>
    <t>IT Service Management Essentials</t>
  </si>
  <si>
    <t>H2948X</t>
  </si>
  <si>
    <t>HP OpenView Event Correlation Services</t>
  </si>
  <si>
    <t>H3320X</t>
  </si>
  <si>
    <t>Control-IT Simulation</t>
  </si>
  <si>
    <t>H4356X</t>
  </si>
  <si>
    <t>HP OpenView VantagePoint Operations I</t>
  </si>
  <si>
    <t>H4357X</t>
  </si>
  <si>
    <t>HP OpenView VantagePoint Operations II</t>
  </si>
  <si>
    <t>H4358X</t>
  </si>
  <si>
    <t>HP OpenView VantagePoint Operations for Operators</t>
  </si>
  <si>
    <t>H6778X</t>
  </si>
  <si>
    <t>HP OpenView VantagePoint Fundamentals W2K</t>
  </si>
  <si>
    <t>H6873X</t>
  </si>
  <si>
    <t>Introduction To Control IT</t>
  </si>
  <si>
    <t>H6874X</t>
  </si>
  <si>
    <t>OpenView OmniBack Fundamentals for System Administrators</t>
  </si>
  <si>
    <t>H6885X</t>
  </si>
  <si>
    <t>ITIL Practitioner Configuration Management</t>
  </si>
  <si>
    <t>H6886X</t>
  </si>
  <si>
    <t>ITIL Practitioner Services Desk/Incident Management</t>
  </si>
  <si>
    <t>H6887X</t>
  </si>
  <si>
    <t>ITIL Practitioner Problem Management</t>
  </si>
  <si>
    <t>H6888X</t>
  </si>
  <si>
    <t>ITIL Practitioner Change Management</t>
  </si>
  <si>
    <t>H6889X</t>
  </si>
  <si>
    <t xml:space="preserve">ITIL Practitioner availability management </t>
  </si>
  <si>
    <t>H6890X</t>
  </si>
  <si>
    <t>ITIL Practitioner capacity management</t>
  </si>
  <si>
    <t>H6891X</t>
  </si>
  <si>
    <t>ITIL Practitioner Financial management</t>
  </si>
  <si>
    <t>H6892X</t>
  </si>
  <si>
    <t>ITIL Practitioner Service Level Management</t>
  </si>
  <si>
    <t>H7084X</t>
  </si>
  <si>
    <t>OpenView Service Desk Application Coordinator</t>
  </si>
  <si>
    <t>H8919X</t>
  </si>
  <si>
    <t>HP OpenView ManageX Fundamentals</t>
  </si>
  <si>
    <t>H8988X</t>
  </si>
  <si>
    <t>IT Service Management 1</t>
  </si>
  <si>
    <t>H8989X</t>
  </si>
  <si>
    <t>ITIL Service Management 2</t>
  </si>
  <si>
    <t>H8990X</t>
  </si>
  <si>
    <t>ITSM Certification Preperation Wkshp</t>
  </si>
  <si>
    <t>H9015X</t>
  </si>
  <si>
    <t>ITIL Essentials Workshop with Exam</t>
  </si>
  <si>
    <t>ITIL Essentials Workshop without Exam</t>
  </si>
  <si>
    <t>U1616X</t>
  </si>
  <si>
    <t>Building Insight Reporting Solutions</t>
  </si>
  <si>
    <t>U2800aae</t>
  </si>
  <si>
    <t>ITSM Certification Preparation Wkshp - Online</t>
  </si>
  <si>
    <t>U3268X</t>
  </si>
  <si>
    <t xml:space="preserve">Foundation Certificate Exam in ITSM </t>
  </si>
  <si>
    <t>1hr</t>
  </si>
  <si>
    <t>U3269X</t>
  </si>
  <si>
    <t>ITSM Service Support Exam</t>
  </si>
  <si>
    <t>3hr</t>
  </si>
  <si>
    <t>U3270X</t>
  </si>
  <si>
    <t>ITSM Service Delivery Exam</t>
  </si>
  <si>
    <t>Proliant</t>
  </si>
  <si>
    <t>U3976X</t>
  </si>
  <si>
    <t>deploying hp ProLiant servers I - using rapid deployment pack</t>
  </si>
  <si>
    <t>U3977X</t>
  </si>
  <si>
    <t>deploying hp ProLiant servers II - using rapid deployment pack</t>
  </si>
  <si>
    <t>U3978X</t>
  </si>
  <si>
    <t>managing hp ProLiant servers I - using hp insight manager 7</t>
  </si>
  <si>
    <t>U3979X</t>
  </si>
  <si>
    <t>managing hp ProLiant servers II - using hp insight manager 7</t>
  </si>
  <si>
    <t>Storage</t>
  </si>
  <si>
    <t>H6773X</t>
  </si>
  <si>
    <t xml:space="preserve">Managing the HP SureStore E Disk Arrays XP </t>
  </si>
  <si>
    <t>U1610X</t>
  </si>
  <si>
    <t>OpenView storage data protector-1 (fundamentals)</t>
  </si>
  <si>
    <t>U1611X</t>
  </si>
  <si>
    <t>Openiew Storage Data Protector-II (Integration)</t>
  </si>
  <si>
    <t>U2400X</t>
  </si>
  <si>
    <t>Managing Virtural Arrays</t>
  </si>
  <si>
    <t>U2404X</t>
  </si>
  <si>
    <t xml:space="preserve">Fibre Channel SAN Technology </t>
  </si>
  <si>
    <t>U2405X</t>
  </si>
  <si>
    <t>Fibre Channel Switch Management</t>
  </si>
  <si>
    <t>U2407X</t>
  </si>
  <si>
    <t>Advanced Fibre Channel</t>
  </si>
  <si>
    <t>U3575X</t>
  </si>
  <si>
    <t>hp OpenView storage area manager 3.0</t>
  </si>
  <si>
    <t>SWD/E-Serv</t>
  </si>
  <si>
    <t>35130X</t>
  </si>
  <si>
    <t xml:space="preserve">ANSI C Programming  </t>
  </si>
  <si>
    <t>H4311X</t>
  </si>
  <si>
    <t>Perl Programming</t>
  </si>
  <si>
    <t>Tru64</t>
  </si>
  <si>
    <t>U3631X</t>
  </si>
  <si>
    <t xml:space="preserve"> Tru64 UNIX V5 Utilities and Commands</t>
  </si>
  <si>
    <t>U3632X</t>
  </si>
  <si>
    <t xml:space="preserve"> Tru64 UNIX V5.1 System Administration</t>
  </si>
  <si>
    <t>U3633X</t>
  </si>
  <si>
    <t xml:space="preserve"> Tru64 UNIX V5.1A Network Administration</t>
  </si>
  <si>
    <t>U3634X</t>
  </si>
  <si>
    <t xml:space="preserve"> TruCluster Differences</t>
  </si>
  <si>
    <t>U3635X</t>
  </si>
  <si>
    <t xml:space="preserve"> Tru64 UNIX V5 Differences</t>
  </si>
  <si>
    <t>U3636X</t>
  </si>
  <si>
    <t xml:space="preserve"> Tru64 UNIX V5.0 Basic Networking Skills</t>
  </si>
  <si>
    <t>U3637X</t>
  </si>
  <si>
    <t xml:space="preserve"> Tru64 UNIX V5.1 Immersion for UNIX Professionals</t>
  </si>
  <si>
    <t>U3697X</t>
  </si>
  <si>
    <t xml:space="preserve"> Tru64 UNIX V5 Security Management</t>
  </si>
  <si>
    <t>U3698X</t>
  </si>
  <si>
    <t xml:space="preserve"> Tru64 UNIX V5 Performance Management</t>
  </si>
  <si>
    <t>U3699X</t>
  </si>
  <si>
    <t>LSM and RAID Configuration and Management</t>
  </si>
  <si>
    <t>U3700X</t>
  </si>
  <si>
    <t>Troubleshooting TCP/IP Networks</t>
  </si>
  <si>
    <t>U3701X</t>
  </si>
  <si>
    <t xml:space="preserve"> Tru64 UNIX V5.1 Internals Overview</t>
  </si>
  <si>
    <t>U3702X</t>
  </si>
  <si>
    <t xml:space="preserve"> TruCluster Server Configuration and Management</t>
  </si>
  <si>
    <t>U3703X</t>
  </si>
  <si>
    <t xml:space="preserve"> Tru64 UNIX Performance on GS Series Systems</t>
  </si>
  <si>
    <t>U3704X</t>
  </si>
  <si>
    <t>AdvFS Internals and Troubleshooting</t>
  </si>
  <si>
    <t>U3705X</t>
  </si>
  <si>
    <t>LSM Internals and Troubleshooting</t>
  </si>
  <si>
    <t>U3706X</t>
  </si>
  <si>
    <t xml:space="preserve"> Tru64 UNIX V5.0 Kernal Tools</t>
  </si>
  <si>
    <t>U3707X</t>
  </si>
  <si>
    <t xml:space="preserve"> Tru64 UNIX V5.1 System Internals I</t>
  </si>
  <si>
    <t>U3708X</t>
  </si>
  <si>
    <t xml:space="preserve"> Tru64 UNIX V5.1 System Internals II</t>
  </si>
  <si>
    <t>U3709X</t>
  </si>
  <si>
    <t xml:space="preserve"> Tru64 UNIX Crash Dump Analysis</t>
  </si>
  <si>
    <t>U3710X</t>
  </si>
  <si>
    <t xml:space="preserve"> TruCluster Internals</t>
  </si>
  <si>
    <t>U3711X</t>
  </si>
  <si>
    <t>UNIX Shell Programming Featuring Korn Shell</t>
  </si>
  <si>
    <t>U3712X</t>
  </si>
  <si>
    <t xml:space="preserve"> Tru64 UNIX Tools for Application Developers</t>
  </si>
  <si>
    <t>U3713X</t>
  </si>
  <si>
    <t xml:space="preserve"> Tru64 UNIX V5 Programming Features</t>
  </si>
  <si>
    <t>U3714X</t>
  </si>
  <si>
    <t>UNIX Network Applications Programming</t>
  </si>
  <si>
    <t>U3715X</t>
  </si>
  <si>
    <t>Designing and Debugging Scaleable Multithreaded Applications</t>
  </si>
  <si>
    <t>UNIX-BUNDLE</t>
  </si>
  <si>
    <t>51434X+100</t>
  </si>
  <si>
    <t>Fundamentals of UNIX System BUNDLE</t>
  </si>
  <si>
    <t>UNIX</t>
  </si>
  <si>
    <t>H1978X</t>
  </si>
  <si>
    <t>Managing Software with Ignite/UX</t>
  </si>
  <si>
    <t>H3045X</t>
  </si>
  <si>
    <t>HP-UX System and Network Administration III</t>
  </si>
  <si>
    <t>H3064X+100</t>
  </si>
  <si>
    <t>HP-UX System and Network Administration I BUNDLE</t>
  </si>
  <si>
    <t>H3065X+100</t>
  </si>
  <si>
    <t xml:space="preserve">HP-UX System and Network Administration II BUNDLE </t>
  </si>
  <si>
    <t>H3335X</t>
  </si>
  <si>
    <t>UNIX Sys Basics I for Ops</t>
  </si>
  <si>
    <t>H3336X</t>
  </si>
  <si>
    <t>UNIX Sys Basics II for Ops</t>
  </si>
  <si>
    <t>H3541X</t>
  </si>
  <si>
    <t>Practical UNIX System and Network Security</t>
  </si>
  <si>
    <t>UNIX- HPVC</t>
  </si>
  <si>
    <t>H3574I</t>
  </si>
  <si>
    <t>HP-UX Certification Prep HPVC seminar for 3h0-002 Exam</t>
  </si>
  <si>
    <t>2 hr</t>
  </si>
  <si>
    <t>H4262X</t>
  </si>
  <si>
    <t xml:space="preserve">HP-UX Performance and Tuning </t>
  </si>
  <si>
    <t>H4264X</t>
  </si>
  <si>
    <t>HP-UX System and Network Troubleshooting</t>
  </si>
  <si>
    <t>H4310X</t>
  </si>
  <si>
    <t>HP MC/ServiceGuard II</t>
  </si>
  <si>
    <t>H4322X</t>
  </si>
  <si>
    <t>POSIX Shell Programming</t>
  </si>
  <si>
    <t>H5081X</t>
  </si>
  <si>
    <t>Inside the HP-UX OS</t>
  </si>
  <si>
    <t>H5875X</t>
  </si>
  <si>
    <t>HP-UX Sys NW Admin for Exp Admin</t>
  </si>
  <si>
    <t>H6285X</t>
  </si>
  <si>
    <t>Hands on with LVM Mirror Disk/UX and JFS</t>
  </si>
  <si>
    <t>H6487X</t>
  </si>
  <si>
    <t xml:space="preserve">MC/ServiceGuard Hands On </t>
  </si>
  <si>
    <t>H6704X</t>
  </si>
  <si>
    <r>
      <t>HPUX High Availability Practical Exam</t>
    </r>
    <r>
      <rPr>
        <b/>
        <i/>
        <sz val="10"/>
        <color indexed="10"/>
        <rFont val="Futura Md"/>
        <family val="2"/>
      </rPr>
      <t/>
    </r>
  </si>
  <si>
    <t>H7076X</t>
  </si>
  <si>
    <t>Internet Security</t>
  </si>
  <si>
    <t>H7085X</t>
  </si>
  <si>
    <t>VERITAS volume manager for HP-UX</t>
  </si>
  <si>
    <t>H7086X</t>
  </si>
  <si>
    <t>VERITAS file system for HP-UX</t>
  </si>
  <si>
    <t>H7093X-1</t>
  </si>
  <si>
    <t>1-day Superdome instructor-led mentoring</t>
  </si>
  <si>
    <t>H7093X-2</t>
  </si>
  <si>
    <t>2-day Superdome instructor-led training</t>
  </si>
  <si>
    <t>H7093X-3</t>
  </si>
  <si>
    <t>3-day Superdome instructor-led, hands-on training</t>
  </si>
  <si>
    <t>H7094X</t>
  </si>
  <si>
    <t>HP-UX 11.i New Features and Functions Overview Seminar</t>
  </si>
  <si>
    <t>H7097X</t>
  </si>
  <si>
    <t xml:space="preserve">Hands on with HP-UX11i </t>
  </si>
  <si>
    <t>H8339X</t>
  </si>
  <si>
    <t>HP-UX Patch Management</t>
  </si>
  <si>
    <t>UNIX-HPVC</t>
  </si>
  <si>
    <t>U1592AAE</t>
  </si>
  <si>
    <t>Managing Veritas Volume Manager - VxVM HPVC Seminar</t>
  </si>
  <si>
    <t>2hr</t>
  </si>
  <si>
    <t>U5075X</t>
  </si>
  <si>
    <t>HP-UX partition management with vPars/nPars</t>
  </si>
  <si>
    <t>U5447SR</t>
  </si>
  <si>
    <t xml:space="preserve">hp-ux resource management with PRM and WLM (RAIL 4 days) </t>
  </si>
  <si>
    <t>GSA On-Site Pricing Matrix</t>
  </si>
  <si>
    <t xml:space="preserve"> </t>
  </si>
  <si>
    <t>U5091X</t>
  </si>
  <si>
    <t>Java API programming for NonStop servers</t>
  </si>
  <si>
    <t>New Course</t>
  </si>
  <si>
    <t>U5515X</t>
  </si>
  <si>
    <t>open system services (OSS)—NonStop server fundamentals</t>
  </si>
  <si>
    <t>U5516X</t>
  </si>
  <si>
    <t>open system services (OSS)—basic commands and utilities</t>
  </si>
  <si>
    <t>U5517X</t>
  </si>
  <si>
    <t>open system services (OSS)—advanced commands and utilities</t>
  </si>
  <si>
    <t>U5518X</t>
  </si>
  <si>
    <t>open system services (OSS)—application development and porting</t>
  </si>
  <si>
    <t>Rev 11-25-03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</si>
</sst>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0" formatCode="_(&quot;$&quot;* #,##0.00_);_(&quot;$&quot;* \(#,##0.00\);_(&quot;$&quot;* &quot;-&quot;??_);_(@_)"/>
    <numFmt numFmtId="172" formatCode="0_)"/>
    <numFmt numFmtId="173" formatCode="_(&quot;$&quot;* #,##0_);_(&quot;$&quot;* \(#,##0\);_(&quot;$&quot;* &quot;-&quot;??_);_(@_)"/>
    <numFmt numFmtId="175" formatCode="&quot;$&quot;#,##0.00"/>
    <numFmt numFmtId="176" formatCode="0.0%"/>
    <numFmt numFmtId="177" formatCode="#,##0;\-#,##0;&quot;-&quot;"/>
    <numFmt numFmtId="178" formatCode="0%\ ;[Red]\(0%\);&quot;- &quot;"/>
    <numFmt numFmtId="179" formatCode="&quot;$&quot;#,##0"/>
  </numFmts>
  <fonts count="15">
    <font>
      <sz val="12"/>
      <name val="Times New Roman"/>
    </font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Futura Md"/>
      <family val="2"/>
    </font>
    <font>
      <b/>
      <sz val="9"/>
      <name val="Futura Md"/>
      <family val="2"/>
    </font>
    <font>
      <sz val="9"/>
      <name val="Arial"/>
      <family val="2"/>
    </font>
    <font>
      <b/>
      <i/>
      <sz val="10"/>
      <color indexed="10"/>
      <name val="Futura Md"/>
      <family val="2"/>
    </font>
    <font>
      <sz val="9"/>
      <color indexed="53"/>
      <name val="Futura Md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3"/>
        <bgColor indexed="22"/>
      </patternFill>
    </fill>
    <fill>
      <patternFill patternType="solid">
        <fgColor indexed="43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77" fontId="2" fillId="0" borderId="0" applyFill="0" applyBorder="0" applyAlignment="0"/>
    <xf numFmtId="176" fontId="3" fillId="0" borderId="0" applyFill="0" applyBorder="0" applyAlignment="0"/>
    <xf numFmtId="175" fontId="3" fillId="0" borderId="0" applyFill="0" applyBorder="0" applyAlignment="0"/>
    <xf numFmtId="170" fontId="1" fillId="0" borderId="0" applyFont="0" applyFill="0" applyBorder="0" applyAlignment="0" applyProtection="0"/>
    <xf numFmtId="178" fontId="4" fillId="0" borderId="0" applyFill="0" applyBorder="0" applyAlignment="0"/>
    <xf numFmtId="38" fontId="5" fillId="2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5" fillId="3" borderId="3" applyNumberFormat="0" applyBorder="0" applyAlignment="0" applyProtection="0"/>
    <xf numFmtId="178" fontId="4" fillId="0" borderId="0" applyFill="0" applyBorder="0" applyAlignment="0"/>
    <xf numFmtId="178" fontId="4" fillId="0" borderId="0"/>
    <xf numFmtId="10" fontId="1" fillId="0" borderId="0" applyFont="0" applyFill="0" applyBorder="0" applyAlignment="0" applyProtection="0"/>
    <xf numFmtId="178" fontId="4" fillId="0" borderId="0" applyFill="0" applyBorder="0" applyAlignment="0"/>
    <xf numFmtId="49" fontId="2" fillId="0" borderId="0" applyFill="0" applyBorder="0" applyAlignment="0"/>
    <xf numFmtId="178" fontId="4" fillId="0" borderId="0" applyFill="0" applyBorder="0" applyAlignment="0"/>
  </cellStyleXfs>
  <cellXfs count="41">
    <xf numFmtId="0" fontId="0" fillId="0" borderId="0" xfId="0"/>
    <xf numFmtId="0" fontId="7" fillId="2" borderId="4" xfId="0" applyFont="1" applyFill="1" applyBorder="1" applyAlignment="1" applyProtection="1">
      <alignment horizontal="left"/>
      <protection locked="0"/>
    </xf>
    <xf numFmtId="173" fontId="8" fillId="4" borderId="5" xfId="4" applyNumberFormat="1" applyFont="1" applyFill="1" applyBorder="1" applyAlignment="1" applyProtection="1">
      <alignment horizontal="left"/>
      <protection locked="0"/>
    </xf>
    <xf numFmtId="173" fontId="8" fillId="4" borderId="6" xfId="4" applyNumberFormat="1" applyFont="1" applyFill="1" applyBorder="1" applyAlignment="1" applyProtection="1">
      <alignment horizontal="center"/>
      <protection locked="0"/>
    </xf>
    <xf numFmtId="172" fontId="8" fillId="4" borderId="7" xfId="0" applyNumberFormat="1" applyFont="1" applyFill="1" applyBorder="1" applyAlignment="1" applyProtection="1">
      <alignment horizontal="center"/>
      <protection locked="0"/>
    </xf>
    <xf numFmtId="3" fontId="8" fillId="4" borderId="8" xfId="4" applyNumberFormat="1" applyFont="1" applyFill="1" applyBorder="1" applyAlignment="1" applyProtection="1">
      <alignment horizontal="left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2" borderId="9" xfId="0" applyFont="1" applyFill="1" applyBorder="1" applyAlignment="1" applyProtection="1">
      <alignment horizontal="center"/>
      <protection locked="0"/>
    </xf>
    <xf numFmtId="3" fontId="8" fillId="5" borderId="8" xfId="4" applyNumberFormat="1" applyFont="1" applyFill="1" applyBorder="1" applyAlignment="1" applyProtection="1">
      <alignment horizontal="left"/>
      <protection locked="0"/>
    </xf>
    <xf numFmtId="0" fontId="7" fillId="6" borderId="10" xfId="0" applyFont="1" applyFill="1" applyBorder="1" applyAlignment="1" applyProtection="1">
      <protection locked="0"/>
    </xf>
    <xf numFmtId="0" fontId="7" fillId="6" borderId="11" xfId="0" applyFont="1" applyFill="1" applyBorder="1" applyAlignment="1" applyProtection="1">
      <protection locked="0"/>
    </xf>
    <xf numFmtId="0" fontId="7" fillId="0" borderId="0" xfId="0" applyFont="1" applyBorder="1" applyProtection="1">
      <protection locked="0"/>
    </xf>
    <xf numFmtId="0" fontId="8" fillId="2" borderId="12" xfId="0" applyFont="1" applyFill="1" applyBorder="1" applyAlignment="1" applyProtection="1">
      <alignment horizontal="left" wrapText="1"/>
      <protection locked="0"/>
    </xf>
    <xf numFmtId="173" fontId="8" fillId="4" borderId="13" xfId="4" applyNumberFormat="1" applyFont="1" applyFill="1" applyBorder="1" applyAlignment="1" applyProtection="1">
      <alignment horizontal="left" wrapText="1"/>
      <protection locked="0"/>
    </xf>
    <xf numFmtId="173" fontId="8" fillId="4" borderId="14" xfId="4" applyNumberFormat="1" applyFont="1" applyFill="1" applyBorder="1" applyAlignment="1" applyProtection="1">
      <alignment horizontal="center" wrapText="1"/>
      <protection locked="0"/>
    </xf>
    <xf numFmtId="172" fontId="8" fillId="4" borderId="12" xfId="0" applyNumberFormat="1" applyFont="1" applyFill="1" applyBorder="1" applyAlignment="1" applyProtection="1">
      <alignment horizontal="center"/>
      <protection locked="0"/>
    </xf>
    <xf numFmtId="3" fontId="8" fillId="4" borderId="15" xfId="4" applyNumberFormat="1" applyFont="1" applyFill="1" applyBorder="1" applyAlignment="1" applyProtection="1">
      <alignment horizontal="center" wrapText="1"/>
      <protection locked="0"/>
    </xf>
    <xf numFmtId="173" fontId="8" fillId="4" borderId="16" xfId="4" applyNumberFormat="1" applyFont="1" applyFill="1" applyBorder="1" applyAlignment="1" applyProtection="1">
      <alignment horizontal="center" wrapText="1"/>
      <protection locked="0"/>
    </xf>
    <xf numFmtId="39" fontId="8" fillId="4" borderId="17" xfId="0" applyNumberFormat="1" applyFont="1" applyFill="1" applyBorder="1" applyAlignment="1" applyProtection="1">
      <alignment horizontal="center" wrapText="1"/>
      <protection locked="0"/>
    </xf>
    <xf numFmtId="173" fontId="8" fillId="5" borderId="18" xfId="4" applyNumberFormat="1" applyFont="1" applyFill="1" applyBorder="1" applyAlignment="1" applyProtection="1">
      <alignment horizontal="center" wrapText="1"/>
      <protection locked="0"/>
    </xf>
    <xf numFmtId="173" fontId="8" fillId="5" borderId="12" xfId="4" applyNumberFormat="1" applyFont="1" applyFill="1" applyBorder="1" applyAlignment="1" applyProtection="1">
      <alignment horizontal="center" wrapText="1"/>
      <protection locked="0"/>
    </xf>
    <xf numFmtId="39" fontId="8" fillId="6" borderId="19" xfId="0" applyNumberFormat="1" applyFont="1" applyFill="1" applyBorder="1" applyAlignment="1" applyProtection="1">
      <alignment horizontal="center" wrapText="1"/>
      <protection locked="0"/>
    </xf>
    <xf numFmtId="0" fontId="9" fillId="0" borderId="3" xfId="0" applyFont="1" applyFill="1" applyBorder="1"/>
    <xf numFmtId="0" fontId="7" fillId="0" borderId="0" xfId="0" applyFont="1" applyFill="1" applyAlignment="1" applyProtection="1">
      <protection locked="0"/>
    </xf>
    <xf numFmtId="0" fontId="9" fillId="0" borderId="20" xfId="0" applyFont="1" applyFill="1" applyBorder="1"/>
    <xf numFmtId="0" fontId="9" fillId="0" borderId="21" xfId="0" applyFont="1" applyFill="1" applyBorder="1"/>
    <xf numFmtId="0" fontId="9" fillId="0" borderId="3" xfId="0" applyFont="1" applyFill="1" applyBorder="1" applyAlignment="1">
      <alignment horizontal="center"/>
    </xf>
    <xf numFmtId="179" fontId="9" fillId="0" borderId="3" xfId="0" applyNumberFormat="1" applyFont="1" applyFill="1" applyBorder="1" applyAlignment="1">
      <alignment vertical="center" wrapText="1"/>
    </xf>
    <xf numFmtId="179" fontId="9" fillId="0" borderId="3" xfId="0" applyNumberFormat="1" applyFont="1" applyFill="1" applyBorder="1" applyAlignment="1" applyProtection="1">
      <protection locked="0"/>
    </xf>
    <xf numFmtId="179" fontId="9" fillId="0" borderId="3" xfId="0" applyNumberFormat="1" applyFont="1" applyFill="1" applyBorder="1" applyAlignment="1">
      <alignment wrapText="1"/>
    </xf>
    <xf numFmtId="0" fontId="7" fillId="0" borderId="0" xfId="0" applyFont="1" applyFill="1" applyProtection="1">
      <protection locked="0"/>
    </xf>
    <xf numFmtId="0" fontId="7" fillId="0" borderId="0" xfId="0" applyFont="1" applyFill="1" applyAlignment="1" applyProtection="1">
      <alignment horizontal="left"/>
      <protection locked="0"/>
    </xf>
    <xf numFmtId="0" fontId="7" fillId="0" borderId="0" xfId="0" applyFont="1" applyFill="1" applyBorder="1" applyProtection="1">
      <protection locked="0"/>
    </xf>
    <xf numFmtId="3" fontId="7" fillId="0" borderId="0" xfId="0" applyNumberFormat="1" applyFont="1" applyFill="1" applyProtection="1">
      <protection locked="0"/>
    </xf>
    <xf numFmtId="179" fontId="11" fillId="0" borderId="0" xfId="4" applyNumberFormat="1" applyFont="1" applyFill="1" applyBorder="1" applyAlignment="1" applyProtection="1">
      <alignment horizontal="right"/>
      <protection locked="0"/>
    </xf>
    <xf numFmtId="179" fontId="11" fillId="0" borderId="0" xfId="4" applyNumberFormat="1" applyFont="1" applyFill="1" applyBorder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3" fontId="7" fillId="0" borderId="0" xfId="0" applyNumberFormat="1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179" fontId="14" fillId="0" borderId="3" xfId="4" applyNumberFormat="1" applyFont="1" applyFill="1" applyBorder="1" applyAlignment="1" applyProtection="1">
      <protection locked="0"/>
    </xf>
  </cellXfs>
  <cellStyles count="16">
    <cellStyle name="Calc Currency (0)" xfId="1"/>
    <cellStyle name="Calc Percent (0)" xfId="2"/>
    <cellStyle name="Calc Percent (1)" xfId="3"/>
    <cellStyle name="Currency" xfId="4" builtinId="4"/>
    <cellStyle name="Enter Currency (0)" xfId="5"/>
    <cellStyle name="Grey" xfId="6"/>
    <cellStyle name="Header1" xfId="7"/>
    <cellStyle name="Header2" xfId="8"/>
    <cellStyle name="Input [yellow]" xfId="9"/>
    <cellStyle name="Link Currency (0)" xfId="10"/>
    <cellStyle name="Normal" xfId="0" builtinId="0"/>
    <cellStyle name="Normal - Style1" xfId="11"/>
    <cellStyle name="Percent [2]" xfId="12"/>
    <cellStyle name="PrePop Currency (0)" xfId="13"/>
    <cellStyle name="Text Indent A" xfId="14"/>
    <cellStyle name="Text Indent B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>
    <pageSetUpPr fitToPage="1"/>
  </sheetPr>
  <dimension ref="A1:M341"/>
  <sheetViews>
    <sheetView showGridLines="0" tabSelected="1" workbookViewId="0">
      <pane xSplit="2" ySplit="2" topLeftCell="E3" activePane="bottomRight" state="frozen"/>
      <selection activeCell="E1" sqref="E1"/>
      <selection pane="topRight" activeCell="G1" sqref="G1"/>
      <selection pane="bottomLeft" activeCell="E3" sqref="E3"/>
      <selection pane="bottomRight" activeCell="L218" sqref="L218"/>
    </sheetView>
  </sheetViews>
  <sheetFormatPr defaultColWidth="9" defaultRowHeight="15.5"/>
  <cols>
    <col min="1" max="1" width="11.58203125" style="39" customWidth="1"/>
    <col min="2" max="2" width="11.08203125" style="39" customWidth="1"/>
    <col min="3" max="3" width="48.33203125" style="11" customWidth="1"/>
    <col min="4" max="4" width="4.58203125" style="37" customWidth="1"/>
    <col min="5" max="5" width="8.25" style="38" customWidth="1"/>
    <col min="6" max="6" width="8.25" style="36" customWidth="1"/>
    <col min="7" max="7" width="8.08203125" style="36" customWidth="1"/>
    <col min="8" max="9" width="8.25" style="36" customWidth="1"/>
    <col min="10" max="10" width="8.08203125" style="36" customWidth="1"/>
    <col min="11" max="11" width="8.25" style="36" customWidth="1"/>
    <col min="12" max="12" width="8.25" style="30" customWidth="1"/>
    <col min="13" max="13" width="8.6640625" customWidth="1"/>
    <col min="14" max="16384" width="9" style="36"/>
  </cols>
  <sheetData>
    <row r="1" spans="1:13" s="11" customFormat="1" ht="16" thickBot="1">
      <c r="A1" s="1"/>
      <c r="B1" s="2" t="s">
        <v>465</v>
      </c>
      <c r="C1" s="3" t="s">
        <v>452</v>
      </c>
      <c r="D1" s="4"/>
      <c r="E1" s="5" t="s">
        <v>0</v>
      </c>
      <c r="F1" s="6"/>
      <c r="G1" s="6"/>
      <c r="H1" s="7"/>
      <c r="I1" s="8" t="s">
        <v>1</v>
      </c>
      <c r="J1" s="9"/>
      <c r="K1" s="9"/>
      <c r="L1" s="10"/>
      <c r="M1"/>
    </row>
    <row r="2" spans="1:13" s="11" customFormat="1" ht="42.75" customHeight="1">
      <c r="A2" s="12" t="s">
        <v>2</v>
      </c>
      <c r="B2" s="13" t="s">
        <v>3</v>
      </c>
      <c r="C2" s="14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8" t="s">
        <v>9</v>
      </c>
      <c r="I2" s="19" t="s">
        <v>6</v>
      </c>
      <c r="J2" s="20" t="s">
        <v>7</v>
      </c>
      <c r="K2" s="20" t="s">
        <v>8</v>
      </c>
      <c r="L2" s="21" t="s">
        <v>9</v>
      </c>
      <c r="M2"/>
    </row>
    <row r="3" spans="1:13" s="23" customFormat="1">
      <c r="A3" s="22" t="s">
        <v>10</v>
      </c>
      <c r="B3" s="24" t="s">
        <v>11</v>
      </c>
      <c r="C3" s="25" t="s">
        <v>12</v>
      </c>
      <c r="D3" s="26">
        <v>5</v>
      </c>
      <c r="E3" s="27">
        <v>21500</v>
      </c>
      <c r="F3" s="28">
        <f>+E3+4000</f>
        <v>25500</v>
      </c>
      <c r="G3" s="28">
        <f>+E3+8000</f>
        <v>29500</v>
      </c>
      <c r="H3" s="29">
        <f>+E3+2000</f>
        <v>23500</v>
      </c>
      <c r="I3" s="40">
        <f>ROUND(E3*0.827,0)</f>
        <v>17781</v>
      </c>
      <c r="J3" s="40">
        <f t="shared" ref="J3:J18" si="0">ROUND(F3*0.827,0)</f>
        <v>21089</v>
      </c>
      <c r="K3" s="40">
        <f t="shared" ref="K3:K18" si="1">ROUND(G3*0.827,0)</f>
        <v>24397</v>
      </c>
      <c r="L3" s="40">
        <f t="shared" ref="L3:L66" si="2">ROUND(H3*0.827,0)</f>
        <v>19435</v>
      </c>
      <c r="M3"/>
    </row>
    <row r="4" spans="1:13" s="23" customFormat="1">
      <c r="A4" s="22" t="s">
        <v>10</v>
      </c>
      <c r="B4" s="24" t="s">
        <v>13</v>
      </c>
      <c r="C4" s="25" t="s">
        <v>14</v>
      </c>
      <c r="D4" s="26">
        <v>5</v>
      </c>
      <c r="E4" s="27">
        <v>21500</v>
      </c>
      <c r="F4" s="28">
        <f>+E4+4000</f>
        <v>25500</v>
      </c>
      <c r="G4" s="28">
        <f>+E4+8000</f>
        <v>29500</v>
      </c>
      <c r="H4" s="29">
        <f>+E4+2000</f>
        <v>23500</v>
      </c>
      <c r="I4" s="40">
        <f t="shared" ref="I4:I67" si="3">ROUND(E4*0.827,0)</f>
        <v>17781</v>
      </c>
      <c r="J4" s="40">
        <f t="shared" si="0"/>
        <v>21089</v>
      </c>
      <c r="K4" s="40">
        <f t="shared" si="1"/>
        <v>24397</v>
      </c>
      <c r="L4" s="40">
        <f t="shared" si="2"/>
        <v>19435</v>
      </c>
      <c r="M4"/>
    </row>
    <row r="5" spans="1:13" s="23" customFormat="1">
      <c r="A5" s="22" t="s">
        <v>10</v>
      </c>
      <c r="B5" s="24" t="s">
        <v>15</v>
      </c>
      <c r="C5" s="25" t="s">
        <v>16</v>
      </c>
      <c r="D5" s="26">
        <v>3</v>
      </c>
      <c r="E5" s="27">
        <v>12900</v>
      </c>
      <c r="F5" s="28">
        <v>16900</v>
      </c>
      <c r="G5" s="28">
        <v>20900</v>
      </c>
      <c r="H5" s="29">
        <v>14900</v>
      </c>
      <c r="I5" s="40">
        <f t="shared" si="3"/>
        <v>10668</v>
      </c>
      <c r="J5" s="40">
        <f t="shared" si="0"/>
        <v>13976</v>
      </c>
      <c r="K5" s="40">
        <f t="shared" si="1"/>
        <v>17284</v>
      </c>
      <c r="L5" s="40">
        <f t="shared" si="2"/>
        <v>12322</v>
      </c>
      <c r="M5"/>
    </row>
    <row r="6" spans="1:13" s="23" customFormat="1">
      <c r="A6" s="22" t="s">
        <v>10</v>
      </c>
      <c r="B6" s="24" t="s">
        <v>17</v>
      </c>
      <c r="C6" s="25" t="s">
        <v>18</v>
      </c>
      <c r="D6" s="26">
        <v>5</v>
      </c>
      <c r="E6" s="27">
        <v>21500</v>
      </c>
      <c r="F6" s="28">
        <f>+E6+4000</f>
        <v>25500</v>
      </c>
      <c r="G6" s="28">
        <f>+E6+8000</f>
        <v>29500</v>
      </c>
      <c r="H6" s="29">
        <f>+E6+2000</f>
        <v>23500</v>
      </c>
      <c r="I6" s="40">
        <f t="shared" si="3"/>
        <v>17781</v>
      </c>
      <c r="J6" s="40">
        <f t="shared" si="0"/>
        <v>21089</v>
      </c>
      <c r="K6" s="40">
        <f t="shared" si="1"/>
        <v>24397</v>
      </c>
      <c r="L6" s="40">
        <f t="shared" si="2"/>
        <v>19435</v>
      </c>
      <c r="M6"/>
    </row>
    <row r="7" spans="1:13" s="23" customFormat="1">
      <c r="A7" s="22" t="s">
        <v>10</v>
      </c>
      <c r="B7" s="24" t="s">
        <v>19</v>
      </c>
      <c r="C7" s="25" t="s">
        <v>20</v>
      </c>
      <c r="D7" s="26">
        <v>5</v>
      </c>
      <c r="E7" s="27">
        <v>21500</v>
      </c>
      <c r="F7" s="28">
        <v>25500</v>
      </c>
      <c r="G7" s="28">
        <v>29500</v>
      </c>
      <c r="H7" s="29">
        <v>23500</v>
      </c>
      <c r="I7" s="40">
        <f t="shared" si="3"/>
        <v>17781</v>
      </c>
      <c r="J7" s="40">
        <f t="shared" si="0"/>
        <v>21089</v>
      </c>
      <c r="K7" s="40">
        <f t="shared" si="1"/>
        <v>24397</v>
      </c>
      <c r="L7" s="40">
        <f t="shared" si="2"/>
        <v>19435</v>
      </c>
      <c r="M7" t="s">
        <v>453</v>
      </c>
    </row>
    <row r="8" spans="1:13" s="23" customFormat="1">
      <c r="A8" s="22" t="s">
        <v>10</v>
      </c>
      <c r="B8" s="24" t="s">
        <v>21</v>
      </c>
      <c r="C8" s="25" t="s">
        <v>22</v>
      </c>
      <c r="D8" s="26">
        <v>5</v>
      </c>
      <c r="E8" s="27">
        <v>21500</v>
      </c>
      <c r="F8" s="28">
        <v>25500</v>
      </c>
      <c r="G8" s="28">
        <v>29500</v>
      </c>
      <c r="H8" s="29">
        <v>23500</v>
      </c>
      <c r="I8" s="40">
        <f t="shared" si="3"/>
        <v>17781</v>
      </c>
      <c r="J8" s="40">
        <f t="shared" si="0"/>
        <v>21089</v>
      </c>
      <c r="K8" s="40">
        <f t="shared" si="1"/>
        <v>24397</v>
      </c>
      <c r="L8" s="40">
        <f t="shared" si="2"/>
        <v>19435</v>
      </c>
      <c r="M8"/>
    </row>
    <row r="9" spans="1:13" s="23" customFormat="1">
      <c r="A9" s="22" t="s">
        <v>10</v>
      </c>
      <c r="B9" s="24" t="s">
        <v>23</v>
      </c>
      <c r="C9" s="25" t="s">
        <v>24</v>
      </c>
      <c r="D9" s="26">
        <v>5</v>
      </c>
      <c r="E9" s="27">
        <v>21500</v>
      </c>
      <c r="F9" s="28">
        <v>25500</v>
      </c>
      <c r="G9" s="28">
        <v>29500</v>
      </c>
      <c r="H9" s="29">
        <v>23500</v>
      </c>
      <c r="I9" s="40">
        <f t="shared" si="3"/>
        <v>17781</v>
      </c>
      <c r="J9" s="40">
        <f t="shared" si="0"/>
        <v>21089</v>
      </c>
      <c r="K9" s="40">
        <f t="shared" si="1"/>
        <v>24397</v>
      </c>
      <c r="L9" s="40">
        <f t="shared" si="2"/>
        <v>19435</v>
      </c>
      <c r="M9"/>
    </row>
    <row r="10" spans="1:13" s="23" customFormat="1">
      <c r="A10" s="22" t="s">
        <v>10</v>
      </c>
      <c r="B10" s="24" t="s">
        <v>25</v>
      </c>
      <c r="C10" s="25" t="s">
        <v>26</v>
      </c>
      <c r="D10" s="26">
        <v>5</v>
      </c>
      <c r="E10" s="27">
        <v>21500</v>
      </c>
      <c r="F10" s="28">
        <v>25500</v>
      </c>
      <c r="G10" s="28">
        <v>29500</v>
      </c>
      <c r="H10" s="29">
        <v>23500</v>
      </c>
      <c r="I10" s="40">
        <f t="shared" si="3"/>
        <v>17781</v>
      </c>
      <c r="J10" s="40">
        <f t="shared" si="0"/>
        <v>21089</v>
      </c>
      <c r="K10" s="40">
        <f t="shared" si="1"/>
        <v>24397</v>
      </c>
      <c r="L10" s="40">
        <f t="shared" si="2"/>
        <v>19435</v>
      </c>
      <c r="M10"/>
    </row>
    <row r="11" spans="1:13" s="23" customFormat="1">
      <c r="A11" s="22" t="s">
        <v>27</v>
      </c>
      <c r="B11" s="24" t="s">
        <v>28</v>
      </c>
      <c r="C11" s="25" t="s">
        <v>29</v>
      </c>
      <c r="D11" s="26">
        <v>5</v>
      </c>
      <c r="E11" s="27">
        <v>21500</v>
      </c>
      <c r="F11" s="28">
        <f>E11+4000</f>
        <v>25500</v>
      </c>
      <c r="G11" s="28">
        <f t="shared" ref="G11:G18" si="4">E11+8000</f>
        <v>29500</v>
      </c>
      <c r="H11" s="29">
        <f t="shared" ref="H11:H18" si="5">E11+2000</f>
        <v>23500</v>
      </c>
      <c r="I11" s="40">
        <f t="shared" si="3"/>
        <v>17781</v>
      </c>
      <c r="J11" s="40">
        <f t="shared" si="0"/>
        <v>21089</v>
      </c>
      <c r="K11" s="40">
        <f t="shared" si="1"/>
        <v>24397</v>
      </c>
      <c r="L11" s="40">
        <f t="shared" si="2"/>
        <v>19435</v>
      </c>
      <c r="M11"/>
    </row>
    <row r="12" spans="1:13" s="23" customFormat="1">
      <c r="A12" s="22" t="s">
        <v>27</v>
      </c>
      <c r="B12" s="24" t="s">
        <v>30</v>
      </c>
      <c r="C12" s="25" t="s">
        <v>31</v>
      </c>
      <c r="D12" s="26">
        <v>5</v>
      </c>
      <c r="E12" s="27">
        <v>21500</v>
      </c>
      <c r="F12" s="28">
        <v>24000</v>
      </c>
      <c r="G12" s="28">
        <f t="shared" si="4"/>
        <v>29500</v>
      </c>
      <c r="H12" s="29">
        <f t="shared" si="5"/>
        <v>23500</v>
      </c>
      <c r="I12" s="40">
        <f t="shared" si="3"/>
        <v>17781</v>
      </c>
      <c r="J12" s="40">
        <f t="shared" si="0"/>
        <v>19848</v>
      </c>
      <c r="K12" s="40">
        <f t="shared" si="1"/>
        <v>24397</v>
      </c>
      <c r="L12" s="40">
        <f t="shared" si="2"/>
        <v>19435</v>
      </c>
      <c r="M12"/>
    </row>
    <row r="13" spans="1:13" s="23" customFormat="1">
      <c r="A13" s="22" t="s">
        <v>27</v>
      </c>
      <c r="B13" s="24" t="s">
        <v>32</v>
      </c>
      <c r="C13" s="25" t="s">
        <v>33</v>
      </c>
      <c r="D13" s="26">
        <v>1</v>
      </c>
      <c r="E13" s="27">
        <v>4000</v>
      </c>
      <c r="F13" s="28">
        <f t="shared" ref="F13:F18" si="6">E13+4000</f>
        <v>8000</v>
      </c>
      <c r="G13" s="28">
        <f t="shared" si="4"/>
        <v>12000</v>
      </c>
      <c r="H13" s="29">
        <f t="shared" si="5"/>
        <v>6000</v>
      </c>
      <c r="I13" s="40">
        <f t="shared" si="3"/>
        <v>3308</v>
      </c>
      <c r="J13" s="40">
        <f t="shared" si="0"/>
        <v>6616</v>
      </c>
      <c r="K13" s="40">
        <f t="shared" si="1"/>
        <v>9924</v>
      </c>
      <c r="L13" s="40">
        <f t="shared" si="2"/>
        <v>4962</v>
      </c>
      <c r="M13"/>
    </row>
    <row r="14" spans="1:13" s="23" customFormat="1">
      <c r="A14" s="22" t="s">
        <v>27</v>
      </c>
      <c r="B14" s="24" t="s">
        <v>34</v>
      </c>
      <c r="C14" s="25" t="s">
        <v>35</v>
      </c>
      <c r="D14" s="26">
        <v>5</v>
      </c>
      <c r="E14" s="27">
        <v>21500</v>
      </c>
      <c r="F14" s="28">
        <f t="shared" si="6"/>
        <v>25500</v>
      </c>
      <c r="G14" s="28">
        <f t="shared" si="4"/>
        <v>29500</v>
      </c>
      <c r="H14" s="29">
        <f t="shared" si="5"/>
        <v>23500</v>
      </c>
      <c r="I14" s="40">
        <f t="shared" si="3"/>
        <v>17781</v>
      </c>
      <c r="J14" s="40">
        <f t="shared" si="0"/>
        <v>21089</v>
      </c>
      <c r="K14" s="40">
        <f t="shared" si="1"/>
        <v>24397</v>
      </c>
      <c r="L14" s="40">
        <f t="shared" si="2"/>
        <v>19435</v>
      </c>
      <c r="M14"/>
    </row>
    <row r="15" spans="1:13" s="23" customFormat="1">
      <c r="A15" s="22" t="s">
        <v>27</v>
      </c>
      <c r="B15" s="24" t="s">
        <v>36</v>
      </c>
      <c r="C15" s="25" t="s">
        <v>37</v>
      </c>
      <c r="D15" s="26">
        <v>4</v>
      </c>
      <c r="E15" s="27">
        <v>17200</v>
      </c>
      <c r="F15" s="28">
        <f t="shared" si="6"/>
        <v>21200</v>
      </c>
      <c r="G15" s="28">
        <f t="shared" si="4"/>
        <v>25200</v>
      </c>
      <c r="H15" s="29">
        <f t="shared" si="5"/>
        <v>19200</v>
      </c>
      <c r="I15" s="40">
        <f t="shared" si="3"/>
        <v>14224</v>
      </c>
      <c r="J15" s="40">
        <f t="shared" si="0"/>
        <v>17532</v>
      </c>
      <c r="K15" s="40">
        <f t="shared" si="1"/>
        <v>20840</v>
      </c>
      <c r="L15" s="40">
        <f t="shared" si="2"/>
        <v>15878</v>
      </c>
      <c r="M15"/>
    </row>
    <row r="16" spans="1:13" s="23" customFormat="1">
      <c r="A16" s="22" t="s">
        <v>27</v>
      </c>
      <c r="B16" s="24" t="s">
        <v>38</v>
      </c>
      <c r="C16" s="25" t="s">
        <v>39</v>
      </c>
      <c r="D16" s="26">
        <v>5</v>
      </c>
      <c r="E16" s="27">
        <v>21500</v>
      </c>
      <c r="F16" s="28">
        <f t="shared" si="6"/>
        <v>25500</v>
      </c>
      <c r="G16" s="28">
        <f t="shared" si="4"/>
        <v>29500</v>
      </c>
      <c r="H16" s="29">
        <f t="shared" si="5"/>
        <v>23500</v>
      </c>
      <c r="I16" s="40">
        <f t="shared" si="3"/>
        <v>17781</v>
      </c>
      <c r="J16" s="40">
        <f t="shared" si="0"/>
        <v>21089</v>
      </c>
      <c r="K16" s="40">
        <f t="shared" si="1"/>
        <v>24397</v>
      </c>
      <c r="L16" s="40">
        <f t="shared" si="2"/>
        <v>19435</v>
      </c>
      <c r="M16"/>
    </row>
    <row r="17" spans="1:13" s="23" customFormat="1">
      <c r="A17" s="22" t="s">
        <v>27</v>
      </c>
      <c r="B17" s="24" t="s">
        <v>40</v>
      </c>
      <c r="C17" s="25" t="s">
        <v>41</v>
      </c>
      <c r="D17" s="26">
        <v>5</v>
      </c>
      <c r="E17" s="27">
        <v>21500</v>
      </c>
      <c r="F17" s="28">
        <f t="shared" si="6"/>
        <v>25500</v>
      </c>
      <c r="G17" s="28">
        <f t="shared" si="4"/>
        <v>29500</v>
      </c>
      <c r="H17" s="29">
        <f t="shared" si="5"/>
        <v>23500</v>
      </c>
      <c r="I17" s="40">
        <f t="shared" si="3"/>
        <v>17781</v>
      </c>
      <c r="J17" s="40">
        <f t="shared" si="0"/>
        <v>21089</v>
      </c>
      <c r="K17" s="40">
        <f t="shared" si="1"/>
        <v>24397</v>
      </c>
      <c r="L17" s="40">
        <f t="shared" si="2"/>
        <v>19435</v>
      </c>
      <c r="M17"/>
    </row>
    <row r="18" spans="1:13" s="23" customFormat="1">
      <c r="A18" s="22" t="s">
        <v>27</v>
      </c>
      <c r="B18" s="24" t="s">
        <v>42</v>
      </c>
      <c r="C18" s="25" t="s">
        <v>43</v>
      </c>
      <c r="D18" s="26">
        <v>3</v>
      </c>
      <c r="E18" s="27">
        <v>12900</v>
      </c>
      <c r="F18" s="28">
        <f t="shared" si="6"/>
        <v>16900</v>
      </c>
      <c r="G18" s="28">
        <f t="shared" si="4"/>
        <v>20900</v>
      </c>
      <c r="H18" s="29">
        <f t="shared" si="5"/>
        <v>14900</v>
      </c>
      <c r="I18" s="40">
        <f t="shared" si="3"/>
        <v>10668</v>
      </c>
      <c r="J18" s="40">
        <f t="shared" si="0"/>
        <v>13976</v>
      </c>
      <c r="K18" s="40">
        <f t="shared" si="1"/>
        <v>17284</v>
      </c>
      <c r="L18" s="40">
        <f t="shared" si="2"/>
        <v>12322</v>
      </c>
      <c r="M18"/>
    </row>
    <row r="19" spans="1:13" s="23" customFormat="1">
      <c r="A19" s="22" t="s">
        <v>44</v>
      </c>
      <c r="B19" s="24" t="s">
        <v>45</v>
      </c>
      <c r="C19" s="25" t="s">
        <v>46</v>
      </c>
      <c r="D19" s="26">
        <v>5</v>
      </c>
      <c r="E19" s="27">
        <f>D19*5500</f>
        <v>27500</v>
      </c>
      <c r="F19" s="28" t="s">
        <v>47</v>
      </c>
      <c r="G19" s="28" t="s">
        <v>47</v>
      </c>
      <c r="H19" s="29">
        <f t="shared" ref="H19:H50" si="7">E19</f>
        <v>27500</v>
      </c>
      <c r="I19" s="40">
        <f t="shared" si="3"/>
        <v>22743</v>
      </c>
      <c r="J19" s="40" t="s">
        <v>47</v>
      </c>
      <c r="K19" s="40" t="s">
        <v>47</v>
      </c>
      <c r="L19" s="40">
        <f t="shared" si="2"/>
        <v>22743</v>
      </c>
      <c r="M19"/>
    </row>
    <row r="20" spans="1:13" s="23" customFormat="1">
      <c r="A20" s="22" t="s">
        <v>44</v>
      </c>
      <c r="B20" s="24" t="s">
        <v>48</v>
      </c>
      <c r="C20" s="25" t="s">
        <v>49</v>
      </c>
      <c r="D20" s="26">
        <v>1</v>
      </c>
      <c r="E20" s="27">
        <f>D20*4500</f>
        <v>4500</v>
      </c>
      <c r="F20" s="28" t="s">
        <v>47</v>
      </c>
      <c r="G20" s="28" t="s">
        <v>47</v>
      </c>
      <c r="H20" s="29">
        <f t="shared" si="7"/>
        <v>4500</v>
      </c>
      <c r="I20" s="40">
        <f t="shared" si="3"/>
        <v>3722</v>
      </c>
      <c r="J20" s="40" t="s">
        <v>47</v>
      </c>
      <c r="K20" s="40" t="s">
        <v>47</v>
      </c>
      <c r="L20" s="40">
        <f t="shared" si="2"/>
        <v>3722</v>
      </c>
      <c r="M20"/>
    </row>
    <row r="21" spans="1:13" s="23" customFormat="1">
      <c r="A21" s="22" t="s">
        <v>44</v>
      </c>
      <c r="B21" s="24" t="s">
        <v>50</v>
      </c>
      <c r="C21" s="25" t="s">
        <v>51</v>
      </c>
      <c r="D21" s="26">
        <v>5</v>
      </c>
      <c r="E21" s="27">
        <f>D21*5500</f>
        <v>27500</v>
      </c>
      <c r="F21" s="28" t="s">
        <v>47</v>
      </c>
      <c r="G21" s="28" t="s">
        <v>47</v>
      </c>
      <c r="H21" s="29">
        <f t="shared" si="7"/>
        <v>27500</v>
      </c>
      <c r="I21" s="40">
        <f t="shared" si="3"/>
        <v>22743</v>
      </c>
      <c r="J21" s="40" t="s">
        <v>47</v>
      </c>
      <c r="K21" s="40" t="s">
        <v>47</v>
      </c>
      <c r="L21" s="40">
        <f t="shared" si="2"/>
        <v>22743</v>
      </c>
      <c r="M21"/>
    </row>
    <row r="22" spans="1:13" s="23" customFormat="1">
      <c r="A22" s="22" t="s">
        <v>44</v>
      </c>
      <c r="B22" s="24" t="s">
        <v>52</v>
      </c>
      <c r="C22" s="25" t="s">
        <v>53</v>
      </c>
      <c r="D22" s="26">
        <v>2</v>
      </c>
      <c r="E22" s="27">
        <f>D22*5000</f>
        <v>10000</v>
      </c>
      <c r="F22" s="28" t="s">
        <v>47</v>
      </c>
      <c r="G22" s="28" t="s">
        <v>47</v>
      </c>
      <c r="H22" s="29">
        <f t="shared" si="7"/>
        <v>10000</v>
      </c>
      <c r="I22" s="40">
        <f t="shared" si="3"/>
        <v>8270</v>
      </c>
      <c r="J22" s="40" t="s">
        <v>47</v>
      </c>
      <c r="K22" s="40" t="s">
        <v>47</v>
      </c>
      <c r="L22" s="40">
        <f t="shared" si="2"/>
        <v>8270</v>
      </c>
      <c r="M22"/>
    </row>
    <row r="23" spans="1:13" s="23" customFormat="1">
      <c r="A23" s="22" t="s">
        <v>44</v>
      </c>
      <c r="B23" s="24" t="s">
        <v>54</v>
      </c>
      <c r="C23" s="25" t="s">
        <v>55</v>
      </c>
      <c r="D23" s="26">
        <v>3</v>
      </c>
      <c r="E23" s="27">
        <f>D23*5000</f>
        <v>15000</v>
      </c>
      <c r="F23" s="28" t="s">
        <v>47</v>
      </c>
      <c r="G23" s="28" t="s">
        <v>47</v>
      </c>
      <c r="H23" s="29">
        <f t="shared" si="7"/>
        <v>15000</v>
      </c>
      <c r="I23" s="40">
        <f t="shared" si="3"/>
        <v>12405</v>
      </c>
      <c r="J23" s="40" t="s">
        <v>47</v>
      </c>
      <c r="K23" s="40" t="s">
        <v>47</v>
      </c>
      <c r="L23" s="40">
        <f t="shared" si="2"/>
        <v>12405</v>
      </c>
      <c r="M23"/>
    </row>
    <row r="24" spans="1:13" s="23" customFormat="1">
      <c r="A24" s="22" t="s">
        <v>44</v>
      </c>
      <c r="B24" s="24" t="s">
        <v>56</v>
      </c>
      <c r="C24" s="25" t="s">
        <v>57</v>
      </c>
      <c r="D24" s="26">
        <v>3</v>
      </c>
      <c r="E24" s="27">
        <f>D24*5500</f>
        <v>16500</v>
      </c>
      <c r="F24" s="28" t="s">
        <v>47</v>
      </c>
      <c r="G24" s="28" t="s">
        <v>47</v>
      </c>
      <c r="H24" s="29">
        <f t="shared" si="7"/>
        <v>16500</v>
      </c>
      <c r="I24" s="40">
        <f t="shared" si="3"/>
        <v>13646</v>
      </c>
      <c r="J24" s="40" t="s">
        <v>47</v>
      </c>
      <c r="K24" s="40" t="s">
        <v>47</v>
      </c>
      <c r="L24" s="40">
        <f t="shared" si="2"/>
        <v>13646</v>
      </c>
      <c r="M24"/>
    </row>
    <row r="25" spans="1:13" s="23" customFormat="1">
      <c r="A25" s="22" t="s">
        <v>44</v>
      </c>
      <c r="B25" s="24" t="s">
        <v>58</v>
      </c>
      <c r="C25" s="25" t="s">
        <v>59</v>
      </c>
      <c r="D25" s="26">
        <v>4</v>
      </c>
      <c r="E25" s="27">
        <f>D25*5500</f>
        <v>22000</v>
      </c>
      <c r="F25" s="28" t="s">
        <v>47</v>
      </c>
      <c r="G25" s="28" t="s">
        <v>47</v>
      </c>
      <c r="H25" s="29">
        <f t="shared" si="7"/>
        <v>22000</v>
      </c>
      <c r="I25" s="40">
        <f t="shared" si="3"/>
        <v>18194</v>
      </c>
      <c r="J25" s="40" t="s">
        <v>47</v>
      </c>
      <c r="K25" s="40" t="s">
        <v>47</v>
      </c>
      <c r="L25" s="40">
        <f t="shared" si="2"/>
        <v>18194</v>
      </c>
      <c r="M25"/>
    </row>
    <row r="26" spans="1:13" s="23" customFormat="1">
      <c r="A26" s="22" t="s">
        <v>44</v>
      </c>
      <c r="B26" s="24" t="s">
        <v>60</v>
      </c>
      <c r="C26" s="25" t="s">
        <v>61</v>
      </c>
      <c r="D26" s="26">
        <v>4</v>
      </c>
      <c r="E26" s="27">
        <f>D26*4500</f>
        <v>18000</v>
      </c>
      <c r="F26" s="28" t="s">
        <v>47</v>
      </c>
      <c r="G26" s="28" t="s">
        <v>47</v>
      </c>
      <c r="H26" s="29">
        <f t="shared" si="7"/>
        <v>18000</v>
      </c>
      <c r="I26" s="40">
        <f t="shared" si="3"/>
        <v>14886</v>
      </c>
      <c r="J26" s="40" t="s">
        <v>47</v>
      </c>
      <c r="K26" s="40" t="s">
        <v>47</v>
      </c>
      <c r="L26" s="40">
        <f t="shared" si="2"/>
        <v>14886</v>
      </c>
      <c r="M26"/>
    </row>
    <row r="27" spans="1:13" s="23" customFormat="1">
      <c r="A27" s="22" t="s">
        <v>44</v>
      </c>
      <c r="B27" s="24" t="s">
        <v>62</v>
      </c>
      <c r="C27" s="25" t="s">
        <v>63</v>
      </c>
      <c r="D27" s="26">
        <v>4</v>
      </c>
      <c r="E27" s="27">
        <f>D27*5000</f>
        <v>20000</v>
      </c>
      <c r="F27" s="28" t="s">
        <v>47</v>
      </c>
      <c r="G27" s="28" t="s">
        <v>47</v>
      </c>
      <c r="H27" s="29">
        <f t="shared" si="7"/>
        <v>20000</v>
      </c>
      <c r="I27" s="40">
        <f t="shared" si="3"/>
        <v>16540</v>
      </c>
      <c r="J27" s="40" t="s">
        <v>47</v>
      </c>
      <c r="K27" s="40" t="s">
        <v>47</v>
      </c>
      <c r="L27" s="40">
        <f t="shared" si="2"/>
        <v>16540</v>
      </c>
      <c r="M27"/>
    </row>
    <row r="28" spans="1:13" s="23" customFormat="1">
      <c r="A28" s="22" t="s">
        <v>44</v>
      </c>
      <c r="B28" s="24" t="s">
        <v>64</v>
      </c>
      <c r="C28" s="25" t="s">
        <v>65</v>
      </c>
      <c r="D28" s="26">
        <v>5</v>
      </c>
      <c r="E28" s="27">
        <f>D28*4500</f>
        <v>22500</v>
      </c>
      <c r="F28" s="28" t="s">
        <v>47</v>
      </c>
      <c r="G28" s="28" t="s">
        <v>47</v>
      </c>
      <c r="H28" s="29">
        <f t="shared" si="7"/>
        <v>22500</v>
      </c>
      <c r="I28" s="40">
        <f t="shared" si="3"/>
        <v>18608</v>
      </c>
      <c r="J28" s="40" t="s">
        <v>47</v>
      </c>
      <c r="K28" s="40" t="s">
        <v>47</v>
      </c>
      <c r="L28" s="40">
        <f t="shared" si="2"/>
        <v>18608</v>
      </c>
      <c r="M28"/>
    </row>
    <row r="29" spans="1:13" s="23" customFormat="1">
      <c r="A29" s="22" t="s">
        <v>44</v>
      </c>
      <c r="B29" s="24" t="s">
        <v>66</v>
      </c>
      <c r="C29" s="25" t="s">
        <v>67</v>
      </c>
      <c r="D29" s="26">
        <v>4</v>
      </c>
      <c r="E29" s="27">
        <f>D29*5000</f>
        <v>20000</v>
      </c>
      <c r="F29" s="28" t="s">
        <v>47</v>
      </c>
      <c r="G29" s="28" t="s">
        <v>47</v>
      </c>
      <c r="H29" s="29">
        <f t="shared" si="7"/>
        <v>20000</v>
      </c>
      <c r="I29" s="40">
        <f t="shared" si="3"/>
        <v>16540</v>
      </c>
      <c r="J29" s="40" t="s">
        <v>47</v>
      </c>
      <c r="K29" s="40" t="s">
        <v>47</v>
      </c>
      <c r="L29" s="40">
        <f t="shared" si="2"/>
        <v>16540</v>
      </c>
      <c r="M29"/>
    </row>
    <row r="30" spans="1:13" s="23" customFormat="1">
      <c r="A30" s="22" t="s">
        <v>44</v>
      </c>
      <c r="B30" s="24" t="s">
        <v>68</v>
      </c>
      <c r="C30" s="25" t="s">
        <v>69</v>
      </c>
      <c r="D30" s="26">
        <v>5</v>
      </c>
      <c r="E30" s="27">
        <f>D30*5000</f>
        <v>25000</v>
      </c>
      <c r="F30" s="28" t="s">
        <v>47</v>
      </c>
      <c r="G30" s="28" t="s">
        <v>47</v>
      </c>
      <c r="H30" s="29">
        <f t="shared" si="7"/>
        <v>25000</v>
      </c>
      <c r="I30" s="40">
        <f t="shared" si="3"/>
        <v>20675</v>
      </c>
      <c r="J30" s="40" t="s">
        <v>47</v>
      </c>
      <c r="K30" s="40" t="s">
        <v>47</v>
      </c>
      <c r="L30" s="40">
        <f t="shared" si="2"/>
        <v>20675</v>
      </c>
      <c r="M30"/>
    </row>
    <row r="31" spans="1:13" s="23" customFormat="1">
      <c r="A31" s="22" t="s">
        <v>44</v>
      </c>
      <c r="B31" s="24" t="s">
        <v>70</v>
      </c>
      <c r="C31" s="25" t="s">
        <v>71</v>
      </c>
      <c r="D31" s="26">
        <v>5</v>
      </c>
      <c r="E31" s="27">
        <f>D31*5000</f>
        <v>25000</v>
      </c>
      <c r="F31" s="28" t="s">
        <v>47</v>
      </c>
      <c r="G31" s="28" t="s">
        <v>47</v>
      </c>
      <c r="H31" s="29">
        <f t="shared" si="7"/>
        <v>25000</v>
      </c>
      <c r="I31" s="40">
        <f t="shared" si="3"/>
        <v>20675</v>
      </c>
      <c r="J31" s="40" t="s">
        <v>47</v>
      </c>
      <c r="K31" s="40" t="s">
        <v>47</v>
      </c>
      <c r="L31" s="40">
        <f t="shared" si="2"/>
        <v>20675</v>
      </c>
      <c r="M31"/>
    </row>
    <row r="32" spans="1:13" s="23" customFormat="1">
      <c r="A32" s="22" t="s">
        <v>44</v>
      </c>
      <c r="B32" s="24" t="s">
        <v>72</v>
      </c>
      <c r="C32" s="25" t="s">
        <v>73</v>
      </c>
      <c r="D32" s="26">
        <v>5</v>
      </c>
      <c r="E32" s="27">
        <f>D32*5500</f>
        <v>27500</v>
      </c>
      <c r="F32" s="28" t="s">
        <v>47</v>
      </c>
      <c r="G32" s="28" t="s">
        <v>47</v>
      </c>
      <c r="H32" s="29">
        <f t="shared" si="7"/>
        <v>27500</v>
      </c>
      <c r="I32" s="40">
        <f t="shared" si="3"/>
        <v>22743</v>
      </c>
      <c r="J32" s="40" t="s">
        <v>47</v>
      </c>
      <c r="K32" s="40" t="s">
        <v>47</v>
      </c>
      <c r="L32" s="40">
        <f t="shared" si="2"/>
        <v>22743</v>
      </c>
      <c r="M32"/>
    </row>
    <row r="33" spans="1:13" s="23" customFormat="1">
      <c r="A33" s="22" t="s">
        <v>44</v>
      </c>
      <c r="B33" s="24" t="s">
        <v>74</v>
      </c>
      <c r="C33" s="25" t="s">
        <v>75</v>
      </c>
      <c r="D33" s="26">
        <v>3</v>
      </c>
      <c r="E33" s="27">
        <f>D33*5500</f>
        <v>16500</v>
      </c>
      <c r="F33" s="28" t="s">
        <v>47</v>
      </c>
      <c r="G33" s="28" t="s">
        <v>47</v>
      </c>
      <c r="H33" s="29">
        <f t="shared" si="7"/>
        <v>16500</v>
      </c>
      <c r="I33" s="40">
        <f t="shared" si="3"/>
        <v>13646</v>
      </c>
      <c r="J33" s="40" t="s">
        <v>47</v>
      </c>
      <c r="K33" s="40" t="s">
        <v>47</v>
      </c>
      <c r="L33" s="40">
        <f t="shared" si="2"/>
        <v>13646</v>
      </c>
      <c r="M33"/>
    </row>
    <row r="34" spans="1:13" s="23" customFormat="1">
      <c r="A34" s="22" t="s">
        <v>44</v>
      </c>
      <c r="B34" s="24" t="s">
        <v>76</v>
      </c>
      <c r="C34" s="25" t="s">
        <v>77</v>
      </c>
      <c r="D34" s="26">
        <v>5</v>
      </c>
      <c r="E34" s="27">
        <f>D34*5000</f>
        <v>25000</v>
      </c>
      <c r="F34" s="28" t="s">
        <v>47</v>
      </c>
      <c r="G34" s="28" t="s">
        <v>47</v>
      </c>
      <c r="H34" s="29">
        <f t="shared" si="7"/>
        <v>25000</v>
      </c>
      <c r="I34" s="40">
        <f t="shared" si="3"/>
        <v>20675</v>
      </c>
      <c r="J34" s="40" t="s">
        <v>47</v>
      </c>
      <c r="K34" s="40" t="s">
        <v>47</v>
      </c>
      <c r="L34" s="40">
        <f t="shared" si="2"/>
        <v>20675</v>
      </c>
      <c r="M34"/>
    </row>
    <row r="35" spans="1:13" s="23" customFormat="1">
      <c r="A35" s="22" t="s">
        <v>44</v>
      </c>
      <c r="B35" s="24" t="s">
        <v>78</v>
      </c>
      <c r="C35" s="25" t="s">
        <v>79</v>
      </c>
      <c r="D35" s="26">
        <v>4</v>
      </c>
      <c r="E35" s="27">
        <f>D35*5000</f>
        <v>20000</v>
      </c>
      <c r="F35" s="28" t="s">
        <v>47</v>
      </c>
      <c r="G35" s="28" t="s">
        <v>47</v>
      </c>
      <c r="H35" s="29">
        <f t="shared" si="7"/>
        <v>20000</v>
      </c>
      <c r="I35" s="40">
        <f t="shared" si="3"/>
        <v>16540</v>
      </c>
      <c r="J35" s="40" t="s">
        <v>47</v>
      </c>
      <c r="K35" s="40" t="s">
        <v>47</v>
      </c>
      <c r="L35" s="40">
        <f t="shared" si="2"/>
        <v>16540</v>
      </c>
      <c r="M35"/>
    </row>
    <row r="36" spans="1:13" s="23" customFormat="1">
      <c r="A36" s="22" t="s">
        <v>44</v>
      </c>
      <c r="B36" s="24" t="s">
        <v>80</v>
      </c>
      <c r="C36" s="25" t="s">
        <v>81</v>
      </c>
      <c r="D36" s="26">
        <v>15</v>
      </c>
      <c r="E36" s="27">
        <f>D36*4500</f>
        <v>67500</v>
      </c>
      <c r="F36" s="28" t="s">
        <v>47</v>
      </c>
      <c r="G36" s="28" t="s">
        <v>47</v>
      </c>
      <c r="H36" s="29">
        <f t="shared" si="7"/>
        <v>67500</v>
      </c>
      <c r="I36" s="40">
        <f t="shared" si="3"/>
        <v>55823</v>
      </c>
      <c r="J36" s="40" t="s">
        <v>47</v>
      </c>
      <c r="K36" s="40" t="s">
        <v>47</v>
      </c>
      <c r="L36" s="40">
        <f t="shared" si="2"/>
        <v>55823</v>
      </c>
      <c r="M36"/>
    </row>
    <row r="37" spans="1:13" s="23" customFormat="1">
      <c r="A37" s="22" t="s">
        <v>44</v>
      </c>
      <c r="B37" s="24" t="s">
        <v>82</v>
      </c>
      <c r="C37" s="25" t="s">
        <v>83</v>
      </c>
      <c r="D37" s="26">
        <v>20</v>
      </c>
      <c r="E37" s="27">
        <f>D37*5500</f>
        <v>110000</v>
      </c>
      <c r="F37" s="28" t="s">
        <v>47</v>
      </c>
      <c r="G37" s="28" t="s">
        <v>47</v>
      </c>
      <c r="H37" s="29">
        <f t="shared" si="7"/>
        <v>110000</v>
      </c>
      <c r="I37" s="40">
        <f t="shared" si="3"/>
        <v>90970</v>
      </c>
      <c r="J37" s="40" t="s">
        <v>47</v>
      </c>
      <c r="K37" s="40" t="s">
        <v>47</v>
      </c>
      <c r="L37" s="40">
        <f t="shared" si="2"/>
        <v>90970</v>
      </c>
      <c r="M37"/>
    </row>
    <row r="38" spans="1:13" s="23" customFormat="1">
      <c r="A38" s="22" t="s">
        <v>44</v>
      </c>
      <c r="B38" s="24" t="s">
        <v>84</v>
      </c>
      <c r="C38" s="25" t="s">
        <v>85</v>
      </c>
      <c r="D38" s="26">
        <v>4</v>
      </c>
      <c r="E38" s="27">
        <f t="shared" ref="E38:E43" si="8">D38*5000</f>
        <v>20000</v>
      </c>
      <c r="F38" s="28" t="s">
        <v>47</v>
      </c>
      <c r="G38" s="28" t="s">
        <v>47</v>
      </c>
      <c r="H38" s="29">
        <f t="shared" si="7"/>
        <v>20000</v>
      </c>
      <c r="I38" s="40">
        <f t="shared" si="3"/>
        <v>16540</v>
      </c>
      <c r="J38" s="40" t="s">
        <v>47</v>
      </c>
      <c r="K38" s="40" t="s">
        <v>47</v>
      </c>
      <c r="L38" s="40">
        <f t="shared" si="2"/>
        <v>16540</v>
      </c>
      <c r="M38"/>
    </row>
    <row r="39" spans="1:13" s="23" customFormat="1">
      <c r="A39" s="22" t="s">
        <v>44</v>
      </c>
      <c r="B39" s="24" t="s">
        <v>86</v>
      </c>
      <c r="C39" s="25" t="s">
        <v>87</v>
      </c>
      <c r="D39" s="26">
        <v>4</v>
      </c>
      <c r="E39" s="27">
        <f t="shared" si="8"/>
        <v>20000</v>
      </c>
      <c r="F39" s="28" t="s">
        <v>47</v>
      </c>
      <c r="G39" s="28" t="s">
        <v>47</v>
      </c>
      <c r="H39" s="29">
        <f t="shared" si="7"/>
        <v>20000</v>
      </c>
      <c r="I39" s="40">
        <f t="shared" si="3"/>
        <v>16540</v>
      </c>
      <c r="J39" s="40" t="s">
        <v>47</v>
      </c>
      <c r="K39" s="40" t="s">
        <v>47</v>
      </c>
      <c r="L39" s="40">
        <f t="shared" si="2"/>
        <v>16540</v>
      </c>
      <c r="M39"/>
    </row>
    <row r="40" spans="1:13" s="23" customFormat="1">
      <c r="A40" s="22" t="s">
        <v>44</v>
      </c>
      <c r="B40" s="24" t="s">
        <v>88</v>
      </c>
      <c r="C40" s="25" t="s">
        <v>89</v>
      </c>
      <c r="D40" s="26">
        <v>4</v>
      </c>
      <c r="E40" s="27">
        <f t="shared" si="8"/>
        <v>20000</v>
      </c>
      <c r="F40" s="28" t="s">
        <v>47</v>
      </c>
      <c r="G40" s="28" t="s">
        <v>47</v>
      </c>
      <c r="H40" s="29">
        <f t="shared" si="7"/>
        <v>20000</v>
      </c>
      <c r="I40" s="40">
        <f t="shared" si="3"/>
        <v>16540</v>
      </c>
      <c r="J40" s="40" t="s">
        <v>47</v>
      </c>
      <c r="K40" s="40" t="s">
        <v>47</v>
      </c>
      <c r="L40" s="40">
        <f t="shared" si="2"/>
        <v>16540</v>
      </c>
      <c r="M40"/>
    </row>
    <row r="41" spans="1:13" s="23" customFormat="1">
      <c r="A41" s="22" t="s">
        <v>44</v>
      </c>
      <c r="B41" s="24" t="s">
        <v>90</v>
      </c>
      <c r="C41" s="25" t="s">
        <v>91</v>
      </c>
      <c r="D41" s="26">
        <v>4</v>
      </c>
      <c r="E41" s="27">
        <f t="shared" si="8"/>
        <v>20000</v>
      </c>
      <c r="F41" s="28" t="s">
        <v>47</v>
      </c>
      <c r="G41" s="28" t="s">
        <v>47</v>
      </c>
      <c r="H41" s="29">
        <f t="shared" si="7"/>
        <v>20000</v>
      </c>
      <c r="I41" s="40">
        <f t="shared" si="3"/>
        <v>16540</v>
      </c>
      <c r="J41" s="40" t="s">
        <v>47</v>
      </c>
      <c r="K41" s="40" t="s">
        <v>47</v>
      </c>
      <c r="L41" s="40">
        <f t="shared" si="2"/>
        <v>16540</v>
      </c>
      <c r="M41"/>
    </row>
    <row r="42" spans="1:13" s="23" customFormat="1">
      <c r="A42" s="22" t="s">
        <v>44</v>
      </c>
      <c r="B42" s="24" t="s">
        <v>92</v>
      </c>
      <c r="C42" s="25" t="s">
        <v>93</v>
      </c>
      <c r="D42" s="26">
        <v>4</v>
      </c>
      <c r="E42" s="27">
        <f t="shared" si="8"/>
        <v>20000</v>
      </c>
      <c r="F42" s="28" t="s">
        <v>47</v>
      </c>
      <c r="G42" s="28" t="s">
        <v>47</v>
      </c>
      <c r="H42" s="29">
        <f t="shared" si="7"/>
        <v>20000</v>
      </c>
      <c r="I42" s="40">
        <f t="shared" si="3"/>
        <v>16540</v>
      </c>
      <c r="J42" s="40" t="s">
        <v>47</v>
      </c>
      <c r="K42" s="40" t="s">
        <v>47</v>
      </c>
      <c r="L42" s="40">
        <f t="shared" si="2"/>
        <v>16540</v>
      </c>
      <c r="M42"/>
    </row>
    <row r="43" spans="1:13" s="23" customFormat="1">
      <c r="A43" s="22" t="s">
        <v>44</v>
      </c>
      <c r="B43" s="24" t="s">
        <v>94</v>
      </c>
      <c r="C43" s="25" t="s">
        <v>95</v>
      </c>
      <c r="D43" s="26">
        <v>4</v>
      </c>
      <c r="E43" s="27">
        <f t="shared" si="8"/>
        <v>20000</v>
      </c>
      <c r="F43" s="28" t="s">
        <v>47</v>
      </c>
      <c r="G43" s="28" t="s">
        <v>47</v>
      </c>
      <c r="H43" s="29">
        <f t="shared" si="7"/>
        <v>20000</v>
      </c>
      <c r="I43" s="40">
        <f t="shared" si="3"/>
        <v>16540</v>
      </c>
      <c r="J43" s="40" t="s">
        <v>47</v>
      </c>
      <c r="K43" s="40" t="s">
        <v>47</v>
      </c>
      <c r="L43" s="40">
        <f t="shared" si="2"/>
        <v>16540</v>
      </c>
      <c r="M43"/>
    </row>
    <row r="44" spans="1:13" s="23" customFormat="1">
      <c r="A44" s="22" t="s">
        <v>44</v>
      </c>
      <c r="B44" s="24" t="s">
        <v>96</v>
      </c>
      <c r="C44" s="25" t="s">
        <v>97</v>
      </c>
      <c r="D44" s="26">
        <v>3</v>
      </c>
      <c r="E44" s="27">
        <f>D44*4500</f>
        <v>13500</v>
      </c>
      <c r="F44" s="28" t="s">
        <v>47</v>
      </c>
      <c r="G44" s="28" t="s">
        <v>47</v>
      </c>
      <c r="H44" s="29">
        <f t="shared" si="7"/>
        <v>13500</v>
      </c>
      <c r="I44" s="40">
        <f t="shared" si="3"/>
        <v>11165</v>
      </c>
      <c r="J44" s="40" t="s">
        <v>47</v>
      </c>
      <c r="K44" s="40" t="s">
        <v>47</v>
      </c>
      <c r="L44" s="40">
        <f t="shared" si="2"/>
        <v>11165</v>
      </c>
      <c r="M44"/>
    </row>
    <row r="45" spans="1:13" s="23" customFormat="1">
      <c r="A45" s="22" t="s">
        <v>44</v>
      </c>
      <c r="B45" s="24" t="s">
        <v>98</v>
      </c>
      <c r="C45" s="25" t="s">
        <v>99</v>
      </c>
      <c r="D45" s="26">
        <v>10</v>
      </c>
      <c r="E45" s="27">
        <f>D45*5000</f>
        <v>50000</v>
      </c>
      <c r="F45" s="28" t="s">
        <v>47</v>
      </c>
      <c r="G45" s="28" t="s">
        <v>47</v>
      </c>
      <c r="H45" s="29">
        <f t="shared" si="7"/>
        <v>50000</v>
      </c>
      <c r="I45" s="40">
        <f t="shared" si="3"/>
        <v>41350</v>
      </c>
      <c r="J45" s="40" t="s">
        <v>47</v>
      </c>
      <c r="K45" s="40" t="s">
        <v>47</v>
      </c>
      <c r="L45" s="40">
        <f t="shared" si="2"/>
        <v>41350</v>
      </c>
      <c r="M45"/>
    </row>
    <row r="46" spans="1:13" s="23" customFormat="1">
      <c r="A46" s="22" t="s">
        <v>44</v>
      </c>
      <c r="B46" s="24" t="s">
        <v>100</v>
      </c>
      <c r="C46" s="25" t="s">
        <v>101</v>
      </c>
      <c r="D46" s="26">
        <v>3</v>
      </c>
      <c r="E46" s="27">
        <f>D46*5000</f>
        <v>15000</v>
      </c>
      <c r="F46" s="28" t="s">
        <v>47</v>
      </c>
      <c r="G46" s="28" t="s">
        <v>47</v>
      </c>
      <c r="H46" s="29">
        <f t="shared" si="7"/>
        <v>15000</v>
      </c>
      <c r="I46" s="40">
        <f t="shared" si="3"/>
        <v>12405</v>
      </c>
      <c r="J46" s="40" t="s">
        <v>47</v>
      </c>
      <c r="K46" s="40" t="s">
        <v>47</v>
      </c>
      <c r="L46" s="40">
        <f t="shared" si="2"/>
        <v>12405</v>
      </c>
      <c r="M46"/>
    </row>
    <row r="47" spans="1:13" s="23" customFormat="1">
      <c r="A47" s="22" t="s">
        <v>44</v>
      </c>
      <c r="B47" s="24" t="s">
        <v>102</v>
      </c>
      <c r="C47" s="25" t="s">
        <v>103</v>
      </c>
      <c r="D47" s="26">
        <v>5</v>
      </c>
      <c r="E47" s="27">
        <f>D47*5000</f>
        <v>25000</v>
      </c>
      <c r="F47" s="28" t="s">
        <v>47</v>
      </c>
      <c r="G47" s="28" t="s">
        <v>47</v>
      </c>
      <c r="H47" s="29">
        <f t="shared" si="7"/>
        <v>25000</v>
      </c>
      <c r="I47" s="40">
        <f t="shared" si="3"/>
        <v>20675</v>
      </c>
      <c r="J47" s="40" t="s">
        <v>47</v>
      </c>
      <c r="K47" s="40" t="s">
        <v>47</v>
      </c>
      <c r="L47" s="40">
        <f t="shared" si="2"/>
        <v>20675</v>
      </c>
      <c r="M47"/>
    </row>
    <row r="48" spans="1:13" s="23" customFormat="1">
      <c r="A48" s="22" t="s">
        <v>44</v>
      </c>
      <c r="B48" s="24" t="s">
        <v>104</v>
      </c>
      <c r="C48" s="25" t="s">
        <v>105</v>
      </c>
      <c r="D48" s="26">
        <v>5</v>
      </c>
      <c r="E48" s="27">
        <f>D48*5000</f>
        <v>25000</v>
      </c>
      <c r="F48" s="28" t="s">
        <v>47</v>
      </c>
      <c r="G48" s="28" t="s">
        <v>47</v>
      </c>
      <c r="H48" s="29">
        <f t="shared" si="7"/>
        <v>25000</v>
      </c>
      <c r="I48" s="40">
        <f t="shared" si="3"/>
        <v>20675</v>
      </c>
      <c r="J48" s="40" t="s">
        <v>47</v>
      </c>
      <c r="K48" s="40" t="s">
        <v>47</v>
      </c>
      <c r="L48" s="40">
        <f t="shared" si="2"/>
        <v>20675</v>
      </c>
      <c r="M48"/>
    </row>
    <row r="49" spans="1:13" s="23" customFormat="1">
      <c r="A49" s="22" t="s">
        <v>44</v>
      </c>
      <c r="B49" s="24" t="s">
        <v>106</v>
      </c>
      <c r="C49" s="25" t="s">
        <v>107</v>
      </c>
      <c r="D49" s="26">
        <v>10</v>
      </c>
      <c r="E49" s="27">
        <f>D49*5000</f>
        <v>50000</v>
      </c>
      <c r="F49" s="28" t="s">
        <v>47</v>
      </c>
      <c r="G49" s="28" t="s">
        <v>47</v>
      </c>
      <c r="H49" s="29">
        <f t="shared" si="7"/>
        <v>50000</v>
      </c>
      <c r="I49" s="40">
        <f t="shared" si="3"/>
        <v>41350</v>
      </c>
      <c r="J49" s="40" t="s">
        <v>47</v>
      </c>
      <c r="K49" s="40" t="s">
        <v>47</v>
      </c>
      <c r="L49" s="40">
        <f t="shared" si="2"/>
        <v>41350</v>
      </c>
      <c r="M49"/>
    </row>
    <row r="50" spans="1:13" s="23" customFormat="1">
      <c r="A50" s="22" t="s">
        <v>44</v>
      </c>
      <c r="B50" s="24" t="s">
        <v>108</v>
      </c>
      <c r="C50" s="25" t="s">
        <v>109</v>
      </c>
      <c r="D50" s="26">
        <v>2</v>
      </c>
      <c r="E50" s="27">
        <f>D50*4500</f>
        <v>9000</v>
      </c>
      <c r="F50" s="28" t="s">
        <v>47</v>
      </c>
      <c r="G50" s="28" t="s">
        <v>47</v>
      </c>
      <c r="H50" s="29">
        <f t="shared" si="7"/>
        <v>9000</v>
      </c>
      <c r="I50" s="40">
        <f t="shared" si="3"/>
        <v>7443</v>
      </c>
      <c r="J50" s="40" t="s">
        <v>47</v>
      </c>
      <c r="K50" s="40" t="s">
        <v>47</v>
      </c>
      <c r="L50" s="40">
        <f t="shared" si="2"/>
        <v>7443</v>
      </c>
      <c r="M50"/>
    </row>
    <row r="51" spans="1:13" s="23" customFormat="1">
      <c r="A51" s="22" t="s">
        <v>44</v>
      </c>
      <c r="B51" s="24" t="s">
        <v>110</v>
      </c>
      <c r="C51" s="25" t="s">
        <v>111</v>
      </c>
      <c r="D51" s="26">
        <v>5</v>
      </c>
      <c r="E51" s="27">
        <f>D51*5000</f>
        <v>25000</v>
      </c>
      <c r="F51" s="28" t="s">
        <v>47</v>
      </c>
      <c r="G51" s="28" t="s">
        <v>47</v>
      </c>
      <c r="H51" s="29">
        <f t="shared" ref="H51:H83" si="9">E51</f>
        <v>25000</v>
      </c>
      <c r="I51" s="40">
        <f t="shared" si="3"/>
        <v>20675</v>
      </c>
      <c r="J51" s="40" t="s">
        <v>47</v>
      </c>
      <c r="K51" s="40" t="s">
        <v>47</v>
      </c>
      <c r="L51" s="40">
        <f t="shared" si="2"/>
        <v>20675</v>
      </c>
      <c r="M51"/>
    </row>
    <row r="52" spans="1:13" s="23" customFormat="1">
      <c r="A52" s="22" t="s">
        <v>44</v>
      </c>
      <c r="B52" s="24" t="s">
        <v>112</v>
      </c>
      <c r="C52" s="25" t="s">
        <v>113</v>
      </c>
      <c r="D52" s="26">
        <v>4</v>
      </c>
      <c r="E52" s="27">
        <f>D52*5000</f>
        <v>20000</v>
      </c>
      <c r="F52" s="28" t="s">
        <v>47</v>
      </c>
      <c r="G52" s="28" t="s">
        <v>47</v>
      </c>
      <c r="H52" s="29">
        <f t="shared" si="9"/>
        <v>20000</v>
      </c>
      <c r="I52" s="40">
        <f t="shared" si="3"/>
        <v>16540</v>
      </c>
      <c r="J52" s="40" t="s">
        <v>47</v>
      </c>
      <c r="K52" s="40" t="s">
        <v>47</v>
      </c>
      <c r="L52" s="40">
        <f t="shared" si="2"/>
        <v>16540</v>
      </c>
      <c r="M52"/>
    </row>
    <row r="53" spans="1:13" s="23" customFormat="1">
      <c r="A53" s="22" t="s">
        <v>44</v>
      </c>
      <c r="B53" s="24" t="s">
        <v>114</v>
      </c>
      <c r="C53" s="25" t="s">
        <v>115</v>
      </c>
      <c r="D53" s="26">
        <v>3</v>
      </c>
      <c r="E53" s="27">
        <f>D53*5500</f>
        <v>16500</v>
      </c>
      <c r="F53" s="28" t="s">
        <v>47</v>
      </c>
      <c r="G53" s="28" t="s">
        <v>47</v>
      </c>
      <c r="H53" s="29">
        <f t="shared" si="9"/>
        <v>16500</v>
      </c>
      <c r="I53" s="40">
        <f t="shared" si="3"/>
        <v>13646</v>
      </c>
      <c r="J53" s="40" t="s">
        <v>47</v>
      </c>
      <c r="K53" s="40" t="s">
        <v>47</v>
      </c>
      <c r="L53" s="40">
        <f t="shared" si="2"/>
        <v>13646</v>
      </c>
      <c r="M53"/>
    </row>
    <row r="54" spans="1:13" s="23" customFormat="1">
      <c r="A54" s="22" t="s">
        <v>44</v>
      </c>
      <c r="B54" s="24" t="s">
        <v>116</v>
      </c>
      <c r="C54" s="25" t="s">
        <v>117</v>
      </c>
      <c r="D54" s="26">
        <v>4</v>
      </c>
      <c r="E54" s="27">
        <f>D54*5500</f>
        <v>22000</v>
      </c>
      <c r="F54" s="28" t="s">
        <v>47</v>
      </c>
      <c r="G54" s="28" t="s">
        <v>47</v>
      </c>
      <c r="H54" s="29">
        <f t="shared" si="9"/>
        <v>22000</v>
      </c>
      <c r="I54" s="40">
        <f t="shared" si="3"/>
        <v>18194</v>
      </c>
      <c r="J54" s="40" t="s">
        <v>47</v>
      </c>
      <c r="K54" s="40" t="s">
        <v>47</v>
      </c>
      <c r="L54" s="40">
        <f t="shared" si="2"/>
        <v>18194</v>
      </c>
      <c r="M54"/>
    </row>
    <row r="55" spans="1:13" s="23" customFormat="1">
      <c r="A55" s="22" t="s">
        <v>44</v>
      </c>
      <c r="B55" s="24" t="s">
        <v>118</v>
      </c>
      <c r="C55" s="25" t="s">
        <v>119</v>
      </c>
      <c r="D55" s="26">
        <v>5</v>
      </c>
      <c r="E55" s="27">
        <f>D55*5000</f>
        <v>25000</v>
      </c>
      <c r="F55" s="28" t="s">
        <v>47</v>
      </c>
      <c r="G55" s="28" t="s">
        <v>47</v>
      </c>
      <c r="H55" s="29">
        <f t="shared" si="9"/>
        <v>25000</v>
      </c>
      <c r="I55" s="40">
        <f t="shared" si="3"/>
        <v>20675</v>
      </c>
      <c r="J55" s="40" t="s">
        <v>47</v>
      </c>
      <c r="K55" s="40" t="s">
        <v>47</v>
      </c>
      <c r="L55" s="40">
        <f t="shared" si="2"/>
        <v>20675</v>
      </c>
      <c r="M55"/>
    </row>
    <row r="56" spans="1:13" s="23" customFormat="1">
      <c r="A56" s="22" t="s">
        <v>44</v>
      </c>
      <c r="B56" s="24" t="s">
        <v>120</v>
      </c>
      <c r="C56" s="25" t="s">
        <v>121</v>
      </c>
      <c r="D56" s="26">
        <v>5</v>
      </c>
      <c r="E56" s="27">
        <f>D56*5500</f>
        <v>27500</v>
      </c>
      <c r="F56" s="28" t="s">
        <v>47</v>
      </c>
      <c r="G56" s="28" t="s">
        <v>47</v>
      </c>
      <c r="H56" s="29">
        <f t="shared" si="9"/>
        <v>27500</v>
      </c>
      <c r="I56" s="40">
        <f t="shared" si="3"/>
        <v>22743</v>
      </c>
      <c r="J56" s="40" t="s">
        <v>47</v>
      </c>
      <c r="K56" s="40" t="s">
        <v>47</v>
      </c>
      <c r="L56" s="40">
        <f t="shared" si="2"/>
        <v>22743</v>
      </c>
      <c r="M56"/>
    </row>
    <row r="57" spans="1:13" s="23" customFormat="1">
      <c r="A57" s="22" t="s">
        <v>44</v>
      </c>
      <c r="B57" s="24" t="s">
        <v>122</v>
      </c>
      <c r="C57" s="25" t="s">
        <v>123</v>
      </c>
      <c r="D57" s="26">
        <v>8</v>
      </c>
      <c r="E57" s="27">
        <f>D57*5500</f>
        <v>44000</v>
      </c>
      <c r="F57" s="28" t="s">
        <v>47</v>
      </c>
      <c r="G57" s="28" t="s">
        <v>47</v>
      </c>
      <c r="H57" s="29">
        <f t="shared" si="9"/>
        <v>44000</v>
      </c>
      <c r="I57" s="40">
        <f t="shared" si="3"/>
        <v>36388</v>
      </c>
      <c r="J57" s="40" t="s">
        <v>47</v>
      </c>
      <c r="K57" s="40" t="s">
        <v>47</v>
      </c>
      <c r="L57" s="40">
        <f t="shared" si="2"/>
        <v>36388</v>
      </c>
      <c r="M57"/>
    </row>
    <row r="58" spans="1:13" s="23" customFormat="1">
      <c r="A58" s="22" t="s">
        <v>44</v>
      </c>
      <c r="B58" s="24" t="s">
        <v>124</v>
      </c>
      <c r="C58" s="25" t="s">
        <v>125</v>
      </c>
      <c r="D58" s="26">
        <v>4</v>
      </c>
      <c r="E58" s="27">
        <f>D58*5000</f>
        <v>20000</v>
      </c>
      <c r="F58" s="28" t="s">
        <v>47</v>
      </c>
      <c r="G58" s="28" t="s">
        <v>47</v>
      </c>
      <c r="H58" s="29">
        <f t="shared" si="9"/>
        <v>20000</v>
      </c>
      <c r="I58" s="40">
        <f t="shared" si="3"/>
        <v>16540</v>
      </c>
      <c r="J58" s="40" t="s">
        <v>47</v>
      </c>
      <c r="K58" s="40" t="s">
        <v>47</v>
      </c>
      <c r="L58" s="40">
        <f t="shared" si="2"/>
        <v>16540</v>
      </c>
      <c r="M58"/>
    </row>
    <row r="59" spans="1:13" s="23" customFormat="1">
      <c r="A59" s="22" t="s">
        <v>44</v>
      </c>
      <c r="B59" s="24" t="s">
        <v>126</v>
      </c>
      <c r="C59" s="25" t="s">
        <v>127</v>
      </c>
      <c r="D59" s="26">
        <v>5</v>
      </c>
      <c r="E59" s="27">
        <f>D59*5000</f>
        <v>25000</v>
      </c>
      <c r="F59" s="28" t="s">
        <v>47</v>
      </c>
      <c r="G59" s="28" t="s">
        <v>47</v>
      </c>
      <c r="H59" s="29">
        <f t="shared" si="9"/>
        <v>25000</v>
      </c>
      <c r="I59" s="40">
        <f t="shared" si="3"/>
        <v>20675</v>
      </c>
      <c r="J59" s="40" t="s">
        <v>47</v>
      </c>
      <c r="K59" s="40" t="s">
        <v>47</v>
      </c>
      <c r="L59" s="40">
        <f t="shared" si="2"/>
        <v>20675</v>
      </c>
      <c r="M59"/>
    </row>
    <row r="60" spans="1:13" s="23" customFormat="1">
      <c r="A60" s="22" t="s">
        <v>44</v>
      </c>
      <c r="B60" s="24" t="s">
        <v>128</v>
      </c>
      <c r="C60" s="25" t="s">
        <v>129</v>
      </c>
      <c r="D60" s="26">
        <v>4</v>
      </c>
      <c r="E60" s="27">
        <f>D60*4500</f>
        <v>18000</v>
      </c>
      <c r="F60" s="28" t="s">
        <v>47</v>
      </c>
      <c r="G60" s="28" t="s">
        <v>47</v>
      </c>
      <c r="H60" s="29">
        <f t="shared" si="9"/>
        <v>18000</v>
      </c>
      <c r="I60" s="40">
        <f t="shared" si="3"/>
        <v>14886</v>
      </c>
      <c r="J60" s="40" t="s">
        <v>47</v>
      </c>
      <c r="K60" s="40" t="s">
        <v>47</v>
      </c>
      <c r="L60" s="40">
        <f t="shared" si="2"/>
        <v>14886</v>
      </c>
      <c r="M60"/>
    </row>
    <row r="61" spans="1:13" s="23" customFormat="1">
      <c r="A61" s="22" t="s">
        <v>44</v>
      </c>
      <c r="B61" s="24" t="s">
        <v>130</v>
      </c>
      <c r="C61" s="25" t="s">
        <v>131</v>
      </c>
      <c r="D61" s="26">
        <v>4</v>
      </c>
      <c r="E61" s="27">
        <f>D61*5500</f>
        <v>22000</v>
      </c>
      <c r="F61" s="28" t="s">
        <v>47</v>
      </c>
      <c r="G61" s="28" t="s">
        <v>47</v>
      </c>
      <c r="H61" s="29">
        <f t="shared" si="9"/>
        <v>22000</v>
      </c>
      <c r="I61" s="40">
        <f t="shared" si="3"/>
        <v>18194</v>
      </c>
      <c r="J61" s="40" t="s">
        <v>47</v>
      </c>
      <c r="K61" s="40" t="s">
        <v>47</v>
      </c>
      <c r="L61" s="40">
        <f t="shared" si="2"/>
        <v>18194</v>
      </c>
      <c r="M61"/>
    </row>
    <row r="62" spans="1:13" s="23" customFormat="1">
      <c r="A62" s="22" t="s">
        <v>44</v>
      </c>
      <c r="B62" s="24" t="s">
        <v>132</v>
      </c>
      <c r="C62" s="25" t="s">
        <v>133</v>
      </c>
      <c r="D62" s="26">
        <v>4</v>
      </c>
      <c r="E62" s="27">
        <f>D62*5500</f>
        <v>22000</v>
      </c>
      <c r="F62" s="28" t="s">
        <v>47</v>
      </c>
      <c r="G62" s="28" t="s">
        <v>47</v>
      </c>
      <c r="H62" s="29">
        <f t="shared" si="9"/>
        <v>22000</v>
      </c>
      <c r="I62" s="40">
        <f t="shared" si="3"/>
        <v>18194</v>
      </c>
      <c r="J62" s="40" t="s">
        <v>47</v>
      </c>
      <c r="K62" s="40" t="s">
        <v>47</v>
      </c>
      <c r="L62" s="40">
        <f t="shared" si="2"/>
        <v>18194</v>
      </c>
      <c r="M62"/>
    </row>
    <row r="63" spans="1:13" s="23" customFormat="1">
      <c r="A63" s="22" t="s">
        <v>44</v>
      </c>
      <c r="B63" s="24" t="s">
        <v>134</v>
      </c>
      <c r="C63" s="25" t="s">
        <v>135</v>
      </c>
      <c r="D63" s="26">
        <v>5</v>
      </c>
      <c r="E63" s="27">
        <f>D63*4500</f>
        <v>22500</v>
      </c>
      <c r="F63" s="28" t="s">
        <v>47</v>
      </c>
      <c r="G63" s="28" t="s">
        <v>47</v>
      </c>
      <c r="H63" s="29">
        <f t="shared" si="9"/>
        <v>22500</v>
      </c>
      <c r="I63" s="40">
        <f t="shared" si="3"/>
        <v>18608</v>
      </c>
      <c r="J63" s="40" t="s">
        <v>47</v>
      </c>
      <c r="K63" s="40" t="s">
        <v>47</v>
      </c>
      <c r="L63" s="40">
        <f t="shared" si="2"/>
        <v>18608</v>
      </c>
      <c r="M63"/>
    </row>
    <row r="64" spans="1:13" s="23" customFormat="1">
      <c r="A64" s="22" t="s">
        <v>44</v>
      </c>
      <c r="B64" s="24" t="s">
        <v>136</v>
      </c>
      <c r="C64" s="25" t="s">
        <v>137</v>
      </c>
      <c r="D64" s="26">
        <v>5</v>
      </c>
      <c r="E64" s="27">
        <f>D64*5500</f>
        <v>27500</v>
      </c>
      <c r="F64" s="28" t="s">
        <v>47</v>
      </c>
      <c r="G64" s="28" t="s">
        <v>47</v>
      </c>
      <c r="H64" s="29">
        <f t="shared" si="9"/>
        <v>27500</v>
      </c>
      <c r="I64" s="40">
        <f t="shared" si="3"/>
        <v>22743</v>
      </c>
      <c r="J64" s="40" t="s">
        <v>47</v>
      </c>
      <c r="K64" s="40" t="s">
        <v>47</v>
      </c>
      <c r="L64" s="40">
        <f t="shared" si="2"/>
        <v>22743</v>
      </c>
      <c r="M64"/>
    </row>
    <row r="65" spans="1:13" s="23" customFormat="1">
      <c r="A65" s="22" t="s">
        <v>44</v>
      </c>
      <c r="B65" s="24" t="s">
        <v>138</v>
      </c>
      <c r="C65" s="25" t="s">
        <v>139</v>
      </c>
      <c r="D65" s="26">
        <v>4</v>
      </c>
      <c r="E65" s="27">
        <f>D65*4500</f>
        <v>18000</v>
      </c>
      <c r="F65" s="28" t="s">
        <v>47</v>
      </c>
      <c r="G65" s="28" t="s">
        <v>47</v>
      </c>
      <c r="H65" s="29">
        <f t="shared" si="9"/>
        <v>18000</v>
      </c>
      <c r="I65" s="40">
        <f t="shared" si="3"/>
        <v>14886</v>
      </c>
      <c r="J65" s="40" t="s">
        <v>47</v>
      </c>
      <c r="K65" s="40" t="s">
        <v>47</v>
      </c>
      <c r="L65" s="40">
        <f t="shared" si="2"/>
        <v>14886</v>
      </c>
      <c r="M65"/>
    </row>
    <row r="66" spans="1:13" s="23" customFormat="1">
      <c r="A66" s="22" t="s">
        <v>44</v>
      </c>
      <c r="B66" s="24" t="s">
        <v>140</v>
      </c>
      <c r="C66" s="25" t="s">
        <v>141</v>
      </c>
      <c r="D66" s="26">
        <v>4</v>
      </c>
      <c r="E66" s="27">
        <f>D66*4500</f>
        <v>18000</v>
      </c>
      <c r="F66" s="28" t="s">
        <v>47</v>
      </c>
      <c r="G66" s="28" t="s">
        <v>47</v>
      </c>
      <c r="H66" s="29">
        <f t="shared" si="9"/>
        <v>18000</v>
      </c>
      <c r="I66" s="40">
        <f t="shared" si="3"/>
        <v>14886</v>
      </c>
      <c r="J66" s="40" t="s">
        <v>47</v>
      </c>
      <c r="K66" s="40" t="s">
        <v>47</v>
      </c>
      <c r="L66" s="40">
        <f t="shared" si="2"/>
        <v>14886</v>
      </c>
      <c r="M66"/>
    </row>
    <row r="67" spans="1:13" s="23" customFormat="1">
      <c r="A67" s="22" t="s">
        <v>44</v>
      </c>
      <c r="B67" s="24" t="s">
        <v>142</v>
      </c>
      <c r="C67" s="25" t="s">
        <v>143</v>
      </c>
      <c r="D67" s="26">
        <v>5</v>
      </c>
      <c r="E67" s="27">
        <f>D67*5500</f>
        <v>27500</v>
      </c>
      <c r="F67" s="28" t="s">
        <v>47</v>
      </c>
      <c r="G67" s="28" t="s">
        <v>47</v>
      </c>
      <c r="H67" s="29">
        <f t="shared" si="9"/>
        <v>27500</v>
      </c>
      <c r="I67" s="40">
        <f t="shared" si="3"/>
        <v>22743</v>
      </c>
      <c r="J67" s="40" t="s">
        <v>47</v>
      </c>
      <c r="K67" s="40" t="s">
        <v>47</v>
      </c>
      <c r="L67" s="40">
        <f t="shared" ref="L67:L127" si="10">ROUND(H67*0.827,0)</f>
        <v>22743</v>
      </c>
      <c r="M67"/>
    </row>
    <row r="68" spans="1:13" s="23" customFormat="1">
      <c r="A68" s="22" t="s">
        <v>44</v>
      </c>
      <c r="B68" s="24" t="s">
        <v>144</v>
      </c>
      <c r="C68" s="25" t="s">
        <v>145</v>
      </c>
      <c r="D68" s="26">
        <v>4</v>
      </c>
      <c r="E68" s="27">
        <f>D68*5000</f>
        <v>20000</v>
      </c>
      <c r="F68" s="28" t="s">
        <v>47</v>
      </c>
      <c r="G68" s="28" t="s">
        <v>47</v>
      </c>
      <c r="H68" s="29">
        <f t="shared" si="9"/>
        <v>20000</v>
      </c>
      <c r="I68" s="40">
        <f t="shared" ref="I68:I131" si="11">ROUND(E68*0.827,0)</f>
        <v>16540</v>
      </c>
      <c r="J68" s="40" t="s">
        <v>47</v>
      </c>
      <c r="K68" s="40" t="s">
        <v>47</v>
      </c>
      <c r="L68" s="40">
        <f t="shared" si="10"/>
        <v>16540</v>
      </c>
      <c r="M68"/>
    </row>
    <row r="69" spans="1:13" s="23" customFormat="1">
      <c r="A69" s="22" t="s">
        <v>44</v>
      </c>
      <c r="B69" s="24" t="s">
        <v>146</v>
      </c>
      <c r="C69" s="25" t="s">
        <v>147</v>
      </c>
      <c r="D69" s="26">
        <v>5</v>
      </c>
      <c r="E69" s="27">
        <f>D69*5000</f>
        <v>25000</v>
      </c>
      <c r="F69" s="28" t="s">
        <v>47</v>
      </c>
      <c r="G69" s="28" t="s">
        <v>47</v>
      </c>
      <c r="H69" s="29">
        <f t="shared" si="9"/>
        <v>25000</v>
      </c>
      <c r="I69" s="40">
        <f t="shared" si="11"/>
        <v>20675</v>
      </c>
      <c r="J69" s="40" t="s">
        <v>47</v>
      </c>
      <c r="K69" s="40" t="s">
        <v>47</v>
      </c>
      <c r="L69" s="40">
        <f t="shared" si="10"/>
        <v>20675</v>
      </c>
      <c r="M69"/>
    </row>
    <row r="70" spans="1:13" s="23" customFormat="1">
      <c r="A70" s="22" t="s">
        <v>44</v>
      </c>
      <c r="B70" s="24" t="s">
        <v>148</v>
      </c>
      <c r="C70" s="25" t="s">
        <v>149</v>
      </c>
      <c r="D70" s="26">
        <v>4</v>
      </c>
      <c r="E70" s="27">
        <f>D70*5000</f>
        <v>20000</v>
      </c>
      <c r="F70" s="28" t="s">
        <v>47</v>
      </c>
      <c r="G70" s="28" t="s">
        <v>47</v>
      </c>
      <c r="H70" s="29">
        <f t="shared" si="9"/>
        <v>20000</v>
      </c>
      <c r="I70" s="40">
        <f t="shared" si="11"/>
        <v>16540</v>
      </c>
      <c r="J70" s="40" t="s">
        <v>47</v>
      </c>
      <c r="K70" s="40" t="s">
        <v>47</v>
      </c>
      <c r="L70" s="40">
        <f t="shared" si="10"/>
        <v>16540</v>
      </c>
      <c r="M70"/>
    </row>
    <row r="71" spans="1:13" s="23" customFormat="1">
      <c r="A71" s="22" t="s">
        <v>44</v>
      </c>
      <c r="B71" s="24" t="s">
        <v>150</v>
      </c>
      <c r="C71" s="25" t="s">
        <v>151</v>
      </c>
      <c r="D71" s="26">
        <v>2</v>
      </c>
      <c r="E71" s="27">
        <f>D71*5000</f>
        <v>10000</v>
      </c>
      <c r="F71" s="28" t="s">
        <v>47</v>
      </c>
      <c r="G71" s="28" t="s">
        <v>47</v>
      </c>
      <c r="H71" s="29">
        <f t="shared" si="9"/>
        <v>10000</v>
      </c>
      <c r="I71" s="40">
        <f t="shared" si="11"/>
        <v>8270</v>
      </c>
      <c r="J71" s="40" t="s">
        <v>47</v>
      </c>
      <c r="K71" s="40" t="s">
        <v>47</v>
      </c>
      <c r="L71" s="40">
        <f t="shared" si="10"/>
        <v>8270</v>
      </c>
      <c r="M71"/>
    </row>
    <row r="72" spans="1:13" s="23" customFormat="1">
      <c r="A72" s="22" t="s">
        <v>44</v>
      </c>
      <c r="B72" s="24" t="s">
        <v>152</v>
      </c>
      <c r="C72" s="25" t="s">
        <v>153</v>
      </c>
      <c r="D72" s="26">
        <v>3</v>
      </c>
      <c r="E72" s="27">
        <f>D72*5500</f>
        <v>16500</v>
      </c>
      <c r="F72" s="28" t="s">
        <v>47</v>
      </c>
      <c r="G72" s="28" t="s">
        <v>47</v>
      </c>
      <c r="H72" s="29">
        <f t="shared" si="9"/>
        <v>16500</v>
      </c>
      <c r="I72" s="40">
        <f t="shared" si="11"/>
        <v>13646</v>
      </c>
      <c r="J72" s="40" t="s">
        <v>47</v>
      </c>
      <c r="K72" s="40" t="s">
        <v>47</v>
      </c>
      <c r="L72" s="40">
        <f t="shared" si="10"/>
        <v>13646</v>
      </c>
      <c r="M72"/>
    </row>
    <row r="73" spans="1:13" s="23" customFormat="1">
      <c r="A73" s="22" t="s">
        <v>44</v>
      </c>
      <c r="B73" s="24" t="s">
        <v>154</v>
      </c>
      <c r="C73" s="25" t="s">
        <v>155</v>
      </c>
      <c r="D73" s="26">
        <v>5</v>
      </c>
      <c r="E73" s="27">
        <f>D73*5000</f>
        <v>25000</v>
      </c>
      <c r="F73" s="28" t="s">
        <v>47</v>
      </c>
      <c r="G73" s="28" t="s">
        <v>47</v>
      </c>
      <c r="H73" s="29">
        <f t="shared" si="9"/>
        <v>25000</v>
      </c>
      <c r="I73" s="40">
        <f t="shared" si="11"/>
        <v>20675</v>
      </c>
      <c r="J73" s="40" t="s">
        <v>47</v>
      </c>
      <c r="K73" s="40" t="s">
        <v>47</v>
      </c>
      <c r="L73" s="40">
        <f t="shared" si="10"/>
        <v>20675</v>
      </c>
      <c r="M73"/>
    </row>
    <row r="74" spans="1:13" s="23" customFormat="1">
      <c r="A74" s="22" t="s">
        <v>44</v>
      </c>
      <c r="B74" s="24" t="s">
        <v>156</v>
      </c>
      <c r="C74" s="25" t="s">
        <v>157</v>
      </c>
      <c r="D74" s="26">
        <v>5</v>
      </c>
      <c r="E74" s="27">
        <f>D74*5500</f>
        <v>27500</v>
      </c>
      <c r="F74" s="28" t="s">
        <v>47</v>
      </c>
      <c r="G74" s="28" t="s">
        <v>47</v>
      </c>
      <c r="H74" s="29">
        <f t="shared" si="9"/>
        <v>27500</v>
      </c>
      <c r="I74" s="40">
        <f t="shared" si="11"/>
        <v>22743</v>
      </c>
      <c r="J74" s="40" t="s">
        <v>47</v>
      </c>
      <c r="K74" s="40" t="s">
        <v>47</v>
      </c>
      <c r="L74" s="40">
        <f t="shared" si="10"/>
        <v>22743</v>
      </c>
      <c r="M74"/>
    </row>
    <row r="75" spans="1:13" s="23" customFormat="1">
      <c r="A75" s="22" t="s">
        <v>44</v>
      </c>
      <c r="B75" s="24" t="s">
        <v>158</v>
      </c>
      <c r="C75" s="25" t="s">
        <v>159</v>
      </c>
      <c r="D75" s="26">
        <v>4</v>
      </c>
      <c r="E75" s="27">
        <f>D75*4500</f>
        <v>18000</v>
      </c>
      <c r="F75" s="28" t="s">
        <v>47</v>
      </c>
      <c r="G75" s="28" t="s">
        <v>47</v>
      </c>
      <c r="H75" s="29">
        <f t="shared" si="9"/>
        <v>18000</v>
      </c>
      <c r="I75" s="40">
        <f t="shared" si="11"/>
        <v>14886</v>
      </c>
      <c r="J75" s="40" t="s">
        <v>47</v>
      </c>
      <c r="K75" s="40" t="s">
        <v>47</v>
      </c>
      <c r="L75" s="40">
        <f t="shared" si="10"/>
        <v>14886</v>
      </c>
      <c r="M75"/>
    </row>
    <row r="76" spans="1:13" s="23" customFormat="1">
      <c r="A76" s="22" t="s">
        <v>44</v>
      </c>
      <c r="B76" s="24" t="s">
        <v>160</v>
      </c>
      <c r="C76" s="25" t="s">
        <v>161</v>
      </c>
      <c r="D76" s="26">
        <v>5</v>
      </c>
      <c r="E76" s="27">
        <f>D76*5000</f>
        <v>25000</v>
      </c>
      <c r="F76" s="28" t="s">
        <v>47</v>
      </c>
      <c r="G76" s="28" t="s">
        <v>47</v>
      </c>
      <c r="H76" s="29">
        <f t="shared" si="9"/>
        <v>25000</v>
      </c>
      <c r="I76" s="40">
        <f t="shared" si="11"/>
        <v>20675</v>
      </c>
      <c r="J76" s="40" t="s">
        <v>47</v>
      </c>
      <c r="K76" s="40" t="s">
        <v>47</v>
      </c>
      <c r="L76" s="40">
        <f t="shared" si="10"/>
        <v>20675</v>
      </c>
      <c r="M76"/>
    </row>
    <row r="77" spans="1:13" s="23" customFormat="1">
      <c r="A77" s="22" t="s">
        <v>44</v>
      </c>
      <c r="B77" s="24" t="s">
        <v>162</v>
      </c>
      <c r="C77" s="25" t="s">
        <v>163</v>
      </c>
      <c r="D77" s="26">
        <v>4</v>
      </c>
      <c r="E77" s="27">
        <f>D77*5000</f>
        <v>20000</v>
      </c>
      <c r="F77" s="28" t="s">
        <v>47</v>
      </c>
      <c r="G77" s="28" t="s">
        <v>47</v>
      </c>
      <c r="H77" s="29">
        <f t="shared" si="9"/>
        <v>20000</v>
      </c>
      <c r="I77" s="40">
        <f t="shared" si="11"/>
        <v>16540</v>
      </c>
      <c r="J77" s="40" t="s">
        <v>47</v>
      </c>
      <c r="K77" s="40" t="s">
        <v>47</v>
      </c>
      <c r="L77" s="40">
        <f t="shared" si="10"/>
        <v>16540</v>
      </c>
      <c r="M77"/>
    </row>
    <row r="78" spans="1:13" s="23" customFormat="1">
      <c r="A78" s="22" t="s">
        <v>44</v>
      </c>
      <c r="B78" s="24" t="s">
        <v>164</v>
      </c>
      <c r="C78" s="25" t="s">
        <v>165</v>
      </c>
      <c r="D78" s="26">
        <v>5</v>
      </c>
      <c r="E78" s="27">
        <f>D78*5000</f>
        <v>25000</v>
      </c>
      <c r="F78" s="28" t="s">
        <v>47</v>
      </c>
      <c r="G78" s="28" t="s">
        <v>47</v>
      </c>
      <c r="H78" s="29">
        <f t="shared" si="9"/>
        <v>25000</v>
      </c>
      <c r="I78" s="40">
        <f t="shared" si="11"/>
        <v>20675</v>
      </c>
      <c r="J78" s="40" t="s">
        <v>47</v>
      </c>
      <c r="K78" s="40" t="s">
        <v>47</v>
      </c>
      <c r="L78" s="40">
        <f t="shared" si="10"/>
        <v>20675</v>
      </c>
      <c r="M78"/>
    </row>
    <row r="79" spans="1:13" s="23" customFormat="1">
      <c r="A79" s="22" t="s">
        <v>44</v>
      </c>
      <c r="B79" s="24" t="s">
        <v>166</v>
      </c>
      <c r="C79" s="25" t="s">
        <v>167</v>
      </c>
      <c r="D79" s="26">
        <v>5</v>
      </c>
      <c r="E79" s="27">
        <f>D79*5000</f>
        <v>25000</v>
      </c>
      <c r="F79" s="28" t="s">
        <v>47</v>
      </c>
      <c r="G79" s="28" t="s">
        <v>47</v>
      </c>
      <c r="H79" s="29">
        <f t="shared" si="9"/>
        <v>25000</v>
      </c>
      <c r="I79" s="40">
        <f t="shared" si="11"/>
        <v>20675</v>
      </c>
      <c r="J79" s="40" t="s">
        <v>47</v>
      </c>
      <c r="K79" s="40" t="s">
        <v>47</v>
      </c>
      <c r="L79" s="40">
        <f t="shared" si="10"/>
        <v>20675</v>
      </c>
      <c r="M79"/>
    </row>
    <row r="80" spans="1:13" s="23" customFormat="1">
      <c r="A80" s="22" t="s">
        <v>44</v>
      </c>
      <c r="B80" s="24" t="s">
        <v>168</v>
      </c>
      <c r="C80" s="25" t="s">
        <v>169</v>
      </c>
      <c r="D80" s="26">
        <v>4</v>
      </c>
      <c r="E80" s="27">
        <f>D80*4500</f>
        <v>18000</v>
      </c>
      <c r="F80" s="28" t="s">
        <v>47</v>
      </c>
      <c r="G80" s="28" t="s">
        <v>47</v>
      </c>
      <c r="H80" s="29">
        <f t="shared" si="9"/>
        <v>18000</v>
      </c>
      <c r="I80" s="40">
        <f t="shared" si="11"/>
        <v>14886</v>
      </c>
      <c r="J80" s="40" t="s">
        <v>47</v>
      </c>
      <c r="K80" s="40" t="s">
        <v>47</v>
      </c>
      <c r="L80" s="40">
        <f t="shared" si="10"/>
        <v>14886</v>
      </c>
      <c r="M80"/>
    </row>
    <row r="81" spans="1:13" s="23" customFormat="1">
      <c r="A81" s="22" t="s">
        <v>44</v>
      </c>
      <c r="B81" s="24" t="s">
        <v>170</v>
      </c>
      <c r="C81" s="25" t="s">
        <v>171</v>
      </c>
      <c r="D81" s="26">
        <v>5</v>
      </c>
      <c r="E81" s="27">
        <f>D81*5000</f>
        <v>25000</v>
      </c>
      <c r="F81" s="28" t="s">
        <v>47</v>
      </c>
      <c r="G81" s="28" t="s">
        <v>47</v>
      </c>
      <c r="H81" s="29">
        <f t="shared" si="9"/>
        <v>25000</v>
      </c>
      <c r="I81" s="40">
        <f t="shared" si="11"/>
        <v>20675</v>
      </c>
      <c r="J81" s="40" t="s">
        <v>47</v>
      </c>
      <c r="K81" s="40" t="s">
        <v>47</v>
      </c>
      <c r="L81" s="40">
        <f t="shared" si="10"/>
        <v>20675</v>
      </c>
      <c r="M81"/>
    </row>
    <row r="82" spans="1:13" s="23" customFormat="1">
      <c r="A82" s="22" t="s">
        <v>44</v>
      </c>
      <c r="B82" s="24" t="s">
        <v>172</v>
      </c>
      <c r="C82" s="25" t="s">
        <v>173</v>
      </c>
      <c r="D82" s="26">
        <v>3</v>
      </c>
      <c r="E82" s="27">
        <f>D82*5000</f>
        <v>15000</v>
      </c>
      <c r="F82" s="28" t="s">
        <v>47</v>
      </c>
      <c r="G82" s="28" t="s">
        <v>47</v>
      </c>
      <c r="H82" s="29">
        <f t="shared" si="9"/>
        <v>15000</v>
      </c>
      <c r="I82" s="40">
        <f t="shared" si="11"/>
        <v>12405</v>
      </c>
      <c r="J82" s="40" t="s">
        <v>47</v>
      </c>
      <c r="K82" s="40" t="s">
        <v>47</v>
      </c>
      <c r="L82" s="40">
        <f t="shared" si="10"/>
        <v>12405</v>
      </c>
      <c r="M82"/>
    </row>
    <row r="83" spans="1:13" s="23" customFormat="1">
      <c r="A83" s="22" t="s">
        <v>44</v>
      </c>
      <c r="B83" s="24" t="s">
        <v>174</v>
      </c>
      <c r="C83" s="25" t="s">
        <v>175</v>
      </c>
      <c r="D83" s="26">
        <v>5</v>
      </c>
      <c r="E83" s="27">
        <f>D83*5000</f>
        <v>25000</v>
      </c>
      <c r="F83" s="28" t="s">
        <v>47</v>
      </c>
      <c r="G83" s="28" t="s">
        <v>47</v>
      </c>
      <c r="H83" s="29">
        <f t="shared" si="9"/>
        <v>25000</v>
      </c>
      <c r="I83" s="40">
        <f t="shared" si="11"/>
        <v>20675</v>
      </c>
      <c r="J83" s="40" t="s">
        <v>47</v>
      </c>
      <c r="K83" s="40" t="s">
        <v>47</v>
      </c>
      <c r="L83" s="40">
        <f t="shared" si="10"/>
        <v>20675</v>
      </c>
      <c r="M83"/>
    </row>
    <row r="84" spans="1:13" s="23" customFormat="1">
      <c r="A84" s="22" t="s">
        <v>44</v>
      </c>
      <c r="B84" s="24" t="s">
        <v>176</v>
      </c>
      <c r="C84" s="25" t="s">
        <v>177</v>
      </c>
      <c r="D84" s="26">
        <v>2</v>
      </c>
      <c r="E84" s="27">
        <v>9000</v>
      </c>
      <c r="F84" s="28" t="s">
        <v>47</v>
      </c>
      <c r="G84" s="28" t="s">
        <v>47</v>
      </c>
      <c r="H84" s="29">
        <v>9000</v>
      </c>
      <c r="I84" s="40">
        <f t="shared" si="11"/>
        <v>7443</v>
      </c>
      <c r="J84" s="40" t="s">
        <v>47</v>
      </c>
      <c r="K84" s="40" t="s">
        <v>47</v>
      </c>
      <c r="L84" s="40">
        <f t="shared" si="10"/>
        <v>7443</v>
      </c>
      <c r="M84"/>
    </row>
    <row r="85" spans="1:13" s="23" customFormat="1">
      <c r="A85" s="22" t="s">
        <v>44</v>
      </c>
      <c r="B85" s="24" t="s">
        <v>178</v>
      </c>
      <c r="C85" s="25" t="s">
        <v>179</v>
      </c>
      <c r="D85" s="26">
        <v>2</v>
      </c>
      <c r="E85" s="27">
        <v>10000</v>
      </c>
      <c r="F85" s="28" t="s">
        <v>47</v>
      </c>
      <c r="G85" s="28" t="s">
        <v>47</v>
      </c>
      <c r="H85" s="29">
        <f>E85</f>
        <v>10000</v>
      </c>
      <c r="I85" s="40">
        <f t="shared" si="11"/>
        <v>8270</v>
      </c>
      <c r="J85" s="40" t="s">
        <v>47</v>
      </c>
      <c r="K85" s="40" t="s">
        <v>47</v>
      </c>
      <c r="L85" s="40">
        <f t="shared" si="10"/>
        <v>8270</v>
      </c>
      <c r="M85"/>
    </row>
    <row r="86" spans="1:13" s="23" customFormat="1">
      <c r="A86" s="22" t="s">
        <v>44</v>
      </c>
      <c r="B86" s="24" t="s">
        <v>180</v>
      </c>
      <c r="C86" s="25" t="s">
        <v>181</v>
      </c>
      <c r="D86" s="26">
        <v>4</v>
      </c>
      <c r="E86" s="27">
        <v>20000</v>
      </c>
      <c r="F86" s="28" t="s">
        <v>47</v>
      </c>
      <c r="G86" s="28" t="s">
        <v>47</v>
      </c>
      <c r="H86" s="29">
        <v>20000</v>
      </c>
      <c r="I86" s="40">
        <f t="shared" si="11"/>
        <v>16540</v>
      </c>
      <c r="J86" s="40" t="s">
        <v>47</v>
      </c>
      <c r="K86" s="40" t="s">
        <v>47</v>
      </c>
      <c r="L86" s="40">
        <f t="shared" si="10"/>
        <v>16540</v>
      </c>
      <c r="M86"/>
    </row>
    <row r="87" spans="1:13" s="23" customFormat="1">
      <c r="A87" s="22" t="s">
        <v>44</v>
      </c>
      <c r="B87" s="24" t="s">
        <v>182</v>
      </c>
      <c r="C87" s="25" t="s">
        <v>183</v>
      </c>
      <c r="D87" s="26">
        <v>5</v>
      </c>
      <c r="E87" s="27">
        <v>22500</v>
      </c>
      <c r="F87" s="28" t="s">
        <v>47</v>
      </c>
      <c r="G87" s="28" t="s">
        <v>47</v>
      </c>
      <c r="H87" s="29">
        <v>22500</v>
      </c>
      <c r="I87" s="40">
        <f t="shared" si="11"/>
        <v>18608</v>
      </c>
      <c r="J87" s="40" t="s">
        <v>47</v>
      </c>
      <c r="K87" s="40" t="s">
        <v>47</v>
      </c>
      <c r="L87" s="40">
        <f t="shared" si="10"/>
        <v>18608</v>
      </c>
      <c r="M87"/>
    </row>
    <row r="88" spans="1:13" s="23" customFormat="1">
      <c r="A88" s="22" t="s">
        <v>44</v>
      </c>
      <c r="B88" s="24" t="s">
        <v>184</v>
      </c>
      <c r="C88" s="25" t="s">
        <v>185</v>
      </c>
      <c r="D88" s="26">
        <v>5</v>
      </c>
      <c r="E88" s="27">
        <v>22500</v>
      </c>
      <c r="F88" s="28" t="s">
        <v>47</v>
      </c>
      <c r="G88" s="28" t="s">
        <v>47</v>
      </c>
      <c r="H88" s="29">
        <v>22500</v>
      </c>
      <c r="I88" s="40">
        <f t="shared" si="11"/>
        <v>18608</v>
      </c>
      <c r="J88" s="40" t="s">
        <v>47</v>
      </c>
      <c r="K88" s="40" t="s">
        <v>47</v>
      </c>
      <c r="L88" s="40">
        <f t="shared" si="10"/>
        <v>18608</v>
      </c>
      <c r="M88"/>
    </row>
    <row r="89" spans="1:13" s="23" customFormat="1">
      <c r="A89" s="22" t="s">
        <v>44</v>
      </c>
      <c r="B89" s="24" t="s">
        <v>454</v>
      </c>
      <c r="C89" s="25" t="s">
        <v>455</v>
      </c>
      <c r="D89" s="26">
        <v>5</v>
      </c>
      <c r="E89" s="27">
        <v>25000</v>
      </c>
      <c r="F89" s="28" t="s">
        <v>47</v>
      </c>
      <c r="G89" s="28" t="s">
        <v>47</v>
      </c>
      <c r="H89" s="29">
        <v>25000</v>
      </c>
      <c r="I89" s="40">
        <f t="shared" si="11"/>
        <v>20675</v>
      </c>
      <c r="J89" s="40" t="s">
        <v>47</v>
      </c>
      <c r="K89" s="40" t="s">
        <v>47</v>
      </c>
      <c r="L89" s="40">
        <f t="shared" si="10"/>
        <v>20675</v>
      </c>
      <c r="M89" t="s">
        <v>456</v>
      </c>
    </row>
    <row r="90" spans="1:13" s="23" customFormat="1">
      <c r="A90" s="22" t="s">
        <v>186</v>
      </c>
      <c r="B90" s="24" t="s">
        <v>187</v>
      </c>
      <c r="C90" s="25" t="s">
        <v>188</v>
      </c>
      <c r="D90" s="26">
        <v>5</v>
      </c>
      <c r="E90" s="27">
        <v>22500</v>
      </c>
      <c r="F90" s="28" t="s">
        <v>47</v>
      </c>
      <c r="G90" s="28" t="s">
        <v>47</v>
      </c>
      <c r="H90" s="29">
        <v>22500</v>
      </c>
      <c r="I90" s="40">
        <f t="shared" si="11"/>
        <v>18608</v>
      </c>
      <c r="J90" s="40" t="s">
        <v>47</v>
      </c>
      <c r="K90" s="40" t="s">
        <v>47</v>
      </c>
      <c r="L90" s="40">
        <f t="shared" si="10"/>
        <v>18608</v>
      </c>
      <c r="M90"/>
    </row>
    <row r="91" spans="1:13" s="23" customFormat="1">
      <c r="A91" s="22" t="s">
        <v>186</v>
      </c>
      <c r="B91" s="24" t="s">
        <v>189</v>
      </c>
      <c r="C91" s="25" t="s">
        <v>190</v>
      </c>
      <c r="D91" s="26">
        <v>5</v>
      </c>
      <c r="E91" s="27">
        <v>22500</v>
      </c>
      <c r="F91" s="28" t="s">
        <v>47</v>
      </c>
      <c r="G91" s="28" t="s">
        <v>47</v>
      </c>
      <c r="H91" s="29">
        <v>22500</v>
      </c>
      <c r="I91" s="40">
        <f t="shared" si="11"/>
        <v>18608</v>
      </c>
      <c r="J91" s="40" t="s">
        <v>47</v>
      </c>
      <c r="K91" s="40" t="s">
        <v>47</v>
      </c>
      <c r="L91" s="40">
        <f t="shared" si="10"/>
        <v>18608</v>
      </c>
      <c r="M91"/>
    </row>
    <row r="92" spans="1:13" s="23" customFormat="1">
      <c r="A92" s="22" t="s">
        <v>186</v>
      </c>
      <c r="B92" s="24" t="s">
        <v>191</v>
      </c>
      <c r="C92" s="25" t="s">
        <v>192</v>
      </c>
      <c r="D92" s="26">
        <v>5</v>
      </c>
      <c r="E92" s="27">
        <v>25000</v>
      </c>
      <c r="F92" s="28" t="s">
        <v>47</v>
      </c>
      <c r="G92" s="28" t="s">
        <v>47</v>
      </c>
      <c r="H92" s="29">
        <v>25000</v>
      </c>
      <c r="I92" s="40">
        <f t="shared" si="11"/>
        <v>20675</v>
      </c>
      <c r="J92" s="40" t="s">
        <v>47</v>
      </c>
      <c r="K92" s="40" t="s">
        <v>47</v>
      </c>
      <c r="L92" s="40">
        <f t="shared" si="10"/>
        <v>20675</v>
      </c>
      <c r="M92"/>
    </row>
    <row r="93" spans="1:13" s="23" customFormat="1">
      <c r="A93" s="22" t="s">
        <v>186</v>
      </c>
      <c r="B93" s="24" t="s">
        <v>457</v>
      </c>
      <c r="C93" s="25" t="s">
        <v>458</v>
      </c>
      <c r="D93" s="26">
        <v>2</v>
      </c>
      <c r="E93" s="27">
        <v>9000</v>
      </c>
      <c r="F93" s="28" t="s">
        <v>47</v>
      </c>
      <c r="G93" s="28" t="s">
        <v>47</v>
      </c>
      <c r="H93" s="29">
        <v>9000</v>
      </c>
      <c r="I93" s="40">
        <f t="shared" si="11"/>
        <v>7443</v>
      </c>
      <c r="J93" s="40" t="s">
        <v>47</v>
      </c>
      <c r="K93" s="40" t="s">
        <v>47</v>
      </c>
      <c r="L93" s="40">
        <f t="shared" si="10"/>
        <v>7443</v>
      </c>
      <c r="M93" t="s">
        <v>456</v>
      </c>
    </row>
    <row r="94" spans="1:13" s="23" customFormat="1">
      <c r="A94" s="22" t="s">
        <v>186</v>
      </c>
      <c r="B94" s="24" t="s">
        <v>459</v>
      </c>
      <c r="C94" s="25" t="s">
        <v>460</v>
      </c>
      <c r="D94" s="26">
        <v>2</v>
      </c>
      <c r="E94" s="27">
        <v>9000</v>
      </c>
      <c r="F94" s="28" t="s">
        <v>47</v>
      </c>
      <c r="G94" s="28" t="s">
        <v>47</v>
      </c>
      <c r="H94" s="29">
        <v>9000</v>
      </c>
      <c r="I94" s="40">
        <f t="shared" si="11"/>
        <v>7443</v>
      </c>
      <c r="J94" s="40" t="s">
        <v>47</v>
      </c>
      <c r="K94" s="40" t="s">
        <v>47</v>
      </c>
      <c r="L94" s="40">
        <f t="shared" si="10"/>
        <v>7443</v>
      </c>
      <c r="M94" t="s">
        <v>456</v>
      </c>
    </row>
    <row r="95" spans="1:13" s="23" customFormat="1">
      <c r="A95" s="22" t="s">
        <v>186</v>
      </c>
      <c r="B95" s="24" t="s">
        <v>461</v>
      </c>
      <c r="C95" s="25" t="s">
        <v>462</v>
      </c>
      <c r="D95" s="26">
        <v>3</v>
      </c>
      <c r="E95" s="27">
        <v>15000</v>
      </c>
      <c r="F95" s="28" t="s">
        <v>47</v>
      </c>
      <c r="G95" s="28" t="s">
        <v>47</v>
      </c>
      <c r="H95" s="29">
        <v>15000</v>
      </c>
      <c r="I95" s="40">
        <f t="shared" si="11"/>
        <v>12405</v>
      </c>
      <c r="J95" s="40" t="s">
        <v>47</v>
      </c>
      <c r="K95" s="40" t="s">
        <v>47</v>
      </c>
      <c r="L95" s="40">
        <f t="shared" si="10"/>
        <v>12405</v>
      </c>
      <c r="M95" t="s">
        <v>456</v>
      </c>
    </row>
    <row r="96" spans="1:13" s="23" customFormat="1">
      <c r="A96" s="22" t="s">
        <v>186</v>
      </c>
      <c r="B96" s="24" t="s">
        <v>463</v>
      </c>
      <c r="C96" s="25" t="s">
        <v>464</v>
      </c>
      <c r="D96" s="26">
        <v>3</v>
      </c>
      <c r="E96" s="27">
        <v>15000</v>
      </c>
      <c r="F96" s="28" t="s">
        <v>47</v>
      </c>
      <c r="G96" s="28" t="s">
        <v>47</v>
      </c>
      <c r="H96" s="29">
        <v>15000</v>
      </c>
      <c r="I96" s="40">
        <f t="shared" si="11"/>
        <v>12405</v>
      </c>
      <c r="J96" s="40" t="s">
        <v>47</v>
      </c>
      <c r="K96" s="40" t="s">
        <v>47</v>
      </c>
      <c r="L96" s="40">
        <f t="shared" si="10"/>
        <v>12405</v>
      </c>
      <c r="M96" t="s">
        <v>456</v>
      </c>
    </row>
    <row r="97" spans="1:13" s="23" customFormat="1">
      <c r="A97" s="22" t="s">
        <v>193</v>
      </c>
      <c r="B97" s="24" t="s">
        <v>194</v>
      </c>
      <c r="C97" s="25" t="s">
        <v>195</v>
      </c>
      <c r="D97" s="26">
        <v>5</v>
      </c>
      <c r="E97" s="27">
        <v>14000</v>
      </c>
      <c r="F97" s="28">
        <f t="shared" ref="F97:F116" si="12">E97+4000</f>
        <v>18000</v>
      </c>
      <c r="G97" s="28">
        <f t="shared" ref="G97:G116" si="13">E97+8000</f>
        <v>22000</v>
      </c>
      <c r="H97" s="29">
        <f t="shared" ref="H97:H123" si="14">E97+2000</f>
        <v>16000</v>
      </c>
      <c r="I97" s="40">
        <f t="shared" si="11"/>
        <v>11578</v>
      </c>
      <c r="J97" s="40">
        <f t="shared" ref="J97:J126" si="15">ROUND(F97*0.827,0)</f>
        <v>14886</v>
      </c>
      <c r="K97" s="40">
        <f t="shared" ref="K97:K126" si="16">ROUND(G97*0.827,0)</f>
        <v>18194</v>
      </c>
      <c r="L97" s="40">
        <f t="shared" si="10"/>
        <v>13232</v>
      </c>
      <c r="M97"/>
    </row>
    <row r="98" spans="1:13" s="23" customFormat="1">
      <c r="A98" s="22" t="s">
        <v>196</v>
      </c>
      <c r="B98" s="24" t="s">
        <v>197</v>
      </c>
      <c r="C98" s="25" t="s">
        <v>198</v>
      </c>
      <c r="D98" s="26">
        <v>5</v>
      </c>
      <c r="E98" s="27">
        <v>21500</v>
      </c>
      <c r="F98" s="28">
        <f t="shared" si="12"/>
        <v>25500</v>
      </c>
      <c r="G98" s="28">
        <f t="shared" si="13"/>
        <v>29500</v>
      </c>
      <c r="H98" s="29">
        <f t="shared" si="14"/>
        <v>23500</v>
      </c>
      <c r="I98" s="40">
        <f t="shared" si="11"/>
        <v>17781</v>
      </c>
      <c r="J98" s="40">
        <f t="shared" si="15"/>
        <v>21089</v>
      </c>
      <c r="K98" s="40">
        <f t="shared" si="16"/>
        <v>24397</v>
      </c>
      <c r="L98" s="40">
        <f t="shared" si="10"/>
        <v>19435</v>
      </c>
      <c r="M98"/>
    </row>
    <row r="99" spans="1:13" s="23" customFormat="1">
      <c r="A99" s="22" t="s">
        <v>199</v>
      </c>
      <c r="B99" s="24" t="s">
        <v>200</v>
      </c>
      <c r="C99" s="25" t="s">
        <v>201</v>
      </c>
      <c r="D99" s="26">
        <v>10</v>
      </c>
      <c r="E99" s="27">
        <f>D99*4300</f>
        <v>43000</v>
      </c>
      <c r="F99" s="28">
        <f t="shared" si="12"/>
        <v>47000</v>
      </c>
      <c r="G99" s="28">
        <f t="shared" si="13"/>
        <v>51000</v>
      </c>
      <c r="H99" s="29">
        <f t="shared" si="14"/>
        <v>45000</v>
      </c>
      <c r="I99" s="40">
        <f t="shared" si="11"/>
        <v>35561</v>
      </c>
      <c r="J99" s="40">
        <f t="shared" si="15"/>
        <v>38869</v>
      </c>
      <c r="K99" s="40">
        <f t="shared" si="16"/>
        <v>42177</v>
      </c>
      <c r="L99" s="40">
        <f t="shared" si="10"/>
        <v>37215</v>
      </c>
      <c r="M99"/>
    </row>
    <row r="100" spans="1:13" s="23" customFormat="1">
      <c r="A100" s="22" t="s">
        <v>199</v>
      </c>
      <c r="B100" s="24" t="s">
        <v>202</v>
      </c>
      <c r="C100" s="25" t="s">
        <v>203</v>
      </c>
      <c r="D100" s="26">
        <v>5</v>
      </c>
      <c r="E100" s="27">
        <f>D100*2800</f>
        <v>14000</v>
      </c>
      <c r="F100" s="28">
        <f t="shared" si="12"/>
        <v>18000</v>
      </c>
      <c r="G100" s="28">
        <f t="shared" si="13"/>
        <v>22000</v>
      </c>
      <c r="H100" s="29">
        <f t="shared" si="14"/>
        <v>16000</v>
      </c>
      <c r="I100" s="40">
        <f t="shared" si="11"/>
        <v>11578</v>
      </c>
      <c r="J100" s="40">
        <f t="shared" si="15"/>
        <v>14886</v>
      </c>
      <c r="K100" s="40">
        <f t="shared" si="16"/>
        <v>18194</v>
      </c>
      <c r="L100" s="40">
        <f t="shared" si="10"/>
        <v>13232</v>
      </c>
      <c r="M100"/>
    </row>
    <row r="101" spans="1:13" s="23" customFormat="1">
      <c r="A101" s="22" t="s">
        <v>199</v>
      </c>
      <c r="B101" s="24" t="s">
        <v>204</v>
      </c>
      <c r="C101" s="25" t="s">
        <v>205</v>
      </c>
      <c r="D101" s="26">
        <v>5</v>
      </c>
      <c r="E101" s="27">
        <f t="shared" ref="E101:E114" si="17">D101*4300</f>
        <v>21500</v>
      </c>
      <c r="F101" s="28">
        <f t="shared" si="12"/>
        <v>25500</v>
      </c>
      <c r="G101" s="28">
        <f t="shared" si="13"/>
        <v>29500</v>
      </c>
      <c r="H101" s="29">
        <f t="shared" si="14"/>
        <v>23500</v>
      </c>
      <c r="I101" s="40">
        <f t="shared" si="11"/>
        <v>17781</v>
      </c>
      <c r="J101" s="40">
        <f t="shared" si="15"/>
        <v>21089</v>
      </c>
      <c r="K101" s="40">
        <f t="shared" si="16"/>
        <v>24397</v>
      </c>
      <c r="L101" s="40">
        <f t="shared" si="10"/>
        <v>19435</v>
      </c>
      <c r="M101"/>
    </row>
    <row r="102" spans="1:13" s="23" customFormat="1">
      <c r="A102" s="22" t="s">
        <v>199</v>
      </c>
      <c r="B102" s="24" t="s">
        <v>206</v>
      </c>
      <c r="C102" s="25" t="s">
        <v>207</v>
      </c>
      <c r="D102" s="26">
        <v>5</v>
      </c>
      <c r="E102" s="27">
        <f t="shared" si="17"/>
        <v>21500</v>
      </c>
      <c r="F102" s="28">
        <f t="shared" si="12"/>
        <v>25500</v>
      </c>
      <c r="G102" s="28">
        <f t="shared" si="13"/>
        <v>29500</v>
      </c>
      <c r="H102" s="29">
        <f t="shared" si="14"/>
        <v>23500</v>
      </c>
      <c r="I102" s="40">
        <f t="shared" si="11"/>
        <v>17781</v>
      </c>
      <c r="J102" s="40">
        <f t="shared" si="15"/>
        <v>21089</v>
      </c>
      <c r="K102" s="40">
        <f t="shared" si="16"/>
        <v>24397</v>
      </c>
      <c r="L102" s="40">
        <f t="shared" si="10"/>
        <v>19435</v>
      </c>
      <c r="M102"/>
    </row>
    <row r="103" spans="1:13" s="23" customFormat="1">
      <c r="A103" s="22" t="s">
        <v>199</v>
      </c>
      <c r="B103" s="24" t="s">
        <v>208</v>
      </c>
      <c r="C103" s="25" t="s">
        <v>209</v>
      </c>
      <c r="D103" s="26">
        <v>5</v>
      </c>
      <c r="E103" s="27">
        <f t="shared" si="17"/>
        <v>21500</v>
      </c>
      <c r="F103" s="28">
        <f t="shared" si="12"/>
        <v>25500</v>
      </c>
      <c r="G103" s="28">
        <f t="shared" si="13"/>
        <v>29500</v>
      </c>
      <c r="H103" s="29">
        <f t="shared" si="14"/>
        <v>23500</v>
      </c>
      <c r="I103" s="40">
        <f t="shared" si="11"/>
        <v>17781</v>
      </c>
      <c r="J103" s="40">
        <f t="shared" si="15"/>
        <v>21089</v>
      </c>
      <c r="K103" s="40">
        <f t="shared" si="16"/>
        <v>24397</v>
      </c>
      <c r="L103" s="40">
        <f t="shared" si="10"/>
        <v>19435</v>
      </c>
      <c r="M103"/>
    </row>
    <row r="104" spans="1:13" s="23" customFormat="1">
      <c r="A104" s="22" t="s">
        <v>199</v>
      </c>
      <c r="B104" s="24" t="s">
        <v>210</v>
      </c>
      <c r="C104" s="25" t="s">
        <v>211</v>
      </c>
      <c r="D104" s="26">
        <v>5</v>
      </c>
      <c r="E104" s="27">
        <f t="shared" si="17"/>
        <v>21500</v>
      </c>
      <c r="F104" s="28">
        <f t="shared" si="12"/>
        <v>25500</v>
      </c>
      <c r="G104" s="28">
        <f t="shared" si="13"/>
        <v>29500</v>
      </c>
      <c r="H104" s="29">
        <f t="shared" si="14"/>
        <v>23500</v>
      </c>
      <c r="I104" s="40">
        <f t="shared" si="11"/>
        <v>17781</v>
      </c>
      <c r="J104" s="40">
        <f t="shared" si="15"/>
        <v>21089</v>
      </c>
      <c r="K104" s="40">
        <f t="shared" si="16"/>
        <v>24397</v>
      </c>
      <c r="L104" s="40">
        <f t="shared" si="10"/>
        <v>19435</v>
      </c>
      <c r="M104"/>
    </row>
    <row r="105" spans="1:13" s="23" customFormat="1">
      <c r="A105" s="22" t="s">
        <v>199</v>
      </c>
      <c r="B105" s="24" t="s">
        <v>212</v>
      </c>
      <c r="C105" s="25" t="s">
        <v>213</v>
      </c>
      <c r="D105" s="26">
        <v>3</v>
      </c>
      <c r="E105" s="27">
        <f t="shared" si="17"/>
        <v>12900</v>
      </c>
      <c r="F105" s="28">
        <f t="shared" si="12"/>
        <v>16900</v>
      </c>
      <c r="G105" s="28">
        <f t="shared" si="13"/>
        <v>20900</v>
      </c>
      <c r="H105" s="29">
        <f t="shared" si="14"/>
        <v>14900</v>
      </c>
      <c r="I105" s="40">
        <f t="shared" si="11"/>
        <v>10668</v>
      </c>
      <c r="J105" s="40">
        <f t="shared" si="15"/>
        <v>13976</v>
      </c>
      <c r="K105" s="40">
        <f t="shared" si="16"/>
        <v>17284</v>
      </c>
      <c r="L105" s="40">
        <f t="shared" si="10"/>
        <v>12322</v>
      </c>
      <c r="M105"/>
    </row>
    <row r="106" spans="1:13" s="23" customFormat="1">
      <c r="A106" s="22" t="s">
        <v>199</v>
      </c>
      <c r="B106" s="24" t="s">
        <v>214</v>
      </c>
      <c r="C106" s="25" t="s">
        <v>215</v>
      </c>
      <c r="D106" s="26">
        <v>2</v>
      </c>
      <c r="E106" s="27">
        <f t="shared" si="17"/>
        <v>8600</v>
      </c>
      <c r="F106" s="28">
        <f t="shared" si="12"/>
        <v>12600</v>
      </c>
      <c r="G106" s="28">
        <f t="shared" si="13"/>
        <v>16600</v>
      </c>
      <c r="H106" s="29">
        <f t="shared" si="14"/>
        <v>10600</v>
      </c>
      <c r="I106" s="40">
        <f t="shared" si="11"/>
        <v>7112</v>
      </c>
      <c r="J106" s="40">
        <f t="shared" si="15"/>
        <v>10420</v>
      </c>
      <c r="K106" s="40">
        <f t="shared" si="16"/>
        <v>13728</v>
      </c>
      <c r="L106" s="40">
        <f t="shared" si="10"/>
        <v>8766</v>
      </c>
      <c r="M106"/>
    </row>
    <row r="107" spans="1:13" s="23" customFormat="1">
      <c r="A107" s="22" t="s">
        <v>199</v>
      </c>
      <c r="B107" s="24" t="s">
        <v>216</v>
      </c>
      <c r="C107" s="25" t="s">
        <v>217</v>
      </c>
      <c r="D107" s="26">
        <v>5</v>
      </c>
      <c r="E107" s="27">
        <f t="shared" si="17"/>
        <v>21500</v>
      </c>
      <c r="F107" s="28">
        <f t="shared" si="12"/>
        <v>25500</v>
      </c>
      <c r="G107" s="28">
        <f t="shared" si="13"/>
        <v>29500</v>
      </c>
      <c r="H107" s="29">
        <f t="shared" si="14"/>
        <v>23500</v>
      </c>
      <c r="I107" s="40">
        <f t="shared" si="11"/>
        <v>17781</v>
      </c>
      <c r="J107" s="40">
        <f t="shared" si="15"/>
        <v>21089</v>
      </c>
      <c r="K107" s="40">
        <f t="shared" si="16"/>
        <v>24397</v>
      </c>
      <c r="L107" s="40">
        <f t="shared" si="10"/>
        <v>19435</v>
      </c>
      <c r="M107"/>
    </row>
    <row r="108" spans="1:13" s="23" customFormat="1">
      <c r="A108" s="22" t="s">
        <v>199</v>
      </c>
      <c r="B108" s="24" t="s">
        <v>218</v>
      </c>
      <c r="C108" s="25" t="s">
        <v>219</v>
      </c>
      <c r="D108" s="26">
        <v>5</v>
      </c>
      <c r="E108" s="27">
        <f t="shared" si="17"/>
        <v>21500</v>
      </c>
      <c r="F108" s="28">
        <f t="shared" si="12"/>
        <v>25500</v>
      </c>
      <c r="G108" s="28">
        <f t="shared" si="13"/>
        <v>29500</v>
      </c>
      <c r="H108" s="29">
        <f t="shared" si="14"/>
        <v>23500</v>
      </c>
      <c r="I108" s="40">
        <f t="shared" si="11"/>
        <v>17781</v>
      </c>
      <c r="J108" s="40">
        <f t="shared" si="15"/>
        <v>21089</v>
      </c>
      <c r="K108" s="40">
        <f t="shared" si="16"/>
        <v>24397</v>
      </c>
      <c r="L108" s="40">
        <f t="shared" si="10"/>
        <v>19435</v>
      </c>
      <c r="M108"/>
    </row>
    <row r="109" spans="1:13" s="23" customFormat="1">
      <c r="A109" s="22" t="s">
        <v>199</v>
      </c>
      <c r="B109" s="24" t="s">
        <v>220</v>
      </c>
      <c r="C109" s="25" t="s">
        <v>221</v>
      </c>
      <c r="D109" s="26">
        <v>5</v>
      </c>
      <c r="E109" s="27">
        <f t="shared" si="17"/>
        <v>21500</v>
      </c>
      <c r="F109" s="28">
        <f t="shared" si="12"/>
        <v>25500</v>
      </c>
      <c r="G109" s="28">
        <f t="shared" si="13"/>
        <v>29500</v>
      </c>
      <c r="H109" s="29">
        <f t="shared" si="14"/>
        <v>23500</v>
      </c>
      <c r="I109" s="40">
        <f t="shared" si="11"/>
        <v>17781</v>
      </c>
      <c r="J109" s="40">
        <f t="shared" si="15"/>
        <v>21089</v>
      </c>
      <c r="K109" s="40">
        <f t="shared" si="16"/>
        <v>24397</v>
      </c>
      <c r="L109" s="40">
        <f t="shared" si="10"/>
        <v>19435</v>
      </c>
      <c r="M109"/>
    </row>
    <row r="110" spans="1:13" s="23" customFormat="1">
      <c r="A110" s="22" t="s">
        <v>199</v>
      </c>
      <c r="B110" s="24" t="s">
        <v>222</v>
      </c>
      <c r="C110" s="25" t="s">
        <v>223</v>
      </c>
      <c r="D110" s="26">
        <v>5</v>
      </c>
      <c r="E110" s="27">
        <f t="shared" si="17"/>
        <v>21500</v>
      </c>
      <c r="F110" s="28">
        <f t="shared" si="12"/>
        <v>25500</v>
      </c>
      <c r="G110" s="28">
        <f t="shared" si="13"/>
        <v>29500</v>
      </c>
      <c r="H110" s="29">
        <f t="shared" si="14"/>
        <v>23500</v>
      </c>
      <c r="I110" s="40">
        <f t="shared" si="11"/>
        <v>17781</v>
      </c>
      <c r="J110" s="40">
        <f t="shared" si="15"/>
        <v>21089</v>
      </c>
      <c r="K110" s="40">
        <f t="shared" si="16"/>
        <v>24397</v>
      </c>
      <c r="L110" s="40">
        <f t="shared" si="10"/>
        <v>19435</v>
      </c>
      <c r="M110"/>
    </row>
    <row r="111" spans="1:13" s="23" customFormat="1">
      <c r="A111" s="22" t="s">
        <v>199</v>
      </c>
      <c r="B111" s="24" t="s">
        <v>224</v>
      </c>
      <c r="C111" s="25" t="s">
        <v>225</v>
      </c>
      <c r="D111" s="26">
        <v>5</v>
      </c>
      <c r="E111" s="27">
        <f t="shared" si="17"/>
        <v>21500</v>
      </c>
      <c r="F111" s="28">
        <f t="shared" si="12"/>
        <v>25500</v>
      </c>
      <c r="G111" s="28">
        <f t="shared" si="13"/>
        <v>29500</v>
      </c>
      <c r="H111" s="29">
        <f t="shared" si="14"/>
        <v>23500</v>
      </c>
      <c r="I111" s="40">
        <f t="shared" si="11"/>
        <v>17781</v>
      </c>
      <c r="J111" s="40">
        <f t="shared" si="15"/>
        <v>21089</v>
      </c>
      <c r="K111" s="40">
        <f t="shared" si="16"/>
        <v>24397</v>
      </c>
      <c r="L111" s="40">
        <f t="shared" si="10"/>
        <v>19435</v>
      </c>
      <c r="M111"/>
    </row>
    <row r="112" spans="1:13" s="23" customFormat="1">
      <c r="A112" s="22" t="s">
        <v>199</v>
      </c>
      <c r="B112" s="24" t="s">
        <v>226</v>
      </c>
      <c r="C112" s="25" t="s">
        <v>227</v>
      </c>
      <c r="D112" s="26">
        <v>5</v>
      </c>
      <c r="E112" s="27">
        <f t="shared" si="17"/>
        <v>21500</v>
      </c>
      <c r="F112" s="28">
        <f t="shared" si="12"/>
        <v>25500</v>
      </c>
      <c r="G112" s="28">
        <f t="shared" si="13"/>
        <v>29500</v>
      </c>
      <c r="H112" s="29">
        <f t="shared" si="14"/>
        <v>23500</v>
      </c>
      <c r="I112" s="40">
        <f t="shared" si="11"/>
        <v>17781</v>
      </c>
      <c r="J112" s="40">
        <f t="shared" si="15"/>
        <v>21089</v>
      </c>
      <c r="K112" s="40">
        <f t="shared" si="16"/>
        <v>24397</v>
      </c>
      <c r="L112" s="40">
        <f t="shared" si="10"/>
        <v>19435</v>
      </c>
      <c r="M112"/>
    </row>
    <row r="113" spans="1:13" s="23" customFormat="1">
      <c r="A113" s="22" t="s">
        <v>199</v>
      </c>
      <c r="B113" s="24" t="s">
        <v>228</v>
      </c>
      <c r="C113" s="25" t="s">
        <v>229</v>
      </c>
      <c r="D113" s="26">
        <v>5</v>
      </c>
      <c r="E113" s="27">
        <f t="shared" si="17"/>
        <v>21500</v>
      </c>
      <c r="F113" s="28">
        <f t="shared" si="12"/>
        <v>25500</v>
      </c>
      <c r="G113" s="28">
        <f t="shared" si="13"/>
        <v>29500</v>
      </c>
      <c r="H113" s="29">
        <f t="shared" si="14"/>
        <v>23500</v>
      </c>
      <c r="I113" s="40">
        <f t="shared" si="11"/>
        <v>17781</v>
      </c>
      <c r="J113" s="40">
        <f t="shared" si="15"/>
        <v>21089</v>
      </c>
      <c r="K113" s="40">
        <f t="shared" si="16"/>
        <v>24397</v>
      </c>
      <c r="L113" s="40">
        <f t="shared" si="10"/>
        <v>19435</v>
      </c>
      <c r="M113"/>
    </row>
    <row r="114" spans="1:13" s="23" customFormat="1">
      <c r="A114" s="22" t="s">
        <v>199</v>
      </c>
      <c r="B114" s="24" t="s">
        <v>230</v>
      </c>
      <c r="C114" s="25" t="s">
        <v>231</v>
      </c>
      <c r="D114" s="26">
        <v>1</v>
      </c>
      <c r="E114" s="27">
        <f t="shared" si="17"/>
        <v>4300</v>
      </c>
      <c r="F114" s="28">
        <f t="shared" si="12"/>
        <v>8300</v>
      </c>
      <c r="G114" s="28">
        <f t="shared" si="13"/>
        <v>12300</v>
      </c>
      <c r="H114" s="29">
        <f t="shared" si="14"/>
        <v>6300</v>
      </c>
      <c r="I114" s="40">
        <f t="shared" si="11"/>
        <v>3556</v>
      </c>
      <c r="J114" s="40">
        <f t="shared" si="15"/>
        <v>6864</v>
      </c>
      <c r="K114" s="40">
        <f t="shared" si="16"/>
        <v>10172</v>
      </c>
      <c r="L114" s="40">
        <f t="shared" si="10"/>
        <v>5210</v>
      </c>
      <c r="M114"/>
    </row>
    <row r="115" spans="1:13" s="23" customFormat="1">
      <c r="A115" s="22" t="s">
        <v>232</v>
      </c>
      <c r="B115" s="24" t="s">
        <v>233</v>
      </c>
      <c r="C115" s="25" t="s">
        <v>234</v>
      </c>
      <c r="D115" s="26">
        <v>2</v>
      </c>
      <c r="E115" s="27">
        <v>8600</v>
      </c>
      <c r="F115" s="28">
        <f t="shared" si="12"/>
        <v>12600</v>
      </c>
      <c r="G115" s="28">
        <f t="shared" si="13"/>
        <v>16600</v>
      </c>
      <c r="H115" s="29">
        <f t="shared" si="14"/>
        <v>10600</v>
      </c>
      <c r="I115" s="40">
        <f t="shared" si="11"/>
        <v>7112</v>
      </c>
      <c r="J115" s="40">
        <f t="shared" si="15"/>
        <v>10420</v>
      </c>
      <c r="K115" s="40">
        <f t="shared" si="16"/>
        <v>13728</v>
      </c>
      <c r="L115" s="40">
        <f t="shared" si="10"/>
        <v>8766</v>
      </c>
      <c r="M115"/>
    </row>
    <row r="116" spans="1:13" s="23" customFormat="1">
      <c r="A116" s="22" t="s">
        <v>232</v>
      </c>
      <c r="B116" s="24" t="s">
        <v>235</v>
      </c>
      <c r="C116" s="25" t="s">
        <v>236</v>
      </c>
      <c r="D116" s="26">
        <v>5</v>
      </c>
      <c r="E116" s="27">
        <v>21500</v>
      </c>
      <c r="F116" s="28">
        <f t="shared" si="12"/>
        <v>25500</v>
      </c>
      <c r="G116" s="28">
        <f t="shared" si="13"/>
        <v>29500</v>
      </c>
      <c r="H116" s="29">
        <f t="shared" si="14"/>
        <v>23500</v>
      </c>
      <c r="I116" s="40">
        <f t="shared" si="11"/>
        <v>17781</v>
      </c>
      <c r="J116" s="40">
        <f t="shared" si="15"/>
        <v>21089</v>
      </c>
      <c r="K116" s="40">
        <f t="shared" si="16"/>
        <v>24397</v>
      </c>
      <c r="L116" s="40">
        <f t="shared" si="10"/>
        <v>19435</v>
      </c>
      <c r="M116"/>
    </row>
    <row r="117" spans="1:13" s="23" customFormat="1">
      <c r="A117" s="22" t="s">
        <v>232</v>
      </c>
      <c r="B117" s="24" t="s">
        <v>237</v>
      </c>
      <c r="C117" s="25" t="s">
        <v>238</v>
      </c>
      <c r="D117" s="26">
        <v>5</v>
      </c>
      <c r="E117" s="27">
        <v>21500</v>
      </c>
      <c r="F117" s="28">
        <v>25500</v>
      </c>
      <c r="G117" s="28">
        <v>29500</v>
      </c>
      <c r="H117" s="29">
        <f t="shared" si="14"/>
        <v>23500</v>
      </c>
      <c r="I117" s="40">
        <f t="shared" si="11"/>
        <v>17781</v>
      </c>
      <c r="J117" s="40">
        <f t="shared" si="15"/>
        <v>21089</v>
      </c>
      <c r="K117" s="40">
        <f t="shared" si="16"/>
        <v>24397</v>
      </c>
      <c r="L117" s="40">
        <f t="shared" si="10"/>
        <v>19435</v>
      </c>
      <c r="M117"/>
    </row>
    <row r="118" spans="1:13" s="23" customFormat="1">
      <c r="A118" s="22" t="s">
        <v>232</v>
      </c>
      <c r="B118" s="24" t="s">
        <v>239</v>
      </c>
      <c r="C118" s="25" t="s">
        <v>240</v>
      </c>
      <c r="D118" s="26">
        <v>4</v>
      </c>
      <c r="E118" s="27">
        <v>12900</v>
      </c>
      <c r="F118" s="28">
        <f>E118+4000</f>
        <v>16900</v>
      </c>
      <c r="G118" s="28">
        <f>E118+8000</f>
        <v>20900</v>
      </c>
      <c r="H118" s="29">
        <f t="shared" si="14"/>
        <v>14900</v>
      </c>
      <c r="I118" s="40">
        <f t="shared" si="11"/>
        <v>10668</v>
      </c>
      <c r="J118" s="40">
        <f t="shared" si="15"/>
        <v>13976</v>
      </c>
      <c r="K118" s="40">
        <f t="shared" si="16"/>
        <v>17284</v>
      </c>
      <c r="L118" s="40">
        <f t="shared" si="10"/>
        <v>12322</v>
      </c>
      <c r="M118"/>
    </row>
    <row r="119" spans="1:13" s="23" customFormat="1">
      <c r="A119" s="22" t="s">
        <v>232</v>
      </c>
      <c r="B119" s="24" t="s">
        <v>241</v>
      </c>
      <c r="C119" s="25" t="s">
        <v>242</v>
      </c>
      <c r="D119" s="26">
        <v>5</v>
      </c>
      <c r="E119" s="27">
        <v>21500</v>
      </c>
      <c r="F119" s="28">
        <f>E119+4000</f>
        <v>25500</v>
      </c>
      <c r="G119" s="28">
        <f>E119+8000</f>
        <v>29500</v>
      </c>
      <c r="H119" s="29">
        <f t="shared" si="14"/>
        <v>23500</v>
      </c>
      <c r="I119" s="40">
        <f t="shared" si="11"/>
        <v>17781</v>
      </c>
      <c r="J119" s="40">
        <f t="shared" si="15"/>
        <v>21089</v>
      </c>
      <c r="K119" s="40">
        <f t="shared" si="16"/>
        <v>24397</v>
      </c>
      <c r="L119" s="40">
        <f t="shared" si="10"/>
        <v>19435</v>
      </c>
      <c r="M119"/>
    </row>
    <row r="120" spans="1:13" s="23" customFormat="1">
      <c r="A120" s="22" t="s">
        <v>232</v>
      </c>
      <c r="B120" s="24" t="s">
        <v>243</v>
      </c>
      <c r="C120" s="25" t="s">
        <v>244</v>
      </c>
      <c r="D120" s="26">
        <v>3</v>
      </c>
      <c r="E120" s="27">
        <v>12900</v>
      </c>
      <c r="F120" s="28">
        <f>E120+4000</f>
        <v>16900</v>
      </c>
      <c r="G120" s="28">
        <f>E120+8000</f>
        <v>20900</v>
      </c>
      <c r="H120" s="29">
        <f t="shared" si="14"/>
        <v>14900</v>
      </c>
      <c r="I120" s="40">
        <f t="shared" si="11"/>
        <v>10668</v>
      </c>
      <c r="J120" s="40">
        <f t="shared" si="15"/>
        <v>13976</v>
      </c>
      <c r="K120" s="40">
        <f t="shared" si="16"/>
        <v>17284</v>
      </c>
      <c r="L120" s="40">
        <f t="shared" si="10"/>
        <v>12322</v>
      </c>
      <c r="M120"/>
    </row>
    <row r="121" spans="1:13" s="23" customFormat="1">
      <c r="A121" s="22" t="s">
        <v>232</v>
      </c>
      <c r="B121" s="24" t="s">
        <v>245</v>
      </c>
      <c r="C121" s="25" t="s">
        <v>246</v>
      </c>
      <c r="D121" s="26">
        <v>5</v>
      </c>
      <c r="E121" s="27">
        <v>21500</v>
      </c>
      <c r="F121" s="28">
        <f>E121+4000</f>
        <v>25500</v>
      </c>
      <c r="G121" s="28">
        <f>E121+8000</f>
        <v>29500</v>
      </c>
      <c r="H121" s="29">
        <f t="shared" si="14"/>
        <v>23500</v>
      </c>
      <c r="I121" s="40">
        <f t="shared" si="11"/>
        <v>17781</v>
      </c>
      <c r="J121" s="40">
        <f t="shared" si="15"/>
        <v>21089</v>
      </c>
      <c r="K121" s="40">
        <f t="shared" si="16"/>
        <v>24397</v>
      </c>
      <c r="L121" s="40">
        <f t="shared" si="10"/>
        <v>19435</v>
      </c>
      <c r="M121"/>
    </row>
    <row r="122" spans="1:13" s="23" customFormat="1">
      <c r="A122" s="22" t="s">
        <v>232</v>
      </c>
      <c r="B122" s="24" t="s">
        <v>247</v>
      </c>
      <c r="C122" s="25" t="s">
        <v>248</v>
      </c>
      <c r="D122" s="26">
        <v>1</v>
      </c>
      <c r="E122" s="27">
        <v>7750</v>
      </c>
      <c r="F122" s="28">
        <v>7750</v>
      </c>
      <c r="G122" s="28">
        <v>7750</v>
      </c>
      <c r="H122" s="29">
        <f t="shared" si="14"/>
        <v>9750</v>
      </c>
      <c r="I122" s="40">
        <f t="shared" si="11"/>
        <v>6409</v>
      </c>
      <c r="J122" s="40">
        <f t="shared" si="15"/>
        <v>6409</v>
      </c>
      <c r="K122" s="40">
        <f t="shared" si="16"/>
        <v>6409</v>
      </c>
      <c r="L122" s="40">
        <f t="shared" si="10"/>
        <v>8063</v>
      </c>
      <c r="M122"/>
    </row>
    <row r="123" spans="1:13" s="23" customFormat="1">
      <c r="A123" s="22" t="s">
        <v>232</v>
      </c>
      <c r="B123" s="24" t="s">
        <v>249</v>
      </c>
      <c r="C123" s="25" t="s">
        <v>250</v>
      </c>
      <c r="D123" s="26">
        <v>4</v>
      </c>
      <c r="E123" s="27">
        <v>17200</v>
      </c>
      <c r="F123" s="28">
        <f>E123+4000</f>
        <v>21200</v>
      </c>
      <c r="G123" s="28">
        <f>E123+8000</f>
        <v>25200</v>
      </c>
      <c r="H123" s="29">
        <f t="shared" si="14"/>
        <v>19200</v>
      </c>
      <c r="I123" s="40">
        <f t="shared" si="11"/>
        <v>14224</v>
      </c>
      <c r="J123" s="40">
        <f t="shared" si="15"/>
        <v>17532</v>
      </c>
      <c r="K123" s="40">
        <f t="shared" si="16"/>
        <v>20840</v>
      </c>
      <c r="L123" s="40">
        <f t="shared" si="10"/>
        <v>15878</v>
      </c>
      <c r="M123"/>
    </row>
    <row r="124" spans="1:13" s="23" customFormat="1">
      <c r="A124" s="22" t="s">
        <v>232</v>
      </c>
      <c r="B124" s="24" t="s">
        <v>251</v>
      </c>
      <c r="C124" s="25" t="s">
        <v>252</v>
      </c>
      <c r="D124" s="26">
        <v>4</v>
      </c>
      <c r="E124" s="27">
        <v>17200</v>
      </c>
      <c r="F124" s="28">
        <f>+E124+4000</f>
        <v>21200</v>
      </c>
      <c r="G124" s="28">
        <f>+E124+8000</f>
        <v>25200</v>
      </c>
      <c r="H124" s="29">
        <f>+E124+2000</f>
        <v>19200</v>
      </c>
      <c r="I124" s="40">
        <f t="shared" si="11"/>
        <v>14224</v>
      </c>
      <c r="J124" s="40">
        <f t="shared" si="15"/>
        <v>17532</v>
      </c>
      <c r="K124" s="40">
        <f t="shared" si="16"/>
        <v>20840</v>
      </c>
      <c r="L124" s="40">
        <f t="shared" si="10"/>
        <v>15878</v>
      </c>
      <c r="M124"/>
    </row>
    <row r="125" spans="1:13" s="23" customFormat="1">
      <c r="A125" s="22" t="s">
        <v>232</v>
      </c>
      <c r="B125" s="24" t="s">
        <v>253</v>
      </c>
      <c r="C125" s="25" t="s">
        <v>254</v>
      </c>
      <c r="D125" s="26">
        <v>2</v>
      </c>
      <c r="E125" s="27">
        <v>8600</v>
      </c>
      <c r="F125" s="28">
        <f>E125+4000</f>
        <v>12600</v>
      </c>
      <c r="G125" s="28">
        <f>E125+8000</f>
        <v>16600</v>
      </c>
      <c r="H125" s="29">
        <f>E125+2000</f>
        <v>10600</v>
      </c>
      <c r="I125" s="40">
        <f t="shared" si="11"/>
        <v>7112</v>
      </c>
      <c r="J125" s="40">
        <f t="shared" si="15"/>
        <v>10420</v>
      </c>
      <c r="K125" s="40">
        <f t="shared" si="16"/>
        <v>13728</v>
      </c>
      <c r="L125" s="40">
        <f t="shared" si="10"/>
        <v>8766</v>
      </c>
      <c r="M125"/>
    </row>
    <row r="126" spans="1:13" s="23" customFormat="1">
      <c r="A126" s="22" t="s">
        <v>232</v>
      </c>
      <c r="B126" s="24" t="s">
        <v>255</v>
      </c>
      <c r="C126" s="25" t="s">
        <v>256</v>
      </c>
      <c r="D126" s="26">
        <v>5</v>
      </c>
      <c r="E126" s="27">
        <v>21500</v>
      </c>
      <c r="F126" s="28">
        <f>E126+4000</f>
        <v>25500</v>
      </c>
      <c r="G126" s="28">
        <f>E126+8000</f>
        <v>29500</v>
      </c>
      <c r="H126" s="29">
        <f>E126+2000</f>
        <v>23500</v>
      </c>
      <c r="I126" s="40">
        <f t="shared" si="11"/>
        <v>17781</v>
      </c>
      <c r="J126" s="40">
        <f t="shared" si="15"/>
        <v>21089</v>
      </c>
      <c r="K126" s="40">
        <f t="shared" si="16"/>
        <v>24397</v>
      </c>
      <c r="L126" s="40">
        <f t="shared" si="10"/>
        <v>19435</v>
      </c>
      <c r="M126"/>
    </row>
    <row r="127" spans="1:13" s="23" customFormat="1">
      <c r="A127" s="22" t="s">
        <v>232</v>
      </c>
      <c r="B127" s="24" t="s">
        <v>257</v>
      </c>
      <c r="C127" s="25" t="s">
        <v>258</v>
      </c>
      <c r="D127" s="26">
        <v>0.5</v>
      </c>
      <c r="E127" s="27">
        <v>5000</v>
      </c>
      <c r="F127" s="28" t="s">
        <v>47</v>
      </c>
      <c r="G127" s="28" t="s">
        <v>47</v>
      </c>
      <c r="H127" s="29">
        <v>5000</v>
      </c>
      <c r="I127" s="40">
        <f t="shared" si="11"/>
        <v>4135</v>
      </c>
      <c r="J127" s="40" t="s">
        <v>47</v>
      </c>
      <c r="K127" s="40" t="s">
        <v>47</v>
      </c>
      <c r="L127" s="40">
        <f t="shared" si="10"/>
        <v>4135</v>
      </c>
      <c r="M127" t="s">
        <v>453</v>
      </c>
    </row>
    <row r="128" spans="1:13" s="23" customFormat="1">
      <c r="A128" s="22" t="s">
        <v>232</v>
      </c>
      <c r="B128" s="24" t="s">
        <v>259</v>
      </c>
      <c r="C128" s="25" t="s">
        <v>260</v>
      </c>
      <c r="D128" s="26">
        <v>4</v>
      </c>
      <c r="E128" s="27">
        <v>17200</v>
      </c>
      <c r="F128" s="28">
        <f>E128+4000</f>
        <v>21200</v>
      </c>
      <c r="G128" s="28">
        <f>E128+8000</f>
        <v>25200</v>
      </c>
      <c r="H128" s="29">
        <f>E128+2000</f>
        <v>19200</v>
      </c>
      <c r="I128" s="40">
        <f t="shared" si="11"/>
        <v>14224</v>
      </c>
      <c r="J128" s="40">
        <f>ROUND(F128*0.827,0)</f>
        <v>17532</v>
      </c>
      <c r="K128" s="40">
        <f>ROUND(G128*0.827,0)</f>
        <v>20840</v>
      </c>
      <c r="L128" s="40">
        <f>ROUND(H128*0.827,0)</f>
        <v>15878</v>
      </c>
      <c r="M128"/>
    </row>
    <row r="129" spans="1:13" s="23" customFormat="1">
      <c r="A129" s="22" t="s">
        <v>232</v>
      </c>
      <c r="B129" s="24" t="s">
        <v>261</v>
      </c>
      <c r="C129" s="25" t="s">
        <v>262</v>
      </c>
      <c r="D129" s="26">
        <v>2</v>
      </c>
      <c r="E129" s="27">
        <v>8600</v>
      </c>
      <c r="F129" s="28" t="s">
        <v>47</v>
      </c>
      <c r="G129" s="28" t="s">
        <v>47</v>
      </c>
      <c r="H129" s="29" t="s">
        <v>47</v>
      </c>
      <c r="I129" s="40">
        <f t="shared" si="11"/>
        <v>7112</v>
      </c>
      <c r="J129" s="40" t="s">
        <v>47</v>
      </c>
      <c r="K129" s="40" t="s">
        <v>47</v>
      </c>
      <c r="L129" s="40" t="s">
        <v>47</v>
      </c>
      <c r="M129"/>
    </row>
    <row r="130" spans="1:13" s="23" customFormat="1">
      <c r="A130" s="22" t="s">
        <v>232</v>
      </c>
      <c r="B130" s="24" t="s">
        <v>263</v>
      </c>
      <c r="C130" s="25" t="s">
        <v>264</v>
      </c>
      <c r="D130" s="26">
        <v>2</v>
      </c>
      <c r="E130" s="27">
        <v>8600</v>
      </c>
      <c r="F130" s="28" t="s">
        <v>47</v>
      </c>
      <c r="G130" s="28" t="s">
        <v>47</v>
      </c>
      <c r="H130" s="29" t="s">
        <v>47</v>
      </c>
      <c r="I130" s="40">
        <f t="shared" si="11"/>
        <v>7112</v>
      </c>
      <c r="J130" s="40" t="s">
        <v>47</v>
      </c>
      <c r="K130" s="40" t="s">
        <v>47</v>
      </c>
      <c r="L130" s="40" t="s">
        <v>47</v>
      </c>
      <c r="M130"/>
    </row>
    <row r="131" spans="1:13" s="23" customFormat="1">
      <c r="A131" s="22" t="s">
        <v>232</v>
      </c>
      <c r="B131" s="24" t="s">
        <v>265</v>
      </c>
      <c r="C131" s="25" t="s">
        <v>266</v>
      </c>
      <c r="D131" s="26">
        <v>2</v>
      </c>
      <c r="E131" s="27">
        <v>8600</v>
      </c>
      <c r="F131" s="28" t="s">
        <v>47</v>
      </c>
      <c r="G131" s="28" t="s">
        <v>47</v>
      </c>
      <c r="H131" s="29" t="s">
        <v>47</v>
      </c>
      <c r="I131" s="40">
        <f t="shared" si="11"/>
        <v>7112</v>
      </c>
      <c r="J131" s="40" t="s">
        <v>47</v>
      </c>
      <c r="K131" s="40" t="s">
        <v>47</v>
      </c>
      <c r="L131" s="40" t="s">
        <v>47</v>
      </c>
      <c r="M131"/>
    </row>
    <row r="132" spans="1:13" s="23" customFormat="1">
      <c r="A132" s="22" t="s">
        <v>232</v>
      </c>
      <c r="B132" s="24" t="s">
        <v>267</v>
      </c>
      <c r="C132" s="25" t="s">
        <v>268</v>
      </c>
      <c r="D132" s="26">
        <v>2</v>
      </c>
      <c r="E132" s="27">
        <v>8600</v>
      </c>
      <c r="F132" s="28" t="s">
        <v>47</v>
      </c>
      <c r="G132" s="28" t="s">
        <v>47</v>
      </c>
      <c r="H132" s="29" t="s">
        <v>47</v>
      </c>
      <c r="I132" s="40">
        <f t="shared" ref="I132:I148" si="18">ROUND(E132*0.827,0)</f>
        <v>7112</v>
      </c>
      <c r="J132" s="40" t="s">
        <v>47</v>
      </c>
      <c r="K132" s="40" t="s">
        <v>47</v>
      </c>
      <c r="L132" s="40" t="s">
        <v>47</v>
      </c>
      <c r="M132"/>
    </row>
    <row r="133" spans="1:13" s="23" customFormat="1">
      <c r="A133" s="22" t="s">
        <v>232</v>
      </c>
      <c r="B133" s="24" t="s">
        <v>269</v>
      </c>
      <c r="C133" s="25" t="s">
        <v>270</v>
      </c>
      <c r="D133" s="26">
        <v>2</v>
      </c>
      <c r="E133" s="27">
        <v>8600</v>
      </c>
      <c r="F133" s="28" t="s">
        <v>47</v>
      </c>
      <c r="G133" s="28" t="s">
        <v>47</v>
      </c>
      <c r="H133" s="29" t="s">
        <v>47</v>
      </c>
      <c r="I133" s="40">
        <f t="shared" si="18"/>
        <v>7112</v>
      </c>
      <c r="J133" s="40" t="s">
        <v>47</v>
      </c>
      <c r="K133" s="40" t="s">
        <v>47</v>
      </c>
      <c r="L133" s="40" t="s">
        <v>47</v>
      </c>
      <c r="M133"/>
    </row>
    <row r="134" spans="1:13" s="23" customFormat="1">
      <c r="A134" s="22" t="s">
        <v>232</v>
      </c>
      <c r="B134" s="24" t="s">
        <v>271</v>
      </c>
      <c r="C134" s="25" t="s">
        <v>272</v>
      </c>
      <c r="D134" s="26">
        <v>2</v>
      </c>
      <c r="E134" s="27">
        <v>8600</v>
      </c>
      <c r="F134" s="28" t="s">
        <v>47</v>
      </c>
      <c r="G134" s="28" t="s">
        <v>47</v>
      </c>
      <c r="H134" s="29" t="s">
        <v>47</v>
      </c>
      <c r="I134" s="40">
        <f t="shared" si="18"/>
        <v>7112</v>
      </c>
      <c r="J134" s="40" t="s">
        <v>47</v>
      </c>
      <c r="K134" s="40" t="s">
        <v>47</v>
      </c>
      <c r="L134" s="40" t="s">
        <v>47</v>
      </c>
      <c r="M134"/>
    </row>
    <row r="135" spans="1:13" s="23" customFormat="1">
      <c r="A135" s="22" t="s">
        <v>232</v>
      </c>
      <c r="B135" s="24" t="s">
        <v>273</v>
      </c>
      <c r="C135" s="25" t="s">
        <v>274</v>
      </c>
      <c r="D135" s="26">
        <v>2</v>
      </c>
      <c r="E135" s="27">
        <v>8600</v>
      </c>
      <c r="F135" s="28" t="s">
        <v>47</v>
      </c>
      <c r="G135" s="28" t="s">
        <v>47</v>
      </c>
      <c r="H135" s="29" t="s">
        <v>47</v>
      </c>
      <c r="I135" s="40">
        <f t="shared" si="18"/>
        <v>7112</v>
      </c>
      <c r="J135" s="40" t="s">
        <v>47</v>
      </c>
      <c r="K135" s="40" t="s">
        <v>47</v>
      </c>
      <c r="L135" s="40" t="s">
        <v>47</v>
      </c>
      <c r="M135"/>
    </row>
    <row r="136" spans="1:13" s="23" customFormat="1">
      <c r="A136" s="22" t="s">
        <v>232</v>
      </c>
      <c r="B136" s="24" t="s">
        <v>275</v>
      </c>
      <c r="C136" s="25" t="s">
        <v>276</v>
      </c>
      <c r="D136" s="26">
        <v>2</v>
      </c>
      <c r="E136" s="27">
        <v>8600</v>
      </c>
      <c r="F136" s="28" t="s">
        <v>47</v>
      </c>
      <c r="G136" s="28" t="s">
        <v>47</v>
      </c>
      <c r="H136" s="29" t="s">
        <v>47</v>
      </c>
      <c r="I136" s="40">
        <f t="shared" si="18"/>
        <v>7112</v>
      </c>
      <c r="J136" s="40" t="s">
        <v>47</v>
      </c>
      <c r="K136" s="40" t="s">
        <v>47</v>
      </c>
      <c r="L136" s="40" t="s">
        <v>47</v>
      </c>
      <c r="M136"/>
    </row>
    <row r="137" spans="1:13" s="23" customFormat="1">
      <c r="A137" s="22" t="s">
        <v>232</v>
      </c>
      <c r="B137" s="24" t="s">
        <v>277</v>
      </c>
      <c r="C137" s="25" t="s">
        <v>278</v>
      </c>
      <c r="D137" s="26">
        <v>3</v>
      </c>
      <c r="E137" s="27">
        <v>12900</v>
      </c>
      <c r="F137" s="28">
        <f>+E137+4000</f>
        <v>16900</v>
      </c>
      <c r="G137" s="28">
        <f>+E137+8000</f>
        <v>20900</v>
      </c>
      <c r="H137" s="29">
        <f>+E137+2000</f>
        <v>14900</v>
      </c>
      <c r="I137" s="40">
        <f t="shared" si="18"/>
        <v>10668</v>
      </c>
      <c r="J137" s="40">
        <f t="shared" ref="J137:L138" si="19">ROUND(F137*0.827,0)</f>
        <v>13976</v>
      </c>
      <c r="K137" s="40">
        <f t="shared" si="19"/>
        <v>17284</v>
      </c>
      <c r="L137" s="40">
        <f t="shared" si="19"/>
        <v>12322</v>
      </c>
      <c r="M137"/>
    </row>
    <row r="138" spans="1:13" s="23" customFormat="1">
      <c r="A138" s="22" t="s">
        <v>232</v>
      </c>
      <c r="B138" s="24" t="s">
        <v>279</v>
      </c>
      <c r="C138" s="25" t="s">
        <v>280</v>
      </c>
      <c r="D138" s="26">
        <v>2</v>
      </c>
      <c r="E138" s="27">
        <v>8600</v>
      </c>
      <c r="F138" s="28">
        <f>E138+4000</f>
        <v>12600</v>
      </c>
      <c r="G138" s="28">
        <f>E138+8000</f>
        <v>16600</v>
      </c>
      <c r="H138" s="29">
        <f>E138+2000</f>
        <v>10600</v>
      </c>
      <c r="I138" s="40">
        <f t="shared" si="18"/>
        <v>7112</v>
      </c>
      <c r="J138" s="40">
        <f t="shared" si="19"/>
        <v>10420</v>
      </c>
      <c r="K138" s="40">
        <f t="shared" si="19"/>
        <v>13728</v>
      </c>
      <c r="L138" s="40">
        <f t="shared" si="19"/>
        <v>8766</v>
      </c>
      <c r="M138"/>
    </row>
    <row r="139" spans="1:13" s="23" customFormat="1">
      <c r="A139" s="22" t="s">
        <v>232</v>
      </c>
      <c r="B139" s="24" t="s">
        <v>281</v>
      </c>
      <c r="C139" s="25" t="s">
        <v>282</v>
      </c>
      <c r="D139" s="26">
        <v>5</v>
      </c>
      <c r="E139" s="27">
        <v>21500</v>
      </c>
      <c r="F139" s="28" t="s">
        <v>47</v>
      </c>
      <c r="G139" s="28" t="s">
        <v>47</v>
      </c>
      <c r="H139" s="29" t="s">
        <v>47</v>
      </c>
      <c r="I139" s="40">
        <f t="shared" si="18"/>
        <v>17781</v>
      </c>
      <c r="J139" s="40" t="s">
        <v>47</v>
      </c>
      <c r="K139" s="40" t="s">
        <v>47</v>
      </c>
      <c r="L139" s="40" t="s">
        <v>47</v>
      </c>
      <c r="M139"/>
    </row>
    <row r="140" spans="1:13" s="23" customFormat="1">
      <c r="A140" s="22" t="s">
        <v>232</v>
      </c>
      <c r="B140" s="24" t="s">
        <v>283</v>
      </c>
      <c r="C140" s="25" t="s">
        <v>284</v>
      </c>
      <c r="D140" s="26">
        <v>5</v>
      </c>
      <c r="E140" s="27">
        <v>21500</v>
      </c>
      <c r="F140" s="28" t="s">
        <v>47</v>
      </c>
      <c r="G140" s="28" t="s">
        <v>47</v>
      </c>
      <c r="H140" s="29" t="s">
        <v>47</v>
      </c>
      <c r="I140" s="40">
        <f t="shared" si="18"/>
        <v>17781</v>
      </c>
      <c r="J140" s="40" t="s">
        <v>47</v>
      </c>
      <c r="K140" s="40" t="s">
        <v>47</v>
      </c>
      <c r="L140" s="40" t="s">
        <v>47</v>
      </c>
      <c r="M140"/>
    </row>
    <row r="141" spans="1:13" s="23" customFormat="1">
      <c r="A141" s="22" t="s">
        <v>232</v>
      </c>
      <c r="B141" s="24" t="s">
        <v>285</v>
      </c>
      <c r="C141" s="25" t="s">
        <v>286</v>
      </c>
      <c r="D141" s="26">
        <v>2</v>
      </c>
      <c r="E141" s="27">
        <v>8600</v>
      </c>
      <c r="F141" s="28" t="s">
        <v>47</v>
      </c>
      <c r="G141" s="28" t="s">
        <v>47</v>
      </c>
      <c r="H141" s="29" t="s">
        <v>47</v>
      </c>
      <c r="I141" s="40">
        <f t="shared" si="18"/>
        <v>7112</v>
      </c>
      <c r="J141" s="40" t="s">
        <v>47</v>
      </c>
      <c r="K141" s="40" t="s">
        <v>47</v>
      </c>
      <c r="L141" s="40" t="s">
        <v>47</v>
      </c>
      <c r="M141"/>
    </row>
    <row r="142" spans="1:13" s="23" customFormat="1">
      <c r="A142" s="22" t="s">
        <v>232</v>
      </c>
      <c r="B142" s="24" t="s">
        <v>287</v>
      </c>
      <c r="C142" s="25" t="s">
        <v>288</v>
      </c>
      <c r="D142" s="26">
        <v>3</v>
      </c>
      <c r="E142" s="27">
        <v>14000</v>
      </c>
      <c r="F142" s="28" t="s">
        <v>47</v>
      </c>
      <c r="G142" s="28" t="s">
        <v>47</v>
      </c>
      <c r="H142" s="29" t="s">
        <v>47</v>
      </c>
      <c r="I142" s="40">
        <f t="shared" si="18"/>
        <v>11578</v>
      </c>
      <c r="J142" s="40" t="s">
        <v>47</v>
      </c>
      <c r="K142" s="40" t="s">
        <v>47</v>
      </c>
      <c r="L142" s="40" t="s">
        <v>47</v>
      </c>
      <c r="M142"/>
    </row>
    <row r="143" spans="1:13" s="23" customFormat="1">
      <c r="A143" s="22" t="s">
        <v>232</v>
      </c>
      <c r="B143" s="24" t="s">
        <v>287</v>
      </c>
      <c r="C143" s="25" t="s">
        <v>289</v>
      </c>
      <c r="D143" s="26">
        <v>3</v>
      </c>
      <c r="E143" s="27">
        <v>12000</v>
      </c>
      <c r="F143" s="28" t="s">
        <v>47</v>
      </c>
      <c r="G143" s="28" t="s">
        <v>47</v>
      </c>
      <c r="H143" s="29" t="s">
        <v>47</v>
      </c>
      <c r="I143" s="40">
        <f t="shared" si="18"/>
        <v>9924</v>
      </c>
      <c r="J143" s="40" t="s">
        <v>47</v>
      </c>
      <c r="K143" s="40" t="s">
        <v>47</v>
      </c>
      <c r="L143" s="40" t="s">
        <v>47</v>
      </c>
      <c r="M143"/>
    </row>
    <row r="144" spans="1:13" s="23" customFormat="1">
      <c r="A144" s="22" t="s">
        <v>232</v>
      </c>
      <c r="B144" s="24" t="s">
        <v>290</v>
      </c>
      <c r="C144" s="25" t="s">
        <v>291</v>
      </c>
      <c r="D144" s="26">
        <v>5</v>
      </c>
      <c r="E144" s="27">
        <v>23500</v>
      </c>
      <c r="F144" s="28">
        <v>27500</v>
      </c>
      <c r="G144" s="28">
        <v>31500</v>
      </c>
      <c r="H144" s="29">
        <v>255500</v>
      </c>
      <c r="I144" s="40">
        <f t="shared" si="18"/>
        <v>19435</v>
      </c>
      <c r="J144" s="40">
        <f>ROUND(F144*0.827,0)</f>
        <v>22743</v>
      </c>
      <c r="K144" s="40">
        <f>ROUND(G144*0.827,0)</f>
        <v>26051</v>
      </c>
      <c r="L144" s="40">
        <f>ROUND(H144*0.827,0)</f>
        <v>211299</v>
      </c>
      <c r="M144"/>
    </row>
    <row r="145" spans="1:13" s="23" customFormat="1">
      <c r="A145" s="22" t="s">
        <v>232</v>
      </c>
      <c r="B145" s="24" t="s">
        <v>292</v>
      </c>
      <c r="C145" s="25" t="s">
        <v>293</v>
      </c>
      <c r="D145" s="26">
        <v>2</v>
      </c>
      <c r="E145" s="27">
        <v>8600</v>
      </c>
      <c r="F145" s="28" t="s">
        <v>47</v>
      </c>
      <c r="G145" s="28" t="s">
        <v>47</v>
      </c>
      <c r="H145" s="29" t="s">
        <v>47</v>
      </c>
      <c r="I145" s="40">
        <f t="shared" si="18"/>
        <v>7112</v>
      </c>
      <c r="J145" s="40" t="s">
        <v>47</v>
      </c>
      <c r="K145" s="40" t="s">
        <v>47</v>
      </c>
      <c r="L145" s="40" t="s">
        <v>47</v>
      </c>
      <c r="M145"/>
    </row>
    <row r="146" spans="1:13" s="23" customFormat="1">
      <c r="A146" s="22" t="s">
        <v>232</v>
      </c>
      <c r="B146" s="24" t="s">
        <v>294</v>
      </c>
      <c r="C146" s="25" t="s">
        <v>295</v>
      </c>
      <c r="D146" s="26" t="s">
        <v>296</v>
      </c>
      <c r="E146" s="27">
        <v>4000</v>
      </c>
      <c r="F146" s="28" t="s">
        <v>47</v>
      </c>
      <c r="G146" s="28" t="s">
        <v>47</v>
      </c>
      <c r="H146" s="29">
        <v>4000</v>
      </c>
      <c r="I146" s="40">
        <f t="shared" si="18"/>
        <v>3308</v>
      </c>
      <c r="J146" s="40" t="s">
        <v>47</v>
      </c>
      <c r="K146" s="40" t="s">
        <v>47</v>
      </c>
      <c r="L146" s="40">
        <f t="shared" ref="L146:L209" si="20">ROUND(H146*0.827,0)</f>
        <v>3308</v>
      </c>
      <c r="M146"/>
    </row>
    <row r="147" spans="1:13" s="23" customFormat="1">
      <c r="A147" s="22" t="s">
        <v>232</v>
      </c>
      <c r="B147" s="24" t="s">
        <v>297</v>
      </c>
      <c r="C147" s="25" t="s">
        <v>298</v>
      </c>
      <c r="D147" s="26" t="s">
        <v>299</v>
      </c>
      <c r="E147" s="27">
        <v>4000</v>
      </c>
      <c r="F147" s="28" t="s">
        <v>47</v>
      </c>
      <c r="G147" s="28" t="s">
        <v>47</v>
      </c>
      <c r="H147" s="29">
        <v>4000</v>
      </c>
      <c r="I147" s="40">
        <f t="shared" si="18"/>
        <v>3308</v>
      </c>
      <c r="J147" s="40" t="s">
        <v>47</v>
      </c>
      <c r="K147" s="40" t="s">
        <v>47</v>
      </c>
      <c r="L147" s="40">
        <f t="shared" si="20"/>
        <v>3308</v>
      </c>
      <c r="M147"/>
    </row>
    <row r="148" spans="1:13" s="23" customFormat="1">
      <c r="A148" s="22" t="s">
        <v>232</v>
      </c>
      <c r="B148" s="24" t="s">
        <v>300</v>
      </c>
      <c r="C148" s="25" t="s">
        <v>301</v>
      </c>
      <c r="D148" s="26" t="s">
        <v>299</v>
      </c>
      <c r="E148" s="27">
        <v>4000</v>
      </c>
      <c r="F148" s="28" t="s">
        <v>47</v>
      </c>
      <c r="G148" s="28" t="s">
        <v>47</v>
      </c>
      <c r="H148" s="29">
        <v>4000</v>
      </c>
      <c r="I148" s="40">
        <f t="shared" si="18"/>
        <v>3308</v>
      </c>
      <c r="J148" s="40" t="s">
        <v>47</v>
      </c>
      <c r="K148" s="40" t="s">
        <v>47</v>
      </c>
      <c r="L148" s="40">
        <f t="shared" si="20"/>
        <v>3308</v>
      </c>
      <c r="M148"/>
    </row>
    <row r="149" spans="1:13" s="23" customFormat="1">
      <c r="A149" s="22" t="s">
        <v>302</v>
      </c>
      <c r="B149" s="24" t="s">
        <v>303</v>
      </c>
      <c r="C149" s="25" t="s">
        <v>304</v>
      </c>
      <c r="D149" s="26">
        <v>2</v>
      </c>
      <c r="E149" s="27" t="s">
        <v>47</v>
      </c>
      <c r="F149" s="28">
        <v>14400</v>
      </c>
      <c r="G149" s="28">
        <v>14400</v>
      </c>
      <c r="H149" s="29">
        <v>10400</v>
      </c>
      <c r="I149" s="40" t="s">
        <v>47</v>
      </c>
      <c r="J149" s="40">
        <f t="shared" ref="J149:K152" si="21">ROUND(F149*0.827,0)</f>
        <v>11909</v>
      </c>
      <c r="K149" s="40">
        <f t="shared" si="21"/>
        <v>11909</v>
      </c>
      <c r="L149" s="40">
        <f t="shared" si="20"/>
        <v>8601</v>
      </c>
      <c r="M149"/>
    </row>
    <row r="150" spans="1:13" s="23" customFormat="1">
      <c r="A150" s="22" t="s">
        <v>302</v>
      </c>
      <c r="B150" s="24" t="s">
        <v>305</v>
      </c>
      <c r="C150" s="25" t="s">
        <v>306</v>
      </c>
      <c r="D150" s="26">
        <v>2</v>
      </c>
      <c r="E150" s="27" t="s">
        <v>47</v>
      </c>
      <c r="F150" s="28">
        <v>14400</v>
      </c>
      <c r="G150" s="28">
        <v>14400</v>
      </c>
      <c r="H150" s="29">
        <v>10400</v>
      </c>
      <c r="I150" s="40" t="s">
        <v>47</v>
      </c>
      <c r="J150" s="40">
        <f t="shared" si="21"/>
        <v>11909</v>
      </c>
      <c r="K150" s="40">
        <f t="shared" si="21"/>
        <v>11909</v>
      </c>
      <c r="L150" s="40">
        <f t="shared" si="20"/>
        <v>8601</v>
      </c>
      <c r="M150"/>
    </row>
    <row r="151" spans="1:13" s="23" customFormat="1">
      <c r="A151" s="22" t="s">
        <v>302</v>
      </c>
      <c r="B151" s="24" t="s">
        <v>307</v>
      </c>
      <c r="C151" s="25" t="s">
        <v>308</v>
      </c>
      <c r="D151" s="26">
        <v>2</v>
      </c>
      <c r="E151" s="27" t="s">
        <v>47</v>
      </c>
      <c r="F151" s="28">
        <v>14400</v>
      </c>
      <c r="G151" s="28">
        <v>14400</v>
      </c>
      <c r="H151" s="29">
        <v>10400</v>
      </c>
      <c r="I151" s="40" t="s">
        <v>47</v>
      </c>
      <c r="J151" s="40">
        <f t="shared" si="21"/>
        <v>11909</v>
      </c>
      <c r="K151" s="40">
        <f t="shared" si="21"/>
        <v>11909</v>
      </c>
      <c r="L151" s="40">
        <f t="shared" si="20"/>
        <v>8601</v>
      </c>
      <c r="M151"/>
    </row>
    <row r="152" spans="1:13" s="23" customFormat="1">
      <c r="A152" s="22" t="s">
        <v>302</v>
      </c>
      <c r="B152" s="24" t="s">
        <v>309</v>
      </c>
      <c r="C152" s="25" t="s">
        <v>310</v>
      </c>
      <c r="D152" s="26">
        <v>2</v>
      </c>
      <c r="E152" s="27" t="s">
        <v>47</v>
      </c>
      <c r="F152" s="28">
        <v>14400</v>
      </c>
      <c r="G152" s="28">
        <v>14400</v>
      </c>
      <c r="H152" s="29">
        <v>10400</v>
      </c>
      <c r="I152" s="40" t="s">
        <v>47</v>
      </c>
      <c r="J152" s="40">
        <f t="shared" si="21"/>
        <v>11909</v>
      </c>
      <c r="K152" s="40">
        <f t="shared" si="21"/>
        <v>11909</v>
      </c>
      <c r="L152" s="40">
        <f t="shared" si="20"/>
        <v>8601</v>
      </c>
      <c r="M152"/>
    </row>
    <row r="153" spans="1:13" s="23" customFormat="1">
      <c r="A153" s="22" t="s">
        <v>311</v>
      </c>
      <c r="B153" s="24" t="s">
        <v>312</v>
      </c>
      <c r="C153" s="25" t="s">
        <v>313</v>
      </c>
      <c r="D153" s="26">
        <v>5</v>
      </c>
      <c r="E153" s="27">
        <v>21800</v>
      </c>
      <c r="F153" s="28" t="s">
        <v>47</v>
      </c>
      <c r="G153" s="28" t="s">
        <v>47</v>
      </c>
      <c r="H153" s="29">
        <v>24000</v>
      </c>
      <c r="I153" s="40">
        <f>ROUND(E153*0.827,0)</f>
        <v>18029</v>
      </c>
      <c r="J153" s="40" t="s">
        <v>47</v>
      </c>
      <c r="K153" s="40" t="s">
        <v>47</v>
      </c>
      <c r="L153" s="40">
        <f t="shared" si="20"/>
        <v>19848</v>
      </c>
      <c r="M153"/>
    </row>
    <row r="154" spans="1:13" s="23" customFormat="1">
      <c r="A154" s="22" t="s">
        <v>311</v>
      </c>
      <c r="B154" s="24" t="s">
        <v>314</v>
      </c>
      <c r="C154" s="25" t="s">
        <v>315</v>
      </c>
      <c r="D154" s="26">
        <v>4</v>
      </c>
      <c r="E154" s="27">
        <v>17200</v>
      </c>
      <c r="F154" s="28">
        <v>21200</v>
      </c>
      <c r="G154" s="28">
        <v>25200</v>
      </c>
      <c r="H154" s="29">
        <v>19200</v>
      </c>
      <c r="I154" s="40">
        <f>ROUND(E154*0.827,0)</f>
        <v>14224</v>
      </c>
      <c r="J154" s="40">
        <f>ROUND(F154*0.827,0)</f>
        <v>17532</v>
      </c>
      <c r="K154" s="40">
        <f>ROUND(G154*0.827,0)</f>
        <v>20840</v>
      </c>
      <c r="L154" s="40">
        <f t="shared" si="20"/>
        <v>15878</v>
      </c>
      <c r="M154"/>
    </row>
    <row r="155" spans="1:13" s="23" customFormat="1">
      <c r="A155" s="22" t="s">
        <v>311</v>
      </c>
      <c r="B155" s="24" t="s">
        <v>316</v>
      </c>
      <c r="C155" s="25" t="s">
        <v>317</v>
      </c>
      <c r="D155" s="26">
        <v>4</v>
      </c>
      <c r="E155" s="27">
        <v>17200</v>
      </c>
      <c r="F155" s="28">
        <v>25200</v>
      </c>
      <c r="G155" s="28" t="s">
        <v>47</v>
      </c>
      <c r="H155" s="29">
        <v>19200</v>
      </c>
      <c r="I155" s="40">
        <f>ROUND(E155*0.83,0)</f>
        <v>14276</v>
      </c>
      <c r="J155" s="40">
        <f>ROUND(F155*0.827,0)</f>
        <v>20840</v>
      </c>
      <c r="K155" s="40" t="s">
        <v>47</v>
      </c>
      <c r="L155" s="40">
        <f t="shared" si="20"/>
        <v>15878</v>
      </c>
      <c r="M155"/>
    </row>
    <row r="156" spans="1:13" s="23" customFormat="1">
      <c r="A156" s="22" t="s">
        <v>311</v>
      </c>
      <c r="B156" s="24" t="s">
        <v>318</v>
      </c>
      <c r="C156" s="25" t="s">
        <v>319</v>
      </c>
      <c r="D156" s="26">
        <v>2</v>
      </c>
      <c r="E156" s="27">
        <v>10300</v>
      </c>
      <c r="F156" s="28" t="s">
        <v>47</v>
      </c>
      <c r="G156" s="28" t="s">
        <v>47</v>
      </c>
      <c r="H156" s="29">
        <f>E156+2000</f>
        <v>12300</v>
      </c>
      <c r="I156" s="40">
        <f t="shared" ref="I156:I190" si="22">ROUND(E156*0.827,0)</f>
        <v>8518</v>
      </c>
      <c r="J156" s="40" t="s">
        <v>47</v>
      </c>
      <c r="K156" s="40" t="s">
        <v>47</v>
      </c>
      <c r="L156" s="40">
        <f t="shared" si="20"/>
        <v>10172</v>
      </c>
      <c r="M156"/>
    </row>
    <row r="157" spans="1:13" s="23" customFormat="1">
      <c r="A157" s="22" t="s">
        <v>311</v>
      </c>
      <c r="B157" s="24" t="s">
        <v>320</v>
      </c>
      <c r="C157" s="25" t="s">
        <v>321</v>
      </c>
      <c r="D157" s="26">
        <v>3</v>
      </c>
      <c r="E157" s="27">
        <v>14600</v>
      </c>
      <c r="F157" s="28" t="s">
        <v>47</v>
      </c>
      <c r="G157" s="28" t="s">
        <v>47</v>
      </c>
      <c r="H157" s="29">
        <f>E157+2000</f>
        <v>16600</v>
      </c>
      <c r="I157" s="40">
        <f t="shared" si="22"/>
        <v>12074</v>
      </c>
      <c r="J157" s="40" t="s">
        <v>47</v>
      </c>
      <c r="K157" s="40" t="s">
        <v>47</v>
      </c>
      <c r="L157" s="40">
        <f t="shared" si="20"/>
        <v>13728</v>
      </c>
      <c r="M157"/>
    </row>
    <row r="158" spans="1:13" s="23" customFormat="1">
      <c r="A158" s="22" t="s">
        <v>311</v>
      </c>
      <c r="B158" s="24" t="s">
        <v>322</v>
      </c>
      <c r="C158" s="25" t="s">
        <v>323</v>
      </c>
      <c r="D158" s="26">
        <v>2</v>
      </c>
      <c r="E158" s="27">
        <v>10300</v>
      </c>
      <c r="F158" s="28" t="s">
        <v>47</v>
      </c>
      <c r="G158" s="28" t="s">
        <v>47</v>
      </c>
      <c r="H158" s="29">
        <f>E158+2000</f>
        <v>12300</v>
      </c>
      <c r="I158" s="40">
        <f t="shared" si="22"/>
        <v>8518</v>
      </c>
      <c r="J158" s="40" t="s">
        <v>47</v>
      </c>
      <c r="K158" s="40" t="s">
        <v>47</v>
      </c>
      <c r="L158" s="40">
        <f t="shared" si="20"/>
        <v>10172</v>
      </c>
      <c r="M158"/>
    </row>
    <row r="159" spans="1:13" s="23" customFormat="1">
      <c r="A159" s="22" t="s">
        <v>311</v>
      </c>
      <c r="B159" s="24" t="s">
        <v>324</v>
      </c>
      <c r="C159" s="25" t="s">
        <v>325</v>
      </c>
      <c r="D159" s="26">
        <v>2</v>
      </c>
      <c r="E159" s="27">
        <v>10300</v>
      </c>
      <c r="F159" s="28" t="s">
        <v>47</v>
      </c>
      <c r="G159" s="28" t="s">
        <v>47</v>
      </c>
      <c r="H159" s="29">
        <v>12300</v>
      </c>
      <c r="I159" s="40">
        <f t="shared" si="22"/>
        <v>8518</v>
      </c>
      <c r="J159" s="40" t="s">
        <v>47</v>
      </c>
      <c r="K159" s="40" t="s">
        <v>47</v>
      </c>
      <c r="L159" s="40">
        <f t="shared" si="20"/>
        <v>10172</v>
      </c>
      <c r="M159"/>
    </row>
    <row r="160" spans="1:13" s="23" customFormat="1">
      <c r="A160" s="22" t="s">
        <v>311</v>
      </c>
      <c r="B160" s="24" t="s">
        <v>326</v>
      </c>
      <c r="C160" s="25" t="s">
        <v>327</v>
      </c>
      <c r="D160" s="26">
        <v>3</v>
      </c>
      <c r="E160" s="27">
        <v>12900</v>
      </c>
      <c r="F160" s="28" t="s">
        <v>47</v>
      </c>
      <c r="G160" s="28" t="s">
        <v>47</v>
      </c>
      <c r="H160" s="29">
        <v>14900</v>
      </c>
      <c r="I160" s="40">
        <f t="shared" si="22"/>
        <v>10668</v>
      </c>
      <c r="J160" s="40" t="s">
        <v>47</v>
      </c>
      <c r="K160" s="40" t="s">
        <v>47</v>
      </c>
      <c r="L160" s="40">
        <f t="shared" si="20"/>
        <v>12322</v>
      </c>
      <c r="M160"/>
    </row>
    <row r="161" spans="1:13" s="23" customFormat="1">
      <c r="A161" s="22" t="s">
        <v>328</v>
      </c>
      <c r="B161" s="24" t="s">
        <v>329</v>
      </c>
      <c r="C161" s="25" t="s">
        <v>330</v>
      </c>
      <c r="D161" s="26">
        <v>5</v>
      </c>
      <c r="E161" s="27">
        <v>14000</v>
      </c>
      <c r="F161" s="28">
        <f t="shared" ref="F161:F188" si="23">E161+4000</f>
        <v>18000</v>
      </c>
      <c r="G161" s="28">
        <f t="shared" ref="G161:G188" si="24">E161+8000</f>
        <v>22000</v>
      </c>
      <c r="H161" s="29">
        <f t="shared" ref="H161:H188" si="25">E161+2000</f>
        <v>16000</v>
      </c>
      <c r="I161" s="40">
        <f t="shared" si="22"/>
        <v>11578</v>
      </c>
      <c r="J161" s="40">
        <f t="shared" ref="J161:J190" si="26">ROUND(F161*0.827,0)</f>
        <v>14886</v>
      </c>
      <c r="K161" s="40">
        <f t="shared" ref="K161:K190" si="27">ROUND(G161*0.827,0)</f>
        <v>18194</v>
      </c>
      <c r="L161" s="40">
        <f t="shared" si="20"/>
        <v>13232</v>
      </c>
      <c r="M161"/>
    </row>
    <row r="162" spans="1:13" s="23" customFormat="1">
      <c r="A162" s="22" t="s">
        <v>328</v>
      </c>
      <c r="B162" s="24" t="s">
        <v>331</v>
      </c>
      <c r="C162" s="25" t="s">
        <v>332</v>
      </c>
      <c r="D162" s="26">
        <v>4</v>
      </c>
      <c r="E162" s="27">
        <v>17200</v>
      </c>
      <c r="F162" s="28">
        <f t="shared" si="23"/>
        <v>21200</v>
      </c>
      <c r="G162" s="28">
        <f t="shared" si="24"/>
        <v>25200</v>
      </c>
      <c r="H162" s="29">
        <f t="shared" si="25"/>
        <v>19200</v>
      </c>
      <c r="I162" s="40">
        <f t="shared" si="22"/>
        <v>14224</v>
      </c>
      <c r="J162" s="40">
        <f t="shared" si="26"/>
        <v>17532</v>
      </c>
      <c r="K162" s="40">
        <f t="shared" si="27"/>
        <v>20840</v>
      </c>
      <c r="L162" s="40">
        <f t="shared" si="20"/>
        <v>15878</v>
      </c>
      <c r="M162"/>
    </row>
    <row r="163" spans="1:13" s="23" customFormat="1">
      <c r="A163" s="22" t="s">
        <v>333</v>
      </c>
      <c r="B163" s="24" t="s">
        <v>334</v>
      </c>
      <c r="C163" s="25" t="s">
        <v>335</v>
      </c>
      <c r="D163" s="26">
        <v>5</v>
      </c>
      <c r="E163" s="27">
        <f>D163*2800</f>
        <v>14000</v>
      </c>
      <c r="F163" s="28">
        <f t="shared" si="23"/>
        <v>18000</v>
      </c>
      <c r="G163" s="28">
        <f t="shared" si="24"/>
        <v>22000</v>
      </c>
      <c r="H163" s="29">
        <f t="shared" si="25"/>
        <v>16000</v>
      </c>
      <c r="I163" s="40">
        <f t="shared" si="22"/>
        <v>11578</v>
      </c>
      <c r="J163" s="40">
        <f t="shared" si="26"/>
        <v>14886</v>
      </c>
      <c r="K163" s="40">
        <f t="shared" si="27"/>
        <v>18194</v>
      </c>
      <c r="L163" s="40">
        <f t="shared" si="20"/>
        <v>13232</v>
      </c>
      <c r="M163"/>
    </row>
    <row r="164" spans="1:13" s="23" customFormat="1">
      <c r="A164" s="22" t="s">
        <v>333</v>
      </c>
      <c r="B164" s="24" t="s">
        <v>336</v>
      </c>
      <c r="C164" s="25" t="s">
        <v>337</v>
      </c>
      <c r="D164" s="26">
        <v>5</v>
      </c>
      <c r="E164" s="27">
        <f>D164*4300</f>
        <v>21500</v>
      </c>
      <c r="F164" s="28">
        <f t="shared" si="23"/>
        <v>25500</v>
      </c>
      <c r="G164" s="28">
        <f t="shared" si="24"/>
        <v>29500</v>
      </c>
      <c r="H164" s="29">
        <f t="shared" si="25"/>
        <v>23500</v>
      </c>
      <c r="I164" s="40">
        <f t="shared" si="22"/>
        <v>17781</v>
      </c>
      <c r="J164" s="40">
        <f t="shared" si="26"/>
        <v>21089</v>
      </c>
      <c r="K164" s="40">
        <f t="shared" si="27"/>
        <v>24397</v>
      </c>
      <c r="L164" s="40">
        <f t="shared" si="20"/>
        <v>19435</v>
      </c>
      <c r="M164"/>
    </row>
    <row r="165" spans="1:13" s="23" customFormat="1">
      <c r="A165" s="22" t="s">
        <v>333</v>
      </c>
      <c r="B165" s="24" t="s">
        <v>338</v>
      </c>
      <c r="C165" s="25" t="s">
        <v>339</v>
      </c>
      <c r="D165" s="26">
        <v>5</v>
      </c>
      <c r="E165" s="27">
        <f>D165*4300</f>
        <v>21500</v>
      </c>
      <c r="F165" s="28">
        <f t="shared" si="23"/>
        <v>25500</v>
      </c>
      <c r="G165" s="28">
        <f t="shared" si="24"/>
        <v>29500</v>
      </c>
      <c r="H165" s="29">
        <f t="shared" si="25"/>
        <v>23500</v>
      </c>
      <c r="I165" s="40">
        <f t="shared" si="22"/>
        <v>17781</v>
      </c>
      <c r="J165" s="40">
        <f t="shared" si="26"/>
        <v>21089</v>
      </c>
      <c r="K165" s="40">
        <f t="shared" si="27"/>
        <v>24397</v>
      </c>
      <c r="L165" s="40">
        <f t="shared" si="20"/>
        <v>19435</v>
      </c>
      <c r="M165"/>
    </row>
    <row r="166" spans="1:13" s="23" customFormat="1">
      <c r="A166" s="22" t="s">
        <v>333</v>
      </c>
      <c r="B166" s="24" t="s">
        <v>340</v>
      </c>
      <c r="C166" s="25" t="s">
        <v>341</v>
      </c>
      <c r="D166" s="26">
        <v>1</v>
      </c>
      <c r="E166" s="27">
        <f>D166*4300</f>
        <v>4300</v>
      </c>
      <c r="F166" s="28">
        <f t="shared" si="23"/>
        <v>8300</v>
      </c>
      <c r="G166" s="28">
        <f t="shared" si="24"/>
        <v>12300</v>
      </c>
      <c r="H166" s="29">
        <f t="shared" si="25"/>
        <v>6300</v>
      </c>
      <c r="I166" s="40">
        <f t="shared" si="22"/>
        <v>3556</v>
      </c>
      <c r="J166" s="40">
        <f t="shared" si="26"/>
        <v>6864</v>
      </c>
      <c r="K166" s="40">
        <f t="shared" si="27"/>
        <v>10172</v>
      </c>
      <c r="L166" s="40">
        <f t="shared" si="20"/>
        <v>5210</v>
      </c>
      <c r="M166"/>
    </row>
    <row r="167" spans="1:13" s="23" customFormat="1">
      <c r="A167" s="22" t="s">
        <v>333</v>
      </c>
      <c r="B167" s="24" t="s">
        <v>342</v>
      </c>
      <c r="C167" s="25" t="s">
        <v>343</v>
      </c>
      <c r="D167" s="26">
        <v>2</v>
      </c>
      <c r="E167" s="27">
        <f>D167*2800</f>
        <v>5600</v>
      </c>
      <c r="F167" s="28">
        <f t="shared" si="23"/>
        <v>9600</v>
      </c>
      <c r="G167" s="28">
        <f t="shared" si="24"/>
        <v>13600</v>
      </c>
      <c r="H167" s="29">
        <f t="shared" si="25"/>
        <v>7600</v>
      </c>
      <c r="I167" s="40">
        <f t="shared" si="22"/>
        <v>4631</v>
      </c>
      <c r="J167" s="40">
        <f t="shared" si="26"/>
        <v>7939</v>
      </c>
      <c r="K167" s="40">
        <f t="shared" si="27"/>
        <v>11247</v>
      </c>
      <c r="L167" s="40">
        <f t="shared" si="20"/>
        <v>6285</v>
      </c>
      <c r="M167"/>
    </row>
    <row r="168" spans="1:13" s="23" customFormat="1">
      <c r="A168" s="22" t="s">
        <v>333</v>
      </c>
      <c r="B168" s="24" t="s">
        <v>344</v>
      </c>
      <c r="C168" s="25" t="s">
        <v>345</v>
      </c>
      <c r="D168" s="26">
        <v>2</v>
      </c>
      <c r="E168" s="27">
        <f t="shared" ref="E168:E183" si="28">D168*4300</f>
        <v>8600</v>
      </c>
      <c r="F168" s="28">
        <f t="shared" si="23"/>
        <v>12600</v>
      </c>
      <c r="G168" s="28">
        <f t="shared" si="24"/>
        <v>16600</v>
      </c>
      <c r="H168" s="29">
        <f t="shared" si="25"/>
        <v>10600</v>
      </c>
      <c r="I168" s="40">
        <f t="shared" si="22"/>
        <v>7112</v>
      </c>
      <c r="J168" s="40">
        <f t="shared" si="26"/>
        <v>10420</v>
      </c>
      <c r="K168" s="40">
        <f t="shared" si="27"/>
        <v>13728</v>
      </c>
      <c r="L168" s="40">
        <f t="shared" si="20"/>
        <v>8766</v>
      </c>
      <c r="M168"/>
    </row>
    <row r="169" spans="1:13" s="23" customFormat="1">
      <c r="A169" s="22" t="s">
        <v>333</v>
      </c>
      <c r="B169" s="24" t="s">
        <v>346</v>
      </c>
      <c r="C169" s="25" t="s">
        <v>347</v>
      </c>
      <c r="D169" s="26">
        <v>5</v>
      </c>
      <c r="E169" s="27">
        <f t="shared" si="28"/>
        <v>21500</v>
      </c>
      <c r="F169" s="28">
        <f t="shared" si="23"/>
        <v>25500</v>
      </c>
      <c r="G169" s="28">
        <f t="shared" si="24"/>
        <v>29500</v>
      </c>
      <c r="H169" s="29">
        <f t="shared" si="25"/>
        <v>23500</v>
      </c>
      <c r="I169" s="40">
        <f t="shared" si="22"/>
        <v>17781</v>
      </c>
      <c r="J169" s="40">
        <f t="shared" si="26"/>
        <v>21089</v>
      </c>
      <c r="K169" s="40">
        <f t="shared" si="27"/>
        <v>24397</v>
      </c>
      <c r="L169" s="40">
        <f t="shared" si="20"/>
        <v>19435</v>
      </c>
      <c r="M169"/>
    </row>
    <row r="170" spans="1:13" s="23" customFormat="1">
      <c r="A170" s="22" t="s">
        <v>333</v>
      </c>
      <c r="B170" s="24" t="s">
        <v>348</v>
      </c>
      <c r="C170" s="25" t="s">
        <v>349</v>
      </c>
      <c r="D170" s="26">
        <v>2</v>
      </c>
      <c r="E170" s="27">
        <f t="shared" si="28"/>
        <v>8600</v>
      </c>
      <c r="F170" s="28">
        <f t="shared" si="23"/>
        <v>12600</v>
      </c>
      <c r="G170" s="28">
        <f t="shared" si="24"/>
        <v>16600</v>
      </c>
      <c r="H170" s="29">
        <f t="shared" si="25"/>
        <v>10600</v>
      </c>
      <c r="I170" s="40">
        <f t="shared" si="22"/>
        <v>7112</v>
      </c>
      <c r="J170" s="40">
        <f t="shared" si="26"/>
        <v>10420</v>
      </c>
      <c r="K170" s="40">
        <f t="shared" si="27"/>
        <v>13728</v>
      </c>
      <c r="L170" s="40">
        <f t="shared" si="20"/>
        <v>8766</v>
      </c>
      <c r="M170"/>
    </row>
    <row r="171" spans="1:13" s="23" customFormat="1">
      <c r="A171" s="22" t="s">
        <v>333</v>
      </c>
      <c r="B171" s="24" t="s">
        <v>350</v>
      </c>
      <c r="C171" s="25" t="s">
        <v>351</v>
      </c>
      <c r="D171" s="26">
        <v>5</v>
      </c>
      <c r="E171" s="27">
        <f t="shared" si="28"/>
        <v>21500</v>
      </c>
      <c r="F171" s="28">
        <f t="shared" si="23"/>
        <v>25500</v>
      </c>
      <c r="G171" s="28">
        <f t="shared" si="24"/>
        <v>29500</v>
      </c>
      <c r="H171" s="29">
        <f t="shared" si="25"/>
        <v>23500</v>
      </c>
      <c r="I171" s="40">
        <f t="shared" si="22"/>
        <v>17781</v>
      </c>
      <c r="J171" s="40">
        <f t="shared" si="26"/>
        <v>21089</v>
      </c>
      <c r="K171" s="40">
        <f t="shared" si="27"/>
        <v>24397</v>
      </c>
      <c r="L171" s="40">
        <f t="shared" si="20"/>
        <v>19435</v>
      </c>
      <c r="M171"/>
    </row>
    <row r="172" spans="1:13" s="23" customFormat="1">
      <c r="A172" s="22" t="s">
        <v>333</v>
      </c>
      <c r="B172" s="24" t="s">
        <v>352</v>
      </c>
      <c r="C172" s="25" t="s">
        <v>353</v>
      </c>
      <c r="D172" s="26">
        <v>3</v>
      </c>
      <c r="E172" s="27">
        <f t="shared" si="28"/>
        <v>12900</v>
      </c>
      <c r="F172" s="28">
        <f t="shared" si="23"/>
        <v>16900</v>
      </c>
      <c r="G172" s="28">
        <f t="shared" si="24"/>
        <v>20900</v>
      </c>
      <c r="H172" s="29">
        <f t="shared" si="25"/>
        <v>14900</v>
      </c>
      <c r="I172" s="40">
        <f t="shared" si="22"/>
        <v>10668</v>
      </c>
      <c r="J172" s="40">
        <f t="shared" si="26"/>
        <v>13976</v>
      </c>
      <c r="K172" s="40">
        <f t="shared" si="27"/>
        <v>17284</v>
      </c>
      <c r="L172" s="40">
        <f t="shared" si="20"/>
        <v>12322</v>
      </c>
      <c r="M172"/>
    </row>
    <row r="173" spans="1:13" s="23" customFormat="1">
      <c r="A173" s="22" t="s">
        <v>333</v>
      </c>
      <c r="B173" s="24" t="s">
        <v>354</v>
      </c>
      <c r="C173" s="25" t="s">
        <v>355</v>
      </c>
      <c r="D173" s="26">
        <v>5</v>
      </c>
      <c r="E173" s="27">
        <f t="shared" si="28"/>
        <v>21500</v>
      </c>
      <c r="F173" s="28">
        <f t="shared" si="23"/>
        <v>25500</v>
      </c>
      <c r="G173" s="28">
        <f t="shared" si="24"/>
        <v>29500</v>
      </c>
      <c r="H173" s="29">
        <f t="shared" si="25"/>
        <v>23500</v>
      </c>
      <c r="I173" s="40">
        <f t="shared" si="22"/>
        <v>17781</v>
      </c>
      <c r="J173" s="40">
        <f t="shared" si="26"/>
        <v>21089</v>
      </c>
      <c r="K173" s="40">
        <f t="shared" si="27"/>
        <v>24397</v>
      </c>
      <c r="L173" s="40">
        <f t="shared" si="20"/>
        <v>19435</v>
      </c>
      <c r="M173"/>
    </row>
    <row r="174" spans="1:13" s="23" customFormat="1">
      <c r="A174" s="22" t="s">
        <v>333</v>
      </c>
      <c r="B174" s="24" t="s">
        <v>356</v>
      </c>
      <c r="C174" s="25" t="s">
        <v>357</v>
      </c>
      <c r="D174" s="26">
        <v>5</v>
      </c>
      <c r="E174" s="27">
        <f t="shared" si="28"/>
        <v>21500</v>
      </c>
      <c r="F174" s="28">
        <f t="shared" si="23"/>
        <v>25500</v>
      </c>
      <c r="G174" s="28">
        <f t="shared" si="24"/>
        <v>29500</v>
      </c>
      <c r="H174" s="29">
        <f t="shared" si="25"/>
        <v>23500</v>
      </c>
      <c r="I174" s="40">
        <f t="shared" si="22"/>
        <v>17781</v>
      </c>
      <c r="J174" s="40">
        <f t="shared" si="26"/>
        <v>21089</v>
      </c>
      <c r="K174" s="40">
        <f t="shared" si="27"/>
        <v>24397</v>
      </c>
      <c r="L174" s="40">
        <f t="shared" si="20"/>
        <v>19435</v>
      </c>
      <c r="M174"/>
    </row>
    <row r="175" spans="1:13" s="23" customFormat="1">
      <c r="A175" s="22" t="s">
        <v>333</v>
      </c>
      <c r="B175" s="24" t="s">
        <v>358</v>
      </c>
      <c r="C175" s="25" t="s">
        <v>359</v>
      </c>
      <c r="D175" s="26">
        <v>5</v>
      </c>
      <c r="E175" s="27">
        <f t="shared" si="28"/>
        <v>21500</v>
      </c>
      <c r="F175" s="28">
        <f t="shared" si="23"/>
        <v>25500</v>
      </c>
      <c r="G175" s="28">
        <f t="shared" si="24"/>
        <v>29500</v>
      </c>
      <c r="H175" s="29">
        <f t="shared" si="25"/>
        <v>23500</v>
      </c>
      <c r="I175" s="40">
        <f t="shared" si="22"/>
        <v>17781</v>
      </c>
      <c r="J175" s="40">
        <f t="shared" si="26"/>
        <v>21089</v>
      </c>
      <c r="K175" s="40">
        <f t="shared" si="27"/>
        <v>24397</v>
      </c>
      <c r="L175" s="40">
        <f t="shared" si="20"/>
        <v>19435</v>
      </c>
      <c r="M175"/>
    </row>
    <row r="176" spans="1:13" s="23" customFormat="1">
      <c r="A176" s="22" t="s">
        <v>333</v>
      </c>
      <c r="B176" s="24" t="s">
        <v>360</v>
      </c>
      <c r="C176" s="25" t="s">
        <v>361</v>
      </c>
      <c r="D176" s="26">
        <v>2</v>
      </c>
      <c r="E176" s="27">
        <f t="shared" si="28"/>
        <v>8600</v>
      </c>
      <c r="F176" s="28">
        <f t="shared" si="23"/>
        <v>12600</v>
      </c>
      <c r="G176" s="28">
        <f t="shared" si="24"/>
        <v>16600</v>
      </c>
      <c r="H176" s="29">
        <f t="shared" si="25"/>
        <v>10600</v>
      </c>
      <c r="I176" s="40">
        <f t="shared" si="22"/>
        <v>7112</v>
      </c>
      <c r="J176" s="40">
        <f t="shared" si="26"/>
        <v>10420</v>
      </c>
      <c r="K176" s="40">
        <f t="shared" si="27"/>
        <v>13728</v>
      </c>
      <c r="L176" s="40">
        <f t="shared" si="20"/>
        <v>8766</v>
      </c>
      <c r="M176"/>
    </row>
    <row r="177" spans="1:13" s="23" customFormat="1">
      <c r="A177" s="22" t="s">
        <v>333</v>
      </c>
      <c r="B177" s="24" t="s">
        <v>362</v>
      </c>
      <c r="C177" s="25" t="s">
        <v>363</v>
      </c>
      <c r="D177" s="26">
        <v>2</v>
      </c>
      <c r="E177" s="27">
        <f t="shared" si="28"/>
        <v>8600</v>
      </c>
      <c r="F177" s="28">
        <f t="shared" si="23"/>
        <v>12600</v>
      </c>
      <c r="G177" s="28">
        <f t="shared" si="24"/>
        <v>16600</v>
      </c>
      <c r="H177" s="29">
        <f t="shared" si="25"/>
        <v>10600</v>
      </c>
      <c r="I177" s="40">
        <f t="shared" si="22"/>
        <v>7112</v>
      </c>
      <c r="J177" s="40">
        <f t="shared" si="26"/>
        <v>10420</v>
      </c>
      <c r="K177" s="40">
        <f t="shared" si="27"/>
        <v>13728</v>
      </c>
      <c r="L177" s="40">
        <f t="shared" si="20"/>
        <v>8766</v>
      </c>
      <c r="M177"/>
    </row>
    <row r="178" spans="1:13" s="23" customFormat="1">
      <c r="A178" s="22" t="s">
        <v>333</v>
      </c>
      <c r="B178" s="24" t="s">
        <v>364</v>
      </c>
      <c r="C178" s="25" t="s">
        <v>365</v>
      </c>
      <c r="D178" s="26">
        <v>3</v>
      </c>
      <c r="E178" s="27">
        <f t="shared" si="28"/>
        <v>12900</v>
      </c>
      <c r="F178" s="28">
        <f t="shared" si="23"/>
        <v>16900</v>
      </c>
      <c r="G178" s="28">
        <f t="shared" si="24"/>
        <v>20900</v>
      </c>
      <c r="H178" s="29">
        <f t="shared" si="25"/>
        <v>14900</v>
      </c>
      <c r="I178" s="40">
        <f t="shared" si="22"/>
        <v>10668</v>
      </c>
      <c r="J178" s="40">
        <f t="shared" si="26"/>
        <v>13976</v>
      </c>
      <c r="K178" s="40">
        <f t="shared" si="27"/>
        <v>17284</v>
      </c>
      <c r="L178" s="40">
        <f t="shared" si="20"/>
        <v>12322</v>
      </c>
      <c r="M178"/>
    </row>
    <row r="179" spans="1:13" s="23" customFormat="1">
      <c r="A179" s="22" t="s">
        <v>333</v>
      </c>
      <c r="B179" s="24" t="s">
        <v>366</v>
      </c>
      <c r="C179" s="25" t="s">
        <v>367</v>
      </c>
      <c r="D179" s="26">
        <v>4</v>
      </c>
      <c r="E179" s="27">
        <f t="shared" si="28"/>
        <v>17200</v>
      </c>
      <c r="F179" s="28">
        <f t="shared" si="23"/>
        <v>21200</v>
      </c>
      <c r="G179" s="28">
        <f t="shared" si="24"/>
        <v>25200</v>
      </c>
      <c r="H179" s="29">
        <f t="shared" si="25"/>
        <v>19200</v>
      </c>
      <c r="I179" s="40">
        <f t="shared" si="22"/>
        <v>14224</v>
      </c>
      <c r="J179" s="40">
        <f t="shared" si="26"/>
        <v>17532</v>
      </c>
      <c r="K179" s="40">
        <f t="shared" si="27"/>
        <v>20840</v>
      </c>
      <c r="L179" s="40">
        <f t="shared" si="20"/>
        <v>15878</v>
      </c>
      <c r="M179"/>
    </row>
    <row r="180" spans="1:13" s="23" customFormat="1">
      <c r="A180" s="22" t="s">
        <v>333</v>
      </c>
      <c r="B180" s="24" t="s">
        <v>368</v>
      </c>
      <c r="C180" s="25" t="s">
        <v>369</v>
      </c>
      <c r="D180" s="26">
        <v>5</v>
      </c>
      <c r="E180" s="27">
        <f t="shared" si="28"/>
        <v>21500</v>
      </c>
      <c r="F180" s="28">
        <f t="shared" si="23"/>
        <v>25500</v>
      </c>
      <c r="G180" s="28">
        <f t="shared" si="24"/>
        <v>29500</v>
      </c>
      <c r="H180" s="29">
        <f t="shared" si="25"/>
        <v>23500</v>
      </c>
      <c r="I180" s="40">
        <f t="shared" si="22"/>
        <v>17781</v>
      </c>
      <c r="J180" s="40">
        <f t="shared" si="26"/>
        <v>21089</v>
      </c>
      <c r="K180" s="40">
        <f t="shared" si="27"/>
        <v>24397</v>
      </c>
      <c r="L180" s="40">
        <f t="shared" si="20"/>
        <v>19435</v>
      </c>
      <c r="M180"/>
    </row>
    <row r="181" spans="1:13" s="23" customFormat="1">
      <c r="A181" s="22" t="s">
        <v>333</v>
      </c>
      <c r="B181" s="24" t="s">
        <v>370</v>
      </c>
      <c r="C181" s="25" t="s">
        <v>371</v>
      </c>
      <c r="D181" s="26">
        <v>5</v>
      </c>
      <c r="E181" s="27">
        <f t="shared" si="28"/>
        <v>21500</v>
      </c>
      <c r="F181" s="28">
        <f t="shared" si="23"/>
        <v>25500</v>
      </c>
      <c r="G181" s="28">
        <f t="shared" si="24"/>
        <v>29500</v>
      </c>
      <c r="H181" s="29">
        <f t="shared" si="25"/>
        <v>23500</v>
      </c>
      <c r="I181" s="40">
        <f t="shared" si="22"/>
        <v>17781</v>
      </c>
      <c r="J181" s="40">
        <f t="shared" si="26"/>
        <v>21089</v>
      </c>
      <c r="K181" s="40">
        <f t="shared" si="27"/>
        <v>24397</v>
      </c>
      <c r="L181" s="40">
        <f t="shared" si="20"/>
        <v>19435</v>
      </c>
      <c r="M181"/>
    </row>
    <row r="182" spans="1:13" s="23" customFormat="1">
      <c r="A182" s="22" t="s">
        <v>333</v>
      </c>
      <c r="B182" s="24" t="s">
        <v>372</v>
      </c>
      <c r="C182" s="25" t="s">
        <v>373</v>
      </c>
      <c r="D182" s="26">
        <v>5</v>
      </c>
      <c r="E182" s="27">
        <f t="shared" si="28"/>
        <v>21500</v>
      </c>
      <c r="F182" s="28">
        <f t="shared" si="23"/>
        <v>25500</v>
      </c>
      <c r="G182" s="28">
        <f t="shared" si="24"/>
        <v>29500</v>
      </c>
      <c r="H182" s="29">
        <f t="shared" si="25"/>
        <v>23500</v>
      </c>
      <c r="I182" s="40">
        <f t="shared" si="22"/>
        <v>17781</v>
      </c>
      <c r="J182" s="40">
        <f t="shared" si="26"/>
        <v>21089</v>
      </c>
      <c r="K182" s="40">
        <f t="shared" si="27"/>
        <v>24397</v>
      </c>
      <c r="L182" s="40">
        <f t="shared" si="20"/>
        <v>19435</v>
      </c>
      <c r="M182"/>
    </row>
    <row r="183" spans="1:13" s="23" customFormat="1">
      <c r="A183" s="22" t="s">
        <v>333</v>
      </c>
      <c r="B183" s="24" t="s">
        <v>374</v>
      </c>
      <c r="C183" s="25" t="s">
        <v>375</v>
      </c>
      <c r="D183" s="26">
        <v>5</v>
      </c>
      <c r="E183" s="27">
        <f t="shared" si="28"/>
        <v>21500</v>
      </c>
      <c r="F183" s="28">
        <f t="shared" si="23"/>
        <v>25500</v>
      </c>
      <c r="G183" s="28">
        <f t="shared" si="24"/>
        <v>29500</v>
      </c>
      <c r="H183" s="29">
        <f t="shared" si="25"/>
        <v>23500</v>
      </c>
      <c r="I183" s="40">
        <f t="shared" si="22"/>
        <v>17781</v>
      </c>
      <c r="J183" s="40">
        <f t="shared" si="26"/>
        <v>21089</v>
      </c>
      <c r="K183" s="40">
        <f t="shared" si="27"/>
        <v>24397</v>
      </c>
      <c r="L183" s="40">
        <f t="shared" si="20"/>
        <v>19435</v>
      </c>
      <c r="M183"/>
    </row>
    <row r="184" spans="1:13" s="23" customFormat="1">
      <c r="A184" s="22" t="s">
        <v>333</v>
      </c>
      <c r="B184" s="24" t="s">
        <v>376</v>
      </c>
      <c r="C184" s="25" t="s">
        <v>377</v>
      </c>
      <c r="D184" s="26">
        <v>3</v>
      </c>
      <c r="E184" s="27">
        <f>D184*2800</f>
        <v>8400</v>
      </c>
      <c r="F184" s="28">
        <f t="shared" si="23"/>
        <v>12400</v>
      </c>
      <c r="G184" s="28">
        <f t="shared" si="24"/>
        <v>16400</v>
      </c>
      <c r="H184" s="29">
        <f t="shared" si="25"/>
        <v>10400</v>
      </c>
      <c r="I184" s="40">
        <f t="shared" si="22"/>
        <v>6947</v>
      </c>
      <c r="J184" s="40">
        <f t="shared" si="26"/>
        <v>10255</v>
      </c>
      <c r="K184" s="40">
        <f t="shared" si="27"/>
        <v>13563</v>
      </c>
      <c r="L184" s="40">
        <f t="shared" si="20"/>
        <v>8601</v>
      </c>
      <c r="M184"/>
    </row>
    <row r="185" spans="1:13" s="23" customFormat="1">
      <c r="A185" s="22" t="s">
        <v>333</v>
      </c>
      <c r="B185" s="24" t="s">
        <v>378</v>
      </c>
      <c r="C185" s="25" t="s">
        <v>379</v>
      </c>
      <c r="D185" s="26">
        <v>2</v>
      </c>
      <c r="E185" s="27">
        <f>D185*2800</f>
        <v>5600</v>
      </c>
      <c r="F185" s="28">
        <f t="shared" si="23"/>
        <v>9600</v>
      </c>
      <c r="G185" s="28">
        <f t="shared" si="24"/>
        <v>13600</v>
      </c>
      <c r="H185" s="29">
        <f t="shared" si="25"/>
        <v>7600</v>
      </c>
      <c r="I185" s="40">
        <f t="shared" si="22"/>
        <v>4631</v>
      </c>
      <c r="J185" s="40">
        <f t="shared" si="26"/>
        <v>7939</v>
      </c>
      <c r="K185" s="40">
        <f t="shared" si="27"/>
        <v>11247</v>
      </c>
      <c r="L185" s="40">
        <f t="shared" si="20"/>
        <v>6285</v>
      </c>
      <c r="M185"/>
    </row>
    <row r="186" spans="1:13" s="23" customFormat="1">
      <c r="A186" s="22" t="s">
        <v>333</v>
      </c>
      <c r="B186" s="24" t="s">
        <v>380</v>
      </c>
      <c r="C186" s="25" t="s">
        <v>381</v>
      </c>
      <c r="D186" s="26">
        <v>5</v>
      </c>
      <c r="E186" s="27">
        <f>D186*4300</f>
        <v>21500</v>
      </c>
      <c r="F186" s="28">
        <f t="shared" si="23"/>
        <v>25500</v>
      </c>
      <c r="G186" s="28">
        <f t="shared" si="24"/>
        <v>29500</v>
      </c>
      <c r="H186" s="29">
        <f t="shared" si="25"/>
        <v>23500</v>
      </c>
      <c r="I186" s="40">
        <f t="shared" si="22"/>
        <v>17781</v>
      </c>
      <c r="J186" s="40">
        <f t="shared" si="26"/>
        <v>21089</v>
      </c>
      <c r="K186" s="40">
        <f t="shared" si="27"/>
        <v>24397</v>
      </c>
      <c r="L186" s="40">
        <f t="shared" si="20"/>
        <v>19435</v>
      </c>
      <c r="M186"/>
    </row>
    <row r="187" spans="1:13" s="23" customFormat="1">
      <c r="A187" s="22" t="s">
        <v>333</v>
      </c>
      <c r="B187" s="24" t="s">
        <v>382</v>
      </c>
      <c r="C187" s="25" t="s">
        <v>383</v>
      </c>
      <c r="D187" s="26">
        <v>4</v>
      </c>
      <c r="E187" s="27">
        <f>D187*4300</f>
        <v>17200</v>
      </c>
      <c r="F187" s="28">
        <f t="shared" si="23"/>
        <v>21200</v>
      </c>
      <c r="G187" s="28">
        <f t="shared" si="24"/>
        <v>25200</v>
      </c>
      <c r="H187" s="29">
        <f t="shared" si="25"/>
        <v>19200</v>
      </c>
      <c r="I187" s="40">
        <f t="shared" si="22"/>
        <v>14224</v>
      </c>
      <c r="J187" s="40">
        <f t="shared" si="26"/>
        <v>17532</v>
      </c>
      <c r="K187" s="40">
        <f t="shared" si="27"/>
        <v>20840</v>
      </c>
      <c r="L187" s="40">
        <f t="shared" si="20"/>
        <v>15878</v>
      </c>
      <c r="M187"/>
    </row>
    <row r="188" spans="1:13" s="23" customFormat="1">
      <c r="A188" s="22" t="s">
        <v>333</v>
      </c>
      <c r="B188" s="24" t="s">
        <v>384</v>
      </c>
      <c r="C188" s="25" t="s">
        <v>385</v>
      </c>
      <c r="D188" s="26">
        <v>4</v>
      </c>
      <c r="E188" s="27">
        <f>D188*4300</f>
        <v>17200</v>
      </c>
      <c r="F188" s="28">
        <f t="shared" si="23"/>
        <v>21200</v>
      </c>
      <c r="G188" s="28">
        <f t="shared" si="24"/>
        <v>25200</v>
      </c>
      <c r="H188" s="29">
        <f t="shared" si="25"/>
        <v>19200</v>
      </c>
      <c r="I188" s="40">
        <f t="shared" si="22"/>
        <v>14224</v>
      </c>
      <c r="J188" s="40">
        <f t="shared" si="26"/>
        <v>17532</v>
      </c>
      <c r="K188" s="40">
        <f t="shared" si="27"/>
        <v>20840</v>
      </c>
      <c r="L188" s="40">
        <f t="shared" si="20"/>
        <v>15878</v>
      </c>
      <c r="M188"/>
    </row>
    <row r="189" spans="1:13" s="23" customFormat="1">
      <c r="A189" s="22" t="s">
        <v>386</v>
      </c>
      <c r="B189" s="24" t="s">
        <v>387</v>
      </c>
      <c r="C189" s="25" t="s">
        <v>388</v>
      </c>
      <c r="D189" s="26">
        <v>5</v>
      </c>
      <c r="E189" s="27">
        <v>16000</v>
      </c>
      <c r="F189" s="28">
        <v>20000</v>
      </c>
      <c r="G189" s="28">
        <v>24000</v>
      </c>
      <c r="H189" s="29">
        <v>18000</v>
      </c>
      <c r="I189" s="40">
        <f t="shared" si="22"/>
        <v>13232</v>
      </c>
      <c r="J189" s="40">
        <f t="shared" si="26"/>
        <v>16540</v>
      </c>
      <c r="K189" s="40">
        <f t="shared" si="27"/>
        <v>19848</v>
      </c>
      <c r="L189" s="40">
        <f t="shared" si="20"/>
        <v>14886</v>
      </c>
      <c r="M189"/>
    </row>
    <row r="190" spans="1:13" s="23" customFormat="1">
      <c r="A190" s="22" t="s">
        <v>389</v>
      </c>
      <c r="B190" s="24" t="s">
        <v>390</v>
      </c>
      <c r="C190" s="25" t="s">
        <v>391</v>
      </c>
      <c r="D190" s="26">
        <v>3</v>
      </c>
      <c r="E190" s="27">
        <v>12900</v>
      </c>
      <c r="F190" s="28">
        <f>E190+4000</f>
        <v>16900</v>
      </c>
      <c r="G190" s="28">
        <f>E190+8000</f>
        <v>20900</v>
      </c>
      <c r="H190" s="29">
        <f>E190+2000</f>
        <v>14900</v>
      </c>
      <c r="I190" s="40">
        <f t="shared" si="22"/>
        <v>10668</v>
      </c>
      <c r="J190" s="40">
        <f t="shared" si="26"/>
        <v>13976</v>
      </c>
      <c r="K190" s="40">
        <f t="shared" si="27"/>
        <v>17284</v>
      </c>
      <c r="L190" s="40">
        <f t="shared" si="20"/>
        <v>12322</v>
      </c>
      <c r="M190"/>
    </row>
    <row r="191" spans="1:13" s="23" customFormat="1">
      <c r="A191" s="22" t="s">
        <v>389</v>
      </c>
      <c r="B191" s="24" t="s">
        <v>392</v>
      </c>
      <c r="C191" s="25" t="s">
        <v>393</v>
      </c>
      <c r="D191" s="26">
        <v>5</v>
      </c>
      <c r="E191" s="27" t="s">
        <v>47</v>
      </c>
      <c r="F191" s="28">
        <v>28000</v>
      </c>
      <c r="G191" s="28" t="s">
        <v>47</v>
      </c>
      <c r="H191" s="29">
        <v>23500</v>
      </c>
      <c r="I191" s="40" t="s">
        <v>47</v>
      </c>
      <c r="J191" s="40">
        <f t="shared" ref="J191:J196" si="29">ROUND(F191*0.827,0)</f>
        <v>23156</v>
      </c>
      <c r="K191" s="40" t="s">
        <v>47</v>
      </c>
      <c r="L191" s="40">
        <f t="shared" si="20"/>
        <v>19435</v>
      </c>
      <c r="M191"/>
    </row>
    <row r="192" spans="1:13" s="23" customFormat="1">
      <c r="A192" s="22" t="s">
        <v>386</v>
      </c>
      <c r="B192" s="24" t="s">
        <v>394</v>
      </c>
      <c r="C192" s="25" t="s">
        <v>395</v>
      </c>
      <c r="D192" s="26">
        <v>5</v>
      </c>
      <c r="E192" s="27">
        <v>23420</v>
      </c>
      <c r="F192" s="28">
        <v>27420</v>
      </c>
      <c r="G192" s="28">
        <v>31420</v>
      </c>
      <c r="H192" s="29">
        <v>25420</v>
      </c>
      <c r="I192" s="40">
        <f t="shared" ref="I192:I199" si="30">ROUND(E192*0.827,0)</f>
        <v>19368</v>
      </c>
      <c r="J192" s="40">
        <f t="shared" si="29"/>
        <v>22676</v>
      </c>
      <c r="K192" s="40">
        <f>ROUND(G192*0.827,0)</f>
        <v>25984</v>
      </c>
      <c r="L192" s="40">
        <f t="shared" si="20"/>
        <v>21022</v>
      </c>
      <c r="M192"/>
    </row>
    <row r="193" spans="1:13" s="23" customFormat="1">
      <c r="A193" s="22" t="s">
        <v>386</v>
      </c>
      <c r="B193" s="24" t="s">
        <v>396</v>
      </c>
      <c r="C193" s="25" t="s">
        <v>397</v>
      </c>
      <c r="D193" s="26">
        <v>5</v>
      </c>
      <c r="E193" s="27">
        <v>23420</v>
      </c>
      <c r="F193" s="28">
        <v>27420</v>
      </c>
      <c r="G193" s="28">
        <v>31420</v>
      </c>
      <c r="H193" s="29">
        <v>25420</v>
      </c>
      <c r="I193" s="40">
        <f t="shared" si="30"/>
        <v>19368</v>
      </c>
      <c r="J193" s="40">
        <f t="shared" si="29"/>
        <v>22676</v>
      </c>
      <c r="K193" s="40">
        <f>ROUND(G193*0.827,0)</f>
        <v>25984</v>
      </c>
      <c r="L193" s="40">
        <f t="shared" si="20"/>
        <v>21022</v>
      </c>
      <c r="M193"/>
    </row>
    <row r="194" spans="1:13" s="23" customFormat="1">
      <c r="A194" s="22" t="s">
        <v>389</v>
      </c>
      <c r="B194" s="24" t="s">
        <v>398</v>
      </c>
      <c r="C194" s="25" t="s">
        <v>399</v>
      </c>
      <c r="D194" s="26">
        <v>2</v>
      </c>
      <c r="E194" s="27">
        <v>5600</v>
      </c>
      <c r="F194" s="28">
        <f>E194+4000</f>
        <v>9600</v>
      </c>
      <c r="G194" s="28">
        <f>E194+8000</f>
        <v>13600</v>
      </c>
      <c r="H194" s="29">
        <f>E194+2000</f>
        <v>7600</v>
      </c>
      <c r="I194" s="40">
        <f t="shared" si="30"/>
        <v>4631</v>
      </c>
      <c r="J194" s="40">
        <f t="shared" si="29"/>
        <v>7939</v>
      </c>
      <c r="K194" s="40">
        <f>ROUND(G194*0.827,0)</f>
        <v>11247</v>
      </c>
      <c r="L194" s="40">
        <f t="shared" si="20"/>
        <v>6285</v>
      </c>
      <c r="M194"/>
    </row>
    <row r="195" spans="1:13" s="23" customFormat="1">
      <c r="A195" s="22" t="s">
        <v>389</v>
      </c>
      <c r="B195" s="24" t="s">
        <v>400</v>
      </c>
      <c r="C195" s="25" t="s">
        <v>401</v>
      </c>
      <c r="D195" s="26">
        <v>3</v>
      </c>
      <c r="E195" s="27">
        <v>8400</v>
      </c>
      <c r="F195" s="28">
        <f>E195+4000</f>
        <v>12400</v>
      </c>
      <c r="G195" s="28">
        <f>E195+8000</f>
        <v>16400</v>
      </c>
      <c r="H195" s="29">
        <f>E195+2000</f>
        <v>10400</v>
      </c>
      <c r="I195" s="40">
        <f t="shared" si="30"/>
        <v>6947</v>
      </c>
      <c r="J195" s="40">
        <f t="shared" si="29"/>
        <v>10255</v>
      </c>
      <c r="K195" s="40">
        <f>ROUND(G195*0.827,0)</f>
        <v>13563</v>
      </c>
      <c r="L195" s="40">
        <f t="shared" si="20"/>
        <v>8601</v>
      </c>
      <c r="M195"/>
    </row>
    <row r="196" spans="1:13" s="23" customFormat="1">
      <c r="A196" s="22" t="s">
        <v>389</v>
      </c>
      <c r="B196" s="24" t="s">
        <v>402</v>
      </c>
      <c r="C196" s="25" t="s">
        <v>403</v>
      </c>
      <c r="D196" s="26">
        <v>5</v>
      </c>
      <c r="E196" s="27">
        <v>21500</v>
      </c>
      <c r="F196" s="28">
        <f>+E196+4000</f>
        <v>25500</v>
      </c>
      <c r="G196" s="28">
        <f>+E196+8000</f>
        <v>29500</v>
      </c>
      <c r="H196" s="29">
        <f>+E196+2000</f>
        <v>23500</v>
      </c>
      <c r="I196" s="40">
        <f t="shared" si="30"/>
        <v>17781</v>
      </c>
      <c r="J196" s="40">
        <f t="shared" si="29"/>
        <v>21089</v>
      </c>
      <c r="K196" s="40">
        <f>ROUND(G196*0.827,0)</f>
        <v>24397</v>
      </c>
      <c r="L196" s="40">
        <f t="shared" si="20"/>
        <v>19435</v>
      </c>
      <c r="M196"/>
    </row>
    <row r="197" spans="1:13" s="23" customFormat="1">
      <c r="A197" s="22" t="s">
        <v>404</v>
      </c>
      <c r="B197" s="24" t="s">
        <v>405</v>
      </c>
      <c r="C197" s="25" t="s">
        <v>406</v>
      </c>
      <c r="D197" s="26" t="s">
        <v>407</v>
      </c>
      <c r="E197" s="27">
        <v>3180</v>
      </c>
      <c r="F197" s="28" t="s">
        <v>47</v>
      </c>
      <c r="G197" s="28" t="s">
        <v>47</v>
      </c>
      <c r="H197" s="29">
        <v>3750</v>
      </c>
      <c r="I197" s="40">
        <f t="shared" si="30"/>
        <v>2630</v>
      </c>
      <c r="J197" s="40" t="s">
        <v>47</v>
      </c>
      <c r="K197" s="40" t="s">
        <v>47</v>
      </c>
      <c r="L197" s="40">
        <f t="shared" si="20"/>
        <v>3101</v>
      </c>
      <c r="M197"/>
    </row>
    <row r="198" spans="1:13" s="23" customFormat="1">
      <c r="A198" s="22" t="s">
        <v>389</v>
      </c>
      <c r="B198" s="24" t="s">
        <v>408</v>
      </c>
      <c r="C198" s="25" t="s">
        <v>409</v>
      </c>
      <c r="D198" s="26">
        <v>5</v>
      </c>
      <c r="E198" s="27">
        <v>21500</v>
      </c>
      <c r="F198" s="28">
        <f>+E198+4000</f>
        <v>25500</v>
      </c>
      <c r="G198" s="28">
        <f>+E198+8000</f>
        <v>29500</v>
      </c>
      <c r="H198" s="29">
        <f>+E198+2000</f>
        <v>23500</v>
      </c>
      <c r="I198" s="40">
        <f t="shared" si="30"/>
        <v>17781</v>
      </c>
      <c r="J198" s="40">
        <f>ROUND(F198*0.827,0)</f>
        <v>21089</v>
      </c>
      <c r="K198" s="40">
        <f>ROUND(G198*0.827,0)</f>
        <v>24397</v>
      </c>
      <c r="L198" s="40">
        <f t="shared" si="20"/>
        <v>19435</v>
      </c>
      <c r="M198"/>
    </row>
    <row r="199" spans="1:13" s="23" customFormat="1">
      <c r="A199" s="22" t="s">
        <v>389</v>
      </c>
      <c r="B199" s="24" t="s">
        <v>410</v>
      </c>
      <c r="C199" s="25" t="s">
        <v>411</v>
      </c>
      <c r="D199" s="26">
        <v>5</v>
      </c>
      <c r="E199" s="27">
        <v>21500</v>
      </c>
      <c r="F199" s="28">
        <f>+E199+4000</f>
        <v>25500</v>
      </c>
      <c r="G199" s="28">
        <f>+E199+8000</f>
        <v>29500</v>
      </c>
      <c r="H199" s="29">
        <f>+E199+2000</f>
        <v>23500</v>
      </c>
      <c r="I199" s="40">
        <f t="shared" si="30"/>
        <v>17781</v>
      </c>
      <c r="J199" s="40">
        <f>ROUND(F199*0.827,0)</f>
        <v>21089</v>
      </c>
      <c r="K199" s="40">
        <f>ROUND(G199*0.827,0)</f>
        <v>24397</v>
      </c>
      <c r="L199" s="40">
        <f t="shared" si="20"/>
        <v>19435</v>
      </c>
      <c r="M199"/>
    </row>
    <row r="200" spans="1:13" s="23" customFormat="1">
      <c r="A200" s="22" t="s">
        <v>389</v>
      </c>
      <c r="B200" s="24" t="s">
        <v>412</v>
      </c>
      <c r="C200" s="25" t="s">
        <v>413</v>
      </c>
      <c r="D200" s="26">
        <v>3</v>
      </c>
      <c r="E200" s="27" t="s">
        <v>47</v>
      </c>
      <c r="F200" s="28">
        <v>16900</v>
      </c>
      <c r="G200" s="28" t="s">
        <v>47</v>
      </c>
      <c r="H200" s="29">
        <v>14900</v>
      </c>
      <c r="I200" s="40" t="s">
        <v>47</v>
      </c>
      <c r="J200" s="40">
        <f t="shared" ref="J200:J205" si="31">ROUND(F200*0.827,0)</f>
        <v>13976</v>
      </c>
      <c r="K200" s="40" t="s">
        <v>47</v>
      </c>
      <c r="L200" s="40">
        <f t="shared" si="20"/>
        <v>12322</v>
      </c>
      <c r="M200"/>
    </row>
    <row r="201" spans="1:13" s="23" customFormat="1">
      <c r="A201" s="22" t="s">
        <v>389</v>
      </c>
      <c r="B201" s="24" t="s">
        <v>414</v>
      </c>
      <c r="C201" s="25" t="s">
        <v>415</v>
      </c>
      <c r="D201" s="26">
        <v>5</v>
      </c>
      <c r="E201" s="27">
        <v>14000</v>
      </c>
      <c r="F201" s="28">
        <f>E201+4000</f>
        <v>18000</v>
      </c>
      <c r="G201" s="28">
        <f>E201+8000</f>
        <v>22000</v>
      </c>
      <c r="H201" s="29">
        <f>E201+2000</f>
        <v>16000</v>
      </c>
      <c r="I201" s="40">
        <f>ROUND(E201*0.827,0)</f>
        <v>11578</v>
      </c>
      <c r="J201" s="40">
        <f t="shared" si="31"/>
        <v>14886</v>
      </c>
      <c r="K201" s="40">
        <f>ROUND(G201*0.827,0)</f>
        <v>18194</v>
      </c>
      <c r="L201" s="40">
        <f t="shared" si="20"/>
        <v>13232</v>
      </c>
      <c r="M201"/>
    </row>
    <row r="202" spans="1:13" s="23" customFormat="1">
      <c r="A202" s="22" t="s">
        <v>389</v>
      </c>
      <c r="B202" s="24" t="s">
        <v>416</v>
      </c>
      <c r="C202" s="25" t="s">
        <v>417</v>
      </c>
      <c r="D202" s="26">
        <v>5</v>
      </c>
      <c r="E202" s="27">
        <v>21500</v>
      </c>
      <c r="F202" s="28">
        <f>E202+4000</f>
        <v>25500</v>
      </c>
      <c r="G202" s="28">
        <f>E202+8000</f>
        <v>29500</v>
      </c>
      <c r="H202" s="29">
        <f>E202+2000</f>
        <v>23500</v>
      </c>
      <c r="I202" s="40">
        <f>ROUND(E202*0.827,0)</f>
        <v>17781</v>
      </c>
      <c r="J202" s="40">
        <f t="shared" si="31"/>
        <v>21089</v>
      </c>
      <c r="K202" s="40">
        <f>ROUND(G202*0.827,0)</f>
        <v>24397</v>
      </c>
      <c r="L202" s="40">
        <f t="shared" si="20"/>
        <v>19435</v>
      </c>
      <c r="M202"/>
    </row>
    <row r="203" spans="1:13" s="23" customFormat="1">
      <c r="A203" s="22" t="s">
        <v>389</v>
      </c>
      <c r="B203" s="24" t="s">
        <v>418</v>
      </c>
      <c r="C203" s="25" t="s">
        <v>419</v>
      </c>
      <c r="D203" s="26">
        <v>5</v>
      </c>
      <c r="E203" s="27">
        <v>21500</v>
      </c>
      <c r="F203" s="28">
        <f>E203+4000</f>
        <v>25500</v>
      </c>
      <c r="G203" s="28">
        <f>E203+8000</f>
        <v>29500</v>
      </c>
      <c r="H203" s="29">
        <f>E203+2000</f>
        <v>23500</v>
      </c>
      <c r="I203" s="40">
        <f>ROUND(E203*0.827,0)</f>
        <v>17781</v>
      </c>
      <c r="J203" s="40">
        <f t="shared" si="31"/>
        <v>21089</v>
      </c>
      <c r="K203" s="40">
        <f>ROUND(G203*0.827,0)</f>
        <v>24397</v>
      </c>
      <c r="L203" s="40">
        <f t="shared" si="20"/>
        <v>19435</v>
      </c>
      <c r="M203"/>
    </row>
    <row r="204" spans="1:13" s="23" customFormat="1">
      <c r="A204" s="22" t="s">
        <v>389</v>
      </c>
      <c r="B204" s="24" t="s">
        <v>420</v>
      </c>
      <c r="C204" s="25" t="s">
        <v>421</v>
      </c>
      <c r="D204" s="26">
        <v>3</v>
      </c>
      <c r="E204" s="27">
        <v>12900</v>
      </c>
      <c r="F204" s="28">
        <f>E204+4000</f>
        <v>16900</v>
      </c>
      <c r="G204" s="28">
        <f>E204+8000</f>
        <v>20900</v>
      </c>
      <c r="H204" s="29">
        <f>E204+2000</f>
        <v>14900</v>
      </c>
      <c r="I204" s="40">
        <f>ROUND(E204*0.827,0)</f>
        <v>10668</v>
      </c>
      <c r="J204" s="40">
        <f t="shared" si="31"/>
        <v>13976</v>
      </c>
      <c r="K204" s="40">
        <f>ROUND(G204*0.827,0)</f>
        <v>17284</v>
      </c>
      <c r="L204" s="40">
        <f t="shared" si="20"/>
        <v>12322</v>
      </c>
      <c r="M204"/>
    </row>
    <row r="205" spans="1:13" s="23" customFormat="1">
      <c r="A205" s="22" t="s">
        <v>389</v>
      </c>
      <c r="B205" s="24" t="s">
        <v>422</v>
      </c>
      <c r="C205" s="25" t="s">
        <v>423</v>
      </c>
      <c r="D205" s="26">
        <v>5</v>
      </c>
      <c r="E205" s="27" t="s">
        <v>47</v>
      </c>
      <c r="F205" s="28">
        <v>25500</v>
      </c>
      <c r="G205" s="28" t="s">
        <v>47</v>
      </c>
      <c r="H205" s="29">
        <v>23500</v>
      </c>
      <c r="I205" s="40" t="s">
        <v>47</v>
      </c>
      <c r="J205" s="40">
        <f t="shared" si="31"/>
        <v>21089</v>
      </c>
      <c r="K205" s="40" t="s">
        <v>47</v>
      </c>
      <c r="L205" s="40">
        <f t="shared" si="20"/>
        <v>19435</v>
      </c>
      <c r="M205"/>
    </row>
    <row r="206" spans="1:13" s="23" customFormat="1">
      <c r="A206" s="22" t="s">
        <v>389</v>
      </c>
      <c r="B206" s="24" t="s">
        <v>424</v>
      </c>
      <c r="C206" s="25" t="s">
        <v>425</v>
      </c>
      <c r="D206" s="26">
        <v>2</v>
      </c>
      <c r="E206" s="27" t="s">
        <v>47</v>
      </c>
      <c r="F206" s="28" t="s">
        <v>47</v>
      </c>
      <c r="G206" s="28" t="s">
        <v>47</v>
      </c>
      <c r="H206" s="29">
        <v>13000</v>
      </c>
      <c r="I206" s="40" t="s">
        <v>47</v>
      </c>
      <c r="J206" s="40" t="s">
        <v>47</v>
      </c>
      <c r="K206" s="40" t="s">
        <v>47</v>
      </c>
      <c r="L206" s="40">
        <f t="shared" si="20"/>
        <v>10751</v>
      </c>
      <c r="M206"/>
    </row>
    <row r="207" spans="1:13" s="23" customFormat="1">
      <c r="A207" s="22" t="s">
        <v>389</v>
      </c>
      <c r="B207" s="24" t="s">
        <v>426</v>
      </c>
      <c r="C207" s="25" t="s">
        <v>427</v>
      </c>
      <c r="D207" s="26">
        <v>3</v>
      </c>
      <c r="E207" s="27">
        <v>15000</v>
      </c>
      <c r="F207" s="28">
        <f>+E207+4000</f>
        <v>19000</v>
      </c>
      <c r="G207" s="28">
        <f>+E207+8000</f>
        <v>23000</v>
      </c>
      <c r="H207" s="29">
        <f>+E207+2000</f>
        <v>17000</v>
      </c>
      <c r="I207" s="40">
        <f t="shared" ref="I207:J209" si="32">ROUND(E207*0.827,0)</f>
        <v>12405</v>
      </c>
      <c r="J207" s="40">
        <f t="shared" si="32"/>
        <v>15713</v>
      </c>
      <c r="K207" s="40">
        <f>ROUND(G207*0.827,0)</f>
        <v>19021</v>
      </c>
      <c r="L207" s="40">
        <f t="shared" si="20"/>
        <v>14059</v>
      </c>
      <c r="M207"/>
    </row>
    <row r="208" spans="1:13" s="23" customFormat="1">
      <c r="A208" s="22" t="s">
        <v>389</v>
      </c>
      <c r="B208" s="24" t="s">
        <v>428</v>
      </c>
      <c r="C208" s="25" t="s">
        <v>429</v>
      </c>
      <c r="D208" s="26">
        <v>4</v>
      </c>
      <c r="E208" s="27">
        <v>17200</v>
      </c>
      <c r="F208" s="28">
        <v>21200</v>
      </c>
      <c r="G208" s="28">
        <v>25200</v>
      </c>
      <c r="H208" s="29">
        <v>19200</v>
      </c>
      <c r="I208" s="40">
        <f t="shared" si="32"/>
        <v>14224</v>
      </c>
      <c r="J208" s="40">
        <f t="shared" si="32"/>
        <v>17532</v>
      </c>
      <c r="K208" s="40">
        <f>ROUND(G208*0.827,0)</f>
        <v>20840</v>
      </c>
      <c r="L208" s="40">
        <f t="shared" si="20"/>
        <v>15878</v>
      </c>
      <c r="M208"/>
    </row>
    <row r="209" spans="1:13" s="23" customFormat="1">
      <c r="A209" s="22" t="s">
        <v>389</v>
      </c>
      <c r="B209" s="24" t="s">
        <v>430</v>
      </c>
      <c r="C209" s="25" t="s">
        <v>431</v>
      </c>
      <c r="D209" s="26">
        <v>3</v>
      </c>
      <c r="E209" s="27">
        <v>10900</v>
      </c>
      <c r="F209" s="28">
        <v>14900</v>
      </c>
      <c r="G209" s="28">
        <v>18900</v>
      </c>
      <c r="H209" s="29">
        <v>12900</v>
      </c>
      <c r="I209" s="40">
        <f t="shared" si="32"/>
        <v>9014</v>
      </c>
      <c r="J209" s="40">
        <f t="shared" si="32"/>
        <v>12322</v>
      </c>
      <c r="K209" s="40">
        <f>ROUND(G209*0.827,0)</f>
        <v>15630</v>
      </c>
      <c r="L209" s="40">
        <f t="shared" si="20"/>
        <v>10668</v>
      </c>
      <c r="M209"/>
    </row>
    <row r="210" spans="1:13" s="23" customFormat="1">
      <c r="A210" s="22" t="s">
        <v>389</v>
      </c>
      <c r="B210" s="24" t="s">
        <v>432</v>
      </c>
      <c r="C210" s="25" t="s">
        <v>433</v>
      </c>
      <c r="D210" s="26">
        <v>1</v>
      </c>
      <c r="E210" s="27">
        <v>8500</v>
      </c>
      <c r="F210" s="28" t="s">
        <v>47</v>
      </c>
      <c r="G210" s="28" t="s">
        <v>47</v>
      </c>
      <c r="H210" s="29" t="s">
        <v>47</v>
      </c>
      <c r="I210" s="40">
        <f>ROUND(E210*0.827,0)</f>
        <v>7030</v>
      </c>
      <c r="J210" s="40" t="s">
        <v>47</v>
      </c>
      <c r="K210" s="40" t="s">
        <v>47</v>
      </c>
      <c r="L210" s="40" t="s">
        <v>47</v>
      </c>
      <c r="M210"/>
    </row>
    <row r="211" spans="1:13" s="23" customFormat="1">
      <c r="A211" s="22" t="s">
        <v>389</v>
      </c>
      <c r="B211" s="24" t="s">
        <v>434</v>
      </c>
      <c r="C211" s="25" t="s">
        <v>435</v>
      </c>
      <c r="D211" s="26">
        <v>2</v>
      </c>
      <c r="E211" s="27">
        <v>16800</v>
      </c>
      <c r="F211" s="28" t="s">
        <v>47</v>
      </c>
      <c r="G211" s="28" t="s">
        <v>47</v>
      </c>
      <c r="H211" s="29" t="s">
        <v>47</v>
      </c>
      <c r="I211" s="40">
        <f>ROUND(E211*0.827,0)</f>
        <v>13894</v>
      </c>
      <c r="J211" s="40" t="s">
        <v>47</v>
      </c>
      <c r="K211" s="40" t="s">
        <v>47</v>
      </c>
      <c r="L211" s="40" t="s">
        <v>47</v>
      </c>
      <c r="M211"/>
    </row>
    <row r="212" spans="1:13" s="23" customFormat="1">
      <c r="A212" s="22" t="s">
        <v>389</v>
      </c>
      <c r="B212" s="24" t="s">
        <v>436</v>
      </c>
      <c r="C212" s="25" t="s">
        <v>437</v>
      </c>
      <c r="D212" s="26">
        <v>3</v>
      </c>
      <c r="E212" s="27" t="s">
        <v>47</v>
      </c>
      <c r="F212" s="28">
        <v>25300</v>
      </c>
      <c r="G212" s="28" t="s">
        <v>47</v>
      </c>
      <c r="H212" s="29" t="s">
        <v>47</v>
      </c>
      <c r="I212" s="40" t="s">
        <v>47</v>
      </c>
      <c r="J212" s="40">
        <f>ROUND(F212*0.827,0)</f>
        <v>20923</v>
      </c>
      <c r="K212" s="40" t="s">
        <v>47</v>
      </c>
      <c r="L212" s="40" t="s">
        <v>47</v>
      </c>
      <c r="M212"/>
    </row>
    <row r="213" spans="1:13" s="23" customFormat="1">
      <c r="A213" s="22" t="s">
        <v>389</v>
      </c>
      <c r="B213" s="24" t="s">
        <v>438</v>
      </c>
      <c r="C213" s="25" t="s">
        <v>439</v>
      </c>
      <c r="D213" s="26">
        <v>1</v>
      </c>
      <c r="E213" s="27">
        <v>5100</v>
      </c>
      <c r="F213" s="28" t="s">
        <v>47</v>
      </c>
      <c r="G213" s="28" t="s">
        <v>47</v>
      </c>
      <c r="H213" s="29">
        <v>6900</v>
      </c>
      <c r="I213" s="40">
        <f>ROUND(E213*0.827,0)</f>
        <v>4218</v>
      </c>
      <c r="J213" s="40" t="s">
        <v>47</v>
      </c>
      <c r="K213" s="40" t="s">
        <v>47</v>
      </c>
      <c r="L213" s="40">
        <f t="shared" ref="L213:L218" si="33">ROUND(H213*0.827,0)</f>
        <v>5706</v>
      </c>
      <c r="M213"/>
    </row>
    <row r="214" spans="1:13" s="23" customFormat="1">
      <c r="A214" s="22" t="s">
        <v>389</v>
      </c>
      <c r="B214" s="24" t="s">
        <v>440</v>
      </c>
      <c r="C214" s="25" t="s">
        <v>441</v>
      </c>
      <c r="D214" s="26">
        <v>3</v>
      </c>
      <c r="E214" s="27" t="s">
        <v>47</v>
      </c>
      <c r="F214" s="28">
        <v>16900</v>
      </c>
      <c r="G214" s="28">
        <v>20900</v>
      </c>
      <c r="H214" s="29">
        <v>14900</v>
      </c>
      <c r="I214" s="40" t="s">
        <v>47</v>
      </c>
      <c r="J214" s="40">
        <f>ROUND(F214*0.827,0)</f>
        <v>13976</v>
      </c>
      <c r="K214" s="40">
        <f>ROUND(G214*0.827,0)</f>
        <v>17284</v>
      </c>
      <c r="L214" s="40">
        <f t="shared" si="33"/>
        <v>12322</v>
      </c>
      <c r="M214"/>
    </row>
    <row r="215" spans="1:13" s="23" customFormat="1">
      <c r="A215" s="22" t="s">
        <v>389</v>
      </c>
      <c r="B215" s="24" t="s">
        <v>442</v>
      </c>
      <c r="C215" s="25" t="s">
        <v>443</v>
      </c>
      <c r="D215" s="26">
        <v>2</v>
      </c>
      <c r="E215" s="27" t="s">
        <v>47</v>
      </c>
      <c r="F215" s="28">
        <v>12600</v>
      </c>
      <c r="G215" s="28" t="s">
        <v>47</v>
      </c>
      <c r="H215" s="29">
        <v>10600</v>
      </c>
      <c r="I215" s="40" t="s">
        <v>47</v>
      </c>
      <c r="J215" s="40">
        <f>ROUND(F215*0.827,0)</f>
        <v>10420</v>
      </c>
      <c r="K215" s="40" t="s">
        <v>47</v>
      </c>
      <c r="L215" s="40">
        <f t="shared" si="33"/>
        <v>8766</v>
      </c>
      <c r="M215"/>
    </row>
    <row r="216" spans="1:13" s="23" customFormat="1">
      <c r="A216" s="22" t="s">
        <v>444</v>
      </c>
      <c r="B216" s="24" t="s">
        <v>445</v>
      </c>
      <c r="C216" s="25" t="s">
        <v>446</v>
      </c>
      <c r="D216" s="26" t="s">
        <v>447</v>
      </c>
      <c r="E216" s="27">
        <v>3980</v>
      </c>
      <c r="F216" s="28" t="s">
        <v>47</v>
      </c>
      <c r="G216" s="28" t="s">
        <v>47</v>
      </c>
      <c r="H216" s="29">
        <v>4500</v>
      </c>
      <c r="I216" s="40">
        <f>ROUND(E216*0.827,0)</f>
        <v>3291</v>
      </c>
      <c r="J216" s="40" t="s">
        <v>47</v>
      </c>
      <c r="K216" s="40" t="s">
        <v>47</v>
      </c>
      <c r="L216" s="40">
        <f t="shared" si="33"/>
        <v>3722</v>
      </c>
      <c r="M216"/>
    </row>
    <row r="217" spans="1:13" s="23" customFormat="1">
      <c r="A217" s="22" t="s">
        <v>389</v>
      </c>
      <c r="B217" s="24" t="s">
        <v>448</v>
      </c>
      <c r="C217" s="25" t="s">
        <v>449</v>
      </c>
      <c r="D217" s="26">
        <v>3</v>
      </c>
      <c r="E217" s="27">
        <v>17800</v>
      </c>
      <c r="F217" s="28">
        <v>22000</v>
      </c>
      <c r="G217" s="28">
        <v>26000</v>
      </c>
      <c r="H217" s="29">
        <v>24000</v>
      </c>
      <c r="I217" s="40">
        <f>ROUND(E217*0.827,0)</f>
        <v>14721</v>
      </c>
      <c r="J217" s="40">
        <f>ROUND(F217*0.827,0)</f>
        <v>18194</v>
      </c>
      <c r="K217" s="40">
        <f>ROUND(G217*0.827,0)</f>
        <v>21502</v>
      </c>
      <c r="L217" s="40">
        <f t="shared" si="33"/>
        <v>19848</v>
      </c>
      <c r="M217"/>
    </row>
    <row r="218" spans="1:13" s="23" customFormat="1">
      <c r="A218" s="22" t="s">
        <v>389</v>
      </c>
      <c r="B218" s="24" t="s">
        <v>450</v>
      </c>
      <c r="C218" s="25" t="s">
        <v>451</v>
      </c>
      <c r="D218" s="26">
        <v>4</v>
      </c>
      <c r="E218" s="27">
        <v>15000</v>
      </c>
      <c r="F218" s="28">
        <v>19000</v>
      </c>
      <c r="G218" s="28">
        <v>25000</v>
      </c>
      <c r="H218" s="29">
        <v>17000</v>
      </c>
      <c r="I218" s="40">
        <f>ROUND(E218*0.827,0)</f>
        <v>12405</v>
      </c>
      <c r="J218" s="40">
        <f>ROUND(F218*0.827,0)</f>
        <v>15713</v>
      </c>
      <c r="K218" s="40">
        <f>ROUND(G218*0.827,0)</f>
        <v>20675</v>
      </c>
      <c r="L218" s="40">
        <f t="shared" si="33"/>
        <v>14059</v>
      </c>
      <c r="M218"/>
    </row>
    <row r="219" spans="1:13" s="30" customFormat="1">
      <c r="A219" s="31"/>
      <c r="B219" s="31"/>
      <c r="C219" s="32"/>
      <c r="D219" s="31"/>
      <c r="E219" s="33"/>
      <c r="I219" s="34"/>
      <c r="J219" s="35"/>
      <c r="K219" s="35"/>
      <c r="L219" s="34"/>
      <c r="M219"/>
    </row>
    <row r="220" spans="1:13" customFormat="1"/>
    <row r="221" spans="1:13" customFormat="1"/>
    <row r="222" spans="1:13" customFormat="1"/>
    <row r="223" spans="1:13" customFormat="1"/>
    <row r="224" spans="1:13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</sheetData>
  <phoneticPr fontId="0" type="noConversion"/>
  <printOptions horizontalCentered="1" gridLines="1"/>
  <pageMargins left="0.25" right="0.25" top="0.69" bottom="0.53" header="0.25" footer="0.25"/>
  <pageSetup scale="78" fitToHeight="6" orientation="landscape" r:id="rId1"/>
  <headerFooter alignWithMargins="0">
    <oddHeader>&amp;C&amp;"Times New Roman,Bold"On-Site Classes
Hewlett Packard, GSA Conract GS35F0066N</oddHeader>
    <oddFooter>&amp;R&amp;10&amp;P of &amp;N
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11-25-03</vt:lpstr>
      <vt:lpstr>'11-25-03'!Print_Area</vt:lpstr>
      <vt:lpstr>'11-25-03'!Print_Titles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rainsley</dc:creator>
  <cp:lastModifiedBy>Carina Negreanu</cp:lastModifiedBy>
  <cp:lastPrinted>2004-01-16T14:37:59Z</cp:lastPrinted>
  <dcterms:created xsi:type="dcterms:W3CDTF">2003-10-21T02:48:18Z</dcterms:created>
  <dcterms:modified xsi:type="dcterms:W3CDTF">2020-01-27T11:40:55Z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746965196</vt:i4>
  </property>
  <property fmtid="{D5CDD505-2E9C-101B-9397-08002B2CF9AE}" pid="3" name="_EmailSubject">
    <vt:lpwstr>HP GS35F0066N Education Price List</vt:lpwstr>
  </property>
  <property fmtid="{D5CDD505-2E9C-101B-9397-08002B2CF9AE}" pid="4" name="_AuthorEmail">
    <vt:lpwstr>rick.butterworth@hp.com</vt:lpwstr>
  </property>
  <property fmtid="{D5CDD505-2E9C-101B-9397-08002B2CF9AE}" pid="5" name="_AuthorEmailDisplayName">
    <vt:lpwstr>Butterworth, Rick Grant (Customer Education)</vt:lpwstr>
  </property>
  <property fmtid="{D5CDD505-2E9C-101B-9397-08002B2CF9AE}" pid="6" name="_PreviousAdHocReviewCycleID">
    <vt:i4>-1380982552</vt:i4>
  </property>
  <property fmtid="{D5CDD505-2E9C-101B-9397-08002B2CF9AE}" pid="7" name="_ReviewingToolsShownOnce">
    <vt:lpwstr/>
  </property>
</Properties>
</file>