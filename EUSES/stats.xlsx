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1A2D96-9EE7-441A-891F-F9BB1C18F496}" xr6:coauthVersionLast="45" xr6:coauthVersionMax="45" xr10:uidLastSave="{00000000-0000-0000-0000-000000000000}"/>
  <bookViews>
    <workbookView xWindow="4560" yWindow="4560" windowWidth="28800" windowHeight="15460" activeTab="1"/>
  </bookViews>
  <sheets>
    <sheet name="Library Holdings" sheetId="1" r:id="rId1"/>
    <sheet name="Miscellaneous Collection Stats" sheetId="2" r:id="rId2"/>
    <sheet name="Circulation Service Stats" sheetId="3" r:id="rId3"/>
    <sheet name="Information Service Stats" sheetId="4" r:id="rId4"/>
    <sheet name="Non-Book Service Stats" sheetId="5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3" l="1"/>
  <c r="N8" i="3"/>
  <c r="O20" i="2"/>
  <c r="N20" i="2"/>
  <c r="O27" i="1"/>
  <c r="N27" i="1"/>
  <c r="M31" i="1"/>
  <c r="I31" i="1"/>
  <c r="H31" i="1"/>
  <c r="G31" i="1"/>
  <c r="D31" i="1"/>
  <c r="N31" i="1"/>
  <c r="O31" i="1"/>
  <c r="O5" i="1"/>
  <c r="O29" i="1" s="1"/>
  <c r="O20" i="1"/>
  <c r="N5" i="1"/>
  <c r="N20" i="1"/>
  <c r="N29" i="1" s="1"/>
  <c r="M20" i="1"/>
  <c r="M8" i="3"/>
  <c r="L8" i="3"/>
  <c r="K8" i="3"/>
  <c r="J8" i="3"/>
  <c r="I8" i="3"/>
  <c r="H8" i="3"/>
  <c r="G8" i="3"/>
  <c r="F8" i="3"/>
  <c r="E8" i="3"/>
  <c r="D8" i="3"/>
  <c r="B8" i="3"/>
  <c r="C8" i="3"/>
  <c r="I15" i="4"/>
  <c r="H15" i="4"/>
  <c r="G15" i="4"/>
  <c r="F15" i="4"/>
  <c r="E15" i="4"/>
  <c r="D15" i="4"/>
  <c r="C15" i="4"/>
  <c r="M5" i="1"/>
  <c r="M27" i="1"/>
  <c r="M29" i="1" s="1"/>
  <c r="L5" i="1"/>
  <c r="L31" i="1" s="1"/>
  <c r="L20" i="1"/>
  <c r="L27" i="1"/>
  <c r="L29" i="1"/>
  <c r="K5" i="1"/>
  <c r="K31" i="1" s="1"/>
  <c r="K20" i="1"/>
  <c r="K27" i="1"/>
  <c r="K29" i="1"/>
  <c r="J5" i="1"/>
  <c r="J29" i="1" s="1"/>
  <c r="J20" i="1"/>
  <c r="J27" i="1"/>
  <c r="I5" i="1"/>
  <c r="I29" i="1" s="1"/>
  <c r="I20" i="1"/>
  <c r="I27" i="1"/>
  <c r="H5" i="1"/>
  <c r="H20" i="1"/>
  <c r="H27" i="1"/>
  <c r="H29" i="1"/>
  <c r="G5" i="1"/>
  <c r="G20" i="1"/>
  <c r="G27" i="1"/>
  <c r="G29" i="1"/>
  <c r="F5" i="1"/>
  <c r="F20" i="1"/>
  <c r="F27" i="1"/>
  <c r="F31" i="1" s="1"/>
  <c r="F29" i="1"/>
  <c r="E5" i="1"/>
  <c r="E31" i="1" s="1"/>
  <c r="E27" i="1"/>
  <c r="E29" i="1" s="1"/>
  <c r="D5" i="1"/>
  <c r="D29" i="1" s="1"/>
  <c r="D20" i="1"/>
  <c r="D27" i="1"/>
  <c r="C5" i="1"/>
  <c r="C20" i="1"/>
  <c r="C27" i="1"/>
  <c r="C31" i="1" s="1"/>
  <c r="C29" i="1"/>
  <c r="B5" i="1"/>
  <c r="B31" i="1" s="1"/>
  <c r="B20" i="1"/>
  <c r="B27" i="1"/>
  <c r="B29" i="1"/>
  <c r="M20" i="2"/>
  <c r="L20" i="2"/>
  <c r="K20" i="2"/>
  <c r="J20" i="2"/>
  <c r="I20" i="2"/>
  <c r="H20" i="2"/>
  <c r="G20" i="2"/>
  <c r="F20" i="2"/>
  <c r="E20" i="2"/>
  <c r="D20" i="2"/>
  <c r="C20" i="2"/>
  <c r="B20" i="2"/>
  <c r="J31" i="1" l="1"/>
</calcChain>
</file>

<file path=xl/sharedStrings.xml><?xml version="1.0" encoding="utf-8"?>
<sst xmlns="http://schemas.openxmlformats.org/spreadsheetml/2006/main" count="152" uniqueCount="88">
  <si>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</si>
  <si>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</si>
  <si>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</si>
  <si>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</si>
  <si>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</si>
  <si>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</si>
  <si>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</si>
  <si>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</si>
  <si>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</si>
  <si>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</si>
  <si>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</si>
  <si>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</si>
  <si>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Print Collection</t>
  </si>
  <si>
    <t xml:space="preserve">   Total</t>
  </si>
  <si>
    <t>Non-Print Collection</t>
  </si>
  <si>
    <t xml:space="preserve">   Audiocassettes</t>
  </si>
  <si>
    <t xml:space="preserve">   Phonograph records</t>
  </si>
  <si>
    <t xml:space="preserve">   Films</t>
  </si>
  <si>
    <t xml:space="preserve">   Filmstrips</t>
  </si>
  <si>
    <t xml:space="preserve">   Kits</t>
  </si>
  <si>
    <t xml:space="preserve">   Slide Sets</t>
  </si>
  <si>
    <t xml:space="preserve">   Videocassettes</t>
  </si>
  <si>
    <t xml:space="preserve">   Microfilm</t>
  </si>
  <si>
    <t xml:space="preserve">   Other Microtext</t>
  </si>
  <si>
    <t xml:space="preserve">   Computer Files</t>
  </si>
  <si>
    <t>Uncataloged Collections</t>
  </si>
  <si>
    <t xml:space="preserve">   College Catalogs</t>
  </si>
  <si>
    <t xml:space="preserve">   Telephone Directories</t>
  </si>
  <si>
    <t xml:space="preserve">   Vertical File Items</t>
  </si>
  <si>
    <t xml:space="preserve">   Uncataloged Books</t>
  </si>
  <si>
    <t>Total Number of Items</t>
  </si>
  <si>
    <t>Serial Subscriptions Paid</t>
  </si>
  <si>
    <t>Days Library was Open</t>
  </si>
  <si>
    <t>Persons Entering Library</t>
  </si>
  <si>
    <t>General Circulation</t>
  </si>
  <si>
    <t xml:space="preserve">   Faculty/Staff</t>
  </si>
  <si>
    <t xml:space="preserve">   Student/Other</t>
  </si>
  <si>
    <t>Reserve Circulation</t>
  </si>
  <si>
    <t>Billing Letters Sent</t>
  </si>
  <si>
    <t>Reference Transactions</t>
  </si>
  <si>
    <t>Class Presentations</t>
  </si>
  <si>
    <t>ILL Requests from UTC</t>
  </si>
  <si>
    <t xml:space="preserve">   Initiated</t>
  </si>
  <si>
    <t xml:space="preserve">   Filled</t>
  </si>
  <si>
    <t>ILL Requests to UTC</t>
  </si>
  <si>
    <t xml:space="preserve">   Received</t>
  </si>
  <si>
    <t>User Service Requests</t>
  </si>
  <si>
    <t>User Previews</t>
  </si>
  <si>
    <t>AV Materials Circulation</t>
  </si>
  <si>
    <t>AV Equipment Circulation</t>
  </si>
  <si>
    <t>Microform Copies Made</t>
  </si>
  <si>
    <t>Transparencies Made</t>
  </si>
  <si>
    <t>Volumes Bound</t>
  </si>
  <si>
    <t>Gifts Received</t>
  </si>
  <si>
    <t xml:space="preserve">   Other</t>
  </si>
  <si>
    <t xml:space="preserve">   Books</t>
  </si>
  <si>
    <t xml:space="preserve">   UTC Archives</t>
  </si>
  <si>
    <t xml:space="preserve">   Special Collections</t>
  </si>
  <si>
    <t xml:space="preserve">   Southern Writer's Archive</t>
  </si>
  <si>
    <t xml:space="preserve">   Compact Disks</t>
  </si>
  <si>
    <t xml:space="preserve">   Journal Issues</t>
  </si>
  <si>
    <t xml:space="preserve">   Pamphlets</t>
  </si>
  <si>
    <t xml:space="preserve">   Slides</t>
  </si>
  <si>
    <t xml:space="preserve">   Subscriptions</t>
  </si>
  <si>
    <t xml:space="preserve">   Videorecordings</t>
  </si>
  <si>
    <t>Special Collections / Archives</t>
  </si>
  <si>
    <t>AV Material Pickup and Deliveries</t>
  </si>
  <si>
    <t xml:space="preserve">   LP's</t>
  </si>
  <si>
    <t xml:space="preserve">   Reel-to-Reel Tapes</t>
  </si>
  <si>
    <t xml:space="preserve">   Bound Journal Volumes</t>
  </si>
  <si>
    <t xml:space="preserve">   Books/Journal titles</t>
  </si>
  <si>
    <t>2001-2002</t>
  </si>
  <si>
    <t>Items Placed on Reserve</t>
  </si>
  <si>
    <t>Overdue Notices Sent</t>
  </si>
  <si>
    <t>2002-2003</t>
  </si>
  <si>
    <t>DIALOG Database Searches</t>
  </si>
  <si>
    <t xml:space="preserve">   DVDs</t>
  </si>
  <si>
    <t>Laptop Computer Loans</t>
  </si>
  <si>
    <t xml:space="preserve">   E-mail Questions</t>
  </si>
  <si>
    <t xml:space="preserve">   Students taught</t>
  </si>
  <si>
    <t>Total ACRL Volumes*</t>
  </si>
  <si>
    <t xml:space="preserve">   *ACRL converts microtext items to volume equivalents according to the ratio of 10 microtext items to 1 volume.</t>
  </si>
  <si>
    <t>Online Database Searches*</t>
  </si>
  <si>
    <t>*Online Database Searches represents the total number of searches, as recorded by database vendors, where available.</t>
  </si>
  <si>
    <t>n/a</t>
  </si>
  <si>
    <t>deprecated</t>
  </si>
  <si>
    <t xml:space="preserve">   Periodicals &amp; Newspapers</t>
  </si>
  <si>
    <t xml:space="preserve">   Magazines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</si>
</sst>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0" fillId="2" borderId="0" xfId="0" applyFill="1"/>
    <xf numFmtId="3" fontId="0" fillId="2" borderId="0" xfId="0" applyNumberFormat="1" applyFill="1"/>
    <xf numFmtId="3" fontId="1" fillId="2" borderId="0" xfId="0" applyNumberFormat="1" applyFont="1" applyFill="1"/>
    <xf numFmtId="3" fontId="0" fillId="0" borderId="0" xfId="0" applyNumberFormat="1" applyFill="1"/>
    <xf numFmtId="0" fontId="0" fillId="0" borderId="0" xfId="0" applyNumberFormat="1" applyAlignment="1">
      <alignment vertical="center"/>
    </xf>
    <xf numFmtId="3" fontId="1" fillId="0" borderId="0" xfId="0" applyNumberFormat="1" applyFont="1" applyFill="1"/>
    <xf numFmtId="3" fontId="0" fillId="0" borderId="0" xfId="0" applyNumberFormat="1" applyAlignment="1">
      <alignment horizontal="right"/>
    </xf>
    <xf numFmtId="3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topLeftCell="N7" workbookViewId="0">
      <selection activeCell="A32" sqref="A32"/>
    </sheetView>
  </sheetViews>
  <sheetFormatPr defaultRowHeight="12.5" x14ac:dyDescent="0.25"/>
  <cols>
    <col min="1" max="1" width="22.7265625" bestFit="1" customWidth="1"/>
    <col min="14" max="14" width="9.453125" customWidth="1"/>
    <col min="15" max="15" width="10.72656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71</v>
      </c>
      <c r="O1" s="7" t="s">
        <v>74</v>
      </c>
    </row>
    <row r="2" spans="1:15" x14ac:dyDescent="0.25">
      <c r="A2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x14ac:dyDescent="0.25">
      <c r="A3" t="s">
        <v>70</v>
      </c>
      <c r="B3" s="1">
        <v>332466</v>
      </c>
      <c r="C3" s="1">
        <v>341550</v>
      </c>
      <c r="D3" s="1">
        <v>347252</v>
      </c>
      <c r="E3" s="1">
        <v>354175</v>
      </c>
      <c r="F3" s="1">
        <v>361055</v>
      </c>
      <c r="G3" s="1">
        <v>367690</v>
      </c>
      <c r="H3" s="1">
        <v>373139</v>
      </c>
      <c r="I3" s="1">
        <v>379570</v>
      </c>
      <c r="J3" s="1">
        <v>386515</v>
      </c>
      <c r="K3" s="1">
        <v>389964</v>
      </c>
      <c r="L3" s="1">
        <v>393677</v>
      </c>
      <c r="M3" s="1">
        <v>399796</v>
      </c>
      <c r="N3" s="1">
        <v>398793</v>
      </c>
      <c r="O3" s="1">
        <v>405181</v>
      </c>
    </row>
    <row r="4" spans="1:15" x14ac:dyDescent="0.25">
      <c r="A4" t="s">
        <v>69</v>
      </c>
      <c r="B4" s="1">
        <v>60247</v>
      </c>
      <c r="C4" s="1">
        <v>63205</v>
      </c>
      <c r="D4" s="1">
        <v>66689</v>
      </c>
      <c r="E4" s="1">
        <v>70097</v>
      </c>
      <c r="F4" s="1">
        <v>72596</v>
      </c>
      <c r="G4" s="1">
        <v>75051</v>
      </c>
      <c r="H4" s="1">
        <v>76009</v>
      </c>
      <c r="I4" s="1">
        <v>78209</v>
      </c>
      <c r="J4" s="1">
        <v>81169</v>
      </c>
      <c r="K4" s="1">
        <v>83083</v>
      </c>
      <c r="L4" s="1">
        <v>85330</v>
      </c>
      <c r="M4" s="1">
        <v>87182</v>
      </c>
      <c r="N4" s="1">
        <v>88928</v>
      </c>
      <c r="O4" s="1">
        <v>90913</v>
      </c>
    </row>
    <row r="5" spans="1:15" x14ac:dyDescent="0.25">
      <c r="A5" t="s">
        <v>13</v>
      </c>
      <c r="B5" s="1">
        <f>SUM(B3:B4)</f>
        <v>392713</v>
      </c>
      <c r="C5" s="1">
        <f t="shared" ref="C5:M5" si="0">SUM(C3:C4)</f>
        <v>404755</v>
      </c>
      <c r="D5" s="1">
        <f t="shared" si="0"/>
        <v>413941</v>
      </c>
      <c r="E5" s="1">
        <f t="shared" si="0"/>
        <v>424272</v>
      </c>
      <c r="F5" s="1">
        <f t="shared" si="0"/>
        <v>433651</v>
      </c>
      <c r="G5" s="1">
        <f t="shared" si="0"/>
        <v>442741</v>
      </c>
      <c r="H5" s="1">
        <f t="shared" si="0"/>
        <v>449148</v>
      </c>
      <c r="I5" s="1">
        <f t="shared" si="0"/>
        <v>457779</v>
      </c>
      <c r="J5" s="1">
        <f t="shared" si="0"/>
        <v>467684</v>
      </c>
      <c r="K5" s="1">
        <f t="shared" si="0"/>
        <v>473047</v>
      </c>
      <c r="L5" s="1">
        <f t="shared" si="0"/>
        <v>479007</v>
      </c>
      <c r="M5" s="1">
        <f t="shared" si="0"/>
        <v>486978</v>
      </c>
      <c r="N5" s="1">
        <f>SUM(N3:N4)</f>
        <v>487721</v>
      </c>
      <c r="O5" s="1">
        <f>SUM(O3:O4)</f>
        <v>496094</v>
      </c>
    </row>
    <row r="6" spans="1:15" s="3" customFormat="1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5" x14ac:dyDescent="0.25">
      <c r="A7" t="s">
        <v>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x14ac:dyDescent="0.25">
      <c r="A8" t="s">
        <v>15</v>
      </c>
      <c r="B8" s="1">
        <v>730</v>
      </c>
      <c r="C8" s="1">
        <v>837</v>
      </c>
      <c r="D8" s="1">
        <v>1018</v>
      </c>
      <c r="E8" s="1">
        <v>1397</v>
      </c>
      <c r="F8" s="1">
        <v>1668</v>
      </c>
      <c r="G8" s="1">
        <v>1829</v>
      </c>
      <c r="H8" s="1">
        <v>2223</v>
      </c>
      <c r="I8" s="1">
        <v>2252</v>
      </c>
      <c r="J8" s="1">
        <v>2268</v>
      </c>
      <c r="K8" s="1">
        <v>2295</v>
      </c>
      <c r="L8" s="1">
        <v>2340</v>
      </c>
      <c r="M8" s="1">
        <v>2340</v>
      </c>
      <c r="N8" s="1">
        <v>2340</v>
      </c>
      <c r="O8" s="1">
        <v>2112</v>
      </c>
    </row>
    <row r="9" spans="1:15" x14ac:dyDescent="0.25">
      <c r="A9" t="s">
        <v>59</v>
      </c>
      <c r="B9" s="1"/>
      <c r="C9" s="1"/>
      <c r="D9" s="1"/>
      <c r="E9" s="1"/>
      <c r="F9" s="1">
        <v>376</v>
      </c>
      <c r="G9" s="1">
        <v>506</v>
      </c>
      <c r="H9" s="1">
        <v>725</v>
      </c>
      <c r="I9" s="1">
        <v>843</v>
      </c>
      <c r="J9" s="1">
        <v>955</v>
      </c>
      <c r="K9" s="1">
        <v>1037</v>
      </c>
      <c r="L9" s="1">
        <v>1350</v>
      </c>
      <c r="M9" s="1">
        <v>1552</v>
      </c>
      <c r="N9" s="1">
        <v>1562</v>
      </c>
      <c r="O9" s="1">
        <v>1745</v>
      </c>
    </row>
    <row r="10" spans="1:15" x14ac:dyDescent="0.25">
      <c r="A10" t="s">
        <v>76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43</v>
      </c>
      <c r="O10" s="1">
        <v>50</v>
      </c>
    </row>
    <row r="11" spans="1:15" x14ac:dyDescent="0.25">
      <c r="A11" t="s">
        <v>16</v>
      </c>
      <c r="B11" s="1">
        <v>4502</v>
      </c>
      <c r="C11" s="1">
        <v>4507</v>
      </c>
      <c r="D11" s="1">
        <v>4651</v>
      </c>
      <c r="E11" s="1">
        <v>4831</v>
      </c>
      <c r="F11" s="1">
        <v>4831</v>
      </c>
      <c r="G11" s="1">
        <v>4891</v>
      </c>
      <c r="H11" s="1">
        <v>4896</v>
      </c>
      <c r="I11" s="1">
        <v>5125</v>
      </c>
      <c r="J11" s="1">
        <v>5190</v>
      </c>
      <c r="K11" s="1">
        <v>5502</v>
      </c>
      <c r="L11" s="1">
        <v>5228</v>
      </c>
      <c r="M11" s="1">
        <v>6501</v>
      </c>
      <c r="N11" s="1">
        <v>6501</v>
      </c>
      <c r="O11" s="1">
        <v>7090</v>
      </c>
    </row>
    <row r="12" spans="1:15" x14ac:dyDescent="0.25">
      <c r="A12" t="s">
        <v>17</v>
      </c>
      <c r="B12" s="1">
        <v>793</v>
      </c>
      <c r="C12" s="1">
        <v>793</v>
      </c>
      <c r="D12" s="1">
        <v>792</v>
      </c>
      <c r="E12" s="1">
        <v>802</v>
      </c>
      <c r="F12" s="1">
        <v>802</v>
      </c>
      <c r="G12" s="1">
        <v>802</v>
      </c>
      <c r="H12" s="1">
        <v>446</v>
      </c>
      <c r="I12" s="1">
        <v>446</v>
      </c>
      <c r="J12" s="1">
        <v>446</v>
      </c>
      <c r="K12" s="1">
        <v>415</v>
      </c>
      <c r="L12" s="1">
        <v>272</v>
      </c>
      <c r="M12" s="1">
        <v>265</v>
      </c>
      <c r="N12" s="1">
        <v>265</v>
      </c>
      <c r="O12" s="1">
        <v>265</v>
      </c>
    </row>
    <row r="13" spans="1:15" x14ac:dyDescent="0.25">
      <c r="A13" t="s">
        <v>18</v>
      </c>
      <c r="B13" s="1">
        <v>414</v>
      </c>
      <c r="C13" s="1">
        <v>424</v>
      </c>
      <c r="D13" s="1">
        <v>460</v>
      </c>
      <c r="E13" s="1">
        <v>432</v>
      </c>
      <c r="F13" s="1">
        <v>432</v>
      </c>
      <c r="G13" s="1">
        <v>432</v>
      </c>
      <c r="H13" s="1">
        <v>430</v>
      </c>
      <c r="I13" s="1">
        <v>430</v>
      </c>
      <c r="J13" s="1">
        <v>430</v>
      </c>
      <c r="K13" s="1">
        <v>430</v>
      </c>
      <c r="L13" s="1">
        <v>397</v>
      </c>
      <c r="M13" s="1">
        <v>373</v>
      </c>
      <c r="N13" s="1">
        <v>373</v>
      </c>
      <c r="O13" s="1">
        <v>373</v>
      </c>
    </row>
    <row r="14" spans="1:15" x14ac:dyDescent="0.25">
      <c r="A14" t="s">
        <v>19</v>
      </c>
      <c r="B14" s="1">
        <v>57</v>
      </c>
      <c r="C14" s="1">
        <v>57</v>
      </c>
      <c r="D14" s="1">
        <v>57</v>
      </c>
      <c r="E14" s="1">
        <v>83</v>
      </c>
      <c r="F14" s="1">
        <v>83</v>
      </c>
      <c r="G14" s="1">
        <v>83</v>
      </c>
      <c r="H14" s="1">
        <v>86</v>
      </c>
      <c r="I14" s="1">
        <v>86</v>
      </c>
      <c r="J14" s="1">
        <v>85</v>
      </c>
      <c r="K14" s="1">
        <v>85</v>
      </c>
      <c r="L14" s="1">
        <v>85</v>
      </c>
      <c r="M14" s="1">
        <v>85</v>
      </c>
      <c r="N14" s="1">
        <v>85</v>
      </c>
      <c r="O14" s="1">
        <v>85</v>
      </c>
    </row>
    <row r="15" spans="1:15" x14ac:dyDescent="0.25">
      <c r="A15" t="s">
        <v>20</v>
      </c>
      <c r="B15" s="1">
        <v>113</v>
      </c>
      <c r="C15" s="1">
        <v>122</v>
      </c>
      <c r="D15" s="1">
        <v>125</v>
      </c>
      <c r="E15" s="1">
        <v>126</v>
      </c>
      <c r="F15" s="1">
        <v>126</v>
      </c>
      <c r="G15" s="1">
        <v>126</v>
      </c>
      <c r="H15" s="1">
        <v>113</v>
      </c>
      <c r="I15" s="1">
        <v>113</v>
      </c>
      <c r="J15" s="1">
        <v>113</v>
      </c>
      <c r="K15" s="1">
        <v>113</v>
      </c>
      <c r="L15" s="1">
        <v>108</v>
      </c>
      <c r="M15" s="1">
        <v>23</v>
      </c>
      <c r="N15" s="1">
        <v>23</v>
      </c>
      <c r="O15" s="1">
        <v>23</v>
      </c>
    </row>
    <row r="16" spans="1:15" x14ac:dyDescent="0.25">
      <c r="A16" t="s">
        <v>21</v>
      </c>
      <c r="B16" s="1">
        <v>1543</v>
      </c>
      <c r="C16" s="1">
        <v>1706</v>
      </c>
      <c r="D16" s="1">
        <v>1962</v>
      </c>
      <c r="E16" s="1">
        <v>2431</v>
      </c>
      <c r="F16" s="1">
        <v>2724</v>
      </c>
      <c r="G16" s="1">
        <v>3231</v>
      </c>
      <c r="H16" s="1">
        <v>3636</v>
      </c>
      <c r="I16" s="1">
        <v>4120</v>
      </c>
      <c r="J16" s="1">
        <v>4575</v>
      </c>
      <c r="K16" s="1">
        <v>4935</v>
      </c>
      <c r="L16" s="1">
        <v>5668</v>
      </c>
      <c r="M16" s="1">
        <v>6058</v>
      </c>
      <c r="N16" s="1">
        <v>6079</v>
      </c>
      <c r="O16" s="1">
        <v>6431</v>
      </c>
    </row>
    <row r="17" spans="1:15" x14ac:dyDescent="0.25">
      <c r="A17" t="s">
        <v>24</v>
      </c>
      <c r="B17" s="1">
        <v>16</v>
      </c>
      <c r="C17" s="1">
        <v>22</v>
      </c>
      <c r="D17" s="1">
        <v>22</v>
      </c>
      <c r="E17" s="1">
        <v>288</v>
      </c>
      <c r="F17" s="1">
        <v>26</v>
      </c>
      <c r="G17" s="1">
        <v>32</v>
      </c>
      <c r="H17" s="1">
        <v>36</v>
      </c>
      <c r="I17" s="1">
        <v>39</v>
      </c>
      <c r="J17" s="1">
        <v>40</v>
      </c>
      <c r="K17" s="1">
        <v>111</v>
      </c>
      <c r="L17" s="1">
        <v>122</v>
      </c>
      <c r="M17" s="1">
        <v>126</v>
      </c>
      <c r="N17" s="1">
        <v>127</v>
      </c>
      <c r="O17" s="1">
        <v>250</v>
      </c>
    </row>
    <row r="18" spans="1:15" x14ac:dyDescent="0.25">
      <c r="A18" t="s">
        <v>22</v>
      </c>
      <c r="B18" s="1">
        <v>21769</v>
      </c>
      <c r="C18" s="1">
        <v>22100</v>
      </c>
      <c r="D18" s="1">
        <v>22509</v>
      </c>
      <c r="E18" s="1">
        <v>22803</v>
      </c>
      <c r="F18" s="1">
        <v>23095</v>
      </c>
      <c r="G18" s="1">
        <v>23265</v>
      </c>
      <c r="H18" s="1">
        <v>23538</v>
      </c>
      <c r="I18" s="1">
        <v>23820</v>
      </c>
      <c r="J18" s="1">
        <v>24138</v>
      </c>
      <c r="K18" s="1">
        <v>24495</v>
      </c>
      <c r="L18" s="1">
        <v>24958</v>
      </c>
      <c r="M18" s="1">
        <v>25350</v>
      </c>
      <c r="N18" s="1">
        <v>25411</v>
      </c>
      <c r="O18" s="1">
        <v>25686</v>
      </c>
    </row>
    <row r="19" spans="1:15" x14ac:dyDescent="0.25">
      <c r="A19" t="s">
        <v>23</v>
      </c>
      <c r="B19" s="1">
        <v>938487</v>
      </c>
      <c r="C19" s="1">
        <v>975388</v>
      </c>
      <c r="D19" s="1">
        <v>1023796</v>
      </c>
      <c r="E19" s="1">
        <v>1060702</v>
      </c>
      <c r="F19" s="1">
        <v>1087730</v>
      </c>
      <c r="G19" s="1">
        <v>1115394</v>
      </c>
      <c r="H19" s="1">
        <v>1145541</v>
      </c>
      <c r="I19" s="1">
        <v>1166367</v>
      </c>
      <c r="J19" s="1">
        <v>1192994</v>
      </c>
      <c r="K19" s="1">
        <v>1214432</v>
      </c>
      <c r="L19" s="1">
        <v>1233820</v>
      </c>
      <c r="M19" s="1">
        <v>1252857</v>
      </c>
      <c r="N19" s="1">
        <v>1254694</v>
      </c>
      <c r="O19" s="1">
        <v>1268804</v>
      </c>
    </row>
    <row r="20" spans="1:15" x14ac:dyDescent="0.25">
      <c r="A20" t="s">
        <v>13</v>
      </c>
      <c r="B20" s="1">
        <f>SUM(B8:B19)</f>
        <v>968424</v>
      </c>
      <c r="C20" s="1">
        <f>SUM(C8:C19)</f>
        <v>1005956</v>
      </c>
      <c r="D20" s="1">
        <f>SUM(D8:D19)</f>
        <v>1055392</v>
      </c>
      <c r="E20" s="1">
        <v>1093895</v>
      </c>
      <c r="F20" s="1">
        <f t="shared" ref="F20:M20" si="1">SUM(F8:F19)</f>
        <v>1121893</v>
      </c>
      <c r="G20" s="1">
        <f t="shared" si="1"/>
        <v>1150591</v>
      </c>
      <c r="H20" s="1">
        <f t="shared" si="1"/>
        <v>1181670</v>
      </c>
      <c r="I20" s="1">
        <f t="shared" si="1"/>
        <v>1203641</v>
      </c>
      <c r="J20" s="1">
        <f t="shared" si="1"/>
        <v>1231234</v>
      </c>
      <c r="K20" s="1">
        <f t="shared" si="1"/>
        <v>1253850</v>
      </c>
      <c r="L20" s="1">
        <f t="shared" si="1"/>
        <v>1274348</v>
      </c>
      <c r="M20" s="1">
        <f t="shared" si="1"/>
        <v>1295530</v>
      </c>
      <c r="N20" s="1">
        <f>SUM(N8:N19)</f>
        <v>1297503</v>
      </c>
      <c r="O20" s="1">
        <f>SUM(O8:O19)</f>
        <v>1312914</v>
      </c>
    </row>
    <row r="21" spans="1:15" s="3" customForma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5" x14ac:dyDescent="0.25">
      <c r="A22" t="s">
        <v>25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5" x14ac:dyDescent="0.25">
      <c r="A23" t="s">
        <v>26</v>
      </c>
      <c r="B23" s="1">
        <v>969</v>
      </c>
      <c r="C23" s="1">
        <v>1164</v>
      </c>
      <c r="D23" s="1">
        <v>1147</v>
      </c>
      <c r="E23" s="1">
        <v>1171</v>
      </c>
      <c r="F23" s="1">
        <v>293</v>
      </c>
      <c r="G23" s="1">
        <v>52</v>
      </c>
      <c r="H23" s="1">
        <v>52</v>
      </c>
      <c r="I23" s="1">
        <v>67</v>
      </c>
      <c r="J23" s="1">
        <v>101</v>
      </c>
      <c r="K23" s="1">
        <v>104</v>
      </c>
      <c r="L23" s="1">
        <v>104</v>
      </c>
      <c r="M23" s="1">
        <v>0</v>
      </c>
      <c r="N23" s="1">
        <v>0</v>
      </c>
      <c r="O23" s="1">
        <v>0</v>
      </c>
    </row>
    <row r="24" spans="1:15" x14ac:dyDescent="0.25">
      <c r="A24" t="s">
        <v>27</v>
      </c>
      <c r="B24" s="1">
        <v>181</v>
      </c>
      <c r="C24" s="1">
        <v>153</v>
      </c>
      <c r="D24" s="1">
        <v>154</v>
      </c>
      <c r="E24" s="1">
        <v>154</v>
      </c>
      <c r="F24" s="1">
        <v>154</v>
      </c>
      <c r="G24" s="1"/>
      <c r="H24" s="1"/>
      <c r="I24" s="1"/>
      <c r="J24" s="1"/>
      <c r="K24" s="1"/>
      <c r="L24" s="1"/>
      <c r="M24" s="1"/>
    </row>
    <row r="25" spans="1:15" x14ac:dyDescent="0.25">
      <c r="A25" t="s">
        <v>28</v>
      </c>
      <c r="B25" s="1">
        <v>9711</v>
      </c>
      <c r="C25" s="1">
        <v>9886</v>
      </c>
      <c r="D25" s="1">
        <v>10589</v>
      </c>
      <c r="E25" s="1">
        <v>11441</v>
      </c>
      <c r="F25" s="1">
        <v>12203</v>
      </c>
      <c r="G25" s="1">
        <v>10707</v>
      </c>
      <c r="H25" s="1">
        <v>10805</v>
      </c>
      <c r="I25" s="1">
        <v>10633</v>
      </c>
      <c r="J25" s="1">
        <v>2942</v>
      </c>
      <c r="K25" s="1">
        <v>754</v>
      </c>
      <c r="L25" s="1">
        <v>809</v>
      </c>
      <c r="M25" s="1">
        <v>955</v>
      </c>
      <c r="N25" s="1">
        <v>975</v>
      </c>
      <c r="O25" s="1">
        <v>975</v>
      </c>
    </row>
    <row r="26" spans="1:15" x14ac:dyDescent="0.25">
      <c r="A26" t="s">
        <v>29</v>
      </c>
      <c r="B26" s="1">
        <v>6111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5" x14ac:dyDescent="0.25">
      <c r="A27" t="s">
        <v>13</v>
      </c>
      <c r="B27" s="1">
        <f>SUM(B23:B26)</f>
        <v>16972</v>
      </c>
      <c r="C27" s="1">
        <f t="shared" ref="C27:M27" si="2">SUM(C23:C26)</f>
        <v>11203</v>
      </c>
      <c r="D27" s="1">
        <f t="shared" si="2"/>
        <v>11890</v>
      </c>
      <c r="E27" s="1">
        <f t="shared" si="2"/>
        <v>12766</v>
      </c>
      <c r="F27" s="1">
        <f t="shared" si="2"/>
        <v>12650</v>
      </c>
      <c r="G27" s="1">
        <f t="shared" si="2"/>
        <v>10759</v>
      </c>
      <c r="H27" s="1">
        <f t="shared" si="2"/>
        <v>10857</v>
      </c>
      <c r="I27" s="1">
        <f t="shared" si="2"/>
        <v>10700</v>
      </c>
      <c r="J27" s="1">
        <f t="shared" si="2"/>
        <v>3043</v>
      </c>
      <c r="K27" s="1">
        <f t="shared" si="2"/>
        <v>858</v>
      </c>
      <c r="L27" s="1">
        <f t="shared" si="2"/>
        <v>913</v>
      </c>
      <c r="M27" s="1">
        <f t="shared" si="2"/>
        <v>955</v>
      </c>
      <c r="N27">
        <f>SUM(N23:N26)</f>
        <v>975</v>
      </c>
      <c r="O27">
        <f>SUM(O23:O26)</f>
        <v>975</v>
      </c>
    </row>
    <row r="28" spans="1:15" s="3" customFormat="1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5" x14ac:dyDescent="0.25">
      <c r="A29" t="s">
        <v>30</v>
      </c>
      <c r="B29" s="1">
        <f t="shared" ref="B29:M29" si="3">B5+B20+B27</f>
        <v>1378109</v>
      </c>
      <c r="C29" s="1">
        <f t="shared" si="3"/>
        <v>1421914</v>
      </c>
      <c r="D29" s="1">
        <f t="shared" si="3"/>
        <v>1481223</v>
      </c>
      <c r="E29" s="1">
        <f t="shared" si="3"/>
        <v>1530933</v>
      </c>
      <c r="F29" s="1">
        <f t="shared" si="3"/>
        <v>1568194</v>
      </c>
      <c r="G29" s="1">
        <f t="shared" si="3"/>
        <v>1604091</v>
      </c>
      <c r="H29" s="1">
        <f t="shared" si="3"/>
        <v>1641675</v>
      </c>
      <c r="I29" s="1">
        <f t="shared" si="3"/>
        <v>1672120</v>
      </c>
      <c r="J29" s="1">
        <f t="shared" si="3"/>
        <v>1701961</v>
      </c>
      <c r="K29" s="1">
        <f t="shared" si="3"/>
        <v>1727755</v>
      </c>
      <c r="L29" s="1">
        <f t="shared" si="3"/>
        <v>1754268</v>
      </c>
      <c r="M29" s="1">
        <f t="shared" si="3"/>
        <v>1783463</v>
      </c>
      <c r="N29" s="1">
        <f>N5+N20+N27</f>
        <v>1786199</v>
      </c>
      <c r="O29" s="1">
        <f>O5+O20+O27</f>
        <v>1809983</v>
      </c>
    </row>
    <row r="30" spans="1:15" s="3" customFormat="1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5" x14ac:dyDescent="0.25">
      <c r="A31" t="s">
        <v>80</v>
      </c>
      <c r="B31" s="1">
        <f>(B19/10)+(SUM(B8:B18))+B5+B27</f>
        <v>533470.69999999995</v>
      </c>
      <c r="C31" s="1">
        <f>(C19/10)+(SUM(C8:C18))+C5+C27</f>
        <v>544064.80000000005</v>
      </c>
      <c r="D31" s="1">
        <f t="shared" ref="D31:M31" si="4">(D19/10)+(SUM(D8:D18))+D5+D27</f>
        <v>559806.6</v>
      </c>
      <c r="E31" s="1">
        <f t="shared" si="4"/>
        <v>576301.19999999995</v>
      </c>
      <c r="F31" s="1">
        <f t="shared" si="4"/>
        <v>589237</v>
      </c>
      <c r="G31" s="1">
        <f t="shared" si="4"/>
        <v>600236.4</v>
      </c>
      <c r="H31" s="1">
        <f t="shared" si="4"/>
        <v>610688.1</v>
      </c>
      <c r="I31" s="1">
        <f t="shared" si="4"/>
        <v>622389.69999999995</v>
      </c>
      <c r="J31" s="1">
        <f t="shared" si="4"/>
        <v>628266.4</v>
      </c>
      <c r="K31" s="1">
        <f t="shared" si="4"/>
        <v>634766.19999999995</v>
      </c>
      <c r="L31" s="1">
        <f t="shared" si="4"/>
        <v>643830</v>
      </c>
      <c r="M31" s="1">
        <f t="shared" si="4"/>
        <v>655891.69999999995</v>
      </c>
      <c r="N31" s="1">
        <f>(N19/10)+(SUM(N8:N18))+N5+N27</f>
        <v>656974.4</v>
      </c>
      <c r="O31" s="1">
        <f>(O19/10)+(SUM(O8:O18))+O5+O27</f>
        <v>668059.4</v>
      </c>
    </row>
    <row r="32" spans="1:15" x14ac:dyDescent="0.25">
      <c r="A32" t="s">
        <v>81</v>
      </c>
    </row>
  </sheetData>
  <phoneticPr fontId="0" type="noConversion"/>
  <printOptions headings="1" gridLines="1"/>
  <pageMargins left="0.75" right="0.75" top="1" bottom="1" header="0.5" footer="0.5"/>
  <pageSetup scale="5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pane xSplit="1" ySplit="1" topLeftCell="E4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2.5" x14ac:dyDescent="0.25"/>
  <cols>
    <col min="1" max="1" width="23.5429687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71</v>
      </c>
      <c r="O1" t="s">
        <v>74</v>
      </c>
    </row>
    <row r="2" spans="1:15" x14ac:dyDescent="0.25">
      <c r="A2" t="s">
        <v>31</v>
      </c>
      <c r="B2" s="1">
        <v>2876</v>
      </c>
      <c r="C2" s="1">
        <v>3079</v>
      </c>
      <c r="D2" s="1">
        <v>3007</v>
      </c>
      <c r="E2" s="1">
        <v>3018</v>
      </c>
      <c r="F2" s="1">
        <v>3040</v>
      </c>
      <c r="G2" s="1">
        <v>3055</v>
      </c>
      <c r="H2" s="1">
        <v>2679</v>
      </c>
      <c r="I2" s="1">
        <v>2684</v>
      </c>
      <c r="J2" s="1">
        <v>2737</v>
      </c>
      <c r="K2" s="1">
        <v>2768</v>
      </c>
      <c r="L2" s="1">
        <v>2768</v>
      </c>
      <c r="M2" s="1">
        <v>2768</v>
      </c>
      <c r="O2" s="1">
        <v>2187</v>
      </c>
    </row>
    <row r="3" spans="1:15" s="3" customForma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25">
      <c r="A4" t="s">
        <v>52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x14ac:dyDescent="0.25">
      <c r="A5" t="s">
        <v>55</v>
      </c>
      <c r="B5" s="1">
        <v>2515</v>
      </c>
      <c r="C5" s="1">
        <v>1480</v>
      </c>
      <c r="D5" s="1">
        <v>1526</v>
      </c>
      <c r="E5" s="1">
        <v>1938</v>
      </c>
      <c r="F5" s="1">
        <v>1806</v>
      </c>
      <c r="G5" s="1">
        <v>1461</v>
      </c>
      <c r="H5" s="1">
        <v>958</v>
      </c>
      <c r="I5" s="1">
        <v>973</v>
      </c>
      <c r="J5" s="1">
        <v>926</v>
      </c>
      <c r="K5" s="1">
        <v>625</v>
      </c>
      <c r="L5" s="1">
        <v>702</v>
      </c>
      <c r="M5" s="1">
        <v>471</v>
      </c>
      <c r="N5" s="1">
        <v>419</v>
      </c>
      <c r="O5" s="1">
        <v>962</v>
      </c>
    </row>
    <row r="6" spans="1:15" x14ac:dyDescent="0.25">
      <c r="A6" t="s">
        <v>86</v>
      </c>
      <c r="B6" s="1">
        <v>2392</v>
      </c>
      <c r="C6" s="1">
        <v>2973</v>
      </c>
      <c r="D6" s="1">
        <v>3544</v>
      </c>
      <c r="E6" s="1">
        <v>2981</v>
      </c>
      <c r="F6" s="1">
        <v>2499</v>
      </c>
      <c r="G6" s="1">
        <v>2455</v>
      </c>
      <c r="H6" s="1">
        <v>2452</v>
      </c>
      <c r="I6" s="1">
        <v>2200</v>
      </c>
      <c r="J6" s="1">
        <v>2960</v>
      </c>
      <c r="K6" s="1">
        <v>1914</v>
      </c>
      <c r="L6" s="1">
        <v>2247</v>
      </c>
      <c r="M6" s="1">
        <v>1852</v>
      </c>
      <c r="N6" s="1">
        <v>1746</v>
      </c>
      <c r="O6" s="1">
        <v>1985</v>
      </c>
    </row>
    <row r="7" spans="1:15" s="3" customFormat="1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5" x14ac:dyDescent="0.25">
      <c r="A8" t="s">
        <v>53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x14ac:dyDescent="0.25">
      <c r="A9" t="s">
        <v>55</v>
      </c>
      <c r="B9" s="1">
        <v>2756</v>
      </c>
      <c r="C9" s="1">
        <v>1093</v>
      </c>
      <c r="D9" s="1">
        <v>1248</v>
      </c>
      <c r="E9" s="1">
        <v>2238</v>
      </c>
      <c r="F9" s="1">
        <v>635</v>
      </c>
      <c r="G9" s="1">
        <v>2091</v>
      </c>
      <c r="H9" s="1">
        <v>1116</v>
      </c>
      <c r="I9" s="1">
        <v>2148</v>
      </c>
      <c r="J9" s="1">
        <v>2114</v>
      </c>
      <c r="K9" s="1">
        <v>742</v>
      </c>
      <c r="L9" s="1">
        <v>980</v>
      </c>
      <c r="M9" s="1">
        <v>1349</v>
      </c>
      <c r="N9" s="1">
        <v>2047</v>
      </c>
      <c r="O9" s="1">
        <v>2348</v>
      </c>
    </row>
    <row r="10" spans="1:15" x14ac:dyDescent="0.25">
      <c r="A10" t="s">
        <v>59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2</v>
      </c>
      <c r="J10" s="1">
        <v>2</v>
      </c>
      <c r="K10" s="1">
        <v>3</v>
      </c>
      <c r="L10" s="1">
        <v>3</v>
      </c>
      <c r="M10" s="1">
        <v>0</v>
      </c>
      <c r="N10" s="1">
        <v>0</v>
      </c>
      <c r="O10" s="1">
        <v>40</v>
      </c>
    </row>
    <row r="11" spans="1:15" x14ac:dyDescent="0.25">
      <c r="A11" t="s">
        <v>60</v>
      </c>
      <c r="B11" s="1">
        <v>1876</v>
      </c>
      <c r="C11" s="1">
        <v>846</v>
      </c>
      <c r="D11" s="1">
        <v>565</v>
      </c>
      <c r="E11" s="1">
        <v>1545</v>
      </c>
      <c r="F11" s="1">
        <v>449</v>
      </c>
      <c r="G11" s="1">
        <v>1137</v>
      </c>
      <c r="H11" s="1">
        <v>491</v>
      </c>
      <c r="I11" s="1">
        <v>660</v>
      </c>
      <c r="J11" s="1">
        <v>737</v>
      </c>
      <c r="K11" s="1">
        <v>1588</v>
      </c>
      <c r="L11" s="1">
        <v>246</v>
      </c>
      <c r="M11" s="1">
        <v>410</v>
      </c>
      <c r="N11" s="1">
        <v>237</v>
      </c>
      <c r="O11" s="1">
        <v>285</v>
      </c>
    </row>
    <row r="12" spans="1:15" x14ac:dyDescent="0.25">
      <c r="A12" t="s">
        <v>87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264</v>
      </c>
    </row>
    <row r="13" spans="1:15" x14ac:dyDescent="0.25">
      <c r="A13" t="s">
        <v>67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166</v>
      </c>
      <c r="N13" s="1">
        <v>232</v>
      </c>
      <c r="O13" s="1">
        <v>9</v>
      </c>
    </row>
    <row r="14" spans="1:15" x14ac:dyDescent="0.25">
      <c r="A14" t="s">
        <v>68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39</v>
      </c>
      <c r="N14" s="1">
        <v>0</v>
      </c>
      <c r="O14" s="1">
        <v>3</v>
      </c>
    </row>
    <row r="15" spans="1:15" x14ac:dyDescent="0.25">
      <c r="A15" t="s">
        <v>61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313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5">
      <c r="A16" t="s">
        <v>62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5">
      <c r="A17" t="s">
        <v>63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24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5">
      <c r="A18" t="s">
        <v>64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12</v>
      </c>
      <c r="J18" s="1">
        <v>41</v>
      </c>
      <c r="K18" s="1">
        <v>9</v>
      </c>
      <c r="L18" s="1">
        <v>12</v>
      </c>
      <c r="M18" s="1">
        <v>173</v>
      </c>
      <c r="N18" s="1">
        <v>47</v>
      </c>
      <c r="O18" s="1">
        <v>83</v>
      </c>
    </row>
    <row r="19" spans="1:15" x14ac:dyDescent="0.25">
      <c r="A19" t="s">
        <v>54</v>
      </c>
      <c r="B19" s="1">
        <v>487</v>
      </c>
      <c r="C19" s="1">
        <v>447</v>
      </c>
      <c r="D19" s="1">
        <v>233</v>
      </c>
      <c r="E19" s="1">
        <v>127</v>
      </c>
      <c r="F19" s="1">
        <v>184</v>
      </c>
      <c r="G19" s="1">
        <v>120</v>
      </c>
      <c r="H19" s="1">
        <v>814</v>
      </c>
      <c r="I19" s="1">
        <v>0</v>
      </c>
      <c r="J19" s="1">
        <v>713</v>
      </c>
      <c r="K19" s="1">
        <v>114</v>
      </c>
      <c r="L19" s="1">
        <v>69</v>
      </c>
      <c r="M19" s="1">
        <v>0</v>
      </c>
      <c r="N19" s="1">
        <v>0</v>
      </c>
      <c r="O19" s="1">
        <v>462</v>
      </c>
    </row>
    <row r="20" spans="1:15" x14ac:dyDescent="0.25">
      <c r="A20" t="s">
        <v>13</v>
      </c>
      <c r="B20" s="1">
        <f>SUM(B9:B19)</f>
        <v>5119</v>
      </c>
      <c r="C20" s="1">
        <f t="shared" ref="C20:M20" si="0">SUM(C9:C19)</f>
        <v>2386</v>
      </c>
      <c r="D20" s="1">
        <f t="shared" si="0"/>
        <v>2046</v>
      </c>
      <c r="E20" s="1">
        <f t="shared" si="0"/>
        <v>3910</v>
      </c>
      <c r="F20" s="1">
        <f t="shared" si="0"/>
        <v>1268</v>
      </c>
      <c r="G20" s="1">
        <f t="shared" si="0"/>
        <v>3348</v>
      </c>
      <c r="H20" s="1">
        <f t="shared" si="0"/>
        <v>2421</v>
      </c>
      <c r="I20" s="1">
        <f t="shared" si="0"/>
        <v>3162</v>
      </c>
      <c r="J20" s="1">
        <f t="shared" si="0"/>
        <v>3607</v>
      </c>
      <c r="K20" s="1">
        <f t="shared" si="0"/>
        <v>2456</v>
      </c>
      <c r="L20" s="1">
        <f t="shared" si="0"/>
        <v>1310</v>
      </c>
      <c r="M20" s="1">
        <f t="shared" si="0"/>
        <v>2137</v>
      </c>
      <c r="N20" s="1">
        <f>SUM(N9:N19)</f>
        <v>2563</v>
      </c>
      <c r="O20" s="1">
        <f>SUM(O9:O19)</f>
        <v>3494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xSplit="1" topLeftCell="M1" activePane="topRight" state="frozen"/>
      <selection pane="topRight" activeCell="P13" sqref="P13"/>
    </sheetView>
  </sheetViews>
  <sheetFormatPr defaultColWidth="9.1796875" defaultRowHeight="12.5" x14ac:dyDescent="0.25"/>
  <cols>
    <col min="1" max="1" width="21.81640625" style="2" bestFit="1" customWidth="1"/>
    <col min="2" max="2" width="10.26953125" style="2" customWidth="1"/>
    <col min="3" max="16384" width="9.1796875" style="2"/>
  </cols>
  <sheetData>
    <row r="1" spans="1:1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71</v>
      </c>
      <c r="O1" s="2" t="s">
        <v>74</v>
      </c>
    </row>
    <row r="2" spans="1:15" x14ac:dyDescent="0.25">
      <c r="A2" s="2" t="s">
        <v>32</v>
      </c>
      <c r="B2" s="2">
        <v>337</v>
      </c>
      <c r="C2" s="2">
        <v>338</v>
      </c>
      <c r="D2" s="2">
        <v>338</v>
      </c>
      <c r="E2" s="2">
        <v>339</v>
      </c>
      <c r="F2" s="2">
        <v>345</v>
      </c>
      <c r="G2" s="2">
        <v>345</v>
      </c>
      <c r="H2" s="2">
        <v>339</v>
      </c>
      <c r="I2" s="2">
        <v>336</v>
      </c>
      <c r="J2" s="2">
        <v>335</v>
      </c>
      <c r="K2" s="2">
        <v>336</v>
      </c>
      <c r="L2" s="2">
        <v>335</v>
      </c>
      <c r="M2" s="2">
        <v>333</v>
      </c>
      <c r="N2" s="2">
        <v>334</v>
      </c>
      <c r="O2" s="2">
        <v>333</v>
      </c>
    </row>
    <row r="3" spans="1:15" x14ac:dyDescent="0.25">
      <c r="A3" s="2" t="s">
        <v>33</v>
      </c>
      <c r="B3" s="2">
        <v>394563</v>
      </c>
      <c r="C3" s="2">
        <v>370283</v>
      </c>
      <c r="D3" s="2">
        <v>372379</v>
      </c>
      <c r="E3" s="2">
        <v>360952</v>
      </c>
      <c r="F3" s="2">
        <v>349212</v>
      </c>
      <c r="G3" s="2">
        <v>355075</v>
      </c>
      <c r="H3" s="2">
        <v>383095</v>
      </c>
      <c r="I3" s="2">
        <v>389769</v>
      </c>
      <c r="J3" s="2">
        <v>347951</v>
      </c>
      <c r="K3" s="2">
        <v>282708</v>
      </c>
      <c r="L3" s="2">
        <v>265736</v>
      </c>
      <c r="M3" s="2">
        <v>246453</v>
      </c>
      <c r="N3" s="2">
        <v>219078</v>
      </c>
      <c r="O3" s="2">
        <v>251907</v>
      </c>
    </row>
    <row r="4" spans="1:15" s="5" customFormat="1" x14ac:dyDescent="0.25"/>
    <row r="5" spans="1:15" x14ac:dyDescent="0.25">
      <c r="A5" s="2" t="s">
        <v>34</v>
      </c>
    </row>
    <row r="6" spans="1:15" x14ac:dyDescent="0.25">
      <c r="A6" s="2" t="s">
        <v>35</v>
      </c>
      <c r="B6" s="2">
        <v>8913</v>
      </c>
      <c r="C6" s="2">
        <v>9081</v>
      </c>
      <c r="D6" s="2">
        <v>7881</v>
      </c>
      <c r="E6" s="2">
        <v>8495</v>
      </c>
      <c r="F6" s="2">
        <v>8741</v>
      </c>
      <c r="G6" s="2">
        <v>8344</v>
      </c>
      <c r="H6" s="2">
        <v>6983</v>
      </c>
      <c r="I6" s="2">
        <v>7012</v>
      </c>
      <c r="J6" s="2">
        <v>6616</v>
      </c>
      <c r="K6" s="2">
        <v>6503</v>
      </c>
      <c r="L6" s="2">
        <v>6666</v>
      </c>
      <c r="M6" s="2">
        <v>5554</v>
      </c>
      <c r="N6" s="2">
        <v>3372</v>
      </c>
      <c r="O6" s="2">
        <v>4349</v>
      </c>
    </row>
    <row r="7" spans="1:15" x14ac:dyDescent="0.25">
      <c r="A7" s="2" t="s">
        <v>36</v>
      </c>
      <c r="B7" s="2">
        <v>58412</v>
      </c>
      <c r="C7" s="2">
        <v>61666</v>
      </c>
      <c r="D7" s="2">
        <v>60510</v>
      </c>
      <c r="E7" s="2">
        <v>59933</v>
      </c>
      <c r="F7" s="2">
        <v>58817</v>
      </c>
      <c r="G7" s="2">
        <v>55751</v>
      </c>
      <c r="H7" s="2">
        <v>45996</v>
      </c>
      <c r="I7" s="2">
        <v>41067</v>
      </c>
      <c r="J7" s="2">
        <v>37694</v>
      </c>
      <c r="K7" s="2">
        <v>32224</v>
      </c>
      <c r="L7" s="2">
        <v>30578</v>
      </c>
      <c r="M7" s="2">
        <v>18902</v>
      </c>
      <c r="N7" s="2">
        <v>26073</v>
      </c>
      <c r="O7" s="2">
        <v>24810</v>
      </c>
    </row>
    <row r="8" spans="1:15" x14ac:dyDescent="0.25">
      <c r="A8" s="2" t="s">
        <v>13</v>
      </c>
      <c r="B8" s="2">
        <f>SUM(B6:B7)</f>
        <v>67325</v>
      </c>
      <c r="C8" s="2">
        <f>SUM(C6:C7)</f>
        <v>70747</v>
      </c>
      <c r="D8" s="2">
        <f t="shared" ref="D8:M8" si="0">SUM(D6:D7)</f>
        <v>68391</v>
      </c>
      <c r="E8" s="2">
        <f t="shared" si="0"/>
        <v>68428</v>
      </c>
      <c r="F8" s="2">
        <f t="shared" si="0"/>
        <v>67558</v>
      </c>
      <c r="G8" s="2">
        <f t="shared" si="0"/>
        <v>64095</v>
      </c>
      <c r="H8" s="2">
        <f t="shared" si="0"/>
        <v>52979</v>
      </c>
      <c r="I8" s="2">
        <f t="shared" si="0"/>
        <v>48079</v>
      </c>
      <c r="J8" s="2">
        <f t="shared" si="0"/>
        <v>44310</v>
      </c>
      <c r="K8" s="2">
        <f t="shared" si="0"/>
        <v>38727</v>
      </c>
      <c r="L8" s="2">
        <f t="shared" si="0"/>
        <v>37244</v>
      </c>
      <c r="M8" s="2">
        <f t="shared" si="0"/>
        <v>24456</v>
      </c>
      <c r="N8" s="2">
        <f>SUM(N6:N7)</f>
        <v>29445</v>
      </c>
      <c r="O8" s="2">
        <f>SUM(O6:O7)</f>
        <v>29159</v>
      </c>
    </row>
    <row r="9" spans="1:15" s="5" customFormat="1" x14ac:dyDescent="0.25"/>
    <row r="10" spans="1:15" x14ac:dyDescent="0.25">
      <c r="A10" s="2" t="s">
        <v>72</v>
      </c>
      <c r="B10" s="2">
        <v>953</v>
      </c>
      <c r="C10" s="2">
        <v>910</v>
      </c>
      <c r="D10" s="2">
        <v>1453</v>
      </c>
      <c r="E10" s="2">
        <v>1089</v>
      </c>
      <c r="F10" s="2">
        <v>1088</v>
      </c>
      <c r="G10" s="2">
        <v>658</v>
      </c>
      <c r="H10" s="2">
        <v>1185</v>
      </c>
      <c r="I10" s="2">
        <v>937</v>
      </c>
      <c r="J10" s="2">
        <v>961</v>
      </c>
      <c r="K10" s="2">
        <v>1152</v>
      </c>
      <c r="L10" s="2">
        <v>955</v>
      </c>
      <c r="M10" s="2">
        <v>858</v>
      </c>
      <c r="N10" s="2">
        <v>553</v>
      </c>
      <c r="O10" s="2">
        <v>698</v>
      </c>
    </row>
    <row r="11" spans="1:15" x14ac:dyDescent="0.25">
      <c r="A11" s="2" t="s">
        <v>37</v>
      </c>
      <c r="B11" s="2">
        <v>13263</v>
      </c>
      <c r="C11" s="2">
        <v>15569</v>
      </c>
      <c r="D11" s="2">
        <v>20941</v>
      </c>
      <c r="E11" s="2">
        <v>19709</v>
      </c>
      <c r="F11" s="2">
        <v>17965</v>
      </c>
      <c r="G11" s="2">
        <v>19642</v>
      </c>
      <c r="H11" s="2">
        <v>21000</v>
      </c>
      <c r="I11" s="2">
        <v>16919</v>
      </c>
      <c r="J11" s="2">
        <v>18129</v>
      </c>
      <c r="K11" s="2">
        <v>13323</v>
      </c>
      <c r="L11" s="2">
        <v>13032</v>
      </c>
      <c r="M11" s="2">
        <v>12970</v>
      </c>
      <c r="N11" s="2">
        <v>10316</v>
      </c>
      <c r="O11" s="2">
        <v>8934</v>
      </c>
    </row>
    <row r="12" spans="1:15" s="5" customFormat="1" x14ac:dyDescent="0.25"/>
    <row r="13" spans="1:15" s="8" customFormat="1" ht="12" customHeight="1" x14ac:dyDescent="0.25">
      <c r="A13" s="8" t="s">
        <v>77</v>
      </c>
      <c r="O13" s="8">
        <v>463</v>
      </c>
    </row>
    <row r="14" spans="1:15" s="5" customFormat="1" x14ac:dyDescent="0.25"/>
    <row r="15" spans="1:15" x14ac:dyDescent="0.25">
      <c r="A15" s="2" t="s">
        <v>73</v>
      </c>
      <c r="B15" s="2">
        <v>7370</v>
      </c>
      <c r="C15" s="2">
        <v>8067</v>
      </c>
      <c r="D15" s="2">
        <v>7383</v>
      </c>
      <c r="E15" s="2">
        <v>7420</v>
      </c>
      <c r="F15" s="2">
        <v>7409</v>
      </c>
      <c r="G15" s="2">
        <v>7392</v>
      </c>
      <c r="H15" s="2">
        <v>7613</v>
      </c>
      <c r="I15" s="2">
        <v>7461</v>
      </c>
      <c r="J15" s="2">
        <v>6754</v>
      </c>
      <c r="K15" s="2">
        <v>6465</v>
      </c>
      <c r="L15" s="2">
        <v>5909</v>
      </c>
      <c r="M15" s="2">
        <v>1671</v>
      </c>
      <c r="N15" s="2">
        <v>4829</v>
      </c>
      <c r="O15" s="2">
        <v>2675</v>
      </c>
    </row>
    <row r="16" spans="1:15" x14ac:dyDescent="0.25">
      <c r="A16" s="2" t="s">
        <v>38</v>
      </c>
      <c r="B16" s="2">
        <v>2052</v>
      </c>
      <c r="C16" s="2">
        <v>2704</v>
      </c>
      <c r="D16" s="2">
        <v>2406</v>
      </c>
      <c r="E16" s="2">
        <v>2393</v>
      </c>
      <c r="F16" s="2">
        <v>2509</v>
      </c>
      <c r="G16" s="2">
        <v>2637</v>
      </c>
      <c r="H16" s="2">
        <v>2291</v>
      </c>
      <c r="I16" s="2">
        <v>2729</v>
      </c>
      <c r="J16" s="2">
        <v>2866</v>
      </c>
      <c r="K16" s="2">
        <v>2709</v>
      </c>
      <c r="L16" s="2">
        <v>2665</v>
      </c>
      <c r="M16" s="2">
        <v>917</v>
      </c>
      <c r="N16" s="2">
        <v>1784</v>
      </c>
      <c r="O16" s="2">
        <v>486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opLeftCell="J1" workbookViewId="0">
      <selection activeCell="P8" sqref="P8"/>
    </sheetView>
  </sheetViews>
  <sheetFormatPr defaultColWidth="9.1796875" defaultRowHeight="12.5" x14ac:dyDescent="0.25"/>
  <cols>
    <col min="1" max="1" width="26.1796875" style="1" bestFit="1" customWidth="1"/>
    <col min="2" max="13" width="9.1796875" style="1"/>
    <col min="14" max="14" width="9.7265625" style="1" customWidth="1"/>
    <col min="15" max="15" width="10.1796875" style="1" bestFit="1" customWidth="1"/>
    <col min="16" max="16384" width="9.1796875" style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71</v>
      </c>
      <c r="O1" s="1" t="s">
        <v>74</v>
      </c>
    </row>
    <row r="2" spans="1:15" x14ac:dyDescent="0.25">
      <c r="A2" s="1" t="s">
        <v>39</v>
      </c>
      <c r="B2" s="1">
        <v>13340</v>
      </c>
      <c r="C2" s="1">
        <v>15585</v>
      </c>
      <c r="D2" s="1">
        <v>19544</v>
      </c>
      <c r="E2" s="1">
        <v>17344</v>
      </c>
      <c r="F2" s="1">
        <v>13046</v>
      </c>
      <c r="G2" s="1">
        <v>12872</v>
      </c>
      <c r="H2" s="1">
        <v>12410</v>
      </c>
      <c r="I2" s="1">
        <v>13954</v>
      </c>
      <c r="J2" s="1">
        <v>16705</v>
      </c>
      <c r="K2" s="1">
        <v>17132</v>
      </c>
      <c r="L2" s="1">
        <v>14915</v>
      </c>
      <c r="M2" s="1">
        <v>12068</v>
      </c>
      <c r="N2" s="1">
        <v>14284</v>
      </c>
      <c r="O2" s="1">
        <v>14585</v>
      </c>
    </row>
    <row r="3" spans="1:15" x14ac:dyDescent="0.25">
      <c r="A3" s="1" t="s">
        <v>78</v>
      </c>
      <c r="N3" s="1">
        <v>58</v>
      </c>
      <c r="O3" s="1">
        <v>141</v>
      </c>
    </row>
    <row r="4" spans="1:15" s="4" customFormat="1" x14ac:dyDescent="0.25"/>
    <row r="5" spans="1:15" x14ac:dyDescent="0.25">
      <c r="A5" s="1" t="s">
        <v>40</v>
      </c>
      <c r="B5" s="1">
        <v>182</v>
      </c>
      <c r="C5" s="1">
        <v>202</v>
      </c>
      <c r="D5" s="1">
        <v>187</v>
      </c>
      <c r="E5" s="1">
        <v>183</v>
      </c>
      <c r="F5" s="1">
        <v>220</v>
      </c>
      <c r="G5" s="1">
        <v>198</v>
      </c>
      <c r="H5" s="1">
        <v>229</v>
      </c>
      <c r="I5" s="1">
        <v>219</v>
      </c>
      <c r="J5" s="1">
        <v>238</v>
      </c>
      <c r="K5" s="1">
        <v>234</v>
      </c>
      <c r="L5" s="1">
        <v>251</v>
      </c>
      <c r="M5" s="1">
        <v>395</v>
      </c>
      <c r="N5" s="1">
        <v>241</v>
      </c>
      <c r="O5" s="1">
        <v>281</v>
      </c>
    </row>
    <row r="6" spans="1:15" x14ac:dyDescent="0.25">
      <c r="A6" s="1" t="s">
        <v>79</v>
      </c>
      <c r="O6" s="1">
        <v>5582</v>
      </c>
    </row>
    <row r="7" spans="1:15" s="4" customFormat="1" x14ac:dyDescent="0.25"/>
    <row r="8" spans="1:15" x14ac:dyDescent="0.25">
      <c r="A8" s="1" t="s">
        <v>75</v>
      </c>
      <c r="B8" s="1">
        <v>801</v>
      </c>
      <c r="C8" s="1">
        <v>637</v>
      </c>
      <c r="D8" s="1">
        <v>701</v>
      </c>
      <c r="E8" s="1">
        <v>589</v>
      </c>
      <c r="F8" s="1">
        <v>247</v>
      </c>
      <c r="G8" s="1">
        <v>35</v>
      </c>
      <c r="H8" s="1">
        <v>20</v>
      </c>
      <c r="I8" s="1">
        <v>8</v>
      </c>
      <c r="J8" s="1">
        <v>8</v>
      </c>
      <c r="K8" s="1">
        <v>14</v>
      </c>
      <c r="L8" s="1">
        <v>14</v>
      </c>
      <c r="M8" s="1">
        <v>6</v>
      </c>
      <c r="N8" s="1">
        <v>3</v>
      </c>
      <c r="O8" s="9" t="s">
        <v>85</v>
      </c>
    </row>
    <row r="9" spans="1:15" x14ac:dyDescent="0.25">
      <c r="A9" s="1" t="s">
        <v>82</v>
      </c>
      <c r="O9" s="1">
        <v>409141</v>
      </c>
    </row>
    <row r="10" spans="1:15" s="4" customFormat="1" x14ac:dyDescent="0.25"/>
    <row r="11" spans="1:15" x14ac:dyDescent="0.25">
      <c r="A11" s="1" t="s">
        <v>65</v>
      </c>
    </row>
    <row r="12" spans="1:15" s="6" customFormat="1" x14ac:dyDescent="0.25">
      <c r="A12" s="6" t="s">
        <v>56</v>
      </c>
      <c r="C12" s="6">
        <v>161</v>
      </c>
      <c r="D12" s="6">
        <v>67</v>
      </c>
      <c r="E12" s="6">
        <v>31</v>
      </c>
      <c r="F12" s="6">
        <v>32</v>
      </c>
      <c r="G12" s="6">
        <v>31</v>
      </c>
      <c r="H12" s="6">
        <v>24</v>
      </c>
      <c r="I12" s="6">
        <v>25</v>
      </c>
    </row>
    <row r="13" spans="1:15" s="6" customFormat="1" x14ac:dyDescent="0.25">
      <c r="A13" s="6" t="s">
        <v>57</v>
      </c>
      <c r="C13" s="6">
        <v>66</v>
      </c>
      <c r="D13" s="6">
        <v>78</v>
      </c>
      <c r="E13" s="6">
        <v>48</v>
      </c>
      <c r="F13" s="6">
        <v>28</v>
      </c>
      <c r="G13" s="6">
        <v>27</v>
      </c>
      <c r="H13" s="6">
        <v>32</v>
      </c>
      <c r="I13" s="6">
        <v>24</v>
      </c>
    </row>
    <row r="14" spans="1:15" s="6" customFormat="1" x14ac:dyDescent="0.25">
      <c r="A14" s="6" t="s">
        <v>58</v>
      </c>
      <c r="C14" s="6">
        <v>1</v>
      </c>
      <c r="D14" s="6">
        <v>0</v>
      </c>
      <c r="E14" s="6">
        <v>1</v>
      </c>
      <c r="F14" s="6">
        <v>5</v>
      </c>
      <c r="G14" s="6">
        <v>11</v>
      </c>
      <c r="H14" s="6">
        <v>1</v>
      </c>
      <c r="I14" s="6">
        <v>3</v>
      </c>
    </row>
    <row r="15" spans="1:15" s="6" customFormat="1" x14ac:dyDescent="0.25">
      <c r="A15" s="6" t="s">
        <v>13</v>
      </c>
      <c r="B15" s="6">
        <v>126</v>
      </c>
      <c r="C15" s="6">
        <f t="shared" ref="C15:I15" si="0">SUM(C12:C14)</f>
        <v>228</v>
      </c>
      <c r="D15" s="6">
        <f t="shared" si="0"/>
        <v>145</v>
      </c>
      <c r="E15" s="6">
        <f t="shared" si="0"/>
        <v>80</v>
      </c>
      <c r="F15" s="6">
        <f t="shared" si="0"/>
        <v>65</v>
      </c>
      <c r="G15" s="6">
        <f t="shared" si="0"/>
        <v>69</v>
      </c>
      <c r="H15" s="6">
        <f t="shared" si="0"/>
        <v>57</v>
      </c>
      <c r="I15" s="6">
        <f t="shared" si="0"/>
        <v>52</v>
      </c>
      <c r="J15" s="6">
        <v>295</v>
      </c>
      <c r="K15" s="6">
        <v>332</v>
      </c>
      <c r="L15" s="6">
        <v>409</v>
      </c>
      <c r="M15" s="10" t="s">
        <v>84</v>
      </c>
      <c r="N15" s="6">
        <v>182</v>
      </c>
      <c r="O15" s="6">
        <v>202</v>
      </c>
    </row>
    <row r="16" spans="1:15" s="4" customFormat="1" x14ac:dyDescent="0.25"/>
    <row r="17" spans="1:15" x14ac:dyDescent="0.25">
      <c r="A17" s="1" t="s">
        <v>41</v>
      </c>
    </row>
    <row r="18" spans="1:15" x14ac:dyDescent="0.25">
      <c r="A18" s="1" t="s">
        <v>42</v>
      </c>
      <c r="B18" s="1">
        <v>1649</v>
      </c>
      <c r="C18" s="1">
        <v>2356</v>
      </c>
      <c r="D18" s="1">
        <v>2257</v>
      </c>
      <c r="E18" s="1">
        <v>3104</v>
      </c>
      <c r="F18" s="1">
        <v>2616</v>
      </c>
      <c r="G18" s="1">
        <v>3284</v>
      </c>
      <c r="H18" s="1">
        <v>3517</v>
      </c>
      <c r="I18" s="1">
        <v>4791</v>
      </c>
      <c r="J18" s="1">
        <v>5094</v>
      </c>
      <c r="K18" s="1">
        <v>6436</v>
      </c>
      <c r="L18" s="1">
        <v>6862</v>
      </c>
      <c r="M18" s="1">
        <v>6393</v>
      </c>
      <c r="N18" s="1">
        <v>5861</v>
      </c>
      <c r="O18" s="1">
        <v>6544</v>
      </c>
    </row>
    <row r="19" spans="1:15" x14ac:dyDescent="0.25">
      <c r="A19" s="1" t="s">
        <v>43</v>
      </c>
      <c r="B19" s="1">
        <v>1513</v>
      </c>
      <c r="C19" s="1">
        <v>1944</v>
      </c>
      <c r="D19" s="1">
        <v>2056</v>
      </c>
      <c r="E19" s="1">
        <v>2810</v>
      </c>
      <c r="F19" s="1">
        <v>2287</v>
      </c>
      <c r="G19" s="1">
        <v>2893</v>
      </c>
      <c r="H19" s="1">
        <v>3047</v>
      </c>
      <c r="I19" s="1">
        <v>4149</v>
      </c>
      <c r="J19" s="1">
        <v>4530</v>
      </c>
      <c r="K19" s="1">
        <v>5988</v>
      </c>
      <c r="L19" s="1">
        <v>6172</v>
      </c>
      <c r="M19" s="1">
        <v>5503</v>
      </c>
      <c r="N19" s="1">
        <v>5378</v>
      </c>
      <c r="O19" s="1">
        <v>5199</v>
      </c>
    </row>
    <row r="20" spans="1:15" s="4" customFormat="1" x14ac:dyDescent="0.25"/>
    <row r="21" spans="1:15" x14ac:dyDescent="0.25">
      <c r="A21" s="1" t="s">
        <v>44</v>
      </c>
    </row>
    <row r="22" spans="1:15" x14ac:dyDescent="0.25">
      <c r="A22" s="1" t="s">
        <v>45</v>
      </c>
      <c r="B22" s="1">
        <v>3654</v>
      </c>
      <c r="C22" s="1">
        <v>3682</v>
      </c>
      <c r="D22" s="1">
        <v>3882</v>
      </c>
      <c r="E22" s="1">
        <v>3982</v>
      </c>
      <c r="F22" s="1">
        <v>4191</v>
      </c>
      <c r="G22" s="1">
        <v>4342</v>
      </c>
      <c r="H22" s="1">
        <v>4857</v>
      </c>
      <c r="I22" s="1">
        <v>4768</v>
      </c>
      <c r="J22" s="1">
        <v>4623</v>
      </c>
      <c r="K22" s="1">
        <v>4269</v>
      </c>
      <c r="L22" s="1">
        <v>4380</v>
      </c>
      <c r="M22" s="1">
        <v>3709</v>
      </c>
      <c r="N22" s="1">
        <v>3027</v>
      </c>
      <c r="O22" s="1">
        <v>3863</v>
      </c>
    </row>
    <row r="23" spans="1:15" x14ac:dyDescent="0.25">
      <c r="A23" s="1" t="s">
        <v>43</v>
      </c>
      <c r="B23" s="1">
        <v>1598</v>
      </c>
      <c r="C23" s="1">
        <v>646</v>
      </c>
      <c r="D23" s="1">
        <v>1810</v>
      </c>
      <c r="E23" s="1">
        <v>2082</v>
      </c>
      <c r="F23" s="1">
        <v>2229</v>
      </c>
      <c r="G23" s="1">
        <v>2546</v>
      </c>
      <c r="H23" s="1">
        <v>2795</v>
      </c>
      <c r="I23" s="1">
        <v>2163</v>
      </c>
      <c r="J23" s="1">
        <v>2379</v>
      </c>
      <c r="K23" s="1">
        <v>2358</v>
      </c>
      <c r="L23" s="1">
        <v>2259</v>
      </c>
      <c r="M23" s="1">
        <v>1499</v>
      </c>
      <c r="N23" s="1">
        <v>1167</v>
      </c>
      <c r="O23" s="1">
        <v>1384</v>
      </c>
    </row>
    <row r="25" spans="1:15" x14ac:dyDescent="0.25">
      <c r="A25" s="1" t="s">
        <v>83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P10" sqref="P10"/>
    </sheetView>
  </sheetViews>
  <sheetFormatPr defaultColWidth="9.1796875" defaultRowHeight="12.5" x14ac:dyDescent="0.25"/>
  <cols>
    <col min="1" max="1" width="29.7265625" style="1" bestFit="1" customWidth="1"/>
    <col min="2" max="16384" width="9.1796875" style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71</v>
      </c>
      <c r="O1" s="1" t="s">
        <v>74</v>
      </c>
    </row>
    <row r="2" spans="1:15" x14ac:dyDescent="0.25">
      <c r="A2" s="1" t="s">
        <v>46</v>
      </c>
      <c r="B2" s="1">
        <v>30364</v>
      </c>
      <c r="C2" s="1">
        <v>33365</v>
      </c>
      <c r="D2" s="1">
        <v>31989</v>
      </c>
      <c r="E2" s="1">
        <v>32897</v>
      </c>
      <c r="F2" s="1">
        <v>33112</v>
      </c>
      <c r="G2" s="1">
        <v>36989</v>
      </c>
      <c r="H2" s="1">
        <v>33943</v>
      </c>
      <c r="I2" s="1">
        <v>29465</v>
      </c>
      <c r="J2" s="1">
        <v>27622</v>
      </c>
      <c r="K2" s="1">
        <v>25211</v>
      </c>
      <c r="L2" s="1">
        <v>21265</v>
      </c>
      <c r="M2" s="1">
        <v>13916</v>
      </c>
      <c r="N2" s="1">
        <v>9095</v>
      </c>
      <c r="O2" s="1">
        <v>8780</v>
      </c>
    </row>
    <row r="3" spans="1:15" x14ac:dyDescent="0.25">
      <c r="A3" s="1" t="s">
        <v>47</v>
      </c>
      <c r="B3" s="1">
        <v>3348</v>
      </c>
      <c r="C3" s="1">
        <v>3439</v>
      </c>
      <c r="D3" s="1">
        <v>2952</v>
      </c>
      <c r="E3" s="1">
        <v>2765</v>
      </c>
      <c r="F3" s="1">
        <v>2801</v>
      </c>
      <c r="G3" s="1">
        <v>2833</v>
      </c>
      <c r="H3" s="1">
        <v>2491</v>
      </c>
      <c r="I3" s="1">
        <v>1905</v>
      </c>
      <c r="J3" s="1">
        <v>1789</v>
      </c>
      <c r="K3" s="1">
        <v>1679</v>
      </c>
      <c r="L3" s="1">
        <v>2193</v>
      </c>
      <c r="M3" s="1">
        <v>1643</v>
      </c>
      <c r="N3" s="1">
        <v>1080</v>
      </c>
      <c r="O3" s="1">
        <v>902</v>
      </c>
    </row>
    <row r="4" spans="1:15" s="4" customFormat="1" x14ac:dyDescent="0.25"/>
    <row r="5" spans="1:15" x14ac:dyDescent="0.25">
      <c r="A5" s="1" t="s">
        <v>48</v>
      </c>
      <c r="B5" s="1">
        <v>825</v>
      </c>
      <c r="C5" s="1">
        <v>1180</v>
      </c>
      <c r="D5" s="1">
        <v>1287</v>
      </c>
      <c r="E5" s="1">
        <v>1322</v>
      </c>
      <c r="F5" s="1">
        <v>1345</v>
      </c>
      <c r="G5" s="1">
        <v>1475</v>
      </c>
      <c r="H5" s="1">
        <v>1294</v>
      </c>
      <c r="I5" s="1">
        <v>1289</v>
      </c>
      <c r="J5" s="1">
        <v>1201</v>
      </c>
      <c r="K5" s="1">
        <v>1471</v>
      </c>
      <c r="L5" s="1">
        <v>1998</v>
      </c>
      <c r="M5" s="1">
        <v>1608</v>
      </c>
      <c r="N5" s="1">
        <v>1293</v>
      </c>
      <c r="O5" s="1">
        <v>1297</v>
      </c>
    </row>
    <row r="6" spans="1:15" x14ac:dyDescent="0.25">
      <c r="A6" s="1" t="s">
        <v>49</v>
      </c>
      <c r="B6" s="1">
        <v>302</v>
      </c>
      <c r="C6" s="1">
        <v>294</v>
      </c>
      <c r="D6" s="1">
        <v>255</v>
      </c>
      <c r="E6" s="1">
        <v>192</v>
      </c>
      <c r="F6" s="1">
        <v>176</v>
      </c>
      <c r="G6" s="1">
        <v>145</v>
      </c>
      <c r="H6" s="1">
        <v>102</v>
      </c>
      <c r="I6" s="1">
        <v>14</v>
      </c>
      <c r="J6" s="1">
        <v>8</v>
      </c>
      <c r="K6" s="1">
        <v>9</v>
      </c>
      <c r="L6" s="1">
        <v>0</v>
      </c>
      <c r="M6" s="1">
        <v>0</v>
      </c>
      <c r="N6" s="1">
        <v>0</v>
      </c>
      <c r="O6" s="1">
        <v>0</v>
      </c>
    </row>
    <row r="7" spans="1:15" s="4" customFormat="1" x14ac:dyDescent="0.25"/>
    <row r="8" spans="1:15" s="6" customFormat="1" x14ac:dyDescent="0.25">
      <c r="A8" s="6" t="s">
        <v>66</v>
      </c>
      <c r="L8" s="6">
        <v>247</v>
      </c>
      <c r="M8" s="6">
        <v>80</v>
      </c>
      <c r="N8" s="6">
        <v>108</v>
      </c>
      <c r="O8" s="6">
        <v>24</v>
      </c>
    </row>
    <row r="9" spans="1:15" s="4" customFormat="1" x14ac:dyDescent="0.25"/>
    <row r="10" spans="1:15" x14ac:dyDescent="0.25">
      <c r="A10" s="1" t="s">
        <v>50</v>
      </c>
      <c r="B10" s="1">
        <v>56664</v>
      </c>
      <c r="C10" s="1">
        <v>63007</v>
      </c>
      <c r="D10" s="1">
        <v>65327</v>
      </c>
      <c r="E10" s="1">
        <v>82320</v>
      </c>
      <c r="F10" s="1">
        <v>90658</v>
      </c>
      <c r="G10" s="1">
        <v>92383</v>
      </c>
      <c r="H10" s="1">
        <v>91829</v>
      </c>
      <c r="I10" s="1">
        <v>87415</v>
      </c>
      <c r="J10" s="1">
        <v>80761</v>
      </c>
      <c r="K10" s="1">
        <v>66785</v>
      </c>
      <c r="L10" s="1">
        <v>50879</v>
      </c>
      <c r="M10" s="1">
        <v>23404</v>
      </c>
      <c r="N10" s="1">
        <v>13843</v>
      </c>
      <c r="O10" s="1">
        <v>16124</v>
      </c>
    </row>
    <row r="11" spans="1:15" x14ac:dyDescent="0.25">
      <c r="A11" s="1" t="s">
        <v>51</v>
      </c>
      <c r="B11" s="1">
        <v>1041</v>
      </c>
      <c r="C11" s="1">
        <v>618</v>
      </c>
      <c r="D11" s="1">
        <v>794</v>
      </c>
      <c r="E11" s="1">
        <v>621</v>
      </c>
      <c r="F11" s="1">
        <v>535</v>
      </c>
      <c r="G11" s="1">
        <v>324</v>
      </c>
      <c r="H11" s="1">
        <v>263</v>
      </c>
      <c r="I11" s="1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 Holdings</vt:lpstr>
      <vt:lpstr>Miscellaneous Collection Stats</vt:lpstr>
      <vt:lpstr>Circulation Service Stats</vt:lpstr>
      <vt:lpstr>Information Service Stats</vt:lpstr>
      <vt:lpstr>Non-Book Service Stats</vt:lpstr>
    </vt:vector>
  </TitlesOfParts>
  <Company>UT CHATTANOOGA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LUPTON LIBRARY</dc:creator>
  <cp:lastModifiedBy>Carina Negreanu</cp:lastModifiedBy>
  <cp:lastPrinted>2003-10-01T14:30:34Z</cp:lastPrinted>
  <dcterms:created xsi:type="dcterms:W3CDTF">2002-02-25T13:16:07Z</dcterms:created>
  <dcterms:modified xsi:type="dcterms:W3CDTF">2020-01-27T12:42:28Z</dcterms:modified>
</cp:coreProperties>
</file>