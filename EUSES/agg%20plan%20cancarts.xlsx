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60CCEC-8857-484C-ADFE-165969EA5BD0}" xr6:coauthVersionLast="45" xr6:coauthVersionMax="45" xr10:uidLastSave="{00000000-0000-0000-0000-000000000000}"/>
  <bookViews>
    <workbookView xWindow="3420" yWindow="3420" windowWidth="28800" windowHeight="15460"/>
  </bookViews>
  <sheets>
    <sheet name="INPUT DATA SHEET" sheetId="5" r:id="rId1"/>
    <sheet name="Level" sheetId="1" r:id="rId2"/>
    <sheet name="Chase" sheetId="2" r:id="rId3"/>
    <sheet name="Mixed 1" sheetId="4" r:id="rId4"/>
    <sheet name="Mixed 2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F9" i="2"/>
  <c r="G9" i="2"/>
  <c r="H9" i="2"/>
  <c r="I9" i="2"/>
  <c r="J9" i="2"/>
  <c r="K9" i="2"/>
  <c r="L9" i="2"/>
  <c r="M9" i="2"/>
  <c r="N9" i="2"/>
  <c r="N11" i="2" s="1"/>
  <c r="O9" i="2"/>
  <c r="B23" i="2" s="1"/>
  <c r="B24" i="2" s="1"/>
  <c r="C11" i="2"/>
  <c r="P11" i="2"/>
  <c r="P12" i="2"/>
  <c r="Q12" i="2"/>
  <c r="P13" i="2"/>
  <c r="B15" i="2"/>
  <c r="C17" i="2"/>
  <c r="O24" i="5"/>
  <c r="D7" i="1"/>
  <c r="D8" i="1"/>
  <c r="D9" i="1"/>
  <c r="D10" i="1"/>
  <c r="A11" i="1"/>
  <c r="D11" i="1"/>
  <c r="D12" i="1"/>
  <c r="C18" i="1"/>
  <c r="C22" i="1" s="1"/>
  <c r="D18" i="1"/>
  <c r="E18" i="1"/>
  <c r="F18" i="1"/>
  <c r="G18" i="1"/>
  <c r="H18" i="1"/>
  <c r="I18" i="1"/>
  <c r="J18" i="1"/>
  <c r="K18" i="1"/>
  <c r="L18" i="1"/>
  <c r="M18" i="1"/>
  <c r="N18" i="1"/>
  <c r="D20" i="1"/>
  <c r="E20" i="1"/>
  <c r="F20" i="1"/>
  <c r="G20" i="1"/>
  <c r="H20" i="1"/>
  <c r="I20" i="1"/>
  <c r="J20" i="1"/>
  <c r="K20" i="1"/>
  <c r="L20" i="1" s="1"/>
  <c r="M20" i="1" s="1"/>
  <c r="N20" i="1" s="1"/>
  <c r="Q21" i="1"/>
  <c r="B24" i="1"/>
  <c r="O24" i="1"/>
  <c r="C26" i="1"/>
  <c r="O26" i="1"/>
  <c r="Q26" i="1" s="1"/>
  <c r="C28" i="1"/>
  <c r="O28" i="1"/>
  <c r="Q28" i="1"/>
  <c r="C9" i="4"/>
  <c r="O9" i="4" s="1"/>
  <c r="D9" i="4"/>
  <c r="E9" i="4"/>
  <c r="F9" i="4"/>
  <c r="G9" i="4"/>
  <c r="H9" i="4"/>
  <c r="I9" i="4"/>
  <c r="J9" i="4"/>
  <c r="K9" i="4"/>
  <c r="L9" i="4"/>
  <c r="M9" i="4"/>
  <c r="N9" i="4"/>
  <c r="F11" i="4"/>
  <c r="K11" i="4"/>
  <c r="N11" i="4"/>
  <c r="O11" i="4"/>
  <c r="P11" i="4"/>
  <c r="Q11" i="4"/>
  <c r="O12" i="4"/>
  <c r="P12" i="4"/>
  <c r="Q12" i="4"/>
  <c r="C13" i="4"/>
  <c r="O13" i="4" s="1"/>
  <c r="Q13" i="4" s="1"/>
  <c r="D13" i="4"/>
  <c r="E13" i="4"/>
  <c r="F13" i="4"/>
  <c r="G13" i="4"/>
  <c r="H13" i="4"/>
  <c r="I13" i="4" s="1"/>
  <c r="J13" i="4" s="1"/>
  <c r="K13" i="4" s="1"/>
  <c r="L13" i="4" s="1"/>
  <c r="M13" i="4" s="1"/>
  <c r="N13" i="4" s="1"/>
  <c r="P13" i="4"/>
  <c r="B15" i="4"/>
  <c r="C17" i="4" s="1"/>
  <c r="P17" i="4"/>
  <c r="C19" i="4"/>
  <c r="P19" i="4"/>
  <c r="C9" i="3"/>
  <c r="O9" i="3" s="1"/>
  <c r="D9" i="3"/>
  <c r="E9" i="3"/>
  <c r="F9" i="3"/>
  <c r="G9" i="3"/>
  <c r="H9" i="3"/>
  <c r="I9" i="3"/>
  <c r="J9" i="3"/>
  <c r="K9" i="3"/>
  <c r="L9" i="3"/>
  <c r="M9" i="3"/>
  <c r="N9" i="3"/>
  <c r="F11" i="3"/>
  <c r="K11" i="3"/>
  <c r="N11" i="3"/>
  <c r="O11" i="3"/>
  <c r="P11" i="3"/>
  <c r="Q11" i="3"/>
  <c r="O12" i="3"/>
  <c r="P12" i="3"/>
  <c r="Q12" i="3"/>
  <c r="C13" i="3"/>
  <c r="D13" i="3"/>
  <c r="E13" i="3"/>
  <c r="F13" i="3"/>
  <c r="G13" i="3" s="1"/>
  <c r="H13" i="3" s="1"/>
  <c r="I13" i="3" s="1"/>
  <c r="J13" i="3" s="1"/>
  <c r="K13" i="3" s="1"/>
  <c r="L13" i="3" s="1"/>
  <c r="M13" i="3" s="1"/>
  <c r="N13" i="3" s="1"/>
  <c r="P13" i="3"/>
  <c r="B15" i="3"/>
  <c r="C17" i="3" s="1"/>
  <c r="P17" i="3"/>
  <c r="C19" i="3"/>
  <c r="P19" i="3"/>
  <c r="D22" i="1" l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C15" i="4"/>
  <c r="C15" i="3"/>
  <c r="O13" i="3"/>
  <c r="Q13" i="3" s="1"/>
  <c r="O20" i="1"/>
  <c r="Q20" i="1" s="1"/>
  <c r="C13" i="2"/>
  <c r="C19" i="2"/>
  <c r="O18" i="1"/>
  <c r="B30" i="1" s="1"/>
  <c r="B31" i="1" s="1"/>
  <c r="D11" i="2" l="1"/>
  <c r="D13" i="2"/>
  <c r="D19" i="3"/>
  <c r="D17" i="3"/>
  <c r="D15" i="3"/>
  <c r="D17" i="4"/>
  <c r="D19" i="4"/>
  <c r="O22" i="1"/>
  <c r="Q22" i="1" s="1"/>
  <c r="Q31" i="1" s="1"/>
  <c r="A15" i="1" s="1"/>
  <c r="C15" i="2"/>
  <c r="D15" i="4" l="1"/>
  <c r="E19" i="3"/>
  <c r="E17" i="3"/>
  <c r="E13" i="2"/>
  <c r="E11" i="2"/>
  <c r="D17" i="2"/>
  <c r="D19" i="2"/>
  <c r="F11" i="2" l="1"/>
  <c r="F13" i="2" s="1"/>
  <c r="E15" i="3"/>
  <c r="E17" i="4"/>
  <c r="E19" i="4"/>
  <c r="D15" i="2"/>
  <c r="G11" i="2" l="1"/>
  <c r="E15" i="4"/>
  <c r="F17" i="3"/>
  <c r="F19" i="3"/>
  <c r="E19" i="2"/>
  <c r="E17" i="2"/>
  <c r="F15" i="3" l="1"/>
  <c r="F17" i="4"/>
  <c r="F15" i="4" s="1"/>
  <c r="F19" i="4"/>
  <c r="E15" i="2"/>
  <c r="G13" i="2"/>
  <c r="G19" i="4" l="1"/>
  <c r="G17" i="4"/>
  <c r="G15" i="4"/>
  <c r="F17" i="2"/>
  <c r="F15" i="2" s="1"/>
  <c r="F19" i="2"/>
  <c r="H11" i="2"/>
  <c r="G19" i="3"/>
  <c r="G17" i="3"/>
  <c r="G15" i="3" s="1"/>
  <c r="H19" i="3" l="1"/>
  <c r="H17" i="3"/>
  <c r="H15" i="3"/>
  <c r="G17" i="2"/>
  <c r="G15" i="2" s="1"/>
  <c r="G19" i="2"/>
  <c r="H13" i="2"/>
  <c r="H19" i="4"/>
  <c r="H17" i="4"/>
  <c r="H15" i="4" s="1"/>
  <c r="I19" i="4" l="1"/>
  <c r="I17" i="4"/>
  <c r="I15" i="4"/>
  <c r="H17" i="2"/>
  <c r="H15" i="2" s="1"/>
  <c r="H19" i="2"/>
  <c r="I11" i="2"/>
  <c r="I13" i="2" s="1"/>
  <c r="I19" i="3"/>
  <c r="I17" i="3"/>
  <c r="I15" i="3" s="1"/>
  <c r="J17" i="3" l="1"/>
  <c r="J19" i="3"/>
  <c r="J15" i="3"/>
  <c r="J11" i="2"/>
  <c r="I19" i="2"/>
  <c r="I17" i="2"/>
  <c r="I15" i="2" s="1"/>
  <c r="J19" i="4"/>
  <c r="J17" i="4"/>
  <c r="J15" i="4" s="1"/>
  <c r="K17" i="4" l="1"/>
  <c r="K19" i="4"/>
  <c r="K15" i="4" s="1"/>
  <c r="J19" i="2"/>
  <c r="J17" i="2"/>
  <c r="J15" i="2" s="1"/>
  <c r="J13" i="2"/>
  <c r="K17" i="3"/>
  <c r="K15" i="3" s="1"/>
  <c r="K19" i="3"/>
  <c r="L19" i="3" l="1"/>
  <c r="L17" i="3"/>
  <c r="L15" i="3" s="1"/>
  <c r="L19" i="4"/>
  <c r="L17" i="4"/>
  <c r="L15" i="4" s="1"/>
  <c r="K11" i="2"/>
  <c r="K13" i="2" s="1"/>
  <c r="M19" i="4" l="1"/>
  <c r="M17" i="4"/>
  <c r="M15" i="4" s="1"/>
  <c r="L11" i="2"/>
  <c r="L13" i="2" s="1"/>
  <c r="M17" i="3"/>
  <c r="M15" i="3" s="1"/>
  <c r="M19" i="3"/>
  <c r="K19" i="2"/>
  <c r="K17" i="2"/>
  <c r="N17" i="3" l="1"/>
  <c r="O17" i="3" s="1"/>
  <c r="Q17" i="3" s="1"/>
  <c r="N19" i="3"/>
  <c r="O19" i="3" s="1"/>
  <c r="Q19" i="3" s="1"/>
  <c r="M11" i="2"/>
  <c r="N19" i="4"/>
  <c r="O19" i="4" s="1"/>
  <c r="Q19" i="4" s="1"/>
  <c r="N17" i="4"/>
  <c r="O17" i="4" s="1"/>
  <c r="Q17" i="4" s="1"/>
  <c r="Q22" i="4" s="1"/>
  <c r="A6" i="4" s="1"/>
  <c r="K15" i="2"/>
  <c r="L19" i="2" l="1"/>
  <c r="L17" i="2"/>
  <c r="L15" i="2" s="1"/>
  <c r="N15" i="4"/>
  <c r="O11" i="2"/>
  <c r="Q11" i="2" s="1"/>
  <c r="M13" i="2"/>
  <c r="N13" i="2" s="1"/>
  <c r="O13" i="2" s="1"/>
  <c r="Q13" i="2" s="1"/>
  <c r="Q22" i="3"/>
  <c r="A6" i="3" s="1"/>
  <c r="N15" i="3"/>
  <c r="M17" i="2" l="1"/>
  <c r="M15" i="2" s="1"/>
  <c r="M19" i="2"/>
  <c r="N19" i="2" l="1"/>
  <c r="O19" i="2" s="1"/>
  <c r="Q19" i="2" s="1"/>
  <c r="N17" i="2"/>
  <c r="O17" i="2" s="1"/>
  <c r="Q17" i="2" s="1"/>
  <c r="Q22" i="2" s="1"/>
  <c r="A6" i="2" s="1"/>
  <c r="N15" i="2" l="1"/>
</calcChain>
</file>

<file path=xl/sharedStrings.xml><?xml version="1.0" encoding="utf-8"?>
<sst xmlns="http://schemas.openxmlformats.org/spreadsheetml/2006/main" count="172" uniqueCount="57">
  <si>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</si>
  <si>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</si>
  <si>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</si>
  <si>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</si>
  <si>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</si>
  <si>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</si>
  <si>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</si>
  <si>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</si>
  <si>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</si>
  <si>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</si>
  <si>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</si>
  <si>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</si>
  <si>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Requirements</t>
  </si>
  <si>
    <t>Production</t>
  </si>
  <si>
    <t>Inventory</t>
  </si>
  <si>
    <t>Workforce</t>
  </si>
  <si>
    <t>Hire</t>
  </si>
  <si>
    <t>Fire</t>
  </si>
  <si>
    <t>Overtime Production</t>
  </si>
  <si>
    <t>Level</t>
  </si>
  <si>
    <t>Closing Inventory</t>
  </si>
  <si>
    <t>Costs</t>
  </si>
  <si>
    <t>Total</t>
  </si>
  <si>
    <t>Cost/unit</t>
  </si>
  <si>
    <t>LEVEL PRODUCTION SCHEDULE</t>
  </si>
  <si>
    <t>CHASE PRODUCTION SCHEDULE</t>
  </si>
  <si>
    <t>MIXED PRODUCTION SCHEDULE</t>
  </si>
  <si>
    <t>Closing Inventory Required</t>
  </si>
  <si>
    <t>Opening Inventory</t>
  </si>
  <si>
    <t>Regular</t>
  </si>
  <si>
    <t>Overtime</t>
  </si>
  <si>
    <t>Production per worker</t>
  </si>
  <si>
    <t>units/mo.</t>
  </si>
  <si>
    <t>per unit</t>
  </si>
  <si>
    <t>Hiring</t>
  </si>
  <si>
    <t>Firing</t>
  </si>
  <si>
    <t>per worker</t>
  </si>
  <si>
    <t>Opening workforce</t>
  </si>
  <si>
    <t>workers</t>
  </si>
  <si>
    <t>Total Cost of this model</t>
  </si>
  <si>
    <t>Cost comparisons</t>
  </si>
  <si>
    <t>Inventory vs overtime</t>
  </si>
  <si>
    <t>Inventory - $2/unit</t>
  </si>
  <si>
    <t>Overtime = $8/unit</t>
  </si>
  <si>
    <t>Overtime vs hiring</t>
  </si>
  <si>
    <t>Overtime $8/unit</t>
  </si>
  <si>
    <t>Hiring = $1500 for 300 units</t>
  </si>
  <si>
    <t>Fire then hire</t>
  </si>
  <si>
    <t>$4500 for 300 units = $15/unit</t>
  </si>
  <si>
    <t>Inventory Carrying Cost</t>
  </si>
  <si>
    <t>This problem uses the forecasts from assignment 3 as input to the aggregate planning problem</t>
  </si>
  <si>
    <t xml:space="preserve">Aggregate Planning at Canada Carts </t>
  </si>
  <si>
    <t>It also uses the following costs and production data.  The other sheets link to these costs.</t>
  </si>
  <si>
    <t xml:space="preserve">The following sheets include one for level, one chase and two which allow more flexibility. </t>
  </si>
  <si>
    <t>Right now they are the same. Try changing Mixed 2 to see if you can come up with a lower cost strategy.</t>
  </si>
  <si>
    <t>Try Changing the numbers to see if you can improve on the current best solution.</t>
  </si>
  <si>
    <t>per unit/month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</si>
</sst>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3" formatCode="&quot;$&quot;#,##0"/>
    <numFmt numFmtId="174" formatCode="0.0"/>
  </numFmts>
  <fonts count="9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indexed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73" fontId="2" fillId="0" borderId="0" xfId="0" applyNumberFormat="1" applyFont="1"/>
    <xf numFmtId="168" fontId="2" fillId="0" borderId="0" xfId="1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73" fontId="6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8" fillId="0" borderId="0" xfId="0" applyFont="1"/>
    <xf numFmtId="173" fontId="8" fillId="0" borderId="0" xfId="0" applyNumberFormat="1" applyFont="1"/>
    <xf numFmtId="2" fontId="4" fillId="0" borderId="0" xfId="0" applyNumberFormat="1" applyFont="1"/>
    <xf numFmtId="174" fontId="8" fillId="0" borderId="0" xfId="0" applyNumberFormat="1" applyFont="1"/>
    <xf numFmtId="174" fontId="4" fillId="0" borderId="0" xfId="0" applyNumberFormat="1" applyFont="1"/>
    <xf numFmtId="168" fontId="8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E17" sqref="E17"/>
    </sheetView>
  </sheetViews>
  <sheetFormatPr defaultRowHeight="12.5" x14ac:dyDescent="0.25"/>
  <cols>
    <col min="1" max="1" width="20.81640625" customWidth="1"/>
    <col min="3" max="3" width="8.26953125" customWidth="1"/>
    <col min="4" max="4" width="7.81640625" customWidth="1"/>
    <col min="5" max="5" width="8" customWidth="1"/>
    <col min="15" max="15" width="11.54296875" customWidth="1"/>
  </cols>
  <sheetData>
    <row r="1" spans="1:17" ht="18" x14ac:dyDescent="0.4">
      <c r="A1" s="5"/>
      <c r="B1" s="11" t="s">
        <v>51</v>
      </c>
      <c r="C1" s="5"/>
      <c r="D1" s="5"/>
      <c r="E1" s="5"/>
      <c r="F1" s="5"/>
      <c r="G1" s="5"/>
      <c r="H1" s="5"/>
      <c r="I1" s="5"/>
      <c r="J1" s="5"/>
      <c r="K1" s="5"/>
    </row>
    <row r="2" spans="1:17" ht="17.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7" ht="17.5" x14ac:dyDescent="0.35">
      <c r="A3" s="5" t="s">
        <v>50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  <c r="N3" s="6"/>
      <c r="O3" s="6"/>
      <c r="P3" s="6"/>
      <c r="Q3" s="6"/>
    </row>
    <row r="4" spans="1:17" ht="17.5" x14ac:dyDescent="0.35">
      <c r="A4" s="5" t="s">
        <v>52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6"/>
    </row>
    <row r="5" spans="1:17" ht="17.5" x14ac:dyDescent="0.35">
      <c r="A5" s="5" t="s">
        <v>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7.5" x14ac:dyDescent="0.35">
      <c r="A6" s="5" t="s">
        <v>54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7.5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7.5" x14ac:dyDescent="0.35">
      <c r="A8" s="5" t="s">
        <v>28</v>
      </c>
      <c r="B8" s="5"/>
      <c r="C8" s="5"/>
      <c r="D8" s="5">
        <v>200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1:17" ht="17.5" x14ac:dyDescent="0.35">
      <c r="A9" s="5" t="s">
        <v>27</v>
      </c>
      <c r="B9" s="5"/>
      <c r="C9" s="5"/>
      <c r="D9" s="5">
        <v>200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 spans="1:17" ht="17.5" x14ac:dyDescent="0.35">
      <c r="A10" s="5" t="s">
        <v>37</v>
      </c>
      <c r="B10" s="5"/>
      <c r="C10" s="5"/>
      <c r="D10" s="5">
        <v>10</v>
      </c>
      <c r="E10" s="5" t="s">
        <v>38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 spans="1:17" ht="17.5" x14ac:dyDescent="0.35">
      <c r="A11" s="5" t="s">
        <v>31</v>
      </c>
      <c r="B11" s="5"/>
      <c r="C11" s="5"/>
      <c r="D11" s="5">
        <v>300</v>
      </c>
      <c r="E11" s="5" t="s">
        <v>32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</row>
    <row r="12" spans="1:17" ht="18" x14ac:dyDescent="0.4">
      <c r="A12" s="11" t="s">
        <v>21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</row>
    <row r="13" spans="1:17" ht="17.5" x14ac:dyDescent="0.35">
      <c r="A13" s="5" t="s">
        <v>29</v>
      </c>
      <c r="B13" s="5"/>
      <c r="C13" s="5"/>
      <c r="D13" s="5">
        <v>60</v>
      </c>
      <c r="E13" s="5" t="s">
        <v>33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</row>
    <row r="14" spans="1:17" ht="17.5" x14ac:dyDescent="0.35">
      <c r="A14" s="5" t="s">
        <v>30</v>
      </c>
      <c r="B14" s="5"/>
      <c r="C14" s="5"/>
      <c r="D14" s="5">
        <v>68</v>
      </c>
      <c r="E14" s="5" t="s">
        <v>33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 spans="1:17" ht="17.5" x14ac:dyDescent="0.35">
      <c r="A15" s="5" t="s">
        <v>34</v>
      </c>
      <c r="B15" s="5"/>
      <c r="C15" s="5"/>
      <c r="D15" s="5">
        <v>1500</v>
      </c>
      <c r="E15" s="5" t="s">
        <v>36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/>
    </row>
    <row r="16" spans="1:17" ht="17.5" x14ac:dyDescent="0.35">
      <c r="A16" s="5" t="s">
        <v>35</v>
      </c>
      <c r="B16" s="5"/>
      <c r="C16" s="5"/>
      <c r="D16" s="5">
        <v>3000</v>
      </c>
      <c r="E16" s="5" t="s">
        <v>36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1:17" ht="17.5" x14ac:dyDescent="0.35">
      <c r="A17" s="5" t="s">
        <v>49</v>
      </c>
      <c r="B17" s="5"/>
      <c r="C17" s="5"/>
      <c r="D17" s="5">
        <v>2</v>
      </c>
      <c r="E17" s="5" t="s">
        <v>56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</row>
    <row r="18" spans="1:17" ht="17.5" x14ac:dyDescent="0.35"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</row>
    <row r="19" spans="1:17" ht="17.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</row>
    <row r="20" spans="1:17" ht="17.5" x14ac:dyDescent="0.35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 spans="1:17" ht="18" x14ac:dyDescent="0.4">
      <c r="A21" s="10"/>
      <c r="B21" s="5"/>
      <c r="C21" s="5"/>
      <c r="D21" s="5"/>
      <c r="E21" s="5"/>
      <c r="F21" s="11" t="s">
        <v>24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</row>
    <row r="22" spans="1:17" ht="17.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/>
    </row>
    <row r="23" spans="1:17" ht="18" x14ac:dyDescent="0.4">
      <c r="A23" s="11"/>
      <c r="B23" s="11" t="s">
        <v>11</v>
      </c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22</v>
      </c>
      <c r="P23" s="11" t="s">
        <v>23</v>
      </c>
      <c r="Q23" s="6"/>
    </row>
    <row r="24" spans="1:17" ht="18" x14ac:dyDescent="0.4">
      <c r="A24" s="11" t="s">
        <v>12</v>
      </c>
      <c r="B24" s="11"/>
      <c r="C24" s="11">
        <v>3000</v>
      </c>
      <c r="D24" s="11">
        <v>3100</v>
      </c>
      <c r="E24" s="11">
        <v>3400</v>
      </c>
      <c r="F24" s="11">
        <v>3250</v>
      </c>
      <c r="G24" s="11">
        <v>2950</v>
      </c>
      <c r="H24" s="11">
        <v>2800</v>
      </c>
      <c r="I24" s="11">
        <v>2400</v>
      </c>
      <c r="J24" s="11">
        <v>2100</v>
      </c>
      <c r="K24" s="11">
        <v>1800</v>
      </c>
      <c r="L24" s="11">
        <v>3050</v>
      </c>
      <c r="M24" s="11">
        <v>3150</v>
      </c>
      <c r="N24" s="11">
        <v>3450</v>
      </c>
      <c r="O24" s="11">
        <f>SUM(C24:N24)</f>
        <v>34450</v>
      </c>
      <c r="P24" s="11"/>
      <c r="Q24" s="6"/>
    </row>
    <row r="25" spans="1:17" ht="17.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</row>
    <row r="26" spans="1:17" ht="18" x14ac:dyDescent="0.4">
      <c r="A26" s="11" t="s">
        <v>13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1"/>
      <c r="P26" s="11"/>
      <c r="Q26" s="8"/>
    </row>
    <row r="27" spans="1:17" ht="18" x14ac:dyDescent="0.4">
      <c r="A27" s="11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1"/>
      <c r="P27" s="11"/>
      <c r="Q27" s="8"/>
    </row>
    <row r="28" spans="1:17" ht="18" x14ac:dyDescent="0.4">
      <c r="A28" s="11" t="s">
        <v>14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1"/>
      <c r="P28" s="11"/>
      <c r="Q28" s="8"/>
    </row>
    <row r="29" spans="1:17" ht="18" x14ac:dyDescent="0.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1"/>
      <c r="P29" s="11"/>
      <c r="Q29" s="8"/>
    </row>
    <row r="30" spans="1:17" ht="18" x14ac:dyDescent="0.4">
      <c r="A30" s="11" t="s">
        <v>15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1"/>
      <c r="P30" s="11"/>
      <c r="Q30" s="8"/>
    </row>
    <row r="31" spans="1:17" ht="18" x14ac:dyDescent="0.4">
      <c r="A31" s="11">
        <v>300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1"/>
      <c r="P31" s="11"/>
      <c r="Q31" s="8"/>
    </row>
    <row r="32" spans="1:17" ht="15.5" x14ac:dyDescent="0.35">
      <c r="A32" s="7" t="s">
        <v>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8"/>
    </row>
    <row r="33" spans="1:17" ht="15.5" x14ac:dyDescent="0.35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8"/>
    </row>
    <row r="34" spans="1:17" ht="20" x14ac:dyDescent="0.4">
      <c r="A34" s="1" t="s">
        <v>17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  <c r="P34" s="1"/>
      <c r="Q34" s="3"/>
    </row>
    <row r="35" spans="1:17" ht="20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</row>
    <row r="36" spans="1:17" ht="20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</row>
    <row r="37" spans="1:17" ht="20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1"/>
      <c r="Q37" s="4"/>
    </row>
    <row r="38" spans="1:17" ht="20" x14ac:dyDescent="0.4">
      <c r="A38" s="2" t="s">
        <v>19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"/>
    </row>
    <row r="39" spans="1:17" ht="20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phoneticPr fontId="0" type="noConversion"/>
  <pageMargins left="0.75" right="0.75" top="1" bottom="1" header="0.5" footer="0.5"/>
  <pageSetup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opLeftCell="A15" workbookViewId="0">
      <selection activeCell="A28" sqref="A1:Q28"/>
    </sheetView>
  </sheetViews>
  <sheetFormatPr defaultRowHeight="12.5" x14ac:dyDescent="0.25"/>
  <cols>
    <col min="1" max="1" width="20" customWidth="1"/>
    <col min="2" max="2" width="8.453125" customWidth="1"/>
    <col min="3" max="3" width="9.7265625" customWidth="1"/>
    <col min="4" max="15" width="10.7265625" customWidth="1"/>
    <col min="17" max="17" width="19" customWidth="1"/>
  </cols>
  <sheetData>
    <row r="1" spans="1:17" ht="17.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8" x14ac:dyDescent="0.4">
      <c r="A2" s="11" t="s">
        <v>28</v>
      </c>
      <c r="B2" s="11"/>
      <c r="C2" s="11"/>
      <c r="D2" s="5"/>
      <c r="E2" s="11">
        <v>200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8" x14ac:dyDescent="0.4">
      <c r="A3" s="11" t="s">
        <v>27</v>
      </c>
      <c r="B3" s="11"/>
      <c r="C3" s="11"/>
      <c r="D3" s="5"/>
      <c r="E3" s="11">
        <v>200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8" x14ac:dyDescent="0.4">
      <c r="A4" s="11" t="s">
        <v>37</v>
      </c>
      <c r="B4" s="11"/>
      <c r="C4" s="11"/>
      <c r="D4" s="5"/>
      <c r="E4" s="11">
        <v>14</v>
      </c>
      <c r="F4" s="5" t="s">
        <v>38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8" x14ac:dyDescent="0.4">
      <c r="A5" s="11"/>
      <c r="B5" s="11"/>
      <c r="C5" s="11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8" x14ac:dyDescent="0.4">
      <c r="A6" s="11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7.5" x14ac:dyDescent="0.35">
      <c r="A7" s="5" t="s">
        <v>29</v>
      </c>
      <c r="B7" s="5"/>
      <c r="C7" s="5"/>
      <c r="D7" s="5">
        <f>+'INPUT DATA SHEET'!D13</f>
        <v>60</v>
      </c>
      <c r="E7" s="5" t="s">
        <v>33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.5" x14ac:dyDescent="0.35">
      <c r="A8" s="5" t="s">
        <v>30</v>
      </c>
      <c r="B8" s="5"/>
      <c r="C8" s="5"/>
      <c r="D8" s="5">
        <f>+'INPUT DATA SHEET'!D14</f>
        <v>68</v>
      </c>
      <c r="E8" s="5" t="s">
        <v>33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7.5" x14ac:dyDescent="0.35">
      <c r="A9" s="5" t="s">
        <v>34</v>
      </c>
      <c r="B9" s="5"/>
      <c r="C9" s="5"/>
      <c r="D9" s="5">
        <f>+'INPUT DATA SHEET'!D15</f>
        <v>1500</v>
      </c>
      <c r="E9" s="5" t="s">
        <v>36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7.5" x14ac:dyDescent="0.35">
      <c r="A10" s="5" t="s">
        <v>35</v>
      </c>
      <c r="B10" s="5"/>
      <c r="C10" s="5"/>
      <c r="D10" s="5">
        <f>+'INPUT DATA SHEET'!D16</f>
        <v>3000</v>
      </c>
      <c r="E10" s="5" t="s">
        <v>36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7.5" x14ac:dyDescent="0.35">
      <c r="A11" s="5" t="str">
        <f>+'INPUT DATA SHEET'!A17</f>
        <v>Inventory Carrying Cost</v>
      </c>
      <c r="B11" s="5"/>
      <c r="C11" s="5"/>
      <c r="D11" s="5">
        <f>+'INPUT DATA SHEET'!D17</f>
        <v>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7.5" x14ac:dyDescent="0.35">
      <c r="A12" s="5" t="s">
        <v>31</v>
      </c>
      <c r="B12" s="5"/>
      <c r="C12" s="5"/>
      <c r="D12" s="5">
        <f>+'INPUT DATA SHEET'!D11</f>
        <v>300</v>
      </c>
      <c r="E12" s="5" t="s">
        <v>32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7.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17.5" x14ac:dyDescent="0.35">
      <c r="A14" s="9" t="s">
        <v>39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8" x14ac:dyDescent="0.4">
      <c r="A15" s="10">
        <f>+Q31</f>
        <v>2309850</v>
      </c>
      <c r="B15" s="5"/>
      <c r="C15" s="5"/>
      <c r="D15" s="5"/>
      <c r="E15" s="5"/>
      <c r="F15" s="11" t="s">
        <v>24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17.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18" x14ac:dyDescent="0.4">
      <c r="A17" s="11"/>
      <c r="B17" s="11" t="s">
        <v>11</v>
      </c>
      <c r="C17" s="11" t="s">
        <v>0</v>
      </c>
      <c r="D17" s="11" t="s">
        <v>1</v>
      </c>
      <c r="E17" s="11" t="s">
        <v>2</v>
      </c>
      <c r="F17" s="11" t="s">
        <v>3</v>
      </c>
      <c r="G17" s="11" t="s">
        <v>4</v>
      </c>
      <c r="H17" s="11" t="s">
        <v>5</v>
      </c>
      <c r="I17" s="11" t="s">
        <v>6</v>
      </c>
      <c r="J17" s="11" t="s">
        <v>7</v>
      </c>
      <c r="K17" s="11" t="s">
        <v>8</v>
      </c>
      <c r="L17" s="11" t="s">
        <v>9</v>
      </c>
      <c r="M17" s="11" t="s">
        <v>10</v>
      </c>
      <c r="N17" s="11" t="s">
        <v>11</v>
      </c>
      <c r="O17" s="11" t="s">
        <v>22</v>
      </c>
      <c r="P17" s="11" t="s">
        <v>23</v>
      </c>
      <c r="Q17" s="5"/>
    </row>
    <row r="18" spans="1:17" ht="18" x14ac:dyDescent="0.4">
      <c r="A18" s="11" t="s">
        <v>12</v>
      </c>
      <c r="B18" s="11"/>
      <c r="C18" s="11">
        <f>+'INPUT DATA SHEET'!C24</f>
        <v>3000</v>
      </c>
      <c r="D18" s="11">
        <f>+'INPUT DATA SHEET'!D24</f>
        <v>3100</v>
      </c>
      <c r="E18" s="11">
        <f>+'INPUT DATA SHEET'!E24</f>
        <v>3400</v>
      </c>
      <c r="F18" s="11">
        <f>+'INPUT DATA SHEET'!F24</f>
        <v>3250</v>
      </c>
      <c r="G18" s="11">
        <f>+'INPUT DATA SHEET'!G24</f>
        <v>2950</v>
      </c>
      <c r="H18" s="11">
        <f>+'INPUT DATA SHEET'!H24</f>
        <v>2800</v>
      </c>
      <c r="I18" s="11">
        <f>+'INPUT DATA SHEET'!I24</f>
        <v>2400</v>
      </c>
      <c r="J18" s="11">
        <f>+'INPUT DATA SHEET'!J24</f>
        <v>2100</v>
      </c>
      <c r="K18" s="11">
        <f>+'INPUT DATA SHEET'!K24</f>
        <v>1800</v>
      </c>
      <c r="L18" s="11">
        <f>+'INPUT DATA SHEET'!L24</f>
        <v>3050</v>
      </c>
      <c r="M18" s="11">
        <f>+'INPUT DATA SHEET'!M24</f>
        <v>3150</v>
      </c>
      <c r="N18" s="11">
        <f>+'INPUT DATA SHEET'!N24</f>
        <v>3450</v>
      </c>
      <c r="O18" s="11">
        <f>SUM(C18:N18)</f>
        <v>34450</v>
      </c>
      <c r="P18" s="11"/>
      <c r="Q18" s="5"/>
    </row>
    <row r="19" spans="1:17" ht="17.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18" x14ac:dyDescent="0.4">
      <c r="A20" s="11" t="s">
        <v>13</v>
      </c>
      <c r="B20" s="5"/>
      <c r="C20" s="5">
        <v>3150</v>
      </c>
      <c r="D20" s="5">
        <f>+C20</f>
        <v>3150</v>
      </c>
      <c r="E20" s="5">
        <f t="shared" ref="E20:N20" si="0">+D20</f>
        <v>3150</v>
      </c>
      <c r="F20" s="5">
        <f t="shared" si="0"/>
        <v>3150</v>
      </c>
      <c r="G20" s="5">
        <f t="shared" si="0"/>
        <v>3150</v>
      </c>
      <c r="H20" s="5">
        <f t="shared" si="0"/>
        <v>3150</v>
      </c>
      <c r="I20" s="5">
        <f t="shared" si="0"/>
        <v>3150</v>
      </c>
      <c r="J20" s="5">
        <f t="shared" si="0"/>
        <v>3150</v>
      </c>
      <c r="K20" s="5">
        <f t="shared" si="0"/>
        <v>3150</v>
      </c>
      <c r="L20" s="5">
        <f t="shared" si="0"/>
        <v>3150</v>
      </c>
      <c r="M20" s="5">
        <f t="shared" si="0"/>
        <v>3150</v>
      </c>
      <c r="N20" s="5">
        <f t="shared" si="0"/>
        <v>3150</v>
      </c>
      <c r="O20" s="11">
        <f>SUM(C20:N20)</f>
        <v>37800</v>
      </c>
      <c r="P20" s="11">
        <v>60</v>
      </c>
      <c r="Q20" s="12">
        <f>+P20*O20</f>
        <v>2268000</v>
      </c>
    </row>
    <row r="21" spans="1:17" ht="18" x14ac:dyDescent="0.4">
      <c r="A21" s="11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P21" s="11">
        <v>68</v>
      </c>
      <c r="Q21" s="12">
        <f>+P21*O21</f>
        <v>0</v>
      </c>
    </row>
    <row r="22" spans="1:17" ht="18" x14ac:dyDescent="0.4">
      <c r="A22" s="11" t="s">
        <v>14</v>
      </c>
      <c r="B22" s="5">
        <v>200</v>
      </c>
      <c r="C22" s="5">
        <f>+B22+C20+C21-C18</f>
        <v>350</v>
      </c>
      <c r="D22" s="5">
        <f t="shared" ref="D22:N22" si="1">+C22+D20+D21-D18</f>
        <v>400</v>
      </c>
      <c r="E22" s="5">
        <f>+D22+E20+E21-E18</f>
        <v>150</v>
      </c>
      <c r="F22" s="5">
        <f t="shared" si="1"/>
        <v>50</v>
      </c>
      <c r="G22" s="5">
        <f t="shared" si="1"/>
        <v>250</v>
      </c>
      <c r="H22" s="5">
        <f t="shared" si="1"/>
        <v>600</v>
      </c>
      <c r="I22" s="5">
        <f t="shared" si="1"/>
        <v>1350</v>
      </c>
      <c r="J22" s="5">
        <f t="shared" si="1"/>
        <v>2400</v>
      </c>
      <c r="K22" s="5">
        <f t="shared" si="1"/>
        <v>3750</v>
      </c>
      <c r="L22" s="5">
        <f t="shared" si="1"/>
        <v>3850</v>
      </c>
      <c r="M22" s="5">
        <f t="shared" si="1"/>
        <v>3850</v>
      </c>
      <c r="N22" s="5">
        <f t="shared" si="1"/>
        <v>3550</v>
      </c>
      <c r="O22" s="11">
        <f>SUM(C22:N22)</f>
        <v>20550</v>
      </c>
      <c r="P22" s="11">
        <v>2</v>
      </c>
      <c r="Q22" s="12">
        <f>+P22*O22</f>
        <v>41100</v>
      </c>
    </row>
    <row r="23" spans="1:17" ht="18" x14ac:dyDescent="0.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1"/>
      <c r="P23" s="11"/>
      <c r="Q23" s="12"/>
    </row>
    <row r="24" spans="1:17" ht="18" x14ac:dyDescent="0.4">
      <c r="A24" s="11" t="s">
        <v>15</v>
      </c>
      <c r="B24" s="5">
        <f>+'INPUT DATA SHEET'!D10</f>
        <v>10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1">
        <f>SUM(C24:N24)</f>
        <v>0</v>
      </c>
      <c r="P24" s="11"/>
      <c r="Q24" s="12"/>
    </row>
    <row r="25" spans="1:17" ht="18" x14ac:dyDescent="0.4">
      <c r="A25" s="11">
        <v>300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1"/>
      <c r="P25" s="11"/>
      <c r="Q25" s="12"/>
    </row>
    <row r="26" spans="1:17" ht="18" x14ac:dyDescent="0.4">
      <c r="A26" s="11" t="s">
        <v>16</v>
      </c>
      <c r="B26" s="5"/>
      <c r="C26" s="5">
        <f>IF(C20&gt;B24*300,C20/300-B24,0)</f>
        <v>0.5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1">
        <f>SUM(C26:N26)</f>
        <v>0.5</v>
      </c>
      <c r="P26" s="11">
        <v>1500</v>
      </c>
      <c r="Q26" s="12">
        <f>+P26*O26</f>
        <v>750</v>
      </c>
    </row>
    <row r="27" spans="1:17" ht="18" x14ac:dyDescent="0.4">
      <c r="A27" s="1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1"/>
      <c r="P27" s="11"/>
      <c r="Q27" s="12"/>
    </row>
    <row r="28" spans="1:17" ht="18" x14ac:dyDescent="0.4">
      <c r="A28" s="11" t="s">
        <v>17</v>
      </c>
      <c r="B28" s="5"/>
      <c r="C28" s="5">
        <f>IF(C20&lt;B24*300,B24 - C20/300,0)</f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1">
        <f>SUM(C28:N28)</f>
        <v>0</v>
      </c>
      <c r="P28" s="11">
        <v>3000</v>
      </c>
      <c r="Q28" s="12">
        <f>+P28*O28</f>
        <v>0</v>
      </c>
    </row>
    <row r="29" spans="1:17" ht="20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"/>
      <c r="P29" s="1"/>
      <c r="Q29" s="1"/>
    </row>
    <row r="30" spans="1:17" ht="20" x14ac:dyDescent="0.4">
      <c r="A30" s="2" t="s">
        <v>19</v>
      </c>
      <c r="B30" s="2">
        <f>+(O18-B22+E3)/12</f>
        <v>2870.8333333333335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"/>
      <c r="P30" s="1"/>
      <c r="Q30" s="1"/>
    </row>
    <row r="31" spans="1:17" ht="20" x14ac:dyDescent="0.4">
      <c r="A31" s="2"/>
      <c r="B31" s="2">
        <f>+B30/300</f>
        <v>9.5694444444444446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"/>
      <c r="P31" s="1"/>
      <c r="Q31" s="4">
        <f>SUM(Q20:Q30)</f>
        <v>2309850</v>
      </c>
    </row>
    <row r="32" spans="1:17" ht="20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"/>
    </row>
    <row r="33" spans="1:17" ht="20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0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phoneticPr fontId="0" type="noConversion"/>
  <pageMargins left="0.75" right="0.75" top="1" bottom="1" header="0.5" footer="0.5"/>
  <pageSetup scale="60"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selection sqref="A1:R25"/>
    </sheetView>
  </sheetViews>
  <sheetFormatPr defaultRowHeight="12.5" x14ac:dyDescent="0.25"/>
  <cols>
    <col min="1" max="1" width="18.453125" customWidth="1"/>
    <col min="15" max="15" width="10.26953125" customWidth="1"/>
    <col min="17" max="17" width="18.81640625" customWidth="1"/>
  </cols>
  <sheetData>
    <row r="1" spans="1:19" ht="17.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spans="1:19" ht="17.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ht="17.5" x14ac:dyDescent="0.35">
      <c r="A3" s="5" t="s">
        <v>20</v>
      </c>
      <c r="B3" s="5"/>
      <c r="C3" s="5"/>
      <c r="D3" s="5">
        <v>200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1:19" ht="17.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1:19" ht="17.5" x14ac:dyDescent="0.35">
      <c r="A5" s="9" t="s">
        <v>39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spans="1:19" ht="18" x14ac:dyDescent="0.4">
      <c r="A6" s="10">
        <f>+Q22</f>
        <v>2097650</v>
      </c>
      <c r="B6" s="5"/>
      <c r="C6" s="5"/>
      <c r="D6" s="5"/>
      <c r="E6" s="5"/>
      <c r="F6" s="11" t="s">
        <v>25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</row>
    <row r="7" spans="1:19" ht="17.5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</row>
    <row r="8" spans="1:19" ht="18" x14ac:dyDescent="0.4">
      <c r="A8" s="11"/>
      <c r="B8" s="11" t="s">
        <v>11</v>
      </c>
      <c r="C8" s="11" t="s">
        <v>0</v>
      </c>
      <c r="D8" s="11" t="s">
        <v>1</v>
      </c>
      <c r="E8" s="11" t="s">
        <v>2</v>
      </c>
      <c r="F8" s="11" t="s">
        <v>3</v>
      </c>
      <c r="G8" s="11" t="s">
        <v>4</v>
      </c>
      <c r="H8" s="11" t="s">
        <v>5</v>
      </c>
      <c r="I8" s="11" t="s">
        <v>6</v>
      </c>
      <c r="J8" s="11" t="s">
        <v>7</v>
      </c>
      <c r="K8" s="11" t="s">
        <v>8</v>
      </c>
      <c r="L8" s="11" t="s">
        <v>9</v>
      </c>
      <c r="M8" s="11" t="s">
        <v>10</v>
      </c>
      <c r="N8" s="11" t="s">
        <v>11</v>
      </c>
      <c r="O8" s="11" t="s">
        <v>22</v>
      </c>
      <c r="P8" s="11" t="s">
        <v>23</v>
      </c>
      <c r="Q8" s="5"/>
      <c r="R8" s="5"/>
      <c r="S8" s="6"/>
    </row>
    <row r="9" spans="1:19" ht="18" x14ac:dyDescent="0.4">
      <c r="A9" s="11" t="s">
        <v>12</v>
      </c>
      <c r="B9" s="11"/>
      <c r="C9" s="11">
        <f>+'INPUT DATA SHEET'!C24</f>
        <v>3000</v>
      </c>
      <c r="D9" s="11">
        <f>+'INPUT DATA SHEET'!D24</f>
        <v>3100</v>
      </c>
      <c r="E9" s="11">
        <f>+'INPUT DATA SHEET'!E24</f>
        <v>3400</v>
      </c>
      <c r="F9" s="11">
        <f>+'INPUT DATA SHEET'!F24</f>
        <v>3250</v>
      </c>
      <c r="G9" s="11">
        <f>+'INPUT DATA SHEET'!G24</f>
        <v>2950</v>
      </c>
      <c r="H9" s="11">
        <f>+'INPUT DATA SHEET'!H24</f>
        <v>2800</v>
      </c>
      <c r="I9" s="11">
        <f>+'INPUT DATA SHEET'!I24</f>
        <v>2400</v>
      </c>
      <c r="J9" s="11">
        <f>+'INPUT DATA SHEET'!J24</f>
        <v>2100</v>
      </c>
      <c r="K9" s="11">
        <f>+'INPUT DATA SHEET'!K24</f>
        <v>1800</v>
      </c>
      <c r="L9" s="11">
        <f>+'INPUT DATA SHEET'!L24</f>
        <v>3050</v>
      </c>
      <c r="M9" s="11">
        <f>+'INPUT DATA SHEET'!M24</f>
        <v>3150</v>
      </c>
      <c r="N9" s="11">
        <f>+'INPUT DATA SHEET'!N24</f>
        <v>3450</v>
      </c>
      <c r="O9" s="11">
        <f>SUM(C9:N9)</f>
        <v>34450</v>
      </c>
      <c r="P9" s="11"/>
      <c r="Q9" s="5"/>
      <c r="R9" s="5"/>
      <c r="S9" s="6"/>
    </row>
    <row r="10" spans="1:19" ht="17.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</row>
    <row r="11" spans="1:19" ht="18" x14ac:dyDescent="0.4">
      <c r="A11" s="11" t="s">
        <v>13</v>
      </c>
      <c r="B11" s="5"/>
      <c r="C11" s="5">
        <f>+C9-B13</f>
        <v>2800</v>
      </c>
      <c r="D11" s="5">
        <f t="shared" ref="D11:M11" si="0">+D9-C13</f>
        <v>3100</v>
      </c>
      <c r="E11" s="5">
        <f t="shared" si="0"/>
        <v>3400</v>
      </c>
      <c r="F11" s="5">
        <f t="shared" si="0"/>
        <v>3250</v>
      </c>
      <c r="G11" s="5">
        <f t="shared" si="0"/>
        <v>2950</v>
      </c>
      <c r="H11" s="5">
        <f t="shared" si="0"/>
        <v>2800</v>
      </c>
      <c r="I11" s="5">
        <f>+I9-H13</f>
        <v>2400</v>
      </c>
      <c r="J11" s="5">
        <f>+J9-I13</f>
        <v>2100</v>
      </c>
      <c r="K11" s="5">
        <f t="shared" si="0"/>
        <v>1800</v>
      </c>
      <c r="L11" s="5">
        <f t="shared" si="0"/>
        <v>3050</v>
      </c>
      <c r="M11" s="5">
        <f t="shared" si="0"/>
        <v>3150</v>
      </c>
      <c r="N11" s="5">
        <f>+N9-O12+D3</f>
        <v>3650</v>
      </c>
      <c r="O11" s="11">
        <f>SUM(C11:N11)</f>
        <v>34450</v>
      </c>
      <c r="P11" s="11">
        <f>+'INPUT DATA SHEET'!D13</f>
        <v>60</v>
      </c>
      <c r="Q11" s="12">
        <f>+P11*O11</f>
        <v>2067000</v>
      </c>
      <c r="R11" s="5"/>
      <c r="S11" s="6"/>
    </row>
    <row r="12" spans="1:19" ht="18" x14ac:dyDescent="0.4">
      <c r="A12" s="11" t="s">
        <v>18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1"/>
      <c r="P12" s="11">
        <f>+'INPUT DATA SHEET'!D14</f>
        <v>68</v>
      </c>
      <c r="Q12" s="12">
        <f>+P12*O12</f>
        <v>0</v>
      </c>
      <c r="R12" s="5"/>
      <c r="S12" s="6"/>
    </row>
    <row r="13" spans="1:19" ht="18" x14ac:dyDescent="0.4">
      <c r="A13" s="11" t="s">
        <v>14</v>
      </c>
      <c r="B13" s="5">
        <v>200</v>
      </c>
      <c r="C13" s="5">
        <f>+B13+C11+C12-C9</f>
        <v>0</v>
      </c>
      <c r="D13" s="5">
        <f t="shared" ref="D13:N13" si="1">+C13+D11+D12-D9</f>
        <v>0</v>
      </c>
      <c r="E13" s="5">
        <f t="shared" si="1"/>
        <v>0</v>
      </c>
      <c r="F13" s="5">
        <f t="shared" si="1"/>
        <v>0</v>
      </c>
      <c r="G13" s="5">
        <f t="shared" si="1"/>
        <v>0</v>
      </c>
      <c r="H13" s="5">
        <f t="shared" si="1"/>
        <v>0</v>
      </c>
      <c r="I13" s="5">
        <f t="shared" si="1"/>
        <v>0</v>
      </c>
      <c r="J13" s="5">
        <f t="shared" si="1"/>
        <v>0</v>
      </c>
      <c r="K13" s="5">
        <f t="shared" si="1"/>
        <v>0</v>
      </c>
      <c r="L13" s="5">
        <f t="shared" si="1"/>
        <v>0</v>
      </c>
      <c r="M13" s="5">
        <f t="shared" si="1"/>
        <v>0</v>
      </c>
      <c r="N13" s="5">
        <f t="shared" si="1"/>
        <v>200</v>
      </c>
      <c r="O13" s="11">
        <f>SUM(C13:N13)</f>
        <v>200</v>
      </c>
      <c r="P13" s="11">
        <f>+'INPUT DATA SHEET'!D17</f>
        <v>2</v>
      </c>
      <c r="Q13" s="12">
        <f>+P13*O13</f>
        <v>400</v>
      </c>
      <c r="R13" s="5"/>
      <c r="S13" s="6"/>
    </row>
    <row r="14" spans="1:19" ht="18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1"/>
      <c r="P14" s="11"/>
      <c r="Q14" s="12"/>
      <c r="R14" s="5"/>
      <c r="S14" s="6"/>
    </row>
    <row r="15" spans="1:19" ht="18" x14ac:dyDescent="0.4">
      <c r="A15" s="11" t="s">
        <v>15</v>
      </c>
      <c r="B15" s="5">
        <f>+'INPUT DATA SHEET'!D10</f>
        <v>10</v>
      </c>
      <c r="C15" s="5">
        <f>+B15+C17-C19</f>
        <v>9.3333333333333339</v>
      </c>
      <c r="D15" s="5">
        <f t="shared" ref="D15:N15" si="2">+C15+D17-D19</f>
        <v>10.333333333333334</v>
      </c>
      <c r="E15" s="5">
        <f t="shared" si="2"/>
        <v>11.333333333333334</v>
      </c>
      <c r="F15" s="5">
        <f t="shared" si="2"/>
        <v>10.833333333333334</v>
      </c>
      <c r="G15" s="5">
        <f t="shared" si="2"/>
        <v>9.8333333333333339</v>
      </c>
      <c r="H15" s="5">
        <f t="shared" si="2"/>
        <v>9.3333333333333339</v>
      </c>
      <c r="I15" s="5">
        <f t="shared" si="2"/>
        <v>8</v>
      </c>
      <c r="J15" s="5">
        <f t="shared" si="2"/>
        <v>7</v>
      </c>
      <c r="K15" s="5">
        <f t="shared" si="2"/>
        <v>6</v>
      </c>
      <c r="L15" s="5">
        <f t="shared" si="2"/>
        <v>10.166666666666666</v>
      </c>
      <c r="M15" s="5">
        <f t="shared" si="2"/>
        <v>10.5</v>
      </c>
      <c r="N15" s="5">
        <f t="shared" si="2"/>
        <v>12.166666666666666</v>
      </c>
      <c r="O15" s="11"/>
      <c r="P15" s="11"/>
      <c r="Q15" s="12"/>
      <c r="R15" s="5"/>
      <c r="S15" s="6"/>
    </row>
    <row r="16" spans="1:19" ht="18" x14ac:dyDescent="0.4">
      <c r="A16" s="11">
        <v>300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1"/>
      <c r="P16" s="11"/>
      <c r="Q16" s="12"/>
      <c r="R16" s="5"/>
      <c r="S16" s="6"/>
    </row>
    <row r="17" spans="1:19" ht="18" x14ac:dyDescent="0.4">
      <c r="A17" s="11" t="s">
        <v>16</v>
      </c>
      <c r="B17" s="5"/>
      <c r="C17" s="5">
        <f>IF(C11&gt;B15*300,C11/300-B15,0)</f>
        <v>0</v>
      </c>
      <c r="D17" s="5">
        <f t="shared" ref="D17:N17" si="3">IF(D11&gt;C15*300,D11/300-C15,0)</f>
        <v>1</v>
      </c>
      <c r="E17" s="5">
        <f t="shared" si="3"/>
        <v>1</v>
      </c>
      <c r="F17" s="5">
        <f t="shared" si="3"/>
        <v>0</v>
      </c>
      <c r="G17" s="5">
        <f t="shared" si="3"/>
        <v>0</v>
      </c>
      <c r="H17" s="5">
        <f t="shared" si="3"/>
        <v>0</v>
      </c>
      <c r="I17" s="5">
        <f t="shared" si="3"/>
        <v>0</v>
      </c>
      <c r="J17" s="5">
        <f t="shared" si="3"/>
        <v>0</v>
      </c>
      <c r="K17" s="5">
        <f t="shared" si="3"/>
        <v>0</v>
      </c>
      <c r="L17" s="5">
        <f t="shared" si="3"/>
        <v>4.1666666666666661</v>
      </c>
      <c r="M17" s="5">
        <f t="shared" si="3"/>
        <v>0.33333333333333393</v>
      </c>
      <c r="N17" s="5">
        <f t="shared" si="3"/>
        <v>1.6666666666666661</v>
      </c>
      <c r="O17" s="11">
        <f>SUM(C17:N17)</f>
        <v>8.1666666666666661</v>
      </c>
      <c r="P17" s="11">
        <v>1500</v>
      </c>
      <c r="Q17" s="12">
        <f>+P17*O17</f>
        <v>12250</v>
      </c>
      <c r="R17" s="5"/>
      <c r="S17" s="6"/>
    </row>
    <row r="18" spans="1:19" ht="18" x14ac:dyDescent="0.4">
      <c r="A18" s="1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1"/>
      <c r="P18" s="11"/>
      <c r="Q18" s="12"/>
      <c r="R18" s="5"/>
      <c r="S18" s="6"/>
    </row>
    <row r="19" spans="1:19" ht="18" x14ac:dyDescent="0.4">
      <c r="A19" s="11" t="s">
        <v>17</v>
      </c>
      <c r="B19" s="5"/>
      <c r="C19" s="5">
        <f>IF(C11&lt;B15*300,B15 - C11/300,0)</f>
        <v>0.66666666666666607</v>
      </c>
      <c r="D19" s="5">
        <f t="shared" ref="D19:N19" si="4">IF(D11&lt;C15*300,C15 - D11/300,0)</f>
        <v>0</v>
      </c>
      <c r="E19" s="5">
        <f t="shared" si="4"/>
        <v>0</v>
      </c>
      <c r="F19" s="5">
        <f t="shared" si="4"/>
        <v>0.5</v>
      </c>
      <c r="G19" s="5">
        <f t="shared" si="4"/>
        <v>1</v>
      </c>
      <c r="H19" s="5">
        <f t="shared" si="4"/>
        <v>0.5</v>
      </c>
      <c r="I19" s="5">
        <f t="shared" si="4"/>
        <v>1.3333333333333339</v>
      </c>
      <c r="J19" s="5">
        <f t="shared" si="4"/>
        <v>1</v>
      </c>
      <c r="K19" s="5">
        <f t="shared" si="4"/>
        <v>1</v>
      </c>
      <c r="L19" s="5">
        <f t="shared" si="4"/>
        <v>0</v>
      </c>
      <c r="M19" s="5">
        <f t="shared" si="4"/>
        <v>0</v>
      </c>
      <c r="N19" s="5">
        <f t="shared" si="4"/>
        <v>0</v>
      </c>
      <c r="O19" s="11">
        <f>SUM(C19:N19)</f>
        <v>6</v>
      </c>
      <c r="P19" s="11">
        <v>3000</v>
      </c>
      <c r="Q19" s="12">
        <f>+P19*O19</f>
        <v>18000</v>
      </c>
      <c r="R19" s="5"/>
      <c r="S19" s="6"/>
    </row>
    <row r="20" spans="1:19" ht="18" x14ac:dyDescent="0.4">
      <c r="A20" s="1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1"/>
      <c r="P20" s="11"/>
      <c r="Q20" s="11"/>
      <c r="R20" s="5"/>
      <c r="S20" s="6"/>
    </row>
    <row r="21" spans="1:19" ht="18" x14ac:dyDescent="0.4">
      <c r="A21" s="1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P21" s="11"/>
      <c r="Q21" s="11"/>
      <c r="R21" s="5"/>
      <c r="S21" s="6"/>
    </row>
    <row r="22" spans="1:19" ht="18" x14ac:dyDescent="0.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1"/>
      <c r="P22" s="11"/>
      <c r="Q22" s="16">
        <f>SUM(Q11:Q21)</f>
        <v>2097650</v>
      </c>
      <c r="R22" s="5"/>
      <c r="S22" s="6"/>
    </row>
    <row r="23" spans="1:19" ht="18" x14ac:dyDescent="0.4">
      <c r="A23" s="5" t="s">
        <v>19</v>
      </c>
      <c r="B23" s="5">
        <f>+(O9-B13+D3)/12</f>
        <v>2870.8333333333335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1"/>
      <c r="R23" s="5"/>
      <c r="S23" s="6"/>
    </row>
    <row r="24" spans="1:19" ht="17.5" x14ac:dyDescent="0.35">
      <c r="A24" s="5"/>
      <c r="B24" s="5">
        <f>+B23/300</f>
        <v>9.5694444444444446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</row>
    <row r="25" spans="1:19" ht="17.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</row>
    <row r="26" spans="1:19" ht="15.5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5.5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15.5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15.5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5.5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15.5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ht="15.5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ht="15.5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5.5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ht="15.5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15.5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ht="15.5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workbookViewId="0">
      <selection activeCell="A19" sqref="A19"/>
    </sheetView>
  </sheetViews>
  <sheetFormatPr defaultRowHeight="12.5" x14ac:dyDescent="0.25"/>
  <cols>
    <col min="1" max="1" width="19.7265625" customWidth="1"/>
    <col min="15" max="15" width="11.54296875" customWidth="1"/>
    <col min="17" max="17" width="18.7265625" customWidth="1"/>
  </cols>
  <sheetData>
    <row r="1" spans="1:18" ht="17.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17.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1:18" ht="17.5" x14ac:dyDescent="0.35">
      <c r="A3" s="5" t="s">
        <v>20</v>
      </c>
      <c r="B3" s="5"/>
      <c r="C3" s="5"/>
      <c r="D3" s="5"/>
      <c r="E3" s="5">
        <v>200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ht="17.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 spans="1:18" ht="17.5" x14ac:dyDescent="0.35">
      <c r="A5" s="9" t="s">
        <v>39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 spans="1:18" ht="18" x14ac:dyDescent="0.4">
      <c r="A6" s="10">
        <f>+Q22</f>
        <v>2092800</v>
      </c>
      <c r="B6" s="5"/>
      <c r="C6" s="5"/>
      <c r="D6" s="5"/>
      <c r="E6" s="5"/>
      <c r="F6" s="11" t="s">
        <v>26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</row>
    <row r="7" spans="1:18" ht="17.5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</row>
    <row r="8" spans="1:18" ht="18" x14ac:dyDescent="0.4">
      <c r="A8" s="11"/>
      <c r="B8" s="11" t="s">
        <v>11</v>
      </c>
      <c r="C8" s="11" t="s">
        <v>0</v>
      </c>
      <c r="D8" s="11" t="s">
        <v>1</v>
      </c>
      <c r="E8" s="11" t="s">
        <v>2</v>
      </c>
      <c r="F8" s="11" t="s">
        <v>3</v>
      </c>
      <c r="G8" s="11" t="s">
        <v>4</v>
      </c>
      <c r="H8" s="11" t="s">
        <v>5</v>
      </c>
      <c r="I8" s="11" t="s">
        <v>6</v>
      </c>
      <c r="J8" s="11" t="s">
        <v>7</v>
      </c>
      <c r="K8" s="11" t="s">
        <v>8</v>
      </c>
      <c r="L8" s="11" t="s">
        <v>9</v>
      </c>
      <c r="M8" s="11" t="s">
        <v>10</v>
      </c>
      <c r="N8" s="11" t="s">
        <v>11</v>
      </c>
      <c r="O8" s="11" t="s">
        <v>22</v>
      </c>
      <c r="P8" s="11" t="s">
        <v>23</v>
      </c>
      <c r="Q8" s="5"/>
      <c r="R8" s="6"/>
    </row>
    <row r="9" spans="1:18" ht="18" x14ac:dyDescent="0.4">
      <c r="A9" s="11" t="s">
        <v>12</v>
      </c>
      <c r="B9" s="11"/>
      <c r="C9" s="11">
        <f>+'INPUT DATA SHEET'!C24</f>
        <v>3000</v>
      </c>
      <c r="D9" s="11">
        <f>+'INPUT DATA SHEET'!D24</f>
        <v>3100</v>
      </c>
      <c r="E9" s="11">
        <f>+'INPUT DATA SHEET'!E24</f>
        <v>3400</v>
      </c>
      <c r="F9" s="11">
        <f>+'INPUT DATA SHEET'!F24</f>
        <v>3250</v>
      </c>
      <c r="G9" s="11">
        <f>+'INPUT DATA SHEET'!G24</f>
        <v>2950</v>
      </c>
      <c r="H9" s="11">
        <f>+'INPUT DATA SHEET'!H24</f>
        <v>2800</v>
      </c>
      <c r="I9" s="11">
        <f>+'INPUT DATA SHEET'!I24</f>
        <v>2400</v>
      </c>
      <c r="J9" s="11">
        <f>+'INPUT DATA SHEET'!J24</f>
        <v>2100</v>
      </c>
      <c r="K9" s="11">
        <f>+'INPUT DATA SHEET'!K24</f>
        <v>1800</v>
      </c>
      <c r="L9" s="11">
        <f>+'INPUT DATA SHEET'!L24</f>
        <v>3050</v>
      </c>
      <c r="M9" s="11">
        <f>+'INPUT DATA SHEET'!M24</f>
        <v>3150</v>
      </c>
      <c r="N9" s="11">
        <f>+'INPUT DATA SHEET'!N24</f>
        <v>3450</v>
      </c>
      <c r="O9" s="11">
        <f>SUM(C9:N9)</f>
        <v>34450</v>
      </c>
      <c r="P9" s="11"/>
      <c r="Q9" s="5"/>
      <c r="R9" s="6"/>
    </row>
    <row r="10" spans="1:18" ht="17.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pans="1:18" ht="18" x14ac:dyDescent="0.4">
      <c r="A11" s="11" t="s">
        <v>13</v>
      </c>
      <c r="B11" s="5"/>
      <c r="C11" s="5">
        <v>3000</v>
      </c>
      <c r="D11" s="5">
        <v>3000</v>
      </c>
      <c r="E11" s="5">
        <v>3300</v>
      </c>
      <c r="F11" s="5">
        <f>+E11</f>
        <v>3300</v>
      </c>
      <c r="G11" s="5">
        <v>3000</v>
      </c>
      <c r="H11" s="5">
        <v>2700</v>
      </c>
      <c r="I11" s="5">
        <v>2400</v>
      </c>
      <c r="J11" s="5">
        <v>2100</v>
      </c>
      <c r="K11" s="5">
        <f>+J11</f>
        <v>2100</v>
      </c>
      <c r="L11" s="5">
        <v>3000</v>
      </c>
      <c r="M11" s="5">
        <v>3300</v>
      </c>
      <c r="N11" s="5">
        <f>+M11</f>
        <v>3300</v>
      </c>
      <c r="O11" s="11">
        <f>SUM(C11:N11)</f>
        <v>34500</v>
      </c>
      <c r="P11" s="11">
        <f>+'INPUT DATA SHEET'!D13</f>
        <v>60</v>
      </c>
      <c r="Q11" s="12">
        <f>+P11*O11</f>
        <v>2070000</v>
      </c>
      <c r="R11" s="6"/>
    </row>
    <row r="12" spans="1:18" ht="18" x14ac:dyDescent="0.4">
      <c r="A12" s="11" t="s">
        <v>18</v>
      </c>
      <c r="B12" s="5"/>
      <c r="C12" s="5"/>
      <c r="D12" s="5">
        <v>0</v>
      </c>
      <c r="E12" s="5">
        <v>0</v>
      </c>
      <c r="F12" s="5">
        <v>0</v>
      </c>
      <c r="G12" s="5"/>
      <c r="H12" s="5"/>
      <c r="I12" s="5"/>
      <c r="J12" s="5">
        <v>0</v>
      </c>
      <c r="K12" s="5"/>
      <c r="L12" s="5"/>
      <c r="M12" s="5"/>
      <c r="N12" s="5"/>
      <c r="O12" s="11">
        <f>SUM(C12:N12)</f>
        <v>0</v>
      </c>
      <c r="P12" s="11">
        <f>+'INPUT DATA SHEET'!D14</f>
        <v>68</v>
      </c>
      <c r="Q12" s="12">
        <f>+P12*O12</f>
        <v>0</v>
      </c>
      <c r="R12" s="6"/>
    </row>
    <row r="13" spans="1:18" ht="18" x14ac:dyDescent="0.4">
      <c r="A13" s="11" t="s">
        <v>14</v>
      </c>
      <c r="B13" s="5">
        <v>200</v>
      </c>
      <c r="C13" s="5">
        <f>+B13+C11+C12-C9</f>
        <v>200</v>
      </c>
      <c r="D13" s="5">
        <f t="shared" ref="D13:N13" si="0">+C13+D11+D12-D9</f>
        <v>100</v>
      </c>
      <c r="E13" s="5">
        <f t="shared" si="0"/>
        <v>0</v>
      </c>
      <c r="F13" s="5">
        <f>+E13+F11+F12-F9</f>
        <v>50</v>
      </c>
      <c r="G13" s="5">
        <f t="shared" si="0"/>
        <v>100</v>
      </c>
      <c r="H13" s="5">
        <f t="shared" si="0"/>
        <v>0</v>
      </c>
      <c r="I13" s="5">
        <f t="shared" si="0"/>
        <v>0</v>
      </c>
      <c r="J13" s="5">
        <f t="shared" si="0"/>
        <v>0</v>
      </c>
      <c r="K13" s="5">
        <f t="shared" si="0"/>
        <v>300</v>
      </c>
      <c r="L13" s="5">
        <f t="shared" si="0"/>
        <v>250</v>
      </c>
      <c r="M13" s="5">
        <f t="shared" si="0"/>
        <v>400</v>
      </c>
      <c r="N13" s="5">
        <f t="shared" si="0"/>
        <v>250</v>
      </c>
      <c r="O13" s="11">
        <f>SUM(C13:N13)</f>
        <v>1650</v>
      </c>
      <c r="P13" s="11">
        <f>+'INPUT DATA SHEET'!D17</f>
        <v>2</v>
      </c>
      <c r="Q13" s="12">
        <f>+P13*O13</f>
        <v>3300</v>
      </c>
      <c r="R13" s="6"/>
    </row>
    <row r="14" spans="1:18" ht="18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1"/>
      <c r="P14" s="11"/>
      <c r="Q14" s="12"/>
      <c r="R14" s="6"/>
    </row>
    <row r="15" spans="1:18" ht="18" x14ac:dyDescent="0.4">
      <c r="A15" s="11" t="s">
        <v>15</v>
      </c>
      <c r="B15" s="5">
        <f>+'INPUT DATA SHEET'!D10</f>
        <v>10</v>
      </c>
      <c r="C15" s="13">
        <f>+B15+C17-C19</f>
        <v>10</v>
      </c>
      <c r="D15" s="13">
        <f t="shared" ref="D15:N15" si="1">+C15+D17-D19</f>
        <v>10</v>
      </c>
      <c r="E15" s="13">
        <f t="shared" si="1"/>
        <v>11</v>
      </c>
      <c r="F15" s="13">
        <f t="shared" si="1"/>
        <v>11</v>
      </c>
      <c r="G15" s="13">
        <f t="shared" si="1"/>
        <v>10</v>
      </c>
      <c r="H15" s="13">
        <f t="shared" si="1"/>
        <v>9</v>
      </c>
      <c r="I15" s="13">
        <f t="shared" si="1"/>
        <v>8</v>
      </c>
      <c r="J15" s="13">
        <f t="shared" si="1"/>
        <v>7</v>
      </c>
      <c r="K15" s="13">
        <f t="shared" si="1"/>
        <v>7</v>
      </c>
      <c r="L15" s="13">
        <f t="shared" si="1"/>
        <v>10</v>
      </c>
      <c r="M15" s="13">
        <f t="shared" si="1"/>
        <v>11</v>
      </c>
      <c r="N15" s="13">
        <f t="shared" si="1"/>
        <v>11</v>
      </c>
      <c r="O15" s="14"/>
      <c r="P15" s="11"/>
      <c r="Q15" s="12"/>
      <c r="R15" s="6"/>
    </row>
    <row r="16" spans="1:18" ht="18" x14ac:dyDescent="0.4">
      <c r="A16" s="11">
        <v>300</v>
      </c>
      <c r="B16" s="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4"/>
      <c r="P16" s="11"/>
      <c r="Q16" s="12"/>
      <c r="R16" s="6"/>
    </row>
    <row r="17" spans="1:18" ht="18" x14ac:dyDescent="0.4">
      <c r="A17" s="11" t="s">
        <v>16</v>
      </c>
      <c r="B17" s="5"/>
      <c r="C17" s="15">
        <f>IF(C11&gt;B15*300,C11/300-B15,0)</f>
        <v>0</v>
      </c>
      <c r="D17" s="15">
        <f t="shared" ref="D17:N17" si="2">IF(D11&gt;C15*300,D11/300-C15,0)</f>
        <v>0</v>
      </c>
      <c r="E17" s="15">
        <f t="shared" si="2"/>
        <v>1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5">
        <f t="shared" si="2"/>
        <v>0</v>
      </c>
      <c r="K17" s="15">
        <f t="shared" si="2"/>
        <v>0</v>
      </c>
      <c r="L17" s="15">
        <f t="shared" si="2"/>
        <v>3</v>
      </c>
      <c r="M17" s="15">
        <f t="shared" si="2"/>
        <v>1</v>
      </c>
      <c r="N17" s="15">
        <f t="shared" si="2"/>
        <v>0</v>
      </c>
      <c r="O17" s="14">
        <f>SUM(C17:N17)</f>
        <v>5</v>
      </c>
      <c r="P17" s="11">
        <f>+'INPUT DATA SHEET'!D15</f>
        <v>1500</v>
      </c>
      <c r="Q17" s="12">
        <f>+P17*O17</f>
        <v>7500</v>
      </c>
      <c r="R17" s="6"/>
    </row>
    <row r="18" spans="1:18" ht="18" x14ac:dyDescent="0.4">
      <c r="A18" s="11"/>
      <c r="B18" s="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4"/>
      <c r="P18" s="11"/>
      <c r="Q18" s="12"/>
      <c r="R18" s="6"/>
    </row>
    <row r="19" spans="1:18" ht="18" x14ac:dyDescent="0.4">
      <c r="A19" s="11" t="s">
        <v>17</v>
      </c>
      <c r="B19" s="5"/>
      <c r="C19" s="15">
        <f>IF(C11&lt;B15*300,B15 - C11/300,0)</f>
        <v>0</v>
      </c>
      <c r="D19" s="15">
        <f t="shared" ref="D19:N19" si="3">IF(D11&lt;C15*300,C15 - D11/300,0)</f>
        <v>0</v>
      </c>
      <c r="E19" s="15">
        <f t="shared" si="3"/>
        <v>0</v>
      </c>
      <c r="F19" s="15">
        <f t="shared" si="3"/>
        <v>0</v>
      </c>
      <c r="G19" s="15">
        <f t="shared" si="3"/>
        <v>1</v>
      </c>
      <c r="H19" s="15">
        <f t="shared" si="3"/>
        <v>1</v>
      </c>
      <c r="I19" s="15">
        <f t="shared" si="3"/>
        <v>1</v>
      </c>
      <c r="J19" s="15">
        <f t="shared" si="3"/>
        <v>1</v>
      </c>
      <c r="K19" s="15">
        <f t="shared" si="3"/>
        <v>0</v>
      </c>
      <c r="L19" s="15">
        <f t="shared" si="3"/>
        <v>0</v>
      </c>
      <c r="M19" s="15">
        <f t="shared" si="3"/>
        <v>0</v>
      </c>
      <c r="N19" s="15">
        <f t="shared" si="3"/>
        <v>0</v>
      </c>
      <c r="O19" s="14">
        <f>SUM(C19:N19)</f>
        <v>4</v>
      </c>
      <c r="P19" s="11">
        <f>+'INPUT DATA SHEET'!D16</f>
        <v>3000</v>
      </c>
      <c r="Q19" s="12">
        <f>+P19*O19</f>
        <v>12000</v>
      </c>
      <c r="R19" s="6"/>
    </row>
    <row r="20" spans="1:18" ht="18" x14ac:dyDescent="0.4">
      <c r="A20" s="11"/>
      <c r="B20" s="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4"/>
      <c r="P20" s="11"/>
      <c r="Q20" s="11"/>
      <c r="R20" s="6"/>
    </row>
    <row r="21" spans="1:18" ht="18" x14ac:dyDescent="0.4">
      <c r="A21" s="11" t="s">
        <v>40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P21" s="11"/>
      <c r="Q21" s="11"/>
      <c r="R21" s="6"/>
    </row>
    <row r="22" spans="1:18" ht="18" x14ac:dyDescent="0.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1"/>
      <c r="P22" s="11"/>
      <c r="Q22" s="16">
        <f>SUM(Q11:Q21)</f>
        <v>2092800</v>
      </c>
      <c r="R22" s="6"/>
    </row>
    <row r="23" spans="1:18" ht="17.5" x14ac:dyDescent="0.35">
      <c r="A23" s="5" t="s">
        <v>41</v>
      </c>
      <c r="B23" s="5"/>
      <c r="C23" s="5"/>
      <c r="D23" s="5" t="s">
        <v>42</v>
      </c>
      <c r="E23" s="5"/>
      <c r="F23" s="5"/>
      <c r="G23" s="5" t="s">
        <v>43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6"/>
    </row>
    <row r="24" spans="1:18" ht="17.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1:18" ht="17.5" x14ac:dyDescent="0.35">
      <c r="A25" s="5" t="s">
        <v>44</v>
      </c>
      <c r="B25" s="5"/>
      <c r="C25" s="5"/>
      <c r="D25" s="5" t="s">
        <v>45</v>
      </c>
      <c r="E25" s="5"/>
      <c r="F25" s="5"/>
      <c r="G25" s="5" t="s">
        <v>46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6"/>
    </row>
    <row r="26" spans="1:18" ht="17.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6"/>
    </row>
    <row r="27" spans="1:18" ht="17.5" x14ac:dyDescent="0.35">
      <c r="A27" s="5" t="s">
        <v>47</v>
      </c>
      <c r="B27" s="5"/>
      <c r="C27" s="5"/>
      <c r="D27" s="5" t="s">
        <v>48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6"/>
    </row>
    <row r="28" spans="1:18" ht="17.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6"/>
    </row>
    <row r="29" spans="1:18" ht="17.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6"/>
    </row>
    <row r="30" spans="1:18" ht="15.5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5.5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15.5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5.5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5.5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5.5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20" x14ac:dyDescent="0.4">
      <c r="A36" s="2"/>
      <c r="B36" s="2"/>
      <c r="C36" s="2"/>
      <c r="D36" s="2"/>
      <c r="E36" s="2"/>
      <c r="F36" s="2"/>
      <c r="G36" s="2"/>
      <c r="H36" s="2"/>
      <c r="I36" s="2"/>
    </row>
    <row r="37" spans="1:18" ht="20" x14ac:dyDescent="0.4">
      <c r="A37" s="2"/>
      <c r="B37" s="2"/>
      <c r="C37" s="2"/>
      <c r="D37" s="2"/>
      <c r="E37" s="2"/>
      <c r="F37" s="2"/>
      <c r="G37" s="2"/>
      <c r="H37" s="2"/>
      <c r="I37" s="2"/>
    </row>
    <row r="38" spans="1:18" ht="20" x14ac:dyDescent="0.4">
      <c r="A38" s="2"/>
      <c r="B38" s="2"/>
      <c r="C38" s="2"/>
      <c r="D38" s="2"/>
      <c r="E38" s="2"/>
      <c r="F38" s="2"/>
      <c r="G38" s="2"/>
      <c r="H38" s="2"/>
      <c r="I38" s="2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C23" sqref="C23"/>
    </sheetView>
  </sheetViews>
  <sheetFormatPr defaultRowHeight="12.5" x14ac:dyDescent="0.25"/>
  <cols>
    <col min="1" max="1" width="19.26953125" customWidth="1"/>
    <col min="2" max="2" width="8.1796875" customWidth="1"/>
    <col min="3" max="3" width="8" customWidth="1"/>
    <col min="4" max="4" width="8.81640625" customWidth="1"/>
    <col min="15" max="15" width="11.453125" customWidth="1"/>
    <col min="17" max="17" width="18.54296875" customWidth="1"/>
  </cols>
  <sheetData>
    <row r="1" spans="1:18" ht="17.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17.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1:18" ht="17.5" x14ac:dyDescent="0.35">
      <c r="A3" s="5" t="s">
        <v>20</v>
      </c>
      <c r="B3" s="5"/>
      <c r="C3" s="5"/>
      <c r="D3" s="5"/>
      <c r="E3" s="5">
        <v>200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ht="17.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 spans="1:18" ht="17.5" x14ac:dyDescent="0.35">
      <c r="A5" s="9" t="s">
        <v>39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 spans="1:18" ht="18" x14ac:dyDescent="0.4">
      <c r="A6" s="10">
        <f>+Q22</f>
        <v>2092800</v>
      </c>
      <c r="B6" s="5"/>
      <c r="C6" s="5"/>
      <c r="D6" s="5"/>
      <c r="E6" s="5"/>
      <c r="F6" s="11" t="s">
        <v>26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</row>
    <row r="7" spans="1:18" ht="17.5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</row>
    <row r="8" spans="1:18" ht="18" x14ac:dyDescent="0.4">
      <c r="A8" s="11"/>
      <c r="B8" s="11" t="s">
        <v>11</v>
      </c>
      <c r="C8" s="11" t="s">
        <v>0</v>
      </c>
      <c r="D8" s="11" t="s">
        <v>1</v>
      </c>
      <c r="E8" s="11" t="s">
        <v>2</v>
      </c>
      <c r="F8" s="11" t="s">
        <v>3</v>
      </c>
      <c r="G8" s="11" t="s">
        <v>4</v>
      </c>
      <c r="H8" s="11" t="s">
        <v>5</v>
      </c>
      <c r="I8" s="11" t="s">
        <v>6</v>
      </c>
      <c r="J8" s="11" t="s">
        <v>7</v>
      </c>
      <c r="K8" s="11" t="s">
        <v>8</v>
      </c>
      <c r="L8" s="11" t="s">
        <v>9</v>
      </c>
      <c r="M8" s="11" t="s">
        <v>10</v>
      </c>
      <c r="N8" s="11" t="s">
        <v>11</v>
      </c>
      <c r="O8" s="11" t="s">
        <v>22</v>
      </c>
      <c r="P8" s="11" t="s">
        <v>23</v>
      </c>
      <c r="Q8" s="5"/>
      <c r="R8" s="6"/>
    </row>
    <row r="9" spans="1:18" ht="18" x14ac:dyDescent="0.4">
      <c r="A9" s="11" t="s">
        <v>12</v>
      </c>
      <c r="B9" s="11"/>
      <c r="C9" s="11">
        <f>+'INPUT DATA SHEET'!C24</f>
        <v>3000</v>
      </c>
      <c r="D9" s="11">
        <f>+'INPUT DATA SHEET'!D24</f>
        <v>3100</v>
      </c>
      <c r="E9" s="11">
        <f>+'INPUT DATA SHEET'!E24</f>
        <v>3400</v>
      </c>
      <c r="F9" s="11">
        <f>+'INPUT DATA SHEET'!F24</f>
        <v>3250</v>
      </c>
      <c r="G9" s="11">
        <f>+'INPUT DATA SHEET'!G24</f>
        <v>2950</v>
      </c>
      <c r="H9" s="11">
        <f>+'INPUT DATA SHEET'!H24</f>
        <v>2800</v>
      </c>
      <c r="I9" s="11">
        <f>+'INPUT DATA SHEET'!I24</f>
        <v>2400</v>
      </c>
      <c r="J9" s="11">
        <f>+'INPUT DATA SHEET'!J24</f>
        <v>2100</v>
      </c>
      <c r="K9" s="11">
        <f>+'INPUT DATA SHEET'!K24</f>
        <v>1800</v>
      </c>
      <c r="L9" s="11">
        <f>+'INPUT DATA SHEET'!L24</f>
        <v>3050</v>
      </c>
      <c r="M9" s="11">
        <f>+'INPUT DATA SHEET'!M24</f>
        <v>3150</v>
      </c>
      <c r="N9" s="11">
        <f>+'INPUT DATA SHEET'!N24</f>
        <v>3450</v>
      </c>
      <c r="O9" s="11">
        <f>SUM(C9:N9)</f>
        <v>34450</v>
      </c>
      <c r="P9" s="11"/>
      <c r="Q9" s="5"/>
      <c r="R9" s="6"/>
    </row>
    <row r="10" spans="1:18" ht="17.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pans="1:18" ht="18" x14ac:dyDescent="0.4">
      <c r="A11" s="11" t="s">
        <v>13</v>
      </c>
      <c r="B11" s="5"/>
      <c r="C11" s="5">
        <v>3000</v>
      </c>
      <c r="D11" s="5">
        <v>3000</v>
      </c>
      <c r="E11" s="5">
        <v>3300</v>
      </c>
      <c r="F11" s="5">
        <f>+E11</f>
        <v>3300</v>
      </c>
      <c r="G11" s="5">
        <v>3000</v>
      </c>
      <c r="H11" s="5">
        <v>2700</v>
      </c>
      <c r="I11" s="5">
        <v>2400</v>
      </c>
      <c r="J11" s="5">
        <v>2100</v>
      </c>
      <c r="K11" s="5">
        <f>+J11</f>
        <v>2100</v>
      </c>
      <c r="L11" s="5">
        <v>3000</v>
      </c>
      <c r="M11" s="5">
        <v>3300</v>
      </c>
      <c r="N11" s="5">
        <f>+M11</f>
        <v>3300</v>
      </c>
      <c r="O11" s="11">
        <f>SUM(C11:N11)</f>
        <v>34500</v>
      </c>
      <c r="P11" s="11">
        <f>+'INPUT DATA SHEET'!D13</f>
        <v>60</v>
      </c>
      <c r="Q11" s="12">
        <f>+P11*O11</f>
        <v>2070000</v>
      </c>
      <c r="R11" s="6"/>
    </row>
    <row r="12" spans="1:18" ht="18" x14ac:dyDescent="0.4">
      <c r="A12" s="11" t="s">
        <v>18</v>
      </c>
      <c r="B12" s="5"/>
      <c r="C12" s="5"/>
      <c r="D12" s="5">
        <v>0</v>
      </c>
      <c r="E12" s="5">
        <v>0</v>
      </c>
      <c r="F12" s="5">
        <v>0</v>
      </c>
      <c r="G12" s="5"/>
      <c r="H12" s="5"/>
      <c r="I12" s="5"/>
      <c r="J12" s="5">
        <v>0</v>
      </c>
      <c r="K12" s="5"/>
      <c r="L12" s="5"/>
      <c r="M12" s="5"/>
      <c r="N12" s="5"/>
      <c r="O12" s="11">
        <f>SUM(C12:N12)</f>
        <v>0</v>
      </c>
      <c r="P12" s="11">
        <f>+'INPUT DATA SHEET'!D14</f>
        <v>68</v>
      </c>
      <c r="Q12" s="12">
        <f>+P12*O12</f>
        <v>0</v>
      </c>
      <c r="R12" s="6"/>
    </row>
    <row r="13" spans="1:18" ht="18" x14ac:dyDescent="0.4">
      <c r="A13" s="11" t="s">
        <v>14</v>
      </c>
      <c r="B13" s="5">
        <v>200</v>
      </c>
      <c r="C13" s="5">
        <f>+B13+C11+C12-C9</f>
        <v>200</v>
      </c>
      <c r="D13" s="5">
        <f t="shared" ref="D13:N13" si="0">+C13+D11+D12-D9</f>
        <v>100</v>
      </c>
      <c r="E13" s="5">
        <f t="shared" si="0"/>
        <v>0</v>
      </c>
      <c r="F13" s="5">
        <f>+E13+F11+F12-F9</f>
        <v>50</v>
      </c>
      <c r="G13" s="5">
        <f t="shared" si="0"/>
        <v>100</v>
      </c>
      <c r="H13" s="5">
        <f t="shared" si="0"/>
        <v>0</v>
      </c>
      <c r="I13" s="5">
        <f t="shared" si="0"/>
        <v>0</v>
      </c>
      <c r="J13" s="5">
        <f t="shared" si="0"/>
        <v>0</v>
      </c>
      <c r="K13" s="5">
        <f t="shared" si="0"/>
        <v>300</v>
      </c>
      <c r="L13" s="5">
        <f t="shared" si="0"/>
        <v>250</v>
      </c>
      <c r="M13" s="5">
        <f t="shared" si="0"/>
        <v>400</v>
      </c>
      <c r="N13" s="5">
        <f t="shared" si="0"/>
        <v>250</v>
      </c>
      <c r="O13" s="11">
        <f>SUM(C13:N13)</f>
        <v>1650</v>
      </c>
      <c r="P13" s="11">
        <f>+'INPUT DATA SHEET'!D17</f>
        <v>2</v>
      </c>
      <c r="Q13" s="12">
        <f>+P13*O13</f>
        <v>3300</v>
      </c>
      <c r="R13" s="6"/>
    </row>
    <row r="14" spans="1:18" ht="18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1"/>
      <c r="P14" s="11"/>
      <c r="Q14" s="12"/>
      <c r="R14" s="6"/>
    </row>
    <row r="15" spans="1:18" ht="18" x14ac:dyDescent="0.4">
      <c r="A15" s="11" t="s">
        <v>15</v>
      </c>
      <c r="B15" s="5">
        <f>+'INPUT DATA SHEET'!D10</f>
        <v>10</v>
      </c>
      <c r="C15" s="13">
        <f>+B15+C17-C19</f>
        <v>10</v>
      </c>
      <c r="D15" s="13">
        <f t="shared" ref="D15:N15" si="1">+C15+D17-D19</f>
        <v>10</v>
      </c>
      <c r="E15" s="13">
        <f t="shared" si="1"/>
        <v>11</v>
      </c>
      <c r="F15" s="13">
        <f t="shared" si="1"/>
        <v>11</v>
      </c>
      <c r="G15" s="13">
        <f t="shared" si="1"/>
        <v>10</v>
      </c>
      <c r="H15" s="13">
        <f t="shared" si="1"/>
        <v>9</v>
      </c>
      <c r="I15" s="13">
        <f t="shared" si="1"/>
        <v>8</v>
      </c>
      <c r="J15" s="13">
        <f t="shared" si="1"/>
        <v>7</v>
      </c>
      <c r="K15" s="13">
        <f t="shared" si="1"/>
        <v>7</v>
      </c>
      <c r="L15" s="13">
        <f t="shared" si="1"/>
        <v>10</v>
      </c>
      <c r="M15" s="13">
        <f t="shared" si="1"/>
        <v>11</v>
      </c>
      <c r="N15" s="13">
        <f t="shared" si="1"/>
        <v>11</v>
      </c>
      <c r="O15" s="14"/>
      <c r="P15" s="11"/>
      <c r="Q15" s="12"/>
      <c r="R15" s="6"/>
    </row>
    <row r="16" spans="1:18" ht="18" x14ac:dyDescent="0.4">
      <c r="A16" s="11">
        <v>300</v>
      </c>
      <c r="B16" s="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4"/>
      <c r="P16" s="11"/>
      <c r="Q16" s="12"/>
      <c r="R16" s="6"/>
    </row>
    <row r="17" spans="1:18" ht="18" x14ac:dyDescent="0.4">
      <c r="A17" s="11" t="s">
        <v>16</v>
      </c>
      <c r="B17" s="5"/>
      <c r="C17" s="15">
        <f>IF(C11&gt;B15*300,C11/300-B15,0)</f>
        <v>0</v>
      </c>
      <c r="D17" s="15">
        <f t="shared" ref="D17:N17" si="2">IF(D11&gt;C15*300,D11/300-C15,0)</f>
        <v>0</v>
      </c>
      <c r="E17" s="15">
        <f t="shared" si="2"/>
        <v>1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5">
        <f t="shared" si="2"/>
        <v>0</v>
      </c>
      <c r="K17" s="15">
        <f t="shared" si="2"/>
        <v>0</v>
      </c>
      <c r="L17" s="15">
        <f t="shared" si="2"/>
        <v>3</v>
      </c>
      <c r="M17" s="15">
        <f t="shared" si="2"/>
        <v>1</v>
      </c>
      <c r="N17" s="15">
        <f t="shared" si="2"/>
        <v>0</v>
      </c>
      <c r="O17" s="14">
        <f>SUM(C17:N17)</f>
        <v>5</v>
      </c>
      <c r="P17" s="11">
        <f>+'INPUT DATA SHEET'!D15</f>
        <v>1500</v>
      </c>
      <c r="Q17" s="12">
        <f>+P17*O17</f>
        <v>7500</v>
      </c>
      <c r="R17" s="6"/>
    </row>
    <row r="18" spans="1:18" ht="18" x14ac:dyDescent="0.4">
      <c r="A18" s="11"/>
      <c r="B18" s="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4"/>
      <c r="P18" s="11"/>
      <c r="Q18" s="12"/>
      <c r="R18" s="6"/>
    </row>
    <row r="19" spans="1:18" ht="18" x14ac:dyDescent="0.4">
      <c r="A19" s="11" t="s">
        <v>17</v>
      </c>
      <c r="B19" s="5"/>
      <c r="C19" s="15">
        <f>IF(C11&lt;B15*300,B15 - C11/300,0)</f>
        <v>0</v>
      </c>
      <c r="D19" s="15">
        <f t="shared" ref="D19:N19" si="3">IF(D11&lt;C15*300,C15 - D11/300,0)</f>
        <v>0</v>
      </c>
      <c r="E19" s="15">
        <f t="shared" si="3"/>
        <v>0</v>
      </c>
      <c r="F19" s="15">
        <f t="shared" si="3"/>
        <v>0</v>
      </c>
      <c r="G19" s="15">
        <f t="shared" si="3"/>
        <v>1</v>
      </c>
      <c r="H19" s="15">
        <f t="shared" si="3"/>
        <v>1</v>
      </c>
      <c r="I19" s="15">
        <f t="shared" si="3"/>
        <v>1</v>
      </c>
      <c r="J19" s="15">
        <f t="shared" si="3"/>
        <v>1</v>
      </c>
      <c r="K19" s="15">
        <f t="shared" si="3"/>
        <v>0</v>
      </c>
      <c r="L19" s="15">
        <f t="shared" si="3"/>
        <v>0</v>
      </c>
      <c r="M19" s="15">
        <f t="shared" si="3"/>
        <v>0</v>
      </c>
      <c r="N19" s="15">
        <f t="shared" si="3"/>
        <v>0</v>
      </c>
      <c r="O19" s="14">
        <f>SUM(C19:N19)</f>
        <v>4</v>
      </c>
      <c r="P19" s="11">
        <f>+'INPUT DATA SHEET'!D16</f>
        <v>3000</v>
      </c>
      <c r="Q19" s="12">
        <f>+P19*O19</f>
        <v>12000</v>
      </c>
      <c r="R19" s="6"/>
    </row>
    <row r="20" spans="1:18" ht="18" x14ac:dyDescent="0.4">
      <c r="A20" s="11"/>
      <c r="B20" s="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4"/>
      <c r="P20" s="11"/>
      <c r="Q20" s="11"/>
      <c r="R20" s="6"/>
    </row>
    <row r="21" spans="1:18" ht="18" x14ac:dyDescent="0.4">
      <c r="A21" s="1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P21" s="11"/>
      <c r="Q21" s="11"/>
      <c r="R21" s="6"/>
    </row>
    <row r="22" spans="1:18" ht="18" x14ac:dyDescent="0.4">
      <c r="A22" s="5"/>
      <c r="B22" s="5"/>
      <c r="C22" s="5" t="s">
        <v>55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1"/>
      <c r="P22" s="11"/>
      <c r="Q22" s="16">
        <f>SUM(Q11:Q21)</f>
        <v>2092800</v>
      </c>
      <c r="R22" s="6"/>
    </row>
    <row r="23" spans="1:18" ht="15.5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  <c r="R23" s="6"/>
    </row>
    <row r="24" spans="1:18" ht="15.5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DATA SHEET</vt:lpstr>
      <vt:lpstr>Level</vt:lpstr>
      <vt:lpstr>Chase</vt:lpstr>
      <vt:lpstr>Mixed 1</vt:lpstr>
      <vt:lpstr>Mixed 2</vt:lpstr>
    </vt:vector>
  </TitlesOfParts>
  <Company>University of Guelph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DSPARLIN</dc:creator>
  <cp:lastModifiedBy>Carina Negreanu</cp:lastModifiedBy>
  <cp:lastPrinted>2001-03-19T15:37:59Z</cp:lastPrinted>
  <dcterms:created xsi:type="dcterms:W3CDTF">1999-03-12T16:57:52Z</dcterms:created>
  <dcterms:modified xsi:type="dcterms:W3CDTF">2020-01-27T10:25:09Z</dcterms:modified>
</cp:coreProperties>
</file>