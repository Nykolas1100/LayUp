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FE5167-A984-4037-B3ED-E6A00CEDB765}" xr6:coauthVersionLast="45" xr6:coauthVersionMax="45" xr10:uidLastSave="{00000000-0000-0000-0000-000000000000}"/>
  <bookViews>
    <workbookView xWindow="1900" yWindow="1900" windowWidth="28800" windowHeight="15460"/>
  </bookViews>
  <sheets>
    <sheet name="gb_expor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2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" i="1"/>
  <c r="J4" i="1"/>
  <c r="J5" i="1"/>
  <c r="J17" i="1"/>
  <c r="J18" i="1"/>
  <c r="J19" i="1"/>
  <c r="J20" i="1"/>
  <c r="J21" i="1"/>
  <c r="J22" i="1"/>
  <c r="J23" i="1"/>
  <c r="J24" i="1"/>
  <c r="J25" i="1"/>
  <c r="I4" i="1"/>
  <c r="I5" i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I19" i="1"/>
  <c r="I20" i="1"/>
  <c r="I21" i="1"/>
  <c r="I22" i="1"/>
  <c r="I23" i="1"/>
  <c r="I24" i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" i="1"/>
  <c r="J3" i="1" s="1"/>
  <c r="E4" i="1"/>
  <c r="N4" i="1" s="1"/>
  <c r="E5" i="1"/>
  <c r="N5" i="1" s="1"/>
  <c r="E6" i="1"/>
  <c r="N6" i="1" s="1"/>
  <c r="E7" i="1"/>
  <c r="N7" i="1" s="1"/>
  <c r="E20" i="1"/>
  <c r="N20" i="1" s="1"/>
  <c r="E21" i="1"/>
  <c r="N21" i="1" s="1"/>
  <c r="E22" i="1"/>
  <c r="E23" i="1"/>
  <c r="N23" i="1" s="1"/>
  <c r="E24" i="1"/>
  <c r="N24" i="1" s="1"/>
  <c r="E25" i="1"/>
  <c r="N25" i="1" s="1"/>
  <c r="E26" i="1"/>
  <c r="E27" i="1"/>
  <c r="D4" i="1"/>
  <c r="D5" i="1"/>
  <c r="D6" i="1"/>
  <c r="D7" i="1"/>
  <c r="D8" i="1"/>
  <c r="E8" i="1" s="1"/>
  <c r="N8" i="1" s="1"/>
  <c r="D9" i="1"/>
  <c r="E9" i="1" s="1"/>
  <c r="N9" i="1" s="1"/>
  <c r="D10" i="1"/>
  <c r="E10" i="1" s="1"/>
  <c r="N10" i="1" s="1"/>
  <c r="D11" i="1"/>
  <c r="E11" i="1" s="1"/>
  <c r="N11" i="1" s="1"/>
  <c r="D12" i="1"/>
  <c r="E12" i="1" s="1"/>
  <c r="N12" i="1" s="1"/>
  <c r="D13" i="1"/>
  <c r="E13" i="1" s="1"/>
  <c r="N13" i="1" s="1"/>
  <c r="D14" i="1"/>
  <c r="E14" i="1" s="1"/>
  <c r="N14" i="1" s="1"/>
  <c r="D15" i="1"/>
  <c r="E15" i="1" s="1"/>
  <c r="N15" i="1" s="1"/>
  <c r="D16" i="1"/>
  <c r="E16" i="1" s="1"/>
  <c r="N16" i="1" s="1"/>
  <c r="D17" i="1"/>
  <c r="E17" i="1" s="1"/>
  <c r="N17" i="1" s="1"/>
  <c r="D18" i="1"/>
  <c r="E18" i="1" s="1"/>
  <c r="N18" i="1" s="1"/>
  <c r="D19" i="1"/>
  <c r="E19" i="1" s="1"/>
  <c r="N19" i="1" s="1"/>
  <c r="D20" i="1"/>
  <c r="D21" i="1"/>
  <c r="D22" i="1"/>
  <c r="D23" i="1"/>
  <c r="D24" i="1"/>
  <c r="D25" i="1"/>
  <c r="D26" i="1"/>
  <c r="D27" i="1"/>
  <c r="D28" i="1"/>
  <c r="E28" i="1" s="1"/>
  <c r="N28" i="1" s="1"/>
  <c r="D29" i="1"/>
  <c r="E29" i="1" s="1"/>
  <c r="N29" i="1" s="1"/>
  <c r="D30" i="1"/>
  <c r="E30" i="1" s="1"/>
  <c r="N30" i="1" s="1"/>
  <c r="D31" i="1"/>
  <c r="E31" i="1" s="1"/>
  <c r="N31" i="1" s="1"/>
  <c r="D3" i="1"/>
  <c r="E3" i="1" s="1"/>
  <c r="N3" i="1" s="1"/>
  <c r="N27" i="1" l="1"/>
  <c r="N26" i="1"/>
</calcChain>
</file>

<file path=xl/sharedStrings.xml><?xml version="1.0" encoding="utf-8"?>
<sst xmlns="http://schemas.openxmlformats.org/spreadsheetml/2006/main" count="43" uniqueCount="42">
  <si>
    <t>Quiz 4</t>
  </si>
  <si>
    <t>Homework 5</t>
  </si>
  <si>
    <t>Quiz 5</t>
  </si>
  <si>
    <t>Homework 6</t>
  </si>
  <si>
    <t>Partial 2</t>
  </si>
  <si>
    <t>Aguirre Guti?rrez, Aldo (a00748024) | 748024</t>
  </si>
  <si>
    <t xml:space="preserve">Arag?n Castro, Luis Jes?s (a00748068) | </t>
  </si>
  <si>
    <t xml:space="preserve">Arana Galindo, Alan Arturo (a00748148) | </t>
  </si>
  <si>
    <t xml:space="preserve">Arrieta Aguilar, Marcela Alejandra (a00748548) | </t>
  </si>
  <si>
    <t xml:space="preserve">Bencomo Arvizo, Fernando Luis (a00748094) | </t>
  </si>
  <si>
    <t xml:space="preserve">Borrego Villa, Fernando Alfredo (a00748095) | </t>
  </si>
  <si>
    <t xml:space="preserve">Flores Legarreta, Alejandra Georgina (a00748072) | </t>
  </si>
  <si>
    <t>Guevara Villaz?n, Fernando (a00748075) | a00748075</t>
  </si>
  <si>
    <t xml:space="preserve">Herrera Gaona, Luis Alonso (a00748122) | </t>
  </si>
  <si>
    <t xml:space="preserve">Howlet Caballero, Luis Carlos (a00748180) | </t>
  </si>
  <si>
    <t xml:space="preserve">Mercado Campos, Luis Armando (a00748032) | </t>
  </si>
  <si>
    <t xml:space="preserve">Monta?o Beckmann, Andoni Esteban (a00748077) | </t>
  </si>
  <si>
    <t xml:space="preserve">Ochoa Higuera, Mario Alberto (a00748080) | </t>
  </si>
  <si>
    <t xml:space="preserve">Parra Garc?a, Alejandro (a00748343) | </t>
  </si>
  <si>
    <t xml:space="preserve">Parra P?rez, Pablo (a00748110) | </t>
  </si>
  <si>
    <t xml:space="preserve">P?rez Loya, Sa?l (a00748131) | </t>
  </si>
  <si>
    <t xml:space="preserve">P?rez Martell, Sergio (a00748081) | </t>
  </si>
  <si>
    <t xml:space="preserve">Quintana Valdez, Miguel (a00747914) | </t>
  </si>
  <si>
    <t xml:space="preserve">Reyes Arrieta, Ra?l Guillermo (a00748183) | </t>
  </si>
  <si>
    <t xml:space="preserve">Rodiles Coss, Alejandro (a00748084) | </t>
  </si>
  <si>
    <t xml:space="preserve">Ruiz Pe?a, Alexandra Lizeth (a00748087) | </t>
  </si>
  <si>
    <t xml:space="preserve">Ruiz Trujillo, V?ctor Manuel (a00748136) | </t>
  </si>
  <si>
    <t xml:space="preserve">Salas Porras Legarreta, Luis Enrique (a00748139) | </t>
  </si>
  <si>
    <t xml:space="preserve">Salm?n Molinar, Esteban (a00748140) | </t>
  </si>
  <si>
    <t xml:space="preserve">Sandoval Renter?a, Marcos (a00748928) | </t>
  </si>
  <si>
    <t xml:space="preserve">Sarroca Rey, Elisabet (a00737072) | </t>
  </si>
  <si>
    <t xml:space="preserve">S?enz Garc?a, Jaime Alberto (a00748137) | </t>
  </si>
  <si>
    <t xml:space="preserve">S?enz Hern?ndez, Ana Teresa (a00748022) | </t>
  </si>
  <si>
    <t xml:space="preserve">Tovar Caballero, Jorge Alberto (a00748170) | </t>
  </si>
  <si>
    <t>Student</t>
  </si>
  <si>
    <t>Survey</t>
  </si>
  <si>
    <t>% Quizez</t>
  </si>
  <si>
    <t>% Homework</t>
  </si>
  <si>
    <t>Participation</t>
  </si>
  <si>
    <t>% Partial</t>
  </si>
  <si>
    <t>Final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</si>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</sst>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2" fontId="0" fillId="0" borderId="3" xfId="0" applyNumberFormat="1" applyBorder="1"/>
    <xf numFmtId="2" fontId="0" fillId="0" borderId="0" xfId="0" applyNumberFormat="1" applyBorder="1"/>
    <xf numFmtId="2" fontId="0" fillId="0" borderId="4" xfId="0" applyNumberFormat="1" applyBorder="1"/>
    <xf numFmtId="2" fontId="0" fillId="0" borderId="5" xfId="0" applyNumberFormat="1" applyBorder="1"/>
    <xf numFmtId="10" fontId="1" fillId="0" borderId="6" xfId="0" applyNumberFormat="1" applyFont="1" applyBorder="1"/>
    <xf numFmtId="10" fontId="1" fillId="0" borderId="7" xfId="0" applyNumberFormat="1" applyFont="1" applyBorder="1"/>
    <xf numFmtId="10" fontId="1" fillId="0" borderId="8" xfId="0" applyNumberFormat="1" applyFont="1" applyBorder="1"/>
    <xf numFmtId="10" fontId="1" fillId="0" borderId="9" xfId="0" applyNumberFormat="1" applyFont="1" applyBorder="1"/>
    <xf numFmtId="10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3" fillId="0" borderId="11" xfId="0" applyNumberFormat="1" applyFont="1" applyBorder="1"/>
    <xf numFmtId="2" fontId="3" fillId="0" borderId="10" xfId="0" applyNumberFormat="1" applyFont="1" applyBorder="1"/>
    <xf numFmtId="2" fontId="3" fillId="0" borderId="1" xfId="0" applyNumberFormat="1" applyFont="1" applyBorder="1"/>
    <xf numFmtId="2" fontId="3" fillId="0" borderId="2" xfId="0" applyNumberFormat="1" applyFont="1" applyBorder="1"/>
    <xf numFmtId="2" fontId="4" fillId="0" borderId="1" xfId="0" applyNumberFormat="1" applyFont="1" applyBorder="1"/>
    <xf numFmtId="2" fontId="4" fillId="0" borderId="2" xfId="0" applyNumberFormat="1" applyFont="1" applyBorder="1"/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zoomScale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2.5" x14ac:dyDescent="0.25"/>
  <cols>
    <col min="1" max="1" width="39" customWidth="1"/>
    <col min="2" max="2" width="9.453125" customWidth="1"/>
    <col min="3" max="5" width="10.7265625" customWidth="1"/>
    <col min="6" max="6" width="15.1796875" customWidth="1"/>
    <col min="7" max="7" width="15.81640625" customWidth="1"/>
    <col min="8" max="8" width="9.1796875" bestFit="1" customWidth="1"/>
    <col min="9" max="9" width="12.7265625" customWidth="1"/>
    <col min="10" max="11" width="14.453125" customWidth="1"/>
    <col min="12" max="12" width="10.26953125" customWidth="1"/>
    <col min="13" max="13" width="13.54296875" bestFit="1" customWidth="1"/>
  </cols>
  <sheetData>
    <row r="1" spans="1:16" s="13" customFormat="1" ht="13" x14ac:dyDescent="0.3">
      <c r="A1" s="9"/>
      <c r="B1" s="10"/>
      <c r="C1" s="11"/>
      <c r="D1" s="11"/>
      <c r="E1" s="12">
        <v>0.1</v>
      </c>
      <c r="F1" s="10"/>
      <c r="G1" s="11"/>
      <c r="H1" s="11"/>
      <c r="I1" s="11"/>
      <c r="J1" s="12">
        <v>0.2</v>
      </c>
      <c r="K1" s="9">
        <v>0.05</v>
      </c>
      <c r="L1" s="10"/>
      <c r="M1" s="12">
        <v>0.65</v>
      </c>
      <c r="N1" s="9"/>
    </row>
    <row r="2" spans="1:16" s="2" customFormat="1" ht="13" x14ac:dyDescent="0.3">
      <c r="A2" s="14" t="s">
        <v>34</v>
      </c>
      <c r="B2" s="15" t="s">
        <v>0</v>
      </c>
      <c r="C2" s="16" t="s">
        <v>2</v>
      </c>
      <c r="D2" s="16" t="s">
        <v>41</v>
      </c>
      <c r="E2" s="17" t="s">
        <v>36</v>
      </c>
      <c r="F2" s="15" t="s">
        <v>1</v>
      </c>
      <c r="G2" s="16" t="s">
        <v>3</v>
      </c>
      <c r="H2" s="16" t="s">
        <v>35</v>
      </c>
      <c r="I2" s="16" t="s">
        <v>41</v>
      </c>
      <c r="J2" s="17" t="s">
        <v>37</v>
      </c>
      <c r="K2" s="14" t="s">
        <v>38</v>
      </c>
      <c r="L2" s="15" t="s">
        <v>4</v>
      </c>
      <c r="M2" s="17" t="s">
        <v>39</v>
      </c>
      <c r="N2" s="14" t="s">
        <v>40</v>
      </c>
    </row>
    <row r="3" spans="1:16" ht="13" x14ac:dyDescent="0.3">
      <c r="A3" s="3" t="s">
        <v>5</v>
      </c>
      <c r="B3" s="5">
        <v>100</v>
      </c>
      <c r="C3" s="6">
        <v>75</v>
      </c>
      <c r="D3" s="6">
        <f>(B3+C3)/2</f>
        <v>87.5</v>
      </c>
      <c r="E3" s="18">
        <f>D3*$E$1</f>
        <v>8.75</v>
      </c>
      <c r="F3" s="5"/>
      <c r="G3" s="6">
        <v>100</v>
      </c>
      <c r="H3" s="6">
        <v>100</v>
      </c>
      <c r="I3" s="6">
        <f>(F3+G3+H3)/3</f>
        <v>66.666666666666671</v>
      </c>
      <c r="J3" s="18">
        <f>I3*$J$1</f>
        <v>13.333333333333336</v>
      </c>
      <c r="K3" s="20">
        <v>5</v>
      </c>
      <c r="L3" s="5">
        <v>100</v>
      </c>
      <c r="M3" s="18">
        <f>L3*$M$1</f>
        <v>65</v>
      </c>
      <c r="N3" s="22">
        <f>ROUND(E3+J3+K3+M3, 0)</f>
        <v>92</v>
      </c>
      <c r="O3" s="1"/>
      <c r="P3" s="1"/>
    </row>
    <row r="4" spans="1:16" ht="13" x14ac:dyDescent="0.3">
      <c r="A4" s="3" t="s">
        <v>6</v>
      </c>
      <c r="B4" s="5">
        <v>87.5</v>
      </c>
      <c r="C4" s="6">
        <v>62.5</v>
      </c>
      <c r="D4" s="6">
        <f t="shared" ref="D4:D31" si="0">(B4+C4)/2</f>
        <v>75</v>
      </c>
      <c r="E4" s="18">
        <f t="shared" ref="E4:E31" si="1">D4*$E$1</f>
        <v>7.5</v>
      </c>
      <c r="F4" s="5"/>
      <c r="G4" s="6">
        <v>100</v>
      </c>
      <c r="H4" s="6">
        <v>100</v>
      </c>
      <c r="I4" s="6">
        <f t="shared" ref="I4:I31" si="2">(F4+G4+H4)/3</f>
        <v>66.666666666666671</v>
      </c>
      <c r="J4" s="18">
        <f t="shared" ref="J4:J31" si="3">I4*$J$1</f>
        <v>13.333333333333336</v>
      </c>
      <c r="K4" s="20">
        <v>5</v>
      </c>
      <c r="L4" s="5">
        <v>100</v>
      </c>
      <c r="M4" s="18">
        <f t="shared" ref="M4:M31" si="4">L4*$M$1</f>
        <v>65</v>
      </c>
      <c r="N4" s="22">
        <f t="shared" ref="N4:N31" si="5">ROUND(E4+J4+K4+M4, 0)</f>
        <v>91</v>
      </c>
      <c r="O4" s="1"/>
      <c r="P4" s="1"/>
    </row>
    <row r="5" spans="1:16" ht="13" x14ac:dyDescent="0.3">
      <c r="A5" s="3" t="s">
        <v>7</v>
      </c>
      <c r="B5" s="5">
        <v>87.5</v>
      </c>
      <c r="C5" s="6">
        <v>75</v>
      </c>
      <c r="D5" s="6">
        <f t="shared" si="0"/>
        <v>81.25</v>
      </c>
      <c r="E5" s="18">
        <f t="shared" si="1"/>
        <v>8.125</v>
      </c>
      <c r="F5" s="5">
        <v>100</v>
      </c>
      <c r="G5" s="6"/>
      <c r="H5" s="6">
        <v>100</v>
      </c>
      <c r="I5" s="6">
        <f t="shared" si="2"/>
        <v>66.666666666666671</v>
      </c>
      <c r="J5" s="18">
        <f t="shared" si="3"/>
        <v>13.333333333333336</v>
      </c>
      <c r="K5" s="20">
        <v>5</v>
      </c>
      <c r="L5" s="5">
        <v>96</v>
      </c>
      <c r="M5" s="18">
        <f t="shared" si="4"/>
        <v>62.400000000000006</v>
      </c>
      <c r="N5" s="22">
        <f t="shared" si="5"/>
        <v>89</v>
      </c>
      <c r="O5" s="1"/>
      <c r="P5" s="1"/>
    </row>
    <row r="6" spans="1:16" ht="13" x14ac:dyDescent="0.3">
      <c r="A6" s="3" t="s">
        <v>8</v>
      </c>
      <c r="B6" s="5">
        <v>87.5</v>
      </c>
      <c r="C6" s="6">
        <v>87.5</v>
      </c>
      <c r="D6" s="6">
        <f t="shared" si="0"/>
        <v>87.5</v>
      </c>
      <c r="E6" s="18">
        <f t="shared" si="1"/>
        <v>8.75</v>
      </c>
      <c r="F6" s="5">
        <v>100</v>
      </c>
      <c r="G6" s="6"/>
      <c r="H6" s="6">
        <v>100</v>
      </c>
      <c r="I6" s="6">
        <f t="shared" si="2"/>
        <v>66.666666666666671</v>
      </c>
      <c r="J6" s="18">
        <f t="shared" si="3"/>
        <v>13.333333333333336</v>
      </c>
      <c r="K6" s="20">
        <v>5</v>
      </c>
      <c r="L6" s="5">
        <v>96</v>
      </c>
      <c r="M6" s="18">
        <f t="shared" si="4"/>
        <v>62.400000000000006</v>
      </c>
      <c r="N6" s="22">
        <f t="shared" si="5"/>
        <v>89</v>
      </c>
      <c r="O6" s="1"/>
      <c r="P6" s="1"/>
    </row>
    <row r="7" spans="1:16" ht="13" x14ac:dyDescent="0.3">
      <c r="A7" s="3" t="s">
        <v>9</v>
      </c>
      <c r="B7" s="5">
        <v>100</v>
      </c>
      <c r="C7" s="6">
        <v>100</v>
      </c>
      <c r="D7" s="6">
        <f t="shared" si="0"/>
        <v>100</v>
      </c>
      <c r="E7" s="18">
        <f t="shared" si="1"/>
        <v>10</v>
      </c>
      <c r="F7" s="5">
        <v>0</v>
      </c>
      <c r="G7" s="6">
        <v>100</v>
      </c>
      <c r="H7" s="6">
        <v>100</v>
      </c>
      <c r="I7" s="6">
        <f t="shared" si="2"/>
        <v>66.666666666666671</v>
      </c>
      <c r="J7" s="18">
        <f t="shared" si="3"/>
        <v>13.333333333333336</v>
      </c>
      <c r="K7" s="20">
        <v>5</v>
      </c>
      <c r="L7" s="5">
        <v>92</v>
      </c>
      <c r="M7" s="18">
        <f t="shared" si="4"/>
        <v>59.800000000000004</v>
      </c>
      <c r="N7" s="22">
        <f t="shared" si="5"/>
        <v>88</v>
      </c>
      <c r="O7" s="1"/>
      <c r="P7" s="1"/>
    </row>
    <row r="8" spans="1:16" ht="13" x14ac:dyDescent="0.3">
      <c r="A8" s="3" t="s">
        <v>10</v>
      </c>
      <c r="B8" s="5">
        <v>100</v>
      </c>
      <c r="C8" s="6">
        <v>50</v>
      </c>
      <c r="D8" s="6">
        <f t="shared" si="0"/>
        <v>75</v>
      </c>
      <c r="E8" s="18">
        <f t="shared" si="1"/>
        <v>7.5</v>
      </c>
      <c r="F8" s="5">
        <v>0</v>
      </c>
      <c r="G8" s="6">
        <v>100</v>
      </c>
      <c r="H8" s="6">
        <v>100</v>
      </c>
      <c r="I8" s="6">
        <f t="shared" si="2"/>
        <v>66.666666666666671</v>
      </c>
      <c r="J8" s="18">
        <f t="shared" si="3"/>
        <v>13.333333333333336</v>
      </c>
      <c r="K8" s="20">
        <v>5</v>
      </c>
      <c r="L8" s="5">
        <v>92</v>
      </c>
      <c r="M8" s="18">
        <f t="shared" si="4"/>
        <v>59.800000000000004</v>
      </c>
      <c r="N8" s="22">
        <f t="shared" si="5"/>
        <v>86</v>
      </c>
      <c r="O8" s="1"/>
      <c r="P8" s="1"/>
    </row>
    <row r="9" spans="1:16" ht="13" x14ac:dyDescent="0.3">
      <c r="A9" s="3" t="s">
        <v>11</v>
      </c>
      <c r="B9" s="5">
        <v>87.5</v>
      </c>
      <c r="C9" s="6">
        <v>75</v>
      </c>
      <c r="D9" s="6">
        <f t="shared" si="0"/>
        <v>81.25</v>
      </c>
      <c r="E9" s="18">
        <f t="shared" si="1"/>
        <v>8.125</v>
      </c>
      <c r="F9" s="5"/>
      <c r="G9" s="6">
        <v>100</v>
      </c>
      <c r="H9" s="6">
        <v>100</v>
      </c>
      <c r="I9" s="6">
        <f t="shared" si="2"/>
        <v>66.666666666666671</v>
      </c>
      <c r="J9" s="18">
        <f t="shared" si="3"/>
        <v>13.333333333333336</v>
      </c>
      <c r="K9" s="20">
        <v>5</v>
      </c>
      <c r="L9" s="5">
        <v>88</v>
      </c>
      <c r="M9" s="18">
        <f t="shared" si="4"/>
        <v>57.2</v>
      </c>
      <c r="N9" s="22">
        <f t="shared" si="5"/>
        <v>84</v>
      </c>
      <c r="O9" s="1"/>
      <c r="P9" s="1"/>
    </row>
    <row r="10" spans="1:16" ht="13" x14ac:dyDescent="0.3">
      <c r="A10" s="3" t="s">
        <v>12</v>
      </c>
      <c r="B10" s="5">
        <v>100</v>
      </c>
      <c r="C10" s="6">
        <v>100</v>
      </c>
      <c r="D10" s="6">
        <f t="shared" si="0"/>
        <v>100</v>
      </c>
      <c r="E10" s="18">
        <f t="shared" si="1"/>
        <v>10</v>
      </c>
      <c r="F10" s="5">
        <v>100</v>
      </c>
      <c r="G10" s="6">
        <v>100</v>
      </c>
      <c r="H10" s="6">
        <v>100</v>
      </c>
      <c r="I10" s="6">
        <f t="shared" si="2"/>
        <v>100</v>
      </c>
      <c r="J10" s="18">
        <f t="shared" si="3"/>
        <v>20</v>
      </c>
      <c r="K10" s="20">
        <v>5</v>
      </c>
      <c r="L10" s="5">
        <v>100</v>
      </c>
      <c r="M10" s="18">
        <f t="shared" si="4"/>
        <v>65</v>
      </c>
      <c r="N10" s="22">
        <f t="shared" si="5"/>
        <v>100</v>
      </c>
      <c r="O10" s="1"/>
      <c r="P10" s="1"/>
    </row>
    <row r="11" spans="1:16" ht="13" x14ac:dyDescent="0.3">
      <c r="A11" s="3" t="s">
        <v>13</v>
      </c>
      <c r="B11" s="5">
        <v>87.5</v>
      </c>
      <c r="C11" s="6">
        <v>87.5</v>
      </c>
      <c r="D11" s="6">
        <f t="shared" si="0"/>
        <v>87.5</v>
      </c>
      <c r="E11" s="18">
        <f t="shared" si="1"/>
        <v>8.75</v>
      </c>
      <c r="F11" s="5">
        <v>100</v>
      </c>
      <c r="G11" s="6">
        <v>100</v>
      </c>
      <c r="H11" s="6">
        <v>100</v>
      </c>
      <c r="I11" s="6">
        <f t="shared" si="2"/>
        <v>100</v>
      </c>
      <c r="J11" s="18">
        <f t="shared" si="3"/>
        <v>20</v>
      </c>
      <c r="K11" s="20">
        <v>5</v>
      </c>
      <c r="L11" s="5">
        <v>100</v>
      </c>
      <c r="M11" s="18">
        <f t="shared" si="4"/>
        <v>65</v>
      </c>
      <c r="N11" s="22">
        <f t="shared" si="5"/>
        <v>99</v>
      </c>
      <c r="O11" s="1"/>
      <c r="P11" s="1"/>
    </row>
    <row r="12" spans="1:16" ht="13" x14ac:dyDescent="0.3">
      <c r="A12" s="3" t="s">
        <v>14</v>
      </c>
      <c r="B12" s="5">
        <v>87.5</v>
      </c>
      <c r="C12" s="6">
        <v>50</v>
      </c>
      <c r="D12" s="6">
        <f t="shared" si="0"/>
        <v>68.75</v>
      </c>
      <c r="E12" s="18">
        <f t="shared" si="1"/>
        <v>6.875</v>
      </c>
      <c r="F12" s="5"/>
      <c r="G12" s="6">
        <v>100</v>
      </c>
      <c r="H12" s="6">
        <v>0</v>
      </c>
      <c r="I12" s="6">
        <f t="shared" si="2"/>
        <v>33.333333333333336</v>
      </c>
      <c r="J12" s="18">
        <f t="shared" si="3"/>
        <v>6.6666666666666679</v>
      </c>
      <c r="K12" s="20">
        <v>5</v>
      </c>
      <c r="L12" s="5">
        <v>92</v>
      </c>
      <c r="M12" s="18">
        <f t="shared" si="4"/>
        <v>59.800000000000004</v>
      </c>
      <c r="N12" s="22">
        <f t="shared" si="5"/>
        <v>78</v>
      </c>
      <c r="O12" s="1"/>
      <c r="P12" s="1"/>
    </row>
    <row r="13" spans="1:16" ht="13" x14ac:dyDescent="0.3">
      <c r="A13" s="3" t="s">
        <v>15</v>
      </c>
      <c r="B13" s="5">
        <v>100</v>
      </c>
      <c r="C13" s="6">
        <v>87.5</v>
      </c>
      <c r="D13" s="6">
        <f t="shared" si="0"/>
        <v>93.75</v>
      </c>
      <c r="E13" s="18">
        <f t="shared" si="1"/>
        <v>9.375</v>
      </c>
      <c r="F13" s="5">
        <v>100</v>
      </c>
      <c r="G13" s="6">
        <v>100</v>
      </c>
      <c r="H13" s="6">
        <v>100</v>
      </c>
      <c r="I13" s="6">
        <f t="shared" si="2"/>
        <v>100</v>
      </c>
      <c r="J13" s="18">
        <f t="shared" si="3"/>
        <v>20</v>
      </c>
      <c r="K13" s="20">
        <v>5</v>
      </c>
      <c r="L13" s="5">
        <v>100</v>
      </c>
      <c r="M13" s="18">
        <f t="shared" si="4"/>
        <v>65</v>
      </c>
      <c r="N13" s="22">
        <f t="shared" si="5"/>
        <v>99</v>
      </c>
      <c r="O13" s="1"/>
      <c r="P13" s="1"/>
    </row>
    <row r="14" spans="1:16" ht="13" x14ac:dyDescent="0.3">
      <c r="A14" s="3" t="s">
        <v>16</v>
      </c>
      <c r="B14" s="5">
        <v>87.5</v>
      </c>
      <c r="C14" s="6">
        <v>100</v>
      </c>
      <c r="D14" s="6">
        <f t="shared" si="0"/>
        <v>93.75</v>
      </c>
      <c r="E14" s="18">
        <f t="shared" si="1"/>
        <v>9.375</v>
      </c>
      <c r="F14" s="5"/>
      <c r="G14" s="6"/>
      <c r="H14" s="6">
        <v>100</v>
      </c>
      <c r="I14" s="6">
        <f t="shared" si="2"/>
        <v>33.333333333333336</v>
      </c>
      <c r="J14" s="18">
        <f t="shared" si="3"/>
        <v>6.6666666666666679</v>
      </c>
      <c r="K14" s="20">
        <v>5</v>
      </c>
      <c r="L14" s="5">
        <v>84</v>
      </c>
      <c r="M14" s="18">
        <f t="shared" si="4"/>
        <v>54.6</v>
      </c>
      <c r="N14" s="22">
        <f t="shared" si="5"/>
        <v>76</v>
      </c>
      <c r="O14" s="1"/>
      <c r="P14" s="1"/>
    </row>
    <row r="15" spans="1:16" ht="13" x14ac:dyDescent="0.3">
      <c r="A15" s="3" t="s">
        <v>17</v>
      </c>
      <c r="B15" s="5">
        <v>100</v>
      </c>
      <c r="C15" s="6">
        <v>100</v>
      </c>
      <c r="D15" s="6">
        <f t="shared" si="0"/>
        <v>100</v>
      </c>
      <c r="E15" s="18">
        <f t="shared" si="1"/>
        <v>10</v>
      </c>
      <c r="F15" s="5"/>
      <c r="G15" s="6"/>
      <c r="H15" s="6">
        <v>100</v>
      </c>
      <c r="I15" s="6">
        <f t="shared" si="2"/>
        <v>33.333333333333336</v>
      </c>
      <c r="J15" s="18">
        <f t="shared" si="3"/>
        <v>6.6666666666666679</v>
      </c>
      <c r="K15" s="20">
        <v>5</v>
      </c>
      <c r="L15" s="5">
        <v>96</v>
      </c>
      <c r="M15" s="18">
        <f t="shared" si="4"/>
        <v>62.400000000000006</v>
      </c>
      <c r="N15" s="22">
        <f t="shared" si="5"/>
        <v>84</v>
      </c>
      <c r="O15" s="1"/>
      <c r="P15" s="1"/>
    </row>
    <row r="16" spans="1:16" ht="13" x14ac:dyDescent="0.3">
      <c r="A16" s="3" t="s">
        <v>18</v>
      </c>
      <c r="B16" s="5">
        <v>100</v>
      </c>
      <c r="C16" s="6">
        <v>100</v>
      </c>
      <c r="D16" s="6">
        <f t="shared" si="0"/>
        <v>100</v>
      </c>
      <c r="E16" s="18">
        <f t="shared" si="1"/>
        <v>10</v>
      </c>
      <c r="F16" s="5">
        <v>100</v>
      </c>
      <c r="G16" s="6">
        <v>100</v>
      </c>
      <c r="H16" s="6">
        <v>100</v>
      </c>
      <c r="I16" s="6">
        <f t="shared" si="2"/>
        <v>100</v>
      </c>
      <c r="J16" s="18">
        <f t="shared" si="3"/>
        <v>20</v>
      </c>
      <c r="K16" s="20">
        <v>5</v>
      </c>
      <c r="L16" s="5">
        <v>100</v>
      </c>
      <c r="M16" s="18">
        <f t="shared" si="4"/>
        <v>65</v>
      </c>
      <c r="N16" s="22">
        <f t="shared" si="5"/>
        <v>100</v>
      </c>
      <c r="O16" s="1"/>
      <c r="P16" s="1"/>
    </row>
    <row r="17" spans="1:16" ht="13" x14ac:dyDescent="0.3">
      <c r="A17" s="3" t="s">
        <v>19</v>
      </c>
      <c r="B17" s="5">
        <v>100</v>
      </c>
      <c r="C17" s="6">
        <v>100</v>
      </c>
      <c r="D17" s="6">
        <f t="shared" si="0"/>
        <v>100</v>
      </c>
      <c r="E17" s="18">
        <f t="shared" si="1"/>
        <v>10</v>
      </c>
      <c r="F17" s="5">
        <v>100</v>
      </c>
      <c r="G17" s="6">
        <v>100</v>
      </c>
      <c r="H17" s="6">
        <v>100</v>
      </c>
      <c r="I17" s="6">
        <f t="shared" si="2"/>
        <v>100</v>
      </c>
      <c r="J17" s="18">
        <f t="shared" si="3"/>
        <v>20</v>
      </c>
      <c r="K17" s="20">
        <v>5</v>
      </c>
      <c r="L17" s="5">
        <v>88</v>
      </c>
      <c r="M17" s="18">
        <f t="shared" si="4"/>
        <v>57.2</v>
      </c>
      <c r="N17" s="22">
        <f t="shared" si="5"/>
        <v>92</v>
      </c>
      <c r="O17" s="1"/>
      <c r="P17" s="1"/>
    </row>
    <row r="18" spans="1:16" ht="13" x14ac:dyDescent="0.3">
      <c r="A18" s="3" t="s">
        <v>20</v>
      </c>
      <c r="B18" s="5">
        <v>87.5</v>
      </c>
      <c r="C18" s="6">
        <v>50</v>
      </c>
      <c r="D18" s="6">
        <f t="shared" si="0"/>
        <v>68.75</v>
      </c>
      <c r="E18" s="18">
        <f t="shared" si="1"/>
        <v>6.875</v>
      </c>
      <c r="F18" s="5">
        <v>100</v>
      </c>
      <c r="G18" s="6">
        <v>70</v>
      </c>
      <c r="H18" s="6">
        <v>0</v>
      </c>
      <c r="I18" s="6">
        <f t="shared" si="2"/>
        <v>56.666666666666664</v>
      </c>
      <c r="J18" s="18">
        <f t="shared" si="3"/>
        <v>11.333333333333334</v>
      </c>
      <c r="K18" s="20">
        <v>5</v>
      </c>
      <c r="L18" s="5">
        <v>88</v>
      </c>
      <c r="M18" s="18">
        <f t="shared" si="4"/>
        <v>57.2</v>
      </c>
      <c r="N18" s="22">
        <f t="shared" si="5"/>
        <v>80</v>
      </c>
      <c r="O18" s="1"/>
      <c r="P18" s="1"/>
    </row>
    <row r="19" spans="1:16" ht="13" x14ac:dyDescent="0.3">
      <c r="A19" s="3" t="s">
        <v>21</v>
      </c>
      <c r="B19" s="5">
        <v>100</v>
      </c>
      <c r="C19" s="6">
        <v>75</v>
      </c>
      <c r="D19" s="6">
        <f t="shared" si="0"/>
        <v>87.5</v>
      </c>
      <c r="E19" s="18">
        <f t="shared" si="1"/>
        <v>8.75</v>
      </c>
      <c r="F19" s="5">
        <v>100</v>
      </c>
      <c r="G19" s="6">
        <v>100</v>
      </c>
      <c r="H19" s="6">
        <v>100</v>
      </c>
      <c r="I19" s="6">
        <f t="shared" si="2"/>
        <v>100</v>
      </c>
      <c r="J19" s="18">
        <f t="shared" si="3"/>
        <v>20</v>
      </c>
      <c r="K19" s="20">
        <v>5</v>
      </c>
      <c r="L19" s="5">
        <v>88</v>
      </c>
      <c r="M19" s="18">
        <f t="shared" si="4"/>
        <v>57.2</v>
      </c>
      <c r="N19" s="22">
        <f t="shared" si="5"/>
        <v>91</v>
      </c>
      <c r="O19" s="1"/>
      <c r="P19" s="1"/>
    </row>
    <row r="20" spans="1:16" ht="13" x14ac:dyDescent="0.3">
      <c r="A20" s="3" t="s">
        <v>22</v>
      </c>
      <c r="B20" s="5">
        <v>100</v>
      </c>
      <c r="C20" s="6">
        <v>75</v>
      </c>
      <c r="D20" s="6">
        <f t="shared" si="0"/>
        <v>87.5</v>
      </c>
      <c r="E20" s="18">
        <f t="shared" si="1"/>
        <v>8.75</v>
      </c>
      <c r="F20" s="5">
        <v>100</v>
      </c>
      <c r="G20" s="6">
        <v>100</v>
      </c>
      <c r="H20" s="6">
        <v>100</v>
      </c>
      <c r="I20" s="6">
        <f t="shared" si="2"/>
        <v>100</v>
      </c>
      <c r="J20" s="18">
        <f t="shared" si="3"/>
        <v>20</v>
      </c>
      <c r="K20" s="20">
        <v>5</v>
      </c>
      <c r="L20" s="5">
        <v>96</v>
      </c>
      <c r="M20" s="18">
        <f t="shared" si="4"/>
        <v>62.400000000000006</v>
      </c>
      <c r="N20" s="22">
        <f t="shared" si="5"/>
        <v>96</v>
      </c>
      <c r="O20" s="1"/>
      <c r="P20" s="1"/>
    </row>
    <row r="21" spans="1:16" ht="13" x14ac:dyDescent="0.3">
      <c r="A21" s="3" t="s">
        <v>23</v>
      </c>
      <c r="B21" s="5">
        <v>75</v>
      </c>
      <c r="C21" s="6">
        <v>87.5</v>
      </c>
      <c r="D21" s="6">
        <f t="shared" si="0"/>
        <v>81.25</v>
      </c>
      <c r="E21" s="18">
        <f t="shared" si="1"/>
        <v>8.125</v>
      </c>
      <c r="F21" s="5">
        <v>100</v>
      </c>
      <c r="G21" s="6">
        <v>100</v>
      </c>
      <c r="H21" s="6">
        <v>100</v>
      </c>
      <c r="I21" s="6">
        <f t="shared" si="2"/>
        <v>100</v>
      </c>
      <c r="J21" s="18">
        <f t="shared" si="3"/>
        <v>20</v>
      </c>
      <c r="K21" s="20">
        <v>5</v>
      </c>
      <c r="L21" s="5">
        <v>100</v>
      </c>
      <c r="M21" s="18">
        <f t="shared" si="4"/>
        <v>65</v>
      </c>
      <c r="N21" s="22">
        <f t="shared" si="5"/>
        <v>98</v>
      </c>
      <c r="O21" s="1"/>
      <c r="P21" s="1"/>
    </row>
    <row r="22" spans="1:16" ht="13" x14ac:dyDescent="0.3">
      <c r="A22" s="3" t="s">
        <v>24</v>
      </c>
      <c r="B22" s="5">
        <v>50</v>
      </c>
      <c r="C22" s="6">
        <v>100</v>
      </c>
      <c r="D22" s="6">
        <f t="shared" si="0"/>
        <v>75</v>
      </c>
      <c r="E22" s="18">
        <f t="shared" si="1"/>
        <v>7.5</v>
      </c>
      <c r="F22" s="5"/>
      <c r="G22" s="6">
        <v>0</v>
      </c>
      <c r="H22" s="6">
        <v>100</v>
      </c>
      <c r="I22" s="6">
        <f t="shared" si="2"/>
        <v>33.333333333333336</v>
      </c>
      <c r="J22" s="18">
        <f t="shared" si="3"/>
        <v>6.6666666666666679</v>
      </c>
      <c r="K22" s="20">
        <v>5</v>
      </c>
      <c r="L22" s="5">
        <v>80</v>
      </c>
      <c r="M22" s="18">
        <f t="shared" si="4"/>
        <v>52</v>
      </c>
      <c r="N22" s="22">
        <f t="shared" si="5"/>
        <v>71</v>
      </c>
      <c r="O22" s="1"/>
      <c r="P22" s="1"/>
    </row>
    <row r="23" spans="1:16" ht="13" x14ac:dyDescent="0.3">
      <c r="A23" s="3" t="s">
        <v>25</v>
      </c>
      <c r="B23" s="5">
        <v>75</v>
      </c>
      <c r="C23" s="6">
        <v>62.5</v>
      </c>
      <c r="D23" s="6">
        <f t="shared" si="0"/>
        <v>68.75</v>
      </c>
      <c r="E23" s="18">
        <f t="shared" si="1"/>
        <v>6.875</v>
      </c>
      <c r="F23" s="5">
        <v>0</v>
      </c>
      <c r="G23" s="6">
        <v>100</v>
      </c>
      <c r="H23" s="6">
        <v>100</v>
      </c>
      <c r="I23" s="6">
        <f t="shared" si="2"/>
        <v>66.666666666666671</v>
      </c>
      <c r="J23" s="18">
        <f t="shared" si="3"/>
        <v>13.333333333333336</v>
      </c>
      <c r="K23" s="20">
        <v>5</v>
      </c>
      <c r="L23" s="5">
        <v>100</v>
      </c>
      <c r="M23" s="18">
        <f t="shared" si="4"/>
        <v>65</v>
      </c>
      <c r="N23" s="22">
        <f t="shared" si="5"/>
        <v>90</v>
      </c>
      <c r="O23" s="1"/>
      <c r="P23" s="1"/>
    </row>
    <row r="24" spans="1:16" ht="13" x14ac:dyDescent="0.3">
      <c r="A24" s="3" t="s">
        <v>26</v>
      </c>
      <c r="B24" s="5">
        <v>87.5</v>
      </c>
      <c r="C24" s="6">
        <v>75</v>
      </c>
      <c r="D24" s="6">
        <f t="shared" si="0"/>
        <v>81.25</v>
      </c>
      <c r="E24" s="18">
        <f t="shared" si="1"/>
        <v>8.125</v>
      </c>
      <c r="F24" s="5">
        <v>100</v>
      </c>
      <c r="G24" s="6">
        <v>100</v>
      </c>
      <c r="H24" s="6">
        <v>100</v>
      </c>
      <c r="I24" s="6">
        <f t="shared" si="2"/>
        <v>100</v>
      </c>
      <c r="J24" s="18">
        <f t="shared" si="3"/>
        <v>20</v>
      </c>
      <c r="K24" s="20">
        <v>5</v>
      </c>
      <c r="L24" s="5">
        <v>88</v>
      </c>
      <c r="M24" s="18">
        <f t="shared" si="4"/>
        <v>57.2</v>
      </c>
      <c r="N24" s="22">
        <f t="shared" si="5"/>
        <v>90</v>
      </c>
      <c r="O24" s="1"/>
      <c r="P24" s="1"/>
    </row>
    <row r="25" spans="1:16" ht="13" x14ac:dyDescent="0.3">
      <c r="A25" s="3" t="s">
        <v>27</v>
      </c>
      <c r="B25" s="5">
        <v>100</v>
      </c>
      <c r="C25" s="6">
        <v>87.5</v>
      </c>
      <c r="D25" s="6">
        <f t="shared" si="0"/>
        <v>93.75</v>
      </c>
      <c r="E25" s="18">
        <f t="shared" si="1"/>
        <v>9.375</v>
      </c>
      <c r="F25" s="5">
        <v>100</v>
      </c>
      <c r="G25" s="6">
        <v>100</v>
      </c>
      <c r="H25" s="6">
        <v>100</v>
      </c>
      <c r="I25" s="6">
        <f t="shared" si="2"/>
        <v>100</v>
      </c>
      <c r="J25" s="18">
        <f t="shared" si="3"/>
        <v>20</v>
      </c>
      <c r="K25" s="20">
        <v>5</v>
      </c>
      <c r="L25" s="5">
        <v>92</v>
      </c>
      <c r="M25" s="18">
        <f t="shared" si="4"/>
        <v>59.800000000000004</v>
      </c>
      <c r="N25" s="22">
        <f t="shared" si="5"/>
        <v>94</v>
      </c>
      <c r="O25" s="1"/>
      <c r="P25" s="1"/>
    </row>
    <row r="26" spans="1:16" ht="13" x14ac:dyDescent="0.3">
      <c r="A26" s="3" t="s">
        <v>28</v>
      </c>
      <c r="B26" s="5">
        <v>100</v>
      </c>
      <c r="C26" s="6">
        <v>87.5</v>
      </c>
      <c r="D26" s="6">
        <f t="shared" si="0"/>
        <v>93.75</v>
      </c>
      <c r="E26" s="18">
        <f t="shared" si="1"/>
        <v>9.375</v>
      </c>
      <c r="F26" s="5">
        <v>0</v>
      </c>
      <c r="G26" s="6">
        <v>100</v>
      </c>
      <c r="H26" s="6">
        <v>100</v>
      </c>
      <c r="I26" s="6">
        <f t="shared" si="2"/>
        <v>66.666666666666671</v>
      </c>
      <c r="J26" s="18">
        <f t="shared" si="3"/>
        <v>13.333333333333336</v>
      </c>
      <c r="K26" s="20">
        <v>5</v>
      </c>
      <c r="L26" s="5">
        <v>96</v>
      </c>
      <c r="M26" s="18">
        <f t="shared" si="4"/>
        <v>62.400000000000006</v>
      </c>
      <c r="N26" s="22">
        <f t="shared" si="5"/>
        <v>90</v>
      </c>
      <c r="O26" s="1"/>
      <c r="P26" s="1"/>
    </row>
    <row r="27" spans="1:16" ht="13" x14ac:dyDescent="0.3">
      <c r="A27" s="3" t="s">
        <v>29</v>
      </c>
      <c r="B27" s="5">
        <v>100</v>
      </c>
      <c r="C27" s="6">
        <v>100</v>
      </c>
      <c r="D27" s="6">
        <f t="shared" si="0"/>
        <v>100</v>
      </c>
      <c r="E27" s="18">
        <f t="shared" si="1"/>
        <v>10</v>
      </c>
      <c r="F27" s="5">
        <v>100</v>
      </c>
      <c r="G27" s="6">
        <v>100</v>
      </c>
      <c r="H27" s="6">
        <v>100</v>
      </c>
      <c r="I27" s="6">
        <f t="shared" si="2"/>
        <v>100</v>
      </c>
      <c r="J27" s="18">
        <f t="shared" si="3"/>
        <v>20</v>
      </c>
      <c r="K27" s="20">
        <v>5</v>
      </c>
      <c r="L27" s="5">
        <v>96</v>
      </c>
      <c r="M27" s="18">
        <f t="shared" si="4"/>
        <v>62.400000000000006</v>
      </c>
      <c r="N27" s="22">
        <f t="shared" si="5"/>
        <v>97</v>
      </c>
      <c r="O27" s="1"/>
      <c r="P27" s="1"/>
    </row>
    <row r="28" spans="1:16" ht="13" x14ac:dyDescent="0.3">
      <c r="A28" s="3" t="s">
        <v>30</v>
      </c>
      <c r="B28" s="5">
        <v>100</v>
      </c>
      <c r="C28" s="6">
        <v>100</v>
      </c>
      <c r="D28" s="6">
        <f t="shared" si="0"/>
        <v>100</v>
      </c>
      <c r="E28" s="18">
        <f t="shared" si="1"/>
        <v>10</v>
      </c>
      <c r="F28" s="5">
        <v>0</v>
      </c>
      <c r="G28" s="6">
        <v>100</v>
      </c>
      <c r="H28" s="6">
        <v>100</v>
      </c>
      <c r="I28" s="6">
        <f t="shared" si="2"/>
        <v>66.666666666666671</v>
      </c>
      <c r="J28" s="18">
        <f t="shared" si="3"/>
        <v>13.333333333333336</v>
      </c>
      <c r="K28" s="20">
        <v>5</v>
      </c>
      <c r="L28" s="5">
        <v>96</v>
      </c>
      <c r="M28" s="18">
        <f t="shared" si="4"/>
        <v>62.400000000000006</v>
      </c>
      <c r="N28" s="22">
        <f t="shared" si="5"/>
        <v>91</v>
      </c>
      <c r="O28" s="1"/>
      <c r="P28" s="1"/>
    </row>
    <row r="29" spans="1:16" ht="13" x14ac:dyDescent="0.3">
      <c r="A29" s="3" t="s">
        <v>31</v>
      </c>
      <c r="B29" s="5">
        <v>100</v>
      </c>
      <c r="C29" s="6">
        <v>62.5</v>
      </c>
      <c r="D29" s="6">
        <f t="shared" si="0"/>
        <v>81.25</v>
      </c>
      <c r="E29" s="18">
        <f t="shared" si="1"/>
        <v>8.125</v>
      </c>
      <c r="F29" s="5"/>
      <c r="G29" s="6"/>
      <c r="H29" s="6">
        <v>100</v>
      </c>
      <c r="I29" s="6">
        <f t="shared" si="2"/>
        <v>33.333333333333336</v>
      </c>
      <c r="J29" s="18">
        <f t="shared" si="3"/>
        <v>6.6666666666666679</v>
      </c>
      <c r="K29" s="20">
        <v>5</v>
      </c>
      <c r="L29" s="5">
        <v>92</v>
      </c>
      <c r="M29" s="18">
        <f t="shared" si="4"/>
        <v>59.800000000000004</v>
      </c>
      <c r="N29" s="22">
        <f t="shared" si="5"/>
        <v>80</v>
      </c>
      <c r="O29" s="1"/>
      <c r="P29" s="1"/>
    </row>
    <row r="30" spans="1:16" ht="13" x14ac:dyDescent="0.3">
      <c r="A30" s="3" t="s">
        <v>32</v>
      </c>
      <c r="B30" s="5">
        <v>100</v>
      </c>
      <c r="C30" s="6">
        <v>100</v>
      </c>
      <c r="D30" s="6">
        <f t="shared" si="0"/>
        <v>100</v>
      </c>
      <c r="E30" s="18">
        <f t="shared" si="1"/>
        <v>10</v>
      </c>
      <c r="F30" s="5"/>
      <c r="G30" s="6">
        <v>100</v>
      </c>
      <c r="H30" s="6">
        <v>100</v>
      </c>
      <c r="I30" s="6">
        <f t="shared" si="2"/>
        <v>66.666666666666671</v>
      </c>
      <c r="J30" s="18">
        <f t="shared" si="3"/>
        <v>13.333333333333336</v>
      </c>
      <c r="K30" s="20">
        <v>5</v>
      </c>
      <c r="L30" s="5">
        <v>92</v>
      </c>
      <c r="M30" s="18">
        <f t="shared" si="4"/>
        <v>59.800000000000004</v>
      </c>
      <c r="N30" s="22">
        <f t="shared" si="5"/>
        <v>88</v>
      </c>
      <c r="O30" s="1"/>
      <c r="P30" s="1"/>
    </row>
    <row r="31" spans="1:16" ht="13" x14ac:dyDescent="0.3">
      <c r="A31" s="4" t="s">
        <v>33</v>
      </c>
      <c r="B31" s="7">
        <v>62.5</v>
      </c>
      <c r="C31" s="8">
        <v>75</v>
      </c>
      <c r="D31" s="8">
        <f t="shared" si="0"/>
        <v>68.75</v>
      </c>
      <c r="E31" s="19">
        <f t="shared" si="1"/>
        <v>6.875</v>
      </c>
      <c r="F31" s="7"/>
      <c r="G31" s="8">
        <v>0</v>
      </c>
      <c r="H31" s="8">
        <v>100</v>
      </c>
      <c r="I31" s="8">
        <f t="shared" si="2"/>
        <v>33.333333333333336</v>
      </c>
      <c r="J31" s="19">
        <f t="shared" si="3"/>
        <v>6.6666666666666679</v>
      </c>
      <c r="K31" s="21">
        <v>5</v>
      </c>
      <c r="L31" s="7">
        <v>92</v>
      </c>
      <c r="M31" s="19">
        <f t="shared" si="4"/>
        <v>59.800000000000004</v>
      </c>
      <c r="N31" s="23">
        <f t="shared" si="5"/>
        <v>78</v>
      </c>
      <c r="O31" s="1"/>
      <c r="P31" s="1"/>
    </row>
  </sheetData>
  <phoneticPr fontId="2" type="noConversion"/>
  <conditionalFormatting sqref="N3:N31">
    <cfRule type="cellIs" dxfId="0" priority="1" stopIfTrue="1" operator="lessThan">
      <formula>70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2020-01-27T11:57:23Z</dcterms:created>
  <dcterms:modified xsi:type="dcterms:W3CDTF">2020-01-27T11:57:23Z</dcterms:modified>
</cp:coreProperties>
</file>