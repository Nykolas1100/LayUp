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B2C2621-BE27-49F5-97E3-3C676B293995}" xr6:coauthVersionLast="45" xr6:coauthVersionMax="45" xr10:uidLastSave="{00000000-0000-0000-0000-000000000000}"/>
  <bookViews>
    <workbookView xWindow="4940" yWindow="4940" windowWidth="28800" windowHeight="15460" activeTab="3"/>
  </bookViews>
  <sheets>
    <sheet name="RolesFor1704" sheetId="1" r:id="rId1"/>
    <sheet name="CIS 105 1704 Spring 2004" sheetId="8" r:id="rId2"/>
    <sheet name="Rolesfor1719" sheetId="46967" r:id="rId3"/>
    <sheet name="Grades for 1719 Spring 2004" sheetId="46966" r:id="rId4"/>
    <sheet name="RolesFor1713" sheetId="46965" r:id="rId5"/>
    <sheet name="Grades for 1713 Spring 2004" sheetId="46964" r:id="rId6"/>
  </sheets>
  <definedNames>
    <definedName name="_xlnm._FilterDatabase" localSheetId="0" hidden="1">RolesFor1704!$F$1:$I$72</definedName>
    <definedName name="_xlnm.Print_Area" localSheetId="1">'CIS 105 1704 Spring 2004'!$A$1:$Z$24</definedName>
    <definedName name="_xlnm.Print_Area" localSheetId="5">'Grades for 1713 Spring 2004'!$A$1:$L$25</definedName>
    <definedName name="_xlnm.Print_Titles" localSheetId="1">'CIS 105 1704 Spring 2004'!$A:$B,'CIS 105 1704 Spring 2004'!$1:$1</definedName>
    <definedName name="_xlnm.Print_Titles" localSheetId="5">'Grades for 1713 Spring 2004'!$A:$B,'Grades for 1713 Spring 2004'!$1:$1</definedName>
    <definedName name="Thedays">RolesFor1713!$A$31:$B$37</definedName>
    <definedName name="Theweekday">RolesFor1713!$B$31:$B$37</definedName>
    <definedName name="weekday">RolesFor1713!$B$31:$B$37</definedName>
  </definedNames>
  <calcPr calcId="191029" fullCalcOnLoad="1" iterate="1"/>
  <webPublishObjects count="3">
    <webPublishObject id="6399" divId="Fall 2003 Gradebook1_6399" destinationFile="H:\public.www\Fall2003Grades.htm" title="CIS105 Grades-  Fall 2003"/>
    <webPublishObject id="5061" divId="Fall 2003 Gradebook1_5061" destinationFile="H:\public.www\Fall2003Grades.htm"/>
    <webPublishObject id="25238" divId="Fall 2003 Gradebook1_25238" destinationFile="H:\public.www\Fall2003Grades.htm" title="CIS105 Grades - Fall 2003"/>
  </webPublishObject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6" i="46966" l="1"/>
  <c r="F27" i="46967"/>
  <c r="C16" i="46966" s="1"/>
  <c r="A5" i="46966"/>
  <c r="U2" i="8"/>
  <c r="V2" i="8"/>
  <c r="V25" i="8"/>
  <c r="V3" i="8"/>
  <c r="Y16" i="8" s="1"/>
  <c r="V4" i="8"/>
  <c r="W4" i="8" s="1"/>
  <c r="X4" i="8" s="1"/>
  <c r="V5" i="8"/>
  <c r="W5" i="8" s="1"/>
  <c r="X5" i="8" s="1"/>
  <c r="V6" i="8"/>
  <c r="Y6" i="8" s="1"/>
  <c r="V7" i="8"/>
  <c r="V8" i="8"/>
  <c r="Y25" i="8" s="1"/>
  <c r="Z25" i="8" s="1"/>
  <c r="V9" i="8"/>
  <c r="W9" i="8" s="1"/>
  <c r="X9" i="8" s="1"/>
  <c r="V10" i="8"/>
  <c r="V11" i="8"/>
  <c r="Y11" i="8" s="1"/>
  <c r="V12" i="8"/>
  <c r="Y12" i="8" s="1"/>
  <c r="V13" i="8"/>
  <c r="Y18" i="8" s="1"/>
  <c r="V14" i="8"/>
  <c r="W14" i="8" s="1"/>
  <c r="V15" i="8"/>
  <c r="W15" i="8" s="1"/>
  <c r="X15" i="8" s="1"/>
  <c r="V16" i="8"/>
  <c r="V17" i="8"/>
  <c r="V18" i="8"/>
  <c r="V19" i="8"/>
  <c r="W19" i="8" s="1"/>
  <c r="V20" i="8"/>
  <c r="V21" i="8"/>
  <c r="V22" i="8"/>
  <c r="Y22" i="8" s="1"/>
  <c r="V23" i="8"/>
  <c r="W23" i="8" s="1"/>
  <c r="X23" i="8" s="1"/>
  <c r="V24" i="8"/>
  <c r="U25" i="8"/>
  <c r="W25" i="8"/>
  <c r="X25" i="8"/>
  <c r="U24" i="8"/>
  <c r="W24" i="8"/>
  <c r="X24" i="8"/>
  <c r="U23" i="8"/>
  <c r="U22" i="8"/>
  <c r="W22" i="8"/>
  <c r="X22" i="8"/>
  <c r="Z22" i="8" s="1"/>
  <c r="U21" i="8"/>
  <c r="W21" i="8"/>
  <c r="X21" i="8"/>
  <c r="U20" i="8"/>
  <c r="W20" i="8"/>
  <c r="X20" i="8"/>
  <c r="U19" i="8"/>
  <c r="U12" i="8"/>
  <c r="U13" i="8"/>
  <c r="U14" i="8"/>
  <c r="U15" i="8"/>
  <c r="U16" i="8"/>
  <c r="W16" i="8"/>
  <c r="X16" i="8"/>
  <c r="Z16" i="8" s="1"/>
  <c r="U11" i="8"/>
  <c r="U10" i="8"/>
  <c r="W10" i="8"/>
  <c r="X10" i="8"/>
  <c r="U5" i="8"/>
  <c r="U6" i="8"/>
  <c r="U7" i="8"/>
  <c r="W7" i="8"/>
  <c r="X7" i="8"/>
  <c r="U8" i="8"/>
  <c r="W8" i="8"/>
  <c r="X8" i="8"/>
  <c r="U4" i="8"/>
  <c r="U3" i="8"/>
  <c r="W2" i="8"/>
  <c r="X2" i="8" s="1"/>
  <c r="U18" i="8"/>
  <c r="W18" i="8"/>
  <c r="X18" i="8" s="1"/>
  <c r="U9" i="8"/>
  <c r="U17" i="8"/>
  <c r="A2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W17" i="8"/>
  <c r="X17" i="8"/>
  <c r="Z17" i="8"/>
  <c r="F4" i="1"/>
  <c r="C3" i="8"/>
  <c r="F5" i="1"/>
  <c r="C4" i="8"/>
  <c r="F6" i="1"/>
  <c r="C5" i="8"/>
  <c r="F7" i="1"/>
  <c r="C6" i="8"/>
  <c r="F8" i="1"/>
  <c r="C7" i="8"/>
  <c r="F9" i="1"/>
  <c r="C8" i="8"/>
  <c r="F10" i="1"/>
  <c r="C9" i="8" s="1"/>
  <c r="F11" i="1"/>
  <c r="C10" i="8"/>
  <c r="F12" i="1"/>
  <c r="C11" i="8"/>
  <c r="F13" i="1"/>
  <c r="C12" i="8" s="1"/>
  <c r="F15" i="1"/>
  <c r="C14" i="8"/>
  <c r="F16" i="1"/>
  <c r="C15" i="8"/>
  <c r="F17" i="1"/>
  <c r="C16" i="8"/>
  <c r="F18" i="1"/>
  <c r="C17" i="8"/>
  <c r="F19" i="1"/>
  <c r="C18" i="8"/>
  <c r="F20" i="1"/>
  <c r="C19" i="8"/>
  <c r="F21" i="1"/>
  <c r="C20" i="8" s="1"/>
  <c r="F22" i="1"/>
  <c r="C21" i="8"/>
  <c r="F23" i="1"/>
  <c r="C22" i="8"/>
  <c r="F24" i="1"/>
  <c r="C23" i="8" s="1"/>
  <c r="F25" i="1"/>
  <c r="C24" i="8"/>
  <c r="F26" i="1"/>
  <c r="C25" i="8" s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" i="8"/>
  <c r="F14" i="1"/>
  <c r="C13" i="8"/>
  <c r="F3" i="1"/>
  <c r="C2" i="8"/>
  <c r="K9" i="46964"/>
  <c r="L9" i="46964" s="1"/>
  <c r="K10" i="46964"/>
  <c r="L10" i="46964"/>
  <c r="K11" i="46964"/>
  <c r="L11" i="46964"/>
  <c r="K12" i="46964"/>
  <c r="L12" i="46964" s="1"/>
  <c r="K13" i="46964"/>
  <c r="L13" i="46964"/>
  <c r="K14" i="46964"/>
  <c r="L14" i="46964"/>
  <c r="K15" i="46964"/>
  <c r="L15" i="46964"/>
  <c r="K16" i="46964"/>
  <c r="L16" i="46964"/>
  <c r="K17" i="46964"/>
  <c r="L17" i="46964"/>
  <c r="K18" i="46964"/>
  <c r="L18" i="46964"/>
  <c r="K19" i="46964"/>
  <c r="L19" i="46964" s="1"/>
  <c r="K21" i="46964"/>
  <c r="L21" i="46964"/>
  <c r="K4" i="46964"/>
  <c r="L4" i="46964"/>
  <c r="K5" i="46964"/>
  <c r="L5" i="46964" s="1"/>
  <c r="K6" i="46964"/>
  <c r="L6" i="46964"/>
  <c r="K7" i="46964"/>
  <c r="L7" i="46964"/>
  <c r="K8" i="46964"/>
  <c r="K2" i="46964"/>
  <c r="A17" i="46964"/>
  <c r="B17" i="46964"/>
  <c r="F19" i="46965"/>
  <c r="C17" i="46964"/>
  <c r="A4" i="46964"/>
  <c r="A5" i="46964"/>
  <c r="A6" i="46964"/>
  <c r="A7" i="46964"/>
  <c r="A8" i="46964"/>
  <c r="A9" i="46964"/>
  <c r="A10" i="46964"/>
  <c r="A11" i="46964"/>
  <c r="A12" i="46964"/>
  <c r="A13" i="46964"/>
  <c r="A14" i="46964"/>
  <c r="A15" i="46964"/>
  <c r="A16" i="46964"/>
  <c r="A18" i="46964"/>
  <c r="A19" i="46964"/>
  <c r="A21" i="46964"/>
  <c r="A2" i="46964"/>
  <c r="B4" i="46964"/>
  <c r="F5" i="46965"/>
  <c r="C4" i="46964"/>
  <c r="B5" i="46964"/>
  <c r="B6" i="46964"/>
  <c r="F7" i="46965"/>
  <c r="C6" i="46964" s="1"/>
  <c r="B7" i="46964"/>
  <c r="F8" i="46965"/>
  <c r="C7" i="46964"/>
  <c r="B8" i="46964"/>
  <c r="F9" i="46965"/>
  <c r="C8" i="46964" s="1"/>
  <c r="B9" i="46964"/>
  <c r="F10" i="46965"/>
  <c r="C9" i="46964"/>
  <c r="B10" i="46964"/>
  <c r="F11" i="46965"/>
  <c r="C10" i="46964"/>
  <c r="B11" i="46964"/>
  <c r="F12" i="46965"/>
  <c r="C11" i="46964" s="1"/>
  <c r="B12" i="46964"/>
  <c r="F14" i="46965"/>
  <c r="C12" i="46964"/>
  <c r="B13" i="46964"/>
  <c r="F15" i="46965"/>
  <c r="C13" i="46964"/>
  <c r="B14" i="46964"/>
  <c r="F16" i="46965"/>
  <c r="C14" i="46964"/>
  <c r="B15" i="46964"/>
  <c r="F17" i="46965"/>
  <c r="C15" i="46964"/>
  <c r="B16" i="46964"/>
  <c r="F18" i="46965"/>
  <c r="C16" i="46964"/>
  <c r="B18" i="46964"/>
  <c r="F20" i="46965"/>
  <c r="C18" i="46964"/>
  <c r="B19" i="46964"/>
  <c r="F21" i="46965"/>
  <c r="C19" i="46964"/>
  <c r="B21" i="46964"/>
  <c r="F23" i="46965"/>
  <c r="C21" i="46964" s="1"/>
  <c r="F3" i="46965"/>
  <c r="C2" i="46964"/>
  <c r="B2" i="46964"/>
  <c r="A3" i="46966"/>
  <c r="A4" i="46966"/>
  <c r="A6" i="46966"/>
  <c r="A7" i="46966"/>
  <c r="A8" i="46966"/>
  <c r="A9" i="46966"/>
  <c r="A10" i="46966"/>
  <c r="A11" i="46966"/>
  <c r="A12" i="46966"/>
  <c r="A13" i="46966"/>
  <c r="A14" i="46966"/>
  <c r="A15" i="46966"/>
  <c r="A17" i="46966"/>
  <c r="A18" i="46966"/>
  <c r="A19" i="46966"/>
  <c r="A20" i="46966"/>
  <c r="A21" i="46966"/>
  <c r="A22" i="46966"/>
  <c r="A23" i="46966"/>
  <c r="A24" i="46966"/>
  <c r="A25" i="46966"/>
  <c r="A26" i="46966"/>
  <c r="A2" i="46966"/>
  <c r="B3" i="46966"/>
  <c r="F4" i="46967"/>
  <c r="C3" i="46966"/>
  <c r="B4" i="46966"/>
  <c r="F5" i="46967"/>
  <c r="C4" i="46966"/>
  <c r="B6" i="46966"/>
  <c r="F6" i="46967"/>
  <c r="C6" i="46966"/>
  <c r="B7" i="46966"/>
  <c r="F7" i="46967"/>
  <c r="C7" i="46966"/>
  <c r="B8" i="46966"/>
  <c r="F8" i="46967"/>
  <c r="C8" i="46966" s="1"/>
  <c r="B9" i="46966"/>
  <c r="F9" i="46967"/>
  <c r="C9" i="46966"/>
  <c r="B10" i="46966"/>
  <c r="F10" i="46967"/>
  <c r="C10" i="46966" s="1"/>
  <c r="B11" i="46966"/>
  <c r="F11" i="46967"/>
  <c r="C11" i="46966"/>
  <c r="B12" i="46966"/>
  <c r="F12" i="46967"/>
  <c r="C12" i="46966"/>
  <c r="F13" i="46967"/>
  <c r="B13" i="46966"/>
  <c r="F14" i="46967"/>
  <c r="C13" i="46966"/>
  <c r="B14" i="46966"/>
  <c r="F15" i="46967"/>
  <c r="C14" i="46966" s="1"/>
  <c r="B15" i="46966"/>
  <c r="F16" i="46967"/>
  <c r="C15" i="46966"/>
  <c r="B17" i="46966"/>
  <c r="F17" i="46967"/>
  <c r="C17" i="46966" s="1"/>
  <c r="B18" i="46966"/>
  <c r="F18" i="46967"/>
  <c r="C18" i="46966"/>
  <c r="B19" i="46966"/>
  <c r="F19" i="46967"/>
  <c r="C19" i="46966"/>
  <c r="B20" i="46966"/>
  <c r="F20" i="46967"/>
  <c r="C20" i="46966"/>
  <c r="B21" i="46966"/>
  <c r="F21" i="46967"/>
  <c r="C21" i="46966"/>
  <c r="B22" i="46966"/>
  <c r="F22" i="46967"/>
  <c r="C22" i="46966" s="1"/>
  <c r="B23" i="46966"/>
  <c r="F23" i="46967"/>
  <c r="C23" i="46966"/>
  <c r="B24" i="46966"/>
  <c r="F24" i="46967"/>
  <c r="C24" i="46966" s="1"/>
  <c r="B25" i="46966"/>
  <c r="F25" i="46967"/>
  <c r="C25" i="46966"/>
  <c r="B26" i="46966"/>
  <c r="F26" i="46967"/>
  <c r="C26" i="46966"/>
  <c r="F3" i="46967"/>
  <c r="C2" i="46966"/>
  <c r="B2" i="46966"/>
  <c r="H2" i="1"/>
  <c r="H1" i="1" s="1"/>
  <c r="I2" i="1"/>
  <c r="K2" i="1"/>
  <c r="L2" i="1" s="1"/>
  <c r="K1" i="1"/>
  <c r="J2" i="1"/>
  <c r="J1" i="1"/>
  <c r="I1" i="1"/>
  <c r="G1" i="1"/>
  <c r="F4" i="46965"/>
  <c r="F22" i="46965"/>
  <c r="F13" i="46965"/>
  <c r="H2" i="46965"/>
  <c r="H1" i="46965"/>
  <c r="I2" i="46965"/>
  <c r="I1" i="46965"/>
  <c r="J2" i="46965"/>
  <c r="J1" i="46965" s="1"/>
  <c r="K2" i="46965"/>
  <c r="K1" i="46965"/>
  <c r="L2" i="46965"/>
  <c r="L1" i="46965"/>
  <c r="M2" i="46965"/>
  <c r="M1" i="46965"/>
  <c r="N2" i="46965"/>
  <c r="N1" i="46965" s="1"/>
  <c r="O2" i="46965"/>
  <c r="O1" i="46965" s="1"/>
  <c r="G2" i="46965"/>
  <c r="G1" i="46965" s="1"/>
  <c r="F6" i="46965"/>
  <c r="I2" i="46967"/>
  <c r="J2" i="46967"/>
  <c r="K2" i="46967" s="1"/>
  <c r="K1" i="46967" s="1"/>
  <c r="L2" i="46967"/>
  <c r="L1" i="46967" s="1"/>
  <c r="M2" i="46967"/>
  <c r="M1" i="46967" s="1"/>
  <c r="O2" i="46967"/>
  <c r="O1" i="46967" s="1"/>
  <c r="P2" i="46967"/>
  <c r="P1" i="46967" s="1"/>
  <c r="R2" i="46967"/>
  <c r="R1" i="46967" s="1"/>
  <c r="S2" i="46967"/>
  <c r="U2" i="46967" s="1"/>
  <c r="H2" i="46967"/>
  <c r="J1" i="46967"/>
  <c r="I1" i="46967"/>
  <c r="H1" i="46967"/>
  <c r="X14" i="8" l="1"/>
  <c r="L1" i="1"/>
  <c r="N2" i="1"/>
  <c r="M2" i="1"/>
  <c r="M1" i="1" s="1"/>
  <c r="X19" i="8"/>
  <c r="Z10" i="8"/>
  <c r="Z8" i="8"/>
  <c r="V2" i="46967"/>
  <c r="U1" i="46967"/>
  <c r="Z18" i="8"/>
  <c r="Y17" i="8"/>
  <c r="Y4" i="8"/>
  <c r="Z4" i="8" s="1"/>
  <c r="Y5" i="8"/>
  <c r="Z5" i="8" s="1"/>
  <c r="Y15" i="8"/>
  <c r="Z15" i="8" s="1"/>
  <c r="Y19" i="8"/>
  <c r="Z19" i="8" s="1"/>
  <c r="Y23" i="8"/>
  <c r="Y9" i="8"/>
  <c r="Y8" i="8"/>
  <c r="Y10" i="8"/>
  <c r="Y14" i="8"/>
  <c r="Z14" i="8" s="1"/>
  <c r="Y20" i="8"/>
  <c r="Z20" i="8" s="1"/>
  <c r="Y24" i="8"/>
  <c r="Z24" i="8" s="1"/>
  <c r="Q2" i="46967"/>
  <c r="Q1" i="46967" s="1"/>
  <c r="Z9" i="8"/>
  <c r="Y2" i="8"/>
  <c r="Z2" i="8" s="1"/>
  <c r="W11" i="8"/>
  <c r="W13" i="8"/>
  <c r="X13" i="8" s="1"/>
  <c r="T2" i="46967"/>
  <c r="T1" i="46967" s="1"/>
  <c r="Y7" i="8"/>
  <c r="Z7" i="8" s="1"/>
  <c r="Y13" i="8"/>
  <c r="Y21" i="8"/>
  <c r="Z21" i="8" s="1"/>
  <c r="Z12" i="8"/>
  <c r="N2" i="46967"/>
  <c r="N1" i="46967" s="1"/>
  <c r="S1" i="46967"/>
  <c r="W3" i="8"/>
  <c r="W6" i="8"/>
  <c r="W12" i="8"/>
  <c r="X12" i="8" s="1"/>
  <c r="Y3" i="8"/>
  <c r="Z23" i="8"/>
  <c r="Q2" i="46965"/>
  <c r="P2" i="46965"/>
  <c r="P1" i="46965" s="1"/>
  <c r="X3" i="8" l="1"/>
  <c r="Z3" i="8" s="1"/>
  <c r="V1" i="46967"/>
  <c r="W2" i="46967"/>
  <c r="W1" i="46967" s="1"/>
  <c r="X2" i="46967"/>
  <c r="X11" i="8"/>
  <c r="Z11" i="8" s="1"/>
  <c r="Q1" i="46965"/>
  <c r="R2" i="46965"/>
  <c r="O2" i="1"/>
  <c r="N1" i="1"/>
  <c r="Z13" i="8"/>
  <c r="X6" i="8"/>
  <c r="Z6" i="8"/>
  <c r="P2" i="1" l="1"/>
  <c r="P1" i="1" s="1"/>
  <c r="Q2" i="1"/>
  <c r="O1" i="1"/>
  <c r="X1" i="46967"/>
  <c r="Y2" i="46967"/>
  <c r="T2" i="46965"/>
  <c r="S2" i="46965"/>
  <c r="S1" i="46965" s="1"/>
  <c r="R1" i="46965"/>
  <c r="T1" i="46965" l="1"/>
  <c r="U2" i="46965"/>
  <c r="Y1" i="46967"/>
  <c r="AA2" i="46967"/>
  <c r="Z2" i="46967"/>
  <c r="Z1" i="46967" s="1"/>
  <c r="R2" i="1"/>
  <c r="Q1" i="1"/>
  <c r="R1" i="1" l="1"/>
  <c r="S2" i="1"/>
  <c r="S1" i="1" s="1"/>
  <c r="T2" i="1"/>
  <c r="AB2" i="46967"/>
  <c r="AA1" i="46967"/>
  <c r="U1" i="46965"/>
  <c r="V2" i="46965"/>
  <c r="V1" i="46965" s="1"/>
  <c r="W2" i="46965"/>
  <c r="X2" i="46965" l="1"/>
  <c r="W1" i="46965"/>
  <c r="AB1" i="46967"/>
  <c r="AD2" i="46967"/>
  <c r="AD1" i="46967" s="1"/>
  <c r="AC2" i="46967"/>
  <c r="AC1" i="46967" s="1"/>
  <c r="T1" i="1"/>
  <c r="U2" i="1"/>
  <c r="V2" i="1" l="1"/>
  <c r="V1" i="1" s="1"/>
  <c r="U1" i="1"/>
  <c r="W2" i="1"/>
  <c r="Z2" i="46965"/>
  <c r="Y2" i="46965"/>
  <c r="Y1" i="46965" s="1"/>
  <c r="X1" i="46965"/>
  <c r="Z1" i="46965" l="1"/>
  <c r="AA2" i="46965"/>
  <c r="W1" i="1"/>
  <c r="X2" i="1"/>
  <c r="X1" i="1" l="1"/>
  <c r="Y2" i="1"/>
  <c r="Y1" i="1" s="1"/>
  <c r="Z2" i="1"/>
  <c r="AA1" i="46965"/>
  <c r="AB2" i="46965"/>
  <c r="AB1" i="46965" s="1"/>
  <c r="AC2" i="46965"/>
  <c r="AC1" i="46965" s="1"/>
  <c r="Z1" i="1" l="1"/>
  <c r="AA2" i="1"/>
  <c r="AC2" i="1" l="1"/>
  <c r="AA1" i="1"/>
  <c r="AB2" i="1"/>
  <c r="AB1" i="1" s="1"/>
  <c r="AD2" i="1" l="1"/>
  <c r="AC1" i="1"/>
  <c r="AF2" i="1" l="1"/>
  <c r="AE2" i="1"/>
  <c r="AE1" i="1" s="1"/>
  <c r="AD1" i="1"/>
  <c r="AF1" i="1" l="1"/>
  <c r="AG2" i="1"/>
  <c r="AG1" i="1" l="1"/>
  <c r="AH2" i="1"/>
  <c r="AH1" i="1" s="1"/>
  <c r="AI2" i="1"/>
  <c r="AI1" i="1" l="1"/>
  <c r="AJ2" i="1"/>
  <c r="AL2" i="1" l="1"/>
  <c r="AJ1" i="1"/>
  <c r="AK2" i="1"/>
  <c r="AK1" i="1" s="1"/>
  <c r="AL1" i="1" l="1"/>
  <c r="AM2" i="1"/>
  <c r="AN2" i="1" l="1"/>
  <c r="AN1" i="1" s="1"/>
  <c r="AM1" i="1"/>
  <c r="AO2" i="1"/>
  <c r="AP2" i="1" l="1"/>
  <c r="AO1" i="1"/>
  <c r="AP1" i="1" l="1"/>
  <c r="AQ2" i="1"/>
  <c r="AQ1" i="1" s="1"/>
  <c r="AR2" i="1"/>
  <c r="AR1" i="1" l="1"/>
  <c r="AS2" i="1"/>
  <c r="AS1" i="1" l="1"/>
  <c r="AT2" i="1"/>
  <c r="AT1" i="1" s="1"/>
  <c r="AU2" i="1"/>
  <c r="AV2" i="1" l="1"/>
  <c r="AU1" i="1"/>
  <c r="AW2" i="1" l="1"/>
  <c r="AW1" i="1" s="1"/>
  <c r="AV1" i="1"/>
  <c r="AX2" i="1"/>
  <c r="AX1" i="1" l="1"/>
  <c r="AY2" i="1"/>
  <c r="AZ2" i="1" l="1"/>
  <c r="AZ1" i="1" s="1"/>
  <c r="BA2" i="1"/>
  <c r="AY1" i="1"/>
  <c r="BA1" i="1" l="1"/>
  <c r="BB2" i="1"/>
  <c r="BB1" i="1" l="1"/>
  <c r="BC2" i="1"/>
  <c r="BC1" i="1" s="1"/>
  <c r="BD2" i="1"/>
  <c r="BD1" i="1" l="1"/>
  <c r="BE2" i="1"/>
  <c r="BE1" i="1" s="1"/>
</calcChain>
</file>

<file path=xl/sharedStrings.xml><?xml version="1.0" encoding="utf-8"?>
<sst xmlns="http://schemas.openxmlformats.org/spreadsheetml/2006/main" count="383" uniqueCount="282">
  <si>
    <t>Username</t>
  </si>
  <si>
    <t>F</t>
  </si>
  <si>
    <t>D</t>
  </si>
  <si>
    <t>C</t>
  </si>
  <si>
    <t>B</t>
  </si>
  <si>
    <t>A</t>
  </si>
  <si>
    <t>Last</t>
  </si>
  <si>
    <t>First</t>
  </si>
  <si>
    <t>Matthew</t>
  </si>
  <si>
    <t>Joshua</t>
  </si>
  <si>
    <t>Johnson</t>
  </si>
  <si>
    <t>Stephanie</t>
  </si>
  <si>
    <t>Martinez</t>
  </si>
  <si>
    <t>Elizabeth</t>
  </si>
  <si>
    <t>Michelle</t>
  </si>
  <si>
    <t>Michael</t>
  </si>
  <si>
    <t>Rachel</t>
  </si>
  <si>
    <t>Candice</t>
  </si>
  <si>
    <t>Word</t>
  </si>
  <si>
    <t>Excel</t>
  </si>
  <si>
    <t>Access</t>
  </si>
  <si>
    <t>Ppoint</t>
  </si>
  <si>
    <t>Section</t>
  </si>
  <si>
    <t>Current Grade</t>
  </si>
  <si>
    <t>Full Name</t>
  </si>
  <si>
    <t>100% Point Level</t>
  </si>
  <si>
    <t>Estimated Final Grade(See note.)</t>
  </si>
  <si>
    <t>MidTerm</t>
  </si>
  <si>
    <t>Participation</t>
  </si>
  <si>
    <t>VBA Labs</t>
  </si>
  <si>
    <t xml:space="preserve">Quiz 1 </t>
  </si>
  <si>
    <t xml:space="preserve">quiz 2 </t>
  </si>
  <si>
    <t xml:space="preserve">quiz 3 </t>
  </si>
  <si>
    <t xml:space="preserve">quiz 4 </t>
  </si>
  <si>
    <t xml:space="preserve">quiz 5 </t>
  </si>
  <si>
    <t xml:space="preserve">quiz 6 </t>
  </si>
  <si>
    <t xml:space="preserve">quiz 7 </t>
  </si>
  <si>
    <t xml:space="preserve">quiz 8 </t>
  </si>
  <si>
    <t>Final Exam</t>
  </si>
  <si>
    <t>Student ID</t>
  </si>
  <si>
    <t>Sam Tom Status</t>
  </si>
  <si>
    <t>Current Total Pts</t>
  </si>
  <si>
    <t>Current Letter Grade</t>
  </si>
  <si>
    <t>Estimated Ending Grade</t>
  </si>
  <si>
    <t>Middle</t>
  </si>
  <si>
    <t>Baker</t>
  </si>
  <si>
    <t>Seth</t>
  </si>
  <si>
    <t>M</t>
  </si>
  <si>
    <t>smbaker4</t>
  </si>
  <si>
    <t>Brown</t>
  </si>
  <si>
    <t>Emily</t>
  </si>
  <si>
    <t>ebrown2</t>
  </si>
  <si>
    <t>Marie</t>
  </si>
  <si>
    <t>embrown2</t>
  </si>
  <si>
    <t>Doran</t>
  </si>
  <si>
    <t>Leslie</t>
  </si>
  <si>
    <t>William</t>
  </si>
  <si>
    <t>lwdoran</t>
  </si>
  <si>
    <t>Eynon</t>
  </si>
  <si>
    <t>Suzy</t>
  </si>
  <si>
    <t>Jaclyn</t>
  </si>
  <si>
    <t>sjeynon</t>
  </si>
  <si>
    <t>Hoffman</t>
  </si>
  <si>
    <t>Amanda</t>
  </si>
  <si>
    <t>L</t>
  </si>
  <si>
    <t>alhoffm2</t>
  </si>
  <si>
    <t>Jamele</t>
  </si>
  <si>
    <t>Ann</t>
  </si>
  <si>
    <t>amjamele</t>
  </si>
  <si>
    <t>Koston</t>
  </si>
  <si>
    <t>Kerilyn</t>
  </si>
  <si>
    <t>kmkoston</t>
  </si>
  <si>
    <t>Lenehan</t>
  </si>
  <si>
    <t>Ryan</t>
  </si>
  <si>
    <t>Paul</t>
  </si>
  <si>
    <t>rpleneha</t>
  </si>
  <si>
    <t>Loya</t>
  </si>
  <si>
    <t>Jose</t>
  </si>
  <si>
    <t>Antonio</t>
  </si>
  <si>
    <t>jaloya</t>
  </si>
  <si>
    <t>Sierra</t>
  </si>
  <si>
    <t>Olivia</t>
  </si>
  <si>
    <t>somarti2</t>
  </si>
  <si>
    <t>Mendoza</t>
  </si>
  <si>
    <t>Alejandro</t>
  </si>
  <si>
    <t>amendoz3</t>
  </si>
  <si>
    <t>jamendo3</t>
  </si>
  <si>
    <t>Moreno</t>
  </si>
  <si>
    <t>Kamaree</t>
  </si>
  <si>
    <t>Rae</t>
  </si>
  <si>
    <t>krmoreno</t>
  </si>
  <si>
    <t>Munoz</t>
  </si>
  <si>
    <t>Lizbeth</t>
  </si>
  <si>
    <t>lmunoz2</t>
  </si>
  <si>
    <t>Najera</t>
  </si>
  <si>
    <t>Annette</t>
  </si>
  <si>
    <t>Alexia</t>
  </si>
  <si>
    <t>aanajera</t>
  </si>
  <si>
    <t>Paulsen</t>
  </si>
  <si>
    <t>Tye</t>
  </si>
  <si>
    <t>tpaulsen</t>
  </si>
  <si>
    <t>Smith</t>
  </si>
  <si>
    <t>Nicole</t>
  </si>
  <si>
    <t>nmsmith6</t>
  </si>
  <si>
    <t>Tremoulis</t>
  </si>
  <si>
    <t>Lynn</t>
  </si>
  <si>
    <t>sltremou</t>
  </si>
  <si>
    <t>Vazquez</t>
  </si>
  <si>
    <t>jvazque3</t>
  </si>
  <si>
    <t>Welsh</t>
  </si>
  <si>
    <t>J</t>
  </si>
  <si>
    <t>mjwelsh</t>
  </si>
  <si>
    <t>Wibel</t>
  </si>
  <si>
    <t>Terry</t>
  </si>
  <si>
    <t>Lee</t>
  </si>
  <si>
    <t>tlwibel</t>
  </si>
  <si>
    <t>Willing</t>
  </si>
  <si>
    <t>R</t>
  </si>
  <si>
    <t>mrwillin</t>
  </si>
  <si>
    <t>Worra</t>
  </si>
  <si>
    <t>E</t>
  </si>
  <si>
    <t>reworra</t>
  </si>
  <si>
    <t>S</t>
  </si>
  <si>
    <t>T</t>
  </si>
  <si>
    <t>W</t>
  </si>
  <si>
    <t>Burgess</t>
  </si>
  <si>
    <t>Joy</t>
  </si>
  <si>
    <t>Leah</t>
  </si>
  <si>
    <t>jlburges</t>
  </si>
  <si>
    <t>Campbell</t>
  </si>
  <si>
    <t>Perry</t>
  </si>
  <si>
    <t>Lequient</t>
  </si>
  <si>
    <t>plcampb2</t>
  </si>
  <si>
    <t>Colbert</t>
  </si>
  <si>
    <t>John</t>
  </si>
  <si>
    <t>Christian</t>
  </si>
  <si>
    <t>jccolber</t>
  </si>
  <si>
    <t>Devedzic</t>
  </si>
  <si>
    <t>Milos</t>
  </si>
  <si>
    <t>mdevedzi</t>
  </si>
  <si>
    <t>Diep</t>
  </si>
  <si>
    <t>Ronald</t>
  </si>
  <si>
    <t>Huynh</t>
  </si>
  <si>
    <t>rhdiep</t>
  </si>
  <si>
    <t>Fooks</t>
  </si>
  <si>
    <t>Teresa</t>
  </si>
  <si>
    <t>tbfooks</t>
  </si>
  <si>
    <t>Gulyaev</t>
  </si>
  <si>
    <t>Marina</t>
  </si>
  <si>
    <t>mgulyaev</t>
  </si>
  <si>
    <t>Harris</t>
  </si>
  <si>
    <t>Alexis</t>
  </si>
  <si>
    <t>Anthony</t>
  </si>
  <si>
    <t>aaharri3</t>
  </si>
  <si>
    <t>Erik</t>
  </si>
  <si>
    <t>Robert</t>
  </si>
  <si>
    <t>erjohns5</t>
  </si>
  <si>
    <t>Kowske</t>
  </si>
  <si>
    <t>cakowsk3</t>
  </si>
  <si>
    <t>Linehan</t>
  </si>
  <si>
    <t>Sheri</t>
  </si>
  <si>
    <t>selineha</t>
  </si>
  <si>
    <t>Manning</t>
  </si>
  <si>
    <t>Anita</t>
  </si>
  <si>
    <t>Cathryn</t>
  </si>
  <si>
    <t>acbolcko</t>
  </si>
  <si>
    <t>Maravilla</t>
  </si>
  <si>
    <t>Lucy</t>
  </si>
  <si>
    <t>V</t>
  </si>
  <si>
    <t>lvmaravi</t>
  </si>
  <si>
    <t>Miller</t>
  </si>
  <si>
    <t>Andy</t>
  </si>
  <si>
    <t>ammille6</t>
  </si>
  <si>
    <t>Alex</t>
  </si>
  <si>
    <t>mamille9</t>
  </si>
  <si>
    <t>Mutwol</t>
  </si>
  <si>
    <t>Adam</t>
  </si>
  <si>
    <t>amutwol</t>
  </si>
  <si>
    <t>Tudor</t>
  </si>
  <si>
    <t>G</t>
  </si>
  <si>
    <t>mgmollbe</t>
  </si>
  <si>
    <t>Villaverde</t>
  </si>
  <si>
    <t>Carissa</t>
  </si>
  <si>
    <t>N</t>
  </si>
  <si>
    <t>cnvillav</t>
  </si>
  <si>
    <t>Wax</t>
  </si>
  <si>
    <t>Aaron</t>
  </si>
  <si>
    <t>acwax</t>
  </si>
  <si>
    <t>Wise</t>
  </si>
  <si>
    <t>Alison</t>
  </si>
  <si>
    <t>amwise</t>
  </si>
  <si>
    <t>Days with heavy underlines = no attendance taken</t>
  </si>
  <si>
    <t>Thomas</t>
  </si>
  <si>
    <t>Kiera</t>
  </si>
  <si>
    <t>kathomas</t>
  </si>
  <si>
    <t>SID</t>
  </si>
  <si>
    <t>HOLIDAY</t>
  </si>
  <si>
    <t>I</t>
  </si>
  <si>
    <t>Percent of Possible with Participation</t>
  </si>
  <si>
    <t>StudentID</t>
  </si>
  <si>
    <t>Bangiyev</t>
  </si>
  <si>
    <t>Ruben</t>
  </si>
  <si>
    <t>rbangiy2</t>
  </si>
  <si>
    <t>Barraza Salazar</t>
  </si>
  <si>
    <t>Luis</t>
  </si>
  <si>
    <t>lbarraza</t>
  </si>
  <si>
    <t>Cavazos</t>
  </si>
  <si>
    <t>Sylvia</t>
  </si>
  <si>
    <t>smcavazo</t>
  </si>
  <si>
    <t>Compton</t>
  </si>
  <si>
    <t>Sandra</t>
  </si>
  <si>
    <t>sacompto</t>
  </si>
  <si>
    <t>Cordova</t>
  </si>
  <si>
    <t>Wendy</t>
  </si>
  <si>
    <t>Jean</t>
  </si>
  <si>
    <t>wjcordov</t>
  </si>
  <si>
    <t>Diaz</t>
  </si>
  <si>
    <t>Veronica</t>
  </si>
  <si>
    <t>Yvonne</t>
  </si>
  <si>
    <t>vydiaz</t>
  </si>
  <si>
    <t>Gonzalez</t>
  </si>
  <si>
    <t>Nicholas</t>
  </si>
  <si>
    <t>njgonza2</t>
  </si>
  <si>
    <t>Huffman</t>
  </si>
  <si>
    <t>Jordan</t>
  </si>
  <si>
    <t>jahuffma</t>
  </si>
  <si>
    <t>Husser</t>
  </si>
  <si>
    <t>mdhusser</t>
  </si>
  <si>
    <t>Garreth</t>
  </si>
  <si>
    <t>wgjohns3</t>
  </si>
  <si>
    <t>Kremin</t>
  </si>
  <si>
    <t>Dawna</t>
  </si>
  <si>
    <t>dmkremin</t>
  </si>
  <si>
    <t>Landers</t>
  </si>
  <si>
    <t>Richard</t>
  </si>
  <si>
    <t>rllander</t>
  </si>
  <si>
    <t>McCaskill</t>
  </si>
  <si>
    <t>Dorothy</t>
  </si>
  <si>
    <t>dmccaski</t>
  </si>
  <si>
    <t>Miano</t>
  </si>
  <si>
    <t>Nichole</t>
  </si>
  <si>
    <t>nmmiano</t>
  </si>
  <si>
    <t>Noboa</t>
  </si>
  <si>
    <t>Cinthia</t>
  </si>
  <si>
    <t>cenoboa</t>
  </si>
  <si>
    <t>Poland</t>
  </si>
  <si>
    <t>Preston</t>
  </si>
  <si>
    <t>pmpoland</t>
  </si>
  <si>
    <t>Ragogna</t>
  </si>
  <si>
    <t>Victoria</t>
  </si>
  <si>
    <t>veragogn</t>
  </si>
  <si>
    <t>Reece</t>
  </si>
  <si>
    <t>Mary</t>
  </si>
  <si>
    <t>Katherine</t>
  </si>
  <si>
    <t>mkreece</t>
  </si>
  <si>
    <t>Robinson</t>
  </si>
  <si>
    <t>Laini</t>
  </si>
  <si>
    <t>Tessa</t>
  </si>
  <si>
    <t>ltrobins</t>
  </si>
  <si>
    <t>Simeri</t>
  </si>
  <si>
    <t>Joseph</t>
  </si>
  <si>
    <t>jlsimeri</t>
  </si>
  <si>
    <t>Unten</t>
  </si>
  <si>
    <t>Joel</t>
  </si>
  <si>
    <t>Jiro</t>
  </si>
  <si>
    <t>jjunten</t>
  </si>
  <si>
    <t>White</t>
  </si>
  <si>
    <t>Christopher</t>
  </si>
  <si>
    <t>cmwhite5</t>
  </si>
  <si>
    <t>Young</t>
  </si>
  <si>
    <t>Foster</t>
  </si>
  <si>
    <t>Ramone</t>
  </si>
  <si>
    <t>fryoung</t>
  </si>
  <si>
    <t xml:space="preserve">quiz 1 </t>
  </si>
  <si>
    <t>Chavez</t>
  </si>
  <si>
    <t>Melany</t>
  </si>
  <si>
    <t>60099xxxx</t>
  </si>
  <si>
    <t>mchavez</t>
  </si>
  <si>
    <t>jmckeon</t>
  </si>
  <si>
    <t>McKeon</t>
  </si>
  <si>
    <t>JoJo</t>
  </si>
  <si>
    <t>60099yyyy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</si>
</sst>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8" formatCode="[$-F800]dddd\,\ mmmm\ dd\,\ yyyy"/>
    <numFmt numFmtId="179" formatCode="m/d;@"/>
    <numFmt numFmtId="183" formatCode="000\-00\-0000"/>
  </numFmts>
  <fonts count="25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color indexed="60"/>
      <name val="Arial"/>
      <family val="2"/>
    </font>
    <font>
      <sz val="8"/>
      <color indexed="60"/>
      <name val="Arial"/>
      <family val="2"/>
    </font>
    <font>
      <b/>
      <sz val="12"/>
      <color indexed="60"/>
      <name val="Arial"/>
      <family val="2"/>
    </font>
    <font>
      <sz val="10"/>
      <color indexed="60"/>
      <name val="Arial"/>
      <family val="2"/>
    </font>
    <font>
      <b/>
      <sz val="10"/>
      <color indexed="10"/>
      <name val="Arial"/>
      <family val="2"/>
    </font>
    <font>
      <sz val="14"/>
      <color indexed="60"/>
      <name val="Arial"/>
      <family val="2"/>
    </font>
    <font>
      <b/>
      <sz val="8"/>
      <color indexed="6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59"/>
      <name val="Arial"/>
      <family val="2"/>
    </font>
    <font>
      <sz val="8"/>
      <color indexed="59"/>
      <name val="Arial"/>
      <family val="2"/>
    </font>
    <font>
      <b/>
      <sz val="12"/>
      <color indexed="59"/>
      <name val="Arial"/>
      <family val="2"/>
    </font>
    <font>
      <sz val="10"/>
      <color indexed="59"/>
      <name val="Arial"/>
      <family val="2"/>
    </font>
    <font>
      <b/>
      <sz val="10"/>
      <color indexed="8"/>
      <name val="Arial"/>
      <family val="2"/>
    </font>
    <font>
      <sz val="8"/>
      <color indexed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4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8">
    <xf numFmtId="0" fontId="0" fillId="0" borderId="0" xfId="0"/>
    <xf numFmtId="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textRotation="90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9" fontId="5" fillId="0" borderId="5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6" fillId="0" borderId="0" xfId="0" applyFont="1" applyFill="1"/>
    <xf numFmtId="9" fontId="5" fillId="0" borderId="8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 textRotation="90"/>
    </xf>
    <xf numFmtId="0" fontId="9" fillId="0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/>
    <xf numFmtId="178" fontId="2" fillId="5" borderId="0" xfId="0" applyNumberFormat="1" applyFont="1" applyFill="1" applyAlignment="1">
      <alignment horizontal="center"/>
    </xf>
    <xf numFmtId="17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79" fontId="13" fillId="0" borderId="0" xfId="0" applyNumberFormat="1" applyFont="1" applyBorder="1" applyAlignment="1">
      <alignment horizontal="center" vertical="top" textRotation="90"/>
    </xf>
    <xf numFmtId="179" fontId="14" fillId="5" borderId="14" xfId="0" applyNumberFormat="1" applyFont="1" applyFill="1" applyBorder="1" applyAlignment="1">
      <alignment horizontal="center" vertical="top" textRotation="90"/>
    </xf>
    <xf numFmtId="179" fontId="14" fillId="0" borderId="14" xfId="0" applyNumberFormat="1" applyFont="1" applyBorder="1" applyAlignment="1">
      <alignment horizontal="center" vertical="top" textRotation="90"/>
    </xf>
    <xf numFmtId="179" fontId="14" fillId="0" borderId="15" xfId="0" applyNumberFormat="1" applyFont="1" applyBorder="1" applyAlignment="1">
      <alignment horizontal="center" vertical="top" textRotation="90"/>
    </xf>
    <xf numFmtId="0" fontId="1" fillId="0" borderId="0" xfId="0" applyFont="1" applyAlignment="1">
      <alignment horizontal="center" vertical="top"/>
    </xf>
    <xf numFmtId="0" fontId="1" fillId="0" borderId="0" xfId="0" applyFont="1"/>
    <xf numFmtId="1" fontId="3" fillId="0" borderId="2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textRotation="90"/>
    </xf>
    <xf numFmtId="0" fontId="5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 textRotation="60"/>
    </xf>
    <xf numFmtId="1" fontId="3" fillId="0" borderId="18" xfId="0" applyNumberFormat="1" applyFont="1" applyFill="1" applyBorder="1" applyAlignment="1">
      <alignment horizontal="center" vertical="center" textRotation="60" wrapText="1"/>
    </xf>
    <xf numFmtId="0" fontId="4" fillId="0" borderId="0" xfId="0" applyFont="1" applyFill="1" applyAlignment="1">
      <alignment horizontal="center" vertical="center" textRotation="60"/>
    </xf>
    <xf numFmtId="0" fontId="3" fillId="0" borderId="19" xfId="0" applyFont="1" applyFill="1" applyBorder="1" applyAlignment="1">
      <alignment horizontal="center" vertical="center" textRotation="60" wrapText="1"/>
    </xf>
    <xf numFmtId="0" fontId="3" fillId="0" borderId="20" xfId="0" applyFont="1" applyFill="1" applyBorder="1" applyAlignment="1">
      <alignment horizontal="center" vertical="center" textRotation="60" wrapText="1"/>
    </xf>
    <xf numFmtId="0" fontId="3" fillId="4" borderId="8" xfId="0" applyFont="1" applyFill="1" applyBorder="1" applyAlignment="1">
      <alignment horizontal="center" vertical="center" textRotation="60" wrapText="1"/>
    </xf>
    <xf numFmtId="1" fontId="3" fillId="3" borderId="18" xfId="0" applyNumberFormat="1" applyFont="1" applyFill="1" applyBorder="1" applyAlignment="1">
      <alignment horizontal="center" vertical="center" textRotation="60" wrapText="1"/>
    </xf>
    <xf numFmtId="0" fontId="3" fillId="3" borderId="17" xfId="0" applyFont="1" applyFill="1" applyBorder="1" applyAlignment="1">
      <alignment horizontal="center" vertical="center" textRotation="60" wrapText="1"/>
    </xf>
    <xf numFmtId="0" fontId="3" fillId="0" borderId="17" xfId="0" applyFont="1" applyFill="1" applyBorder="1" applyAlignment="1">
      <alignment horizontal="center" vertical="center" textRotation="60" wrapText="1"/>
    </xf>
    <xf numFmtId="0" fontId="7" fillId="0" borderId="1" xfId="0" applyFont="1" applyFill="1" applyBorder="1" applyAlignment="1">
      <alignment horizontal="center" vertical="center" textRotation="60" wrapText="1"/>
    </xf>
    <xf numFmtId="1" fontId="3" fillId="0" borderId="3" xfId="0" applyNumberFormat="1" applyFont="1" applyFill="1" applyBorder="1" applyAlignment="1">
      <alignment horizontal="center" vertical="center" textRotation="60" wrapText="1"/>
    </xf>
    <xf numFmtId="1" fontId="3" fillId="0" borderId="21" xfId="0" applyNumberFormat="1" applyFont="1" applyFill="1" applyBorder="1" applyAlignment="1">
      <alignment horizontal="center" vertical="center" textRotation="60" wrapText="1"/>
    </xf>
    <xf numFmtId="0" fontId="3" fillId="0" borderId="22" xfId="0" applyFont="1" applyFill="1" applyBorder="1" applyAlignment="1">
      <alignment horizontal="center" vertical="center" textRotation="60" wrapText="1"/>
    </xf>
    <xf numFmtId="9" fontId="3" fillId="0" borderId="4" xfId="0" applyNumberFormat="1" applyFont="1" applyFill="1" applyBorder="1" applyAlignment="1">
      <alignment horizontal="center" vertical="center" textRotation="60" wrapText="1"/>
    </xf>
    <xf numFmtId="0" fontId="3" fillId="0" borderId="0" xfId="0" applyFont="1" applyFill="1" applyAlignment="1">
      <alignment horizontal="center" vertical="center" textRotation="60"/>
    </xf>
    <xf numFmtId="179" fontId="12" fillId="0" borderId="0" xfId="0" applyNumberFormat="1" applyFont="1" applyFill="1" applyBorder="1" applyAlignment="1">
      <alignment horizontal="center" vertical="top" textRotation="90"/>
    </xf>
    <xf numFmtId="179" fontId="2" fillId="0" borderId="14" xfId="0" applyNumberFormat="1" applyFont="1" applyFill="1" applyBorder="1" applyAlignment="1">
      <alignment horizontal="center" vertical="top" textRotation="90"/>
    </xf>
    <xf numFmtId="0" fontId="2" fillId="0" borderId="0" xfId="0" applyFont="1" applyFill="1" applyAlignment="1">
      <alignment horizontal="center" vertical="top"/>
    </xf>
    <xf numFmtId="0" fontId="2" fillId="6" borderId="23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textRotation="60" wrapText="1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9" fontId="5" fillId="0" borderId="19" xfId="0" applyNumberFormat="1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9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 textRotation="60" wrapText="1"/>
    </xf>
    <xf numFmtId="0" fontId="18" fillId="0" borderId="0" xfId="0" applyFont="1" applyFill="1" applyAlignment="1">
      <alignment horizontal="center" vertical="center" textRotation="60"/>
    </xf>
    <xf numFmtId="0" fontId="18" fillId="0" borderId="0" xfId="0" applyFont="1" applyFill="1" applyAlignment="1">
      <alignment horizontal="center" vertical="center"/>
    </xf>
    <xf numFmtId="9" fontId="18" fillId="0" borderId="0" xfId="1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8" fillId="0" borderId="0" xfId="0" applyFont="1" applyFill="1" applyAlignment="1">
      <alignment horizontal="center"/>
    </xf>
    <xf numFmtId="0" fontId="12" fillId="0" borderId="0" xfId="0" applyFont="1" applyFill="1"/>
    <xf numFmtId="0" fontId="5" fillId="3" borderId="24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60" wrapText="1"/>
    </xf>
    <xf numFmtId="178" fontId="2" fillId="6" borderId="0" xfId="0" applyNumberFormat="1" applyFont="1" applyFill="1" applyAlignment="1">
      <alignment horizontal="center"/>
    </xf>
    <xf numFmtId="1" fontId="18" fillId="0" borderId="0" xfId="0" applyNumberFormat="1" applyFont="1" applyFill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1" fontId="3" fillId="0" borderId="23" xfId="0" applyNumberFormat="1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 textRotation="90"/>
    </xf>
    <xf numFmtId="0" fontId="5" fillId="0" borderId="24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textRotation="60" wrapText="1"/>
    </xf>
    <xf numFmtId="0" fontId="9" fillId="0" borderId="40" xfId="0" applyFont="1" applyFill="1" applyBorder="1" applyAlignment="1">
      <alignment horizontal="center" vertical="center" textRotation="60"/>
    </xf>
    <xf numFmtId="0" fontId="3" fillId="0" borderId="11" xfId="0" applyFont="1" applyFill="1" applyBorder="1" applyAlignment="1">
      <alignment horizontal="center" vertical="center" textRotation="60" wrapText="1"/>
    </xf>
    <xf numFmtId="1" fontId="3" fillId="3" borderId="11" xfId="0" applyNumberFormat="1" applyFont="1" applyFill="1" applyBorder="1" applyAlignment="1">
      <alignment horizontal="center" vertical="center" textRotation="60" wrapText="1"/>
    </xf>
    <xf numFmtId="0" fontId="3" fillId="3" borderId="11" xfId="0" applyFont="1" applyFill="1" applyBorder="1" applyAlignment="1">
      <alignment horizontal="center" vertical="center" textRotation="60" wrapText="1"/>
    </xf>
    <xf numFmtId="0" fontId="18" fillId="0" borderId="40" xfId="0" applyFont="1" applyFill="1" applyBorder="1" applyAlignment="1">
      <alignment horizontal="center" vertical="center" textRotation="60" wrapText="1"/>
    </xf>
    <xf numFmtId="0" fontId="18" fillId="0" borderId="40" xfId="0" applyFont="1" applyFill="1" applyBorder="1" applyAlignment="1">
      <alignment horizontal="center" vertical="center" textRotation="60"/>
    </xf>
    <xf numFmtId="0" fontId="3" fillId="7" borderId="11" xfId="0" applyFont="1" applyFill="1" applyBorder="1" applyAlignment="1">
      <alignment horizontal="center" vertical="center" textRotation="60" wrapText="1"/>
    </xf>
    <xf numFmtId="0" fontId="5" fillId="7" borderId="24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 textRotation="60" wrapText="1"/>
    </xf>
    <xf numFmtId="0" fontId="5" fillId="7" borderId="27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43" xfId="0" applyFont="1" applyFill="1" applyBorder="1" applyAlignment="1">
      <alignment horizontal="center" vertical="center"/>
    </xf>
    <xf numFmtId="179" fontId="14" fillId="8" borderId="14" xfId="0" applyNumberFormat="1" applyFont="1" applyFill="1" applyBorder="1" applyAlignment="1">
      <alignment horizontal="center" vertical="top" textRotation="90"/>
    </xf>
    <xf numFmtId="0" fontId="1" fillId="8" borderId="27" xfId="0" applyFont="1" applyFill="1" applyBorder="1" applyAlignment="1">
      <alignment horizontal="center" vertical="center"/>
    </xf>
    <xf numFmtId="179" fontId="2" fillId="8" borderId="14" xfId="0" applyNumberFormat="1" applyFont="1" applyFill="1" applyBorder="1" applyAlignment="1">
      <alignment horizontal="center" vertical="top" textRotation="90"/>
    </xf>
    <xf numFmtId="0" fontId="5" fillId="9" borderId="24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9" fontId="5" fillId="10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1" fillId="10" borderId="26" xfId="0" applyFont="1" applyFill="1" applyBorder="1" applyAlignment="1">
      <alignment horizontal="center" vertical="center"/>
    </xf>
    <xf numFmtId="0" fontId="11" fillId="10" borderId="27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0" borderId="23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5" fillId="9" borderId="27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0" fillId="0" borderId="0" xfId="0" applyFill="1"/>
    <xf numFmtId="0" fontId="19" fillId="10" borderId="3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/>
    </xf>
    <xf numFmtId="1" fontId="19" fillId="10" borderId="2" xfId="0" applyNumberFormat="1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 textRotation="90"/>
    </xf>
    <xf numFmtId="0" fontId="21" fillId="10" borderId="16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center" vertical="center"/>
    </xf>
    <xf numFmtId="0" fontId="21" fillId="10" borderId="9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1" fillId="10" borderId="3" xfId="0" applyFont="1" applyFill="1" applyBorder="1" applyAlignment="1">
      <alignment horizontal="center" vertical="center"/>
    </xf>
    <xf numFmtId="9" fontId="21" fillId="10" borderId="5" xfId="0" applyNumberFormat="1" applyFont="1" applyFill="1" applyBorder="1" applyAlignment="1">
      <alignment horizontal="center" vertical="center"/>
    </xf>
    <xf numFmtId="0" fontId="21" fillId="10" borderId="7" xfId="0" applyFont="1" applyFill="1" applyBorder="1" applyAlignment="1">
      <alignment horizontal="center" vertical="center"/>
    </xf>
    <xf numFmtId="0" fontId="21" fillId="10" borderId="10" xfId="0" applyFont="1" applyFill="1" applyBorder="1" applyAlignment="1">
      <alignment horizontal="center" vertical="center"/>
    </xf>
    <xf numFmtId="0" fontId="22" fillId="0" borderId="0" xfId="0" applyFont="1" applyFill="1"/>
    <xf numFmtId="0" fontId="19" fillId="0" borderId="0" xfId="0" applyFont="1" applyFill="1" applyAlignment="1">
      <alignment horizontal="center" vertical="center"/>
    </xf>
    <xf numFmtId="0" fontId="22" fillId="0" borderId="0" xfId="0" applyFont="1"/>
    <xf numFmtId="0" fontId="3" fillId="11" borderId="3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1" fontId="3" fillId="11" borderId="2" xfId="0" applyNumberFormat="1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 textRotation="90"/>
    </xf>
    <xf numFmtId="0" fontId="5" fillId="11" borderId="16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9" fontId="5" fillId="11" borderId="5" xfId="0" applyNumberFormat="1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9" fontId="5" fillId="11" borderId="1" xfId="0" applyNumberFormat="1" applyFont="1" applyFill="1" applyBorder="1" applyAlignment="1">
      <alignment horizontal="center" vertical="center"/>
    </xf>
    <xf numFmtId="1" fontId="19" fillId="10" borderId="1" xfId="0" applyNumberFormat="1" applyFont="1" applyFill="1" applyBorder="1" applyAlignment="1">
      <alignment horizontal="center" vertical="center" wrapText="1"/>
    </xf>
    <xf numFmtId="1" fontId="7" fillId="11" borderId="1" xfId="0" applyNumberFormat="1" applyFont="1" applyFill="1" applyBorder="1" applyAlignment="1">
      <alignment horizontal="center" vertical="center" wrapText="1"/>
    </xf>
    <xf numFmtId="1" fontId="18" fillId="0" borderId="1" xfId="0" applyNumberFormat="1" applyFont="1" applyFill="1" applyBorder="1" applyAlignment="1">
      <alignment horizontal="center" vertical="center" wrapText="1"/>
    </xf>
    <xf numFmtId="1" fontId="5" fillId="0" borderId="4" xfId="0" applyNumberFormat="1" applyFont="1" applyFill="1" applyBorder="1" applyAlignment="1">
      <alignment horizontal="center" vertical="center"/>
    </xf>
    <xf numFmtId="1" fontId="21" fillId="10" borderId="4" xfId="0" applyNumberFormat="1" applyFont="1" applyFill="1" applyBorder="1" applyAlignment="1">
      <alignment horizontal="center" vertical="center"/>
    </xf>
    <xf numFmtId="1" fontId="5" fillId="11" borderId="4" xfId="0" applyNumberFormat="1" applyFont="1" applyFill="1" applyBorder="1" applyAlignment="1">
      <alignment horizontal="center" vertical="center"/>
    </xf>
    <xf numFmtId="1" fontId="5" fillId="0" borderId="20" xfId="0" applyNumberFormat="1" applyFont="1" applyFill="1" applyBorder="1" applyAlignment="1">
      <alignment horizontal="center" vertical="center"/>
    </xf>
    <xf numFmtId="1" fontId="5" fillId="0" borderId="15" xfId="0" applyNumberFormat="1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9" fontId="7" fillId="0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49" fontId="10" fillId="0" borderId="0" xfId="0" applyNumberFormat="1" applyFont="1" applyAlignment="1">
      <alignment horizontal="center"/>
    </xf>
    <xf numFmtId="178" fontId="10" fillId="0" borderId="0" xfId="0" applyNumberFormat="1" applyFont="1" applyFill="1" applyAlignment="1">
      <alignment horizontal="center"/>
    </xf>
    <xf numFmtId="0" fontId="10" fillId="0" borderId="0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79" fontId="23" fillId="0" borderId="1" xfId="0" applyNumberFormat="1" applyFont="1" applyFill="1" applyBorder="1" applyAlignment="1">
      <alignment horizontal="center" vertical="top" textRotation="90"/>
    </xf>
    <xf numFmtId="179" fontId="14" fillId="0" borderId="1" xfId="0" applyNumberFormat="1" applyFont="1" applyFill="1" applyBorder="1" applyAlignment="1">
      <alignment horizontal="center" vertical="top" textRotation="90"/>
    </xf>
    <xf numFmtId="183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24" fillId="0" borderId="0" xfId="0" applyFont="1" applyFill="1" applyAlignment="1">
      <alignment horizontal="center" vertical="center" textRotation="60"/>
    </xf>
    <xf numFmtId="0" fontId="12" fillId="0" borderId="0" xfId="0" applyFont="1"/>
    <xf numFmtId="0" fontId="12" fillId="10" borderId="0" xfId="0" applyFont="1" applyFill="1"/>
    <xf numFmtId="0" fontId="3" fillId="4" borderId="19" xfId="0" applyFont="1" applyFill="1" applyBorder="1" applyAlignment="1">
      <alignment horizontal="center" vertical="center" textRotation="60" wrapText="1"/>
    </xf>
    <xf numFmtId="0" fontId="3" fillId="2" borderId="17" xfId="0" applyFont="1" applyFill="1" applyBorder="1" applyAlignment="1">
      <alignment horizontal="center" vertical="center" textRotation="60" wrapText="1"/>
    </xf>
    <xf numFmtId="1" fontId="3" fillId="0" borderId="48" xfId="0" applyNumberFormat="1" applyFont="1" applyFill="1" applyBorder="1" applyAlignment="1">
      <alignment horizontal="center" vertical="center" textRotation="60" wrapText="1"/>
    </xf>
    <xf numFmtId="1" fontId="3" fillId="0" borderId="49" xfId="0" applyNumberFormat="1" applyFont="1" applyFill="1" applyBorder="1" applyAlignment="1">
      <alignment horizontal="center" vertical="center" textRotation="60" wrapText="1"/>
    </xf>
    <xf numFmtId="0" fontId="3" fillId="0" borderId="50" xfId="0" applyFont="1" applyFill="1" applyBorder="1" applyAlignment="1">
      <alignment horizontal="center" vertical="center" textRotation="60" wrapText="1"/>
    </xf>
    <xf numFmtId="0" fontId="0" fillId="0" borderId="26" xfId="0" applyBorder="1"/>
    <xf numFmtId="0" fontId="0" fillId="0" borderId="27" xfId="0" applyBorder="1"/>
    <xf numFmtId="0" fontId="0" fillId="0" borderId="41" xfId="0" applyBorder="1"/>
    <xf numFmtId="0" fontId="0" fillId="0" borderId="2" xfId="0" applyBorder="1"/>
    <xf numFmtId="0" fontId="0" fillId="0" borderId="10" xfId="0" applyBorder="1"/>
    <xf numFmtId="0" fontId="0" fillId="0" borderId="13" xfId="0" applyBorder="1"/>
    <xf numFmtId="0" fontId="0" fillId="0" borderId="11" xfId="0" applyBorder="1"/>
    <xf numFmtId="0" fontId="0" fillId="0" borderId="12" xfId="0" applyBorder="1"/>
    <xf numFmtId="0" fontId="0" fillId="4" borderId="27" xfId="0" applyFill="1" applyBorder="1"/>
    <xf numFmtId="0" fontId="0" fillId="4" borderId="1" xfId="0" applyFill="1" applyBorder="1"/>
    <xf numFmtId="0" fontId="0" fillId="4" borderId="11" xfId="0" applyFill="1" applyBorder="1"/>
    <xf numFmtId="0" fontId="0" fillId="3" borderId="27" xfId="0" applyFill="1" applyBorder="1"/>
    <xf numFmtId="0" fontId="0" fillId="3" borderId="1" xfId="0" applyFill="1" applyBorder="1"/>
    <xf numFmtId="0" fontId="0" fillId="3" borderId="11" xfId="0" applyFill="1" applyBorder="1"/>
    <xf numFmtId="0" fontId="0" fillId="7" borderId="27" xfId="0" applyFill="1" applyBorder="1"/>
    <xf numFmtId="0" fontId="0" fillId="7" borderId="1" xfId="0" applyFill="1" applyBorder="1"/>
    <xf numFmtId="0" fontId="0" fillId="7" borderId="11" xfId="0" applyFill="1" applyBorder="1"/>
    <xf numFmtId="0" fontId="0" fillId="2" borderId="27" xfId="0" applyFill="1" applyBorder="1"/>
    <xf numFmtId="0" fontId="0" fillId="2" borderId="1" xfId="0" applyFill="1" applyBorder="1"/>
    <xf numFmtId="0" fontId="0" fillId="2" borderId="11" xfId="0" applyFill="1" applyBorder="1"/>
    <xf numFmtId="0" fontId="0" fillId="5" borderId="27" xfId="0" applyFill="1" applyBorder="1"/>
    <xf numFmtId="0" fontId="0" fillId="5" borderId="1" xfId="0" applyFill="1" applyBorder="1"/>
    <xf numFmtId="0" fontId="0" fillId="5" borderId="11" xfId="0" applyFill="1" applyBorder="1"/>
    <xf numFmtId="0" fontId="7" fillId="5" borderId="17" xfId="0" applyFont="1" applyFill="1" applyBorder="1" applyAlignment="1">
      <alignment horizontal="center" vertical="center" textRotation="60" wrapText="1"/>
    </xf>
    <xf numFmtId="0" fontId="0" fillId="6" borderId="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6" borderId="0" xfId="0" applyFill="1" applyAlignment="1">
      <alignment horizontal="center"/>
    </xf>
    <xf numFmtId="0" fontId="2" fillId="8" borderId="44" xfId="0" applyFont="1" applyFill="1" applyBorder="1" applyAlignment="1">
      <alignment horizontal="center" vertical="center" textRotation="90"/>
    </xf>
    <xf numFmtId="0" fontId="0" fillId="0" borderId="4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8" borderId="17" xfId="0" applyFont="1" applyFill="1" applyBorder="1" applyAlignment="1">
      <alignment horizontal="center" vertical="center" textRotation="90"/>
    </xf>
    <xf numFmtId="0" fontId="15" fillId="0" borderId="1" xfId="0" applyFont="1" applyBorder="1" applyAlignment="1">
      <alignment horizontal="center"/>
    </xf>
    <xf numFmtId="0" fontId="15" fillId="0" borderId="1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2">
    <dxf>
      <fill>
        <patternFill patternType="gray0625">
          <bgColor indexed="26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indexed="10"/>
  </sheetPr>
  <dimension ref="A1:BE38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sqref="A1:IV65536"/>
    </sheetView>
  </sheetViews>
  <sheetFormatPr defaultColWidth="9.1796875" defaultRowHeight="12.5" x14ac:dyDescent="0.25"/>
  <cols>
    <col min="1" max="5" width="12.1796875" style="34" hidden="1" customWidth="1"/>
    <col min="6" max="6" width="7.81640625" style="37" customWidth="1"/>
    <col min="7" max="7" width="5.26953125" style="34" customWidth="1"/>
    <col min="8" max="8" width="4.1796875" style="34" bestFit="1" customWidth="1"/>
    <col min="9" max="57" width="4.1796875" style="37" bestFit="1" customWidth="1"/>
    <col min="58" max="16384" width="9.1796875" style="37"/>
  </cols>
  <sheetData>
    <row r="1" spans="1:57" ht="13.5" customHeight="1" thickBot="1" x14ac:dyDescent="0.3">
      <c r="A1" s="293" t="s">
        <v>6</v>
      </c>
      <c r="B1" s="293" t="s">
        <v>7</v>
      </c>
      <c r="C1" s="293" t="s">
        <v>44</v>
      </c>
      <c r="D1" s="293" t="s">
        <v>0</v>
      </c>
      <c r="E1" s="291" t="s">
        <v>39</v>
      </c>
      <c r="F1" s="34" t="s">
        <v>195</v>
      </c>
      <c r="G1" s="38" t="str">
        <f>VLOOKUP(WEEKDAY(G2)-1,Thedays,2)</f>
        <v>W</v>
      </c>
      <c r="H1" s="38" t="str">
        <f t="shared" ref="H1:AD1" si="0">VLOOKUP(WEEKDAY(H2)-1,Thedays,2)</f>
        <v>F</v>
      </c>
      <c r="I1" s="38" t="str">
        <f t="shared" si="0"/>
        <v>M</v>
      </c>
      <c r="J1" s="38" t="str">
        <f t="shared" si="0"/>
        <v>W</v>
      </c>
      <c r="K1" s="127" t="str">
        <f t="shared" si="0"/>
        <v>F</v>
      </c>
      <c r="L1" s="38" t="str">
        <f t="shared" si="0"/>
        <v>M</v>
      </c>
      <c r="M1" s="38" t="str">
        <f t="shared" si="0"/>
        <v>W</v>
      </c>
      <c r="N1" s="38" t="str">
        <f t="shared" si="0"/>
        <v>F</v>
      </c>
      <c r="O1" s="38" t="str">
        <f t="shared" si="0"/>
        <v>M</v>
      </c>
      <c r="P1" s="38" t="str">
        <f t="shared" si="0"/>
        <v>W</v>
      </c>
      <c r="Q1" s="38" t="str">
        <f t="shared" si="0"/>
        <v>F</v>
      </c>
      <c r="R1" s="38" t="str">
        <f t="shared" si="0"/>
        <v>M</v>
      </c>
      <c r="S1" s="38" t="str">
        <f t="shared" si="0"/>
        <v>W</v>
      </c>
      <c r="T1" s="38" t="str">
        <f t="shared" si="0"/>
        <v>F</v>
      </c>
      <c r="U1" s="38" t="str">
        <f t="shared" si="0"/>
        <v>M</v>
      </c>
      <c r="V1" s="38" t="str">
        <f t="shared" si="0"/>
        <v>W</v>
      </c>
      <c r="W1" s="38" t="str">
        <f t="shared" si="0"/>
        <v>F</v>
      </c>
      <c r="X1" s="38" t="str">
        <f t="shared" si="0"/>
        <v>M</v>
      </c>
      <c r="Y1" s="38" t="str">
        <f t="shared" si="0"/>
        <v>W</v>
      </c>
      <c r="Z1" s="38" t="str">
        <f t="shared" si="0"/>
        <v>F</v>
      </c>
      <c r="AA1" s="38" t="str">
        <f t="shared" si="0"/>
        <v>M</v>
      </c>
      <c r="AB1" s="38" t="str">
        <f t="shared" si="0"/>
        <v>W</v>
      </c>
      <c r="AC1" s="38" t="str">
        <f t="shared" si="0"/>
        <v>F</v>
      </c>
      <c r="AD1" s="38" t="str">
        <f t="shared" si="0"/>
        <v>M</v>
      </c>
      <c r="AE1" s="38" t="str">
        <f t="shared" ref="AE1:BE1" si="1">VLOOKUP(WEEKDAY(AE2)-1,Thedays,2)</f>
        <v>W</v>
      </c>
      <c r="AF1" s="38" t="str">
        <f t="shared" si="1"/>
        <v>F</v>
      </c>
      <c r="AG1" s="38" t="str">
        <f t="shared" si="1"/>
        <v>M</v>
      </c>
      <c r="AH1" s="38" t="str">
        <f t="shared" si="1"/>
        <v>W</v>
      </c>
      <c r="AI1" s="38" t="str">
        <f t="shared" si="1"/>
        <v>F</v>
      </c>
      <c r="AJ1" s="38" t="str">
        <f t="shared" si="1"/>
        <v>M</v>
      </c>
      <c r="AK1" s="38" t="str">
        <f t="shared" si="1"/>
        <v>W</v>
      </c>
      <c r="AL1" s="38" t="str">
        <f t="shared" si="1"/>
        <v>F</v>
      </c>
      <c r="AM1" s="38" t="str">
        <f t="shared" si="1"/>
        <v>M</v>
      </c>
      <c r="AN1" s="38" t="str">
        <f t="shared" si="1"/>
        <v>W</v>
      </c>
      <c r="AO1" s="38" t="str">
        <f t="shared" si="1"/>
        <v>F</v>
      </c>
      <c r="AP1" s="38" t="str">
        <f t="shared" si="1"/>
        <v>M</v>
      </c>
      <c r="AQ1" s="38" t="str">
        <f t="shared" si="1"/>
        <v>W</v>
      </c>
      <c r="AR1" s="38" t="str">
        <f t="shared" si="1"/>
        <v>F</v>
      </c>
      <c r="AS1" s="38" t="str">
        <f t="shared" si="1"/>
        <v>M</v>
      </c>
      <c r="AT1" s="38" t="str">
        <f t="shared" si="1"/>
        <v>W</v>
      </c>
      <c r="AU1" s="38" t="str">
        <f t="shared" si="1"/>
        <v>F</v>
      </c>
      <c r="AV1" s="38" t="str">
        <f t="shared" si="1"/>
        <v>M</v>
      </c>
      <c r="AW1" s="38" t="str">
        <f t="shared" si="1"/>
        <v>W</v>
      </c>
      <c r="AX1" s="38" t="str">
        <f t="shared" si="1"/>
        <v>F</v>
      </c>
      <c r="AY1" s="38" t="str">
        <f t="shared" si="1"/>
        <v>M</v>
      </c>
      <c r="AZ1" s="38" t="str">
        <f t="shared" si="1"/>
        <v>W</v>
      </c>
      <c r="BA1" s="38" t="str">
        <f t="shared" si="1"/>
        <v>F</v>
      </c>
      <c r="BB1" s="38" t="str">
        <f t="shared" si="1"/>
        <v>M</v>
      </c>
      <c r="BC1" s="38" t="str">
        <f t="shared" si="1"/>
        <v>W</v>
      </c>
      <c r="BD1" s="38" t="str">
        <f t="shared" si="1"/>
        <v>F</v>
      </c>
      <c r="BE1" s="38" t="str">
        <f t="shared" si="1"/>
        <v>M</v>
      </c>
    </row>
    <row r="2" spans="1:57" s="71" customFormat="1" ht="29.25" customHeight="1" thickBot="1" x14ac:dyDescent="0.3">
      <c r="A2" s="294"/>
      <c r="B2" s="294"/>
      <c r="C2" s="294"/>
      <c r="D2" s="294"/>
      <c r="E2" s="292"/>
      <c r="F2" s="69">
        <v>38005</v>
      </c>
      <c r="G2" s="70">
        <v>38007</v>
      </c>
      <c r="H2" s="70">
        <f>F2+4</f>
        <v>38009</v>
      </c>
      <c r="I2" s="70">
        <f>H2+3</f>
        <v>38012</v>
      </c>
      <c r="J2" s="70">
        <f>I2+2</f>
        <v>38014</v>
      </c>
      <c r="K2" s="70">
        <f>I2+4</f>
        <v>38016</v>
      </c>
      <c r="L2" s="70">
        <f>K2+3</f>
        <v>38019</v>
      </c>
      <c r="M2" s="70">
        <f>L2+2</f>
        <v>38021</v>
      </c>
      <c r="N2" s="70">
        <f>L2+4</f>
        <v>38023</v>
      </c>
      <c r="O2" s="70">
        <f>N2+3</f>
        <v>38026</v>
      </c>
      <c r="P2" s="70">
        <f>O2+2</f>
        <v>38028</v>
      </c>
      <c r="Q2" s="70">
        <f>O2+4</f>
        <v>38030</v>
      </c>
      <c r="R2" s="154">
        <f>Q2+3</f>
        <v>38033</v>
      </c>
      <c r="S2" s="70">
        <f>R2+2</f>
        <v>38035</v>
      </c>
      <c r="T2" s="70">
        <f>R2+4</f>
        <v>38037</v>
      </c>
      <c r="U2" s="70">
        <f>T2+3</f>
        <v>38040</v>
      </c>
      <c r="V2" s="70">
        <f>U2+2</f>
        <v>38042</v>
      </c>
      <c r="W2" s="70">
        <f>U2+4</f>
        <v>38044</v>
      </c>
      <c r="X2" s="70">
        <f>W2+3</f>
        <v>38047</v>
      </c>
      <c r="Y2" s="70">
        <f>X2+2</f>
        <v>38049</v>
      </c>
      <c r="Z2" s="70">
        <f>X2+4</f>
        <v>38051</v>
      </c>
      <c r="AA2" s="70">
        <f>Z2+3</f>
        <v>38054</v>
      </c>
      <c r="AB2" s="70">
        <f>AA2+2</f>
        <v>38056</v>
      </c>
      <c r="AC2" s="70">
        <f>AA2+4</f>
        <v>38058</v>
      </c>
      <c r="AD2" s="70">
        <f>AC2+3</f>
        <v>38061</v>
      </c>
      <c r="AE2" s="70">
        <f>AD2+2</f>
        <v>38063</v>
      </c>
      <c r="AF2" s="70">
        <f>AD2+4</f>
        <v>38065</v>
      </c>
      <c r="AG2" s="70">
        <f>AF2+3</f>
        <v>38068</v>
      </c>
      <c r="AH2" s="70">
        <f>AG2+2</f>
        <v>38070</v>
      </c>
      <c r="AI2" s="70">
        <f>AG2+4</f>
        <v>38072</v>
      </c>
      <c r="AJ2" s="70">
        <f>AI2+3</f>
        <v>38075</v>
      </c>
      <c r="AK2" s="70">
        <f>AJ2+2</f>
        <v>38077</v>
      </c>
      <c r="AL2" s="70">
        <f>AJ2+4</f>
        <v>38079</v>
      </c>
      <c r="AM2" s="70">
        <f>AL2+3</f>
        <v>38082</v>
      </c>
      <c r="AN2" s="70">
        <f>AM2+2</f>
        <v>38084</v>
      </c>
      <c r="AO2" s="70">
        <f>AM2+4</f>
        <v>38086</v>
      </c>
      <c r="AP2" s="70">
        <f>AO2+3</f>
        <v>38089</v>
      </c>
      <c r="AQ2" s="70">
        <f>AP2+2</f>
        <v>38091</v>
      </c>
      <c r="AR2" s="70">
        <f>AP2+4</f>
        <v>38093</v>
      </c>
      <c r="AS2" s="70">
        <f>AR2+3</f>
        <v>38096</v>
      </c>
      <c r="AT2" s="70">
        <f>AS2+2</f>
        <v>38098</v>
      </c>
      <c r="AU2" s="70">
        <f>AS2+4</f>
        <v>38100</v>
      </c>
      <c r="AV2" s="70">
        <f>AU2+3</f>
        <v>38103</v>
      </c>
      <c r="AW2" s="70">
        <f>AV2+2</f>
        <v>38105</v>
      </c>
      <c r="AX2" s="70">
        <f>AV2+4</f>
        <v>38107</v>
      </c>
      <c r="AY2" s="70">
        <f>AX2+3</f>
        <v>38110</v>
      </c>
      <c r="AZ2" s="70">
        <f>AY2+2</f>
        <v>38112</v>
      </c>
      <c r="BA2" s="70">
        <f>AY2+4</f>
        <v>38114</v>
      </c>
      <c r="BB2" s="70">
        <f>BA2+3</f>
        <v>38117</v>
      </c>
      <c r="BC2" s="70">
        <f>BB2+2</f>
        <v>38119</v>
      </c>
      <c r="BD2" s="70">
        <f>BB2+4</f>
        <v>38121</v>
      </c>
      <c r="BE2" s="70">
        <f>BD2+3</f>
        <v>38124</v>
      </c>
    </row>
    <row r="3" spans="1:57" s="176" customFormat="1" ht="20.149999999999999" customHeight="1" x14ac:dyDescent="0.25">
      <c r="A3" s="170" t="s">
        <v>45</v>
      </c>
      <c r="B3" s="171" t="s">
        <v>46</v>
      </c>
      <c r="C3" s="172" t="s">
        <v>47</v>
      </c>
      <c r="D3" s="173" t="s">
        <v>48</v>
      </c>
      <c r="E3" s="171">
        <v>601723041</v>
      </c>
      <c r="F3" s="173" t="str">
        <f>RIGHT(E3,5)</f>
        <v>23041</v>
      </c>
      <c r="G3" s="174">
        <v>1</v>
      </c>
      <c r="H3" s="174">
        <v>1</v>
      </c>
      <c r="I3" s="174">
        <v>1</v>
      </c>
      <c r="J3" s="174">
        <v>1</v>
      </c>
      <c r="K3" s="194">
        <v>1</v>
      </c>
      <c r="L3" s="174">
        <v>1</v>
      </c>
      <c r="M3" s="174">
        <v>1</v>
      </c>
      <c r="N3" s="174">
        <v>1</v>
      </c>
      <c r="O3" s="174">
        <v>1</v>
      </c>
      <c r="P3" s="174">
        <v>1</v>
      </c>
      <c r="Q3" s="174">
        <v>1</v>
      </c>
      <c r="R3" s="288" t="s">
        <v>196</v>
      </c>
      <c r="S3" s="174">
        <v>1</v>
      </c>
      <c r="T3" s="174">
        <v>0</v>
      </c>
      <c r="U3" s="174">
        <v>0</v>
      </c>
      <c r="V3" s="174">
        <v>1</v>
      </c>
      <c r="W3" s="174">
        <v>0</v>
      </c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4"/>
      <c r="AQ3" s="174"/>
      <c r="AR3" s="174"/>
      <c r="AS3" s="174"/>
      <c r="AT3" s="174"/>
      <c r="AU3" s="174"/>
      <c r="AV3" s="174"/>
      <c r="AW3" s="174"/>
      <c r="AX3" s="174"/>
      <c r="AY3" s="174"/>
      <c r="AZ3" s="174"/>
      <c r="BA3" s="174"/>
      <c r="BB3" s="174"/>
      <c r="BC3" s="174"/>
      <c r="BD3" s="174"/>
      <c r="BE3" s="175"/>
    </row>
    <row r="4" spans="1:57" s="40" customFormat="1" ht="20.149999999999999" customHeight="1" x14ac:dyDescent="0.25">
      <c r="A4" s="28" t="s">
        <v>49</v>
      </c>
      <c r="B4" s="28" t="s">
        <v>50</v>
      </c>
      <c r="C4" s="29"/>
      <c r="D4" s="30" t="s">
        <v>51</v>
      </c>
      <c r="E4" s="28">
        <v>612328800</v>
      </c>
      <c r="F4" s="72" t="str">
        <f t="shared" ref="F4:F26" si="2">RIGHT(E4,5)</f>
        <v>28800</v>
      </c>
      <c r="G4" s="41">
        <v>1</v>
      </c>
      <c r="H4" s="41">
        <v>1</v>
      </c>
      <c r="I4" s="28">
        <v>1</v>
      </c>
      <c r="J4" s="28">
        <v>1</v>
      </c>
      <c r="K4" s="191">
        <v>1</v>
      </c>
      <c r="L4" s="28">
        <v>1</v>
      </c>
      <c r="M4" s="28">
        <v>1</v>
      </c>
      <c r="N4" s="28">
        <v>1</v>
      </c>
      <c r="O4" s="28">
        <v>1</v>
      </c>
      <c r="P4" s="28">
        <v>1</v>
      </c>
      <c r="Q4" s="28">
        <v>1</v>
      </c>
      <c r="R4" s="289"/>
      <c r="S4" s="28">
        <v>1</v>
      </c>
      <c r="T4" s="28">
        <v>1</v>
      </c>
      <c r="U4" s="28">
        <v>1</v>
      </c>
      <c r="V4" s="28">
        <v>1</v>
      </c>
      <c r="W4" s="28">
        <v>1</v>
      </c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9"/>
    </row>
    <row r="5" spans="1:57" s="40" customFormat="1" ht="20.149999999999999" customHeight="1" x14ac:dyDescent="0.25">
      <c r="A5" s="28" t="s">
        <v>49</v>
      </c>
      <c r="B5" s="28" t="s">
        <v>50</v>
      </c>
      <c r="C5" s="29" t="s">
        <v>52</v>
      </c>
      <c r="D5" s="30" t="s">
        <v>53</v>
      </c>
      <c r="E5" s="28">
        <v>466951753</v>
      </c>
      <c r="F5" s="72" t="str">
        <f t="shared" si="2"/>
        <v>51753</v>
      </c>
      <c r="G5" s="41">
        <v>1</v>
      </c>
      <c r="H5" s="41">
        <v>1</v>
      </c>
      <c r="I5" s="28">
        <v>1</v>
      </c>
      <c r="J5" s="28">
        <v>1</v>
      </c>
      <c r="K5" s="191">
        <v>1</v>
      </c>
      <c r="L5" s="28">
        <v>1</v>
      </c>
      <c r="M5" s="28">
        <v>1</v>
      </c>
      <c r="N5" s="28">
        <v>1</v>
      </c>
      <c r="O5" s="28">
        <v>1</v>
      </c>
      <c r="P5" s="28">
        <v>1</v>
      </c>
      <c r="Q5" s="28">
        <v>1</v>
      </c>
      <c r="R5" s="289"/>
      <c r="S5" s="28">
        <v>1</v>
      </c>
      <c r="T5" s="28">
        <v>1</v>
      </c>
      <c r="U5" s="28">
        <v>1</v>
      </c>
      <c r="V5" s="28">
        <v>1</v>
      </c>
      <c r="W5" s="28">
        <v>1</v>
      </c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9"/>
    </row>
    <row r="6" spans="1:57" s="40" customFormat="1" ht="20.149999999999999" customHeight="1" x14ac:dyDescent="0.25">
      <c r="A6" s="28" t="s">
        <v>54</v>
      </c>
      <c r="B6" s="28" t="s">
        <v>55</v>
      </c>
      <c r="C6" s="29" t="s">
        <v>56</v>
      </c>
      <c r="D6" s="30" t="s">
        <v>57</v>
      </c>
      <c r="E6" s="28">
        <v>539864389</v>
      </c>
      <c r="F6" s="72" t="str">
        <f t="shared" si="2"/>
        <v>64389</v>
      </c>
      <c r="G6" s="41">
        <v>1</v>
      </c>
      <c r="H6" s="41">
        <v>1</v>
      </c>
      <c r="I6" s="28">
        <v>1</v>
      </c>
      <c r="J6" s="28">
        <v>1</v>
      </c>
      <c r="K6" s="191">
        <v>1</v>
      </c>
      <c r="L6" s="28">
        <v>1</v>
      </c>
      <c r="M6" s="28">
        <v>1</v>
      </c>
      <c r="N6" s="28">
        <v>1</v>
      </c>
      <c r="O6" s="28">
        <v>1</v>
      </c>
      <c r="P6" s="28">
        <v>1</v>
      </c>
      <c r="Q6" s="28">
        <v>1</v>
      </c>
      <c r="R6" s="289"/>
      <c r="S6" s="28">
        <v>1</v>
      </c>
      <c r="T6" s="28">
        <v>1</v>
      </c>
      <c r="U6" s="28">
        <v>1</v>
      </c>
      <c r="V6" s="28">
        <v>1</v>
      </c>
      <c r="W6" s="28">
        <v>1</v>
      </c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9"/>
    </row>
    <row r="7" spans="1:57" s="176" customFormat="1" ht="20.149999999999999" customHeight="1" x14ac:dyDescent="0.25">
      <c r="A7" s="177" t="s">
        <v>58</v>
      </c>
      <c r="B7" s="177" t="s">
        <v>59</v>
      </c>
      <c r="C7" s="178" t="s">
        <v>60</v>
      </c>
      <c r="D7" s="179" t="s">
        <v>61</v>
      </c>
      <c r="E7" s="177">
        <v>281748010</v>
      </c>
      <c r="F7" s="173" t="str">
        <f t="shared" si="2"/>
        <v>48010</v>
      </c>
      <c r="G7" s="177">
        <v>1</v>
      </c>
      <c r="H7" s="177">
        <v>1</v>
      </c>
      <c r="I7" s="177">
        <v>1</v>
      </c>
      <c r="J7" s="177">
        <v>1</v>
      </c>
      <c r="K7" s="195">
        <v>1</v>
      </c>
      <c r="L7" s="177">
        <v>1</v>
      </c>
      <c r="M7" s="177">
        <v>1</v>
      </c>
      <c r="N7" s="177">
        <v>1</v>
      </c>
      <c r="O7" s="177">
        <v>1</v>
      </c>
      <c r="P7" s="177">
        <v>1</v>
      </c>
      <c r="Q7" s="177">
        <v>1</v>
      </c>
      <c r="R7" s="289"/>
      <c r="S7" s="177">
        <v>0</v>
      </c>
      <c r="T7" s="177">
        <v>1</v>
      </c>
      <c r="U7" s="177">
        <v>0</v>
      </c>
      <c r="V7" s="177">
        <v>1</v>
      </c>
      <c r="W7" s="177">
        <v>1</v>
      </c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7"/>
      <c r="AK7" s="177"/>
      <c r="AL7" s="177"/>
      <c r="AM7" s="177"/>
      <c r="AN7" s="177"/>
      <c r="AO7" s="177"/>
      <c r="AP7" s="177"/>
      <c r="AQ7" s="177"/>
      <c r="AR7" s="177"/>
      <c r="AS7" s="177"/>
      <c r="AT7" s="177"/>
      <c r="AU7" s="177"/>
      <c r="AV7" s="177"/>
      <c r="AW7" s="177"/>
      <c r="AX7" s="177"/>
      <c r="AY7" s="177"/>
      <c r="AZ7" s="177"/>
      <c r="BA7" s="177"/>
      <c r="BB7" s="177"/>
      <c r="BC7" s="177"/>
      <c r="BD7" s="177"/>
      <c r="BE7" s="178"/>
    </row>
    <row r="8" spans="1:57" s="40" customFormat="1" ht="20.149999999999999" customHeight="1" x14ac:dyDescent="0.25">
      <c r="A8" s="28" t="s">
        <v>62</v>
      </c>
      <c r="B8" s="28" t="s">
        <v>63</v>
      </c>
      <c r="C8" s="29" t="s">
        <v>64</v>
      </c>
      <c r="D8" s="30" t="s">
        <v>65</v>
      </c>
      <c r="E8" s="28">
        <v>600866477</v>
      </c>
      <c r="F8" s="72" t="str">
        <f t="shared" si="2"/>
        <v>66477</v>
      </c>
      <c r="G8" s="41">
        <v>1</v>
      </c>
      <c r="H8" s="41">
        <v>1</v>
      </c>
      <c r="I8" s="28">
        <v>1</v>
      </c>
      <c r="J8" s="28">
        <v>1</v>
      </c>
      <c r="K8" s="191">
        <v>1</v>
      </c>
      <c r="L8" s="28">
        <v>1</v>
      </c>
      <c r="M8" s="28">
        <v>1</v>
      </c>
      <c r="N8" s="28">
        <v>1</v>
      </c>
      <c r="O8" s="28">
        <v>1</v>
      </c>
      <c r="P8" s="28">
        <v>1</v>
      </c>
      <c r="Q8" s="28">
        <v>1</v>
      </c>
      <c r="R8" s="289"/>
      <c r="S8" s="28">
        <v>1</v>
      </c>
      <c r="T8" s="28">
        <v>1</v>
      </c>
      <c r="U8" s="28">
        <v>1</v>
      </c>
      <c r="V8" s="28">
        <v>1</v>
      </c>
      <c r="W8" s="28">
        <v>1</v>
      </c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9"/>
    </row>
    <row r="9" spans="1:57" s="176" customFormat="1" ht="20.149999999999999" customHeight="1" thickBot="1" x14ac:dyDescent="0.3">
      <c r="A9" s="177" t="s">
        <v>66</v>
      </c>
      <c r="B9" s="177" t="s">
        <v>67</v>
      </c>
      <c r="C9" s="178" t="s">
        <v>52</v>
      </c>
      <c r="D9" s="179" t="s">
        <v>68</v>
      </c>
      <c r="E9" s="177">
        <v>152882483</v>
      </c>
      <c r="F9" s="173" t="str">
        <f t="shared" si="2"/>
        <v>82483</v>
      </c>
      <c r="G9" s="177">
        <v>1</v>
      </c>
      <c r="H9" s="177">
        <v>1</v>
      </c>
      <c r="I9" s="177">
        <v>1</v>
      </c>
      <c r="J9" s="177">
        <v>1</v>
      </c>
      <c r="K9" s="171">
        <v>1</v>
      </c>
      <c r="L9" s="177">
        <v>1</v>
      </c>
      <c r="M9" s="177">
        <v>1</v>
      </c>
      <c r="N9" s="177">
        <v>0</v>
      </c>
      <c r="O9" s="177">
        <v>0</v>
      </c>
      <c r="P9" s="177">
        <v>1</v>
      </c>
      <c r="Q9" s="177">
        <v>0</v>
      </c>
      <c r="R9" s="289"/>
      <c r="S9" s="177">
        <v>0</v>
      </c>
      <c r="T9" s="177">
        <v>1</v>
      </c>
      <c r="U9" s="177">
        <v>1</v>
      </c>
      <c r="V9" s="177">
        <v>1</v>
      </c>
      <c r="W9" s="177">
        <v>1</v>
      </c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177"/>
      <c r="AY9" s="177"/>
      <c r="AZ9" s="177"/>
      <c r="BA9" s="177"/>
      <c r="BB9" s="177"/>
      <c r="BC9" s="177"/>
      <c r="BD9" s="177"/>
      <c r="BE9" s="178"/>
    </row>
    <row r="10" spans="1:57" s="169" customFormat="1" ht="20.149999999999999" customHeight="1" thickBot="1" x14ac:dyDescent="0.3">
      <c r="A10" s="161" t="s">
        <v>69</v>
      </c>
      <c r="B10" s="161" t="s">
        <v>70</v>
      </c>
      <c r="C10" s="165" t="s">
        <v>47</v>
      </c>
      <c r="D10" s="167" t="s">
        <v>71</v>
      </c>
      <c r="E10" s="161">
        <v>640106389</v>
      </c>
      <c r="F10" s="168" t="str">
        <f t="shared" si="2"/>
        <v>06389</v>
      </c>
      <c r="G10" s="161">
        <v>1</v>
      </c>
      <c r="H10" s="161">
        <v>1</v>
      </c>
      <c r="I10" s="161">
        <v>0</v>
      </c>
      <c r="J10" s="161">
        <v>1</v>
      </c>
      <c r="K10" s="164">
        <v>0</v>
      </c>
      <c r="L10" s="161">
        <v>0</v>
      </c>
      <c r="M10" s="161">
        <v>0</v>
      </c>
      <c r="N10" s="161">
        <v>0</v>
      </c>
      <c r="O10" s="161">
        <v>0</v>
      </c>
      <c r="P10" s="161">
        <v>0</v>
      </c>
      <c r="Q10" s="161">
        <v>0</v>
      </c>
      <c r="R10" s="289"/>
      <c r="S10" s="161">
        <v>0</v>
      </c>
      <c r="T10" s="161">
        <v>0</v>
      </c>
      <c r="U10" s="161">
        <v>0</v>
      </c>
      <c r="V10" s="161">
        <v>0</v>
      </c>
      <c r="W10" s="161">
        <v>0</v>
      </c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1"/>
      <c r="BD10" s="161"/>
      <c r="BE10" s="165"/>
    </row>
    <row r="11" spans="1:57" s="40" customFormat="1" ht="20.149999999999999" customHeight="1" thickBot="1" x14ac:dyDescent="0.3">
      <c r="A11" s="28" t="s">
        <v>72</v>
      </c>
      <c r="B11" s="28" t="s">
        <v>73</v>
      </c>
      <c r="C11" s="29" t="s">
        <v>74</v>
      </c>
      <c r="D11" s="30" t="s">
        <v>75</v>
      </c>
      <c r="E11" s="28">
        <v>602368798</v>
      </c>
      <c r="F11" s="72" t="str">
        <f t="shared" si="2"/>
        <v>68798</v>
      </c>
      <c r="G11" s="41">
        <v>1</v>
      </c>
      <c r="H11" s="41">
        <v>1</v>
      </c>
      <c r="I11" s="28">
        <v>1</v>
      </c>
      <c r="J11" s="28">
        <v>1</v>
      </c>
      <c r="K11" s="188">
        <v>1</v>
      </c>
      <c r="L11" s="28">
        <v>1</v>
      </c>
      <c r="M11" s="28">
        <v>1</v>
      </c>
      <c r="N11" s="28">
        <v>1</v>
      </c>
      <c r="O11" s="28">
        <v>1</v>
      </c>
      <c r="P11" s="28">
        <v>1</v>
      </c>
      <c r="Q11" s="28">
        <v>1</v>
      </c>
      <c r="R11" s="289"/>
      <c r="S11" s="28">
        <v>1</v>
      </c>
      <c r="T11" s="28">
        <v>1</v>
      </c>
      <c r="U11" s="28">
        <v>1</v>
      </c>
      <c r="V11" s="28">
        <v>1</v>
      </c>
      <c r="W11" s="28">
        <v>1</v>
      </c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9"/>
    </row>
    <row r="12" spans="1:57" s="40" customFormat="1" ht="20.149999999999999" customHeight="1" x14ac:dyDescent="0.25">
      <c r="A12" s="28" t="s">
        <v>76</v>
      </c>
      <c r="B12" s="28" t="s">
        <v>77</v>
      </c>
      <c r="C12" s="29" t="s">
        <v>78</v>
      </c>
      <c r="D12" s="30" t="s">
        <v>79</v>
      </c>
      <c r="E12" s="28">
        <v>765123703</v>
      </c>
      <c r="F12" s="72" t="str">
        <f t="shared" si="2"/>
        <v>23703</v>
      </c>
      <c r="G12" s="41">
        <v>1</v>
      </c>
      <c r="H12" s="41">
        <v>1</v>
      </c>
      <c r="I12" s="189">
        <v>1</v>
      </c>
      <c r="J12" s="189">
        <v>1</v>
      </c>
      <c r="K12" s="190">
        <v>1</v>
      </c>
      <c r="L12" s="189">
        <v>1</v>
      </c>
      <c r="M12" s="28">
        <v>1</v>
      </c>
      <c r="N12" s="28">
        <v>1</v>
      </c>
      <c r="O12" s="28">
        <v>1</v>
      </c>
      <c r="P12" s="28">
        <v>1</v>
      </c>
      <c r="Q12" s="28">
        <v>1</v>
      </c>
      <c r="R12" s="289"/>
      <c r="S12" s="28">
        <v>1</v>
      </c>
      <c r="T12" s="28">
        <v>1</v>
      </c>
      <c r="U12" s="28">
        <v>1</v>
      </c>
      <c r="V12" s="28">
        <v>1</v>
      </c>
      <c r="W12" s="28">
        <v>1</v>
      </c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9"/>
    </row>
    <row r="13" spans="1:57" s="40" customFormat="1" ht="20.149999999999999" customHeight="1" x14ac:dyDescent="0.25">
      <c r="A13" s="28" t="s">
        <v>12</v>
      </c>
      <c r="B13" s="28" t="s">
        <v>80</v>
      </c>
      <c r="C13" s="29" t="s">
        <v>81</v>
      </c>
      <c r="D13" s="30" t="s">
        <v>82</v>
      </c>
      <c r="E13" s="28">
        <v>600222042</v>
      </c>
      <c r="F13" s="72" t="str">
        <f t="shared" si="2"/>
        <v>22042</v>
      </c>
      <c r="G13" s="41">
        <v>1</v>
      </c>
      <c r="H13" s="41">
        <v>1</v>
      </c>
      <c r="I13" s="28">
        <v>1</v>
      </c>
      <c r="J13" s="28">
        <v>1</v>
      </c>
      <c r="K13" s="191">
        <v>1</v>
      </c>
      <c r="L13" s="28">
        <v>1</v>
      </c>
      <c r="M13" s="28">
        <v>1</v>
      </c>
      <c r="N13" s="28">
        <v>1</v>
      </c>
      <c r="O13" s="28">
        <v>1</v>
      </c>
      <c r="P13" s="28">
        <v>1</v>
      </c>
      <c r="Q13" s="28">
        <v>1</v>
      </c>
      <c r="R13" s="289"/>
      <c r="S13" s="28">
        <v>1</v>
      </c>
      <c r="T13" s="28">
        <v>1</v>
      </c>
      <c r="U13" s="28">
        <v>0</v>
      </c>
      <c r="V13" s="28">
        <v>0</v>
      </c>
      <c r="W13" s="28">
        <v>1</v>
      </c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9"/>
    </row>
    <row r="14" spans="1:57" s="169" customFormat="1" ht="20.149999999999999" customHeight="1" x14ac:dyDescent="0.25">
      <c r="A14" s="161" t="s">
        <v>83</v>
      </c>
      <c r="B14" s="161" t="s">
        <v>84</v>
      </c>
      <c r="C14" s="165"/>
      <c r="D14" s="167" t="s">
        <v>85</v>
      </c>
      <c r="E14" s="161">
        <v>467533557</v>
      </c>
      <c r="F14" s="168" t="str">
        <f t="shared" si="2"/>
        <v>33557</v>
      </c>
      <c r="G14" s="161"/>
      <c r="H14" s="161"/>
      <c r="I14" s="161">
        <v>1</v>
      </c>
      <c r="J14" s="161">
        <v>0</v>
      </c>
      <c r="K14" s="161">
        <v>0</v>
      </c>
      <c r="L14" s="161">
        <v>0</v>
      </c>
      <c r="M14" s="161">
        <v>0</v>
      </c>
      <c r="N14" s="161">
        <v>0</v>
      </c>
      <c r="O14" s="161">
        <v>0</v>
      </c>
      <c r="P14" s="161">
        <v>0</v>
      </c>
      <c r="Q14" s="161">
        <v>0</v>
      </c>
      <c r="R14" s="289"/>
      <c r="S14" s="161">
        <v>0</v>
      </c>
      <c r="T14" s="161">
        <v>0</v>
      </c>
      <c r="U14" s="161">
        <v>0</v>
      </c>
      <c r="V14" s="161">
        <v>0</v>
      </c>
      <c r="W14" s="161">
        <v>0</v>
      </c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5"/>
    </row>
    <row r="15" spans="1:57" s="176" customFormat="1" ht="20.149999999999999" customHeight="1" x14ac:dyDescent="0.25">
      <c r="A15" s="177" t="s">
        <v>83</v>
      </c>
      <c r="B15" s="177" t="s">
        <v>9</v>
      </c>
      <c r="C15" s="178" t="s">
        <v>5</v>
      </c>
      <c r="D15" s="179" t="s">
        <v>86</v>
      </c>
      <c r="E15" s="177">
        <v>600156978</v>
      </c>
      <c r="F15" s="173" t="str">
        <f t="shared" si="2"/>
        <v>56978</v>
      </c>
      <c r="G15" s="177">
        <v>1</v>
      </c>
      <c r="H15" s="177">
        <v>1</v>
      </c>
      <c r="I15" s="177">
        <v>0</v>
      </c>
      <c r="J15" s="177">
        <v>0</v>
      </c>
      <c r="K15" s="177">
        <v>1</v>
      </c>
      <c r="L15" s="177">
        <v>0</v>
      </c>
      <c r="M15" s="177">
        <v>1</v>
      </c>
      <c r="N15" s="177">
        <v>1</v>
      </c>
      <c r="O15" s="177">
        <v>0</v>
      </c>
      <c r="P15" s="177">
        <v>1</v>
      </c>
      <c r="Q15" s="177">
        <v>1</v>
      </c>
      <c r="R15" s="289"/>
      <c r="S15" s="177">
        <v>1</v>
      </c>
      <c r="T15" s="177">
        <v>1</v>
      </c>
      <c r="U15" s="177">
        <v>0</v>
      </c>
      <c r="V15" s="177">
        <v>1</v>
      </c>
      <c r="W15" s="177">
        <v>1</v>
      </c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8"/>
    </row>
    <row r="16" spans="1:57" s="40" customFormat="1" ht="20.149999999999999" customHeight="1" x14ac:dyDescent="0.25">
      <c r="A16" s="28" t="s">
        <v>87</v>
      </c>
      <c r="B16" s="28" t="s">
        <v>88</v>
      </c>
      <c r="C16" s="29" t="s">
        <v>89</v>
      </c>
      <c r="D16" s="30" t="s">
        <v>90</v>
      </c>
      <c r="E16" s="28">
        <v>600900482</v>
      </c>
      <c r="F16" s="72" t="str">
        <f t="shared" si="2"/>
        <v>00482</v>
      </c>
      <c r="G16" s="41">
        <v>1</v>
      </c>
      <c r="H16" s="41">
        <v>1</v>
      </c>
      <c r="I16" s="28">
        <v>1</v>
      </c>
      <c r="J16" s="28">
        <v>1</v>
      </c>
      <c r="K16" s="191">
        <v>1</v>
      </c>
      <c r="L16" s="28">
        <v>1</v>
      </c>
      <c r="M16" s="28">
        <v>1</v>
      </c>
      <c r="N16" s="28">
        <v>1</v>
      </c>
      <c r="O16" s="28">
        <v>1</v>
      </c>
      <c r="P16" s="28">
        <v>1</v>
      </c>
      <c r="Q16" s="28">
        <v>1</v>
      </c>
      <c r="R16" s="289"/>
      <c r="S16" s="28">
        <v>1</v>
      </c>
      <c r="T16" s="28">
        <v>1</v>
      </c>
      <c r="U16" s="28">
        <v>0</v>
      </c>
      <c r="V16" s="28">
        <v>1</v>
      </c>
      <c r="W16" s="28">
        <v>1</v>
      </c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9"/>
    </row>
    <row r="17" spans="1:57" s="40" customFormat="1" ht="20.149999999999999" customHeight="1" x14ac:dyDescent="0.25">
      <c r="A17" s="28" t="s">
        <v>91</v>
      </c>
      <c r="B17" s="28" t="s">
        <v>92</v>
      </c>
      <c r="C17" s="29"/>
      <c r="D17" s="30" t="s">
        <v>93</v>
      </c>
      <c r="E17" s="28">
        <v>570891847</v>
      </c>
      <c r="F17" s="72" t="str">
        <f t="shared" si="2"/>
        <v>91847</v>
      </c>
      <c r="G17" s="41">
        <v>1</v>
      </c>
      <c r="H17" s="41">
        <v>1</v>
      </c>
      <c r="I17" s="28">
        <v>1</v>
      </c>
      <c r="J17" s="28">
        <v>1</v>
      </c>
      <c r="K17" s="191">
        <v>1</v>
      </c>
      <c r="L17" s="28">
        <v>1</v>
      </c>
      <c r="M17" s="28">
        <v>1</v>
      </c>
      <c r="N17" s="28">
        <v>1</v>
      </c>
      <c r="O17" s="28">
        <v>1</v>
      </c>
      <c r="P17" s="28">
        <v>1</v>
      </c>
      <c r="Q17" s="28">
        <v>1</v>
      </c>
      <c r="R17" s="289"/>
      <c r="S17" s="28">
        <v>0</v>
      </c>
      <c r="T17" s="28">
        <v>1</v>
      </c>
      <c r="U17" s="28">
        <v>1</v>
      </c>
      <c r="V17" s="28">
        <v>0</v>
      </c>
      <c r="W17" s="28">
        <v>0</v>
      </c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9"/>
    </row>
    <row r="18" spans="1:57" s="169" customFormat="1" ht="20.149999999999999" customHeight="1" x14ac:dyDescent="0.25">
      <c r="A18" s="161" t="s">
        <v>94</v>
      </c>
      <c r="B18" s="161" t="s">
        <v>95</v>
      </c>
      <c r="C18" s="165" t="s">
        <v>96</v>
      </c>
      <c r="D18" s="167" t="s">
        <v>97</v>
      </c>
      <c r="E18" s="161">
        <v>553979675</v>
      </c>
      <c r="F18" s="168" t="str">
        <f t="shared" si="2"/>
        <v>79675</v>
      </c>
      <c r="G18" s="161">
        <v>1</v>
      </c>
      <c r="H18" s="161">
        <v>1</v>
      </c>
      <c r="I18" s="161">
        <v>0</v>
      </c>
      <c r="J18" s="161">
        <v>0</v>
      </c>
      <c r="K18" s="161">
        <v>0</v>
      </c>
      <c r="L18" s="161">
        <v>0</v>
      </c>
      <c r="M18" s="161">
        <v>0</v>
      </c>
      <c r="N18" s="161">
        <v>0</v>
      </c>
      <c r="O18" s="161">
        <v>0</v>
      </c>
      <c r="P18" s="161">
        <v>0</v>
      </c>
      <c r="Q18" s="161">
        <v>0</v>
      </c>
      <c r="R18" s="289"/>
      <c r="S18" s="161">
        <v>0</v>
      </c>
      <c r="T18" s="161">
        <v>0</v>
      </c>
      <c r="U18" s="161">
        <v>0</v>
      </c>
      <c r="V18" s="161">
        <v>0</v>
      </c>
      <c r="W18" s="161">
        <v>0</v>
      </c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/>
      <c r="AS18" s="161"/>
      <c r="AT18" s="161"/>
      <c r="AU18" s="161"/>
      <c r="AV18" s="161"/>
      <c r="AW18" s="161"/>
      <c r="AX18" s="161"/>
      <c r="AY18" s="161"/>
      <c r="AZ18" s="161"/>
      <c r="BA18" s="161"/>
      <c r="BB18" s="161"/>
      <c r="BC18" s="161"/>
      <c r="BD18" s="161"/>
      <c r="BE18" s="165"/>
    </row>
    <row r="19" spans="1:57" s="176" customFormat="1" ht="20.149999999999999" customHeight="1" x14ac:dyDescent="0.25">
      <c r="A19" s="177" t="s">
        <v>98</v>
      </c>
      <c r="B19" s="177" t="s">
        <v>99</v>
      </c>
      <c r="C19" s="178"/>
      <c r="D19" s="179" t="s">
        <v>100</v>
      </c>
      <c r="E19" s="177">
        <v>529855495</v>
      </c>
      <c r="F19" s="173" t="str">
        <f t="shared" si="2"/>
        <v>55495</v>
      </c>
      <c r="G19" s="177">
        <v>1</v>
      </c>
      <c r="H19" s="177">
        <v>1</v>
      </c>
      <c r="I19" s="177">
        <v>0</v>
      </c>
      <c r="J19" s="177">
        <v>0</v>
      </c>
      <c r="K19" s="177">
        <v>1</v>
      </c>
      <c r="L19" s="177">
        <v>1</v>
      </c>
      <c r="M19" s="177">
        <v>1</v>
      </c>
      <c r="N19" s="177">
        <v>1</v>
      </c>
      <c r="O19" s="177">
        <v>1</v>
      </c>
      <c r="P19" s="177">
        <v>1</v>
      </c>
      <c r="Q19" s="177">
        <v>0</v>
      </c>
      <c r="R19" s="289"/>
      <c r="S19" s="177">
        <v>1</v>
      </c>
      <c r="T19" s="177">
        <v>0</v>
      </c>
      <c r="U19" s="177">
        <v>0</v>
      </c>
      <c r="V19" s="177">
        <v>0</v>
      </c>
      <c r="W19" s="177">
        <v>0</v>
      </c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8"/>
    </row>
    <row r="20" spans="1:57" s="40" customFormat="1" ht="20.149999999999999" customHeight="1" x14ac:dyDescent="0.25">
      <c r="A20" s="28" t="s">
        <v>101</v>
      </c>
      <c r="B20" s="28" t="s">
        <v>102</v>
      </c>
      <c r="C20" s="29" t="s">
        <v>47</v>
      </c>
      <c r="D20" s="30" t="s">
        <v>103</v>
      </c>
      <c r="E20" s="28">
        <v>601209443</v>
      </c>
      <c r="F20" s="72" t="str">
        <f t="shared" si="2"/>
        <v>09443</v>
      </c>
      <c r="G20" s="41">
        <v>1</v>
      </c>
      <c r="H20" s="41">
        <v>1</v>
      </c>
      <c r="I20" s="28">
        <v>0</v>
      </c>
      <c r="J20" s="28">
        <v>1</v>
      </c>
      <c r="K20" s="191">
        <v>1</v>
      </c>
      <c r="L20" s="28">
        <v>1</v>
      </c>
      <c r="M20" s="28">
        <v>1</v>
      </c>
      <c r="N20" s="28">
        <v>1</v>
      </c>
      <c r="O20" s="28">
        <v>1</v>
      </c>
      <c r="P20" s="28">
        <v>1</v>
      </c>
      <c r="Q20" s="28">
        <v>1</v>
      </c>
      <c r="R20" s="289"/>
      <c r="S20" s="28">
        <v>0</v>
      </c>
      <c r="T20" s="28">
        <v>1</v>
      </c>
      <c r="U20" s="28">
        <v>1</v>
      </c>
      <c r="V20" s="28">
        <v>1</v>
      </c>
      <c r="W20" s="28">
        <v>1</v>
      </c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9"/>
    </row>
    <row r="21" spans="1:57" s="40" customFormat="1" ht="20.149999999999999" customHeight="1" x14ac:dyDescent="0.25">
      <c r="A21" s="28" t="s">
        <v>104</v>
      </c>
      <c r="B21" s="28" t="s">
        <v>11</v>
      </c>
      <c r="C21" s="29" t="s">
        <v>105</v>
      </c>
      <c r="D21" s="30" t="s">
        <v>106</v>
      </c>
      <c r="E21" s="28">
        <v>600902794</v>
      </c>
      <c r="F21" s="72" t="str">
        <f t="shared" si="2"/>
        <v>02794</v>
      </c>
      <c r="G21" s="41">
        <v>1</v>
      </c>
      <c r="H21" s="41">
        <v>1</v>
      </c>
      <c r="I21" s="28">
        <v>1</v>
      </c>
      <c r="J21" s="28">
        <v>1</v>
      </c>
      <c r="K21" s="191">
        <v>1</v>
      </c>
      <c r="L21" s="28">
        <v>1</v>
      </c>
      <c r="M21" s="28">
        <v>1</v>
      </c>
      <c r="N21" s="28">
        <v>0</v>
      </c>
      <c r="O21" s="28">
        <v>1</v>
      </c>
      <c r="P21" s="28">
        <v>1</v>
      </c>
      <c r="Q21" s="28">
        <v>0</v>
      </c>
      <c r="R21" s="289"/>
      <c r="S21" s="28">
        <v>1</v>
      </c>
      <c r="T21" s="28">
        <v>1</v>
      </c>
      <c r="U21" s="28">
        <v>1</v>
      </c>
      <c r="V21" s="28">
        <v>1</v>
      </c>
      <c r="W21" s="28">
        <v>1</v>
      </c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9"/>
    </row>
    <row r="22" spans="1:57" s="40" customFormat="1" ht="20.149999999999999" customHeight="1" x14ac:dyDescent="0.25">
      <c r="A22" s="28" t="s">
        <v>107</v>
      </c>
      <c r="B22" s="28" t="s">
        <v>77</v>
      </c>
      <c r="C22" s="29"/>
      <c r="D22" s="30" t="s">
        <v>108</v>
      </c>
      <c r="E22" s="28">
        <v>999025433</v>
      </c>
      <c r="F22" s="72" t="str">
        <f t="shared" si="2"/>
        <v>25433</v>
      </c>
      <c r="G22" s="41">
        <v>1</v>
      </c>
      <c r="H22" s="41">
        <v>1</v>
      </c>
      <c r="I22" s="28">
        <v>1</v>
      </c>
      <c r="J22" s="28">
        <v>1</v>
      </c>
      <c r="K22" s="191">
        <v>1</v>
      </c>
      <c r="L22" s="28">
        <v>1</v>
      </c>
      <c r="M22" s="28">
        <v>1</v>
      </c>
      <c r="N22" s="28">
        <v>1</v>
      </c>
      <c r="O22" s="28">
        <v>1</v>
      </c>
      <c r="P22" s="28">
        <v>0</v>
      </c>
      <c r="Q22" s="28">
        <v>1</v>
      </c>
      <c r="R22" s="289"/>
      <c r="S22" s="28">
        <v>1</v>
      </c>
      <c r="T22" s="28">
        <v>1</v>
      </c>
      <c r="U22" s="28">
        <v>1</v>
      </c>
      <c r="V22" s="28">
        <v>1</v>
      </c>
      <c r="W22" s="28">
        <v>1</v>
      </c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9"/>
    </row>
    <row r="23" spans="1:57" s="40" customFormat="1" ht="20.149999999999999" customHeight="1" x14ac:dyDescent="0.25">
      <c r="A23" s="28" t="s">
        <v>109</v>
      </c>
      <c r="B23" s="28" t="s">
        <v>15</v>
      </c>
      <c r="C23" s="29" t="s">
        <v>110</v>
      </c>
      <c r="D23" s="30" t="s">
        <v>111</v>
      </c>
      <c r="E23" s="28">
        <v>555258641</v>
      </c>
      <c r="F23" s="72" t="str">
        <f t="shared" si="2"/>
        <v>58641</v>
      </c>
      <c r="G23" s="41">
        <v>1</v>
      </c>
      <c r="H23" s="41">
        <v>1</v>
      </c>
      <c r="I23" s="28">
        <v>0</v>
      </c>
      <c r="J23" s="28">
        <v>1</v>
      </c>
      <c r="K23" s="191">
        <v>1</v>
      </c>
      <c r="L23" s="28">
        <v>1</v>
      </c>
      <c r="M23" s="28">
        <v>0</v>
      </c>
      <c r="N23" s="28">
        <v>1</v>
      </c>
      <c r="O23" s="28">
        <v>1</v>
      </c>
      <c r="P23" s="28">
        <v>1</v>
      </c>
      <c r="Q23" s="28">
        <v>1</v>
      </c>
      <c r="R23" s="289"/>
      <c r="S23" s="28">
        <v>1</v>
      </c>
      <c r="T23" s="28">
        <v>1</v>
      </c>
      <c r="U23" s="28">
        <v>1</v>
      </c>
      <c r="V23" s="28">
        <v>1</v>
      </c>
      <c r="W23" s="28">
        <v>1</v>
      </c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9"/>
    </row>
    <row r="24" spans="1:57" s="40" customFormat="1" ht="20.149999999999999" customHeight="1" x14ac:dyDescent="0.25">
      <c r="A24" s="28" t="s">
        <v>112</v>
      </c>
      <c r="B24" s="28" t="s">
        <v>113</v>
      </c>
      <c r="C24" s="29" t="s">
        <v>114</v>
      </c>
      <c r="D24" s="30" t="s">
        <v>115</v>
      </c>
      <c r="E24" s="28">
        <v>52757573</v>
      </c>
      <c r="F24" s="72" t="str">
        <f t="shared" si="2"/>
        <v>57573</v>
      </c>
      <c r="G24" s="41">
        <v>1</v>
      </c>
      <c r="H24" s="41">
        <v>1</v>
      </c>
      <c r="I24" s="28">
        <v>1</v>
      </c>
      <c r="J24" s="28">
        <v>1</v>
      </c>
      <c r="K24" s="191">
        <v>1</v>
      </c>
      <c r="L24" s="28">
        <v>1</v>
      </c>
      <c r="M24" s="28">
        <v>1</v>
      </c>
      <c r="N24" s="28">
        <v>1</v>
      </c>
      <c r="O24" s="28">
        <v>1</v>
      </c>
      <c r="P24" s="28">
        <v>1</v>
      </c>
      <c r="Q24" s="28">
        <v>1</v>
      </c>
      <c r="R24" s="289"/>
      <c r="S24" s="28">
        <v>1</v>
      </c>
      <c r="T24" s="28">
        <v>1</v>
      </c>
      <c r="U24" s="28">
        <v>0</v>
      </c>
      <c r="V24" s="28">
        <v>1</v>
      </c>
      <c r="W24" s="28">
        <v>1</v>
      </c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9"/>
    </row>
    <row r="25" spans="1:57" s="40" customFormat="1" ht="20.149999999999999" customHeight="1" x14ac:dyDescent="0.25">
      <c r="A25" s="28" t="s">
        <v>116</v>
      </c>
      <c r="B25" s="28" t="s">
        <v>15</v>
      </c>
      <c r="C25" s="29" t="s">
        <v>117</v>
      </c>
      <c r="D25" s="30" t="s">
        <v>118</v>
      </c>
      <c r="E25" s="28">
        <v>600324285</v>
      </c>
      <c r="F25" s="72" t="str">
        <f t="shared" si="2"/>
        <v>24285</v>
      </c>
      <c r="G25" s="41">
        <v>1</v>
      </c>
      <c r="H25" s="41">
        <v>1</v>
      </c>
      <c r="I25" s="28">
        <v>1</v>
      </c>
      <c r="J25" s="28">
        <v>1</v>
      </c>
      <c r="K25" s="191">
        <v>1</v>
      </c>
      <c r="L25" s="28">
        <v>1</v>
      </c>
      <c r="M25" s="28">
        <v>1</v>
      </c>
      <c r="N25" s="28">
        <v>1</v>
      </c>
      <c r="O25" s="28">
        <v>1</v>
      </c>
      <c r="P25" s="28">
        <v>1</v>
      </c>
      <c r="Q25" s="28">
        <v>1</v>
      </c>
      <c r="R25" s="289"/>
      <c r="S25" s="28">
        <v>0</v>
      </c>
      <c r="T25" s="28">
        <v>1</v>
      </c>
      <c r="U25" s="28">
        <v>1</v>
      </c>
      <c r="V25" s="28">
        <v>1</v>
      </c>
      <c r="W25" s="28">
        <v>0</v>
      </c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9"/>
    </row>
    <row r="26" spans="1:57" s="40" customFormat="1" ht="20.149999999999999" customHeight="1" thickBot="1" x14ac:dyDescent="0.3">
      <c r="A26" s="31" t="s">
        <v>119</v>
      </c>
      <c r="B26" s="31" t="s">
        <v>16</v>
      </c>
      <c r="C26" s="32" t="s">
        <v>120</v>
      </c>
      <c r="D26" s="33" t="s">
        <v>121</v>
      </c>
      <c r="E26" s="31">
        <v>600907005</v>
      </c>
      <c r="F26" s="192" t="str">
        <f t="shared" si="2"/>
        <v>07005</v>
      </c>
      <c r="G26" s="42">
        <v>1</v>
      </c>
      <c r="H26" s="42">
        <v>1</v>
      </c>
      <c r="I26" s="31">
        <v>1</v>
      </c>
      <c r="J26" s="31">
        <v>1</v>
      </c>
      <c r="K26" s="193">
        <v>1</v>
      </c>
      <c r="L26" s="31">
        <v>0</v>
      </c>
      <c r="M26" s="31">
        <v>1</v>
      </c>
      <c r="N26" s="31">
        <v>1</v>
      </c>
      <c r="O26" s="31">
        <v>1</v>
      </c>
      <c r="P26" s="31">
        <v>1</v>
      </c>
      <c r="Q26" s="31">
        <v>0</v>
      </c>
      <c r="R26" s="290"/>
      <c r="S26" s="31">
        <v>1</v>
      </c>
      <c r="T26" s="31">
        <v>1</v>
      </c>
      <c r="U26" s="31">
        <v>1</v>
      </c>
      <c r="V26" s="31">
        <v>1</v>
      </c>
      <c r="W26" s="31">
        <v>1</v>
      </c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2"/>
    </row>
    <row r="30" spans="1:57" x14ac:dyDescent="0.25">
      <c r="A30" s="36" t="s">
        <v>122</v>
      </c>
      <c r="E30" s="36">
        <v>1</v>
      </c>
    </row>
    <row r="31" spans="1:57" x14ac:dyDescent="0.25">
      <c r="A31" s="36" t="s">
        <v>47</v>
      </c>
      <c r="E31" s="36">
        <v>2</v>
      </c>
    </row>
    <row r="32" spans="1:57" x14ac:dyDescent="0.25">
      <c r="A32" s="36" t="s">
        <v>123</v>
      </c>
      <c r="E32" s="36">
        <v>3</v>
      </c>
    </row>
    <row r="33" spans="1:5" x14ac:dyDescent="0.25">
      <c r="A33" s="36" t="s">
        <v>124</v>
      </c>
      <c r="E33" s="36">
        <v>4</v>
      </c>
    </row>
    <row r="34" spans="1:5" x14ac:dyDescent="0.25">
      <c r="A34" s="36" t="s">
        <v>117</v>
      </c>
      <c r="E34" s="36">
        <v>5</v>
      </c>
    </row>
    <row r="35" spans="1:5" x14ac:dyDescent="0.25">
      <c r="A35" s="36" t="s">
        <v>1</v>
      </c>
      <c r="E35" s="36">
        <v>6</v>
      </c>
    </row>
    <row r="36" spans="1:5" x14ac:dyDescent="0.25">
      <c r="A36" s="36" t="s">
        <v>122</v>
      </c>
      <c r="E36" s="36">
        <v>7</v>
      </c>
    </row>
    <row r="37" spans="1:5" x14ac:dyDescent="0.25">
      <c r="A37" s="35"/>
    </row>
    <row r="38" spans="1:5" x14ac:dyDescent="0.25">
      <c r="A38" s="35"/>
    </row>
  </sheetData>
  <sheetProtection sheet="1" objects="1" scenarios="1"/>
  <mergeCells count="6">
    <mergeCell ref="R3:R26"/>
    <mergeCell ref="E1:E2"/>
    <mergeCell ref="A1:A2"/>
    <mergeCell ref="B1:B2"/>
    <mergeCell ref="C1:C2"/>
    <mergeCell ref="D1:D2"/>
  </mergeCells>
  <phoneticPr fontId="0" type="noConversion"/>
  <conditionalFormatting sqref="G3:I72 F27:F72">
    <cfRule type="cellIs" dxfId="1" priority="1" stopIfTrue="1" operator="greaterThan">
      <formula>20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indexed="10"/>
    <pageSetUpPr fitToPage="1"/>
  </sheetPr>
  <dimension ref="A1:AE166"/>
  <sheetViews>
    <sheetView workbookViewId="0">
      <pane xSplit="4" ySplit="1" topLeftCell="O2" activePane="bottomRight" state="frozen"/>
      <selection activeCell="C1" sqref="C1"/>
      <selection pane="topRight" activeCell="E1" sqref="E1"/>
      <selection pane="bottomLeft" activeCell="C2" sqref="C2"/>
      <selection pane="bottomRight" sqref="A1:IV65536"/>
    </sheetView>
  </sheetViews>
  <sheetFormatPr defaultColWidth="9.1796875" defaultRowHeight="13" x14ac:dyDescent="0.25"/>
  <cols>
    <col min="1" max="1" width="23.453125" style="7" hidden="1" customWidth="1"/>
    <col min="2" max="2" width="9.81640625" style="7" hidden="1" customWidth="1"/>
    <col min="3" max="3" width="7.7265625" style="4" bestFit="1" customWidth="1"/>
    <col min="4" max="4" width="4.1796875" style="8" bestFit="1" customWidth="1"/>
    <col min="5" max="5" width="5.1796875" style="3" bestFit="1" customWidth="1"/>
    <col min="6" max="6" width="4.54296875" style="3" customWidth="1"/>
    <col min="7" max="7" width="5.1796875" style="23" bestFit="1" customWidth="1"/>
    <col min="8" max="11" width="6.1796875" style="19" customWidth="1"/>
    <col min="12" max="19" width="4" style="18" customWidth="1"/>
    <col min="20" max="20" width="3.26953125" style="3" customWidth="1"/>
    <col min="21" max="21" width="11.54296875" style="17" bestFit="1" customWidth="1"/>
    <col min="22" max="22" width="7.7265625" style="4" bestFit="1" customWidth="1"/>
    <col min="23" max="23" width="7.453125" style="3" bestFit="1" customWidth="1"/>
    <col min="24" max="24" width="5.7265625" style="3" bestFit="1" customWidth="1"/>
    <col min="25" max="25" width="7.1796875" style="3" customWidth="1"/>
    <col min="26" max="26" width="9.1796875" style="3"/>
    <col min="27" max="27" width="4" style="14" customWidth="1"/>
    <col min="28" max="29" width="7.1796875" style="3" customWidth="1"/>
    <col min="30" max="31" width="8.7265625" customWidth="1"/>
    <col min="32" max="16384" width="9.1796875" style="3"/>
  </cols>
  <sheetData>
    <row r="1" spans="1:31" s="68" customFormat="1" ht="137.5" thickBot="1" x14ac:dyDescent="0.3">
      <c r="A1" s="54" t="s">
        <v>24</v>
      </c>
      <c r="B1" s="54" t="s">
        <v>0</v>
      </c>
      <c r="C1" s="55" t="s">
        <v>39</v>
      </c>
      <c r="D1" s="56" t="s">
        <v>22</v>
      </c>
      <c r="E1" s="57" t="s">
        <v>27</v>
      </c>
      <c r="F1" s="58" t="s">
        <v>28</v>
      </c>
      <c r="G1" s="59" t="s">
        <v>29</v>
      </c>
      <c r="H1" s="60" t="s">
        <v>18</v>
      </c>
      <c r="I1" s="61" t="s">
        <v>19</v>
      </c>
      <c r="J1" s="143" t="s">
        <v>20</v>
      </c>
      <c r="K1" s="143" t="s">
        <v>21</v>
      </c>
      <c r="L1" s="126" t="s">
        <v>30</v>
      </c>
      <c r="M1" s="126" t="s">
        <v>31</v>
      </c>
      <c r="N1" s="126" t="s">
        <v>32</v>
      </c>
      <c r="O1" s="126" t="s">
        <v>33</v>
      </c>
      <c r="P1" s="126" t="s">
        <v>34</v>
      </c>
      <c r="Q1" s="126" t="s">
        <v>35</v>
      </c>
      <c r="R1" s="126" t="s">
        <v>36</v>
      </c>
      <c r="S1" s="126" t="s">
        <v>37</v>
      </c>
      <c r="T1" s="62" t="s">
        <v>38</v>
      </c>
      <c r="U1" s="63" t="s">
        <v>40</v>
      </c>
      <c r="V1" s="64" t="s">
        <v>41</v>
      </c>
      <c r="W1" s="65" t="s">
        <v>23</v>
      </c>
      <c r="X1" s="66" t="s">
        <v>42</v>
      </c>
      <c r="Y1" s="67" t="s">
        <v>26</v>
      </c>
      <c r="Z1" s="75" t="s">
        <v>43</v>
      </c>
      <c r="AA1" s="107" t="s">
        <v>25</v>
      </c>
      <c r="AB1" s="108"/>
      <c r="AC1" s="108"/>
    </row>
    <row r="2" spans="1:31" ht="21.75" customHeight="1" thickBot="1" x14ac:dyDescent="0.35">
      <c r="A2" s="6" t="str">
        <f>RolesFor1704!A3 &amp; "," &amp; RolesFor1704!B3 &amp; " " &amp; RolesFor1704!C3</f>
        <v>Baker,Seth M</v>
      </c>
      <c r="B2" s="5" t="str">
        <f>RolesFor1704!D3</f>
        <v>smbaker4</v>
      </c>
      <c r="C2" s="49" t="str">
        <f>RolesFor1704!F3</f>
        <v>23041</v>
      </c>
      <c r="D2" s="52">
        <v>1704</v>
      </c>
      <c r="E2" s="53">
        <v>47.368421052631582</v>
      </c>
      <c r="F2" s="10">
        <v>13</v>
      </c>
      <c r="G2" s="50"/>
      <c r="H2" s="238">
        <v>100</v>
      </c>
      <c r="I2" s="196">
        <v>24</v>
      </c>
      <c r="J2" s="144"/>
      <c r="K2" s="145"/>
      <c r="L2" s="124">
        <v>5</v>
      </c>
      <c r="M2" s="125">
        <v>0</v>
      </c>
      <c r="N2" s="125">
        <v>10</v>
      </c>
      <c r="O2" s="125">
        <v>10</v>
      </c>
      <c r="P2" s="125">
        <v>5</v>
      </c>
      <c r="Q2" s="125"/>
      <c r="R2" s="125"/>
      <c r="S2" s="125"/>
      <c r="T2" s="9"/>
      <c r="U2" s="231">
        <f>IF(E2+F2&gt;100,100,E2+F2)</f>
        <v>60.368421052631582</v>
      </c>
      <c r="V2" s="232">
        <f>SUM(G2:U2)</f>
        <v>214.36842105263159</v>
      </c>
      <c r="W2" s="11">
        <f t="shared" ref="W2:W25" si="0">IF(V2/$AA$2&gt;1,1,(V2)/($AA$2))</f>
        <v>0.63049535603715179</v>
      </c>
      <c r="X2" s="12" t="str">
        <f>VLOOKUP(W2,$AB$2:$AC$6,2)</f>
        <v>D</v>
      </c>
      <c r="Y2" s="1">
        <f>(V2+2*E2)/(MAX($V$2:$V$25)+165)</f>
        <v>0.59731498118452719</v>
      </c>
      <c r="Z2" s="2" t="str">
        <f>IF(SUM(J2:X2)&gt;22090,"A",VLOOKUP(Y2,$AB$2:$AC$6,2))</f>
        <v>D</v>
      </c>
      <c r="AA2" s="112">
        <v>340</v>
      </c>
      <c r="AB2" s="109">
        <v>0</v>
      </c>
      <c r="AC2" s="109" t="s">
        <v>1</v>
      </c>
    </row>
    <row r="3" spans="1:31" ht="21.75" customHeight="1" thickBot="1" x14ac:dyDescent="0.3">
      <c r="A3" s="6" t="str">
        <f>RolesFor1704!A4 &amp; "," &amp; RolesFor1704!B4 &amp; " " &amp; RolesFor1704!C4</f>
        <v xml:space="preserve">Brown,Emily </v>
      </c>
      <c r="B3" s="5" t="str">
        <f>RolesFor1704!D4</f>
        <v>ebrown2</v>
      </c>
      <c r="C3" s="49" t="str">
        <f>RolesFor1704!F4</f>
        <v>28800</v>
      </c>
      <c r="D3" s="52">
        <v>1704</v>
      </c>
      <c r="E3" s="53">
        <v>100</v>
      </c>
      <c r="F3" s="10"/>
      <c r="G3" s="51"/>
      <c r="H3" s="116">
        <v>100</v>
      </c>
      <c r="I3" s="21">
        <v>100</v>
      </c>
      <c r="J3" s="142">
        <v>2</v>
      </c>
      <c r="K3" s="146"/>
      <c r="L3" s="24">
        <v>2</v>
      </c>
      <c r="M3" s="20">
        <v>0</v>
      </c>
      <c r="N3" s="20">
        <v>8</v>
      </c>
      <c r="O3" s="20">
        <v>0</v>
      </c>
      <c r="P3" s="20">
        <v>0</v>
      </c>
      <c r="Q3" s="20"/>
      <c r="R3" s="20"/>
      <c r="S3" s="20"/>
      <c r="T3" s="9"/>
      <c r="U3" s="231">
        <f t="shared" ref="U3:U25" si="1">IF(E3+F3&gt;100,100,E3+F3)</f>
        <v>100</v>
      </c>
      <c r="V3" s="232">
        <f t="shared" ref="V3:V24" si="2">SUM(E3:T3)</f>
        <v>312</v>
      </c>
      <c r="W3" s="11">
        <f t="shared" si="0"/>
        <v>0.91764705882352937</v>
      </c>
      <c r="X3" s="13" t="str">
        <f>VLOOKUP(W3,$AB$2:$AC$6,2)</f>
        <v>A</v>
      </c>
      <c r="Y3" s="1">
        <f t="shared" ref="Y3:Y25" si="3">(V3+2*E3)/(MAX($V$2:$V$25)+165)</f>
        <v>0.98938875139844729</v>
      </c>
      <c r="Z3" s="2" t="str">
        <f>IF(SUM(J3:X3)&gt;22090,"A",VLOOKUP(Y3,$AB$2:$AC$6,2))</f>
        <v>A</v>
      </c>
      <c r="AA3" s="113"/>
      <c r="AB3" s="110">
        <v>0.59499999999999997</v>
      </c>
      <c r="AC3" s="109" t="s">
        <v>2</v>
      </c>
    </row>
    <row r="4" spans="1:31" ht="21.75" customHeight="1" thickBot="1" x14ac:dyDescent="0.3">
      <c r="A4" s="6" t="str">
        <f>RolesFor1704!A5 &amp; "," &amp; RolesFor1704!B5 &amp; " " &amp; RolesFor1704!C5</f>
        <v>Brown,Emily Marie</v>
      </c>
      <c r="B4" s="5" t="str">
        <f>RolesFor1704!D5</f>
        <v>embrown2</v>
      </c>
      <c r="C4" s="49" t="str">
        <f>RolesFor1704!F5</f>
        <v>51753</v>
      </c>
      <c r="D4" s="52">
        <v>1704</v>
      </c>
      <c r="E4" s="53">
        <v>98.245614035087726</v>
      </c>
      <c r="F4" s="10">
        <v>15</v>
      </c>
      <c r="G4" s="51"/>
      <c r="H4" s="116">
        <v>100</v>
      </c>
      <c r="I4" s="21">
        <v>100</v>
      </c>
      <c r="J4" s="142"/>
      <c r="K4" s="146"/>
      <c r="L4" s="24">
        <v>8</v>
      </c>
      <c r="M4" s="20">
        <v>5</v>
      </c>
      <c r="N4" s="20">
        <v>9</v>
      </c>
      <c r="O4" s="20">
        <v>10</v>
      </c>
      <c r="P4" s="20">
        <v>0</v>
      </c>
      <c r="Q4" s="20"/>
      <c r="R4" s="20"/>
      <c r="S4" s="20"/>
      <c r="T4" s="9"/>
      <c r="U4" s="231">
        <f t="shared" si="1"/>
        <v>100</v>
      </c>
      <c r="V4" s="232">
        <f t="shared" si="2"/>
        <v>345.24561403508773</v>
      </c>
      <c r="W4" s="11">
        <f t="shared" si="0"/>
        <v>1</v>
      </c>
      <c r="X4" s="13" t="str">
        <f>VLOOKUP(W4,$AB$2:$AC$6,2)</f>
        <v>A</v>
      </c>
      <c r="Y4" s="1">
        <f t="shared" si="3"/>
        <v>1.0468522222598908</v>
      </c>
      <c r="Z4" s="2" t="str">
        <f>IF(SUM(J4:X4)&gt;22090,"A",VLOOKUP(Y4,$AB$2:$AC$6,2))</f>
        <v>A</v>
      </c>
      <c r="AA4" s="113"/>
      <c r="AB4" s="110">
        <v>0.69499999999999995</v>
      </c>
      <c r="AC4" s="109" t="s">
        <v>3</v>
      </c>
    </row>
    <row r="5" spans="1:31" ht="21.75" customHeight="1" thickBot="1" x14ac:dyDescent="0.3">
      <c r="A5" s="6" t="str">
        <f>RolesFor1704!A6 &amp; "," &amp; RolesFor1704!B6 &amp; " " &amp; RolesFor1704!C6</f>
        <v>Doran,Leslie William</v>
      </c>
      <c r="B5" s="5" t="str">
        <f>RolesFor1704!D6</f>
        <v>lwdoran</v>
      </c>
      <c r="C5" s="49" t="str">
        <f>RolesFor1704!F6</f>
        <v>64389</v>
      </c>
      <c r="D5" s="52">
        <v>1704</v>
      </c>
      <c r="E5" s="53">
        <v>73.68421052631578</v>
      </c>
      <c r="F5" s="10">
        <v>13</v>
      </c>
      <c r="G5" s="51"/>
      <c r="H5" s="116">
        <v>81</v>
      </c>
      <c r="I5" s="21">
        <v>81</v>
      </c>
      <c r="J5" s="142">
        <v>4</v>
      </c>
      <c r="K5" s="146"/>
      <c r="L5" s="24">
        <v>6</v>
      </c>
      <c r="M5" s="20">
        <v>10</v>
      </c>
      <c r="N5" s="20">
        <v>0</v>
      </c>
      <c r="O5" s="20">
        <v>5</v>
      </c>
      <c r="P5" s="20">
        <v>0</v>
      </c>
      <c r="Q5" s="20"/>
      <c r="R5" s="20"/>
      <c r="S5" s="20"/>
      <c r="T5" s="9"/>
      <c r="U5" s="231">
        <f t="shared" si="1"/>
        <v>86.68421052631578</v>
      </c>
      <c r="V5" s="232">
        <f t="shared" si="2"/>
        <v>273.68421052631578</v>
      </c>
      <c r="W5" s="11">
        <f t="shared" si="0"/>
        <v>0.804953560371517</v>
      </c>
      <c r="X5" s="13" t="str">
        <f>VLOOKUP(W5,$AB$2:$AC$6,2)</f>
        <v>B</v>
      </c>
      <c r="Y5" s="1">
        <f t="shared" si="3"/>
        <v>0.81364206529477567</v>
      </c>
      <c r="Z5" s="2" t="str">
        <f t="shared" ref="Z5:Z16" si="4">IF(SUM(J5:X5)&gt;22090,"A",VLOOKUP(Y5,$AB$2:$AC$6,2))</f>
        <v>B</v>
      </c>
      <c r="AA5" s="113"/>
      <c r="AB5" s="110">
        <v>0.79500000000000004</v>
      </c>
      <c r="AC5" s="109" t="s">
        <v>4</v>
      </c>
    </row>
    <row r="6" spans="1:31" ht="21.75" customHeight="1" thickBot="1" x14ac:dyDescent="0.3">
      <c r="A6" s="6" t="str">
        <f>RolesFor1704!A7 &amp; "," &amp; RolesFor1704!B7 &amp; " " &amp; RolesFor1704!C7</f>
        <v>Eynon,Suzy Jaclyn</v>
      </c>
      <c r="B6" s="5" t="str">
        <f>RolesFor1704!D7</f>
        <v>sjeynon</v>
      </c>
      <c r="C6" s="49" t="str">
        <f>RolesFor1704!F7</f>
        <v>48010</v>
      </c>
      <c r="D6" s="52">
        <v>1704</v>
      </c>
      <c r="E6" s="53">
        <v>91.228070175438603</v>
      </c>
      <c r="F6" s="10">
        <v>3</v>
      </c>
      <c r="G6" s="51"/>
      <c r="H6" s="116">
        <v>95</v>
      </c>
      <c r="I6" s="21">
        <v>67</v>
      </c>
      <c r="J6" s="142"/>
      <c r="K6" s="146"/>
      <c r="L6" s="24">
        <v>4</v>
      </c>
      <c r="M6" s="20">
        <v>9</v>
      </c>
      <c r="N6" s="20">
        <v>10</v>
      </c>
      <c r="O6" s="20">
        <v>5</v>
      </c>
      <c r="P6" s="20">
        <v>10</v>
      </c>
      <c r="Q6" s="20"/>
      <c r="R6" s="20"/>
      <c r="S6" s="20"/>
      <c r="T6" s="9"/>
      <c r="U6" s="231">
        <f t="shared" si="1"/>
        <v>94.228070175438603</v>
      </c>
      <c r="V6" s="232">
        <f t="shared" si="2"/>
        <v>294.22807017543857</v>
      </c>
      <c r="W6" s="11">
        <f t="shared" si="0"/>
        <v>0.86537667698658405</v>
      </c>
      <c r="X6" s="13" t="str">
        <f t="shared" ref="X6:X25" si="5">VLOOKUP(W6,$AB$2:$AC$6,2)</f>
        <v>B</v>
      </c>
      <c r="Y6" s="1">
        <f t="shared" si="3"/>
        <v>0.92114452317184792</v>
      </c>
      <c r="Z6" s="2" t="str">
        <f t="shared" si="4"/>
        <v>A</v>
      </c>
      <c r="AA6" s="113"/>
      <c r="AB6" s="110">
        <v>0.89500000000000002</v>
      </c>
      <c r="AC6" s="109" t="s">
        <v>5</v>
      </c>
    </row>
    <row r="7" spans="1:31" ht="21.75" customHeight="1" thickBot="1" x14ac:dyDescent="0.3">
      <c r="A7" s="6" t="str">
        <f>RolesFor1704!A8 &amp; "," &amp; RolesFor1704!B8 &amp; " " &amp; RolesFor1704!C8</f>
        <v>Hoffman,Amanda L</v>
      </c>
      <c r="B7" s="5" t="str">
        <f>RolesFor1704!D8</f>
        <v>alhoffm2</v>
      </c>
      <c r="C7" s="49" t="str">
        <f>RolesFor1704!F8</f>
        <v>66477</v>
      </c>
      <c r="D7" s="52">
        <v>1704</v>
      </c>
      <c r="E7" s="53">
        <v>94.736842105263165</v>
      </c>
      <c r="F7" s="10">
        <v>15</v>
      </c>
      <c r="G7" s="51"/>
      <c r="H7" s="116">
        <v>100</v>
      </c>
      <c r="I7" s="21">
        <v>100</v>
      </c>
      <c r="J7" s="142"/>
      <c r="K7" s="146"/>
      <c r="L7" s="24">
        <v>4</v>
      </c>
      <c r="M7" s="20">
        <v>3</v>
      </c>
      <c r="N7" s="20">
        <v>6</v>
      </c>
      <c r="O7" s="20">
        <v>5</v>
      </c>
      <c r="P7" s="20">
        <v>0</v>
      </c>
      <c r="Q7" s="20"/>
      <c r="R7" s="20"/>
      <c r="S7" s="20"/>
      <c r="T7" s="9"/>
      <c r="U7" s="231">
        <f t="shared" si="1"/>
        <v>100</v>
      </c>
      <c r="V7" s="232">
        <f t="shared" si="2"/>
        <v>327.73684210526318</v>
      </c>
      <c r="W7" s="11">
        <f t="shared" si="0"/>
        <v>0.96393188854489176</v>
      </c>
      <c r="X7" s="13" t="str">
        <f t="shared" si="5"/>
        <v>A</v>
      </c>
      <c r="Y7" s="1">
        <f t="shared" si="3"/>
        <v>0.99945757195647011</v>
      </c>
      <c r="Z7" s="2" t="str">
        <f t="shared" si="4"/>
        <v>A</v>
      </c>
    </row>
    <row r="8" spans="1:31" ht="21.75" customHeight="1" thickBot="1" x14ac:dyDescent="0.3">
      <c r="A8" s="6" t="str">
        <f>RolesFor1704!A9 &amp; "," &amp; RolesFor1704!B9 &amp; " " &amp; RolesFor1704!C9</f>
        <v>Jamele,Ann Marie</v>
      </c>
      <c r="B8" s="5" t="str">
        <f>RolesFor1704!D9</f>
        <v>amjamele</v>
      </c>
      <c r="C8" s="49" t="str">
        <f>RolesFor1704!F9</f>
        <v>82483</v>
      </c>
      <c r="D8" s="52">
        <v>1704</v>
      </c>
      <c r="E8" s="53">
        <v>70.175438596491219</v>
      </c>
      <c r="F8" s="10"/>
      <c r="G8" s="115"/>
      <c r="H8" s="117">
        <v>100</v>
      </c>
      <c r="I8" s="237">
        <v>100</v>
      </c>
      <c r="J8" s="147"/>
      <c r="K8" s="148"/>
      <c r="L8" s="24">
        <v>0</v>
      </c>
      <c r="M8" s="20">
        <v>0</v>
      </c>
      <c r="N8" s="20">
        <v>7</v>
      </c>
      <c r="O8" s="20">
        <v>10</v>
      </c>
      <c r="P8" s="20">
        <v>5</v>
      </c>
      <c r="Q8" s="20"/>
      <c r="R8" s="20"/>
      <c r="S8" s="20"/>
      <c r="T8" s="9"/>
      <c r="U8" s="231">
        <f t="shared" si="1"/>
        <v>70.175438596491219</v>
      </c>
      <c r="V8" s="232">
        <f t="shared" si="2"/>
        <v>292.17543859649123</v>
      </c>
      <c r="W8" s="11">
        <f t="shared" si="0"/>
        <v>0.85933952528379776</v>
      </c>
      <c r="X8" s="13" t="str">
        <f t="shared" si="5"/>
        <v>B</v>
      </c>
      <c r="Y8" s="1">
        <f t="shared" si="3"/>
        <v>0.83581381157405832</v>
      </c>
      <c r="Z8" s="2" t="str">
        <f t="shared" si="4"/>
        <v>B</v>
      </c>
    </row>
    <row r="9" spans="1:31" s="214" customFormat="1" ht="21.75" customHeight="1" thickBot="1" x14ac:dyDescent="0.3">
      <c r="A9" s="201" t="str">
        <f>RolesFor1704!A10 &amp; "," &amp; RolesFor1704!B10 &amp; " " &amp; RolesFor1704!C10</f>
        <v>Koston,Kerilyn M</v>
      </c>
      <c r="B9" s="202" t="str">
        <f>RolesFor1704!D10</f>
        <v>kmkoston</v>
      </c>
      <c r="C9" s="203" t="str">
        <f>RolesFor1704!F10</f>
        <v>06389</v>
      </c>
      <c r="D9" s="204">
        <v>1704</v>
      </c>
      <c r="E9" s="205"/>
      <c r="F9" s="206"/>
      <c r="G9" s="205"/>
      <c r="H9" s="207"/>
      <c r="I9" s="208"/>
      <c r="J9" s="208"/>
      <c r="K9" s="208"/>
      <c r="L9" s="207">
        <v>0</v>
      </c>
      <c r="M9" s="208">
        <v>0</v>
      </c>
      <c r="N9" s="208"/>
      <c r="O9" s="208"/>
      <c r="P9" s="208"/>
      <c r="Q9" s="208"/>
      <c r="R9" s="208"/>
      <c r="S9" s="208"/>
      <c r="T9" s="209"/>
      <c r="U9" s="229">
        <f t="shared" si="1"/>
        <v>0</v>
      </c>
      <c r="V9" s="233">
        <f t="shared" si="2"/>
        <v>0</v>
      </c>
      <c r="W9" s="210">
        <f t="shared" si="0"/>
        <v>0</v>
      </c>
      <c r="X9" s="211" t="str">
        <f t="shared" si="5"/>
        <v>F</v>
      </c>
      <c r="Y9" s="160">
        <f t="shared" si="3"/>
        <v>0</v>
      </c>
      <c r="Z9" s="208" t="str">
        <f>IF(SUM(J9:X9)&lt;100,"A",VLOOKUP(Y9,$AB$2:$AC$6,2))</f>
        <v>A</v>
      </c>
      <c r="AA9" s="213"/>
      <c r="AD9" s="213"/>
      <c r="AE9" s="213"/>
    </row>
    <row r="10" spans="1:31" ht="21.75" customHeight="1" thickBot="1" x14ac:dyDescent="0.3">
      <c r="A10" s="6" t="str">
        <f>RolesFor1704!A11 &amp; "," &amp; RolesFor1704!B11 &amp; " " &amp; RolesFor1704!C11</f>
        <v>Lenehan,Ryan Paul</v>
      </c>
      <c r="B10" s="5" t="str">
        <f>RolesFor1704!D11</f>
        <v>rpleneha</v>
      </c>
      <c r="C10" s="49" t="str">
        <f>RolesFor1704!F11</f>
        <v>68798</v>
      </c>
      <c r="D10" s="52">
        <v>1704</v>
      </c>
      <c r="E10" s="53">
        <v>73.68421052631578</v>
      </c>
      <c r="F10" s="10">
        <v>15</v>
      </c>
      <c r="G10" s="120"/>
      <c r="H10" s="118">
        <v>100</v>
      </c>
      <c r="I10" s="114">
        <v>69</v>
      </c>
      <c r="J10" s="141"/>
      <c r="K10" s="149"/>
      <c r="L10" s="24">
        <v>7</v>
      </c>
      <c r="M10" s="20">
        <v>9</v>
      </c>
      <c r="N10" s="20">
        <v>10</v>
      </c>
      <c r="O10" s="20">
        <v>10</v>
      </c>
      <c r="P10" s="20">
        <v>0</v>
      </c>
      <c r="Q10" s="20"/>
      <c r="R10" s="20"/>
      <c r="S10" s="20"/>
      <c r="T10" s="9"/>
      <c r="U10" s="231">
        <f t="shared" si="1"/>
        <v>88.68421052631578</v>
      </c>
      <c r="V10" s="232">
        <f t="shared" si="2"/>
        <v>293.68421052631578</v>
      </c>
      <c r="W10" s="11">
        <f t="shared" si="0"/>
        <v>0.86377708978328172</v>
      </c>
      <c r="X10" s="13" t="str">
        <f t="shared" si="5"/>
        <v>B</v>
      </c>
      <c r="Y10" s="1">
        <f t="shared" si="3"/>
        <v>0.85229006339627755</v>
      </c>
      <c r="Z10" s="2" t="str">
        <f t="shared" si="4"/>
        <v>B</v>
      </c>
    </row>
    <row r="11" spans="1:31" ht="21.75" customHeight="1" thickBot="1" x14ac:dyDescent="0.3">
      <c r="A11" s="6" t="str">
        <f>RolesFor1704!A12 &amp; "," &amp; RolesFor1704!B12 &amp; " " &amp; RolesFor1704!C12</f>
        <v>Loya,Jose Antonio</v>
      </c>
      <c r="B11" s="5" t="str">
        <f>RolesFor1704!D12</f>
        <v>jaloya</v>
      </c>
      <c r="C11" s="49" t="str">
        <f>RolesFor1704!F12</f>
        <v>23703</v>
      </c>
      <c r="D11" s="52">
        <v>1704</v>
      </c>
      <c r="E11" s="53">
        <v>77.192982456140342</v>
      </c>
      <c r="F11" s="10">
        <v>3</v>
      </c>
      <c r="G11" s="51"/>
      <c r="H11" s="116">
        <v>100</v>
      </c>
      <c r="I11" s="21">
        <v>71</v>
      </c>
      <c r="J11" s="142"/>
      <c r="K11" s="146"/>
      <c r="L11" s="24">
        <v>4</v>
      </c>
      <c r="M11" s="20">
        <v>3</v>
      </c>
      <c r="N11" s="20">
        <v>9</v>
      </c>
      <c r="O11" s="20">
        <v>10</v>
      </c>
      <c r="P11" s="20">
        <v>10</v>
      </c>
      <c r="Q11" s="20"/>
      <c r="R11" s="20"/>
      <c r="S11" s="20"/>
      <c r="T11" s="9"/>
      <c r="U11" s="231">
        <f t="shared" si="1"/>
        <v>80.192982456140342</v>
      </c>
      <c r="V11" s="232">
        <f t="shared" si="2"/>
        <v>287.19298245614033</v>
      </c>
      <c r="W11" s="11">
        <f t="shared" si="0"/>
        <v>0.84468524251805976</v>
      </c>
      <c r="X11" s="13" t="str">
        <f t="shared" si="5"/>
        <v>B</v>
      </c>
      <c r="Y11" s="1">
        <f t="shared" si="3"/>
        <v>0.85330711597789599</v>
      </c>
      <c r="Z11" s="2" t="str">
        <f t="shared" si="4"/>
        <v>B</v>
      </c>
    </row>
    <row r="12" spans="1:31" ht="21.75" customHeight="1" thickBot="1" x14ac:dyDescent="0.3">
      <c r="A12" s="216" t="str">
        <f>RolesFor1704!A13 &amp; "," &amp; RolesFor1704!B13 &amp; " " &amp; RolesFor1704!C13</f>
        <v>Martinez,Sierra Olivia</v>
      </c>
      <c r="B12" s="217" t="str">
        <f>RolesFor1704!D13</f>
        <v>somarti2</v>
      </c>
      <c r="C12" s="218" t="str">
        <f>RolesFor1704!F13</f>
        <v>22042</v>
      </c>
      <c r="D12" s="219">
        <v>1704</v>
      </c>
      <c r="E12" s="220">
        <v>69</v>
      </c>
      <c r="F12" s="221">
        <v>5</v>
      </c>
      <c r="G12" s="220"/>
      <c r="H12" s="222">
        <v>41</v>
      </c>
      <c r="I12" s="223"/>
      <c r="J12" s="223"/>
      <c r="K12" s="224"/>
      <c r="L12" s="222">
        <v>0</v>
      </c>
      <c r="M12" s="223">
        <v>7</v>
      </c>
      <c r="N12" s="223">
        <v>0</v>
      </c>
      <c r="O12" s="223"/>
      <c r="P12" s="223"/>
      <c r="Q12" s="223"/>
      <c r="R12" s="223"/>
      <c r="S12" s="223"/>
      <c r="T12" s="225"/>
      <c r="U12" s="230">
        <f t="shared" si="1"/>
        <v>74</v>
      </c>
      <c r="V12" s="234">
        <f t="shared" si="2"/>
        <v>122</v>
      </c>
      <c r="W12" s="226">
        <f t="shared" si="0"/>
        <v>0.35882352941176471</v>
      </c>
      <c r="X12" s="227" t="str">
        <f t="shared" si="5"/>
        <v>F</v>
      </c>
      <c r="Y12" s="228">
        <f t="shared" si="3"/>
        <v>0.50242397531952399</v>
      </c>
      <c r="Z12" s="223" t="str">
        <f t="shared" si="4"/>
        <v>F</v>
      </c>
    </row>
    <row r="13" spans="1:31" ht="21.75" customHeight="1" thickBot="1" x14ac:dyDescent="0.3">
      <c r="A13" s="216" t="str">
        <f>RolesFor1704!A14 &amp; "," &amp; RolesFor1704!B14 &amp; " " &amp; RolesFor1704!C14</f>
        <v xml:space="preserve">Mendoza,Alejandro </v>
      </c>
      <c r="B13" s="217" t="str">
        <f>RolesFor1704!D14</f>
        <v>amendoz3</v>
      </c>
      <c r="C13" s="218" t="str">
        <f>RolesFor1704!F14</f>
        <v>33557</v>
      </c>
      <c r="D13" s="219">
        <v>1704</v>
      </c>
      <c r="E13" s="220">
        <v>0</v>
      </c>
      <c r="F13" s="221"/>
      <c r="G13" s="220"/>
      <c r="H13" s="222"/>
      <c r="I13" s="223"/>
      <c r="J13" s="223"/>
      <c r="K13" s="224"/>
      <c r="L13" s="222">
        <v>0</v>
      </c>
      <c r="M13" s="223">
        <v>0</v>
      </c>
      <c r="N13" s="223">
        <v>0</v>
      </c>
      <c r="O13" s="223"/>
      <c r="P13" s="223"/>
      <c r="Q13" s="223"/>
      <c r="R13" s="223"/>
      <c r="S13" s="223"/>
      <c r="T13" s="225"/>
      <c r="U13" s="230">
        <f t="shared" si="1"/>
        <v>0</v>
      </c>
      <c r="V13" s="234">
        <f t="shared" si="2"/>
        <v>0</v>
      </c>
      <c r="W13" s="226">
        <f t="shared" si="0"/>
        <v>0</v>
      </c>
      <c r="X13" s="227" t="str">
        <f t="shared" si="5"/>
        <v>F</v>
      </c>
      <c r="Y13" s="228">
        <f t="shared" si="3"/>
        <v>0</v>
      </c>
      <c r="Z13" s="223" t="str">
        <f t="shared" si="4"/>
        <v>F</v>
      </c>
    </row>
    <row r="14" spans="1:31" ht="21.75" customHeight="1" thickBot="1" x14ac:dyDescent="0.3">
      <c r="A14" s="6" t="str">
        <f>RolesFor1704!A15 &amp; "," &amp; RolesFor1704!B15 &amp; " " &amp; RolesFor1704!C15</f>
        <v>Mendoza,Joshua A</v>
      </c>
      <c r="B14" s="5" t="str">
        <f>RolesFor1704!D15</f>
        <v>jamendo3</v>
      </c>
      <c r="C14" s="49" t="str">
        <f>RolesFor1704!F15</f>
        <v>56978</v>
      </c>
      <c r="D14" s="52">
        <v>1704</v>
      </c>
      <c r="E14" s="53">
        <v>96.491228070175438</v>
      </c>
      <c r="F14" s="10">
        <v>18</v>
      </c>
      <c r="G14" s="51"/>
      <c r="H14" s="116">
        <v>100</v>
      </c>
      <c r="I14" s="21">
        <v>100</v>
      </c>
      <c r="J14" s="142"/>
      <c r="K14" s="146"/>
      <c r="L14" s="24">
        <v>0</v>
      </c>
      <c r="M14" s="20">
        <v>8</v>
      </c>
      <c r="N14" s="20">
        <v>0</v>
      </c>
      <c r="O14" s="20">
        <v>10</v>
      </c>
      <c r="P14" s="20">
        <v>0</v>
      </c>
      <c r="Q14" s="20"/>
      <c r="R14" s="20"/>
      <c r="S14" s="20"/>
      <c r="T14" s="9"/>
      <c r="U14" s="231">
        <f t="shared" si="1"/>
        <v>100</v>
      </c>
      <c r="V14" s="232">
        <f t="shared" si="2"/>
        <v>332.49122807017545</v>
      </c>
      <c r="W14" s="11">
        <f t="shared" si="0"/>
        <v>0.97791537667698658</v>
      </c>
      <c r="X14" s="13" t="str">
        <f t="shared" si="5"/>
        <v>A</v>
      </c>
      <c r="Y14" s="1">
        <f t="shared" si="3"/>
        <v>1.0154252974878801</v>
      </c>
      <c r="Z14" s="2" t="str">
        <f t="shared" si="4"/>
        <v>A</v>
      </c>
    </row>
    <row r="15" spans="1:31" ht="21.75" customHeight="1" thickBot="1" x14ac:dyDescent="0.3">
      <c r="A15" s="6" t="str">
        <f>RolesFor1704!A16 &amp; "," &amp; RolesFor1704!B16 &amp; " " &amp; RolesFor1704!C16</f>
        <v>Moreno,Kamaree Rae</v>
      </c>
      <c r="B15" s="5" t="str">
        <f>RolesFor1704!D16</f>
        <v>krmoreno</v>
      </c>
      <c r="C15" s="49" t="str">
        <f>RolesFor1704!F16</f>
        <v>00482</v>
      </c>
      <c r="D15" s="52">
        <v>1704</v>
      </c>
      <c r="E15" s="53">
        <v>87.719298245614041</v>
      </c>
      <c r="F15" s="10">
        <v>5</v>
      </c>
      <c r="G15" s="51"/>
      <c r="H15" s="116">
        <v>100</v>
      </c>
      <c r="I15" s="21">
        <v>100</v>
      </c>
      <c r="J15" s="142"/>
      <c r="K15" s="146"/>
      <c r="L15" s="24">
        <v>5</v>
      </c>
      <c r="M15" s="20">
        <v>0</v>
      </c>
      <c r="N15" s="20">
        <v>3</v>
      </c>
      <c r="O15" s="20">
        <v>5</v>
      </c>
      <c r="P15" s="20">
        <v>0</v>
      </c>
      <c r="Q15" s="20"/>
      <c r="R15" s="20"/>
      <c r="S15" s="20"/>
      <c r="T15" s="2"/>
      <c r="U15" s="231">
        <f t="shared" si="1"/>
        <v>92.719298245614041</v>
      </c>
      <c r="V15" s="232">
        <f t="shared" si="2"/>
        <v>305.71929824561403</v>
      </c>
      <c r="W15" s="11">
        <f t="shared" si="0"/>
        <v>0.89917440660474712</v>
      </c>
      <c r="X15" s="13" t="str">
        <f t="shared" si="5"/>
        <v>A</v>
      </c>
      <c r="Y15" s="1">
        <f t="shared" si="3"/>
        <v>0.92978947011560487</v>
      </c>
      <c r="Z15" s="2" t="str">
        <f t="shared" si="4"/>
        <v>A</v>
      </c>
    </row>
    <row r="16" spans="1:31" ht="21.75" customHeight="1" thickBot="1" x14ac:dyDescent="0.3">
      <c r="A16" s="6" t="str">
        <f>RolesFor1704!A17 &amp; "," &amp; RolesFor1704!B17 &amp; " " &amp; RolesFor1704!C17</f>
        <v xml:space="preserve">Munoz,Lizbeth </v>
      </c>
      <c r="B16" s="5" t="str">
        <f>RolesFor1704!D17</f>
        <v>lmunoz2</v>
      </c>
      <c r="C16" s="49" t="str">
        <f>RolesFor1704!F17</f>
        <v>91847</v>
      </c>
      <c r="D16" s="52">
        <v>1704</v>
      </c>
      <c r="E16" s="53">
        <v>78.94736842105263</v>
      </c>
      <c r="F16" s="10">
        <v>5</v>
      </c>
      <c r="G16" s="51"/>
      <c r="H16" s="116">
        <v>100</v>
      </c>
      <c r="I16" s="21">
        <v>100</v>
      </c>
      <c r="J16" s="142"/>
      <c r="K16" s="146"/>
      <c r="L16" s="24">
        <v>0</v>
      </c>
      <c r="M16" s="20">
        <v>0</v>
      </c>
      <c r="N16" s="20">
        <v>2</v>
      </c>
      <c r="O16" s="20">
        <v>10</v>
      </c>
      <c r="P16" s="20">
        <v>0</v>
      </c>
      <c r="Q16" s="20"/>
      <c r="R16" s="20"/>
      <c r="S16" s="20"/>
      <c r="T16" s="9"/>
      <c r="U16" s="231">
        <f t="shared" si="1"/>
        <v>83.94736842105263</v>
      </c>
      <c r="V16" s="232">
        <f t="shared" si="2"/>
        <v>295.9473684210526</v>
      </c>
      <c r="W16" s="11">
        <f t="shared" si="0"/>
        <v>0.8704334365325076</v>
      </c>
      <c r="X16" s="13" t="str">
        <f t="shared" si="5"/>
        <v>B</v>
      </c>
      <c r="Y16" s="1">
        <f t="shared" si="3"/>
        <v>0.87700444112960629</v>
      </c>
      <c r="Z16" s="2" t="str">
        <f t="shared" si="4"/>
        <v>B</v>
      </c>
    </row>
    <row r="17" spans="1:31" s="214" customFormat="1" ht="21.75" customHeight="1" thickBot="1" x14ac:dyDescent="0.3">
      <c r="A17" s="201" t="str">
        <f>RolesFor1704!A18 &amp; "," &amp; RolesFor1704!B18 &amp; " " &amp; RolesFor1704!C18</f>
        <v>Najera,Annette Alexia</v>
      </c>
      <c r="B17" s="202" t="str">
        <f>RolesFor1704!D18</f>
        <v>aanajera</v>
      </c>
      <c r="C17" s="203" t="str">
        <f>RolesFor1704!F18</f>
        <v>79675</v>
      </c>
      <c r="D17" s="204">
        <v>1704</v>
      </c>
      <c r="E17" s="205"/>
      <c r="F17" s="206"/>
      <c r="G17" s="205"/>
      <c r="H17" s="207"/>
      <c r="I17" s="208"/>
      <c r="J17" s="208"/>
      <c r="K17" s="212"/>
      <c r="L17" s="207">
        <v>0</v>
      </c>
      <c r="M17" s="208">
        <v>0</v>
      </c>
      <c r="N17" s="208">
        <v>0</v>
      </c>
      <c r="O17" s="208"/>
      <c r="P17" s="208"/>
      <c r="Q17" s="208"/>
      <c r="R17" s="208"/>
      <c r="S17" s="208"/>
      <c r="T17" s="209"/>
      <c r="U17" s="229">
        <f t="shared" si="1"/>
        <v>0</v>
      </c>
      <c r="V17" s="233">
        <f t="shared" si="2"/>
        <v>0</v>
      </c>
      <c r="W17" s="210">
        <f t="shared" si="0"/>
        <v>0</v>
      </c>
      <c r="X17" s="211" t="str">
        <f t="shared" si="5"/>
        <v>F</v>
      </c>
      <c r="Y17" s="160">
        <f t="shared" si="3"/>
        <v>0</v>
      </c>
      <c r="Z17" s="208" t="str">
        <f>IF(SUM(J17:X17)&lt;100,"A",VLOOKUP(Y17,$AB$2:$AC$6,2))</f>
        <v>A</v>
      </c>
      <c r="AA17" s="213"/>
      <c r="AD17" s="215"/>
      <c r="AE17" s="215"/>
    </row>
    <row r="18" spans="1:31" ht="21.75" customHeight="1" thickBot="1" x14ac:dyDescent="0.3">
      <c r="A18" s="216" t="str">
        <f>RolesFor1704!A19 &amp; "," &amp; RolesFor1704!B19 &amp; " " &amp; RolesFor1704!C19</f>
        <v xml:space="preserve">Paulsen,Tye </v>
      </c>
      <c r="B18" s="217" t="str">
        <f>RolesFor1704!D19</f>
        <v>tpaulsen</v>
      </c>
      <c r="C18" s="218" t="str">
        <f>RolesFor1704!F19</f>
        <v>55495</v>
      </c>
      <c r="D18" s="219">
        <v>1704</v>
      </c>
      <c r="E18" s="220">
        <v>0</v>
      </c>
      <c r="F18" s="221"/>
      <c r="G18" s="220"/>
      <c r="H18" s="222"/>
      <c r="I18" s="223"/>
      <c r="J18" s="223"/>
      <c r="K18" s="224"/>
      <c r="L18" s="222">
        <v>0</v>
      </c>
      <c r="M18" s="223">
        <v>0</v>
      </c>
      <c r="N18" s="223">
        <v>0</v>
      </c>
      <c r="O18" s="223"/>
      <c r="P18" s="223"/>
      <c r="Q18" s="223"/>
      <c r="R18" s="223"/>
      <c r="S18" s="223"/>
      <c r="T18" s="225"/>
      <c r="U18" s="230">
        <f t="shared" si="1"/>
        <v>0</v>
      </c>
      <c r="V18" s="234">
        <f t="shared" si="2"/>
        <v>0</v>
      </c>
      <c r="W18" s="226">
        <f t="shared" si="0"/>
        <v>0</v>
      </c>
      <c r="X18" s="227" t="str">
        <f t="shared" si="5"/>
        <v>F</v>
      </c>
      <c r="Y18" s="228">
        <f t="shared" si="3"/>
        <v>0</v>
      </c>
      <c r="Z18" s="223" t="str">
        <f>IF(SUM(J18:X18)&gt;490,"A",VLOOKUP(Y18,$AB$2:$AC$6,2))</f>
        <v>F</v>
      </c>
    </row>
    <row r="19" spans="1:31" ht="21.75" customHeight="1" thickBot="1" x14ac:dyDescent="0.3">
      <c r="A19" s="6" t="str">
        <f>RolesFor1704!A20 &amp; "," &amp; RolesFor1704!B20 &amp; " " &amp; RolesFor1704!C20</f>
        <v>Smith,Nicole M</v>
      </c>
      <c r="B19" s="5" t="str">
        <f>RolesFor1704!D20</f>
        <v>nmsmith6</v>
      </c>
      <c r="C19" s="49" t="str">
        <f>RolesFor1704!F20</f>
        <v>09443</v>
      </c>
      <c r="D19" s="52">
        <v>1704</v>
      </c>
      <c r="E19" s="53">
        <v>70.175438596491219</v>
      </c>
      <c r="F19" s="10">
        <v>3</v>
      </c>
      <c r="G19" s="51"/>
      <c r="H19" s="116">
        <v>100</v>
      </c>
      <c r="I19" s="21">
        <v>100</v>
      </c>
      <c r="J19" s="142"/>
      <c r="K19" s="146"/>
      <c r="L19" s="24">
        <v>0</v>
      </c>
      <c r="M19" s="20">
        <v>9</v>
      </c>
      <c r="N19" s="20">
        <v>8</v>
      </c>
      <c r="O19" s="20">
        <v>10</v>
      </c>
      <c r="P19" s="20">
        <v>0</v>
      </c>
      <c r="Q19" s="20"/>
      <c r="R19" s="20"/>
      <c r="S19" s="20"/>
      <c r="T19" s="9"/>
      <c r="U19" s="231">
        <f t="shared" si="1"/>
        <v>73.175438596491219</v>
      </c>
      <c r="V19" s="232">
        <f t="shared" si="2"/>
        <v>300.17543859649123</v>
      </c>
      <c r="W19" s="11">
        <f t="shared" si="0"/>
        <v>0.88286893704850367</v>
      </c>
      <c r="X19" s="13" t="str">
        <f t="shared" si="5"/>
        <v>B</v>
      </c>
      <c r="Y19" s="1">
        <f t="shared" si="3"/>
        <v>0.851273010814659</v>
      </c>
      <c r="Z19" s="2" t="str">
        <f t="shared" ref="Z19:Z25" si="6">IF(SUM(J19:X19)&gt;22090,"A",VLOOKUP(Y19,$AB$2:$AC$6,2))</f>
        <v>B</v>
      </c>
    </row>
    <row r="20" spans="1:31" ht="21.75" customHeight="1" thickBot="1" x14ac:dyDescent="0.3">
      <c r="A20" s="6" t="str">
        <f>RolesFor1704!A21 &amp; "," &amp; RolesFor1704!B21 &amp; " " &amp; RolesFor1704!C21</f>
        <v>Tremoulis,Stephanie Lynn</v>
      </c>
      <c r="B20" s="5" t="str">
        <f>RolesFor1704!D21</f>
        <v>sltremou</v>
      </c>
      <c r="C20" s="49" t="str">
        <f>RolesFor1704!F21</f>
        <v>02794</v>
      </c>
      <c r="D20" s="52">
        <v>1704</v>
      </c>
      <c r="E20" s="53">
        <v>68.421052631578945</v>
      </c>
      <c r="F20" s="10"/>
      <c r="G20" s="51"/>
      <c r="H20" s="116">
        <v>100</v>
      </c>
      <c r="I20" s="21">
        <v>100</v>
      </c>
      <c r="J20" s="142"/>
      <c r="K20" s="146"/>
      <c r="L20" s="24">
        <v>10</v>
      </c>
      <c r="M20" s="20">
        <v>0</v>
      </c>
      <c r="N20" s="20">
        <v>0</v>
      </c>
      <c r="O20" s="20">
        <v>10</v>
      </c>
      <c r="P20" s="20">
        <v>5</v>
      </c>
      <c r="Q20" s="20"/>
      <c r="R20" s="20"/>
      <c r="S20" s="20"/>
      <c r="T20" s="9"/>
      <c r="U20" s="231">
        <f t="shared" si="1"/>
        <v>68.421052631578945</v>
      </c>
      <c r="V20" s="232">
        <f t="shared" si="2"/>
        <v>293.42105263157896</v>
      </c>
      <c r="W20" s="11">
        <f t="shared" si="0"/>
        <v>0.86300309597523228</v>
      </c>
      <c r="X20" s="13" t="str">
        <f t="shared" si="5"/>
        <v>B</v>
      </c>
      <c r="Y20" s="1">
        <f t="shared" si="3"/>
        <v>0.83144048547309901</v>
      </c>
      <c r="Z20" s="2" t="str">
        <f t="shared" si="6"/>
        <v>B</v>
      </c>
    </row>
    <row r="21" spans="1:31" ht="21.75" customHeight="1" thickBot="1" x14ac:dyDescent="0.3">
      <c r="A21" s="6" t="str">
        <f>RolesFor1704!A22 &amp; "," &amp; RolesFor1704!B22 &amp; " " &amp; RolesFor1704!C22</f>
        <v xml:space="preserve">Vazquez,Jose </v>
      </c>
      <c r="B21" s="5" t="str">
        <f>RolesFor1704!D22</f>
        <v>jvazque3</v>
      </c>
      <c r="C21" s="49" t="str">
        <f>RolesFor1704!F22</f>
        <v>25433</v>
      </c>
      <c r="D21" s="52">
        <v>1704</v>
      </c>
      <c r="E21" s="53">
        <v>89.473684210526315</v>
      </c>
      <c r="F21" s="10"/>
      <c r="G21" s="51"/>
      <c r="H21" s="116">
        <v>100</v>
      </c>
      <c r="I21" s="21">
        <v>100</v>
      </c>
      <c r="J21" s="142"/>
      <c r="K21" s="146"/>
      <c r="L21" s="24">
        <v>5</v>
      </c>
      <c r="M21" s="20">
        <v>7</v>
      </c>
      <c r="N21" s="20">
        <v>10</v>
      </c>
      <c r="O21" s="20">
        <v>0</v>
      </c>
      <c r="P21" s="20">
        <v>0</v>
      </c>
      <c r="Q21" s="20"/>
      <c r="R21" s="20"/>
      <c r="S21" s="20"/>
      <c r="T21" s="9"/>
      <c r="U21" s="231">
        <f t="shared" si="1"/>
        <v>89.473684210526315</v>
      </c>
      <c r="V21" s="232">
        <f t="shared" si="2"/>
        <v>311.4736842105263</v>
      </c>
      <c r="W21" s="11">
        <f t="shared" si="0"/>
        <v>0.91609907120743028</v>
      </c>
      <c r="X21" s="13" t="str">
        <f t="shared" si="5"/>
        <v>A</v>
      </c>
      <c r="Y21" s="1">
        <f t="shared" si="3"/>
        <v>0.94768959555209009</v>
      </c>
      <c r="Z21" s="2" t="str">
        <f t="shared" si="6"/>
        <v>A</v>
      </c>
    </row>
    <row r="22" spans="1:31" ht="21.75" customHeight="1" thickBot="1" x14ac:dyDescent="0.3">
      <c r="A22" s="6" t="str">
        <f>RolesFor1704!A23 &amp; "," &amp; RolesFor1704!B23 &amp; " " &amp; RolesFor1704!C23</f>
        <v>Welsh,Michael J</v>
      </c>
      <c r="B22" s="5" t="str">
        <f>RolesFor1704!D23</f>
        <v>mjwelsh</v>
      </c>
      <c r="C22" s="49" t="str">
        <f>RolesFor1704!F23</f>
        <v>58641</v>
      </c>
      <c r="D22" s="52">
        <v>1704</v>
      </c>
      <c r="E22" s="53">
        <v>96.491228070175438</v>
      </c>
      <c r="F22" s="10">
        <v>15</v>
      </c>
      <c r="G22" s="51"/>
      <c r="H22" s="116">
        <v>100</v>
      </c>
      <c r="I22" s="21">
        <v>100</v>
      </c>
      <c r="J22" s="142"/>
      <c r="K22" s="146"/>
      <c r="L22" s="24">
        <v>4</v>
      </c>
      <c r="M22" s="20">
        <v>3</v>
      </c>
      <c r="N22" s="20">
        <v>6</v>
      </c>
      <c r="O22" s="20">
        <v>10</v>
      </c>
      <c r="P22" s="20">
        <v>0</v>
      </c>
      <c r="Q22" s="20"/>
      <c r="R22" s="20"/>
      <c r="S22" s="20"/>
      <c r="T22" s="9"/>
      <c r="U22" s="231">
        <f t="shared" si="1"/>
        <v>100</v>
      </c>
      <c r="V22" s="232">
        <f t="shared" si="2"/>
        <v>334.49122807017545</v>
      </c>
      <c r="W22" s="11">
        <f t="shared" si="0"/>
        <v>0.98379772961816314</v>
      </c>
      <c r="X22" s="13" t="str">
        <f t="shared" si="5"/>
        <v>A</v>
      </c>
      <c r="Y22" s="1">
        <f t="shared" si="3"/>
        <v>1.0192900972980303</v>
      </c>
      <c r="Z22" s="2" t="str">
        <f t="shared" si="6"/>
        <v>A</v>
      </c>
    </row>
    <row r="23" spans="1:31" ht="21.75" customHeight="1" thickBot="1" x14ac:dyDescent="0.3">
      <c r="A23" s="6" t="str">
        <f>RolesFor1704!A24 &amp; "," &amp; RolesFor1704!B24 &amp; " " &amp; RolesFor1704!C24</f>
        <v>Wibel,Terry Lee</v>
      </c>
      <c r="B23" s="5" t="str">
        <f>RolesFor1704!D24</f>
        <v>tlwibel</v>
      </c>
      <c r="C23" s="49" t="str">
        <f>RolesFor1704!F24</f>
        <v>57573</v>
      </c>
      <c r="D23" s="52">
        <v>1704</v>
      </c>
      <c r="E23" s="53">
        <v>96.491228070175438</v>
      </c>
      <c r="F23" s="10">
        <v>10</v>
      </c>
      <c r="G23" s="51"/>
      <c r="H23" s="116">
        <v>100</v>
      </c>
      <c r="I23" s="21">
        <v>100</v>
      </c>
      <c r="J23" s="142"/>
      <c r="K23" s="146"/>
      <c r="L23" s="24">
        <v>9</v>
      </c>
      <c r="M23" s="20">
        <v>8</v>
      </c>
      <c r="N23" s="20">
        <v>9</v>
      </c>
      <c r="O23" s="20">
        <v>10</v>
      </c>
      <c r="P23" s="20">
        <v>10</v>
      </c>
      <c r="Q23" s="20"/>
      <c r="R23" s="20"/>
      <c r="S23" s="20"/>
      <c r="T23" s="9"/>
      <c r="U23" s="231">
        <f t="shared" si="1"/>
        <v>100</v>
      </c>
      <c r="V23" s="232">
        <f t="shared" si="2"/>
        <v>352.49122807017545</v>
      </c>
      <c r="W23" s="11">
        <f t="shared" si="0"/>
        <v>1</v>
      </c>
      <c r="X23" s="13" t="str">
        <f t="shared" si="5"/>
        <v>A</v>
      </c>
      <c r="Y23" s="1">
        <f t="shared" si="3"/>
        <v>1.0540732955893821</v>
      </c>
      <c r="Z23" s="2" t="str">
        <f t="shared" si="6"/>
        <v>A</v>
      </c>
    </row>
    <row r="24" spans="1:31" ht="21.75" customHeight="1" thickBot="1" x14ac:dyDescent="0.3">
      <c r="A24" s="6" t="str">
        <f>RolesFor1704!A25 &amp; "," &amp; RolesFor1704!B25 &amp; " " &amp; RolesFor1704!C25</f>
        <v>Willing,Michael R</v>
      </c>
      <c r="B24" s="5" t="str">
        <f>RolesFor1704!D25</f>
        <v>mrwillin</v>
      </c>
      <c r="C24" s="49" t="str">
        <f>RolesFor1704!F25</f>
        <v>24285</v>
      </c>
      <c r="D24" s="52">
        <v>1704</v>
      </c>
      <c r="E24" s="53">
        <v>84.21052631578948</v>
      </c>
      <c r="F24" s="10">
        <v>15</v>
      </c>
      <c r="G24" s="51"/>
      <c r="H24" s="116">
        <v>100</v>
      </c>
      <c r="I24" s="21">
        <v>100</v>
      </c>
      <c r="J24" s="142"/>
      <c r="K24" s="146"/>
      <c r="L24" s="24">
        <v>2</v>
      </c>
      <c r="M24" s="20">
        <v>7</v>
      </c>
      <c r="N24" s="20">
        <v>10</v>
      </c>
      <c r="O24" s="20">
        <v>10</v>
      </c>
      <c r="P24" s="20">
        <v>0</v>
      </c>
      <c r="Q24" s="20"/>
      <c r="R24" s="20"/>
      <c r="S24" s="20"/>
      <c r="T24" s="2"/>
      <c r="U24" s="231">
        <f t="shared" si="1"/>
        <v>99.21052631578948</v>
      </c>
      <c r="V24" s="235">
        <f t="shared" si="2"/>
        <v>328.21052631578948</v>
      </c>
      <c r="W24" s="96">
        <f t="shared" si="0"/>
        <v>0.96532507739938078</v>
      </c>
      <c r="X24" s="97" t="str">
        <f t="shared" si="5"/>
        <v>A</v>
      </c>
      <c r="Y24" s="1">
        <f t="shared" si="3"/>
        <v>0.95969081601518802</v>
      </c>
      <c r="Z24" s="2" t="str">
        <f t="shared" si="6"/>
        <v>A</v>
      </c>
    </row>
    <row r="25" spans="1:31" ht="21.75" customHeight="1" thickBot="1" x14ac:dyDescent="0.3">
      <c r="A25" s="6" t="str">
        <f>RolesFor1704!A26 &amp; "," &amp; RolesFor1704!B26 &amp; " " &amp; RolesFor1704!C26</f>
        <v>Worra,Rachel E</v>
      </c>
      <c r="B25" s="5" t="str">
        <f>RolesFor1704!D26</f>
        <v>reworra</v>
      </c>
      <c r="C25" s="49" t="str">
        <f>RolesFor1704!F26</f>
        <v>07005</v>
      </c>
      <c r="D25" s="52">
        <v>1704</v>
      </c>
      <c r="E25" s="121">
        <v>89.473684210526315</v>
      </c>
      <c r="F25" s="122"/>
      <c r="G25" s="123"/>
      <c r="H25" s="119">
        <v>94</v>
      </c>
      <c r="I25" s="99">
        <v>91</v>
      </c>
      <c r="J25" s="150"/>
      <c r="K25" s="151"/>
      <c r="L25" s="100">
        <v>6</v>
      </c>
      <c r="M25" s="101">
        <v>0</v>
      </c>
      <c r="N25" s="101">
        <v>10</v>
      </c>
      <c r="O25" s="101">
        <v>10</v>
      </c>
      <c r="P25" s="101">
        <v>10</v>
      </c>
      <c r="Q25" s="101"/>
      <c r="R25" s="101"/>
      <c r="S25" s="101"/>
      <c r="T25" s="102"/>
      <c r="U25" s="231">
        <f t="shared" si="1"/>
        <v>89.473684210526315</v>
      </c>
      <c r="V25" s="236">
        <f>SUM(E25:T25)</f>
        <v>310.4736842105263</v>
      </c>
      <c r="W25" s="15">
        <f t="shared" si="0"/>
        <v>0.91315789473684206</v>
      </c>
      <c r="X25" s="98" t="str">
        <f t="shared" si="5"/>
        <v>A</v>
      </c>
      <c r="Y25" s="1">
        <f t="shared" si="3"/>
        <v>0.94575719564701499</v>
      </c>
      <c r="Z25" s="2" t="str">
        <f t="shared" si="6"/>
        <v>A</v>
      </c>
    </row>
    <row r="26" spans="1:31" ht="15.5" x14ac:dyDescent="0.25">
      <c r="A26" s="16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Y26" s="105"/>
      <c r="Z26" s="106"/>
    </row>
    <row r="27" spans="1:31" x14ac:dyDescent="0.25"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31" x14ac:dyDescent="0.25"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31" x14ac:dyDescent="0.25"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31" x14ac:dyDescent="0.25"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31" x14ac:dyDescent="0.25"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31" x14ac:dyDescent="0.25"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7:19" x14ac:dyDescent="0.25"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7:19" x14ac:dyDescent="0.25"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7:19" x14ac:dyDescent="0.25"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7:19" x14ac:dyDescent="0.25"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7:19" x14ac:dyDescent="0.25"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7:19" x14ac:dyDescent="0.25"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7:19" x14ac:dyDescent="0.25"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7:19" x14ac:dyDescent="0.25"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7:19" x14ac:dyDescent="0.25"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7:19" x14ac:dyDescent="0.25"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7:19" x14ac:dyDescent="0.25"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7:19" x14ac:dyDescent="0.25"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7:19" x14ac:dyDescent="0.25"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7:19" x14ac:dyDescent="0.25"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7:19" x14ac:dyDescent="0.25"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7:19" x14ac:dyDescent="0.25"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7:19" x14ac:dyDescent="0.25"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7:19" x14ac:dyDescent="0.25"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7:19" x14ac:dyDescent="0.25"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7:19" x14ac:dyDescent="0.25"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7:19" x14ac:dyDescent="0.25"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7:19" x14ac:dyDescent="0.25"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7:19" x14ac:dyDescent="0.25"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7:19" x14ac:dyDescent="0.25"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7:19" x14ac:dyDescent="0.25"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7:19" x14ac:dyDescent="0.25"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7:19" x14ac:dyDescent="0.25"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7:19" x14ac:dyDescent="0.25"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7:19" x14ac:dyDescent="0.25"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7:19" x14ac:dyDescent="0.25"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7:19" x14ac:dyDescent="0.25"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7:19" x14ac:dyDescent="0.25"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7:19" x14ac:dyDescent="0.25"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7:19" x14ac:dyDescent="0.25"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7:19" x14ac:dyDescent="0.25"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7:19" x14ac:dyDescent="0.25"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7:19" x14ac:dyDescent="0.25"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7:19" x14ac:dyDescent="0.25"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7:19" x14ac:dyDescent="0.25"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7:19" x14ac:dyDescent="0.25"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7:19" x14ac:dyDescent="0.25"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7:19" x14ac:dyDescent="0.25"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7:19" x14ac:dyDescent="0.25"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7:19" x14ac:dyDescent="0.25"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7:19" x14ac:dyDescent="0.25"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7:19" x14ac:dyDescent="0.25"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7:19" x14ac:dyDescent="0.25"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7:19" x14ac:dyDescent="0.25"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7:19" x14ac:dyDescent="0.25"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7:19" x14ac:dyDescent="0.25"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7:19" x14ac:dyDescent="0.25"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7:19" x14ac:dyDescent="0.25"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7:19" x14ac:dyDescent="0.25"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7:19" x14ac:dyDescent="0.25"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7:19" x14ac:dyDescent="0.25"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7:19" x14ac:dyDescent="0.25"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7:19" x14ac:dyDescent="0.25"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7:19" x14ac:dyDescent="0.25"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7:19" x14ac:dyDescent="0.25"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7:19" x14ac:dyDescent="0.25"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7:19" x14ac:dyDescent="0.25"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7:19" x14ac:dyDescent="0.25"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7:19" x14ac:dyDescent="0.25"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7:19" x14ac:dyDescent="0.25"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7:19" x14ac:dyDescent="0.25"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7:19" x14ac:dyDescent="0.25"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7:19" x14ac:dyDescent="0.25"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7:19" x14ac:dyDescent="0.25"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7:19" x14ac:dyDescent="0.25"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7:19" x14ac:dyDescent="0.25"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7:19" x14ac:dyDescent="0.25"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7:19" x14ac:dyDescent="0.25"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7:19" x14ac:dyDescent="0.25"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7:19" x14ac:dyDescent="0.25"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7:19" x14ac:dyDescent="0.25"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7:19" x14ac:dyDescent="0.25"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7:19" x14ac:dyDescent="0.25"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7:19" x14ac:dyDescent="0.25"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7:19" x14ac:dyDescent="0.25"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7:19" x14ac:dyDescent="0.25"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7:19" x14ac:dyDescent="0.25"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7:19" x14ac:dyDescent="0.25"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7:19" x14ac:dyDescent="0.25"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7:19" x14ac:dyDescent="0.25"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7:19" x14ac:dyDescent="0.25"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7:19" x14ac:dyDescent="0.25"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7:19" x14ac:dyDescent="0.25"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7:19" x14ac:dyDescent="0.25"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7:19" x14ac:dyDescent="0.25"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7:19" x14ac:dyDescent="0.25"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7:19" x14ac:dyDescent="0.25"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7:19" x14ac:dyDescent="0.25"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7:19" x14ac:dyDescent="0.25"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7:19" x14ac:dyDescent="0.25"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7:19" x14ac:dyDescent="0.25"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7:19" x14ac:dyDescent="0.25"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7:19" x14ac:dyDescent="0.25"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7:19" x14ac:dyDescent="0.25"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7:19" x14ac:dyDescent="0.25"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7:19" x14ac:dyDescent="0.25"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7:19" x14ac:dyDescent="0.25"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7:19" x14ac:dyDescent="0.25"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7:19" x14ac:dyDescent="0.25"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7:19" x14ac:dyDescent="0.25"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7:19" x14ac:dyDescent="0.25"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7:19" x14ac:dyDescent="0.25"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7:19" x14ac:dyDescent="0.25"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7:19" x14ac:dyDescent="0.25"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7:19" x14ac:dyDescent="0.25"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7:19" x14ac:dyDescent="0.25"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7:19" x14ac:dyDescent="0.25"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7:19" x14ac:dyDescent="0.25"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7:19" x14ac:dyDescent="0.25"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7:19" x14ac:dyDescent="0.25"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7:19" x14ac:dyDescent="0.25"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7:19" x14ac:dyDescent="0.25"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7:19" x14ac:dyDescent="0.25"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7:19" x14ac:dyDescent="0.25"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7:19" x14ac:dyDescent="0.25"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7:19" x14ac:dyDescent="0.25"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7:19" x14ac:dyDescent="0.25"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7:19" x14ac:dyDescent="0.25"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7:19" x14ac:dyDescent="0.25"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7:19" x14ac:dyDescent="0.25"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7:19" x14ac:dyDescent="0.25"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7:19" x14ac:dyDescent="0.25"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7:19" x14ac:dyDescent="0.25"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7:19" x14ac:dyDescent="0.25"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7:19" x14ac:dyDescent="0.25"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7:19" x14ac:dyDescent="0.25"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7:19" x14ac:dyDescent="0.25"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7:19" x14ac:dyDescent="0.25"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7:19" x14ac:dyDescent="0.25"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7:19" x14ac:dyDescent="0.25"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</sheetData>
  <sheetProtection sheet="1" objects="1" scenarios="1"/>
  <phoneticPr fontId="0" type="noConversion"/>
  <printOptions horizontalCentered="1" verticalCentered="1"/>
  <pageMargins left="0.75" right="0.75" top="1" bottom="1" header="0.5" footer="0.5"/>
  <pageSetup scale="66" orientation="landscape" horizontalDpi="300" verticalDpi="300" r:id="rId1"/>
  <headerFooter alignWithMargins="0">
    <oddHeader xml:space="preserve">&amp;CCIS 105 1646 Fall 2003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indexed="52"/>
  </sheetPr>
  <dimension ref="A1:AH27"/>
  <sheetViews>
    <sheetView topLeftCell="F1" workbookViewId="0">
      <selection sqref="A1:IV65536"/>
    </sheetView>
  </sheetViews>
  <sheetFormatPr defaultRowHeight="12.5" x14ac:dyDescent="0.25"/>
  <cols>
    <col min="1" max="1" width="14.453125" style="241" hidden="1" customWidth="1"/>
    <col min="2" max="4" width="9.1796875" style="241" hidden="1" customWidth="1"/>
    <col min="5" max="5" width="12.7265625" style="241" hidden="1" customWidth="1"/>
  </cols>
  <sheetData>
    <row r="1" spans="1:34" ht="13" x14ac:dyDescent="0.3">
      <c r="G1" s="244" t="s">
        <v>47</v>
      </c>
      <c r="H1" s="243" t="str">
        <f t="shared" ref="H1:AD1" si="0">VLOOKUP(WEEKDAY(H2)-1,Thedays,2)</f>
        <v>W</v>
      </c>
      <c r="I1" s="243" t="str">
        <f t="shared" si="0"/>
        <v>F</v>
      </c>
      <c r="J1" s="243" t="str">
        <f t="shared" si="0"/>
        <v>M</v>
      </c>
      <c r="K1" s="243" t="str">
        <f t="shared" si="0"/>
        <v>W</v>
      </c>
      <c r="L1" s="243" t="str">
        <f t="shared" si="0"/>
        <v>F</v>
      </c>
      <c r="M1" s="243" t="str">
        <f t="shared" si="0"/>
        <v>M</v>
      </c>
      <c r="N1" s="243" t="str">
        <f t="shared" si="0"/>
        <v>W</v>
      </c>
      <c r="O1" s="243" t="str">
        <f t="shared" si="0"/>
        <v>F</v>
      </c>
      <c r="P1" s="243" t="str">
        <f t="shared" si="0"/>
        <v>M</v>
      </c>
      <c r="Q1" s="243" t="str">
        <f t="shared" si="0"/>
        <v>W</v>
      </c>
      <c r="R1" s="243" t="str">
        <f t="shared" si="0"/>
        <v>F</v>
      </c>
      <c r="S1" s="243" t="str">
        <f t="shared" si="0"/>
        <v>M</v>
      </c>
      <c r="T1" s="243" t="str">
        <f t="shared" si="0"/>
        <v>W</v>
      </c>
      <c r="U1" s="243" t="str">
        <f t="shared" si="0"/>
        <v>F</v>
      </c>
      <c r="V1" s="243" t="str">
        <f t="shared" si="0"/>
        <v>M</v>
      </c>
      <c r="W1" s="243" t="str">
        <f t="shared" si="0"/>
        <v>W</v>
      </c>
      <c r="X1" s="243" t="str">
        <f t="shared" si="0"/>
        <v>F</v>
      </c>
      <c r="Y1" s="243" t="str">
        <f t="shared" si="0"/>
        <v>M</v>
      </c>
      <c r="Z1" s="243" t="str">
        <f t="shared" si="0"/>
        <v>W</v>
      </c>
      <c r="AA1" s="243" t="str">
        <f t="shared" si="0"/>
        <v>F</v>
      </c>
      <c r="AB1" s="243" t="str">
        <f t="shared" si="0"/>
        <v>M</v>
      </c>
      <c r="AC1" s="243" t="str">
        <f t="shared" si="0"/>
        <v>W</v>
      </c>
      <c r="AD1" s="243" t="str">
        <f t="shared" si="0"/>
        <v>F</v>
      </c>
    </row>
    <row r="2" spans="1:34" ht="24" x14ac:dyDescent="0.3">
      <c r="A2" s="242" t="s">
        <v>6</v>
      </c>
      <c r="B2" s="242" t="s">
        <v>7</v>
      </c>
      <c r="C2" s="242" t="s">
        <v>44</v>
      </c>
      <c r="D2" s="242" t="s">
        <v>0</v>
      </c>
      <c r="E2" s="111" t="s">
        <v>199</v>
      </c>
      <c r="F2" s="242" t="s">
        <v>195</v>
      </c>
      <c r="G2" s="248">
        <v>38068</v>
      </c>
      <c r="H2" s="249">
        <f>G2+2</f>
        <v>38070</v>
      </c>
      <c r="I2" s="249">
        <f>G2+4</f>
        <v>38072</v>
      </c>
      <c r="J2" s="249">
        <f>I2+3</f>
        <v>38075</v>
      </c>
      <c r="K2" s="249">
        <f>J2+2</f>
        <v>38077</v>
      </c>
      <c r="L2" s="249">
        <f>J2+4</f>
        <v>38079</v>
      </c>
      <c r="M2" s="249">
        <f>L2+3</f>
        <v>38082</v>
      </c>
      <c r="N2" s="249">
        <f>M2+2</f>
        <v>38084</v>
      </c>
      <c r="O2" s="249">
        <f>M2+4</f>
        <v>38086</v>
      </c>
      <c r="P2" s="249">
        <f>O2+3</f>
        <v>38089</v>
      </c>
      <c r="Q2" s="249">
        <f>P2+2</f>
        <v>38091</v>
      </c>
      <c r="R2" s="249">
        <f>P2+4</f>
        <v>38093</v>
      </c>
      <c r="S2" s="249">
        <f>R2+3</f>
        <v>38096</v>
      </c>
      <c r="T2" s="249">
        <f>S2+2</f>
        <v>38098</v>
      </c>
      <c r="U2" s="249">
        <f>S2+4</f>
        <v>38100</v>
      </c>
      <c r="V2" s="249">
        <f>U2+3</f>
        <v>38103</v>
      </c>
      <c r="W2" s="249">
        <f>V2+2</f>
        <v>38105</v>
      </c>
      <c r="X2" s="249">
        <f>V2+4</f>
        <v>38107</v>
      </c>
      <c r="Y2" s="249">
        <f>X2+3</f>
        <v>38110</v>
      </c>
      <c r="Z2" s="249">
        <f>Y2+2</f>
        <v>38112</v>
      </c>
      <c r="AA2" s="249">
        <f>Y2+4</f>
        <v>38114</v>
      </c>
      <c r="AB2" s="249">
        <f>AA2+3</f>
        <v>38117</v>
      </c>
      <c r="AC2" s="249">
        <f>AB2+2</f>
        <v>38119</v>
      </c>
      <c r="AD2" s="249">
        <f>AB2+4</f>
        <v>38121</v>
      </c>
    </row>
    <row r="3" spans="1:34" ht="15" customHeight="1" x14ac:dyDescent="0.25">
      <c r="A3" s="245" t="s">
        <v>200</v>
      </c>
      <c r="B3" s="245" t="s">
        <v>201</v>
      </c>
      <c r="C3" s="246"/>
      <c r="D3" s="245" t="s">
        <v>202</v>
      </c>
      <c r="E3" s="250">
        <v>77767092</v>
      </c>
      <c r="F3" s="246" t="str">
        <f>RIGHT(E3,5)</f>
        <v>67092</v>
      </c>
      <c r="AE3" s="247"/>
      <c r="AF3" s="247"/>
      <c r="AG3" s="247"/>
      <c r="AH3" s="247"/>
    </row>
    <row r="4" spans="1:34" ht="15" customHeight="1" x14ac:dyDescent="0.25">
      <c r="A4" s="245" t="s">
        <v>203</v>
      </c>
      <c r="B4" s="245" t="s">
        <v>204</v>
      </c>
      <c r="C4" s="246"/>
      <c r="D4" s="245" t="s">
        <v>205</v>
      </c>
      <c r="E4" s="250">
        <v>999123082</v>
      </c>
      <c r="F4" s="246" t="str">
        <f t="shared" ref="F4:F27" si="1">RIGHT(E4,5)</f>
        <v>23082</v>
      </c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247"/>
      <c r="Z4" s="247"/>
      <c r="AA4" s="247"/>
      <c r="AB4" s="247"/>
      <c r="AC4" s="247"/>
      <c r="AD4" s="247"/>
      <c r="AE4" s="247"/>
      <c r="AF4" s="247"/>
      <c r="AG4" s="247"/>
      <c r="AH4" s="247"/>
    </row>
    <row r="5" spans="1:34" ht="15" customHeight="1" x14ac:dyDescent="0.25">
      <c r="A5" s="245" t="s">
        <v>206</v>
      </c>
      <c r="B5" s="245" t="s">
        <v>207</v>
      </c>
      <c r="C5" s="245" t="s">
        <v>47</v>
      </c>
      <c r="D5" s="245" t="s">
        <v>208</v>
      </c>
      <c r="E5" s="250">
        <v>527134226</v>
      </c>
      <c r="F5" s="246" t="str">
        <f t="shared" si="1"/>
        <v>34226</v>
      </c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</row>
    <row r="6" spans="1:34" ht="15" customHeight="1" x14ac:dyDescent="0.25">
      <c r="A6" s="245" t="s">
        <v>209</v>
      </c>
      <c r="B6" s="245" t="s">
        <v>210</v>
      </c>
      <c r="C6" s="245" t="s">
        <v>5</v>
      </c>
      <c r="D6" s="245" t="s">
        <v>211</v>
      </c>
      <c r="E6" s="250">
        <v>180549740</v>
      </c>
      <c r="F6" s="246" t="str">
        <f t="shared" si="1"/>
        <v>49740</v>
      </c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</row>
    <row r="7" spans="1:34" ht="15" customHeight="1" x14ac:dyDescent="0.25">
      <c r="A7" s="245" t="s">
        <v>212</v>
      </c>
      <c r="B7" s="245" t="s">
        <v>213</v>
      </c>
      <c r="C7" s="245" t="s">
        <v>214</v>
      </c>
      <c r="D7" s="245" t="s">
        <v>215</v>
      </c>
      <c r="E7" s="250">
        <v>527432600</v>
      </c>
      <c r="F7" s="246" t="str">
        <f t="shared" si="1"/>
        <v>32600</v>
      </c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</row>
    <row r="8" spans="1:34" ht="15" customHeight="1" x14ac:dyDescent="0.25">
      <c r="A8" s="245" t="s">
        <v>216</v>
      </c>
      <c r="B8" s="245" t="s">
        <v>217</v>
      </c>
      <c r="C8" s="245" t="s">
        <v>218</v>
      </c>
      <c r="D8" s="245" t="s">
        <v>219</v>
      </c>
      <c r="E8" s="250">
        <v>604326546</v>
      </c>
      <c r="F8" s="246" t="str">
        <f t="shared" si="1"/>
        <v>26546</v>
      </c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</row>
    <row r="9" spans="1:34" ht="15" customHeight="1" x14ac:dyDescent="0.25">
      <c r="A9" s="245" t="s">
        <v>220</v>
      </c>
      <c r="B9" s="245" t="s">
        <v>221</v>
      </c>
      <c r="C9" s="245" t="s">
        <v>110</v>
      </c>
      <c r="D9" s="245" t="s">
        <v>222</v>
      </c>
      <c r="E9" s="250">
        <v>260595108</v>
      </c>
      <c r="F9" s="246" t="str">
        <f t="shared" si="1"/>
        <v>95108</v>
      </c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</row>
    <row r="10" spans="1:34" ht="15" customHeight="1" x14ac:dyDescent="0.25">
      <c r="A10" s="245" t="s">
        <v>223</v>
      </c>
      <c r="B10" s="245" t="s">
        <v>224</v>
      </c>
      <c r="C10" s="245" t="s">
        <v>5</v>
      </c>
      <c r="D10" s="245" t="s">
        <v>225</v>
      </c>
      <c r="E10" s="250">
        <v>625030976</v>
      </c>
      <c r="F10" s="246" t="str">
        <f t="shared" si="1"/>
        <v>30976</v>
      </c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</row>
    <row r="11" spans="1:34" ht="15" customHeight="1" x14ac:dyDescent="0.25">
      <c r="A11" s="245" t="s">
        <v>226</v>
      </c>
      <c r="B11" s="245" t="s">
        <v>8</v>
      </c>
      <c r="C11" s="245" t="s">
        <v>2</v>
      </c>
      <c r="D11" s="245" t="s">
        <v>227</v>
      </c>
      <c r="E11" s="250">
        <v>548353116</v>
      </c>
      <c r="F11" s="246" t="str">
        <f t="shared" si="1"/>
        <v>53116</v>
      </c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</row>
    <row r="12" spans="1:34" ht="15" customHeight="1" x14ac:dyDescent="0.25">
      <c r="A12" s="245" t="s">
        <v>10</v>
      </c>
      <c r="B12" s="245" t="s">
        <v>56</v>
      </c>
      <c r="C12" s="245" t="s">
        <v>228</v>
      </c>
      <c r="D12" s="245" t="s">
        <v>229</v>
      </c>
      <c r="E12" s="250">
        <v>382809195</v>
      </c>
      <c r="F12" s="246" t="str">
        <f t="shared" si="1"/>
        <v>09195</v>
      </c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</row>
    <row r="13" spans="1:34" ht="15" customHeight="1" x14ac:dyDescent="0.25">
      <c r="A13" s="241" t="s">
        <v>274</v>
      </c>
      <c r="B13" s="241" t="s">
        <v>275</v>
      </c>
      <c r="D13" s="241" t="s">
        <v>277</v>
      </c>
      <c r="E13" s="250" t="s">
        <v>276</v>
      </c>
      <c r="F13" s="284" t="str">
        <f t="shared" si="1"/>
        <v>9xxxx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</row>
    <row r="14" spans="1:34" ht="15" customHeight="1" x14ac:dyDescent="0.25">
      <c r="A14" s="245" t="s">
        <v>230</v>
      </c>
      <c r="B14" s="245" t="s">
        <v>231</v>
      </c>
      <c r="C14" s="245" t="s">
        <v>52</v>
      </c>
      <c r="D14" s="245" t="s">
        <v>232</v>
      </c>
      <c r="E14" s="250">
        <v>519763437</v>
      </c>
      <c r="F14" s="246" t="str">
        <f t="shared" si="1"/>
        <v>63437</v>
      </c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</row>
    <row r="15" spans="1:34" ht="15" customHeight="1" x14ac:dyDescent="0.25">
      <c r="A15" s="245" t="s">
        <v>233</v>
      </c>
      <c r="B15" s="245" t="s">
        <v>234</v>
      </c>
      <c r="C15" s="245" t="s">
        <v>64</v>
      </c>
      <c r="D15" s="245" t="s">
        <v>235</v>
      </c>
      <c r="E15" s="250">
        <v>538866378</v>
      </c>
      <c r="F15" s="246" t="str">
        <f t="shared" si="1"/>
        <v>66378</v>
      </c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</row>
    <row r="16" spans="1:34" ht="15" customHeight="1" x14ac:dyDescent="0.25">
      <c r="A16" s="245" t="s">
        <v>236</v>
      </c>
      <c r="B16" s="245" t="s">
        <v>237</v>
      </c>
      <c r="C16" s="246"/>
      <c r="D16" s="245" t="s">
        <v>238</v>
      </c>
      <c r="E16" s="250">
        <v>247962378</v>
      </c>
      <c r="F16" s="246" t="str">
        <f t="shared" si="1"/>
        <v>62378</v>
      </c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7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7"/>
    </row>
    <row r="17" spans="1:34" ht="15" customHeight="1" x14ac:dyDescent="0.25">
      <c r="A17" s="245" t="s">
        <v>239</v>
      </c>
      <c r="B17" s="245" t="s">
        <v>240</v>
      </c>
      <c r="C17" s="245" t="s">
        <v>52</v>
      </c>
      <c r="D17" s="245" t="s">
        <v>241</v>
      </c>
      <c r="E17" s="250">
        <v>600622337</v>
      </c>
      <c r="F17" s="246" t="str">
        <f t="shared" si="1"/>
        <v>22337</v>
      </c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247"/>
      <c r="U17" s="247"/>
      <c r="V17" s="247"/>
      <c r="W17" s="247"/>
      <c r="X17" s="247"/>
      <c r="Y17" s="247"/>
      <c r="Z17" s="247"/>
      <c r="AA17" s="247"/>
      <c r="AB17" s="247"/>
      <c r="AC17" s="247"/>
      <c r="AD17" s="247"/>
      <c r="AE17" s="247"/>
      <c r="AF17" s="247"/>
      <c r="AG17" s="247"/>
      <c r="AH17" s="247"/>
    </row>
    <row r="18" spans="1:34" ht="15" customHeight="1" x14ac:dyDescent="0.25">
      <c r="A18" s="245" t="s">
        <v>242</v>
      </c>
      <c r="B18" s="245" t="s">
        <v>243</v>
      </c>
      <c r="C18" s="245" t="s">
        <v>120</v>
      </c>
      <c r="D18" s="245" t="s">
        <v>244</v>
      </c>
      <c r="E18" s="250">
        <v>600197982</v>
      </c>
      <c r="F18" s="246" t="str">
        <f t="shared" si="1"/>
        <v>97982</v>
      </c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247"/>
      <c r="U18" s="247"/>
      <c r="V18" s="247"/>
      <c r="W18" s="247"/>
      <c r="X18" s="247"/>
      <c r="Y18" s="247"/>
      <c r="Z18" s="247"/>
      <c r="AA18" s="247"/>
      <c r="AB18" s="247"/>
      <c r="AC18" s="247"/>
      <c r="AD18" s="247"/>
      <c r="AE18" s="247"/>
      <c r="AF18" s="247"/>
      <c r="AG18" s="247"/>
      <c r="AH18" s="247"/>
    </row>
    <row r="19" spans="1:34" ht="15" customHeight="1" x14ac:dyDescent="0.25">
      <c r="A19" s="245" t="s">
        <v>245</v>
      </c>
      <c r="B19" s="245" t="s">
        <v>246</v>
      </c>
      <c r="C19" s="245" t="s">
        <v>47</v>
      </c>
      <c r="D19" s="245" t="s">
        <v>247</v>
      </c>
      <c r="E19" s="250">
        <v>600307992</v>
      </c>
      <c r="F19" s="246" t="str">
        <f t="shared" si="1"/>
        <v>07992</v>
      </c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/>
      <c r="V19" s="247"/>
      <c r="W19" s="247"/>
      <c r="X19" s="247"/>
      <c r="Y19" s="247"/>
      <c r="Z19" s="247"/>
      <c r="AA19" s="247"/>
      <c r="AB19" s="247"/>
      <c r="AC19" s="247"/>
      <c r="AD19" s="247"/>
      <c r="AE19" s="247"/>
      <c r="AF19" s="247"/>
      <c r="AG19" s="247"/>
      <c r="AH19" s="247"/>
    </row>
    <row r="20" spans="1:34" ht="15" customHeight="1" x14ac:dyDescent="0.25">
      <c r="A20" s="245" t="s">
        <v>248</v>
      </c>
      <c r="B20" s="245" t="s">
        <v>249</v>
      </c>
      <c r="C20" s="245" t="s">
        <v>13</v>
      </c>
      <c r="D20" s="245" t="s">
        <v>250</v>
      </c>
      <c r="E20" s="250">
        <v>108768423</v>
      </c>
      <c r="F20" s="246" t="str">
        <f t="shared" si="1"/>
        <v>68423</v>
      </c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247"/>
      <c r="U20" s="247"/>
      <c r="V20" s="247"/>
      <c r="W20" s="247"/>
      <c r="X20" s="247"/>
      <c r="Y20" s="247"/>
      <c r="Z20" s="247"/>
      <c r="AA20" s="247"/>
      <c r="AB20" s="247"/>
      <c r="AC20" s="247"/>
      <c r="AD20" s="247"/>
      <c r="AE20" s="247"/>
      <c r="AF20" s="247"/>
      <c r="AG20" s="247"/>
      <c r="AH20" s="247"/>
    </row>
    <row r="21" spans="1:34" ht="15" customHeight="1" x14ac:dyDescent="0.25">
      <c r="A21" s="245" t="s">
        <v>251</v>
      </c>
      <c r="B21" s="245" t="s">
        <v>252</v>
      </c>
      <c r="C21" s="245" t="s">
        <v>253</v>
      </c>
      <c r="D21" s="245" t="s">
        <v>254</v>
      </c>
      <c r="E21" s="250">
        <v>600549672</v>
      </c>
      <c r="F21" s="246" t="str">
        <f t="shared" si="1"/>
        <v>49672</v>
      </c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247"/>
      <c r="U21" s="247"/>
      <c r="V21" s="247"/>
      <c r="W21" s="247"/>
      <c r="X21" s="247"/>
      <c r="Y21" s="247"/>
      <c r="Z21" s="247"/>
      <c r="AA21" s="247"/>
      <c r="AB21" s="247"/>
      <c r="AC21" s="247"/>
      <c r="AD21" s="247"/>
      <c r="AE21" s="247"/>
      <c r="AF21" s="247"/>
      <c r="AG21" s="247"/>
      <c r="AH21" s="247"/>
    </row>
    <row r="22" spans="1:34" ht="15" customHeight="1" x14ac:dyDescent="0.25">
      <c r="A22" s="245" t="s">
        <v>255</v>
      </c>
      <c r="B22" s="245" t="s">
        <v>256</v>
      </c>
      <c r="C22" s="245" t="s">
        <v>257</v>
      </c>
      <c r="D22" s="245" t="s">
        <v>258</v>
      </c>
      <c r="E22" s="250">
        <v>154643195</v>
      </c>
      <c r="F22" s="246" t="str">
        <f t="shared" si="1"/>
        <v>43195</v>
      </c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7"/>
      <c r="W22" s="247"/>
      <c r="X22" s="247"/>
      <c r="Y22" s="247"/>
      <c r="Z22" s="247"/>
      <c r="AA22" s="247"/>
      <c r="AB22" s="247"/>
      <c r="AC22" s="247"/>
      <c r="AD22" s="247"/>
      <c r="AE22" s="247"/>
      <c r="AF22" s="247"/>
      <c r="AG22" s="247"/>
      <c r="AH22" s="247"/>
    </row>
    <row r="23" spans="1:34" ht="15" customHeight="1" x14ac:dyDescent="0.25">
      <c r="A23" s="245" t="s">
        <v>259</v>
      </c>
      <c r="B23" s="245" t="s">
        <v>260</v>
      </c>
      <c r="C23" s="245" t="s">
        <v>64</v>
      </c>
      <c r="D23" s="245" t="s">
        <v>261</v>
      </c>
      <c r="E23" s="250">
        <v>305900291</v>
      </c>
      <c r="F23" s="246" t="str">
        <f t="shared" si="1"/>
        <v>00291</v>
      </c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247"/>
      <c r="U23" s="247"/>
      <c r="V23" s="247"/>
      <c r="W23" s="247"/>
      <c r="X23" s="247"/>
      <c r="Y23" s="247"/>
      <c r="Z23" s="247"/>
      <c r="AA23" s="247"/>
      <c r="AB23" s="247"/>
      <c r="AC23" s="247"/>
      <c r="AD23" s="247"/>
      <c r="AE23" s="247"/>
      <c r="AF23" s="247"/>
      <c r="AG23" s="247"/>
      <c r="AH23" s="247"/>
    </row>
    <row r="24" spans="1:34" ht="15" customHeight="1" x14ac:dyDescent="0.25">
      <c r="A24" s="245" t="s">
        <v>262</v>
      </c>
      <c r="B24" s="245" t="s">
        <v>263</v>
      </c>
      <c r="C24" s="245" t="s">
        <v>264</v>
      </c>
      <c r="D24" s="245" t="s">
        <v>265</v>
      </c>
      <c r="E24" s="250">
        <v>600126990</v>
      </c>
      <c r="F24" s="246" t="str">
        <f t="shared" si="1"/>
        <v>26990</v>
      </c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247"/>
      <c r="U24" s="247"/>
      <c r="V24" s="247"/>
      <c r="W24" s="247"/>
      <c r="X24" s="247"/>
      <c r="Y24" s="247"/>
      <c r="Z24" s="247"/>
      <c r="AA24" s="247"/>
      <c r="AB24" s="247"/>
      <c r="AC24" s="247"/>
      <c r="AD24" s="247"/>
      <c r="AE24" s="247"/>
      <c r="AF24" s="247"/>
      <c r="AG24" s="247"/>
      <c r="AH24" s="247"/>
    </row>
    <row r="25" spans="1:34" ht="15" customHeight="1" x14ac:dyDescent="0.25">
      <c r="A25" s="245" t="s">
        <v>266</v>
      </c>
      <c r="B25" s="245" t="s">
        <v>267</v>
      </c>
      <c r="C25" s="245" t="s">
        <v>15</v>
      </c>
      <c r="D25" s="245" t="s">
        <v>268</v>
      </c>
      <c r="E25" s="250">
        <v>600588413</v>
      </c>
      <c r="F25" s="246" t="str">
        <f t="shared" si="1"/>
        <v>88413</v>
      </c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247"/>
      <c r="Z25" s="247"/>
      <c r="AA25" s="247"/>
      <c r="AB25" s="247"/>
      <c r="AC25" s="247"/>
      <c r="AD25" s="247"/>
      <c r="AE25" s="247"/>
      <c r="AF25" s="247"/>
      <c r="AG25" s="247"/>
      <c r="AH25" s="247"/>
    </row>
    <row r="26" spans="1:34" x14ac:dyDescent="0.25">
      <c r="A26" s="245" t="s">
        <v>269</v>
      </c>
      <c r="B26" s="245" t="s">
        <v>270</v>
      </c>
      <c r="C26" s="245" t="s">
        <v>271</v>
      </c>
      <c r="D26" s="245" t="s">
        <v>272</v>
      </c>
      <c r="E26" s="246">
        <v>600629214</v>
      </c>
      <c r="F26" s="246" t="str">
        <f t="shared" si="1"/>
        <v>29214</v>
      </c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247"/>
      <c r="U26" s="247"/>
      <c r="V26" s="247"/>
      <c r="W26" s="247"/>
      <c r="X26" s="247"/>
      <c r="Y26" s="247"/>
      <c r="Z26" s="247"/>
      <c r="AA26" s="247"/>
      <c r="AB26" s="247"/>
      <c r="AC26" s="247"/>
      <c r="AD26" s="247"/>
      <c r="AE26" s="247"/>
      <c r="AF26" s="247"/>
      <c r="AG26" s="247"/>
      <c r="AH26" s="247"/>
    </row>
    <row r="27" spans="1:34" x14ac:dyDescent="0.25">
      <c r="A27" s="246" t="s">
        <v>279</v>
      </c>
      <c r="B27" s="246" t="s">
        <v>280</v>
      </c>
      <c r="C27" s="246"/>
      <c r="D27" s="246" t="s">
        <v>278</v>
      </c>
      <c r="E27" s="246" t="s">
        <v>281</v>
      </c>
      <c r="F27" s="284" t="str">
        <f t="shared" si="1"/>
        <v>9yyyy</v>
      </c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247"/>
      <c r="U27" s="247"/>
      <c r="V27" s="247"/>
      <c r="W27" s="247"/>
      <c r="X27" s="247"/>
      <c r="Y27" s="247"/>
      <c r="Z27" s="247"/>
      <c r="AA27" s="247"/>
      <c r="AB27" s="247"/>
      <c r="AC27" s="247"/>
      <c r="AD27" s="247"/>
      <c r="AE27" s="247"/>
      <c r="AF27" s="247"/>
      <c r="AG27" s="247"/>
      <c r="AH27" s="247"/>
    </row>
  </sheetData>
  <sheetProtection sheet="1" objects="1" scenarios="1"/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52"/>
  </sheetPr>
  <dimension ref="A1:AC28"/>
  <sheetViews>
    <sheetView tabSelected="1" workbookViewId="0">
      <pane xSplit="4" ySplit="1" topLeftCell="E4" activePane="bottomRight" state="frozen"/>
      <selection pane="topRight" activeCell="E1" sqref="E1"/>
      <selection pane="bottomLeft" activeCell="A2" sqref="A2"/>
      <selection pane="bottomRight" activeCell="C5" sqref="C5"/>
    </sheetView>
  </sheetViews>
  <sheetFormatPr defaultRowHeight="12.5" x14ac:dyDescent="0.25"/>
  <cols>
    <col min="1" max="1" width="26.26953125" style="241" hidden="1" customWidth="1"/>
    <col min="2" max="2" width="9.1796875" style="241" hidden="1" customWidth="1"/>
    <col min="3" max="3" width="9.1796875" style="241" customWidth="1"/>
    <col min="4" max="4" width="1" style="253" customWidth="1"/>
  </cols>
  <sheetData>
    <row r="1" spans="1:29" s="68" customFormat="1" ht="96" thickBot="1" x14ac:dyDescent="0.3">
      <c r="A1" s="54" t="s">
        <v>24</v>
      </c>
      <c r="B1" s="54" t="s">
        <v>0</v>
      </c>
      <c r="C1" s="55" t="s">
        <v>39</v>
      </c>
      <c r="D1" s="252" t="s">
        <v>22</v>
      </c>
      <c r="E1" s="57" t="s">
        <v>27</v>
      </c>
      <c r="F1" s="58" t="s">
        <v>28</v>
      </c>
      <c r="G1" s="255" t="s">
        <v>29</v>
      </c>
      <c r="H1" s="60" t="s">
        <v>18</v>
      </c>
      <c r="I1" s="61" t="s">
        <v>19</v>
      </c>
      <c r="J1" s="143" t="s">
        <v>20</v>
      </c>
      <c r="K1" s="143" t="s">
        <v>21</v>
      </c>
      <c r="L1" s="256" t="s">
        <v>273</v>
      </c>
      <c r="M1" s="256" t="s">
        <v>31</v>
      </c>
      <c r="N1" s="256" t="s">
        <v>32</v>
      </c>
      <c r="O1" s="256" t="s">
        <v>33</v>
      </c>
      <c r="P1" s="256" t="s">
        <v>34</v>
      </c>
      <c r="Q1" s="256" t="s">
        <v>35</v>
      </c>
      <c r="R1" s="256" t="s">
        <v>36</v>
      </c>
      <c r="S1" s="256" t="s">
        <v>37</v>
      </c>
      <c r="T1" s="62" t="s">
        <v>38</v>
      </c>
      <c r="U1" s="283" t="s">
        <v>40</v>
      </c>
      <c r="V1" s="257" t="s">
        <v>41</v>
      </c>
      <c r="W1" s="258" t="s">
        <v>23</v>
      </c>
      <c r="X1" s="259" t="s">
        <v>42</v>
      </c>
      <c r="Y1" s="67"/>
      <c r="Z1" s="75"/>
      <c r="AA1" s="107" t="s">
        <v>25</v>
      </c>
      <c r="AB1" s="108"/>
      <c r="AC1" s="108"/>
    </row>
    <row r="2" spans="1:29" ht="17.25" customHeight="1" x14ac:dyDescent="0.25">
      <c r="A2" s="6" t="str">
        <f>Rolesfor1719!A3 &amp; "," &amp; Rolesfor1719!B3 &amp; " " &amp; Rolesfor1719!C3</f>
        <v xml:space="preserve">Bangiyev,Ruben </v>
      </c>
      <c r="B2" s="251" t="str">
        <f>Rolesfor1719!D3</f>
        <v>rbangiy2</v>
      </c>
      <c r="C2" s="241" t="str">
        <f>Rolesfor1719!F3</f>
        <v>67092</v>
      </c>
      <c r="D2" s="254"/>
      <c r="E2" s="260"/>
      <c r="F2" s="286">
        <v>15</v>
      </c>
      <c r="G2" s="268"/>
      <c r="H2" s="271"/>
      <c r="I2" s="271"/>
      <c r="J2" s="274"/>
      <c r="K2" s="274"/>
      <c r="L2" s="277">
        <v>5</v>
      </c>
      <c r="M2" s="277"/>
      <c r="N2" s="277"/>
      <c r="O2" s="277"/>
      <c r="P2" s="277"/>
      <c r="Q2" s="277"/>
      <c r="R2" s="277"/>
      <c r="S2" s="277"/>
      <c r="T2" s="261"/>
      <c r="U2" s="280"/>
      <c r="V2" s="261"/>
      <c r="W2" s="261"/>
      <c r="X2" s="262"/>
    </row>
    <row r="3" spans="1:29" ht="17.25" customHeight="1" x14ac:dyDescent="0.25">
      <c r="A3" s="6" t="str">
        <f>Rolesfor1719!A4 &amp; "," &amp; Rolesfor1719!B4 &amp; " " &amp; Rolesfor1719!C4</f>
        <v xml:space="preserve">Barraza Salazar,Luis </v>
      </c>
      <c r="B3" s="251" t="str">
        <f>Rolesfor1719!D4</f>
        <v>lbarraza</v>
      </c>
      <c r="C3" s="241" t="str">
        <f>Rolesfor1719!F4</f>
        <v>23082</v>
      </c>
      <c r="D3" s="254"/>
      <c r="E3" s="263"/>
      <c r="F3" s="246">
        <v>5</v>
      </c>
      <c r="G3" s="269"/>
      <c r="H3" s="272"/>
      <c r="I3" s="272"/>
      <c r="J3" s="275"/>
      <c r="K3" s="275"/>
      <c r="L3" s="278">
        <v>5</v>
      </c>
      <c r="M3" s="278"/>
      <c r="N3" s="278"/>
      <c r="O3" s="278"/>
      <c r="P3" s="278"/>
      <c r="Q3" s="278"/>
      <c r="R3" s="278"/>
      <c r="S3" s="278"/>
      <c r="T3" s="247"/>
      <c r="U3" s="281"/>
      <c r="V3" s="247"/>
      <c r="W3" s="247"/>
      <c r="X3" s="264"/>
    </row>
    <row r="4" spans="1:29" ht="17.25" customHeight="1" x14ac:dyDescent="0.25">
      <c r="A4" s="6" t="str">
        <f>Rolesfor1719!A5 &amp; "," &amp; Rolesfor1719!B5 &amp; " " &amp; Rolesfor1719!C5</f>
        <v>Cavazos,Sylvia M</v>
      </c>
      <c r="B4" s="251" t="str">
        <f>Rolesfor1719!D5</f>
        <v>smcavazo</v>
      </c>
      <c r="C4" s="241" t="str">
        <f>Rolesfor1719!F5</f>
        <v>34226</v>
      </c>
      <c r="D4" s="254"/>
      <c r="E4" s="263"/>
      <c r="F4" s="246">
        <v>0</v>
      </c>
      <c r="G4" s="269"/>
      <c r="H4" s="272"/>
      <c r="I4" s="272"/>
      <c r="J4" s="275"/>
      <c r="K4" s="275"/>
      <c r="L4" s="278">
        <v>0</v>
      </c>
      <c r="M4" s="278"/>
      <c r="N4" s="278"/>
      <c r="O4" s="278"/>
      <c r="P4" s="278"/>
      <c r="Q4" s="278"/>
      <c r="R4" s="278"/>
      <c r="S4" s="278"/>
      <c r="T4" s="247"/>
      <c r="U4" s="281"/>
      <c r="V4" s="247"/>
      <c r="W4" s="247"/>
      <c r="X4" s="264"/>
    </row>
    <row r="5" spans="1:29" ht="17.25" customHeight="1" x14ac:dyDescent="0.25">
      <c r="A5" s="6" t="str">
        <f>Rolesfor1719!A13&amp;", "&amp;Rolesfor1719!B13</f>
        <v>Chavez, Melany</v>
      </c>
      <c r="B5" s="251"/>
      <c r="C5" s="287"/>
      <c r="D5" s="254"/>
      <c r="E5" s="263"/>
      <c r="F5" s="246">
        <v>5</v>
      </c>
      <c r="G5" s="269"/>
      <c r="H5" s="272"/>
      <c r="I5" s="272"/>
      <c r="J5" s="275"/>
      <c r="K5" s="275"/>
      <c r="L5" s="278">
        <v>8</v>
      </c>
      <c r="M5" s="278"/>
      <c r="N5" s="278"/>
      <c r="O5" s="278"/>
      <c r="P5" s="278"/>
      <c r="Q5" s="278"/>
      <c r="R5" s="278"/>
      <c r="S5" s="278"/>
      <c r="T5" s="247"/>
      <c r="U5" s="281"/>
      <c r="V5" s="247"/>
      <c r="W5" s="247"/>
      <c r="X5" s="264"/>
    </row>
    <row r="6" spans="1:29" ht="17.25" customHeight="1" x14ac:dyDescent="0.25">
      <c r="A6" s="6" t="str">
        <f>Rolesfor1719!A6 &amp; "," &amp; Rolesfor1719!B6 &amp; " " &amp; Rolesfor1719!C6</f>
        <v>Compton,Sandra A</v>
      </c>
      <c r="B6" s="251" t="str">
        <f>Rolesfor1719!D6</f>
        <v>sacompto</v>
      </c>
      <c r="C6" s="241" t="str">
        <f>Rolesfor1719!F6</f>
        <v>49740</v>
      </c>
      <c r="D6" s="254"/>
      <c r="E6" s="263"/>
      <c r="F6" s="246">
        <v>0</v>
      </c>
      <c r="G6" s="269"/>
      <c r="H6" s="272"/>
      <c r="I6" s="272"/>
      <c r="J6" s="275"/>
      <c r="K6" s="275"/>
      <c r="L6" s="278">
        <v>0</v>
      </c>
      <c r="M6" s="278"/>
      <c r="N6" s="278"/>
      <c r="O6" s="278"/>
      <c r="P6" s="278"/>
      <c r="Q6" s="278"/>
      <c r="R6" s="278"/>
      <c r="S6" s="278"/>
      <c r="T6" s="247"/>
      <c r="U6" s="281"/>
      <c r="V6" s="247"/>
      <c r="W6" s="247"/>
      <c r="X6" s="264"/>
    </row>
    <row r="7" spans="1:29" ht="17.25" customHeight="1" x14ac:dyDescent="0.25">
      <c r="A7" s="6" t="str">
        <f>Rolesfor1719!A7 &amp; "," &amp; Rolesfor1719!B7 &amp; " " &amp; Rolesfor1719!C7</f>
        <v>Cordova,Wendy Jean</v>
      </c>
      <c r="B7" s="251" t="str">
        <f>Rolesfor1719!D7</f>
        <v>wjcordov</v>
      </c>
      <c r="C7" s="241" t="str">
        <f>Rolesfor1719!F7</f>
        <v>32600</v>
      </c>
      <c r="D7" s="254"/>
      <c r="E7" s="263"/>
      <c r="F7" s="246">
        <v>5</v>
      </c>
      <c r="G7" s="269"/>
      <c r="H7" s="272"/>
      <c r="I7" s="272"/>
      <c r="J7" s="275"/>
      <c r="K7" s="275"/>
      <c r="L7" s="278">
        <v>8</v>
      </c>
      <c r="M7" s="278"/>
      <c r="N7" s="278"/>
      <c r="O7" s="278"/>
      <c r="P7" s="278"/>
      <c r="Q7" s="278"/>
      <c r="R7" s="278"/>
      <c r="S7" s="278"/>
      <c r="T7" s="247"/>
      <c r="U7" s="281"/>
      <c r="V7" s="247"/>
      <c r="W7" s="247"/>
      <c r="X7" s="264"/>
    </row>
    <row r="8" spans="1:29" ht="17.25" customHeight="1" x14ac:dyDescent="0.25">
      <c r="A8" s="6" t="str">
        <f>Rolesfor1719!A8 &amp; "," &amp; Rolesfor1719!B8 &amp; " " &amp; Rolesfor1719!C8</f>
        <v>Diaz,Veronica Yvonne</v>
      </c>
      <c r="B8" s="251" t="str">
        <f>Rolesfor1719!D8</f>
        <v>vydiaz</v>
      </c>
      <c r="C8" s="241" t="str">
        <f>Rolesfor1719!F8</f>
        <v>26546</v>
      </c>
      <c r="D8" s="254"/>
      <c r="E8" s="263"/>
      <c r="F8" s="246">
        <v>0</v>
      </c>
      <c r="G8" s="269"/>
      <c r="H8" s="272"/>
      <c r="I8" s="272"/>
      <c r="J8" s="275"/>
      <c r="K8" s="275"/>
      <c r="L8" s="278">
        <v>5</v>
      </c>
      <c r="M8" s="278"/>
      <c r="N8" s="278"/>
      <c r="O8" s="278"/>
      <c r="P8" s="278"/>
      <c r="Q8" s="278"/>
      <c r="R8" s="278"/>
      <c r="S8" s="278"/>
      <c r="T8" s="247"/>
      <c r="U8" s="281"/>
      <c r="V8" s="247"/>
      <c r="W8" s="247"/>
      <c r="X8" s="264"/>
    </row>
    <row r="9" spans="1:29" ht="17.25" customHeight="1" x14ac:dyDescent="0.25">
      <c r="A9" s="6" t="str">
        <f>Rolesfor1719!A9 &amp; "," &amp; Rolesfor1719!B9 &amp; " " &amp; Rolesfor1719!C9</f>
        <v>Gonzalez,Nicholas J</v>
      </c>
      <c r="B9" s="251" t="str">
        <f>Rolesfor1719!D9</f>
        <v>njgonza2</v>
      </c>
      <c r="C9" s="241" t="str">
        <f>Rolesfor1719!F9</f>
        <v>95108</v>
      </c>
      <c r="D9" s="254"/>
      <c r="E9" s="263"/>
      <c r="F9" s="246">
        <v>0</v>
      </c>
      <c r="G9" s="269"/>
      <c r="H9" s="272"/>
      <c r="I9" s="272"/>
      <c r="J9" s="275"/>
      <c r="K9" s="275"/>
      <c r="L9" s="278">
        <v>5</v>
      </c>
      <c r="M9" s="278"/>
      <c r="N9" s="278"/>
      <c r="O9" s="278"/>
      <c r="P9" s="278"/>
      <c r="Q9" s="278"/>
      <c r="R9" s="278"/>
      <c r="S9" s="278"/>
      <c r="T9" s="247"/>
      <c r="U9" s="281"/>
      <c r="V9" s="247"/>
      <c r="W9" s="247"/>
      <c r="X9" s="264"/>
    </row>
    <row r="10" spans="1:29" ht="17.25" customHeight="1" x14ac:dyDescent="0.25">
      <c r="A10" s="6" t="str">
        <f>Rolesfor1719!A10 &amp; "," &amp; Rolesfor1719!B10 &amp; " " &amp; Rolesfor1719!C10</f>
        <v>Huffman,Jordan A</v>
      </c>
      <c r="B10" s="251" t="str">
        <f>Rolesfor1719!D10</f>
        <v>jahuffma</v>
      </c>
      <c r="C10" s="241" t="str">
        <f>Rolesfor1719!F10</f>
        <v>30976</v>
      </c>
      <c r="D10" s="254"/>
      <c r="E10" s="263"/>
      <c r="F10" s="246">
        <v>5</v>
      </c>
      <c r="G10" s="269"/>
      <c r="H10" s="272"/>
      <c r="I10" s="272"/>
      <c r="J10" s="275"/>
      <c r="K10" s="275"/>
      <c r="L10" s="278">
        <v>10</v>
      </c>
      <c r="M10" s="278"/>
      <c r="N10" s="278"/>
      <c r="O10" s="278"/>
      <c r="P10" s="278"/>
      <c r="Q10" s="278"/>
      <c r="R10" s="278"/>
      <c r="S10" s="278"/>
      <c r="T10" s="247"/>
      <c r="U10" s="281"/>
      <c r="V10" s="247"/>
      <c r="W10" s="247"/>
      <c r="X10" s="264"/>
    </row>
    <row r="11" spans="1:29" ht="17.25" customHeight="1" x14ac:dyDescent="0.25">
      <c r="A11" s="6" t="str">
        <f>Rolesfor1719!A11 &amp; "," &amp; Rolesfor1719!B11 &amp; " " &amp; Rolesfor1719!C11</f>
        <v>Husser,Matthew D</v>
      </c>
      <c r="B11" s="251" t="str">
        <f>Rolesfor1719!D11</f>
        <v>mdhusser</v>
      </c>
      <c r="C11" s="241" t="str">
        <f>Rolesfor1719!F11</f>
        <v>53116</v>
      </c>
      <c r="D11" s="254"/>
      <c r="E11" s="263"/>
      <c r="F11" s="246">
        <v>5</v>
      </c>
      <c r="G11" s="269"/>
      <c r="H11" s="272"/>
      <c r="I11" s="272"/>
      <c r="J11" s="275"/>
      <c r="K11" s="275"/>
      <c r="L11" s="278">
        <v>7</v>
      </c>
      <c r="M11" s="278"/>
      <c r="N11" s="278"/>
      <c r="O11" s="278"/>
      <c r="P11" s="278"/>
      <c r="Q11" s="278"/>
      <c r="R11" s="278"/>
      <c r="S11" s="278"/>
      <c r="T11" s="247"/>
      <c r="U11" s="281"/>
      <c r="V11" s="247"/>
      <c r="W11" s="247"/>
      <c r="X11" s="264"/>
    </row>
    <row r="12" spans="1:29" ht="17.25" customHeight="1" x14ac:dyDescent="0.25">
      <c r="A12" s="6" t="str">
        <f>Rolesfor1719!A12 &amp; "," &amp; Rolesfor1719!B12 &amp; " " &amp; Rolesfor1719!C12</f>
        <v>Johnson,William Garreth</v>
      </c>
      <c r="B12" s="251" t="str">
        <f>Rolesfor1719!D12</f>
        <v>wgjohns3</v>
      </c>
      <c r="C12" s="241" t="str">
        <f>Rolesfor1719!F12</f>
        <v>09195</v>
      </c>
      <c r="D12" s="254"/>
      <c r="E12" s="263"/>
      <c r="F12" s="246">
        <v>5</v>
      </c>
      <c r="G12" s="269"/>
      <c r="H12" s="272"/>
      <c r="I12" s="272"/>
      <c r="J12" s="275"/>
      <c r="K12" s="275"/>
      <c r="L12" s="278">
        <v>10</v>
      </c>
      <c r="M12" s="278"/>
      <c r="N12" s="278"/>
      <c r="O12" s="278"/>
      <c r="P12" s="278"/>
      <c r="Q12" s="278"/>
      <c r="R12" s="278"/>
      <c r="S12" s="278"/>
      <c r="T12" s="247"/>
      <c r="U12" s="281"/>
      <c r="V12" s="247"/>
      <c r="W12" s="247"/>
      <c r="X12" s="264"/>
    </row>
    <row r="13" spans="1:29" ht="17.25" customHeight="1" x14ac:dyDescent="0.25">
      <c r="A13" s="6" t="str">
        <f>Rolesfor1719!A14 &amp; "," &amp; Rolesfor1719!B14 &amp; " " &amp; Rolesfor1719!C14</f>
        <v>Kremin,Dawna Marie</v>
      </c>
      <c r="B13" s="251" t="str">
        <f>Rolesfor1719!D14</f>
        <v>dmkremin</v>
      </c>
      <c r="C13" s="241" t="str">
        <f>Rolesfor1719!F14</f>
        <v>63437</v>
      </c>
      <c r="D13" s="254"/>
      <c r="E13" s="263"/>
      <c r="F13" s="246">
        <v>5</v>
      </c>
      <c r="G13" s="269"/>
      <c r="H13" s="272"/>
      <c r="I13" s="272"/>
      <c r="J13" s="275"/>
      <c r="K13" s="275"/>
      <c r="L13" s="278">
        <v>9</v>
      </c>
      <c r="M13" s="278"/>
      <c r="N13" s="278"/>
      <c r="O13" s="278"/>
      <c r="P13" s="278"/>
      <c r="Q13" s="278"/>
      <c r="R13" s="278"/>
      <c r="S13" s="278"/>
      <c r="T13" s="247"/>
      <c r="U13" s="281"/>
      <c r="V13" s="247"/>
      <c r="W13" s="247"/>
      <c r="X13" s="264"/>
    </row>
    <row r="14" spans="1:29" ht="17.25" customHeight="1" x14ac:dyDescent="0.25">
      <c r="A14" s="6" t="str">
        <f>Rolesfor1719!A15 &amp; "," &amp; Rolesfor1719!B15 &amp; " " &amp; Rolesfor1719!C15</f>
        <v>Landers,Richard L</v>
      </c>
      <c r="B14" s="251" t="str">
        <f>Rolesfor1719!D15</f>
        <v>rllander</v>
      </c>
      <c r="C14" s="241" t="str">
        <f>Rolesfor1719!F15</f>
        <v>66378</v>
      </c>
      <c r="D14" s="254"/>
      <c r="E14" s="263"/>
      <c r="F14" s="246">
        <v>5</v>
      </c>
      <c r="G14" s="269"/>
      <c r="H14" s="272"/>
      <c r="I14" s="272"/>
      <c r="J14" s="275"/>
      <c r="K14" s="275"/>
      <c r="L14" s="278">
        <v>5</v>
      </c>
      <c r="M14" s="278"/>
      <c r="N14" s="278"/>
      <c r="O14" s="278"/>
      <c r="P14" s="278"/>
      <c r="Q14" s="278"/>
      <c r="R14" s="278"/>
      <c r="S14" s="278"/>
      <c r="T14" s="247"/>
      <c r="U14" s="281"/>
      <c r="V14" s="247"/>
      <c r="W14" s="247"/>
      <c r="X14" s="264"/>
    </row>
    <row r="15" spans="1:29" ht="17.25" customHeight="1" x14ac:dyDescent="0.25">
      <c r="A15" s="6" t="str">
        <f>Rolesfor1719!A16 &amp; "," &amp; Rolesfor1719!B16 &amp; " " &amp; Rolesfor1719!C16</f>
        <v xml:space="preserve">McCaskill,Dorothy </v>
      </c>
      <c r="B15" s="251" t="str">
        <f>Rolesfor1719!D16</f>
        <v>dmccaski</v>
      </c>
      <c r="C15" s="241" t="str">
        <f>Rolesfor1719!F16</f>
        <v>62378</v>
      </c>
      <c r="D15" s="254"/>
      <c r="E15" s="263"/>
      <c r="F15" s="246">
        <v>0</v>
      </c>
      <c r="G15" s="269"/>
      <c r="H15" s="272"/>
      <c r="I15" s="272"/>
      <c r="J15" s="275"/>
      <c r="K15" s="275"/>
      <c r="L15" s="278">
        <v>0</v>
      </c>
      <c r="M15" s="278"/>
      <c r="N15" s="278"/>
      <c r="O15" s="278"/>
      <c r="P15" s="278"/>
      <c r="Q15" s="278"/>
      <c r="R15" s="278"/>
      <c r="S15" s="278"/>
      <c r="T15" s="247"/>
      <c r="U15" s="281"/>
      <c r="V15" s="247"/>
      <c r="W15" s="247"/>
      <c r="X15" s="264"/>
    </row>
    <row r="16" spans="1:29" ht="17.25" customHeight="1" x14ac:dyDescent="0.25">
      <c r="A16" s="6" t="str">
        <f>Rolesfor1719!A27 &amp; "," &amp; Rolesfor1719!B27 &amp; " " &amp; Rolesfor1719!C27</f>
        <v xml:space="preserve">McKeon,JoJo </v>
      </c>
      <c r="B16" s="251" t="s">
        <v>278</v>
      </c>
      <c r="C16" s="241" t="str">
        <f>Rolesfor1719!F27</f>
        <v>9yyyy</v>
      </c>
      <c r="D16" s="254"/>
      <c r="E16" s="263"/>
      <c r="F16" s="246">
        <v>5</v>
      </c>
      <c r="G16" s="269"/>
      <c r="H16" s="272"/>
      <c r="I16" s="272"/>
      <c r="J16" s="275"/>
      <c r="K16" s="275"/>
      <c r="L16" s="278">
        <v>5</v>
      </c>
      <c r="M16" s="278"/>
      <c r="N16" s="278"/>
      <c r="O16" s="278"/>
      <c r="P16" s="278"/>
      <c r="Q16" s="278"/>
      <c r="R16" s="278"/>
      <c r="S16" s="278"/>
      <c r="T16" s="247"/>
      <c r="U16" s="281"/>
      <c r="V16" s="247"/>
      <c r="W16" s="247"/>
      <c r="X16" s="264"/>
    </row>
    <row r="17" spans="1:24" ht="17.25" customHeight="1" x14ac:dyDescent="0.25">
      <c r="A17" s="6" t="str">
        <f>Rolesfor1719!A17 &amp; "," &amp; Rolesfor1719!B17 &amp; " " &amp; Rolesfor1719!C17</f>
        <v>Miano,Nichole Marie</v>
      </c>
      <c r="B17" s="251" t="str">
        <f>Rolesfor1719!D17</f>
        <v>nmmiano</v>
      </c>
      <c r="C17" s="241" t="str">
        <f>Rolesfor1719!F17</f>
        <v>22337</v>
      </c>
      <c r="D17" s="254"/>
      <c r="E17" s="263"/>
      <c r="F17" s="246">
        <v>0</v>
      </c>
      <c r="G17" s="269"/>
      <c r="H17" s="272"/>
      <c r="I17" s="272"/>
      <c r="J17" s="275"/>
      <c r="K17" s="275"/>
      <c r="L17" s="278">
        <v>0</v>
      </c>
      <c r="M17" s="278"/>
      <c r="N17" s="278"/>
      <c r="O17" s="278"/>
      <c r="P17" s="278"/>
      <c r="Q17" s="278"/>
      <c r="R17" s="278"/>
      <c r="S17" s="278"/>
      <c r="T17" s="247"/>
      <c r="U17" s="281"/>
      <c r="V17" s="247"/>
      <c r="W17" s="247"/>
      <c r="X17" s="264"/>
    </row>
    <row r="18" spans="1:24" ht="17.25" customHeight="1" x14ac:dyDescent="0.25">
      <c r="A18" s="6" t="str">
        <f>Rolesfor1719!A18 &amp; "," &amp; Rolesfor1719!B18 &amp; " " &amp; Rolesfor1719!C18</f>
        <v>Noboa,Cinthia E</v>
      </c>
      <c r="B18" s="251" t="str">
        <f>Rolesfor1719!D18</f>
        <v>cenoboa</v>
      </c>
      <c r="C18" s="241" t="str">
        <f>Rolesfor1719!F18</f>
        <v>97982</v>
      </c>
      <c r="D18" s="254"/>
      <c r="E18" s="263"/>
      <c r="F18" s="246">
        <v>5</v>
      </c>
      <c r="G18" s="269"/>
      <c r="H18" s="272"/>
      <c r="I18" s="272"/>
      <c r="J18" s="275"/>
      <c r="K18" s="275"/>
      <c r="L18" s="278">
        <v>5</v>
      </c>
      <c r="M18" s="278"/>
      <c r="N18" s="278"/>
      <c r="O18" s="278"/>
      <c r="P18" s="278"/>
      <c r="Q18" s="278"/>
      <c r="R18" s="278"/>
      <c r="S18" s="278"/>
      <c r="T18" s="247"/>
      <c r="U18" s="281"/>
      <c r="V18" s="247"/>
      <c r="W18" s="247"/>
      <c r="X18" s="264"/>
    </row>
    <row r="19" spans="1:24" ht="17.25" customHeight="1" x14ac:dyDescent="0.25">
      <c r="A19" s="6" t="str">
        <f>Rolesfor1719!A19 &amp; "," &amp; Rolesfor1719!B19 &amp; " " &amp; Rolesfor1719!C19</f>
        <v>Poland,Preston M</v>
      </c>
      <c r="B19" s="251" t="str">
        <f>Rolesfor1719!D19</f>
        <v>pmpoland</v>
      </c>
      <c r="C19" s="241" t="str">
        <f>Rolesfor1719!F19</f>
        <v>07992</v>
      </c>
      <c r="D19" s="254"/>
      <c r="E19" s="263"/>
      <c r="F19" s="246">
        <v>0</v>
      </c>
      <c r="G19" s="269"/>
      <c r="H19" s="272"/>
      <c r="I19" s="272"/>
      <c r="J19" s="275"/>
      <c r="K19" s="275"/>
      <c r="L19" s="278">
        <v>0</v>
      </c>
      <c r="M19" s="278"/>
      <c r="N19" s="278"/>
      <c r="O19" s="278"/>
      <c r="P19" s="278"/>
      <c r="Q19" s="278"/>
      <c r="R19" s="278"/>
      <c r="S19" s="278"/>
      <c r="T19" s="247"/>
      <c r="U19" s="281"/>
      <c r="V19" s="247"/>
      <c r="W19" s="247"/>
      <c r="X19" s="264"/>
    </row>
    <row r="20" spans="1:24" ht="17.25" customHeight="1" x14ac:dyDescent="0.25">
      <c r="A20" s="6" t="str">
        <f>Rolesfor1719!A20 &amp; "," &amp; Rolesfor1719!B20 &amp; " " &amp; Rolesfor1719!C20</f>
        <v>Ragogna,Victoria Elizabeth</v>
      </c>
      <c r="B20" s="251" t="str">
        <f>Rolesfor1719!D20</f>
        <v>veragogn</v>
      </c>
      <c r="C20" s="241" t="str">
        <f>Rolesfor1719!F20</f>
        <v>68423</v>
      </c>
      <c r="D20" s="254"/>
      <c r="E20" s="263"/>
      <c r="F20" s="246">
        <v>0</v>
      </c>
      <c r="G20" s="269"/>
      <c r="H20" s="272"/>
      <c r="I20" s="272"/>
      <c r="J20" s="275"/>
      <c r="K20" s="275"/>
      <c r="L20" s="278">
        <v>0</v>
      </c>
      <c r="M20" s="278"/>
      <c r="N20" s="278"/>
      <c r="O20" s="278"/>
      <c r="P20" s="278"/>
      <c r="Q20" s="278"/>
      <c r="R20" s="278"/>
      <c r="S20" s="278"/>
      <c r="T20" s="247"/>
      <c r="U20" s="281"/>
      <c r="V20" s="247"/>
      <c r="W20" s="247"/>
      <c r="X20" s="264"/>
    </row>
    <row r="21" spans="1:24" ht="17.25" customHeight="1" x14ac:dyDescent="0.25">
      <c r="A21" s="6" t="str">
        <f>Rolesfor1719!A21 &amp; "," &amp; Rolesfor1719!B21 &amp; " " &amp; Rolesfor1719!C21</f>
        <v>Reece,Mary Katherine</v>
      </c>
      <c r="B21" s="251" t="str">
        <f>Rolesfor1719!D21</f>
        <v>mkreece</v>
      </c>
      <c r="C21" s="241" t="str">
        <f>Rolesfor1719!F21</f>
        <v>49672</v>
      </c>
      <c r="D21" s="254"/>
      <c r="E21" s="263"/>
      <c r="F21" s="246">
        <v>5</v>
      </c>
      <c r="G21" s="269"/>
      <c r="H21" s="272"/>
      <c r="I21" s="272"/>
      <c r="J21" s="275"/>
      <c r="K21" s="275"/>
      <c r="L21" s="278">
        <v>3</v>
      </c>
      <c r="M21" s="278"/>
      <c r="N21" s="278"/>
      <c r="O21" s="278"/>
      <c r="P21" s="278"/>
      <c r="Q21" s="278"/>
      <c r="R21" s="278"/>
      <c r="S21" s="278"/>
      <c r="T21" s="247"/>
      <c r="U21" s="281"/>
      <c r="V21" s="247"/>
      <c r="W21" s="247"/>
      <c r="X21" s="264"/>
    </row>
    <row r="22" spans="1:24" ht="17.25" customHeight="1" x14ac:dyDescent="0.25">
      <c r="A22" s="6" t="str">
        <f>Rolesfor1719!A22 &amp; "," &amp; Rolesfor1719!B22 &amp; " " &amp; Rolesfor1719!C22</f>
        <v>Robinson,Laini Tessa</v>
      </c>
      <c r="B22" s="251" t="str">
        <f>Rolesfor1719!D22</f>
        <v>ltrobins</v>
      </c>
      <c r="C22" s="241" t="str">
        <f>Rolesfor1719!F22</f>
        <v>43195</v>
      </c>
      <c r="D22" s="254"/>
      <c r="E22" s="263"/>
      <c r="F22" s="246">
        <v>5</v>
      </c>
      <c r="G22" s="269"/>
      <c r="H22" s="272"/>
      <c r="I22" s="272"/>
      <c r="J22" s="275"/>
      <c r="K22" s="275"/>
      <c r="L22" s="278">
        <v>5</v>
      </c>
      <c r="M22" s="278"/>
      <c r="N22" s="278"/>
      <c r="O22" s="278"/>
      <c r="P22" s="278"/>
      <c r="Q22" s="278"/>
      <c r="R22" s="278"/>
      <c r="S22" s="278"/>
      <c r="T22" s="247"/>
      <c r="U22" s="281"/>
      <c r="V22" s="247"/>
      <c r="W22" s="247"/>
      <c r="X22" s="264"/>
    </row>
    <row r="23" spans="1:24" ht="17.25" customHeight="1" x14ac:dyDescent="0.25">
      <c r="A23" s="6" t="str">
        <f>Rolesfor1719!A23 &amp; "," &amp; Rolesfor1719!B23 &amp; " " &amp; Rolesfor1719!C23</f>
        <v>Simeri,Joseph L</v>
      </c>
      <c r="B23" s="251" t="str">
        <f>Rolesfor1719!D23</f>
        <v>jlsimeri</v>
      </c>
      <c r="C23" s="241" t="str">
        <f>Rolesfor1719!F23</f>
        <v>00291</v>
      </c>
      <c r="D23" s="254"/>
      <c r="E23" s="263"/>
      <c r="F23" s="246">
        <v>0</v>
      </c>
      <c r="G23" s="269"/>
      <c r="H23" s="272"/>
      <c r="I23" s="272"/>
      <c r="J23" s="275"/>
      <c r="K23" s="275"/>
      <c r="L23" s="278">
        <v>0</v>
      </c>
      <c r="M23" s="278"/>
      <c r="N23" s="278"/>
      <c r="O23" s="278"/>
      <c r="P23" s="278"/>
      <c r="Q23" s="278"/>
      <c r="R23" s="278"/>
      <c r="S23" s="278"/>
      <c r="T23" s="247"/>
      <c r="U23" s="281"/>
      <c r="V23" s="247"/>
      <c r="W23" s="247"/>
      <c r="X23" s="264"/>
    </row>
    <row r="24" spans="1:24" ht="17.25" customHeight="1" x14ac:dyDescent="0.25">
      <c r="A24" s="6" t="str">
        <f>Rolesfor1719!A24 &amp; "," &amp; Rolesfor1719!B24 &amp; " " &amp; Rolesfor1719!C24</f>
        <v>Unten,Joel Jiro</v>
      </c>
      <c r="B24" s="251" t="str">
        <f>Rolesfor1719!D24</f>
        <v>jjunten</v>
      </c>
      <c r="C24" s="241" t="str">
        <f>Rolesfor1719!F24</f>
        <v>26990</v>
      </c>
      <c r="D24" s="254"/>
      <c r="E24" s="263"/>
      <c r="F24" s="246">
        <v>0</v>
      </c>
      <c r="G24" s="269"/>
      <c r="H24" s="272"/>
      <c r="I24" s="272"/>
      <c r="J24" s="275"/>
      <c r="K24" s="275"/>
      <c r="L24" s="278">
        <v>10</v>
      </c>
      <c r="M24" s="278"/>
      <c r="N24" s="278"/>
      <c r="O24" s="278"/>
      <c r="P24" s="278"/>
      <c r="Q24" s="278"/>
      <c r="R24" s="278"/>
      <c r="S24" s="278"/>
      <c r="T24" s="247"/>
      <c r="U24" s="281"/>
      <c r="V24" s="247"/>
      <c r="W24" s="247"/>
      <c r="X24" s="264"/>
    </row>
    <row r="25" spans="1:24" ht="17.25" customHeight="1" x14ac:dyDescent="0.25">
      <c r="A25" s="6" t="str">
        <f>Rolesfor1719!A25 &amp; "," &amp; Rolesfor1719!B25 &amp; " " &amp; Rolesfor1719!C25</f>
        <v>White,Christopher Michael</v>
      </c>
      <c r="B25" s="251" t="str">
        <f>Rolesfor1719!D25</f>
        <v>cmwhite5</v>
      </c>
      <c r="C25" s="241" t="str">
        <f>Rolesfor1719!F25</f>
        <v>88413</v>
      </c>
      <c r="D25" s="254"/>
      <c r="E25" s="263"/>
      <c r="F25" s="246">
        <v>0</v>
      </c>
      <c r="G25" s="269"/>
      <c r="H25" s="272"/>
      <c r="I25" s="272"/>
      <c r="J25" s="275"/>
      <c r="K25" s="275"/>
      <c r="L25" s="278">
        <v>0</v>
      </c>
      <c r="M25" s="278"/>
      <c r="N25" s="278"/>
      <c r="O25" s="278"/>
      <c r="P25" s="278"/>
      <c r="Q25" s="278"/>
      <c r="R25" s="278"/>
      <c r="S25" s="278"/>
      <c r="T25" s="247"/>
      <c r="U25" s="281"/>
      <c r="V25" s="247"/>
      <c r="W25" s="247"/>
      <c r="X25" s="264"/>
    </row>
    <row r="26" spans="1:24" ht="17.25" customHeight="1" thickBot="1" x14ac:dyDescent="0.3">
      <c r="A26" s="6" t="str">
        <f>Rolesfor1719!A26 &amp; "," &amp; Rolesfor1719!B26 &amp; " " &amp; Rolesfor1719!C26</f>
        <v>Young,Foster Ramone</v>
      </c>
      <c r="B26" s="251" t="str">
        <f>Rolesfor1719!D26</f>
        <v>fryoung</v>
      </c>
      <c r="C26" s="241" t="str">
        <f>Rolesfor1719!F26</f>
        <v>29214</v>
      </c>
      <c r="D26" s="254"/>
      <c r="E26" s="265"/>
      <c r="F26" s="285">
        <v>0</v>
      </c>
      <c r="G26" s="270"/>
      <c r="H26" s="273"/>
      <c r="I26" s="273"/>
      <c r="J26" s="276"/>
      <c r="K26" s="276"/>
      <c r="L26" s="279">
        <v>8</v>
      </c>
      <c r="M26" s="279"/>
      <c r="N26" s="279"/>
      <c r="O26" s="279"/>
      <c r="P26" s="279"/>
      <c r="Q26" s="279"/>
      <c r="R26" s="279"/>
      <c r="S26" s="279"/>
      <c r="T26" s="266"/>
      <c r="U26" s="282"/>
      <c r="V26" s="266"/>
      <c r="W26" s="266"/>
      <c r="X26" s="267"/>
    </row>
    <row r="27" spans="1:24" x14ac:dyDescent="0.25">
      <c r="A27" s="251"/>
      <c r="B27" s="251"/>
    </row>
    <row r="28" spans="1:24" x14ac:dyDescent="0.25">
      <c r="A28" s="251"/>
      <c r="B28" s="251"/>
    </row>
  </sheetData>
  <sheetProtection password="DE89" sheet="1" objects="1" scenarios="1"/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11"/>
  </sheetPr>
  <dimension ref="A1:BE150"/>
  <sheetViews>
    <sheetView workbookViewId="0">
      <pane xSplit="6" ySplit="2" topLeftCell="X3" activePane="bottomRight" state="frozen"/>
      <selection pane="topRight" activeCell="G1" sqref="G1"/>
      <selection pane="bottomLeft" activeCell="A3" sqref="A3"/>
      <selection pane="bottomRight" sqref="A1:IV65536"/>
    </sheetView>
  </sheetViews>
  <sheetFormatPr defaultRowHeight="12.5" x14ac:dyDescent="0.25"/>
  <cols>
    <col min="1" max="1" width="8.81640625" style="73" hidden="1" customWidth="1"/>
    <col min="2" max="2" width="8" style="73" hidden="1" customWidth="1"/>
    <col min="3" max="3" width="8.7265625" style="73" hidden="1" customWidth="1"/>
    <col min="4" max="4" width="10.1796875" style="73" hidden="1" customWidth="1"/>
    <col min="5" max="5" width="12.1796875" style="73" hidden="1" customWidth="1"/>
    <col min="6" max="6" width="8.54296875" customWidth="1"/>
    <col min="7" max="29" width="4.453125" customWidth="1"/>
    <col min="30" max="57" width="3.26953125" bestFit="1" customWidth="1"/>
  </cols>
  <sheetData>
    <row r="1" spans="1:57" s="34" customFormat="1" ht="13.5" thickBot="1" x14ac:dyDescent="0.35">
      <c r="A1" s="296" t="s">
        <v>6</v>
      </c>
      <c r="B1" s="296" t="s">
        <v>7</v>
      </c>
      <c r="C1" s="296" t="s">
        <v>44</v>
      </c>
      <c r="D1" s="296" t="s">
        <v>0</v>
      </c>
      <c r="E1" s="296" t="s">
        <v>39</v>
      </c>
      <c r="F1" s="111" t="s">
        <v>195</v>
      </c>
      <c r="G1" s="38" t="str">
        <f>VLOOKUP(WEEKDAY(G2)-1,Thedays,2)</f>
        <v>W</v>
      </c>
      <c r="H1" s="38" t="str">
        <f t="shared" ref="H1:AC1" si="0">VLOOKUP(WEEKDAY(H2)-1,Thedays,2)</f>
        <v>F</v>
      </c>
      <c r="I1" s="38" t="str">
        <f t="shared" si="0"/>
        <v>M</v>
      </c>
      <c r="J1" s="38" t="str">
        <f t="shared" si="0"/>
        <v>W</v>
      </c>
      <c r="K1" s="38" t="str">
        <f t="shared" si="0"/>
        <v>F</v>
      </c>
      <c r="L1" s="38" t="str">
        <f t="shared" si="0"/>
        <v>M</v>
      </c>
      <c r="M1" s="38" t="str">
        <f t="shared" si="0"/>
        <v>W</v>
      </c>
      <c r="N1" s="38" t="str">
        <f t="shared" si="0"/>
        <v>F</v>
      </c>
      <c r="O1" s="38" t="str">
        <f t="shared" si="0"/>
        <v>M</v>
      </c>
      <c r="P1" s="38" t="str">
        <f t="shared" si="0"/>
        <v>W</v>
      </c>
      <c r="Q1" s="38" t="str">
        <f t="shared" si="0"/>
        <v>F</v>
      </c>
      <c r="R1" s="38" t="str">
        <f t="shared" si="0"/>
        <v>M</v>
      </c>
      <c r="S1" s="38" t="str">
        <f t="shared" si="0"/>
        <v>W</v>
      </c>
      <c r="T1" s="38" t="str">
        <f t="shared" si="0"/>
        <v>F</v>
      </c>
      <c r="U1" s="38" t="str">
        <f t="shared" si="0"/>
        <v>M</v>
      </c>
      <c r="V1" s="38" t="str">
        <f t="shared" si="0"/>
        <v>W</v>
      </c>
      <c r="W1" s="38" t="str">
        <f t="shared" si="0"/>
        <v>F</v>
      </c>
      <c r="X1" s="38" t="str">
        <f t="shared" si="0"/>
        <v>M</v>
      </c>
      <c r="Y1" s="38" t="str">
        <f t="shared" si="0"/>
        <v>W</v>
      </c>
      <c r="Z1" s="38" t="str">
        <f t="shared" si="0"/>
        <v>F</v>
      </c>
      <c r="AA1" s="38" t="str">
        <f t="shared" si="0"/>
        <v>M</v>
      </c>
      <c r="AB1" s="38" t="str">
        <f t="shared" si="0"/>
        <v>W</v>
      </c>
      <c r="AC1" s="38" t="str">
        <f t="shared" si="0"/>
        <v>F</v>
      </c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</row>
    <row r="2" spans="1:57" s="47" customFormat="1" ht="23.25" customHeight="1" thickBot="1" x14ac:dyDescent="0.3">
      <c r="A2" s="297"/>
      <c r="B2" s="297"/>
      <c r="C2" s="297"/>
      <c r="D2" s="297"/>
      <c r="E2" s="297"/>
      <c r="F2" s="43">
        <v>38005</v>
      </c>
      <c r="G2" s="44">
        <f>F2+2</f>
        <v>38007</v>
      </c>
      <c r="H2" s="44">
        <f>F2+4</f>
        <v>38009</v>
      </c>
      <c r="I2" s="45">
        <f>H2+3</f>
        <v>38012</v>
      </c>
      <c r="J2" s="45">
        <f>I2+2</f>
        <v>38014</v>
      </c>
      <c r="K2" s="45">
        <f>I2+4</f>
        <v>38016</v>
      </c>
      <c r="L2" s="45">
        <f>K2+3</f>
        <v>38019</v>
      </c>
      <c r="M2" s="45">
        <f>L2+2</f>
        <v>38021</v>
      </c>
      <c r="N2" s="45">
        <f>L2+4</f>
        <v>38023</v>
      </c>
      <c r="O2" s="45">
        <f>N2+3</f>
        <v>38026</v>
      </c>
      <c r="P2" s="45">
        <f>O2+2</f>
        <v>38028</v>
      </c>
      <c r="Q2" s="45">
        <f>O2+4</f>
        <v>38030</v>
      </c>
      <c r="R2" s="152">
        <f>Q2+3</f>
        <v>38033</v>
      </c>
      <c r="S2" s="45">
        <f>R2+2</f>
        <v>38035</v>
      </c>
      <c r="T2" s="45">
        <f>R2+4</f>
        <v>38037</v>
      </c>
      <c r="U2" s="45">
        <f>T2+3</f>
        <v>38040</v>
      </c>
      <c r="V2" s="45">
        <f>U2+2</f>
        <v>38042</v>
      </c>
      <c r="W2" s="45">
        <f>U2+4</f>
        <v>38044</v>
      </c>
      <c r="X2" s="45">
        <f>W2+3</f>
        <v>38047</v>
      </c>
      <c r="Y2" s="45">
        <f>X2+2</f>
        <v>38049</v>
      </c>
      <c r="Z2" s="45">
        <f>X2+4</f>
        <v>38051</v>
      </c>
      <c r="AA2" s="45">
        <f>Z2+3</f>
        <v>38054</v>
      </c>
      <c r="AB2" s="45">
        <f>AA2+2</f>
        <v>38056</v>
      </c>
      <c r="AC2" s="46">
        <f>AA2+4</f>
        <v>38058</v>
      </c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</row>
    <row r="3" spans="1:57" s="84" customFormat="1" ht="20.149999999999999" customHeight="1" thickBot="1" x14ac:dyDescent="0.3">
      <c r="A3" s="76" t="s">
        <v>125</v>
      </c>
      <c r="B3" s="76" t="s">
        <v>126</v>
      </c>
      <c r="C3" s="77" t="s">
        <v>127</v>
      </c>
      <c r="D3" s="76" t="s">
        <v>128</v>
      </c>
      <c r="E3" s="78">
        <v>547953461</v>
      </c>
      <c r="F3" s="79" t="str">
        <f>RIGHT(E3,5)</f>
        <v>53461</v>
      </c>
      <c r="G3" s="80">
        <v>2</v>
      </c>
      <c r="H3" s="80">
        <v>2</v>
      </c>
      <c r="I3" s="81">
        <v>2</v>
      </c>
      <c r="J3" s="197">
        <v>2</v>
      </c>
      <c r="K3" s="197">
        <v>2</v>
      </c>
      <c r="L3" s="81">
        <v>2</v>
      </c>
      <c r="M3" s="81">
        <v>2</v>
      </c>
      <c r="N3" s="81">
        <v>2</v>
      </c>
      <c r="O3" s="81">
        <v>2</v>
      </c>
      <c r="P3" s="129">
        <v>2</v>
      </c>
      <c r="Q3" s="81">
        <v>2</v>
      </c>
      <c r="R3" s="153"/>
      <c r="S3" s="81">
        <v>0</v>
      </c>
      <c r="T3" s="87">
        <v>2</v>
      </c>
      <c r="U3" s="81">
        <v>2</v>
      </c>
      <c r="V3" s="81">
        <v>2</v>
      </c>
      <c r="W3" s="81">
        <v>2</v>
      </c>
      <c r="X3" s="81"/>
      <c r="Y3" s="81"/>
      <c r="Z3" s="81"/>
      <c r="AA3" s="81"/>
      <c r="AB3" s="82"/>
      <c r="AC3" s="83"/>
    </row>
    <row r="4" spans="1:57" s="166" customFormat="1" ht="20.149999999999999" customHeight="1" thickBot="1" x14ac:dyDescent="0.3">
      <c r="A4" s="161" t="s">
        <v>129</v>
      </c>
      <c r="B4" s="161" t="s">
        <v>130</v>
      </c>
      <c r="C4" s="162" t="s">
        <v>131</v>
      </c>
      <c r="D4" s="161" t="s">
        <v>132</v>
      </c>
      <c r="E4" s="161">
        <v>62688193</v>
      </c>
      <c r="F4" s="163" t="str">
        <f t="shared" ref="F4:F23" si="1">RIGHT(E4,5)</f>
        <v>88193</v>
      </c>
      <c r="G4" s="164">
        <v>2</v>
      </c>
      <c r="H4" s="164">
        <v>2</v>
      </c>
      <c r="I4" s="161">
        <v>2</v>
      </c>
      <c r="J4" s="198">
        <v>2</v>
      </c>
      <c r="K4" s="198">
        <v>2</v>
      </c>
      <c r="L4" s="161">
        <v>2</v>
      </c>
      <c r="M4" s="161">
        <v>2</v>
      </c>
      <c r="N4" s="161">
        <v>2</v>
      </c>
      <c r="O4" s="161">
        <v>2</v>
      </c>
      <c r="P4" s="164">
        <v>2</v>
      </c>
      <c r="Q4" s="161">
        <v>2</v>
      </c>
      <c r="R4" s="161"/>
      <c r="S4" s="161">
        <v>0</v>
      </c>
      <c r="T4" s="161">
        <v>2</v>
      </c>
      <c r="U4" s="161">
        <v>0</v>
      </c>
      <c r="V4" s="161">
        <v>0</v>
      </c>
      <c r="W4" s="161">
        <v>0</v>
      </c>
      <c r="X4" s="161"/>
      <c r="Y4" s="161"/>
      <c r="Z4" s="161"/>
      <c r="AA4" s="161"/>
      <c r="AB4" s="162"/>
      <c r="AC4" s="165"/>
    </row>
    <row r="5" spans="1:57" s="84" customFormat="1" ht="20.149999999999999" customHeight="1" thickBot="1" x14ac:dyDescent="0.3">
      <c r="A5" s="85" t="s">
        <v>133</v>
      </c>
      <c r="B5" s="85" t="s">
        <v>134</v>
      </c>
      <c r="C5" s="86" t="s">
        <v>135</v>
      </c>
      <c r="D5" s="85" t="s">
        <v>136</v>
      </c>
      <c r="E5" s="85">
        <v>61549336</v>
      </c>
      <c r="F5" s="79" t="str">
        <f t="shared" si="1"/>
        <v>49336</v>
      </c>
      <c r="G5" s="80">
        <v>2</v>
      </c>
      <c r="H5" s="80">
        <v>2</v>
      </c>
      <c r="I5" s="87">
        <v>2</v>
      </c>
      <c r="J5" s="197">
        <v>2</v>
      </c>
      <c r="K5" s="197">
        <v>2</v>
      </c>
      <c r="L5" s="87">
        <v>2</v>
      </c>
      <c r="M5" s="87">
        <v>2</v>
      </c>
      <c r="N5" s="87">
        <v>2</v>
      </c>
      <c r="O5" s="87">
        <v>2</v>
      </c>
      <c r="P5" s="129">
        <v>2</v>
      </c>
      <c r="Q5" s="87">
        <v>2</v>
      </c>
      <c r="R5" s="295" t="s">
        <v>196</v>
      </c>
      <c r="S5" s="87">
        <v>2</v>
      </c>
      <c r="T5" s="87">
        <v>2</v>
      </c>
      <c r="U5" s="87">
        <v>2</v>
      </c>
      <c r="V5" s="87">
        <v>2</v>
      </c>
      <c r="W5" s="87">
        <v>2</v>
      </c>
      <c r="X5" s="87"/>
      <c r="Y5" s="87"/>
      <c r="Z5" s="87"/>
      <c r="AA5" s="87"/>
      <c r="AB5" s="88"/>
      <c r="AC5" s="89"/>
    </row>
    <row r="6" spans="1:57" s="187" customFormat="1" ht="20.149999999999999" customHeight="1" thickBot="1" x14ac:dyDescent="0.3">
      <c r="A6" s="180" t="s">
        <v>137</v>
      </c>
      <c r="B6" s="180" t="s">
        <v>138</v>
      </c>
      <c r="C6" s="181"/>
      <c r="D6" s="180" t="s">
        <v>139</v>
      </c>
      <c r="E6" s="180">
        <v>765032355</v>
      </c>
      <c r="F6" s="182" t="str">
        <f t="shared" si="1"/>
        <v>32355</v>
      </c>
      <c r="G6" s="183">
        <v>2</v>
      </c>
      <c r="H6" s="183">
        <v>2</v>
      </c>
      <c r="I6" s="184">
        <v>2</v>
      </c>
      <c r="J6" s="197">
        <v>2</v>
      </c>
      <c r="K6" s="197">
        <v>2</v>
      </c>
      <c r="L6" s="184">
        <v>0</v>
      </c>
      <c r="M6" s="184">
        <v>0</v>
      </c>
      <c r="N6" s="184">
        <v>2</v>
      </c>
      <c r="O6" s="184">
        <v>2</v>
      </c>
      <c r="P6" s="183">
        <v>2</v>
      </c>
      <c r="Q6" s="184">
        <v>2</v>
      </c>
      <c r="R6" s="289"/>
      <c r="S6" s="184">
        <v>2</v>
      </c>
      <c r="T6" s="184">
        <v>2</v>
      </c>
      <c r="U6" s="184">
        <v>0</v>
      </c>
      <c r="V6" s="184">
        <v>0</v>
      </c>
      <c r="W6" s="184">
        <v>2</v>
      </c>
      <c r="X6" s="184"/>
      <c r="Y6" s="184"/>
      <c r="Z6" s="184"/>
      <c r="AA6" s="184"/>
      <c r="AB6" s="185"/>
      <c r="AC6" s="186"/>
    </row>
    <row r="7" spans="1:57" s="84" customFormat="1" ht="20.149999999999999" customHeight="1" thickBot="1" x14ac:dyDescent="0.3">
      <c r="A7" s="85" t="s">
        <v>140</v>
      </c>
      <c r="B7" s="85" t="s">
        <v>141</v>
      </c>
      <c r="C7" s="86" t="s">
        <v>142</v>
      </c>
      <c r="D7" s="85" t="s">
        <v>143</v>
      </c>
      <c r="E7" s="85">
        <v>600367172</v>
      </c>
      <c r="F7" s="79" t="str">
        <f t="shared" si="1"/>
        <v>67172</v>
      </c>
      <c r="G7" s="80">
        <v>2</v>
      </c>
      <c r="H7" s="80">
        <v>2</v>
      </c>
      <c r="I7" s="87">
        <v>2</v>
      </c>
      <c r="J7" s="197">
        <v>2</v>
      </c>
      <c r="K7" s="197">
        <v>2</v>
      </c>
      <c r="L7" s="87">
        <v>2</v>
      </c>
      <c r="M7" s="87">
        <v>2</v>
      </c>
      <c r="N7" s="87">
        <v>2</v>
      </c>
      <c r="O7" s="87">
        <v>2</v>
      </c>
      <c r="P7" s="129">
        <v>2</v>
      </c>
      <c r="Q7" s="87">
        <v>2</v>
      </c>
      <c r="R7" s="289"/>
      <c r="S7" s="87">
        <v>2</v>
      </c>
      <c r="T7" s="87">
        <v>2</v>
      </c>
      <c r="U7" s="87">
        <v>2</v>
      </c>
      <c r="V7" s="87">
        <v>2</v>
      </c>
      <c r="W7" s="87">
        <v>2</v>
      </c>
      <c r="X7" s="87"/>
      <c r="Y7" s="87"/>
      <c r="Z7" s="87"/>
      <c r="AA7" s="87"/>
      <c r="AB7" s="88"/>
      <c r="AC7" s="89"/>
    </row>
    <row r="8" spans="1:57" s="84" customFormat="1" ht="20.149999999999999" customHeight="1" thickBot="1" x14ac:dyDescent="0.3">
      <c r="A8" s="85" t="s">
        <v>144</v>
      </c>
      <c r="B8" s="85" t="s">
        <v>145</v>
      </c>
      <c r="C8" s="86" t="s">
        <v>4</v>
      </c>
      <c r="D8" s="85" t="s">
        <v>146</v>
      </c>
      <c r="E8" s="85">
        <v>527277155</v>
      </c>
      <c r="F8" s="79" t="str">
        <f t="shared" si="1"/>
        <v>77155</v>
      </c>
      <c r="G8" s="80">
        <v>2</v>
      </c>
      <c r="H8" s="80">
        <v>2</v>
      </c>
      <c r="I8" s="87">
        <v>2</v>
      </c>
      <c r="J8" s="197">
        <v>2</v>
      </c>
      <c r="K8" s="197">
        <v>2</v>
      </c>
      <c r="L8" s="87">
        <v>2</v>
      </c>
      <c r="M8" s="87">
        <v>2</v>
      </c>
      <c r="N8" s="87">
        <v>2</v>
      </c>
      <c r="O8" s="87">
        <v>2</v>
      </c>
      <c r="P8" s="129">
        <v>2</v>
      </c>
      <c r="Q8" s="87">
        <v>2</v>
      </c>
      <c r="R8" s="289"/>
      <c r="S8" s="87">
        <v>2</v>
      </c>
      <c r="T8" s="87">
        <v>2</v>
      </c>
      <c r="U8" s="87">
        <v>2</v>
      </c>
      <c r="V8" s="87">
        <v>2</v>
      </c>
      <c r="W8" s="87">
        <v>2</v>
      </c>
      <c r="X8" s="87"/>
      <c r="Y8" s="87"/>
      <c r="Z8" s="87"/>
      <c r="AA8" s="87"/>
      <c r="AB8" s="88"/>
      <c r="AC8" s="89"/>
    </row>
    <row r="9" spans="1:57" s="84" customFormat="1" ht="20.149999999999999" customHeight="1" thickBot="1" x14ac:dyDescent="0.3">
      <c r="A9" s="85" t="s">
        <v>147</v>
      </c>
      <c r="B9" s="85" t="s">
        <v>148</v>
      </c>
      <c r="C9" s="86"/>
      <c r="D9" s="85" t="s">
        <v>149</v>
      </c>
      <c r="E9" s="85">
        <v>53761120</v>
      </c>
      <c r="F9" s="79" t="str">
        <f t="shared" si="1"/>
        <v>61120</v>
      </c>
      <c r="G9" s="80">
        <v>2</v>
      </c>
      <c r="H9" s="80">
        <v>2</v>
      </c>
      <c r="I9" s="87">
        <v>2</v>
      </c>
      <c r="J9" s="197">
        <v>2</v>
      </c>
      <c r="K9" s="197">
        <v>2</v>
      </c>
      <c r="L9" s="87">
        <v>2</v>
      </c>
      <c r="M9" s="87">
        <v>2</v>
      </c>
      <c r="N9" s="87">
        <v>2</v>
      </c>
      <c r="O9" s="87">
        <v>2</v>
      </c>
      <c r="P9" s="129">
        <v>2</v>
      </c>
      <c r="Q9" s="87">
        <v>2</v>
      </c>
      <c r="R9" s="289"/>
      <c r="S9" s="87">
        <v>0</v>
      </c>
      <c r="T9" s="87">
        <v>2</v>
      </c>
      <c r="U9" s="87">
        <v>2</v>
      </c>
      <c r="V9" s="87">
        <v>2</v>
      </c>
      <c r="W9" s="87">
        <v>2</v>
      </c>
      <c r="X9" s="87"/>
      <c r="Y9" s="87"/>
      <c r="Z9" s="87"/>
      <c r="AA9" s="87"/>
      <c r="AB9" s="88"/>
      <c r="AC9" s="89"/>
    </row>
    <row r="10" spans="1:57" s="84" customFormat="1" ht="20.149999999999999" customHeight="1" thickBot="1" x14ac:dyDescent="0.3">
      <c r="A10" s="85" t="s">
        <v>150</v>
      </c>
      <c r="B10" s="85" t="s">
        <v>151</v>
      </c>
      <c r="C10" s="86" t="s">
        <v>152</v>
      </c>
      <c r="D10" s="85" t="s">
        <v>153</v>
      </c>
      <c r="E10" s="85">
        <v>600349957</v>
      </c>
      <c r="F10" s="79" t="str">
        <f t="shared" si="1"/>
        <v>49957</v>
      </c>
      <c r="G10" s="80">
        <v>2</v>
      </c>
      <c r="H10" s="80">
        <v>2</v>
      </c>
      <c r="I10" s="87">
        <v>0</v>
      </c>
      <c r="J10" s="197">
        <v>2</v>
      </c>
      <c r="K10" s="197">
        <v>2</v>
      </c>
      <c r="L10" s="87">
        <v>2</v>
      </c>
      <c r="M10" s="87">
        <v>2</v>
      </c>
      <c r="N10" s="87">
        <v>2</v>
      </c>
      <c r="O10" s="87">
        <v>2</v>
      </c>
      <c r="P10" s="129">
        <v>2</v>
      </c>
      <c r="Q10" s="87">
        <v>2</v>
      </c>
      <c r="R10" s="289"/>
      <c r="S10" s="87">
        <v>0</v>
      </c>
      <c r="T10" s="87">
        <v>2</v>
      </c>
      <c r="U10" s="87">
        <v>2</v>
      </c>
      <c r="V10" s="87">
        <v>2</v>
      </c>
      <c r="W10" s="87">
        <v>2</v>
      </c>
      <c r="X10" s="87"/>
      <c r="Y10" s="87"/>
      <c r="Z10" s="87"/>
      <c r="AA10" s="87"/>
      <c r="AB10" s="88"/>
      <c r="AC10" s="89"/>
    </row>
    <row r="11" spans="1:57" s="84" customFormat="1" ht="20.149999999999999" customHeight="1" thickBot="1" x14ac:dyDescent="0.3">
      <c r="A11" s="85" t="s">
        <v>10</v>
      </c>
      <c r="B11" s="85" t="s">
        <v>154</v>
      </c>
      <c r="C11" s="86" t="s">
        <v>155</v>
      </c>
      <c r="D11" s="85" t="s">
        <v>156</v>
      </c>
      <c r="E11" s="85">
        <v>600070526</v>
      </c>
      <c r="F11" s="79" t="str">
        <f t="shared" si="1"/>
        <v>70526</v>
      </c>
      <c r="G11" s="80">
        <v>2</v>
      </c>
      <c r="H11" s="80">
        <v>2</v>
      </c>
      <c r="I11" s="87">
        <v>2</v>
      </c>
      <c r="J11" s="197">
        <v>2</v>
      </c>
      <c r="K11" s="197">
        <v>2</v>
      </c>
      <c r="L11" s="87">
        <v>2</v>
      </c>
      <c r="M11" s="87">
        <v>2</v>
      </c>
      <c r="N11" s="87">
        <v>2</v>
      </c>
      <c r="O11" s="87">
        <v>2</v>
      </c>
      <c r="P11" s="129">
        <v>2</v>
      </c>
      <c r="Q11" s="87">
        <v>2</v>
      </c>
      <c r="R11" s="289"/>
      <c r="S11" s="87">
        <v>2</v>
      </c>
      <c r="T11" s="157">
        <v>2</v>
      </c>
      <c r="U11" s="87">
        <v>2</v>
      </c>
      <c r="V11" s="87">
        <v>0</v>
      </c>
      <c r="W11" s="87">
        <v>2</v>
      </c>
      <c r="X11" s="87"/>
      <c r="Y11" s="87"/>
      <c r="Z11" s="87"/>
      <c r="AA11" s="87"/>
      <c r="AB11" s="88"/>
      <c r="AC11" s="89"/>
    </row>
    <row r="12" spans="1:57" s="84" customFormat="1" ht="20.149999999999999" customHeight="1" thickBot="1" x14ac:dyDescent="0.3">
      <c r="A12" s="85" t="s">
        <v>157</v>
      </c>
      <c r="B12" s="85" t="s">
        <v>17</v>
      </c>
      <c r="C12" s="86" t="s">
        <v>5</v>
      </c>
      <c r="D12" s="85" t="s">
        <v>158</v>
      </c>
      <c r="E12" s="85">
        <v>523459935</v>
      </c>
      <c r="F12" s="79" t="str">
        <f t="shared" si="1"/>
        <v>59935</v>
      </c>
      <c r="G12" s="80">
        <v>2</v>
      </c>
      <c r="H12" s="80">
        <v>2</v>
      </c>
      <c r="I12" s="87">
        <v>2</v>
      </c>
      <c r="J12" s="197">
        <v>2</v>
      </c>
      <c r="K12" s="197">
        <v>2</v>
      </c>
      <c r="L12" s="87">
        <v>2</v>
      </c>
      <c r="M12" s="87">
        <v>2</v>
      </c>
      <c r="N12" s="87">
        <v>2</v>
      </c>
      <c r="O12" s="87">
        <v>2</v>
      </c>
      <c r="P12" s="129">
        <v>2</v>
      </c>
      <c r="Q12" s="87">
        <v>2</v>
      </c>
      <c r="R12" s="289"/>
      <c r="S12" s="87">
        <v>2</v>
      </c>
      <c r="T12" s="157">
        <v>2</v>
      </c>
      <c r="U12" s="87">
        <v>0</v>
      </c>
      <c r="V12" s="87">
        <v>2</v>
      </c>
      <c r="W12" s="87">
        <v>2</v>
      </c>
      <c r="X12" s="87"/>
      <c r="Y12" s="87"/>
      <c r="Z12" s="87"/>
      <c r="AA12" s="87"/>
      <c r="AB12" s="88"/>
      <c r="AC12" s="89"/>
    </row>
    <row r="13" spans="1:57" s="166" customFormat="1" ht="20.149999999999999" customHeight="1" thickBot="1" x14ac:dyDescent="0.3">
      <c r="A13" s="161" t="s">
        <v>159</v>
      </c>
      <c r="B13" s="161" t="s">
        <v>160</v>
      </c>
      <c r="C13" s="162" t="s">
        <v>13</v>
      </c>
      <c r="D13" s="161" t="s">
        <v>161</v>
      </c>
      <c r="E13" s="161">
        <v>549983958</v>
      </c>
      <c r="F13" s="163" t="str">
        <f t="shared" si="1"/>
        <v>83958</v>
      </c>
      <c r="G13" s="164">
        <v>2</v>
      </c>
      <c r="H13" s="164">
        <v>2</v>
      </c>
      <c r="I13" s="161">
        <v>0</v>
      </c>
      <c r="J13" s="164">
        <v>2</v>
      </c>
      <c r="K13" s="164">
        <v>2</v>
      </c>
      <c r="L13" s="161">
        <v>0</v>
      </c>
      <c r="M13" s="161">
        <v>0</v>
      </c>
      <c r="N13" s="161">
        <v>0</v>
      </c>
      <c r="O13" s="161">
        <v>0</v>
      </c>
      <c r="P13" s="164">
        <v>0</v>
      </c>
      <c r="Q13" s="161">
        <v>0</v>
      </c>
      <c r="R13" s="289"/>
      <c r="S13" s="161">
        <v>0</v>
      </c>
      <c r="T13" s="161">
        <v>0</v>
      </c>
      <c r="U13" s="161">
        <v>0</v>
      </c>
      <c r="V13" s="161">
        <v>0</v>
      </c>
      <c r="W13" s="161">
        <v>0</v>
      </c>
      <c r="X13" s="161"/>
      <c r="Y13" s="161"/>
      <c r="Z13" s="161"/>
      <c r="AA13" s="161"/>
      <c r="AB13" s="162"/>
      <c r="AC13" s="165"/>
    </row>
    <row r="14" spans="1:57" s="84" customFormat="1" ht="20.149999999999999" customHeight="1" thickBot="1" x14ac:dyDescent="0.3">
      <c r="A14" s="85" t="s">
        <v>162</v>
      </c>
      <c r="B14" s="85" t="s">
        <v>163</v>
      </c>
      <c r="C14" s="86" t="s">
        <v>164</v>
      </c>
      <c r="D14" s="85" t="s">
        <v>165</v>
      </c>
      <c r="E14" s="90">
        <v>551131463</v>
      </c>
      <c r="F14" s="79" t="str">
        <f t="shared" si="1"/>
        <v>31463</v>
      </c>
      <c r="G14" s="80">
        <v>2</v>
      </c>
      <c r="H14" s="80">
        <v>2</v>
      </c>
      <c r="I14" s="87">
        <v>2</v>
      </c>
      <c r="J14" s="197">
        <v>2</v>
      </c>
      <c r="K14" s="197">
        <v>2</v>
      </c>
      <c r="L14" s="87">
        <v>2</v>
      </c>
      <c r="M14" s="87">
        <v>2</v>
      </c>
      <c r="N14" s="87">
        <v>2</v>
      </c>
      <c r="O14" s="87">
        <v>2</v>
      </c>
      <c r="P14" s="129">
        <v>2</v>
      </c>
      <c r="Q14" s="87">
        <v>2</v>
      </c>
      <c r="R14" s="289"/>
      <c r="S14" s="87">
        <v>2</v>
      </c>
      <c r="T14" s="87">
        <v>2</v>
      </c>
      <c r="U14" s="87">
        <v>2</v>
      </c>
      <c r="V14" s="87">
        <v>2</v>
      </c>
      <c r="W14" s="87">
        <v>2</v>
      </c>
      <c r="X14" s="87"/>
      <c r="Y14" s="87"/>
      <c r="Z14" s="87"/>
      <c r="AA14" s="87"/>
      <c r="AB14" s="88"/>
      <c r="AC14" s="89"/>
    </row>
    <row r="15" spans="1:57" s="84" customFormat="1" ht="20.149999999999999" customHeight="1" thickBot="1" x14ac:dyDescent="0.3">
      <c r="A15" s="85" t="s">
        <v>166</v>
      </c>
      <c r="B15" s="85" t="s">
        <v>167</v>
      </c>
      <c r="C15" s="86" t="s">
        <v>168</v>
      </c>
      <c r="D15" s="85" t="s">
        <v>169</v>
      </c>
      <c r="E15" s="85">
        <v>600145125</v>
      </c>
      <c r="F15" s="79" t="str">
        <f t="shared" si="1"/>
        <v>45125</v>
      </c>
      <c r="G15" s="80">
        <v>2</v>
      </c>
      <c r="H15" s="80">
        <v>2</v>
      </c>
      <c r="I15" s="87">
        <v>2</v>
      </c>
      <c r="J15" s="197">
        <v>2</v>
      </c>
      <c r="K15" s="197">
        <v>2</v>
      </c>
      <c r="L15" s="87">
        <v>2</v>
      </c>
      <c r="M15" s="87">
        <v>2</v>
      </c>
      <c r="N15" s="87">
        <v>2</v>
      </c>
      <c r="O15" s="87">
        <v>2</v>
      </c>
      <c r="P15" s="129">
        <v>2</v>
      </c>
      <c r="Q15" s="87">
        <v>2</v>
      </c>
      <c r="R15" s="289"/>
      <c r="S15" s="87">
        <v>2</v>
      </c>
      <c r="T15" s="87">
        <v>2</v>
      </c>
      <c r="U15" s="87">
        <v>2</v>
      </c>
      <c r="V15" s="87">
        <v>2</v>
      </c>
      <c r="W15" s="87">
        <v>2</v>
      </c>
      <c r="X15" s="87"/>
      <c r="Y15" s="87"/>
      <c r="Z15" s="87"/>
      <c r="AA15" s="87"/>
      <c r="AB15" s="88"/>
      <c r="AC15" s="89"/>
    </row>
    <row r="16" spans="1:57" s="84" customFormat="1" ht="20.149999999999999" customHeight="1" thickBot="1" x14ac:dyDescent="0.3">
      <c r="A16" s="85" t="s">
        <v>170</v>
      </c>
      <c r="B16" s="85" t="s">
        <v>171</v>
      </c>
      <c r="C16" s="86" t="s">
        <v>47</v>
      </c>
      <c r="D16" s="85" t="s">
        <v>172</v>
      </c>
      <c r="E16" s="85">
        <v>30640694</v>
      </c>
      <c r="F16" s="79" t="str">
        <f t="shared" si="1"/>
        <v>40694</v>
      </c>
      <c r="G16" s="80">
        <v>2</v>
      </c>
      <c r="H16" s="80">
        <v>2</v>
      </c>
      <c r="I16" s="87">
        <v>2</v>
      </c>
      <c r="J16" s="197">
        <v>2</v>
      </c>
      <c r="K16" s="197">
        <v>2</v>
      </c>
      <c r="L16" s="87">
        <v>2</v>
      </c>
      <c r="M16" s="87">
        <v>2</v>
      </c>
      <c r="N16" s="87">
        <v>2</v>
      </c>
      <c r="O16" s="87">
        <v>2</v>
      </c>
      <c r="P16" s="129">
        <v>2</v>
      </c>
      <c r="Q16" s="87">
        <v>2</v>
      </c>
      <c r="R16" s="289"/>
      <c r="S16" s="87">
        <v>0</v>
      </c>
      <c r="T16" s="87">
        <v>2</v>
      </c>
      <c r="U16" s="87">
        <v>2</v>
      </c>
      <c r="V16" s="87">
        <v>2</v>
      </c>
      <c r="W16" s="87">
        <v>2</v>
      </c>
      <c r="X16" s="87"/>
      <c r="Y16" s="87"/>
      <c r="Z16" s="87"/>
      <c r="AA16" s="87"/>
      <c r="AB16" s="88"/>
      <c r="AC16" s="89"/>
    </row>
    <row r="17" spans="1:29" s="84" customFormat="1" ht="20.149999999999999" customHeight="1" thickBot="1" x14ac:dyDescent="0.3">
      <c r="A17" s="85" t="s">
        <v>170</v>
      </c>
      <c r="B17" s="85" t="s">
        <v>8</v>
      </c>
      <c r="C17" s="86" t="s">
        <v>173</v>
      </c>
      <c r="D17" s="85" t="s">
        <v>174</v>
      </c>
      <c r="E17" s="90">
        <v>501158815</v>
      </c>
      <c r="F17" s="158" t="str">
        <f t="shared" si="1"/>
        <v>58815</v>
      </c>
      <c r="G17" s="80">
        <v>2</v>
      </c>
      <c r="H17" s="80">
        <v>2</v>
      </c>
      <c r="I17" s="159">
        <v>2</v>
      </c>
      <c r="J17" s="197">
        <v>2</v>
      </c>
      <c r="K17" s="197">
        <v>2</v>
      </c>
      <c r="L17" s="159">
        <v>0</v>
      </c>
      <c r="M17" s="159">
        <v>0</v>
      </c>
      <c r="N17" s="159">
        <v>2</v>
      </c>
      <c r="O17" s="159">
        <v>2</v>
      </c>
      <c r="P17" s="129">
        <v>2</v>
      </c>
      <c r="Q17" s="87">
        <v>2</v>
      </c>
      <c r="R17" s="289"/>
      <c r="S17" s="87">
        <v>2</v>
      </c>
      <c r="T17" s="87">
        <v>2</v>
      </c>
      <c r="U17" s="87">
        <v>2</v>
      </c>
      <c r="V17" s="87">
        <v>2</v>
      </c>
      <c r="W17" s="87">
        <v>2</v>
      </c>
      <c r="X17" s="87"/>
      <c r="Y17" s="87"/>
      <c r="Z17" s="87"/>
      <c r="AA17" s="87"/>
      <c r="AB17" s="88"/>
      <c r="AC17" s="89"/>
    </row>
    <row r="18" spans="1:29" s="84" customFormat="1" ht="20.149999999999999" customHeight="1" thickBot="1" x14ac:dyDescent="0.3">
      <c r="A18" s="85" t="s">
        <v>175</v>
      </c>
      <c r="B18" s="85" t="s">
        <v>176</v>
      </c>
      <c r="C18" s="86"/>
      <c r="D18" s="85" t="s">
        <v>177</v>
      </c>
      <c r="E18" s="85">
        <v>999124424</v>
      </c>
      <c r="F18" s="79" t="str">
        <f t="shared" si="1"/>
        <v>24424</v>
      </c>
      <c r="G18" s="80">
        <v>2</v>
      </c>
      <c r="H18" s="80">
        <v>2</v>
      </c>
      <c r="I18" s="87">
        <v>2</v>
      </c>
      <c r="J18" s="197">
        <v>2</v>
      </c>
      <c r="K18" s="197">
        <v>2</v>
      </c>
      <c r="L18" s="87">
        <v>2</v>
      </c>
      <c r="M18" s="87">
        <v>2</v>
      </c>
      <c r="N18" s="87">
        <v>2</v>
      </c>
      <c r="O18" s="87">
        <v>2</v>
      </c>
      <c r="P18" s="129">
        <v>2</v>
      </c>
      <c r="Q18" s="87">
        <v>2</v>
      </c>
      <c r="R18" s="289"/>
      <c r="S18" s="87">
        <v>2</v>
      </c>
      <c r="T18" s="87">
        <v>2</v>
      </c>
      <c r="U18" s="87">
        <v>2</v>
      </c>
      <c r="V18" s="87">
        <v>2</v>
      </c>
      <c r="W18" s="87">
        <v>2</v>
      </c>
      <c r="X18" s="87"/>
      <c r="Y18" s="87"/>
      <c r="Z18" s="87"/>
      <c r="AA18" s="87"/>
      <c r="AB18" s="88"/>
      <c r="AC18" s="89"/>
    </row>
    <row r="19" spans="1:29" s="84" customFormat="1" ht="20.149999999999999" customHeight="1" thickBot="1" x14ac:dyDescent="0.3">
      <c r="A19" s="85" t="s">
        <v>192</v>
      </c>
      <c r="B19" s="85" t="s">
        <v>193</v>
      </c>
      <c r="C19" s="86" t="s">
        <v>67</v>
      </c>
      <c r="D19" s="85" t="s">
        <v>194</v>
      </c>
      <c r="E19" s="85">
        <v>600809457</v>
      </c>
      <c r="F19" s="79" t="str">
        <f t="shared" si="1"/>
        <v>09457</v>
      </c>
      <c r="G19" s="80">
        <v>2</v>
      </c>
      <c r="H19" s="80">
        <v>2</v>
      </c>
      <c r="I19" s="87">
        <v>2</v>
      </c>
      <c r="J19" s="197">
        <v>2</v>
      </c>
      <c r="K19" s="197">
        <v>2</v>
      </c>
      <c r="L19" s="87">
        <v>2</v>
      </c>
      <c r="M19" s="87">
        <v>2</v>
      </c>
      <c r="N19" s="87">
        <v>2</v>
      </c>
      <c r="O19" s="87">
        <v>2</v>
      </c>
      <c r="P19" s="129">
        <v>2</v>
      </c>
      <c r="Q19" s="87">
        <v>2</v>
      </c>
      <c r="R19" s="289"/>
      <c r="S19" s="87">
        <v>2</v>
      </c>
      <c r="T19" s="87">
        <v>2</v>
      </c>
      <c r="U19" s="87">
        <v>0</v>
      </c>
      <c r="V19" s="87">
        <v>2</v>
      </c>
      <c r="W19" s="87">
        <v>2</v>
      </c>
      <c r="X19" s="87"/>
      <c r="Y19" s="87"/>
      <c r="Z19" s="87"/>
      <c r="AA19" s="87"/>
      <c r="AB19" s="88"/>
      <c r="AC19" s="89"/>
    </row>
    <row r="20" spans="1:29" s="84" customFormat="1" ht="20.149999999999999" customHeight="1" thickBot="1" x14ac:dyDescent="0.3">
      <c r="A20" s="85" t="s">
        <v>178</v>
      </c>
      <c r="B20" s="85" t="s">
        <v>14</v>
      </c>
      <c r="C20" s="86" t="s">
        <v>179</v>
      </c>
      <c r="D20" s="85" t="s">
        <v>180</v>
      </c>
      <c r="E20" s="85">
        <v>313662889</v>
      </c>
      <c r="F20" s="79" t="str">
        <f t="shared" si="1"/>
        <v>62889</v>
      </c>
      <c r="G20" s="80">
        <v>2</v>
      </c>
      <c r="H20" s="80">
        <v>2</v>
      </c>
      <c r="I20" s="87">
        <v>2</v>
      </c>
      <c r="J20" s="197">
        <v>2</v>
      </c>
      <c r="K20" s="197">
        <v>2</v>
      </c>
      <c r="L20" s="87">
        <v>2</v>
      </c>
      <c r="M20" s="87">
        <v>2</v>
      </c>
      <c r="N20" s="87">
        <v>2</v>
      </c>
      <c r="O20" s="87">
        <v>2</v>
      </c>
      <c r="P20" s="129">
        <v>2</v>
      </c>
      <c r="Q20" s="87">
        <v>2</v>
      </c>
      <c r="R20" s="289"/>
      <c r="S20" s="87">
        <v>2</v>
      </c>
      <c r="T20" s="87">
        <v>2</v>
      </c>
      <c r="U20" s="87">
        <v>2</v>
      </c>
      <c r="V20" s="87">
        <v>2</v>
      </c>
      <c r="W20" s="87">
        <v>2</v>
      </c>
      <c r="X20" s="87"/>
      <c r="Y20" s="87"/>
      <c r="Z20" s="87"/>
      <c r="AA20" s="87"/>
      <c r="AB20" s="88"/>
      <c r="AC20" s="89"/>
    </row>
    <row r="21" spans="1:29" s="84" customFormat="1" ht="20.149999999999999" customHeight="1" thickBot="1" x14ac:dyDescent="0.3">
      <c r="A21" s="85" t="s">
        <v>181</v>
      </c>
      <c r="B21" s="85" t="s">
        <v>182</v>
      </c>
      <c r="C21" s="86" t="s">
        <v>183</v>
      </c>
      <c r="D21" s="85" t="s">
        <v>184</v>
      </c>
      <c r="E21" s="85">
        <v>601904590</v>
      </c>
      <c r="F21" s="79" t="str">
        <f t="shared" si="1"/>
        <v>04590</v>
      </c>
      <c r="G21" s="80">
        <v>2</v>
      </c>
      <c r="H21" s="80">
        <v>2</v>
      </c>
      <c r="I21" s="87">
        <v>2</v>
      </c>
      <c r="J21" s="197">
        <v>2</v>
      </c>
      <c r="K21" s="197">
        <v>2</v>
      </c>
      <c r="L21" s="87">
        <v>2</v>
      </c>
      <c r="M21" s="87">
        <v>2</v>
      </c>
      <c r="N21" s="87">
        <v>2</v>
      </c>
      <c r="O21" s="87">
        <v>2</v>
      </c>
      <c r="P21" s="129">
        <v>2</v>
      </c>
      <c r="Q21" s="87">
        <v>2</v>
      </c>
      <c r="R21" s="289"/>
      <c r="S21" s="87">
        <v>2</v>
      </c>
      <c r="T21" s="87">
        <v>2</v>
      </c>
      <c r="U21" s="87">
        <v>2</v>
      </c>
      <c r="V21" s="87">
        <v>0</v>
      </c>
      <c r="W21" s="87">
        <v>2</v>
      </c>
      <c r="X21" s="87"/>
      <c r="Y21" s="87"/>
      <c r="Z21" s="87"/>
      <c r="AA21" s="87"/>
      <c r="AB21" s="88"/>
      <c r="AC21" s="89"/>
    </row>
    <row r="22" spans="1:29" s="166" customFormat="1" ht="20.149999999999999" customHeight="1" thickBot="1" x14ac:dyDescent="0.3">
      <c r="A22" s="161" t="s">
        <v>185</v>
      </c>
      <c r="B22" s="161" t="s">
        <v>186</v>
      </c>
      <c r="C22" s="162" t="s">
        <v>3</v>
      </c>
      <c r="D22" s="161" t="s">
        <v>187</v>
      </c>
      <c r="E22" s="161">
        <v>600812513</v>
      </c>
      <c r="F22" s="163" t="str">
        <f t="shared" si="1"/>
        <v>12513</v>
      </c>
      <c r="G22" s="164">
        <v>2</v>
      </c>
      <c r="H22" s="164">
        <v>2</v>
      </c>
      <c r="I22" s="161">
        <v>0</v>
      </c>
      <c r="J22" s="164">
        <v>0</v>
      </c>
      <c r="K22" s="164">
        <v>0</v>
      </c>
      <c r="L22" s="161">
        <v>0</v>
      </c>
      <c r="M22" s="161">
        <v>0</v>
      </c>
      <c r="N22" s="161">
        <v>0</v>
      </c>
      <c r="O22" s="161">
        <v>0</v>
      </c>
      <c r="P22" s="164">
        <v>0</v>
      </c>
      <c r="Q22" s="161">
        <v>0</v>
      </c>
      <c r="R22" s="289"/>
      <c r="S22" s="161">
        <v>0</v>
      </c>
      <c r="T22" s="161">
        <v>0</v>
      </c>
      <c r="U22" s="161">
        <v>0</v>
      </c>
      <c r="V22" s="161">
        <v>0</v>
      </c>
      <c r="W22" s="161">
        <v>0</v>
      </c>
      <c r="X22" s="161"/>
      <c r="Y22" s="161"/>
      <c r="Z22" s="161"/>
      <c r="AA22" s="161"/>
      <c r="AB22" s="162"/>
      <c r="AC22" s="165"/>
    </row>
    <row r="23" spans="1:29" s="84" customFormat="1" ht="20.149999999999999" customHeight="1" thickBot="1" x14ac:dyDescent="0.3">
      <c r="A23" s="91" t="s">
        <v>188</v>
      </c>
      <c r="B23" s="91" t="s">
        <v>189</v>
      </c>
      <c r="C23" s="92" t="s">
        <v>52</v>
      </c>
      <c r="D23" s="91" t="s">
        <v>190</v>
      </c>
      <c r="E23" s="91">
        <v>600463738</v>
      </c>
      <c r="F23" s="103" t="str">
        <f t="shared" si="1"/>
        <v>63738</v>
      </c>
      <c r="G23" s="80">
        <v>2</v>
      </c>
      <c r="H23" s="80">
        <v>2</v>
      </c>
      <c r="I23" s="93">
        <v>2</v>
      </c>
      <c r="J23" s="199">
        <v>2</v>
      </c>
      <c r="K23" s="199">
        <v>2</v>
      </c>
      <c r="L23" s="93">
        <v>2</v>
      </c>
      <c r="M23" s="93">
        <v>2</v>
      </c>
      <c r="N23" s="93">
        <v>2</v>
      </c>
      <c r="O23" s="93">
        <v>2</v>
      </c>
      <c r="P23" s="129">
        <v>2</v>
      </c>
      <c r="Q23" s="93">
        <v>2</v>
      </c>
      <c r="R23" s="290"/>
      <c r="S23" s="93">
        <v>2</v>
      </c>
      <c r="T23" s="93">
        <v>2</v>
      </c>
      <c r="U23" s="93">
        <v>2</v>
      </c>
      <c r="V23" s="93">
        <v>0</v>
      </c>
      <c r="W23" s="93">
        <v>2</v>
      </c>
      <c r="X23" s="93"/>
      <c r="Y23" s="93"/>
      <c r="Z23" s="93"/>
      <c r="AA23" s="93"/>
      <c r="AB23" s="94"/>
      <c r="AC23" s="95"/>
    </row>
    <row r="24" spans="1:29" ht="25" customHeight="1" x14ac:dyDescent="0.25">
      <c r="E24" s="74"/>
      <c r="G24" s="48" t="s">
        <v>191</v>
      </c>
      <c r="J24" s="200"/>
      <c r="K24" s="200"/>
    </row>
    <row r="25" spans="1:29" ht="25" customHeight="1" x14ac:dyDescent="0.25">
      <c r="E25" s="74"/>
      <c r="J25" s="200"/>
      <c r="K25" s="200"/>
    </row>
    <row r="26" spans="1:29" x14ac:dyDescent="0.25">
      <c r="E26" s="74"/>
      <c r="J26" s="200"/>
      <c r="K26" s="200"/>
    </row>
    <row r="27" spans="1:29" x14ac:dyDescent="0.25">
      <c r="E27" s="74"/>
      <c r="J27" s="200"/>
      <c r="K27" s="200"/>
    </row>
    <row r="28" spans="1:29" x14ac:dyDescent="0.25">
      <c r="J28" s="200"/>
      <c r="K28" s="200"/>
    </row>
    <row r="29" spans="1:29" x14ac:dyDescent="0.25">
      <c r="J29" s="200"/>
      <c r="K29" s="200"/>
    </row>
    <row r="30" spans="1:29" x14ac:dyDescent="0.25">
      <c r="J30" s="200"/>
      <c r="K30" s="200"/>
    </row>
    <row r="31" spans="1:29" ht="15.5" x14ac:dyDescent="0.35">
      <c r="A31" s="36">
        <v>0</v>
      </c>
      <c r="B31" s="104" t="s">
        <v>122</v>
      </c>
      <c r="J31" s="200"/>
      <c r="K31" s="200"/>
    </row>
    <row r="32" spans="1:29" ht="15.5" x14ac:dyDescent="0.35">
      <c r="A32" s="36">
        <v>1</v>
      </c>
      <c r="B32" s="104" t="s">
        <v>47</v>
      </c>
      <c r="J32" s="200"/>
      <c r="K32" s="200"/>
    </row>
    <row r="33" spans="1:11" ht="15.5" x14ac:dyDescent="0.35">
      <c r="A33" s="36">
        <v>2</v>
      </c>
      <c r="B33" s="104" t="s">
        <v>123</v>
      </c>
      <c r="J33" s="200"/>
      <c r="K33" s="200"/>
    </row>
    <row r="34" spans="1:11" ht="15.5" x14ac:dyDescent="0.35">
      <c r="A34" s="36">
        <v>3</v>
      </c>
      <c r="B34" s="104" t="s">
        <v>124</v>
      </c>
      <c r="J34" s="200"/>
      <c r="K34" s="200"/>
    </row>
    <row r="35" spans="1:11" ht="15.5" x14ac:dyDescent="0.35">
      <c r="A35" s="36">
        <v>4</v>
      </c>
      <c r="B35" s="104" t="s">
        <v>117</v>
      </c>
      <c r="J35" s="200"/>
      <c r="K35" s="200"/>
    </row>
    <row r="36" spans="1:11" ht="15.5" x14ac:dyDescent="0.35">
      <c r="A36" s="36">
        <v>5</v>
      </c>
      <c r="B36" s="104" t="s">
        <v>1</v>
      </c>
      <c r="J36" s="200"/>
      <c r="K36" s="200"/>
    </row>
    <row r="37" spans="1:11" ht="15.5" x14ac:dyDescent="0.35">
      <c r="A37" s="36">
        <v>6</v>
      </c>
      <c r="B37" s="104" t="s">
        <v>122</v>
      </c>
      <c r="J37" s="200"/>
      <c r="K37" s="200"/>
    </row>
    <row r="38" spans="1:11" x14ac:dyDescent="0.25">
      <c r="J38" s="200"/>
      <c r="K38" s="200"/>
    </row>
    <row r="39" spans="1:11" x14ac:dyDescent="0.25">
      <c r="J39" s="200"/>
      <c r="K39" s="200"/>
    </row>
    <row r="40" spans="1:11" x14ac:dyDescent="0.25">
      <c r="J40" s="200"/>
      <c r="K40" s="200"/>
    </row>
    <row r="41" spans="1:11" x14ac:dyDescent="0.25">
      <c r="J41" s="200"/>
      <c r="K41" s="200"/>
    </row>
    <row r="42" spans="1:11" x14ac:dyDescent="0.25">
      <c r="J42" s="200"/>
      <c r="K42" s="200"/>
    </row>
    <row r="43" spans="1:11" x14ac:dyDescent="0.25">
      <c r="J43" s="200"/>
      <c r="K43" s="200"/>
    </row>
    <row r="44" spans="1:11" x14ac:dyDescent="0.25">
      <c r="J44" s="200"/>
      <c r="K44" s="200"/>
    </row>
    <row r="45" spans="1:11" x14ac:dyDescent="0.25">
      <c r="J45" s="200"/>
      <c r="K45" s="200"/>
    </row>
    <row r="46" spans="1:11" x14ac:dyDescent="0.25">
      <c r="J46" s="200"/>
      <c r="K46" s="200"/>
    </row>
    <row r="47" spans="1:11" x14ac:dyDescent="0.25">
      <c r="J47" s="200"/>
      <c r="K47" s="200"/>
    </row>
    <row r="48" spans="1:11" x14ac:dyDescent="0.25">
      <c r="J48" s="200"/>
      <c r="K48" s="200"/>
    </row>
    <row r="49" spans="10:11" x14ac:dyDescent="0.25">
      <c r="J49" s="200"/>
      <c r="K49" s="200"/>
    </row>
    <row r="50" spans="10:11" x14ac:dyDescent="0.25">
      <c r="J50" s="200"/>
      <c r="K50" s="200"/>
    </row>
    <row r="51" spans="10:11" x14ac:dyDescent="0.25">
      <c r="J51" s="200"/>
      <c r="K51" s="200"/>
    </row>
    <row r="52" spans="10:11" x14ac:dyDescent="0.25">
      <c r="J52" s="200"/>
      <c r="K52" s="200"/>
    </row>
    <row r="53" spans="10:11" x14ac:dyDescent="0.25">
      <c r="J53" s="200"/>
      <c r="K53" s="200"/>
    </row>
    <row r="54" spans="10:11" x14ac:dyDescent="0.25">
      <c r="J54" s="200"/>
      <c r="K54" s="200"/>
    </row>
    <row r="55" spans="10:11" x14ac:dyDescent="0.25">
      <c r="J55" s="200"/>
      <c r="K55" s="200"/>
    </row>
    <row r="56" spans="10:11" x14ac:dyDescent="0.25">
      <c r="J56" s="200"/>
      <c r="K56" s="200"/>
    </row>
    <row r="57" spans="10:11" x14ac:dyDescent="0.25">
      <c r="J57" s="200"/>
      <c r="K57" s="200"/>
    </row>
    <row r="58" spans="10:11" x14ac:dyDescent="0.25">
      <c r="J58" s="200"/>
      <c r="K58" s="200"/>
    </row>
    <row r="59" spans="10:11" x14ac:dyDescent="0.25">
      <c r="J59" s="200"/>
      <c r="K59" s="200"/>
    </row>
    <row r="60" spans="10:11" x14ac:dyDescent="0.25">
      <c r="J60" s="200"/>
      <c r="K60" s="200"/>
    </row>
    <row r="61" spans="10:11" x14ac:dyDescent="0.25">
      <c r="J61" s="200"/>
      <c r="K61" s="200"/>
    </row>
    <row r="62" spans="10:11" x14ac:dyDescent="0.25">
      <c r="J62" s="200"/>
      <c r="K62" s="200"/>
    </row>
    <row r="63" spans="10:11" x14ac:dyDescent="0.25">
      <c r="J63" s="200"/>
      <c r="K63" s="200"/>
    </row>
    <row r="64" spans="10:11" x14ac:dyDescent="0.25">
      <c r="J64" s="200"/>
      <c r="K64" s="200"/>
    </row>
    <row r="65" spans="10:11" x14ac:dyDescent="0.25">
      <c r="J65" s="200"/>
      <c r="K65" s="200"/>
    </row>
    <row r="66" spans="10:11" x14ac:dyDescent="0.25">
      <c r="J66" s="200"/>
      <c r="K66" s="200"/>
    </row>
    <row r="67" spans="10:11" x14ac:dyDescent="0.25">
      <c r="J67" s="200"/>
      <c r="K67" s="200"/>
    </row>
    <row r="68" spans="10:11" x14ac:dyDescent="0.25">
      <c r="J68" s="200"/>
      <c r="K68" s="200"/>
    </row>
    <row r="69" spans="10:11" x14ac:dyDescent="0.25">
      <c r="J69" s="200"/>
      <c r="K69" s="200"/>
    </row>
    <row r="70" spans="10:11" x14ac:dyDescent="0.25">
      <c r="J70" s="200"/>
      <c r="K70" s="200"/>
    </row>
    <row r="71" spans="10:11" x14ac:dyDescent="0.25">
      <c r="J71" s="200"/>
      <c r="K71" s="200"/>
    </row>
    <row r="72" spans="10:11" x14ac:dyDescent="0.25">
      <c r="J72" s="200"/>
      <c r="K72" s="200"/>
    </row>
    <row r="73" spans="10:11" x14ac:dyDescent="0.25">
      <c r="J73" s="200"/>
      <c r="K73" s="200"/>
    </row>
    <row r="74" spans="10:11" x14ac:dyDescent="0.25">
      <c r="J74" s="200"/>
      <c r="K74" s="200"/>
    </row>
    <row r="75" spans="10:11" x14ac:dyDescent="0.25">
      <c r="J75" s="200"/>
      <c r="K75" s="200"/>
    </row>
    <row r="76" spans="10:11" x14ac:dyDescent="0.25">
      <c r="J76" s="200"/>
      <c r="K76" s="200"/>
    </row>
    <row r="77" spans="10:11" x14ac:dyDescent="0.25">
      <c r="J77" s="200"/>
      <c r="K77" s="200"/>
    </row>
    <row r="78" spans="10:11" x14ac:dyDescent="0.25">
      <c r="J78" s="200"/>
      <c r="K78" s="200"/>
    </row>
    <row r="79" spans="10:11" x14ac:dyDescent="0.25">
      <c r="J79" s="200"/>
      <c r="K79" s="200"/>
    </row>
    <row r="80" spans="10:11" x14ac:dyDescent="0.25">
      <c r="J80" s="200"/>
      <c r="K80" s="200"/>
    </row>
    <row r="81" spans="10:11" x14ac:dyDescent="0.25">
      <c r="J81" s="200"/>
      <c r="K81" s="200"/>
    </row>
    <row r="82" spans="10:11" x14ac:dyDescent="0.25">
      <c r="J82" s="200"/>
      <c r="K82" s="200"/>
    </row>
    <row r="83" spans="10:11" x14ac:dyDescent="0.25">
      <c r="J83" s="200"/>
      <c r="K83" s="200"/>
    </row>
    <row r="84" spans="10:11" x14ac:dyDescent="0.25">
      <c r="J84" s="200"/>
      <c r="K84" s="200"/>
    </row>
    <row r="85" spans="10:11" x14ac:dyDescent="0.25">
      <c r="J85" s="200"/>
      <c r="K85" s="200"/>
    </row>
    <row r="86" spans="10:11" x14ac:dyDescent="0.25">
      <c r="J86" s="200"/>
      <c r="K86" s="200"/>
    </row>
    <row r="87" spans="10:11" x14ac:dyDescent="0.25">
      <c r="J87" s="200"/>
      <c r="K87" s="200"/>
    </row>
    <row r="88" spans="10:11" x14ac:dyDescent="0.25">
      <c r="J88" s="200"/>
      <c r="K88" s="200"/>
    </row>
    <row r="89" spans="10:11" x14ac:dyDescent="0.25">
      <c r="J89" s="200"/>
      <c r="K89" s="200"/>
    </row>
    <row r="90" spans="10:11" x14ac:dyDescent="0.25">
      <c r="J90" s="200"/>
      <c r="K90" s="200"/>
    </row>
    <row r="91" spans="10:11" x14ac:dyDescent="0.25">
      <c r="J91" s="200"/>
      <c r="K91" s="200"/>
    </row>
    <row r="92" spans="10:11" x14ac:dyDescent="0.25">
      <c r="J92" s="200"/>
      <c r="K92" s="200"/>
    </row>
    <row r="93" spans="10:11" x14ac:dyDescent="0.25">
      <c r="J93" s="200"/>
      <c r="K93" s="200"/>
    </row>
    <row r="94" spans="10:11" x14ac:dyDescent="0.25">
      <c r="J94" s="200"/>
      <c r="K94" s="200"/>
    </row>
    <row r="95" spans="10:11" x14ac:dyDescent="0.25">
      <c r="J95" s="200"/>
      <c r="K95" s="200"/>
    </row>
    <row r="96" spans="10:11" x14ac:dyDescent="0.25">
      <c r="J96" s="200"/>
      <c r="K96" s="200"/>
    </row>
    <row r="97" spans="10:11" x14ac:dyDescent="0.25">
      <c r="J97" s="200"/>
      <c r="K97" s="200"/>
    </row>
    <row r="98" spans="10:11" x14ac:dyDescent="0.25">
      <c r="J98" s="200"/>
      <c r="K98" s="200"/>
    </row>
    <row r="99" spans="10:11" x14ac:dyDescent="0.25">
      <c r="J99" s="200"/>
      <c r="K99" s="200"/>
    </row>
    <row r="100" spans="10:11" x14ac:dyDescent="0.25">
      <c r="J100" s="200"/>
      <c r="K100" s="200"/>
    </row>
    <row r="101" spans="10:11" x14ac:dyDescent="0.25">
      <c r="J101" s="200"/>
      <c r="K101" s="200"/>
    </row>
    <row r="102" spans="10:11" x14ac:dyDescent="0.25">
      <c r="J102" s="200"/>
      <c r="K102" s="200"/>
    </row>
    <row r="103" spans="10:11" x14ac:dyDescent="0.25">
      <c r="J103" s="200"/>
      <c r="K103" s="200"/>
    </row>
    <row r="104" spans="10:11" x14ac:dyDescent="0.25">
      <c r="J104" s="200"/>
      <c r="K104" s="200"/>
    </row>
    <row r="105" spans="10:11" x14ac:dyDescent="0.25">
      <c r="J105" s="200"/>
      <c r="K105" s="200"/>
    </row>
    <row r="106" spans="10:11" x14ac:dyDescent="0.25">
      <c r="J106" s="200"/>
      <c r="K106" s="200"/>
    </row>
    <row r="107" spans="10:11" x14ac:dyDescent="0.25">
      <c r="J107" s="200"/>
      <c r="K107" s="200"/>
    </row>
    <row r="108" spans="10:11" x14ac:dyDescent="0.25">
      <c r="J108" s="200"/>
      <c r="K108" s="200"/>
    </row>
    <row r="109" spans="10:11" x14ac:dyDescent="0.25">
      <c r="J109" s="200"/>
      <c r="K109" s="200"/>
    </row>
    <row r="110" spans="10:11" x14ac:dyDescent="0.25">
      <c r="J110" s="200"/>
      <c r="K110" s="200"/>
    </row>
    <row r="111" spans="10:11" x14ac:dyDescent="0.25">
      <c r="J111" s="200"/>
      <c r="K111" s="200"/>
    </row>
    <row r="112" spans="10:11" x14ac:dyDescent="0.25">
      <c r="J112" s="200"/>
      <c r="K112" s="200"/>
    </row>
    <row r="113" spans="10:11" x14ac:dyDescent="0.25">
      <c r="J113" s="200"/>
      <c r="K113" s="200"/>
    </row>
    <row r="114" spans="10:11" x14ac:dyDescent="0.25">
      <c r="J114" s="200"/>
      <c r="K114" s="200"/>
    </row>
    <row r="115" spans="10:11" x14ac:dyDescent="0.25">
      <c r="J115" s="200"/>
      <c r="K115" s="200"/>
    </row>
    <row r="116" spans="10:11" x14ac:dyDescent="0.25">
      <c r="J116" s="200"/>
      <c r="K116" s="200"/>
    </row>
    <row r="117" spans="10:11" x14ac:dyDescent="0.25">
      <c r="J117" s="200"/>
      <c r="K117" s="200"/>
    </row>
    <row r="118" spans="10:11" x14ac:dyDescent="0.25">
      <c r="J118" s="200"/>
      <c r="K118" s="200"/>
    </row>
    <row r="119" spans="10:11" x14ac:dyDescent="0.25">
      <c r="J119" s="200"/>
      <c r="K119" s="200"/>
    </row>
    <row r="120" spans="10:11" x14ac:dyDescent="0.25">
      <c r="J120" s="200"/>
      <c r="K120" s="200"/>
    </row>
    <row r="121" spans="10:11" x14ac:dyDescent="0.25">
      <c r="J121" s="200"/>
      <c r="K121" s="200"/>
    </row>
    <row r="122" spans="10:11" x14ac:dyDescent="0.25">
      <c r="J122" s="200"/>
      <c r="K122" s="200"/>
    </row>
    <row r="123" spans="10:11" x14ac:dyDescent="0.25">
      <c r="J123" s="200"/>
      <c r="K123" s="200"/>
    </row>
    <row r="124" spans="10:11" x14ac:dyDescent="0.25">
      <c r="J124" s="200"/>
      <c r="K124" s="200"/>
    </row>
    <row r="125" spans="10:11" x14ac:dyDescent="0.25">
      <c r="J125" s="200"/>
      <c r="K125" s="200"/>
    </row>
    <row r="126" spans="10:11" x14ac:dyDescent="0.25">
      <c r="J126" s="200"/>
      <c r="K126" s="200"/>
    </row>
    <row r="127" spans="10:11" x14ac:dyDescent="0.25">
      <c r="J127" s="200"/>
      <c r="K127" s="200"/>
    </row>
    <row r="128" spans="10:11" x14ac:dyDescent="0.25">
      <c r="J128" s="200"/>
      <c r="K128" s="200"/>
    </row>
    <row r="129" spans="10:11" x14ac:dyDescent="0.25">
      <c r="J129" s="200"/>
      <c r="K129" s="200"/>
    </row>
    <row r="130" spans="10:11" x14ac:dyDescent="0.25">
      <c r="J130" s="200"/>
      <c r="K130" s="200"/>
    </row>
    <row r="131" spans="10:11" x14ac:dyDescent="0.25">
      <c r="J131" s="200"/>
      <c r="K131" s="200"/>
    </row>
    <row r="132" spans="10:11" x14ac:dyDescent="0.25">
      <c r="J132" s="200"/>
      <c r="K132" s="200"/>
    </row>
    <row r="133" spans="10:11" x14ac:dyDescent="0.25">
      <c r="J133" s="200"/>
      <c r="K133" s="200"/>
    </row>
    <row r="134" spans="10:11" x14ac:dyDescent="0.25">
      <c r="J134" s="200"/>
      <c r="K134" s="200"/>
    </row>
    <row r="135" spans="10:11" x14ac:dyDescent="0.25">
      <c r="J135" s="200"/>
      <c r="K135" s="200"/>
    </row>
    <row r="136" spans="10:11" x14ac:dyDescent="0.25">
      <c r="J136" s="200"/>
      <c r="K136" s="200"/>
    </row>
    <row r="137" spans="10:11" x14ac:dyDescent="0.25">
      <c r="J137" s="200"/>
      <c r="K137" s="200"/>
    </row>
    <row r="138" spans="10:11" x14ac:dyDescent="0.25">
      <c r="J138" s="200"/>
      <c r="K138" s="200"/>
    </row>
    <row r="139" spans="10:11" x14ac:dyDescent="0.25">
      <c r="J139" s="200"/>
      <c r="K139" s="200"/>
    </row>
    <row r="140" spans="10:11" x14ac:dyDescent="0.25">
      <c r="J140" s="200"/>
      <c r="K140" s="200"/>
    </row>
    <row r="141" spans="10:11" x14ac:dyDescent="0.25">
      <c r="J141" s="200"/>
      <c r="K141" s="200"/>
    </row>
    <row r="142" spans="10:11" x14ac:dyDescent="0.25">
      <c r="J142" s="200"/>
      <c r="K142" s="200"/>
    </row>
    <row r="143" spans="10:11" x14ac:dyDescent="0.25">
      <c r="J143" s="200"/>
      <c r="K143" s="200"/>
    </row>
    <row r="144" spans="10:11" x14ac:dyDescent="0.25">
      <c r="J144" s="200"/>
      <c r="K144" s="200"/>
    </row>
    <row r="145" spans="10:11" x14ac:dyDescent="0.25">
      <c r="J145" s="200"/>
      <c r="K145" s="200"/>
    </row>
    <row r="146" spans="10:11" x14ac:dyDescent="0.25">
      <c r="J146" s="200"/>
      <c r="K146" s="200"/>
    </row>
    <row r="147" spans="10:11" x14ac:dyDescent="0.25">
      <c r="J147" s="200"/>
      <c r="K147" s="200"/>
    </row>
    <row r="148" spans="10:11" x14ac:dyDescent="0.25">
      <c r="J148" s="200"/>
      <c r="K148" s="200"/>
    </row>
    <row r="149" spans="10:11" x14ac:dyDescent="0.25">
      <c r="J149" s="200"/>
      <c r="K149" s="200"/>
    </row>
    <row r="150" spans="10:11" x14ac:dyDescent="0.25">
      <c r="J150" s="200"/>
      <c r="K150" s="200"/>
    </row>
  </sheetData>
  <sheetProtection sheet="1" objects="1" scenarios="1"/>
  <mergeCells count="6">
    <mergeCell ref="R5:R23"/>
    <mergeCell ref="E1:E2"/>
    <mergeCell ref="A1:A2"/>
    <mergeCell ref="B1:B2"/>
    <mergeCell ref="C1:C2"/>
    <mergeCell ref="D1:D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11"/>
    <pageSetUpPr fitToPage="1"/>
  </sheetPr>
  <dimension ref="A1:P47"/>
  <sheetViews>
    <sheetView workbookViewId="0">
      <pane xSplit="3" ySplit="1" topLeftCell="D2" activePane="bottomRight" state="frozen"/>
      <selection sqref="A1:E65536"/>
      <selection pane="topRight" sqref="A1:E65536"/>
      <selection pane="bottomLeft" sqref="A1:E65536"/>
      <selection pane="bottomRight" sqref="A1:IV65536"/>
    </sheetView>
  </sheetViews>
  <sheetFormatPr defaultColWidth="9.1796875" defaultRowHeight="17.5" x14ac:dyDescent="0.25"/>
  <cols>
    <col min="1" max="1" width="24" style="3" hidden="1" customWidth="1"/>
    <col min="2" max="2" width="13.54296875" style="3" hidden="1" customWidth="1"/>
    <col min="3" max="3" width="9.1796875" style="25" bestFit="1"/>
    <col min="4" max="4" width="3" style="27" bestFit="1" customWidth="1"/>
    <col min="5" max="5" width="5.1796875" style="3" bestFit="1" customWidth="1"/>
    <col min="6" max="6" width="4.453125" style="3" customWidth="1"/>
    <col min="7" max="8" width="5.1796875" style="19" bestFit="1" customWidth="1"/>
    <col min="9" max="9" width="5.1796875" style="19" customWidth="1"/>
    <col min="10" max="10" width="5.1796875" style="19" bestFit="1" customWidth="1"/>
    <col min="11" max="11" width="5.1796875" style="19" customWidth="1"/>
    <col min="12" max="12" width="5.7265625" style="3" customWidth="1"/>
    <col min="13" max="13" width="4" style="3" customWidth="1"/>
    <col min="14" max="14" width="6" style="3" customWidth="1"/>
    <col min="15" max="15" width="2.26953125" style="3" customWidth="1"/>
    <col min="16" max="16384" width="9.1796875" style="3"/>
  </cols>
  <sheetData>
    <row r="1" spans="1:16" s="68" customFormat="1" ht="116.5" thickBot="1" x14ac:dyDescent="0.3">
      <c r="A1" s="54" t="s">
        <v>24</v>
      </c>
      <c r="B1" s="54" t="s">
        <v>0</v>
      </c>
      <c r="C1" s="133" t="s">
        <v>39</v>
      </c>
      <c r="D1" s="134" t="s">
        <v>22</v>
      </c>
      <c r="E1" s="135" t="s">
        <v>27</v>
      </c>
      <c r="F1" s="135" t="s">
        <v>28</v>
      </c>
      <c r="G1" s="136" t="s">
        <v>18</v>
      </c>
      <c r="H1" s="137" t="s">
        <v>19</v>
      </c>
      <c r="I1" s="140" t="s">
        <v>20</v>
      </c>
      <c r="J1" s="140" t="s">
        <v>21</v>
      </c>
      <c r="K1" s="140" t="s">
        <v>198</v>
      </c>
      <c r="L1" s="135" t="s">
        <v>43</v>
      </c>
      <c r="M1" s="138" t="s">
        <v>25</v>
      </c>
      <c r="N1" s="139"/>
      <c r="O1" s="139"/>
    </row>
    <row r="2" spans="1:16" ht="18.75" customHeight="1" x14ac:dyDescent="0.25">
      <c r="A2" s="6" t="str">
        <f>RolesFor1713!A3 &amp; "," &amp; RolesFor1713!B3 &amp; " " &amp; RolesFor1713!C3</f>
        <v>Burgess,Joy Leah</v>
      </c>
      <c r="B2" s="5" t="str">
        <f>RolesFor1713!D3</f>
        <v>jlburges</v>
      </c>
      <c r="C2" s="130" t="str">
        <f>RolesFor1713!F3</f>
        <v>53461</v>
      </c>
      <c r="D2" s="131"/>
      <c r="E2" s="132">
        <v>66</v>
      </c>
      <c r="F2" s="132">
        <v>15</v>
      </c>
      <c r="G2" s="114">
        <v>85</v>
      </c>
      <c r="H2" s="155">
        <v>33</v>
      </c>
      <c r="I2" s="155"/>
      <c r="J2" s="155"/>
      <c r="K2" s="239">
        <f>IF(SUM(E2:J2)/500&gt;1,1,SUM(E2:J2)/500)</f>
        <v>0.39800000000000002</v>
      </c>
      <c r="L2" s="132" t="s">
        <v>197</v>
      </c>
      <c r="M2" s="128">
        <v>440</v>
      </c>
      <c r="N2" s="240">
        <v>0</v>
      </c>
      <c r="O2" s="17" t="s">
        <v>1</v>
      </c>
      <c r="P2" s="17"/>
    </row>
    <row r="3" spans="1:16" ht="18.75" customHeight="1" x14ac:dyDescent="0.25">
      <c r="A3" s="6"/>
      <c r="B3" s="5"/>
      <c r="C3" s="49"/>
      <c r="D3" s="26"/>
      <c r="E3" s="2"/>
      <c r="F3" s="2"/>
      <c r="G3" s="2"/>
      <c r="H3" s="2"/>
      <c r="I3" s="2"/>
      <c r="J3" s="2"/>
      <c r="K3" s="239"/>
      <c r="L3" s="132"/>
      <c r="M3" s="109"/>
      <c r="N3" s="240">
        <v>0.59499999999999997</v>
      </c>
      <c r="O3" s="17" t="s">
        <v>2</v>
      </c>
      <c r="P3" s="17"/>
    </row>
    <row r="4" spans="1:16" ht="18.75" customHeight="1" x14ac:dyDescent="0.25">
      <c r="A4" s="6" t="str">
        <f>RolesFor1713!A5 &amp; "," &amp; RolesFor1713!B5 &amp; " " &amp; RolesFor1713!C5</f>
        <v>Colbert,John Christian</v>
      </c>
      <c r="B4" s="5" t="str">
        <f>RolesFor1713!D5</f>
        <v>jccolber</v>
      </c>
      <c r="C4" s="49" t="str">
        <f>RolesFor1713!F5</f>
        <v>49336</v>
      </c>
      <c r="D4" s="26"/>
      <c r="E4" s="2">
        <v>94</v>
      </c>
      <c r="F4" s="2">
        <v>18</v>
      </c>
      <c r="G4" s="21">
        <v>100</v>
      </c>
      <c r="H4" s="21">
        <v>100</v>
      </c>
      <c r="I4" s="142">
        <v>100</v>
      </c>
      <c r="J4" s="142">
        <v>100</v>
      </c>
      <c r="K4" s="239">
        <f t="shared" ref="K4:K21" si="0">IF(SUM(E4:J4)/500&gt;1,1,SUM(E4:J4)/500)</f>
        <v>1</v>
      </c>
      <c r="L4" s="132" t="str">
        <f>VLOOKUP(K4,$N$2:$O$6,2)</f>
        <v>A</v>
      </c>
      <c r="M4" s="109"/>
      <c r="N4" s="240">
        <v>0.69499999999999995</v>
      </c>
      <c r="O4" s="17" t="s">
        <v>3</v>
      </c>
      <c r="P4" s="17"/>
    </row>
    <row r="5" spans="1:16" ht="18.75" customHeight="1" x14ac:dyDescent="0.25">
      <c r="A5" s="6" t="str">
        <f>RolesFor1713!A6 &amp; "," &amp; RolesFor1713!B6 &amp; " " &amp; RolesFor1713!C6</f>
        <v xml:space="preserve">Devedzic,Milos </v>
      </c>
      <c r="B5" s="5" t="str">
        <f>RolesFor1713!D6</f>
        <v>mdevedzi</v>
      </c>
      <c r="C5" s="49">
        <v>32355</v>
      </c>
      <c r="D5" s="26"/>
      <c r="E5" s="2">
        <v>98</v>
      </c>
      <c r="F5" s="2">
        <v>18</v>
      </c>
      <c r="G5" s="21">
        <v>81</v>
      </c>
      <c r="H5" s="21">
        <v>80</v>
      </c>
      <c r="I5" s="142">
        <v>80</v>
      </c>
      <c r="J5" s="142">
        <v>83</v>
      </c>
      <c r="K5" s="239">
        <f t="shared" si="0"/>
        <v>0.88</v>
      </c>
      <c r="L5" s="132" t="str">
        <f>VLOOKUP(K5,$N$2:$O$6,2)</f>
        <v>B</v>
      </c>
      <c r="M5" s="109"/>
      <c r="N5" s="240">
        <v>0.79500000000000004</v>
      </c>
      <c r="O5" s="17" t="s">
        <v>4</v>
      </c>
      <c r="P5" s="17"/>
    </row>
    <row r="6" spans="1:16" ht="18.75" customHeight="1" x14ac:dyDescent="0.25">
      <c r="A6" s="6" t="str">
        <f>RolesFor1713!A7 &amp; "," &amp; RolesFor1713!B7 &amp; " " &amp; RolesFor1713!C7</f>
        <v>Diep,Ronald Huynh</v>
      </c>
      <c r="B6" s="5" t="str">
        <f>RolesFor1713!D7</f>
        <v>rhdiep</v>
      </c>
      <c r="C6" s="49" t="str">
        <f>RolesFor1713!F7</f>
        <v>67172</v>
      </c>
      <c r="D6" s="26"/>
      <c r="E6" s="2">
        <v>96</v>
      </c>
      <c r="F6" s="2">
        <v>15</v>
      </c>
      <c r="G6" s="21">
        <v>95</v>
      </c>
      <c r="H6" s="21">
        <v>100</v>
      </c>
      <c r="I6" s="22">
        <v>100</v>
      </c>
      <c r="J6" s="22">
        <v>100</v>
      </c>
      <c r="K6" s="239">
        <f t="shared" si="0"/>
        <v>1</v>
      </c>
      <c r="L6" s="132" t="str">
        <f>VLOOKUP(K6,$N$2:$O$6,2)</f>
        <v>A</v>
      </c>
      <c r="M6" s="109"/>
      <c r="N6" s="240">
        <v>0.89500000000000002</v>
      </c>
      <c r="O6" s="17" t="s">
        <v>5</v>
      </c>
      <c r="P6" s="17"/>
    </row>
    <row r="7" spans="1:16" ht="18.75" customHeight="1" x14ac:dyDescent="0.25">
      <c r="A7" s="6" t="str">
        <f>RolesFor1713!A8 &amp; "," &amp; RolesFor1713!B8 &amp; " " &amp; RolesFor1713!C8</f>
        <v>Fooks,Teresa B</v>
      </c>
      <c r="B7" s="5" t="str">
        <f>RolesFor1713!D8</f>
        <v>tbfooks</v>
      </c>
      <c r="C7" s="49" t="str">
        <f>RolesFor1713!F8</f>
        <v>77155</v>
      </c>
      <c r="D7" s="26"/>
      <c r="E7" s="2">
        <v>96</v>
      </c>
      <c r="F7" s="2">
        <v>13</v>
      </c>
      <c r="G7" s="21">
        <v>100</v>
      </c>
      <c r="H7" s="21">
        <v>100</v>
      </c>
      <c r="I7" s="22">
        <v>100</v>
      </c>
      <c r="J7" s="22">
        <v>100</v>
      </c>
      <c r="K7" s="239">
        <f t="shared" si="0"/>
        <v>1</v>
      </c>
      <c r="L7" s="132" t="str">
        <f>VLOOKUP(K7,$N$2:$O$6,2)</f>
        <v>A</v>
      </c>
    </row>
    <row r="8" spans="1:16" ht="18.75" customHeight="1" x14ac:dyDescent="0.25">
      <c r="A8" s="6" t="str">
        <f>RolesFor1713!A9 &amp; "," &amp; RolesFor1713!B9 &amp; " " &amp; RolesFor1713!C9</f>
        <v xml:space="preserve">Gulyaev,Marina </v>
      </c>
      <c r="B8" s="5" t="str">
        <f>RolesFor1713!D9</f>
        <v>mgulyaev</v>
      </c>
      <c r="C8" s="49" t="str">
        <f>RolesFor1713!F9</f>
        <v>61120</v>
      </c>
      <c r="D8" s="26"/>
      <c r="E8" s="2">
        <v>54</v>
      </c>
      <c r="F8" s="2">
        <v>8</v>
      </c>
      <c r="G8" s="156">
        <v>0</v>
      </c>
      <c r="H8" s="156">
        <v>0</v>
      </c>
      <c r="I8" s="156"/>
      <c r="J8" s="156"/>
      <c r="K8" s="239">
        <f t="shared" si="0"/>
        <v>0.124</v>
      </c>
      <c r="L8" s="132" t="s">
        <v>197</v>
      </c>
    </row>
    <row r="9" spans="1:16" ht="18.75" customHeight="1" x14ac:dyDescent="0.25">
      <c r="A9" s="6" t="str">
        <f>RolesFor1713!A10 &amp; "," &amp; RolesFor1713!B10 &amp; " " &amp; RolesFor1713!C10</f>
        <v>Harris,Alexis Anthony</v>
      </c>
      <c r="B9" s="5" t="str">
        <f>RolesFor1713!D10</f>
        <v>aaharri3</v>
      </c>
      <c r="C9" s="49" t="str">
        <f>RolesFor1713!F10</f>
        <v>49957</v>
      </c>
      <c r="D9" s="26"/>
      <c r="E9" s="2">
        <v>78</v>
      </c>
      <c r="F9" s="2">
        <v>23</v>
      </c>
      <c r="G9" s="21">
        <v>95</v>
      </c>
      <c r="H9" s="21">
        <v>100</v>
      </c>
      <c r="I9" s="142">
        <v>71</v>
      </c>
      <c r="J9" s="142">
        <v>91</v>
      </c>
      <c r="K9" s="239">
        <f t="shared" si="0"/>
        <v>0.91600000000000004</v>
      </c>
      <c r="L9" s="132" t="str">
        <f t="shared" ref="L9:L19" si="1">VLOOKUP(K9,$N$2:$O$6,2)</f>
        <v>A</v>
      </c>
    </row>
    <row r="10" spans="1:16" ht="18.75" customHeight="1" x14ac:dyDescent="0.25">
      <c r="A10" s="6" t="str">
        <f>RolesFor1713!A11 &amp; "," &amp; RolesFor1713!B11 &amp; " " &amp; RolesFor1713!C11</f>
        <v>Johnson,Erik Robert</v>
      </c>
      <c r="B10" s="5" t="str">
        <f>RolesFor1713!D11</f>
        <v>erjohns5</v>
      </c>
      <c r="C10" s="49" t="str">
        <f>RolesFor1713!F11</f>
        <v>70526</v>
      </c>
      <c r="D10" s="26"/>
      <c r="E10" s="2">
        <v>70</v>
      </c>
      <c r="F10" s="2">
        <v>20</v>
      </c>
      <c r="G10" s="21">
        <v>81</v>
      </c>
      <c r="H10" s="21">
        <v>80</v>
      </c>
      <c r="I10" s="156">
        <v>18</v>
      </c>
      <c r="J10" s="142">
        <v>100</v>
      </c>
      <c r="K10" s="239">
        <f t="shared" si="0"/>
        <v>0.73799999999999999</v>
      </c>
      <c r="L10" s="132" t="str">
        <f t="shared" si="1"/>
        <v>C</v>
      </c>
    </row>
    <row r="11" spans="1:16" ht="18.75" customHeight="1" x14ac:dyDescent="0.25">
      <c r="A11" s="6" t="str">
        <f>RolesFor1713!A12 &amp; "," &amp; RolesFor1713!B12 &amp; " " &amp; RolesFor1713!C12</f>
        <v>Kowske,Candice A</v>
      </c>
      <c r="B11" s="5" t="str">
        <f>RolesFor1713!D12</f>
        <v>cakowsk3</v>
      </c>
      <c r="C11" s="49" t="str">
        <f>RolesFor1713!F12</f>
        <v>59935</v>
      </c>
      <c r="D11" s="26"/>
      <c r="E11" s="2">
        <v>78</v>
      </c>
      <c r="F11" s="2">
        <v>15</v>
      </c>
      <c r="G11" s="21">
        <v>100</v>
      </c>
      <c r="H11" s="21">
        <v>100</v>
      </c>
      <c r="I11" s="142">
        <v>100</v>
      </c>
      <c r="J11" s="142">
        <v>100</v>
      </c>
      <c r="K11" s="239">
        <f t="shared" si="0"/>
        <v>0.98599999999999999</v>
      </c>
      <c r="L11" s="132" t="str">
        <f t="shared" si="1"/>
        <v>A</v>
      </c>
    </row>
    <row r="12" spans="1:16" ht="18.75" customHeight="1" x14ac:dyDescent="0.25">
      <c r="A12" s="6" t="str">
        <f>RolesFor1713!A14 &amp; "," &amp; RolesFor1713!B14 &amp; " " &amp; RolesFor1713!C14</f>
        <v>Manning,Anita Cathryn</v>
      </c>
      <c r="B12" s="5" t="str">
        <f>RolesFor1713!D14</f>
        <v>acbolcko</v>
      </c>
      <c r="C12" s="49" t="str">
        <f>RolesFor1713!F14</f>
        <v>31463</v>
      </c>
      <c r="D12" s="26"/>
      <c r="E12" s="2">
        <v>92</v>
      </c>
      <c r="F12" s="2">
        <v>13</v>
      </c>
      <c r="G12" s="21">
        <v>100</v>
      </c>
      <c r="H12" s="21">
        <v>100</v>
      </c>
      <c r="I12" s="142">
        <v>100</v>
      </c>
      <c r="J12" s="142">
        <v>100</v>
      </c>
      <c r="K12" s="239">
        <f t="shared" si="0"/>
        <v>1</v>
      </c>
      <c r="L12" s="132" t="str">
        <f t="shared" si="1"/>
        <v>A</v>
      </c>
    </row>
    <row r="13" spans="1:16" ht="18.75" customHeight="1" x14ac:dyDescent="0.25">
      <c r="A13" s="6" t="str">
        <f>RolesFor1713!A15 &amp; "," &amp; RolesFor1713!B15 &amp; " " &amp; RolesFor1713!C15</f>
        <v>Maravilla,Lucy V</v>
      </c>
      <c r="B13" s="5" t="str">
        <f>RolesFor1713!D15</f>
        <v>lvmaravi</v>
      </c>
      <c r="C13" s="49" t="str">
        <f>RolesFor1713!F15</f>
        <v>45125</v>
      </c>
      <c r="D13" s="26"/>
      <c r="E13" s="2">
        <v>76</v>
      </c>
      <c r="F13" s="2">
        <v>15</v>
      </c>
      <c r="G13" s="21">
        <v>100</v>
      </c>
      <c r="H13" s="21">
        <v>100</v>
      </c>
      <c r="I13" s="142">
        <v>100</v>
      </c>
      <c r="J13" s="142">
        <v>100</v>
      </c>
      <c r="K13" s="239">
        <f t="shared" si="0"/>
        <v>0.98199999999999998</v>
      </c>
      <c r="L13" s="132" t="str">
        <f t="shared" si="1"/>
        <v>A</v>
      </c>
    </row>
    <row r="14" spans="1:16" ht="18.75" customHeight="1" x14ac:dyDescent="0.25">
      <c r="A14" s="6" t="str">
        <f>RolesFor1713!A16 &amp; "," &amp; RolesFor1713!B16 &amp; " " &amp; RolesFor1713!C16</f>
        <v>Miller,Andy M</v>
      </c>
      <c r="B14" s="5" t="str">
        <f>RolesFor1713!D16</f>
        <v>ammille6</v>
      </c>
      <c r="C14" s="49" t="str">
        <f>RolesFor1713!F16</f>
        <v>40694</v>
      </c>
      <c r="D14" s="26"/>
      <c r="E14" s="2">
        <v>62</v>
      </c>
      <c r="F14" s="2">
        <v>13</v>
      </c>
      <c r="G14" s="21">
        <v>100</v>
      </c>
      <c r="H14" s="21">
        <v>89</v>
      </c>
      <c r="I14" s="156">
        <v>64</v>
      </c>
      <c r="J14" s="156">
        <v>69</v>
      </c>
      <c r="K14" s="239">
        <f t="shared" si="0"/>
        <v>0.79400000000000004</v>
      </c>
      <c r="L14" s="132" t="str">
        <f t="shared" si="1"/>
        <v>C</v>
      </c>
    </row>
    <row r="15" spans="1:16" ht="18.75" customHeight="1" x14ac:dyDescent="0.25">
      <c r="A15" s="6" t="str">
        <f>RolesFor1713!A17 &amp; "," &amp; RolesFor1713!B17 &amp; " " &amp; RolesFor1713!C17</f>
        <v>Miller,Matthew Alex</v>
      </c>
      <c r="B15" s="5" t="str">
        <f>RolesFor1713!D17</f>
        <v>mamille9</v>
      </c>
      <c r="C15" s="49" t="str">
        <f>RolesFor1713!F17</f>
        <v>58815</v>
      </c>
      <c r="D15" s="26"/>
      <c r="E15" s="2">
        <v>74</v>
      </c>
      <c r="F15" s="2">
        <v>20</v>
      </c>
      <c r="G15" s="21">
        <v>100</v>
      </c>
      <c r="H15" s="21">
        <v>60</v>
      </c>
      <c r="I15" s="142">
        <v>61</v>
      </c>
      <c r="J15" s="142">
        <v>100</v>
      </c>
      <c r="K15" s="239">
        <f t="shared" si="0"/>
        <v>0.83</v>
      </c>
      <c r="L15" s="132" t="str">
        <f t="shared" si="1"/>
        <v>B</v>
      </c>
    </row>
    <row r="16" spans="1:16" ht="18.75" customHeight="1" x14ac:dyDescent="0.25">
      <c r="A16" s="6" t="str">
        <f>RolesFor1713!A18 &amp; "," &amp; RolesFor1713!B18 &amp; " " &amp; RolesFor1713!C18</f>
        <v xml:space="preserve">Mutwol,Adam </v>
      </c>
      <c r="B16" s="5" t="str">
        <f>RolesFor1713!D18</f>
        <v>amutwol</v>
      </c>
      <c r="C16" s="49" t="str">
        <f>RolesFor1713!F18</f>
        <v>24424</v>
      </c>
      <c r="D16" s="26"/>
      <c r="E16" s="2">
        <v>100</v>
      </c>
      <c r="F16" s="2">
        <v>13</v>
      </c>
      <c r="G16" s="21">
        <v>100</v>
      </c>
      <c r="H16" s="21">
        <v>100</v>
      </c>
      <c r="I16" s="142">
        <v>100</v>
      </c>
      <c r="J16" s="142">
        <v>100</v>
      </c>
      <c r="K16" s="239">
        <f t="shared" si="0"/>
        <v>1</v>
      </c>
      <c r="L16" s="132" t="str">
        <f t="shared" si="1"/>
        <v>A</v>
      </c>
    </row>
    <row r="17" spans="1:12" ht="18.75" customHeight="1" x14ac:dyDescent="0.25">
      <c r="A17" s="6" t="str">
        <f>RolesFor1713!A19 &amp; "," &amp; RolesFor1713!B19 &amp; " " &amp; RolesFor1713!C19</f>
        <v>Thomas,Kiera Ann</v>
      </c>
      <c r="B17" s="5" t="str">
        <f>RolesFor1713!D19</f>
        <v>kathomas</v>
      </c>
      <c r="C17" s="49" t="str">
        <f>RolesFor1713!F19</f>
        <v>09457</v>
      </c>
      <c r="D17" s="26"/>
      <c r="E17" s="2">
        <v>80</v>
      </c>
      <c r="F17" s="2">
        <v>15</v>
      </c>
      <c r="G17" s="21">
        <v>97</v>
      </c>
      <c r="H17" s="21">
        <v>63</v>
      </c>
      <c r="I17" s="156">
        <v>2</v>
      </c>
      <c r="J17" s="142">
        <v>65</v>
      </c>
      <c r="K17" s="239">
        <f t="shared" si="0"/>
        <v>0.64400000000000002</v>
      </c>
      <c r="L17" s="132" t="str">
        <f t="shared" si="1"/>
        <v>D</v>
      </c>
    </row>
    <row r="18" spans="1:12" ht="18.75" customHeight="1" x14ac:dyDescent="0.25">
      <c r="A18" s="6" t="str">
        <f>RolesFor1713!A20 &amp; "," &amp; RolesFor1713!B20 &amp; " " &amp; RolesFor1713!C20</f>
        <v>Tudor,Michelle G</v>
      </c>
      <c r="B18" s="5" t="str">
        <f>RolesFor1713!D20</f>
        <v>mgmollbe</v>
      </c>
      <c r="C18" s="49" t="str">
        <f>RolesFor1713!F20</f>
        <v>62889</v>
      </c>
      <c r="D18" s="26"/>
      <c r="E18" s="2">
        <v>100</v>
      </c>
      <c r="F18" s="2">
        <v>15</v>
      </c>
      <c r="G18" s="21">
        <v>100</v>
      </c>
      <c r="H18" s="21">
        <v>100</v>
      </c>
      <c r="I18" s="142">
        <v>100</v>
      </c>
      <c r="J18" s="142">
        <v>100</v>
      </c>
      <c r="K18" s="239">
        <f t="shared" si="0"/>
        <v>1</v>
      </c>
      <c r="L18" s="132" t="str">
        <f t="shared" si="1"/>
        <v>A</v>
      </c>
    </row>
    <row r="19" spans="1:12" ht="18.75" customHeight="1" x14ac:dyDescent="0.25">
      <c r="A19" s="6" t="str">
        <f>RolesFor1713!A21 &amp; "," &amp; RolesFor1713!B21 &amp; " " &amp; RolesFor1713!C21</f>
        <v>Villaverde,Carissa N</v>
      </c>
      <c r="B19" s="5" t="str">
        <f>RolesFor1713!D21</f>
        <v>cnvillav</v>
      </c>
      <c r="C19" s="49" t="str">
        <f>RolesFor1713!F21</f>
        <v>04590</v>
      </c>
      <c r="D19" s="26"/>
      <c r="E19" s="2">
        <v>96</v>
      </c>
      <c r="F19" s="2">
        <v>10</v>
      </c>
      <c r="G19" s="21">
        <v>100</v>
      </c>
      <c r="H19" s="21">
        <v>100</v>
      </c>
      <c r="I19" s="142">
        <v>100</v>
      </c>
      <c r="J19" s="142">
        <v>100</v>
      </c>
      <c r="K19" s="239">
        <f t="shared" si="0"/>
        <v>1</v>
      </c>
      <c r="L19" s="132" t="str">
        <f t="shared" si="1"/>
        <v>A</v>
      </c>
    </row>
    <row r="20" spans="1:12" ht="18.75" customHeight="1" x14ac:dyDescent="0.25">
      <c r="A20" s="6"/>
      <c r="B20" s="5"/>
      <c r="C20" s="49"/>
      <c r="D20" s="26"/>
      <c r="E20" s="2"/>
      <c r="F20" s="2"/>
      <c r="G20" s="2"/>
      <c r="H20" s="2"/>
      <c r="I20" s="2"/>
      <c r="J20" s="2"/>
      <c r="K20" s="239"/>
      <c r="L20" s="132"/>
    </row>
    <row r="21" spans="1:12" ht="18.75" customHeight="1" x14ac:dyDescent="0.25">
      <c r="A21" s="6" t="str">
        <f>RolesFor1713!A23 &amp; "," &amp; RolesFor1713!B23 &amp; " " &amp; RolesFor1713!C23</f>
        <v>Wise,Alison Marie</v>
      </c>
      <c r="B21" s="5" t="str">
        <f>RolesFor1713!D23</f>
        <v>amwise</v>
      </c>
      <c r="C21" s="49" t="str">
        <f>RolesFor1713!F23</f>
        <v>63738</v>
      </c>
      <c r="D21" s="26"/>
      <c r="E21" s="2">
        <v>84</v>
      </c>
      <c r="F21" s="2">
        <v>13</v>
      </c>
      <c r="G21" s="21">
        <v>100</v>
      </c>
      <c r="H21" s="21">
        <v>100</v>
      </c>
      <c r="I21" s="142">
        <v>100</v>
      </c>
      <c r="J21" s="142">
        <v>100</v>
      </c>
      <c r="K21" s="239">
        <f t="shared" si="0"/>
        <v>0.99399999999999999</v>
      </c>
      <c r="L21" s="132" t="str">
        <f>VLOOKUP(K21,$N$2:$O$6,2)</f>
        <v>A</v>
      </c>
    </row>
    <row r="22" spans="1:12" ht="15.5" x14ac:dyDescent="0.25">
      <c r="A22" s="6"/>
      <c r="B22" s="5"/>
      <c r="C22" s="49"/>
      <c r="D22" s="26"/>
      <c r="E22" s="2"/>
      <c r="F22" s="2"/>
      <c r="G22" s="21"/>
      <c r="H22" s="21"/>
      <c r="I22" s="142"/>
      <c r="J22" s="142"/>
      <c r="K22" s="142"/>
      <c r="L22" s="2"/>
    </row>
    <row r="23" spans="1:12" ht="15.5" x14ac:dyDescent="0.25">
      <c r="A23" s="6"/>
      <c r="B23" s="5"/>
      <c r="C23" s="49"/>
      <c r="D23" s="26"/>
      <c r="E23" s="2"/>
      <c r="F23" s="2"/>
      <c r="G23" s="21"/>
      <c r="H23" s="21"/>
      <c r="I23" s="142"/>
      <c r="J23" s="142"/>
      <c r="K23" s="142"/>
      <c r="L23" s="2"/>
    </row>
    <row r="24" spans="1:12" ht="15.5" x14ac:dyDescent="0.25">
      <c r="A24" s="6"/>
      <c r="B24" s="5"/>
      <c r="C24" s="49"/>
      <c r="D24" s="26"/>
      <c r="E24" s="2"/>
      <c r="F24" s="2"/>
      <c r="G24" s="21"/>
      <c r="H24" s="21"/>
      <c r="I24" s="142"/>
      <c r="J24" s="142"/>
      <c r="K24" s="142"/>
      <c r="L24" s="2"/>
    </row>
    <row r="25" spans="1:12" ht="15.5" x14ac:dyDescent="0.25">
      <c r="A25" s="6"/>
      <c r="B25" s="5"/>
      <c r="C25" s="49"/>
      <c r="D25" s="26"/>
      <c r="E25" s="2"/>
      <c r="F25" s="2"/>
      <c r="G25" s="21"/>
      <c r="H25" s="21"/>
      <c r="I25" s="142"/>
      <c r="J25" s="142"/>
      <c r="K25" s="142"/>
      <c r="L25" s="2"/>
    </row>
    <row r="26" spans="1:12" x14ac:dyDescent="0.25">
      <c r="A26" s="16"/>
      <c r="B26" s="7"/>
      <c r="G26" s="3"/>
      <c r="H26" s="3"/>
      <c r="I26" s="3"/>
      <c r="J26" s="3"/>
      <c r="K26" s="3"/>
    </row>
    <row r="27" spans="1:12" x14ac:dyDescent="0.25">
      <c r="G27" s="3"/>
      <c r="H27" s="3"/>
      <c r="I27" s="3"/>
      <c r="J27" s="3"/>
      <c r="K27" s="3"/>
    </row>
    <row r="28" spans="1:12" x14ac:dyDescent="0.25">
      <c r="G28" s="3"/>
      <c r="H28" s="3"/>
      <c r="I28" s="3"/>
      <c r="J28" s="3"/>
      <c r="K28" s="3"/>
    </row>
    <row r="29" spans="1:12" x14ac:dyDescent="0.25">
      <c r="G29" s="3"/>
      <c r="H29" s="3"/>
      <c r="I29" s="3"/>
      <c r="J29" s="3"/>
      <c r="K29" s="3"/>
    </row>
    <row r="30" spans="1:12" x14ac:dyDescent="0.25">
      <c r="G30" s="3"/>
      <c r="H30" s="3"/>
      <c r="I30" s="3"/>
      <c r="J30" s="3"/>
      <c r="K30" s="3"/>
    </row>
    <row r="31" spans="1:12" x14ac:dyDescent="0.25">
      <c r="G31" s="3"/>
      <c r="H31" s="3"/>
      <c r="I31" s="3"/>
      <c r="J31" s="3"/>
      <c r="K31" s="3"/>
    </row>
    <row r="32" spans="1:12" x14ac:dyDescent="0.25">
      <c r="G32" s="3"/>
      <c r="H32" s="3"/>
      <c r="I32" s="3"/>
      <c r="J32" s="3"/>
      <c r="K32" s="3"/>
    </row>
    <row r="33" spans="7:11" x14ac:dyDescent="0.25">
      <c r="G33" s="3"/>
      <c r="H33" s="3"/>
      <c r="I33" s="3"/>
      <c r="J33" s="3"/>
      <c r="K33" s="3"/>
    </row>
    <row r="34" spans="7:11" x14ac:dyDescent="0.25">
      <c r="G34" s="3"/>
      <c r="H34" s="3"/>
      <c r="I34" s="3"/>
      <c r="J34" s="3"/>
      <c r="K34" s="3"/>
    </row>
    <row r="35" spans="7:11" x14ac:dyDescent="0.25">
      <c r="G35" s="3"/>
      <c r="H35" s="3"/>
      <c r="I35" s="3"/>
      <c r="J35" s="3"/>
      <c r="K35" s="3"/>
    </row>
    <row r="36" spans="7:11" x14ac:dyDescent="0.25">
      <c r="G36" s="3"/>
      <c r="H36" s="3"/>
      <c r="I36" s="3"/>
      <c r="J36" s="3"/>
      <c r="K36" s="3"/>
    </row>
    <row r="37" spans="7:11" x14ac:dyDescent="0.25">
      <c r="G37" s="3"/>
      <c r="H37" s="3"/>
      <c r="I37" s="3"/>
      <c r="J37" s="3"/>
      <c r="K37" s="3"/>
    </row>
    <row r="38" spans="7:11" x14ac:dyDescent="0.25">
      <c r="G38" s="3"/>
      <c r="H38" s="3"/>
      <c r="I38" s="3"/>
      <c r="J38" s="3"/>
      <c r="K38" s="3"/>
    </row>
    <row r="39" spans="7:11" x14ac:dyDescent="0.25">
      <c r="G39" s="3"/>
      <c r="H39" s="3"/>
      <c r="I39" s="3"/>
      <c r="J39" s="3"/>
      <c r="K39" s="3"/>
    </row>
    <row r="40" spans="7:11" x14ac:dyDescent="0.25">
      <c r="G40" s="3"/>
      <c r="H40" s="3"/>
      <c r="I40" s="3"/>
      <c r="J40" s="3"/>
      <c r="K40" s="3"/>
    </row>
    <row r="41" spans="7:11" x14ac:dyDescent="0.25">
      <c r="G41" s="3"/>
      <c r="H41" s="3"/>
      <c r="I41" s="3"/>
      <c r="J41" s="3"/>
      <c r="K41" s="3"/>
    </row>
    <row r="42" spans="7:11" x14ac:dyDescent="0.25">
      <c r="G42" s="3"/>
      <c r="H42" s="3"/>
      <c r="I42" s="3"/>
      <c r="J42" s="3"/>
      <c r="K42" s="3"/>
    </row>
    <row r="43" spans="7:11" x14ac:dyDescent="0.25">
      <c r="G43" s="3"/>
      <c r="H43" s="3"/>
      <c r="I43" s="3"/>
      <c r="J43" s="3"/>
      <c r="K43" s="3"/>
    </row>
    <row r="44" spans="7:11" x14ac:dyDescent="0.25">
      <c r="G44" s="3"/>
      <c r="H44" s="3"/>
      <c r="I44" s="3"/>
      <c r="J44" s="3"/>
      <c r="K44" s="3"/>
    </row>
    <row r="45" spans="7:11" x14ac:dyDescent="0.25">
      <c r="G45" s="3"/>
      <c r="H45" s="3"/>
      <c r="I45" s="3"/>
      <c r="J45" s="3"/>
      <c r="K45" s="3"/>
    </row>
    <row r="46" spans="7:11" x14ac:dyDescent="0.25">
      <c r="G46" s="3"/>
      <c r="H46" s="3"/>
      <c r="I46" s="3"/>
      <c r="J46" s="3"/>
      <c r="K46" s="3"/>
    </row>
    <row r="47" spans="7:11" x14ac:dyDescent="0.25">
      <c r="G47" s="3"/>
      <c r="H47" s="3"/>
      <c r="I47" s="3"/>
      <c r="J47" s="3"/>
      <c r="K47" s="3"/>
    </row>
  </sheetData>
  <sheetProtection sheet="1" objects="1" scenarios="1"/>
  <phoneticPr fontId="0" type="noConversion"/>
  <conditionalFormatting sqref="G21:H25 H4:H7 G2:G7 H9 H11:H19 G9:G19">
    <cfRule type="cellIs" dxfId="0" priority="1" stopIfTrue="1" operator="between">
      <formula>0</formula>
      <formula>5</formula>
    </cfRule>
  </conditionalFormatting>
  <printOptions horizontalCentered="1" verticalCentered="1"/>
  <pageMargins left="0.75" right="0.75" top="1" bottom="1" header="0.5" footer="0.5"/>
  <pageSetup scale="55" orientation="landscape" r:id="rId1"/>
  <headerFooter alignWithMargins="0">
    <oddHeader xml:space="preserve">&amp;CCIS 105 1655 Fall 2003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RolesFor1704</vt:lpstr>
      <vt:lpstr>CIS 105 1704 Spring 2004</vt:lpstr>
      <vt:lpstr>Rolesfor1719</vt:lpstr>
      <vt:lpstr>Grades for 1719 Spring 2004</vt:lpstr>
      <vt:lpstr>RolesFor1713</vt:lpstr>
      <vt:lpstr>Grades for 1713 Spring 2004</vt:lpstr>
      <vt:lpstr>'CIS 105 1704 Spring 2004'!Print_Area</vt:lpstr>
      <vt:lpstr>'Grades for 1713 Spring 2004'!Print_Area</vt:lpstr>
      <vt:lpstr>'CIS 105 1704 Spring 2004'!Print_Titles</vt:lpstr>
      <vt:lpstr>'Grades for 1713 Spring 2004'!Print_Titles</vt:lpstr>
      <vt:lpstr>Thedays</vt:lpstr>
      <vt:lpstr>Theweekday</vt:lpstr>
      <vt:lpstr>weekday</vt:lpstr>
    </vt:vector>
  </TitlesOfParts>
  <Company>Agiliti,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CIS105 Grades - Fall 2003</dc:title>
  <dc:creator>AnlonPrivUser</dc:creator>
  <cp:lastModifiedBy>Carina Negreanu</cp:lastModifiedBy>
  <cp:lastPrinted>2004-02-09T04:34:13Z</cp:lastPrinted>
  <dcterms:created xsi:type="dcterms:W3CDTF">2003-10-06T05:18:06Z</dcterms:created>
  <dcterms:modified xsi:type="dcterms:W3CDTF">2020-01-27T12:41:25Z</dcterms:modified>
</cp:coreProperties>
</file>