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drawings/drawing2.xml" ContentType="application/vnd.openxmlformats-officedocument.drawing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ctrlProps/ctrlProp29.xml" ContentType="application/vnd.ms-excel.controlproperties+xml"/>
  <Override PartName="/xl/ctrlProps/ctrlProp30.xml" ContentType="application/vnd.ms-excel.controlproperties+xml"/>
  <Override PartName="/xl/ctrlProps/ctrlProp31.xml" ContentType="application/vnd.ms-excel.controlproperties+xml"/>
  <Override PartName="/xl/ctrlProps/ctrlProp32.xml" ContentType="application/vnd.ms-excel.controlproperties+xml"/>
  <Override PartName="/xl/drawings/drawing3.xml" ContentType="application/vnd.openxmlformats-officedocument.drawing+xml"/>
  <Override PartName="/xl/ctrlProps/ctrlProp33.xml" ContentType="application/vnd.ms-excel.controlproperties+xml"/>
  <Override PartName="/xl/ctrlProps/ctrlProp34.xml" ContentType="application/vnd.ms-excel.controlproperties+xml"/>
  <Override PartName="/xl/ctrlProps/ctrlProp35.xml" ContentType="application/vnd.ms-excel.controlproperties+xml"/>
  <Override PartName="/xl/ctrlProps/ctrlProp36.xml" ContentType="application/vnd.ms-excel.controlproperties+xml"/>
  <Override PartName="/xl/ctrlProps/ctrlProp37.xml" ContentType="application/vnd.ms-excel.controlproperties+xml"/>
  <Override PartName="/xl/ctrlProps/ctrlProp38.xml" ContentType="application/vnd.ms-excel.controlproperties+xml"/>
  <Override PartName="/xl/ctrlProps/ctrlProp39.xml" ContentType="application/vnd.ms-excel.controlproperties+xml"/>
  <Override PartName="/xl/ctrlProps/ctrlProp40.xml" ContentType="application/vnd.ms-excel.controlproperties+xml"/>
  <Override PartName="/xl/ctrlProps/ctrlProp41.xml" ContentType="application/vnd.ms-excel.controlproperties+xml"/>
  <Override PartName="/xl/ctrlProps/ctrlProp42.xml" ContentType="application/vnd.ms-excel.controlproperties+xml"/>
  <Override PartName="/xl/ctrlProps/ctrlProp43.xml" ContentType="application/vnd.ms-excel.controlproperties+xml"/>
  <Override PartName="/xl/ctrlProps/ctrlProp44.xml" ContentType="application/vnd.ms-excel.controlproperties+xml"/>
  <Override PartName="/xl/ctrlProps/ctrlProp45.xml" ContentType="application/vnd.ms-excel.controlproperties+xml"/>
  <Override PartName="/xl/ctrlProps/ctrlProp46.xml" ContentType="application/vnd.ms-excel.controlproperties+xml"/>
  <Override PartName="/xl/ctrlProps/ctrlProp47.xml" ContentType="application/vnd.ms-excel.controlproperties+xml"/>
  <Override PartName="/xl/ctrlProps/ctrlProp48.xml" ContentType="application/vnd.ms-excel.controlproperties+xml"/>
  <Override PartName="/xl/ctrlProps/ctrlProp49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8EBE5C07-2823-45DC-B5F3-6E005E9B6B1A}" xr6:coauthVersionLast="45" xr6:coauthVersionMax="45" xr10:uidLastSave="{00000000-0000-0000-0000-000000000000}"/>
  <bookViews>
    <workbookView xWindow="3420" yWindow="3420" windowWidth="28800" windowHeight="15460"/>
  </bookViews>
  <sheets>
    <sheet name="Rate" sheetId="4" r:id="rId1"/>
    <sheet name="Ap1" sheetId="1" r:id="rId2"/>
    <sheet name="Ap2" sheetId="2" r:id="rId3"/>
    <sheet name="Ap3" sheetId="5" r:id="rId4"/>
    <sheet name="Summary" sheetId="3" r:id="rId5"/>
  </sheets>
  <definedNames>
    <definedName name="_xlnm.Print_Area" localSheetId="1">'Ap1'!$A$1:$F$37</definedName>
    <definedName name="_xlnm.Print_Area" localSheetId="2">'Ap2'!$A$1:$F$35</definedName>
    <definedName name="_xlnm.Print_Area" localSheetId="3">'Ap3'!$A$1:$F$35</definedName>
    <definedName name="_xlnm.Print_Area" localSheetId="0">Rate!$A$1:$J$33</definedName>
    <definedName name="_xlnm.Print_Area" localSheetId="4">Summary!$A$1:$L$11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D3" i="1" l="1"/>
  <c r="D4" i="1"/>
  <c r="D5" i="1"/>
  <c r="B16" i="1"/>
  <c r="L16" i="1"/>
  <c r="B17" i="1"/>
  <c r="L17" i="1"/>
  <c r="B18" i="1"/>
  <c r="L18" i="1"/>
  <c r="B19" i="1"/>
  <c r="L19" i="1"/>
  <c r="B20" i="1"/>
  <c r="L20" i="1"/>
  <c r="B29" i="1"/>
  <c r="L29" i="1"/>
  <c r="B30" i="1"/>
  <c r="L30" i="1"/>
  <c r="B31" i="1"/>
  <c r="L31" i="1"/>
  <c r="I8" i="3" s="1"/>
  <c r="B32" i="1"/>
  <c r="L32" i="1"/>
  <c r="B33" i="1"/>
  <c r="L33" i="1"/>
  <c r="D3" i="2"/>
  <c r="D4" i="2"/>
  <c r="D5" i="2"/>
  <c r="B16" i="2"/>
  <c r="L16" i="2"/>
  <c r="B9" i="3" s="1"/>
  <c r="B17" i="2"/>
  <c r="L17" i="2"/>
  <c r="C9" i="3" s="1"/>
  <c r="B18" i="2"/>
  <c r="L18" i="2"/>
  <c r="D9" i="3" s="1"/>
  <c r="B19" i="2"/>
  <c r="L19" i="2"/>
  <c r="E9" i="3" s="1"/>
  <c r="B20" i="2"/>
  <c r="L20" i="2"/>
  <c r="F9" i="3" s="1"/>
  <c r="B29" i="2"/>
  <c r="L29" i="2"/>
  <c r="G9" i="3" s="1"/>
  <c r="B30" i="2"/>
  <c r="L30" i="2"/>
  <c r="H9" i="3" s="1"/>
  <c r="B31" i="2"/>
  <c r="L31" i="2"/>
  <c r="B32" i="2"/>
  <c r="L32" i="2"/>
  <c r="B33" i="2"/>
  <c r="L33" i="2"/>
  <c r="D3" i="5"/>
  <c r="D4" i="5"/>
  <c r="D5" i="5"/>
  <c r="B16" i="5"/>
  <c r="L16" i="5"/>
  <c r="B17" i="5"/>
  <c r="L17" i="5"/>
  <c r="B18" i="5"/>
  <c r="L18" i="5"/>
  <c r="B19" i="5"/>
  <c r="L19" i="5"/>
  <c r="B20" i="5"/>
  <c r="L20" i="5"/>
  <c r="B29" i="5"/>
  <c r="L29" i="5"/>
  <c r="B30" i="5"/>
  <c r="L30" i="5"/>
  <c r="H10" i="3" s="1"/>
  <c r="B31" i="5"/>
  <c r="L31" i="5"/>
  <c r="I10" i="3" s="1"/>
  <c r="B32" i="5"/>
  <c r="L32" i="5"/>
  <c r="J10" i="3" s="1"/>
  <c r="B33" i="5"/>
  <c r="L33" i="5"/>
  <c r="K10" i="3" s="1"/>
  <c r="E22" i="4"/>
  <c r="C3" i="3"/>
  <c r="C4" i="3"/>
  <c r="C5" i="3"/>
  <c r="B8" i="3"/>
  <c r="L8" i="3" s="1"/>
  <c r="C8" i="3"/>
  <c r="D8" i="3"/>
  <c r="E8" i="3"/>
  <c r="F8" i="3"/>
  <c r="G8" i="3"/>
  <c r="H8" i="3"/>
  <c r="J8" i="3"/>
  <c r="K8" i="3"/>
  <c r="I9" i="3"/>
  <c r="J9" i="3"/>
  <c r="K9" i="3"/>
  <c r="B10" i="3"/>
  <c r="C10" i="3"/>
  <c r="D10" i="3"/>
  <c r="E10" i="3"/>
  <c r="F10" i="3"/>
  <c r="G10" i="3"/>
  <c r="L9" i="3" l="1"/>
  <c r="L10" i="3"/>
</calcChain>
</file>

<file path=xl/sharedStrings.xml><?xml version="1.0" encoding="utf-8"?>
<sst xmlns="http://schemas.openxmlformats.org/spreadsheetml/2006/main" count="174" uniqueCount="61">
  <si>
    <t>Preferred Qualifications</t>
  </si>
  <si>
    <t>Experience:</t>
  </si>
  <si>
    <t xml:space="preserve">None - </t>
  </si>
  <si>
    <t>No knowledge/ability</t>
  </si>
  <si>
    <t xml:space="preserve">Low - </t>
  </si>
  <si>
    <t xml:space="preserve">Medium - </t>
  </si>
  <si>
    <t>Moderate ability; able to perform this function/skill with little or no training</t>
  </si>
  <si>
    <t xml:space="preserve">High - </t>
  </si>
  <si>
    <t xml:space="preserve">1 to 3 - </t>
  </si>
  <si>
    <t xml:space="preserve">3 to 5 - </t>
  </si>
  <si>
    <t xml:space="preserve">More than 5 - </t>
  </si>
  <si>
    <t xml:space="preserve">Job Title: </t>
  </si>
  <si>
    <t xml:space="preserve">Department: </t>
  </si>
  <si>
    <t xml:space="preserve">Requisition #: </t>
  </si>
  <si>
    <t>None</t>
  </si>
  <si>
    <t>Low</t>
  </si>
  <si>
    <t>Medium</t>
  </si>
  <si>
    <t>High</t>
  </si>
  <si>
    <t>Less than 1</t>
  </si>
  <si>
    <t>1 to 3</t>
  </si>
  <si>
    <t>3 to 5</t>
  </si>
  <si>
    <t>More than 5</t>
  </si>
  <si>
    <t>KEYS</t>
  </si>
  <si>
    <t>(Length of Time / # of Years)</t>
  </si>
  <si>
    <t>X</t>
  </si>
  <si>
    <t>Total</t>
  </si>
  <si>
    <t xml:space="preserve">Total:  </t>
  </si>
  <si>
    <t>Rating Scale</t>
  </si>
  <si>
    <t>Preferences</t>
  </si>
  <si>
    <t>(Low / Med / High)</t>
  </si>
  <si>
    <t>Ap1</t>
  </si>
  <si>
    <t>Ap2</t>
  </si>
  <si>
    <t>Ap3</t>
  </si>
  <si>
    <t>Expertise:</t>
  </si>
  <si>
    <t>Experience</t>
  </si>
  <si>
    <t>Yes / No</t>
  </si>
  <si>
    <t>KEY</t>
  </si>
  <si>
    <t>Extensive knowledge of this function/skill; could train others</t>
  </si>
  <si>
    <t xml:space="preserve">No experience </t>
  </si>
  <si>
    <t xml:space="preserve">Less than 1 - </t>
  </si>
  <si>
    <t xml:space="preserve">Less than 1 year experience </t>
  </si>
  <si>
    <t xml:space="preserve">1 to 3 years of experience </t>
  </si>
  <si>
    <t xml:space="preserve">3 to 5 years of experience </t>
  </si>
  <si>
    <t>More than 5 years of experience</t>
  </si>
  <si>
    <t>M34933</t>
  </si>
  <si>
    <t>DATABASE ADMINISTRATOR</t>
  </si>
  <si>
    <t>VICE PROVOST FOR RESEARCH</t>
  </si>
  <si>
    <t>Computer and/or network security systems, applications, procedures and techniques</t>
  </si>
  <si>
    <t>Data integrity methods and techniques</t>
  </si>
  <si>
    <t>Provide technical guidance and leadership to professional personnel in area of expertise</t>
  </si>
  <si>
    <t>Working with diverse RDBMS including SQL Server, Postgres, Oracle, and Access</t>
  </si>
  <si>
    <t>UNIX and NT-based server management</t>
  </si>
  <si>
    <t>Programming languages such as PERL, PHP, Java, XML, SQL, SGML, and Visual Basic</t>
  </si>
  <si>
    <t>Managing and maintaining scientific data and working with scientists</t>
  </si>
  <si>
    <t>Develop, program, configure, manage, and maintain complex RDBMS</t>
  </si>
  <si>
    <t>Basic familiarity with this function/skill</t>
  </si>
  <si>
    <t>Select the answers below that best describe your qualifications.  Your answers must be supported by education and experience listed on your resume/application.  Key definitions can be found just above the questions.</t>
  </si>
  <si>
    <t>Knowledge of ecological and/or biodiversity informatics theory</t>
  </si>
  <si>
    <t>Database-to-web connectivity using ODBC and/or JDBC</t>
  </si>
  <si>
    <t>Proficiency / Expertise</t>
  </si>
  <si>
    <t>Proficiency / Expertise: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</si>
</sst>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0"/>
      <name val="Arial"/>
    </font>
    <font>
      <b/>
      <sz val="10"/>
      <name val="Arial"/>
      <family val="2"/>
    </font>
    <font>
      <u/>
      <sz val="10"/>
      <name val="Arial"/>
      <family val="2"/>
    </font>
    <font>
      <sz val="8"/>
      <name val="Tahoma"/>
      <family val="2"/>
    </font>
    <font>
      <b/>
      <sz val="14"/>
      <name val="Arial"/>
      <family val="2"/>
    </font>
    <font>
      <b/>
      <sz val="12"/>
      <name val="Arial"/>
      <family val="2"/>
    </font>
    <font>
      <b/>
      <sz val="11"/>
      <name val="Arial"/>
      <family val="2"/>
    </font>
    <font>
      <i/>
      <sz val="8"/>
      <name val="Arial"/>
      <family val="2"/>
    </font>
    <font>
      <b/>
      <sz val="10"/>
      <color indexed="18"/>
      <name val="Arial"/>
      <family val="2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</fills>
  <borders count="39">
    <border>
      <left/>
      <right/>
      <top/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80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right"/>
    </xf>
    <xf numFmtId="0" fontId="1" fillId="0" borderId="0" xfId="0" applyFont="1"/>
    <xf numFmtId="0" fontId="0" fillId="0" borderId="1" xfId="0" applyBorder="1"/>
    <xf numFmtId="0" fontId="0" fillId="0" borderId="2" xfId="0" applyBorder="1"/>
    <xf numFmtId="0" fontId="1" fillId="0" borderId="3" xfId="0" applyFont="1" applyBorder="1" applyAlignment="1">
      <alignment horizontal="right"/>
    </xf>
    <xf numFmtId="0" fontId="0" fillId="0" borderId="0" xfId="0" applyBorder="1"/>
    <xf numFmtId="0" fontId="0" fillId="0" borderId="4" xfId="0" applyBorder="1"/>
    <xf numFmtId="0" fontId="1" fillId="0" borderId="3" xfId="0" applyFont="1" applyBorder="1" applyAlignment="1">
      <alignment horizontal="right" vertical="top"/>
    </xf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2" fillId="0" borderId="0" xfId="0" applyFont="1"/>
    <xf numFmtId="0" fontId="1" fillId="2" borderId="9" xfId="0" applyFont="1" applyFill="1" applyBorder="1" applyAlignment="1">
      <alignment vertical="center"/>
    </xf>
    <xf numFmtId="0" fontId="0" fillId="2" borderId="10" xfId="0" applyFill="1" applyBorder="1"/>
    <xf numFmtId="0" fontId="0" fillId="2" borderId="8" xfId="0" applyFill="1" applyBorder="1"/>
    <xf numFmtId="0" fontId="6" fillId="0" borderId="0" xfId="0" applyFont="1"/>
    <xf numFmtId="0" fontId="0" fillId="0" borderId="11" xfId="0" applyBorder="1"/>
    <xf numFmtId="0" fontId="7" fillId="0" borderId="12" xfId="0" applyFont="1" applyBorder="1" applyAlignment="1">
      <alignment horizontal="center"/>
    </xf>
    <xf numFmtId="0" fontId="0" fillId="0" borderId="13" xfId="0" applyBorder="1"/>
    <xf numFmtId="0" fontId="7" fillId="0" borderId="12" xfId="0" applyFont="1" applyBorder="1" applyAlignment="1">
      <alignment horizontal="center" vertical="center" wrapText="1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0" fillId="0" borderId="0" xfId="0" applyFill="1" applyBorder="1"/>
    <xf numFmtId="0" fontId="0" fillId="2" borderId="16" xfId="0" applyFill="1" applyBorder="1"/>
    <xf numFmtId="0" fontId="0" fillId="2" borderId="17" xfId="0" applyFill="1" applyBorder="1"/>
    <xf numFmtId="0" fontId="0" fillId="2" borderId="18" xfId="0" applyFill="1" applyBorder="1"/>
    <xf numFmtId="0" fontId="1" fillId="2" borderId="19" xfId="0" applyFont="1" applyFill="1" applyBorder="1" applyAlignment="1">
      <alignment horizontal="center"/>
    </xf>
    <xf numFmtId="0" fontId="0" fillId="0" borderId="20" xfId="0" applyBorder="1"/>
    <xf numFmtId="0" fontId="0" fillId="0" borderId="21" xfId="0" applyBorder="1"/>
    <xf numFmtId="0" fontId="1" fillId="0" borderId="22" xfId="0" applyFont="1" applyBorder="1"/>
    <xf numFmtId="0" fontId="1" fillId="0" borderId="23" xfId="0" applyFont="1" applyBorder="1"/>
    <xf numFmtId="0" fontId="1" fillId="0" borderId="24" xfId="0" applyFont="1" applyBorder="1"/>
    <xf numFmtId="0" fontId="0" fillId="0" borderId="25" xfId="0" applyBorder="1" applyAlignment="1">
      <alignment horizontal="center" vertical="center"/>
    </xf>
    <xf numFmtId="0" fontId="0" fillId="0" borderId="25" xfId="0" applyBorder="1" applyAlignment="1">
      <alignment vertical="center"/>
    </xf>
    <xf numFmtId="0" fontId="0" fillId="0" borderId="11" xfId="0" applyFill="1" applyBorder="1"/>
    <xf numFmtId="0" fontId="8" fillId="0" borderId="26" xfId="0" applyFont="1" applyBorder="1"/>
    <xf numFmtId="0" fontId="1" fillId="0" borderId="0" xfId="0" applyFont="1" applyFill="1" applyBorder="1" applyAlignment="1">
      <alignment vertical="center"/>
    </xf>
    <xf numFmtId="0" fontId="0" fillId="0" borderId="27" xfId="0" applyBorder="1"/>
    <xf numFmtId="0" fontId="1" fillId="0" borderId="3" xfId="0" applyFont="1" applyBorder="1" applyAlignment="1">
      <alignment horizontal="right" vertical="top" wrapText="1"/>
    </xf>
    <xf numFmtId="0" fontId="0" fillId="0" borderId="4" xfId="0" applyBorder="1" applyAlignment="1">
      <alignment wrapText="1"/>
    </xf>
    <xf numFmtId="0" fontId="0" fillId="0" borderId="4" xfId="0" applyBorder="1" applyAlignment="1">
      <alignment vertical="top" wrapText="1"/>
    </xf>
    <xf numFmtId="0" fontId="0" fillId="0" borderId="28" xfId="0" applyBorder="1"/>
    <xf numFmtId="0" fontId="0" fillId="0" borderId="29" xfId="0" applyBorder="1"/>
    <xf numFmtId="0" fontId="0" fillId="0" borderId="30" xfId="0" applyBorder="1"/>
    <xf numFmtId="0" fontId="0" fillId="2" borderId="31" xfId="0" applyFill="1" applyBorder="1" applyAlignment="1">
      <alignment horizontal="center" vertical="center"/>
    </xf>
    <xf numFmtId="0" fontId="6" fillId="2" borderId="31" xfId="0" applyFont="1" applyFill="1" applyBorder="1" applyAlignment="1">
      <alignment horizontal="center" vertical="center" wrapText="1"/>
    </xf>
    <xf numFmtId="0" fontId="0" fillId="0" borderId="0" xfId="0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0" fillId="0" borderId="0" xfId="0" applyBorder="1" applyAlignment="1">
      <alignment horizontal="left" vertical="center" wrapText="1"/>
    </xf>
    <xf numFmtId="0" fontId="0" fillId="0" borderId="0" xfId="0" applyBorder="1" applyAlignment="1">
      <alignment horizontal="left" wrapText="1"/>
    </xf>
    <xf numFmtId="0" fontId="0" fillId="0" borderId="36" xfId="0" applyBorder="1" applyAlignment="1">
      <alignment horizontal="left" vertical="center" wrapText="1"/>
    </xf>
    <xf numFmtId="0" fontId="0" fillId="0" borderId="37" xfId="0" applyBorder="1" applyAlignment="1">
      <alignment horizontal="left" vertical="center" wrapText="1"/>
    </xf>
    <xf numFmtId="0" fontId="0" fillId="0" borderId="38" xfId="0" applyBorder="1" applyAlignment="1">
      <alignment horizontal="left" vertical="center" wrapText="1"/>
    </xf>
    <xf numFmtId="0" fontId="5" fillId="3" borderId="19" xfId="0" applyFont="1" applyFill="1" applyBorder="1" applyAlignment="1">
      <alignment horizontal="center"/>
    </xf>
    <xf numFmtId="0" fontId="5" fillId="3" borderId="14" xfId="0" applyFont="1" applyFill="1" applyBorder="1" applyAlignment="1">
      <alignment horizontal="center"/>
    </xf>
    <xf numFmtId="0" fontId="5" fillId="3" borderId="15" xfId="0" applyFont="1" applyFill="1" applyBorder="1" applyAlignment="1">
      <alignment horizontal="center"/>
    </xf>
    <xf numFmtId="0" fontId="0" fillId="0" borderId="32" xfId="0" applyBorder="1" applyAlignment="1">
      <alignment horizontal="left" vertical="center" wrapText="1"/>
    </xf>
    <xf numFmtId="0" fontId="0" fillId="0" borderId="33" xfId="0" applyBorder="1" applyAlignment="1">
      <alignment horizontal="left" vertical="center" wrapText="1"/>
    </xf>
    <xf numFmtId="0" fontId="0" fillId="0" borderId="34" xfId="0" applyBorder="1" applyAlignment="1">
      <alignment horizontal="left" vertical="center" wrapText="1"/>
    </xf>
    <xf numFmtId="0" fontId="4" fillId="0" borderId="0" xfId="0" applyFont="1" applyAlignment="1">
      <alignment horizontal="center"/>
    </xf>
    <xf numFmtId="0" fontId="5" fillId="2" borderId="19" xfId="0" applyFont="1" applyFill="1" applyBorder="1" applyAlignment="1">
      <alignment horizontal="center"/>
    </xf>
    <xf numFmtId="0" fontId="5" fillId="2" borderId="14" xfId="0" applyFont="1" applyFill="1" applyBorder="1" applyAlignment="1">
      <alignment horizontal="center"/>
    </xf>
    <xf numFmtId="0" fontId="5" fillId="2" borderId="15" xfId="0" applyFont="1" applyFill="1" applyBorder="1" applyAlignment="1">
      <alignment horizontal="center"/>
    </xf>
    <xf numFmtId="0" fontId="1" fillId="2" borderId="31" xfId="0" applyFont="1" applyFill="1" applyBorder="1" applyAlignment="1">
      <alignment horizontal="center" wrapText="1"/>
    </xf>
    <xf numFmtId="0" fontId="1" fillId="2" borderId="35" xfId="0" applyFont="1" applyFill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4" xfId="0" applyBorder="1" applyAlignment="1">
      <alignment horizontal="left" wrapText="1"/>
    </xf>
    <xf numFmtId="0" fontId="0" fillId="0" borderId="9" xfId="0" applyBorder="1" applyAlignment="1">
      <alignment horizontal="left" vertical="center" wrapText="1"/>
    </xf>
    <xf numFmtId="0" fontId="0" fillId="0" borderId="10" xfId="0" applyBorder="1" applyAlignment="1">
      <alignment horizontal="left" vertical="center" wrapText="1"/>
    </xf>
    <xf numFmtId="0" fontId="0" fillId="0" borderId="8" xfId="0" applyBorder="1" applyAlignment="1">
      <alignment horizontal="left" vertical="center" wrapText="1"/>
    </xf>
    <xf numFmtId="0" fontId="9" fillId="0" borderId="9" xfId="0" applyFont="1" applyFill="1" applyBorder="1" applyAlignment="1">
      <alignment horizontal="left" vertical="center"/>
    </xf>
    <xf numFmtId="0" fontId="9" fillId="0" borderId="10" xfId="0" applyFont="1" applyFill="1" applyBorder="1" applyAlignment="1">
      <alignment horizontal="left" vertical="center"/>
    </xf>
    <xf numFmtId="0" fontId="9" fillId="0" borderId="8" xfId="0" applyFont="1" applyFill="1" applyBorder="1" applyAlignment="1">
      <alignment horizontal="left" vertical="center"/>
    </xf>
    <xf numFmtId="0" fontId="0" fillId="0" borderId="11" xfId="0" applyBorder="1" applyAlignment="1">
      <alignment horizontal="left" vertical="center" wrapText="1"/>
    </xf>
    <xf numFmtId="0" fontId="0" fillId="0" borderId="9" xfId="0" applyBorder="1" applyAlignment="1">
      <alignment horizontal="left" vertical="top" wrapText="1"/>
    </xf>
    <xf numFmtId="0" fontId="0" fillId="0" borderId="10" xfId="0" applyBorder="1" applyAlignment="1">
      <alignment horizontal="left" vertical="top" wrapText="1"/>
    </xf>
    <xf numFmtId="0" fontId="0" fillId="0" borderId="8" xfId="0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trlProps/ctrlProp1.xml><?xml version="1.0" encoding="utf-8"?>
<formControlPr xmlns="http://schemas.microsoft.com/office/spreadsheetml/2009/9/main" objectType="Drop" dropLines="5" dropStyle="combo" dx="31" fmlaLink="K29" fmlaRange="$L$4:$L$8" noThreeD="1" sel="2" val="0"/>
</file>

<file path=xl/ctrlProps/ctrlProp2.xml><?xml version="1.0" encoding="utf-8"?>
<formControlPr xmlns="http://schemas.microsoft.com/office/spreadsheetml/2009/9/main" objectType="Button" lockText="1"/>
</file>

<file path=xl/ctrlProps/ctrlProp3.xml><?xml version="1.0" encoding="utf-8"?>
<formControlPr xmlns="http://schemas.microsoft.com/office/spreadsheetml/2009/9/main" objectType="Button" lockText="1"/>
</file>

<file path=xl/ctrlProps/ctrlProp4.xml><?xml version="1.0" encoding="utf-8"?>
<formControlPr xmlns="http://schemas.microsoft.com/office/spreadsheetml/2009/9/main" objectType="Button" lockText="1"/>
</file>

<file path=xl/ctrlProps/ctrlProp5.xml><?xml version="1.0" encoding="utf-8"?>
<formControlPr xmlns="http://schemas.microsoft.com/office/spreadsheetml/2009/9/main" objectType="Button" lockText="1"/>
</file>

<file path=xl/ctrlProps/ctrlProp6.xml><?xml version="1.0" encoding="utf-8"?>
<formControlPr xmlns="http://schemas.microsoft.com/office/spreadsheetml/2009/9/main" objectType="Radio" firstButton="1" fmlaLink="$K$33" lockText="1" noThreeD="1"/>
</file>

<file path=xl/ctrlProps/ctrlProp7.xml><?xml version="1.0" encoding="utf-8"?>
<formControlPr xmlns="http://schemas.microsoft.com/office/spreadsheetml/2009/9/main" objectType="Drop" dropLines="4" dropStyle="combo" dx="31" fmlaLink="K19" fmlaRange="$K$4:$K$8" noThreeD="1" sel="4"/>
</file>

<file path=xl/ctrlProps/ctrlProp8.xml><?xml version="1.0" encoding="utf-8"?>
<formControlPr xmlns="http://schemas.microsoft.com/office/spreadsheetml/2009/9/main" objectType="Drop" dropLines="5" dropStyle="combo" dx="31" fmlaLink="K32" fmlaRange="$L$4:$L$8" noThreeD="1" sel="5" val="0"/>
</file>

<file path=xl/ctrlProps/ctrlProp9.xml><?xml version="1.0" encoding="utf-8"?>
<formControlPr xmlns="http://schemas.microsoft.com/office/spreadsheetml/2009/9/main" objectType="Drop" dropLines="4" dropStyle="combo" dx="31" fmlaLink="K16" fmlaRange="$K$4:$K$8" noThreeD="1" sel="2" val="0"/>
</file>

<file path=xl/ctrlProps/ctrlProp10.xml><?xml version="1.0" encoding="utf-8"?>
<formControlPr xmlns="http://schemas.microsoft.com/office/spreadsheetml/2009/9/main" objectType="Drop" dropLines="4" dropStyle="combo" dx="31" fmlaLink="K17" fmlaRange="$K$4:$K$8" noThreeD="1" sel="3"/>
</file>

<file path=xl/ctrlProps/ctrlProp11.xml><?xml version="1.0" encoding="utf-8"?>
<formControlPr xmlns="http://schemas.microsoft.com/office/spreadsheetml/2009/9/main" objectType="Drop" dropLines="4" dropStyle="combo" dx="31" fmlaLink="K18" fmlaRange="$K$4:$K$8" noThreeD="1" sel="2"/>
</file>

<file path=xl/ctrlProps/ctrlProp12.xml><?xml version="1.0" encoding="utf-8"?>
<formControlPr xmlns="http://schemas.microsoft.com/office/spreadsheetml/2009/9/main" objectType="Drop" dropLines="5" dropStyle="combo" dx="31" fmlaLink="K30" fmlaRange="$L$4:$L$8" noThreeD="1" sel="3" val="0"/>
</file>

<file path=xl/ctrlProps/ctrlProp13.xml><?xml version="1.0" encoding="utf-8"?>
<formControlPr xmlns="http://schemas.microsoft.com/office/spreadsheetml/2009/9/main" objectType="Drop" dropLines="5" dropStyle="combo" dx="31" fmlaLink="K31" fmlaRange="$L$4:$L$8" noThreeD="1" sel="4" val="0"/>
</file>

<file path=xl/ctrlProps/ctrlProp14.xml><?xml version="1.0" encoding="utf-8"?>
<formControlPr xmlns="http://schemas.microsoft.com/office/spreadsheetml/2009/9/main" objectType="Drop" dropLines="4" dropStyle="combo" dx="31" fmlaLink="K20" fmlaRange="$K$4:$K$8" noThreeD="1" sel="4"/>
</file>

<file path=xl/ctrlProps/ctrlProp15.xml><?xml version="1.0" encoding="utf-8"?>
<formControlPr xmlns="http://schemas.microsoft.com/office/spreadsheetml/2009/9/main" objectType="Drop" dropLines="5" dropStyle="combo" dx="31" fmlaLink="K33" fmlaRange="$L$4:$L$8" noThreeD="1" sel="0" val="0"/>
</file>

<file path=xl/ctrlProps/ctrlProp16.xml><?xml version="1.0" encoding="utf-8"?>
<formControlPr xmlns="http://schemas.microsoft.com/office/spreadsheetml/2009/9/main" objectType="Radio" firstButton="1" fmlaLink="#REF!" lockText="1" noThreeD="1"/>
</file>

<file path=xl/ctrlProps/ctrlProp17.xml><?xml version="1.0" encoding="utf-8"?>
<formControlPr xmlns="http://schemas.microsoft.com/office/spreadsheetml/2009/9/main" objectType="Radio" lockText="1" noThreeD="1"/>
</file>

<file path=xl/ctrlProps/ctrlProp18.xml><?xml version="1.0" encoding="utf-8"?>
<formControlPr xmlns="http://schemas.microsoft.com/office/spreadsheetml/2009/9/main" objectType="Drop" dropLines="5" dropStyle="combo" dx="31" fmlaLink="K29" fmlaRange="$L$4:$L$8" noThreeD="1" sel="3" val="0"/>
</file>

<file path=xl/ctrlProps/ctrlProp19.xml><?xml version="1.0" encoding="utf-8"?>
<formControlPr xmlns="http://schemas.microsoft.com/office/spreadsheetml/2009/9/main" objectType="Button" lockText="1"/>
</file>

<file path=xl/ctrlProps/ctrlProp20.xml><?xml version="1.0" encoding="utf-8"?>
<formControlPr xmlns="http://schemas.microsoft.com/office/spreadsheetml/2009/9/main" objectType="Button" lockText="1"/>
</file>

<file path=xl/ctrlProps/ctrlProp21.xml><?xml version="1.0" encoding="utf-8"?>
<formControlPr xmlns="http://schemas.microsoft.com/office/spreadsheetml/2009/9/main" objectType="Button" lockText="1"/>
</file>

<file path=xl/ctrlProps/ctrlProp22.xml><?xml version="1.0" encoding="utf-8"?>
<formControlPr xmlns="http://schemas.microsoft.com/office/spreadsheetml/2009/9/main" objectType="Button" lockText="1"/>
</file>

<file path=xl/ctrlProps/ctrlProp23.xml><?xml version="1.0" encoding="utf-8"?>
<formControlPr xmlns="http://schemas.microsoft.com/office/spreadsheetml/2009/9/main" objectType="Radio" lockText="1" noThreeD="1"/>
</file>

<file path=xl/ctrlProps/ctrlProp24.xml><?xml version="1.0" encoding="utf-8"?>
<formControlPr xmlns="http://schemas.microsoft.com/office/spreadsheetml/2009/9/main" objectType="Drop" dropLines="4" dropStyle="combo" dx="31" fmlaLink="K19" fmlaRange="$K$4:$K$8" noThreeD="1" sel="3"/>
</file>

<file path=xl/ctrlProps/ctrlProp25.xml><?xml version="1.0" encoding="utf-8"?>
<formControlPr xmlns="http://schemas.microsoft.com/office/spreadsheetml/2009/9/main" objectType="Drop" dropLines="5" dropStyle="combo" dx="31" fmlaLink="K32" fmlaRange="$L$4:$L$8" noThreeD="1" sel="3" val="0"/>
</file>

<file path=xl/ctrlProps/ctrlProp26.xml><?xml version="1.0" encoding="utf-8"?>
<formControlPr xmlns="http://schemas.microsoft.com/office/spreadsheetml/2009/9/main" objectType="Drop" dropLines="4" dropStyle="combo" dx="31" fmlaLink="K16" fmlaRange="$K$4:$K$8" noThreeD="1" sel="3"/>
</file>

<file path=xl/ctrlProps/ctrlProp27.xml><?xml version="1.0" encoding="utf-8"?>
<formControlPr xmlns="http://schemas.microsoft.com/office/spreadsheetml/2009/9/main" objectType="Drop" dropLines="4" dropStyle="combo" dx="31" fmlaLink="K17" fmlaRange="$K$4:$K$8" noThreeD="1" sel="4"/>
</file>

<file path=xl/ctrlProps/ctrlProp28.xml><?xml version="1.0" encoding="utf-8"?>
<formControlPr xmlns="http://schemas.microsoft.com/office/spreadsheetml/2009/9/main" objectType="Drop" dropLines="4" dropStyle="combo" dx="31" fmlaLink="K18" fmlaRange="$K$4:$K$8" noThreeD="1" sel="3"/>
</file>

<file path=xl/ctrlProps/ctrlProp29.xml><?xml version="1.0" encoding="utf-8"?>
<formControlPr xmlns="http://schemas.microsoft.com/office/spreadsheetml/2009/9/main" objectType="Drop" dropLines="5" dropStyle="combo" dx="31" fmlaLink="K30" fmlaRange="$L$4:$L$8" noThreeD="1" sel="4" val="0"/>
</file>

<file path=xl/ctrlProps/ctrlProp30.xml><?xml version="1.0" encoding="utf-8"?>
<formControlPr xmlns="http://schemas.microsoft.com/office/spreadsheetml/2009/9/main" objectType="Drop" dropLines="5" dropStyle="combo" dx="31" fmlaLink="K31" fmlaRange="$L$4:$L$8" noThreeD="1" sel="5" val="0"/>
</file>

<file path=xl/ctrlProps/ctrlProp31.xml><?xml version="1.0" encoding="utf-8"?>
<formControlPr xmlns="http://schemas.microsoft.com/office/spreadsheetml/2009/9/main" objectType="Drop" dropLines="4" dropStyle="combo" dx="31" fmlaLink="K20" fmlaRange="$K$4:$K$8" noThreeD="1" sel="2"/>
</file>

<file path=xl/ctrlProps/ctrlProp32.xml><?xml version="1.0" encoding="utf-8"?>
<formControlPr xmlns="http://schemas.microsoft.com/office/spreadsheetml/2009/9/main" objectType="Drop" dropLines="5" dropStyle="combo" dx="31" fmlaLink="K33" fmlaRange="$L$4:$L$8" noThreeD="1" sel="4" val="0"/>
</file>

<file path=xl/ctrlProps/ctrlProp33.xml><?xml version="1.0" encoding="utf-8"?>
<formControlPr xmlns="http://schemas.microsoft.com/office/spreadsheetml/2009/9/main" objectType="Radio" firstButton="1" fmlaLink="$K$31" lockText="1" noThreeD="1"/>
</file>

<file path=xl/ctrlProps/ctrlProp34.xml><?xml version="1.0" encoding="utf-8"?>
<formControlPr xmlns="http://schemas.microsoft.com/office/spreadsheetml/2009/9/main" objectType="Radio" lockText="1" noThreeD="1"/>
</file>

<file path=xl/ctrlProps/ctrlProp35.xml><?xml version="1.0" encoding="utf-8"?>
<formControlPr xmlns="http://schemas.microsoft.com/office/spreadsheetml/2009/9/main" objectType="Drop" dropLines="5" dropStyle="combo" dx="31" fmlaLink="K29" fmlaRange="$L$4:$L$8" noThreeD="1" sel="4" val="0"/>
</file>

<file path=xl/ctrlProps/ctrlProp36.xml><?xml version="1.0" encoding="utf-8"?>
<formControlPr xmlns="http://schemas.microsoft.com/office/spreadsheetml/2009/9/main" objectType="Button" lockText="1"/>
</file>

<file path=xl/ctrlProps/ctrlProp37.xml><?xml version="1.0" encoding="utf-8"?>
<formControlPr xmlns="http://schemas.microsoft.com/office/spreadsheetml/2009/9/main" objectType="Button" lockText="1"/>
</file>

<file path=xl/ctrlProps/ctrlProp38.xml><?xml version="1.0" encoding="utf-8"?>
<formControlPr xmlns="http://schemas.microsoft.com/office/spreadsheetml/2009/9/main" objectType="Button" lockText="1"/>
</file>

<file path=xl/ctrlProps/ctrlProp39.xml><?xml version="1.0" encoding="utf-8"?>
<formControlPr xmlns="http://schemas.microsoft.com/office/spreadsheetml/2009/9/main" objectType="Button" lockText="1"/>
</file>

<file path=xl/ctrlProps/ctrlProp40.xml><?xml version="1.0" encoding="utf-8"?>
<formControlPr xmlns="http://schemas.microsoft.com/office/spreadsheetml/2009/9/main" objectType="Radio" lockText="1" noThreeD="1"/>
</file>

<file path=xl/ctrlProps/ctrlProp41.xml><?xml version="1.0" encoding="utf-8"?>
<formControlPr xmlns="http://schemas.microsoft.com/office/spreadsheetml/2009/9/main" objectType="Drop" dropLines="4" dropStyle="combo" dx="31" fmlaLink="K19" fmlaRange="$K$4:$K$8" noThreeD="1" sel="4"/>
</file>

<file path=xl/ctrlProps/ctrlProp42.xml><?xml version="1.0" encoding="utf-8"?>
<formControlPr xmlns="http://schemas.microsoft.com/office/spreadsheetml/2009/9/main" objectType="Drop" dropLines="5" dropStyle="combo" dx="31" fmlaLink="K32" fmlaRange="$L$4:$L$8" noThreeD="1" sel="4" val="0"/>
</file>

<file path=xl/ctrlProps/ctrlProp43.xml><?xml version="1.0" encoding="utf-8"?>
<formControlPr xmlns="http://schemas.microsoft.com/office/spreadsheetml/2009/9/main" objectType="Drop" dropLines="4" dropStyle="combo" dx="31" fmlaLink="K16" fmlaRange="$K$4:$K$8" noThreeD="1" sel="4"/>
</file>

<file path=xl/ctrlProps/ctrlProp44.xml><?xml version="1.0" encoding="utf-8"?>
<formControlPr xmlns="http://schemas.microsoft.com/office/spreadsheetml/2009/9/main" objectType="Drop" dropLines="4" dropStyle="combo" dx="31" fmlaLink="K17" fmlaRange="$K$4:$K$8" noThreeD="1" sel="3"/>
</file>

<file path=xl/ctrlProps/ctrlProp45.xml><?xml version="1.0" encoding="utf-8"?>
<formControlPr xmlns="http://schemas.microsoft.com/office/spreadsheetml/2009/9/main" objectType="Drop" dropLines="4" dropStyle="combo" dx="31" fmlaLink="K18" fmlaRange="$K$4:$K$8" noThreeD="1" sel="3"/>
</file>

<file path=xl/ctrlProps/ctrlProp46.xml><?xml version="1.0" encoding="utf-8"?>
<formControlPr xmlns="http://schemas.microsoft.com/office/spreadsheetml/2009/9/main" objectType="Drop" dropLines="5" dropStyle="combo" dx="31" fmlaLink="K30" fmlaRange="$L$4:$L$8" noThreeD="1" sel="3" val="0"/>
</file>

<file path=xl/ctrlProps/ctrlProp47.xml><?xml version="1.0" encoding="utf-8"?>
<formControlPr xmlns="http://schemas.microsoft.com/office/spreadsheetml/2009/9/main" objectType="Drop" dropLines="5" dropStyle="combo" dx="31" fmlaLink="K31" fmlaRange="$L$4:$L$8" noThreeD="1" sel="0" val="0"/>
</file>

<file path=xl/ctrlProps/ctrlProp48.xml><?xml version="1.0" encoding="utf-8"?>
<formControlPr xmlns="http://schemas.microsoft.com/office/spreadsheetml/2009/9/main" objectType="Drop" dropLines="4" dropStyle="combo" dx="31" fmlaLink="K20" fmlaRange="$K$4:$K$8" noThreeD="1" sel="3"/>
</file>

<file path=xl/ctrlProps/ctrlProp49.xml><?xml version="1.0" encoding="utf-8"?>
<formControlPr xmlns="http://schemas.microsoft.com/office/spreadsheetml/2009/9/main" objectType="Drop" dropLines="5" dropStyle="combo" dx="31" fmlaLink="K33" fmlaRange="$L$4:$L$8" noThreeD="1" sel="4" val="0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120650</xdr:colOff>
          <xdr:row>28</xdr:row>
          <xdr:rowOff>82550</xdr:rowOff>
        </xdr:from>
        <xdr:to>
          <xdr:col>4</xdr:col>
          <xdr:colOff>1009650</xdr:colOff>
          <xdr:row>28</xdr:row>
          <xdr:rowOff>285750</xdr:rowOff>
        </xdr:to>
        <xdr:sp macro="" textlink="">
          <xdr:nvSpPr>
            <xdr:cNvPr id="1026" name="Drop Down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A0B0D75F-9496-4ABA-845D-D862AD77AB0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82550</xdr:colOff>
          <xdr:row>33</xdr:row>
          <xdr:rowOff>222250</xdr:rowOff>
        </xdr:from>
        <xdr:to>
          <xdr:col>1</xdr:col>
          <xdr:colOff>622300</xdr:colOff>
          <xdr:row>33</xdr:row>
          <xdr:rowOff>431800</xdr:rowOff>
        </xdr:to>
        <xdr:sp macro="" textlink="">
          <xdr:nvSpPr>
            <xdr:cNvPr id="1028" name="Button 4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CE14DEE6-94F0-41BF-9733-0D34347752D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en-GB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&lt;&lt;Back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806450</xdr:colOff>
          <xdr:row>33</xdr:row>
          <xdr:rowOff>209550</xdr:rowOff>
        </xdr:from>
        <xdr:to>
          <xdr:col>2</xdr:col>
          <xdr:colOff>368300</xdr:colOff>
          <xdr:row>33</xdr:row>
          <xdr:rowOff>419100</xdr:rowOff>
        </xdr:to>
        <xdr:sp macro="" textlink="">
          <xdr:nvSpPr>
            <xdr:cNvPr id="1029" name="Button 5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4CD7900C-ABE7-4082-8170-B2261313806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en-GB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Reset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698500</xdr:colOff>
          <xdr:row>33</xdr:row>
          <xdr:rowOff>222250</xdr:rowOff>
        </xdr:from>
        <xdr:to>
          <xdr:col>3</xdr:col>
          <xdr:colOff>241300</xdr:colOff>
          <xdr:row>33</xdr:row>
          <xdr:rowOff>431800</xdr:rowOff>
        </xdr:to>
        <xdr:sp macro="" textlink="">
          <xdr:nvSpPr>
            <xdr:cNvPr id="1030" name="Button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3555B8A4-8722-476F-AB8B-E1106CCA572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en-GB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Save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330200</xdr:colOff>
          <xdr:row>33</xdr:row>
          <xdr:rowOff>266700</xdr:rowOff>
        </xdr:from>
        <xdr:to>
          <xdr:col>4</xdr:col>
          <xdr:colOff>869950</xdr:colOff>
          <xdr:row>33</xdr:row>
          <xdr:rowOff>476250</xdr:rowOff>
        </xdr:to>
        <xdr:sp macro="" textlink="">
          <xdr:nvSpPr>
            <xdr:cNvPr id="1031" name="Button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6B2452CE-F8F0-4997-B9E0-91ACE66F935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en-GB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Next &gt;&gt;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43</xdr:row>
          <xdr:rowOff>0</xdr:rowOff>
        </xdr:from>
        <xdr:to>
          <xdr:col>4</xdr:col>
          <xdr:colOff>990600</xdr:colOff>
          <xdr:row>43</xdr:row>
          <xdr:rowOff>0</xdr:rowOff>
        </xdr:to>
        <xdr:sp macro="" textlink="">
          <xdr:nvSpPr>
            <xdr:cNvPr id="1033" name="Option Button 9" hidden="1">
              <a:extLst>
                <a:ext uri="{63B3BB69-23CF-44E3-9099-C40C66FF867C}">
                  <a14:compatExt spid="_x0000_s1033"/>
                </a:ext>
                <a:ext uri="{FF2B5EF4-FFF2-40B4-BE49-F238E27FC236}">
                  <a16:creationId xmlns:a16="http://schemas.microsoft.com/office/drawing/2014/main" id="{E0D2E1A3-FE9E-4F58-8D11-4DC9EC0CD81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241300</xdr:colOff>
          <xdr:row>18</xdr:row>
          <xdr:rowOff>76200</xdr:rowOff>
        </xdr:from>
        <xdr:to>
          <xdr:col>4</xdr:col>
          <xdr:colOff>1022350</xdr:colOff>
          <xdr:row>18</xdr:row>
          <xdr:rowOff>273050</xdr:rowOff>
        </xdr:to>
        <xdr:sp macro="" textlink="">
          <xdr:nvSpPr>
            <xdr:cNvPr id="1034" name="Drop Down 10" hidden="1">
              <a:extLst>
                <a:ext uri="{63B3BB69-23CF-44E3-9099-C40C66FF867C}">
                  <a14:compatExt spid="_x0000_s1034"/>
                </a:ext>
                <a:ext uri="{FF2B5EF4-FFF2-40B4-BE49-F238E27FC236}">
                  <a16:creationId xmlns:a16="http://schemas.microsoft.com/office/drawing/2014/main" id="{D805A874-E7B8-49E2-BC8C-D8ABB83D5CE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152400</xdr:colOff>
          <xdr:row>31</xdr:row>
          <xdr:rowOff>69850</xdr:rowOff>
        </xdr:from>
        <xdr:to>
          <xdr:col>4</xdr:col>
          <xdr:colOff>1022350</xdr:colOff>
          <xdr:row>31</xdr:row>
          <xdr:rowOff>273050</xdr:rowOff>
        </xdr:to>
        <xdr:sp macro="" textlink="">
          <xdr:nvSpPr>
            <xdr:cNvPr id="1045" name="Drop Down 21" hidden="1">
              <a:extLst>
                <a:ext uri="{63B3BB69-23CF-44E3-9099-C40C66FF867C}">
                  <a14:compatExt spid="_x0000_s1045"/>
                </a:ext>
                <a:ext uri="{FF2B5EF4-FFF2-40B4-BE49-F238E27FC236}">
                  <a16:creationId xmlns:a16="http://schemas.microsoft.com/office/drawing/2014/main" id="{233EAD4E-B2A1-46F5-A038-0737477CE86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241300</xdr:colOff>
          <xdr:row>15</xdr:row>
          <xdr:rowOff>76200</xdr:rowOff>
        </xdr:from>
        <xdr:to>
          <xdr:col>4</xdr:col>
          <xdr:colOff>1022350</xdr:colOff>
          <xdr:row>15</xdr:row>
          <xdr:rowOff>279400</xdr:rowOff>
        </xdr:to>
        <xdr:sp macro="" textlink="">
          <xdr:nvSpPr>
            <xdr:cNvPr id="1046" name="Drop Down 22" hidden="1">
              <a:extLst>
                <a:ext uri="{63B3BB69-23CF-44E3-9099-C40C66FF867C}">
                  <a14:compatExt spid="_x0000_s1046"/>
                </a:ext>
                <a:ext uri="{FF2B5EF4-FFF2-40B4-BE49-F238E27FC236}">
                  <a16:creationId xmlns:a16="http://schemas.microsoft.com/office/drawing/2014/main" id="{5B9B1867-9CF3-4171-871B-7353A421DBC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247650</xdr:colOff>
          <xdr:row>16</xdr:row>
          <xdr:rowOff>50800</xdr:rowOff>
        </xdr:from>
        <xdr:to>
          <xdr:col>4</xdr:col>
          <xdr:colOff>1028700</xdr:colOff>
          <xdr:row>16</xdr:row>
          <xdr:rowOff>247650</xdr:rowOff>
        </xdr:to>
        <xdr:sp macro="" textlink="">
          <xdr:nvSpPr>
            <xdr:cNvPr id="1047" name="Drop Down 23" hidden="1">
              <a:extLst>
                <a:ext uri="{63B3BB69-23CF-44E3-9099-C40C66FF867C}">
                  <a14:compatExt spid="_x0000_s1047"/>
                </a:ext>
                <a:ext uri="{FF2B5EF4-FFF2-40B4-BE49-F238E27FC236}">
                  <a16:creationId xmlns:a16="http://schemas.microsoft.com/office/drawing/2014/main" id="{1A75657F-8175-4CBF-BA83-7DE8C415832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247650</xdr:colOff>
          <xdr:row>17</xdr:row>
          <xdr:rowOff>50800</xdr:rowOff>
        </xdr:from>
        <xdr:to>
          <xdr:col>4</xdr:col>
          <xdr:colOff>1028700</xdr:colOff>
          <xdr:row>17</xdr:row>
          <xdr:rowOff>247650</xdr:rowOff>
        </xdr:to>
        <xdr:sp macro="" textlink="">
          <xdr:nvSpPr>
            <xdr:cNvPr id="1051" name="Drop Down 27" hidden="1">
              <a:extLst>
                <a:ext uri="{63B3BB69-23CF-44E3-9099-C40C66FF867C}">
                  <a14:compatExt spid="_x0000_s1051"/>
                </a:ext>
                <a:ext uri="{FF2B5EF4-FFF2-40B4-BE49-F238E27FC236}">
                  <a16:creationId xmlns:a16="http://schemas.microsoft.com/office/drawing/2014/main" id="{A7A3622F-BFA9-4C5B-8DF9-884485715B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120650</xdr:colOff>
          <xdr:row>29</xdr:row>
          <xdr:rowOff>82550</xdr:rowOff>
        </xdr:from>
        <xdr:to>
          <xdr:col>4</xdr:col>
          <xdr:colOff>1009650</xdr:colOff>
          <xdr:row>29</xdr:row>
          <xdr:rowOff>285750</xdr:rowOff>
        </xdr:to>
        <xdr:sp macro="" textlink="">
          <xdr:nvSpPr>
            <xdr:cNvPr id="1052" name="Drop Down 28" hidden="1">
              <a:extLst>
                <a:ext uri="{63B3BB69-23CF-44E3-9099-C40C66FF867C}">
                  <a14:compatExt spid="_x0000_s1052"/>
                </a:ext>
                <a:ext uri="{FF2B5EF4-FFF2-40B4-BE49-F238E27FC236}">
                  <a16:creationId xmlns:a16="http://schemas.microsoft.com/office/drawing/2014/main" id="{D7F32485-AF60-4D04-A60A-19B223DEC33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120650</xdr:colOff>
          <xdr:row>30</xdr:row>
          <xdr:rowOff>82550</xdr:rowOff>
        </xdr:from>
        <xdr:to>
          <xdr:col>4</xdr:col>
          <xdr:colOff>1009650</xdr:colOff>
          <xdr:row>30</xdr:row>
          <xdr:rowOff>285750</xdr:rowOff>
        </xdr:to>
        <xdr:sp macro="" textlink="">
          <xdr:nvSpPr>
            <xdr:cNvPr id="1053" name="Drop Down 29" hidden="1">
              <a:extLst>
                <a:ext uri="{63B3BB69-23CF-44E3-9099-C40C66FF867C}">
                  <a14:compatExt spid="_x0000_s1053"/>
                </a:ext>
                <a:ext uri="{FF2B5EF4-FFF2-40B4-BE49-F238E27FC236}">
                  <a16:creationId xmlns:a16="http://schemas.microsoft.com/office/drawing/2014/main" id="{3BDF7244-6004-45B1-B263-474F86DC1CB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241300</xdr:colOff>
          <xdr:row>19</xdr:row>
          <xdr:rowOff>76200</xdr:rowOff>
        </xdr:from>
        <xdr:to>
          <xdr:col>4</xdr:col>
          <xdr:colOff>1022350</xdr:colOff>
          <xdr:row>19</xdr:row>
          <xdr:rowOff>273050</xdr:rowOff>
        </xdr:to>
        <xdr:sp macro="" textlink="">
          <xdr:nvSpPr>
            <xdr:cNvPr id="1062" name="Drop Down 38" hidden="1">
              <a:extLst>
                <a:ext uri="{63B3BB69-23CF-44E3-9099-C40C66FF867C}">
                  <a14:compatExt spid="_x0000_s1062"/>
                </a:ext>
                <a:ext uri="{FF2B5EF4-FFF2-40B4-BE49-F238E27FC236}">
                  <a16:creationId xmlns:a16="http://schemas.microsoft.com/office/drawing/2014/main" id="{911A3AF2-2A19-4F05-ADC6-02433CD7349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152400</xdr:colOff>
          <xdr:row>32</xdr:row>
          <xdr:rowOff>69850</xdr:rowOff>
        </xdr:from>
        <xdr:to>
          <xdr:col>4</xdr:col>
          <xdr:colOff>1022350</xdr:colOff>
          <xdr:row>32</xdr:row>
          <xdr:rowOff>273050</xdr:rowOff>
        </xdr:to>
        <xdr:sp macro="" textlink="">
          <xdr:nvSpPr>
            <xdr:cNvPr id="1063" name="Drop Down 39" hidden="1">
              <a:extLst>
                <a:ext uri="{63B3BB69-23CF-44E3-9099-C40C66FF867C}">
                  <a14:compatExt spid="_x0000_s1063"/>
                </a:ext>
                <a:ext uri="{FF2B5EF4-FFF2-40B4-BE49-F238E27FC236}">
                  <a16:creationId xmlns:a16="http://schemas.microsoft.com/office/drawing/2014/main" id="{56B0B73A-6CE2-4B27-BB60-35E31E8109B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0</xdr:row>
          <xdr:rowOff>0</xdr:rowOff>
        </xdr:from>
        <xdr:to>
          <xdr:col>4</xdr:col>
          <xdr:colOff>641350</xdr:colOff>
          <xdr:row>0</xdr:row>
          <xdr:rowOff>0</xdr:rowOff>
        </xdr:to>
        <xdr:sp macro="" textlink="">
          <xdr:nvSpPr>
            <xdr:cNvPr id="3097" name="Option Button 25" hidden="1">
              <a:extLst>
                <a:ext uri="{63B3BB69-23CF-44E3-9099-C40C66FF867C}">
                  <a14:compatExt spid="_x0000_s3097"/>
                </a:ext>
                <a:ext uri="{FF2B5EF4-FFF2-40B4-BE49-F238E27FC236}">
                  <a16:creationId xmlns:a16="http://schemas.microsoft.com/office/drawing/2014/main" id="{E808AD4E-DCA0-4630-ABE4-024C3C1EB20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44</xdr:row>
          <xdr:rowOff>0</xdr:rowOff>
        </xdr:from>
        <xdr:to>
          <xdr:col>4</xdr:col>
          <xdr:colOff>990600</xdr:colOff>
          <xdr:row>44</xdr:row>
          <xdr:rowOff>0</xdr:rowOff>
        </xdr:to>
        <xdr:sp macro="" textlink="">
          <xdr:nvSpPr>
            <xdr:cNvPr id="3111" name="Option Button 39" hidden="1">
              <a:extLst>
                <a:ext uri="{63B3BB69-23CF-44E3-9099-C40C66FF867C}">
                  <a14:compatExt spid="_x0000_s3111"/>
                </a:ext>
                <a:ext uri="{FF2B5EF4-FFF2-40B4-BE49-F238E27FC236}">
                  <a16:creationId xmlns:a16="http://schemas.microsoft.com/office/drawing/2014/main" id="{7E07797E-936C-43CC-9A3F-A12BAA316A2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120650</xdr:colOff>
          <xdr:row>28</xdr:row>
          <xdr:rowOff>82550</xdr:rowOff>
        </xdr:from>
        <xdr:to>
          <xdr:col>4</xdr:col>
          <xdr:colOff>1009650</xdr:colOff>
          <xdr:row>28</xdr:row>
          <xdr:rowOff>285750</xdr:rowOff>
        </xdr:to>
        <xdr:sp macro="" textlink="">
          <xdr:nvSpPr>
            <xdr:cNvPr id="3125" name="Drop Down 53" hidden="1">
              <a:extLst>
                <a:ext uri="{63B3BB69-23CF-44E3-9099-C40C66FF867C}">
                  <a14:compatExt spid="_x0000_s3125"/>
                </a:ext>
                <a:ext uri="{FF2B5EF4-FFF2-40B4-BE49-F238E27FC236}">
                  <a16:creationId xmlns:a16="http://schemas.microsoft.com/office/drawing/2014/main" id="{264143D7-8406-41C4-9B83-C1ECF32B8F0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82550</xdr:colOff>
          <xdr:row>33</xdr:row>
          <xdr:rowOff>222250</xdr:rowOff>
        </xdr:from>
        <xdr:to>
          <xdr:col>1</xdr:col>
          <xdr:colOff>622300</xdr:colOff>
          <xdr:row>33</xdr:row>
          <xdr:rowOff>431800</xdr:rowOff>
        </xdr:to>
        <xdr:sp macro="" textlink="">
          <xdr:nvSpPr>
            <xdr:cNvPr id="3126" name="Button 54" hidden="1">
              <a:extLst>
                <a:ext uri="{63B3BB69-23CF-44E3-9099-C40C66FF867C}">
                  <a14:compatExt spid="_x0000_s3126"/>
                </a:ext>
                <a:ext uri="{FF2B5EF4-FFF2-40B4-BE49-F238E27FC236}">
                  <a16:creationId xmlns:a16="http://schemas.microsoft.com/office/drawing/2014/main" id="{563A7A97-3BAE-4B02-A05D-1C76925F644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en-GB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&lt;&lt;Back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806450</xdr:colOff>
          <xdr:row>33</xdr:row>
          <xdr:rowOff>209550</xdr:rowOff>
        </xdr:from>
        <xdr:to>
          <xdr:col>2</xdr:col>
          <xdr:colOff>368300</xdr:colOff>
          <xdr:row>33</xdr:row>
          <xdr:rowOff>419100</xdr:rowOff>
        </xdr:to>
        <xdr:sp macro="" textlink="">
          <xdr:nvSpPr>
            <xdr:cNvPr id="3127" name="Button 55" hidden="1">
              <a:extLst>
                <a:ext uri="{63B3BB69-23CF-44E3-9099-C40C66FF867C}">
                  <a14:compatExt spid="_x0000_s3127"/>
                </a:ext>
                <a:ext uri="{FF2B5EF4-FFF2-40B4-BE49-F238E27FC236}">
                  <a16:creationId xmlns:a16="http://schemas.microsoft.com/office/drawing/2014/main" id="{072C5DE0-91E4-48B6-8921-A3BECA7CDBE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en-GB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Reset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698500</xdr:colOff>
          <xdr:row>33</xdr:row>
          <xdr:rowOff>222250</xdr:rowOff>
        </xdr:from>
        <xdr:to>
          <xdr:col>3</xdr:col>
          <xdr:colOff>241300</xdr:colOff>
          <xdr:row>33</xdr:row>
          <xdr:rowOff>431800</xdr:rowOff>
        </xdr:to>
        <xdr:sp macro="" textlink="">
          <xdr:nvSpPr>
            <xdr:cNvPr id="3128" name="Button 56" hidden="1">
              <a:extLst>
                <a:ext uri="{63B3BB69-23CF-44E3-9099-C40C66FF867C}">
                  <a14:compatExt spid="_x0000_s3128"/>
                </a:ext>
                <a:ext uri="{FF2B5EF4-FFF2-40B4-BE49-F238E27FC236}">
                  <a16:creationId xmlns:a16="http://schemas.microsoft.com/office/drawing/2014/main" id="{92188936-ADB0-45AD-BDBA-70674E091BC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en-GB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Save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330200</xdr:colOff>
          <xdr:row>33</xdr:row>
          <xdr:rowOff>266700</xdr:rowOff>
        </xdr:from>
        <xdr:to>
          <xdr:col>4</xdr:col>
          <xdr:colOff>869950</xdr:colOff>
          <xdr:row>33</xdr:row>
          <xdr:rowOff>476250</xdr:rowOff>
        </xdr:to>
        <xdr:sp macro="" textlink="">
          <xdr:nvSpPr>
            <xdr:cNvPr id="3129" name="Button 57" hidden="1">
              <a:extLst>
                <a:ext uri="{63B3BB69-23CF-44E3-9099-C40C66FF867C}">
                  <a14:compatExt spid="_x0000_s3129"/>
                </a:ext>
                <a:ext uri="{FF2B5EF4-FFF2-40B4-BE49-F238E27FC236}">
                  <a16:creationId xmlns:a16="http://schemas.microsoft.com/office/drawing/2014/main" id="{5062CA9F-6C15-4BBD-AE6E-24C8222E68A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en-GB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Next &gt;&gt;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43</xdr:row>
          <xdr:rowOff>0</xdr:rowOff>
        </xdr:from>
        <xdr:to>
          <xdr:col>4</xdr:col>
          <xdr:colOff>990600</xdr:colOff>
          <xdr:row>43</xdr:row>
          <xdr:rowOff>0</xdr:rowOff>
        </xdr:to>
        <xdr:sp macro="" textlink="">
          <xdr:nvSpPr>
            <xdr:cNvPr id="3130" name="Option Button 58" hidden="1">
              <a:extLst>
                <a:ext uri="{63B3BB69-23CF-44E3-9099-C40C66FF867C}">
                  <a14:compatExt spid="_x0000_s3130"/>
                </a:ext>
                <a:ext uri="{FF2B5EF4-FFF2-40B4-BE49-F238E27FC236}">
                  <a16:creationId xmlns:a16="http://schemas.microsoft.com/office/drawing/2014/main" id="{DC3F56BB-3F2F-4D1F-94B2-6072B41DFA7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241300</xdr:colOff>
          <xdr:row>18</xdr:row>
          <xdr:rowOff>76200</xdr:rowOff>
        </xdr:from>
        <xdr:to>
          <xdr:col>4</xdr:col>
          <xdr:colOff>1022350</xdr:colOff>
          <xdr:row>18</xdr:row>
          <xdr:rowOff>273050</xdr:rowOff>
        </xdr:to>
        <xdr:sp macro="" textlink="">
          <xdr:nvSpPr>
            <xdr:cNvPr id="3131" name="Drop Down 59" hidden="1">
              <a:extLst>
                <a:ext uri="{63B3BB69-23CF-44E3-9099-C40C66FF867C}">
                  <a14:compatExt spid="_x0000_s3131"/>
                </a:ext>
                <a:ext uri="{FF2B5EF4-FFF2-40B4-BE49-F238E27FC236}">
                  <a16:creationId xmlns:a16="http://schemas.microsoft.com/office/drawing/2014/main" id="{B578B475-8509-4F39-8B62-5E916DC233D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152400</xdr:colOff>
          <xdr:row>31</xdr:row>
          <xdr:rowOff>69850</xdr:rowOff>
        </xdr:from>
        <xdr:to>
          <xdr:col>4</xdr:col>
          <xdr:colOff>1022350</xdr:colOff>
          <xdr:row>31</xdr:row>
          <xdr:rowOff>273050</xdr:rowOff>
        </xdr:to>
        <xdr:sp macro="" textlink="">
          <xdr:nvSpPr>
            <xdr:cNvPr id="3132" name="Drop Down 60" hidden="1">
              <a:extLst>
                <a:ext uri="{63B3BB69-23CF-44E3-9099-C40C66FF867C}">
                  <a14:compatExt spid="_x0000_s3132"/>
                </a:ext>
                <a:ext uri="{FF2B5EF4-FFF2-40B4-BE49-F238E27FC236}">
                  <a16:creationId xmlns:a16="http://schemas.microsoft.com/office/drawing/2014/main" id="{F7A1EC73-F6D2-4CDE-916B-DBCF5DC615A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241300</xdr:colOff>
          <xdr:row>15</xdr:row>
          <xdr:rowOff>76200</xdr:rowOff>
        </xdr:from>
        <xdr:to>
          <xdr:col>4</xdr:col>
          <xdr:colOff>1022350</xdr:colOff>
          <xdr:row>15</xdr:row>
          <xdr:rowOff>279400</xdr:rowOff>
        </xdr:to>
        <xdr:sp macro="" textlink="">
          <xdr:nvSpPr>
            <xdr:cNvPr id="3133" name="Drop Down 61" hidden="1">
              <a:extLst>
                <a:ext uri="{63B3BB69-23CF-44E3-9099-C40C66FF867C}">
                  <a14:compatExt spid="_x0000_s3133"/>
                </a:ext>
                <a:ext uri="{FF2B5EF4-FFF2-40B4-BE49-F238E27FC236}">
                  <a16:creationId xmlns:a16="http://schemas.microsoft.com/office/drawing/2014/main" id="{EA6AC7A6-C66C-4E9E-857F-D7B226B5CA8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247650</xdr:colOff>
          <xdr:row>16</xdr:row>
          <xdr:rowOff>50800</xdr:rowOff>
        </xdr:from>
        <xdr:to>
          <xdr:col>4</xdr:col>
          <xdr:colOff>1028700</xdr:colOff>
          <xdr:row>16</xdr:row>
          <xdr:rowOff>247650</xdr:rowOff>
        </xdr:to>
        <xdr:sp macro="" textlink="">
          <xdr:nvSpPr>
            <xdr:cNvPr id="3134" name="Drop Down 62" hidden="1">
              <a:extLst>
                <a:ext uri="{63B3BB69-23CF-44E3-9099-C40C66FF867C}">
                  <a14:compatExt spid="_x0000_s3134"/>
                </a:ext>
                <a:ext uri="{FF2B5EF4-FFF2-40B4-BE49-F238E27FC236}">
                  <a16:creationId xmlns:a16="http://schemas.microsoft.com/office/drawing/2014/main" id="{C1AB1BF2-A2E2-40ED-B652-7E08DFAF705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247650</xdr:colOff>
          <xdr:row>17</xdr:row>
          <xdr:rowOff>50800</xdr:rowOff>
        </xdr:from>
        <xdr:to>
          <xdr:col>4</xdr:col>
          <xdr:colOff>1028700</xdr:colOff>
          <xdr:row>17</xdr:row>
          <xdr:rowOff>247650</xdr:rowOff>
        </xdr:to>
        <xdr:sp macro="" textlink="">
          <xdr:nvSpPr>
            <xdr:cNvPr id="3135" name="Drop Down 63" hidden="1">
              <a:extLst>
                <a:ext uri="{63B3BB69-23CF-44E3-9099-C40C66FF867C}">
                  <a14:compatExt spid="_x0000_s3135"/>
                </a:ext>
                <a:ext uri="{FF2B5EF4-FFF2-40B4-BE49-F238E27FC236}">
                  <a16:creationId xmlns:a16="http://schemas.microsoft.com/office/drawing/2014/main" id="{40A26BA0-0212-4435-B4A1-051EC91758B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120650</xdr:colOff>
          <xdr:row>29</xdr:row>
          <xdr:rowOff>82550</xdr:rowOff>
        </xdr:from>
        <xdr:to>
          <xdr:col>4</xdr:col>
          <xdr:colOff>1009650</xdr:colOff>
          <xdr:row>29</xdr:row>
          <xdr:rowOff>285750</xdr:rowOff>
        </xdr:to>
        <xdr:sp macro="" textlink="">
          <xdr:nvSpPr>
            <xdr:cNvPr id="3136" name="Drop Down 64" hidden="1">
              <a:extLst>
                <a:ext uri="{63B3BB69-23CF-44E3-9099-C40C66FF867C}">
                  <a14:compatExt spid="_x0000_s3136"/>
                </a:ext>
                <a:ext uri="{FF2B5EF4-FFF2-40B4-BE49-F238E27FC236}">
                  <a16:creationId xmlns:a16="http://schemas.microsoft.com/office/drawing/2014/main" id="{62E44916-E13A-4343-B7A1-BC36E1719D6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120650</xdr:colOff>
          <xdr:row>30</xdr:row>
          <xdr:rowOff>82550</xdr:rowOff>
        </xdr:from>
        <xdr:to>
          <xdr:col>4</xdr:col>
          <xdr:colOff>1009650</xdr:colOff>
          <xdr:row>30</xdr:row>
          <xdr:rowOff>285750</xdr:rowOff>
        </xdr:to>
        <xdr:sp macro="" textlink="">
          <xdr:nvSpPr>
            <xdr:cNvPr id="3137" name="Drop Down 65" hidden="1">
              <a:extLst>
                <a:ext uri="{63B3BB69-23CF-44E3-9099-C40C66FF867C}">
                  <a14:compatExt spid="_x0000_s3137"/>
                </a:ext>
                <a:ext uri="{FF2B5EF4-FFF2-40B4-BE49-F238E27FC236}">
                  <a16:creationId xmlns:a16="http://schemas.microsoft.com/office/drawing/2014/main" id="{2097DF41-E296-411C-A5A4-4632D078F25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241300</xdr:colOff>
          <xdr:row>19</xdr:row>
          <xdr:rowOff>76200</xdr:rowOff>
        </xdr:from>
        <xdr:to>
          <xdr:col>4</xdr:col>
          <xdr:colOff>1022350</xdr:colOff>
          <xdr:row>19</xdr:row>
          <xdr:rowOff>273050</xdr:rowOff>
        </xdr:to>
        <xdr:sp macro="" textlink="">
          <xdr:nvSpPr>
            <xdr:cNvPr id="3138" name="Drop Down 66" hidden="1">
              <a:extLst>
                <a:ext uri="{63B3BB69-23CF-44E3-9099-C40C66FF867C}">
                  <a14:compatExt spid="_x0000_s3138"/>
                </a:ext>
                <a:ext uri="{FF2B5EF4-FFF2-40B4-BE49-F238E27FC236}">
                  <a16:creationId xmlns:a16="http://schemas.microsoft.com/office/drawing/2014/main" id="{5187CDEC-2323-426E-B92A-B296A9C7AFA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152400</xdr:colOff>
          <xdr:row>32</xdr:row>
          <xdr:rowOff>69850</xdr:rowOff>
        </xdr:from>
        <xdr:to>
          <xdr:col>4</xdr:col>
          <xdr:colOff>1022350</xdr:colOff>
          <xdr:row>32</xdr:row>
          <xdr:rowOff>273050</xdr:rowOff>
        </xdr:to>
        <xdr:sp macro="" textlink="">
          <xdr:nvSpPr>
            <xdr:cNvPr id="3139" name="Drop Down 67" hidden="1">
              <a:extLst>
                <a:ext uri="{63B3BB69-23CF-44E3-9099-C40C66FF867C}">
                  <a14:compatExt spid="_x0000_s3139"/>
                </a:ext>
                <a:ext uri="{FF2B5EF4-FFF2-40B4-BE49-F238E27FC236}">
                  <a16:creationId xmlns:a16="http://schemas.microsoft.com/office/drawing/2014/main" id="{E0E0E866-2D5A-4E57-B277-50D15B289B5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41</xdr:row>
          <xdr:rowOff>0</xdr:rowOff>
        </xdr:from>
        <xdr:to>
          <xdr:col>4</xdr:col>
          <xdr:colOff>990600</xdr:colOff>
          <xdr:row>41</xdr:row>
          <xdr:rowOff>0</xdr:rowOff>
        </xdr:to>
        <xdr:sp macro="" textlink="">
          <xdr:nvSpPr>
            <xdr:cNvPr id="4122" name="Option Button 26" hidden="1">
              <a:extLst>
                <a:ext uri="{63B3BB69-23CF-44E3-9099-C40C66FF867C}">
                  <a14:compatExt spid="_x0000_s4122"/>
                </a:ext>
                <a:ext uri="{FF2B5EF4-FFF2-40B4-BE49-F238E27FC236}">
                  <a16:creationId xmlns:a16="http://schemas.microsoft.com/office/drawing/2014/main" id="{D69F6E7C-1322-4E2F-BBE3-20C945A00B9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44</xdr:row>
          <xdr:rowOff>0</xdr:rowOff>
        </xdr:from>
        <xdr:to>
          <xdr:col>4</xdr:col>
          <xdr:colOff>990600</xdr:colOff>
          <xdr:row>44</xdr:row>
          <xdr:rowOff>0</xdr:rowOff>
        </xdr:to>
        <xdr:sp macro="" textlink="">
          <xdr:nvSpPr>
            <xdr:cNvPr id="4136" name="Option Button 40" hidden="1">
              <a:extLst>
                <a:ext uri="{63B3BB69-23CF-44E3-9099-C40C66FF867C}">
                  <a14:compatExt spid="_x0000_s4136"/>
                </a:ext>
                <a:ext uri="{FF2B5EF4-FFF2-40B4-BE49-F238E27FC236}">
                  <a16:creationId xmlns:a16="http://schemas.microsoft.com/office/drawing/2014/main" id="{8942BFE7-7948-46EE-BD49-F2D3F4B0192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120650</xdr:colOff>
          <xdr:row>28</xdr:row>
          <xdr:rowOff>82550</xdr:rowOff>
        </xdr:from>
        <xdr:to>
          <xdr:col>4</xdr:col>
          <xdr:colOff>1009650</xdr:colOff>
          <xdr:row>28</xdr:row>
          <xdr:rowOff>285750</xdr:rowOff>
        </xdr:to>
        <xdr:sp macro="" textlink="">
          <xdr:nvSpPr>
            <xdr:cNvPr id="4149" name="Drop Down 53" hidden="1">
              <a:extLst>
                <a:ext uri="{63B3BB69-23CF-44E3-9099-C40C66FF867C}">
                  <a14:compatExt spid="_x0000_s4149"/>
                </a:ext>
                <a:ext uri="{FF2B5EF4-FFF2-40B4-BE49-F238E27FC236}">
                  <a16:creationId xmlns:a16="http://schemas.microsoft.com/office/drawing/2014/main" id="{6AA1BB34-1D3C-4BF4-847F-76E8A175E57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82550</xdr:colOff>
          <xdr:row>33</xdr:row>
          <xdr:rowOff>222250</xdr:rowOff>
        </xdr:from>
        <xdr:to>
          <xdr:col>1</xdr:col>
          <xdr:colOff>622300</xdr:colOff>
          <xdr:row>33</xdr:row>
          <xdr:rowOff>431800</xdr:rowOff>
        </xdr:to>
        <xdr:sp macro="" textlink="">
          <xdr:nvSpPr>
            <xdr:cNvPr id="4150" name="Button 54" hidden="1">
              <a:extLst>
                <a:ext uri="{63B3BB69-23CF-44E3-9099-C40C66FF867C}">
                  <a14:compatExt spid="_x0000_s4150"/>
                </a:ext>
                <a:ext uri="{FF2B5EF4-FFF2-40B4-BE49-F238E27FC236}">
                  <a16:creationId xmlns:a16="http://schemas.microsoft.com/office/drawing/2014/main" id="{2C256B7F-D917-4CCA-8BE6-FF5DA87677E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en-GB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&lt;&lt;Back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806450</xdr:colOff>
          <xdr:row>33</xdr:row>
          <xdr:rowOff>209550</xdr:rowOff>
        </xdr:from>
        <xdr:to>
          <xdr:col>2</xdr:col>
          <xdr:colOff>368300</xdr:colOff>
          <xdr:row>33</xdr:row>
          <xdr:rowOff>419100</xdr:rowOff>
        </xdr:to>
        <xdr:sp macro="" textlink="">
          <xdr:nvSpPr>
            <xdr:cNvPr id="4151" name="Button 55" hidden="1">
              <a:extLst>
                <a:ext uri="{63B3BB69-23CF-44E3-9099-C40C66FF867C}">
                  <a14:compatExt spid="_x0000_s4151"/>
                </a:ext>
                <a:ext uri="{FF2B5EF4-FFF2-40B4-BE49-F238E27FC236}">
                  <a16:creationId xmlns:a16="http://schemas.microsoft.com/office/drawing/2014/main" id="{560A5C13-F024-458F-94C7-E4141C9DCC6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en-GB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Reset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698500</xdr:colOff>
          <xdr:row>33</xdr:row>
          <xdr:rowOff>222250</xdr:rowOff>
        </xdr:from>
        <xdr:to>
          <xdr:col>3</xdr:col>
          <xdr:colOff>241300</xdr:colOff>
          <xdr:row>33</xdr:row>
          <xdr:rowOff>431800</xdr:rowOff>
        </xdr:to>
        <xdr:sp macro="" textlink="">
          <xdr:nvSpPr>
            <xdr:cNvPr id="4152" name="Button 56" hidden="1">
              <a:extLst>
                <a:ext uri="{63B3BB69-23CF-44E3-9099-C40C66FF867C}">
                  <a14:compatExt spid="_x0000_s4152"/>
                </a:ext>
                <a:ext uri="{FF2B5EF4-FFF2-40B4-BE49-F238E27FC236}">
                  <a16:creationId xmlns:a16="http://schemas.microsoft.com/office/drawing/2014/main" id="{FF6FBF91-2023-4DB9-91A8-99F2CEC6BB4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en-GB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Save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330200</xdr:colOff>
          <xdr:row>33</xdr:row>
          <xdr:rowOff>266700</xdr:rowOff>
        </xdr:from>
        <xdr:to>
          <xdr:col>4</xdr:col>
          <xdr:colOff>869950</xdr:colOff>
          <xdr:row>33</xdr:row>
          <xdr:rowOff>476250</xdr:rowOff>
        </xdr:to>
        <xdr:sp macro="" textlink="">
          <xdr:nvSpPr>
            <xdr:cNvPr id="4153" name="Button 57" hidden="1">
              <a:extLst>
                <a:ext uri="{63B3BB69-23CF-44E3-9099-C40C66FF867C}">
                  <a14:compatExt spid="_x0000_s4153"/>
                </a:ext>
                <a:ext uri="{FF2B5EF4-FFF2-40B4-BE49-F238E27FC236}">
                  <a16:creationId xmlns:a16="http://schemas.microsoft.com/office/drawing/2014/main" id="{ACC0C70E-1802-43FE-82F0-C3AAFA5578E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en-GB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Next &gt;&gt;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43</xdr:row>
          <xdr:rowOff>0</xdr:rowOff>
        </xdr:from>
        <xdr:to>
          <xdr:col>4</xdr:col>
          <xdr:colOff>990600</xdr:colOff>
          <xdr:row>43</xdr:row>
          <xdr:rowOff>0</xdr:rowOff>
        </xdr:to>
        <xdr:sp macro="" textlink="">
          <xdr:nvSpPr>
            <xdr:cNvPr id="4154" name="Option Button 58" hidden="1">
              <a:extLst>
                <a:ext uri="{63B3BB69-23CF-44E3-9099-C40C66FF867C}">
                  <a14:compatExt spid="_x0000_s4154"/>
                </a:ext>
                <a:ext uri="{FF2B5EF4-FFF2-40B4-BE49-F238E27FC236}">
                  <a16:creationId xmlns:a16="http://schemas.microsoft.com/office/drawing/2014/main" id="{489CF5E2-01F6-432F-B700-67DD7710D40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241300</xdr:colOff>
          <xdr:row>18</xdr:row>
          <xdr:rowOff>76200</xdr:rowOff>
        </xdr:from>
        <xdr:to>
          <xdr:col>4</xdr:col>
          <xdr:colOff>1022350</xdr:colOff>
          <xdr:row>18</xdr:row>
          <xdr:rowOff>273050</xdr:rowOff>
        </xdr:to>
        <xdr:sp macro="" textlink="">
          <xdr:nvSpPr>
            <xdr:cNvPr id="4155" name="Drop Down 59" hidden="1">
              <a:extLst>
                <a:ext uri="{63B3BB69-23CF-44E3-9099-C40C66FF867C}">
                  <a14:compatExt spid="_x0000_s4155"/>
                </a:ext>
                <a:ext uri="{FF2B5EF4-FFF2-40B4-BE49-F238E27FC236}">
                  <a16:creationId xmlns:a16="http://schemas.microsoft.com/office/drawing/2014/main" id="{270A20B5-3ECA-4550-8D76-181D760F9D4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152400</xdr:colOff>
          <xdr:row>31</xdr:row>
          <xdr:rowOff>69850</xdr:rowOff>
        </xdr:from>
        <xdr:to>
          <xdr:col>4</xdr:col>
          <xdr:colOff>1022350</xdr:colOff>
          <xdr:row>31</xdr:row>
          <xdr:rowOff>273050</xdr:rowOff>
        </xdr:to>
        <xdr:sp macro="" textlink="">
          <xdr:nvSpPr>
            <xdr:cNvPr id="4156" name="Drop Down 60" hidden="1">
              <a:extLst>
                <a:ext uri="{63B3BB69-23CF-44E3-9099-C40C66FF867C}">
                  <a14:compatExt spid="_x0000_s4156"/>
                </a:ext>
                <a:ext uri="{FF2B5EF4-FFF2-40B4-BE49-F238E27FC236}">
                  <a16:creationId xmlns:a16="http://schemas.microsoft.com/office/drawing/2014/main" id="{72FBA24F-5B17-4EED-8D98-1F05603E605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241300</xdr:colOff>
          <xdr:row>15</xdr:row>
          <xdr:rowOff>76200</xdr:rowOff>
        </xdr:from>
        <xdr:to>
          <xdr:col>4</xdr:col>
          <xdr:colOff>1022350</xdr:colOff>
          <xdr:row>15</xdr:row>
          <xdr:rowOff>279400</xdr:rowOff>
        </xdr:to>
        <xdr:sp macro="" textlink="">
          <xdr:nvSpPr>
            <xdr:cNvPr id="4157" name="Drop Down 61" hidden="1">
              <a:extLst>
                <a:ext uri="{63B3BB69-23CF-44E3-9099-C40C66FF867C}">
                  <a14:compatExt spid="_x0000_s4157"/>
                </a:ext>
                <a:ext uri="{FF2B5EF4-FFF2-40B4-BE49-F238E27FC236}">
                  <a16:creationId xmlns:a16="http://schemas.microsoft.com/office/drawing/2014/main" id="{1CA0859F-AD19-4B44-806C-798B8827D6B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247650</xdr:colOff>
          <xdr:row>16</xdr:row>
          <xdr:rowOff>50800</xdr:rowOff>
        </xdr:from>
        <xdr:to>
          <xdr:col>4</xdr:col>
          <xdr:colOff>1028700</xdr:colOff>
          <xdr:row>16</xdr:row>
          <xdr:rowOff>247650</xdr:rowOff>
        </xdr:to>
        <xdr:sp macro="" textlink="">
          <xdr:nvSpPr>
            <xdr:cNvPr id="4158" name="Drop Down 62" hidden="1">
              <a:extLst>
                <a:ext uri="{63B3BB69-23CF-44E3-9099-C40C66FF867C}">
                  <a14:compatExt spid="_x0000_s4158"/>
                </a:ext>
                <a:ext uri="{FF2B5EF4-FFF2-40B4-BE49-F238E27FC236}">
                  <a16:creationId xmlns:a16="http://schemas.microsoft.com/office/drawing/2014/main" id="{15DD974B-734B-4F25-9C94-47ECDED1364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247650</xdr:colOff>
          <xdr:row>17</xdr:row>
          <xdr:rowOff>50800</xdr:rowOff>
        </xdr:from>
        <xdr:to>
          <xdr:col>4</xdr:col>
          <xdr:colOff>1028700</xdr:colOff>
          <xdr:row>17</xdr:row>
          <xdr:rowOff>247650</xdr:rowOff>
        </xdr:to>
        <xdr:sp macro="" textlink="">
          <xdr:nvSpPr>
            <xdr:cNvPr id="4159" name="Drop Down 63" hidden="1">
              <a:extLst>
                <a:ext uri="{63B3BB69-23CF-44E3-9099-C40C66FF867C}">
                  <a14:compatExt spid="_x0000_s4159"/>
                </a:ext>
                <a:ext uri="{FF2B5EF4-FFF2-40B4-BE49-F238E27FC236}">
                  <a16:creationId xmlns:a16="http://schemas.microsoft.com/office/drawing/2014/main" id="{32FF5AC6-6565-4EB9-8B73-140554EA7C9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120650</xdr:colOff>
          <xdr:row>29</xdr:row>
          <xdr:rowOff>82550</xdr:rowOff>
        </xdr:from>
        <xdr:to>
          <xdr:col>4</xdr:col>
          <xdr:colOff>1009650</xdr:colOff>
          <xdr:row>29</xdr:row>
          <xdr:rowOff>285750</xdr:rowOff>
        </xdr:to>
        <xdr:sp macro="" textlink="">
          <xdr:nvSpPr>
            <xdr:cNvPr id="4160" name="Drop Down 64" hidden="1">
              <a:extLst>
                <a:ext uri="{63B3BB69-23CF-44E3-9099-C40C66FF867C}">
                  <a14:compatExt spid="_x0000_s4160"/>
                </a:ext>
                <a:ext uri="{FF2B5EF4-FFF2-40B4-BE49-F238E27FC236}">
                  <a16:creationId xmlns:a16="http://schemas.microsoft.com/office/drawing/2014/main" id="{F8A01D71-D188-4D02-BC35-DE14BE0594C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120650</xdr:colOff>
          <xdr:row>30</xdr:row>
          <xdr:rowOff>82550</xdr:rowOff>
        </xdr:from>
        <xdr:to>
          <xdr:col>4</xdr:col>
          <xdr:colOff>1009650</xdr:colOff>
          <xdr:row>30</xdr:row>
          <xdr:rowOff>285750</xdr:rowOff>
        </xdr:to>
        <xdr:sp macro="" textlink="">
          <xdr:nvSpPr>
            <xdr:cNvPr id="4161" name="Drop Down 65" hidden="1">
              <a:extLst>
                <a:ext uri="{63B3BB69-23CF-44E3-9099-C40C66FF867C}">
                  <a14:compatExt spid="_x0000_s4161"/>
                </a:ext>
                <a:ext uri="{FF2B5EF4-FFF2-40B4-BE49-F238E27FC236}">
                  <a16:creationId xmlns:a16="http://schemas.microsoft.com/office/drawing/2014/main" id="{6B171E16-55E4-4E31-BF60-1A92457E23F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241300</xdr:colOff>
          <xdr:row>19</xdr:row>
          <xdr:rowOff>76200</xdr:rowOff>
        </xdr:from>
        <xdr:to>
          <xdr:col>4</xdr:col>
          <xdr:colOff>1022350</xdr:colOff>
          <xdr:row>19</xdr:row>
          <xdr:rowOff>273050</xdr:rowOff>
        </xdr:to>
        <xdr:sp macro="" textlink="">
          <xdr:nvSpPr>
            <xdr:cNvPr id="4162" name="Drop Down 66" hidden="1">
              <a:extLst>
                <a:ext uri="{63B3BB69-23CF-44E3-9099-C40C66FF867C}">
                  <a14:compatExt spid="_x0000_s4162"/>
                </a:ext>
                <a:ext uri="{FF2B5EF4-FFF2-40B4-BE49-F238E27FC236}">
                  <a16:creationId xmlns:a16="http://schemas.microsoft.com/office/drawing/2014/main" id="{8E7194A7-982E-4F38-A65A-92C947FDBB2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152400</xdr:colOff>
          <xdr:row>32</xdr:row>
          <xdr:rowOff>69850</xdr:rowOff>
        </xdr:from>
        <xdr:to>
          <xdr:col>4</xdr:col>
          <xdr:colOff>1022350</xdr:colOff>
          <xdr:row>32</xdr:row>
          <xdr:rowOff>273050</xdr:rowOff>
        </xdr:to>
        <xdr:sp macro="" textlink="">
          <xdr:nvSpPr>
            <xdr:cNvPr id="4163" name="Drop Down 67" hidden="1">
              <a:extLst>
                <a:ext uri="{63B3BB69-23CF-44E3-9099-C40C66FF867C}">
                  <a14:compatExt spid="_x0000_s4163"/>
                </a:ext>
                <a:ext uri="{FF2B5EF4-FFF2-40B4-BE49-F238E27FC236}">
                  <a16:creationId xmlns:a16="http://schemas.microsoft.com/office/drawing/2014/main" id="{AA3C59F5-86DF-408F-985F-14C0C9DDAD7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.xml"/><Relationship Id="rId13" Type="http://schemas.openxmlformats.org/officeDocument/2006/relationships/ctrlProp" Target="../ctrlProps/ctrlProp10.xml"/><Relationship Id="rId18" Type="http://schemas.openxmlformats.org/officeDocument/2006/relationships/ctrlProp" Target="../ctrlProps/ctrlProp15.xml"/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12" Type="http://schemas.openxmlformats.org/officeDocument/2006/relationships/ctrlProp" Target="../ctrlProps/ctrlProp9.xml"/><Relationship Id="rId17" Type="http://schemas.openxmlformats.org/officeDocument/2006/relationships/ctrlProp" Target="../ctrlProps/ctrlProp14.xml"/><Relationship Id="rId2" Type="http://schemas.openxmlformats.org/officeDocument/2006/relationships/drawing" Target="../drawings/drawing1.xml"/><Relationship Id="rId16" Type="http://schemas.openxmlformats.org/officeDocument/2006/relationships/ctrlProp" Target="../ctrlProps/ctrlProp13.xml"/><Relationship Id="rId1" Type="http://schemas.openxmlformats.org/officeDocument/2006/relationships/printerSettings" Target="../printerSettings/printerSettings2.bin"/><Relationship Id="rId6" Type="http://schemas.openxmlformats.org/officeDocument/2006/relationships/ctrlProp" Target="../ctrlProps/ctrlProp3.xml"/><Relationship Id="rId11" Type="http://schemas.openxmlformats.org/officeDocument/2006/relationships/ctrlProp" Target="../ctrlProps/ctrlProp8.xml"/><Relationship Id="rId5" Type="http://schemas.openxmlformats.org/officeDocument/2006/relationships/ctrlProp" Target="../ctrlProps/ctrlProp2.xml"/><Relationship Id="rId15" Type="http://schemas.openxmlformats.org/officeDocument/2006/relationships/ctrlProp" Target="../ctrlProps/ctrlProp12.xml"/><Relationship Id="rId10" Type="http://schemas.openxmlformats.org/officeDocument/2006/relationships/ctrlProp" Target="../ctrlProps/ctrlProp7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Relationship Id="rId14" Type="http://schemas.openxmlformats.org/officeDocument/2006/relationships/ctrlProp" Target="../ctrlProps/ctrlProp11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20.xml"/><Relationship Id="rId13" Type="http://schemas.openxmlformats.org/officeDocument/2006/relationships/ctrlProp" Target="../ctrlProps/ctrlProp25.xml"/><Relationship Id="rId18" Type="http://schemas.openxmlformats.org/officeDocument/2006/relationships/ctrlProp" Target="../ctrlProps/ctrlProp30.xml"/><Relationship Id="rId3" Type="http://schemas.openxmlformats.org/officeDocument/2006/relationships/vmlDrawing" Target="../drawings/vmlDrawing2.vml"/><Relationship Id="rId7" Type="http://schemas.openxmlformats.org/officeDocument/2006/relationships/ctrlProp" Target="../ctrlProps/ctrlProp19.xml"/><Relationship Id="rId12" Type="http://schemas.openxmlformats.org/officeDocument/2006/relationships/ctrlProp" Target="../ctrlProps/ctrlProp24.xml"/><Relationship Id="rId17" Type="http://schemas.openxmlformats.org/officeDocument/2006/relationships/ctrlProp" Target="../ctrlProps/ctrlProp29.xml"/><Relationship Id="rId2" Type="http://schemas.openxmlformats.org/officeDocument/2006/relationships/drawing" Target="../drawings/drawing2.xml"/><Relationship Id="rId16" Type="http://schemas.openxmlformats.org/officeDocument/2006/relationships/ctrlProp" Target="../ctrlProps/ctrlProp28.xml"/><Relationship Id="rId20" Type="http://schemas.openxmlformats.org/officeDocument/2006/relationships/ctrlProp" Target="../ctrlProps/ctrlProp32.xml"/><Relationship Id="rId1" Type="http://schemas.openxmlformats.org/officeDocument/2006/relationships/printerSettings" Target="../printerSettings/printerSettings3.bin"/><Relationship Id="rId6" Type="http://schemas.openxmlformats.org/officeDocument/2006/relationships/ctrlProp" Target="../ctrlProps/ctrlProp18.xml"/><Relationship Id="rId11" Type="http://schemas.openxmlformats.org/officeDocument/2006/relationships/ctrlProp" Target="../ctrlProps/ctrlProp23.xml"/><Relationship Id="rId5" Type="http://schemas.openxmlformats.org/officeDocument/2006/relationships/ctrlProp" Target="../ctrlProps/ctrlProp17.xml"/><Relationship Id="rId15" Type="http://schemas.openxmlformats.org/officeDocument/2006/relationships/ctrlProp" Target="../ctrlProps/ctrlProp27.xml"/><Relationship Id="rId10" Type="http://schemas.openxmlformats.org/officeDocument/2006/relationships/ctrlProp" Target="../ctrlProps/ctrlProp22.xml"/><Relationship Id="rId19" Type="http://schemas.openxmlformats.org/officeDocument/2006/relationships/ctrlProp" Target="../ctrlProps/ctrlProp31.xml"/><Relationship Id="rId4" Type="http://schemas.openxmlformats.org/officeDocument/2006/relationships/ctrlProp" Target="../ctrlProps/ctrlProp16.xml"/><Relationship Id="rId9" Type="http://schemas.openxmlformats.org/officeDocument/2006/relationships/ctrlProp" Target="../ctrlProps/ctrlProp21.xml"/><Relationship Id="rId14" Type="http://schemas.openxmlformats.org/officeDocument/2006/relationships/ctrlProp" Target="../ctrlProps/ctrlProp26.xm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37.xml"/><Relationship Id="rId13" Type="http://schemas.openxmlformats.org/officeDocument/2006/relationships/ctrlProp" Target="../ctrlProps/ctrlProp42.xml"/><Relationship Id="rId18" Type="http://schemas.openxmlformats.org/officeDocument/2006/relationships/ctrlProp" Target="../ctrlProps/ctrlProp47.xml"/><Relationship Id="rId3" Type="http://schemas.openxmlformats.org/officeDocument/2006/relationships/vmlDrawing" Target="../drawings/vmlDrawing3.vml"/><Relationship Id="rId7" Type="http://schemas.openxmlformats.org/officeDocument/2006/relationships/ctrlProp" Target="../ctrlProps/ctrlProp36.xml"/><Relationship Id="rId12" Type="http://schemas.openxmlformats.org/officeDocument/2006/relationships/ctrlProp" Target="../ctrlProps/ctrlProp41.xml"/><Relationship Id="rId17" Type="http://schemas.openxmlformats.org/officeDocument/2006/relationships/ctrlProp" Target="../ctrlProps/ctrlProp46.xml"/><Relationship Id="rId2" Type="http://schemas.openxmlformats.org/officeDocument/2006/relationships/drawing" Target="../drawings/drawing3.xml"/><Relationship Id="rId16" Type="http://schemas.openxmlformats.org/officeDocument/2006/relationships/ctrlProp" Target="../ctrlProps/ctrlProp45.xml"/><Relationship Id="rId20" Type="http://schemas.openxmlformats.org/officeDocument/2006/relationships/ctrlProp" Target="../ctrlProps/ctrlProp49.xml"/><Relationship Id="rId1" Type="http://schemas.openxmlformats.org/officeDocument/2006/relationships/printerSettings" Target="../printerSettings/printerSettings4.bin"/><Relationship Id="rId6" Type="http://schemas.openxmlformats.org/officeDocument/2006/relationships/ctrlProp" Target="../ctrlProps/ctrlProp35.xml"/><Relationship Id="rId11" Type="http://schemas.openxmlformats.org/officeDocument/2006/relationships/ctrlProp" Target="../ctrlProps/ctrlProp40.xml"/><Relationship Id="rId5" Type="http://schemas.openxmlformats.org/officeDocument/2006/relationships/ctrlProp" Target="../ctrlProps/ctrlProp34.xml"/><Relationship Id="rId15" Type="http://schemas.openxmlformats.org/officeDocument/2006/relationships/ctrlProp" Target="../ctrlProps/ctrlProp44.xml"/><Relationship Id="rId10" Type="http://schemas.openxmlformats.org/officeDocument/2006/relationships/ctrlProp" Target="../ctrlProps/ctrlProp39.xml"/><Relationship Id="rId19" Type="http://schemas.openxmlformats.org/officeDocument/2006/relationships/ctrlProp" Target="../ctrlProps/ctrlProp48.xml"/><Relationship Id="rId4" Type="http://schemas.openxmlformats.org/officeDocument/2006/relationships/ctrlProp" Target="../ctrlProps/ctrlProp33.xml"/><Relationship Id="rId9" Type="http://schemas.openxmlformats.org/officeDocument/2006/relationships/ctrlProp" Target="../ctrlProps/ctrlProp38.xml"/><Relationship Id="rId14" Type="http://schemas.openxmlformats.org/officeDocument/2006/relationships/ctrlProp" Target="../ctrlProps/ctrlProp4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J33"/>
  <sheetViews>
    <sheetView showGridLines="0" tabSelected="1" workbookViewId="0">
      <selection activeCell="C11" sqref="C10:C11"/>
    </sheetView>
  </sheetViews>
  <sheetFormatPr defaultRowHeight="12.5" x14ac:dyDescent="0.25"/>
  <cols>
    <col min="2" max="2" width="12.54296875" customWidth="1"/>
    <col min="3" max="3" width="13.453125" customWidth="1"/>
    <col min="4" max="4" width="0.81640625" customWidth="1"/>
    <col min="6" max="6" width="0.81640625" customWidth="1"/>
    <col min="7" max="7" width="14" customWidth="1"/>
    <col min="8" max="8" width="16.1796875" customWidth="1"/>
    <col min="9" max="9" width="26" customWidth="1"/>
    <col min="10" max="10" width="3.7265625" customWidth="1"/>
    <col min="11" max="11" width="11.26953125" customWidth="1"/>
    <col min="12" max="13" width="13.1796875" customWidth="1"/>
    <col min="14" max="14" width="3.54296875" customWidth="1"/>
    <col min="15" max="15" width="9" customWidth="1"/>
    <col min="17" max="17" width="10.7265625" customWidth="1"/>
  </cols>
  <sheetData>
    <row r="2" spans="1:10" ht="18" x14ac:dyDescent="0.4">
      <c r="A2" s="62" t="s">
        <v>0</v>
      </c>
      <c r="B2" s="62"/>
      <c r="C2" s="62"/>
      <c r="D2" s="62"/>
      <c r="E2" s="62"/>
      <c r="G2" s="62"/>
      <c r="H2" s="62"/>
      <c r="I2" s="62"/>
      <c r="J2" s="62"/>
    </row>
    <row r="3" spans="1:10" ht="13" x14ac:dyDescent="0.3">
      <c r="B3" s="2" t="s">
        <v>13</v>
      </c>
      <c r="C3" t="s">
        <v>44</v>
      </c>
    </row>
    <row r="4" spans="1:10" ht="13" x14ac:dyDescent="0.3">
      <c r="B4" s="2" t="s">
        <v>11</v>
      </c>
      <c r="C4" s="14" t="s">
        <v>45</v>
      </c>
    </row>
    <row r="5" spans="1:10" ht="13" x14ac:dyDescent="0.3">
      <c r="B5" s="2" t="s">
        <v>12</v>
      </c>
      <c r="C5" t="s">
        <v>46</v>
      </c>
    </row>
    <row r="7" spans="1:10" ht="13.5" customHeight="1" thickBot="1" x14ac:dyDescent="0.3"/>
    <row r="8" spans="1:10" ht="16" thickBot="1" x14ac:dyDescent="0.4">
      <c r="A8" s="56" t="s">
        <v>22</v>
      </c>
      <c r="B8" s="57"/>
      <c r="C8" s="58"/>
    </row>
    <row r="9" spans="1:10" ht="28.5" thickBot="1" x14ac:dyDescent="0.35">
      <c r="A9" s="47"/>
      <c r="B9" s="48" t="s">
        <v>34</v>
      </c>
      <c r="C9" s="48" t="s">
        <v>59</v>
      </c>
      <c r="D9" s="1"/>
      <c r="E9" s="66" t="s">
        <v>27</v>
      </c>
      <c r="F9" s="18"/>
    </row>
    <row r="10" spans="1:10" ht="23.25" customHeight="1" thickBot="1" x14ac:dyDescent="0.4">
      <c r="A10" s="20" t="s">
        <v>35</v>
      </c>
      <c r="B10" s="22" t="s">
        <v>23</v>
      </c>
      <c r="C10" s="20" t="s">
        <v>29</v>
      </c>
      <c r="E10" s="67"/>
      <c r="G10" s="63" t="s">
        <v>28</v>
      </c>
      <c r="H10" s="64"/>
      <c r="I10" s="65"/>
    </row>
    <row r="11" spans="1:10" ht="36" customHeight="1" thickBot="1" x14ac:dyDescent="0.3">
      <c r="A11" s="35"/>
      <c r="B11" s="35"/>
      <c r="C11" s="35" t="s">
        <v>24</v>
      </c>
      <c r="E11" s="21">
        <v>100</v>
      </c>
      <c r="F11" s="7"/>
      <c r="G11" s="59" t="s">
        <v>47</v>
      </c>
      <c r="H11" s="60"/>
      <c r="I11" s="61"/>
    </row>
    <row r="12" spans="1:10" ht="27.75" customHeight="1" thickTop="1" thickBot="1" x14ac:dyDescent="0.3">
      <c r="A12" s="35"/>
      <c r="B12" s="35"/>
      <c r="C12" s="35" t="s">
        <v>24</v>
      </c>
      <c r="E12" s="21">
        <v>100</v>
      </c>
      <c r="F12" s="7"/>
      <c r="G12" s="59" t="s">
        <v>48</v>
      </c>
      <c r="H12" s="60"/>
      <c r="I12" s="61"/>
    </row>
    <row r="13" spans="1:10" ht="27.75" customHeight="1" thickTop="1" thickBot="1" x14ac:dyDescent="0.3">
      <c r="A13" s="35"/>
      <c r="B13" s="35"/>
      <c r="C13" s="35" t="s">
        <v>24</v>
      </c>
      <c r="E13" s="21">
        <v>100</v>
      </c>
      <c r="F13" s="7"/>
      <c r="G13" s="59" t="s">
        <v>54</v>
      </c>
      <c r="H13" s="60"/>
      <c r="I13" s="61"/>
    </row>
    <row r="14" spans="1:10" ht="27.75" customHeight="1" thickTop="1" thickBot="1" x14ac:dyDescent="0.3">
      <c r="A14" s="35"/>
      <c r="B14" s="35"/>
      <c r="C14" s="35" t="s">
        <v>24</v>
      </c>
      <c r="E14" s="21">
        <v>100</v>
      </c>
      <c r="F14" s="7"/>
      <c r="G14" s="59" t="s">
        <v>49</v>
      </c>
      <c r="H14" s="60"/>
      <c r="I14" s="61"/>
    </row>
    <row r="15" spans="1:10" ht="27.75" customHeight="1" thickTop="1" thickBot="1" x14ac:dyDescent="0.3">
      <c r="A15" s="35"/>
      <c r="B15" s="35"/>
      <c r="C15" s="35" t="s">
        <v>24</v>
      </c>
      <c r="E15" s="19">
        <v>100</v>
      </c>
      <c r="F15" s="7"/>
      <c r="G15" s="59" t="s">
        <v>57</v>
      </c>
      <c r="H15" s="60"/>
      <c r="I15" s="61"/>
    </row>
    <row r="16" spans="1:10" ht="27.75" customHeight="1" thickTop="1" thickBot="1" x14ac:dyDescent="0.3">
      <c r="A16" s="35"/>
      <c r="B16" s="35" t="s">
        <v>24</v>
      </c>
      <c r="C16" s="36"/>
      <c r="E16" s="19">
        <v>100</v>
      </c>
      <c r="F16" s="7"/>
      <c r="G16" s="59" t="s">
        <v>50</v>
      </c>
      <c r="H16" s="60"/>
      <c r="I16" s="61"/>
    </row>
    <row r="17" spans="1:9" ht="27.75" customHeight="1" thickTop="1" thickBot="1" x14ac:dyDescent="0.3">
      <c r="A17" s="35"/>
      <c r="B17" s="35" t="s">
        <v>24</v>
      </c>
      <c r="C17" s="36"/>
      <c r="E17" s="19">
        <v>100</v>
      </c>
      <c r="F17" s="7"/>
      <c r="G17" s="59" t="s">
        <v>52</v>
      </c>
      <c r="H17" s="60"/>
      <c r="I17" s="61"/>
    </row>
    <row r="18" spans="1:9" ht="27.75" customHeight="1" thickTop="1" thickBot="1" x14ac:dyDescent="0.3">
      <c r="A18" s="35"/>
      <c r="B18" s="35" t="s">
        <v>24</v>
      </c>
      <c r="C18" s="36"/>
      <c r="E18" s="19">
        <v>100</v>
      </c>
      <c r="F18" s="7"/>
      <c r="G18" s="59" t="s">
        <v>51</v>
      </c>
      <c r="H18" s="60"/>
      <c r="I18" s="61"/>
    </row>
    <row r="19" spans="1:9" ht="27.75" customHeight="1" thickTop="1" thickBot="1" x14ac:dyDescent="0.3">
      <c r="A19" s="35"/>
      <c r="B19" s="35" t="s">
        <v>24</v>
      </c>
      <c r="C19" s="36"/>
      <c r="E19" s="19">
        <v>100</v>
      </c>
      <c r="F19" s="7"/>
      <c r="G19" s="59" t="s">
        <v>58</v>
      </c>
      <c r="H19" s="60"/>
      <c r="I19" s="61"/>
    </row>
    <row r="20" spans="1:9" ht="33" customHeight="1" thickTop="1" thickBot="1" x14ac:dyDescent="0.3">
      <c r="A20" s="35"/>
      <c r="B20" s="35" t="s">
        <v>24</v>
      </c>
      <c r="C20" s="35"/>
      <c r="E20" s="19">
        <v>100</v>
      </c>
      <c r="F20" s="7"/>
      <c r="G20" s="53" t="s">
        <v>53</v>
      </c>
      <c r="H20" s="54"/>
      <c r="I20" s="55"/>
    </row>
    <row r="21" spans="1:9" ht="10.5" customHeight="1" thickTop="1" thickBot="1" x14ac:dyDescent="0.3">
      <c r="E21" s="11"/>
      <c r="F21" s="7"/>
    </row>
    <row r="22" spans="1:9" ht="13.5" thickTop="1" x14ac:dyDescent="0.3">
      <c r="C22" s="2" t="s">
        <v>26</v>
      </c>
      <c r="E22" s="3">
        <f>SUM(E11:E20)</f>
        <v>1000</v>
      </c>
      <c r="F22" s="3"/>
    </row>
    <row r="24" spans="1:9" ht="13" thickBot="1" x14ac:dyDescent="0.3"/>
    <row r="25" spans="1:9" ht="14" thickTop="1" thickBot="1" x14ac:dyDescent="0.3">
      <c r="A25" s="15" t="s">
        <v>33</v>
      </c>
      <c r="B25" s="16"/>
      <c r="C25" s="16"/>
      <c r="D25" s="17"/>
      <c r="G25" s="15" t="s">
        <v>1</v>
      </c>
      <c r="H25" s="17"/>
    </row>
    <row r="26" spans="1:9" ht="13.5" thickTop="1" x14ac:dyDescent="0.3">
      <c r="A26" s="38" t="s">
        <v>36</v>
      </c>
      <c r="B26" s="4"/>
      <c r="C26" s="4"/>
      <c r="D26" s="5"/>
      <c r="G26" s="38" t="s">
        <v>36</v>
      </c>
      <c r="H26" s="5"/>
    </row>
    <row r="27" spans="1:9" ht="13" x14ac:dyDescent="0.3">
      <c r="A27" s="6" t="s">
        <v>2</v>
      </c>
      <c r="B27" s="7" t="s">
        <v>3</v>
      </c>
      <c r="C27" s="7"/>
      <c r="D27" s="8"/>
      <c r="G27" s="6" t="s">
        <v>2</v>
      </c>
      <c r="H27" s="8" t="s">
        <v>38</v>
      </c>
    </row>
    <row r="28" spans="1:9" ht="26.25" customHeight="1" x14ac:dyDescent="0.25">
      <c r="A28" s="9" t="s">
        <v>4</v>
      </c>
      <c r="B28" s="51" t="s">
        <v>55</v>
      </c>
      <c r="C28" s="51"/>
      <c r="D28" s="8"/>
      <c r="G28" s="9" t="s">
        <v>39</v>
      </c>
      <c r="H28" s="42" t="s">
        <v>40</v>
      </c>
    </row>
    <row r="29" spans="1:9" ht="41.25" customHeight="1" x14ac:dyDescent="0.25">
      <c r="A29" s="9" t="s">
        <v>5</v>
      </c>
      <c r="B29" s="49" t="s">
        <v>6</v>
      </c>
      <c r="C29" s="49"/>
      <c r="D29" s="50"/>
      <c r="G29" s="41" t="s">
        <v>8</v>
      </c>
      <c r="H29" s="43" t="s">
        <v>41</v>
      </c>
    </row>
    <row r="30" spans="1:9" ht="38.25" customHeight="1" x14ac:dyDescent="0.25">
      <c r="A30" s="9" t="s">
        <v>7</v>
      </c>
      <c r="B30" s="52" t="s">
        <v>37</v>
      </c>
      <c r="C30" s="52"/>
      <c r="D30" s="8"/>
      <c r="G30" s="9" t="s">
        <v>9</v>
      </c>
      <c r="H30" s="43" t="s">
        <v>42</v>
      </c>
    </row>
    <row r="31" spans="1:9" ht="34.5" customHeight="1" thickBot="1" x14ac:dyDescent="0.3">
      <c r="A31" s="10"/>
      <c r="B31" s="11"/>
      <c r="C31" s="11"/>
      <c r="D31" s="12"/>
      <c r="G31" s="41" t="s">
        <v>10</v>
      </c>
      <c r="H31" s="43" t="s">
        <v>43</v>
      </c>
    </row>
    <row r="32" spans="1:9" ht="6.75" customHeight="1" thickTop="1" thickBot="1" x14ac:dyDescent="0.3">
      <c r="G32" s="10"/>
      <c r="H32" s="12"/>
    </row>
    <row r="33" ht="13" thickTop="1" x14ac:dyDescent="0.25"/>
  </sheetData>
  <mergeCells count="18">
    <mergeCell ref="G2:J2"/>
    <mergeCell ref="A2:E2"/>
    <mergeCell ref="G10:I10"/>
    <mergeCell ref="E9:E10"/>
    <mergeCell ref="G18:I18"/>
    <mergeCell ref="G19:I19"/>
    <mergeCell ref="G15:I15"/>
    <mergeCell ref="G13:I13"/>
    <mergeCell ref="G14:I14"/>
    <mergeCell ref="G16:I16"/>
    <mergeCell ref="B29:D29"/>
    <mergeCell ref="B28:C28"/>
    <mergeCell ref="B30:C30"/>
    <mergeCell ref="G20:I20"/>
    <mergeCell ref="A8:C8"/>
    <mergeCell ref="G11:I11"/>
    <mergeCell ref="G12:I12"/>
    <mergeCell ref="G17:I17"/>
  </mergeCells>
  <phoneticPr fontId="0" type="noConversion"/>
  <printOptions horizontalCentered="1"/>
  <pageMargins left="0.75" right="0.75" top="1" bottom="1" header="0.5" footer="0.5"/>
  <pageSetup scale="86" orientation="portrait" horizontalDpi="4294967292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2:L44"/>
  <sheetViews>
    <sheetView showGridLines="0" workbookViewId="0">
      <selection activeCell="D11" sqref="D11"/>
    </sheetView>
  </sheetViews>
  <sheetFormatPr defaultRowHeight="12.5" x14ac:dyDescent="0.25"/>
  <cols>
    <col min="1" max="1" width="4.81640625" customWidth="1"/>
    <col min="2" max="2" width="14" customWidth="1"/>
    <col min="3" max="3" width="14.26953125" customWidth="1"/>
    <col min="4" max="4" width="26" customWidth="1"/>
    <col min="5" max="5" width="15.453125" customWidth="1"/>
    <col min="6" max="6" width="5.1796875" customWidth="1"/>
    <col min="11" max="12" width="9.1796875" hidden="1" customWidth="1"/>
  </cols>
  <sheetData>
    <row r="2" spans="1:12" ht="18" x14ac:dyDescent="0.4">
      <c r="A2" s="62" t="s">
        <v>0</v>
      </c>
      <c r="B2" s="62"/>
      <c r="C2" s="62"/>
      <c r="D2" s="62"/>
      <c r="E2" s="62"/>
    </row>
    <row r="3" spans="1:12" ht="13" x14ac:dyDescent="0.3">
      <c r="C3" s="2" t="s">
        <v>13</v>
      </c>
      <c r="D3" t="str">
        <f>Rate!C3</f>
        <v>M34933</v>
      </c>
    </row>
    <row r="4" spans="1:12" ht="13" x14ac:dyDescent="0.3">
      <c r="C4" s="2" t="s">
        <v>11</v>
      </c>
      <c r="D4" s="14" t="str">
        <f>Rate!C4</f>
        <v>DATABASE ADMINISTRATOR</v>
      </c>
      <c r="K4" t="s">
        <v>14</v>
      </c>
      <c r="L4" t="s">
        <v>14</v>
      </c>
    </row>
    <row r="5" spans="1:12" ht="13" x14ac:dyDescent="0.3">
      <c r="C5" s="2" t="s">
        <v>12</v>
      </c>
      <c r="D5" t="str">
        <f>Rate!C5</f>
        <v>VICE PROVOST FOR RESEARCH</v>
      </c>
      <c r="K5" t="s">
        <v>15</v>
      </c>
      <c r="L5" t="s">
        <v>18</v>
      </c>
    </row>
    <row r="6" spans="1:12" x14ac:dyDescent="0.25">
      <c r="K6" t="s">
        <v>16</v>
      </c>
      <c r="L6" t="s">
        <v>19</v>
      </c>
    </row>
    <row r="7" spans="1:12" ht="42" customHeight="1" x14ac:dyDescent="0.25">
      <c r="B7" s="68" t="s">
        <v>56</v>
      </c>
      <c r="C7" s="68"/>
      <c r="D7" s="68"/>
      <c r="E7" s="68"/>
      <c r="K7" t="s">
        <v>17</v>
      </c>
      <c r="L7" t="s">
        <v>20</v>
      </c>
    </row>
    <row r="8" spans="1:12" ht="13" thickBot="1" x14ac:dyDescent="0.3">
      <c r="L8" t="s">
        <v>21</v>
      </c>
    </row>
    <row r="9" spans="1:12" ht="19.5" customHeight="1" thickTop="1" thickBot="1" x14ac:dyDescent="0.3">
      <c r="B9" s="15" t="s">
        <v>60</v>
      </c>
      <c r="C9" s="16"/>
      <c r="D9" s="16"/>
      <c r="E9" s="17"/>
    </row>
    <row r="10" spans="1:12" ht="13.5" thickTop="1" x14ac:dyDescent="0.3">
      <c r="B10" s="38" t="s">
        <v>36</v>
      </c>
      <c r="C10" s="4"/>
      <c r="D10" s="4"/>
      <c r="E10" s="5"/>
    </row>
    <row r="11" spans="1:12" ht="13" x14ac:dyDescent="0.3">
      <c r="B11" s="6" t="s">
        <v>2</v>
      </c>
      <c r="C11" s="7" t="s">
        <v>3</v>
      </c>
      <c r="D11" s="7"/>
      <c r="E11" s="8"/>
    </row>
    <row r="12" spans="1:12" ht="13" x14ac:dyDescent="0.3">
      <c r="B12" s="6" t="s">
        <v>4</v>
      </c>
      <c r="C12" s="7" t="s">
        <v>55</v>
      </c>
      <c r="D12" s="7"/>
      <c r="E12" s="8"/>
    </row>
    <row r="13" spans="1:12" ht="24.75" customHeight="1" x14ac:dyDescent="0.25">
      <c r="B13" s="9" t="s">
        <v>5</v>
      </c>
      <c r="C13" s="52" t="s">
        <v>6</v>
      </c>
      <c r="D13" s="52"/>
      <c r="E13" s="69"/>
    </row>
    <row r="14" spans="1:12" ht="13" x14ac:dyDescent="0.3">
      <c r="B14" s="6" t="s">
        <v>7</v>
      </c>
      <c r="C14" s="7" t="s">
        <v>37</v>
      </c>
      <c r="D14" s="7"/>
      <c r="E14" s="8"/>
    </row>
    <row r="15" spans="1:12" ht="13" thickBot="1" x14ac:dyDescent="0.3">
      <c r="B15" s="10"/>
      <c r="C15" s="11"/>
      <c r="D15" s="11"/>
      <c r="E15" s="12"/>
    </row>
    <row r="16" spans="1:12" ht="29.25" customHeight="1" thickTop="1" thickBot="1" x14ac:dyDescent="0.3">
      <c r="B16" s="70" t="str">
        <f>Rate!G11</f>
        <v>Computer and/or network security systems, applications, procedures and techniques</v>
      </c>
      <c r="C16" s="71"/>
      <c r="D16" s="72"/>
      <c r="E16" s="12"/>
      <c r="K16">
        <v>2</v>
      </c>
      <c r="L16">
        <f>IF(K16=2,Rate!E11*0.33,IF(K16=3,Rate!E11*0.66,IF(K16=4,Rate!E11*1,0)))</f>
        <v>33</v>
      </c>
    </row>
    <row r="17" spans="2:12" ht="25.5" customHeight="1" thickTop="1" thickBot="1" x14ac:dyDescent="0.3">
      <c r="B17" s="70" t="str">
        <f>Rate!G12</f>
        <v>Data integrity methods and techniques</v>
      </c>
      <c r="C17" s="71"/>
      <c r="D17" s="72"/>
      <c r="E17" s="12"/>
      <c r="K17">
        <v>3</v>
      </c>
      <c r="L17">
        <f>IF(K17=2,Rate!E12*0.33,IF(K17=3,Rate!E12*0.66,IF(K17=4,Rate!E12*1,0)))</f>
        <v>66</v>
      </c>
    </row>
    <row r="18" spans="2:12" ht="25.5" customHeight="1" thickTop="1" thickBot="1" x14ac:dyDescent="0.3">
      <c r="B18" s="70" t="str">
        <f>Rate!G13</f>
        <v>Develop, program, configure, manage, and maintain complex RDBMS</v>
      </c>
      <c r="C18" s="71"/>
      <c r="D18" s="72"/>
      <c r="E18" s="12"/>
      <c r="K18">
        <v>2</v>
      </c>
      <c r="L18">
        <f>IF(K18=2,Rate!E13*0.33,IF(K18=3,Rate!E13*0.66,IF(K18=4,Rate!E13*1,0)))</f>
        <v>33</v>
      </c>
    </row>
    <row r="19" spans="2:12" ht="30" customHeight="1" thickTop="1" thickBot="1" x14ac:dyDescent="0.3">
      <c r="B19" s="70" t="str">
        <f>Rate!G16</f>
        <v>Working with diverse RDBMS including SQL Server, Postgres, Oracle, and Access</v>
      </c>
      <c r="C19" s="71"/>
      <c r="D19" s="72"/>
      <c r="E19" s="13"/>
      <c r="K19">
        <v>4</v>
      </c>
      <c r="L19">
        <f>IF(K19=2,Rate!E14*0.33,IF(K19=3,Rate!E14*0.66,IF(K19=4,Rate!E14*1,0)))</f>
        <v>100</v>
      </c>
    </row>
    <row r="20" spans="2:12" ht="28.5" customHeight="1" thickTop="1" thickBot="1" x14ac:dyDescent="0.3">
      <c r="B20" s="73" t="str">
        <f>Rate!G15</f>
        <v>Knowledge of ecological and/or biodiversity informatics theory</v>
      </c>
      <c r="C20" s="74"/>
      <c r="D20" s="75"/>
      <c r="E20" s="37"/>
      <c r="K20">
        <v>4</v>
      </c>
      <c r="L20">
        <f>IF(K20=2,Rate!E15*0.33,IF(K20=3,Rate!E15*0.66,IF(K20=4,Rate!E15*1,0)))</f>
        <v>100</v>
      </c>
    </row>
    <row r="21" spans="2:12" ht="18.75" customHeight="1" thickTop="1" thickBot="1" x14ac:dyDescent="0.3">
      <c r="B21" s="15" t="s">
        <v>1</v>
      </c>
      <c r="C21" s="16"/>
      <c r="D21" s="16"/>
      <c r="E21" s="17"/>
    </row>
    <row r="22" spans="2:12" ht="13.5" thickTop="1" x14ac:dyDescent="0.3">
      <c r="B22" s="38" t="s">
        <v>36</v>
      </c>
      <c r="C22" s="4"/>
      <c r="D22" s="4"/>
      <c r="E22" s="5"/>
    </row>
    <row r="23" spans="2:12" ht="13" x14ac:dyDescent="0.3">
      <c r="B23" s="6" t="s">
        <v>2</v>
      </c>
      <c r="C23" s="7" t="s">
        <v>38</v>
      </c>
      <c r="D23" s="7"/>
      <c r="E23" s="8"/>
    </row>
    <row r="24" spans="2:12" ht="13" x14ac:dyDescent="0.3">
      <c r="B24" s="6" t="s">
        <v>39</v>
      </c>
      <c r="C24" s="7" t="s">
        <v>40</v>
      </c>
      <c r="D24" s="7"/>
      <c r="E24" s="8"/>
    </row>
    <row r="25" spans="2:12" ht="13" x14ac:dyDescent="0.3">
      <c r="B25" s="6" t="s">
        <v>8</v>
      </c>
      <c r="C25" s="7" t="s">
        <v>41</v>
      </c>
      <c r="D25" s="7"/>
      <c r="E25" s="8"/>
    </row>
    <row r="26" spans="2:12" ht="13" x14ac:dyDescent="0.3">
      <c r="B26" s="6" t="s">
        <v>9</v>
      </c>
      <c r="C26" s="7" t="s">
        <v>42</v>
      </c>
      <c r="D26" s="7"/>
      <c r="E26" s="8"/>
    </row>
    <row r="27" spans="2:12" ht="13" x14ac:dyDescent="0.3">
      <c r="B27" s="6" t="s">
        <v>10</v>
      </c>
      <c r="C27" s="7" t="s">
        <v>43</v>
      </c>
      <c r="D27" s="7"/>
      <c r="E27" s="8"/>
    </row>
    <row r="28" spans="2:12" ht="13" thickBot="1" x14ac:dyDescent="0.3">
      <c r="B28" s="10"/>
      <c r="C28" s="11"/>
      <c r="D28" s="11"/>
      <c r="E28" s="12"/>
    </row>
    <row r="29" spans="2:12" ht="29.25" customHeight="1" thickTop="1" thickBot="1" x14ac:dyDescent="0.3">
      <c r="B29" s="76" t="str">
        <f>Rate!G16</f>
        <v>Working with diverse RDBMS including SQL Server, Postgres, Oracle, and Access</v>
      </c>
      <c r="C29" s="76"/>
      <c r="D29" s="76"/>
      <c r="E29" s="19"/>
      <c r="K29">
        <v>2</v>
      </c>
      <c r="L29">
        <f>IF(K29=2,Rate!E16*0.25,IF(K29=3,Rate!E16*0.5,IF(K29=4,Rate!E16*0.75,IF(K29=5,Rate!E16*1,0))))</f>
        <v>25</v>
      </c>
    </row>
    <row r="30" spans="2:12" ht="29.25" customHeight="1" thickTop="1" thickBot="1" x14ac:dyDescent="0.3">
      <c r="B30" s="70" t="str">
        <f>Rate!G17</f>
        <v>Programming languages such as PERL, PHP, Java, XML, SQL, SGML, and Visual Basic</v>
      </c>
      <c r="C30" s="71"/>
      <c r="D30" s="72"/>
      <c r="E30" s="13"/>
      <c r="K30">
        <v>3</v>
      </c>
      <c r="L30">
        <f>IF(K30=2,Rate!E17*0.25,IF(K30=3,Rate!E17*0.5,IF(K30=4,Rate!E17*0.75,IF(K30=5,Rate!E17*1,0))))</f>
        <v>50</v>
      </c>
    </row>
    <row r="31" spans="2:12" ht="29.25" customHeight="1" thickTop="1" thickBot="1" x14ac:dyDescent="0.3">
      <c r="B31" s="70" t="str">
        <f>Rate!G18</f>
        <v>UNIX and NT-based server management</v>
      </c>
      <c r="C31" s="71"/>
      <c r="D31" s="72"/>
      <c r="E31" s="13"/>
      <c r="K31">
        <v>4</v>
      </c>
      <c r="L31">
        <f>IF(K31=2,Rate!E18*0.25,IF(K31=3,Rate!E18*0.5,IF(K31=4,Rate!E18*0.75,IF(K31=5,Rate!E18*1,0))))</f>
        <v>75</v>
      </c>
    </row>
    <row r="32" spans="2:12" ht="29.25" customHeight="1" thickTop="1" thickBot="1" x14ac:dyDescent="0.3">
      <c r="B32" s="77" t="str">
        <f>Rate!G19</f>
        <v>Database-to-web connectivity using ODBC and/or JDBC</v>
      </c>
      <c r="C32" s="78"/>
      <c r="D32" s="79"/>
      <c r="E32" s="13"/>
      <c r="K32">
        <v>5</v>
      </c>
      <c r="L32">
        <f>IF(K32=2,Rate!E17*0.25,IF(K32=3,Rate!E17*0.5,IF(K32=4,Rate!E17*0.75,IF(K32=5,Rate!E17*1,0))))</f>
        <v>100</v>
      </c>
    </row>
    <row r="33" spans="2:12" ht="31.5" customHeight="1" thickTop="1" thickBot="1" x14ac:dyDescent="0.3">
      <c r="B33" s="70" t="str">
        <f>Rate!G20</f>
        <v>Managing and maintaining scientific data and working with scientists</v>
      </c>
      <c r="C33" s="71"/>
      <c r="D33" s="72"/>
      <c r="E33" s="37"/>
      <c r="K33">
        <v>0</v>
      </c>
      <c r="L33">
        <f>IF(K33=2,Rate!E18*0.25,IF(K33=3,Rate!E18*0.5,IF(K33=4,Rate!E18*0.75,IF(K33=5,Rate!E18*1,0))))</f>
        <v>0</v>
      </c>
    </row>
    <row r="34" spans="2:12" ht="54" customHeight="1" thickTop="1" x14ac:dyDescent="0.25">
      <c r="B34" s="39"/>
      <c r="C34" s="25"/>
      <c r="D34" s="25"/>
      <c r="E34" s="25"/>
    </row>
    <row r="35" spans="2:12" ht="18" customHeight="1" x14ac:dyDescent="0.25">
      <c r="B35" s="39"/>
      <c r="C35" s="25"/>
      <c r="D35" s="25"/>
      <c r="E35" s="25"/>
    </row>
    <row r="36" spans="2:12" ht="18" customHeight="1" x14ac:dyDescent="0.25">
      <c r="B36" s="39"/>
      <c r="C36" s="25"/>
      <c r="D36" s="25"/>
      <c r="E36" s="25"/>
    </row>
    <row r="37" spans="2:12" ht="18" customHeight="1" x14ac:dyDescent="0.25">
      <c r="B37" s="39"/>
      <c r="C37" s="25"/>
      <c r="D37" s="25"/>
      <c r="E37" s="25"/>
    </row>
    <row r="38" spans="2:12" ht="18" customHeight="1" x14ac:dyDescent="0.25">
      <c r="B38" s="39"/>
      <c r="C38" s="25"/>
      <c r="D38" s="25"/>
      <c r="E38" s="25"/>
    </row>
    <row r="39" spans="2:12" ht="18" customHeight="1" x14ac:dyDescent="0.25">
      <c r="B39" s="39"/>
      <c r="C39" s="25"/>
      <c r="D39" s="25"/>
      <c r="E39" s="25"/>
    </row>
    <row r="40" spans="2:12" ht="18" customHeight="1" x14ac:dyDescent="0.25">
      <c r="B40" s="39"/>
      <c r="C40" s="25"/>
      <c r="D40" s="25"/>
      <c r="E40" s="25"/>
    </row>
    <row r="41" spans="2:12" ht="18" customHeight="1" x14ac:dyDescent="0.25">
      <c r="B41" s="39"/>
      <c r="C41" s="25"/>
      <c r="D41" s="25"/>
      <c r="E41" s="25"/>
    </row>
    <row r="42" spans="2:12" ht="18" customHeight="1" x14ac:dyDescent="0.25">
      <c r="B42" s="39"/>
      <c r="C42" s="25"/>
      <c r="D42" s="25"/>
      <c r="E42" s="25"/>
    </row>
    <row r="43" spans="2:12" ht="18" customHeight="1" x14ac:dyDescent="0.25">
      <c r="B43" s="39"/>
      <c r="C43" s="25"/>
      <c r="D43" s="25"/>
      <c r="E43" s="25"/>
    </row>
    <row r="44" spans="2:12" ht="18" customHeight="1" x14ac:dyDescent="0.25"/>
  </sheetData>
  <mergeCells count="13">
    <mergeCell ref="B33:D33"/>
    <mergeCell ref="B19:D19"/>
    <mergeCell ref="B29:D29"/>
    <mergeCell ref="B32:D32"/>
    <mergeCell ref="B31:D31"/>
    <mergeCell ref="A2:E2"/>
    <mergeCell ref="B7:E7"/>
    <mergeCell ref="C13:E13"/>
    <mergeCell ref="B17:D17"/>
    <mergeCell ref="B16:D16"/>
    <mergeCell ref="B30:D30"/>
    <mergeCell ref="B20:D20"/>
    <mergeCell ref="B18:D18"/>
  </mergeCells>
  <phoneticPr fontId="0" type="noConversion"/>
  <printOptions horizontalCentered="1"/>
  <pageMargins left="0.75" right="0.75" top="0.5" bottom="0.5" header="0.5" footer="0.5"/>
  <pageSetup scale="98" orientation="portrait" horizontalDpi="4294967292" r:id="rId1"/>
  <headerFooter alignWithMargins="0">
    <oddFooter>&amp;C&amp;A</oddFooter>
  </headerFooter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6" r:id="rId4" name="Drop Down 2">
              <controlPr defaultSize="0" autoLine="0" autoPict="0">
                <anchor moveWithCells="1">
                  <from>
                    <xdr:col>4</xdr:col>
                    <xdr:colOff>120650</xdr:colOff>
                    <xdr:row>28</xdr:row>
                    <xdr:rowOff>82550</xdr:rowOff>
                  </from>
                  <to>
                    <xdr:col>4</xdr:col>
                    <xdr:colOff>1009650</xdr:colOff>
                    <xdr:row>28</xdr:row>
                    <xdr:rowOff>285750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8" r:id="rId5" name="Button 4">
              <controlPr defaultSize="0" print="0" autoFill="0" autoPict="0">
                <anchor moveWithCells="1">
                  <from>
                    <xdr:col>1</xdr:col>
                    <xdr:colOff>82550</xdr:colOff>
                    <xdr:row>33</xdr:row>
                    <xdr:rowOff>222250</xdr:rowOff>
                  </from>
                  <to>
                    <xdr:col>1</xdr:col>
                    <xdr:colOff>622300</xdr:colOff>
                    <xdr:row>33</xdr:row>
                    <xdr:rowOff>431800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9" r:id="rId6" name="Button 5">
              <controlPr defaultSize="0" print="0" autoFill="0" autoPict="0">
                <anchor moveWithCells="1">
                  <from>
                    <xdr:col>1</xdr:col>
                    <xdr:colOff>806450</xdr:colOff>
                    <xdr:row>33</xdr:row>
                    <xdr:rowOff>209550</xdr:rowOff>
                  </from>
                  <to>
                    <xdr:col>2</xdr:col>
                    <xdr:colOff>368300</xdr:colOff>
                    <xdr:row>33</xdr:row>
                    <xdr:rowOff>419100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0" r:id="rId7" name="Button 6">
              <controlPr defaultSize="0" print="0" autoFill="0" autoPict="0">
                <anchor moveWithCells="1">
                  <from>
                    <xdr:col>2</xdr:col>
                    <xdr:colOff>698500</xdr:colOff>
                    <xdr:row>33</xdr:row>
                    <xdr:rowOff>222250</xdr:rowOff>
                  </from>
                  <to>
                    <xdr:col>3</xdr:col>
                    <xdr:colOff>241300</xdr:colOff>
                    <xdr:row>33</xdr:row>
                    <xdr:rowOff>431800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1" r:id="rId8" name="Button 7">
              <controlPr defaultSize="0" print="0" autoFill="0" autoPict="0">
                <anchor moveWithCells="1">
                  <from>
                    <xdr:col>4</xdr:col>
                    <xdr:colOff>330200</xdr:colOff>
                    <xdr:row>33</xdr:row>
                    <xdr:rowOff>266700</xdr:rowOff>
                  </from>
                  <to>
                    <xdr:col>4</xdr:col>
                    <xdr:colOff>869950</xdr:colOff>
                    <xdr:row>33</xdr:row>
                    <xdr:rowOff>476250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3" r:id="rId9" name="Option Button 9">
              <controlPr defaultSize="0" autoFill="0" autoLine="0" autoPict="0">
                <anchor moveWithCells="1">
                  <from>
                    <xdr:col>4</xdr:col>
                    <xdr:colOff>0</xdr:colOff>
                    <xdr:row>43</xdr:row>
                    <xdr:rowOff>0</xdr:rowOff>
                  </from>
                  <to>
                    <xdr:col>4</xdr:col>
                    <xdr:colOff>990600</xdr:colOff>
                    <xdr:row>43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4" r:id="rId10" name="Drop Down 10">
              <controlPr defaultSize="0" autoLine="0" autoPict="0">
                <anchor moveWithCells="1">
                  <from>
                    <xdr:col>4</xdr:col>
                    <xdr:colOff>241300</xdr:colOff>
                    <xdr:row>18</xdr:row>
                    <xdr:rowOff>76200</xdr:rowOff>
                  </from>
                  <to>
                    <xdr:col>4</xdr:col>
                    <xdr:colOff>1022350</xdr:colOff>
                    <xdr:row>18</xdr:row>
                    <xdr:rowOff>273050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5" r:id="rId11" name="Drop Down 21">
              <controlPr defaultSize="0" autoLine="0" autoPict="0">
                <anchor moveWithCells="1">
                  <from>
                    <xdr:col>4</xdr:col>
                    <xdr:colOff>152400</xdr:colOff>
                    <xdr:row>31</xdr:row>
                    <xdr:rowOff>69850</xdr:rowOff>
                  </from>
                  <to>
                    <xdr:col>4</xdr:col>
                    <xdr:colOff>1022350</xdr:colOff>
                    <xdr:row>31</xdr:row>
                    <xdr:rowOff>273050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6" r:id="rId12" name="Drop Down 22">
              <controlPr defaultSize="0" autoLine="0" autoPict="0">
                <anchor moveWithCells="1">
                  <from>
                    <xdr:col>4</xdr:col>
                    <xdr:colOff>241300</xdr:colOff>
                    <xdr:row>15</xdr:row>
                    <xdr:rowOff>76200</xdr:rowOff>
                  </from>
                  <to>
                    <xdr:col>4</xdr:col>
                    <xdr:colOff>1022350</xdr:colOff>
                    <xdr:row>15</xdr:row>
                    <xdr:rowOff>279400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7" r:id="rId13" name="Drop Down 23">
              <controlPr defaultSize="0" autoLine="0" autoPict="0">
                <anchor moveWithCells="1">
                  <from>
                    <xdr:col>4</xdr:col>
                    <xdr:colOff>247650</xdr:colOff>
                    <xdr:row>16</xdr:row>
                    <xdr:rowOff>50800</xdr:rowOff>
                  </from>
                  <to>
                    <xdr:col>4</xdr:col>
                    <xdr:colOff>1028700</xdr:colOff>
                    <xdr:row>16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1" r:id="rId14" name="Drop Down 27">
              <controlPr defaultSize="0" autoLine="0" autoPict="0">
                <anchor moveWithCells="1">
                  <from>
                    <xdr:col>4</xdr:col>
                    <xdr:colOff>247650</xdr:colOff>
                    <xdr:row>17</xdr:row>
                    <xdr:rowOff>50800</xdr:rowOff>
                  </from>
                  <to>
                    <xdr:col>4</xdr:col>
                    <xdr:colOff>1028700</xdr:colOff>
                    <xdr:row>17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2" r:id="rId15" name="Drop Down 28">
              <controlPr defaultSize="0" autoLine="0" autoPict="0">
                <anchor moveWithCells="1">
                  <from>
                    <xdr:col>4</xdr:col>
                    <xdr:colOff>120650</xdr:colOff>
                    <xdr:row>29</xdr:row>
                    <xdr:rowOff>82550</xdr:rowOff>
                  </from>
                  <to>
                    <xdr:col>4</xdr:col>
                    <xdr:colOff>1009650</xdr:colOff>
                    <xdr:row>29</xdr:row>
                    <xdr:rowOff>285750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3" r:id="rId16" name="Drop Down 29">
              <controlPr defaultSize="0" autoLine="0" autoPict="0">
                <anchor moveWithCells="1">
                  <from>
                    <xdr:col>4</xdr:col>
                    <xdr:colOff>120650</xdr:colOff>
                    <xdr:row>30</xdr:row>
                    <xdr:rowOff>82550</xdr:rowOff>
                  </from>
                  <to>
                    <xdr:col>4</xdr:col>
                    <xdr:colOff>1009650</xdr:colOff>
                    <xdr:row>30</xdr:row>
                    <xdr:rowOff>285750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2" r:id="rId17" name="Drop Down 38">
              <controlPr defaultSize="0" autoLine="0" autoPict="0">
                <anchor moveWithCells="1">
                  <from>
                    <xdr:col>4</xdr:col>
                    <xdr:colOff>241300</xdr:colOff>
                    <xdr:row>19</xdr:row>
                    <xdr:rowOff>76200</xdr:rowOff>
                  </from>
                  <to>
                    <xdr:col>4</xdr:col>
                    <xdr:colOff>1022350</xdr:colOff>
                    <xdr:row>19</xdr:row>
                    <xdr:rowOff>273050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3" r:id="rId18" name="Drop Down 39">
              <controlPr defaultSize="0" autoLine="0" autoPict="0">
                <anchor moveWithCells="1">
                  <from>
                    <xdr:col>4</xdr:col>
                    <xdr:colOff>152400</xdr:colOff>
                    <xdr:row>32</xdr:row>
                    <xdr:rowOff>69850</xdr:rowOff>
                  </from>
                  <to>
                    <xdr:col>4</xdr:col>
                    <xdr:colOff>1022350</xdr:colOff>
                    <xdr:row>32</xdr:row>
                    <xdr:rowOff>273050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2:L44"/>
  <sheetViews>
    <sheetView showGridLines="0" workbookViewId="0">
      <selection activeCell="B7" sqref="B7:E7"/>
    </sheetView>
  </sheetViews>
  <sheetFormatPr defaultRowHeight="12.5" x14ac:dyDescent="0.25"/>
  <cols>
    <col min="1" max="1" width="4.81640625" customWidth="1"/>
    <col min="2" max="2" width="14" customWidth="1"/>
    <col min="3" max="3" width="14.26953125" customWidth="1"/>
    <col min="4" max="4" width="26" customWidth="1"/>
    <col min="5" max="5" width="15.453125" customWidth="1"/>
    <col min="6" max="6" width="5.1796875" customWidth="1"/>
    <col min="11" max="12" width="9.1796875" hidden="1" customWidth="1"/>
  </cols>
  <sheetData>
    <row r="2" spans="1:12" ht="18" x14ac:dyDescent="0.4">
      <c r="A2" s="62" t="s">
        <v>0</v>
      </c>
      <c r="B2" s="62"/>
      <c r="C2" s="62"/>
      <c r="D2" s="62"/>
      <c r="E2" s="62"/>
    </row>
    <row r="3" spans="1:12" ht="13" x14ac:dyDescent="0.3">
      <c r="C3" s="2" t="s">
        <v>13</v>
      </c>
      <c r="D3" t="str">
        <f>Rate!C3</f>
        <v>M34933</v>
      </c>
    </row>
    <row r="4" spans="1:12" ht="13" x14ac:dyDescent="0.3">
      <c r="C4" s="2" t="s">
        <v>11</v>
      </c>
      <c r="D4" s="14" t="str">
        <f>Rate!C4</f>
        <v>DATABASE ADMINISTRATOR</v>
      </c>
      <c r="K4" t="s">
        <v>14</v>
      </c>
      <c r="L4" t="s">
        <v>14</v>
      </c>
    </row>
    <row r="5" spans="1:12" ht="13" x14ac:dyDescent="0.3">
      <c r="C5" s="2" t="s">
        <v>12</v>
      </c>
      <c r="D5" t="str">
        <f>Rate!C5</f>
        <v>VICE PROVOST FOR RESEARCH</v>
      </c>
      <c r="K5" t="s">
        <v>15</v>
      </c>
      <c r="L5" t="s">
        <v>18</v>
      </c>
    </row>
    <row r="6" spans="1:12" x14ac:dyDescent="0.25">
      <c r="K6" t="s">
        <v>16</v>
      </c>
      <c r="L6" t="s">
        <v>19</v>
      </c>
    </row>
    <row r="7" spans="1:12" ht="42" customHeight="1" x14ac:dyDescent="0.25">
      <c r="B7" s="68" t="s">
        <v>56</v>
      </c>
      <c r="C7" s="68"/>
      <c r="D7" s="68"/>
      <c r="E7" s="68"/>
      <c r="K7" t="s">
        <v>17</v>
      </c>
      <c r="L7" t="s">
        <v>20</v>
      </c>
    </row>
    <row r="8" spans="1:12" ht="13" thickBot="1" x14ac:dyDescent="0.3">
      <c r="L8" t="s">
        <v>21</v>
      </c>
    </row>
    <row r="9" spans="1:12" ht="19.5" customHeight="1" thickTop="1" thickBot="1" x14ac:dyDescent="0.3">
      <c r="B9" s="15" t="s">
        <v>60</v>
      </c>
      <c r="C9" s="16"/>
      <c r="D9" s="16"/>
      <c r="E9" s="17"/>
    </row>
    <row r="10" spans="1:12" ht="13.5" thickTop="1" x14ac:dyDescent="0.3">
      <c r="B10" s="38" t="s">
        <v>36</v>
      </c>
      <c r="C10" s="4"/>
      <c r="D10" s="4"/>
      <c r="E10" s="5"/>
    </row>
    <row r="11" spans="1:12" ht="13" x14ac:dyDescent="0.3">
      <c r="B11" s="6" t="s">
        <v>2</v>
      </c>
      <c r="C11" s="7" t="s">
        <v>3</v>
      </c>
      <c r="D11" s="7"/>
      <c r="E11" s="8"/>
    </row>
    <row r="12" spans="1:12" ht="13" x14ac:dyDescent="0.3">
      <c r="B12" s="6" t="s">
        <v>4</v>
      </c>
      <c r="C12" s="7" t="s">
        <v>55</v>
      </c>
      <c r="D12" s="7"/>
      <c r="E12" s="8"/>
    </row>
    <row r="13" spans="1:12" ht="24.75" customHeight="1" x14ac:dyDescent="0.25">
      <c r="B13" s="9" t="s">
        <v>5</v>
      </c>
      <c r="C13" s="52" t="s">
        <v>6</v>
      </c>
      <c r="D13" s="52"/>
      <c r="E13" s="69"/>
    </row>
    <row r="14" spans="1:12" ht="13" x14ac:dyDescent="0.3">
      <c r="B14" s="6" t="s">
        <v>7</v>
      </c>
      <c r="C14" s="7" t="s">
        <v>37</v>
      </c>
      <c r="D14" s="7"/>
      <c r="E14" s="8"/>
    </row>
    <row r="15" spans="1:12" ht="13" thickBot="1" x14ac:dyDescent="0.3">
      <c r="B15" s="10"/>
      <c r="C15" s="11"/>
      <c r="D15" s="11"/>
      <c r="E15" s="12"/>
    </row>
    <row r="16" spans="1:12" ht="29.25" customHeight="1" thickTop="1" thickBot="1" x14ac:dyDescent="0.3">
      <c r="B16" s="70" t="str">
        <f>Rate!G11</f>
        <v>Computer and/or network security systems, applications, procedures and techniques</v>
      </c>
      <c r="C16" s="71"/>
      <c r="D16" s="72"/>
      <c r="E16" s="12"/>
      <c r="K16">
        <v>3</v>
      </c>
      <c r="L16">
        <f>IF(K16=2,Rate!E11*0.33,IF(K16=3,Rate!E11*0.66,IF(K16=4,Rate!E11*1,0)))</f>
        <v>66</v>
      </c>
    </row>
    <row r="17" spans="2:12" ht="25.5" customHeight="1" thickTop="1" thickBot="1" x14ac:dyDescent="0.3">
      <c r="B17" s="70" t="str">
        <f>Rate!G12</f>
        <v>Data integrity methods and techniques</v>
      </c>
      <c r="C17" s="71"/>
      <c r="D17" s="72"/>
      <c r="E17" s="12"/>
      <c r="K17">
        <v>4</v>
      </c>
      <c r="L17">
        <f>IF(K17=2,Rate!E12*0.33,IF(K17=3,Rate!E12*0.66,IF(K17=4,Rate!E12*1,0)))</f>
        <v>100</v>
      </c>
    </row>
    <row r="18" spans="2:12" ht="25.5" customHeight="1" thickTop="1" thickBot="1" x14ac:dyDescent="0.3">
      <c r="B18" s="70" t="str">
        <f>Rate!G13</f>
        <v>Develop, program, configure, manage, and maintain complex RDBMS</v>
      </c>
      <c r="C18" s="71"/>
      <c r="D18" s="72"/>
      <c r="E18" s="12"/>
      <c r="K18">
        <v>3</v>
      </c>
      <c r="L18">
        <f>IF(K18=2,Rate!E13*0.33,IF(K18=3,Rate!E13*0.66,IF(K18=4,Rate!E13*1,0)))</f>
        <v>66</v>
      </c>
    </row>
    <row r="19" spans="2:12" ht="30" customHeight="1" thickTop="1" thickBot="1" x14ac:dyDescent="0.3">
      <c r="B19" s="70" t="str">
        <f>Rate!G16</f>
        <v>Working with diverse RDBMS including SQL Server, Postgres, Oracle, and Access</v>
      </c>
      <c r="C19" s="71"/>
      <c r="D19" s="72"/>
      <c r="E19" s="13"/>
      <c r="K19">
        <v>3</v>
      </c>
      <c r="L19">
        <f>IF(K19=2,Rate!E14*0.33,IF(K19=3,Rate!E14*0.66,IF(K19=4,Rate!E14*1,0)))</f>
        <v>66</v>
      </c>
    </row>
    <row r="20" spans="2:12" ht="28.5" customHeight="1" thickTop="1" thickBot="1" x14ac:dyDescent="0.3">
      <c r="B20" s="73" t="str">
        <f>Rate!G15</f>
        <v>Knowledge of ecological and/or biodiversity informatics theory</v>
      </c>
      <c r="C20" s="74"/>
      <c r="D20" s="75"/>
      <c r="E20" s="37"/>
      <c r="K20">
        <v>2</v>
      </c>
      <c r="L20">
        <f>IF(K20=2,Rate!E15*0.33,IF(K20=3,Rate!E15*0.66,IF(K20=4,Rate!E15*1,0)))</f>
        <v>33</v>
      </c>
    </row>
    <row r="21" spans="2:12" ht="18.75" customHeight="1" thickTop="1" thickBot="1" x14ac:dyDescent="0.3">
      <c r="B21" s="15" t="s">
        <v>1</v>
      </c>
      <c r="C21" s="16"/>
      <c r="D21" s="16"/>
      <c r="E21" s="17"/>
    </row>
    <row r="22" spans="2:12" ht="13.5" thickTop="1" x14ac:dyDescent="0.3">
      <c r="B22" s="38" t="s">
        <v>36</v>
      </c>
      <c r="C22" s="4"/>
      <c r="D22" s="4"/>
      <c r="E22" s="5"/>
    </row>
    <row r="23" spans="2:12" ht="13" x14ac:dyDescent="0.3">
      <c r="B23" s="6" t="s">
        <v>2</v>
      </c>
      <c r="C23" s="7" t="s">
        <v>38</v>
      </c>
      <c r="D23" s="7"/>
      <c r="E23" s="8"/>
    </row>
    <row r="24" spans="2:12" ht="13" x14ac:dyDescent="0.3">
      <c r="B24" s="6" t="s">
        <v>39</v>
      </c>
      <c r="C24" s="7" t="s">
        <v>40</v>
      </c>
      <c r="D24" s="7"/>
      <c r="E24" s="8"/>
    </row>
    <row r="25" spans="2:12" ht="13" x14ac:dyDescent="0.3">
      <c r="B25" s="6" t="s">
        <v>8</v>
      </c>
      <c r="C25" s="7" t="s">
        <v>41</v>
      </c>
      <c r="D25" s="7"/>
      <c r="E25" s="8"/>
    </row>
    <row r="26" spans="2:12" ht="13" x14ac:dyDescent="0.3">
      <c r="B26" s="6" t="s">
        <v>9</v>
      </c>
      <c r="C26" s="7" t="s">
        <v>42</v>
      </c>
      <c r="D26" s="7"/>
      <c r="E26" s="8"/>
    </row>
    <row r="27" spans="2:12" ht="13" x14ac:dyDescent="0.3">
      <c r="B27" s="6" t="s">
        <v>10</v>
      </c>
      <c r="C27" s="7" t="s">
        <v>43</v>
      </c>
      <c r="D27" s="7"/>
      <c r="E27" s="8"/>
    </row>
    <row r="28" spans="2:12" ht="13" thickBot="1" x14ac:dyDescent="0.3">
      <c r="B28" s="10"/>
      <c r="C28" s="11"/>
      <c r="D28" s="11"/>
      <c r="E28" s="12"/>
    </row>
    <row r="29" spans="2:12" ht="29.25" customHeight="1" thickTop="1" thickBot="1" x14ac:dyDescent="0.3">
      <c r="B29" s="76" t="str">
        <f>Rate!G16</f>
        <v>Working with diverse RDBMS including SQL Server, Postgres, Oracle, and Access</v>
      </c>
      <c r="C29" s="76"/>
      <c r="D29" s="76"/>
      <c r="E29" s="19"/>
      <c r="K29">
        <v>3</v>
      </c>
      <c r="L29">
        <f>IF(K29=2,Rate!E16*0.25,IF(K29=3,Rate!E16*0.5,IF(K29=4,Rate!E16*0.75,IF(K29=5,Rate!E16*1,0))))</f>
        <v>50</v>
      </c>
    </row>
    <row r="30" spans="2:12" ht="29.25" customHeight="1" thickTop="1" thickBot="1" x14ac:dyDescent="0.3">
      <c r="B30" s="70" t="str">
        <f>Rate!G17</f>
        <v>Programming languages such as PERL, PHP, Java, XML, SQL, SGML, and Visual Basic</v>
      </c>
      <c r="C30" s="71"/>
      <c r="D30" s="72"/>
      <c r="E30" s="13"/>
      <c r="K30">
        <v>4</v>
      </c>
      <c r="L30">
        <f>IF(K30=2,Rate!E17*0.25,IF(K30=3,Rate!E17*0.5,IF(K30=4,Rate!E17*0.75,IF(K30=5,Rate!E17*1,0))))</f>
        <v>75</v>
      </c>
    </row>
    <row r="31" spans="2:12" ht="29.25" customHeight="1" thickTop="1" thickBot="1" x14ac:dyDescent="0.3">
      <c r="B31" s="70" t="str">
        <f>Rate!G18</f>
        <v>UNIX and NT-based server management</v>
      </c>
      <c r="C31" s="71"/>
      <c r="D31" s="72"/>
      <c r="E31" s="13"/>
      <c r="K31">
        <v>5</v>
      </c>
      <c r="L31">
        <f>IF(K31=2,Rate!E18*0.25,IF(K31=3,Rate!E18*0.5,IF(K31=4,Rate!E18*0.75,IF(K31=5,Rate!E18*1,0))))</f>
        <v>100</v>
      </c>
    </row>
    <row r="32" spans="2:12" ht="29.25" customHeight="1" thickTop="1" thickBot="1" x14ac:dyDescent="0.3">
      <c r="B32" s="77" t="str">
        <f>Rate!G19</f>
        <v>Database-to-web connectivity using ODBC and/or JDBC</v>
      </c>
      <c r="C32" s="78"/>
      <c r="D32" s="79"/>
      <c r="E32" s="13"/>
      <c r="K32">
        <v>3</v>
      </c>
      <c r="L32">
        <f>IF(K32=2,Rate!E17*0.25,IF(K32=3,Rate!E17*0.5,IF(K32=4,Rate!E17*0.75,IF(K32=5,Rate!E17*1,0))))</f>
        <v>50</v>
      </c>
    </row>
    <row r="33" spans="2:12" ht="31.5" customHeight="1" thickTop="1" thickBot="1" x14ac:dyDescent="0.3">
      <c r="B33" s="70" t="str">
        <f>Rate!G20</f>
        <v>Managing and maintaining scientific data and working with scientists</v>
      </c>
      <c r="C33" s="71"/>
      <c r="D33" s="72"/>
      <c r="E33" s="37"/>
      <c r="K33">
        <v>4</v>
      </c>
      <c r="L33">
        <f>IF(K33=2,Rate!E18*0.25,IF(K33=3,Rate!E18*0.5,IF(K33=4,Rate!E18*0.75,IF(K33=5,Rate!E18*1,0))))</f>
        <v>75</v>
      </c>
    </row>
    <row r="34" spans="2:12" ht="54" customHeight="1" thickTop="1" x14ac:dyDescent="0.25">
      <c r="B34" s="39"/>
      <c r="C34" s="25"/>
      <c r="D34" s="25"/>
      <c r="E34" s="25"/>
    </row>
    <row r="35" spans="2:12" ht="18" customHeight="1" x14ac:dyDescent="0.25">
      <c r="B35" s="39"/>
      <c r="C35" s="25"/>
      <c r="D35" s="25"/>
      <c r="E35" s="25"/>
    </row>
    <row r="36" spans="2:12" ht="18" customHeight="1" x14ac:dyDescent="0.25">
      <c r="B36" s="39"/>
      <c r="C36" s="25"/>
      <c r="D36" s="25"/>
      <c r="E36" s="25"/>
    </row>
    <row r="37" spans="2:12" ht="18" customHeight="1" x14ac:dyDescent="0.25">
      <c r="B37" s="39"/>
      <c r="C37" s="25"/>
      <c r="D37" s="25"/>
      <c r="E37" s="25"/>
    </row>
    <row r="38" spans="2:12" ht="18" customHeight="1" x14ac:dyDescent="0.25">
      <c r="B38" s="39"/>
      <c r="C38" s="25"/>
      <c r="D38" s="25"/>
      <c r="E38" s="25"/>
    </row>
    <row r="39" spans="2:12" ht="18" customHeight="1" x14ac:dyDescent="0.25">
      <c r="B39" s="39"/>
      <c r="C39" s="25"/>
      <c r="D39" s="25"/>
      <c r="E39" s="25"/>
    </row>
    <row r="40" spans="2:12" ht="18" customHeight="1" x14ac:dyDescent="0.25">
      <c r="B40" s="39"/>
      <c r="C40" s="25"/>
      <c r="D40" s="25"/>
      <c r="E40" s="25"/>
    </row>
    <row r="41" spans="2:12" ht="18" customHeight="1" x14ac:dyDescent="0.25">
      <c r="B41" s="39"/>
      <c r="C41" s="25"/>
      <c r="D41" s="25"/>
      <c r="E41" s="25"/>
    </row>
    <row r="42" spans="2:12" ht="18" customHeight="1" x14ac:dyDescent="0.25">
      <c r="B42" s="39"/>
      <c r="C42" s="25"/>
      <c r="D42" s="25"/>
      <c r="E42" s="25"/>
    </row>
    <row r="43" spans="2:12" ht="18" customHeight="1" x14ac:dyDescent="0.25">
      <c r="B43" s="39"/>
      <c r="C43" s="25"/>
      <c r="D43" s="25"/>
      <c r="E43" s="25"/>
    </row>
    <row r="44" spans="2:12" ht="18" customHeight="1" x14ac:dyDescent="0.25"/>
  </sheetData>
  <mergeCells count="13">
    <mergeCell ref="B31:D31"/>
    <mergeCell ref="B30:D30"/>
    <mergeCell ref="B20:D20"/>
    <mergeCell ref="A2:E2"/>
    <mergeCell ref="B7:E7"/>
    <mergeCell ref="B16:D16"/>
    <mergeCell ref="C13:E13"/>
    <mergeCell ref="B32:D32"/>
    <mergeCell ref="B33:D33"/>
    <mergeCell ref="B17:D17"/>
    <mergeCell ref="B18:D18"/>
    <mergeCell ref="B19:D19"/>
    <mergeCell ref="B29:D29"/>
  </mergeCells>
  <phoneticPr fontId="0" type="noConversion"/>
  <printOptions horizontalCentered="1"/>
  <pageMargins left="0.75" right="0.75" top="0.5" bottom="0.5" header="0.5" footer="0.5"/>
  <pageSetup orientation="portrait" horizontalDpi="4294967292" r:id="rId1"/>
  <headerFooter alignWithMargins="0">
    <oddFooter>&amp;C&amp;A</oddFooter>
  </headerFooter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3097" r:id="rId4" name="Option Button 25">
              <controlPr defaultSize="0" autoFill="0" autoLine="0" autoPict="0">
                <anchor moveWithCells="1">
                  <from>
                    <xdr:col>4</xdr:col>
                    <xdr:colOff>0</xdr:colOff>
                    <xdr:row>0</xdr:row>
                    <xdr:rowOff>0</xdr:rowOff>
                  </from>
                  <to>
                    <xdr:col>4</xdr:col>
                    <xdr:colOff>641350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11" r:id="rId5" name="Option Button 39">
              <controlPr defaultSize="0" autoFill="0" autoLine="0" autoPict="0">
                <anchor moveWithCells="1">
                  <from>
                    <xdr:col>4</xdr:col>
                    <xdr:colOff>0</xdr:colOff>
                    <xdr:row>44</xdr:row>
                    <xdr:rowOff>0</xdr:rowOff>
                  </from>
                  <to>
                    <xdr:col>4</xdr:col>
                    <xdr:colOff>990600</xdr:colOff>
                    <xdr:row>44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25" r:id="rId6" name="Drop Down 53">
              <controlPr defaultSize="0" autoLine="0" autoPict="0">
                <anchor moveWithCells="1">
                  <from>
                    <xdr:col>4</xdr:col>
                    <xdr:colOff>120650</xdr:colOff>
                    <xdr:row>28</xdr:row>
                    <xdr:rowOff>82550</xdr:rowOff>
                  </from>
                  <to>
                    <xdr:col>4</xdr:col>
                    <xdr:colOff>1009650</xdr:colOff>
                    <xdr:row>28</xdr:row>
                    <xdr:rowOff>285750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26" r:id="rId7" name="Button 54">
              <controlPr defaultSize="0" print="0" autoFill="0" autoPict="0">
                <anchor moveWithCells="1">
                  <from>
                    <xdr:col>1</xdr:col>
                    <xdr:colOff>82550</xdr:colOff>
                    <xdr:row>33</xdr:row>
                    <xdr:rowOff>222250</xdr:rowOff>
                  </from>
                  <to>
                    <xdr:col>1</xdr:col>
                    <xdr:colOff>622300</xdr:colOff>
                    <xdr:row>33</xdr:row>
                    <xdr:rowOff>431800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27" r:id="rId8" name="Button 55">
              <controlPr defaultSize="0" print="0" autoFill="0" autoPict="0">
                <anchor moveWithCells="1">
                  <from>
                    <xdr:col>1</xdr:col>
                    <xdr:colOff>806450</xdr:colOff>
                    <xdr:row>33</xdr:row>
                    <xdr:rowOff>209550</xdr:rowOff>
                  </from>
                  <to>
                    <xdr:col>2</xdr:col>
                    <xdr:colOff>368300</xdr:colOff>
                    <xdr:row>33</xdr:row>
                    <xdr:rowOff>419100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28" r:id="rId9" name="Button 56">
              <controlPr defaultSize="0" print="0" autoFill="0" autoPict="0">
                <anchor moveWithCells="1">
                  <from>
                    <xdr:col>2</xdr:col>
                    <xdr:colOff>698500</xdr:colOff>
                    <xdr:row>33</xdr:row>
                    <xdr:rowOff>222250</xdr:rowOff>
                  </from>
                  <to>
                    <xdr:col>3</xdr:col>
                    <xdr:colOff>241300</xdr:colOff>
                    <xdr:row>33</xdr:row>
                    <xdr:rowOff>431800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29" r:id="rId10" name="Button 57">
              <controlPr defaultSize="0" print="0" autoFill="0" autoPict="0">
                <anchor moveWithCells="1">
                  <from>
                    <xdr:col>4</xdr:col>
                    <xdr:colOff>330200</xdr:colOff>
                    <xdr:row>33</xdr:row>
                    <xdr:rowOff>266700</xdr:rowOff>
                  </from>
                  <to>
                    <xdr:col>4</xdr:col>
                    <xdr:colOff>869950</xdr:colOff>
                    <xdr:row>33</xdr:row>
                    <xdr:rowOff>476250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30" r:id="rId11" name="Option Button 58">
              <controlPr defaultSize="0" autoFill="0" autoLine="0" autoPict="0">
                <anchor moveWithCells="1">
                  <from>
                    <xdr:col>4</xdr:col>
                    <xdr:colOff>0</xdr:colOff>
                    <xdr:row>43</xdr:row>
                    <xdr:rowOff>0</xdr:rowOff>
                  </from>
                  <to>
                    <xdr:col>4</xdr:col>
                    <xdr:colOff>990600</xdr:colOff>
                    <xdr:row>43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31" r:id="rId12" name="Drop Down 59">
              <controlPr defaultSize="0" autoLine="0" autoPict="0">
                <anchor moveWithCells="1">
                  <from>
                    <xdr:col>4</xdr:col>
                    <xdr:colOff>241300</xdr:colOff>
                    <xdr:row>18</xdr:row>
                    <xdr:rowOff>76200</xdr:rowOff>
                  </from>
                  <to>
                    <xdr:col>4</xdr:col>
                    <xdr:colOff>1022350</xdr:colOff>
                    <xdr:row>18</xdr:row>
                    <xdr:rowOff>273050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32" r:id="rId13" name="Drop Down 60">
              <controlPr defaultSize="0" autoLine="0" autoPict="0">
                <anchor moveWithCells="1">
                  <from>
                    <xdr:col>4</xdr:col>
                    <xdr:colOff>152400</xdr:colOff>
                    <xdr:row>31</xdr:row>
                    <xdr:rowOff>69850</xdr:rowOff>
                  </from>
                  <to>
                    <xdr:col>4</xdr:col>
                    <xdr:colOff>1022350</xdr:colOff>
                    <xdr:row>31</xdr:row>
                    <xdr:rowOff>273050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33" r:id="rId14" name="Drop Down 61">
              <controlPr defaultSize="0" autoLine="0" autoPict="0">
                <anchor moveWithCells="1">
                  <from>
                    <xdr:col>4</xdr:col>
                    <xdr:colOff>241300</xdr:colOff>
                    <xdr:row>15</xdr:row>
                    <xdr:rowOff>76200</xdr:rowOff>
                  </from>
                  <to>
                    <xdr:col>4</xdr:col>
                    <xdr:colOff>1022350</xdr:colOff>
                    <xdr:row>15</xdr:row>
                    <xdr:rowOff>279400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34" r:id="rId15" name="Drop Down 62">
              <controlPr defaultSize="0" autoLine="0" autoPict="0">
                <anchor moveWithCells="1">
                  <from>
                    <xdr:col>4</xdr:col>
                    <xdr:colOff>247650</xdr:colOff>
                    <xdr:row>16</xdr:row>
                    <xdr:rowOff>50800</xdr:rowOff>
                  </from>
                  <to>
                    <xdr:col>4</xdr:col>
                    <xdr:colOff>1028700</xdr:colOff>
                    <xdr:row>16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35" r:id="rId16" name="Drop Down 63">
              <controlPr defaultSize="0" autoLine="0" autoPict="0">
                <anchor moveWithCells="1">
                  <from>
                    <xdr:col>4</xdr:col>
                    <xdr:colOff>247650</xdr:colOff>
                    <xdr:row>17</xdr:row>
                    <xdr:rowOff>50800</xdr:rowOff>
                  </from>
                  <to>
                    <xdr:col>4</xdr:col>
                    <xdr:colOff>1028700</xdr:colOff>
                    <xdr:row>17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36" r:id="rId17" name="Drop Down 64">
              <controlPr defaultSize="0" autoLine="0" autoPict="0">
                <anchor moveWithCells="1">
                  <from>
                    <xdr:col>4</xdr:col>
                    <xdr:colOff>120650</xdr:colOff>
                    <xdr:row>29</xdr:row>
                    <xdr:rowOff>82550</xdr:rowOff>
                  </from>
                  <to>
                    <xdr:col>4</xdr:col>
                    <xdr:colOff>1009650</xdr:colOff>
                    <xdr:row>29</xdr:row>
                    <xdr:rowOff>285750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37" r:id="rId18" name="Drop Down 65">
              <controlPr defaultSize="0" autoLine="0" autoPict="0">
                <anchor moveWithCells="1">
                  <from>
                    <xdr:col>4</xdr:col>
                    <xdr:colOff>120650</xdr:colOff>
                    <xdr:row>30</xdr:row>
                    <xdr:rowOff>82550</xdr:rowOff>
                  </from>
                  <to>
                    <xdr:col>4</xdr:col>
                    <xdr:colOff>1009650</xdr:colOff>
                    <xdr:row>30</xdr:row>
                    <xdr:rowOff>285750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38" r:id="rId19" name="Drop Down 66">
              <controlPr defaultSize="0" autoLine="0" autoPict="0">
                <anchor moveWithCells="1">
                  <from>
                    <xdr:col>4</xdr:col>
                    <xdr:colOff>241300</xdr:colOff>
                    <xdr:row>19</xdr:row>
                    <xdr:rowOff>76200</xdr:rowOff>
                  </from>
                  <to>
                    <xdr:col>4</xdr:col>
                    <xdr:colOff>1022350</xdr:colOff>
                    <xdr:row>19</xdr:row>
                    <xdr:rowOff>273050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39" r:id="rId20" name="Drop Down 67">
              <controlPr defaultSize="0" autoLine="0" autoPict="0">
                <anchor moveWithCells="1">
                  <from>
                    <xdr:col>4</xdr:col>
                    <xdr:colOff>152400</xdr:colOff>
                    <xdr:row>32</xdr:row>
                    <xdr:rowOff>69850</xdr:rowOff>
                  </from>
                  <to>
                    <xdr:col>4</xdr:col>
                    <xdr:colOff>1022350</xdr:colOff>
                    <xdr:row>32</xdr:row>
                    <xdr:rowOff>273050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2:L44"/>
  <sheetViews>
    <sheetView showGridLines="0" workbookViewId="0">
      <selection activeCell="C13" sqref="C13:E13"/>
    </sheetView>
  </sheetViews>
  <sheetFormatPr defaultRowHeight="12.5" x14ac:dyDescent="0.25"/>
  <cols>
    <col min="1" max="1" width="4.81640625" customWidth="1"/>
    <col min="2" max="2" width="14" customWidth="1"/>
    <col min="3" max="3" width="14.26953125" customWidth="1"/>
    <col min="4" max="4" width="26" customWidth="1"/>
    <col min="5" max="5" width="15.453125" customWidth="1"/>
    <col min="6" max="6" width="5.1796875" customWidth="1"/>
    <col min="11" max="12" width="9.1796875" hidden="1" customWidth="1"/>
  </cols>
  <sheetData>
    <row r="2" spans="1:12" ht="18" x14ac:dyDescent="0.4">
      <c r="A2" s="62" t="s">
        <v>0</v>
      </c>
      <c r="B2" s="62"/>
      <c r="C2" s="62"/>
      <c r="D2" s="62"/>
      <c r="E2" s="62"/>
    </row>
    <row r="3" spans="1:12" ht="13" x14ac:dyDescent="0.3">
      <c r="C3" s="2" t="s">
        <v>13</v>
      </c>
      <c r="D3" t="str">
        <f>Rate!C3</f>
        <v>M34933</v>
      </c>
    </row>
    <row r="4" spans="1:12" ht="13" x14ac:dyDescent="0.3">
      <c r="C4" s="2" t="s">
        <v>11</v>
      </c>
      <c r="D4" s="14" t="str">
        <f>Rate!C4</f>
        <v>DATABASE ADMINISTRATOR</v>
      </c>
      <c r="K4" t="s">
        <v>14</v>
      </c>
      <c r="L4" t="s">
        <v>14</v>
      </c>
    </row>
    <row r="5" spans="1:12" ht="13" x14ac:dyDescent="0.3">
      <c r="C5" s="2" t="s">
        <v>12</v>
      </c>
      <c r="D5" t="str">
        <f>Rate!C5</f>
        <v>VICE PROVOST FOR RESEARCH</v>
      </c>
      <c r="K5" t="s">
        <v>15</v>
      </c>
      <c r="L5" t="s">
        <v>18</v>
      </c>
    </row>
    <row r="6" spans="1:12" x14ac:dyDescent="0.25">
      <c r="K6" t="s">
        <v>16</v>
      </c>
      <c r="L6" t="s">
        <v>19</v>
      </c>
    </row>
    <row r="7" spans="1:12" ht="42" customHeight="1" x14ac:dyDescent="0.25">
      <c r="B7" s="68" t="s">
        <v>56</v>
      </c>
      <c r="C7" s="68"/>
      <c r="D7" s="68"/>
      <c r="E7" s="68"/>
      <c r="K7" t="s">
        <v>17</v>
      </c>
      <c r="L7" t="s">
        <v>20</v>
      </c>
    </row>
    <row r="8" spans="1:12" ht="13" thickBot="1" x14ac:dyDescent="0.3">
      <c r="L8" t="s">
        <v>21</v>
      </c>
    </row>
    <row r="9" spans="1:12" ht="19.5" customHeight="1" thickTop="1" thickBot="1" x14ac:dyDescent="0.3">
      <c r="B9" s="15" t="s">
        <v>60</v>
      </c>
      <c r="C9" s="16"/>
      <c r="D9" s="16"/>
      <c r="E9" s="17"/>
    </row>
    <row r="10" spans="1:12" ht="13.5" thickTop="1" x14ac:dyDescent="0.3">
      <c r="B10" s="38" t="s">
        <v>36</v>
      </c>
      <c r="C10" s="4"/>
      <c r="D10" s="4"/>
      <c r="E10" s="5"/>
    </row>
    <row r="11" spans="1:12" ht="13" x14ac:dyDescent="0.3">
      <c r="B11" s="6" t="s">
        <v>2</v>
      </c>
      <c r="C11" s="7" t="s">
        <v>3</v>
      </c>
      <c r="D11" s="7"/>
      <c r="E11" s="8"/>
    </row>
    <row r="12" spans="1:12" ht="13" x14ac:dyDescent="0.3">
      <c r="B12" s="6" t="s">
        <v>4</v>
      </c>
      <c r="C12" s="7" t="s">
        <v>55</v>
      </c>
      <c r="D12" s="7"/>
      <c r="E12" s="8"/>
    </row>
    <row r="13" spans="1:12" ht="24.75" customHeight="1" x14ac:dyDescent="0.25">
      <c r="B13" s="9" t="s">
        <v>5</v>
      </c>
      <c r="C13" s="52" t="s">
        <v>6</v>
      </c>
      <c r="D13" s="52"/>
      <c r="E13" s="69"/>
    </row>
    <row r="14" spans="1:12" ht="13" x14ac:dyDescent="0.3">
      <c r="B14" s="6" t="s">
        <v>7</v>
      </c>
      <c r="C14" s="7" t="s">
        <v>37</v>
      </c>
      <c r="D14" s="7"/>
      <c r="E14" s="8"/>
    </row>
    <row r="15" spans="1:12" ht="13" thickBot="1" x14ac:dyDescent="0.3">
      <c r="B15" s="10"/>
      <c r="C15" s="11"/>
      <c r="D15" s="11"/>
      <c r="E15" s="12"/>
    </row>
    <row r="16" spans="1:12" ht="29.25" customHeight="1" thickTop="1" thickBot="1" x14ac:dyDescent="0.3">
      <c r="B16" s="70" t="str">
        <f>Rate!G11</f>
        <v>Computer and/or network security systems, applications, procedures and techniques</v>
      </c>
      <c r="C16" s="71"/>
      <c r="D16" s="72"/>
      <c r="E16" s="12"/>
      <c r="K16">
        <v>4</v>
      </c>
      <c r="L16">
        <f>IF(K16=2,Rate!E11*0.33,IF(K16=3,Rate!E11*0.66,IF(K16=4,Rate!E11*1,0)))</f>
        <v>100</v>
      </c>
    </row>
    <row r="17" spans="2:12" ht="25.5" customHeight="1" thickTop="1" thickBot="1" x14ac:dyDescent="0.3">
      <c r="B17" s="70" t="str">
        <f>Rate!G12</f>
        <v>Data integrity methods and techniques</v>
      </c>
      <c r="C17" s="71"/>
      <c r="D17" s="72"/>
      <c r="E17" s="12"/>
      <c r="K17">
        <v>3</v>
      </c>
      <c r="L17">
        <f>IF(K17=2,Rate!E12*0.33,IF(K17=3,Rate!E12*0.66,IF(K17=4,Rate!E12*1,0)))</f>
        <v>66</v>
      </c>
    </row>
    <row r="18" spans="2:12" ht="25.5" customHeight="1" thickTop="1" thickBot="1" x14ac:dyDescent="0.3">
      <c r="B18" s="70" t="str">
        <f>Rate!G13</f>
        <v>Develop, program, configure, manage, and maintain complex RDBMS</v>
      </c>
      <c r="C18" s="71"/>
      <c r="D18" s="72"/>
      <c r="E18" s="12"/>
      <c r="K18">
        <v>3</v>
      </c>
      <c r="L18">
        <f>IF(K18=2,Rate!E13*0.33,IF(K18=3,Rate!E13*0.66,IF(K18=4,Rate!E13*1,0)))</f>
        <v>66</v>
      </c>
    </row>
    <row r="19" spans="2:12" ht="30" customHeight="1" thickTop="1" thickBot="1" x14ac:dyDescent="0.3">
      <c r="B19" s="70" t="str">
        <f>Rate!G16</f>
        <v>Working with diverse RDBMS including SQL Server, Postgres, Oracle, and Access</v>
      </c>
      <c r="C19" s="71"/>
      <c r="D19" s="72"/>
      <c r="E19" s="13"/>
      <c r="K19">
        <v>4</v>
      </c>
      <c r="L19">
        <f>IF(K19=2,Rate!E14*0.33,IF(K19=3,Rate!E14*0.66,IF(K19=4,Rate!E14*1,0)))</f>
        <v>100</v>
      </c>
    </row>
    <row r="20" spans="2:12" ht="28.5" customHeight="1" thickTop="1" thickBot="1" x14ac:dyDescent="0.3">
      <c r="B20" s="73" t="str">
        <f>Rate!G15</f>
        <v>Knowledge of ecological and/or biodiversity informatics theory</v>
      </c>
      <c r="C20" s="74"/>
      <c r="D20" s="75"/>
      <c r="E20" s="37"/>
      <c r="K20">
        <v>3</v>
      </c>
      <c r="L20">
        <f>IF(K20=2,Rate!E15*0.33,IF(K20=3,Rate!E15*0.66,IF(K20=4,Rate!E15*1,0)))</f>
        <v>66</v>
      </c>
    </row>
    <row r="21" spans="2:12" ht="18.75" customHeight="1" thickTop="1" thickBot="1" x14ac:dyDescent="0.3">
      <c r="B21" s="15" t="s">
        <v>1</v>
      </c>
      <c r="C21" s="16"/>
      <c r="D21" s="16"/>
      <c r="E21" s="17"/>
    </row>
    <row r="22" spans="2:12" ht="13.5" thickTop="1" x14ac:dyDescent="0.3">
      <c r="B22" s="38" t="s">
        <v>36</v>
      </c>
      <c r="C22" s="4"/>
      <c r="D22" s="4"/>
      <c r="E22" s="5"/>
    </row>
    <row r="23" spans="2:12" ht="13" x14ac:dyDescent="0.3">
      <c r="B23" s="6" t="s">
        <v>2</v>
      </c>
      <c r="C23" s="7" t="s">
        <v>38</v>
      </c>
      <c r="D23" s="7"/>
      <c r="E23" s="8"/>
    </row>
    <row r="24" spans="2:12" ht="13" x14ac:dyDescent="0.3">
      <c r="B24" s="6" t="s">
        <v>39</v>
      </c>
      <c r="C24" s="7" t="s">
        <v>40</v>
      </c>
      <c r="D24" s="7"/>
      <c r="E24" s="8"/>
    </row>
    <row r="25" spans="2:12" ht="13" x14ac:dyDescent="0.3">
      <c r="B25" s="6" t="s">
        <v>8</v>
      </c>
      <c r="C25" s="7" t="s">
        <v>41</v>
      </c>
      <c r="D25" s="7"/>
      <c r="E25" s="8"/>
    </row>
    <row r="26" spans="2:12" ht="13" x14ac:dyDescent="0.3">
      <c r="B26" s="6" t="s">
        <v>9</v>
      </c>
      <c r="C26" s="7" t="s">
        <v>42</v>
      </c>
      <c r="D26" s="7"/>
      <c r="E26" s="8"/>
    </row>
    <row r="27" spans="2:12" ht="13" x14ac:dyDescent="0.3">
      <c r="B27" s="6" t="s">
        <v>10</v>
      </c>
      <c r="C27" s="7" t="s">
        <v>43</v>
      </c>
      <c r="D27" s="7"/>
      <c r="E27" s="8"/>
    </row>
    <row r="28" spans="2:12" ht="13" thickBot="1" x14ac:dyDescent="0.3">
      <c r="B28" s="10"/>
      <c r="C28" s="11"/>
      <c r="D28" s="11"/>
      <c r="E28" s="12"/>
    </row>
    <row r="29" spans="2:12" ht="29.25" customHeight="1" thickTop="1" thickBot="1" x14ac:dyDescent="0.3">
      <c r="B29" s="76" t="str">
        <f>Rate!G16</f>
        <v>Working with diverse RDBMS including SQL Server, Postgres, Oracle, and Access</v>
      </c>
      <c r="C29" s="76"/>
      <c r="D29" s="76"/>
      <c r="E29" s="19"/>
      <c r="K29">
        <v>4</v>
      </c>
      <c r="L29">
        <f>IF(K29=2,Rate!E16*0.25,IF(K29=3,Rate!E16*0.5,IF(K29=4,Rate!E16*0.75,IF(K29=5,Rate!E16*1,0))))</f>
        <v>75</v>
      </c>
    </row>
    <row r="30" spans="2:12" ht="29.25" customHeight="1" thickTop="1" thickBot="1" x14ac:dyDescent="0.3">
      <c r="B30" s="70" t="str">
        <f>Rate!G17</f>
        <v>Programming languages such as PERL, PHP, Java, XML, SQL, SGML, and Visual Basic</v>
      </c>
      <c r="C30" s="71"/>
      <c r="D30" s="72"/>
      <c r="E30" s="13"/>
      <c r="K30">
        <v>3</v>
      </c>
      <c r="L30">
        <f>IF(K30=2,Rate!E17*0.25,IF(K30=3,Rate!E17*0.5,IF(K30=4,Rate!E17*0.75,IF(K30=5,Rate!E17*1,0))))</f>
        <v>50</v>
      </c>
    </row>
    <row r="31" spans="2:12" ht="29.25" customHeight="1" thickTop="1" thickBot="1" x14ac:dyDescent="0.3">
      <c r="B31" s="70" t="str">
        <f>Rate!G18</f>
        <v>UNIX and NT-based server management</v>
      </c>
      <c r="C31" s="71"/>
      <c r="D31" s="72"/>
      <c r="E31" s="13"/>
      <c r="K31">
        <v>0</v>
      </c>
      <c r="L31">
        <f>IF(K31=2,Rate!E18*0.25,IF(K31=3,Rate!E18*0.5,IF(K31=4,Rate!E18*0.75,IF(K31=5,Rate!E18*1,0))))</f>
        <v>0</v>
      </c>
    </row>
    <row r="32" spans="2:12" ht="29.25" customHeight="1" thickTop="1" thickBot="1" x14ac:dyDescent="0.3">
      <c r="B32" s="77" t="str">
        <f>Rate!G19</f>
        <v>Database-to-web connectivity using ODBC and/or JDBC</v>
      </c>
      <c r="C32" s="78"/>
      <c r="D32" s="79"/>
      <c r="E32" s="13"/>
      <c r="K32">
        <v>4</v>
      </c>
      <c r="L32">
        <f>IF(K32=2,Rate!E17*0.25,IF(K32=3,Rate!E17*0.5,IF(K32=4,Rate!E17*0.75,IF(K32=5,Rate!E17*1,0))))</f>
        <v>75</v>
      </c>
    </row>
    <row r="33" spans="2:12" ht="31.5" customHeight="1" thickTop="1" thickBot="1" x14ac:dyDescent="0.3">
      <c r="B33" s="70" t="str">
        <f>Rate!G20</f>
        <v>Managing and maintaining scientific data and working with scientists</v>
      </c>
      <c r="C33" s="71"/>
      <c r="D33" s="72"/>
      <c r="E33" s="37"/>
      <c r="K33">
        <v>4</v>
      </c>
      <c r="L33">
        <f>IF(K33=2,Rate!E18*0.25,IF(K33=3,Rate!E18*0.5,IF(K33=4,Rate!E18*0.75,IF(K33=5,Rate!E18*1,0))))</f>
        <v>75</v>
      </c>
    </row>
    <row r="34" spans="2:12" ht="54" customHeight="1" thickTop="1" x14ac:dyDescent="0.25">
      <c r="B34" s="39"/>
      <c r="C34" s="25"/>
      <c r="D34" s="25"/>
      <c r="E34" s="25"/>
    </row>
    <row r="35" spans="2:12" ht="18" customHeight="1" x14ac:dyDescent="0.25">
      <c r="B35" s="39"/>
      <c r="C35" s="25"/>
      <c r="D35" s="25"/>
      <c r="E35" s="25"/>
    </row>
    <row r="36" spans="2:12" ht="18" customHeight="1" x14ac:dyDescent="0.25">
      <c r="B36" s="39"/>
      <c r="C36" s="25"/>
      <c r="D36" s="25"/>
      <c r="E36" s="25"/>
    </row>
    <row r="37" spans="2:12" ht="18" customHeight="1" x14ac:dyDescent="0.25">
      <c r="B37" s="39"/>
      <c r="C37" s="25"/>
      <c r="D37" s="25"/>
      <c r="E37" s="25"/>
    </row>
    <row r="38" spans="2:12" ht="18" customHeight="1" x14ac:dyDescent="0.25">
      <c r="B38" s="39"/>
      <c r="C38" s="25"/>
      <c r="D38" s="25"/>
      <c r="E38" s="25"/>
    </row>
    <row r="39" spans="2:12" ht="18" customHeight="1" x14ac:dyDescent="0.25">
      <c r="B39" s="39"/>
      <c r="C39" s="25"/>
      <c r="D39" s="25"/>
      <c r="E39" s="25"/>
    </row>
    <row r="40" spans="2:12" ht="18" customHeight="1" x14ac:dyDescent="0.25">
      <c r="B40" s="39"/>
      <c r="C40" s="25"/>
      <c r="D40" s="25"/>
      <c r="E40" s="25"/>
    </row>
    <row r="41" spans="2:12" ht="18" customHeight="1" x14ac:dyDescent="0.25">
      <c r="B41" s="39"/>
      <c r="C41" s="25"/>
      <c r="D41" s="25"/>
      <c r="E41" s="25"/>
    </row>
    <row r="42" spans="2:12" ht="18" customHeight="1" x14ac:dyDescent="0.25">
      <c r="B42" s="39"/>
      <c r="C42" s="25"/>
      <c r="D42" s="25"/>
      <c r="E42" s="25"/>
    </row>
    <row r="43" spans="2:12" ht="18" customHeight="1" x14ac:dyDescent="0.25">
      <c r="B43" s="39"/>
      <c r="C43" s="25"/>
      <c r="D43" s="25"/>
      <c r="E43" s="25"/>
    </row>
    <row r="44" spans="2:12" ht="18" customHeight="1" x14ac:dyDescent="0.25"/>
  </sheetData>
  <mergeCells count="13">
    <mergeCell ref="B31:D31"/>
    <mergeCell ref="B30:D30"/>
    <mergeCell ref="B20:D20"/>
    <mergeCell ref="A2:E2"/>
    <mergeCell ref="B7:E7"/>
    <mergeCell ref="B16:D16"/>
    <mergeCell ref="C13:E13"/>
    <mergeCell ref="B32:D32"/>
    <mergeCell ref="B33:D33"/>
    <mergeCell ref="B17:D17"/>
    <mergeCell ref="B18:D18"/>
    <mergeCell ref="B19:D19"/>
    <mergeCell ref="B29:D29"/>
  </mergeCells>
  <phoneticPr fontId="0" type="noConversion"/>
  <printOptions horizontalCentered="1"/>
  <pageMargins left="0.75" right="0.75" top="1" bottom="1" header="0.5" footer="0.5"/>
  <pageSetup scale="93" orientation="portrait" horizontalDpi="4294967292" r:id="rId1"/>
  <headerFooter alignWithMargins="0">
    <oddFooter>&amp;C&amp;A</oddFooter>
  </headerFooter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4122" r:id="rId4" name="Option Button 26">
              <controlPr defaultSize="0" autoFill="0" autoLine="0" autoPict="0">
                <anchor moveWithCells="1">
                  <from>
                    <xdr:col>4</xdr:col>
                    <xdr:colOff>0</xdr:colOff>
                    <xdr:row>41</xdr:row>
                    <xdr:rowOff>0</xdr:rowOff>
                  </from>
                  <to>
                    <xdr:col>4</xdr:col>
                    <xdr:colOff>990600</xdr:colOff>
                    <xdr:row>41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36" r:id="rId5" name="Option Button 40">
              <controlPr defaultSize="0" autoFill="0" autoLine="0" autoPict="0">
                <anchor moveWithCells="1">
                  <from>
                    <xdr:col>4</xdr:col>
                    <xdr:colOff>0</xdr:colOff>
                    <xdr:row>44</xdr:row>
                    <xdr:rowOff>0</xdr:rowOff>
                  </from>
                  <to>
                    <xdr:col>4</xdr:col>
                    <xdr:colOff>990600</xdr:colOff>
                    <xdr:row>44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49" r:id="rId6" name="Drop Down 53">
              <controlPr defaultSize="0" autoLine="0" autoPict="0">
                <anchor moveWithCells="1">
                  <from>
                    <xdr:col>4</xdr:col>
                    <xdr:colOff>120650</xdr:colOff>
                    <xdr:row>28</xdr:row>
                    <xdr:rowOff>82550</xdr:rowOff>
                  </from>
                  <to>
                    <xdr:col>4</xdr:col>
                    <xdr:colOff>1009650</xdr:colOff>
                    <xdr:row>28</xdr:row>
                    <xdr:rowOff>285750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50" r:id="rId7" name="Button 54">
              <controlPr defaultSize="0" print="0" autoFill="0" autoPict="0">
                <anchor moveWithCells="1">
                  <from>
                    <xdr:col>1</xdr:col>
                    <xdr:colOff>82550</xdr:colOff>
                    <xdr:row>33</xdr:row>
                    <xdr:rowOff>222250</xdr:rowOff>
                  </from>
                  <to>
                    <xdr:col>1</xdr:col>
                    <xdr:colOff>622300</xdr:colOff>
                    <xdr:row>33</xdr:row>
                    <xdr:rowOff>431800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51" r:id="rId8" name="Button 55">
              <controlPr defaultSize="0" print="0" autoFill="0" autoPict="0">
                <anchor moveWithCells="1">
                  <from>
                    <xdr:col>1</xdr:col>
                    <xdr:colOff>806450</xdr:colOff>
                    <xdr:row>33</xdr:row>
                    <xdr:rowOff>209550</xdr:rowOff>
                  </from>
                  <to>
                    <xdr:col>2</xdr:col>
                    <xdr:colOff>368300</xdr:colOff>
                    <xdr:row>33</xdr:row>
                    <xdr:rowOff>419100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52" r:id="rId9" name="Button 56">
              <controlPr defaultSize="0" print="0" autoFill="0" autoPict="0">
                <anchor moveWithCells="1">
                  <from>
                    <xdr:col>2</xdr:col>
                    <xdr:colOff>698500</xdr:colOff>
                    <xdr:row>33</xdr:row>
                    <xdr:rowOff>222250</xdr:rowOff>
                  </from>
                  <to>
                    <xdr:col>3</xdr:col>
                    <xdr:colOff>241300</xdr:colOff>
                    <xdr:row>33</xdr:row>
                    <xdr:rowOff>431800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53" r:id="rId10" name="Button 57">
              <controlPr defaultSize="0" print="0" autoFill="0" autoPict="0">
                <anchor moveWithCells="1">
                  <from>
                    <xdr:col>4</xdr:col>
                    <xdr:colOff>330200</xdr:colOff>
                    <xdr:row>33</xdr:row>
                    <xdr:rowOff>266700</xdr:rowOff>
                  </from>
                  <to>
                    <xdr:col>4</xdr:col>
                    <xdr:colOff>869950</xdr:colOff>
                    <xdr:row>33</xdr:row>
                    <xdr:rowOff>476250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54" r:id="rId11" name="Option Button 58">
              <controlPr defaultSize="0" autoFill="0" autoLine="0" autoPict="0">
                <anchor moveWithCells="1">
                  <from>
                    <xdr:col>4</xdr:col>
                    <xdr:colOff>0</xdr:colOff>
                    <xdr:row>43</xdr:row>
                    <xdr:rowOff>0</xdr:rowOff>
                  </from>
                  <to>
                    <xdr:col>4</xdr:col>
                    <xdr:colOff>990600</xdr:colOff>
                    <xdr:row>43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55" r:id="rId12" name="Drop Down 59">
              <controlPr defaultSize="0" autoLine="0" autoPict="0">
                <anchor moveWithCells="1">
                  <from>
                    <xdr:col>4</xdr:col>
                    <xdr:colOff>241300</xdr:colOff>
                    <xdr:row>18</xdr:row>
                    <xdr:rowOff>76200</xdr:rowOff>
                  </from>
                  <to>
                    <xdr:col>4</xdr:col>
                    <xdr:colOff>1022350</xdr:colOff>
                    <xdr:row>18</xdr:row>
                    <xdr:rowOff>273050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56" r:id="rId13" name="Drop Down 60">
              <controlPr defaultSize="0" autoLine="0" autoPict="0">
                <anchor moveWithCells="1">
                  <from>
                    <xdr:col>4</xdr:col>
                    <xdr:colOff>152400</xdr:colOff>
                    <xdr:row>31</xdr:row>
                    <xdr:rowOff>69850</xdr:rowOff>
                  </from>
                  <to>
                    <xdr:col>4</xdr:col>
                    <xdr:colOff>1022350</xdr:colOff>
                    <xdr:row>31</xdr:row>
                    <xdr:rowOff>273050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57" r:id="rId14" name="Drop Down 61">
              <controlPr defaultSize="0" autoLine="0" autoPict="0">
                <anchor moveWithCells="1">
                  <from>
                    <xdr:col>4</xdr:col>
                    <xdr:colOff>241300</xdr:colOff>
                    <xdr:row>15</xdr:row>
                    <xdr:rowOff>76200</xdr:rowOff>
                  </from>
                  <to>
                    <xdr:col>4</xdr:col>
                    <xdr:colOff>1022350</xdr:colOff>
                    <xdr:row>15</xdr:row>
                    <xdr:rowOff>279400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58" r:id="rId15" name="Drop Down 62">
              <controlPr defaultSize="0" autoLine="0" autoPict="0">
                <anchor moveWithCells="1">
                  <from>
                    <xdr:col>4</xdr:col>
                    <xdr:colOff>247650</xdr:colOff>
                    <xdr:row>16</xdr:row>
                    <xdr:rowOff>50800</xdr:rowOff>
                  </from>
                  <to>
                    <xdr:col>4</xdr:col>
                    <xdr:colOff>1028700</xdr:colOff>
                    <xdr:row>16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59" r:id="rId16" name="Drop Down 63">
              <controlPr defaultSize="0" autoLine="0" autoPict="0">
                <anchor moveWithCells="1">
                  <from>
                    <xdr:col>4</xdr:col>
                    <xdr:colOff>247650</xdr:colOff>
                    <xdr:row>17</xdr:row>
                    <xdr:rowOff>50800</xdr:rowOff>
                  </from>
                  <to>
                    <xdr:col>4</xdr:col>
                    <xdr:colOff>1028700</xdr:colOff>
                    <xdr:row>17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60" r:id="rId17" name="Drop Down 64">
              <controlPr defaultSize="0" autoLine="0" autoPict="0">
                <anchor moveWithCells="1">
                  <from>
                    <xdr:col>4</xdr:col>
                    <xdr:colOff>120650</xdr:colOff>
                    <xdr:row>29</xdr:row>
                    <xdr:rowOff>82550</xdr:rowOff>
                  </from>
                  <to>
                    <xdr:col>4</xdr:col>
                    <xdr:colOff>1009650</xdr:colOff>
                    <xdr:row>29</xdr:row>
                    <xdr:rowOff>285750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61" r:id="rId18" name="Drop Down 65">
              <controlPr defaultSize="0" autoLine="0" autoPict="0">
                <anchor moveWithCells="1">
                  <from>
                    <xdr:col>4</xdr:col>
                    <xdr:colOff>120650</xdr:colOff>
                    <xdr:row>30</xdr:row>
                    <xdr:rowOff>82550</xdr:rowOff>
                  </from>
                  <to>
                    <xdr:col>4</xdr:col>
                    <xdr:colOff>1009650</xdr:colOff>
                    <xdr:row>30</xdr:row>
                    <xdr:rowOff>285750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62" r:id="rId19" name="Drop Down 66">
              <controlPr defaultSize="0" autoLine="0" autoPict="0">
                <anchor moveWithCells="1">
                  <from>
                    <xdr:col>4</xdr:col>
                    <xdr:colOff>241300</xdr:colOff>
                    <xdr:row>19</xdr:row>
                    <xdr:rowOff>76200</xdr:rowOff>
                  </from>
                  <to>
                    <xdr:col>4</xdr:col>
                    <xdr:colOff>1022350</xdr:colOff>
                    <xdr:row>19</xdr:row>
                    <xdr:rowOff>273050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63" r:id="rId20" name="Drop Down 67">
              <controlPr defaultSize="0" autoLine="0" autoPict="0">
                <anchor moveWithCells="1">
                  <from>
                    <xdr:col>4</xdr:col>
                    <xdr:colOff>152400</xdr:colOff>
                    <xdr:row>32</xdr:row>
                    <xdr:rowOff>69850</xdr:rowOff>
                  </from>
                  <to>
                    <xdr:col>4</xdr:col>
                    <xdr:colOff>1022350</xdr:colOff>
                    <xdr:row>32</xdr:row>
                    <xdr:rowOff>273050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L10"/>
  <sheetViews>
    <sheetView showGridLines="0" workbookViewId="0">
      <selection activeCell="H17" sqref="H17"/>
    </sheetView>
  </sheetViews>
  <sheetFormatPr defaultRowHeight="12.5" x14ac:dyDescent="0.25"/>
  <sheetData>
    <row r="2" spans="1:12" ht="18" x14ac:dyDescent="0.4">
      <c r="A2" s="62" t="s">
        <v>0</v>
      </c>
      <c r="B2" s="62"/>
      <c r="C2" s="62"/>
      <c r="D2" s="62"/>
      <c r="E2" s="62"/>
    </row>
    <row r="3" spans="1:12" ht="13" x14ac:dyDescent="0.3">
      <c r="B3" s="2" t="s">
        <v>13</v>
      </c>
      <c r="C3" t="str">
        <f>Rate!C3</f>
        <v>M34933</v>
      </c>
    </row>
    <row r="4" spans="1:12" ht="13" x14ac:dyDescent="0.3">
      <c r="B4" s="2" t="s">
        <v>11</v>
      </c>
      <c r="C4" s="14" t="str">
        <f>Rate!C4</f>
        <v>DATABASE ADMINISTRATOR</v>
      </c>
    </row>
    <row r="5" spans="1:12" ht="13" x14ac:dyDescent="0.3">
      <c r="B5" s="2" t="s">
        <v>12</v>
      </c>
      <c r="C5" t="str">
        <f>Rate!C5</f>
        <v>VICE PROVOST FOR RESEARCH</v>
      </c>
    </row>
    <row r="6" spans="1:12" ht="13" thickBot="1" x14ac:dyDescent="0.3"/>
    <row r="7" spans="1:12" ht="13.5" thickBot="1" x14ac:dyDescent="0.35">
      <c r="A7" s="25"/>
      <c r="B7" s="29">
        <v>1</v>
      </c>
      <c r="C7" s="23">
        <v>2</v>
      </c>
      <c r="D7" s="23">
        <v>3</v>
      </c>
      <c r="E7" s="23">
        <v>4</v>
      </c>
      <c r="F7" s="23">
        <v>5</v>
      </c>
      <c r="G7" s="23">
        <v>6</v>
      </c>
      <c r="H7" s="23">
        <v>7</v>
      </c>
      <c r="I7" s="23">
        <v>8</v>
      </c>
      <c r="J7" s="23">
        <v>9</v>
      </c>
      <c r="K7" s="23">
        <v>10</v>
      </c>
      <c r="L7" s="24" t="s">
        <v>25</v>
      </c>
    </row>
    <row r="8" spans="1:12" ht="13.5" thickBot="1" x14ac:dyDescent="0.35">
      <c r="A8" s="26" t="s">
        <v>30</v>
      </c>
      <c r="B8" s="31">
        <f>'Ap1'!L16</f>
        <v>33</v>
      </c>
      <c r="C8" s="31">
        <f>'Ap1'!L17</f>
        <v>66</v>
      </c>
      <c r="D8" s="31">
        <f>'Ap1'!L18</f>
        <v>33</v>
      </c>
      <c r="E8" s="40">
        <f>'Ap1'!L19</f>
        <v>100</v>
      </c>
      <c r="F8" s="40">
        <f>'Ap1'!L20</f>
        <v>100</v>
      </c>
      <c r="G8" s="40">
        <f>'Ap1'!L29</f>
        <v>25</v>
      </c>
      <c r="H8" s="40">
        <f>'Ap1'!L30</f>
        <v>50</v>
      </c>
      <c r="I8" s="40">
        <f>'Ap1'!L31</f>
        <v>75</v>
      </c>
      <c r="J8" s="30">
        <f>'Ap1'!L32</f>
        <v>100</v>
      </c>
      <c r="K8" s="30">
        <f>'Ap1'!L33</f>
        <v>0</v>
      </c>
      <c r="L8" s="32">
        <f>SUM(B8:K8)</f>
        <v>582</v>
      </c>
    </row>
    <row r="9" spans="1:12" ht="13.5" thickBot="1" x14ac:dyDescent="0.35">
      <c r="A9" s="27" t="s">
        <v>31</v>
      </c>
      <c r="B9" s="31">
        <f>'Ap2'!L16</f>
        <v>66</v>
      </c>
      <c r="C9" s="31">
        <f>'Ap2'!L17</f>
        <v>100</v>
      </c>
      <c r="D9" s="31">
        <f>'Ap2'!L18</f>
        <v>66</v>
      </c>
      <c r="E9" s="40">
        <f>'Ap2'!L19</f>
        <v>66</v>
      </c>
      <c r="F9" s="40">
        <f>'Ap2'!L20</f>
        <v>33</v>
      </c>
      <c r="G9" s="40">
        <f>'Ap2'!L29</f>
        <v>50</v>
      </c>
      <c r="H9" s="40">
        <f>'Ap2'!L30</f>
        <v>75</v>
      </c>
      <c r="I9" s="40">
        <f>'Ap2'!L31</f>
        <v>100</v>
      </c>
      <c r="J9" s="30">
        <f>'Ap2'!L32</f>
        <v>50</v>
      </c>
      <c r="K9" s="30">
        <f>'Ap2'!L33</f>
        <v>75</v>
      </c>
      <c r="L9" s="33">
        <f>SUM(B9:K9)</f>
        <v>681</v>
      </c>
    </row>
    <row r="10" spans="1:12" ht="13.5" thickBot="1" x14ac:dyDescent="0.35">
      <c r="A10" s="28" t="s">
        <v>32</v>
      </c>
      <c r="B10" s="44">
        <f>'Ap3'!L16</f>
        <v>100</v>
      </c>
      <c r="C10" s="44">
        <f>'Ap3'!L17</f>
        <v>66</v>
      </c>
      <c r="D10" s="44">
        <f>'Ap3'!L18</f>
        <v>66</v>
      </c>
      <c r="E10" s="45">
        <f>'Ap3'!L19</f>
        <v>100</v>
      </c>
      <c r="F10" s="45">
        <f>'Ap3'!L20</f>
        <v>66</v>
      </c>
      <c r="G10" s="45">
        <f>'Ap3'!L29</f>
        <v>75</v>
      </c>
      <c r="H10" s="45">
        <f>'Ap3'!L30</f>
        <v>50</v>
      </c>
      <c r="I10" s="45">
        <f>'Ap3'!L31</f>
        <v>0</v>
      </c>
      <c r="J10" s="46">
        <f>'Ap3'!L32</f>
        <v>75</v>
      </c>
      <c r="K10" s="46">
        <f>'Ap3'!L33</f>
        <v>75</v>
      </c>
      <c r="L10" s="34">
        <f>SUM(B10:K10)</f>
        <v>673</v>
      </c>
    </row>
  </sheetData>
  <mergeCells count="1">
    <mergeCell ref="A2:E2"/>
  </mergeCells>
  <phoneticPr fontId="0" type="noConversion"/>
  <pageMargins left="0.75" right="0.75" top="1" bottom="1" header="0.5" footer="0.5"/>
  <pageSetup orientation="landscape" horizontalDpi="4294967292" r:id="rId1"/>
  <headerFooter alignWithMargins="0">
    <oddFooter>&amp;L&amp;A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5</vt:i4>
      </vt:variant>
    </vt:vector>
  </HeadingPairs>
  <TitlesOfParts>
    <vt:vector size="10" baseType="lpstr">
      <vt:lpstr>Rate</vt:lpstr>
      <vt:lpstr>Ap1</vt:lpstr>
      <vt:lpstr>Ap2</vt:lpstr>
      <vt:lpstr>Ap3</vt:lpstr>
      <vt:lpstr>Summary</vt:lpstr>
      <vt:lpstr>'Ap1'!Print_Area</vt:lpstr>
      <vt:lpstr>'Ap2'!Print_Area</vt:lpstr>
      <vt:lpstr>'Ap3'!Print_Area</vt:lpstr>
      <vt:lpstr>Rate!Print_Area</vt:lpstr>
      <vt:lpstr>Summary!Print_Area</vt:lpstr>
    </vt:vector>
  </TitlesOfParts>
  <Manager/>
  <Company>UNM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Jennie Wong</dc:creator>
  <cp:keywords/>
  <dc:description/>
  <cp:lastModifiedBy>Carina Negreanu</cp:lastModifiedBy>
  <cp:lastPrinted>2003-01-07T21:30:48Z</cp:lastPrinted>
  <dcterms:created xsi:type="dcterms:W3CDTF">2003-01-03T16:02:28Z</dcterms:created>
  <dcterms:modified xsi:type="dcterms:W3CDTF">2020-01-27T11:27:58Z</dcterms:modified>
  <cp:category/>
</cp:coreProperties>
</file>