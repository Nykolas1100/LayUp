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embeddings/oleObject2.bin" ContentType="application/vnd.openxmlformats-officedocument.oleObject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embeddings/oleObject3.bin" ContentType="application/vnd.openxmlformats-officedocument.oleObject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65F90C2-E069-477D-866A-89D99A73210E}" xr6:coauthVersionLast="45" xr6:coauthVersionMax="45" xr10:uidLastSave="{00000000-0000-0000-0000-000000000000}"/>
  <bookViews>
    <workbookView xWindow="3420" yWindow="3420" windowWidth="28800" windowHeight="15460"/>
  </bookViews>
  <sheets>
    <sheet name="Frequency" sheetId="1" r:id="rId1"/>
    <sheet name="Euler" sheetId="2" r:id="rId2"/>
    <sheet name="Modified Euler" sheetId="3" r:id="rId3"/>
  </sheets>
  <definedNames>
    <definedName name="delt" localSheetId="2">'Modified Euler'!$G$12</definedName>
    <definedName name="delt">Euler!$G$12</definedName>
    <definedName name="E" localSheetId="2">'Modified Euler'!$G$3</definedName>
    <definedName name="E">Euler!$G$3</definedName>
    <definedName name="I" localSheetId="2">'Modified Euler'!$G$4</definedName>
    <definedName name="I">Euler!$G$4</definedName>
    <definedName name="L" localSheetId="2">'Modified Euler'!$G$5</definedName>
    <definedName name="L">Euler!$G$5</definedName>
    <definedName name="m" localSheetId="2">'Modified Euler'!$G$6</definedName>
    <definedName name="m">Euler!$G$6</definedName>
  </definedNames>
  <calcPr calcId="0"/>
</workbook>
</file>

<file path=xl/calcChain.xml><?xml version="1.0" encoding="utf-8"?>
<calcChain xmlns="http://schemas.openxmlformats.org/spreadsheetml/2006/main">
  <c r="D8" i="2" l="1"/>
  <c r="G8" i="2"/>
  <c r="I15" i="2"/>
  <c r="F16" i="2"/>
  <c r="G16" i="2"/>
  <c r="H16" i="2"/>
  <c r="I16" i="2"/>
  <c r="F17" i="2"/>
  <c r="G17" i="2"/>
  <c r="H17" i="2"/>
  <c r="I17" i="2"/>
  <c r="F18" i="2"/>
  <c r="G18" i="2"/>
  <c r="H18" i="2"/>
  <c r="I18" i="2"/>
  <c r="F19" i="2"/>
  <c r="G19" i="2"/>
  <c r="H19" i="2"/>
  <c r="I19" i="2"/>
  <c r="K19" i="2"/>
  <c r="F20" i="2"/>
  <c r="G20" i="2"/>
  <c r="H20" i="2"/>
  <c r="I20" i="2"/>
  <c r="K20" i="2"/>
  <c r="F21" i="2"/>
  <c r="G21" i="2"/>
  <c r="H21" i="2"/>
  <c r="I21" i="2"/>
  <c r="F22" i="2"/>
  <c r="G22" i="2"/>
  <c r="H22" i="2"/>
  <c r="I22" i="2"/>
  <c r="F23" i="2"/>
  <c r="G23" i="2"/>
  <c r="H23" i="2"/>
  <c r="I23" i="2"/>
  <c r="F24" i="2"/>
  <c r="G24" i="2"/>
  <c r="H24" i="2"/>
  <c r="I24" i="2"/>
  <c r="F25" i="2"/>
  <c r="G25" i="2"/>
  <c r="H25" i="2"/>
  <c r="I25" i="2"/>
  <c r="F26" i="2"/>
  <c r="G26" i="2"/>
  <c r="H26" i="2"/>
  <c r="I26" i="2"/>
  <c r="F27" i="2"/>
  <c r="G27" i="2"/>
  <c r="H27" i="2"/>
  <c r="I27" i="2"/>
  <c r="F28" i="2"/>
  <c r="G28" i="2"/>
  <c r="H28" i="2"/>
  <c r="I28" i="2"/>
  <c r="F29" i="2"/>
  <c r="G29" i="2"/>
  <c r="H29" i="2"/>
  <c r="I29" i="2"/>
  <c r="F30" i="2"/>
  <c r="G30" i="2"/>
  <c r="H30" i="2"/>
  <c r="I30" i="2"/>
  <c r="F31" i="2"/>
  <c r="G31" i="2"/>
  <c r="H31" i="2"/>
  <c r="I31" i="2"/>
  <c r="F32" i="2"/>
  <c r="G32" i="2"/>
  <c r="H32" i="2"/>
  <c r="I32" i="2"/>
  <c r="F33" i="2"/>
  <c r="G33" i="2"/>
  <c r="H33" i="2"/>
  <c r="I33" i="2"/>
  <c r="F34" i="2"/>
  <c r="G34" i="2"/>
  <c r="H34" i="2"/>
  <c r="I34" i="2"/>
  <c r="F35" i="2"/>
  <c r="G35" i="2"/>
  <c r="H35" i="2"/>
  <c r="I35" i="2"/>
  <c r="F36" i="2"/>
  <c r="G36" i="2"/>
  <c r="H36" i="2"/>
  <c r="I36" i="2"/>
  <c r="F37" i="2"/>
  <c r="G37" i="2"/>
  <c r="H37" i="2"/>
  <c r="I37" i="2"/>
  <c r="F38" i="2"/>
  <c r="G38" i="2"/>
  <c r="H38" i="2"/>
  <c r="I38" i="2"/>
  <c r="F39" i="2"/>
  <c r="G39" i="2"/>
  <c r="H39" i="2"/>
  <c r="I39" i="2"/>
  <c r="F40" i="2"/>
  <c r="G40" i="2"/>
  <c r="H40" i="2"/>
  <c r="I40" i="2"/>
  <c r="F41" i="2"/>
  <c r="G41" i="2"/>
  <c r="H41" i="2"/>
  <c r="I41" i="2"/>
  <c r="F42" i="2"/>
  <c r="G42" i="2"/>
  <c r="H42" i="2"/>
  <c r="I42" i="2"/>
  <c r="F43" i="2"/>
  <c r="G43" i="2"/>
  <c r="H43" i="2"/>
  <c r="I43" i="2"/>
  <c r="F44" i="2"/>
  <c r="G44" i="2"/>
  <c r="H44" i="2"/>
  <c r="I44" i="2"/>
  <c r="F45" i="2"/>
  <c r="G45" i="2"/>
  <c r="H45" i="2"/>
  <c r="I45" i="2"/>
  <c r="F46" i="2"/>
  <c r="G46" i="2"/>
  <c r="H46" i="2"/>
  <c r="I46" i="2"/>
  <c r="F47" i="2"/>
  <c r="G47" i="2"/>
  <c r="H47" i="2"/>
  <c r="I47" i="2"/>
  <c r="F48" i="2"/>
  <c r="G48" i="2"/>
  <c r="H48" i="2"/>
  <c r="I48" i="2"/>
  <c r="F49" i="2"/>
  <c r="G49" i="2"/>
  <c r="H49" i="2"/>
  <c r="I49" i="2"/>
  <c r="F50" i="2"/>
  <c r="G50" i="2"/>
  <c r="H50" i="2"/>
  <c r="I50" i="2"/>
  <c r="F51" i="2"/>
  <c r="G51" i="2"/>
  <c r="H51" i="2"/>
  <c r="I51" i="2"/>
  <c r="F52" i="2"/>
  <c r="G52" i="2"/>
  <c r="H52" i="2"/>
  <c r="I52" i="2"/>
  <c r="F53" i="2"/>
  <c r="G53" i="2"/>
  <c r="H53" i="2"/>
  <c r="I53" i="2"/>
  <c r="F54" i="2"/>
  <c r="G54" i="2"/>
  <c r="H54" i="2"/>
  <c r="I54" i="2"/>
  <c r="F55" i="2"/>
  <c r="G55" i="2"/>
  <c r="H55" i="2"/>
  <c r="I55" i="2"/>
  <c r="F56" i="2"/>
  <c r="G56" i="2"/>
  <c r="H56" i="2"/>
  <c r="I56" i="2"/>
  <c r="F57" i="2"/>
  <c r="G57" i="2"/>
  <c r="H57" i="2"/>
  <c r="I57" i="2"/>
  <c r="F58" i="2"/>
  <c r="G58" i="2"/>
  <c r="H58" i="2"/>
  <c r="I58" i="2"/>
  <c r="F59" i="2"/>
  <c r="G59" i="2"/>
  <c r="H59" i="2"/>
  <c r="I59" i="2"/>
  <c r="F60" i="2"/>
  <c r="G60" i="2"/>
  <c r="H60" i="2"/>
  <c r="I60" i="2"/>
  <c r="F61" i="2"/>
  <c r="G61" i="2"/>
  <c r="H61" i="2"/>
  <c r="I61" i="2"/>
  <c r="F62" i="2"/>
  <c r="G62" i="2"/>
  <c r="H62" i="2"/>
  <c r="I62" i="2"/>
  <c r="F63" i="2"/>
  <c r="G63" i="2"/>
  <c r="H63" i="2"/>
  <c r="I63" i="2"/>
  <c r="F64" i="2"/>
  <c r="G64" i="2"/>
  <c r="H64" i="2"/>
  <c r="I64" i="2"/>
  <c r="F65" i="2"/>
  <c r="G65" i="2"/>
  <c r="H65" i="2"/>
  <c r="I65" i="2"/>
  <c r="F66" i="2"/>
  <c r="G66" i="2"/>
  <c r="H66" i="2"/>
  <c r="I66" i="2"/>
  <c r="F67" i="2"/>
  <c r="G67" i="2"/>
  <c r="H67" i="2"/>
  <c r="I67" i="2"/>
  <c r="F68" i="2"/>
  <c r="G68" i="2"/>
  <c r="H68" i="2"/>
  <c r="I68" i="2"/>
  <c r="F69" i="2"/>
  <c r="G69" i="2"/>
  <c r="H69" i="2"/>
  <c r="I69" i="2"/>
  <c r="F70" i="2"/>
  <c r="G70" i="2"/>
  <c r="H70" i="2"/>
  <c r="I70" i="2"/>
  <c r="F71" i="2"/>
  <c r="G71" i="2"/>
  <c r="H71" i="2"/>
  <c r="I71" i="2"/>
  <c r="F72" i="2"/>
  <c r="G72" i="2"/>
  <c r="H72" i="2"/>
  <c r="I72" i="2"/>
  <c r="F73" i="2"/>
  <c r="G73" i="2"/>
  <c r="H73" i="2"/>
  <c r="I73" i="2"/>
  <c r="F74" i="2"/>
  <c r="G74" i="2"/>
  <c r="H74" i="2"/>
  <c r="I74" i="2"/>
  <c r="F75" i="2"/>
  <c r="G75" i="2"/>
  <c r="H75" i="2"/>
  <c r="I75" i="2"/>
  <c r="F76" i="2"/>
  <c r="G76" i="2"/>
  <c r="H76" i="2"/>
  <c r="I76" i="2"/>
  <c r="F77" i="2"/>
  <c r="G77" i="2"/>
  <c r="H77" i="2"/>
  <c r="I77" i="2"/>
  <c r="F78" i="2"/>
  <c r="G78" i="2"/>
  <c r="H78" i="2"/>
  <c r="I78" i="2"/>
  <c r="F79" i="2"/>
  <c r="G79" i="2"/>
  <c r="H79" i="2"/>
  <c r="I79" i="2"/>
  <c r="F80" i="2"/>
  <c r="G80" i="2"/>
  <c r="H80" i="2"/>
  <c r="I80" i="2"/>
  <c r="F81" i="2"/>
  <c r="G81" i="2"/>
  <c r="H81" i="2"/>
  <c r="I81" i="2"/>
  <c r="F82" i="2"/>
  <c r="G82" i="2"/>
  <c r="H82" i="2"/>
  <c r="I82" i="2"/>
  <c r="F83" i="2"/>
  <c r="G83" i="2"/>
  <c r="H83" i="2"/>
  <c r="I83" i="2"/>
  <c r="F84" i="2"/>
  <c r="G84" i="2"/>
  <c r="H84" i="2"/>
  <c r="I84" i="2"/>
  <c r="F85" i="2"/>
  <c r="G85" i="2"/>
  <c r="H85" i="2"/>
  <c r="I85" i="2"/>
  <c r="F86" i="2"/>
  <c r="G86" i="2"/>
  <c r="H86" i="2"/>
  <c r="I86" i="2"/>
  <c r="F87" i="2"/>
  <c r="G87" i="2"/>
  <c r="H87" i="2"/>
  <c r="I87" i="2"/>
  <c r="F88" i="2"/>
  <c r="G88" i="2"/>
  <c r="H88" i="2"/>
  <c r="I88" i="2"/>
  <c r="F89" i="2"/>
  <c r="G89" i="2"/>
  <c r="H89" i="2"/>
  <c r="I89" i="2"/>
  <c r="F90" i="2"/>
  <c r="G90" i="2"/>
  <c r="H90" i="2"/>
  <c r="I90" i="2"/>
  <c r="F91" i="2"/>
  <c r="G91" i="2"/>
  <c r="H91" i="2"/>
  <c r="I91" i="2"/>
  <c r="F92" i="2"/>
  <c r="G92" i="2"/>
  <c r="H92" i="2"/>
  <c r="I92" i="2"/>
  <c r="F93" i="2"/>
  <c r="G93" i="2"/>
  <c r="H93" i="2"/>
  <c r="I93" i="2"/>
  <c r="F94" i="2"/>
  <c r="G94" i="2"/>
  <c r="H94" i="2"/>
  <c r="I94" i="2"/>
  <c r="F95" i="2"/>
  <c r="G95" i="2"/>
  <c r="H95" i="2"/>
  <c r="I95" i="2"/>
  <c r="F96" i="2"/>
  <c r="G96" i="2"/>
  <c r="H96" i="2"/>
  <c r="I96" i="2"/>
  <c r="F97" i="2"/>
  <c r="G97" i="2"/>
  <c r="H97" i="2"/>
  <c r="I97" i="2"/>
  <c r="F98" i="2"/>
  <c r="G98" i="2"/>
  <c r="H98" i="2"/>
  <c r="I98" i="2"/>
  <c r="F99" i="2"/>
  <c r="G99" i="2"/>
  <c r="H99" i="2"/>
  <c r="I99" i="2"/>
  <c r="F100" i="2"/>
  <c r="G100" i="2"/>
  <c r="H100" i="2"/>
  <c r="I100" i="2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D8" i="3"/>
  <c r="G8" i="3"/>
  <c r="I15" i="3"/>
  <c r="J15" i="3"/>
  <c r="F16" i="3"/>
  <c r="G16" i="3"/>
  <c r="H16" i="3"/>
  <c r="I16" i="3"/>
  <c r="J16" i="3"/>
  <c r="F17" i="3"/>
  <c r="G17" i="3"/>
  <c r="H17" i="3"/>
  <c r="I17" i="3"/>
  <c r="J17" i="3"/>
  <c r="F18" i="3"/>
  <c r="G18" i="3"/>
  <c r="H18" i="3"/>
  <c r="I18" i="3"/>
  <c r="J18" i="3"/>
  <c r="F19" i="3"/>
  <c r="G19" i="3"/>
  <c r="H19" i="3"/>
  <c r="I19" i="3"/>
  <c r="J19" i="3"/>
  <c r="M19" i="3"/>
  <c r="F20" i="3"/>
  <c r="G20" i="3"/>
  <c r="H20" i="3"/>
  <c r="I20" i="3"/>
  <c r="J20" i="3"/>
  <c r="M20" i="3"/>
  <c r="F21" i="3"/>
  <c r="G21" i="3"/>
  <c r="H21" i="3"/>
  <c r="I21" i="3"/>
  <c r="J21" i="3"/>
  <c r="F22" i="3"/>
  <c r="G22" i="3"/>
  <c r="H22" i="3"/>
  <c r="I22" i="3"/>
  <c r="J22" i="3"/>
  <c r="F23" i="3"/>
  <c r="G23" i="3"/>
  <c r="H23" i="3"/>
  <c r="I23" i="3"/>
  <c r="J23" i="3"/>
  <c r="F24" i="3"/>
  <c r="G24" i="3"/>
  <c r="H24" i="3"/>
  <c r="I24" i="3"/>
  <c r="J24" i="3"/>
  <c r="F25" i="3"/>
  <c r="G25" i="3"/>
  <c r="H25" i="3"/>
  <c r="I25" i="3"/>
  <c r="J25" i="3"/>
  <c r="F26" i="3"/>
  <c r="G26" i="3"/>
  <c r="H26" i="3"/>
  <c r="I26" i="3"/>
  <c r="J26" i="3"/>
  <c r="F27" i="3"/>
  <c r="G27" i="3"/>
  <c r="H27" i="3"/>
  <c r="I27" i="3"/>
  <c r="J27" i="3"/>
  <c r="F28" i="3"/>
  <c r="G28" i="3"/>
  <c r="H28" i="3"/>
  <c r="I28" i="3"/>
  <c r="J28" i="3"/>
  <c r="F29" i="3"/>
  <c r="G29" i="3"/>
  <c r="H29" i="3"/>
  <c r="I29" i="3"/>
  <c r="J29" i="3"/>
  <c r="F30" i="3"/>
  <c r="G30" i="3"/>
  <c r="H30" i="3"/>
  <c r="I30" i="3"/>
  <c r="J30" i="3"/>
  <c r="F31" i="3"/>
  <c r="G31" i="3"/>
  <c r="H31" i="3"/>
  <c r="I31" i="3"/>
  <c r="J31" i="3"/>
  <c r="F32" i="3"/>
  <c r="G32" i="3"/>
  <c r="H32" i="3"/>
  <c r="I32" i="3"/>
  <c r="J32" i="3"/>
  <c r="F33" i="3"/>
  <c r="G33" i="3"/>
  <c r="H33" i="3"/>
  <c r="I33" i="3"/>
  <c r="J33" i="3"/>
  <c r="F34" i="3"/>
  <c r="G34" i="3"/>
  <c r="H34" i="3"/>
  <c r="I34" i="3"/>
  <c r="J34" i="3"/>
  <c r="F35" i="3"/>
  <c r="G35" i="3"/>
  <c r="H35" i="3"/>
  <c r="I35" i="3"/>
  <c r="J35" i="3"/>
  <c r="F36" i="3"/>
  <c r="G36" i="3"/>
  <c r="H36" i="3"/>
  <c r="I36" i="3"/>
  <c r="J36" i="3"/>
  <c r="F37" i="3"/>
  <c r="G37" i="3"/>
  <c r="H37" i="3"/>
  <c r="I37" i="3"/>
  <c r="J37" i="3"/>
  <c r="F38" i="3"/>
  <c r="G38" i="3"/>
  <c r="H38" i="3"/>
  <c r="I38" i="3"/>
  <c r="J38" i="3"/>
  <c r="F39" i="3"/>
  <c r="G39" i="3"/>
  <c r="H39" i="3"/>
  <c r="I39" i="3"/>
  <c r="J39" i="3"/>
  <c r="F40" i="3"/>
  <c r="G40" i="3"/>
  <c r="H40" i="3"/>
  <c r="I40" i="3"/>
  <c r="J40" i="3"/>
  <c r="F41" i="3"/>
  <c r="G41" i="3"/>
  <c r="H41" i="3"/>
  <c r="I41" i="3"/>
  <c r="J41" i="3"/>
  <c r="F42" i="3"/>
  <c r="G42" i="3"/>
  <c r="H42" i="3"/>
  <c r="I42" i="3"/>
  <c r="J42" i="3"/>
  <c r="F43" i="3"/>
  <c r="G43" i="3"/>
  <c r="H43" i="3"/>
  <c r="I43" i="3"/>
  <c r="J43" i="3"/>
  <c r="F44" i="3"/>
  <c r="G44" i="3"/>
  <c r="H44" i="3"/>
  <c r="I44" i="3"/>
  <c r="J44" i="3"/>
  <c r="F45" i="3"/>
  <c r="G45" i="3"/>
  <c r="H45" i="3"/>
  <c r="I45" i="3"/>
  <c r="J45" i="3"/>
  <c r="F46" i="3"/>
  <c r="G46" i="3"/>
  <c r="H46" i="3"/>
  <c r="I46" i="3"/>
  <c r="J46" i="3"/>
  <c r="F47" i="3"/>
  <c r="G47" i="3"/>
  <c r="H47" i="3"/>
  <c r="I47" i="3"/>
  <c r="J47" i="3"/>
  <c r="F48" i="3"/>
  <c r="G48" i="3"/>
  <c r="H48" i="3"/>
  <c r="I48" i="3"/>
  <c r="J48" i="3"/>
  <c r="F49" i="3"/>
  <c r="G49" i="3"/>
  <c r="H49" i="3"/>
  <c r="I49" i="3"/>
  <c r="J49" i="3"/>
  <c r="F50" i="3"/>
  <c r="G50" i="3"/>
  <c r="H50" i="3"/>
  <c r="I50" i="3"/>
  <c r="J50" i="3"/>
  <c r="F51" i="3"/>
  <c r="G51" i="3"/>
  <c r="H51" i="3"/>
  <c r="I51" i="3"/>
  <c r="J51" i="3"/>
  <c r="F52" i="3"/>
  <c r="G52" i="3"/>
  <c r="H52" i="3"/>
  <c r="I52" i="3"/>
  <c r="J52" i="3"/>
  <c r="F53" i="3"/>
  <c r="G53" i="3"/>
  <c r="H53" i="3"/>
  <c r="I53" i="3"/>
  <c r="J53" i="3"/>
  <c r="F54" i="3"/>
  <c r="G54" i="3"/>
  <c r="H54" i="3"/>
  <c r="I54" i="3"/>
  <c r="J54" i="3"/>
  <c r="F55" i="3"/>
  <c r="G55" i="3"/>
  <c r="H55" i="3"/>
  <c r="I55" i="3"/>
  <c r="J55" i="3"/>
  <c r="F56" i="3"/>
  <c r="G56" i="3"/>
  <c r="H56" i="3"/>
  <c r="I56" i="3"/>
  <c r="J56" i="3"/>
  <c r="F57" i="3"/>
  <c r="G57" i="3"/>
  <c r="H57" i="3"/>
  <c r="I57" i="3"/>
  <c r="J57" i="3"/>
  <c r="F58" i="3"/>
  <c r="G58" i="3"/>
  <c r="H58" i="3"/>
  <c r="I58" i="3"/>
  <c r="J58" i="3"/>
  <c r="F59" i="3"/>
  <c r="G59" i="3"/>
  <c r="H59" i="3"/>
  <c r="I59" i="3"/>
  <c r="J59" i="3"/>
  <c r="F60" i="3"/>
  <c r="G60" i="3"/>
  <c r="H60" i="3"/>
  <c r="I60" i="3"/>
  <c r="J60" i="3"/>
  <c r="F61" i="3"/>
  <c r="G61" i="3"/>
  <c r="H61" i="3"/>
  <c r="I61" i="3"/>
  <c r="J61" i="3"/>
  <c r="F62" i="3"/>
  <c r="G62" i="3"/>
  <c r="H62" i="3"/>
  <c r="I62" i="3"/>
  <c r="J62" i="3"/>
  <c r="F63" i="3"/>
  <c r="G63" i="3"/>
  <c r="H63" i="3"/>
  <c r="I63" i="3"/>
  <c r="J63" i="3"/>
  <c r="F64" i="3"/>
  <c r="G64" i="3"/>
  <c r="H64" i="3"/>
  <c r="I64" i="3"/>
  <c r="J64" i="3"/>
  <c r="F65" i="3"/>
  <c r="G65" i="3"/>
  <c r="H65" i="3"/>
  <c r="I65" i="3"/>
  <c r="J65" i="3"/>
  <c r="F66" i="3"/>
  <c r="G66" i="3"/>
  <c r="H66" i="3"/>
  <c r="I66" i="3"/>
  <c r="J66" i="3"/>
  <c r="F67" i="3"/>
  <c r="G67" i="3"/>
  <c r="H67" i="3"/>
  <c r="I67" i="3"/>
  <c r="J67" i="3"/>
  <c r="F68" i="3"/>
  <c r="G68" i="3"/>
  <c r="H68" i="3"/>
  <c r="I68" i="3"/>
  <c r="J68" i="3"/>
  <c r="F69" i="3"/>
  <c r="G69" i="3"/>
  <c r="H69" i="3"/>
  <c r="I69" i="3"/>
  <c r="J69" i="3"/>
  <c r="F70" i="3"/>
  <c r="G70" i="3"/>
  <c r="H70" i="3"/>
  <c r="I70" i="3"/>
  <c r="J70" i="3"/>
  <c r="F71" i="3"/>
  <c r="G71" i="3"/>
  <c r="H71" i="3"/>
  <c r="I71" i="3"/>
  <c r="J71" i="3"/>
  <c r="F72" i="3"/>
  <c r="G72" i="3"/>
  <c r="H72" i="3"/>
  <c r="I72" i="3"/>
  <c r="J72" i="3"/>
  <c r="F73" i="3"/>
  <c r="G73" i="3"/>
  <c r="H73" i="3"/>
  <c r="I73" i="3"/>
  <c r="J73" i="3"/>
  <c r="F74" i="3"/>
  <c r="G74" i="3"/>
  <c r="H74" i="3"/>
  <c r="I74" i="3"/>
  <c r="J74" i="3"/>
  <c r="F75" i="3"/>
  <c r="G75" i="3"/>
  <c r="H75" i="3"/>
  <c r="I75" i="3"/>
  <c r="J75" i="3"/>
  <c r="F76" i="3"/>
  <c r="G76" i="3"/>
  <c r="H76" i="3"/>
  <c r="I76" i="3"/>
  <c r="J76" i="3"/>
  <c r="F77" i="3"/>
  <c r="G77" i="3"/>
  <c r="H77" i="3"/>
  <c r="I77" i="3"/>
  <c r="J77" i="3"/>
  <c r="F78" i="3"/>
  <c r="G78" i="3"/>
  <c r="H78" i="3"/>
  <c r="I78" i="3"/>
  <c r="J78" i="3"/>
  <c r="F79" i="3"/>
  <c r="G79" i="3"/>
  <c r="H79" i="3"/>
  <c r="I79" i="3"/>
  <c r="J79" i="3"/>
  <c r="F80" i="3"/>
  <c r="G80" i="3"/>
  <c r="H80" i="3"/>
  <c r="I80" i="3"/>
  <c r="J80" i="3"/>
  <c r="F81" i="3"/>
  <c r="G81" i="3"/>
  <c r="H81" i="3"/>
  <c r="I81" i="3"/>
  <c r="J81" i="3"/>
  <c r="F82" i="3"/>
  <c r="G82" i="3"/>
  <c r="H82" i="3"/>
  <c r="I82" i="3"/>
  <c r="J82" i="3"/>
  <c r="F83" i="3"/>
  <c r="G83" i="3"/>
  <c r="H83" i="3"/>
  <c r="I83" i="3"/>
  <c r="J83" i="3"/>
  <c r="F84" i="3"/>
  <c r="G84" i="3"/>
  <c r="H84" i="3"/>
  <c r="I84" i="3"/>
  <c r="J84" i="3"/>
  <c r="F85" i="3"/>
  <c r="G85" i="3"/>
  <c r="H85" i="3"/>
  <c r="I85" i="3"/>
  <c r="J85" i="3"/>
  <c r="F86" i="3"/>
  <c r="G86" i="3"/>
  <c r="H86" i="3"/>
  <c r="I86" i="3"/>
  <c r="J86" i="3"/>
  <c r="F87" i="3"/>
  <c r="G87" i="3"/>
  <c r="H87" i="3"/>
  <c r="I87" i="3"/>
  <c r="J87" i="3"/>
  <c r="F88" i="3"/>
  <c r="G88" i="3"/>
  <c r="H88" i="3"/>
  <c r="I88" i="3"/>
  <c r="J88" i="3"/>
  <c r="F89" i="3"/>
  <c r="G89" i="3"/>
  <c r="H89" i="3"/>
  <c r="I89" i="3"/>
  <c r="J89" i="3"/>
  <c r="F90" i="3"/>
  <c r="G90" i="3"/>
  <c r="H90" i="3"/>
  <c r="I90" i="3"/>
  <c r="J90" i="3"/>
  <c r="F91" i="3"/>
  <c r="G91" i="3"/>
  <c r="H91" i="3"/>
  <c r="I91" i="3"/>
  <c r="J91" i="3"/>
  <c r="F92" i="3"/>
  <c r="G92" i="3"/>
  <c r="H92" i="3"/>
  <c r="I92" i="3"/>
  <c r="J92" i="3"/>
  <c r="F93" i="3"/>
  <c r="G93" i="3"/>
  <c r="H93" i="3"/>
  <c r="I93" i="3"/>
  <c r="J93" i="3"/>
  <c r="F94" i="3"/>
  <c r="G94" i="3"/>
  <c r="H94" i="3"/>
  <c r="I94" i="3"/>
  <c r="J94" i="3"/>
  <c r="F95" i="3"/>
  <c r="G95" i="3"/>
  <c r="H95" i="3"/>
  <c r="I95" i="3"/>
  <c r="J95" i="3"/>
  <c r="F96" i="3"/>
  <c r="G96" i="3"/>
  <c r="H96" i="3"/>
  <c r="I96" i="3"/>
  <c r="J96" i="3"/>
  <c r="F97" i="3"/>
  <c r="G97" i="3"/>
  <c r="H97" i="3"/>
  <c r="I97" i="3"/>
  <c r="J97" i="3"/>
  <c r="F98" i="3"/>
  <c r="G98" i="3"/>
  <c r="H98" i="3"/>
  <c r="I98" i="3"/>
  <c r="J98" i="3"/>
  <c r="F99" i="3"/>
  <c r="G99" i="3"/>
  <c r="H99" i="3"/>
  <c r="I99" i="3"/>
  <c r="J99" i="3"/>
  <c r="F100" i="3"/>
  <c r="G100" i="3"/>
  <c r="H100" i="3"/>
  <c r="I100" i="3"/>
  <c r="J100" i="3"/>
</calcChain>
</file>

<file path=xl/sharedStrings.xml><?xml version="1.0" encoding="utf-8"?>
<sst xmlns="http://schemas.openxmlformats.org/spreadsheetml/2006/main" count="58" uniqueCount="29">
  <si>
    <t>Oscillations of a cantilever beam with a weight at the end.</t>
  </si>
  <si>
    <t>Frequency</t>
  </si>
  <si>
    <t>W 12 x 53 I beam, 12 feet long</t>
  </si>
  <si>
    <t>Modulus of Elasticity E =</t>
  </si>
  <si>
    <t>psi</t>
  </si>
  <si>
    <t>Moment of Inertia I =</t>
  </si>
  <si>
    <r>
      <t>in</t>
    </r>
    <r>
      <rPr>
        <vertAlign val="superscript"/>
        <sz val="10"/>
        <rFont val="Arial"/>
        <family val="2"/>
      </rPr>
      <t>4</t>
    </r>
  </si>
  <si>
    <t>Length of Beam L =</t>
  </si>
  <si>
    <t xml:space="preserve">in </t>
  </si>
  <si>
    <t>Mass m (lb)</t>
  </si>
  <si>
    <t>Frequency f (Hz)</t>
  </si>
  <si>
    <t>Mass at end m =</t>
  </si>
  <si>
    <t>lb</t>
  </si>
  <si>
    <t>Analytic Frequency f =</t>
  </si>
  <si>
    <t>Hz.</t>
  </si>
  <si>
    <t>1/f =</t>
  </si>
  <si>
    <t>s/cycle</t>
  </si>
  <si>
    <t>Euler Method</t>
  </si>
  <si>
    <t>delt =</t>
  </si>
  <si>
    <t>s</t>
  </si>
  <si>
    <t>t (s)</t>
  </si>
  <si>
    <t>y (in)</t>
  </si>
  <si>
    <t>y' (in/s)</t>
  </si>
  <si>
    <r>
      <t>y" (in/s</t>
    </r>
    <r>
      <rPr>
        <vertAlign val="superscript"/>
        <sz val="10"/>
        <rFont val="Arial"/>
        <family val="2"/>
      </rPr>
      <t>2</t>
    </r>
    <r>
      <rPr>
        <sz val="10"/>
        <rFont val="Arial"/>
      </rPr>
      <t>)</t>
    </r>
  </si>
  <si>
    <t>Marker for chart</t>
  </si>
  <si>
    <t>at one period.</t>
  </si>
  <si>
    <t>Modified Euler Method</t>
  </si>
  <si>
    <t>y (in) Predicted</t>
  </si>
  <si>
    <t>Y (in) 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</si>
</sst>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3" formatCode="&quot;$&quot;#,##0_);[Red]\(&quot;$&quot;#,##0\)"/>
    <numFmt numFmtId="175" formatCode="&quot;$&quot;#,##0.00_);[Red]\(&quot;$&quot;#,##0.00\)"/>
    <numFmt numFmtId="180" formatCode="0.0000"/>
    <numFmt numFmtId="181" formatCode="General_)"/>
  </numFmts>
  <fonts count="5" x14ac:knownFonts="1">
    <font>
      <sz val="10"/>
      <name val="Arial"/>
    </font>
    <font>
      <vertAlign val="superscript"/>
      <sz val="10"/>
      <name val="Arial"/>
      <family val="2"/>
    </font>
    <font>
      <sz val="10"/>
      <name val="Arial"/>
      <family val="2"/>
    </font>
    <font>
      <sz val="10"/>
      <name val="MS Sans Serif"/>
    </font>
    <font>
      <sz val="10"/>
      <name val="Courie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11" fontId="0" fillId="0" borderId="5" xfId="0" applyNumberFormat="1" applyBorder="1"/>
    <xf numFmtId="0" fontId="0" fillId="0" borderId="6" xfId="0" applyBorder="1"/>
    <xf numFmtId="0" fontId="2" fillId="0" borderId="5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right"/>
    </xf>
    <xf numFmtId="0" fontId="0" fillId="0" borderId="6" xfId="0" applyBorder="1" applyAlignment="1">
      <alignment horizontal="right"/>
    </xf>
    <xf numFmtId="180" fontId="0" fillId="0" borderId="3" xfId="0" applyNumberFormat="1" applyBorder="1"/>
    <xf numFmtId="180" fontId="0" fillId="0" borderId="4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9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1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2" xfId="0" applyBorder="1" applyAlignment="1">
      <alignment vertical="top" wrapText="1"/>
    </xf>
    <xf numFmtId="0" fontId="0" fillId="0" borderId="13" xfId="0" applyBorder="1"/>
    <xf numFmtId="0" fontId="0" fillId="0" borderId="9" xfId="0" applyBorder="1" applyAlignment="1">
      <alignment vertical="top"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0" xfId="0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Oscillating Beam</a:t>
            </a:r>
          </a:p>
        </c:rich>
      </c:tx>
      <c:layout>
        <c:manualLayout>
          <c:xMode val="edge"/>
          <c:yMode val="edge"/>
          <c:x val="0.42841990318787598"/>
          <c:y val="4.061041413346019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79862228195616"/>
          <c:y val="0.19797576890061847"/>
          <c:w val="0.81526806374835703"/>
          <c:h val="0.58631285405183164"/>
        </c:manualLayout>
      </c:layout>
      <c:scatterChart>
        <c:scatterStyle val="lineMarker"/>
        <c:varyColors val="0"/>
        <c:ser>
          <c:idx val="0"/>
          <c:order val="0"/>
          <c:tx>
            <c:strRef>
              <c:f>Frequency!$G$8</c:f>
              <c:strCache>
                <c:ptCount val="1"/>
                <c:pt idx="0">
                  <c:v>Frequency f (Hz)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Frequency!$F$9:$F$28</c:f>
              <c:numCache>
                <c:formatCode>General</c:formatCode>
                <c:ptCount val="2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</c:numCache>
            </c:numRef>
          </c:xVal>
          <c:yVal>
            <c:numRef>
              <c:f>Frequency!$G$9:$G$28</c:f>
              <c:numCache>
                <c:formatCode>0.0000</c:formatCode>
                <c:ptCount val="20"/>
                <c:pt idx="0">
                  <c:v>0.56071325063702893</c:v>
                </c:pt>
                <c:pt idx="1">
                  <c:v>0.39648414182659542</c:v>
                </c:pt>
                <c:pt idx="2">
                  <c:v>0.32372794619347878</c:v>
                </c:pt>
                <c:pt idx="3">
                  <c:v>0.28035662531851446</c:v>
                </c:pt>
                <c:pt idx="4">
                  <c:v>0.25075858886185481</c:v>
                </c:pt>
                <c:pt idx="5">
                  <c:v>0.22891022601300262</c:v>
                </c:pt>
                <c:pt idx="6">
                  <c:v>0.21192968828631539</c:v>
                </c:pt>
                <c:pt idx="7">
                  <c:v>0.19824207091329771</c:v>
                </c:pt>
                <c:pt idx="8">
                  <c:v>0.18690441687900966</c:v>
                </c:pt>
                <c:pt idx="9">
                  <c:v>0.17731309862498698</c:v>
                </c:pt>
                <c:pt idx="10">
                  <c:v>0.16906140612213919</c:v>
                </c:pt>
                <c:pt idx="11">
                  <c:v>0.16186397309673939</c:v>
                </c:pt>
                <c:pt idx="12">
                  <c:v>0.155513875077223</c:v>
                </c:pt>
                <c:pt idx="13">
                  <c:v>0.14985691972200485</c:v>
                </c:pt>
                <c:pt idx="14">
                  <c:v>0.14477553878100255</c:v>
                </c:pt>
                <c:pt idx="15">
                  <c:v>0.14017831265925723</c:v>
                </c:pt>
                <c:pt idx="16">
                  <c:v>0.13599293870940585</c:v>
                </c:pt>
                <c:pt idx="17">
                  <c:v>0.13216138060886515</c:v>
                </c:pt>
                <c:pt idx="18">
                  <c:v>0.12863644188584222</c:v>
                </c:pt>
                <c:pt idx="19">
                  <c:v>0.12537929443092741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EE-4C19-BB11-0CC6752BE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860959"/>
        <c:axId val="1"/>
      </c:scatterChart>
      <c:valAx>
        <c:axId val="7058609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Mass (lb)</a:t>
                </a:r>
              </a:p>
            </c:rich>
          </c:tx>
          <c:layout>
            <c:manualLayout>
              <c:xMode val="edge"/>
              <c:yMode val="edge"/>
              <c:x val="0.49770614090020093"/>
              <c:y val="0.8756620547527355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Frequency (Hz)</a:t>
                </a:r>
              </a:p>
            </c:rich>
          </c:tx>
          <c:layout>
            <c:manualLayout>
              <c:xMode val="edge"/>
              <c:yMode val="edge"/>
              <c:x val="2.4250183199313734E-2"/>
              <c:y val="0.3350359166010466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5860959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Oscillations of a Cantilever Beam</a:t>
            </a:r>
          </a:p>
        </c:rich>
      </c:tx>
      <c:layout>
        <c:manualLayout>
          <c:xMode val="edge"/>
          <c:yMode val="edge"/>
          <c:x val="0.30063887880773127"/>
          <c:y val="4.09849188306490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98500305070715"/>
          <c:y val="0.24317718506185093"/>
          <c:w val="0.84782679630297442"/>
          <c:h val="0.58745050323930281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Euler!$F$15:$F$100</c:f>
              <c:numCache>
                <c:formatCode>General</c:formatCode>
                <c:ptCount val="8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</c:numCache>
            </c:numRef>
          </c:xVal>
          <c:yVal>
            <c:numRef>
              <c:f>Euler!$G$15:$G$100</c:f>
              <c:numCache>
                <c:formatCode>General</c:formatCode>
                <c:ptCount val="86"/>
                <c:pt idx="0">
                  <c:v>1</c:v>
                </c:pt>
                <c:pt idx="1">
                  <c:v>0.99379400559413578</c:v>
                </c:pt>
                <c:pt idx="2">
                  <c:v>0.98142053114897299</c:v>
                </c:pt>
                <c:pt idx="3">
                  <c:v>0.96295636637769944</c:v>
                </c:pt>
                <c:pt idx="4">
                  <c:v>0.93851609978359452</c:v>
                </c:pt>
                <c:pt idx="5">
                  <c:v>0.90825140752441913</c:v>
                </c:pt>
                <c:pt idx="6">
                  <c:v>0.87235011211102897</c:v>
                </c:pt>
                <c:pt idx="7">
                  <c:v>0.83103501678192271</c:v>
                </c:pt>
                <c:pt idx="8">
                  <c:v>0.78456252278759053</c:v>
                </c:pt>
                <c:pt idx="9">
                  <c:v>0.73322103816578799</c:v>
                </c:pt>
                <c:pt idx="10">
                  <c:v>0.67732918788286656</c:v>
                </c:pt>
                <c:pt idx="11">
                  <c:v>0.61723383644901553</c:v>
                </c:pt>
                <c:pt idx="12">
                  <c:v>0.55330793527905175</c:v>
                </c:pt>
                <c:pt idx="13">
                  <c:v>0.48594820815802597</c:v>
                </c:pt>
                <c:pt idx="14">
                  <c:v>0.41557268917563173</c:v>
                </c:pt>
                <c:pt idx="15">
                  <c:v>0.34261812840898359</c:v>
                </c:pt>
                <c:pt idx="16">
                  <c:v>0.26753728145408162</c:v>
                </c:pt>
                <c:pt idx="17">
                  <c:v>0.19079609962711552</c:v>
                </c:pt>
                <c:pt idx="18">
                  <c:v>0.11287083827320282</c:v>
                </c:pt>
                <c:pt idx="19">
                  <c:v>3.424510112838143E-2</c:v>
                </c:pt>
                <c:pt idx="20">
                  <c:v>-4.459316092247094E-2</c:v>
                </c:pt>
                <c:pt idx="21">
                  <c:v>-0.12315467806609866</c:v>
                </c:pt>
                <c:pt idx="22">
                  <c:v>-0.20095189796659216</c:v>
                </c:pt>
                <c:pt idx="23">
                  <c:v>-0.27750201151245718</c:v>
                </c:pt>
                <c:pt idx="24">
                  <c:v>-0.35232994912725984</c:v>
                </c:pt>
                <c:pt idx="25">
                  <c:v>-0.42497132904876034</c:v>
                </c:pt>
                <c:pt idx="26">
                  <c:v>-0.49497533927953152</c:v>
                </c:pt>
                <c:pt idx="27">
                  <c:v>-0.5619075353236932</c:v>
                </c:pt>
                <c:pt idx="28">
                  <c:v>-0.62535253634702315</c:v>
                </c:pt>
                <c:pt idx="29">
                  <c:v>-0.68491660302809043</c:v>
                </c:pt>
                <c:pt idx="30">
                  <c:v>-0.74023008110228183</c:v>
                </c:pt>
                <c:pt idx="31">
                  <c:v>-0.7909496954341001</c:v>
                </c:pt>
                <c:pt idx="32">
                  <c:v>-0.83676068038073437</c:v>
                </c:pt>
                <c:pt idx="33">
                  <c:v>-0.87737873322587867</c:v>
                </c:pt>
                <c:pt idx="34">
                  <c:v>-0.91255177856079894</c:v>
                </c:pt>
                <c:pt idx="35">
                  <c:v>-0.94206153266290948</c:v>
                </c:pt>
                <c:pt idx="36">
                  <c:v>-0.9657248581633342</c:v>
                </c:pt>
                <c:pt idx="37">
                  <c:v>-0.98339490059639323</c:v>
                </c:pt>
                <c:pt idx="38">
                  <c:v>-0.9949619997775957</c:v>
                </c:pt>
                <c:pt idx="39">
                  <c:v>-1.0003543703541309</c:v>
                </c:pt>
                <c:pt idx="40">
                  <c:v>-0.99953854730436653</c:v>
                </c:pt>
                <c:pt idx="41">
                  <c:v>-0.99251959362158571</c:v>
                </c:pt>
                <c:pt idx="42">
                  <c:v>-0.9793410688930787</c:v>
                </c:pt>
                <c:pt idx="43">
                  <c:v>-0.96008475896958823</c:v>
                </c:pt>
                <c:pt idx="44">
                  <c:v>-0.93487016840277692</c:v>
                </c:pt>
                <c:pt idx="45">
                  <c:v>-0.90385377880064866</c:v>
                </c:pt>
                <c:pt idx="46">
                  <c:v>-0.86722807770356436</c:v>
                </c:pt>
                <c:pt idx="47">
                  <c:v>-0.82522036400764343</c:v>
                </c:pt>
                <c:pt idx="48">
                  <c:v>-0.77809133734908587</c:v>
                </c:pt>
                <c:pt idx="49">
                  <c:v>-0.72613348020368851</c:v>
                </c:pt>
                <c:pt idx="50">
                  <c:v>-0.66966924274223627</c:v>
                </c:pt>
                <c:pt idx="51">
                  <c:v>-0.60904904170654639</c:v>
                </c:pt>
                <c:pt idx="52">
                  <c:v>-0.54464908572512882</c:v>
                </c:pt>
                <c:pt idx="53">
                  <c:v>-0.47686904056454199</c:v>
                </c:pt>
                <c:pt idx="54">
                  <c:v>-0.40612954880588181</c:v>
                </c:pt>
                <c:pt idx="55">
                  <c:v>-0.33286961933927617</c:v>
                </c:pt>
                <c:pt idx="56">
                  <c:v>-0.25754390287716883</c:v>
                </c:pt>
                <c:pt idx="57">
                  <c:v>-0.18061987039454136</c:v>
                </c:pt>
                <c:pt idx="58">
                  <c:v>-0.10257491200665743</c:v>
                </c:pt>
                <c:pt idx="59">
                  <c:v>-2.3893374288678174E-2</c:v>
                </c:pt>
                <c:pt idx="60">
                  <c:v>5.4936445576473841E-2</c:v>
                </c:pt>
                <c:pt idx="61">
                  <c:v>0.1334253301677002</c:v>
                </c:pt>
                <c:pt idx="62">
                  <c:v>0.21108617790630524</c:v>
                </c:pt>
                <c:pt idx="63">
                  <c:v>0.28743702600566845</c:v>
                </c:pt>
                <c:pt idx="64">
                  <c:v>0.36200404152960225</c:v>
                </c:pt>
                <c:pt idx="65">
                  <c:v>0.43432446199690311</c:v>
                </c:pt>
                <c:pt idx="66">
                  <c:v>0.50394946728272116</c:v>
                </c:pt>
                <c:pt idx="67">
                  <c:v>0.57044696499374448</c:v>
                </c:pt>
                <c:pt idx="68">
                  <c:v>0.63340427203117433</c:v>
                </c:pt>
                <c:pt idx="69">
                  <c:v>0.69243067569972827</c:v>
                </c:pt>
                <c:pt idx="70">
                  <c:v>0.74715985846844091</c:v>
                </c:pt>
                <c:pt idx="71">
                  <c:v>0.7972521713352122</c:v>
                </c:pt>
                <c:pt idx="72">
                  <c:v>0.84239674168661405</c:v>
                </c:pt>
                <c:pt idx="73">
                  <c:v>0.88231340257159052</c:v>
                </c:pt>
                <c:pt idx="74">
                  <c:v>0.91675443141598867</c:v>
                </c:pt>
                <c:pt idx="75">
                  <c:v>0.945506087387468</c:v>
                </c:pt>
                <c:pt idx="76">
                  <c:v>0.96838993786991012</c:v>
                </c:pt>
                <c:pt idx="77">
                  <c:v>0.98526396581523645</c:v>
                </c:pt>
                <c:pt idx="78">
                  <c:v>0.99602345110041379</c:v>
                </c:pt>
                <c:pt idx="79">
                  <c:v>1.0006016204199524</c:v>
                </c:pt>
                <c:pt idx="80">
                  <c:v>0.99897006168066615</c:v>
                </c:pt>
                <c:pt idx="81">
                  <c:v>0.99113890032696395</c:v>
                </c:pt>
                <c:pt idx="82">
                  <c:v>0.9771567365023982</c:v>
                </c:pt>
                <c:pt idx="83">
                  <c:v>0.95711034343744605</c:v>
                </c:pt>
                <c:pt idx="84">
                  <c:v>0.93112412893532637</c:v>
                </c:pt>
                <c:pt idx="85">
                  <c:v>0.89935936329786881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47-4C3A-80B6-3A46CBB37355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Euler!$K$19:$K$20</c:f>
              <c:numCache>
                <c:formatCode>General</c:formatCode>
                <c:ptCount val="2"/>
                <c:pt idx="0">
                  <c:v>7.9757985920945593</c:v>
                </c:pt>
                <c:pt idx="1">
                  <c:v>7.9757985920945593</c:v>
                </c:pt>
              </c:numCache>
            </c:numRef>
          </c:xVal>
          <c:yVal>
            <c:numRef>
              <c:f>Euler!$L$19:$L$20</c:f>
              <c:numCache>
                <c:formatCode>General</c:formatCode>
                <c:ptCount val="2"/>
                <c:pt idx="0">
                  <c:v>-1.1000000000000001</c:v>
                </c:pt>
                <c:pt idx="1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47-4C3A-80B6-3A46CBB37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022895"/>
        <c:axId val="1"/>
      </c:scatterChart>
      <c:valAx>
        <c:axId val="782022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 (s)</a:t>
                </a:r>
              </a:p>
            </c:rich>
          </c:tx>
          <c:layout>
            <c:manualLayout>
              <c:xMode val="edge"/>
              <c:yMode val="edge"/>
              <c:x val="0.49938759366807245"/>
              <c:y val="0.8661479512877162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Deflection (in)</a:t>
                </a:r>
              </a:p>
            </c:rich>
          </c:tx>
          <c:layout>
            <c:manualLayout>
              <c:xMode val="edge"/>
              <c:yMode val="edge"/>
              <c:x val="2.6415968430804841E-2"/>
              <c:y val="0.3852582370081009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2022895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Oscillations of a Cantilever Beam</a:t>
            </a:r>
          </a:p>
        </c:rich>
      </c:tx>
      <c:layout>
        <c:manualLayout>
          <c:xMode val="edge"/>
          <c:yMode val="edge"/>
          <c:x val="0.21403534406249403"/>
          <c:y val="6.07760527028843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986163366596136"/>
          <c:y val="0.59671033562831866"/>
          <c:w val="0.75541886139703773"/>
          <c:h val="0.1270772011060308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'Modified Euler'!$F$15:$F$100</c:f>
              <c:numCache>
                <c:formatCode>General</c:formatCode>
                <c:ptCount val="8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</c:numCache>
            </c:numRef>
          </c:xVal>
          <c:yVal>
            <c:numRef>
              <c:f>'Modified Euler'!$J$15:$J$100</c:f>
              <c:numCache>
                <c:formatCode>General</c:formatCode>
                <c:ptCount val="86"/>
                <c:pt idx="0">
                  <c:v>1</c:v>
                </c:pt>
                <c:pt idx="1">
                  <c:v>0.99689700279706794</c:v>
                </c:pt>
                <c:pt idx="2">
                  <c:v>0.98760726837155444</c:v>
                </c:pt>
                <c:pt idx="3">
                  <c:v>0.97217882017169488</c:v>
                </c:pt>
                <c:pt idx="4">
                  <c:v>0.95068820963241174</c:v>
                </c:pt>
                <c:pt idx="5">
                  <c:v>0.92324975895081907</c:v>
                </c:pt>
                <c:pt idx="6">
                  <c:v>0.89001494012556948</c:v>
                </c:pt>
                <c:pt idx="7">
                  <c:v>0.85117155212504725</c:v>
                </c:pt>
                <c:pt idx="8">
                  <c:v>0.80694267068375147</c:v>
                </c:pt>
                <c:pt idx="9">
                  <c:v>0.75758537661802128</c:v>
                </c:pt>
                <c:pt idx="10">
                  <c:v>0.70338926984763395</c:v>
                </c:pt>
                <c:pt idx="11">
                  <c:v>0.64467477765799697</c:v>
                </c:pt>
                <c:pt idx="12">
                  <c:v>0.58179126703689443</c:v>
                </c:pt>
                <c:pt idx="13">
                  <c:v>0.5151149721621443</c:v>
                </c:pt>
                <c:pt idx="14">
                  <c:v>0.44504674929421112</c:v>
                </c:pt>
                <c:pt idx="15">
                  <c:v>0.37200967243331179</c:v>
                </c:pt>
                <c:pt idx="16">
                  <c:v>0.29644648412679037</c:v>
                </c:pt>
                <c:pt idx="17">
                  <c:v>0.21881691675293025</c:v>
                </c:pt>
                <c:pt idx="18">
                  <c:v>0.13959490045583323</c:v>
                </c:pt>
                <c:pt idx="19">
                  <c:v>5.9265674656994227E-2</c:v>
                </c:pt>
                <c:pt idx="20">
                  <c:v>-2.1677179282206374E-2</c:v>
                </c:pt>
                <c:pt idx="21">
                  <c:v>-0.10273476613101419</c:v>
                </c:pt>
                <c:pt idx="22">
                  <c:v>-0.18340594704529584</c:v>
                </c:pt>
                <c:pt idx="23">
                  <c:v>-0.26319043314348045</c:v>
                </c:pt>
                <c:pt idx="24">
                  <c:v>-0.34159188333463386</c:v>
                </c:pt>
                <c:pt idx="25">
                  <c:v>-0.41812098724592395</c:v>
                </c:pt>
                <c:pt idx="26">
                  <c:v>-0.49229851413004039</c:v>
                </c:pt>
                <c:pt idx="27">
                  <c:v>-0.56365830878483014</c:v>
                </c:pt>
                <c:pt idx="28">
                  <c:v>-0.63175021578692425</c:v>
                </c:pt>
                <c:pt idx="29">
                  <c:v>-0.69614291372715686</c:v>
                </c:pt>
                <c:pt idx="30">
                  <c:v>-0.75642664163608653</c:v>
                </c:pt>
                <c:pt idx="31">
                  <c:v>-0.81221580040017372</c:v>
                </c:pt>
                <c:pt idx="32">
                  <c:v>-0.86315141268970663</c:v>
                </c:pt>
                <c:pt idx="33">
                  <c:v>-0.90890342574427241</c:v>
                </c:pt>
                <c:pt idx="34">
                  <c:v>-0.94917284228566245</c:v>
                </c:pt>
                <c:pt idx="35">
                  <c:v>-0.98369366584616635</c:v>
                </c:pt>
                <c:pt idx="36">
                  <c:v>-1.0122346479062365</c:v>
                </c:pt>
                <c:pt idx="37">
                  <c:v>-1.0346008254229297</c:v>
                </c:pt>
                <c:pt idx="38">
                  <c:v>-1.0506348385922473</c:v>
                </c:pt>
                <c:pt idx="39">
                  <c:v>-1.0602180200169298</c:v>
                </c:pt>
                <c:pt idx="40">
                  <c:v>-1.063271247838407</c:v>
                </c:pt>
                <c:pt idx="41">
                  <c:v>-1.0597555568290387</c:v>
                </c:pt>
                <c:pt idx="42">
                  <c:v>-1.0496725029197957</c:v>
                </c:pt>
                <c:pt idx="43">
                  <c:v>-1.0330642781500747</c:v>
                </c:pt>
                <c:pt idx="44">
                  <c:v>-1.0100135745611789</c:v>
                </c:pt>
                <c:pt idx="45">
                  <c:v>-0.98064319710370329</c:v>
                </c:pt>
                <c:pt idx="46">
                  <c:v>-0.94511542718209141</c:v>
                </c:pt>
                <c:pt idx="47">
                  <c:v>-0.90363114000739186</c:v>
                </c:pt>
                <c:pt idx="48">
                  <c:v>-0.85642868046214859</c:v>
                </c:pt>
                <c:pt idx="49">
                  <c:v>-0.80378250368986692</c:v>
                </c:pt>
                <c:pt idx="50">
                  <c:v>-0.74600158809621397</c:v>
                </c:pt>
                <c:pt idx="51">
                  <c:v>-0.68342762988080064</c:v>
                </c:pt>
                <c:pt idx="52">
                  <c:v>-0.61643302959806412</c:v>
                </c:pt>
                <c:pt idx="53">
                  <c:v>-0.54541868256473325</c:v>
                </c:pt>
                <c:pt idx="54">
                  <c:v>-0.4708115861812629</c:v>
                </c:pt>
                <c:pt idx="55">
                  <c:v>-0.39306227840752311</c:v>
                </c:pt>
                <c:pt idx="56">
                  <c:v>-0.31264212272143321</c:v>
                </c:pt>
                <c:pt idx="57">
                  <c:v>-0.23004045588614475</c:v>
                </c:pt>
                <c:pt idx="58">
                  <c:v>-0.14576161575035113</c:v>
                </c:pt>
                <c:pt idx="59">
                  <c:v>-6.0321867101473678E-2</c:v>
                </c:pt>
                <c:pt idx="60">
                  <c:v>2.5753755722394536E-2</c:v>
                </c:pt>
                <c:pt idx="61">
                  <c:v>0.11193467018339626</c:v>
                </c:pt>
                <c:pt idx="62">
                  <c:v>0.19768801112428067</c:v>
                </c:pt>
                <c:pt idx="63">
                  <c:v>0.28248192051054</c:v>
                </c:pt>
                <c:pt idx="64">
                  <c:v>0.3657888410554348</c:v>
                </c:pt>
                <c:pt idx="65">
                  <c:v>0.44708879336266327</c:v>
                </c:pt>
                <c:pt idx="66">
                  <c:v>0.52587261626079418</c:v>
                </c:pt>
                <c:pt idx="67">
                  <c:v>0.60164515016882125</c:v>
                </c:pt>
                <c:pt idx="68">
                  <c:v>0.67392834362267451</c:v>
                </c:pt>
                <c:pt idx="69">
                  <c:v>0.74226426350682784</c:v>
                </c:pt>
                <c:pt idx="70">
                  <c:v>0.80621799007109118</c:v>
                </c:pt>
                <c:pt idx="71">
                  <c:v>0.86538037846732652</c:v>
                </c:pt>
                <c:pt idx="72">
                  <c:v>0.91937066931049505</c:v>
                </c:pt>
                <c:pt idx="73">
                  <c:v>0.96783893164871926</c:v>
                </c:pt>
                <c:pt idx="74">
                  <c:v>1.0104683227128257</c:v>
                </c:pt>
                <c:pt idx="75">
                  <c:v>1.0469771499013401</c:v>
                </c:pt>
                <c:pt idx="76">
                  <c:v>1.0771207216357335</c:v>
                </c:pt>
                <c:pt idx="77">
                  <c:v>1.1006929749858636</c:v>
                </c:pt>
                <c:pt idx="78">
                  <c:v>1.1175278693094355</c:v>
                </c:pt>
                <c:pt idx="79">
                  <c:v>1.1275005365638879</c:v>
                </c:pt>
                <c:pt idx="80">
                  <c:v>1.1305281804258138</c:v>
                </c:pt>
                <c:pt idx="81">
                  <c:v>1.1265707178829416</c:v>
                </c:pt>
                <c:pt idx="82">
                  <c:v>1.1156311585375125</c:v>
                </c:pt>
                <c:pt idx="83">
                  <c:v>1.0977557184679905</c:v>
                </c:pt>
                <c:pt idx="84">
                  <c:v>1.0730336671286005</c:v>
                </c:pt>
                <c:pt idx="85">
                  <c:v>1.0415969074131697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A2-4EC8-BB74-1BAC9CC52A5D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'Modified Euler'!$M$19:$M$20</c:f>
              <c:numCache>
                <c:formatCode>General</c:formatCode>
                <c:ptCount val="2"/>
                <c:pt idx="0">
                  <c:v>7.9757985920945593</c:v>
                </c:pt>
                <c:pt idx="1">
                  <c:v>7.9757985920945593</c:v>
                </c:pt>
              </c:numCache>
            </c:numRef>
          </c:xVal>
          <c:yVal>
            <c:numRef>
              <c:f>'Modified Euler'!$N$19:$N$20</c:f>
              <c:numCache>
                <c:formatCode>General</c:formatCode>
                <c:ptCount val="2"/>
                <c:pt idx="0">
                  <c:v>-1.1000000000000001</c:v>
                </c:pt>
                <c:pt idx="1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A2-4EC8-BB74-1BAC9CC52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859711"/>
        <c:axId val="1"/>
      </c:scatterChart>
      <c:valAx>
        <c:axId val="705859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 (s)</a:t>
                </a:r>
              </a:p>
            </c:rich>
          </c:tx>
          <c:layout>
            <c:manualLayout>
              <c:xMode val="edge"/>
              <c:yMode val="edge"/>
              <c:x val="0.49821672525471294"/>
              <c:y val="0.7956137808377581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Deflection (in)</a:t>
                </a:r>
              </a:p>
            </c:rich>
          </c:tx>
          <c:layout>
            <c:manualLayout>
              <c:xMode val="edge"/>
              <c:yMode val="edge"/>
              <c:x val="3.597232673319227E-2"/>
              <c:y val="0.419907273219927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5859711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139700</xdr:colOff>
          <xdr:row>2</xdr:row>
          <xdr:rowOff>101600</xdr:rowOff>
        </xdr:from>
        <xdr:to>
          <xdr:col>2</xdr:col>
          <xdr:colOff>184150</xdr:colOff>
          <xdr:row>5</xdr:row>
          <xdr:rowOff>95250</xdr:rowOff>
        </xdr:to>
        <xdr:sp macro="" textlink="">
          <xdr:nvSpPr>
            <xdr:cNvPr id="1025" name="Picture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BB4FD8F-A4B0-44B2-B9FC-77E6E86CCA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254000</xdr:colOff>
      <xdr:row>0</xdr:row>
      <xdr:rowOff>69850</xdr:rowOff>
    </xdr:from>
    <xdr:to>
      <xdr:col>17</xdr:col>
      <xdr:colOff>44450</xdr:colOff>
      <xdr:row>15</xdr:row>
      <xdr:rowOff>139700</xdr:rowOff>
    </xdr:to>
    <xdr:grpSp>
      <xdr:nvGrpSpPr>
        <xdr:cNvPr id="1048" name="Group 24">
          <a:extLst>
            <a:ext uri="{FF2B5EF4-FFF2-40B4-BE49-F238E27FC236}">
              <a16:creationId xmlns:a16="http://schemas.microsoft.com/office/drawing/2014/main" id="{CE1C82A8-CCEC-42A8-B3B5-72CE9B5EA06C}"/>
            </a:ext>
          </a:extLst>
        </xdr:cNvPr>
        <xdr:cNvGrpSpPr>
          <a:grpSpLocks/>
        </xdr:cNvGrpSpPr>
      </xdr:nvGrpSpPr>
      <xdr:grpSpPr bwMode="auto">
        <a:xfrm>
          <a:off x="254000" y="69850"/>
          <a:ext cx="10972800" cy="2501900"/>
          <a:chOff x="-2959" y="-17015"/>
          <a:chExt cx="88163" cy="39204"/>
        </a:xfrm>
      </xdr:grpSpPr>
      <xdr:sp macro="" textlink="">
        <xdr:nvSpPr>
          <xdr:cNvPr id="1038" name="Rectangle 14">
            <a:extLst>
              <a:ext uri="{FF2B5EF4-FFF2-40B4-BE49-F238E27FC236}">
                <a16:creationId xmlns:a16="http://schemas.microsoft.com/office/drawing/2014/main" id="{0BABC982-09AA-412C-A7B7-F17262846F87}"/>
              </a:ext>
            </a:extLst>
          </xdr:cNvPr>
          <xdr:cNvSpPr>
            <a:spLocks noChangeArrowheads="1"/>
          </xdr:cNvSpPr>
        </xdr:nvSpPr>
        <xdr:spPr bwMode="auto">
          <a:xfrm>
            <a:off x="-2959" y="-1194"/>
            <a:ext cx="20969" cy="2059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miter lim="800000"/>
            <a:headEnd/>
            <a:tailEnd/>
          </a:ln>
        </xdr:spPr>
      </xdr:sp>
      <xdr:sp macro="" textlink="">
        <xdr:nvSpPr>
          <xdr:cNvPr id="1039" name="Rectangle 15">
            <a:extLst>
              <a:ext uri="{FF2B5EF4-FFF2-40B4-BE49-F238E27FC236}">
                <a16:creationId xmlns:a16="http://schemas.microsoft.com/office/drawing/2014/main" id="{665F5F3E-BBF9-4348-89AA-B1788530F027}"/>
              </a:ext>
            </a:extLst>
          </xdr:cNvPr>
          <xdr:cNvSpPr>
            <a:spLocks noChangeArrowheads="1"/>
          </xdr:cNvSpPr>
        </xdr:nvSpPr>
        <xdr:spPr bwMode="auto">
          <a:xfrm>
            <a:off x="-1071" y="3980"/>
            <a:ext cx="969" cy="1194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E3E3E3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miter lim="800000"/>
            <a:headEnd/>
            <a:tailEnd/>
          </a:ln>
        </xdr:spPr>
      </xdr:sp>
      <xdr:sp macro="" textlink="">
        <xdr:nvSpPr>
          <xdr:cNvPr id="1040" name="Arc 16">
            <a:extLst>
              <a:ext uri="{FF2B5EF4-FFF2-40B4-BE49-F238E27FC236}">
                <a16:creationId xmlns:a16="http://schemas.microsoft.com/office/drawing/2014/main" id="{33B0CC9B-1A92-43AB-A921-90607FE1DE56}"/>
              </a:ext>
            </a:extLst>
          </xdr:cNvPr>
          <xdr:cNvSpPr>
            <a:spLocks/>
          </xdr:cNvSpPr>
        </xdr:nvSpPr>
        <xdr:spPr bwMode="auto">
          <a:xfrm>
            <a:off x="-51" y="8259"/>
            <a:ext cx="8316" cy="2686"/>
          </a:xfrm>
          <a:custGeom>
            <a:avLst/>
            <a:gdLst>
              <a:gd name="G0" fmla="+- 0 0 0"/>
              <a:gd name="G1" fmla="+- 21600 0 0"/>
              <a:gd name="G2" fmla="+- 21600 0 0"/>
              <a:gd name="T0" fmla="*/ 0 w 21600"/>
              <a:gd name="T1" fmla="*/ 0 h 21600"/>
              <a:gd name="T2" fmla="*/ 21600 w 21600"/>
              <a:gd name="T3" fmla="*/ 21600 h 21600"/>
              <a:gd name="T4" fmla="*/ 0 w 21600"/>
              <a:gd name="T5" fmla="*/ 21600 h 216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0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0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1041" name="Oval 17">
            <a:extLst>
              <a:ext uri="{FF2B5EF4-FFF2-40B4-BE49-F238E27FC236}">
                <a16:creationId xmlns:a16="http://schemas.microsoft.com/office/drawing/2014/main" id="{CDDE3AC7-0540-4B0A-A8B3-AE9B52DF0953}"/>
              </a:ext>
            </a:extLst>
          </xdr:cNvPr>
          <xdr:cNvSpPr>
            <a:spLocks noChangeArrowheads="1"/>
          </xdr:cNvSpPr>
        </xdr:nvSpPr>
        <xdr:spPr bwMode="auto">
          <a:xfrm>
            <a:off x="8265" y="10746"/>
            <a:ext cx="256" cy="896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1042" name="Line 18">
            <a:extLst>
              <a:ext uri="{FF2B5EF4-FFF2-40B4-BE49-F238E27FC236}">
                <a16:creationId xmlns:a16="http://schemas.microsoft.com/office/drawing/2014/main" id="{988DE99B-F564-4AF2-9258-D33AB399BB9E}"/>
              </a:ext>
            </a:extLst>
          </xdr:cNvPr>
          <xdr:cNvSpPr>
            <a:spLocks noChangeShapeType="1"/>
          </xdr:cNvSpPr>
        </xdr:nvSpPr>
        <xdr:spPr bwMode="auto">
          <a:xfrm>
            <a:off x="0" y="8259"/>
            <a:ext cx="13878" cy="1"/>
          </a:xfrm>
          <a:prstGeom prst="line">
            <a:avLst/>
          </a:prstGeom>
          <a:noFill/>
          <a:ln w="1" cap="flat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dash"/>
            <a:round/>
            <a:headEnd/>
            <a:tailEnd type="non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3" name="Line 19">
            <a:extLst>
              <a:ext uri="{FF2B5EF4-FFF2-40B4-BE49-F238E27FC236}">
                <a16:creationId xmlns:a16="http://schemas.microsoft.com/office/drawing/2014/main" id="{D827E007-9347-452E-9270-1586F7392292}"/>
              </a:ext>
            </a:extLst>
          </xdr:cNvPr>
          <xdr:cNvSpPr>
            <a:spLocks noChangeShapeType="1"/>
          </xdr:cNvSpPr>
        </xdr:nvSpPr>
        <xdr:spPr bwMode="auto">
          <a:xfrm>
            <a:off x="-51" y="13234"/>
            <a:ext cx="8316" cy="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 type="triangle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4" name="Line 20">
            <a:extLst>
              <a:ext uri="{FF2B5EF4-FFF2-40B4-BE49-F238E27FC236}">
                <a16:creationId xmlns:a16="http://schemas.microsoft.com/office/drawing/2014/main" id="{EE639F4E-9431-4581-B017-82E5C54ADEDF}"/>
              </a:ext>
            </a:extLst>
          </xdr:cNvPr>
          <xdr:cNvSpPr>
            <a:spLocks noChangeShapeType="1"/>
          </xdr:cNvSpPr>
        </xdr:nvSpPr>
        <xdr:spPr bwMode="auto">
          <a:xfrm>
            <a:off x="9490" y="8458"/>
            <a:ext cx="1" cy="298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 type="triangle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5" name="Text 21">
            <a:extLst>
              <a:ext uri="{FF2B5EF4-FFF2-40B4-BE49-F238E27FC236}">
                <a16:creationId xmlns:a16="http://schemas.microsoft.com/office/drawing/2014/main" id="{8A4E5158-9512-45DB-91E4-A8D6FFE32F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010" y="10746"/>
            <a:ext cx="970" cy="398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36576" tIns="27432" rIns="0" bIns="0" anchor="t" upright="1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L</a:t>
            </a:r>
          </a:p>
        </xdr:txBody>
      </xdr:sp>
      <xdr:sp macro="" textlink="">
        <xdr:nvSpPr>
          <xdr:cNvPr id="1046" name="Text 22">
            <a:extLst>
              <a:ext uri="{FF2B5EF4-FFF2-40B4-BE49-F238E27FC236}">
                <a16:creationId xmlns:a16="http://schemas.microsoft.com/office/drawing/2014/main" id="{7D30281E-9423-47E9-AF97-F0046AACC59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43" y="8060"/>
            <a:ext cx="918" cy="378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36576" tIns="27432" rIns="0" bIns="0" anchor="t" upright="1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y</a:t>
            </a:r>
          </a:p>
        </xdr:txBody>
      </xdr:sp>
      <xdr:sp macro="" textlink="">
        <xdr:nvSpPr>
          <xdr:cNvPr id="1047" name="Text 23">
            <a:extLst>
              <a:ext uri="{FF2B5EF4-FFF2-40B4-BE49-F238E27FC236}">
                <a16:creationId xmlns:a16="http://schemas.microsoft.com/office/drawing/2014/main" id="{E1F55A83-2CAC-43E7-8B42-4DA1556C739A}"/>
              </a:ext>
            </a:extLst>
          </xdr:cNvPr>
          <xdr:cNvSpPr txBox="1">
            <a:spLocks noChangeArrowheads="1"/>
          </xdr:cNvSpPr>
        </xdr:nvSpPr>
        <xdr:spPr bwMode="auto">
          <a:xfrm>
            <a:off x="8010" y="8060"/>
            <a:ext cx="1429" cy="388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36576" tIns="27432" rIns="0" bIns="0" anchor="t" upright="1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m</a:t>
            </a:r>
          </a:p>
        </xdr:txBody>
      </xdr:sp>
      <xdr:graphicFrame macro="">
        <xdr:nvGraphicFramePr>
          <xdr:cNvPr id="1049" name="Chart 25">
            <a:extLst>
              <a:ext uri="{FF2B5EF4-FFF2-40B4-BE49-F238E27FC236}">
                <a16:creationId xmlns:a16="http://schemas.microsoft.com/office/drawing/2014/main" id="{66901AC9-901D-48C3-9AA0-76DEEBB93E65}"/>
              </a:ext>
            </a:extLst>
          </xdr:cNvPr>
          <xdr:cNvGraphicFramePr>
            <a:graphicFrameLocks/>
          </xdr:cNvGraphicFramePr>
        </xdr:nvGraphicFramePr>
        <xdr:xfrm>
          <a:off x="41020" y="-17015"/>
          <a:ext cx="44184" cy="3920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215900</xdr:colOff>
          <xdr:row>1</xdr:row>
          <xdr:rowOff>146050</xdr:rowOff>
        </xdr:from>
        <xdr:to>
          <xdr:col>2</xdr:col>
          <xdr:colOff>533400</xdr:colOff>
          <xdr:row>5</xdr:row>
          <xdr:rowOff>6350</xdr:rowOff>
        </xdr:to>
        <xdr:sp macro="" textlink="">
          <xdr:nvSpPr>
            <xdr:cNvPr id="2049" name="Picture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F222AD7D-9C6D-451C-B845-9A09083BDA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9</xdr:col>
      <xdr:colOff>342900</xdr:colOff>
      <xdr:row>0</xdr:row>
      <xdr:rowOff>127000</xdr:rowOff>
    </xdr:from>
    <xdr:to>
      <xdr:col>17</xdr:col>
      <xdr:colOff>412750</xdr:colOff>
      <xdr:row>14</xdr:row>
      <xdr:rowOff>127000</xdr:rowOff>
    </xdr:to>
    <xdr:graphicFrame macro="">
      <xdr:nvGraphicFramePr>
        <xdr:cNvPr id="2061" name="Chart 13">
          <a:extLst>
            <a:ext uri="{FF2B5EF4-FFF2-40B4-BE49-F238E27FC236}">
              <a16:creationId xmlns:a16="http://schemas.microsoft.com/office/drawing/2014/main" id="{2CC41B8F-E588-4948-A83B-6A4B34DD3E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165100</xdr:colOff>
      <xdr:row>8</xdr:row>
      <xdr:rowOff>152400</xdr:rowOff>
    </xdr:from>
    <xdr:to>
      <xdr:col>4</xdr:col>
      <xdr:colOff>279400</xdr:colOff>
      <xdr:row>16</xdr:row>
      <xdr:rowOff>57150</xdr:rowOff>
    </xdr:to>
    <xdr:grpSp>
      <xdr:nvGrpSpPr>
        <xdr:cNvPr id="2073" name="Group 25">
          <a:extLst>
            <a:ext uri="{FF2B5EF4-FFF2-40B4-BE49-F238E27FC236}">
              <a16:creationId xmlns:a16="http://schemas.microsoft.com/office/drawing/2014/main" id="{4DA2AEAD-E0E2-4DFC-ADC7-78F6FC0681C1}"/>
            </a:ext>
          </a:extLst>
        </xdr:cNvPr>
        <xdr:cNvGrpSpPr>
          <a:grpSpLocks/>
        </xdr:cNvGrpSpPr>
      </xdr:nvGrpSpPr>
      <xdr:grpSpPr bwMode="auto">
        <a:xfrm>
          <a:off x="165100" y="1473200"/>
          <a:ext cx="2603500" cy="1231900"/>
          <a:chOff x="-3673" y="-96"/>
          <a:chExt cx="20918" cy="18565"/>
        </a:xfrm>
      </xdr:grpSpPr>
      <xdr:sp macro="" textlink="">
        <xdr:nvSpPr>
          <xdr:cNvPr id="2063" name="Rectangle 15">
            <a:extLst>
              <a:ext uri="{FF2B5EF4-FFF2-40B4-BE49-F238E27FC236}">
                <a16:creationId xmlns:a16="http://schemas.microsoft.com/office/drawing/2014/main" id="{21685B60-65FB-4EE8-824A-849D03FFA865}"/>
              </a:ext>
            </a:extLst>
          </xdr:cNvPr>
          <xdr:cNvSpPr>
            <a:spLocks noChangeArrowheads="1"/>
          </xdr:cNvSpPr>
        </xdr:nvSpPr>
        <xdr:spPr bwMode="auto">
          <a:xfrm>
            <a:off x="-3673" y="-96"/>
            <a:ext cx="20918" cy="1856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miter lim="800000"/>
            <a:headEnd/>
            <a:tailEnd/>
          </a:ln>
        </xdr:spPr>
      </xdr:sp>
      <xdr:sp macro="" textlink="">
        <xdr:nvSpPr>
          <xdr:cNvPr id="2064" name="Rectangle 16">
            <a:extLst>
              <a:ext uri="{FF2B5EF4-FFF2-40B4-BE49-F238E27FC236}">
                <a16:creationId xmlns:a16="http://schemas.microsoft.com/office/drawing/2014/main" id="{26A40441-3828-475D-B52C-B05916797EC1}"/>
              </a:ext>
            </a:extLst>
          </xdr:cNvPr>
          <xdr:cNvSpPr>
            <a:spLocks noChangeArrowheads="1"/>
          </xdr:cNvSpPr>
        </xdr:nvSpPr>
        <xdr:spPr bwMode="auto">
          <a:xfrm>
            <a:off x="-1836" y="4402"/>
            <a:ext cx="1071" cy="110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E3E3E3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miter lim="800000"/>
            <a:headEnd/>
            <a:tailEnd/>
          </a:ln>
        </xdr:spPr>
      </xdr:sp>
      <xdr:sp macro="" textlink="">
        <xdr:nvSpPr>
          <xdr:cNvPr id="2065" name="Arc 17">
            <a:extLst>
              <a:ext uri="{FF2B5EF4-FFF2-40B4-BE49-F238E27FC236}">
                <a16:creationId xmlns:a16="http://schemas.microsoft.com/office/drawing/2014/main" id="{0FF7ED3B-E8A8-4A99-977E-ABF1BB92D220}"/>
              </a:ext>
            </a:extLst>
          </xdr:cNvPr>
          <xdr:cNvSpPr>
            <a:spLocks/>
          </xdr:cNvSpPr>
        </xdr:nvSpPr>
        <xdr:spPr bwMode="auto">
          <a:xfrm>
            <a:off x="-765" y="8421"/>
            <a:ext cx="8265" cy="2488"/>
          </a:xfrm>
          <a:custGeom>
            <a:avLst/>
            <a:gdLst>
              <a:gd name="G0" fmla="+- 0 0 0"/>
              <a:gd name="G1" fmla="+- 21600 0 0"/>
              <a:gd name="G2" fmla="+- 21600 0 0"/>
              <a:gd name="T0" fmla="*/ 0 w 21600"/>
              <a:gd name="T1" fmla="*/ 0 h 21600"/>
              <a:gd name="T2" fmla="*/ 21600 w 21600"/>
              <a:gd name="T3" fmla="*/ 21600 h 21600"/>
              <a:gd name="T4" fmla="*/ 0 w 21600"/>
              <a:gd name="T5" fmla="*/ 21600 h 216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0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0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2066" name="Oval 18">
            <a:extLst>
              <a:ext uri="{FF2B5EF4-FFF2-40B4-BE49-F238E27FC236}">
                <a16:creationId xmlns:a16="http://schemas.microsoft.com/office/drawing/2014/main" id="{C5096A65-29DB-4EAC-B8E2-A57BE1AD0AE0}"/>
              </a:ext>
            </a:extLst>
          </xdr:cNvPr>
          <xdr:cNvSpPr>
            <a:spLocks noChangeArrowheads="1"/>
          </xdr:cNvSpPr>
        </xdr:nvSpPr>
        <xdr:spPr bwMode="auto">
          <a:xfrm>
            <a:off x="7500" y="10813"/>
            <a:ext cx="306" cy="766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067" name="Line 19">
            <a:extLst>
              <a:ext uri="{FF2B5EF4-FFF2-40B4-BE49-F238E27FC236}">
                <a16:creationId xmlns:a16="http://schemas.microsoft.com/office/drawing/2014/main" id="{9112EF22-AC01-40B7-B33F-28C9486E3250}"/>
              </a:ext>
            </a:extLst>
          </xdr:cNvPr>
          <xdr:cNvSpPr>
            <a:spLocks noChangeShapeType="1"/>
          </xdr:cNvSpPr>
        </xdr:nvSpPr>
        <xdr:spPr bwMode="auto">
          <a:xfrm>
            <a:off x="-663" y="8421"/>
            <a:ext cx="13928" cy="1"/>
          </a:xfrm>
          <a:prstGeom prst="line">
            <a:avLst/>
          </a:prstGeom>
          <a:noFill/>
          <a:ln w="1" cap="flat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dash"/>
            <a:round/>
            <a:headEnd/>
            <a:tailEnd type="non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8" name="Line 20">
            <a:extLst>
              <a:ext uri="{FF2B5EF4-FFF2-40B4-BE49-F238E27FC236}">
                <a16:creationId xmlns:a16="http://schemas.microsoft.com/office/drawing/2014/main" id="{69938D80-BC6C-48C8-AA3D-A72CC07B1641}"/>
              </a:ext>
            </a:extLst>
          </xdr:cNvPr>
          <xdr:cNvSpPr>
            <a:spLocks noChangeShapeType="1"/>
          </xdr:cNvSpPr>
        </xdr:nvSpPr>
        <xdr:spPr bwMode="auto">
          <a:xfrm>
            <a:off x="-765" y="13014"/>
            <a:ext cx="8265" cy="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 type="triangle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9" name="Line 21">
            <a:extLst>
              <a:ext uri="{FF2B5EF4-FFF2-40B4-BE49-F238E27FC236}">
                <a16:creationId xmlns:a16="http://schemas.microsoft.com/office/drawing/2014/main" id="{BB424611-E184-4A1C-B45C-33E15ABF3B9F}"/>
              </a:ext>
            </a:extLst>
          </xdr:cNvPr>
          <xdr:cNvSpPr>
            <a:spLocks noChangeShapeType="1"/>
          </xdr:cNvSpPr>
        </xdr:nvSpPr>
        <xdr:spPr bwMode="auto">
          <a:xfrm>
            <a:off x="8827" y="8708"/>
            <a:ext cx="1" cy="248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 type="triangle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0" name="Text 22">
            <a:extLst>
              <a:ext uri="{FF2B5EF4-FFF2-40B4-BE49-F238E27FC236}">
                <a16:creationId xmlns:a16="http://schemas.microsoft.com/office/drawing/2014/main" id="{0194CD6F-BA64-41AC-AE48-D12EB7F64F8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98" y="10813"/>
            <a:ext cx="919" cy="344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36576" tIns="27432" rIns="0" bIns="0" anchor="t" upright="1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L</a:t>
            </a:r>
          </a:p>
        </xdr:txBody>
      </xdr:sp>
      <xdr:sp macro="" textlink="">
        <xdr:nvSpPr>
          <xdr:cNvPr id="2071" name="Text 23">
            <a:extLst>
              <a:ext uri="{FF2B5EF4-FFF2-40B4-BE49-F238E27FC236}">
                <a16:creationId xmlns:a16="http://schemas.microsoft.com/office/drawing/2014/main" id="{0A2285D1-A32E-4CE9-9D90-04A81A6200F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29" y="8229"/>
            <a:ext cx="969" cy="33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36576" tIns="27432" rIns="0" bIns="0" anchor="t" upright="1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y</a:t>
            </a:r>
          </a:p>
        </xdr:txBody>
      </xdr:sp>
      <xdr:sp macro="" textlink="">
        <xdr:nvSpPr>
          <xdr:cNvPr id="2072" name="Text 24">
            <a:extLst>
              <a:ext uri="{FF2B5EF4-FFF2-40B4-BE49-F238E27FC236}">
                <a16:creationId xmlns:a16="http://schemas.microsoft.com/office/drawing/2014/main" id="{A367B505-5B41-470E-8809-8ACCA05B6237}"/>
              </a:ext>
            </a:extLst>
          </xdr:cNvPr>
          <xdr:cNvSpPr txBox="1">
            <a:spLocks noChangeArrowheads="1"/>
          </xdr:cNvSpPr>
        </xdr:nvSpPr>
        <xdr:spPr bwMode="auto">
          <a:xfrm>
            <a:off x="7398" y="8229"/>
            <a:ext cx="1378" cy="354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36576" tIns="27432" rIns="0" bIns="0" anchor="t" upright="1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m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215900</xdr:colOff>
          <xdr:row>2</xdr:row>
          <xdr:rowOff>44450</xdr:rowOff>
        </xdr:from>
        <xdr:to>
          <xdr:col>2</xdr:col>
          <xdr:colOff>533400</xdr:colOff>
          <xdr:row>5</xdr:row>
          <xdr:rowOff>76200</xdr:rowOff>
        </xdr:to>
        <xdr:sp macro="" textlink="">
          <xdr:nvSpPr>
            <xdr:cNvPr id="3073" name="Picture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4CDF8C06-0422-48B6-BCF1-C8AC3835F7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215900</xdr:colOff>
      <xdr:row>8</xdr:row>
      <xdr:rowOff>114300</xdr:rowOff>
    </xdr:from>
    <xdr:to>
      <xdr:col>10</xdr:col>
      <xdr:colOff>514350</xdr:colOff>
      <xdr:row>15</xdr:row>
      <xdr:rowOff>133350</xdr:rowOff>
    </xdr:to>
    <xdr:grpSp>
      <xdr:nvGrpSpPr>
        <xdr:cNvPr id="3086" name="Group 14">
          <a:extLst>
            <a:ext uri="{FF2B5EF4-FFF2-40B4-BE49-F238E27FC236}">
              <a16:creationId xmlns:a16="http://schemas.microsoft.com/office/drawing/2014/main" id="{51FB007B-A1CA-4A10-A5C7-B288023F675B}"/>
            </a:ext>
          </a:extLst>
        </xdr:cNvPr>
        <xdr:cNvGrpSpPr>
          <a:grpSpLocks/>
        </xdr:cNvGrpSpPr>
      </xdr:nvGrpSpPr>
      <xdr:grpSpPr bwMode="auto">
        <a:xfrm>
          <a:off x="215900" y="1435100"/>
          <a:ext cx="6127750" cy="1320800"/>
          <a:chOff x="-3546" y="-680"/>
          <a:chExt cx="53463" cy="20195"/>
        </a:xfrm>
      </xdr:grpSpPr>
      <xdr:sp macro="" textlink="">
        <xdr:nvSpPr>
          <xdr:cNvPr id="3074" name="Rectangle 2">
            <a:extLst>
              <a:ext uri="{FF2B5EF4-FFF2-40B4-BE49-F238E27FC236}">
                <a16:creationId xmlns:a16="http://schemas.microsoft.com/office/drawing/2014/main" id="{95BB3083-52AD-4263-BF9B-54E358DA87CA}"/>
              </a:ext>
            </a:extLst>
          </xdr:cNvPr>
          <xdr:cNvSpPr>
            <a:spLocks noChangeArrowheads="1"/>
          </xdr:cNvSpPr>
        </xdr:nvSpPr>
        <xdr:spPr bwMode="auto">
          <a:xfrm>
            <a:off x="-3546" y="-680"/>
            <a:ext cx="22660" cy="2019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miter lim="800000"/>
            <a:headEnd/>
            <a:tailEnd/>
          </a:ln>
        </xdr:spPr>
      </xdr:sp>
      <xdr:sp macro="" textlink="">
        <xdr:nvSpPr>
          <xdr:cNvPr id="3075" name="Rectangle 3">
            <a:extLst>
              <a:ext uri="{FF2B5EF4-FFF2-40B4-BE49-F238E27FC236}">
                <a16:creationId xmlns:a16="http://schemas.microsoft.com/office/drawing/2014/main" id="{7946BE7A-B996-402B-9B91-36B708B2FA60}"/>
              </a:ext>
            </a:extLst>
          </xdr:cNvPr>
          <xdr:cNvSpPr>
            <a:spLocks noChangeArrowheads="1"/>
          </xdr:cNvSpPr>
        </xdr:nvSpPr>
        <xdr:spPr bwMode="auto">
          <a:xfrm>
            <a:off x="-1496" y="4272"/>
            <a:ext cx="997" cy="1184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E3E3E3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miter lim="800000"/>
            <a:headEnd/>
            <a:tailEnd/>
          </a:ln>
        </xdr:spPr>
      </xdr:sp>
      <xdr:sp macro="" textlink="">
        <xdr:nvSpPr>
          <xdr:cNvPr id="3076" name="Arc 4">
            <a:extLst>
              <a:ext uri="{FF2B5EF4-FFF2-40B4-BE49-F238E27FC236}">
                <a16:creationId xmlns:a16="http://schemas.microsoft.com/office/drawing/2014/main" id="{A7822FBB-D317-4EDF-8140-BB6B33C56D33}"/>
              </a:ext>
            </a:extLst>
          </xdr:cNvPr>
          <xdr:cNvSpPr>
            <a:spLocks/>
          </xdr:cNvSpPr>
        </xdr:nvSpPr>
        <xdr:spPr bwMode="auto">
          <a:xfrm>
            <a:off x="-388" y="8543"/>
            <a:ext cx="8920" cy="2622"/>
          </a:xfrm>
          <a:custGeom>
            <a:avLst/>
            <a:gdLst>
              <a:gd name="G0" fmla="+- 0 0 0"/>
              <a:gd name="G1" fmla="+- 21600 0 0"/>
              <a:gd name="G2" fmla="+- 21600 0 0"/>
              <a:gd name="T0" fmla="*/ 0 w 21600"/>
              <a:gd name="T1" fmla="*/ 0 h 21600"/>
              <a:gd name="T2" fmla="*/ 21600 w 21600"/>
              <a:gd name="T3" fmla="*/ 21600 h 21600"/>
              <a:gd name="T4" fmla="*/ 0 w 21600"/>
              <a:gd name="T5" fmla="*/ 21600 h 216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0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0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3077" name="Oval 5">
            <a:extLst>
              <a:ext uri="{FF2B5EF4-FFF2-40B4-BE49-F238E27FC236}">
                <a16:creationId xmlns:a16="http://schemas.microsoft.com/office/drawing/2014/main" id="{E2542EA0-670D-4DA6-80DA-31C46B088A9C}"/>
              </a:ext>
            </a:extLst>
          </xdr:cNvPr>
          <xdr:cNvSpPr>
            <a:spLocks noChangeArrowheads="1"/>
          </xdr:cNvSpPr>
        </xdr:nvSpPr>
        <xdr:spPr bwMode="auto">
          <a:xfrm>
            <a:off x="8532" y="11068"/>
            <a:ext cx="332" cy="777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3078" name="Line 6">
            <a:extLst>
              <a:ext uri="{FF2B5EF4-FFF2-40B4-BE49-F238E27FC236}">
                <a16:creationId xmlns:a16="http://schemas.microsoft.com/office/drawing/2014/main" id="{D8332089-8418-491E-8812-E5D7B213935A}"/>
              </a:ext>
            </a:extLst>
          </xdr:cNvPr>
          <xdr:cNvSpPr>
            <a:spLocks noChangeShapeType="1"/>
          </xdr:cNvSpPr>
        </xdr:nvSpPr>
        <xdr:spPr bwMode="auto">
          <a:xfrm>
            <a:off x="-333" y="8543"/>
            <a:ext cx="15070" cy="1"/>
          </a:xfrm>
          <a:prstGeom prst="line">
            <a:avLst/>
          </a:prstGeom>
          <a:noFill/>
          <a:ln w="1" cap="flat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dash"/>
            <a:round/>
            <a:headEnd/>
            <a:tailEnd type="non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79" name="Line 7">
            <a:extLst>
              <a:ext uri="{FF2B5EF4-FFF2-40B4-BE49-F238E27FC236}">
                <a16:creationId xmlns:a16="http://schemas.microsoft.com/office/drawing/2014/main" id="{205BE63B-3C12-4C27-8E27-A3B5307B59E9}"/>
              </a:ext>
            </a:extLst>
          </xdr:cNvPr>
          <xdr:cNvSpPr>
            <a:spLocks noChangeShapeType="1"/>
          </xdr:cNvSpPr>
        </xdr:nvSpPr>
        <xdr:spPr bwMode="auto">
          <a:xfrm>
            <a:off x="-388" y="13592"/>
            <a:ext cx="8920" cy="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 type="triangle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80" name="Line 8">
            <a:extLst>
              <a:ext uri="{FF2B5EF4-FFF2-40B4-BE49-F238E27FC236}">
                <a16:creationId xmlns:a16="http://schemas.microsoft.com/office/drawing/2014/main" id="{23AADA86-1BF7-4582-92B6-12A2A7CCE340}"/>
              </a:ext>
            </a:extLst>
          </xdr:cNvPr>
          <xdr:cNvSpPr>
            <a:spLocks noChangeShapeType="1"/>
          </xdr:cNvSpPr>
        </xdr:nvSpPr>
        <xdr:spPr bwMode="auto">
          <a:xfrm>
            <a:off x="10028" y="8835"/>
            <a:ext cx="1" cy="271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 type="triangle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81" name="Text 9">
            <a:extLst>
              <a:ext uri="{FF2B5EF4-FFF2-40B4-BE49-F238E27FC236}">
                <a16:creationId xmlns:a16="http://schemas.microsoft.com/office/drawing/2014/main" id="{70D08E51-974E-47A6-9BAD-5BD0654D54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6" y="10971"/>
            <a:ext cx="1108" cy="407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36576" tIns="27432" rIns="0" bIns="0" anchor="t" upright="1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L</a:t>
            </a:r>
          </a:p>
        </xdr:txBody>
      </xdr:sp>
      <xdr:sp macro="" textlink="">
        <xdr:nvSpPr>
          <xdr:cNvPr id="3082" name="Text 10">
            <a:extLst>
              <a:ext uri="{FF2B5EF4-FFF2-40B4-BE49-F238E27FC236}">
                <a16:creationId xmlns:a16="http://schemas.microsoft.com/office/drawing/2014/main" id="{277217B8-D880-43CF-B10E-F9C8AE84990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28" y="8155"/>
            <a:ext cx="1108" cy="398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36576" tIns="27432" rIns="0" bIns="0" anchor="t" upright="1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y</a:t>
            </a:r>
          </a:p>
        </xdr:txBody>
      </xdr:sp>
      <xdr:sp macro="" textlink="">
        <xdr:nvSpPr>
          <xdr:cNvPr id="3083" name="Text 11">
            <a:extLst>
              <a:ext uri="{FF2B5EF4-FFF2-40B4-BE49-F238E27FC236}">
                <a16:creationId xmlns:a16="http://schemas.microsoft.com/office/drawing/2014/main" id="{347D2A18-6170-4EFA-9A67-3F1C73CB25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8366" y="8155"/>
            <a:ext cx="1551" cy="407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36576" tIns="27432" rIns="0" bIns="0" anchor="t" upright="1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m</a:t>
            </a:r>
          </a:p>
        </xdr:txBody>
      </xdr:sp>
      <xdr:graphicFrame macro="">
        <xdr:nvGraphicFramePr>
          <xdr:cNvPr id="3085" name="Chart 13">
            <a:extLst>
              <a:ext uri="{FF2B5EF4-FFF2-40B4-BE49-F238E27FC236}">
                <a16:creationId xmlns:a16="http://schemas.microsoft.com/office/drawing/2014/main" id="{8913CB90-5F0A-4206-A112-EBDF333284BA}"/>
              </a:ext>
            </a:extLst>
          </xdr:cNvPr>
          <xdr:cNvGraphicFramePr>
            <a:graphicFrameLocks/>
          </xdr:cNvGraphicFramePr>
        </xdr:nvGraphicFramePr>
        <xdr:xfrm>
          <a:off x="19114" y="-680"/>
          <a:ext cx="30803" cy="1757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8"/>
  <sheetViews>
    <sheetView tabSelected="1" workbookViewId="0"/>
  </sheetViews>
  <sheetFormatPr defaultColWidth="8.90625" defaultRowHeight="12.5" x14ac:dyDescent="0.25"/>
  <cols>
    <col min="6" max="6" width="11.36328125" customWidth="1"/>
    <col min="7" max="7" width="15.08984375" customWidth="1"/>
  </cols>
  <sheetData>
    <row r="1" spans="1:8" x14ac:dyDescent="0.25">
      <c r="A1" t="s">
        <v>0</v>
      </c>
    </row>
    <row r="2" spans="1:8" ht="13" thickBot="1" x14ac:dyDescent="0.3">
      <c r="A2" t="s">
        <v>1</v>
      </c>
      <c r="E2" t="s">
        <v>2</v>
      </c>
    </row>
    <row r="3" spans="1:8" x14ac:dyDescent="0.25">
      <c r="D3" s="1"/>
      <c r="E3" s="11"/>
      <c r="F3" s="8" t="s">
        <v>3</v>
      </c>
      <c r="G3" s="6">
        <v>29000000</v>
      </c>
      <c r="H3" s="2" t="s">
        <v>4</v>
      </c>
    </row>
    <row r="4" spans="1:8" ht="14.5" x14ac:dyDescent="0.25">
      <c r="D4" s="12"/>
      <c r="E4" s="5"/>
      <c r="F4" s="9" t="s">
        <v>5</v>
      </c>
      <c r="G4" s="5">
        <v>426</v>
      </c>
      <c r="H4" s="3" t="s">
        <v>6</v>
      </c>
    </row>
    <row r="5" spans="1:8" ht="13" thickBot="1" x14ac:dyDescent="0.3">
      <c r="D5" s="13"/>
      <c r="E5" s="7"/>
      <c r="F5" s="10" t="s">
        <v>7</v>
      </c>
      <c r="G5" s="7">
        <v>144</v>
      </c>
      <c r="H5" s="4" t="s">
        <v>8</v>
      </c>
    </row>
    <row r="6" spans="1:8" x14ac:dyDescent="0.25">
      <c r="D6" s="5"/>
      <c r="E6" s="5"/>
      <c r="F6" s="22"/>
      <c r="G6" s="22"/>
      <c r="H6" s="5"/>
    </row>
    <row r="7" spans="1:8" ht="13" thickBot="1" x14ac:dyDescent="0.3"/>
    <row r="8" spans="1:8" ht="13" thickBot="1" x14ac:dyDescent="0.3">
      <c r="C8" s="14"/>
      <c r="F8" s="18" t="s">
        <v>9</v>
      </c>
      <c r="G8" s="19" t="s">
        <v>10</v>
      </c>
    </row>
    <row r="9" spans="1:8" x14ac:dyDescent="0.25">
      <c r="F9" s="12">
        <v>1000</v>
      </c>
      <c r="G9" s="16">
        <f>(1/(2*PI()))*SQRT(3*E*I/(F9*L^3))</f>
        <v>0.56071325063702893</v>
      </c>
    </row>
    <row r="10" spans="1:8" x14ac:dyDescent="0.25">
      <c r="F10" s="12">
        <v>2000</v>
      </c>
      <c r="G10" s="16">
        <f t="shared" ref="G10:G28" si="0">(1/(2*PI()))*SQRT(3*E*I/(F10*L^3))</f>
        <v>0.39648414182659542</v>
      </c>
    </row>
    <row r="11" spans="1:8" x14ac:dyDescent="0.25">
      <c r="F11" s="12">
        <v>3000</v>
      </c>
      <c r="G11" s="16">
        <f t="shared" si="0"/>
        <v>0.32372794619347878</v>
      </c>
    </row>
    <row r="12" spans="1:8" x14ac:dyDescent="0.25">
      <c r="F12" s="12">
        <v>4000</v>
      </c>
      <c r="G12" s="16">
        <f t="shared" si="0"/>
        <v>0.28035662531851446</v>
      </c>
    </row>
    <row r="13" spans="1:8" x14ac:dyDescent="0.25">
      <c r="F13" s="12">
        <v>5000</v>
      </c>
      <c r="G13" s="16">
        <f t="shared" si="0"/>
        <v>0.25075858886185481</v>
      </c>
    </row>
    <row r="14" spans="1:8" x14ac:dyDescent="0.25">
      <c r="F14" s="12">
        <v>6000</v>
      </c>
      <c r="G14" s="16">
        <f t="shared" si="0"/>
        <v>0.22891022601300262</v>
      </c>
    </row>
    <row r="15" spans="1:8" x14ac:dyDescent="0.25">
      <c r="F15" s="12">
        <v>7000</v>
      </c>
      <c r="G15" s="16">
        <f t="shared" si="0"/>
        <v>0.21192968828631539</v>
      </c>
    </row>
    <row r="16" spans="1:8" x14ac:dyDescent="0.25">
      <c r="F16" s="12">
        <v>8000</v>
      </c>
      <c r="G16" s="16">
        <f t="shared" si="0"/>
        <v>0.19824207091329771</v>
      </c>
    </row>
    <row r="17" spans="6:7" x14ac:dyDescent="0.25">
      <c r="F17" s="12">
        <v>9000</v>
      </c>
      <c r="G17" s="16">
        <f t="shared" si="0"/>
        <v>0.18690441687900966</v>
      </c>
    </row>
    <row r="18" spans="6:7" x14ac:dyDescent="0.25">
      <c r="F18" s="12">
        <v>10000</v>
      </c>
      <c r="G18" s="16">
        <f t="shared" si="0"/>
        <v>0.17731309862498698</v>
      </c>
    </row>
    <row r="19" spans="6:7" x14ac:dyDescent="0.25">
      <c r="F19" s="12">
        <v>11000</v>
      </c>
      <c r="G19" s="16">
        <f t="shared" si="0"/>
        <v>0.16906140612213919</v>
      </c>
    </row>
    <row r="20" spans="6:7" x14ac:dyDescent="0.25">
      <c r="F20" s="12">
        <v>12000</v>
      </c>
      <c r="G20" s="16">
        <f t="shared" si="0"/>
        <v>0.16186397309673939</v>
      </c>
    </row>
    <row r="21" spans="6:7" x14ac:dyDescent="0.25">
      <c r="F21" s="12">
        <v>13000</v>
      </c>
      <c r="G21" s="16">
        <f t="shared" si="0"/>
        <v>0.155513875077223</v>
      </c>
    </row>
    <row r="22" spans="6:7" x14ac:dyDescent="0.25">
      <c r="F22" s="12">
        <v>14000</v>
      </c>
      <c r="G22" s="16">
        <f t="shared" si="0"/>
        <v>0.14985691972200485</v>
      </c>
    </row>
    <row r="23" spans="6:7" x14ac:dyDescent="0.25">
      <c r="F23" s="12">
        <v>15000</v>
      </c>
      <c r="G23" s="16">
        <f t="shared" si="0"/>
        <v>0.14477553878100255</v>
      </c>
    </row>
    <row r="24" spans="6:7" x14ac:dyDescent="0.25">
      <c r="F24" s="12">
        <v>16000</v>
      </c>
      <c r="G24" s="16">
        <f t="shared" si="0"/>
        <v>0.14017831265925723</v>
      </c>
    </row>
    <row r="25" spans="6:7" x14ac:dyDescent="0.25">
      <c r="F25" s="12">
        <v>17000</v>
      </c>
      <c r="G25" s="16">
        <f t="shared" si="0"/>
        <v>0.13599293870940585</v>
      </c>
    </row>
    <row r="26" spans="6:7" x14ac:dyDescent="0.25">
      <c r="F26" s="12">
        <v>18000</v>
      </c>
      <c r="G26" s="16">
        <f t="shared" si="0"/>
        <v>0.13216138060886515</v>
      </c>
    </row>
    <row r="27" spans="6:7" x14ac:dyDescent="0.25">
      <c r="F27" s="12">
        <v>19000</v>
      </c>
      <c r="G27" s="16">
        <f t="shared" si="0"/>
        <v>0.12863644188584222</v>
      </c>
    </row>
    <row r="28" spans="6:7" ht="13" thickBot="1" x14ac:dyDescent="0.3">
      <c r="F28" s="13">
        <v>20000</v>
      </c>
      <c r="G28" s="17">
        <f t="shared" si="0"/>
        <v>0.12537929443092741</v>
      </c>
    </row>
  </sheetData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  <drawing r:id="rId2"/>
  <legacyDrawing r:id="rId3"/>
  <oleObjects>
    <mc:AlternateContent xmlns:mc="http://schemas.openxmlformats.org/markup-compatibility/2006">
      <mc:Choice Requires="x14">
        <oleObject progId="Equation.2" shapeId="1025" r:id="rId4">
          <objectPr defaultSize="0" autoPict="0" r:id="rId5">
            <anchor moveWithCells="1">
              <from>
                <xdr:col>0</xdr:col>
                <xdr:colOff>139700</xdr:colOff>
                <xdr:row>2</xdr:row>
                <xdr:rowOff>101600</xdr:rowOff>
              </from>
              <to>
                <xdr:col>2</xdr:col>
                <xdr:colOff>184150</xdr:colOff>
                <xdr:row>5</xdr:row>
                <xdr:rowOff>95250</xdr:rowOff>
              </to>
            </anchor>
          </objectPr>
        </oleObject>
      </mc:Choice>
      <mc:Fallback>
        <oleObject progId="Equation.2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00"/>
  <sheetViews>
    <sheetView workbookViewId="0"/>
  </sheetViews>
  <sheetFormatPr defaultColWidth="8.90625" defaultRowHeight="12.5" x14ac:dyDescent="0.25"/>
  <sheetData>
    <row r="1" spans="1:9" x14ac:dyDescent="0.25">
      <c r="A1" t="s">
        <v>0</v>
      </c>
    </row>
    <row r="2" spans="1:9" ht="13" thickBot="1" x14ac:dyDescent="0.3">
      <c r="E2" t="s">
        <v>2</v>
      </c>
    </row>
    <row r="3" spans="1:9" x14ac:dyDescent="0.25">
      <c r="D3" s="1"/>
      <c r="E3" s="11"/>
      <c r="F3" s="8" t="s">
        <v>3</v>
      </c>
      <c r="G3" s="6">
        <v>29000000</v>
      </c>
      <c r="H3" s="2" t="s">
        <v>4</v>
      </c>
    </row>
    <row r="4" spans="1:9" ht="14.5" x14ac:dyDescent="0.25">
      <c r="D4" s="12"/>
      <c r="E4" s="5"/>
      <c r="F4" s="9" t="s">
        <v>5</v>
      </c>
      <c r="G4" s="5">
        <v>426</v>
      </c>
      <c r="H4" s="3" t="s">
        <v>6</v>
      </c>
    </row>
    <row r="5" spans="1:9" x14ac:dyDescent="0.25">
      <c r="D5" s="12"/>
      <c r="E5" s="5"/>
      <c r="F5" s="9" t="s">
        <v>7</v>
      </c>
      <c r="G5" s="5">
        <v>144</v>
      </c>
      <c r="H5" s="3" t="s">
        <v>8</v>
      </c>
    </row>
    <row r="6" spans="1:9" ht="13" thickBot="1" x14ac:dyDescent="0.3">
      <c r="D6" s="13"/>
      <c r="E6" s="7"/>
      <c r="F6" s="15" t="s">
        <v>11</v>
      </c>
      <c r="G6" s="15">
        <v>20000</v>
      </c>
      <c r="H6" s="4" t="s">
        <v>12</v>
      </c>
    </row>
    <row r="7" spans="1:9" ht="13" thickBot="1" x14ac:dyDescent="0.3"/>
    <row r="8" spans="1:9" ht="13" thickBot="1" x14ac:dyDescent="0.3">
      <c r="A8" s="18"/>
      <c r="B8" s="20"/>
      <c r="C8" s="23" t="s">
        <v>13</v>
      </c>
      <c r="D8" s="20">
        <f>(1/(2*PI()))*SQRT(3*E*I/(m*L^3))</f>
        <v>0.12537929443092741</v>
      </c>
      <c r="E8" s="19" t="s">
        <v>14</v>
      </c>
      <c r="F8" s="21" t="s">
        <v>15</v>
      </c>
      <c r="G8" s="20">
        <f>1/D8</f>
        <v>7.9757985920945593</v>
      </c>
      <c r="H8" s="19" t="s">
        <v>16</v>
      </c>
    </row>
    <row r="11" spans="1:9" ht="13" thickBot="1" x14ac:dyDescent="0.3">
      <c r="F11" s="34" t="s">
        <v>17</v>
      </c>
      <c r="G11" s="34"/>
      <c r="H11" s="34"/>
    </row>
    <row r="12" spans="1:9" ht="13" thickBot="1" x14ac:dyDescent="0.3">
      <c r="F12" s="21" t="s">
        <v>18</v>
      </c>
      <c r="G12" s="20">
        <v>0.1</v>
      </c>
      <c r="H12" s="19" t="s">
        <v>19</v>
      </c>
    </row>
    <row r="13" spans="1:9" ht="13" thickBot="1" x14ac:dyDescent="0.3"/>
    <row r="14" spans="1:9" ht="15" thickBot="1" x14ac:dyDescent="0.3">
      <c r="F14" s="18" t="s">
        <v>20</v>
      </c>
      <c r="G14" s="20" t="s">
        <v>21</v>
      </c>
      <c r="H14" s="20" t="s">
        <v>22</v>
      </c>
      <c r="I14" s="19" t="s">
        <v>23</v>
      </c>
    </row>
    <row r="15" spans="1:9" x14ac:dyDescent="0.25">
      <c r="F15" s="12">
        <v>0</v>
      </c>
      <c r="G15" s="5">
        <v>1</v>
      </c>
      <c r="H15" s="5">
        <v>0</v>
      </c>
      <c r="I15" s="3">
        <f t="shared" ref="I15:I61" si="0">-(3*E*I/(m*L^3))*G15</f>
        <v>-0.6205994405864198</v>
      </c>
    </row>
    <row r="16" spans="1:9" ht="13" thickBot="1" x14ac:dyDescent="0.3">
      <c r="F16" s="12">
        <f t="shared" ref="F16:F61" si="1">F15+delt</f>
        <v>0.1</v>
      </c>
      <c r="G16" s="5">
        <f t="shared" ref="G16:G61" si="2">G15+H16*delt</f>
        <v>0.99379400559413578</v>
      </c>
      <c r="H16" s="5">
        <f>H15+I15*delt</f>
        <v>-6.2059944058641986E-2</v>
      </c>
      <c r="I16" s="3">
        <f t="shared" si="0"/>
        <v>-0.61674800392985807</v>
      </c>
    </row>
    <row r="17" spans="6:12" x14ac:dyDescent="0.25">
      <c r="F17" s="12">
        <f t="shared" si="1"/>
        <v>0.2</v>
      </c>
      <c r="G17" s="5">
        <f t="shared" si="2"/>
        <v>0.98142053114897299</v>
      </c>
      <c r="H17" s="5">
        <f t="shared" ref="H17:H61" si="3">H16+I16*delt</f>
        <v>-0.1237347444516278</v>
      </c>
      <c r="I17" s="3">
        <f t="shared" si="0"/>
        <v>-0.60906903261107959</v>
      </c>
      <c r="K17" s="1" t="s">
        <v>24</v>
      </c>
      <c r="L17" s="2"/>
    </row>
    <row r="18" spans="6:12" x14ac:dyDescent="0.25">
      <c r="F18" s="12">
        <f t="shared" si="1"/>
        <v>0.30000000000000004</v>
      </c>
      <c r="G18" s="5">
        <f t="shared" si="2"/>
        <v>0.96295636637769944</v>
      </c>
      <c r="H18" s="5">
        <f t="shared" si="3"/>
        <v>-0.18464164771273575</v>
      </c>
      <c r="I18" s="3">
        <f t="shared" si="0"/>
        <v>-0.59761018228313179</v>
      </c>
      <c r="K18" s="12" t="s">
        <v>25</v>
      </c>
      <c r="L18" s="3"/>
    </row>
    <row r="19" spans="6:12" x14ac:dyDescent="0.25">
      <c r="F19" s="12">
        <f t="shared" si="1"/>
        <v>0.4</v>
      </c>
      <c r="G19" s="5">
        <f t="shared" si="2"/>
        <v>0.93851609978359452</v>
      </c>
      <c r="H19" s="5">
        <f t="shared" si="3"/>
        <v>-0.24440266594104892</v>
      </c>
      <c r="I19" s="3">
        <f t="shared" si="0"/>
        <v>-0.58244256650704729</v>
      </c>
      <c r="K19" s="12">
        <f>G8</f>
        <v>7.9757985920945593</v>
      </c>
      <c r="L19" s="3">
        <v>-1.1000000000000001</v>
      </c>
    </row>
    <row r="20" spans="6:12" ht="13" thickBot="1" x14ac:dyDescent="0.3">
      <c r="F20" s="12">
        <f t="shared" si="1"/>
        <v>0.5</v>
      </c>
      <c r="G20" s="5">
        <f t="shared" si="2"/>
        <v>0.90825140752441913</v>
      </c>
      <c r="H20" s="5">
        <f t="shared" si="3"/>
        <v>-0.30264692259175363</v>
      </c>
      <c r="I20" s="3">
        <f t="shared" si="0"/>
        <v>-0.56366031542148287</v>
      </c>
      <c r="K20" s="13">
        <f>K19</f>
        <v>7.9757985920945593</v>
      </c>
      <c r="L20" s="4">
        <v>1.1000000000000001</v>
      </c>
    </row>
    <row r="21" spans="6:12" x14ac:dyDescent="0.25">
      <c r="F21" s="12">
        <f t="shared" si="1"/>
        <v>0.6</v>
      </c>
      <c r="G21" s="5">
        <f t="shared" si="2"/>
        <v>0.87235011211102897</v>
      </c>
      <c r="H21" s="5">
        <f t="shared" si="3"/>
        <v>-0.35901295413390194</v>
      </c>
      <c r="I21" s="3">
        <f t="shared" si="0"/>
        <v>-0.54137999157160521</v>
      </c>
    </row>
    <row r="22" spans="6:12" x14ac:dyDescent="0.25">
      <c r="F22" s="12">
        <f t="shared" si="1"/>
        <v>0.7</v>
      </c>
      <c r="G22" s="5">
        <f t="shared" si="2"/>
        <v>0.83103501678192271</v>
      </c>
      <c r="H22" s="5">
        <f t="shared" si="3"/>
        <v>-0.41315095329106244</v>
      </c>
      <c r="I22" s="3">
        <f t="shared" si="0"/>
        <v>-0.51573986652258719</v>
      </c>
    </row>
    <row r="23" spans="6:12" x14ac:dyDescent="0.25">
      <c r="F23" s="12">
        <f t="shared" si="1"/>
        <v>0.79999999999999993</v>
      </c>
      <c r="G23" s="5">
        <f t="shared" si="2"/>
        <v>0.78456252278759053</v>
      </c>
      <c r="H23" s="5">
        <f t="shared" si="3"/>
        <v>-0.46472493994332115</v>
      </c>
      <c r="I23" s="3">
        <f t="shared" si="0"/>
        <v>-0.48689906274704892</v>
      </c>
    </row>
    <row r="24" spans="6:12" x14ac:dyDescent="0.25">
      <c r="F24" s="12">
        <f t="shared" si="1"/>
        <v>0.89999999999999991</v>
      </c>
      <c r="G24" s="5">
        <f t="shared" si="2"/>
        <v>0.73322103816578799</v>
      </c>
      <c r="H24" s="5">
        <f t="shared" si="3"/>
        <v>-0.51341484621802602</v>
      </c>
      <c r="I24" s="3">
        <f t="shared" si="0"/>
        <v>-0.45503656611188198</v>
      </c>
    </row>
    <row r="25" spans="6:12" x14ac:dyDescent="0.25">
      <c r="F25" s="12">
        <f t="shared" si="1"/>
        <v>0.99999999999999989</v>
      </c>
      <c r="G25" s="5">
        <f t="shared" si="2"/>
        <v>0.67732918788286656</v>
      </c>
      <c r="H25" s="5">
        <f t="shared" si="3"/>
        <v>-0.55891850282921418</v>
      </c>
      <c r="I25" s="3">
        <f t="shared" si="0"/>
        <v>-0.420350115092961</v>
      </c>
    </row>
    <row r="26" spans="6:12" x14ac:dyDescent="0.25">
      <c r="F26" s="12">
        <f t="shared" si="1"/>
        <v>1.0999999999999999</v>
      </c>
      <c r="G26" s="5">
        <f t="shared" si="2"/>
        <v>0.61723383644901553</v>
      </c>
      <c r="H26" s="5">
        <f t="shared" si="3"/>
        <v>-0.6009535143385103</v>
      </c>
      <c r="I26" s="3">
        <f t="shared" si="0"/>
        <v>-0.38305497361126878</v>
      </c>
    </row>
    <row r="27" spans="6:12" x14ac:dyDescent="0.25">
      <c r="F27" s="12">
        <f t="shared" si="1"/>
        <v>1.2</v>
      </c>
      <c r="G27" s="5">
        <f t="shared" si="2"/>
        <v>0.55330793527905175</v>
      </c>
      <c r="H27" s="5">
        <f t="shared" si="3"/>
        <v>-0.63925901169963717</v>
      </c>
      <c r="I27" s="3">
        <f t="shared" si="0"/>
        <v>-0.3433825951062065</v>
      </c>
    </row>
    <row r="28" spans="6:12" x14ac:dyDescent="0.25">
      <c r="F28" s="12">
        <f t="shared" si="1"/>
        <v>1.3</v>
      </c>
      <c r="G28" s="5">
        <f t="shared" si="2"/>
        <v>0.48594820815802597</v>
      </c>
      <c r="H28" s="5">
        <f t="shared" si="3"/>
        <v>-0.67359727121025781</v>
      </c>
      <c r="I28" s="3">
        <f t="shared" si="0"/>
        <v>-0.30157918613684398</v>
      </c>
    </row>
    <row r="29" spans="6:12" x14ac:dyDescent="0.25">
      <c r="F29" s="12">
        <f t="shared" si="1"/>
        <v>1.4000000000000001</v>
      </c>
      <c r="G29" s="5">
        <f t="shared" si="2"/>
        <v>0.41557268917563173</v>
      </c>
      <c r="H29" s="5">
        <f t="shared" si="3"/>
        <v>-0.70375518982394225</v>
      </c>
      <c r="I29" s="3">
        <f t="shared" si="0"/>
        <v>-0.25790417842539115</v>
      </c>
    </row>
    <row r="30" spans="6:12" x14ac:dyDescent="0.25">
      <c r="F30" s="12">
        <f t="shared" si="1"/>
        <v>1.5000000000000002</v>
      </c>
      <c r="G30" s="5">
        <f t="shared" si="2"/>
        <v>0.34261812840898359</v>
      </c>
      <c r="H30" s="5">
        <f t="shared" si="3"/>
        <v>-0.72954560766648135</v>
      </c>
      <c r="I30" s="3">
        <f t="shared" si="0"/>
        <v>-0.21262861882538137</v>
      </c>
    </row>
    <row r="31" spans="6:12" x14ac:dyDescent="0.25">
      <c r="F31" s="12">
        <f t="shared" si="1"/>
        <v>1.6000000000000003</v>
      </c>
      <c r="G31" s="5">
        <f t="shared" si="2"/>
        <v>0.26753728145408162</v>
      </c>
      <c r="H31" s="5">
        <f t="shared" si="3"/>
        <v>-0.75080846954901947</v>
      </c>
      <c r="I31" s="3">
        <f t="shared" si="0"/>
        <v>-0.16603348720641459</v>
      </c>
    </row>
    <row r="32" spans="6:12" x14ac:dyDescent="0.25">
      <c r="F32" s="12">
        <f t="shared" si="1"/>
        <v>1.7000000000000004</v>
      </c>
      <c r="G32" s="5">
        <f t="shared" si="2"/>
        <v>0.19079609962711552</v>
      </c>
      <c r="H32" s="5">
        <f t="shared" si="3"/>
        <v>-0.76741181826966098</v>
      </c>
      <c r="I32" s="3">
        <f t="shared" si="0"/>
        <v>-0.11840795269465872</v>
      </c>
    </row>
    <row r="33" spans="6:9" x14ac:dyDescent="0.25">
      <c r="F33" s="12">
        <f t="shared" si="1"/>
        <v>1.8000000000000005</v>
      </c>
      <c r="G33" s="5">
        <f t="shared" si="2"/>
        <v>0.11287083827320282</v>
      </c>
      <c r="H33" s="5">
        <f t="shared" si="3"/>
        <v>-0.77925261353912689</v>
      </c>
      <c r="I33" s="3">
        <f t="shared" si="0"/>
        <v>-7.0047579090869935E-2</v>
      </c>
    </row>
    <row r="34" spans="6:9" x14ac:dyDescent="0.25">
      <c r="F34" s="12">
        <f t="shared" si="1"/>
        <v>1.9000000000000006</v>
      </c>
      <c r="G34" s="5">
        <f t="shared" si="2"/>
        <v>3.424510112838143E-2</v>
      </c>
      <c r="H34" s="5">
        <f t="shared" si="3"/>
        <v>-0.78625737144821384</v>
      </c>
      <c r="I34" s="3">
        <f t="shared" si="0"/>
        <v>-2.1252490603098889E-2</v>
      </c>
    </row>
    <row r="35" spans="6:9" x14ac:dyDescent="0.25">
      <c r="F35" s="12">
        <f t="shared" si="1"/>
        <v>2.0000000000000004</v>
      </c>
      <c r="G35" s="5">
        <f t="shared" si="2"/>
        <v>-4.459316092247094E-2</v>
      </c>
      <c r="H35" s="5">
        <f t="shared" si="3"/>
        <v>-0.7883826205085237</v>
      </c>
      <c r="I35" s="3">
        <f t="shared" si="0"/>
        <v>2.767449072246566E-2</v>
      </c>
    </row>
    <row r="36" spans="6:9" x14ac:dyDescent="0.25">
      <c r="F36" s="12">
        <f t="shared" si="1"/>
        <v>2.1000000000000005</v>
      </c>
      <c r="G36" s="5">
        <f t="shared" si="2"/>
        <v>-0.12315467806609866</v>
      </c>
      <c r="H36" s="5">
        <f t="shared" si="3"/>
        <v>-0.78561517143627713</v>
      </c>
      <c r="I36" s="3">
        <f t="shared" si="0"/>
        <v>7.6429724313421446E-2</v>
      </c>
    </row>
    <row r="37" spans="6:9" x14ac:dyDescent="0.25">
      <c r="F37" s="12">
        <f t="shared" si="1"/>
        <v>2.2000000000000006</v>
      </c>
      <c r="G37" s="5">
        <f t="shared" si="2"/>
        <v>-0.20095189796659216</v>
      </c>
      <c r="H37" s="5">
        <f t="shared" si="3"/>
        <v>-0.77797219900493497</v>
      </c>
      <c r="I37" s="3">
        <f t="shared" si="0"/>
        <v>0.1247106354628464</v>
      </c>
    </row>
    <row r="38" spans="6:9" x14ac:dyDescent="0.25">
      <c r="F38" s="12">
        <f t="shared" si="1"/>
        <v>2.3000000000000007</v>
      </c>
      <c r="G38" s="5">
        <f t="shared" si="2"/>
        <v>-0.27750201151245718</v>
      </c>
      <c r="H38" s="5">
        <f t="shared" si="3"/>
        <v>-0.76550113545865028</v>
      </c>
      <c r="I38" s="3">
        <f t="shared" si="0"/>
        <v>0.17221759310623716</v>
      </c>
    </row>
    <row r="39" spans="6:9" x14ac:dyDescent="0.25">
      <c r="F39" s="12">
        <f t="shared" si="1"/>
        <v>2.4000000000000008</v>
      </c>
      <c r="G39" s="5">
        <f t="shared" si="2"/>
        <v>-0.35232994912725984</v>
      </c>
      <c r="H39" s="5">
        <f t="shared" si="3"/>
        <v>-0.74827937614802653</v>
      </c>
      <c r="I39" s="3">
        <f t="shared" si="0"/>
        <v>0.21865576933021921</v>
      </c>
    </row>
    <row r="40" spans="6:9" x14ac:dyDescent="0.25">
      <c r="F40" s="12">
        <f t="shared" si="1"/>
        <v>2.5000000000000009</v>
      </c>
      <c r="G40" s="5">
        <f t="shared" si="2"/>
        <v>-0.42497132904876034</v>
      </c>
      <c r="H40" s="5">
        <f t="shared" si="3"/>
        <v>-0.7264137992150046</v>
      </c>
      <c r="I40" s="3">
        <f t="shared" si="0"/>
        <v>0.26373696907292798</v>
      </c>
    </row>
    <row r="41" spans="6:9" x14ac:dyDescent="0.25">
      <c r="F41" s="12">
        <f t="shared" si="1"/>
        <v>2.600000000000001</v>
      </c>
      <c r="G41" s="5">
        <f t="shared" si="2"/>
        <v>-0.49497533927953152</v>
      </c>
      <c r="H41" s="5">
        <f t="shared" si="3"/>
        <v>-0.70004010230771185</v>
      </c>
      <c r="I41" s="3">
        <f t="shared" si="0"/>
        <v>0.30718141866095061</v>
      </c>
    </row>
    <row r="42" spans="6:9" x14ac:dyDescent="0.25">
      <c r="F42" s="12">
        <f t="shared" si="1"/>
        <v>2.7000000000000011</v>
      </c>
      <c r="G42" s="5">
        <f t="shared" si="2"/>
        <v>-0.5619075353236932</v>
      </c>
      <c r="H42" s="5">
        <f t="shared" si="3"/>
        <v>-0.66932196044161674</v>
      </c>
      <c r="I42" s="3">
        <f t="shared" si="0"/>
        <v>0.34871950208317792</v>
      </c>
    </row>
    <row r="43" spans="6:9" x14ac:dyDescent="0.25">
      <c r="F43" s="12">
        <f t="shared" si="1"/>
        <v>2.8000000000000012</v>
      </c>
      <c r="G43" s="5">
        <f t="shared" si="2"/>
        <v>-0.62535253634702315</v>
      </c>
      <c r="H43" s="5">
        <f t="shared" si="3"/>
        <v>-0.63445001023329894</v>
      </c>
      <c r="I43" s="3">
        <f t="shared" si="0"/>
        <v>0.3880934342262613</v>
      </c>
    </row>
    <row r="44" spans="6:9" x14ac:dyDescent="0.25">
      <c r="F44" s="12">
        <f t="shared" si="1"/>
        <v>2.9000000000000012</v>
      </c>
      <c r="G44" s="5">
        <f t="shared" si="2"/>
        <v>-0.68491660302809043</v>
      </c>
      <c r="H44" s="5">
        <f t="shared" si="3"/>
        <v>-0.59564066681067285</v>
      </c>
      <c r="I44" s="3">
        <f t="shared" si="0"/>
        <v>0.42505886068758386</v>
      </c>
    </row>
    <row r="45" spans="6:9" x14ac:dyDescent="0.25">
      <c r="F45" s="12">
        <f t="shared" si="1"/>
        <v>3.0000000000000013</v>
      </c>
      <c r="G45" s="5">
        <f t="shared" si="2"/>
        <v>-0.74023008110228183</v>
      </c>
      <c r="H45" s="5">
        <f t="shared" si="3"/>
        <v>-0.55313478074191447</v>
      </c>
      <c r="I45" s="3">
        <f t="shared" si="0"/>
        <v>0.45938637423731626</v>
      </c>
    </row>
    <row r="46" spans="6:9" x14ac:dyDescent="0.25">
      <c r="F46" s="12">
        <f t="shared" si="1"/>
        <v>3.1000000000000014</v>
      </c>
      <c r="G46" s="5">
        <f t="shared" si="2"/>
        <v>-0.7909496954341001</v>
      </c>
      <c r="H46" s="5">
        <f t="shared" si="3"/>
        <v>-0.50719614331818286</v>
      </c>
      <c r="I46" s="3">
        <f t="shared" si="0"/>
        <v>0.49086293851840163</v>
      </c>
    </row>
    <row r="47" spans="6:9" x14ac:dyDescent="0.25">
      <c r="F47" s="12">
        <f t="shared" si="1"/>
        <v>3.2000000000000015</v>
      </c>
      <c r="G47" s="5">
        <f t="shared" si="2"/>
        <v>-0.83676068038073437</v>
      </c>
      <c r="H47" s="5">
        <f t="shared" si="3"/>
        <v>-0.4581098494663427</v>
      </c>
      <c r="I47" s="3">
        <f t="shared" si="0"/>
        <v>0.51929321014899577</v>
      </c>
    </row>
    <row r="48" spans="6:9" x14ac:dyDescent="0.25">
      <c r="F48" s="12">
        <f t="shared" si="1"/>
        <v>3.3000000000000016</v>
      </c>
      <c r="G48" s="5">
        <f t="shared" si="2"/>
        <v>-0.87737873322587867</v>
      </c>
      <c r="H48" s="5">
        <f t="shared" si="3"/>
        <v>-0.40618052845144315</v>
      </c>
      <c r="I48" s="3">
        <f t="shared" si="0"/>
        <v>0.54450075102240192</v>
      </c>
    </row>
    <row r="49" spans="6:9" x14ac:dyDescent="0.25">
      <c r="F49" s="12">
        <f t="shared" si="1"/>
        <v>3.4000000000000017</v>
      </c>
      <c r="G49" s="5">
        <f t="shared" si="2"/>
        <v>-0.91255177856079894</v>
      </c>
      <c r="H49" s="5">
        <f t="shared" si="3"/>
        <v>-0.35173045334920294</v>
      </c>
      <c r="I49" s="3">
        <f t="shared" si="0"/>
        <v>0.56632912328097429</v>
      </c>
    </row>
    <row r="50" spans="6:9" x14ac:dyDescent="0.25">
      <c r="F50" s="12">
        <f t="shared" si="1"/>
        <v>3.5000000000000018</v>
      </c>
      <c r="G50" s="5">
        <f t="shared" si="2"/>
        <v>-0.94206153266290948</v>
      </c>
      <c r="H50" s="5">
        <f t="shared" si="3"/>
        <v>-0.29509754102110552</v>
      </c>
      <c r="I50" s="3">
        <f t="shared" si="0"/>
        <v>0.58464286016858691</v>
      </c>
    </row>
    <row r="51" spans="6:9" x14ac:dyDescent="0.25">
      <c r="F51" s="12">
        <f t="shared" si="1"/>
        <v>3.6000000000000019</v>
      </c>
      <c r="G51" s="5">
        <f t="shared" si="2"/>
        <v>-0.9657248581633342</v>
      </c>
      <c r="H51" s="5">
        <f t="shared" si="3"/>
        <v>-0.23663325500424684</v>
      </c>
      <c r="I51" s="3">
        <f t="shared" si="0"/>
        <v>0.59932830673656479</v>
      </c>
    </row>
    <row r="52" spans="6:9" x14ac:dyDescent="0.25">
      <c r="F52" s="12">
        <f t="shared" si="1"/>
        <v>3.700000000000002</v>
      </c>
      <c r="G52" s="5">
        <f t="shared" si="2"/>
        <v>-0.98339490059639323</v>
      </c>
      <c r="H52" s="5">
        <f t="shared" si="3"/>
        <v>-0.17670042433059036</v>
      </c>
      <c r="I52" s="3">
        <f t="shared" si="0"/>
        <v>0.61029432518565951</v>
      </c>
    </row>
    <row r="53" spans="6:9" x14ac:dyDescent="0.25">
      <c r="F53" s="12">
        <f t="shared" si="1"/>
        <v>3.800000000000002</v>
      </c>
      <c r="G53" s="5">
        <f t="shared" si="2"/>
        <v>-0.9949619997775957</v>
      </c>
      <c r="H53" s="5">
        <f t="shared" si="3"/>
        <v>-0.11567099181202439</v>
      </c>
      <c r="I53" s="3">
        <f t="shared" si="0"/>
        <v>0.61747286046672145</v>
      </c>
    </row>
    <row r="54" spans="6:9" x14ac:dyDescent="0.25">
      <c r="F54" s="12">
        <f t="shared" si="1"/>
        <v>3.9000000000000021</v>
      </c>
      <c r="G54" s="5">
        <f t="shared" si="2"/>
        <v>-1.0003543703541309</v>
      </c>
      <c r="H54" s="5">
        <f t="shared" si="3"/>
        <v>-5.3923705765352242E-2</v>
      </c>
      <c r="I54" s="3">
        <f t="shared" si="0"/>
        <v>0.62081936262995385</v>
      </c>
    </row>
    <row r="55" spans="6:9" x14ac:dyDescent="0.25">
      <c r="F55" s="12">
        <f t="shared" si="1"/>
        <v>4.0000000000000018</v>
      </c>
      <c r="G55" s="5">
        <f t="shared" si="2"/>
        <v>-0.99953854730436653</v>
      </c>
      <c r="H55" s="5">
        <f t="shared" si="3"/>
        <v>8.1582304976431444E-3</v>
      </c>
      <c r="I55" s="3">
        <f t="shared" si="0"/>
        <v>0.62031306330165259</v>
      </c>
    </row>
    <row r="56" spans="6:9" x14ac:dyDescent="0.25">
      <c r="F56" s="12">
        <f t="shared" si="1"/>
        <v>4.1000000000000014</v>
      </c>
      <c r="G56" s="5">
        <f t="shared" si="2"/>
        <v>-0.99251959362158571</v>
      </c>
      <c r="H56" s="5">
        <f t="shared" si="3"/>
        <v>7.0189536827808402E-2</v>
      </c>
      <c r="I56" s="3">
        <f t="shared" si="0"/>
        <v>0.61595710457261676</v>
      </c>
    </row>
    <row r="57" spans="6:9" x14ac:dyDescent="0.25">
      <c r="F57" s="12">
        <f t="shared" si="1"/>
        <v>4.2000000000000011</v>
      </c>
      <c r="G57" s="5">
        <f t="shared" si="2"/>
        <v>-0.9793410688930787</v>
      </c>
      <c r="H57" s="5">
        <f t="shared" si="3"/>
        <v>0.13178524728507007</v>
      </c>
      <c r="I57" s="3">
        <f t="shared" si="0"/>
        <v>0.60777851949835104</v>
      </c>
    </row>
    <row r="58" spans="6:9" x14ac:dyDescent="0.25">
      <c r="F58" s="12">
        <f t="shared" si="1"/>
        <v>4.3000000000000007</v>
      </c>
      <c r="G58" s="5">
        <f t="shared" si="2"/>
        <v>-0.96008475896958823</v>
      </c>
      <c r="H58" s="5">
        <f t="shared" si="3"/>
        <v>0.19256309923490517</v>
      </c>
      <c r="I58" s="3">
        <f t="shared" si="0"/>
        <v>0.59582806433207414</v>
      </c>
    </row>
    <row r="59" spans="6:9" x14ac:dyDescent="0.25">
      <c r="F59" s="12">
        <f t="shared" si="1"/>
        <v>4.4000000000000004</v>
      </c>
      <c r="G59" s="5">
        <f t="shared" si="2"/>
        <v>-0.93487016840277692</v>
      </c>
      <c r="H59" s="5">
        <f t="shared" si="3"/>
        <v>0.25214590566811257</v>
      </c>
      <c r="I59" s="3">
        <f t="shared" si="0"/>
        <v>0.58017990353169546</v>
      </c>
    </row>
    <row r="60" spans="6:9" x14ac:dyDescent="0.25">
      <c r="F60" s="12">
        <f t="shared" si="1"/>
        <v>4.5</v>
      </c>
      <c r="G60" s="5">
        <f t="shared" si="2"/>
        <v>-0.90385377880064866</v>
      </c>
      <c r="H60" s="5">
        <f t="shared" si="3"/>
        <v>0.31016389602128214</v>
      </c>
      <c r="I60" s="3">
        <f t="shared" si="0"/>
        <v>0.56093114949560419</v>
      </c>
    </row>
    <row r="61" spans="6:9" x14ac:dyDescent="0.25">
      <c r="F61" s="12">
        <f t="shared" si="1"/>
        <v>4.5999999999999996</v>
      </c>
      <c r="G61" s="5">
        <f t="shared" si="2"/>
        <v>-0.86722807770356436</v>
      </c>
      <c r="H61" s="5">
        <f t="shared" si="3"/>
        <v>0.36625701097084257</v>
      </c>
      <c r="I61" s="3">
        <f t="shared" si="0"/>
        <v>0.53820125988366829</v>
      </c>
    </row>
    <row r="62" spans="6:9" x14ac:dyDescent="0.25">
      <c r="F62" s="12">
        <f t="shared" ref="F62:F77" si="4">F61+delt</f>
        <v>4.6999999999999993</v>
      </c>
      <c r="G62" s="5">
        <f t="shared" ref="G62:G77" si="5">G61+H62*delt</f>
        <v>-0.82522036400764343</v>
      </c>
      <c r="H62" s="5">
        <f t="shared" ref="H62:H77" si="6">H61+I61*delt</f>
        <v>0.4200771369592094</v>
      </c>
      <c r="I62" s="3">
        <f t="shared" ref="I62:I77" si="7">-(3*E*I/(m*L^3))*G62</f>
        <v>0.51213129626366527</v>
      </c>
    </row>
    <row r="63" spans="6:9" x14ac:dyDescent="0.25">
      <c r="F63" s="12">
        <f t="shared" si="4"/>
        <v>4.7999999999999989</v>
      </c>
      <c r="G63" s="5">
        <f t="shared" si="5"/>
        <v>-0.77809133734908587</v>
      </c>
      <c r="H63" s="5">
        <f t="shared" si="6"/>
        <v>0.47129026658557593</v>
      </c>
      <c r="I63" s="3">
        <f t="shared" si="7"/>
        <v>0.48288304868398196</v>
      </c>
    </row>
    <row r="64" spans="6:9" x14ac:dyDescent="0.25">
      <c r="F64" s="12">
        <f t="shared" si="4"/>
        <v>4.8999999999999986</v>
      </c>
      <c r="G64" s="5">
        <f t="shared" si="5"/>
        <v>-0.72613348020368851</v>
      </c>
      <c r="H64" s="5">
        <f t="shared" si="6"/>
        <v>0.51957857145397413</v>
      </c>
      <c r="I64" s="3">
        <f t="shared" si="7"/>
        <v>0.45063803160547922</v>
      </c>
    </row>
    <row r="65" spans="6:9" x14ac:dyDescent="0.25">
      <c r="F65" s="12">
        <f t="shared" si="4"/>
        <v>4.9999999999999982</v>
      </c>
      <c r="G65" s="5">
        <f t="shared" si="5"/>
        <v>-0.66966924274223627</v>
      </c>
      <c r="H65" s="5">
        <f t="shared" si="6"/>
        <v>0.56464237461452205</v>
      </c>
      <c r="I65" s="3">
        <f t="shared" si="7"/>
        <v>0.41559635742376322</v>
      </c>
    </row>
    <row r="66" spans="6:9" x14ac:dyDescent="0.25">
      <c r="F66" s="12">
        <f t="shared" si="4"/>
        <v>5.0999999999999979</v>
      </c>
      <c r="G66" s="5">
        <f t="shared" si="5"/>
        <v>-0.60904904170654639</v>
      </c>
      <c r="H66" s="5">
        <f t="shared" si="6"/>
        <v>0.60620201035689836</v>
      </c>
      <c r="I66" s="3">
        <f t="shared" si="7"/>
        <v>0.37797549457277774</v>
      </c>
    </row>
    <row r="67" spans="6:9" x14ac:dyDescent="0.25">
      <c r="F67" s="12">
        <f t="shared" si="4"/>
        <v>5.1999999999999975</v>
      </c>
      <c r="G67" s="5">
        <f t="shared" si="5"/>
        <v>-0.54464908572512882</v>
      </c>
      <c r="H67" s="5">
        <f t="shared" si="6"/>
        <v>0.64399955981417611</v>
      </c>
      <c r="I67" s="3">
        <f t="shared" si="7"/>
        <v>0.33800891791691995</v>
      </c>
    </row>
    <row r="68" spans="6:9" x14ac:dyDescent="0.25">
      <c r="F68" s="12">
        <f t="shared" si="4"/>
        <v>5.2999999999999972</v>
      </c>
      <c r="G68" s="5">
        <f t="shared" si="5"/>
        <v>-0.47686904056454199</v>
      </c>
      <c r="H68" s="5">
        <f t="shared" si="6"/>
        <v>0.6778004516058681</v>
      </c>
      <c r="I68" s="3">
        <f t="shared" si="7"/>
        <v>0.29594465980733747</v>
      </c>
    </row>
    <row r="69" spans="6:9" x14ac:dyDescent="0.25">
      <c r="F69" s="12">
        <f t="shared" si="4"/>
        <v>5.3999999999999968</v>
      </c>
      <c r="G69" s="5">
        <f t="shared" si="5"/>
        <v>-0.40612954880588181</v>
      </c>
      <c r="H69" s="5">
        <f t="shared" si="6"/>
        <v>0.70739491758660189</v>
      </c>
      <c r="I69" s="3">
        <f t="shared" si="7"/>
        <v>0.25204377079454532</v>
      </c>
    </row>
    <row r="70" spans="6:9" x14ac:dyDescent="0.25">
      <c r="F70" s="12">
        <f t="shared" si="4"/>
        <v>5.4999999999999964</v>
      </c>
      <c r="G70" s="5">
        <f t="shared" si="5"/>
        <v>-0.33286961933927617</v>
      </c>
      <c r="H70" s="5">
        <f t="shared" si="6"/>
        <v>0.73259929466605644</v>
      </c>
      <c r="I70" s="3">
        <f t="shared" si="7"/>
        <v>0.2065786995501693</v>
      </c>
    </row>
    <row r="71" spans="6:9" x14ac:dyDescent="0.25">
      <c r="F71" s="12">
        <f t="shared" si="4"/>
        <v>5.5999999999999961</v>
      </c>
      <c r="G71" s="5">
        <f t="shared" si="5"/>
        <v>-0.25754390287716883</v>
      </c>
      <c r="H71" s="5">
        <f t="shared" si="6"/>
        <v>0.75325716462107339</v>
      </c>
      <c r="I71" s="3">
        <f t="shared" si="7"/>
        <v>0.15983160205201422</v>
      </c>
    </row>
    <row r="72" spans="6:9" x14ac:dyDescent="0.25">
      <c r="F72" s="12">
        <f t="shared" si="4"/>
        <v>5.6999999999999957</v>
      </c>
      <c r="G72" s="5">
        <f t="shared" si="5"/>
        <v>-0.18061987039454136</v>
      </c>
      <c r="H72" s="5">
        <f t="shared" si="6"/>
        <v>0.7692403248262748</v>
      </c>
      <c r="I72" s="3">
        <f t="shared" si="7"/>
        <v>0.11209259052564402</v>
      </c>
    </row>
    <row r="73" spans="6:9" x14ac:dyDescent="0.25">
      <c r="F73" s="12">
        <f t="shared" si="4"/>
        <v>5.7999999999999954</v>
      </c>
      <c r="G73" s="5">
        <f t="shared" si="5"/>
        <v>-0.10257491200665743</v>
      </c>
      <c r="H73" s="5">
        <f t="shared" si="6"/>
        <v>0.78044958387883923</v>
      </c>
      <c r="I73" s="3">
        <f t="shared" si="7"/>
        <v>6.3657933009532833E-2</v>
      </c>
    </row>
    <row r="74" spans="6:9" x14ac:dyDescent="0.25">
      <c r="F74" s="12">
        <f t="shared" si="4"/>
        <v>5.899999999999995</v>
      </c>
      <c r="G74" s="5">
        <f t="shared" si="5"/>
        <v>-2.3893374288678174E-2</v>
      </c>
      <c r="H74" s="5">
        <f t="shared" si="6"/>
        <v>0.78681537717979255</v>
      </c>
      <c r="I74" s="3">
        <f t="shared" si="7"/>
        <v>1.482821471727562E-2</v>
      </c>
    </row>
    <row r="75" spans="6:9" x14ac:dyDescent="0.25">
      <c r="F75" s="12">
        <f t="shared" si="4"/>
        <v>5.9999999999999947</v>
      </c>
      <c r="G75" s="5">
        <f t="shared" si="5"/>
        <v>5.4936445576473841E-2</v>
      </c>
      <c r="H75" s="5">
        <f t="shared" si="6"/>
        <v>0.78829819865152007</v>
      </c>
      <c r="I75" s="3">
        <f t="shared" si="7"/>
        <v>-3.4093527392565964E-2</v>
      </c>
    </row>
    <row r="76" spans="6:9" x14ac:dyDescent="0.25">
      <c r="F76" s="12">
        <f t="shared" si="4"/>
        <v>6.0999999999999943</v>
      </c>
      <c r="G76" s="5">
        <f t="shared" si="5"/>
        <v>0.1334253301677002</v>
      </c>
      <c r="H76" s="5">
        <f t="shared" si="6"/>
        <v>0.78488884591226349</v>
      </c>
      <c r="I76" s="3">
        <f t="shared" si="7"/>
        <v>-8.2803685262133109E-2</v>
      </c>
    </row>
    <row r="77" spans="6:9" x14ac:dyDescent="0.25">
      <c r="F77" s="12">
        <f t="shared" si="4"/>
        <v>6.199999999999994</v>
      </c>
      <c r="G77" s="5">
        <f t="shared" si="5"/>
        <v>0.21108617790630524</v>
      </c>
      <c r="H77" s="5">
        <f t="shared" si="6"/>
        <v>0.77660847738605021</v>
      </c>
      <c r="I77" s="3">
        <f t="shared" si="7"/>
        <v>-0.13099996392417851</v>
      </c>
    </row>
    <row r="78" spans="6:9" x14ac:dyDescent="0.25">
      <c r="F78" s="12">
        <f t="shared" ref="F78:F93" si="8">F77+delt</f>
        <v>6.2999999999999936</v>
      </c>
      <c r="G78" s="5">
        <f t="shared" ref="G78:G93" si="9">G77+H78*delt</f>
        <v>0.28743702600566845</v>
      </c>
      <c r="H78" s="5">
        <f t="shared" ref="H78:H93" si="10">H77+I77*delt</f>
        <v>0.76350848099363233</v>
      </c>
      <c r="I78" s="3">
        <f t="shared" ref="I78:I93" si="11">-(3*E*I/(m*L^3))*G78</f>
        <v>-0.17838325754294204</v>
      </c>
    </row>
    <row r="79" spans="6:9" x14ac:dyDescent="0.25">
      <c r="F79" s="12">
        <f t="shared" si="8"/>
        <v>6.3999999999999932</v>
      </c>
      <c r="G79" s="5">
        <f t="shared" si="9"/>
        <v>0.36200404152960225</v>
      </c>
      <c r="H79" s="5">
        <f t="shared" si="10"/>
        <v>0.74567015523933811</v>
      </c>
      <c r="I79" s="3">
        <f t="shared" si="11"/>
        <v>-0.22465950566329423</v>
      </c>
    </row>
    <row r="80" spans="6:9" x14ac:dyDescent="0.25">
      <c r="F80" s="12">
        <f t="shared" si="8"/>
        <v>6.4999999999999929</v>
      </c>
      <c r="G80" s="5">
        <f t="shared" si="9"/>
        <v>0.43432446199690311</v>
      </c>
      <c r="H80" s="5">
        <f t="shared" si="10"/>
        <v>0.72320420467300872</v>
      </c>
      <c r="I80" s="3">
        <f t="shared" si="11"/>
        <v>-0.26954151814827582</v>
      </c>
    </row>
    <row r="81" spans="6:9" x14ac:dyDescent="0.25">
      <c r="F81" s="12">
        <f t="shared" si="8"/>
        <v>6.5999999999999925</v>
      </c>
      <c r="G81" s="5">
        <f t="shared" si="9"/>
        <v>0.50394946728272116</v>
      </c>
      <c r="H81" s="5">
        <f t="shared" si="10"/>
        <v>0.69625005285818109</v>
      </c>
      <c r="I81" s="3">
        <f t="shared" si="11"/>
        <v>-0.312750757479481</v>
      </c>
    </row>
    <row r="82" spans="6:9" x14ac:dyDescent="0.25">
      <c r="F82" s="12">
        <f t="shared" si="8"/>
        <v>6.6999999999999922</v>
      </c>
      <c r="G82" s="5">
        <f t="shared" si="9"/>
        <v>0.57044696499374448</v>
      </c>
      <c r="H82" s="5">
        <f t="shared" si="10"/>
        <v>0.66497497711023301</v>
      </c>
      <c r="I82" s="3">
        <f t="shared" si="11"/>
        <v>-0.3540190673593388</v>
      </c>
    </row>
    <row r="83" spans="6:9" x14ac:dyDescent="0.25">
      <c r="F83" s="12">
        <f t="shared" si="8"/>
        <v>6.7999999999999918</v>
      </c>
      <c r="G83" s="5">
        <f t="shared" si="9"/>
        <v>0.63340427203117433</v>
      </c>
      <c r="H83" s="5">
        <f t="shared" si="10"/>
        <v>0.6295730703742991</v>
      </c>
      <c r="I83" s="3">
        <f t="shared" si="11"/>
        <v>-0.39309033688759526</v>
      </c>
    </row>
    <row r="84" spans="6:9" x14ac:dyDescent="0.25">
      <c r="F84" s="12">
        <f t="shared" si="8"/>
        <v>6.8999999999999915</v>
      </c>
      <c r="G84" s="5">
        <f t="shared" si="9"/>
        <v>0.69243067569972827</v>
      </c>
      <c r="H84" s="5">
        <f t="shared" si="10"/>
        <v>0.59026403668553962</v>
      </c>
      <c r="I84" s="3">
        <f t="shared" si="11"/>
        <v>-0.42972208998412803</v>
      </c>
    </row>
    <row r="85" spans="6:9" x14ac:dyDescent="0.25">
      <c r="F85" s="12">
        <f t="shared" si="8"/>
        <v>6.9999999999999911</v>
      </c>
      <c r="G85" s="5">
        <f t="shared" si="9"/>
        <v>0.74715985846844091</v>
      </c>
      <c r="H85" s="5">
        <f t="shared" si="10"/>
        <v>0.54729182768712681</v>
      </c>
      <c r="I85" s="3">
        <f t="shared" si="11"/>
        <v>-0.463686990194143</v>
      </c>
    </row>
    <row r="86" spans="6:9" x14ac:dyDescent="0.25">
      <c r="F86" s="12">
        <f t="shared" si="8"/>
        <v>7.0999999999999908</v>
      </c>
      <c r="G86" s="5">
        <f t="shared" si="9"/>
        <v>0.7972521713352122</v>
      </c>
      <c r="H86" s="5">
        <f t="shared" si="10"/>
        <v>0.50092312866771249</v>
      </c>
      <c r="I86" s="3">
        <f t="shared" si="11"/>
        <v>-0.49477425153694121</v>
      </c>
    </row>
    <row r="87" spans="6:9" x14ac:dyDescent="0.25">
      <c r="F87" s="12">
        <f t="shared" si="8"/>
        <v>7.1999999999999904</v>
      </c>
      <c r="G87" s="5">
        <f t="shared" si="9"/>
        <v>0.84239674168661405</v>
      </c>
      <c r="H87" s="5">
        <f t="shared" si="10"/>
        <v>0.45144570351401836</v>
      </c>
      <c r="I87" s="3">
        <f t="shared" si="11"/>
        <v>-0.52279094664253545</v>
      </c>
    </row>
    <row r="88" spans="6:9" x14ac:dyDescent="0.25">
      <c r="F88" s="12">
        <f t="shared" si="8"/>
        <v>7.2999999999999901</v>
      </c>
      <c r="G88" s="5">
        <f t="shared" si="9"/>
        <v>0.88231340257159052</v>
      </c>
      <c r="H88" s="5">
        <f t="shared" si="10"/>
        <v>0.39916660884976479</v>
      </c>
      <c r="I88" s="3">
        <f t="shared" si="11"/>
        <v>-0.54756320405782966</v>
      </c>
    </row>
    <row r="89" spans="6:9" x14ac:dyDescent="0.25">
      <c r="F89" s="12">
        <f t="shared" si="8"/>
        <v>7.3999999999999897</v>
      </c>
      <c r="G89" s="5">
        <f t="shared" si="9"/>
        <v>0.91675443141598867</v>
      </c>
      <c r="H89" s="5">
        <f t="shared" si="10"/>
        <v>0.3444102884439818</v>
      </c>
      <c r="I89" s="3">
        <f t="shared" si="11"/>
        <v>-0.56893728729188398</v>
      </c>
    </row>
    <row r="90" spans="6:9" x14ac:dyDescent="0.25">
      <c r="F90" s="12">
        <f t="shared" si="8"/>
        <v>7.4999999999999893</v>
      </c>
      <c r="G90" s="5">
        <f t="shared" si="9"/>
        <v>0.945506087387468</v>
      </c>
      <c r="H90" s="5">
        <f t="shared" si="10"/>
        <v>0.2875165597147934</v>
      </c>
      <c r="I90" s="3">
        <f t="shared" si="11"/>
        <v>-0.58678054890371723</v>
      </c>
    </row>
    <row r="91" spans="6:9" x14ac:dyDescent="0.25">
      <c r="F91" s="12">
        <f t="shared" si="8"/>
        <v>7.599999999999989</v>
      </c>
      <c r="G91" s="5">
        <f t="shared" si="9"/>
        <v>0.96838993786991012</v>
      </c>
      <c r="H91" s="5">
        <f t="shared" si="10"/>
        <v>0.22883850482442167</v>
      </c>
      <c r="I91" s="3">
        <f t="shared" si="11"/>
        <v>-0.60098225371158409</v>
      </c>
    </row>
    <row r="92" spans="6:9" x14ac:dyDescent="0.25">
      <c r="F92" s="12">
        <f t="shared" si="8"/>
        <v>7.6999999999999886</v>
      </c>
      <c r="G92" s="5">
        <f t="shared" si="9"/>
        <v>0.98526396581523645</v>
      </c>
      <c r="H92" s="5">
        <f t="shared" si="10"/>
        <v>0.16874027945326325</v>
      </c>
      <c r="I92" s="3">
        <f t="shared" si="11"/>
        <v>-0.61145426601489317</v>
      </c>
    </row>
    <row r="93" spans="6:9" x14ac:dyDescent="0.25">
      <c r="F93" s="12">
        <f t="shared" si="8"/>
        <v>7.7999999999999883</v>
      </c>
      <c r="G93" s="5">
        <f t="shared" si="9"/>
        <v>0.99602345110041379</v>
      </c>
      <c r="H93" s="5">
        <f t="shared" si="10"/>
        <v>0.10759485285177393</v>
      </c>
      <c r="I93" s="3">
        <f t="shared" si="11"/>
        <v>-0.61813159656387207</v>
      </c>
    </row>
    <row r="94" spans="6:9" x14ac:dyDescent="0.25">
      <c r="F94" s="12">
        <f t="shared" ref="F94:F100" si="12">F93+delt</f>
        <v>7.8999999999999879</v>
      </c>
      <c r="G94" s="5">
        <f t="shared" ref="G94:G100" si="13">G93+H94*delt</f>
        <v>1.0006016204199524</v>
      </c>
      <c r="H94" s="5">
        <f t="shared" ref="H94:H100" si="14">H93+I93*delt</f>
        <v>4.5781693195386726E-2</v>
      </c>
      <c r="I94" s="3">
        <f t="shared" ref="I94:I100" si="15">-(3*E*I/(m*L^3))*G94</f>
        <v>-0.6209728058824876</v>
      </c>
    </row>
    <row r="95" spans="6:9" x14ac:dyDescent="0.25">
      <c r="F95" s="12">
        <f t="shared" si="12"/>
        <v>7.9999999999999876</v>
      </c>
      <c r="G95" s="5">
        <f t="shared" si="13"/>
        <v>0.99897006168066615</v>
      </c>
      <c r="H95" s="5">
        <f t="shared" si="14"/>
        <v>-1.6315587392862034E-2</v>
      </c>
      <c r="I95" s="3">
        <f t="shared" si="15"/>
        <v>-0.61996026144160266</v>
      </c>
    </row>
    <row r="96" spans="6:9" x14ac:dyDescent="0.25">
      <c r="F96" s="12">
        <f t="shared" si="12"/>
        <v>8.0999999999999872</v>
      </c>
      <c r="G96" s="5">
        <f t="shared" si="13"/>
        <v>0.99113890032696395</v>
      </c>
      <c r="H96" s="5">
        <f t="shared" si="14"/>
        <v>-7.8311613537022304E-2</v>
      </c>
      <c r="I96" s="3">
        <f t="shared" si="15"/>
        <v>-0.61510024708635314</v>
      </c>
    </row>
    <row r="97" spans="6:9" x14ac:dyDescent="0.25">
      <c r="F97" s="12">
        <f t="shared" si="12"/>
        <v>8.1999999999999869</v>
      </c>
      <c r="G97" s="5">
        <f t="shared" si="13"/>
        <v>0.9771567365023982</v>
      </c>
      <c r="H97" s="5">
        <f t="shared" si="14"/>
        <v>-0.13982163824565763</v>
      </c>
      <c r="I97" s="3">
        <f t="shared" si="15"/>
        <v>-0.60642292403863995</v>
      </c>
    </row>
    <row r="98" spans="6:9" x14ac:dyDescent="0.25">
      <c r="F98" s="12">
        <f t="shared" si="12"/>
        <v>8.2999999999999865</v>
      </c>
      <c r="G98" s="5">
        <f t="shared" si="13"/>
        <v>0.95711034343744605</v>
      </c>
      <c r="H98" s="5">
        <f t="shared" si="14"/>
        <v>-0.20046393064952162</v>
      </c>
      <c r="I98" s="3">
        <f t="shared" si="15"/>
        <v>-0.59398214371675517</v>
      </c>
    </row>
    <row r="99" spans="6:9" x14ac:dyDescent="0.25">
      <c r="F99" s="12">
        <f t="shared" si="12"/>
        <v>8.3999999999999861</v>
      </c>
      <c r="G99" s="5">
        <f t="shared" si="13"/>
        <v>0.93112412893532637</v>
      </c>
      <c r="H99" s="5">
        <f t="shared" si="14"/>
        <v>-0.25986214502119714</v>
      </c>
      <c r="I99" s="3">
        <f t="shared" si="15"/>
        <v>-0.57785511353378094</v>
      </c>
    </row>
    <row r="100" spans="6:9" ht="13" thickBot="1" x14ac:dyDescent="0.3">
      <c r="F100" s="30">
        <f t="shared" si="12"/>
        <v>8.4999999999999858</v>
      </c>
      <c r="G100" s="31">
        <f t="shared" si="13"/>
        <v>0.89935936329786881</v>
      </c>
      <c r="H100" s="31">
        <f t="shared" si="14"/>
        <v>-0.31764765637457526</v>
      </c>
      <c r="I100" s="32">
        <f t="shared" si="15"/>
        <v>-0.55814191774881605</v>
      </c>
    </row>
  </sheetData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  <drawing r:id="rId2"/>
  <legacyDrawing r:id="rId3"/>
  <oleObjects>
    <mc:AlternateContent xmlns:mc="http://schemas.openxmlformats.org/markup-compatibility/2006">
      <mc:Choice Requires="x14">
        <oleObject progId="Equation.2" shapeId="2049" r:id="rId4">
          <objectPr defaultSize="0" autoPict="0" r:id="rId5">
            <anchor moveWithCells="1">
              <from>
                <xdr:col>0</xdr:col>
                <xdr:colOff>215900</xdr:colOff>
                <xdr:row>1</xdr:row>
                <xdr:rowOff>146050</xdr:rowOff>
              </from>
              <to>
                <xdr:col>2</xdr:col>
                <xdr:colOff>533400</xdr:colOff>
                <xdr:row>5</xdr:row>
                <xdr:rowOff>6350</xdr:rowOff>
              </to>
            </anchor>
          </objectPr>
        </oleObject>
      </mc:Choice>
      <mc:Fallback>
        <oleObject progId="Equation.2" shapeId="204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00"/>
  <sheetViews>
    <sheetView workbookViewId="0"/>
  </sheetViews>
  <sheetFormatPr defaultColWidth="8.90625" defaultRowHeight="12.5" x14ac:dyDescent="0.25"/>
  <cols>
    <col min="5" max="5" width="6.08984375" customWidth="1"/>
    <col min="6" max="6" width="6.6328125" customWidth="1"/>
    <col min="7" max="7" width="9.36328125" customWidth="1"/>
    <col min="8" max="9" width="8.36328125" customWidth="1"/>
    <col min="10" max="10" width="9" customWidth="1"/>
  </cols>
  <sheetData>
    <row r="1" spans="1:10" x14ac:dyDescent="0.25">
      <c r="A1" t="s">
        <v>0</v>
      </c>
    </row>
    <row r="2" spans="1:10" ht="13" thickBot="1" x14ac:dyDescent="0.3">
      <c r="E2" t="s">
        <v>2</v>
      </c>
    </row>
    <row r="3" spans="1:10" x14ac:dyDescent="0.25">
      <c r="D3" s="1"/>
      <c r="E3" s="11"/>
      <c r="F3" s="8" t="s">
        <v>3</v>
      </c>
      <c r="G3" s="6">
        <v>29000000</v>
      </c>
      <c r="H3" s="2" t="s">
        <v>4</v>
      </c>
    </row>
    <row r="4" spans="1:10" ht="14.5" x14ac:dyDescent="0.25">
      <c r="D4" s="12"/>
      <c r="E4" s="5"/>
      <c r="F4" s="9" t="s">
        <v>5</v>
      </c>
      <c r="G4" s="5">
        <v>426</v>
      </c>
      <c r="H4" s="3" t="s">
        <v>6</v>
      </c>
    </row>
    <row r="5" spans="1:10" x14ac:dyDescent="0.25">
      <c r="D5" s="12"/>
      <c r="E5" s="5"/>
      <c r="F5" s="9" t="s">
        <v>7</v>
      </c>
      <c r="G5" s="5">
        <v>144</v>
      </c>
      <c r="H5" s="3" t="s">
        <v>8</v>
      </c>
    </row>
    <row r="6" spans="1:10" ht="13" thickBot="1" x14ac:dyDescent="0.3">
      <c r="D6" s="13"/>
      <c r="E6" s="7"/>
      <c r="F6" s="15" t="s">
        <v>11</v>
      </c>
      <c r="G6" s="15">
        <v>20000</v>
      </c>
      <c r="H6" s="4" t="s">
        <v>12</v>
      </c>
    </row>
    <row r="7" spans="1:10" ht="13" thickBot="1" x14ac:dyDescent="0.3"/>
    <row r="8" spans="1:10" ht="13" thickBot="1" x14ac:dyDescent="0.3">
      <c r="A8" s="18"/>
      <c r="B8" s="20"/>
      <c r="C8" s="23" t="s">
        <v>13</v>
      </c>
      <c r="D8" s="20">
        <f>(1/(2*PI()))*SQRT(3*E*I/(m*L^3))</f>
        <v>0.12537929443092741</v>
      </c>
      <c r="E8" s="19" t="s">
        <v>14</v>
      </c>
      <c r="F8" s="21" t="s">
        <v>15</v>
      </c>
      <c r="G8" s="20">
        <f>1/D8</f>
        <v>7.9757985920945593</v>
      </c>
      <c r="H8" s="19" t="s">
        <v>16</v>
      </c>
    </row>
    <row r="11" spans="1:10" ht="13" thickBot="1" x14ac:dyDescent="0.3">
      <c r="F11" s="34" t="s">
        <v>26</v>
      </c>
      <c r="G11" s="34"/>
      <c r="H11" s="34"/>
    </row>
    <row r="12" spans="1:10" ht="13" thickBot="1" x14ac:dyDescent="0.3">
      <c r="F12" s="21" t="s">
        <v>18</v>
      </c>
      <c r="G12" s="20">
        <v>0.1</v>
      </c>
      <c r="H12" s="19" t="s">
        <v>19</v>
      </c>
    </row>
    <row r="13" spans="1:10" ht="13" thickBot="1" x14ac:dyDescent="0.3"/>
    <row r="14" spans="1:10" ht="26.4" customHeight="1" thickBot="1" x14ac:dyDescent="0.3">
      <c r="F14" s="26" t="s">
        <v>20</v>
      </c>
      <c r="G14" s="29" t="s">
        <v>27</v>
      </c>
      <c r="H14" s="24" t="s">
        <v>22</v>
      </c>
      <c r="I14" s="25" t="s">
        <v>23</v>
      </c>
      <c r="J14" s="27" t="s">
        <v>28</v>
      </c>
    </row>
    <row r="15" spans="1:10" x14ac:dyDescent="0.25">
      <c r="F15" s="12">
        <v>0</v>
      </c>
      <c r="G15" s="12">
        <v>1</v>
      </c>
      <c r="H15" s="5">
        <v>0</v>
      </c>
      <c r="I15" s="3">
        <f t="shared" ref="I15:I61" si="0">-(3*E*I/(m*L^3))*G15</f>
        <v>-0.6205994405864198</v>
      </c>
      <c r="J15" s="28">
        <f>G15</f>
        <v>1</v>
      </c>
    </row>
    <row r="16" spans="1:10" ht="13" thickBot="1" x14ac:dyDescent="0.3">
      <c r="F16" s="12">
        <f t="shared" ref="F16:F61" si="1">F15+delt</f>
        <v>0.1</v>
      </c>
      <c r="G16" s="12">
        <f>J15+H16*delt</f>
        <v>0.99379400559413578</v>
      </c>
      <c r="H16" s="5">
        <f t="shared" ref="H16:H61" si="2">H15+I15*delt</f>
        <v>-6.2059944058641986E-2</v>
      </c>
      <c r="I16" s="3">
        <f t="shared" si="0"/>
        <v>-0.61674800392985807</v>
      </c>
      <c r="J16" s="28">
        <f>J15+((H15+H16)/2)*delt</f>
        <v>0.99689700279706794</v>
      </c>
    </row>
    <row r="17" spans="6:14" x14ac:dyDescent="0.25">
      <c r="F17" s="12">
        <f t="shared" si="1"/>
        <v>0.2</v>
      </c>
      <c r="G17" s="12">
        <f t="shared" ref="G17:G32" si="3">J16+H17*delt</f>
        <v>0.98452352835190515</v>
      </c>
      <c r="H17" s="5">
        <f t="shared" si="2"/>
        <v>-0.1237347444516278</v>
      </c>
      <c r="I17" s="3">
        <f t="shared" si="0"/>
        <v>-0.61099475093936051</v>
      </c>
      <c r="J17" s="28">
        <f t="shared" ref="J17:J32" si="4">J16+((H16+H17)/2)*delt</f>
        <v>0.98760726837155444</v>
      </c>
      <c r="M17" s="1" t="s">
        <v>24</v>
      </c>
      <c r="N17" s="2"/>
    </row>
    <row r="18" spans="6:14" x14ac:dyDescent="0.25">
      <c r="F18" s="12">
        <f t="shared" si="1"/>
        <v>0.30000000000000004</v>
      </c>
      <c r="G18" s="12">
        <f t="shared" si="3"/>
        <v>0.969123846416998</v>
      </c>
      <c r="H18" s="5">
        <f t="shared" si="2"/>
        <v>-0.18483421954556384</v>
      </c>
      <c r="I18" s="3">
        <f t="shared" si="0"/>
        <v>-0.60143771694534842</v>
      </c>
      <c r="J18" s="28">
        <f t="shared" si="4"/>
        <v>0.97217882017169488</v>
      </c>
      <c r="M18" s="12" t="s">
        <v>25</v>
      </c>
      <c r="N18" s="3"/>
    </row>
    <row r="19" spans="6:14" x14ac:dyDescent="0.25">
      <c r="F19" s="12">
        <f t="shared" si="1"/>
        <v>0.4</v>
      </c>
      <c r="G19" s="12">
        <f t="shared" si="3"/>
        <v>0.94768102104768503</v>
      </c>
      <c r="H19" s="5">
        <f t="shared" si="2"/>
        <v>-0.24497799124009867</v>
      </c>
      <c r="I19" s="3">
        <f t="shared" si="0"/>
        <v>-0.58813031151656048</v>
      </c>
      <c r="J19" s="28">
        <f t="shared" si="4"/>
        <v>0.95068820963241174</v>
      </c>
      <c r="M19" s="12">
        <f>G8</f>
        <v>7.9757985920945593</v>
      </c>
      <c r="N19" s="3">
        <v>-1.1000000000000001</v>
      </c>
    </row>
    <row r="20" spans="6:14" ht="13" thickBot="1" x14ac:dyDescent="0.3">
      <c r="F20" s="12">
        <f t="shared" si="1"/>
        <v>0.5</v>
      </c>
      <c r="G20" s="12">
        <f t="shared" si="3"/>
        <v>0.92030910739323624</v>
      </c>
      <c r="H20" s="5">
        <f t="shared" si="2"/>
        <v>-0.30379102239175471</v>
      </c>
      <c r="I20" s="3">
        <f t="shared" si="0"/>
        <v>-0.5711433172148298</v>
      </c>
      <c r="J20" s="28">
        <f t="shared" si="4"/>
        <v>0.92324975895081907</v>
      </c>
      <c r="M20" s="13">
        <f>M19</f>
        <v>7.9757985920945593</v>
      </c>
      <c r="N20" s="4">
        <v>1.1000000000000001</v>
      </c>
    </row>
    <row r="21" spans="6:14" x14ac:dyDescent="0.25">
      <c r="F21" s="12">
        <f t="shared" si="1"/>
        <v>0.6</v>
      </c>
      <c r="G21" s="12">
        <f t="shared" si="3"/>
        <v>0.88715922353949528</v>
      </c>
      <c r="H21" s="5">
        <f t="shared" si="2"/>
        <v>-0.36090535411323771</v>
      </c>
      <c r="I21" s="3">
        <f t="shared" si="0"/>
        <v>-0.55057051783969335</v>
      </c>
      <c r="J21" s="28">
        <f t="shared" si="4"/>
        <v>0.89001494012556948</v>
      </c>
    </row>
    <row r="22" spans="6:14" x14ac:dyDescent="0.25">
      <c r="F22" s="12">
        <f t="shared" si="1"/>
        <v>0.7</v>
      </c>
      <c r="G22" s="12">
        <f t="shared" si="3"/>
        <v>0.84841869953584881</v>
      </c>
      <c r="H22" s="5">
        <f t="shared" si="2"/>
        <v>-0.41596240589720707</v>
      </c>
      <c r="I22" s="3">
        <f t="shared" si="0"/>
        <v>-0.52652817031500554</v>
      </c>
      <c r="J22" s="28">
        <f t="shared" si="4"/>
        <v>0.85117155212504725</v>
      </c>
    </row>
    <row r="23" spans="6:14" x14ac:dyDescent="0.25">
      <c r="F23" s="12">
        <f t="shared" si="1"/>
        <v>0.79999999999999993</v>
      </c>
      <c r="G23" s="12">
        <f t="shared" si="3"/>
        <v>0.80431002983217648</v>
      </c>
      <c r="H23" s="5">
        <f t="shared" si="2"/>
        <v>-0.46861522292870761</v>
      </c>
      <c r="I23" s="3">
        <f t="shared" si="0"/>
        <v>-0.49915435457189533</v>
      </c>
      <c r="J23" s="28">
        <f t="shared" si="4"/>
        <v>0.80694267068375147</v>
      </c>
    </row>
    <row r="24" spans="6:14" x14ac:dyDescent="0.25">
      <c r="F24" s="12">
        <f t="shared" si="1"/>
        <v>0.89999999999999991</v>
      </c>
      <c r="G24" s="12">
        <f t="shared" si="3"/>
        <v>0.75508960484516174</v>
      </c>
      <c r="H24" s="5">
        <f t="shared" si="2"/>
        <v>-0.51853065838589718</v>
      </c>
      <c r="I24" s="3">
        <f t="shared" si="0"/>
        <v>-0.46860818635952817</v>
      </c>
      <c r="J24" s="28">
        <f t="shared" si="4"/>
        <v>0.75758537661802128</v>
      </c>
    </row>
    <row r="25" spans="6:14" x14ac:dyDescent="0.25">
      <c r="F25" s="12">
        <f t="shared" si="1"/>
        <v>0.99999999999999989</v>
      </c>
      <c r="G25" s="12">
        <f t="shared" si="3"/>
        <v>0.70104622891583623</v>
      </c>
      <c r="H25" s="5">
        <f t="shared" si="2"/>
        <v>-0.56539147702185</v>
      </c>
      <c r="I25" s="3">
        <f t="shared" si="0"/>
        <v>-0.43506889749038719</v>
      </c>
      <c r="J25" s="28">
        <f t="shared" si="4"/>
        <v>0.70338926984763395</v>
      </c>
    </row>
    <row r="26" spans="6:14" x14ac:dyDescent="0.25">
      <c r="F26" s="12">
        <f t="shared" si="1"/>
        <v>1.0999999999999999</v>
      </c>
      <c r="G26" s="12">
        <f t="shared" si="3"/>
        <v>0.64249943317054503</v>
      </c>
      <c r="H26" s="5">
        <f t="shared" si="2"/>
        <v>-0.60889836677088871</v>
      </c>
      <c r="I26" s="3">
        <f t="shared" si="0"/>
        <v>-0.39873478880273205</v>
      </c>
      <c r="J26" s="28">
        <f t="shared" si="4"/>
        <v>0.64467477765799697</v>
      </c>
    </row>
    <row r="27" spans="6:14" x14ac:dyDescent="0.25">
      <c r="F27" s="12">
        <f t="shared" si="1"/>
        <v>1.2</v>
      </c>
      <c r="G27" s="12">
        <f t="shared" si="3"/>
        <v>0.57979759309288081</v>
      </c>
      <c r="H27" s="5">
        <f t="shared" si="2"/>
        <v>-0.64877184565116197</v>
      </c>
      <c r="I27" s="3">
        <f t="shared" si="0"/>
        <v>-0.3598220619267945</v>
      </c>
      <c r="J27" s="28">
        <f t="shared" si="4"/>
        <v>0.58179126703689443</v>
      </c>
    </row>
    <row r="28" spans="6:14" x14ac:dyDescent="0.25">
      <c r="F28" s="12">
        <f t="shared" si="1"/>
        <v>1.3</v>
      </c>
      <c r="G28" s="12">
        <f t="shared" si="3"/>
        <v>0.51331586185251032</v>
      </c>
      <c r="H28" s="5">
        <f t="shared" si="2"/>
        <v>-0.68475405184384142</v>
      </c>
      <c r="I28" s="3">
        <f t="shared" si="0"/>
        <v>-0.31856353670980386</v>
      </c>
      <c r="J28" s="28">
        <f t="shared" si="4"/>
        <v>0.5151149721621443</v>
      </c>
    </row>
    <row r="29" spans="6:14" x14ac:dyDescent="0.25">
      <c r="F29" s="12">
        <f t="shared" si="1"/>
        <v>1.4000000000000001</v>
      </c>
      <c r="G29" s="12">
        <f t="shared" si="3"/>
        <v>0.4434539316106621</v>
      </c>
      <c r="H29" s="5">
        <f t="shared" si="2"/>
        <v>-0.7166104055148218</v>
      </c>
      <c r="I29" s="3">
        <f t="shared" si="0"/>
        <v>-0.27520726188342537</v>
      </c>
      <c r="J29" s="28">
        <f t="shared" si="4"/>
        <v>0.44504674929421112</v>
      </c>
    </row>
    <row r="30" spans="6:14" x14ac:dyDescent="0.25">
      <c r="F30" s="12">
        <f t="shared" si="1"/>
        <v>1.5000000000000002</v>
      </c>
      <c r="G30" s="12">
        <f t="shared" si="3"/>
        <v>0.37063363612389466</v>
      </c>
      <c r="H30" s="5">
        <f t="shared" si="2"/>
        <v>-0.74413113170316436</v>
      </c>
      <c r="I30" s="3">
        <f t="shared" si="0"/>
        <v>-0.2300150272409997</v>
      </c>
      <c r="J30" s="28">
        <f t="shared" si="4"/>
        <v>0.37200967243331179</v>
      </c>
    </row>
    <row r="31" spans="6:14" x14ac:dyDescent="0.25">
      <c r="F31" s="12">
        <f t="shared" si="1"/>
        <v>1.6000000000000003</v>
      </c>
      <c r="G31" s="12">
        <f t="shared" si="3"/>
        <v>0.29529640899058535</v>
      </c>
      <c r="H31" s="5">
        <f t="shared" si="2"/>
        <v>-0.76713263442726431</v>
      </c>
      <c r="I31" s="3">
        <f t="shared" si="0"/>
        <v>-0.18326078622673589</v>
      </c>
      <c r="J31" s="28">
        <f t="shared" si="4"/>
        <v>0.29644648412679037</v>
      </c>
    </row>
    <row r="32" spans="6:14" x14ac:dyDescent="0.25">
      <c r="F32" s="12">
        <f t="shared" si="1"/>
        <v>1.7000000000000004</v>
      </c>
      <c r="G32" s="12">
        <f t="shared" si="3"/>
        <v>0.21790061282179657</v>
      </c>
      <c r="H32" s="5">
        <f t="shared" si="2"/>
        <v>-0.78545871304993786</v>
      </c>
      <c r="I32" s="3">
        <f t="shared" si="0"/>
        <v>-0.13522899842064501</v>
      </c>
      <c r="J32" s="28">
        <f t="shared" si="4"/>
        <v>0.21881691675293025</v>
      </c>
    </row>
    <row r="33" spans="6:10" x14ac:dyDescent="0.25">
      <c r="F33" s="12">
        <f t="shared" si="1"/>
        <v>1.8000000000000005</v>
      </c>
      <c r="G33" s="12">
        <f t="shared" ref="G33:G48" si="5">J32+H33*delt</f>
        <v>0.13891875546373</v>
      </c>
      <c r="H33" s="5">
        <f t="shared" si="2"/>
        <v>-0.79898161289200231</v>
      </c>
      <c r="I33" s="3">
        <f t="shared" si="0"/>
        <v>-8.6212901927752494E-2</v>
      </c>
      <c r="J33" s="28">
        <f t="shared" ref="J33:J48" si="6">J32+((H32+H33)/2)*delt</f>
        <v>0.13959490045583323</v>
      </c>
    </row>
    <row r="34" spans="6:10" x14ac:dyDescent="0.25">
      <c r="F34" s="12">
        <f t="shared" si="1"/>
        <v>1.9000000000000006</v>
      </c>
      <c r="G34" s="12">
        <f t="shared" si="5"/>
        <v>5.8834610147355471E-2</v>
      </c>
      <c r="H34" s="5">
        <f t="shared" si="2"/>
        <v>-0.80760290308477756</v>
      </c>
      <c r="I34" s="3">
        <f t="shared" si="0"/>
        <v>-3.6512726144568901E-2</v>
      </c>
      <c r="J34" s="28">
        <f t="shared" si="6"/>
        <v>5.9265674656994227E-2</v>
      </c>
    </row>
    <row r="35" spans="6:10" x14ac:dyDescent="0.25">
      <c r="F35" s="12">
        <f t="shared" si="1"/>
        <v>2.0000000000000004</v>
      </c>
      <c r="G35" s="12">
        <f t="shared" si="5"/>
        <v>-2.185974291292922E-2</v>
      </c>
      <c r="H35" s="5">
        <f t="shared" si="2"/>
        <v>-0.81125417569923441</v>
      </c>
      <c r="I35" s="3">
        <f t="shared" si="0"/>
        <v>1.3566144223126828E-2</v>
      </c>
      <c r="J35" s="28">
        <f t="shared" si="6"/>
        <v>-2.1677179282206374E-2</v>
      </c>
    </row>
    <row r="36" spans="6:10" x14ac:dyDescent="0.25">
      <c r="F36" s="12">
        <f t="shared" si="1"/>
        <v>2.1000000000000005</v>
      </c>
      <c r="G36" s="12">
        <f t="shared" si="5"/>
        <v>-0.10266693540989855</v>
      </c>
      <c r="H36" s="5">
        <f t="shared" si="2"/>
        <v>-0.8098975612769217</v>
      </c>
      <c r="I36" s="3">
        <f t="shared" si="0"/>
        <v>6.3715042682105136E-2</v>
      </c>
      <c r="J36" s="28">
        <f t="shared" si="6"/>
        <v>-0.10273476613101419</v>
      </c>
    </row>
    <row r="37" spans="6:10" x14ac:dyDescent="0.25">
      <c r="F37" s="12">
        <f t="shared" si="1"/>
        <v>2.2000000000000006</v>
      </c>
      <c r="G37" s="12">
        <f t="shared" si="5"/>
        <v>-0.18308737183188531</v>
      </c>
      <c r="H37" s="5">
        <f t="shared" si="2"/>
        <v>-0.80352605700871116</v>
      </c>
      <c r="I37" s="3">
        <f t="shared" si="0"/>
        <v>0.11362392053730586</v>
      </c>
      <c r="J37" s="28">
        <f t="shared" si="6"/>
        <v>-0.18340594704529584</v>
      </c>
    </row>
    <row r="38" spans="6:10" x14ac:dyDescent="0.25">
      <c r="F38" s="12">
        <f t="shared" si="1"/>
        <v>2.3000000000000007</v>
      </c>
      <c r="G38" s="12">
        <f t="shared" si="5"/>
        <v>-0.26262231354079391</v>
      </c>
      <c r="H38" s="5">
        <f t="shared" si="2"/>
        <v>-0.79216366495498058</v>
      </c>
      <c r="I38" s="3">
        <f t="shared" si="0"/>
        <v>0.16298326086892803</v>
      </c>
      <c r="J38" s="28">
        <f t="shared" si="6"/>
        <v>-0.26319043314348045</v>
      </c>
    </row>
    <row r="39" spans="6:10" x14ac:dyDescent="0.25">
      <c r="F39" s="12">
        <f t="shared" si="1"/>
        <v>2.4000000000000008</v>
      </c>
      <c r="G39" s="12">
        <f t="shared" si="5"/>
        <v>-0.34077696703028926</v>
      </c>
      <c r="H39" s="5">
        <f t="shared" si="2"/>
        <v>-0.77586533886808773</v>
      </c>
      <c r="I39" s="3">
        <f t="shared" si="0"/>
        <v>0.21148599510373434</v>
      </c>
      <c r="J39" s="28">
        <f t="shared" si="6"/>
        <v>-0.34159188333463386</v>
      </c>
    </row>
    <row r="40" spans="6:10" x14ac:dyDescent="0.25">
      <c r="F40" s="12">
        <f t="shared" si="1"/>
        <v>2.5000000000000009</v>
      </c>
      <c r="G40" s="12">
        <f t="shared" si="5"/>
        <v>-0.41706355727040528</v>
      </c>
      <c r="H40" s="5">
        <f t="shared" si="2"/>
        <v>-0.75471673935771433</v>
      </c>
      <c r="I40" s="3">
        <f t="shared" si="0"/>
        <v>0.25882941033099577</v>
      </c>
      <c r="J40" s="28">
        <f t="shared" si="6"/>
        <v>-0.41812098724592395</v>
      </c>
    </row>
    <row r="41" spans="6:10" x14ac:dyDescent="0.25">
      <c r="F41" s="12">
        <f t="shared" si="1"/>
        <v>2.600000000000001</v>
      </c>
      <c r="G41" s="12">
        <f t="shared" si="5"/>
        <v>-0.49100436707838541</v>
      </c>
      <c r="H41" s="5">
        <f t="shared" si="2"/>
        <v>-0.7288337983246147</v>
      </c>
      <c r="I41" s="3">
        <f t="shared" si="0"/>
        <v>0.3047170355343351</v>
      </c>
      <c r="J41" s="28">
        <f t="shared" si="6"/>
        <v>-0.49229851413004039</v>
      </c>
    </row>
    <row r="42" spans="6:10" x14ac:dyDescent="0.25">
      <c r="F42" s="12">
        <f t="shared" si="1"/>
        <v>2.7000000000000011</v>
      </c>
      <c r="G42" s="12">
        <f t="shared" si="5"/>
        <v>-0.56213472360715855</v>
      </c>
      <c r="H42" s="5">
        <f t="shared" si="2"/>
        <v>-0.69836209477118116</v>
      </c>
      <c r="I42" s="3">
        <f t="shared" si="0"/>
        <v>0.34886049500480432</v>
      </c>
      <c r="J42" s="28">
        <f t="shared" si="6"/>
        <v>-0.56365830878483014</v>
      </c>
    </row>
    <row r="43" spans="6:10" x14ac:dyDescent="0.25">
      <c r="F43" s="12">
        <f t="shared" si="1"/>
        <v>2.8000000000000012</v>
      </c>
      <c r="G43" s="12">
        <f t="shared" si="5"/>
        <v>-0.63000591331190026</v>
      </c>
      <c r="H43" s="5">
        <f t="shared" si="2"/>
        <v>-0.6634760452707007</v>
      </c>
      <c r="I43" s="3">
        <f t="shared" si="0"/>
        <v>0.3909813173675018</v>
      </c>
      <c r="J43" s="28">
        <f t="shared" si="6"/>
        <v>-0.63175021578692425</v>
      </c>
    </row>
    <row r="44" spans="6:10" x14ac:dyDescent="0.25">
      <c r="F44" s="12">
        <f t="shared" si="1"/>
        <v>2.9000000000000012</v>
      </c>
      <c r="G44" s="12">
        <f t="shared" si="5"/>
        <v>-0.69418800714031925</v>
      </c>
      <c r="H44" s="5">
        <f t="shared" si="2"/>
        <v>-0.62437791353395056</v>
      </c>
      <c r="I44" s="3">
        <f t="shared" si="0"/>
        <v>0.43081268889308372</v>
      </c>
      <c r="J44" s="28">
        <f t="shared" si="6"/>
        <v>-0.69614291372715686</v>
      </c>
    </row>
    <row r="45" spans="6:10" x14ac:dyDescent="0.25">
      <c r="F45" s="12">
        <f t="shared" si="1"/>
        <v>3.0000000000000013</v>
      </c>
      <c r="G45" s="12">
        <f t="shared" si="5"/>
        <v>-0.75427257819162108</v>
      </c>
      <c r="H45" s="5">
        <f t="shared" si="2"/>
        <v>-0.58129664464464215</v>
      </c>
      <c r="I45" s="3">
        <f t="shared" si="0"/>
        <v>0.4681011400753966</v>
      </c>
      <c r="J45" s="28">
        <f t="shared" si="6"/>
        <v>-0.75642664163608653</v>
      </c>
    </row>
    <row r="46" spans="6:10" x14ac:dyDescent="0.25">
      <c r="F46" s="12">
        <f t="shared" si="1"/>
        <v>3.1000000000000014</v>
      </c>
      <c r="G46" s="12">
        <f t="shared" si="5"/>
        <v>-0.8098752946997968</v>
      </c>
      <c r="H46" s="5">
        <f t="shared" si="2"/>
        <v>-0.5344865306371025</v>
      </c>
      <c r="I46" s="3">
        <f t="shared" si="0"/>
        <v>0.50260815483545573</v>
      </c>
      <c r="J46" s="28">
        <f t="shared" si="6"/>
        <v>-0.81221580040017372</v>
      </c>
    </row>
    <row r="47" spans="6:10" x14ac:dyDescent="0.25">
      <c r="F47" s="12">
        <f t="shared" si="1"/>
        <v>3.2000000000000015</v>
      </c>
      <c r="G47" s="12">
        <f t="shared" si="5"/>
        <v>-0.86063837191552939</v>
      </c>
      <c r="H47" s="5">
        <f t="shared" si="2"/>
        <v>-0.48422571515355695</v>
      </c>
      <c r="I47" s="3">
        <f t="shared" si="0"/>
        <v>0.5341116921579846</v>
      </c>
      <c r="J47" s="28">
        <f t="shared" si="6"/>
        <v>-0.86315141268970663</v>
      </c>
    </row>
    <row r="48" spans="6:10" x14ac:dyDescent="0.25">
      <c r="F48" s="12">
        <f t="shared" si="1"/>
        <v>3.3000000000000016</v>
      </c>
      <c r="G48" s="12">
        <f t="shared" si="5"/>
        <v>-0.90623286728348251</v>
      </c>
      <c r="H48" s="5">
        <f t="shared" si="2"/>
        <v>-0.43081454593775848</v>
      </c>
      <c r="I48" s="3">
        <f t="shared" si="0"/>
        <v>0.56240761047715648</v>
      </c>
      <c r="J48" s="28">
        <f t="shared" si="6"/>
        <v>-0.90890342574427241</v>
      </c>
    </row>
    <row r="49" spans="6:10" x14ac:dyDescent="0.25">
      <c r="F49" s="12">
        <f t="shared" si="1"/>
        <v>3.4000000000000017</v>
      </c>
      <c r="G49" s="12">
        <f t="shared" ref="G49:G64" si="7">J48+H49*delt</f>
        <v>-0.94636080423327673</v>
      </c>
      <c r="H49" s="5">
        <f t="shared" si="2"/>
        <v>-0.37457378489004284</v>
      </c>
      <c r="I49" s="3">
        <f t="shared" si="0"/>
        <v>0.58731098570008589</v>
      </c>
      <c r="J49" s="28">
        <f t="shared" ref="J49:J64" si="8">J48+((H48+H49)/2)*delt</f>
        <v>-0.94917284228566245</v>
      </c>
    </row>
    <row r="50" spans="6:10" x14ac:dyDescent="0.25">
      <c r="F50" s="12">
        <f t="shared" si="1"/>
        <v>3.5000000000000018</v>
      </c>
      <c r="G50" s="12">
        <f t="shared" si="7"/>
        <v>-0.98075711091766593</v>
      </c>
      <c r="H50" s="5">
        <f t="shared" si="2"/>
        <v>-0.31584268632003426</v>
      </c>
      <c r="I50" s="3">
        <f t="shared" si="0"/>
        <v>0.60865731438665671</v>
      </c>
      <c r="J50" s="28">
        <f t="shared" si="8"/>
        <v>-0.98369366584616635</v>
      </c>
    </row>
    <row r="51" spans="6:10" x14ac:dyDescent="0.25">
      <c r="F51" s="12">
        <f t="shared" si="1"/>
        <v>3.6000000000000019</v>
      </c>
      <c r="G51" s="12">
        <f t="shared" si="7"/>
        <v>-1.0091913613343033</v>
      </c>
      <c r="H51" s="5">
        <f t="shared" si="2"/>
        <v>-0.25497695488136857</v>
      </c>
      <c r="I51" s="3">
        <f t="shared" si="0"/>
        <v>0.62630359428871607</v>
      </c>
      <c r="J51" s="28">
        <f t="shared" si="8"/>
        <v>-1.0122346479062365</v>
      </c>
    </row>
    <row r="52" spans="6:10" x14ac:dyDescent="0.25">
      <c r="F52" s="12">
        <f t="shared" si="1"/>
        <v>3.700000000000002</v>
      </c>
      <c r="G52" s="12">
        <f t="shared" si="7"/>
        <v>-1.0314693074514862</v>
      </c>
      <c r="H52" s="5">
        <f t="shared" si="2"/>
        <v>-0.19234659545249694</v>
      </c>
      <c r="I52" s="3">
        <f t="shared" si="0"/>
        <v>0.64012927518645424</v>
      </c>
      <c r="J52" s="28">
        <f t="shared" si="8"/>
        <v>-1.0346008254229297</v>
      </c>
    </row>
    <row r="53" spans="6:10" x14ac:dyDescent="0.25">
      <c r="F53" s="12">
        <f t="shared" si="1"/>
        <v>3.800000000000002</v>
      </c>
      <c r="G53" s="12">
        <f t="shared" si="7"/>
        <v>-1.0474341922163148</v>
      </c>
      <c r="H53" s="5">
        <f t="shared" si="2"/>
        <v>-0.12833366793385151</v>
      </c>
      <c r="I53" s="3">
        <f t="shared" si="0"/>
        <v>0.65003707374053354</v>
      </c>
      <c r="J53" s="28">
        <f t="shared" si="8"/>
        <v>-1.0506348385922473</v>
      </c>
    </row>
    <row r="54" spans="6:10" x14ac:dyDescent="0.25">
      <c r="F54" s="12">
        <f t="shared" si="1"/>
        <v>3.9000000000000021</v>
      </c>
      <c r="G54" s="12">
        <f t="shared" si="7"/>
        <v>-1.0569678346482272</v>
      </c>
      <c r="H54" s="5">
        <f t="shared" si="2"/>
        <v>-6.3329960559798157E-2</v>
      </c>
      <c r="I54" s="3">
        <f t="shared" si="0"/>
        <v>0.65595364690052926</v>
      </c>
      <c r="J54" s="28">
        <f t="shared" si="8"/>
        <v>-1.0602180200169298</v>
      </c>
    </row>
    <row r="55" spans="6:10" x14ac:dyDescent="0.25">
      <c r="F55" s="12">
        <f t="shared" si="1"/>
        <v>4.0000000000000018</v>
      </c>
      <c r="G55" s="12">
        <f t="shared" si="7"/>
        <v>-1.0599914796039043</v>
      </c>
      <c r="H55" s="5">
        <f t="shared" si="2"/>
        <v>2.2654041302547778E-3</v>
      </c>
      <c r="I55" s="3">
        <f t="shared" si="0"/>
        <v>0.65783011926855439</v>
      </c>
      <c r="J55" s="28">
        <f t="shared" si="8"/>
        <v>-1.063271247838407</v>
      </c>
    </row>
    <row r="56" spans="6:10" x14ac:dyDescent="0.25">
      <c r="F56" s="12">
        <f t="shared" si="1"/>
        <v>4.1000000000000014</v>
      </c>
      <c r="G56" s="12">
        <f t="shared" si="7"/>
        <v>-1.0564664062326961</v>
      </c>
      <c r="H56" s="5">
        <f t="shared" si="2"/>
        <v>6.804841605711022E-2</v>
      </c>
      <c r="I56" s="3">
        <f t="shared" si="0"/>
        <v>0.65564246070635646</v>
      </c>
      <c r="J56" s="28">
        <f t="shared" si="8"/>
        <v>-1.0597555568290387</v>
      </c>
    </row>
    <row r="57" spans="6:10" x14ac:dyDescent="0.25">
      <c r="F57" s="12">
        <f t="shared" si="1"/>
        <v>4.2000000000000011</v>
      </c>
      <c r="G57" s="12">
        <f t="shared" si="7"/>
        <v>-1.046394290616264</v>
      </c>
      <c r="H57" s="5">
        <f t="shared" si="2"/>
        <v>0.13361266212774586</v>
      </c>
      <c r="I57" s="3">
        <f t="shared" si="0"/>
        <v>0.64939171138927698</v>
      </c>
      <c r="J57" s="28">
        <f t="shared" si="8"/>
        <v>-1.0496725029197957</v>
      </c>
    </row>
    <row r="58" spans="6:10" x14ac:dyDescent="0.25">
      <c r="F58" s="12">
        <f t="shared" si="1"/>
        <v>4.3000000000000007</v>
      </c>
      <c r="G58" s="12">
        <f t="shared" si="7"/>
        <v>-1.0298173195931284</v>
      </c>
      <c r="H58" s="5">
        <f t="shared" si="2"/>
        <v>0.19855183326667358</v>
      </c>
      <c r="I58" s="3">
        <f t="shared" si="0"/>
        <v>0.63910405244570179</v>
      </c>
      <c r="J58" s="28">
        <f t="shared" si="8"/>
        <v>-1.0330642781500747</v>
      </c>
    </row>
    <row r="59" spans="6:10" x14ac:dyDescent="0.25">
      <c r="F59" s="12">
        <f t="shared" si="1"/>
        <v>4.4000000000000004</v>
      </c>
      <c r="G59" s="12">
        <f t="shared" si="7"/>
        <v>-1.0068180542989504</v>
      </c>
      <c r="H59" s="5">
        <f t="shared" si="2"/>
        <v>0.26246223851124378</v>
      </c>
      <c r="I59" s="3">
        <f t="shared" si="0"/>
        <v>0.62483072127023631</v>
      </c>
      <c r="J59" s="28">
        <f t="shared" si="8"/>
        <v>-1.0100135745611789</v>
      </c>
    </row>
    <row r="60" spans="6:10" x14ac:dyDescent="0.25">
      <c r="F60" s="12">
        <f t="shared" si="1"/>
        <v>4.5</v>
      </c>
      <c r="G60" s="12">
        <f t="shared" si="7"/>
        <v>-0.97751904349735219</v>
      </c>
      <c r="H60" s="5">
        <f t="shared" si="2"/>
        <v>0.32494531063826743</v>
      </c>
      <c r="I60" s="3">
        <f t="shared" si="0"/>
        <v>0.60664777155702898</v>
      </c>
      <c r="J60" s="28">
        <f t="shared" si="8"/>
        <v>-0.98064319710370329</v>
      </c>
    </row>
    <row r="61" spans="6:10" x14ac:dyDescent="0.25">
      <c r="F61" s="12">
        <f t="shared" si="1"/>
        <v>4.5999999999999996</v>
      </c>
      <c r="G61" s="12">
        <f t="shared" si="7"/>
        <v>-0.94208218832430624</v>
      </c>
      <c r="H61" s="5">
        <f t="shared" si="2"/>
        <v>0.38561008779397032</v>
      </c>
      <c r="I61" s="3">
        <f t="shared" si="0"/>
        <v>0.58465567906049465</v>
      </c>
      <c r="J61" s="28">
        <f t="shared" si="8"/>
        <v>-0.94511542718209141</v>
      </c>
    </row>
    <row r="62" spans="6:10" x14ac:dyDescent="0.25">
      <c r="F62" s="12">
        <f t="shared" ref="F62:F77" si="9">F61+delt</f>
        <v>4.6999999999999993</v>
      </c>
      <c r="G62" s="12">
        <f t="shared" si="7"/>
        <v>-0.90070786161208938</v>
      </c>
      <c r="H62" s="5">
        <f t="shared" ref="H62:H77" si="10">H61+I61*delt</f>
        <v>0.44407565570001978</v>
      </c>
      <c r="I62" s="3">
        <f t="shared" ref="I62:I77" si="11">-(3*E*I/(m*L^3))*G62</f>
        <v>0.5589787950482531</v>
      </c>
      <c r="J62" s="28">
        <f t="shared" si="8"/>
        <v>-0.90363114000739186</v>
      </c>
    </row>
    <row r="63" spans="6:10" x14ac:dyDescent="0.25">
      <c r="F63" s="12">
        <f t="shared" si="9"/>
        <v>4.7999999999999989</v>
      </c>
      <c r="G63" s="12">
        <f t="shared" si="7"/>
        <v>-0.85363378648690735</v>
      </c>
      <c r="H63" s="5">
        <f t="shared" si="10"/>
        <v>0.49997353520484511</v>
      </c>
      <c r="I63" s="3">
        <f t="shared" si="11"/>
        <v>0.52976465035944198</v>
      </c>
      <c r="J63" s="28">
        <f t="shared" si="8"/>
        <v>-0.85642868046214859</v>
      </c>
    </row>
    <row r="64" spans="6:10" x14ac:dyDescent="0.25">
      <c r="F64" s="12">
        <f t="shared" si="9"/>
        <v>4.8999999999999986</v>
      </c>
      <c r="G64" s="12">
        <f t="shared" si="7"/>
        <v>-0.80113368043806965</v>
      </c>
      <c r="H64" s="5">
        <f t="shared" si="10"/>
        <v>0.55295000024078933</v>
      </c>
      <c r="I64" s="3">
        <f t="shared" si="11"/>
        <v>0.49718311391480563</v>
      </c>
      <c r="J64" s="28">
        <f t="shared" si="8"/>
        <v>-0.80378250368986692</v>
      </c>
    </row>
    <row r="65" spans="6:10" x14ac:dyDescent="0.25">
      <c r="F65" s="12">
        <f t="shared" si="9"/>
        <v>4.9999999999999982</v>
      </c>
      <c r="G65" s="12">
        <f t="shared" ref="G65:G80" si="12">J64+H65*delt</f>
        <v>-0.74351567252663997</v>
      </c>
      <c r="H65" s="5">
        <f t="shared" si="10"/>
        <v>0.60266831163226986</v>
      </c>
      <c r="I65" s="3">
        <f t="shared" si="11"/>
        <v>0.46142541043726848</v>
      </c>
      <c r="J65" s="28">
        <f t="shared" ref="J65:J80" si="13">J64+((H64+H65)/2)*delt</f>
        <v>-0.74600158809621397</v>
      </c>
    </row>
    <row r="66" spans="6:10" x14ac:dyDescent="0.25">
      <c r="F66" s="12">
        <f t="shared" si="9"/>
        <v>5.0999999999999979</v>
      </c>
      <c r="G66" s="12">
        <f t="shared" si="12"/>
        <v>-0.68112050282861425</v>
      </c>
      <c r="H66" s="5">
        <f t="shared" si="10"/>
        <v>0.6488108526759967</v>
      </c>
      <c r="I66" s="3">
        <f t="shared" si="11"/>
        <v>0.42270300302737895</v>
      </c>
      <c r="J66" s="28">
        <f t="shared" si="13"/>
        <v>-0.68342762988080064</v>
      </c>
    </row>
    <row r="67" spans="6:10" x14ac:dyDescent="0.25">
      <c r="F67" s="12">
        <f t="shared" si="9"/>
        <v>5.1999999999999975</v>
      </c>
      <c r="G67" s="12">
        <f t="shared" si="12"/>
        <v>-0.61431951458292722</v>
      </c>
      <c r="H67" s="5">
        <f t="shared" si="10"/>
        <v>0.69108115297873463</v>
      </c>
      <c r="I67" s="3">
        <f t="shared" si="11"/>
        <v>0.38124634709148558</v>
      </c>
      <c r="J67" s="28">
        <f t="shared" si="13"/>
        <v>-0.61643302959806412</v>
      </c>
    </row>
    <row r="68" spans="6:10" x14ac:dyDescent="0.25">
      <c r="F68" s="12">
        <f t="shared" si="9"/>
        <v>5.2999999999999972</v>
      </c>
      <c r="G68" s="12">
        <f t="shared" si="12"/>
        <v>-0.54351245082927579</v>
      </c>
      <c r="H68" s="5">
        <f t="shared" si="10"/>
        <v>0.72920578768788324</v>
      </c>
      <c r="I68" s="3">
        <f t="shared" si="11"/>
        <v>0.33730352293640253</v>
      </c>
      <c r="J68" s="28">
        <f t="shared" si="13"/>
        <v>-0.54541868256473325</v>
      </c>
    </row>
    <row r="69" spans="6:10" x14ac:dyDescent="0.25">
      <c r="F69" s="12">
        <f t="shared" si="9"/>
        <v>5.3999999999999968</v>
      </c>
      <c r="G69" s="12">
        <f t="shared" si="12"/>
        <v>-0.46912506856658087</v>
      </c>
      <c r="H69" s="5">
        <f t="shared" si="10"/>
        <v>0.76293613998152354</v>
      </c>
      <c r="I69" s="3">
        <f t="shared" si="11"/>
        <v>0.29113875511748594</v>
      </c>
      <c r="J69" s="28">
        <f t="shared" si="13"/>
        <v>-0.4708115861812629</v>
      </c>
    </row>
    <row r="70" spans="6:10" x14ac:dyDescent="0.25">
      <c r="F70" s="12">
        <f t="shared" si="9"/>
        <v>5.4999999999999964</v>
      </c>
      <c r="G70" s="12">
        <f t="shared" si="12"/>
        <v>-0.39160658463193565</v>
      </c>
      <c r="H70" s="5">
        <f t="shared" si="10"/>
        <v>0.79205001549327214</v>
      </c>
      <c r="I70" s="3">
        <f t="shared" si="11"/>
        <v>0.24303082735253773</v>
      </c>
      <c r="J70" s="28">
        <f t="shared" si="13"/>
        <v>-0.39306227840752311</v>
      </c>
    </row>
    <row r="71" spans="6:10" x14ac:dyDescent="0.25">
      <c r="F71" s="12">
        <f t="shared" si="9"/>
        <v>5.5999999999999961</v>
      </c>
      <c r="G71" s="12">
        <f t="shared" si="12"/>
        <v>-0.3114269685846705</v>
      </c>
      <c r="H71" s="5">
        <f t="shared" si="10"/>
        <v>0.81635309822852586</v>
      </c>
      <c r="I71" s="3">
        <f t="shared" si="11"/>
        <v>0.19327140248717106</v>
      </c>
      <c r="J71" s="28">
        <f t="shared" si="13"/>
        <v>-0.31264212272143321</v>
      </c>
    </row>
    <row r="72" spans="6:10" x14ac:dyDescent="0.25">
      <c r="F72" s="12">
        <f t="shared" si="9"/>
        <v>5.6999999999999957</v>
      </c>
      <c r="G72" s="12">
        <f t="shared" si="12"/>
        <v>-0.22907409887370891</v>
      </c>
      <c r="H72" s="5">
        <f t="shared" si="10"/>
        <v>0.83568023847724293</v>
      </c>
      <c r="I72" s="3">
        <f t="shared" si="11"/>
        <v>0.14216325761386198</v>
      </c>
      <c r="J72" s="28">
        <f t="shared" si="13"/>
        <v>-0.23004045588614475</v>
      </c>
    </row>
    <row r="73" spans="6:10" x14ac:dyDescent="0.25">
      <c r="F73" s="12">
        <f t="shared" si="9"/>
        <v>5.7999999999999954</v>
      </c>
      <c r="G73" s="12">
        <f t="shared" si="12"/>
        <v>-0.14505079946228183</v>
      </c>
      <c r="H73" s="5">
        <f t="shared" si="10"/>
        <v>0.84989656423862914</v>
      </c>
      <c r="I73" s="3">
        <f t="shared" si="11"/>
        <v>9.0018445002905068E-2</v>
      </c>
      <c r="J73" s="28">
        <f t="shared" si="13"/>
        <v>-0.14576161575035113</v>
      </c>
    </row>
    <row r="74" spans="6:10" x14ac:dyDescent="0.25">
      <c r="F74" s="12">
        <f t="shared" si="9"/>
        <v>5.899999999999995</v>
      </c>
      <c r="G74" s="12">
        <f t="shared" si="12"/>
        <v>-5.9871774876459158E-2</v>
      </c>
      <c r="H74" s="5">
        <f t="shared" si="10"/>
        <v>0.85889840873891965</v>
      </c>
      <c r="I74" s="3">
        <f t="shared" si="11"/>
        <v>3.7156389995246619E-2</v>
      </c>
      <c r="J74" s="28">
        <f t="shared" si="13"/>
        <v>-6.0321867101473678E-2</v>
      </c>
    </row>
    <row r="75" spans="6:10" x14ac:dyDescent="0.25">
      <c r="F75" s="12">
        <f t="shared" si="9"/>
        <v>5.9999999999999947</v>
      </c>
      <c r="G75" s="12">
        <f t="shared" si="12"/>
        <v>2.5939537672370755E-2</v>
      </c>
      <c r="H75" s="5">
        <f t="shared" si="10"/>
        <v>0.8626140477384443</v>
      </c>
      <c r="I75" s="3">
        <f t="shared" si="11"/>
        <v>-1.6098062568543653E-2</v>
      </c>
      <c r="J75" s="28">
        <f t="shared" si="13"/>
        <v>2.5753755722394536E-2</v>
      </c>
    </row>
    <row r="76" spans="6:10" x14ac:dyDescent="0.25">
      <c r="F76" s="12">
        <f t="shared" si="9"/>
        <v>6.0999999999999943</v>
      </c>
      <c r="G76" s="12">
        <f t="shared" si="12"/>
        <v>0.11185417987055353</v>
      </c>
      <c r="H76" s="5">
        <f t="shared" si="10"/>
        <v>0.86100424148158994</v>
      </c>
      <c r="I76" s="3">
        <f t="shared" si="11"/>
        <v>-6.9416641454918299E-2</v>
      </c>
      <c r="J76" s="28">
        <f t="shared" si="13"/>
        <v>0.11193467018339626</v>
      </c>
    </row>
    <row r="77" spans="6:10" x14ac:dyDescent="0.25">
      <c r="F77" s="12">
        <f t="shared" si="9"/>
        <v>6.199999999999994</v>
      </c>
      <c r="G77" s="12">
        <f t="shared" si="12"/>
        <v>0.19734092791700608</v>
      </c>
      <c r="H77" s="5">
        <f t="shared" si="10"/>
        <v>0.85406257733609814</v>
      </c>
      <c r="I77" s="3">
        <f t="shared" si="11"/>
        <v>-0.12246966947009896</v>
      </c>
      <c r="J77" s="28">
        <f t="shared" si="13"/>
        <v>0.19768801112428067</v>
      </c>
    </row>
    <row r="78" spans="6:10" x14ac:dyDescent="0.25">
      <c r="F78" s="12">
        <f t="shared" ref="F78:F93" si="14">F77+delt</f>
        <v>6.2999999999999936</v>
      </c>
      <c r="G78" s="12">
        <f t="shared" si="12"/>
        <v>0.28186957216318953</v>
      </c>
      <c r="H78" s="5">
        <f t="shared" ref="H78:H93" si="15">H77+I77*delt</f>
        <v>0.84181561038908825</v>
      </c>
      <c r="I78" s="3">
        <f t="shared" ref="I78:I93" si="16">-(3*E*I/(m*L^3))*G78</f>
        <v>-0.17492809880280891</v>
      </c>
      <c r="J78" s="28">
        <f t="shared" si="13"/>
        <v>0.28248192051054</v>
      </c>
    </row>
    <row r="79" spans="6:10" x14ac:dyDescent="0.25">
      <c r="F79" s="12">
        <f t="shared" si="14"/>
        <v>6.3999999999999932</v>
      </c>
      <c r="G79" s="12">
        <f t="shared" si="12"/>
        <v>0.36491420056142077</v>
      </c>
      <c r="H79" s="5">
        <f t="shared" si="15"/>
        <v>0.82432280050880735</v>
      </c>
      <c r="I79" s="3">
        <f t="shared" si="16"/>
        <v>-0.22646554873045832</v>
      </c>
      <c r="J79" s="28">
        <f t="shared" si="13"/>
        <v>0.3657888410554348</v>
      </c>
    </row>
    <row r="80" spans="6:10" x14ac:dyDescent="0.25">
      <c r="F80" s="12">
        <f t="shared" si="14"/>
        <v>6.4999999999999929</v>
      </c>
      <c r="G80" s="12">
        <f t="shared" si="12"/>
        <v>0.44595646561901098</v>
      </c>
      <c r="H80" s="5">
        <f t="shared" si="15"/>
        <v>0.80167624563576156</v>
      </c>
      <c r="I80" s="3">
        <f t="shared" si="16"/>
        <v>-0.27676033308905518</v>
      </c>
      <c r="J80" s="28">
        <f t="shared" si="13"/>
        <v>0.44708879336266327</v>
      </c>
    </row>
    <row r="81" spans="6:10" x14ac:dyDescent="0.25">
      <c r="F81" s="12">
        <f t="shared" si="14"/>
        <v>6.5999999999999925</v>
      </c>
      <c r="G81" s="12">
        <f t="shared" ref="G81:G96" si="17">J80+H81*delt</f>
        <v>0.52448881459534891</v>
      </c>
      <c r="H81" s="5">
        <f t="shared" si="15"/>
        <v>0.77400021232685601</v>
      </c>
      <c r="I81" s="3">
        <f t="shared" si="16"/>
        <v>-0.325497464931708</v>
      </c>
      <c r="J81" s="28">
        <f t="shared" ref="J81:J96" si="18">J80+((H80+H81)/2)*delt</f>
        <v>0.52587261626079418</v>
      </c>
    </row>
    <row r="82" spans="6:10" x14ac:dyDescent="0.25">
      <c r="F82" s="12">
        <f t="shared" si="14"/>
        <v>6.6999999999999922</v>
      </c>
      <c r="G82" s="12">
        <f t="shared" si="17"/>
        <v>0.60001766284416269</v>
      </c>
      <c r="H82" s="5">
        <f t="shared" si="15"/>
        <v>0.74145046583368523</v>
      </c>
      <c r="I82" s="3">
        <f t="shared" si="16"/>
        <v>-0.37237062590305842</v>
      </c>
      <c r="J82" s="28">
        <f t="shared" si="18"/>
        <v>0.60164515016882125</v>
      </c>
    </row>
    <row r="83" spans="6:10" x14ac:dyDescent="0.25">
      <c r="F83" s="12">
        <f t="shared" si="14"/>
        <v>6.7999999999999918</v>
      </c>
      <c r="G83" s="12">
        <f t="shared" si="17"/>
        <v>0.67206649049315925</v>
      </c>
      <c r="H83" s="5">
        <f t="shared" si="15"/>
        <v>0.70421340324337944</v>
      </c>
      <c r="I83" s="3">
        <f t="shared" si="16"/>
        <v>-0.41708408803693303</v>
      </c>
      <c r="J83" s="28">
        <f t="shared" si="18"/>
        <v>0.67392834362267451</v>
      </c>
    </row>
    <row r="84" spans="6:10" x14ac:dyDescent="0.25">
      <c r="F84" s="12">
        <f t="shared" si="14"/>
        <v>6.8999999999999915</v>
      </c>
      <c r="G84" s="12">
        <f t="shared" si="17"/>
        <v>0.74017884306664317</v>
      </c>
      <c r="H84" s="5">
        <f t="shared" si="15"/>
        <v>0.66250499443968613</v>
      </c>
      <c r="I84" s="3">
        <f t="shared" si="16"/>
        <v>-0.45935457594106216</v>
      </c>
      <c r="J84" s="28">
        <f t="shared" si="18"/>
        <v>0.74226426350682784</v>
      </c>
    </row>
    <row r="85" spans="6:10" x14ac:dyDescent="0.25">
      <c r="F85" s="12">
        <f t="shared" si="14"/>
        <v>6.9999999999999911</v>
      </c>
      <c r="G85" s="12">
        <f t="shared" si="17"/>
        <v>0.80392121719138587</v>
      </c>
      <c r="H85" s="5">
        <f t="shared" si="15"/>
        <v>0.61656953684557991</v>
      </c>
      <c r="I85" s="3">
        <f t="shared" si="16"/>
        <v>-0.49891305766452776</v>
      </c>
      <c r="J85" s="28">
        <f t="shared" si="18"/>
        <v>0.80621799007109118</v>
      </c>
    </row>
    <row r="86" spans="6:10" x14ac:dyDescent="0.25">
      <c r="F86" s="12">
        <f t="shared" si="14"/>
        <v>7.0999999999999908</v>
      </c>
      <c r="G86" s="12">
        <f t="shared" si="17"/>
        <v>0.86288581317900392</v>
      </c>
      <c r="H86" s="5">
        <f t="shared" si="15"/>
        <v>0.56667823107912718</v>
      </c>
      <c r="I86" s="3">
        <f t="shared" si="16"/>
        <v>-0.5355064529488478</v>
      </c>
      <c r="J86" s="28">
        <f t="shared" si="18"/>
        <v>0.86538037846732652</v>
      </c>
    </row>
    <row r="87" spans="6:10" x14ac:dyDescent="0.25">
      <c r="F87" s="12">
        <f t="shared" si="14"/>
        <v>7.1999999999999904</v>
      </c>
      <c r="G87" s="12">
        <f t="shared" si="17"/>
        <v>0.91669313704575073</v>
      </c>
      <c r="H87" s="5">
        <f t="shared" si="15"/>
        <v>0.51312758578424245</v>
      </c>
      <c r="I87" s="3">
        <f t="shared" si="16"/>
        <v>-0.56889924804000314</v>
      </c>
      <c r="J87" s="28">
        <f t="shared" si="18"/>
        <v>0.91937066931049505</v>
      </c>
    </row>
    <row r="88" spans="6:10" x14ac:dyDescent="0.25">
      <c r="F88" s="12">
        <f t="shared" si="14"/>
        <v>7.2999999999999901</v>
      </c>
      <c r="G88" s="12">
        <f t="shared" si="17"/>
        <v>0.96499443540851926</v>
      </c>
      <c r="H88" s="5">
        <f t="shared" si="15"/>
        <v>0.4562376609802421</v>
      </c>
      <c r="I88" s="3">
        <f t="shared" si="16"/>
        <v>-0.59887500678353511</v>
      </c>
      <c r="J88" s="28">
        <f t="shared" si="18"/>
        <v>0.96783893164871926</v>
      </c>
    </row>
    <row r="89" spans="6:10" x14ac:dyDescent="0.25">
      <c r="F89" s="12">
        <f t="shared" si="14"/>
        <v>7.3999999999999897</v>
      </c>
      <c r="G89" s="12">
        <f t="shared" si="17"/>
        <v>1.0074739476789081</v>
      </c>
      <c r="H89" s="5">
        <f t="shared" si="15"/>
        <v>0.39635016030188858</v>
      </c>
      <c r="I89" s="3">
        <f t="shared" si="16"/>
        <v>-0.62523776833492228</v>
      </c>
      <c r="J89" s="28">
        <f t="shared" si="18"/>
        <v>1.0104683227128257</v>
      </c>
    </row>
    <row r="90" spans="6:10" x14ac:dyDescent="0.25">
      <c r="F90" s="12">
        <f t="shared" si="14"/>
        <v>7.4999999999999893</v>
      </c>
      <c r="G90" s="12">
        <f t="shared" si="17"/>
        <v>1.0438509610596653</v>
      </c>
      <c r="H90" s="5">
        <f t="shared" si="15"/>
        <v>0.33382638346839633</v>
      </c>
      <c r="I90" s="3">
        <f t="shared" si="16"/>
        <v>-0.64781332248922496</v>
      </c>
      <c r="J90" s="28">
        <f t="shared" si="18"/>
        <v>1.0469771499013401</v>
      </c>
    </row>
    <row r="91" spans="6:10" x14ac:dyDescent="0.25">
      <c r="F91" s="12">
        <f t="shared" si="14"/>
        <v>7.599999999999989</v>
      </c>
      <c r="G91" s="12">
        <f t="shared" si="17"/>
        <v>1.0738816550232875</v>
      </c>
      <c r="H91" s="5">
        <f t="shared" si="15"/>
        <v>0.26904505121947381</v>
      </c>
      <c r="I91" s="3">
        <f t="shared" si="16"/>
        <v>-0.66645035436347089</v>
      </c>
      <c r="J91" s="28">
        <f t="shared" si="18"/>
        <v>1.0771207216357335</v>
      </c>
    </row>
    <row r="92" spans="6:10" x14ac:dyDescent="0.25">
      <c r="F92" s="12">
        <f t="shared" si="14"/>
        <v>7.6999999999999886</v>
      </c>
      <c r="G92" s="12">
        <f t="shared" si="17"/>
        <v>1.0973607232140461</v>
      </c>
      <c r="H92" s="5">
        <f t="shared" si="15"/>
        <v>0.20240001578312672</v>
      </c>
      <c r="I92" s="3">
        <f t="shared" si="16"/>
        <v>-0.68102145094814603</v>
      </c>
      <c r="J92" s="28">
        <f t="shared" si="18"/>
        <v>1.1006929749858636</v>
      </c>
    </row>
    <row r="93" spans="6:10" x14ac:dyDescent="0.25">
      <c r="F93" s="12">
        <f t="shared" si="14"/>
        <v>7.7999999999999883</v>
      </c>
      <c r="G93" s="12">
        <f t="shared" si="17"/>
        <v>1.1141227620546947</v>
      </c>
      <c r="H93" s="5">
        <f t="shared" si="15"/>
        <v>0.13429787068831212</v>
      </c>
      <c r="I93" s="3">
        <f t="shared" si="16"/>
        <v>-0.69142396287574048</v>
      </c>
      <c r="J93" s="28">
        <f t="shared" si="18"/>
        <v>1.1175278693094355</v>
      </c>
    </row>
    <row r="94" spans="6:10" x14ac:dyDescent="0.25">
      <c r="F94" s="12">
        <f t="shared" ref="F94:F100" si="19">F93+delt</f>
        <v>7.8999999999999879</v>
      </c>
      <c r="G94" s="12">
        <f t="shared" si="17"/>
        <v>1.1240434167495092</v>
      </c>
      <c r="H94" s="5">
        <f t="shared" ref="H94:H100" si="20">H93+I93*delt</f>
        <v>6.5155474400738059E-2</v>
      </c>
      <c r="I94" s="3">
        <f t="shared" ref="I94:I100" si="21">-(3*E*I/(m*L^3))*G94</f>
        <v>-0.69758071562959334</v>
      </c>
      <c r="J94" s="28">
        <f t="shared" si="18"/>
        <v>1.1275005365638879</v>
      </c>
    </row>
    <row r="95" spans="6:10" x14ac:dyDescent="0.25">
      <c r="F95" s="12">
        <f t="shared" si="19"/>
        <v>7.9999999999999876</v>
      </c>
      <c r="G95" s="12">
        <f t="shared" si="17"/>
        <v>1.1270402768476657</v>
      </c>
      <c r="H95" s="5">
        <f t="shared" si="20"/>
        <v>-4.602597162221278E-3</v>
      </c>
      <c r="I95" s="3">
        <f t="shared" si="21"/>
        <v>-0.69944056533002508</v>
      </c>
      <c r="J95" s="28">
        <f t="shared" si="18"/>
        <v>1.1305281804258138</v>
      </c>
    </row>
    <row r="96" spans="6:10" x14ac:dyDescent="0.25">
      <c r="F96" s="12">
        <f t="shared" si="19"/>
        <v>8.0999999999999872</v>
      </c>
      <c r="G96" s="12">
        <f t="shared" si="17"/>
        <v>1.1230735150562914</v>
      </c>
      <c r="H96" s="5">
        <f t="shared" si="20"/>
        <v>-7.4546653695223786E-2</v>
      </c>
      <c r="I96" s="3">
        <f t="shared" si="21"/>
        <v>-0.69697879518135852</v>
      </c>
      <c r="J96" s="28">
        <f t="shared" si="18"/>
        <v>1.1265707178829416</v>
      </c>
    </row>
    <row r="97" spans="6:10" x14ac:dyDescent="0.25">
      <c r="F97" s="12">
        <f t="shared" si="19"/>
        <v>8.1999999999999869</v>
      </c>
      <c r="G97" s="12">
        <f t="shared" ref="G97:G100" si="22">J96+H97*delt</f>
        <v>1.1121462645616056</v>
      </c>
      <c r="H97" s="5">
        <f t="shared" si="20"/>
        <v>-0.14424453321335964</v>
      </c>
      <c r="I97" s="3">
        <f t="shared" si="21"/>
        <v>-0.69019734963720891</v>
      </c>
      <c r="J97" s="28">
        <f t="shared" ref="J97:J100" si="23">J96+((H96+H97)/2)*delt</f>
        <v>1.1156311585375125</v>
      </c>
    </row>
    <row r="98" spans="6:10" x14ac:dyDescent="0.25">
      <c r="F98" s="12">
        <f t="shared" si="19"/>
        <v>8.2999999999999865</v>
      </c>
      <c r="G98" s="12">
        <f t="shared" si="22"/>
        <v>1.0943047317198045</v>
      </c>
      <c r="H98" s="5">
        <f t="shared" si="20"/>
        <v>-0.21326426817708055</v>
      </c>
      <c r="I98" s="3">
        <f t="shared" si="21"/>
        <v>-0.67912490433638284</v>
      </c>
      <c r="J98" s="28">
        <f t="shared" si="23"/>
        <v>1.0977557184679905</v>
      </c>
    </row>
    <row r="99" spans="6:10" x14ac:dyDescent="0.25">
      <c r="F99" s="12">
        <f t="shared" si="19"/>
        <v>8.3999999999999861</v>
      </c>
      <c r="G99" s="12">
        <f t="shared" si="22"/>
        <v>1.0696380426069185</v>
      </c>
      <c r="H99" s="5">
        <f t="shared" si="20"/>
        <v>-0.28117675861071884</v>
      </c>
      <c r="I99" s="3">
        <f t="shared" si="21"/>
        <v>-0.66381677087180668</v>
      </c>
      <c r="J99" s="28">
        <f t="shared" si="23"/>
        <v>1.0730336671286005</v>
      </c>
    </row>
    <row r="100" spans="6:10" ht="13" thickBot="1" x14ac:dyDescent="0.3">
      <c r="F100" s="30">
        <f t="shared" si="19"/>
        <v>8.4999999999999858</v>
      </c>
      <c r="G100" s="30">
        <f t="shared" si="22"/>
        <v>1.0382778235588106</v>
      </c>
      <c r="H100" s="31">
        <f t="shared" si="20"/>
        <v>-0.34755843569789951</v>
      </c>
      <c r="I100" s="32">
        <f t="shared" si="21"/>
        <v>-0.64435463647388336</v>
      </c>
      <c r="J100" s="33">
        <f t="shared" si="23"/>
        <v>1.0415969074131697</v>
      </c>
    </row>
  </sheetData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  <drawing r:id="rId2"/>
  <legacyDrawing r:id="rId3"/>
  <oleObjects>
    <mc:AlternateContent xmlns:mc="http://schemas.openxmlformats.org/markup-compatibility/2006">
      <mc:Choice Requires="x14">
        <oleObject progId="Equation.2" shapeId="3073" r:id="rId4">
          <objectPr defaultSize="0" autoPict="0" r:id="rId5">
            <anchor moveWithCells="1">
              <from>
                <xdr:col>0</xdr:col>
                <xdr:colOff>215900</xdr:colOff>
                <xdr:row>2</xdr:row>
                <xdr:rowOff>44450</xdr:rowOff>
              </from>
              <to>
                <xdr:col>2</xdr:col>
                <xdr:colOff>533400</xdr:colOff>
                <xdr:row>5</xdr:row>
                <xdr:rowOff>76200</xdr:rowOff>
              </to>
            </anchor>
          </objectPr>
        </oleObject>
      </mc:Choice>
      <mc:Fallback>
        <oleObject progId="Equation.2" shapeId="3073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10</vt:i4>
      </vt:variant>
    </vt:vector>
  </HeadingPairs>
  <TitlesOfParts>
    <vt:vector size="13" baseType="lpstr">
      <vt:lpstr>Frequency</vt:lpstr>
      <vt:lpstr>Euler</vt:lpstr>
      <vt:lpstr>Modified Euler</vt:lpstr>
      <vt:lpstr>'Modified Euler'!delt</vt:lpstr>
      <vt:lpstr>delt</vt:lpstr>
      <vt:lpstr>'Modified Euler'!E</vt:lpstr>
      <vt:lpstr>E</vt:lpstr>
      <vt:lpstr>'Modified Euler'!I</vt:lpstr>
      <vt:lpstr>I</vt:lpstr>
      <vt:lpstr>'Modified Euler'!L</vt:lpstr>
      <vt:lpstr>L</vt:lpstr>
      <vt:lpstr>'Modified Euler'!m</vt:lpstr>
      <vt:lpstr>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Carina Negreanu</cp:lastModifiedBy>
  <dcterms:created xsi:type="dcterms:W3CDTF">2020-01-27T11:18:02Z</dcterms:created>
  <dcterms:modified xsi:type="dcterms:W3CDTF">2020-01-27T11:18:03Z</dcterms:modified>
</cp:coreProperties>
</file>