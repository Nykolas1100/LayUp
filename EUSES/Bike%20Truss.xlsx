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DA557BD-E461-4D66-82D6-52C5983EB094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9" i="1" l="1"/>
  <c r="B16" i="1"/>
  <c r="B18" i="1"/>
  <c r="C18" i="1" s="1"/>
  <c r="G3" i="1"/>
  <c r="G7" i="1"/>
  <c r="C6" i="1"/>
  <c r="F7" i="1" s="1"/>
  <c r="B15" i="1"/>
  <c r="C15" i="1" s="1"/>
  <c r="G4" i="1" s="1"/>
  <c r="F5" i="1"/>
  <c r="C5" i="1"/>
  <c r="F3" i="1"/>
  <c r="D24" i="1" s="1"/>
  <c r="Q36" i="1"/>
  <c r="Q38" i="1"/>
  <c r="Q46" i="1"/>
  <c r="Q49" i="1"/>
  <c r="D25" i="1"/>
  <c r="E25" i="1"/>
  <c r="J25" i="1"/>
  <c r="C24" i="1"/>
  <c r="C2" i="1"/>
  <c r="B17" i="1"/>
  <c r="C17" i="1"/>
  <c r="C16" i="1"/>
  <c r="C3" i="1"/>
  <c r="C4" i="1"/>
  <c r="C7" i="1"/>
  <c r="C8" i="1"/>
  <c r="C9" i="1"/>
  <c r="C19" i="1"/>
  <c r="D27" i="1" l="1"/>
  <c r="D28" i="1" s="1"/>
  <c r="J24" i="1"/>
  <c r="E24" i="1"/>
  <c r="F6" i="1"/>
  <c r="D29" i="1"/>
  <c r="I25" i="1"/>
  <c r="C25" i="1"/>
  <c r="G5" i="1"/>
  <c r="G6" i="1"/>
  <c r="I24" i="1"/>
  <c r="D37" i="1" l="1"/>
  <c r="D35" i="1"/>
  <c r="D48" i="1" s="1"/>
  <c r="I27" i="1"/>
  <c r="I28" i="1" s="1"/>
  <c r="H25" i="1"/>
  <c r="C27" i="1"/>
  <c r="C28" i="1" s="1"/>
  <c r="G24" i="1"/>
  <c r="F24" i="1"/>
  <c r="J27" i="1"/>
  <c r="J29" i="1" s="1"/>
  <c r="H24" i="1"/>
  <c r="F25" i="1"/>
  <c r="G25" i="1"/>
  <c r="I29" i="1"/>
  <c r="D38" i="1"/>
  <c r="D36" i="1"/>
  <c r="E27" i="1"/>
  <c r="E29" i="1" s="1"/>
  <c r="I37" i="1" l="1"/>
  <c r="I39" i="1"/>
  <c r="E28" i="1"/>
  <c r="D49" i="1"/>
  <c r="I38" i="1"/>
  <c r="I40" i="1"/>
  <c r="J38" i="1"/>
  <c r="J46" i="1"/>
  <c r="J28" i="1"/>
  <c r="F27" i="1"/>
  <c r="F28" i="1" s="1"/>
  <c r="G27" i="1"/>
  <c r="G28" i="1" s="1"/>
  <c r="C29" i="1"/>
  <c r="E46" i="1"/>
  <c r="E36" i="1"/>
  <c r="E49" i="1" s="1"/>
  <c r="G29" i="1"/>
  <c r="F29" i="1"/>
  <c r="H27" i="1"/>
  <c r="H28" i="1" s="1"/>
  <c r="C35" i="1"/>
  <c r="C39" i="1"/>
  <c r="H41" i="1" l="1"/>
  <c r="H43" i="1"/>
  <c r="G45" i="1"/>
  <c r="G43" i="1"/>
  <c r="G48" i="1" s="1"/>
  <c r="F35" i="1"/>
  <c r="F43" i="1"/>
  <c r="F44" i="1"/>
  <c r="F36" i="1"/>
  <c r="F49" i="1" s="1"/>
  <c r="C36" i="1"/>
  <c r="C40" i="1"/>
  <c r="J45" i="1"/>
  <c r="J37" i="1"/>
  <c r="J48" i="1" s="1"/>
  <c r="C48" i="1"/>
  <c r="G46" i="1"/>
  <c r="G44" i="1"/>
  <c r="G49" i="1" s="1"/>
  <c r="H29" i="1"/>
  <c r="J49" i="1"/>
  <c r="I49" i="1"/>
  <c r="E35" i="1"/>
  <c r="E48" i="1" s="1"/>
  <c r="E45" i="1"/>
  <c r="I48" i="1"/>
  <c r="C54" i="1" l="1" a="1"/>
  <c r="F48" i="1"/>
  <c r="H42" i="1"/>
  <c r="H44" i="1"/>
  <c r="C49" i="1"/>
  <c r="H48" i="1"/>
  <c r="H49" i="1" l="1"/>
  <c r="I54" i="1"/>
  <c r="E56" i="1"/>
  <c r="M57" i="1"/>
  <c r="I59" i="1"/>
  <c r="E61" i="1"/>
  <c r="M62" i="1"/>
  <c r="I64" i="1"/>
  <c r="C58" i="1"/>
  <c r="G61" i="1"/>
  <c r="K64" i="1"/>
  <c r="E62" i="1"/>
  <c r="M63" i="1"/>
  <c r="N58" i="1"/>
  <c r="N63" i="1"/>
  <c r="H57" i="1"/>
  <c r="E64" i="1"/>
  <c r="J54" i="1"/>
  <c r="F56" i="1"/>
  <c r="N57" i="1"/>
  <c r="J59" i="1"/>
  <c r="F61" i="1"/>
  <c r="N62" i="1"/>
  <c r="J64" i="1"/>
  <c r="G56" i="1"/>
  <c r="C63" i="1"/>
  <c r="C60" i="1"/>
  <c r="M56" i="1"/>
  <c r="G65" i="1"/>
  <c r="L63" i="1"/>
  <c r="J55" i="1"/>
  <c r="C54" i="1"/>
  <c r="G62" i="1"/>
  <c r="H62" i="1"/>
  <c r="E59" i="1"/>
  <c r="K54" i="1"/>
  <c r="K59" i="1"/>
  <c r="C62" i="1"/>
  <c r="D57" i="1"/>
  <c r="K55" i="1"/>
  <c r="L54" i="1"/>
  <c r="H56" i="1"/>
  <c r="D58" i="1"/>
  <c r="L59" i="1"/>
  <c r="H61" i="1"/>
  <c r="D63" i="1"/>
  <c r="L64" i="1"/>
  <c r="N54" i="1"/>
  <c r="F63" i="1"/>
  <c r="K56" i="1"/>
  <c r="G58" i="1"/>
  <c r="K61" i="1"/>
  <c r="G63" i="1"/>
  <c r="C65" i="1"/>
  <c r="E55" i="1"/>
  <c r="I58" i="1"/>
  <c r="I63" i="1"/>
  <c r="L65" i="1"/>
  <c r="E54" i="1"/>
  <c r="J62" i="1"/>
  <c r="G59" i="1"/>
  <c r="G64" i="1"/>
  <c r="D61" i="1"/>
  <c r="M54" i="1"/>
  <c r="I56" i="1"/>
  <c r="E58" i="1"/>
  <c r="M59" i="1"/>
  <c r="I61" i="1"/>
  <c r="E63" i="1"/>
  <c r="M64" i="1"/>
  <c r="G60" i="1"/>
  <c r="D62" i="1"/>
  <c r="J56" i="1"/>
  <c r="F58" i="1"/>
  <c r="N59" i="1"/>
  <c r="J61" i="1"/>
  <c r="N64" i="1"/>
  <c r="E65" i="1"/>
  <c r="H60" i="1"/>
  <c r="F57" i="1"/>
  <c r="C59" i="1"/>
  <c r="D54" i="1"/>
  <c r="I62" i="1"/>
  <c r="J57" i="1"/>
  <c r="C56" i="1"/>
  <c r="H64" i="1"/>
  <c r="C55" i="1"/>
  <c r="M61" i="1"/>
  <c r="G55" i="1"/>
  <c r="E57" i="1"/>
  <c r="G57" i="1"/>
  <c r="C64" i="1"/>
  <c r="L55" i="1"/>
  <c r="F54" i="1"/>
  <c r="F64" i="1"/>
  <c r="C61" i="1"/>
  <c r="D55" i="1"/>
  <c r="L56" i="1"/>
  <c r="H58" i="1"/>
  <c r="D60" i="1"/>
  <c r="L61" i="1"/>
  <c r="H63" i="1"/>
  <c r="D65" i="1"/>
  <c r="H55" i="1"/>
  <c r="F62" i="1"/>
  <c r="K65" i="1"/>
  <c r="N65" i="1"/>
  <c r="K57" i="1"/>
  <c r="H59" i="1"/>
  <c r="E60" i="1"/>
  <c r="H54" i="1"/>
  <c r="F55" i="1"/>
  <c r="N56" i="1"/>
  <c r="J58" i="1"/>
  <c r="F60" i="1"/>
  <c r="N61" i="1"/>
  <c r="J63" i="1"/>
  <c r="F65" i="1"/>
  <c r="C57" i="1"/>
  <c r="K63" i="1"/>
  <c r="H65" i="1"/>
  <c r="D64" i="1"/>
  <c r="K58" i="1"/>
  <c r="M58" i="1"/>
  <c r="J65" i="1"/>
  <c r="L58" i="1"/>
  <c r="K60" i="1"/>
  <c r="L60" i="1"/>
  <c r="M60" i="1"/>
  <c r="F59" i="1"/>
  <c r="G54" i="1"/>
  <c r="I55" i="1"/>
  <c r="I60" i="1"/>
  <c r="I65" i="1"/>
  <c r="J60" i="1"/>
  <c r="D59" i="1"/>
  <c r="I57" i="1"/>
  <c r="N55" i="1"/>
  <c r="D56" i="1"/>
  <c r="L57" i="1"/>
  <c r="K62" i="1"/>
  <c r="L62" i="1"/>
  <c r="M55" i="1"/>
  <c r="M65" i="1"/>
  <c r="N60" i="1"/>
  <c r="Q54" i="1" l="1" a="1"/>
  <c r="Q62" i="1" l="1"/>
  <c r="Q59" i="1"/>
  <c r="Q60" i="1"/>
  <c r="Q57" i="1"/>
  <c r="Q64" i="1"/>
  <c r="Q58" i="1"/>
  <c r="Q65" i="1"/>
  <c r="Q55" i="1"/>
  <c r="Q63" i="1"/>
  <c r="Q61" i="1"/>
  <c r="Q56" i="1"/>
  <c r="Q54" i="1"/>
</calcChain>
</file>

<file path=xl/sharedStrings.xml><?xml version="1.0" encoding="utf-8"?>
<sst xmlns="http://schemas.openxmlformats.org/spreadsheetml/2006/main" count="86" uniqueCount="65">
  <si>
    <t>X</t>
  </si>
  <si>
    <t>Joint</t>
  </si>
  <si>
    <t>Y</t>
  </si>
  <si>
    <t>A</t>
  </si>
  <si>
    <t>B</t>
  </si>
  <si>
    <t>C</t>
  </si>
  <si>
    <t>D</t>
  </si>
  <si>
    <t>E</t>
  </si>
  <si>
    <t>F</t>
  </si>
  <si>
    <t>Angles</t>
  </si>
  <si>
    <t>CAB</t>
  </si>
  <si>
    <t>BA_VERT</t>
  </si>
  <si>
    <t>CA_HORIZ</t>
  </si>
  <si>
    <t>Degrees</t>
  </si>
  <si>
    <t>Radians</t>
  </si>
  <si>
    <t>ACB</t>
  </si>
  <si>
    <t>ABF</t>
  </si>
  <si>
    <t>FA_VERT</t>
  </si>
  <si>
    <t>FAE</t>
  </si>
  <si>
    <t>ED_HORIZ</t>
  </si>
  <si>
    <t>AEF</t>
  </si>
  <si>
    <t>AFB</t>
  </si>
  <si>
    <t>AFE</t>
  </si>
  <si>
    <t>AF</t>
  </si>
  <si>
    <t>x</t>
  </si>
  <si>
    <t>DEA</t>
  </si>
  <si>
    <t>FORCE MATRIX</t>
  </si>
  <si>
    <t>AC</t>
  </si>
  <si>
    <t>AB</t>
  </si>
  <si>
    <t>AE</t>
  </si>
  <si>
    <t>FE</t>
  </si>
  <si>
    <t>ED</t>
  </si>
  <si>
    <t>R1x</t>
  </si>
  <si>
    <t>R1y</t>
  </si>
  <si>
    <t>R2x</t>
  </si>
  <si>
    <t>R2y</t>
  </si>
  <si>
    <t>Ax</t>
  </si>
  <si>
    <t>Ay</t>
  </si>
  <si>
    <t>Bx</t>
  </si>
  <si>
    <t>By</t>
  </si>
  <si>
    <t>Cx</t>
  </si>
  <si>
    <t>Dy</t>
  </si>
  <si>
    <t>Cy</t>
  </si>
  <si>
    <t>Dx</t>
  </si>
  <si>
    <t>Ex</t>
  </si>
  <si>
    <t>Ey</t>
  </si>
  <si>
    <t>Fx</t>
  </si>
  <si>
    <t>Fy</t>
  </si>
  <si>
    <t>y</t>
  </si>
  <si>
    <t>Length</t>
  </si>
  <si>
    <t>Unit-x</t>
  </si>
  <si>
    <t>Unit-y</t>
  </si>
  <si>
    <t>BC</t>
  </si>
  <si>
    <t>BF</t>
  </si>
  <si>
    <t>Sum of equations in X</t>
  </si>
  <si>
    <t>Sum of equations in Y</t>
  </si>
  <si>
    <t>LOADS</t>
  </si>
  <si>
    <t>INVERSE MATRIX</t>
  </si>
  <si>
    <t>SOLUTION</t>
  </si>
  <si>
    <t>Total Load</t>
  </si>
  <si>
    <t>Frame Height</t>
  </si>
  <si>
    <t>Wheelbase</t>
  </si>
  <si>
    <t>EF_HORIZ</t>
  </si>
  <si>
    <t>EF</t>
  </si>
  <si>
    <t>Vectors of Frame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</si>
</sst>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2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4" xfId="0" applyBorder="1"/>
    <xf numFmtId="0" fontId="2" fillId="0" borderId="0" xfId="0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2" fontId="0" fillId="2" borderId="0" xfId="0" applyNumberFormat="1" applyFill="1" applyBorder="1"/>
    <xf numFmtId="0" fontId="0" fillId="2" borderId="0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0" fillId="0" borderId="8" xfId="0" applyBorder="1"/>
    <xf numFmtId="0" fontId="0" fillId="0" borderId="0" xfId="0" applyBorder="1"/>
    <xf numFmtId="0" fontId="0" fillId="0" borderId="6" xfId="0" applyFill="1" applyBorder="1"/>
    <xf numFmtId="0" fontId="3" fillId="0" borderId="1" xfId="0" applyFont="1" applyBorder="1" applyAlignment="1">
      <alignment horizontal="center"/>
    </xf>
    <xf numFmtId="1" fontId="0" fillId="2" borderId="0" xfId="0" applyNumberFormat="1" applyFill="1" applyBorder="1"/>
    <xf numFmtId="0" fontId="0" fillId="3" borderId="0" xfId="0" applyFill="1"/>
    <xf numFmtId="2" fontId="0" fillId="3" borderId="0" xfId="0" applyNumberFormat="1" applyFill="1"/>
    <xf numFmtId="2" fontId="0" fillId="0" borderId="0" xfId="0" applyNumberFormat="1" applyFill="1"/>
    <xf numFmtId="0" fontId="0" fillId="0" borderId="0" xfId="0" applyFill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Bike Frame</a:t>
            </a:r>
          </a:p>
        </c:rich>
      </c:tx>
      <c:layout>
        <c:manualLayout>
          <c:xMode val="edge"/>
          <c:yMode val="edge"/>
          <c:x val="0.42245551948392046"/>
          <c:y val="3.95074440042822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81561485485263"/>
          <c:y val="0.19012957427060831"/>
          <c:w val="0.78880366528638268"/>
          <c:h val="0.6197730278171776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10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Sheet1!$F$2:$F$7</c:f>
              <c:numCache>
                <c:formatCode>0.00</c:formatCode>
                <c:ptCount val="6"/>
                <c:pt idx="0">
                  <c:v>0</c:v>
                </c:pt>
                <c:pt idx="1">
                  <c:v>6.001303133454905</c:v>
                </c:pt>
                <c:pt idx="2">
                  <c:v>17.2</c:v>
                </c:pt>
                <c:pt idx="3">
                  <c:v>-24.8</c:v>
                </c:pt>
                <c:pt idx="4">
                  <c:v>-17.940183456799787</c:v>
                </c:pt>
                <c:pt idx="5">
                  <c:v>-16.604956019864701</c:v>
                </c:pt>
              </c:numCache>
            </c:numRef>
          </c:xVal>
          <c:yVal>
            <c:numRef>
              <c:f>Sheet1!$G$2:$G$7</c:f>
              <c:numCache>
                <c:formatCode>0.00</c:formatCode>
                <c:ptCount val="6"/>
                <c:pt idx="0">
                  <c:v>0</c:v>
                </c:pt>
                <c:pt idx="1">
                  <c:v>21.64</c:v>
                </c:pt>
                <c:pt idx="2">
                  <c:v>3.4993795500876281</c:v>
                </c:pt>
                <c:pt idx="3">
                  <c:v>5.3509853989119449E-2</c:v>
                </c:pt>
                <c:pt idx="4">
                  <c:v>17.869434035631286</c:v>
                </c:pt>
                <c:pt idx="5">
                  <c:v>21.64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D1-47A3-8884-89416888B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913631"/>
        <c:axId val="1"/>
      </c:scatterChart>
      <c:valAx>
        <c:axId val="695913631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5913631"/>
        <c:crossesAt val="-3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095355703639964E-2"/>
          <c:y val="8.2389285106451604E-2"/>
          <c:w val="0.88082171604493198"/>
          <c:h val="0.8380979002208007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Sheet1!$P$54:$P$65</c:f>
              <c:strCache>
                <c:ptCount val="12"/>
                <c:pt idx="0">
                  <c:v>AC</c:v>
                </c:pt>
                <c:pt idx="1">
                  <c:v>AB</c:v>
                </c:pt>
                <c:pt idx="2">
                  <c:v>AF</c:v>
                </c:pt>
                <c:pt idx="3">
                  <c:v>AE</c:v>
                </c:pt>
                <c:pt idx="4">
                  <c:v>FE</c:v>
                </c:pt>
                <c:pt idx="5">
                  <c:v>ED</c:v>
                </c:pt>
                <c:pt idx="6">
                  <c:v>BC</c:v>
                </c:pt>
                <c:pt idx="7">
                  <c:v>BF</c:v>
                </c:pt>
                <c:pt idx="8">
                  <c:v>R1x</c:v>
                </c:pt>
                <c:pt idx="9">
                  <c:v>R1y</c:v>
                </c:pt>
                <c:pt idx="10">
                  <c:v>R2x</c:v>
                </c:pt>
                <c:pt idx="11">
                  <c:v>R2y</c:v>
                </c:pt>
              </c:strCache>
            </c:strRef>
          </c:cat>
          <c:val>
            <c:numRef>
              <c:f>Sheet1!$Q$54:$Q$65</c:f>
              <c:numCache>
                <c:formatCode>0</c:formatCode>
                <c:ptCount val="12"/>
                <c:pt idx="0">
                  <c:v>31.785460174031059</c:v>
                </c:pt>
                <c:pt idx="1">
                  <c:v>-9.4825442290763142</c:v>
                </c:pt>
                <c:pt idx="2">
                  <c:v>49.735909132130423</c:v>
                </c:pt>
                <c:pt idx="3">
                  <c:v>-2.3486795238846416</c:v>
                </c:pt>
                <c:pt idx="4">
                  <c:v>-78.988831221641988</c:v>
                </c:pt>
                <c:pt idx="5">
                  <c:v>-78.010751524650772</c:v>
                </c:pt>
                <c:pt idx="6">
                  <c:v>-112.65731933961617</c:v>
                </c:pt>
                <c:pt idx="7">
                  <c:v>-56.644316780966363</c:v>
                </c:pt>
                <c:pt idx="8">
                  <c:v>28.031058829560436</c:v>
                </c:pt>
                <c:pt idx="9">
                  <c:v>72.800666853638958</c:v>
                </c:pt>
                <c:pt idx="10">
                  <c:v>-28.031058829560425</c:v>
                </c:pt>
                <c:pt idx="11">
                  <c:v>102.19933314636104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B1-43B3-87A3-750129E65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6298943"/>
        <c:axId val="1"/>
      </c:barChart>
      <c:catAx>
        <c:axId val="786298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629894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120650</xdr:colOff>
      <xdr:row>0</xdr:row>
      <xdr:rowOff>76200</xdr:rowOff>
    </xdr:from>
    <xdr:to>
      <xdr:col>18</xdr:col>
      <xdr:colOff>228600</xdr:colOff>
      <xdr:row>16</xdr:row>
      <xdr:rowOff>12700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394A2D74-34DD-4C05-B2DF-CDD594882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158750</xdr:colOff>
      <xdr:row>10</xdr:row>
      <xdr:rowOff>31750</xdr:rowOff>
    </xdr:from>
    <xdr:to>
      <xdr:col>6</xdr:col>
      <xdr:colOff>488950</xdr:colOff>
      <xdr:row>17</xdr:row>
      <xdr:rowOff>69850</xdr:rowOff>
    </xdr:to>
    <xdr:sp macro="" textlink="">
      <xdr:nvSpPr>
        <xdr:cNvPr id="1028" name="Text Box 4">
          <a:extLst>
            <a:ext uri="{FF2B5EF4-FFF2-40B4-BE49-F238E27FC236}">
              <a16:creationId xmlns:a16="http://schemas.microsoft.com/office/drawing/2014/main" id="{C9D6F3B6-54EB-410B-B779-E00026CC8DF5}"/>
            </a:ext>
          </a:extLst>
        </xdr:cNvPr>
        <xdr:cNvSpPr txBox="1">
          <a:spLocks noChangeArrowheads="1"/>
        </xdr:cNvSpPr>
      </xdr:nvSpPr>
      <xdr:spPr bwMode="auto">
        <a:xfrm>
          <a:off x="2501900" y="1682750"/>
          <a:ext cx="1765300" cy="1187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NOTE: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Blue means user input - be careful, if you change some angles, you need to manually recaclulate some of the lengths, etc.</a:t>
          </a:r>
        </a:p>
      </xdr:txBody>
    </xdr:sp>
    <xdr:clientData/>
  </xdr:twoCellAnchor>
  <xdr:twoCellAnchor>
    <xdr:from>
      <xdr:col>10</xdr:col>
      <xdr:colOff>177800</xdr:colOff>
      <xdr:row>16</xdr:row>
      <xdr:rowOff>95250</xdr:rowOff>
    </xdr:from>
    <xdr:to>
      <xdr:col>18</xdr:col>
      <xdr:colOff>273050</xdr:colOff>
      <xdr:row>30</xdr:row>
      <xdr:rowOff>38100</xdr:rowOff>
    </xdr:to>
    <xdr:graphicFrame macro="">
      <xdr:nvGraphicFramePr>
        <xdr:cNvPr id="1029" name="Chart 5">
          <a:extLst>
            <a:ext uri="{FF2B5EF4-FFF2-40B4-BE49-F238E27FC236}">
              <a16:creationId xmlns:a16="http://schemas.microsoft.com/office/drawing/2014/main" id="{AECC30FA-96A1-43CA-AAAA-0E4037BDEA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6"/>
  <sheetViews>
    <sheetView tabSelected="1" topLeftCell="B1" workbookViewId="0">
      <selection activeCell="Z27" sqref="Z27"/>
    </sheetView>
  </sheetViews>
  <sheetFormatPr defaultRowHeight="12.5" x14ac:dyDescent="0.25"/>
  <cols>
    <col min="1" max="1" width="15.54296875" customWidth="1"/>
    <col min="2" max="2" width="9.26953125" bestFit="1" customWidth="1"/>
    <col min="3" max="3" width="8.7265625" customWidth="1"/>
    <col min="4" max="4" width="5.54296875" bestFit="1" customWidth="1"/>
    <col min="5" max="5" width="7.7265625" customWidth="1"/>
    <col min="6" max="7" width="7.26953125" customWidth="1"/>
    <col min="8" max="9" width="6.1796875" bestFit="1" customWidth="1"/>
    <col min="10" max="10" width="8.81640625" bestFit="1" customWidth="1"/>
    <col min="11" max="11" width="6.453125" bestFit="1" customWidth="1"/>
    <col min="12" max="13" width="7" bestFit="1" customWidth="1"/>
    <col min="14" max="14" width="6.1796875" bestFit="1" customWidth="1"/>
    <col min="15" max="15" width="7" bestFit="1" customWidth="1"/>
    <col min="16" max="16" width="6.7265625" bestFit="1" customWidth="1"/>
    <col min="17" max="17" width="7" bestFit="1" customWidth="1"/>
    <col min="18" max="21" width="6.1796875" bestFit="1" customWidth="1"/>
    <col min="22" max="22" width="3.54296875" customWidth="1"/>
    <col min="23" max="23" width="5" customWidth="1"/>
    <col min="24" max="24" width="6.81640625" customWidth="1"/>
    <col min="25" max="25" width="4.453125" customWidth="1"/>
  </cols>
  <sheetData>
    <row r="1" spans="1:7" ht="13" x14ac:dyDescent="0.3">
      <c r="A1" s="3" t="s">
        <v>9</v>
      </c>
      <c r="B1" s="3" t="s">
        <v>13</v>
      </c>
      <c r="C1" s="3" t="s">
        <v>14</v>
      </c>
      <c r="D1" s="3"/>
      <c r="E1" s="3" t="s">
        <v>1</v>
      </c>
      <c r="F1" s="3" t="s">
        <v>0</v>
      </c>
      <c r="G1" s="3" t="s">
        <v>2</v>
      </c>
    </row>
    <row r="2" spans="1:7" ht="13" x14ac:dyDescent="0.3">
      <c r="A2" s="4" t="s">
        <v>10</v>
      </c>
      <c r="B2" s="22">
        <v>63</v>
      </c>
      <c r="C2" s="1">
        <f t="shared" ref="C2:C9" si="0">2*PI()*B2/360</f>
        <v>1.0995574287564276</v>
      </c>
      <c r="E2" s="4" t="s">
        <v>3</v>
      </c>
      <c r="F2" s="24">
        <v>0</v>
      </c>
      <c r="G2" s="24">
        <v>0</v>
      </c>
    </row>
    <row r="3" spans="1:7" ht="13" x14ac:dyDescent="0.3">
      <c r="A3" s="4" t="s">
        <v>15</v>
      </c>
      <c r="B3" s="22">
        <v>70</v>
      </c>
      <c r="C3" s="1">
        <f t="shared" si="0"/>
        <v>1.2217304763960306</v>
      </c>
      <c r="E3" s="4" t="s">
        <v>4</v>
      </c>
      <c r="F3" s="24">
        <f>G3*TAN(C5)</f>
        <v>6.001303133454905</v>
      </c>
      <c r="G3" s="1">
        <f>B10</f>
        <v>21.64</v>
      </c>
    </row>
    <row r="4" spans="1:7" ht="13" x14ac:dyDescent="0.3">
      <c r="A4" s="4" t="s">
        <v>16</v>
      </c>
      <c r="B4" s="22">
        <v>74.5</v>
      </c>
      <c r="C4" s="1">
        <f t="shared" si="0"/>
        <v>1.3002702927357754</v>
      </c>
      <c r="E4" s="4" t="s">
        <v>5</v>
      </c>
      <c r="F4" s="23">
        <v>17.2</v>
      </c>
      <c r="G4" s="1">
        <f>F4*TAN(C15)</f>
        <v>3.4993795500876281</v>
      </c>
    </row>
    <row r="5" spans="1:7" ht="13" x14ac:dyDescent="0.3">
      <c r="A5" s="4" t="s">
        <v>11</v>
      </c>
      <c r="B5" s="22">
        <v>15.5</v>
      </c>
      <c r="C5" s="1">
        <f t="shared" si="0"/>
        <v>0.27052603405912107</v>
      </c>
      <c r="E5" s="4" t="s">
        <v>6</v>
      </c>
      <c r="F5" s="24">
        <f>F4-B11</f>
        <v>-24.8</v>
      </c>
      <c r="G5" s="1">
        <f>G7-(B12+B13)*SIN(C18)</f>
        <v>5.3509853989119449E-2</v>
      </c>
    </row>
    <row r="6" spans="1:7" ht="13" x14ac:dyDescent="0.3">
      <c r="A6" s="4" t="s">
        <v>17</v>
      </c>
      <c r="B6" s="22">
        <v>37.5</v>
      </c>
      <c r="C6" s="1">
        <f t="shared" si="0"/>
        <v>0.6544984694978736</v>
      </c>
      <c r="E6" s="4" t="s">
        <v>7</v>
      </c>
      <c r="F6" s="1">
        <f>F7-B12*COS(C18)</f>
        <v>-17.940183456799787</v>
      </c>
      <c r="G6" s="1">
        <f>G7-B12*SIN(C18)</f>
        <v>17.869434035631286</v>
      </c>
    </row>
    <row r="7" spans="1:7" ht="13" x14ac:dyDescent="0.3">
      <c r="A7" s="4" t="s">
        <v>18</v>
      </c>
      <c r="B7" s="22">
        <v>8</v>
      </c>
      <c r="C7" s="1">
        <f t="shared" si="0"/>
        <v>0.13962634015954636</v>
      </c>
      <c r="E7" s="4" t="s">
        <v>8</v>
      </c>
      <c r="F7" s="1">
        <f>-G3*TAN(C6)</f>
        <v>-16.604956019864701</v>
      </c>
      <c r="G7" s="1">
        <f>G3</f>
        <v>21.64</v>
      </c>
    </row>
    <row r="8" spans="1:7" ht="13" x14ac:dyDescent="0.3">
      <c r="A8" s="4" t="s">
        <v>19</v>
      </c>
      <c r="B8" s="22">
        <v>70.5</v>
      </c>
      <c r="C8" s="1">
        <f t="shared" si="0"/>
        <v>1.2304571226560022</v>
      </c>
      <c r="G8" s="1"/>
    </row>
    <row r="9" spans="1:7" ht="13" x14ac:dyDescent="0.3">
      <c r="A9" s="4" t="s">
        <v>20</v>
      </c>
      <c r="B9" s="22">
        <v>115</v>
      </c>
      <c r="C9" s="1">
        <f t="shared" si="0"/>
        <v>2.0071286397934789</v>
      </c>
      <c r="E9" s="4"/>
      <c r="F9" s="1"/>
      <c r="G9" s="1"/>
    </row>
    <row r="10" spans="1:7" ht="13" x14ac:dyDescent="0.3">
      <c r="A10" s="4" t="s">
        <v>60</v>
      </c>
      <c r="B10" s="22">
        <v>21.64</v>
      </c>
    </row>
    <row r="11" spans="1:7" ht="13" x14ac:dyDescent="0.3">
      <c r="A11" s="4" t="s">
        <v>61</v>
      </c>
      <c r="B11" s="22">
        <v>42</v>
      </c>
    </row>
    <row r="12" spans="1:7" ht="13" x14ac:dyDescent="0.3">
      <c r="A12" s="4" t="s">
        <v>63</v>
      </c>
      <c r="B12" s="22">
        <v>4</v>
      </c>
    </row>
    <row r="13" spans="1:7" ht="13" x14ac:dyDescent="0.3">
      <c r="A13" s="4" t="s">
        <v>31</v>
      </c>
      <c r="B13" s="22">
        <v>18.899999999999999</v>
      </c>
    </row>
    <row r="15" spans="1:7" ht="13" x14ac:dyDescent="0.3">
      <c r="A15" s="4" t="s">
        <v>12</v>
      </c>
      <c r="B15" s="25">
        <f>90-B2-B5</f>
        <v>11.5</v>
      </c>
      <c r="C15" s="1">
        <f>2*PI()*B15/360</f>
        <v>0.20071286397934787</v>
      </c>
    </row>
    <row r="16" spans="1:7" ht="13" x14ac:dyDescent="0.3">
      <c r="A16" s="4" t="s">
        <v>22</v>
      </c>
      <c r="B16" s="25">
        <f>180-B9-B7</f>
        <v>57</v>
      </c>
      <c r="C16" s="1">
        <f>2*PI()*B16/360</f>
        <v>0.99483767363676778</v>
      </c>
    </row>
    <row r="17" spans="1:10" ht="13" x14ac:dyDescent="0.3">
      <c r="A17" s="4" t="s">
        <v>25</v>
      </c>
      <c r="B17" s="25">
        <f>180-B9</f>
        <v>65</v>
      </c>
      <c r="C17" s="1">
        <f>2*PI()*B17/360</f>
        <v>1.1344640137963142</v>
      </c>
    </row>
    <row r="18" spans="1:10" ht="13" x14ac:dyDescent="0.3">
      <c r="A18" s="4" t="s">
        <v>62</v>
      </c>
      <c r="B18" s="25">
        <f>180-B19-B16</f>
        <v>70.5</v>
      </c>
      <c r="C18" s="1">
        <f>2*PI()*B18/360</f>
        <v>1.2304571226560022</v>
      </c>
    </row>
    <row r="19" spans="1:10" ht="13" x14ac:dyDescent="0.3">
      <c r="A19" s="4" t="s">
        <v>21</v>
      </c>
      <c r="B19" s="25">
        <f>180-B6-B5-B4</f>
        <v>52.5</v>
      </c>
      <c r="C19" s="1">
        <f>2*PI()*B19/360</f>
        <v>0.91629785729702307</v>
      </c>
    </row>
    <row r="22" spans="1:10" ht="13" x14ac:dyDescent="0.3">
      <c r="A22" s="3"/>
      <c r="C22" s="3" t="s">
        <v>64</v>
      </c>
      <c r="D22" s="3"/>
      <c r="E22" s="3"/>
      <c r="F22" s="3"/>
      <c r="G22" s="3"/>
      <c r="H22" s="3"/>
    </row>
    <row r="23" spans="1:10" ht="13" x14ac:dyDescent="0.3">
      <c r="A23" s="1"/>
      <c r="C23" s="3" t="s">
        <v>27</v>
      </c>
      <c r="D23" s="3" t="s">
        <v>28</v>
      </c>
      <c r="E23" s="3" t="s">
        <v>23</v>
      </c>
      <c r="F23" s="3" t="s">
        <v>29</v>
      </c>
      <c r="G23" s="3" t="s">
        <v>30</v>
      </c>
      <c r="H23" s="3" t="s">
        <v>31</v>
      </c>
      <c r="I23" s="3" t="s">
        <v>52</v>
      </c>
      <c r="J23" s="3" t="s">
        <v>53</v>
      </c>
    </row>
    <row r="24" spans="1:10" ht="13" x14ac:dyDescent="0.3">
      <c r="A24" s="1"/>
      <c r="B24" s="4" t="s">
        <v>24</v>
      </c>
      <c r="C24" s="1">
        <f>F4-F2</f>
        <v>17.2</v>
      </c>
      <c r="D24" s="1">
        <f>F3-F2</f>
        <v>6.001303133454905</v>
      </c>
      <c r="E24" s="1">
        <f>F7-F2</f>
        <v>-16.604956019864701</v>
      </c>
      <c r="F24" s="1">
        <f>F6-F2</f>
        <v>-17.940183456799787</v>
      </c>
      <c r="G24" s="1">
        <f>F6-F7</f>
        <v>-1.3352274369350852</v>
      </c>
      <c r="H24" s="1">
        <f>F5-F6</f>
        <v>-6.8598165432002141</v>
      </c>
      <c r="I24" s="1">
        <f>F4-F3</f>
        <v>11.198696866545095</v>
      </c>
      <c r="J24" s="1">
        <f>F7-F3</f>
        <v>-22.606259153319606</v>
      </c>
    </row>
    <row r="25" spans="1:10" ht="13" x14ac:dyDescent="0.3">
      <c r="A25" s="1"/>
      <c r="B25" s="4" t="s">
        <v>48</v>
      </c>
      <c r="C25" s="1">
        <f>G4-G2</f>
        <v>3.4993795500876281</v>
      </c>
      <c r="D25" s="1">
        <f>G3-G2</f>
        <v>21.64</v>
      </c>
      <c r="E25" s="1">
        <f>G7-G2</f>
        <v>21.64</v>
      </c>
      <c r="F25" s="1">
        <f>G6-G2</f>
        <v>17.869434035631286</v>
      </c>
      <c r="G25" s="1">
        <f>G6-G7</f>
        <v>-3.7705659643687142</v>
      </c>
      <c r="H25" s="1">
        <f>G5-G6</f>
        <v>-17.815924181642167</v>
      </c>
      <c r="I25" s="1">
        <f>G4-G3</f>
        <v>-18.140620449912372</v>
      </c>
      <c r="J25" s="1">
        <f>G7-G3</f>
        <v>0</v>
      </c>
    </row>
    <row r="26" spans="1:10" ht="13" x14ac:dyDescent="0.3">
      <c r="A26" s="1"/>
      <c r="B26" s="4"/>
    </row>
    <row r="27" spans="1:10" ht="13" x14ac:dyDescent="0.3">
      <c r="A27" s="1"/>
      <c r="B27" s="4" t="s">
        <v>49</v>
      </c>
      <c r="C27" s="1">
        <f t="shared" ref="C27:J27" si="1">SQRT(C24*C24+C25*C25)</f>
        <v>17.552368992121021</v>
      </c>
      <c r="D27" s="1">
        <f t="shared" si="1"/>
        <v>22.456741511172446</v>
      </c>
      <c r="E27" s="1">
        <f t="shared" si="1"/>
        <v>27.276623039182123</v>
      </c>
      <c r="F27" s="1">
        <f t="shared" si="1"/>
        <v>25.321272780360204</v>
      </c>
      <c r="G27" s="1">
        <f t="shared" si="1"/>
        <v>4.0000000000000009</v>
      </c>
      <c r="H27" s="1">
        <f t="shared" si="1"/>
        <v>19.090946478694697</v>
      </c>
      <c r="I27" s="1">
        <f t="shared" si="1"/>
        <v>21.318839598264862</v>
      </c>
      <c r="J27" s="1">
        <f t="shared" si="1"/>
        <v>22.606259153319606</v>
      </c>
    </row>
    <row r="28" spans="1:10" ht="13" x14ac:dyDescent="0.3">
      <c r="A28" s="1"/>
      <c r="B28" s="4" t="s">
        <v>50</v>
      </c>
      <c r="C28" s="1">
        <f>C24/C27</f>
        <v>0.97992470462082959</v>
      </c>
      <c r="D28" s="1">
        <f t="shared" ref="D28:J28" si="2">D24/D27</f>
        <v>0.2672383760782569</v>
      </c>
      <c r="E28" s="1">
        <f t="shared" si="2"/>
        <v>-0.60876142900872066</v>
      </c>
      <c r="F28" s="1">
        <f t="shared" si="2"/>
        <v>-0.70850243636704668</v>
      </c>
      <c r="G28" s="1">
        <f t="shared" si="2"/>
        <v>-0.33380685923377124</v>
      </c>
      <c r="H28" s="1">
        <f t="shared" si="2"/>
        <v>-0.35932301999042843</v>
      </c>
      <c r="I28" s="1">
        <f t="shared" si="2"/>
        <v>0.5252957983443225</v>
      </c>
      <c r="J28" s="1">
        <f t="shared" si="2"/>
        <v>-1</v>
      </c>
    </row>
    <row r="29" spans="1:10" ht="13" x14ac:dyDescent="0.3">
      <c r="A29" s="1"/>
      <c r="B29" s="4" t="s">
        <v>51</v>
      </c>
      <c r="C29" s="1">
        <f t="shared" ref="C29:J29" si="3">C25/C27</f>
        <v>0.19936793441719713</v>
      </c>
      <c r="D29" s="1">
        <f t="shared" si="3"/>
        <v>0.96363045320862295</v>
      </c>
      <c r="E29" s="1">
        <f t="shared" si="3"/>
        <v>0.79335334029123517</v>
      </c>
      <c r="F29" s="1">
        <f t="shared" si="3"/>
        <v>0.70570836587216323</v>
      </c>
      <c r="G29" s="1">
        <f t="shared" si="3"/>
        <v>-0.94264149109217832</v>
      </c>
      <c r="H29" s="1">
        <f t="shared" si="3"/>
        <v>-0.93321324856913501</v>
      </c>
      <c r="I29" s="1">
        <f t="shared" si="3"/>
        <v>-0.85091969318015015</v>
      </c>
      <c r="J29" s="1">
        <f t="shared" si="3"/>
        <v>0</v>
      </c>
    </row>
    <row r="32" spans="1:10" ht="13" thickBot="1" x14ac:dyDescent="0.3">
      <c r="A32" s="1"/>
    </row>
    <row r="33" spans="2:18" ht="18" x14ac:dyDescent="0.4">
      <c r="B33" s="5"/>
      <c r="C33" s="6" t="s">
        <v>26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16"/>
      <c r="P33" s="20" t="s">
        <v>56</v>
      </c>
      <c r="Q33" s="6"/>
      <c r="R33" s="7"/>
    </row>
    <row r="34" spans="2:18" ht="13" x14ac:dyDescent="0.3">
      <c r="B34" s="8"/>
      <c r="C34" s="9" t="s">
        <v>27</v>
      </c>
      <c r="D34" s="9" t="s">
        <v>28</v>
      </c>
      <c r="E34" s="9" t="s">
        <v>23</v>
      </c>
      <c r="F34" s="9" t="s">
        <v>29</v>
      </c>
      <c r="G34" s="9" t="s">
        <v>30</v>
      </c>
      <c r="H34" s="9" t="s">
        <v>31</v>
      </c>
      <c r="I34" s="9" t="s">
        <v>52</v>
      </c>
      <c r="J34" s="9" t="s">
        <v>53</v>
      </c>
      <c r="K34" s="9" t="s">
        <v>32</v>
      </c>
      <c r="L34" s="9" t="s">
        <v>33</v>
      </c>
      <c r="M34" s="9" t="s">
        <v>34</v>
      </c>
      <c r="N34" s="9" t="s">
        <v>35</v>
      </c>
      <c r="O34" s="17"/>
      <c r="P34" s="8"/>
      <c r="Q34" s="18"/>
      <c r="R34" s="17"/>
    </row>
    <row r="35" spans="2:18" ht="13" x14ac:dyDescent="0.3">
      <c r="B35" s="10" t="s">
        <v>36</v>
      </c>
      <c r="C35" s="11">
        <f t="shared" ref="C35:F36" si="4">C28</f>
        <v>0.97992470462082959</v>
      </c>
      <c r="D35" s="11">
        <f t="shared" si="4"/>
        <v>0.2672383760782569</v>
      </c>
      <c r="E35" s="11">
        <f t="shared" si="4"/>
        <v>-0.60876142900872066</v>
      </c>
      <c r="F35" s="11">
        <f t="shared" si="4"/>
        <v>-0.70850243636704668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7"/>
      <c r="P35" s="8"/>
      <c r="Q35" s="12">
        <v>0</v>
      </c>
      <c r="R35" s="17"/>
    </row>
    <row r="36" spans="2:18" ht="13" x14ac:dyDescent="0.3">
      <c r="B36" s="10" t="s">
        <v>37</v>
      </c>
      <c r="C36" s="11">
        <f t="shared" si="4"/>
        <v>0.19936793441719713</v>
      </c>
      <c r="D36" s="11">
        <f t="shared" si="4"/>
        <v>0.96363045320862295</v>
      </c>
      <c r="E36" s="11">
        <f t="shared" si="4"/>
        <v>0.79335334029123517</v>
      </c>
      <c r="F36" s="11">
        <f t="shared" si="4"/>
        <v>0.70570836587216323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7"/>
      <c r="P36" s="8"/>
      <c r="Q36" s="12">
        <f>0.2*175</f>
        <v>35</v>
      </c>
      <c r="R36" s="17"/>
    </row>
    <row r="37" spans="2:18" ht="13" x14ac:dyDescent="0.3">
      <c r="B37" s="10" t="s">
        <v>38</v>
      </c>
      <c r="C37" s="12">
        <v>0</v>
      </c>
      <c r="D37" s="11">
        <f>-D28</f>
        <v>-0.2672383760782569</v>
      </c>
      <c r="E37" s="12">
        <v>0</v>
      </c>
      <c r="F37" s="12">
        <v>0</v>
      </c>
      <c r="G37" s="12">
        <v>0</v>
      </c>
      <c r="H37" s="12">
        <v>0</v>
      </c>
      <c r="I37" s="11">
        <f>I28</f>
        <v>0.5252957983443225</v>
      </c>
      <c r="J37" s="11">
        <f>J28</f>
        <v>-1</v>
      </c>
      <c r="K37" s="12">
        <v>0</v>
      </c>
      <c r="L37" s="12">
        <v>0</v>
      </c>
      <c r="M37" s="12">
        <v>0</v>
      </c>
      <c r="N37" s="12">
        <v>0</v>
      </c>
      <c r="O37" s="17"/>
      <c r="P37" s="8"/>
      <c r="Q37" s="12">
        <v>0</v>
      </c>
      <c r="R37" s="17"/>
    </row>
    <row r="38" spans="2:18" ht="13" x14ac:dyDescent="0.3">
      <c r="B38" s="10" t="s">
        <v>39</v>
      </c>
      <c r="C38" s="12">
        <v>0</v>
      </c>
      <c r="D38" s="11">
        <f>-D29</f>
        <v>-0.96363045320862295</v>
      </c>
      <c r="E38" s="12">
        <v>0</v>
      </c>
      <c r="F38" s="12">
        <v>0</v>
      </c>
      <c r="G38" s="12">
        <v>0</v>
      </c>
      <c r="H38" s="12">
        <v>0</v>
      </c>
      <c r="I38" s="11">
        <f>I29</f>
        <v>-0.85091969318015015</v>
      </c>
      <c r="J38" s="11">
        <f>J29</f>
        <v>0</v>
      </c>
      <c r="K38" s="12">
        <v>0</v>
      </c>
      <c r="L38" s="12">
        <v>0</v>
      </c>
      <c r="M38" s="12">
        <v>0</v>
      </c>
      <c r="N38" s="12">
        <v>0</v>
      </c>
      <c r="O38" s="17"/>
      <c r="P38" s="8"/>
      <c r="Q38" s="12">
        <f>0.6*175</f>
        <v>105</v>
      </c>
      <c r="R38" s="17"/>
    </row>
    <row r="39" spans="2:18" ht="13" x14ac:dyDescent="0.3">
      <c r="B39" s="10" t="s">
        <v>40</v>
      </c>
      <c r="C39" s="11">
        <f>-C28</f>
        <v>-0.97992470462082959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1">
        <f>-I28</f>
        <v>-0.5252957983443225</v>
      </c>
      <c r="J39" s="12">
        <v>0</v>
      </c>
      <c r="K39" s="12">
        <v>0</v>
      </c>
      <c r="L39" s="12">
        <v>0</v>
      </c>
      <c r="M39" s="12">
        <v>1</v>
      </c>
      <c r="N39" s="12">
        <v>0</v>
      </c>
      <c r="O39" s="17"/>
      <c r="P39" s="8"/>
      <c r="Q39" s="12">
        <v>0</v>
      </c>
      <c r="R39" s="17"/>
    </row>
    <row r="40" spans="2:18" ht="13" x14ac:dyDescent="0.3">
      <c r="B40" s="10" t="s">
        <v>42</v>
      </c>
      <c r="C40" s="11">
        <f>-C29</f>
        <v>-0.19936793441719713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1">
        <f>-I29</f>
        <v>0.85091969318015015</v>
      </c>
      <c r="J40" s="12">
        <v>0</v>
      </c>
      <c r="K40" s="12">
        <v>0</v>
      </c>
      <c r="L40" s="12">
        <v>0</v>
      </c>
      <c r="M40" s="12">
        <v>0</v>
      </c>
      <c r="N40" s="12">
        <v>1</v>
      </c>
      <c r="O40" s="17"/>
      <c r="P40" s="8"/>
      <c r="Q40" s="12">
        <v>0</v>
      </c>
      <c r="R40" s="17"/>
    </row>
    <row r="41" spans="2:18" ht="13" x14ac:dyDescent="0.3">
      <c r="B41" s="10" t="s">
        <v>43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1">
        <f>-H28</f>
        <v>0.35932301999042843</v>
      </c>
      <c r="I41" s="12">
        <v>0</v>
      </c>
      <c r="J41" s="12">
        <v>0</v>
      </c>
      <c r="K41" s="12">
        <v>1</v>
      </c>
      <c r="L41" s="12">
        <v>0</v>
      </c>
      <c r="M41" s="12">
        <v>0</v>
      </c>
      <c r="N41" s="12">
        <v>0</v>
      </c>
      <c r="O41" s="17"/>
      <c r="P41" s="8"/>
      <c r="Q41" s="12">
        <v>0</v>
      </c>
      <c r="R41" s="17"/>
    </row>
    <row r="42" spans="2:18" ht="13" x14ac:dyDescent="0.3">
      <c r="B42" s="10" t="s">
        <v>41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1">
        <f>-H29</f>
        <v>0.93321324856913501</v>
      </c>
      <c r="I42" s="12">
        <v>0</v>
      </c>
      <c r="J42" s="12">
        <v>0</v>
      </c>
      <c r="K42" s="12">
        <v>0</v>
      </c>
      <c r="L42" s="12">
        <v>1</v>
      </c>
      <c r="M42" s="12">
        <v>0</v>
      </c>
      <c r="N42" s="12">
        <v>0</v>
      </c>
      <c r="O42" s="17"/>
      <c r="P42" s="8"/>
      <c r="Q42" s="12">
        <v>0</v>
      </c>
      <c r="R42" s="17"/>
    </row>
    <row r="43" spans="2:18" ht="13" x14ac:dyDescent="0.3">
      <c r="B43" s="10" t="s">
        <v>44</v>
      </c>
      <c r="C43" s="12">
        <v>0</v>
      </c>
      <c r="D43" s="12">
        <v>0</v>
      </c>
      <c r="E43" s="12">
        <v>0</v>
      </c>
      <c r="F43" s="11">
        <f>-F28</f>
        <v>0.70850243636704668</v>
      </c>
      <c r="G43" s="11">
        <f>-G28</f>
        <v>0.33380685923377124</v>
      </c>
      <c r="H43" s="11">
        <f>H28</f>
        <v>-0.35932301999042843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7"/>
      <c r="P43" s="8"/>
      <c r="Q43" s="12">
        <v>0</v>
      </c>
      <c r="R43" s="17"/>
    </row>
    <row r="44" spans="2:18" ht="13" x14ac:dyDescent="0.3">
      <c r="B44" s="10" t="s">
        <v>45</v>
      </c>
      <c r="C44" s="12">
        <v>0</v>
      </c>
      <c r="D44" s="12">
        <v>0</v>
      </c>
      <c r="E44" s="12">
        <v>0</v>
      </c>
      <c r="F44" s="11">
        <f>-F29</f>
        <v>-0.70570836587216323</v>
      </c>
      <c r="G44" s="11">
        <f>-G29</f>
        <v>0.94264149109217832</v>
      </c>
      <c r="H44" s="11">
        <f>H29</f>
        <v>-0.93321324856913501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7"/>
      <c r="P44" s="8"/>
      <c r="Q44" s="12">
        <v>0</v>
      </c>
      <c r="R44" s="17"/>
    </row>
    <row r="45" spans="2:18" ht="13" x14ac:dyDescent="0.3">
      <c r="B45" s="10" t="s">
        <v>46</v>
      </c>
      <c r="C45" s="12">
        <v>0</v>
      </c>
      <c r="D45" s="12">
        <v>0</v>
      </c>
      <c r="E45" s="11">
        <f>-E28</f>
        <v>0.60876142900872066</v>
      </c>
      <c r="F45" s="12">
        <v>0</v>
      </c>
      <c r="G45" s="11">
        <f>G28</f>
        <v>-0.33380685923377124</v>
      </c>
      <c r="H45" s="12">
        <v>0</v>
      </c>
      <c r="I45" s="12">
        <v>0</v>
      </c>
      <c r="J45" s="11">
        <f>-J28</f>
        <v>1</v>
      </c>
      <c r="K45" s="12">
        <v>0</v>
      </c>
      <c r="L45" s="12">
        <v>0</v>
      </c>
      <c r="M45" s="12">
        <v>0</v>
      </c>
      <c r="N45" s="12">
        <v>0</v>
      </c>
      <c r="O45" s="17"/>
      <c r="P45" s="8"/>
      <c r="Q45" s="12">
        <v>0</v>
      </c>
      <c r="R45" s="17"/>
    </row>
    <row r="46" spans="2:18" ht="13" x14ac:dyDescent="0.3">
      <c r="B46" s="10" t="s">
        <v>47</v>
      </c>
      <c r="C46" s="12">
        <v>0</v>
      </c>
      <c r="D46" s="12">
        <v>0</v>
      </c>
      <c r="E46" s="11">
        <f>-E29</f>
        <v>-0.79335334029123517</v>
      </c>
      <c r="F46" s="12">
        <v>0</v>
      </c>
      <c r="G46" s="11">
        <f>G29</f>
        <v>-0.94264149109217832</v>
      </c>
      <c r="H46" s="12">
        <v>0</v>
      </c>
      <c r="I46" s="12">
        <v>0</v>
      </c>
      <c r="J46" s="11">
        <f>-J29</f>
        <v>0</v>
      </c>
      <c r="K46" s="12">
        <v>0</v>
      </c>
      <c r="L46" s="12">
        <v>0</v>
      </c>
      <c r="M46" s="12">
        <v>0</v>
      </c>
      <c r="N46" s="12">
        <v>0</v>
      </c>
      <c r="O46" s="17"/>
      <c r="P46" s="8"/>
      <c r="Q46" s="12">
        <f>0.2*175</f>
        <v>35</v>
      </c>
      <c r="R46" s="17"/>
    </row>
    <row r="47" spans="2:18" ht="13" thickBot="1" x14ac:dyDescent="0.3">
      <c r="B47" s="13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5"/>
      <c r="P47" s="13"/>
      <c r="Q47" s="19"/>
      <c r="R47" s="15"/>
    </row>
    <row r="48" spans="2:18" ht="13" x14ac:dyDescent="0.3">
      <c r="B48" s="4" t="s">
        <v>54</v>
      </c>
      <c r="C48" s="1">
        <f>C35+C37+C39+C41+C43+C45</f>
        <v>0</v>
      </c>
      <c r="D48" s="1">
        <f t="shared" ref="D48:J48" si="5">D35+D37+D39+D41+D43+D45</f>
        <v>0</v>
      </c>
      <c r="E48" s="1">
        <f t="shared" si="5"/>
        <v>0</v>
      </c>
      <c r="F48" s="1">
        <f t="shared" si="5"/>
        <v>0</v>
      </c>
      <c r="G48" s="1">
        <f t="shared" si="5"/>
        <v>0</v>
      </c>
      <c r="H48" s="1">
        <f t="shared" si="5"/>
        <v>0</v>
      </c>
      <c r="I48" s="1">
        <f t="shared" si="5"/>
        <v>0</v>
      </c>
      <c r="J48" s="1">
        <f t="shared" si="5"/>
        <v>0</v>
      </c>
    </row>
    <row r="49" spans="2:18" ht="13" x14ac:dyDescent="0.3">
      <c r="B49" s="4" t="s">
        <v>55</v>
      </c>
      <c r="C49" s="1">
        <f>C36+C38+C40+C42+C44+C46</f>
        <v>0</v>
      </c>
      <c r="D49" s="1">
        <f t="shared" ref="D49:J49" si="6">D36+D38+D40+D42+D44+D46</f>
        <v>0</v>
      </c>
      <c r="E49" s="1">
        <f t="shared" si="6"/>
        <v>0</v>
      </c>
      <c r="F49" s="1">
        <f t="shared" si="6"/>
        <v>0</v>
      </c>
      <c r="G49" s="1">
        <f t="shared" si="6"/>
        <v>0</v>
      </c>
      <c r="H49" s="1">
        <f t="shared" si="6"/>
        <v>0</v>
      </c>
      <c r="I49" s="1">
        <f t="shared" si="6"/>
        <v>0</v>
      </c>
      <c r="J49" s="1">
        <f t="shared" si="6"/>
        <v>0</v>
      </c>
      <c r="P49" s="4" t="s">
        <v>59</v>
      </c>
      <c r="Q49" s="2">
        <f>SUM(Q35:Q46)</f>
        <v>175</v>
      </c>
    </row>
    <row r="51" spans="2:18" ht="13" thickBot="1" x14ac:dyDescent="0.3"/>
    <row r="52" spans="2:18" ht="18" x14ac:dyDescent="0.4">
      <c r="B52" s="5"/>
      <c r="C52" s="27" t="s">
        <v>57</v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16"/>
      <c r="P52" s="26" t="s">
        <v>58</v>
      </c>
      <c r="Q52" s="27"/>
      <c r="R52" s="28"/>
    </row>
    <row r="53" spans="2:18" ht="13" x14ac:dyDescent="0.3">
      <c r="B53" s="8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17"/>
      <c r="P53" s="8"/>
      <c r="Q53" s="18"/>
      <c r="R53" s="17"/>
    </row>
    <row r="54" spans="2:18" ht="13" x14ac:dyDescent="0.3">
      <c r="B54" s="10"/>
      <c r="C54" s="11">
        <f t="array" ref="C54:N65">MINVERSE(C35:N46)</f>
        <v>0.98480514023763432</v>
      </c>
      <c r="D54" s="11">
        <v>0.17537982698056948</v>
      </c>
      <c r="E54" s="11">
        <v>0.50130177427018485</v>
      </c>
      <c r="F54" s="11">
        <v>0.30946717749888963</v>
      </c>
      <c r="G54" s="11">
        <v>0</v>
      </c>
      <c r="H54" s="11">
        <v>0</v>
      </c>
      <c r="I54" s="11">
        <v>0</v>
      </c>
      <c r="J54" s="11">
        <v>0</v>
      </c>
      <c r="K54" s="11">
        <v>0.58554767701392685</v>
      </c>
      <c r="L54" s="11">
        <v>-0.22545839332609635</v>
      </c>
      <c r="M54" s="11">
        <v>0.50130177427018485</v>
      </c>
      <c r="N54" s="11">
        <v>-0.19562535450492241</v>
      </c>
      <c r="O54" s="17"/>
      <c r="P54" s="10" t="s">
        <v>27</v>
      </c>
      <c r="Q54" s="21">
        <f t="array" ref="Q54:Q65">MMULT(C54:N65,Q35:Q46)</f>
        <v>31.785460174031059</v>
      </c>
      <c r="R54" s="17"/>
    </row>
    <row r="55" spans="2:18" ht="13" x14ac:dyDescent="0.3">
      <c r="B55" s="10"/>
      <c r="C55" s="11">
        <v>-0.11446513301542605</v>
      </c>
      <c r="D55" s="11">
        <v>0.56261410335327167</v>
      </c>
      <c r="E55" s="11">
        <v>-0.56655805304323303</v>
      </c>
      <c r="F55" s="11">
        <v>-0.349751647737153</v>
      </c>
      <c r="G55" s="11">
        <v>0</v>
      </c>
      <c r="H55" s="11">
        <v>0</v>
      </c>
      <c r="I55" s="11">
        <v>0</v>
      </c>
      <c r="J55" s="11">
        <v>0</v>
      </c>
      <c r="K55" s="11">
        <v>-0.4877851243468877</v>
      </c>
      <c r="L55" s="11">
        <v>0.18781604767770899</v>
      </c>
      <c r="M55" s="11">
        <v>-0.56655805304323303</v>
      </c>
      <c r="N55" s="11">
        <v>0.21571100474172128</v>
      </c>
      <c r="O55" s="17"/>
      <c r="P55" s="10" t="s">
        <v>28</v>
      </c>
      <c r="Q55" s="21">
        <v>-9.4825442290763142</v>
      </c>
      <c r="R55" s="17"/>
    </row>
    <row r="56" spans="2:18" ht="13" x14ac:dyDescent="0.3">
      <c r="B56" s="10"/>
      <c r="C56" s="11">
        <v>-0.1109156565049574</v>
      </c>
      <c r="D56" s="11">
        <v>0.54516786892622071</v>
      </c>
      <c r="E56" s="11">
        <v>0.57498159253942671</v>
      </c>
      <c r="F56" s="11">
        <v>0.35495172706308903</v>
      </c>
      <c r="G56" s="11">
        <v>0</v>
      </c>
      <c r="H56" s="11">
        <v>0</v>
      </c>
      <c r="I56" s="11">
        <v>0</v>
      </c>
      <c r="J56" s="11">
        <v>0</v>
      </c>
      <c r="K56" s="11">
        <v>-0.47265927951174602</v>
      </c>
      <c r="L56" s="11">
        <v>0.18199201522381581</v>
      </c>
      <c r="M56" s="11">
        <v>0.57498159253942671</v>
      </c>
      <c r="N56" s="11">
        <v>-0.18899707491176157</v>
      </c>
      <c r="O56" s="17"/>
      <c r="P56" s="10" t="s">
        <v>23</v>
      </c>
      <c r="Q56" s="21">
        <v>49.735909132130423</v>
      </c>
      <c r="R56" s="17"/>
    </row>
    <row r="57" spans="2:18" ht="13" x14ac:dyDescent="0.3">
      <c r="B57" s="10"/>
      <c r="C57" s="11">
        <v>2.7756904482878265E-3</v>
      </c>
      <c r="D57" s="11">
        <v>-1.3642954422979253E-2</v>
      </c>
      <c r="E57" s="11">
        <v>-1.4389049883878973E-2</v>
      </c>
      <c r="F57" s="11">
        <v>-8.8827506364552895E-3</v>
      </c>
      <c r="G57" s="11">
        <v>0</v>
      </c>
      <c r="H57" s="11">
        <v>0</v>
      </c>
      <c r="I57" s="11">
        <v>0</v>
      </c>
      <c r="J57" s="11">
        <v>0</v>
      </c>
      <c r="K57" s="11">
        <v>1.0319999351204814</v>
      </c>
      <c r="L57" s="11">
        <v>-0.39735969660309223</v>
      </c>
      <c r="M57" s="11">
        <v>-1.4389049883878973E-2</v>
      </c>
      <c r="N57" s="11">
        <v>-2.6813922921501778E-2</v>
      </c>
      <c r="O57" s="17"/>
      <c r="P57" s="10" t="s">
        <v>29</v>
      </c>
      <c r="Q57" s="21">
        <v>-2.3486795238846416</v>
      </c>
      <c r="R57" s="17"/>
    </row>
    <row r="58" spans="2:18" ht="13" x14ac:dyDescent="0.3">
      <c r="B58" s="10"/>
      <c r="C58" s="11">
        <v>9.334970655370653E-2</v>
      </c>
      <c r="D58" s="11">
        <v>-0.45882846651588499</v>
      </c>
      <c r="E58" s="11">
        <v>-0.48392052689999959</v>
      </c>
      <c r="F58" s="11">
        <v>-0.29873726222401914</v>
      </c>
      <c r="G58" s="11">
        <v>0</v>
      </c>
      <c r="H58" s="11">
        <v>0</v>
      </c>
      <c r="I58" s="11">
        <v>0</v>
      </c>
      <c r="J58" s="11">
        <v>0</v>
      </c>
      <c r="K58" s="11">
        <v>0.3978032176218132</v>
      </c>
      <c r="L58" s="11">
        <v>-0.15316955019331807</v>
      </c>
      <c r="M58" s="11">
        <v>-0.48392052689999959</v>
      </c>
      <c r="N58" s="11">
        <v>-0.90178349600182861</v>
      </c>
      <c r="O58" s="17"/>
      <c r="P58" s="10" t="s">
        <v>30</v>
      </c>
      <c r="Q58" s="21">
        <v>-78.988831221641988</v>
      </c>
      <c r="R58" s="17"/>
    </row>
    <row r="59" spans="2:18" ht="13" x14ac:dyDescent="0.3">
      <c r="B59" s="10"/>
      <c r="C59" s="11">
        <v>9.2193803228031654E-2</v>
      </c>
      <c r="D59" s="11">
        <v>-0.45314702015745545</v>
      </c>
      <c r="E59" s="11">
        <v>-0.47792837794681331</v>
      </c>
      <c r="F59" s="11">
        <v>-0.29503814620474078</v>
      </c>
      <c r="G59" s="11">
        <v>0</v>
      </c>
      <c r="H59" s="11">
        <v>0</v>
      </c>
      <c r="I59" s="11">
        <v>0</v>
      </c>
      <c r="J59" s="11">
        <v>0</v>
      </c>
      <c r="K59" s="11">
        <v>-0.3785899633502548</v>
      </c>
      <c r="L59" s="11">
        <v>-0.92579473379274047</v>
      </c>
      <c r="M59" s="11">
        <v>-0.47792837794681331</v>
      </c>
      <c r="N59" s="11">
        <v>-0.89061715621834447</v>
      </c>
      <c r="O59" s="17"/>
      <c r="P59" s="10" t="s">
        <v>31</v>
      </c>
      <c r="Q59" s="21">
        <v>-78.010751524650772</v>
      </c>
      <c r="R59" s="17"/>
    </row>
    <row r="60" spans="2:18" ht="13" x14ac:dyDescent="0.3">
      <c r="B60" s="10"/>
      <c r="C60" s="11">
        <v>0.12962690708450675</v>
      </c>
      <c r="D60" s="11">
        <v>-0.63713660377242665</v>
      </c>
      <c r="E60" s="11">
        <v>0.64160295947864598</v>
      </c>
      <c r="F60" s="11">
        <v>-0.77912012907218731</v>
      </c>
      <c r="G60" s="11">
        <v>0</v>
      </c>
      <c r="H60" s="11">
        <v>0</v>
      </c>
      <c r="I60" s="11">
        <v>0</v>
      </c>
      <c r="J60" s="11">
        <v>0</v>
      </c>
      <c r="K60" s="11">
        <v>0.55239595958358156</v>
      </c>
      <c r="L60" s="11">
        <v>-0.21269370610888685</v>
      </c>
      <c r="M60" s="11">
        <v>0.64160295947864598</v>
      </c>
      <c r="N60" s="11">
        <v>-0.24428356157147321</v>
      </c>
      <c r="O60" s="17"/>
      <c r="P60" s="10" t="s">
        <v>52</v>
      </c>
      <c r="Q60" s="21">
        <v>-112.65731933961617</v>
      </c>
      <c r="R60" s="17"/>
    </row>
    <row r="61" spans="2:18" ht="13" x14ac:dyDescent="0.3">
      <c r="B61" s="10"/>
      <c r="C61" s="11">
        <v>9.868194590848528E-2</v>
      </c>
      <c r="D61" s="11">
        <v>-0.48503726027188004</v>
      </c>
      <c r="E61" s="11">
        <v>-0.51156260713125201</v>
      </c>
      <c r="F61" s="11">
        <v>-0.31580146783513491</v>
      </c>
      <c r="G61" s="11">
        <v>0</v>
      </c>
      <c r="H61" s="11">
        <v>0</v>
      </c>
      <c r="I61" s="11">
        <v>0</v>
      </c>
      <c r="J61" s="11">
        <v>0</v>
      </c>
      <c r="K61" s="11">
        <v>0.42052618109722856</v>
      </c>
      <c r="L61" s="11">
        <v>-0.16191876573610786</v>
      </c>
      <c r="M61" s="11">
        <v>0.48843739286874799</v>
      </c>
      <c r="N61" s="11">
        <v>-0.18596738710746838</v>
      </c>
      <c r="O61" s="17"/>
      <c r="P61" s="10" t="s">
        <v>53</v>
      </c>
      <c r="Q61" s="21">
        <v>-56.644316780966363</v>
      </c>
      <c r="R61" s="17"/>
    </row>
    <row r="62" spans="2:18" ht="13" x14ac:dyDescent="0.3">
      <c r="B62" s="10"/>
      <c r="C62" s="11">
        <v>-3.3127355800299643E-2</v>
      </c>
      <c r="D62" s="11">
        <v>0.16282615578264042</v>
      </c>
      <c r="E62" s="11">
        <v>0.17173066810297583</v>
      </c>
      <c r="F62" s="11">
        <v>0.10601399770666502</v>
      </c>
      <c r="G62" s="11">
        <v>0</v>
      </c>
      <c r="H62" s="11">
        <v>0</v>
      </c>
      <c r="I62" s="11">
        <v>1</v>
      </c>
      <c r="J62" s="11">
        <v>0</v>
      </c>
      <c r="K62" s="11">
        <v>0.13603608896907918</v>
      </c>
      <c r="L62" s="11">
        <v>0.3326593596376422</v>
      </c>
      <c r="M62" s="11">
        <v>0.17173066810297583</v>
      </c>
      <c r="N62" s="11">
        <v>0.3200192462276627</v>
      </c>
      <c r="O62" s="17"/>
      <c r="P62" s="10" t="s">
        <v>32</v>
      </c>
      <c r="Q62" s="21">
        <v>28.031058829560436</v>
      </c>
      <c r="R62" s="17"/>
    </row>
    <row r="63" spans="2:18" ht="13" x14ac:dyDescent="0.3">
      <c r="B63" s="10"/>
      <c r="C63" s="11">
        <v>-8.603647860837503E-2</v>
      </c>
      <c r="D63" s="11">
        <v>0.42288280276056228</v>
      </c>
      <c r="E63" s="11">
        <v>0.44600909416712298</v>
      </c>
      <c r="F63" s="11">
        <v>0.27533350687154157</v>
      </c>
      <c r="G63" s="11">
        <v>0</v>
      </c>
      <c r="H63" s="11">
        <v>0</v>
      </c>
      <c r="I63" s="11">
        <v>0</v>
      </c>
      <c r="J63" s="11">
        <v>1</v>
      </c>
      <c r="K63" s="11">
        <v>0.35330516957376107</v>
      </c>
      <c r="L63" s="11">
        <v>0.86396391103092085</v>
      </c>
      <c r="M63" s="11">
        <v>0.44600909416712298</v>
      </c>
      <c r="N63" s="11">
        <v>0.83113572958592608</v>
      </c>
      <c r="O63" s="17"/>
      <c r="P63" s="10" t="s">
        <v>33</v>
      </c>
      <c r="Q63" s="21">
        <v>72.800666853638958</v>
      </c>
      <c r="R63" s="17"/>
    </row>
    <row r="64" spans="2:18" ht="13" x14ac:dyDescent="0.3">
      <c r="B64" s="10"/>
      <c r="C64" s="11">
        <v>1.0331273558002998</v>
      </c>
      <c r="D64" s="11">
        <v>-0.16282615578264045</v>
      </c>
      <c r="E64" s="11">
        <v>0.82826933189702412</v>
      </c>
      <c r="F64" s="11">
        <v>-0.10601399770666495</v>
      </c>
      <c r="G64" s="11">
        <v>1</v>
      </c>
      <c r="H64" s="11">
        <v>0</v>
      </c>
      <c r="I64" s="11">
        <v>0</v>
      </c>
      <c r="J64" s="11">
        <v>0</v>
      </c>
      <c r="K64" s="11">
        <v>0.86396391103092074</v>
      </c>
      <c r="L64" s="11">
        <v>-0.3326593596376422</v>
      </c>
      <c r="M64" s="11">
        <v>0.82826933189702412</v>
      </c>
      <c r="N64" s="11">
        <v>-0.32001924622766265</v>
      </c>
      <c r="O64" s="17"/>
      <c r="P64" s="10" t="s">
        <v>34</v>
      </c>
      <c r="Q64" s="21">
        <v>-28.031058829560425</v>
      </c>
      <c r="R64" s="17"/>
    </row>
    <row r="65" spans="2:18" ht="13" x14ac:dyDescent="0.3">
      <c r="B65" s="10"/>
      <c r="C65" s="11">
        <v>8.6036478608375044E-2</v>
      </c>
      <c r="D65" s="11">
        <v>0.57711719723943777</v>
      </c>
      <c r="E65" s="11">
        <v>-0.44600909416712303</v>
      </c>
      <c r="F65" s="11">
        <v>0.72466649312845832</v>
      </c>
      <c r="G65" s="11">
        <v>0</v>
      </c>
      <c r="H65" s="11">
        <v>1</v>
      </c>
      <c r="I65" s="11">
        <v>0</v>
      </c>
      <c r="J65" s="11">
        <v>0</v>
      </c>
      <c r="K65" s="11">
        <v>-0.35330516957376124</v>
      </c>
      <c r="L65" s="11">
        <v>0.13603608896907923</v>
      </c>
      <c r="M65" s="11">
        <v>-0.44600909416712303</v>
      </c>
      <c r="N65" s="11">
        <v>0.16886427041407404</v>
      </c>
      <c r="O65" s="17"/>
      <c r="P65" s="10" t="s">
        <v>35</v>
      </c>
      <c r="Q65" s="21">
        <v>102.19933314636104</v>
      </c>
      <c r="R65" s="17"/>
    </row>
    <row r="66" spans="2:18" ht="13" thickBot="1" x14ac:dyDescent="0.3">
      <c r="B66" s="13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5"/>
      <c r="P66" s="13"/>
      <c r="Q66" s="14"/>
      <c r="R66" s="15"/>
    </row>
  </sheetData>
  <mergeCells count="2">
    <mergeCell ref="P52:R52"/>
    <mergeCell ref="C52:N52"/>
  </mergeCells>
  <phoneticPr fontId="1" type="noConversion"/>
  <pageMargins left="0.75" right="0.75" top="1" bottom="1" header="0.5" footer="0.5"/>
  <pageSetup scale="63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Brown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Breuer</dc:creator>
  <cp:lastModifiedBy>Carina Negreanu</cp:lastModifiedBy>
  <cp:lastPrinted>2003-10-16T19:09:42Z</cp:lastPrinted>
  <dcterms:created xsi:type="dcterms:W3CDTF">2003-10-15T14:55:30Z</dcterms:created>
  <dcterms:modified xsi:type="dcterms:W3CDTF">2020-01-27T11:16:48Z</dcterms:modified>
</cp:coreProperties>
</file>