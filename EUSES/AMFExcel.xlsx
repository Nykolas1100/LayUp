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3AAE66-4F7B-4DEC-8725-7CAD4CD49349}" xr6:coauthVersionLast="45" xr6:coauthVersionMax="45" xr10:uidLastSave="{00000000-0000-0000-0000-000000000000}"/>
  <bookViews>
    <workbookView xWindow="3420" yWindow="3420" windowWidth="28800" windowHeight="15460"/>
  </bookViews>
  <sheets>
    <sheet name="Frequency" sheetId="1" r:id="rId1"/>
    <sheet name="SNorm" sheetId="2" r:id="rId2"/>
    <sheet name="Lookup" sheetId="3" r:id="rId3"/>
    <sheet name="Bonds" sheetId="4" r:id="rId4"/>
    <sheet name="CompoundDTab" sheetId="5" r:id="rId5"/>
    <sheet name="BSDTab" sheetId="6" r:id="rId6"/>
    <sheet name="Beta" sheetId="7" r:id="rId7"/>
    <sheet name="MatDef" sheetId="8" r:id="rId8"/>
    <sheet name="MatExs" sheetId="9" r:id="rId9"/>
  </sheets>
  <definedNames>
    <definedName name="A" localSheetId="7">MatDef!$C$17:$E$19</definedName>
    <definedName name="ComRate">Lookup!$F$5:$G$7</definedName>
    <definedName name="Index">Beta!$C$5:$C$64</definedName>
    <definedName name="invA">MatDef!$I$17:$K$19</definedName>
    <definedName name="regoutput">Beta!$E$8:$M$28</definedName>
    <definedName name="ShareA">Beta!$B$5:$B$64</definedName>
    <definedName name="Y">MatDef!$C$21:$C$23</definedName>
  </definedNames>
  <calcPr calcId="0"/>
</workbook>
</file>

<file path=xl/calcChain.xml><?xml version="1.0" encoding="utf-8"?>
<calcChain xmlns="http://schemas.openxmlformats.org/spreadsheetml/2006/main">
  <c r="F40" i="7" l="1"/>
  <c r="F40" i="7" a="1"/>
  <c r="G40" i="7"/>
  <c r="F41" i="7"/>
  <c r="G41" i="7"/>
  <c r="F42" i="7"/>
  <c r="G42" i="7"/>
  <c r="F43" i="7"/>
  <c r="G43" i="7"/>
  <c r="F44" i="7"/>
  <c r="G44" i="7"/>
  <c r="C9" i="4"/>
  <c r="D9" i="4"/>
  <c r="E9" i="4"/>
  <c r="F9" i="4"/>
  <c r="G9" i="4"/>
  <c r="C11" i="4"/>
  <c r="C21" i="4"/>
  <c r="D21" i="4"/>
  <c r="E21" i="4"/>
  <c r="F21" i="4"/>
  <c r="G21" i="4"/>
  <c r="H21" i="4"/>
  <c r="C23" i="4"/>
  <c r="D23" i="4"/>
  <c r="E23" i="4"/>
  <c r="F23" i="4"/>
  <c r="G23" i="4"/>
  <c r="H23" i="4"/>
  <c r="C24" i="4"/>
  <c r="D24" i="4"/>
  <c r="E24" i="4"/>
  <c r="F24" i="4"/>
  <c r="G24" i="4"/>
  <c r="H24" i="4"/>
  <c r="C25" i="4"/>
  <c r="D25" i="4"/>
  <c r="E25" i="4"/>
  <c r="F25" i="4"/>
  <c r="G25" i="4"/>
  <c r="H25" i="4"/>
  <c r="G4" i="6"/>
  <c r="G9" i="6"/>
  <c r="C6" i="5"/>
  <c r="C10" i="5"/>
  <c r="C11" i="5"/>
  <c r="D16" i="5"/>
  <c r="E16" i="5"/>
  <c r="J16" i="5"/>
  <c r="C30" i="5"/>
  <c r="D4" i="1"/>
  <c r="E4" i="1"/>
  <c r="D5" i="1"/>
  <c r="E5" i="1"/>
  <c r="I5" i="1"/>
  <c r="J5" i="1"/>
  <c r="D6" i="1"/>
  <c r="E6" i="1"/>
  <c r="I6" i="1"/>
  <c r="J6" i="1"/>
  <c r="D7" i="1"/>
  <c r="E7" i="1"/>
  <c r="I7" i="1"/>
  <c r="J7" i="1"/>
  <c r="I8" i="1"/>
  <c r="J8" i="1"/>
  <c r="D9" i="1"/>
  <c r="E9" i="1"/>
  <c r="I9" i="1"/>
  <c r="J9" i="1"/>
  <c r="E10" i="1"/>
  <c r="I10" i="1"/>
  <c r="J10" i="1"/>
  <c r="E11" i="1"/>
  <c r="I11" i="1"/>
  <c r="J11" i="1"/>
  <c r="E12" i="1"/>
  <c r="I12" i="1"/>
  <c r="J12" i="1"/>
  <c r="E13" i="1"/>
  <c r="I13" i="1"/>
  <c r="J13" i="1"/>
  <c r="E14" i="1"/>
  <c r="I14" i="1"/>
  <c r="J14" i="1"/>
  <c r="E15" i="1"/>
  <c r="I15" i="1"/>
  <c r="J15" i="1"/>
  <c r="E16" i="1"/>
  <c r="E17" i="1"/>
  <c r="E18" i="1"/>
  <c r="E19" i="1"/>
  <c r="E20" i="1"/>
  <c r="E21" i="1"/>
  <c r="H21" i="1"/>
  <c r="I21" i="1"/>
  <c r="E22" i="1"/>
  <c r="H22" i="1"/>
  <c r="I22" i="1"/>
  <c r="E23" i="1"/>
  <c r="H23" i="1"/>
  <c r="I23" i="1"/>
  <c r="E24" i="1"/>
  <c r="H24" i="1"/>
  <c r="I24" i="1"/>
  <c r="E25" i="1"/>
  <c r="H25" i="1"/>
  <c r="I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B33" i="3"/>
  <c r="C33" i="3"/>
  <c r="D33" i="3"/>
  <c r="I4" i="8"/>
  <c r="I4" i="8" a="1"/>
  <c r="J4" i="8"/>
  <c r="I7" i="8"/>
  <c r="I7" i="8" a="1"/>
  <c r="I8" i="8"/>
  <c r="C10" i="8"/>
  <c r="C10" i="8" a="1"/>
  <c r="D10" i="8"/>
  <c r="I10" i="8"/>
  <c r="I10" i="8" a="1"/>
  <c r="J10" i="8"/>
  <c r="C11" i="8"/>
  <c r="D11" i="8"/>
  <c r="I11" i="8"/>
  <c r="J11" i="8"/>
  <c r="C13" i="8"/>
  <c r="C13" i="8" a="1"/>
  <c r="I13" i="8"/>
  <c r="I17" i="8"/>
  <c r="I17" i="8" a="1"/>
  <c r="J17" i="8"/>
  <c r="K17" i="8"/>
  <c r="N17" i="8"/>
  <c r="N17" i="8" a="1"/>
  <c r="O17" i="8"/>
  <c r="P17" i="8"/>
  <c r="I18" i="8"/>
  <c r="J18" i="8"/>
  <c r="K18" i="8"/>
  <c r="N18" i="8"/>
  <c r="O18" i="8"/>
  <c r="P18" i="8"/>
  <c r="I19" i="8"/>
  <c r="J19" i="8"/>
  <c r="K19" i="8"/>
  <c r="N19" i="8"/>
  <c r="O19" i="8"/>
  <c r="P19" i="8"/>
  <c r="I21" i="8"/>
  <c r="I21" i="8" a="1"/>
  <c r="I22" i="8"/>
  <c r="I23" i="8"/>
</calcChain>
</file>

<file path=xl/sharedStrings.xml><?xml version="1.0" encoding="utf-8"?>
<sst xmlns="http://schemas.openxmlformats.org/spreadsheetml/2006/main" count="235" uniqueCount="173">
  <si>
    <t>AMFExcel.XLS</t>
  </si>
  <si>
    <t>Returns for months 1 - 62</t>
  </si>
  <si>
    <t>Summary Statistics:</t>
  </si>
  <si>
    <t>Returns</t>
  </si>
  <si>
    <t>Ln Returns</t>
  </si>
  <si>
    <t>Frequency Distribution:</t>
  </si>
  <si>
    <t>Mean</t>
  </si>
  <si>
    <t>interval</t>
  </si>
  <si>
    <t>freq</t>
  </si>
  <si>
    <t>%freq</t>
  </si>
  <si>
    <t>%cum freq</t>
  </si>
  <si>
    <t>St Dev</t>
  </si>
  <si>
    <t>Max</t>
  </si>
  <si>
    <t>Min</t>
  </si>
  <si>
    <t>Month</t>
  </si>
  <si>
    <t>Total</t>
  </si>
  <si>
    <t>Quartiles:</t>
  </si>
  <si>
    <t>quart no.</t>
  </si>
  <si>
    <t>Q points</t>
  </si>
  <si>
    <t>Q %</t>
  </si>
  <si>
    <t>Excel Normal Functions used for N( 0, 1)</t>
  </si>
  <si>
    <t>Answer</t>
  </si>
  <si>
    <t>PDF</t>
  </si>
  <si>
    <t>CDF</t>
  </si>
  <si>
    <t>InvNormal</t>
  </si>
  <si>
    <t>Sales Commission Lookup</t>
  </si>
  <si>
    <t>Sales</t>
  </si>
  <si>
    <t>Commission</t>
  </si>
  <si>
    <t>Sales &gt;=</t>
  </si>
  <si>
    <t>CommRate</t>
  </si>
  <si>
    <t>ComRate</t>
  </si>
  <si>
    <t>Formula:</t>
  </si>
  <si>
    <t>=B5*VLOOKUP(B5,ComRate,2)</t>
  </si>
  <si>
    <t>Black-Scholes Call Value Lookup Table</t>
  </si>
  <si>
    <t>Volatility</t>
  </si>
  <si>
    <t>BS Call Value</t>
  </si>
  <si>
    <t>VLOOKUP</t>
  </si>
  <si>
    <t>call value</t>
  </si>
  <si>
    <t>MATCH</t>
  </si>
  <si>
    <t>row</t>
  </si>
  <si>
    <t>column</t>
  </si>
  <si>
    <t>INDEX</t>
  </si>
  <si>
    <t>Lookup Table for No. of days in month</t>
  </si>
  <si>
    <t>Days in Month</t>
  </si>
  <si>
    <t>date</t>
  </si>
  <si>
    <t>month</t>
  </si>
  <si>
    <t>year</t>
  </si>
  <si>
    <t>col_index</t>
  </si>
  <si>
    <t>no. of days in month</t>
  </si>
  <si>
    <t>Mth</t>
  </si>
  <si>
    <t>Normal</t>
  </si>
  <si>
    <t>Leap</t>
  </si>
  <si>
    <t>=IF((D33/4)=INT(D33/4),3,2)</t>
  </si>
  <si>
    <t>=VLOOKUP(C33,$H$33:$J$44,E33)</t>
  </si>
  <si>
    <t>Bond Cashflows</t>
  </si>
  <si>
    <t>Bond</t>
  </si>
  <si>
    <t>Type 1</t>
  </si>
  <si>
    <t>Type 2</t>
  </si>
  <si>
    <t>Type 3</t>
  </si>
  <si>
    <t>Type 4</t>
  </si>
  <si>
    <t>Type 5</t>
  </si>
  <si>
    <t>Price</t>
  </si>
  <si>
    <t>Coupon</t>
  </si>
  <si>
    <t>Maturity</t>
  </si>
  <si>
    <t>Cash Flows for bonds</t>
  </si>
  <si>
    <t>Initial Cost</t>
  </si>
  <si>
    <t>Receipts:</t>
  </si>
  <si>
    <t xml:space="preserve">Year </t>
  </si>
  <si>
    <t>=IF($B11&lt;C$6,C$5,IF($B11=C$6, 100+C$5,0))</t>
  </si>
  <si>
    <t>Bond Portfolio</t>
  </si>
  <si>
    <t>Portfolio</t>
  </si>
  <si>
    <t>Required CF</t>
  </si>
  <si>
    <t>initially</t>
  </si>
  <si>
    <t>Optimal amount</t>
  </si>
  <si>
    <t>Portfolio Cash Flow</t>
  </si>
  <si>
    <t>Totals:</t>
  </si>
  <si>
    <t>min</t>
  </si>
  <si>
    <t>Year  1</t>
  </si>
  <si>
    <t>Year  2</t>
  </si>
  <si>
    <t>Year  3</t>
  </si>
  <si>
    <t>Continuous Compounding</t>
  </si>
  <si>
    <t>Inputs:</t>
  </si>
  <si>
    <t>Initial value (a)</t>
  </si>
  <si>
    <t>Interest rate-cont ( r)</t>
  </si>
  <si>
    <t>Interest rate-p.a.</t>
  </si>
  <si>
    <r>
      <t>r</t>
    </r>
    <r>
      <rPr>
        <vertAlign val="subscript"/>
        <sz val="10"/>
        <rFont val="Times New Roman"/>
        <family val="1"/>
      </rPr>
      <t>a</t>
    </r>
    <r>
      <rPr>
        <sz val="10"/>
        <rFont val="Times New Roman"/>
        <family val="1"/>
      </rPr>
      <t xml:space="preserve"> =exp(r)-1</t>
    </r>
  </si>
  <si>
    <t>Time (t)</t>
  </si>
  <si>
    <t>Outputs:</t>
  </si>
  <si>
    <t>=$C$4*EXP($C$5*$C$7)</t>
  </si>
  <si>
    <t>Compound factor t yrs</t>
  </si>
  <si>
    <t>Discount factor t yrs</t>
  </si>
  <si>
    <t>=$C$4*EXP(-$C$5*$C$7)</t>
  </si>
  <si>
    <t>Enter formula(s) for output</t>
  </si>
  <si>
    <t>compound</t>
  </si>
  <si>
    <t>discount</t>
  </si>
  <si>
    <t xml:space="preserve">Rate = </t>
  </si>
  <si>
    <t>Enter numbers</t>
  </si>
  <si>
    <t>for input variable t</t>
  </si>
  <si>
    <t>Enter formula for output</t>
  </si>
  <si>
    <t>interest rate r</t>
  </si>
  <si>
    <t>for input variables</t>
  </si>
  <si>
    <t>time t</t>
  </si>
  <si>
    <t>Black-Scholes Option Values</t>
  </si>
  <si>
    <t>Share price (S)</t>
  </si>
  <si>
    <t>Black-Scholes Call Value</t>
  </si>
  <si>
    <t>Exercise price (X)</t>
  </si>
  <si>
    <t>Int rate-cont (r)</t>
  </si>
  <si>
    <t>Dividend yield (q)</t>
  </si>
  <si>
    <t>Option life (T,years)</t>
  </si>
  <si>
    <t>Market value</t>
  </si>
  <si>
    <r>
      <t>Volatility (</t>
    </r>
    <r>
      <rPr>
        <sz val="10"/>
        <rFont val="Symbol"/>
        <family val="1"/>
        <charset val="2"/>
      </rPr>
      <t>s</t>
    </r>
    <r>
      <rPr>
        <sz val="10"/>
        <rFont val="Times New Roman"/>
      </rPr>
      <t>)</t>
    </r>
  </si>
  <si>
    <t>Difference</t>
  </si>
  <si>
    <t>Exercise 1 : Data Table 1 (Varying S)</t>
  </si>
  <si>
    <t>for input variable</t>
  </si>
  <si>
    <r>
      <t xml:space="preserve">Exercise 2 : Data Table 1 (Varying </t>
    </r>
    <r>
      <rPr>
        <b/>
        <sz val="10"/>
        <rFont val="Symbol"/>
        <family val="1"/>
        <charset val="2"/>
      </rPr>
      <t>s</t>
    </r>
    <r>
      <rPr>
        <b/>
        <sz val="10"/>
        <rFont val="Times New Roman"/>
      </rPr>
      <t>)</t>
    </r>
  </si>
  <si>
    <t>Exercise 3 : Data Table 2 (Varying X and T)</t>
  </si>
  <si>
    <t>Simple Linear Regression</t>
  </si>
  <si>
    <t>ShareA</t>
  </si>
  <si>
    <t>Index</t>
  </si>
  <si>
    <t>Output from Tools / Data Analysis / Regression (With Output Range E7)</t>
  </si>
  <si>
    <t>Excel regression functions</t>
  </si>
  <si>
    <t>INTERCEPT</t>
  </si>
  <si>
    <t xml:space="preserve">  =INTERCEPT(ShareA,Index)</t>
  </si>
  <si>
    <t>SLOPE</t>
  </si>
  <si>
    <t xml:space="preserve">  =SLOPE(ShareA,Index)</t>
  </si>
  <si>
    <t>RSQ</t>
  </si>
  <si>
    <t xml:space="preserve">  =RSQ(ShareA,Index)</t>
  </si>
  <si>
    <t>STEYX</t>
  </si>
  <si>
    <t xml:space="preserve">  =STEYX(ShareA,Index)</t>
  </si>
  <si>
    <t>Output from Linest (Remember Ctrl+Shift+Enter)</t>
  </si>
  <si>
    <t>Beta</t>
  </si>
  <si>
    <t>Alpha</t>
  </si>
  <si>
    <t>Beta (SE)</t>
  </si>
  <si>
    <t>Alpha (SE)</t>
  </si>
  <si>
    <t>F</t>
  </si>
  <si>
    <t>N-2</t>
  </si>
  <si>
    <t>Regression SS</t>
  </si>
  <si>
    <t>Residual SS</t>
  </si>
  <si>
    <t>Using Index ( Linest )</t>
  </si>
  <si>
    <t>Array Manipulation:</t>
  </si>
  <si>
    <t>Transposes</t>
  </si>
  <si>
    <t>array:</t>
  </si>
  <si>
    <t>dim</t>
  </si>
  <si>
    <t>x</t>
  </si>
  <si>
    <t>(2x1)</t>
  </si>
  <si>
    <r>
      <t>x</t>
    </r>
    <r>
      <rPr>
        <vertAlign val="superscript"/>
        <sz val="10"/>
        <rFont val="Times New Roman"/>
        <family val="1"/>
      </rPr>
      <t>T</t>
    </r>
  </si>
  <si>
    <t>(1x2)</t>
  </si>
  <si>
    <t>y</t>
  </si>
  <si>
    <r>
      <t>y</t>
    </r>
    <r>
      <rPr>
        <vertAlign val="superscript"/>
        <sz val="10"/>
        <rFont val="Times New Roman"/>
        <family val="1"/>
      </rPr>
      <t>T</t>
    </r>
  </si>
  <si>
    <t>Array Multiplication</t>
  </si>
  <si>
    <t>xy</t>
  </si>
  <si>
    <t>(2x2)</t>
  </si>
  <si>
    <r>
      <t>(xy)</t>
    </r>
    <r>
      <rPr>
        <vertAlign val="superscript"/>
        <sz val="10"/>
        <rFont val="Times New Roman"/>
        <family val="1"/>
      </rPr>
      <t>T</t>
    </r>
  </si>
  <si>
    <t>yx</t>
  </si>
  <si>
    <t>(1x1)</t>
  </si>
  <si>
    <r>
      <t>(yx)</t>
    </r>
    <r>
      <rPr>
        <vertAlign val="superscript"/>
        <sz val="10"/>
        <rFont val="Times New Roman"/>
        <family val="1"/>
      </rPr>
      <t>T</t>
    </r>
  </si>
  <si>
    <t>A</t>
  </si>
  <si>
    <t>(3x3)</t>
  </si>
  <si>
    <r>
      <t>A</t>
    </r>
    <r>
      <rPr>
        <vertAlign val="superscript"/>
        <sz val="10"/>
        <rFont val="Times New Roman"/>
        <family val="1"/>
      </rPr>
      <t>-1</t>
    </r>
  </si>
  <si>
    <r>
      <t>AA</t>
    </r>
    <r>
      <rPr>
        <vertAlign val="superscript"/>
        <sz val="10"/>
        <rFont val="Times New Roman"/>
        <family val="1"/>
      </rPr>
      <t>-1</t>
    </r>
  </si>
  <si>
    <t>b</t>
  </si>
  <si>
    <t>(3x1)</t>
  </si>
  <si>
    <r>
      <t>x = A</t>
    </r>
    <r>
      <rPr>
        <vertAlign val="superscript"/>
        <sz val="10"/>
        <rFont val="Times New Roman"/>
        <family val="1"/>
      </rPr>
      <t>-1</t>
    </r>
    <r>
      <rPr>
        <sz val="10"/>
        <rFont val="Times New Roman"/>
        <family val="1"/>
      </rPr>
      <t>b</t>
    </r>
  </si>
  <si>
    <t>Excel Matrix Functions</t>
  </si>
  <si>
    <t>Amat1</t>
  </si>
  <si>
    <t>MDETERM</t>
  </si>
  <si>
    <t>MINVERSE</t>
  </si>
  <si>
    <t>TRANSPOSE</t>
  </si>
  <si>
    <t>Excel Matrix Multiplication</t>
  </si>
  <si>
    <t>Amat2</t>
  </si>
  <si>
    <t>MMULT</t>
  </si>
  <si>
    <t>Amat1 * Amat2</t>
  </si>
  <si>
    <t>Transpose (Amat2) * Amat1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</si>
</sst>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2" formatCode="_(&quot;£&quot;* #,##0_);_(&quot;£&quot;* \(#,##0\);_(&quot;£&quot;* &quot;-&quot;_);_(@_)"/>
    <numFmt numFmtId="41" formatCode="_(* #,##0_);_(* \(#,##0\);_(* &quot;-&quot;_);_(@_)"/>
    <numFmt numFmtId="44" formatCode="_(&quot;£&quot;* #,##0.00_);_(&quot;£&quot;* \(#,##0.00\);_(&quot;£&quot;* &quot;-&quot;??_);_(@_)"/>
    <numFmt numFmtId="43" formatCode="_(* #,##0.00_);_(* \(#,##0.00\);_(* &quot;-&quot;??_);_(@_)"/>
    <numFmt numFmtId="172" formatCode="0.0000"/>
    <numFmt numFmtId="173" formatCode="0.0"/>
    <numFmt numFmtId="174" formatCode="0.000000"/>
    <numFmt numFmtId="175" formatCode="0.000"/>
    <numFmt numFmtId="176" formatCode="0.0%"/>
    <numFmt numFmtId="177" formatCode="d\-mmm\-yy"/>
    <numFmt numFmtId="178" formatCode="0.00000"/>
    <numFmt numFmtId="181" formatCode="#,##0.000"/>
  </numFmts>
  <fonts count="16" x14ac:knownFonts="1">
    <font>
      <sz val="10"/>
      <name val="Times New Roman"/>
    </font>
    <font>
      <b/>
      <sz val="10"/>
      <name val="Times New Roman"/>
    </font>
    <font>
      <i/>
      <sz val="10"/>
      <name val="Times New Roman"/>
    </font>
    <font>
      <sz val="10"/>
      <name val="Times New Roman"/>
    </font>
    <font>
      <sz val="10"/>
      <name val="Symbol"/>
      <family val="1"/>
      <charset val="2"/>
    </font>
    <font>
      <b/>
      <sz val="10"/>
      <name val="Symbol"/>
      <family val="1"/>
      <charset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</font>
    <font>
      <sz val="10"/>
      <name val="Arial"/>
      <family val="2"/>
    </font>
    <font>
      <sz val="10"/>
      <name val="Times New Roman"/>
    </font>
    <font>
      <b/>
      <sz val="9"/>
      <name val="Times New Roman"/>
      <family val="1"/>
    </font>
    <font>
      <sz val="10"/>
      <name val="Arial"/>
    </font>
    <font>
      <vertAlign val="subscript"/>
      <sz val="10"/>
      <name val="Times New Roman"/>
      <family val="1"/>
    </font>
    <font>
      <vertAlign val="superscript"/>
      <sz val="10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2" fillId="0" borderId="0"/>
  </cellStyleXfs>
  <cellXfs count="160">
    <xf numFmtId="0" fontId="0" fillId="0" borderId="0" xfId="0"/>
    <xf numFmtId="0" fontId="1" fillId="0" borderId="0" xfId="0" applyFont="1"/>
    <xf numFmtId="0" fontId="0" fillId="0" borderId="0" xfId="0" quotePrefix="1" applyAlignment="1">
      <alignment horizontal="left"/>
    </xf>
    <xf numFmtId="2" fontId="1" fillId="0" borderId="0" xfId="0" applyNumberFormat="1" applyFont="1"/>
    <xf numFmtId="0" fontId="0" fillId="0" borderId="0" xfId="0" applyAlignment="1">
      <alignment horizontal="left"/>
    </xf>
    <xf numFmtId="10" fontId="1" fillId="0" borderId="0" xfId="0" applyNumberFormat="1" applyFont="1"/>
    <xf numFmtId="0" fontId="0" fillId="0" borderId="1" xfId="0" applyBorder="1"/>
    <xf numFmtId="2" fontId="0" fillId="0" borderId="0" xfId="0" applyNumberFormat="1"/>
    <xf numFmtId="172" fontId="0" fillId="0" borderId="0" xfId="0" applyNumberFormat="1"/>
    <xf numFmtId="0" fontId="1" fillId="0" borderId="0" xfId="0" quotePrefix="1" applyFont="1" applyAlignment="1">
      <alignment horizontal="left"/>
    </xf>
    <xf numFmtId="1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9" fontId="0" fillId="0" borderId="0" xfId="0" applyNumberFormat="1"/>
    <xf numFmtId="173" fontId="1" fillId="0" borderId="0" xfId="0" applyNumberFormat="1" applyFont="1"/>
    <xf numFmtId="0" fontId="3" fillId="0" borderId="0" xfId="0" applyFont="1"/>
    <xf numFmtId="172" fontId="0" fillId="0" borderId="1" xfId="0" applyNumberFormat="1" applyBorder="1"/>
    <xf numFmtId="0" fontId="0" fillId="0" borderId="0" xfId="0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0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174" fontId="0" fillId="0" borderId="0" xfId="0" applyNumberFormat="1"/>
    <xf numFmtId="11" fontId="0" fillId="0" borderId="0" xfId="0" applyNumberFormat="1" applyBorder="1"/>
    <xf numFmtId="0" fontId="1" fillId="0" borderId="0" xfId="0" applyFont="1" applyAlignment="1">
      <alignment horizontal="right"/>
    </xf>
    <xf numFmtId="178" fontId="0" fillId="0" borderId="0" xfId="0" applyNumberFormat="1"/>
    <xf numFmtId="0" fontId="6" fillId="0" borderId="0" xfId="0" applyFont="1"/>
    <xf numFmtId="0" fontId="6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quotePrefix="1" applyFont="1" applyBorder="1"/>
    <xf numFmtId="176" fontId="6" fillId="0" borderId="0" xfId="0" applyNumberFormat="1" applyFont="1" applyBorder="1"/>
    <xf numFmtId="0" fontId="7" fillId="0" borderId="0" xfId="0" applyFont="1" applyAlignment="1">
      <alignment horizontal="left"/>
    </xf>
    <xf numFmtId="1" fontId="6" fillId="0" borderId="0" xfId="0" quotePrefix="1" applyNumberFormat="1" applyFont="1" applyBorder="1"/>
    <xf numFmtId="0" fontId="6" fillId="0" borderId="0" xfId="0" applyFont="1" applyFill="1" applyBorder="1"/>
    <xf numFmtId="176" fontId="6" fillId="0" borderId="0" xfId="0" applyNumberFormat="1" applyFont="1" applyFill="1" applyBorder="1"/>
    <xf numFmtId="9" fontId="6" fillId="0" borderId="0" xfId="0" applyNumberFormat="1" applyFont="1" applyFill="1" applyBorder="1"/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9" fillId="0" borderId="0" xfId="0" applyFont="1"/>
    <xf numFmtId="0" fontId="10" fillId="0" borderId="0" xfId="0" applyFont="1"/>
    <xf numFmtId="0" fontId="7" fillId="0" borderId="0" xfId="0" quotePrefix="1" applyFont="1" applyBorder="1"/>
    <xf numFmtId="9" fontId="3" fillId="0" borderId="0" xfId="0" applyNumberFormat="1" applyFont="1"/>
    <xf numFmtId="2" fontId="3" fillId="0" borderId="0" xfId="0" applyNumberFormat="1" applyFont="1"/>
    <xf numFmtId="0" fontId="9" fillId="0" borderId="0" xfId="0" quotePrefix="1" applyFont="1"/>
    <xf numFmtId="177" fontId="6" fillId="0" borderId="0" xfId="0" applyNumberFormat="1" applyFont="1"/>
    <xf numFmtId="0" fontId="6" fillId="0" borderId="0" xfId="0" quotePrefix="1" applyFont="1"/>
    <xf numFmtId="172" fontId="0" fillId="0" borderId="5" xfId="0" applyNumberFormat="1" applyBorder="1"/>
    <xf numFmtId="172" fontId="0" fillId="0" borderId="7" xfId="0" applyNumberFormat="1" applyBorder="1"/>
    <xf numFmtId="172" fontId="0" fillId="0" borderId="8" xfId="0" applyNumberFormat="1" applyBorder="1"/>
    <xf numFmtId="172" fontId="0" fillId="0" borderId="9" xfId="0" applyNumberFormat="1" applyBorder="1"/>
    <xf numFmtId="172" fontId="0" fillId="0" borderId="10" xfId="0" applyNumberFormat="1" applyBorder="1"/>
    <xf numFmtId="172" fontId="0" fillId="0" borderId="12" xfId="0" applyNumberFormat="1" applyBorder="1"/>
    <xf numFmtId="0" fontId="11" fillId="0" borderId="0" xfId="0" quotePrefix="1" applyFont="1" applyAlignment="1">
      <alignment horizontal="left"/>
    </xf>
    <xf numFmtId="2" fontId="0" fillId="0" borderId="1" xfId="0" applyNumberFormat="1" applyBorder="1"/>
    <xf numFmtId="0" fontId="1" fillId="0" borderId="0" xfId="2" quotePrefix="1" applyFont="1" applyAlignment="1">
      <alignment horizontal="left"/>
    </xf>
    <xf numFmtId="0" fontId="6" fillId="0" borderId="0" xfId="2" applyFont="1"/>
    <xf numFmtId="0" fontId="7" fillId="0" borderId="0" xfId="2" applyFont="1"/>
    <xf numFmtId="0" fontId="6" fillId="0" borderId="0" xfId="2" applyFont="1" applyAlignment="1">
      <alignment horizontal="right"/>
    </xf>
    <xf numFmtId="0" fontId="6" fillId="0" borderId="0" xfId="2" applyFont="1" applyAlignment="1">
      <alignment horizontal="center"/>
    </xf>
    <xf numFmtId="176" fontId="7" fillId="0" borderId="0" xfId="2" applyNumberFormat="1" applyFont="1"/>
    <xf numFmtId="10" fontId="6" fillId="0" borderId="0" xfId="2" applyNumberFormat="1" applyFont="1"/>
    <xf numFmtId="176" fontId="6" fillId="0" borderId="0" xfId="2" applyNumberFormat="1" applyFont="1"/>
    <xf numFmtId="2" fontId="6" fillId="0" borderId="0" xfId="2" quotePrefix="1" applyNumberFormat="1" applyFont="1"/>
    <xf numFmtId="175" fontId="6" fillId="0" borderId="0" xfId="2" quotePrefix="1" applyNumberFormat="1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175" fontId="6" fillId="0" borderId="13" xfId="2" applyNumberFormat="1" applyFont="1" applyBorder="1"/>
    <xf numFmtId="175" fontId="6" fillId="0" borderId="14" xfId="2" applyNumberFormat="1" applyFont="1" applyBorder="1" applyAlignment="1">
      <alignment horizontal="center"/>
    </xf>
    <xf numFmtId="0" fontId="6" fillId="0" borderId="2" xfId="2" applyFont="1" applyBorder="1"/>
    <xf numFmtId="175" fontId="6" fillId="0" borderId="0" xfId="2" applyNumberFormat="1" applyFont="1" applyAlignment="1">
      <alignment horizontal="center"/>
    </xf>
    <xf numFmtId="0" fontId="6" fillId="0" borderId="3" xfId="2" applyFont="1" applyBorder="1"/>
    <xf numFmtId="0" fontId="6" fillId="0" borderId="4" xfId="2" applyFont="1" applyBorder="1"/>
    <xf numFmtId="0" fontId="6" fillId="0" borderId="0" xfId="2" applyFont="1" applyBorder="1"/>
    <xf numFmtId="175" fontId="6" fillId="0" borderId="0" xfId="2" applyNumberFormat="1" applyFont="1"/>
    <xf numFmtId="176" fontId="6" fillId="0" borderId="13" xfId="2" applyNumberFormat="1" applyFont="1" applyBorder="1"/>
    <xf numFmtId="176" fontId="6" fillId="0" borderId="15" xfId="2" applyNumberFormat="1" applyFont="1" applyBorder="1"/>
    <xf numFmtId="176" fontId="6" fillId="0" borderId="14" xfId="2" applyNumberFormat="1" applyFont="1" applyBorder="1"/>
    <xf numFmtId="1" fontId="6" fillId="0" borderId="0" xfId="2" applyNumberFormat="1" applyFont="1"/>
    <xf numFmtId="0" fontId="7" fillId="0" borderId="0" xfId="3" quotePrefix="1" applyFont="1" applyAlignment="1">
      <alignment horizontal="left"/>
    </xf>
    <xf numFmtId="0" fontId="6" fillId="0" borderId="0" xfId="3" quotePrefix="1" applyFont="1" applyAlignment="1">
      <alignment horizontal="left"/>
    </xf>
    <xf numFmtId="0" fontId="6" fillId="0" borderId="0" xfId="3" applyFont="1"/>
    <xf numFmtId="0" fontId="7" fillId="0" borderId="0" xfId="3" applyFont="1"/>
    <xf numFmtId="0" fontId="7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6" fillId="0" borderId="16" xfId="3" applyFont="1" applyBorder="1" applyAlignment="1">
      <alignment horizontal="center"/>
    </xf>
    <xf numFmtId="0" fontId="6" fillId="0" borderId="17" xfId="3" applyFont="1" applyBorder="1" applyAlignment="1">
      <alignment horizontal="center"/>
    </xf>
    <xf numFmtId="0" fontId="6" fillId="0" borderId="18" xfId="3" applyFont="1" applyBorder="1" applyAlignment="1">
      <alignment horizontal="center"/>
    </xf>
    <xf numFmtId="0" fontId="6" fillId="0" borderId="0" xfId="3" quotePrefix="1" applyFont="1" applyAlignment="1">
      <alignment horizontal="center"/>
    </xf>
    <xf numFmtId="0" fontId="6" fillId="0" borderId="0" xfId="3" applyFont="1" applyBorder="1" applyAlignment="1">
      <alignment horizontal="center"/>
    </xf>
    <xf numFmtId="0" fontId="6" fillId="0" borderId="0" xfId="3" applyFont="1" applyAlignment="1">
      <alignment horizontal="right"/>
    </xf>
    <xf numFmtId="0" fontId="7" fillId="0" borderId="0" xfId="3" applyFont="1" applyAlignment="1">
      <alignment horizontal="right"/>
    </xf>
    <xf numFmtId="0" fontId="6" fillId="0" borderId="0" xfId="3" applyFont="1" applyBorder="1"/>
    <xf numFmtId="181" fontId="15" fillId="0" borderId="17" xfId="3" applyNumberFormat="1" applyFont="1" applyBorder="1"/>
    <xf numFmtId="181" fontId="15" fillId="0" borderId="0" xfId="3" applyNumberFormat="1" applyFont="1"/>
    <xf numFmtId="181" fontId="15" fillId="0" borderId="18" xfId="3" applyNumberFormat="1" applyFont="1" applyBorder="1"/>
    <xf numFmtId="2" fontId="6" fillId="0" borderId="17" xfId="3" applyNumberFormat="1" applyFont="1" applyBorder="1"/>
    <xf numFmtId="2" fontId="6" fillId="0" borderId="0" xfId="3" applyNumberFormat="1" applyFont="1"/>
    <xf numFmtId="2" fontId="6" fillId="0" borderId="18" xfId="3" applyNumberFormat="1" applyFont="1" applyBorder="1"/>
    <xf numFmtId="0" fontId="6" fillId="0" borderId="0" xfId="3" quotePrefix="1" applyFont="1" applyAlignment="1">
      <alignment horizontal="right"/>
    </xf>
    <xf numFmtId="17" fontId="0" fillId="0" borderId="0" xfId="0" applyNumberFormat="1"/>
    <xf numFmtId="0" fontId="1" fillId="0" borderId="0" xfId="0" applyFont="1" applyAlignment="1">
      <alignment horizontal="centerContinuous"/>
    </xf>
    <xf numFmtId="1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Continuous"/>
    </xf>
    <xf numFmtId="175" fontId="0" fillId="0" borderId="0" xfId="0" applyNumberFormat="1"/>
    <xf numFmtId="0" fontId="1" fillId="0" borderId="0" xfId="0" applyFont="1" applyAlignment="1">
      <alignment horizontal="left"/>
    </xf>
    <xf numFmtId="0" fontId="6" fillId="0" borderId="0" xfId="1" applyFont="1"/>
    <xf numFmtId="0" fontId="6" fillId="0" borderId="0" xfId="1" applyFont="1" applyAlignment="1">
      <alignment horizontal="right"/>
    </xf>
    <xf numFmtId="173" fontId="6" fillId="0" borderId="0" xfId="1" applyNumberFormat="1" applyFont="1"/>
    <xf numFmtId="0" fontId="7" fillId="0" borderId="0" xfId="1" applyFont="1"/>
    <xf numFmtId="0" fontId="6" fillId="0" borderId="0" xfId="1" quotePrefix="1" applyFont="1" applyAlignment="1">
      <alignment horizontal="right"/>
    </xf>
    <xf numFmtId="2" fontId="6" fillId="0" borderId="0" xfId="1" applyNumberFormat="1" applyFont="1"/>
    <xf numFmtId="173" fontId="7" fillId="0" borderId="0" xfId="1" applyNumberFormat="1" applyFont="1"/>
    <xf numFmtId="1" fontId="6" fillId="0" borderId="0" xfId="1" applyNumberFormat="1" applyFont="1"/>
    <xf numFmtId="0" fontId="6" fillId="0" borderId="19" xfId="1" applyFont="1" applyBorder="1" applyAlignment="1">
      <alignment horizontal="right"/>
    </xf>
    <xf numFmtId="0" fontId="6" fillId="0" borderId="20" xfId="1" applyFont="1" applyBorder="1" applyAlignment="1">
      <alignment horizontal="right"/>
    </xf>
    <xf numFmtId="0" fontId="6" fillId="0" borderId="21" xfId="1" applyFont="1" applyBorder="1" applyAlignment="1">
      <alignment horizontal="right"/>
    </xf>
    <xf numFmtId="173" fontId="6" fillId="0" borderId="17" xfId="1" applyNumberFormat="1" applyFont="1" applyBorder="1"/>
    <xf numFmtId="173" fontId="6" fillId="0" borderId="0" xfId="1" applyNumberFormat="1" applyFont="1" applyBorder="1"/>
    <xf numFmtId="173" fontId="6" fillId="0" borderId="18" xfId="1" applyNumberFormat="1" applyFont="1" applyBorder="1"/>
    <xf numFmtId="0" fontId="6" fillId="0" borderId="17" xfId="1" applyFont="1" applyBorder="1"/>
    <xf numFmtId="0" fontId="6" fillId="0" borderId="0" xfId="1" applyFont="1" applyBorder="1"/>
    <xf numFmtId="0" fontId="6" fillId="0" borderId="18" xfId="1" applyFont="1" applyBorder="1"/>
    <xf numFmtId="0" fontId="6" fillId="0" borderId="22" xfId="1" applyFont="1" applyBorder="1"/>
    <xf numFmtId="0" fontId="6" fillId="0" borderId="23" xfId="1" applyFont="1" applyBorder="1"/>
    <xf numFmtId="0" fontId="6" fillId="0" borderId="24" xfId="1" applyFont="1" applyBorder="1"/>
    <xf numFmtId="0" fontId="7" fillId="0" borderId="0" xfId="1" applyFont="1" applyAlignment="1">
      <alignment horizontal="right"/>
    </xf>
    <xf numFmtId="1" fontId="7" fillId="0" borderId="0" xfId="1" quotePrefix="1" applyNumberFormat="1" applyFont="1"/>
    <xf numFmtId="1" fontId="7" fillId="0" borderId="1" xfId="1" quotePrefix="1" applyNumberFormat="1" applyFont="1" applyBorder="1"/>
    <xf numFmtId="175" fontId="6" fillId="0" borderId="1" xfId="2" applyNumberFormat="1" applyFont="1" applyBorder="1"/>
    <xf numFmtId="2" fontId="7" fillId="0" borderId="0" xfId="0" applyNumberFormat="1" applyFont="1"/>
    <xf numFmtId="172" fontId="0" fillId="0" borderId="1" xfId="0" quotePrefix="1" applyNumberFormat="1" applyBorder="1"/>
    <xf numFmtId="172" fontId="0" fillId="0" borderId="0" xfId="0" quotePrefix="1" applyNumberFormat="1" applyBorder="1"/>
    <xf numFmtId="1" fontId="8" fillId="0" borderId="1" xfId="0" applyNumberFormat="1" applyFont="1" applyBorder="1"/>
    <xf numFmtId="2" fontId="3" fillId="0" borderId="1" xfId="0" applyNumberFormat="1" applyFont="1" applyBorder="1"/>
    <xf numFmtId="176" fontId="1" fillId="0" borderId="0" xfId="0" applyNumberFormat="1" applyFont="1"/>
    <xf numFmtId="1" fontId="3" fillId="0" borderId="1" xfId="0" applyNumberFormat="1" applyFont="1" applyBorder="1"/>
    <xf numFmtId="9" fontId="0" fillId="0" borderId="2" xfId="0" applyNumberFormat="1" applyBorder="1"/>
    <xf numFmtId="9" fontId="0" fillId="0" borderId="3" xfId="0" applyNumberFormat="1" applyBorder="1"/>
    <xf numFmtId="9" fontId="0" fillId="0" borderId="4" xfId="0" applyNumberFormat="1" applyBorder="1"/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2" fontId="0" fillId="0" borderId="13" xfId="0" applyNumberFormat="1" applyBorder="1"/>
    <xf numFmtId="2" fontId="0" fillId="0" borderId="15" xfId="0" applyNumberFormat="1" applyBorder="1"/>
    <xf numFmtId="2" fontId="0" fillId="0" borderId="14" xfId="0" applyNumberFormat="1" applyBorder="1"/>
    <xf numFmtId="1" fontId="0" fillId="0" borderId="9" xfId="0" applyNumberFormat="1" applyBorder="1"/>
    <xf numFmtId="0" fontId="0" fillId="0" borderId="0" xfId="0" applyFill="1" applyBorder="1" applyAlignment="1"/>
    <xf numFmtId="172" fontId="0" fillId="0" borderId="0" xfId="0" applyNumberFormat="1" applyFill="1" applyBorder="1" applyAlignment="1"/>
    <xf numFmtId="0" fontId="2" fillId="0" borderId="0" xfId="0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"/>
    </xf>
    <xf numFmtId="181" fontId="15" fillId="0" borderId="16" xfId="3" applyNumberFormat="1" applyFont="1" applyBorder="1"/>
  </cellXfs>
  <cellStyles count="4">
    <cellStyle name="Normal" xfId="0" builtinId="0"/>
    <cellStyle name="Normal_Book1" xfId="1"/>
    <cellStyle name="Normal_ch2pic" xfId="2"/>
    <cellStyle name="Normal_MATRIX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Cumulative Frequency</a:t>
            </a:r>
          </a:p>
        </c:rich>
      </c:tx>
      <c:layout>
        <c:manualLayout>
          <c:xMode val="edge"/>
          <c:yMode val="edge"/>
          <c:x val="0.34332072383753498"/>
          <c:y val="2.71196428298016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2185382960712474E-2"/>
          <c:y val="0.19322745516233675"/>
          <c:w val="0.87150645281835792"/>
          <c:h val="0.65087142791523955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Frequency!$G$5:$G$14</c:f>
              <c:numCache>
                <c:formatCode>0.00</c:formatCode>
                <c:ptCount val="10"/>
                <c:pt idx="0">
                  <c:v>-0.16</c:v>
                </c:pt>
                <c:pt idx="1">
                  <c:v>-0.12</c:v>
                </c:pt>
                <c:pt idx="2">
                  <c:v>-0.08</c:v>
                </c:pt>
                <c:pt idx="3">
                  <c:v>-0.04</c:v>
                </c:pt>
                <c:pt idx="4">
                  <c:v>0</c:v>
                </c:pt>
                <c:pt idx="5">
                  <c:v>0.04</c:v>
                </c:pt>
                <c:pt idx="6">
                  <c:v>0.08</c:v>
                </c:pt>
                <c:pt idx="7">
                  <c:v>0.12</c:v>
                </c:pt>
                <c:pt idx="8">
                  <c:v>0.16</c:v>
                </c:pt>
                <c:pt idx="9">
                  <c:v>0.2</c:v>
                </c:pt>
              </c:numCache>
            </c:numRef>
          </c:xVal>
          <c:yVal>
            <c:numRef>
              <c:f>Frequency!$J$5:$J$14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7E-4E0E-A3ED-84253F7FB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25071"/>
        <c:axId val="1"/>
      </c:scatterChart>
      <c:valAx>
        <c:axId val="695725071"/>
        <c:scaling>
          <c:orientation val="minMax"/>
          <c:max val="0.2"/>
          <c:min val="-0.2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ln(return)</a:t>
                </a:r>
              </a:p>
            </c:rich>
          </c:tx>
          <c:layout>
            <c:manualLayout>
              <c:xMode val="edge"/>
              <c:yMode val="edge"/>
              <c:x val="0.77819364069841257"/>
              <c:y val="0.7356203117583697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95725071"/>
        <c:crosses val="autoZero"/>
        <c:crossBetween val="midCat"/>
        <c:majorUnit val="0.2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Cumulative Frequency from quartiles</a:t>
            </a:r>
          </a:p>
        </c:rich>
      </c:tx>
      <c:layout>
        <c:manualLayout>
          <c:xMode val="edge"/>
          <c:yMode val="edge"/>
          <c:x val="0.24737644718247759"/>
          <c:y val="2.69368600551080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932158400578594E-2"/>
          <c:y val="0.19192512789264468"/>
          <c:w val="0.87195811524603806"/>
          <c:h val="0.65321885633636956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Frequency!$H$21:$H$25</c:f>
              <c:numCache>
                <c:formatCode>0.000</c:formatCode>
                <c:ptCount val="5"/>
                <c:pt idx="0">
                  <c:v>-0.1532677364032175</c:v>
                </c:pt>
                <c:pt idx="1">
                  <c:v>-4.3325190151075089E-2</c:v>
                </c:pt>
                <c:pt idx="2">
                  <c:v>2.844053880401657E-2</c:v>
                </c:pt>
                <c:pt idx="3">
                  <c:v>7.4782741214428239E-2</c:v>
                </c:pt>
                <c:pt idx="4">
                  <c:v>0.19251938177040057</c:v>
                </c:pt>
              </c:numCache>
            </c:numRef>
          </c:xVal>
          <c:yVal>
            <c:numRef>
              <c:f>Frequency!$I$21:$I$25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96-43AC-8BBA-A2BE8BC83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15503"/>
        <c:axId val="1"/>
      </c:scatterChart>
      <c:valAx>
        <c:axId val="695715503"/>
        <c:scaling>
          <c:orientation val="minMax"/>
          <c:max val="0.2"/>
          <c:min val="-0.2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ln(return)</a:t>
                </a:r>
              </a:p>
            </c:rich>
          </c:tx>
          <c:layout>
            <c:manualLayout>
              <c:xMode val="edge"/>
              <c:yMode val="edge"/>
              <c:x val="0.78423597085508856"/>
              <c:y val="0.760966296556801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95715503"/>
        <c:crosses val="autoZero"/>
        <c:crossBetween val="midCat"/>
        <c:majorUnit val="0.2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Compounding/Discounting Factors </a:t>
            </a:r>
          </a:p>
        </c:rich>
      </c:tx>
      <c:layout>
        <c:manualLayout>
          <c:xMode val="edge"/>
          <c:yMode val="edge"/>
          <c:x val="0.22719506702565231"/>
          <c:y val="2.24096896193360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74066364986112"/>
          <c:y val="0.1484641937281011"/>
          <c:w val="0.75607538698700694"/>
          <c:h val="0.71430885661633559"/>
        </c:manualLayout>
      </c:layout>
      <c:scatterChart>
        <c:scatterStyle val="lineMarker"/>
        <c:varyColors val="0"/>
        <c:ser>
          <c:idx val="0"/>
          <c:order val="0"/>
          <c:tx>
            <c:strRef>
              <c:f>CompoundDTab!$D$15</c:f>
              <c:strCache>
                <c:ptCount val="1"/>
                <c:pt idx="0">
                  <c:v>compound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CompoundDTab!$C$17:$C$26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CompoundDTab!$D$17:$D$26</c:f>
              <c:numCache>
                <c:formatCode>0.000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AB-4817-B0CD-A0432D0609D9}"/>
            </c:ext>
          </c:extLst>
        </c:ser>
        <c:ser>
          <c:idx val="1"/>
          <c:order val="1"/>
          <c:tx>
            <c:strRef>
              <c:f>CompoundDTab!$E$15</c:f>
              <c:strCache>
                <c:ptCount val="1"/>
                <c:pt idx="0">
                  <c:v>discount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CompoundDTab!$C$17:$C$26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CompoundDTab!$E$17:$E$26</c:f>
              <c:numCache>
                <c:formatCode>0.000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AB-4817-B0CD-A0432D060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23823"/>
        <c:axId val="1"/>
      </c:scatterChart>
      <c:valAx>
        <c:axId val="695723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 years</a:t>
                </a:r>
              </a:p>
            </c:rich>
          </c:tx>
          <c:layout>
            <c:manualLayout>
              <c:xMode val="edge"/>
              <c:yMode val="edge"/>
              <c:x val="0.76538666022576318"/>
              <c:y val="0.728314912628420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1"/>
      </c:valAx>
      <c:valAx>
        <c:axId val="1"/>
        <c:scaling>
          <c:orientation val="minMax"/>
          <c:max val="2"/>
          <c:min val="0"/>
        </c:scaling>
        <c:delete val="0"/>
        <c:axPos val="l"/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723823"/>
        <c:crosses val="autoZero"/>
        <c:crossBetween val="midCat"/>
        <c:majorUnit val="0.25"/>
        <c:minorUnit val="0.1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9367448336612986"/>
          <c:y val="0.67789311098491456"/>
          <c:w val="0.29796074364019975"/>
          <c:h val="0.159669038537769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Discount factors, differing rates</a:t>
            </a:r>
          </a:p>
        </c:rich>
      </c:tx>
      <c:layout>
        <c:manualLayout>
          <c:xMode val="edge"/>
          <c:yMode val="edge"/>
          <c:x val="0.29916890118657036"/>
          <c:y val="3.72106122013288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88562233007827"/>
          <c:y val="0.2046583671073087"/>
          <c:w val="0.84708497864062615"/>
          <c:h val="0.6209520911096752"/>
        </c:manualLayout>
      </c:layout>
      <c:scatterChart>
        <c:scatterStyle val="lineMarker"/>
        <c:varyColors val="0"/>
        <c:ser>
          <c:idx val="0"/>
          <c:order val="0"/>
          <c:tx>
            <c:strRef>
              <c:f>CompoundDTab!$D$30</c:f>
              <c:strCache>
                <c:ptCount val="1"/>
                <c:pt idx="0">
                  <c:v>3.0%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CompoundDTab!$C$31:$C$40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CompoundDTab!$D$31:$D$40</c:f>
              <c:numCache>
                <c:formatCode>0.000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B-4103-A219-6FCAD651BB76}"/>
            </c:ext>
          </c:extLst>
        </c:ser>
        <c:ser>
          <c:idx val="1"/>
          <c:order val="1"/>
          <c:tx>
            <c:strRef>
              <c:f>CompoundDTab!$E$30</c:f>
              <c:strCache>
                <c:ptCount val="1"/>
                <c:pt idx="0">
                  <c:v>3.5%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CompoundDTab!$C$31:$C$40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CompoundDTab!$E$31:$E$40</c:f>
              <c:numCache>
                <c:formatCode>0.000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AB-4103-A219-6FCAD651BB76}"/>
            </c:ext>
          </c:extLst>
        </c:ser>
        <c:ser>
          <c:idx val="2"/>
          <c:order val="2"/>
          <c:tx>
            <c:strRef>
              <c:f>CompoundDTab!$F$30</c:f>
              <c:strCache>
                <c:ptCount val="1"/>
                <c:pt idx="0">
                  <c:v>4.0%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CompoundDTab!$C$31:$C$40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CompoundDTab!$F$31:$F$40</c:f>
              <c:numCache>
                <c:formatCode>0.000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AB-4103-A219-6FCAD651BB76}"/>
            </c:ext>
          </c:extLst>
        </c:ser>
        <c:ser>
          <c:idx val="3"/>
          <c:order val="3"/>
          <c:tx>
            <c:strRef>
              <c:f>CompoundDTab!$G$30</c:f>
              <c:strCache>
                <c:ptCount val="1"/>
                <c:pt idx="0">
                  <c:v>5.0%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CompoundDTab!$C$31:$C$40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CompoundDTab!$G$31:$G$40</c:f>
              <c:numCache>
                <c:formatCode>0.000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AB-4103-A219-6FCAD651BB76}"/>
            </c:ext>
          </c:extLst>
        </c:ser>
        <c:ser>
          <c:idx val="4"/>
          <c:order val="4"/>
          <c:tx>
            <c:strRef>
              <c:f>CompoundDTab!$H$30</c:f>
              <c:strCache>
                <c:ptCount val="1"/>
                <c:pt idx="0">
                  <c:v>5.5%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CompoundDTab!$C$31:$C$40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CompoundDTab!$H$31:$H$40</c:f>
              <c:numCache>
                <c:formatCode>0.000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AB-4103-A219-6FCAD651BB76}"/>
            </c:ext>
          </c:extLst>
        </c:ser>
        <c:ser>
          <c:idx val="5"/>
          <c:order val="5"/>
          <c:tx>
            <c:strRef>
              <c:f>CompoundDTab!$I$30</c:f>
              <c:strCache>
                <c:ptCount val="1"/>
                <c:pt idx="0">
                  <c:v>6.0%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CompoundDTab!$C$31:$C$40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CompoundDTab!$I$31:$I$40</c:f>
              <c:numCache>
                <c:formatCode>0.000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AB-4103-A219-6FCAD651B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13423"/>
        <c:axId val="1"/>
      </c:scatterChart>
      <c:valAx>
        <c:axId val="695713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 yrs</a:t>
                </a:r>
              </a:p>
            </c:rich>
          </c:tx>
          <c:layout>
            <c:manualLayout>
              <c:xMode val="edge"/>
              <c:yMode val="edge"/>
              <c:x val="0.84876570280459562"/>
              <c:y val="0.755840560339492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5"/>
        <c:crossBetween val="midCat"/>
        <c:majorUnit val="1"/>
      </c:valAx>
      <c:valAx>
        <c:axId val="1"/>
        <c:scaling>
          <c:orientation val="minMax"/>
          <c:max val="1"/>
          <c:min val="0.5"/>
        </c:scaling>
        <c:delete val="0"/>
        <c:axPos val="l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713423"/>
        <c:crosses val="autoZero"/>
        <c:crossBetween val="midCat"/>
        <c:majorUnit val="0.25"/>
        <c:minorUnit val="0.05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958445059328518"/>
          <c:y val="0.4535043362036954"/>
          <c:w val="0.14454227810137668"/>
          <c:h val="0.30931321392354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222250</xdr:colOff>
      <xdr:row>3</xdr:row>
      <xdr:rowOff>38100</xdr:rowOff>
    </xdr:from>
    <xdr:to>
      <xdr:col>16</xdr:col>
      <xdr:colOff>476250</xdr:colOff>
      <xdr:row>14</xdr:row>
      <xdr:rowOff>88900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F0E9CBB0-0D66-4275-95C4-C44E690F4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241300</xdr:colOff>
      <xdr:row>16</xdr:row>
      <xdr:rowOff>152400</xdr:rowOff>
    </xdr:from>
    <xdr:to>
      <xdr:col>16</xdr:col>
      <xdr:colOff>508000</xdr:colOff>
      <xdr:row>28</xdr:row>
      <xdr:rowOff>50800</xdr:rowOff>
    </xdr:to>
    <xdr:graphicFrame macro="">
      <xdr:nvGraphicFramePr>
        <xdr:cNvPr id="1038" name="Chart 14">
          <a:extLst>
            <a:ext uri="{FF2B5EF4-FFF2-40B4-BE49-F238E27FC236}">
              <a16:creationId xmlns:a16="http://schemas.microsoft.com/office/drawing/2014/main" id="{55BF3CB4-748F-4E67-BC18-5E88901AE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254000</xdr:colOff>
      <xdr:row>7</xdr:row>
      <xdr:rowOff>31750</xdr:rowOff>
    </xdr:from>
    <xdr:to>
      <xdr:col>6</xdr:col>
      <xdr:colOff>254000</xdr:colOff>
      <xdr:row>8</xdr:row>
      <xdr:rowOff>139700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5F912C10-76A9-408F-BB18-660358F843C4}"/>
            </a:ext>
          </a:extLst>
        </xdr:cNvPr>
        <xdr:cNvSpPr>
          <a:spLocks noChangeShapeType="1"/>
        </xdr:cNvSpPr>
      </xdr:nvSpPr>
      <xdr:spPr bwMode="auto">
        <a:xfrm flipH="1" flipV="1">
          <a:off x="4197350" y="1212850"/>
          <a:ext cx="0" cy="279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44450</xdr:colOff>
      <xdr:row>4</xdr:row>
      <xdr:rowOff>88900</xdr:rowOff>
    </xdr:from>
    <xdr:to>
      <xdr:col>4</xdr:col>
      <xdr:colOff>330200</xdr:colOff>
      <xdr:row>10</xdr:row>
      <xdr:rowOff>133350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BD910EF8-4D43-4676-A21A-F78AD37BC8EB}"/>
            </a:ext>
          </a:extLst>
        </xdr:cNvPr>
        <xdr:cNvSpPr>
          <a:spLocks noChangeShapeType="1"/>
        </xdr:cNvSpPr>
      </xdr:nvSpPr>
      <xdr:spPr bwMode="auto">
        <a:xfrm flipH="1" flipV="1">
          <a:off x="2597150" y="755650"/>
          <a:ext cx="285750" cy="1073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565150</xdr:colOff>
      <xdr:row>32</xdr:row>
      <xdr:rowOff>139700</xdr:rowOff>
    </xdr:from>
    <xdr:to>
      <xdr:col>5</xdr:col>
      <xdr:colOff>565150</xdr:colOff>
      <xdr:row>37</xdr:row>
      <xdr:rowOff>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4DCB4B9D-4ED2-4185-8F92-058691D604B0}"/>
            </a:ext>
          </a:extLst>
        </xdr:cNvPr>
        <xdr:cNvSpPr>
          <a:spLocks noChangeShapeType="1"/>
        </xdr:cNvSpPr>
      </xdr:nvSpPr>
      <xdr:spPr bwMode="auto">
        <a:xfrm flipV="1">
          <a:off x="3829050" y="5518150"/>
          <a:ext cx="0" cy="692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628650</xdr:colOff>
      <xdr:row>33</xdr:row>
      <xdr:rowOff>38100</xdr:rowOff>
    </xdr:from>
    <xdr:to>
      <xdr:col>4</xdr:col>
      <xdr:colOff>628650</xdr:colOff>
      <xdr:row>34</xdr:row>
      <xdr:rowOff>152400</xdr:rowOff>
    </xdr:to>
    <xdr:sp macro="" textlink="">
      <xdr:nvSpPr>
        <xdr:cNvPr id="2062" name="Line 14">
          <a:extLst>
            <a:ext uri="{FF2B5EF4-FFF2-40B4-BE49-F238E27FC236}">
              <a16:creationId xmlns:a16="http://schemas.microsoft.com/office/drawing/2014/main" id="{FC4E0CAE-31B9-49FE-836C-7F42DC600650}"/>
            </a:ext>
          </a:extLst>
        </xdr:cNvPr>
        <xdr:cNvSpPr>
          <a:spLocks noChangeShapeType="1"/>
        </xdr:cNvSpPr>
      </xdr:nvSpPr>
      <xdr:spPr bwMode="auto">
        <a:xfrm flipV="1">
          <a:off x="3181350" y="5588000"/>
          <a:ext cx="0" cy="279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20</xdr:row>
      <xdr:rowOff>88900</xdr:rowOff>
    </xdr:from>
    <xdr:to>
      <xdr:col>8</xdr:col>
      <xdr:colOff>393700</xdr:colOff>
      <xdr:row>20</xdr:row>
      <xdr:rowOff>88900</xdr:rowOff>
    </xdr:to>
    <xdr:sp macro="" textlink="">
      <xdr:nvSpPr>
        <xdr:cNvPr id="3073" name="Line 1">
          <a:extLst>
            <a:ext uri="{FF2B5EF4-FFF2-40B4-BE49-F238E27FC236}">
              <a16:creationId xmlns:a16="http://schemas.microsoft.com/office/drawing/2014/main" id="{8B354EE4-FA06-4F76-B09F-4622B1EECDC8}"/>
            </a:ext>
          </a:extLst>
        </xdr:cNvPr>
        <xdr:cNvSpPr>
          <a:spLocks noChangeShapeType="1"/>
        </xdr:cNvSpPr>
      </xdr:nvSpPr>
      <xdr:spPr bwMode="auto">
        <a:xfrm flipH="1">
          <a:off x="5511800" y="3403600"/>
          <a:ext cx="317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660400</xdr:colOff>
      <xdr:row>10</xdr:row>
      <xdr:rowOff>152400</xdr:rowOff>
    </xdr:from>
    <xdr:to>
      <xdr:col>2</xdr:col>
      <xdr:colOff>660400</xdr:colOff>
      <xdr:row>12</xdr:row>
      <xdr:rowOff>146050</xdr:rowOff>
    </xdr:to>
    <xdr:sp macro="" textlink="">
      <xdr:nvSpPr>
        <xdr:cNvPr id="3077" name="Line 5">
          <a:extLst>
            <a:ext uri="{FF2B5EF4-FFF2-40B4-BE49-F238E27FC236}">
              <a16:creationId xmlns:a16="http://schemas.microsoft.com/office/drawing/2014/main" id="{8B5C8F0A-F2EF-457F-9F1B-14F634F78A08}"/>
            </a:ext>
          </a:extLst>
        </xdr:cNvPr>
        <xdr:cNvSpPr>
          <a:spLocks noChangeShapeType="1"/>
        </xdr:cNvSpPr>
      </xdr:nvSpPr>
      <xdr:spPr bwMode="auto">
        <a:xfrm flipH="1" flipV="1">
          <a:off x="2019300" y="1809750"/>
          <a:ext cx="0" cy="330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603250</xdr:colOff>
      <xdr:row>12</xdr:row>
      <xdr:rowOff>19050</xdr:rowOff>
    </xdr:from>
    <xdr:to>
      <xdr:col>10</xdr:col>
      <xdr:colOff>647700</xdr:colOff>
      <xdr:row>25</xdr:row>
      <xdr:rowOff>127000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B65B7B56-F3D9-483E-9F58-8CFD4EFBF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209550</xdr:colOff>
      <xdr:row>26</xdr:row>
      <xdr:rowOff>127000</xdr:rowOff>
    </xdr:from>
    <xdr:to>
      <xdr:col>16</xdr:col>
      <xdr:colOff>273050</xdr:colOff>
      <xdr:row>43</xdr:row>
      <xdr:rowOff>31750</xdr:rowOff>
    </xdr:to>
    <xdr:graphicFrame macro="">
      <xdr:nvGraphicFramePr>
        <xdr:cNvPr id="4098" name="Chart 2">
          <a:extLst>
            <a:ext uri="{FF2B5EF4-FFF2-40B4-BE49-F238E27FC236}">
              <a16:creationId xmlns:a16="http://schemas.microsoft.com/office/drawing/2014/main" id="{CB7A7147-EC9C-4B69-B6CC-0531FEC87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8</xdr:row>
      <xdr:rowOff>76200</xdr:rowOff>
    </xdr:from>
    <xdr:to>
      <xdr:col>3</xdr:col>
      <xdr:colOff>571500</xdr:colOff>
      <xdr:row>9</xdr:row>
      <xdr:rowOff>88900</xdr:rowOff>
    </xdr:to>
    <xdr:sp macro="" textlink="">
      <xdr:nvSpPr>
        <xdr:cNvPr id="4099" name="Line 3">
          <a:extLst>
            <a:ext uri="{FF2B5EF4-FFF2-40B4-BE49-F238E27FC236}">
              <a16:creationId xmlns:a16="http://schemas.microsoft.com/office/drawing/2014/main" id="{4F362D4B-9CC2-443C-850E-07411CD308B4}"/>
            </a:ext>
          </a:extLst>
        </xdr:cNvPr>
        <xdr:cNvSpPr>
          <a:spLocks noChangeShapeType="1"/>
        </xdr:cNvSpPr>
      </xdr:nvSpPr>
      <xdr:spPr bwMode="auto">
        <a:xfrm flipH="1">
          <a:off x="2387600" y="1422400"/>
          <a:ext cx="571500" cy="177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76200</xdr:colOff>
      <xdr:row>10</xdr:row>
      <xdr:rowOff>88900</xdr:rowOff>
    </xdr:from>
    <xdr:to>
      <xdr:col>3</xdr:col>
      <xdr:colOff>565150</xdr:colOff>
      <xdr:row>10</xdr:row>
      <xdr:rowOff>88900</xdr:rowOff>
    </xdr:to>
    <xdr:sp macro="" textlink="">
      <xdr:nvSpPr>
        <xdr:cNvPr id="4100" name="Line 4">
          <a:extLst>
            <a:ext uri="{FF2B5EF4-FFF2-40B4-BE49-F238E27FC236}">
              <a16:creationId xmlns:a16="http://schemas.microsoft.com/office/drawing/2014/main" id="{8D985386-8309-49A3-964E-AE9F67A04D43}"/>
            </a:ext>
          </a:extLst>
        </xdr:cNvPr>
        <xdr:cNvSpPr>
          <a:spLocks noChangeShapeType="1"/>
        </xdr:cNvSpPr>
      </xdr:nvSpPr>
      <xdr:spPr bwMode="auto">
        <a:xfrm flipH="1">
          <a:off x="2463800" y="1765300"/>
          <a:ext cx="488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139700</xdr:colOff>
      <xdr:row>27</xdr:row>
      <xdr:rowOff>152400</xdr:rowOff>
    </xdr:from>
    <xdr:to>
      <xdr:col>1</xdr:col>
      <xdr:colOff>527050</xdr:colOff>
      <xdr:row>28</xdr:row>
      <xdr:rowOff>152400</xdr:rowOff>
    </xdr:to>
    <xdr:sp macro="" textlink="">
      <xdr:nvSpPr>
        <xdr:cNvPr id="4101" name="Line 5">
          <a:extLst>
            <a:ext uri="{FF2B5EF4-FFF2-40B4-BE49-F238E27FC236}">
              <a16:creationId xmlns:a16="http://schemas.microsoft.com/office/drawing/2014/main" id="{497A1093-3EDD-4EB6-96A8-098F45DE16C8}"/>
            </a:ext>
          </a:extLst>
        </xdr:cNvPr>
        <xdr:cNvSpPr>
          <a:spLocks noChangeShapeType="1"/>
        </xdr:cNvSpPr>
      </xdr:nvSpPr>
      <xdr:spPr bwMode="auto">
        <a:xfrm>
          <a:off x="1346200" y="4654550"/>
          <a:ext cx="38735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tabSelected="1" workbookViewId="0"/>
  </sheetViews>
  <sheetFormatPr defaultRowHeight="13" x14ac:dyDescent="0.3"/>
  <cols>
    <col min="3" max="3" width="4.796875" customWidth="1"/>
    <col min="5" max="5" width="10.5" customWidth="1"/>
    <col min="6" max="6" width="4.796875" customWidth="1"/>
    <col min="10" max="10" width="9.796875" customWidth="1"/>
  </cols>
  <sheetData>
    <row r="1" spans="1:10" x14ac:dyDescent="0.3">
      <c r="A1" s="61" t="s">
        <v>0</v>
      </c>
    </row>
    <row r="2" spans="1:10" x14ac:dyDescent="0.3">
      <c r="A2" s="42" t="s">
        <v>1</v>
      </c>
    </row>
    <row r="3" spans="1:10" x14ac:dyDescent="0.3">
      <c r="A3" s="42" t="s">
        <v>2</v>
      </c>
      <c r="D3" s="107" t="s">
        <v>3</v>
      </c>
      <c r="E3" s="107" t="s">
        <v>4</v>
      </c>
      <c r="G3" s="42" t="s">
        <v>5</v>
      </c>
    </row>
    <row r="4" spans="1:10" ht="13.5" thickBot="1" x14ac:dyDescent="0.35">
      <c r="A4" s="1"/>
      <c r="B4" s="32" t="s">
        <v>6</v>
      </c>
      <c r="D4" s="108">
        <f t="shared" ref="D4:E4" si="0">AVERAGE(D10:D71)</f>
        <v>1.7796774193548397E-2</v>
      </c>
      <c r="E4" s="112">
        <f t="shared" si="0"/>
        <v>1.4497471114133683E-2</v>
      </c>
      <c r="G4" s="110" t="s">
        <v>7</v>
      </c>
      <c r="H4" s="110" t="s">
        <v>8</v>
      </c>
      <c r="I4" s="110" t="s">
        <v>9</v>
      </c>
      <c r="J4" s="110" t="s">
        <v>10</v>
      </c>
    </row>
    <row r="5" spans="1:10" x14ac:dyDescent="0.3">
      <c r="B5" s="32" t="s">
        <v>11</v>
      </c>
      <c r="D5" s="108">
        <f t="shared" ref="D5:E5" si="1">STDEV(D10:D71)</f>
        <v>8.089573124513974E-2</v>
      </c>
      <c r="E5" s="112">
        <f t="shared" si="1"/>
        <v>8.0182845689718812E-2</v>
      </c>
      <c r="G5" s="7">
        <v>-0.16</v>
      </c>
      <c r="H5" s="11"/>
      <c r="I5" s="14" t="e">
        <f t="shared" ref="I5:I6" si="2">H5/$H$17</f>
        <v>#DIV/0!</v>
      </c>
      <c r="J5" s="14" t="e">
        <f>I5</f>
        <v>#DIV/0!</v>
      </c>
    </row>
    <row r="6" spans="1:10" x14ac:dyDescent="0.3">
      <c r="B6" s="32" t="s">
        <v>12</v>
      </c>
      <c r="D6" s="108">
        <f t="shared" ref="D6:E6" si="3">MAX(D10:D71)</f>
        <v>0.21229999999999999</v>
      </c>
      <c r="E6" s="112">
        <f t="shared" si="3"/>
        <v>0.19251938177040057</v>
      </c>
      <c r="G6" s="7">
        <v>-0.12</v>
      </c>
      <c r="H6" s="12"/>
      <c r="I6" s="14" t="e">
        <f t="shared" si="2"/>
        <v>#DIV/0!</v>
      </c>
      <c r="J6" s="14" t="e">
        <f>I6+J5</f>
        <v>#DIV/0!</v>
      </c>
    </row>
    <row r="7" spans="1:10" x14ac:dyDescent="0.3">
      <c r="B7" s="32" t="s">
        <v>13</v>
      </c>
      <c r="D7" s="108">
        <f t="shared" ref="D7:E7" si="4">MIN(D10:D71)</f>
        <v>-0.1421</v>
      </c>
      <c r="E7" s="112">
        <f t="shared" si="4"/>
        <v>-0.1532677364032175</v>
      </c>
      <c r="G7" s="7">
        <v>-0.08</v>
      </c>
      <c r="H7" s="12"/>
      <c r="I7" s="14" t="e">
        <f t="shared" ref="I7:I15" si="5">H7/$H$17</f>
        <v>#DIV/0!</v>
      </c>
      <c r="J7" s="14" t="e">
        <f t="shared" ref="J7:J15" si="6">I7+J6</f>
        <v>#DIV/0!</v>
      </c>
    </row>
    <row r="8" spans="1:10" x14ac:dyDescent="0.3">
      <c r="G8" s="7">
        <v>-0.04</v>
      </c>
      <c r="H8" s="12"/>
      <c r="I8" s="14" t="e">
        <f t="shared" si="5"/>
        <v>#DIV/0!</v>
      </c>
      <c r="J8" s="14" t="e">
        <f t="shared" si="6"/>
        <v>#DIV/0!</v>
      </c>
    </row>
    <row r="9" spans="1:10" x14ac:dyDescent="0.3">
      <c r="A9" s="109" t="s">
        <v>14</v>
      </c>
      <c r="D9" t="str">
        <f>D3</f>
        <v>Returns</v>
      </c>
      <c r="E9" t="str">
        <f>E3</f>
        <v>Ln Returns</v>
      </c>
      <c r="G9" s="7">
        <v>0</v>
      </c>
      <c r="H9" s="12"/>
      <c r="I9" s="14" t="e">
        <f t="shared" si="5"/>
        <v>#DIV/0!</v>
      </c>
      <c r="J9" s="14" t="e">
        <f t="shared" si="6"/>
        <v>#DIV/0!</v>
      </c>
    </row>
    <row r="10" spans="1:10" x14ac:dyDescent="0.3">
      <c r="A10" s="106">
        <v>33662</v>
      </c>
      <c r="B10" s="10">
        <v>1</v>
      </c>
      <c r="C10" s="10"/>
      <c r="D10" s="108">
        <v>7.0599999999999996E-2</v>
      </c>
      <c r="E10" s="8">
        <f t="shared" ref="E10:E71" si="7">LN(1+D10)</f>
        <v>6.8219238977143853E-2</v>
      </c>
      <c r="G10" s="7">
        <v>0.04</v>
      </c>
      <c r="H10" s="12"/>
      <c r="I10" s="14" t="e">
        <f t="shared" si="5"/>
        <v>#DIV/0!</v>
      </c>
      <c r="J10" s="14" t="e">
        <f t="shared" si="6"/>
        <v>#DIV/0!</v>
      </c>
    </row>
    <row r="11" spans="1:10" x14ac:dyDescent="0.3">
      <c r="A11" s="106">
        <v>33694</v>
      </c>
      <c r="B11" s="10">
        <v>2</v>
      </c>
      <c r="C11" s="10"/>
      <c r="D11" s="108">
        <v>-0.1154</v>
      </c>
      <c r="E11" s="8">
        <f t="shared" si="7"/>
        <v>-0.12261971354791061</v>
      </c>
      <c r="G11" s="7">
        <v>0.08</v>
      </c>
      <c r="H11" s="12"/>
      <c r="I11" s="14" t="e">
        <f t="shared" si="5"/>
        <v>#DIV/0!</v>
      </c>
      <c r="J11" s="14" t="e">
        <f t="shared" si="6"/>
        <v>#DIV/0!</v>
      </c>
    </row>
    <row r="12" spans="1:10" x14ac:dyDescent="0.3">
      <c r="A12" s="106">
        <v>33724</v>
      </c>
      <c r="B12" s="10">
        <v>3</v>
      </c>
      <c r="C12" s="10"/>
      <c r="D12" s="108">
        <v>7.7700000000000005E-2</v>
      </c>
      <c r="E12" s="8">
        <f t="shared" si="7"/>
        <v>7.4829140620649076E-2</v>
      </c>
      <c r="G12" s="7">
        <v>0.12</v>
      </c>
      <c r="H12" s="12"/>
      <c r="I12" s="14" t="e">
        <f t="shared" si="5"/>
        <v>#DIV/0!</v>
      </c>
      <c r="J12" s="14" t="e">
        <f t="shared" si="6"/>
        <v>#DIV/0!</v>
      </c>
    </row>
    <row r="13" spans="1:10" x14ac:dyDescent="0.3">
      <c r="A13" s="106">
        <v>33753</v>
      </c>
      <c r="B13" s="10">
        <v>4</v>
      </c>
      <c r="C13" s="10"/>
      <c r="D13" s="108">
        <v>0.1066</v>
      </c>
      <c r="E13" s="8">
        <f t="shared" si="7"/>
        <v>0.10129225148187235</v>
      </c>
      <c r="G13" s="7">
        <v>0.16</v>
      </c>
      <c r="H13" s="12"/>
      <c r="I13" s="14" t="e">
        <f t="shared" si="5"/>
        <v>#DIV/0!</v>
      </c>
      <c r="J13" s="14" t="e">
        <f t="shared" si="6"/>
        <v>#DIV/0!</v>
      </c>
    </row>
    <row r="14" spans="1:10" x14ac:dyDescent="0.3">
      <c r="A14" s="106">
        <v>33785</v>
      </c>
      <c r="B14" s="10">
        <v>5</v>
      </c>
      <c r="C14" s="10"/>
      <c r="D14" s="108">
        <v>-0.1172</v>
      </c>
      <c r="E14" s="8">
        <f t="shared" si="7"/>
        <v>-0.12465660459955569</v>
      </c>
      <c r="G14" s="7">
        <v>0.2</v>
      </c>
      <c r="H14" s="12"/>
      <c r="I14" s="14" t="e">
        <f t="shared" si="5"/>
        <v>#DIV/0!</v>
      </c>
      <c r="J14" s="14" t="e">
        <f t="shared" si="6"/>
        <v>#DIV/0!</v>
      </c>
    </row>
    <row r="15" spans="1:10" ht="13.5" thickBot="1" x14ac:dyDescent="0.35">
      <c r="A15" s="106">
        <v>33816</v>
      </c>
      <c r="B15" s="10">
        <v>6</v>
      </c>
      <c r="C15" s="10"/>
      <c r="D15" s="108">
        <v>-8.2600000000000007E-2</v>
      </c>
      <c r="E15" s="8">
        <f t="shared" si="7"/>
        <v>-8.6211696819065445E-2</v>
      </c>
      <c r="G15" s="7"/>
      <c r="H15" s="13"/>
      <c r="I15" s="14" t="e">
        <f t="shared" si="5"/>
        <v>#DIV/0!</v>
      </c>
      <c r="J15" s="14" t="e">
        <f t="shared" si="6"/>
        <v>#DIV/0!</v>
      </c>
    </row>
    <row r="16" spans="1:10" ht="13.5" thickBot="1" x14ac:dyDescent="0.35">
      <c r="A16" s="106">
        <v>33847</v>
      </c>
      <c r="B16" s="10">
        <v>7</v>
      </c>
      <c r="C16" s="10"/>
      <c r="D16" s="108">
        <v>-2.8899999999999999E-2</v>
      </c>
      <c r="E16" s="8">
        <f t="shared" si="7"/>
        <v>-2.9325829381828733E-2</v>
      </c>
      <c r="H16" s="18"/>
      <c r="I16" s="14"/>
      <c r="J16" s="14"/>
    </row>
    <row r="17" spans="1:9" ht="13.5" thickBot="1" x14ac:dyDescent="0.35">
      <c r="A17" s="106">
        <v>33877</v>
      </c>
      <c r="B17" s="10">
        <v>8</v>
      </c>
      <c r="C17" s="10"/>
      <c r="D17" s="108">
        <v>9.9299999999999999E-2</v>
      </c>
      <c r="E17" s="8">
        <f t="shared" si="7"/>
        <v>9.4673613602680992E-2</v>
      </c>
      <c r="G17" s="110" t="s">
        <v>15</v>
      </c>
      <c r="H17" s="6"/>
      <c r="I17" s="14"/>
    </row>
    <row r="18" spans="1:9" x14ac:dyDescent="0.3">
      <c r="A18" s="106">
        <v>33907</v>
      </c>
      <c r="B18" s="10">
        <v>9</v>
      </c>
      <c r="C18" s="10"/>
      <c r="D18" s="108">
        <v>0.1265</v>
      </c>
      <c r="E18" s="8">
        <f t="shared" si="7"/>
        <v>0.11911548089016212</v>
      </c>
    </row>
    <row r="19" spans="1:9" x14ac:dyDescent="0.3">
      <c r="A19" s="106">
        <v>33938</v>
      </c>
      <c r="B19" s="10">
        <v>10</v>
      </c>
      <c r="C19" s="10"/>
      <c r="D19" s="108">
        <v>7.7499999999999999E-2</v>
      </c>
      <c r="E19" s="8">
        <f t="shared" si="7"/>
        <v>7.4643542995765713E-2</v>
      </c>
      <c r="G19" s="42" t="s">
        <v>16</v>
      </c>
      <c r="H19" s="111"/>
      <c r="I19" s="111"/>
    </row>
    <row r="20" spans="1:9" x14ac:dyDescent="0.3">
      <c r="A20" s="106">
        <v>33969</v>
      </c>
      <c r="B20" s="10">
        <v>11</v>
      </c>
      <c r="C20" s="10"/>
      <c r="D20" s="108">
        <v>5.96E-2</v>
      </c>
      <c r="E20" s="8">
        <f t="shared" si="7"/>
        <v>5.7891478415777679E-2</v>
      </c>
      <c r="G20" s="110" t="s">
        <v>17</v>
      </c>
      <c r="H20" s="110" t="s">
        <v>18</v>
      </c>
      <c r="I20" s="110" t="s">
        <v>19</v>
      </c>
    </row>
    <row r="21" spans="1:9" x14ac:dyDescent="0.3">
      <c r="A21" s="106">
        <v>33998</v>
      </c>
      <c r="B21" s="10">
        <v>12</v>
      </c>
      <c r="C21" s="10"/>
      <c r="D21" s="108">
        <v>-0.1171</v>
      </c>
      <c r="E21" s="8">
        <f t="shared" si="7"/>
        <v>-0.12454333507460025</v>
      </c>
      <c r="G21">
        <v>0</v>
      </c>
      <c r="H21" s="112">
        <f>QUARTILE($E$10:$E$71,G21)</f>
        <v>-0.1532677364032175</v>
      </c>
      <c r="I21" s="14">
        <f t="shared" ref="I21:I25" si="8">0.25*G21</f>
        <v>0</v>
      </c>
    </row>
    <row r="22" spans="1:9" x14ac:dyDescent="0.3">
      <c r="A22" s="106">
        <v>34026</v>
      </c>
      <c r="B22" s="10">
        <v>13</v>
      </c>
      <c r="C22" s="10"/>
      <c r="D22" s="108">
        <v>4.4999999999999998E-2</v>
      </c>
      <c r="E22" s="8">
        <f t="shared" si="7"/>
        <v>4.401688541677426E-2</v>
      </c>
      <c r="G22">
        <v>1</v>
      </c>
      <c r="H22" s="112">
        <f t="shared" ref="H22:H25" si="9">QUARTILE($E$10:$E$71,G22)</f>
        <v>-4.3325190151075089E-2</v>
      </c>
      <c r="I22" s="14">
        <f t="shared" si="8"/>
        <v>0.25</v>
      </c>
    </row>
    <row r="23" spans="1:9" x14ac:dyDescent="0.3">
      <c r="A23" s="106">
        <v>34059</v>
      </c>
      <c r="B23" s="10">
        <v>14</v>
      </c>
      <c r="C23" s="10"/>
      <c r="D23" s="108">
        <v>-3.0499999999999999E-2</v>
      </c>
      <c r="E23" s="8">
        <f t="shared" si="7"/>
        <v>-3.0974804299430527E-2</v>
      </c>
      <c r="G23">
        <v>2</v>
      </c>
      <c r="H23" s="112">
        <f t="shared" si="9"/>
        <v>2.844053880401657E-2</v>
      </c>
      <c r="I23" s="14">
        <f t="shared" si="8"/>
        <v>0.5</v>
      </c>
    </row>
    <row r="24" spans="1:9" x14ac:dyDescent="0.3">
      <c r="A24" s="106">
        <v>34089</v>
      </c>
      <c r="B24" s="10">
        <v>15</v>
      </c>
      <c r="C24" s="10"/>
      <c r="D24" s="108">
        <v>-1.2999999999999999E-2</v>
      </c>
      <c r="E24" s="8">
        <f t="shared" si="7"/>
        <v>-1.3085239548655481E-2</v>
      </c>
      <c r="G24">
        <v>3</v>
      </c>
      <c r="H24" s="112">
        <f t="shared" si="9"/>
        <v>7.4782741214428239E-2</v>
      </c>
      <c r="I24" s="14">
        <f t="shared" si="8"/>
        <v>0.75</v>
      </c>
    </row>
    <row r="25" spans="1:9" x14ac:dyDescent="0.3">
      <c r="A25" s="106">
        <v>34120</v>
      </c>
      <c r="B25" s="10">
        <v>16</v>
      </c>
      <c r="C25" s="10"/>
      <c r="D25" s="108">
        <v>0.13789999999999999</v>
      </c>
      <c r="E25" s="8">
        <f t="shared" si="7"/>
        <v>0.12918445838082582</v>
      </c>
      <c r="G25">
        <v>4</v>
      </c>
      <c r="H25" s="112">
        <f t="shared" si="9"/>
        <v>0.19251938177040057</v>
      </c>
      <c r="I25" s="14">
        <f t="shared" si="8"/>
        <v>1</v>
      </c>
    </row>
    <row r="26" spans="1:9" x14ac:dyDescent="0.3">
      <c r="A26" s="106">
        <v>34150</v>
      </c>
      <c r="B26" s="10">
        <v>17</v>
      </c>
      <c r="C26" s="10"/>
      <c r="D26" s="108">
        <v>5.1299999999999998E-2</v>
      </c>
      <c r="E26" s="8">
        <f t="shared" si="7"/>
        <v>5.0027493599648067E-2</v>
      </c>
    </row>
    <row r="27" spans="1:9" x14ac:dyDescent="0.3">
      <c r="A27" s="106">
        <v>34180</v>
      </c>
      <c r="B27" s="10">
        <v>18</v>
      </c>
      <c r="C27" s="10"/>
      <c r="D27" s="108">
        <v>4.4400000000000002E-2</v>
      </c>
      <c r="E27" s="8">
        <f t="shared" si="7"/>
        <v>4.3442557842836724E-2</v>
      </c>
    </row>
    <row r="28" spans="1:9" x14ac:dyDescent="0.3">
      <c r="A28" s="106">
        <v>34212</v>
      </c>
      <c r="B28" s="10">
        <v>19</v>
      </c>
      <c r="C28" s="10"/>
      <c r="D28" s="108">
        <v>0.21229999999999999</v>
      </c>
      <c r="E28" s="8">
        <f t="shared" si="7"/>
        <v>0.19251938177040057</v>
      </c>
    </row>
    <row r="29" spans="1:9" x14ac:dyDescent="0.3">
      <c r="A29" s="106">
        <v>34242</v>
      </c>
      <c r="B29" s="10">
        <v>20</v>
      </c>
      <c r="C29" s="10"/>
      <c r="D29" s="108">
        <v>-0.1191</v>
      </c>
      <c r="E29" s="8">
        <f t="shared" si="7"/>
        <v>-0.12681116686638705</v>
      </c>
    </row>
    <row r="30" spans="1:9" x14ac:dyDescent="0.3">
      <c r="A30" s="106">
        <v>34271</v>
      </c>
      <c r="B30" s="10">
        <v>21</v>
      </c>
      <c r="C30" s="10"/>
      <c r="D30" s="108">
        <v>9.9400000000000002E-2</v>
      </c>
      <c r="E30" s="8">
        <f t="shared" si="7"/>
        <v>9.4764576444422877E-2</v>
      </c>
    </row>
    <row r="31" spans="1:9" x14ac:dyDescent="0.3">
      <c r="A31" s="106">
        <v>34303</v>
      </c>
      <c r="B31" s="10">
        <v>22</v>
      </c>
      <c r="C31" s="10"/>
      <c r="D31" s="108">
        <v>-4.3400000000000001E-2</v>
      </c>
      <c r="E31" s="8">
        <f t="shared" si="7"/>
        <v>-4.4369947735940531E-2</v>
      </c>
    </row>
    <row r="32" spans="1:9" x14ac:dyDescent="0.3">
      <c r="A32" s="106">
        <v>34334</v>
      </c>
      <c r="B32" s="10">
        <v>23</v>
      </c>
      <c r="C32" s="10"/>
      <c r="D32" s="108">
        <v>0.1229</v>
      </c>
      <c r="E32" s="8">
        <f t="shared" si="7"/>
        <v>0.11591462459635593</v>
      </c>
    </row>
    <row r="33" spans="1:5" x14ac:dyDescent="0.3">
      <c r="A33" s="106">
        <v>34365</v>
      </c>
      <c r="B33" s="10">
        <v>24</v>
      </c>
      <c r="C33" s="10"/>
      <c r="D33" s="108">
        <v>-1.43E-2</v>
      </c>
      <c r="E33" s="8">
        <f t="shared" si="7"/>
        <v>-1.4403230310743743E-2</v>
      </c>
    </row>
    <row r="34" spans="1:5" x14ac:dyDescent="0.3">
      <c r="A34" s="106">
        <v>34393</v>
      </c>
      <c r="B34" s="10">
        <v>25</v>
      </c>
      <c r="C34" s="10"/>
      <c r="D34" s="108">
        <v>2.7300000000000001E-2</v>
      </c>
      <c r="E34" s="8">
        <f t="shared" si="7"/>
        <v>2.6934001240081041E-2</v>
      </c>
    </row>
    <row r="35" spans="1:5" x14ac:dyDescent="0.3">
      <c r="A35" s="106">
        <v>34424</v>
      </c>
      <c r="B35" s="10">
        <v>26</v>
      </c>
      <c r="C35" s="10"/>
      <c r="D35" s="108">
        <v>-0.1421</v>
      </c>
      <c r="E35" s="8">
        <f t="shared" si="7"/>
        <v>-0.1532677364032175</v>
      </c>
    </row>
    <row r="36" spans="1:5" x14ac:dyDescent="0.3">
      <c r="A36" s="106">
        <v>34453</v>
      </c>
      <c r="B36" s="10">
        <v>27</v>
      </c>
      <c r="C36" s="10"/>
      <c r="D36" s="108">
        <v>5.4199999999999998E-2</v>
      </c>
      <c r="E36" s="8">
        <f t="shared" si="7"/>
        <v>5.2782185438969481E-2</v>
      </c>
    </row>
    <row r="37" spans="1:5" x14ac:dyDescent="0.3">
      <c r="A37" s="106">
        <v>34485</v>
      </c>
      <c r="B37" s="10">
        <v>28</v>
      </c>
      <c r="C37" s="10"/>
      <c r="D37" s="108">
        <v>-2.3900000000000001E-2</v>
      </c>
      <c r="E37" s="8">
        <f t="shared" si="7"/>
        <v>-2.4190238801217671E-2</v>
      </c>
    </row>
    <row r="38" spans="1:5" x14ac:dyDescent="0.3">
      <c r="A38" s="106">
        <v>34515</v>
      </c>
      <c r="B38" s="10">
        <v>29</v>
      </c>
      <c r="C38" s="10"/>
      <c r="D38" s="108">
        <v>-7.7200000000000005E-2</v>
      </c>
      <c r="E38" s="8">
        <f t="shared" si="7"/>
        <v>-8.0342752682538501E-2</v>
      </c>
    </row>
    <row r="39" spans="1:5" x14ac:dyDescent="0.3">
      <c r="A39" s="106">
        <v>34544</v>
      </c>
      <c r="B39" s="10">
        <v>30</v>
      </c>
      <c r="C39" s="10"/>
      <c r="D39" s="108">
        <v>0.12959999999999999</v>
      </c>
      <c r="E39" s="8">
        <f t="shared" si="7"/>
        <v>0.12186358775684052</v>
      </c>
    </row>
    <row r="40" spans="1:5" x14ac:dyDescent="0.3">
      <c r="A40" s="106">
        <v>34577</v>
      </c>
      <c r="B40" s="10">
        <v>31</v>
      </c>
      <c r="C40" s="10"/>
      <c r="D40" s="108">
        <v>0.13550000000000001</v>
      </c>
      <c r="E40" s="8">
        <f t="shared" si="7"/>
        <v>0.12707308256347608</v>
      </c>
    </row>
    <row r="41" spans="1:5" x14ac:dyDescent="0.3">
      <c r="A41" s="106">
        <v>34607</v>
      </c>
      <c r="B41" s="10">
        <v>32</v>
      </c>
      <c r="C41" s="10"/>
      <c r="D41" s="108">
        <v>-5.7299999999999997E-2</v>
      </c>
      <c r="E41" s="8">
        <f t="shared" si="7"/>
        <v>-5.9007180580032424E-2</v>
      </c>
    </row>
    <row r="42" spans="1:5" x14ac:dyDescent="0.3">
      <c r="A42" s="106">
        <v>34638</v>
      </c>
      <c r="B42" s="10">
        <v>33</v>
      </c>
      <c r="C42" s="10"/>
      <c r="D42" s="108">
        <v>7.0900000000000005E-2</v>
      </c>
      <c r="E42" s="8">
        <f t="shared" si="7"/>
        <v>6.8499416424692261E-2</v>
      </c>
    </row>
    <row r="43" spans="1:5" x14ac:dyDescent="0.3">
      <c r="A43" s="106">
        <v>34668</v>
      </c>
      <c r="B43" s="10">
        <v>34</v>
      </c>
      <c r="C43" s="10"/>
      <c r="D43" s="108">
        <v>-4.2599999999999999E-2</v>
      </c>
      <c r="E43" s="8">
        <f t="shared" si="7"/>
        <v>-4.3534002023728369E-2</v>
      </c>
    </row>
    <row r="44" spans="1:5" x14ac:dyDescent="0.3">
      <c r="A44" s="106">
        <v>34698</v>
      </c>
      <c r="B44" s="10">
        <v>35</v>
      </c>
      <c r="C44" s="10"/>
      <c r="D44" s="108">
        <v>4.6899999999999997E-2</v>
      </c>
      <c r="E44" s="8">
        <f t="shared" si="7"/>
        <v>4.5833416343172152E-2</v>
      </c>
    </row>
    <row r="45" spans="1:5" x14ac:dyDescent="0.3">
      <c r="A45" s="106">
        <v>34730</v>
      </c>
      <c r="B45" s="10">
        <v>36</v>
      </c>
      <c r="C45" s="10"/>
      <c r="D45" s="108">
        <v>-0.1132</v>
      </c>
      <c r="E45" s="8">
        <f t="shared" si="7"/>
        <v>-0.12013580123998062</v>
      </c>
    </row>
    <row r="46" spans="1:5" x14ac:dyDescent="0.3">
      <c r="A46" s="106">
        <v>34758</v>
      </c>
      <c r="B46" s="10">
        <v>37</v>
      </c>
      <c r="C46" s="10"/>
      <c r="D46" s="108">
        <v>5.3E-3</v>
      </c>
      <c r="E46" s="8">
        <f t="shared" si="7"/>
        <v>5.2860044292374377E-3</v>
      </c>
    </row>
    <row r="47" spans="1:5" x14ac:dyDescent="0.3">
      <c r="A47" s="106">
        <v>34789</v>
      </c>
      <c r="B47" s="10">
        <v>38</v>
      </c>
      <c r="C47" s="10"/>
      <c r="D47" s="108">
        <v>5.0299999999999997E-2</v>
      </c>
      <c r="E47" s="8">
        <f t="shared" si="7"/>
        <v>4.9075837646592645E-2</v>
      </c>
    </row>
    <row r="48" spans="1:5" x14ac:dyDescent="0.3">
      <c r="A48" s="106">
        <v>34817</v>
      </c>
      <c r="B48" s="10">
        <v>39</v>
      </c>
      <c r="C48" s="10"/>
      <c r="D48" s="108">
        <v>-2.0199999999999999E-2</v>
      </c>
      <c r="E48" s="8">
        <f t="shared" si="7"/>
        <v>-2.040680977766262E-2</v>
      </c>
    </row>
    <row r="49" spans="1:5" x14ac:dyDescent="0.3">
      <c r="A49" s="106">
        <v>34850</v>
      </c>
      <c r="B49" s="10">
        <v>40</v>
      </c>
      <c r="C49" s="10"/>
      <c r="D49" s="108">
        <v>6.4299999999999996E-2</v>
      </c>
      <c r="E49" s="8">
        <f t="shared" si="7"/>
        <v>6.2317306064861584E-2</v>
      </c>
    </row>
    <row r="50" spans="1:5" x14ac:dyDescent="0.3">
      <c r="A50" s="106">
        <v>34880</v>
      </c>
      <c r="B50" s="10">
        <v>41</v>
      </c>
      <c r="C50" s="10"/>
      <c r="D50" s="108">
        <v>0.128</v>
      </c>
      <c r="E50" s="8">
        <f t="shared" si="7"/>
        <v>0.12044615307586726</v>
      </c>
    </row>
    <row r="51" spans="1:5" x14ac:dyDescent="0.3">
      <c r="A51" s="106">
        <v>34911</v>
      </c>
      <c r="B51" s="10">
        <v>42</v>
      </c>
      <c r="C51" s="10"/>
      <c r="D51" s="108">
        <v>2.5700000000000001E-2</v>
      </c>
      <c r="E51" s="8">
        <f t="shared" si="7"/>
        <v>2.5375306331228299E-2</v>
      </c>
    </row>
    <row r="52" spans="1:5" x14ac:dyDescent="0.3">
      <c r="A52" s="106">
        <v>34942</v>
      </c>
      <c r="B52" s="10">
        <v>43</v>
      </c>
      <c r="C52" s="10"/>
      <c r="D52" s="108">
        <v>0.1065</v>
      </c>
      <c r="E52" s="8">
        <f t="shared" si="7"/>
        <v>0.10120188050896733</v>
      </c>
    </row>
    <row r="53" spans="1:5" x14ac:dyDescent="0.3">
      <c r="A53" s="106">
        <v>34971</v>
      </c>
      <c r="B53" s="10">
        <v>44</v>
      </c>
      <c r="C53" s="10"/>
      <c r="D53" s="108">
        <v>1.9E-3</v>
      </c>
      <c r="E53" s="8">
        <f t="shared" si="7"/>
        <v>1.8981972830802655E-3</v>
      </c>
    </row>
    <row r="54" spans="1:5" x14ac:dyDescent="0.3">
      <c r="A54" s="106">
        <v>35003</v>
      </c>
      <c r="B54" s="10">
        <v>45</v>
      </c>
      <c r="C54" s="10"/>
      <c r="D54" s="108">
        <v>-1.6899999999999998E-2</v>
      </c>
      <c r="E54" s="8">
        <f t="shared" si="7"/>
        <v>-1.7044434609258474E-2</v>
      </c>
    </row>
    <row r="55" spans="1:5" x14ac:dyDescent="0.3">
      <c r="A55" s="106">
        <v>35033</v>
      </c>
      <c r="B55" s="10">
        <v>46</v>
      </c>
      <c r="C55" s="10"/>
      <c r="D55" s="108">
        <v>-0.10340000000000001</v>
      </c>
      <c r="E55" s="8">
        <f t="shared" si="7"/>
        <v>-0.10914544726079799</v>
      </c>
    </row>
    <row r="56" spans="1:5" x14ac:dyDescent="0.3">
      <c r="A56" s="106">
        <v>35062</v>
      </c>
      <c r="B56" s="10">
        <v>47</v>
      </c>
      <c r="C56" s="10"/>
      <c r="D56" s="108">
        <v>-1.4999999999999999E-2</v>
      </c>
      <c r="E56" s="8">
        <f t="shared" si="7"/>
        <v>-1.5113637810048184E-2</v>
      </c>
    </row>
    <row r="57" spans="1:5" x14ac:dyDescent="0.3">
      <c r="A57" s="106">
        <v>35095</v>
      </c>
      <c r="B57" s="10">
        <v>48</v>
      </c>
      <c r="C57" s="10"/>
      <c r="D57" s="108">
        <v>3.04E-2</v>
      </c>
      <c r="E57" s="8">
        <f t="shared" si="7"/>
        <v>2.9947076367952099E-2</v>
      </c>
    </row>
    <row r="58" spans="1:5" x14ac:dyDescent="0.3">
      <c r="A58" s="106">
        <v>35124</v>
      </c>
      <c r="B58" s="10">
        <v>49</v>
      </c>
      <c r="C58" s="10"/>
      <c r="D58" s="108">
        <v>-2.53E-2</v>
      </c>
      <c r="E58" s="8">
        <f t="shared" si="7"/>
        <v>-2.5625547638972731E-2</v>
      </c>
    </row>
    <row r="59" spans="1:5" x14ac:dyDescent="0.3">
      <c r="A59" s="106">
        <v>35153</v>
      </c>
      <c r="B59" s="10">
        <v>50</v>
      </c>
      <c r="C59" s="10"/>
      <c r="D59" s="108">
        <v>4.7500000000000001E-2</v>
      </c>
      <c r="E59" s="8">
        <f t="shared" si="7"/>
        <v>4.6406372814155834E-2</v>
      </c>
    </row>
    <row r="60" spans="1:5" x14ac:dyDescent="0.3">
      <c r="A60" s="106">
        <v>35185</v>
      </c>
      <c r="B60" s="10">
        <v>51</v>
      </c>
      <c r="C60" s="10"/>
      <c r="D60" s="108">
        <v>9.4799999999999995E-2</v>
      </c>
      <c r="E60" s="8">
        <f t="shared" si="7"/>
        <v>9.0571698184386956E-2</v>
      </c>
    </row>
    <row r="61" spans="1:5" x14ac:dyDescent="0.3">
      <c r="A61" s="106">
        <v>35216</v>
      </c>
      <c r="B61" s="10">
        <v>52</v>
      </c>
      <c r="C61" s="10"/>
      <c r="D61" s="108">
        <v>-3.7699999999999997E-2</v>
      </c>
      <c r="E61" s="8">
        <f t="shared" si="7"/>
        <v>-3.8429026619781856E-2</v>
      </c>
    </row>
    <row r="62" spans="1:5" x14ac:dyDescent="0.3">
      <c r="A62" s="106">
        <v>35244</v>
      </c>
      <c r="B62" s="10">
        <v>53</v>
      </c>
      <c r="C62" s="10"/>
      <c r="D62" s="108">
        <v>-6.2600000000000003E-2</v>
      </c>
      <c r="E62" s="8">
        <f t="shared" si="7"/>
        <v>-6.4645193493531289E-2</v>
      </c>
    </row>
    <row r="63" spans="1:5" x14ac:dyDescent="0.3">
      <c r="A63" s="106">
        <v>35277</v>
      </c>
      <c r="B63" s="10">
        <v>54</v>
      </c>
      <c r="C63" s="10"/>
      <c r="D63" s="108">
        <v>-4.1799999999999997E-2</v>
      </c>
      <c r="E63" s="8">
        <f t="shared" si="7"/>
        <v>-4.2698754533115245E-2</v>
      </c>
    </row>
    <row r="64" spans="1:5" x14ac:dyDescent="0.3">
      <c r="A64" s="106">
        <v>35307</v>
      </c>
      <c r="B64" s="10">
        <v>55</v>
      </c>
      <c r="C64" s="10"/>
      <c r="D64" s="108">
        <v>5.6599999999999998E-2</v>
      </c>
      <c r="E64" s="8">
        <f t="shared" si="7"/>
        <v>5.5056205748078388E-2</v>
      </c>
    </row>
    <row r="65" spans="1:5" x14ac:dyDescent="0.3">
      <c r="A65" s="106">
        <v>35338</v>
      </c>
      <c r="B65" s="10">
        <v>56</v>
      </c>
      <c r="C65" s="10"/>
      <c r="D65" s="108">
        <v>-8.6599999999999996E-2</v>
      </c>
      <c r="E65" s="8">
        <f t="shared" si="7"/>
        <v>-9.0581378231238477E-2</v>
      </c>
    </row>
    <row r="66" spans="1:5" x14ac:dyDescent="0.3">
      <c r="A66" s="106">
        <v>35369</v>
      </c>
      <c r="B66" s="10">
        <v>57</v>
      </c>
      <c r="C66" s="10"/>
      <c r="D66" s="108">
        <v>7.22E-2</v>
      </c>
      <c r="E66" s="8">
        <f t="shared" si="7"/>
        <v>6.9712612411300348E-2</v>
      </c>
    </row>
    <row r="67" spans="1:5" x14ac:dyDescent="0.3">
      <c r="A67" s="106">
        <v>35398</v>
      </c>
      <c r="B67" s="10">
        <v>58</v>
      </c>
      <c r="C67" s="10"/>
      <c r="D67" s="108">
        <v>8.4199999999999997E-2</v>
      </c>
      <c r="E67" s="8">
        <f t="shared" si="7"/>
        <v>8.0842387844100805E-2</v>
      </c>
    </row>
    <row r="68" spans="1:5" x14ac:dyDescent="0.3">
      <c r="A68" s="106">
        <v>35430</v>
      </c>
      <c r="B68" s="10">
        <v>59</v>
      </c>
      <c r="C68" s="10"/>
      <c r="D68" s="108">
        <v>-4.2700000000000002E-2</v>
      </c>
      <c r="E68" s="8">
        <f t="shared" si="7"/>
        <v>-4.3638457029829492E-2</v>
      </c>
    </row>
    <row r="69" spans="1:5" x14ac:dyDescent="0.3">
      <c r="A69" s="106">
        <v>35461</v>
      </c>
      <c r="B69" s="10">
        <v>60</v>
      </c>
      <c r="C69" s="10"/>
      <c r="D69" s="108">
        <v>9.5299999999999996E-2</v>
      </c>
      <c r="E69" s="8">
        <f t="shared" si="7"/>
        <v>9.1028298347563763E-2</v>
      </c>
    </row>
    <row r="70" spans="1:5" x14ac:dyDescent="0.3">
      <c r="A70" s="106">
        <v>35489</v>
      </c>
      <c r="B70" s="10">
        <v>61</v>
      </c>
      <c r="C70" s="10"/>
      <c r="D70" s="108">
        <v>7.9600000000000004E-2</v>
      </c>
      <c r="E70" s="8">
        <f t="shared" si="7"/>
        <v>7.6590602161712637E-2</v>
      </c>
    </row>
    <row r="71" spans="1:5" x14ac:dyDescent="0.3">
      <c r="A71" s="106">
        <v>35520</v>
      </c>
      <c r="B71" s="10">
        <v>62</v>
      </c>
      <c r="C71" s="10"/>
      <c r="D71" s="108">
        <v>-4.4600000000000001E-2</v>
      </c>
      <c r="E71" s="8">
        <f t="shared" si="7"/>
        <v>-4.5625178026275554E-2</v>
      </c>
    </row>
  </sheetData>
  <printOptions headings="1" gridLines="1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/>
  </sheetViews>
  <sheetFormatPr defaultRowHeight="13" x14ac:dyDescent="0.3"/>
  <sheetData>
    <row r="1" spans="1:9" x14ac:dyDescent="0.3">
      <c r="A1" s="61" t="s">
        <v>0</v>
      </c>
    </row>
    <row r="2" spans="1:9" x14ac:dyDescent="0.3">
      <c r="A2" s="113" t="s">
        <v>20</v>
      </c>
      <c r="H2" s="1" t="s">
        <v>21</v>
      </c>
    </row>
    <row r="4" spans="1:9" ht="13.5" thickBot="1" x14ac:dyDescent="0.35">
      <c r="C4" t="s">
        <v>22</v>
      </c>
      <c r="D4" t="s">
        <v>23</v>
      </c>
      <c r="F4" t="s">
        <v>24</v>
      </c>
      <c r="H4" t="s">
        <v>22</v>
      </c>
      <c r="I4" t="s">
        <v>23</v>
      </c>
    </row>
    <row r="5" spans="1:9" ht="13.5" thickBot="1" x14ac:dyDescent="0.35">
      <c r="B5" s="7">
        <v>-4</v>
      </c>
      <c r="C5" s="17"/>
      <c r="D5" s="17"/>
      <c r="F5" s="60"/>
      <c r="H5" s="8">
        <v>1.3383022576488534E-4</v>
      </c>
      <c r="I5" s="8">
        <v>3.1686034609235136E-5</v>
      </c>
    </row>
    <row r="6" spans="1:9" x14ac:dyDescent="0.3">
      <c r="B6" s="7">
        <v>-3</v>
      </c>
      <c r="D6" s="29"/>
      <c r="H6" s="8">
        <v>4.4318484119380067E-3</v>
      </c>
      <c r="I6" s="8">
        <v>1.3499672232354376E-3</v>
      </c>
    </row>
    <row r="7" spans="1:9" x14ac:dyDescent="0.3">
      <c r="B7" s="7">
        <v>-2</v>
      </c>
      <c r="D7" s="29"/>
      <c r="H7" s="8">
        <v>5.3990966513188049E-2</v>
      </c>
      <c r="I7" s="8">
        <v>2.2750062036186902E-2</v>
      </c>
    </row>
    <row r="8" spans="1:9" x14ac:dyDescent="0.3">
      <c r="B8" s="7">
        <v>-1</v>
      </c>
      <c r="D8" s="29"/>
      <c r="H8" s="8">
        <v>0.24197072451914334</v>
      </c>
      <c r="I8" s="8">
        <v>0.15865525975899586</v>
      </c>
    </row>
    <row r="9" spans="1:9" x14ac:dyDescent="0.3">
      <c r="B9" s="7">
        <v>0</v>
      </c>
      <c r="D9" s="29"/>
      <c r="H9" s="8">
        <v>0.39894228040143265</v>
      </c>
      <c r="I9" s="8">
        <v>0.49999999978172083</v>
      </c>
    </row>
    <row r="10" spans="1:9" x14ac:dyDescent="0.3">
      <c r="B10" s="7">
        <v>1</v>
      </c>
      <c r="D10" s="29"/>
      <c r="H10" s="8">
        <v>0.24197072451914334</v>
      </c>
      <c r="I10" s="8">
        <v>0.84134474024100414</v>
      </c>
    </row>
    <row r="11" spans="1:9" x14ac:dyDescent="0.3">
      <c r="B11" s="7">
        <v>2</v>
      </c>
      <c r="D11" s="29"/>
      <c r="H11" s="8">
        <v>5.3990966513188049E-2</v>
      </c>
      <c r="I11" s="8">
        <v>0.9772499379638131</v>
      </c>
    </row>
    <row r="12" spans="1:9" x14ac:dyDescent="0.3">
      <c r="B12" s="7">
        <v>3</v>
      </c>
      <c r="D12" s="29"/>
      <c r="H12" s="8">
        <v>4.4318484119380067E-3</v>
      </c>
      <c r="I12" s="8">
        <v>0.99865003277676456</v>
      </c>
    </row>
    <row r="13" spans="1:9" x14ac:dyDescent="0.3">
      <c r="B13" s="7">
        <v>4</v>
      </c>
      <c r="D13" s="29"/>
      <c r="H13" s="8">
        <v>1.3383022576488534E-4</v>
      </c>
      <c r="I13" s="8">
        <v>0.99996831396539076</v>
      </c>
    </row>
    <row r="14" spans="1:9" x14ac:dyDescent="0.3">
      <c r="D14" s="29"/>
    </row>
    <row r="15" spans="1:9" x14ac:dyDescent="0.3">
      <c r="D15" s="29"/>
    </row>
    <row r="16" spans="1:9" x14ac:dyDescent="0.3">
      <c r="B16" s="7"/>
      <c r="D16" s="29"/>
      <c r="H16" s="28"/>
      <c r="I16" s="28"/>
    </row>
    <row r="17" spans="2:9" x14ac:dyDescent="0.3">
      <c r="B17" s="7"/>
      <c r="D17" s="29"/>
      <c r="H17" s="28"/>
      <c r="I17" s="28"/>
    </row>
    <row r="19" spans="2:9" x14ac:dyDescent="0.3">
      <c r="C19" s="28"/>
    </row>
    <row r="20" spans="2:9" x14ac:dyDescent="0.3">
      <c r="C20" s="28"/>
    </row>
    <row r="21" spans="2:9" x14ac:dyDescent="0.3">
      <c r="C21" s="28"/>
    </row>
    <row r="22" spans="2:9" x14ac:dyDescent="0.3">
      <c r="C22" s="28"/>
    </row>
    <row r="23" spans="2:9" x14ac:dyDescent="0.3">
      <c r="C23" s="28"/>
    </row>
    <row r="24" spans="2:9" x14ac:dyDescent="0.3">
      <c r="C24" s="28"/>
    </row>
    <row r="25" spans="2:9" x14ac:dyDescent="0.3">
      <c r="C25" s="28"/>
    </row>
    <row r="26" spans="2:9" x14ac:dyDescent="0.3">
      <c r="C26" s="28"/>
    </row>
    <row r="27" spans="2:9" x14ac:dyDescent="0.3">
      <c r="C27" s="28"/>
    </row>
    <row r="28" spans="2:9" x14ac:dyDescent="0.3">
      <c r="C28" s="28"/>
    </row>
    <row r="29" spans="2:9" x14ac:dyDescent="0.3">
      <c r="C29" s="28"/>
    </row>
    <row r="30" spans="2:9" x14ac:dyDescent="0.3">
      <c r="C30" s="28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/>
  </sheetViews>
  <sheetFormatPr defaultColWidth="9.296875" defaultRowHeight="13" x14ac:dyDescent="0.3"/>
  <cols>
    <col min="1" max="1" width="9.296875" style="46"/>
    <col min="2" max="3" width="10.796875" style="46" customWidth="1"/>
    <col min="4" max="4" width="9.296875" style="46"/>
    <col min="5" max="5" width="11.19921875" style="46" customWidth="1"/>
    <col min="6" max="6" width="10.69921875" style="46" customWidth="1"/>
    <col min="7" max="16384" width="9.296875" style="46"/>
  </cols>
  <sheetData>
    <row r="1" spans="1:11" x14ac:dyDescent="0.3">
      <c r="A1" s="61" t="s">
        <v>0</v>
      </c>
    </row>
    <row r="2" spans="1:11" s="43" customFormat="1" x14ac:dyDescent="0.3">
      <c r="A2" s="42" t="s">
        <v>25</v>
      </c>
      <c r="B2" s="32"/>
      <c r="D2" s="32"/>
      <c r="E2" s="32"/>
      <c r="F2" s="32"/>
      <c r="G2" s="32"/>
    </row>
    <row r="3" spans="1:11" s="43" customFormat="1" x14ac:dyDescent="0.3">
      <c r="A3" s="42"/>
      <c r="B3" s="32"/>
      <c r="D3" s="32"/>
      <c r="E3" s="32"/>
      <c r="F3" s="32"/>
      <c r="G3" s="32"/>
    </row>
    <row r="4" spans="1:11" s="43" customFormat="1" ht="13.5" thickBot="1" x14ac:dyDescent="0.35">
      <c r="B4" s="32" t="s">
        <v>26</v>
      </c>
      <c r="D4" s="34" t="s">
        <v>27</v>
      </c>
      <c r="F4" s="33" t="s">
        <v>28</v>
      </c>
      <c r="G4" s="33" t="s">
        <v>29</v>
      </c>
      <c r="J4" s="34" t="s">
        <v>27</v>
      </c>
    </row>
    <row r="5" spans="1:11" s="43" customFormat="1" ht="13.5" thickBot="1" x14ac:dyDescent="0.35">
      <c r="B5" s="32">
        <v>25000</v>
      </c>
      <c r="D5" s="141"/>
      <c r="F5" s="39">
        <v>0</v>
      </c>
      <c r="G5" s="40">
        <v>0.08</v>
      </c>
      <c r="J5" s="35">
        <v>3000</v>
      </c>
    </row>
    <row r="6" spans="1:11" s="43" customFormat="1" ht="13.5" thickBot="1" x14ac:dyDescent="0.35">
      <c r="F6" s="39">
        <v>10000</v>
      </c>
      <c r="G6" s="40">
        <v>0.105</v>
      </c>
    </row>
    <row r="7" spans="1:11" s="43" customFormat="1" ht="13.5" thickBot="1" x14ac:dyDescent="0.35">
      <c r="B7" s="32">
        <v>10000</v>
      </c>
      <c r="D7" s="44"/>
      <c r="F7" s="39">
        <v>20000</v>
      </c>
      <c r="G7" s="40">
        <v>0.12</v>
      </c>
      <c r="J7" s="35">
        <v>1050</v>
      </c>
    </row>
    <row r="8" spans="1:11" s="43" customFormat="1" ht="13.5" thickBot="1" x14ac:dyDescent="0.35">
      <c r="F8" s="39"/>
      <c r="G8" s="41"/>
    </row>
    <row r="9" spans="1:11" s="43" customFormat="1" ht="13.5" thickBot="1" x14ac:dyDescent="0.35">
      <c r="B9" s="32">
        <v>19999</v>
      </c>
      <c r="D9" s="44"/>
      <c r="E9" s="32"/>
      <c r="F9" s="33"/>
      <c r="G9" s="32"/>
      <c r="J9" s="38">
        <v>2099.895</v>
      </c>
    </row>
    <row r="10" spans="1:11" s="43" customFormat="1" ht="13.5" thickBot="1" x14ac:dyDescent="0.35">
      <c r="A10" s="32"/>
      <c r="E10" s="36"/>
      <c r="F10" s="33"/>
      <c r="G10" s="36" t="s">
        <v>30</v>
      </c>
    </row>
    <row r="11" spans="1:11" s="43" customFormat="1" ht="13.5" thickBot="1" x14ac:dyDescent="0.35">
      <c r="A11" s="32"/>
      <c r="B11" s="32">
        <v>20000</v>
      </c>
      <c r="D11" s="44"/>
      <c r="F11" s="33"/>
      <c r="J11" s="35">
        <v>2400</v>
      </c>
    </row>
    <row r="12" spans="1:11" s="43" customFormat="1" x14ac:dyDescent="0.3">
      <c r="A12" s="32"/>
      <c r="B12" s="35"/>
      <c r="D12" s="33"/>
      <c r="E12" s="32" t="s">
        <v>31</v>
      </c>
      <c r="F12" s="47" t="s">
        <v>32</v>
      </c>
      <c r="G12" s="32"/>
    </row>
    <row r="13" spans="1:11" s="43" customFormat="1" x14ac:dyDescent="0.3">
      <c r="A13" s="37"/>
      <c r="B13" s="32"/>
      <c r="G13" s="32"/>
    </row>
    <row r="14" spans="1:11" x14ac:dyDescent="0.3">
      <c r="A14" s="45"/>
      <c r="B14" s="45"/>
      <c r="C14" s="45"/>
      <c r="F14" s="45"/>
      <c r="G14" s="45"/>
      <c r="H14" s="45"/>
      <c r="I14" s="45"/>
      <c r="J14" s="45"/>
      <c r="K14" s="45"/>
    </row>
    <row r="15" spans="1:11" s="16" customFormat="1" x14ac:dyDescent="0.3">
      <c r="A15" s="113" t="s">
        <v>33</v>
      </c>
    </row>
    <row r="16" spans="1:11" x14ac:dyDescent="0.3">
      <c r="F16" s="42" t="s">
        <v>34</v>
      </c>
      <c r="G16" s="138" t="s">
        <v>35</v>
      </c>
    </row>
    <row r="17" spans="1:11" s="16" customFormat="1" ht="13.5" thickBot="1" x14ac:dyDescent="0.35">
      <c r="B17" s="16" t="s">
        <v>34</v>
      </c>
      <c r="C17" s="143">
        <v>0.2</v>
      </c>
      <c r="F17" s="48">
        <v>0.15</v>
      </c>
      <c r="G17" s="49">
        <v>8.6257230925187685</v>
      </c>
    </row>
    <row r="18" spans="1:11" s="16" customFormat="1" ht="13.5" thickBot="1" x14ac:dyDescent="0.35">
      <c r="B18" s="16" t="s">
        <v>36</v>
      </c>
      <c r="D18" s="142"/>
      <c r="F18" s="48">
        <v>0.16</v>
      </c>
      <c r="G18" s="49">
        <v>8.8353048385109929</v>
      </c>
    </row>
    <row r="19" spans="1:11" s="16" customFormat="1" x14ac:dyDescent="0.3">
      <c r="F19" s="48">
        <v>0.17</v>
      </c>
      <c r="G19" s="49">
        <v>9.0509066904899953</v>
      </c>
    </row>
    <row r="20" spans="1:11" s="16" customFormat="1" x14ac:dyDescent="0.3">
      <c r="F20" s="48">
        <v>0.18</v>
      </c>
      <c r="G20" s="49">
        <v>9.2716474828185795</v>
      </c>
    </row>
    <row r="21" spans="1:11" s="16" customFormat="1" ht="13.5" thickBot="1" x14ac:dyDescent="0.35">
      <c r="B21" s="16" t="s">
        <v>37</v>
      </c>
      <c r="C21" s="138">
        <v>9.7257629574651006</v>
      </c>
      <c r="F21" s="48">
        <v>0.19</v>
      </c>
      <c r="G21" s="49">
        <v>9.4968005730100415</v>
      </c>
    </row>
    <row r="22" spans="1:11" s="16" customFormat="1" ht="13.5" thickBot="1" x14ac:dyDescent="0.35">
      <c r="B22" s="16" t="s">
        <v>38</v>
      </c>
      <c r="D22" s="144"/>
      <c r="F22" s="48">
        <v>0.2</v>
      </c>
      <c r="G22" s="49">
        <v>9.7257629574651006</v>
      </c>
    </row>
    <row r="23" spans="1:11" s="16" customFormat="1" x14ac:dyDescent="0.3">
      <c r="F23" s="48">
        <v>0.21</v>
      </c>
      <c r="G23" s="49">
        <v>9.9580310212275265</v>
      </c>
    </row>
    <row r="24" spans="1:11" s="16" customFormat="1" x14ac:dyDescent="0.3">
      <c r="F24" s="48">
        <v>0.22</v>
      </c>
      <c r="G24" s="49">
        <v>10.193181482724491</v>
      </c>
    </row>
    <row r="25" spans="1:11" s="16" customFormat="1" x14ac:dyDescent="0.3">
      <c r="B25" s="16" t="s">
        <v>39</v>
      </c>
      <c r="C25" s="1">
        <v>6</v>
      </c>
      <c r="F25" s="48">
        <v>0.23</v>
      </c>
      <c r="G25" s="49">
        <v>10.430856374637372</v>
      </c>
    </row>
    <row r="26" spans="1:11" s="16" customFormat="1" ht="13.5" thickBot="1" x14ac:dyDescent="0.35">
      <c r="B26" s="16" t="s">
        <v>40</v>
      </c>
      <c r="C26" s="1">
        <v>2</v>
      </c>
      <c r="F26" s="48">
        <v>0.24</v>
      </c>
      <c r="G26" s="49">
        <v>10.670751153567359</v>
      </c>
    </row>
    <row r="27" spans="1:11" s="16" customFormat="1" ht="13.5" thickBot="1" x14ac:dyDescent="0.35">
      <c r="B27" s="16" t="s">
        <v>41</v>
      </c>
      <c r="D27" s="142"/>
      <c r="F27" s="48">
        <v>0.25</v>
      </c>
      <c r="G27" s="49">
        <v>10.912605237740053</v>
      </c>
    </row>
    <row r="30" spans="1:11" x14ac:dyDescent="0.3">
      <c r="A30" s="113" t="s">
        <v>42</v>
      </c>
    </row>
    <row r="31" spans="1:11" x14ac:dyDescent="0.3">
      <c r="A31" s="32"/>
      <c r="B31" s="32" t="s">
        <v>43</v>
      </c>
      <c r="C31" s="32"/>
      <c r="D31" s="32"/>
      <c r="E31" s="32"/>
      <c r="F31" s="32"/>
      <c r="G31" s="32"/>
      <c r="H31" s="32"/>
      <c r="I31" s="32"/>
      <c r="J31" s="32"/>
      <c r="K31" s="45"/>
    </row>
    <row r="32" spans="1:11" ht="13.5" thickBot="1" x14ac:dyDescent="0.35">
      <c r="A32" s="32"/>
      <c r="B32" s="32" t="s">
        <v>44</v>
      </c>
      <c r="C32" s="32" t="s">
        <v>45</v>
      </c>
      <c r="D32" s="32" t="s">
        <v>46</v>
      </c>
      <c r="E32" s="32" t="s">
        <v>47</v>
      </c>
      <c r="F32" s="32" t="s">
        <v>48</v>
      </c>
      <c r="G32" s="32"/>
      <c r="H32" s="34" t="s">
        <v>49</v>
      </c>
      <c r="I32" s="34" t="s">
        <v>50</v>
      </c>
      <c r="J32" s="34" t="s">
        <v>51</v>
      </c>
      <c r="K32" s="45"/>
    </row>
    <row r="33" spans="1:11" ht="13.5" thickBot="1" x14ac:dyDescent="0.35">
      <c r="A33" s="32"/>
      <c r="B33" s="51">
        <f>DATE(1996,2,2)</f>
        <v>35097</v>
      </c>
      <c r="C33" s="32">
        <f>MONTH(B33)</f>
        <v>2</v>
      </c>
      <c r="D33" s="52">
        <f>YEAR(B33)</f>
        <v>1996</v>
      </c>
      <c r="E33" s="144"/>
      <c r="F33" s="144"/>
      <c r="G33" s="32"/>
      <c r="H33" s="32">
        <v>1</v>
      </c>
      <c r="I33" s="32">
        <v>31</v>
      </c>
      <c r="J33" s="32">
        <v>31</v>
      </c>
      <c r="K33" s="45"/>
    </row>
    <row r="34" spans="1:11" x14ac:dyDescent="0.3">
      <c r="A34" s="32"/>
      <c r="G34" s="32"/>
      <c r="H34" s="32">
        <v>2</v>
      </c>
      <c r="I34" s="32">
        <v>28</v>
      </c>
      <c r="J34" s="32">
        <v>29</v>
      </c>
      <c r="K34" s="45"/>
    </row>
    <row r="35" spans="1:11" x14ac:dyDescent="0.3">
      <c r="A35" s="32"/>
      <c r="G35" s="32"/>
      <c r="H35" s="32">
        <v>3</v>
      </c>
      <c r="I35" s="32">
        <v>31</v>
      </c>
      <c r="J35" s="32">
        <v>31</v>
      </c>
      <c r="K35" s="45"/>
    </row>
    <row r="36" spans="1:11" x14ac:dyDescent="0.3">
      <c r="A36" s="32"/>
      <c r="B36" s="32"/>
      <c r="D36" s="52" t="s">
        <v>52</v>
      </c>
      <c r="E36" s="32"/>
      <c r="F36" s="32"/>
      <c r="G36" s="32"/>
      <c r="H36" s="32">
        <v>4</v>
      </c>
      <c r="I36" s="32">
        <v>30</v>
      </c>
      <c r="J36" s="32">
        <v>30</v>
      </c>
      <c r="K36" s="45"/>
    </row>
    <row r="37" spans="1:11" x14ac:dyDescent="0.3">
      <c r="A37" s="45"/>
      <c r="B37" s="45"/>
      <c r="C37" s="45"/>
      <c r="D37" s="45"/>
      <c r="E37" s="45"/>
      <c r="F37" s="45"/>
      <c r="G37" s="45"/>
      <c r="H37" s="32">
        <v>5</v>
      </c>
      <c r="I37" s="32">
        <v>31</v>
      </c>
      <c r="J37" s="32">
        <v>31</v>
      </c>
      <c r="K37" s="45"/>
    </row>
    <row r="38" spans="1:11" x14ac:dyDescent="0.3">
      <c r="A38" s="45"/>
      <c r="B38" s="45"/>
      <c r="C38" s="45"/>
      <c r="D38" s="45"/>
      <c r="E38" s="52" t="s">
        <v>53</v>
      </c>
      <c r="F38" s="45"/>
      <c r="G38" s="45"/>
      <c r="H38" s="32">
        <v>6</v>
      </c>
      <c r="I38" s="32">
        <v>30</v>
      </c>
      <c r="J38" s="32">
        <v>30</v>
      </c>
      <c r="K38" s="45"/>
    </row>
    <row r="39" spans="1:11" x14ac:dyDescent="0.3">
      <c r="A39" s="45"/>
      <c r="B39" s="50"/>
      <c r="C39" s="45"/>
      <c r="D39" s="45"/>
      <c r="E39" s="45"/>
      <c r="F39" s="45"/>
      <c r="G39" s="45"/>
      <c r="H39" s="32">
        <v>7</v>
      </c>
      <c r="I39" s="32">
        <v>31</v>
      </c>
      <c r="J39" s="32">
        <v>31</v>
      </c>
      <c r="K39" s="45"/>
    </row>
    <row r="40" spans="1:11" x14ac:dyDescent="0.3">
      <c r="A40" s="45"/>
      <c r="B40" s="45"/>
      <c r="C40" s="45"/>
      <c r="D40" s="45"/>
      <c r="E40" s="45"/>
      <c r="F40" s="45"/>
      <c r="G40" s="45"/>
      <c r="H40" s="32">
        <v>8</v>
      </c>
      <c r="I40" s="32">
        <v>31</v>
      </c>
      <c r="J40" s="32">
        <v>31</v>
      </c>
      <c r="K40" s="45"/>
    </row>
    <row r="41" spans="1:11" x14ac:dyDescent="0.3">
      <c r="A41" s="45"/>
      <c r="B41" s="45"/>
      <c r="C41" s="45"/>
      <c r="D41" s="45"/>
      <c r="E41" s="45"/>
      <c r="F41" s="45"/>
      <c r="G41" s="45"/>
      <c r="H41" s="32">
        <v>9</v>
      </c>
      <c r="I41" s="32">
        <v>30</v>
      </c>
      <c r="J41" s="32">
        <v>30</v>
      </c>
      <c r="K41" s="45"/>
    </row>
    <row r="42" spans="1:11" x14ac:dyDescent="0.3">
      <c r="A42" s="45"/>
      <c r="B42" s="45"/>
      <c r="C42" s="45"/>
      <c r="D42" s="45"/>
      <c r="E42" s="45"/>
      <c r="F42" s="45"/>
      <c r="G42" s="45"/>
      <c r="H42" s="32">
        <v>10</v>
      </c>
      <c r="I42" s="32">
        <v>31</v>
      </c>
      <c r="J42" s="32">
        <v>31</v>
      </c>
      <c r="K42" s="45"/>
    </row>
    <row r="43" spans="1:11" x14ac:dyDescent="0.3">
      <c r="A43" s="45"/>
      <c r="B43" s="45"/>
      <c r="C43" s="45"/>
      <c r="D43" s="45"/>
      <c r="E43" s="45"/>
      <c r="F43" s="45"/>
      <c r="G43" s="45"/>
      <c r="H43" s="32">
        <v>11</v>
      </c>
      <c r="I43" s="32">
        <v>30</v>
      </c>
      <c r="J43" s="32">
        <v>30</v>
      </c>
      <c r="K43" s="45"/>
    </row>
    <row r="44" spans="1:11" x14ac:dyDescent="0.3">
      <c r="A44" s="45"/>
      <c r="B44" s="45"/>
      <c r="C44" s="45"/>
      <c r="D44" s="45"/>
      <c r="E44" s="45"/>
      <c r="F44" s="45"/>
      <c r="G44" s="45"/>
      <c r="H44" s="32">
        <v>12</v>
      </c>
      <c r="I44" s="32">
        <v>31</v>
      </c>
      <c r="J44" s="32">
        <v>31</v>
      </c>
      <c r="K44" s="45"/>
    </row>
    <row r="45" spans="1:11" x14ac:dyDescent="0.3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</row>
    <row r="46" spans="1:11" x14ac:dyDescent="0.3">
      <c r="A46" s="45"/>
      <c r="B46" s="45"/>
      <c r="C46" s="45"/>
      <c r="D46" s="50"/>
      <c r="E46" s="45"/>
      <c r="F46" s="45"/>
      <c r="G46" s="45"/>
      <c r="H46" s="45"/>
      <c r="I46" s="45"/>
      <c r="J46" s="45"/>
      <c r="K46" s="45"/>
    </row>
    <row r="47" spans="1:11" x14ac:dyDescent="0.3">
      <c r="A47" s="45"/>
      <c r="B47" s="45"/>
      <c r="C47" s="45"/>
      <c r="D47" s="45"/>
      <c r="E47" s="45"/>
      <c r="G47" s="45"/>
      <c r="H47" s="45"/>
      <c r="I47" s="45"/>
      <c r="J47" s="45"/>
      <c r="K47" s="45"/>
    </row>
    <row r="48" spans="1:11" x14ac:dyDescent="0.3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</row>
  </sheetData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ColWidth="10.69921875" defaultRowHeight="13" x14ac:dyDescent="0.3"/>
  <cols>
    <col min="1" max="16384" width="10.69921875" style="114"/>
  </cols>
  <sheetData>
    <row r="1" spans="1:9" x14ac:dyDescent="0.3">
      <c r="A1" s="61" t="s">
        <v>0</v>
      </c>
    </row>
    <row r="2" spans="1:9" x14ac:dyDescent="0.3">
      <c r="A2" s="117" t="s">
        <v>54</v>
      </c>
      <c r="B2" s="115"/>
      <c r="C2" s="115"/>
      <c r="D2" s="115"/>
      <c r="E2" s="115"/>
    </row>
    <row r="3" spans="1:9" x14ac:dyDescent="0.3">
      <c r="B3" s="115" t="s">
        <v>55</v>
      </c>
      <c r="C3" s="122" t="s">
        <v>56</v>
      </c>
      <c r="D3" s="123" t="s">
        <v>57</v>
      </c>
      <c r="E3" s="123" t="s">
        <v>58</v>
      </c>
      <c r="F3" s="123" t="s">
        <v>59</v>
      </c>
      <c r="G3" s="124" t="s">
        <v>60</v>
      </c>
    </row>
    <row r="4" spans="1:9" x14ac:dyDescent="0.3">
      <c r="B4" s="115" t="s">
        <v>61</v>
      </c>
      <c r="C4" s="125">
        <v>100</v>
      </c>
      <c r="D4" s="126">
        <v>98</v>
      </c>
      <c r="E4" s="126">
        <v>95.5</v>
      </c>
      <c r="F4" s="126">
        <v>101</v>
      </c>
      <c r="G4" s="127">
        <v>102.1</v>
      </c>
    </row>
    <row r="5" spans="1:9" x14ac:dyDescent="0.3">
      <c r="B5" s="115" t="s">
        <v>62</v>
      </c>
      <c r="C5" s="128">
        <v>5</v>
      </c>
      <c r="D5" s="129">
        <v>4</v>
      </c>
      <c r="E5" s="129">
        <v>3</v>
      </c>
      <c r="F5" s="129">
        <v>5</v>
      </c>
      <c r="G5" s="130">
        <v>6</v>
      </c>
    </row>
    <row r="6" spans="1:9" x14ac:dyDescent="0.3">
      <c r="B6" s="115" t="s">
        <v>63</v>
      </c>
      <c r="C6" s="131">
        <v>1</v>
      </c>
      <c r="D6" s="132">
        <v>2</v>
      </c>
      <c r="E6" s="132">
        <v>2</v>
      </c>
      <c r="F6" s="132">
        <v>3</v>
      </c>
      <c r="G6" s="133">
        <v>3</v>
      </c>
    </row>
    <row r="8" spans="1:9" x14ac:dyDescent="0.3">
      <c r="A8" s="117" t="s">
        <v>64</v>
      </c>
      <c r="C8" s="115" t="s">
        <v>56</v>
      </c>
      <c r="D8" s="115" t="s">
        <v>57</v>
      </c>
      <c r="E8" s="115" t="s">
        <v>58</v>
      </c>
      <c r="F8" s="115" t="s">
        <v>59</v>
      </c>
      <c r="G8" s="115" t="s">
        <v>60</v>
      </c>
    </row>
    <row r="9" spans="1:9" x14ac:dyDescent="0.3">
      <c r="A9" s="114" t="s">
        <v>65</v>
      </c>
      <c r="C9" s="120">
        <f>C4</f>
        <v>100</v>
      </c>
      <c r="D9" s="116">
        <f>D4</f>
        <v>98</v>
      </c>
      <c r="E9" s="116">
        <f>E4</f>
        <v>95.5</v>
      </c>
      <c r="F9" s="116">
        <f>F4</f>
        <v>101</v>
      </c>
      <c r="G9" s="116">
        <f>G4</f>
        <v>102.1</v>
      </c>
      <c r="I9" s="120"/>
    </row>
    <row r="10" spans="1:9" ht="13.5" thickBot="1" x14ac:dyDescent="0.35">
      <c r="A10" s="114" t="s">
        <v>66</v>
      </c>
      <c r="D10" s="116"/>
      <c r="E10" s="116"/>
      <c r="F10" s="116"/>
      <c r="G10" s="116"/>
    </row>
    <row r="11" spans="1:9" ht="13.5" thickBot="1" x14ac:dyDescent="0.35">
      <c r="A11" s="115" t="s">
        <v>67</v>
      </c>
      <c r="B11" s="114">
        <v>1</v>
      </c>
      <c r="C11" s="136">
        <f>IF($B11&lt;C$6,C$5,IF($B11=C$6, 100+C$5,0))</f>
        <v>105</v>
      </c>
      <c r="D11"/>
      <c r="E11"/>
      <c r="F11"/>
      <c r="G11"/>
      <c r="I11" s="120"/>
    </row>
    <row r="12" spans="1:9" x14ac:dyDescent="0.3">
      <c r="A12" s="118" t="s">
        <v>67</v>
      </c>
      <c r="B12" s="114">
        <v>2</v>
      </c>
      <c r="C12"/>
      <c r="D12" s="121"/>
      <c r="E12" s="121"/>
      <c r="F12" s="121"/>
      <c r="G12" s="121"/>
    </row>
    <row r="13" spans="1:9" x14ac:dyDescent="0.3">
      <c r="A13" s="118" t="s">
        <v>67</v>
      </c>
      <c r="B13" s="114">
        <v>3</v>
      </c>
      <c r="C13"/>
      <c r="D13" s="121"/>
      <c r="E13" s="121"/>
      <c r="F13" s="121"/>
      <c r="G13" s="121"/>
    </row>
    <row r="14" spans="1:9" x14ac:dyDescent="0.3">
      <c r="C14" s="135" t="s">
        <v>68</v>
      </c>
    </row>
    <row r="15" spans="1:9" x14ac:dyDescent="0.3">
      <c r="A15" s="117" t="s">
        <v>69</v>
      </c>
    </row>
    <row r="16" spans="1:9" x14ac:dyDescent="0.3">
      <c r="C16" s="115" t="s">
        <v>56</v>
      </c>
      <c r="D16" s="115" t="s">
        <v>57</v>
      </c>
      <c r="E16" s="115" t="s">
        <v>58</v>
      </c>
      <c r="F16" s="115" t="s">
        <v>59</v>
      </c>
      <c r="G16" s="115" t="s">
        <v>60</v>
      </c>
      <c r="H16" s="115" t="s">
        <v>70</v>
      </c>
      <c r="I16" s="114" t="s">
        <v>71</v>
      </c>
    </row>
    <row r="17" spans="1:9" x14ac:dyDescent="0.3">
      <c r="B17" s="115" t="s">
        <v>72</v>
      </c>
      <c r="C17" s="119">
        <v>1</v>
      </c>
      <c r="D17" s="119">
        <v>1</v>
      </c>
      <c r="E17" s="119">
        <v>1</v>
      </c>
      <c r="F17" s="119">
        <v>1</v>
      </c>
      <c r="G17" s="119">
        <v>1</v>
      </c>
    </row>
    <row r="18" spans="1:9" x14ac:dyDescent="0.3">
      <c r="B18" s="134" t="s">
        <v>73</v>
      </c>
      <c r="C18" s="119">
        <v>1</v>
      </c>
      <c r="D18" s="119">
        <v>1</v>
      </c>
      <c r="E18" s="119">
        <v>1</v>
      </c>
      <c r="F18" s="119">
        <v>1</v>
      </c>
      <c r="G18" s="119">
        <v>1</v>
      </c>
    </row>
    <row r="19" spans="1:9" x14ac:dyDescent="0.3">
      <c r="A19" s="117"/>
      <c r="C19" s="119"/>
      <c r="D19" s="119"/>
      <c r="E19" s="119"/>
      <c r="F19" s="119"/>
      <c r="G19" s="119"/>
    </row>
    <row r="20" spans="1:9" x14ac:dyDescent="0.3">
      <c r="A20" s="117" t="s">
        <v>74</v>
      </c>
      <c r="H20" s="115" t="s">
        <v>75</v>
      </c>
    </row>
    <row r="21" spans="1:9" x14ac:dyDescent="0.3">
      <c r="A21" s="114" t="s">
        <v>65</v>
      </c>
      <c r="C21" s="119">
        <f t="shared" ref="C21:G21" si="0">C$18*C9</f>
        <v>100</v>
      </c>
      <c r="D21" s="119">
        <f t="shared" si="0"/>
        <v>98</v>
      </c>
      <c r="E21" s="119">
        <f t="shared" si="0"/>
        <v>95.5</v>
      </c>
      <c r="F21" s="119">
        <f t="shared" si="0"/>
        <v>101</v>
      </c>
      <c r="G21" s="119">
        <f t="shared" si="0"/>
        <v>102.1</v>
      </c>
      <c r="H21" s="119">
        <f>SUM(C21:G21)</f>
        <v>496.6</v>
      </c>
      <c r="I21" s="115" t="s">
        <v>76</v>
      </c>
    </row>
    <row r="22" spans="1:9" x14ac:dyDescent="0.3">
      <c r="A22" s="114" t="s">
        <v>66</v>
      </c>
      <c r="C22" s="119"/>
      <c r="D22" s="119"/>
      <c r="E22" s="119"/>
      <c r="F22" s="119"/>
      <c r="G22" s="119"/>
      <c r="H22" s="119"/>
      <c r="I22" s="115"/>
    </row>
    <row r="23" spans="1:9" x14ac:dyDescent="0.3">
      <c r="A23" s="118" t="s">
        <v>77</v>
      </c>
      <c r="C23" s="119">
        <f t="shared" ref="C23:G25" si="1">C$18*C11</f>
        <v>105</v>
      </c>
      <c r="D23" s="119">
        <f t="shared" si="1"/>
        <v>0</v>
      </c>
      <c r="E23" s="119">
        <f t="shared" si="1"/>
        <v>0</v>
      </c>
      <c r="F23" s="119">
        <f t="shared" si="1"/>
        <v>0</v>
      </c>
      <c r="G23" s="119">
        <f t="shared" si="1"/>
        <v>0</v>
      </c>
      <c r="H23" s="119">
        <f t="shared" ref="H23:H25" si="2">SUM(C23:G23)</f>
        <v>105</v>
      </c>
      <c r="I23" s="116">
        <v>100</v>
      </c>
    </row>
    <row r="24" spans="1:9" x14ac:dyDescent="0.3">
      <c r="A24" s="118" t="s">
        <v>78</v>
      </c>
      <c r="C24" s="119">
        <f t="shared" si="1"/>
        <v>0</v>
      </c>
      <c r="D24" s="119">
        <f t="shared" si="1"/>
        <v>0</v>
      </c>
      <c r="E24" s="119">
        <f t="shared" si="1"/>
        <v>0</v>
      </c>
      <c r="F24" s="119">
        <f t="shared" si="1"/>
        <v>0</v>
      </c>
      <c r="G24" s="119">
        <f t="shared" si="1"/>
        <v>0</v>
      </c>
      <c r="H24" s="119">
        <f t="shared" si="2"/>
        <v>0</v>
      </c>
      <c r="I24" s="116">
        <v>200</v>
      </c>
    </row>
    <row r="25" spans="1:9" x14ac:dyDescent="0.3">
      <c r="A25" s="118" t="s">
        <v>79</v>
      </c>
      <c r="C25" s="119">
        <f t="shared" si="1"/>
        <v>0</v>
      </c>
      <c r="D25" s="119">
        <f t="shared" si="1"/>
        <v>0</v>
      </c>
      <c r="E25" s="119">
        <f t="shared" si="1"/>
        <v>0</v>
      </c>
      <c r="F25" s="119">
        <f t="shared" si="1"/>
        <v>0</v>
      </c>
      <c r="G25" s="119">
        <f t="shared" si="1"/>
        <v>0</v>
      </c>
      <c r="H25" s="119">
        <f t="shared" si="2"/>
        <v>0</v>
      </c>
      <c r="I25" s="116">
        <v>300</v>
      </c>
    </row>
  </sheetData>
  <printOptions headings="1" gridLines="1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zoomScale="90" workbookViewId="0"/>
  </sheetViews>
  <sheetFormatPr defaultColWidth="10.69921875" defaultRowHeight="13" x14ac:dyDescent="0.3"/>
  <cols>
    <col min="1" max="1" width="19" style="62" customWidth="1"/>
    <col min="2" max="2" width="11.296875" style="62" customWidth="1"/>
    <col min="3" max="3" width="7.296875" style="62" customWidth="1"/>
    <col min="4" max="6" width="10.19921875" style="62" customWidth="1"/>
    <col min="7" max="11" width="10.69921875" style="62"/>
    <col min="12" max="12" width="5" style="62" customWidth="1"/>
    <col min="13" max="16384" width="10.69921875" style="62"/>
  </cols>
  <sheetData>
    <row r="1" spans="1:10" x14ac:dyDescent="0.3">
      <c r="A1" s="61" t="s">
        <v>0</v>
      </c>
    </row>
    <row r="2" spans="1:10" x14ac:dyDescent="0.3">
      <c r="A2" s="63" t="s">
        <v>80</v>
      </c>
    </row>
    <row r="3" spans="1:10" x14ac:dyDescent="0.3">
      <c r="A3" s="62" t="s">
        <v>81</v>
      </c>
      <c r="C3" s="64"/>
      <c r="E3" s="64"/>
      <c r="F3" s="64"/>
      <c r="G3" s="64"/>
      <c r="H3" s="64"/>
    </row>
    <row r="4" spans="1:10" x14ac:dyDescent="0.3">
      <c r="A4" s="62" t="s">
        <v>82</v>
      </c>
      <c r="B4" s="65"/>
      <c r="C4" s="63">
        <v>1</v>
      </c>
    </row>
    <row r="5" spans="1:10" x14ac:dyDescent="0.3">
      <c r="A5" s="62" t="s">
        <v>83</v>
      </c>
      <c r="B5" s="65"/>
      <c r="C5" s="66">
        <v>0.05</v>
      </c>
      <c r="E5" s="67"/>
    </row>
    <row r="6" spans="1:10" ht="15" x14ac:dyDescent="0.4">
      <c r="A6" s="62" t="s">
        <v>84</v>
      </c>
      <c r="B6" s="65" t="s">
        <v>85</v>
      </c>
      <c r="C6" s="68">
        <f>EXP(C5)-1</f>
        <v>5.1271096376024117E-2</v>
      </c>
      <c r="D6" s="67"/>
    </row>
    <row r="7" spans="1:10" x14ac:dyDescent="0.3">
      <c r="A7" s="62" t="s">
        <v>86</v>
      </c>
      <c r="B7" s="65"/>
      <c r="C7" s="63">
        <v>1</v>
      </c>
      <c r="J7" s="65"/>
    </row>
    <row r="8" spans="1:10" x14ac:dyDescent="0.3">
      <c r="J8" s="65"/>
    </row>
    <row r="9" spans="1:10" x14ac:dyDescent="0.3">
      <c r="A9" s="62" t="s">
        <v>87</v>
      </c>
      <c r="E9" s="69" t="s">
        <v>88</v>
      </c>
      <c r="J9" s="65"/>
    </row>
    <row r="10" spans="1:10" x14ac:dyDescent="0.3">
      <c r="A10" s="62" t="s">
        <v>89</v>
      </c>
      <c r="C10" s="70">
        <f>$C$4*EXP($C$5*$C$7)</f>
        <v>1.0512710963760241</v>
      </c>
      <c r="J10" s="65"/>
    </row>
    <row r="11" spans="1:10" x14ac:dyDescent="0.3">
      <c r="A11" s="62" t="s">
        <v>90</v>
      </c>
      <c r="C11" s="70">
        <f>$C$4*EXP(-$C$5*$C$7)</f>
        <v>0.95122942450071402</v>
      </c>
      <c r="E11" s="69" t="s">
        <v>91</v>
      </c>
    </row>
    <row r="12" spans="1:10" x14ac:dyDescent="0.3">
      <c r="C12" s="69"/>
      <c r="E12" s="69"/>
    </row>
    <row r="13" spans="1:10" x14ac:dyDescent="0.3">
      <c r="C13" s="63" t="s">
        <v>92</v>
      </c>
      <c r="E13" s="69"/>
    </row>
    <row r="14" spans="1:10" x14ac:dyDescent="0.3">
      <c r="C14" s="71"/>
    </row>
    <row r="15" spans="1:10" ht="13.5" thickBot="1" x14ac:dyDescent="0.35">
      <c r="D15" s="72" t="s">
        <v>93</v>
      </c>
      <c r="E15" s="72" t="s">
        <v>94</v>
      </c>
      <c r="J15" s="62" t="s">
        <v>95</v>
      </c>
    </row>
    <row r="16" spans="1:10" ht="13.5" thickBot="1" x14ac:dyDescent="0.35">
      <c r="C16" s="65"/>
      <c r="D16" s="73">
        <f>C10</f>
        <v>1.0512710963760241</v>
      </c>
      <c r="E16" s="74">
        <f>C11</f>
        <v>0.95122942450071402</v>
      </c>
      <c r="J16" s="62" t="str">
        <f>J15&amp;C5</f>
        <v>Rate = 0.05</v>
      </c>
    </row>
    <row r="17" spans="1:9" x14ac:dyDescent="0.3">
      <c r="C17" s="75">
        <v>1</v>
      </c>
      <c r="D17" s="76"/>
      <c r="E17" s="76"/>
    </row>
    <row r="18" spans="1:9" x14ac:dyDescent="0.3">
      <c r="A18" s="63" t="s">
        <v>96</v>
      </c>
      <c r="C18" s="77">
        <v>2</v>
      </c>
      <c r="D18" s="76"/>
      <c r="E18" s="76"/>
    </row>
    <row r="19" spans="1:9" x14ac:dyDescent="0.3">
      <c r="A19" s="63" t="s">
        <v>97</v>
      </c>
      <c r="C19" s="77">
        <v>3</v>
      </c>
      <c r="D19" s="76"/>
      <c r="E19" s="76"/>
    </row>
    <row r="20" spans="1:9" x14ac:dyDescent="0.3">
      <c r="C20" s="77">
        <v>4</v>
      </c>
      <c r="D20" s="76"/>
      <c r="E20" s="76"/>
    </row>
    <row r="21" spans="1:9" x14ac:dyDescent="0.3">
      <c r="C21" s="77">
        <v>5</v>
      </c>
      <c r="D21" s="76"/>
      <c r="E21" s="76"/>
    </row>
    <row r="22" spans="1:9" x14ac:dyDescent="0.3">
      <c r="C22" s="77">
        <v>6</v>
      </c>
      <c r="D22" s="76"/>
      <c r="E22" s="76"/>
    </row>
    <row r="23" spans="1:9" x14ac:dyDescent="0.3">
      <c r="C23" s="77">
        <v>7</v>
      </c>
      <c r="D23" s="76"/>
      <c r="E23" s="76"/>
    </row>
    <row r="24" spans="1:9" x14ac:dyDescent="0.3">
      <c r="C24" s="77">
        <v>8</v>
      </c>
      <c r="D24" s="76"/>
      <c r="E24" s="76"/>
    </row>
    <row r="25" spans="1:9" x14ac:dyDescent="0.3">
      <c r="C25" s="77">
        <v>9</v>
      </c>
      <c r="D25" s="76"/>
      <c r="E25" s="76"/>
    </row>
    <row r="26" spans="1:9" ht="13.5" thickBot="1" x14ac:dyDescent="0.35">
      <c r="C26" s="78">
        <v>10</v>
      </c>
      <c r="D26" s="76"/>
      <c r="E26" s="76"/>
    </row>
    <row r="27" spans="1:9" x14ac:dyDescent="0.3">
      <c r="C27" s="79"/>
      <c r="D27" s="72"/>
      <c r="E27" s="72"/>
    </row>
    <row r="28" spans="1:9" x14ac:dyDescent="0.3">
      <c r="B28" s="63" t="s">
        <v>98</v>
      </c>
      <c r="C28" s="79"/>
      <c r="D28" s="72"/>
      <c r="E28" s="72"/>
    </row>
    <row r="29" spans="1:9" ht="13.5" thickBot="1" x14ac:dyDescent="0.35">
      <c r="F29" s="62" t="s">
        <v>99</v>
      </c>
    </row>
    <row r="30" spans="1:9" ht="13.5" thickBot="1" x14ac:dyDescent="0.35">
      <c r="C30" s="137">
        <f>C11</f>
        <v>0.95122942450071402</v>
      </c>
      <c r="D30" s="81">
        <v>0.03</v>
      </c>
      <c r="E30" s="82">
        <v>3.5000000000000003E-2</v>
      </c>
      <c r="F30" s="82">
        <v>0.04</v>
      </c>
      <c r="G30" s="82">
        <v>0.05</v>
      </c>
      <c r="H30" s="82">
        <v>5.5E-2</v>
      </c>
      <c r="I30" s="83">
        <v>0.06</v>
      </c>
    </row>
    <row r="31" spans="1:9" x14ac:dyDescent="0.3">
      <c r="A31" s="63" t="s">
        <v>96</v>
      </c>
      <c r="C31" s="75">
        <v>1</v>
      </c>
      <c r="D31" s="80"/>
      <c r="E31" s="80"/>
      <c r="F31" s="80"/>
      <c r="G31" s="80"/>
      <c r="H31" s="80"/>
      <c r="I31" s="80"/>
    </row>
    <row r="32" spans="1:9" x14ac:dyDescent="0.3">
      <c r="A32" s="63" t="s">
        <v>100</v>
      </c>
      <c r="C32" s="77">
        <v>2</v>
      </c>
      <c r="D32" s="80"/>
      <c r="E32" s="80"/>
      <c r="F32" s="80"/>
      <c r="G32" s="80"/>
      <c r="H32" s="80"/>
      <c r="I32" s="80"/>
    </row>
    <row r="33" spans="2:9" x14ac:dyDescent="0.3">
      <c r="C33" s="77">
        <v>3</v>
      </c>
      <c r="D33" s="80"/>
      <c r="E33" s="80"/>
      <c r="F33" s="80"/>
      <c r="G33" s="80"/>
      <c r="H33" s="80"/>
      <c r="I33" s="80"/>
    </row>
    <row r="34" spans="2:9" x14ac:dyDescent="0.3">
      <c r="C34" s="77">
        <v>4</v>
      </c>
      <c r="D34" s="80"/>
      <c r="E34" s="80"/>
      <c r="F34" s="80"/>
      <c r="G34" s="80"/>
      <c r="H34" s="80"/>
      <c r="I34" s="80"/>
    </row>
    <row r="35" spans="2:9" x14ac:dyDescent="0.3">
      <c r="B35" s="65" t="s">
        <v>101</v>
      </c>
      <c r="C35" s="77">
        <v>5</v>
      </c>
      <c r="D35" s="80"/>
      <c r="E35" s="80"/>
      <c r="F35" s="80"/>
      <c r="G35" s="80"/>
      <c r="H35" s="80"/>
      <c r="I35" s="80"/>
    </row>
    <row r="36" spans="2:9" x14ac:dyDescent="0.3">
      <c r="C36" s="77">
        <v>6</v>
      </c>
      <c r="D36" s="80"/>
      <c r="E36" s="80"/>
      <c r="F36" s="80"/>
      <c r="G36" s="80"/>
      <c r="H36" s="80"/>
      <c r="I36" s="80"/>
    </row>
    <row r="37" spans="2:9" x14ac:dyDescent="0.3">
      <c r="C37" s="77">
        <v>7</v>
      </c>
      <c r="D37" s="80"/>
      <c r="E37" s="80"/>
      <c r="F37" s="80"/>
      <c r="G37" s="80"/>
      <c r="H37" s="80"/>
      <c r="I37" s="80"/>
    </row>
    <row r="38" spans="2:9" x14ac:dyDescent="0.3">
      <c r="C38" s="77">
        <v>8</v>
      </c>
      <c r="D38" s="80"/>
      <c r="E38" s="80"/>
      <c r="F38" s="80"/>
      <c r="G38" s="80"/>
      <c r="H38" s="80"/>
      <c r="I38" s="80"/>
    </row>
    <row r="39" spans="2:9" x14ac:dyDescent="0.3">
      <c r="C39" s="77">
        <v>9</v>
      </c>
      <c r="D39" s="80"/>
      <c r="E39" s="80"/>
      <c r="F39" s="80"/>
      <c r="G39" s="80"/>
      <c r="H39" s="80"/>
      <c r="I39" s="80"/>
    </row>
    <row r="40" spans="2:9" ht="13.5" thickBot="1" x14ac:dyDescent="0.35">
      <c r="C40" s="78">
        <v>10</v>
      </c>
      <c r="D40" s="80"/>
      <c r="E40" s="80"/>
      <c r="F40" s="80"/>
      <c r="G40" s="80"/>
      <c r="H40" s="80"/>
      <c r="I40" s="80"/>
    </row>
    <row r="41" spans="2:9" x14ac:dyDescent="0.3">
      <c r="C41" s="84"/>
    </row>
    <row r="42" spans="2:9" x14ac:dyDescent="0.3">
      <c r="C42" s="84"/>
    </row>
    <row r="43" spans="2:9" x14ac:dyDescent="0.3">
      <c r="C43" s="84"/>
    </row>
    <row r="44" spans="2:9" x14ac:dyDescent="0.3">
      <c r="C44" s="84"/>
    </row>
    <row r="45" spans="2:9" x14ac:dyDescent="0.3">
      <c r="C45" s="84"/>
    </row>
  </sheetData>
  <printOptions headings="1" gridLines="1"/>
  <pageMargins left="0.75" right="0.75" top="1" bottom="1" header="0.5" footer="0.5"/>
  <pageSetup paperSize="9" scale="55"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2"/>
  <sheetViews>
    <sheetView workbookViewId="0"/>
  </sheetViews>
  <sheetFormatPr defaultRowHeight="13" x14ac:dyDescent="0.3"/>
  <cols>
    <col min="2" max="2" width="13.69921875" customWidth="1"/>
    <col min="6" max="6" width="14.5" customWidth="1"/>
  </cols>
  <sheetData>
    <row r="1" spans="1:9" x14ac:dyDescent="0.3">
      <c r="A1" s="9" t="s">
        <v>0</v>
      </c>
    </row>
    <row r="2" spans="1:9" x14ac:dyDescent="0.3">
      <c r="A2" s="1" t="s">
        <v>102</v>
      </c>
    </row>
    <row r="4" spans="1:9" x14ac:dyDescent="0.3">
      <c r="A4" s="2" t="s">
        <v>103</v>
      </c>
      <c r="C4" s="3">
        <v>100</v>
      </c>
      <c r="E4" s="59" t="s">
        <v>104</v>
      </c>
      <c r="G4" s="7">
        <f>BSOptionValue(1,C4,C5,C6,C7,C8,C9)</f>
        <v>9.7257629574651006</v>
      </c>
    </row>
    <row r="5" spans="1:9" x14ac:dyDescent="0.3">
      <c r="A5" s="4" t="s">
        <v>105</v>
      </c>
      <c r="C5" s="3">
        <v>95</v>
      </c>
    </row>
    <row r="6" spans="1:9" x14ac:dyDescent="0.3">
      <c r="A6" s="2" t="s">
        <v>106</v>
      </c>
      <c r="C6" s="5">
        <v>0.08</v>
      </c>
      <c r="I6" s="31"/>
    </row>
    <row r="7" spans="1:9" x14ac:dyDescent="0.3">
      <c r="A7" s="2" t="s">
        <v>107</v>
      </c>
      <c r="C7" s="5">
        <v>0.03</v>
      </c>
    </row>
    <row r="8" spans="1:9" x14ac:dyDescent="0.3">
      <c r="A8" s="2" t="s">
        <v>108</v>
      </c>
      <c r="C8" s="3">
        <v>0.5</v>
      </c>
      <c r="E8" t="s">
        <v>109</v>
      </c>
      <c r="G8">
        <v>10.43</v>
      </c>
    </row>
    <row r="9" spans="1:9" x14ac:dyDescent="0.3">
      <c r="A9" s="2" t="s">
        <v>110</v>
      </c>
      <c r="C9" s="5">
        <v>0.2</v>
      </c>
      <c r="E9" t="s">
        <v>111</v>
      </c>
      <c r="G9" s="7">
        <f>G8-G4</f>
        <v>0.70423704253489916</v>
      </c>
    </row>
    <row r="10" spans="1:9" x14ac:dyDescent="0.3">
      <c r="A10" s="2"/>
      <c r="C10" s="5"/>
    </row>
    <row r="11" spans="1:9" x14ac:dyDescent="0.3">
      <c r="A11" s="9" t="s">
        <v>112</v>
      </c>
    </row>
    <row r="12" spans="1:9" x14ac:dyDescent="0.3">
      <c r="C12" s="1" t="s">
        <v>98</v>
      </c>
      <c r="H12" s="1" t="s">
        <v>21</v>
      </c>
    </row>
    <row r="13" spans="1:9" ht="13.5" thickBot="1" x14ac:dyDescent="0.35"/>
    <row r="14" spans="1:9" ht="13.5" thickBot="1" x14ac:dyDescent="0.35">
      <c r="D14" s="60"/>
      <c r="I14" s="7">
        <v>9.7257629574651006</v>
      </c>
    </row>
    <row r="15" spans="1:9" x14ac:dyDescent="0.3">
      <c r="A15" s="1" t="s">
        <v>96</v>
      </c>
      <c r="C15" s="148"/>
      <c r="D15" s="7"/>
      <c r="H15">
        <v>95</v>
      </c>
      <c r="I15" s="7">
        <v>6.4468506126381087</v>
      </c>
    </row>
    <row r="16" spans="1:9" x14ac:dyDescent="0.3">
      <c r="A16" s="1" t="s">
        <v>113</v>
      </c>
      <c r="C16" s="149"/>
      <c r="D16" s="7"/>
      <c r="H16">
        <v>96</v>
      </c>
      <c r="I16" s="7">
        <v>7.0497331399427452</v>
      </c>
    </row>
    <row r="17" spans="1:9" x14ac:dyDescent="0.3">
      <c r="C17" s="149"/>
      <c r="D17" s="7"/>
      <c r="H17">
        <v>97</v>
      </c>
      <c r="I17" s="7">
        <v>7.6800975313144804</v>
      </c>
    </row>
    <row r="18" spans="1:9" x14ac:dyDescent="0.3">
      <c r="C18" s="149"/>
      <c r="D18" s="7"/>
      <c r="H18">
        <v>98</v>
      </c>
      <c r="I18" s="7">
        <v>8.3369539379658306</v>
      </c>
    </row>
    <row r="19" spans="1:9" x14ac:dyDescent="0.3">
      <c r="C19" s="149"/>
      <c r="D19" s="7"/>
      <c r="H19">
        <v>99</v>
      </c>
      <c r="I19" s="7">
        <v>9.019225105976922</v>
      </c>
    </row>
    <row r="20" spans="1:9" x14ac:dyDescent="0.3">
      <c r="C20" s="149"/>
      <c r="D20" s="7"/>
      <c r="H20">
        <v>100</v>
      </c>
      <c r="I20" s="7">
        <v>9.7257629574651006</v>
      </c>
    </row>
    <row r="21" spans="1:9" x14ac:dyDescent="0.3">
      <c r="C21" s="149"/>
      <c r="D21" s="7"/>
      <c r="H21">
        <v>101</v>
      </c>
      <c r="I21" s="7">
        <v>10.455365213394714</v>
      </c>
    </row>
    <row r="22" spans="1:9" x14ac:dyDescent="0.3">
      <c r="C22" s="149"/>
      <c r="D22" s="7"/>
      <c r="H22">
        <v>102</v>
      </c>
      <c r="I22" s="7">
        <v>11.206791599844436</v>
      </c>
    </row>
    <row r="23" spans="1:9" x14ac:dyDescent="0.3">
      <c r="C23" s="149"/>
      <c r="D23" s="7"/>
      <c r="H23">
        <v>103</v>
      </c>
      <c r="I23" s="7">
        <v>11.978779272672668</v>
      </c>
    </row>
    <row r="24" spans="1:9" x14ac:dyDescent="0.3">
      <c r="C24" s="149"/>
      <c r="D24" s="7"/>
      <c r="H24">
        <v>104</v>
      </c>
      <c r="I24" s="7">
        <v>12.770057180754506</v>
      </c>
    </row>
    <row r="25" spans="1:9" ht="13.5" thickBot="1" x14ac:dyDescent="0.35">
      <c r="C25" s="150"/>
      <c r="D25" s="7"/>
      <c r="H25">
        <v>105</v>
      </c>
      <c r="I25" s="7">
        <v>13.57935916487645</v>
      </c>
    </row>
    <row r="28" spans="1:9" x14ac:dyDescent="0.3">
      <c r="A28" s="9" t="s">
        <v>114</v>
      </c>
    </row>
    <row r="30" spans="1:9" x14ac:dyDescent="0.3">
      <c r="C30" s="1" t="s">
        <v>98</v>
      </c>
      <c r="F30" s="1" t="s">
        <v>21</v>
      </c>
    </row>
    <row r="31" spans="1:9" ht="13.5" thickBot="1" x14ac:dyDescent="0.35"/>
    <row r="32" spans="1:9" ht="13.5" thickBot="1" x14ac:dyDescent="0.35">
      <c r="D32" s="60"/>
      <c r="G32" s="7">
        <v>9.7257629574651006</v>
      </c>
    </row>
    <row r="33" spans="1:7" x14ac:dyDescent="0.3">
      <c r="A33" s="1" t="s">
        <v>96</v>
      </c>
      <c r="C33" s="145"/>
      <c r="D33" s="7"/>
      <c r="F33" s="14">
        <v>0.15</v>
      </c>
      <c r="G33" s="7">
        <v>8.6257230925187685</v>
      </c>
    </row>
    <row r="34" spans="1:7" x14ac:dyDescent="0.3">
      <c r="A34" s="1" t="s">
        <v>113</v>
      </c>
      <c r="C34" s="146"/>
      <c r="D34" s="7"/>
      <c r="F34" s="14">
        <v>0.16</v>
      </c>
      <c r="G34" s="7">
        <v>8.8353048385109929</v>
      </c>
    </row>
    <row r="35" spans="1:7" x14ac:dyDescent="0.3">
      <c r="C35" s="146"/>
      <c r="D35" s="7"/>
      <c r="F35" s="14">
        <v>0.17</v>
      </c>
      <c r="G35" s="7">
        <v>9.0509066904899953</v>
      </c>
    </row>
    <row r="36" spans="1:7" x14ac:dyDescent="0.3">
      <c r="C36" s="146"/>
      <c r="D36" s="7"/>
      <c r="F36" s="14">
        <v>0.18</v>
      </c>
      <c r="G36" s="7">
        <v>9.2716474828185795</v>
      </c>
    </row>
    <row r="37" spans="1:7" x14ac:dyDescent="0.3">
      <c r="C37" s="146"/>
      <c r="D37" s="7"/>
      <c r="F37" s="14">
        <v>0.19</v>
      </c>
      <c r="G37" s="7">
        <v>9.4968005730100415</v>
      </c>
    </row>
    <row r="38" spans="1:7" x14ac:dyDescent="0.3">
      <c r="C38" s="146"/>
      <c r="D38" s="7"/>
      <c r="F38" s="14">
        <v>0.2</v>
      </c>
      <c r="G38" s="7">
        <v>9.7257629574651006</v>
      </c>
    </row>
    <row r="39" spans="1:7" x14ac:dyDescent="0.3">
      <c r="C39" s="146"/>
      <c r="D39" s="7"/>
      <c r="F39" s="14">
        <v>0.21</v>
      </c>
      <c r="G39" s="7">
        <v>9.9580310212275265</v>
      </c>
    </row>
    <row r="40" spans="1:7" x14ac:dyDescent="0.3">
      <c r="C40" s="146"/>
      <c r="D40" s="7"/>
      <c r="F40" s="14">
        <v>0.22</v>
      </c>
      <c r="G40" s="7">
        <v>10.193181482724491</v>
      </c>
    </row>
    <row r="41" spans="1:7" x14ac:dyDescent="0.3">
      <c r="C41" s="146"/>
      <c r="D41" s="7"/>
      <c r="F41" s="14">
        <v>0.23</v>
      </c>
      <c r="G41" s="7">
        <v>10.430856374637372</v>
      </c>
    </row>
    <row r="42" spans="1:7" x14ac:dyDescent="0.3">
      <c r="C42" s="146"/>
      <c r="D42" s="7"/>
      <c r="F42" s="14">
        <v>0.24</v>
      </c>
      <c r="G42" s="7">
        <v>10.670751153567359</v>
      </c>
    </row>
    <row r="43" spans="1:7" ht="13.5" thickBot="1" x14ac:dyDescent="0.35">
      <c r="C43" s="147"/>
      <c r="D43" s="7"/>
      <c r="F43" s="14">
        <v>0.25</v>
      </c>
      <c r="G43" s="7">
        <v>10.912605237740053</v>
      </c>
    </row>
    <row r="46" spans="1:7" x14ac:dyDescent="0.3">
      <c r="A46" s="9" t="s">
        <v>115</v>
      </c>
    </row>
    <row r="48" spans="1:7" x14ac:dyDescent="0.3">
      <c r="A48" s="1" t="s">
        <v>96</v>
      </c>
      <c r="C48" s="1" t="s">
        <v>98</v>
      </c>
      <c r="F48" s="1" t="s">
        <v>21</v>
      </c>
    </row>
    <row r="49" spans="1:9" x14ac:dyDescent="0.3">
      <c r="A49" s="9" t="s">
        <v>100</v>
      </c>
    </row>
    <row r="50" spans="1:9" ht="13.5" thickBot="1" x14ac:dyDescent="0.35"/>
    <row r="51" spans="1:9" ht="13.5" thickBot="1" x14ac:dyDescent="0.35">
      <c r="B51" s="60"/>
      <c r="C51" s="151"/>
      <c r="D51" s="152"/>
      <c r="E51" s="153"/>
      <c r="F51" s="7">
        <v>9.7257629574651006</v>
      </c>
      <c r="G51" s="7">
        <v>0.25</v>
      </c>
      <c r="H51" s="7">
        <v>0.5</v>
      </c>
      <c r="I51" s="7">
        <v>1</v>
      </c>
    </row>
    <row r="52" spans="1:9" x14ac:dyDescent="0.3">
      <c r="B52" s="148"/>
      <c r="C52" s="7"/>
      <c r="D52" s="7"/>
      <c r="E52" s="7"/>
      <c r="F52" s="10">
        <v>90</v>
      </c>
      <c r="G52" s="7">
        <v>11.582886317009581</v>
      </c>
      <c r="H52" s="7">
        <v>13.297546067577656</v>
      </c>
      <c r="I52" s="7">
        <v>16.205903252138079</v>
      </c>
    </row>
    <row r="53" spans="1:9" x14ac:dyDescent="0.3">
      <c r="B53" s="149"/>
      <c r="C53" s="7"/>
      <c r="D53" s="7"/>
      <c r="E53" s="7"/>
      <c r="F53" s="10">
        <v>91</v>
      </c>
      <c r="G53" s="7">
        <v>10.74158147871259</v>
      </c>
      <c r="H53" s="7">
        <v>12.537056390233118</v>
      </c>
      <c r="I53" s="7">
        <v>15.521096409618821</v>
      </c>
    </row>
    <row r="54" spans="1:9" x14ac:dyDescent="0.3">
      <c r="B54" s="149"/>
      <c r="C54" s="7"/>
      <c r="D54" s="7"/>
      <c r="E54" s="7"/>
      <c r="F54" s="10">
        <v>92</v>
      </c>
      <c r="G54" s="7">
        <v>9.9258630050272956</v>
      </c>
      <c r="H54" s="7">
        <v>11.798652672007847</v>
      </c>
      <c r="I54" s="7">
        <v>14.852966272062702</v>
      </c>
    </row>
    <row r="55" spans="1:9" x14ac:dyDescent="0.3">
      <c r="B55" s="149"/>
      <c r="C55" s="7"/>
      <c r="D55" s="7"/>
      <c r="E55" s="7"/>
      <c r="F55" s="10">
        <v>93</v>
      </c>
      <c r="G55" s="7">
        <v>9.1382585354695607</v>
      </c>
      <c r="H55" s="7">
        <v>11.083369264044691</v>
      </c>
      <c r="I55" s="7">
        <v>14.201875596628661</v>
      </c>
    </row>
    <row r="56" spans="1:9" x14ac:dyDescent="0.3">
      <c r="B56" s="149"/>
      <c r="C56" s="7"/>
      <c r="D56" s="7"/>
      <c r="E56" s="7"/>
      <c r="F56" s="10">
        <v>94</v>
      </c>
      <c r="G56" s="7">
        <v>8.381153890795872</v>
      </c>
      <c r="H56" s="7">
        <v>10.392135209107408</v>
      </c>
      <c r="I56" s="7">
        <v>13.568139898986992</v>
      </c>
    </row>
    <row r="57" spans="1:9" x14ac:dyDescent="0.3">
      <c r="B57" s="149"/>
      <c r="C57" s="7"/>
      <c r="D57" s="7"/>
      <c r="E57" s="7"/>
      <c r="F57" s="10">
        <v>95</v>
      </c>
      <c r="G57" s="7">
        <v>7.6567308201022399</v>
      </c>
      <c r="H57" s="7">
        <v>9.7257629574651006</v>
      </c>
      <c r="I57" s="7">
        <v>12.952026344643514</v>
      </c>
    </row>
    <row r="58" spans="1:9" x14ac:dyDescent="0.3">
      <c r="B58" s="149"/>
      <c r="C58" s="7"/>
      <c r="D58" s="7"/>
      <c r="E58" s="7"/>
      <c r="F58" s="10">
        <v>96</v>
      </c>
      <c r="G58" s="7">
        <v>6.9669100973114553</v>
      </c>
      <c r="H58" s="7">
        <v>9.0849392678533647</v>
      </c>
      <c r="I58" s="7">
        <v>12.353753109342001</v>
      </c>
    </row>
    <row r="59" spans="1:9" x14ac:dyDescent="0.3">
      <c r="B59" s="149"/>
      <c r="C59" s="7"/>
      <c r="D59" s="7"/>
      <c r="E59" s="7"/>
      <c r="F59" s="10">
        <v>97</v>
      </c>
      <c r="G59" s="7">
        <v>6.3133027258588967</v>
      </c>
      <c r="H59" s="7">
        <v>8.4702184711180166</v>
      </c>
      <c r="I59" s="7">
        <v>11.773489199013383</v>
      </c>
    </row>
    <row r="60" spans="1:9" x14ac:dyDescent="0.3">
      <c r="B60" s="149"/>
      <c r="C60" s="7"/>
      <c r="D60" s="7"/>
      <c r="E60" s="7"/>
      <c r="F60" s="10">
        <v>98</v>
      </c>
      <c r="G60" s="7">
        <v>5.6971716193731226</v>
      </c>
      <c r="H60" s="7">
        <v>7.8820182099468923</v>
      </c>
      <c r="I60" s="7">
        <v>11.211354714460192</v>
      </c>
    </row>
    <row r="61" spans="1:9" x14ac:dyDescent="0.3">
      <c r="B61" s="149"/>
      <c r="C61" s="7"/>
      <c r="D61" s="7"/>
      <c r="E61" s="7"/>
      <c r="F61" s="10">
        <v>99</v>
      </c>
      <c r="G61" s="7">
        <v>5.1194056179443663</v>
      </c>
      <c r="H61" s="7">
        <v>7.3206177051676136</v>
      </c>
      <c r="I61" s="7">
        <v>10.667421541362977</v>
      </c>
    </row>
    <row r="62" spans="1:9" ht="13.5" thickBot="1" x14ac:dyDescent="0.35">
      <c r="B62" s="150"/>
      <c r="C62" s="7"/>
      <c r="D62" s="7"/>
      <c r="E62" s="7"/>
      <c r="F62" s="10">
        <v>100</v>
      </c>
      <c r="G62" s="7">
        <v>4.5805071185812807</v>
      </c>
      <c r="H62" s="7">
        <v>6.7861585396190591</v>
      </c>
      <c r="I62" s="7">
        <v>10.141714442290791</v>
      </c>
    </row>
  </sheetData>
  <printOptions headings="1" gridLines="1"/>
  <pageMargins left="0.75" right="0.75" top="1" bottom="1" header="0.5" footer="0.5"/>
  <pageSetup paperSize="9" scale="69" fitToHeight="4" orientation="portrait" blackAndWhite="1" horizontalDpi="4294967292" verticalDpi="300" r:id="rId1"/>
  <headerFooter alignWithMargins="0">
    <oddHeader>&amp;L&amp;F&amp;C&amp;A</oddHeader>
    <oddFooter>Prepared by Mike Staunton &amp;D&amp;RPage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workbookViewId="0"/>
  </sheetViews>
  <sheetFormatPr defaultRowHeight="13" x14ac:dyDescent="0.3"/>
  <cols>
    <col min="5" max="5" width="17.69921875" customWidth="1"/>
  </cols>
  <sheetData>
    <row r="1" spans="1:14" x14ac:dyDescent="0.3">
      <c r="A1" s="61" t="s">
        <v>0</v>
      </c>
    </row>
    <row r="2" spans="1:14" x14ac:dyDescent="0.3">
      <c r="A2" s="113" t="s">
        <v>116</v>
      </c>
    </row>
    <row r="4" spans="1:14" x14ac:dyDescent="0.3">
      <c r="A4" s="1" t="s">
        <v>49</v>
      </c>
      <c r="B4" s="30" t="s">
        <v>117</v>
      </c>
      <c r="C4" s="30" t="s">
        <v>118</v>
      </c>
    </row>
    <row r="5" spans="1:14" x14ac:dyDescent="0.3">
      <c r="A5" s="10">
        <v>1</v>
      </c>
      <c r="B5" s="8">
        <v>-0.1326</v>
      </c>
      <c r="C5" s="8">
        <v>-5.3400000000000003E-2</v>
      </c>
      <c r="E5" s="9" t="s">
        <v>119</v>
      </c>
    </row>
    <row r="6" spans="1:14" x14ac:dyDescent="0.3">
      <c r="A6" s="10">
        <v>2</v>
      </c>
      <c r="B6" s="8">
        <v>6.7100000000000007E-2</v>
      </c>
      <c r="C6" s="8">
        <v>8.6800000000000002E-2</v>
      </c>
    </row>
    <row r="7" spans="1:14" x14ac:dyDescent="0.3">
      <c r="A7" s="10">
        <v>3</v>
      </c>
      <c r="B7" s="8">
        <v>9.3899999999999997E-2</v>
      </c>
      <c r="C7" s="8">
        <v>1.8200000000000001E-2</v>
      </c>
    </row>
    <row r="8" spans="1:14" x14ac:dyDescent="0.3">
      <c r="A8" s="10">
        <v>4</v>
      </c>
      <c r="B8" s="8">
        <v>-0.13389999999999999</v>
      </c>
      <c r="C8" s="8">
        <v>-0.08</v>
      </c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4" x14ac:dyDescent="0.3">
      <c r="A9" s="10">
        <v>5</v>
      </c>
      <c r="B9" s="8">
        <v>-9.5100000000000004E-2</v>
      </c>
      <c r="C9" s="8">
        <v>-6.6600000000000006E-2</v>
      </c>
      <c r="E9" s="157"/>
      <c r="F9" s="157"/>
      <c r="G9" s="18"/>
      <c r="H9" s="18"/>
      <c r="I9" s="18"/>
      <c r="J9" s="18"/>
      <c r="K9" s="18"/>
      <c r="L9" s="18"/>
      <c r="M9" s="18"/>
      <c r="N9" s="18"/>
    </row>
    <row r="10" spans="1:14" x14ac:dyDescent="0.3">
      <c r="A10" s="10">
        <v>6</v>
      </c>
      <c r="B10" s="8">
        <v>-3.8100000000000002E-2</v>
      </c>
      <c r="C10" s="8">
        <v>-4.5499999999999999E-2</v>
      </c>
      <c r="E10" s="155"/>
      <c r="F10" s="156"/>
      <c r="G10" s="18"/>
      <c r="H10" s="18"/>
      <c r="I10" s="18"/>
      <c r="J10" s="18"/>
      <c r="K10" s="18"/>
      <c r="L10" s="18"/>
      <c r="M10" s="18"/>
      <c r="N10" s="18"/>
    </row>
    <row r="11" spans="1:14" x14ac:dyDescent="0.3">
      <c r="A11" s="10">
        <v>7</v>
      </c>
      <c r="B11" s="8">
        <v>8.8200000000000001E-2</v>
      </c>
      <c r="C11" s="8">
        <v>9.2499999999999999E-2</v>
      </c>
      <c r="E11" s="155"/>
      <c r="F11" s="156"/>
      <c r="G11" s="18"/>
      <c r="H11" s="18"/>
      <c r="I11" s="18"/>
      <c r="J11" s="18"/>
      <c r="K11" s="18"/>
      <c r="L11" s="18"/>
      <c r="M11" s="18"/>
      <c r="N11" s="18"/>
    </row>
    <row r="12" spans="1:14" x14ac:dyDescent="0.3">
      <c r="A12" s="10">
        <v>8</v>
      </c>
      <c r="B12" s="8">
        <v>0.114</v>
      </c>
      <c r="C12" s="8">
        <v>3.9300000000000002E-2</v>
      </c>
      <c r="E12" s="155"/>
      <c r="F12" s="156"/>
      <c r="G12" s="18"/>
      <c r="H12" s="18"/>
      <c r="I12" s="18"/>
      <c r="J12" s="18"/>
      <c r="K12" s="18"/>
      <c r="L12" s="18"/>
      <c r="M12" s="18"/>
      <c r="N12" s="18"/>
    </row>
    <row r="13" spans="1:14" x14ac:dyDescent="0.3">
      <c r="A13" s="10">
        <v>9</v>
      </c>
      <c r="B13" s="8">
        <v>6.9400000000000003E-2</v>
      </c>
      <c r="C13" s="8">
        <v>4.2200000000000001E-2</v>
      </c>
      <c r="E13" s="155"/>
      <c r="F13" s="156"/>
      <c r="G13" s="18"/>
      <c r="H13" s="18"/>
      <c r="I13" s="18"/>
      <c r="J13" s="18"/>
      <c r="K13" s="18"/>
      <c r="L13" s="18"/>
      <c r="M13" s="18"/>
      <c r="N13" s="18"/>
    </row>
    <row r="14" spans="1:14" x14ac:dyDescent="0.3">
      <c r="A14" s="10">
        <v>10</v>
      </c>
      <c r="B14" s="8">
        <v>5.2699999999999997E-2</v>
      </c>
      <c r="C14" s="8">
        <v>3.6200000000000003E-2</v>
      </c>
      <c r="E14" s="155"/>
      <c r="F14" s="155"/>
      <c r="G14" s="18"/>
      <c r="H14" s="18"/>
      <c r="I14" s="18"/>
      <c r="J14" s="18"/>
      <c r="K14" s="18"/>
      <c r="L14" s="18"/>
      <c r="M14" s="18"/>
      <c r="N14" s="18"/>
    </row>
    <row r="15" spans="1:14" x14ac:dyDescent="0.3">
      <c r="A15" s="10">
        <v>11</v>
      </c>
      <c r="B15" s="8">
        <v>-0.1298</v>
      </c>
      <c r="C15" s="8">
        <v>-5.9999999999999995E-4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x14ac:dyDescent="0.3">
      <c r="A16" s="10">
        <v>12</v>
      </c>
      <c r="B16" s="8">
        <v>3.95E-2</v>
      </c>
      <c r="C16" s="8">
        <v>2.23E-2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 x14ac:dyDescent="0.3">
      <c r="A17" s="10">
        <v>13</v>
      </c>
      <c r="B17" s="8">
        <v>-3.5799999999999998E-2</v>
      </c>
      <c r="C17" s="8">
        <v>7.1000000000000004E-3</v>
      </c>
      <c r="E17" s="158"/>
      <c r="F17" s="158"/>
      <c r="G17" s="158"/>
      <c r="H17" s="158"/>
      <c r="I17" s="158"/>
      <c r="J17" s="158"/>
      <c r="K17" s="18"/>
      <c r="L17" s="18"/>
      <c r="M17" s="18"/>
      <c r="N17" s="18"/>
    </row>
    <row r="18" spans="1:14" x14ac:dyDescent="0.3">
      <c r="A18" s="10">
        <v>14</v>
      </c>
      <c r="B18" s="8">
        <v>-1.7899999999999999E-2</v>
      </c>
      <c r="C18" s="8">
        <v>-1.4999999999999999E-2</v>
      </c>
      <c r="E18" s="155"/>
      <c r="F18" s="155"/>
      <c r="G18" s="156"/>
      <c r="H18" s="156"/>
      <c r="I18" s="156"/>
      <c r="J18" s="155"/>
      <c r="K18" s="18"/>
      <c r="L18" s="18"/>
      <c r="M18" s="18"/>
      <c r="N18" s="18"/>
    </row>
    <row r="19" spans="1:14" x14ac:dyDescent="0.3">
      <c r="A19" s="10">
        <v>15</v>
      </c>
      <c r="B19" s="8">
        <v>0.12509999999999999</v>
      </c>
      <c r="C19" s="8">
        <v>9.1999999999999998E-3</v>
      </c>
      <c r="E19" s="155"/>
      <c r="F19" s="155"/>
      <c r="G19" s="156"/>
      <c r="H19" s="156"/>
      <c r="I19" s="156"/>
      <c r="J19" s="155"/>
      <c r="K19" s="18"/>
      <c r="L19" s="18"/>
      <c r="M19" s="18"/>
      <c r="N19" s="18"/>
    </row>
    <row r="20" spans="1:14" x14ac:dyDescent="0.3">
      <c r="A20" s="10">
        <v>16</v>
      </c>
      <c r="B20" s="8">
        <v>4.5699999999999998E-2</v>
      </c>
      <c r="C20" s="8">
        <v>1.9199999999999998E-2</v>
      </c>
      <c r="E20" s="155"/>
      <c r="F20" s="155"/>
      <c r="G20" s="156"/>
      <c r="H20" s="156"/>
      <c r="I20" s="156"/>
      <c r="J20" s="155"/>
      <c r="K20" s="18"/>
      <c r="L20" s="18"/>
      <c r="M20" s="18"/>
      <c r="N20" s="18"/>
    </row>
    <row r="21" spans="1:14" x14ac:dyDescent="0.3">
      <c r="A21" s="10">
        <v>17</v>
      </c>
      <c r="B21" s="8">
        <v>3.9100000000000003E-2</v>
      </c>
      <c r="C21" s="8">
        <v>1.01E-2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14" x14ac:dyDescent="0.3">
      <c r="A22" s="10">
        <v>18</v>
      </c>
      <c r="B22" s="8">
        <v>0.18890000000000001</v>
      </c>
      <c r="C22" s="8">
        <v>5.8099999999999999E-2</v>
      </c>
      <c r="E22" s="158"/>
      <c r="F22" s="158"/>
      <c r="G22" s="158"/>
      <c r="H22" s="158"/>
      <c r="I22" s="158"/>
      <c r="J22" s="158"/>
      <c r="K22" s="158"/>
      <c r="L22" s="158"/>
      <c r="M22" s="158"/>
      <c r="N22" s="18"/>
    </row>
    <row r="23" spans="1:14" x14ac:dyDescent="0.3">
      <c r="A23" s="10">
        <v>19</v>
      </c>
      <c r="B23" s="8">
        <v>-0.1318</v>
      </c>
      <c r="C23" s="8">
        <v>-2.1499999999999998E-2</v>
      </c>
      <c r="E23" s="155"/>
      <c r="F23" s="156"/>
      <c r="G23" s="156"/>
      <c r="H23" s="156"/>
      <c r="I23" s="156"/>
      <c r="J23" s="156"/>
      <c r="K23" s="156"/>
      <c r="L23" s="156"/>
      <c r="M23" s="156"/>
      <c r="N23" s="18"/>
    </row>
    <row r="24" spans="1:14" x14ac:dyDescent="0.3">
      <c r="A24" s="10">
        <v>20</v>
      </c>
      <c r="B24" s="8">
        <v>9.06E-2</v>
      </c>
      <c r="C24" s="8">
        <v>3.6900000000000002E-2</v>
      </c>
      <c r="E24" s="155"/>
      <c r="F24" s="156"/>
      <c r="G24" s="156"/>
      <c r="H24" s="156"/>
      <c r="I24" s="156"/>
      <c r="J24" s="156"/>
      <c r="K24" s="156"/>
      <c r="L24" s="156"/>
      <c r="M24" s="156"/>
      <c r="N24" s="18"/>
    </row>
    <row r="25" spans="1:14" x14ac:dyDescent="0.3">
      <c r="A25" s="10">
        <v>21</v>
      </c>
      <c r="B25" s="8">
        <v>-4.8800000000000003E-2</v>
      </c>
      <c r="C25" s="8">
        <v>-6.8999999999999999E-3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x14ac:dyDescent="0.3">
      <c r="A26" s="10">
        <v>22</v>
      </c>
      <c r="B26" s="8">
        <v>0.11219999999999999</v>
      </c>
      <c r="C26" s="8">
        <v>7.6600000000000001E-2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4" x14ac:dyDescent="0.3">
      <c r="A27" s="10">
        <v>23</v>
      </c>
      <c r="B27" s="8">
        <v>-1.8700000000000001E-2</v>
      </c>
      <c r="C27" s="8">
        <v>3.5799999999999998E-2</v>
      </c>
    </row>
    <row r="28" spans="1:14" x14ac:dyDescent="0.3">
      <c r="A28" s="10">
        <v>24</v>
      </c>
      <c r="B28" s="8">
        <v>2.3E-2</v>
      </c>
      <c r="C28" s="8">
        <v>-4.2599999999999999E-2</v>
      </c>
    </row>
    <row r="29" spans="1:14" x14ac:dyDescent="0.3">
      <c r="A29" s="10">
        <v>25</v>
      </c>
      <c r="B29" s="8">
        <v>-0.15809999999999999</v>
      </c>
      <c r="C29" s="8">
        <v>-7.1499999999999994E-2</v>
      </c>
      <c r="E29" s="1" t="s">
        <v>120</v>
      </c>
      <c r="J29" s="1" t="s">
        <v>21</v>
      </c>
    </row>
    <row r="30" spans="1:14" ht="13.5" thickBot="1" x14ac:dyDescent="0.35">
      <c r="A30" s="10">
        <v>26</v>
      </c>
      <c r="B30" s="8">
        <v>4.8800000000000003E-2</v>
      </c>
      <c r="C30" s="8">
        <v>1.06E-2</v>
      </c>
    </row>
    <row r="31" spans="1:14" ht="13.5" thickBot="1" x14ac:dyDescent="0.35">
      <c r="A31" s="10">
        <v>27</v>
      </c>
      <c r="B31" s="8">
        <v>-2.8400000000000002E-2</v>
      </c>
      <c r="C31" s="8">
        <v>-5.2600000000000001E-2</v>
      </c>
      <c r="E31" t="s">
        <v>121</v>
      </c>
      <c r="F31" s="139"/>
      <c r="G31" s="140" t="s">
        <v>122</v>
      </c>
      <c r="J31" s="8">
        <v>-1.2804001187503144E-3</v>
      </c>
    </row>
    <row r="32" spans="1:14" ht="13.5" thickBot="1" x14ac:dyDescent="0.35">
      <c r="A32" s="10">
        <v>28</v>
      </c>
      <c r="B32" s="8">
        <v>-8.4900000000000003E-2</v>
      </c>
      <c r="C32" s="8">
        <v>-2.6499999999999999E-2</v>
      </c>
      <c r="E32" t="s">
        <v>123</v>
      </c>
      <c r="F32" s="17"/>
      <c r="G32" s="140" t="s">
        <v>124</v>
      </c>
      <c r="J32" s="8">
        <v>1.5065378438016002</v>
      </c>
    </row>
    <row r="33" spans="1:11" ht="13.5" thickBot="1" x14ac:dyDescent="0.35">
      <c r="A33" s="10">
        <v>29</v>
      </c>
      <c r="B33" s="8">
        <v>0.11799999999999999</v>
      </c>
      <c r="C33" s="8">
        <v>5.3800000000000001E-2</v>
      </c>
      <c r="E33" t="s">
        <v>125</v>
      </c>
      <c r="F33" s="17"/>
      <c r="G33" s="140" t="s">
        <v>126</v>
      </c>
      <c r="J33" s="8">
        <v>0.47552745556340542</v>
      </c>
    </row>
    <row r="34" spans="1:11" ht="13.5" thickBot="1" x14ac:dyDescent="0.35">
      <c r="A34" s="10">
        <v>30</v>
      </c>
      <c r="B34" s="8">
        <v>0.1231</v>
      </c>
      <c r="C34" s="8">
        <v>4.9700000000000001E-2</v>
      </c>
      <c r="E34" t="s">
        <v>127</v>
      </c>
      <c r="F34" s="17"/>
      <c r="G34" s="140" t="s">
        <v>128</v>
      </c>
      <c r="J34" s="8">
        <v>5.9469195878915686E-2</v>
      </c>
    </row>
    <row r="35" spans="1:11" x14ac:dyDescent="0.3">
      <c r="A35" s="10">
        <v>31</v>
      </c>
      <c r="B35" s="8">
        <v>-6.4100000000000004E-2</v>
      </c>
      <c r="C35" s="8">
        <v>-7.5700000000000003E-2</v>
      </c>
    </row>
    <row r="36" spans="1:11" x14ac:dyDescent="0.3">
      <c r="A36" s="10">
        <v>32</v>
      </c>
      <c r="B36" s="8">
        <v>6.3799999999999996E-2</v>
      </c>
      <c r="C36" s="8">
        <v>1.4999999999999999E-2</v>
      </c>
    </row>
    <row r="37" spans="1:11" x14ac:dyDescent="0.3">
      <c r="A37" s="10">
        <v>33</v>
      </c>
      <c r="B37" s="8">
        <v>-4.87E-2</v>
      </c>
      <c r="C37" s="8">
        <v>-7.0000000000000001E-3</v>
      </c>
    </row>
    <row r="38" spans="1:11" x14ac:dyDescent="0.3">
      <c r="A38" s="10">
        <v>34</v>
      </c>
      <c r="B38" s="8">
        <v>4.0899999999999999E-2</v>
      </c>
      <c r="C38" s="8">
        <v>-6.1999999999999998E-3</v>
      </c>
      <c r="E38" s="9" t="s">
        <v>129</v>
      </c>
      <c r="J38" s="1" t="s">
        <v>21</v>
      </c>
    </row>
    <row r="39" spans="1:11" ht="13.5" thickBot="1" x14ac:dyDescent="0.35">
      <c r="A39" s="10">
        <v>35</v>
      </c>
      <c r="B39" s="8">
        <v>-0.12609999999999999</v>
      </c>
      <c r="C39" s="8">
        <v>-2.92E-2</v>
      </c>
    </row>
    <row r="40" spans="1:11" x14ac:dyDescent="0.3">
      <c r="A40" s="10">
        <v>36</v>
      </c>
      <c r="B40" s="8">
        <v>-2.0000000000000001E-4</v>
      </c>
      <c r="C40" s="8">
        <v>2.3E-3</v>
      </c>
      <c r="E40" t="s">
        <v>130</v>
      </c>
      <c r="F40" s="53">
        <f t="array" ref="F40:G44">LINEST(ShareA,Index,,1)</f>
        <v>1.5065378438016002</v>
      </c>
      <c r="G40" s="54">
        <v>-1.2804001187503153E-3</v>
      </c>
      <c r="H40" t="s">
        <v>131</v>
      </c>
      <c r="J40" s="8">
        <v>1.5065378438016002</v>
      </c>
      <c r="K40" s="8">
        <v>-1.2804001187503153E-3</v>
      </c>
    </row>
    <row r="41" spans="1:11" x14ac:dyDescent="0.3">
      <c r="A41" s="10">
        <v>37</v>
      </c>
      <c r="B41" s="8">
        <v>4.41E-2</v>
      </c>
      <c r="C41" s="8">
        <v>3.2500000000000001E-2</v>
      </c>
      <c r="E41" t="s">
        <v>132</v>
      </c>
      <c r="F41" s="55">
        <v>0.20774932883986799</v>
      </c>
      <c r="G41" s="56">
        <v>7.8167411600023329E-3</v>
      </c>
      <c r="H41" t="s">
        <v>133</v>
      </c>
      <c r="J41" s="8">
        <v>0.20774932883986799</v>
      </c>
      <c r="K41" s="8">
        <v>7.8167411600023329E-3</v>
      </c>
    </row>
    <row r="42" spans="1:11" x14ac:dyDescent="0.3">
      <c r="A42" s="10">
        <v>38</v>
      </c>
      <c r="B42" s="8">
        <v>-2.5999999999999999E-2</v>
      </c>
      <c r="C42" s="8">
        <v>2.3699999999999999E-2</v>
      </c>
      <c r="E42" t="s">
        <v>125</v>
      </c>
      <c r="F42" s="55">
        <v>0.47552745556340509</v>
      </c>
      <c r="G42" s="56">
        <v>5.9469195878915727E-2</v>
      </c>
      <c r="H42" t="s">
        <v>127</v>
      </c>
      <c r="J42" s="8">
        <v>0.47552745556340509</v>
      </c>
      <c r="K42" s="8">
        <v>5.9469195878915727E-2</v>
      </c>
    </row>
    <row r="43" spans="1:11" x14ac:dyDescent="0.3">
      <c r="A43" s="10">
        <v>39</v>
      </c>
      <c r="B43" s="8">
        <v>5.74E-2</v>
      </c>
      <c r="C43" s="8">
        <v>3.1800000000000002E-2</v>
      </c>
      <c r="E43" t="s">
        <v>134</v>
      </c>
      <c r="F43" s="55">
        <v>52.587295017140399</v>
      </c>
      <c r="G43" s="154">
        <v>58</v>
      </c>
      <c r="H43" t="s">
        <v>135</v>
      </c>
      <c r="J43" s="8">
        <v>52.587295017140399</v>
      </c>
      <c r="K43" s="10">
        <v>58</v>
      </c>
    </row>
    <row r="44" spans="1:11" ht="13.5" thickBot="1" x14ac:dyDescent="0.35">
      <c r="A44" s="10">
        <v>40</v>
      </c>
      <c r="B44" s="8">
        <v>0.1157</v>
      </c>
      <c r="C44" s="8">
        <v>-7.4999999999999997E-3</v>
      </c>
      <c r="E44" t="s">
        <v>136</v>
      </c>
      <c r="F44" s="57">
        <v>0.18597945234121238</v>
      </c>
      <c r="G44" s="58">
        <v>0.20512194499212111</v>
      </c>
      <c r="H44" t="s">
        <v>137</v>
      </c>
      <c r="J44" s="8">
        <v>0.18597945234121238</v>
      </c>
      <c r="K44" s="8">
        <v>0.20512194499212111</v>
      </c>
    </row>
    <row r="45" spans="1:11" x14ac:dyDescent="0.3">
      <c r="A45" s="10">
        <v>41</v>
      </c>
      <c r="B45" s="8">
        <v>1.9900000000000001E-2</v>
      </c>
      <c r="C45" s="8">
        <v>4.5600000000000002E-2</v>
      </c>
    </row>
    <row r="46" spans="1:11" x14ac:dyDescent="0.3">
      <c r="A46" s="10">
        <v>42</v>
      </c>
      <c r="B46" s="8">
        <v>9.6100000000000005E-2</v>
      </c>
      <c r="C46" s="8">
        <v>7.3000000000000001E-3</v>
      </c>
    </row>
    <row r="47" spans="1:11" x14ac:dyDescent="0.3">
      <c r="A47" s="10">
        <v>43</v>
      </c>
      <c r="B47" s="8">
        <v>-3.7000000000000002E-3</v>
      </c>
      <c r="C47" s="8">
        <v>5.8999999999999999E-3</v>
      </c>
    </row>
    <row r="48" spans="1:11" x14ac:dyDescent="0.3">
      <c r="A48" s="10">
        <v>44</v>
      </c>
      <c r="B48" s="8">
        <v>-2.2700000000000001E-2</v>
      </c>
      <c r="C48" s="8">
        <v>-2.0999999999999999E-3</v>
      </c>
      <c r="E48" s="1" t="s">
        <v>138</v>
      </c>
      <c r="J48" s="1" t="s">
        <v>21</v>
      </c>
    </row>
    <row r="49" spans="1:10" ht="13.5" thickBot="1" x14ac:dyDescent="0.35">
      <c r="A49" s="10">
        <v>45</v>
      </c>
      <c r="B49" s="8">
        <v>-0.11509999999999999</v>
      </c>
      <c r="C49" s="8">
        <v>2.8899999999999999E-2</v>
      </c>
    </row>
    <row r="50" spans="1:10" ht="13.5" thickBot="1" x14ac:dyDescent="0.35">
      <c r="A50" s="10">
        <v>46</v>
      </c>
      <c r="B50" s="8">
        <v>-2.0500000000000001E-2</v>
      </c>
      <c r="C50" s="8">
        <v>6.0000000000000001E-3</v>
      </c>
      <c r="E50" t="s">
        <v>133</v>
      </c>
      <c r="F50" s="17"/>
      <c r="J50" s="8">
        <v>7.8167411600023329E-3</v>
      </c>
    </row>
    <row r="51" spans="1:10" ht="13.5" thickBot="1" x14ac:dyDescent="0.35">
      <c r="A51" s="10">
        <v>47</v>
      </c>
      <c r="B51" s="8">
        <v>2.5000000000000001E-2</v>
      </c>
      <c r="C51" s="8">
        <v>1.9400000000000001E-2</v>
      </c>
      <c r="J51" s="8"/>
    </row>
    <row r="52" spans="1:10" ht="13.5" thickBot="1" x14ac:dyDescent="0.35">
      <c r="A52" s="10">
        <v>48</v>
      </c>
      <c r="B52" s="8">
        <v>-3.0800000000000001E-2</v>
      </c>
      <c r="C52" s="8">
        <v>-2.5999999999999999E-3</v>
      </c>
      <c r="E52" t="s">
        <v>132</v>
      </c>
      <c r="F52" s="17"/>
      <c r="J52" s="8">
        <v>0.20774932883986799</v>
      </c>
    </row>
    <row r="53" spans="1:10" ht="13.5" thickBot="1" x14ac:dyDescent="0.35">
      <c r="A53" s="10">
        <v>49</v>
      </c>
      <c r="B53" s="8">
        <v>4.1700000000000001E-2</v>
      </c>
      <c r="C53" s="8">
        <v>-2.9999999999999997E-4</v>
      </c>
    </row>
    <row r="54" spans="1:10" ht="13.5" thickBot="1" x14ac:dyDescent="0.35">
      <c r="A54" s="10">
        <v>50</v>
      </c>
      <c r="B54" s="8">
        <v>8.6099999999999996E-2</v>
      </c>
      <c r="C54" s="8">
        <v>3.6200000000000003E-2</v>
      </c>
      <c r="E54" t="s">
        <v>127</v>
      </c>
      <c r="F54" s="17"/>
      <c r="J54" s="8">
        <v>5.9469195878915727E-2</v>
      </c>
    </row>
    <row r="55" spans="1:10" x14ac:dyDescent="0.3">
      <c r="A55" s="10">
        <v>51</v>
      </c>
      <c r="B55" s="8">
        <v>-4.3499999999999997E-2</v>
      </c>
      <c r="C55" s="8">
        <v>-1.7000000000000001E-2</v>
      </c>
    </row>
    <row r="56" spans="1:10" x14ac:dyDescent="0.3">
      <c r="A56" s="10">
        <v>52</v>
      </c>
      <c r="B56" s="8">
        <v>-6.9699999999999998E-2</v>
      </c>
      <c r="C56" s="8">
        <v>-1.7299999999999999E-2</v>
      </c>
    </row>
    <row r="57" spans="1:10" x14ac:dyDescent="0.3">
      <c r="A57" s="10">
        <v>53</v>
      </c>
      <c r="B57" s="8">
        <v>-4.7600000000000003E-2</v>
      </c>
      <c r="C57" s="8">
        <v>-1.2800000000000001E-2</v>
      </c>
    </row>
    <row r="58" spans="1:10" x14ac:dyDescent="0.3">
      <c r="A58" s="10">
        <v>54</v>
      </c>
      <c r="B58" s="8">
        <v>5.0599999999999999E-2</v>
      </c>
      <c r="C58" s="8">
        <v>4.1599999999999998E-2</v>
      </c>
    </row>
    <row r="59" spans="1:10" x14ac:dyDescent="0.3">
      <c r="A59" s="10">
        <v>55</v>
      </c>
      <c r="B59" s="8">
        <v>-9.5899999999999999E-2</v>
      </c>
      <c r="C59" s="8">
        <v>1.34E-2</v>
      </c>
    </row>
    <row r="60" spans="1:10" x14ac:dyDescent="0.3">
      <c r="A60" s="10">
        <v>56</v>
      </c>
      <c r="B60" s="8">
        <v>6.5000000000000002E-2</v>
      </c>
      <c r="C60" s="8">
        <v>4.3E-3</v>
      </c>
    </row>
    <row r="61" spans="1:10" x14ac:dyDescent="0.3">
      <c r="A61" s="10">
        <v>57</v>
      </c>
      <c r="B61" s="8">
        <v>7.5999999999999998E-2</v>
      </c>
      <c r="C61" s="8">
        <v>1.23E-2</v>
      </c>
    </row>
    <row r="62" spans="1:10" x14ac:dyDescent="0.3">
      <c r="A62" s="10">
        <v>58</v>
      </c>
      <c r="B62" s="8">
        <v>-4.9099999999999998E-2</v>
      </c>
      <c r="C62" s="8">
        <v>1.2200000000000001E-2</v>
      </c>
    </row>
    <row r="63" spans="1:10" x14ac:dyDescent="0.3">
      <c r="A63" s="10">
        <v>59</v>
      </c>
      <c r="B63" s="8">
        <v>8.6499999999999994E-2</v>
      </c>
      <c r="C63" s="8">
        <v>3.4200000000000001E-2</v>
      </c>
    </row>
    <row r="64" spans="1:10" x14ac:dyDescent="0.3">
      <c r="A64" s="10">
        <v>60</v>
      </c>
      <c r="B64" s="8">
        <v>7.1900000000000006E-2</v>
      </c>
      <c r="C64" s="8">
        <v>7.4999999999999997E-3</v>
      </c>
    </row>
  </sheetData>
  <printOptions headings="1" gridLines="1"/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6"/>
  <sheetViews>
    <sheetView workbookViewId="0"/>
  </sheetViews>
  <sheetFormatPr defaultColWidth="10.69921875" defaultRowHeight="13" x14ac:dyDescent="0.3"/>
  <cols>
    <col min="1" max="1" width="9.69921875" style="87" customWidth="1"/>
    <col min="2" max="2" width="7.796875" style="87" customWidth="1"/>
    <col min="3" max="5" width="6.69921875" style="87" customWidth="1"/>
    <col min="6" max="6" width="3.796875" style="87" customWidth="1"/>
    <col min="7" max="8" width="7.796875" style="87" customWidth="1"/>
    <col min="9" max="11" width="6.69921875" style="87" customWidth="1"/>
    <col min="12" max="12" width="4" style="87" customWidth="1"/>
    <col min="13" max="13" width="7.796875" style="87" customWidth="1"/>
    <col min="14" max="16" width="6.69921875" style="87" customWidth="1"/>
    <col min="17" max="17" width="2.796875" style="87" customWidth="1"/>
    <col min="18" max="16384" width="10.69921875" style="87"/>
  </cols>
  <sheetData>
    <row r="1" spans="1:10" x14ac:dyDescent="0.3">
      <c r="A1" s="61" t="s">
        <v>0</v>
      </c>
      <c r="B1" s="86"/>
    </row>
    <row r="2" spans="1:10" x14ac:dyDescent="0.3">
      <c r="A2" s="85" t="s">
        <v>139</v>
      </c>
      <c r="B2" s="86"/>
      <c r="I2" s="88" t="s">
        <v>140</v>
      </c>
    </row>
    <row r="3" spans="1:10" x14ac:dyDescent="0.3">
      <c r="A3" s="89" t="s">
        <v>141</v>
      </c>
      <c r="B3" s="89" t="s">
        <v>142</v>
      </c>
      <c r="C3" s="88"/>
      <c r="D3" s="88"/>
      <c r="E3" s="88"/>
      <c r="F3" s="88"/>
      <c r="G3" s="89" t="s">
        <v>141</v>
      </c>
      <c r="H3" s="89" t="s">
        <v>142</v>
      </c>
    </row>
    <row r="4" spans="1:10" ht="15.5" x14ac:dyDescent="0.3">
      <c r="A4" s="90" t="s">
        <v>143</v>
      </c>
      <c r="B4" s="90" t="s">
        <v>144</v>
      </c>
      <c r="C4" s="91">
        <v>2</v>
      </c>
      <c r="D4" s="90"/>
      <c r="G4" s="90" t="s">
        <v>145</v>
      </c>
      <c r="H4" s="90" t="s">
        <v>146</v>
      </c>
      <c r="I4" s="92">
        <f t="array" ref="I4:J4">TRANSPOSE(C4:C5)</f>
        <v>2</v>
      </c>
      <c r="J4" s="93">
        <v>4</v>
      </c>
    </row>
    <row r="5" spans="1:10" x14ac:dyDescent="0.3">
      <c r="A5" s="90"/>
      <c r="B5" s="94"/>
      <c r="C5" s="91">
        <v>4</v>
      </c>
      <c r="D5" s="90"/>
      <c r="G5" s="90"/>
      <c r="H5" s="94"/>
      <c r="I5" s="95"/>
      <c r="J5" s="90"/>
    </row>
    <row r="6" spans="1:10" x14ac:dyDescent="0.3">
      <c r="A6" s="90"/>
      <c r="B6" s="90"/>
      <c r="C6" s="90"/>
      <c r="D6" s="90"/>
      <c r="G6" s="90"/>
      <c r="H6" s="90"/>
      <c r="I6" s="90"/>
      <c r="J6" s="90"/>
    </row>
    <row r="7" spans="1:10" ht="15.5" x14ac:dyDescent="0.3">
      <c r="A7" s="90" t="s">
        <v>147</v>
      </c>
      <c r="B7" s="94" t="s">
        <v>146</v>
      </c>
      <c r="C7" s="92">
        <v>6</v>
      </c>
      <c r="D7" s="93">
        <v>7</v>
      </c>
      <c r="G7" s="90" t="s">
        <v>148</v>
      </c>
      <c r="H7" s="94" t="s">
        <v>144</v>
      </c>
      <c r="I7" s="91">
        <f t="array" ref="I7:I8">TRANSPOSE(C7:D7)</f>
        <v>6</v>
      </c>
      <c r="J7" s="90"/>
    </row>
    <row r="8" spans="1:10" x14ac:dyDescent="0.3">
      <c r="A8" s="90"/>
      <c r="B8" s="90"/>
      <c r="C8" s="90"/>
      <c r="D8" s="90"/>
      <c r="G8" s="90"/>
      <c r="H8" s="90"/>
      <c r="I8" s="91">
        <v>7</v>
      </c>
      <c r="J8" s="90"/>
    </row>
    <row r="9" spans="1:10" x14ac:dyDescent="0.3">
      <c r="A9" s="90"/>
      <c r="B9" s="86" t="s">
        <v>149</v>
      </c>
      <c r="C9" s="90"/>
      <c r="D9" s="90"/>
      <c r="G9" s="90"/>
      <c r="H9" s="90"/>
      <c r="I9" s="90"/>
      <c r="J9" s="90"/>
    </row>
    <row r="10" spans="1:10" ht="15.5" x14ac:dyDescent="0.3">
      <c r="A10" s="90" t="s">
        <v>150</v>
      </c>
      <c r="B10" s="90" t="s">
        <v>151</v>
      </c>
      <c r="C10" s="92">
        <f t="array" ref="C10:D11">MMULT(C4:C5,C7:D7)</f>
        <v>12</v>
      </c>
      <c r="D10" s="93">
        <v>14</v>
      </c>
      <c r="G10" s="90" t="s">
        <v>152</v>
      </c>
      <c r="H10" s="90" t="s">
        <v>151</v>
      </c>
      <c r="I10" s="92">
        <f t="array" ref="I10:J11">TRANSPOSE(C10:D11)</f>
        <v>12</v>
      </c>
      <c r="J10" s="93">
        <v>24</v>
      </c>
    </row>
    <row r="11" spans="1:10" x14ac:dyDescent="0.3">
      <c r="A11" s="90"/>
      <c r="B11" s="90"/>
      <c r="C11" s="92">
        <v>24</v>
      </c>
      <c r="D11" s="93">
        <v>28</v>
      </c>
      <c r="G11" s="90"/>
      <c r="H11" s="90"/>
      <c r="I11" s="92">
        <v>14</v>
      </c>
      <c r="J11" s="93">
        <v>28</v>
      </c>
    </row>
    <row r="12" spans="1:10" x14ac:dyDescent="0.3">
      <c r="A12" s="90"/>
      <c r="B12" s="90"/>
      <c r="C12" s="90"/>
      <c r="D12" s="90"/>
      <c r="G12" s="90"/>
      <c r="H12" s="90"/>
      <c r="I12" s="90"/>
      <c r="J12" s="90"/>
    </row>
    <row r="13" spans="1:10" ht="15.5" x14ac:dyDescent="0.3">
      <c r="A13" s="90" t="s">
        <v>153</v>
      </c>
      <c r="B13" s="90" t="s">
        <v>154</v>
      </c>
      <c r="C13" s="91">
        <f t="array" ref="C13">MMULT(C7:D7,C4:C5)</f>
        <v>40</v>
      </c>
      <c r="D13" s="90"/>
      <c r="G13" s="90" t="s">
        <v>155</v>
      </c>
      <c r="H13" s="90" t="s">
        <v>154</v>
      </c>
      <c r="I13" s="91">
        <f>TRANSPOSE(C13)</f>
        <v>40</v>
      </c>
      <c r="J13" s="90"/>
    </row>
    <row r="14" spans="1:10" x14ac:dyDescent="0.3">
      <c r="A14" s="96"/>
      <c r="B14" s="90"/>
      <c r="G14" s="90"/>
      <c r="H14" s="90"/>
    </row>
    <row r="15" spans="1:10" x14ac:dyDescent="0.3">
      <c r="A15" s="96"/>
      <c r="B15" s="90"/>
      <c r="G15" s="90"/>
      <c r="H15" s="90"/>
    </row>
    <row r="16" spans="1:10" x14ac:dyDescent="0.3">
      <c r="A16" s="97" t="s">
        <v>141</v>
      </c>
      <c r="B16" s="90" t="s">
        <v>142</v>
      </c>
      <c r="G16" s="89" t="s">
        <v>141</v>
      </c>
      <c r="H16" s="90" t="s">
        <v>142</v>
      </c>
    </row>
    <row r="17" spans="1:16" ht="15.5" x14ac:dyDescent="0.3">
      <c r="A17" s="94" t="s">
        <v>156</v>
      </c>
      <c r="B17" s="94" t="s">
        <v>157</v>
      </c>
      <c r="C17" s="92">
        <v>-3</v>
      </c>
      <c r="D17" s="95">
        <v>2</v>
      </c>
      <c r="E17" s="93">
        <v>7</v>
      </c>
      <c r="F17" s="98"/>
      <c r="G17" s="90" t="s">
        <v>158</v>
      </c>
      <c r="H17" s="94" t="s">
        <v>157</v>
      </c>
      <c r="I17" s="99">
        <f t="array" ref="I17:K19">MINVERSE(C17:E19)</f>
        <v>-0.17547568710359404</v>
      </c>
      <c r="J17" s="100">
        <v>-1.4799154334038065E-2</v>
      </c>
      <c r="K17" s="101">
        <v>7.1881606765327732E-2</v>
      </c>
      <c r="M17" s="90" t="s">
        <v>159</v>
      </c>
      <c r="N17" s="102">
        <f t="array" ref="N17:P19">MMULT(A,invA)</f>
        <v>0.99999999999999978</v>
      </c>
      <c r="O17" s="103">
        <v>5.5511151231257827E-17</v>
      </c>
      <c r="P17" s="104">
        <v>-1.6653345369377348E-16</v>
      </c>
    </row>
    <row r="18" spans="1:16" x14ac:dyDescent="0.3">
      <c r="A18" s="90"/>
      <c r="B18" s="90"/>
      <c r="C18" s="92">
        <v>2</v>
      </c>
      <c r="D18" s="95">
        <v>20</v>
      </c>
      <c r="E18" s="93">
        <v>19</v>
      </c>
      <c r="F18" s="98"/>
      <c r="G18" s="90"/>
      <c r="H18" s="90"/>
      <c r="I18" s="99">
        <v>-6.4129668780831553E-2</v>
      </c>
      <c r="J18" s="100">
        <v>7.8928823114869609E-2</v>
      </c>
      <c r="K18" s="101">
        <v>-5.0035236081747696E-2</v>
      </c>
      <c r="M18" s="96"/>
      <c r="N18" s="102">
        <v>2.2204460492503131E-16</v>
      </c>
      <c r="O18" s="103">
        <v>0.99999999999999967</v>
      </c>
      <c r="P18" s="104">
        <v>2.2204460492503131E-16</v>
      </c>
    </row>
    <row r="19" spans="1:16" x14ac:dyDescent="0.3">
      <c r="A19" s="90"/>
      <c r="B19" s="90"/>
      <c r="C19" s="92">
        <v>7</v>
      </c>
      <c r="D19" s="95">
        <v>9</v>
      </c>
      <c r="E19" s="93">
        <v>21</v>
      </c>
      <c r="F19" s="98"/>
      <c r="G19" s="90"/>
      <c r="H19" s="90"/>
      <c r="I19" s="99">
        <v>8.5976039464411541E-2</v>
      </c>
      <c r="J19" s="100">
        <v>-2.8893587033121906E-2</v>
      </c>
      <c r="K19" s="101">
        <v>4.5102184637068346E-2</v>
      </c>
      <c r="M19" s="96"/>
      <c r="N19" s="102">
        <v>0</v>
      </c>
      <c r="O19" s="103">
        <v>0</v>
      </c>
      <c r="P19" s="104">
        <v>1</v>
      </c>
    </row>
    <row r="20" spans="1:16" x14ac:dyDescent="0.3">
      <c r="A20" s="90"/>
      <c r="B20" s="90"/>
      <c r="G20" s="90"/>
      <c r="H20" s="90"/>
    </row>
    <row r="21" spans="1:16" ht="15.5" x14ac:dyDescent="0.3">
      <c r="A21" s="90" t="s">
        <v>160</v>
      </c>
      <c r="B21" s="90" t="s">
        <v>161</v>
      </c>
      <c r="C21" s="91">
        <v>20</v>
      </c>
      <c r="G21" s="94" t="s">
        <v>162</v>
      </c>
      <c r="H21" s="90" t="s">
        <v>161</v>
      </c>
      <c r="I21" s="159">
        <f t="array" ref="I21:I23">MMULT(I17:K19,C21:C23)</f>
        <v>-3.4355179704016905</v>
      </c>
      <c r="M21" s="103"/>
    </row>
    <row r="22" spans="1:16" x14ac:dyDescent="0.3">
      <c r="A22" s="96"/>
      <c r="B22" s="90"/>
      <c r="C22" s="91">
        <v>-5</v>
      </c>
      <c r="G22" s="96"/>
      <c r="H22" s="90"/>
      <c r="I22" s="159">
        <v>-1.6772374911909791</v>
      </c>
      <c r="M22" s="103"/>
    </row>
    <row r="23" spans="1:16" x14ac:dyDescent="0.3">
      <c r="A23" s="96"/>
      <c r="B23" s="90"/>
      <c r="C23" s="91">
        <v>0</v>
      </c>
      <c r="G23" s="96"/>
      <c r="H23" s="90"/>
      <c r="I23" s="159">
        <v>1.8639887244538405</v>
      </c>
      <c r="M23" s="103"/>
    </row>
    <row r="24" spans="1:16" x14ac:dyDescent="0.3">
      <c r="A24" s="96"/>
      <c r="B24" s="90"/>
      <c r="G24" s="96"/>
      <c r="H24" s="90"/>
    </row>
    <row r="26" spans="1:16" x14ac:dyDescent="0.3">
      <c r="B26"/>
      <c r="C26"/>
      <c r="D26"/>
    </row>
    <row r="27" spans="1:16" x14ac:dyDescent="0.3">
      <c r="B27"/>
      <c r="C27"/>
      <c r="D27"/>
    </row>
    <row r="28" spans="1:16" x14ac:dyDescent="0.3">
      <c r="B28"/>
      <c r="C28"/>
      <c r="D28"/>
      <c r="G28" s="96"/>
      <c r="H28" s="96"/>
    </row>
    <row r="29" spans="1:16" x14ac:dyDescent="0.3">
      <c r="B29"/>
      <c r="C29"/>
      <c r="D29"/>
      <c r="G29"/>
      <c r="H29"/>
      <c r="I29"/>
    </row>
    <row r="30" spans="1:16" x14ac:dyDescent="0.3">
      <c r="A30" s="96"/>
      <c r="B30"/>
      <c r="C30"/>
      <c r="D30"/>
      <c r="G30"/>
      <c r="H30"/>
      <c r="I30"/>
    </row>
    <row r="31" spans="1:16" x14ac:dyDescent="0.3">
      <c r="A31" s="96"/>
      <c r="B31" s="90"/>
      <c r="G31" s="96"/>
      <c r="H31" s="96"/>
    </row>
    <row r="32" spans="1:16" x14ac:dyDescent="0.3">
      <c r="A32" s="96"/>
      <c r="B32" s="90"/>
      <c r="G32" s="96"/>
      <c r="H32" s="96"/>
    </row>
    <row r="33" spans="1:8" x14ac:dyDescent="0.3">
      <c r="A33" s="96"/>
      <c r="B33" s="90"/>
      <c r="G33" s="96"/>
      <c r="H33" s="96"/>
    </row>
    <row r="34" spans="1:8" x14ac:dyDescent="0.3">
      <c r="B34" s="90"/>
    </row>
    <row r="35" spans="1:8" x14ac:dyDescent="0.3">
      <c r="B35" s="90"/>
    </row>
    <row r="36" spans="1:8" x14ac:dyDescent="0.3">
      <c r="B36" s="90"/>
    </row>
    <row r="37" spans="1:8" x14ac:dyDescent="0.3">
      <c r="B37" s="90"/>
    </row>
    <row r="38" spans="1:8" x14ac:dyDescent="0.3">
      <c r="B38" s="90"/>
    </row>
    <row r="39" spans="1:8" x14ac:dyDescent="0.3">
      <c r="B39" s="90"/>
    </row>
    <row r="40" spans="1:8" x14ac:dyDescent="0.3">
      <c r="B40" s="90"/>
    </row>
    <row r="41" spans="1:8" x14ac:dyDescent="0.3">
      <c r="B41" s="90"/>
    </row>
    <row r="44" spans="1:8" x14ac:dyDescent="0.3">
      <c r="A44" s="96"/>
      <c r="G44" s="96"/>
      <c r="H44" s="105"/>
    </row>
    <row r="45" spans="1:8" x14ac:dyDescent="0.3">
      <c r="A45" s="96"/>
      <c r="G45" s="96"/>
      <c r="H45" s="96"/>
    </row>
    <row r="46" spans="1:8" x14ac:dyDescent="0.3">
      <c r="A46" s="96"/>
      <c r="G46" s="96"/>
      <c r="H46" s="96"/>
    </row>
    <row r="47" spans="1:8" x14ac:dyDescent="0.3">
      <c r="A47" s="96"/>
      <c r="G47" s="96"/>
      <c r="H47" s="96"/>
    </row>
    <row r="48" spans="1:8" x14ac:dyDescent="0.3">
      <c r="A48" s="96"/>
      <c r="G48" s="96"/>
      <c r="H48" s="96"/>
    </row>
    <row r="49" spans="1:8" x14ac:dyDescent="0.3">
      <c r="A49" s="96"/>
      <c r="G49" s="96"/>
      <c r="H49" s="96"/>
    </row>
    <row r="50" spans="1:8" x14ac:dyDescent="0.3">
      <c r="A50" s="96"/>
      <c r="G50" s="96"/>
      <c r="H50" s="96"/>
    </row>
    <row r="51" spans="1:8" x14ac:dyDescent="0.3">
      <c r="A51" s="96"/>
      <c r="G51" s="96"/>
      <c r="H51" s="96"/>
    </row>
    <row r="52" spans="1:8" x14ac:dyDescent="0.3">
      <c r="A52" s="96"/>
      <c r="G52" s="96"/>
      <c r="H52" s="105"/>
    </row>
    <row r="53" spans="1:8" x14ac:dyDescent="0.3">
      <c r="A53" s="96"/>
      <c r="G53" s="96"/>
    </row>
    <row r="54" spans="1:8" x14ac:dyDescent="0.3">
      <c r="A54" s="96"/>
      <c r="G54" s="96"/>
    </row>
    <row r="55" spans="1:8" x14ac:dyDescent="0.3">
      <c r="A55" s="96"/>
      <c r="G55" s="96"/>
    </row>
    <row r="56" spans="1:8" x14ac:dyDescent="0.3">
      <c r="A56" s="96"/>
      <c r="G56" s="96"/>
    </row>
    <row r="57" spans="1:8" x14ac:dyDescent="0.3">
      <c r="A57" s="96"/>
      <c r="G57" s="96"/>
    </row>
    <row r="58" spans="1:8" x14ac:dyDescent="0.3">
      <c r="A58" s="96"/>
      <c r="G58" s="96"/>
    </row>
    <row r="59" spans="1:8" x14ac:dyDescent="0.3">
      <c r="A59" s="96"/>
      <c r="G59" s="96"/>
    </row>
    <row r="60" spans="1:8" x14ac:dyDescent="0.3">
      <c r="A60" s="96"/>
      <c r="G60" s="96"/>
    </row>
    <row r="61" spans="1:8" x14ac:dyDescent="0.3">
      <c r="A61" s="96"/>
      <c r="G61" s="96"/>
    </row>
    <row r="62" spans="1:8" x14ac:dyDescent="0.3">
      <c r="A62" s="96"/>
      <c r="G62" s="96"/>
    </row>
    <row r="63" spans="1:8" x14ac:dyDescent="0.3">
      <c r="A63" s="96"/>
      <c r="G63" s="96"/>
    </row>
    <row r="64" spans="1:8" x14ac:dyDescent="0.3">
      <c r="A64" s="96"/>
      <c r="G64" s="96"/>
    </row>
    <row r="65" spans="1:7" x14ac:dyDescent="0.3">
      <c r="A65" s="96"/>
      <c r="G65" s="96"/>
    </row>
    <row r="66" spans="1:7" x14ac:dyDescent="0.3">
      <c r="A66" s="96"/>
      <c r="G66" s="96"/>
    </row>
    <row r="67" spans="1:7" x14ac:dyDescent="0.3">
      <c r="A67" s="96"/>
      <c r="G67" s="96"/>
    </row>
    <row r="68" spans="1:7" x14ac:dyDescent="0.3">
      <c r="A68" s="96"/>
      <c r="G68" s="96"/>
    </row>
    <row r="69" spans="1:7" x14ac:dyDescent="0.3">
      <c r="G69" s="96"/>
    </row>
    <row r="70" spans="1:7" x14ac:dyDescent="0.3">
      <c r="G70" s="96"/>
    </row>
    <row r="71" spans="1:7" x14ac:dyDescent="0.3">
      <c r="G71" s="96"/>
    </row>
    <row r="72" spans="1:7" x14ac:dyDescent="0.3">
      <c r="G72" s="96"/>
    </row>
    <row r="73" spans="1:7" x14ac:dyDescent="0.3">
      <c r="G73" s="96"/>
    </row>
    <row r="74" spans="1:7" x14ac:dyDescent="0.3">
      <c r="G74" s="96"/>
    </row>
    <row r="75" spans="1:7" x14ac:dyDescent="0.3">
      <c r="G75" s="96"/>
    </row>
    <row r="76" spans="1:7" x14ac:dyDescent="0.3">
      <c r="G76" s="96"/>
    </row>
    <row r="77" spans="1:7" x14ac:dyDescent="0.3">
      <c r="G77" s="96"/>
    </row>
    <row r="78" spans="1:7" x14ac:dyDescent="0.3">
      <c r="G78" s="96"/>
    </row>
    <row r="79" spans="1:7" x14ac:dyDescent="0.3">
      <c r="G79" s="96"/>
    </row>
    <row r="80" spans="1:7" x14ac:dyDescent="0.3">
      <c r="G80" s="96"/>
    </row>
    <row r="81" spans="7:7" x14ac:dyDescent="0.3">
      <c r="G81" s="96"/>
    </row>
    <row r="82" spans="7:7" x14ac:dyDescent="0.3">
      <c r="G82" s="96"/>
    </row>
    <row r="83" spans="7:7" x14ac:dyDescent="0.3">
      <c r="G83" s="96"/>
    </row>
    <row r="84" spans="7:7" x14ac:dyDescent="0.3">
      <c r="G84" s="96"/>
    </row>
    <row r="85" spans="7:7" x14ac:dyDescent="0.3">
      <c r="G85" s="96"/>
    </row>
    <row r="86" spans="7:7" x14ac:dyDescent="0.3">
      <c r="G86" s="96"/>
    </row>
    <row r="87" spans="7:7" x14ac:dyDescent="0.3">
      <c r="G87" s="96"/>
    </row>
    <row r="88" spans="7:7" x14ac:dyDescent="0.3">
      <c r="G88" s="96"/>
    </row>
    <row r="89" spans="7:7" x14ac:dyDescent="0.3">
      <c r="G89" s="96"/>
    </row>
    <row r="90" spans="7:7" x14ac:dyDescent="0.3">
      <c r="G90" s="96"/>
    </row>
    <row r="91" spans="7:7" x14ac:dyDescent="0.3">
      <c r="G91" s="96"/>
    </row>
    <row r="92" spans="7:7" x14ac:dyDescent="0.3">
      <c r="G92" s="96"/>
    </row>
    <row r="93" spans="7:7" x14ac:dyDescent="0.3">
      <c r="G93" s="96"/>
    </row>
    <row r="94" spans="7:7" x14ac:dyDescent="0.3">
      <c r="G94" s="96"/>
    </row>
    <row r="95" spans="7:7" x14ac:dyDescent="0.3">
      <c r="G95" s="96"/>
    </row>
    <row r="96" spans="7:7" x14ac:dyDescent="0.3">
      <c r="G96" s="96"/>
    </row>
    <row r="97" spans="7:7" x14ac:dyDescent="0.3">
      <c r="G97" s="96"/>
    </row>
    <row r="98" spans="7:7" x14ac:dyDescent="0.3">
      <c r="G98" s="96"/>
    </row>
    <row r="99" spans="7:7" x14ac:dyDescent="0.3">
      <c r="G99" s="96"/>
    </row>
    <row r="100" spans="7:7" x14ac:dyDescent="0.3">
      <c r="G100" s="96"/>
    </row>
    <row r="101" spans="7:7" x14ac:dyDescent="0.3">
      <c r="G101" s="96"/>
    </row>
    <row r="102" spans="7:7" x14ac:dyDescent="0.3">
      <c r="G102" s="96"/>
    </row>
    <row r="103" spans="7:7" x14ac:dyDescent="0.3">
      <c r="G103" s="96"/>
    </row>
    <row r="104" spans="7:7" x14ac:dyDescent="0.3">
      <c r="G104" s="96"/>
    </row>
    <row r="105" spans="7:7" x14ac:dyDescent="0.3">
      <c r="G105" s="96"/>
    </row>
    <row r="106" spans="7:7" x14ac:dyDescent="0.3">
      <c r="G106" s="96"/>
    </row>
    <row r="107" spans="7:7" x14ac:dyDescent="0.3">
      <c r="G107" s="96"/>
    </row>
    <row r="108" spans="7:7" x14ac:dyDescent="0.3">
      <c r="G108" s="96"/>
    </row>
    <row r="109" spans="7:7" x14ac:dyDescent="0.3">
      <c r="G109" s="96"/>
    </row>
    <row r="110" spans="7:7" x14ac:dyDescent="0.3">
      <c r="G110" s="96"/>
    </row>
    <row r="111" spans="7:7" x14ac:dyDescent="0.3">
      <c r="G111" s="96"/>
    </row>
    <row r="112" spans="7:7" x14ac:dyDescent="0.3">
      <c r="G112" s="96"/>
    </row>
    <row r="113" spans="7:7" x14ac:dyDescent="0.3">
      <c r="G113" s="96"/>
    </row>
    <row r="114" spans="7:7" x14ac:dyDescent="0.3">
      <c r="G114" s="96"/>
    </row>
    <row r="115" spans="7:7" x14ac:dyDescent="0.3">
      <c r="G115" s="96"/>
    </row>
    <row r="116" spans="7:7" x14ac:dyDescent="0.3">
      <c r="G116" s="96"/>
    </row>
    <row r="117" spans="7:7" x14ac:dyDescent="0.3">
      <c r="G117" s="96"/>
    </row>
    <row r="118" spans="7:7" x14ac:dyDescent="0.3">
      <c r="G118" s="96"/>
    </row>
    <row r="119" spans="7:7" x14ac:dyDescent="0.3">
      <c r="G119" s="96"/>
    </row>
    <row r="120" spans="7:7" x14ac:dyDescent="0.3">
      <c r="G120" s="96"/>
    </row>
    <row r="121" spans="7:7" x14ac:dyDescent="0.3">
      <c r="G121" s="96"/>
    </row>
    <row r="122" spans="7:7" x14ac:dyDescent="0.3">
      <c r="G122" s="96"/>
    </row>
    <row r="123" spans="7:7" x14ac:dyDescent="0.3">
      <c r="G123" s="96"/>
    </row>
    <row r="124" spans="7:7" x14ac:dyDescent="0.3">
      <c r="G124" s="96"/>
    </row>
    <row r="125" spans="7:7" x14ac:dyDescent="0.3">
      <c r="G125" s="96"/>
    </row>
    <row r="126" spans="7:7" x14ac:dyDescent="0.3">
      <c r="G126" s="96"/>
    </row>
    <row r="127" spans="7:7" x14ac:dyDescent="0.3">
      <c r="G127" s="96"/>
    </row>
    <row r="128" spans="7:7" x14ac:dyDescent="0.3">
      <c r="G128" s="96"/>
    </row>
    <row r="129" spans="7:7" x14ac:dyDescent="0.3">
      <c r="G129" s="96"/>
    </row>
    <row r="130" spans="7:7" x14ac:dyDescent="0.3">
      <c r="G130" s="96"/>
    </row>
    <row r="131" spans="7:7" x14ac:dyDescent="0.3">
      <c r="G131" s="96"/>
    </row>
    <row r="132" spans="7:7" x14ac:dyDescent="0.3">
      <c r="G132" s="96"/>
    </row>
    <row r="133" spans="7:7" x14ac:dyDescent="0.3">
      <c r="G133" s="96"/>
    </row>
    <row r="134" spans="7:7" x14ac:dyDescent="0.3">
      <c r="G134" s="96"/>
    </row>
    <row r="135" spans="7:7" x14ac:dyDescent="0.3">
      <c r="G135" s="96"/>
    </row>
    <row r="136" spans="7:7" x14ac:dyDescent="0.3">
      <c r="G136" s="96"/>
    </row>
    <row r="137" spans="7:7" x14ac:dyDescent="0.3">
      <c r="G137" s="96"/>
    </row>
    <row r="138" spans="7:7" x14ac:dyDescent="0.3">
      <c r="G138" s="96"/>
    </row>
    <row r="139" spans="7:7" x14ac:dyDescent="0.3">
      <c r="G139" s="96"/>
    </row>
    <row r="140" spans="7:7" x14ac:dyDescent="0.3">
      <c r="G140" s="96"/>
    </row>
    <row r="141" spans="7:7" x14ac:dyDescent="0.3">
      <c r="G141" s="96"/>
    </row>
    <row r="142" spans="7:7" x14ac:dyDescent="0.3">
      <c r="G142" s="96"/>
    </row>
    <row r="143" spans="7:7" x14ac:dyDescent="0.3">
      <c r="G143" s="96"/>
    </row>
    <row r="144" spans="7:7" x14ac:dyDescent="0.3">
      <c r="G144" s="96"/>
    </row>
    <row r="145" spans="7:7" x14ac:dyDescent="0.3">
      <c r="G145" s="96"/>
    </row>
    <row r="146" spans="7:7" x14ac:dyDescent="0.3">
      <c r="G146" s="96"/>
    </row>
    <row r="147" spans="7:7" x14ac:dyDescent="0.3">
      <c r="G147" s="96"/>
    </row>
    <row r="148" spans="7:7" x14ac:dyDescent="0.3">
      <c r="G148" s="96"/>
    </row>
    <row r="149" spans="7:7" x14ac:dyDescent="0.3">
      <c r="G149" s="96"/>
    </row>
    <row r="150" spans="7:7" x14ac:dyDescent="0.3">
      <c r="G150" s="96"/>
    </row>
    <row r="151" spans="7:7" x14ac:dyDescent="0.3">
      <c r="G151" s="96"/>
    </row>
    <row r="152" spans="7:7" x14ac:dyDescent="0.3">
      <c r="G152" s="96"/>
    </row>
    <row r="153" spans="7:7" x14ac:dyDescent="0.3">
      <c r="G153" s="96"/>
    </row>
    <row r="154" spans="7:7" x14ac:dyDescent="0.3">
      <c r="G154" s="96"/>
    </row>
    <row r="155" spans="7:7" x14ac:dyDescent="0.3">
      <c r="G155" s="96"/>
    </row>
    <row r="156" spans="7:7" x14ac:dyDescent="0.3">
      <c r="G156" s="96"/>
    </row>
  </sheetData>
  <printOptions headings="1"/>
  <pageMargins left="0.74803149606299213" right="0.74803149606299213" top="0.98425196850393704" bottom="0.98425196850393704" header="0.51181102362204722" footer="0.51181102362204722"/>
  <pageSetup paperSize="9" scale="82" orientation="portrait" horizontalDpi="300" verticalDpi="300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/>
  </sheetViews>
  <sheetFormatPr defaultRowHeight="13" x14ac:dyDescent="0.3"/>
  <sheetData>
    <row r="1" spans="1:9" x14ac:dyDescent="0.3">
      <c r="A1" s="61" t="s">
        <v>0</v>
      </c>
    </row>
    <row r="2" spans="1:9" x14ac:dyDescent="0.3">
      <c r="A2" s="9" t="s">
        <v>163</v>
      </c>
    </row>
    <row r="3" spans="1:9" x14ac:dyDescent="0.3">
      <c r="A3" s="1"/>
    </row>
    <row r="4" spans="1:9" x14ac:dyDescent="0.3">
      <c r="B4" t="s">
        <v>164</v>
      </c>
      <c r="C4" s="15">
        <v>1.1000000000000001</v>
      </c>
      <c r="D4" s="15">
        <v>1.2</v>
      </c>
      <c r="E4" s="15">
        <v>1.3</v>
      </c>
    </row>
    <row r="5" spans="1:9" x14ac:dyDescent="0.3">
      <c r="C5" s="15">
        <v>1.6</v>
      </c>
      <c r="D5" s="15">
        <v>1.5</v>
      </c>
      <c r="E5" s="15">
        <v>1.4</v>
      </c>
    </row>
    <row r="6" spans="1:9" x14ac:dyDescent="0.3">
      <c r="C6" s="15">
        <v>1.8</v>
      </c>
      <c r="D6" s="15">
        <v>1.8</v>
      </c>
      <c r="E6" s="15">
        <v>1.9</v>
      </c>
      <c r="G6" s="1" t="s">
        <v>21</v>
      </c>
    </row>
    <row r="7" spans="1:9" ht="13.5" thickBot="1" x14ac:dyDescent="0.35"/>
    <row r="8" spans="1:9" ht="13.5" thickBot="1" x14ac:dyDescent="0.35">
      <c r="B8" s="16" t="s">
        <v>165</v>
      </c>
      <c r="C8" s="17"/>
      <c r="D8" s="18"/>
      <c r="G8" s="8">
        <v>-2.6999999999999927E-2</v>
      </c>
    </row>
    <row r="9" spans="1:9" ht="13.5" thickBot="1" x14ac:dyDescent="0.35"/>
    <row r="10" spans="1:9" x14ac:dyDescent="0.3">
      <c r="B10" t="s">
        <v>166</v>
      </c>
      <c r="C10" s="19"/>
      <c r="D10" s="20"/>
      <c r="E10" s="21"/>
      <c r="G10" s="7">
        <v>-12.222222222222252</v>
      </c>
      <c r="H10" s="7">
        <v>-2.222222222222237</v>
      </c>
      <c r="I10" s="7">
        <v>10</v>
      </c>
    </row>
    <row r="11" spans="1:9" x14ac:dyDescent="0.3">
      <c r="C11" s="22"/>
      <c r="D11" s="23"/>
      <c r="E11" s="24"/>
      <c r="G11" s="7">
        <v>19.259259259259313</v>
      </c>
      <c r="H11" s="7">
        <v>9.2592592592592826</v>
      </c>
      <c r="I11" s="7">
        <v>-20.000000000000057</v>
      </c>
    </row>
    <row r="12" spans="1:9" ht="13.5" thickBot="1" x14ac:dyDescent="0.35">
      <c r="C12" s="25"/>
      <c r="D12" s="26"/>
      <c r="E12" s="27"/>
      <c r="G12" s="7">
        <v>-6.6666666666666901</v>
      </c>
      <c r="H12" s="7">
        <v>-6.6666666666666758</v>
      </c>
      <c r="I12" s="7">
        <v>10</v>
      </c>
    </row>
    <row r="13" spans="1:9" ht="13.5" thickBot="1" x14ac:dyDescent="0.35"/>
    <row r="14" spans="1:9" x14ac:dyDescent="0.3">
      <c r="B14" t="s">
        <v>167</v>
      </c>
      <c r="C14" s="19"/>
      <c r="D14" s="20"/>
      <c r="E14" s="21"/>
      <c r="G14" s="7">
        <v>1.1000000000000001</v>
      </c>
      <c r="H14" s="7">
        <v>1.6</v>
      </c>
      <c r="I14" s="7">
        <v>1.8</v>
      </c>
    </row>
    <row r="15" spans="1:9" x14ac:dyDescent="0.3">
      <c r="C15" s="22"/>
      <c r="D15" s="23"/>
      <c r="E15" s="24"/>
      <c r="G15" s="7">
        <v>1.2</v>
      </c>
      <c r="H15" s="7">
        <v>1.5</v>
      </c>
      <c r="I15" s="7">
        <v>1.8</v>
      </c>
    </row>
    <row r="16" spans="1:9" ht="13.5" thickBot="1" x14ac:dyDescent="0.35">
      <c r="C16" s="25"/>
      <c r="D16" s="26"/>
      <c r="E16" s="27"/>
      <c r="G16" s="7">
        <v>1.3</v>
      </c>
      <c r="H16" s="7">
        <v>1.4</v>
      </c>
      <c r="I16" s="7">
        <v>1.9</v>
      </c>
    </row>
    <row r="18" spans="1:9" x14ac:dyDescent="0.3">
      <c r="A18" s="9" t="s">
        <v>168</v>
      </c>
    </row>
    <row r="19" spans="1:9" x14ac:dyDescent="0.3">
      <c r="A19" s="1"/>
    </row>
    <row r="20" spans="1:9" x14ac:dyDescent="0.3">
      <c r="B20" t="s">
        <v>164</v>
      </c>
      <c r="C20" s="15">
        <v>1.1000000000000001</v>
      </c>
      <c r="D20" s="15">
        <v>1.2</v>
      </c>
      <c r="E20" s="15">
        <v>1.3</v>
      </c>
      <c r="G20" t="s">
        <v>169</v>
      </c>
      <c r="H20" s="15">
        <v>0.8</v>
      </c>
      <c r="I20" s="15">
        <v>1.4</v>
      </c>
    </row>
    <row r="21" spans="1:9" x14ac:dyDescent="0.3">
      <c r="C21" s="15">
        <v>1.6</v>
      </c>
      <c r="D21" s="15">
        <v>1.5</v>
      </c>
      <c r="E21" s="15">
        <v>1.4</v>
      </c>
      <c r="H21" s="15">
        <v>1.1000000000000001</v>
      </c>
      <c r="I21" s="15">
        <v>2</v>
      </c>
    </row>
    <row r="22" spans="1:9" x14ac:dyDescent="0.3">
      <c r="C22" s="15">
        <v>1.8</v>
      </c>
      <c r="D22" s="15">
        <v>1.8</v>
      </c>
      <c r="E22" s="15">
        <v>1.9</v>
      </c>
      <c r="H22" s="15">
        <v>0.5</v>
      </c>
      <c r="I22" s="15">
        <v>2.7</v>
      </c>
    </row>
    <row r="24" spans="1:9" ht="13.5" thickBot="1" x14ac:dyDescent="0.35">
      <c r="B24" t="s">
        <v>170</v>
      </c>
      <c r="C24" t="s">
        <v>171</v>
      </c>
    </row>
    <row r="25" spans="1:9" x14ac:dyDescent="0.3">
      <c r="D25" s="19"/>
      <c r="E25" s="21"/>
      <c r="H25" s="7">
        <v>2.85</v>
      </c>
      <c r="I25" s="7">
        <v>7.45</v>
      </c>
    </row>
    <row r="26" spans="1:9" x14ac:dyDescent="0.3">
      <c r="D26" s="22"/>
      <c r="E26" s="24"/>
      <c r="H26" s="7">
        <v>3.63</v>
      </c>
      <c r="I26" s="7">
        <v>9.02</v>
      </c>
    </row>
    <row r="27" spans="1:9" ht="13.5" thickBot="1" x14ac:dyDescent="0.35">
      <c r="D27" s="25"/>
      <c r="E27" s="27"/>
      <c r="H27" s="7">
        <v>4.37</v>
      </c>
      <c r="I27" s="7">
        <v>11.25</v>
      </c>
    </row>
    <row r="30" spans="1:9" x14ac:dyDescent="0.3">
      <c r="B30" t="s">
        <v>170</v>
      </c>
      <c r="C30" s="2" t="s">
        <v>172</v>
      </c>
    </row>
    <row r="31" spans="1:9" ht="13.5" thickBot="1" x14ac:dyDescent="0.35">
      <c r="C31" s="2"/>
    </row>
    <row r="32" spans="1:9" x14ac:dyDescent="0.3">
      <c r="C32" s="19"/>
      <c r="D32" s="20"/>
      <c r="E32" s="21"/>
      <c r="G32" s="7">
        <v>3.54</v>
      </c>
      <c r="H32" s="7">
        <v>3.51</v>
      </c>
      <c r="I32" s="7">
        <v>3.53</v>
      </c>
    </row>
    <row r="33" spans="3:9" ht="13.5" thickBot="1" x14ac:dyDescent="0.35">
      <c r="C33" s="25"/>
      <c r="D33" s="26"/>
      <c r="E33" s="27"/>
      <c r="G33" s="7">
        <v>9.6</v>
      </c>
      <c r="H33" s="7">
        <v>9.5399999999999991</v>
      </c>
      <c r="I33" s="7">
        <v>9.75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Frequency</vt:lpstr>
      <vt:lpstr>SNorm</vt:lpstr>
      <vt:lpstr>Lookup</vt:lpstr>
      <vt:lpstr>Bonds</vt:lpstr>
      <vt:lpstr>CompoundDTab</vt:lpstr>
      <vt:lpstr>BSDTab</vt:lpstr>
      <vt:lpstr>Beta</vt:lpstr>
      <vt:lpstr>MatDef</vt:lpstr>
      <vt:lpstr>MatExs</vt:lpstr>
      <vt:lpstr>MatDef!A</vt:lpstr>
      <vt:lpstr>ComRate</vt:lpstr>
      <vt:lpstr>Index</vt:lpstr>
      <vt:lpstr>invA</vt:lpstr>
      <vt:lpstr>regoutput</vt:lpstr>
      <vt:lpstr>ShareA</vt:lpstr>
      <vt:lpstr>Y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Models for AMF chapter 2 </dc:title>
  <dc:creator>Mary Jackson and Mike Staunton</dc:creator>
  <cp:lastModifiedBy>Carina Negreanu</cp:lastModifiedBy>
  <cp:lastPrinted>2000-08-17T15:52:13Z</cp:lastPrinted>
  <dcterms:created xsi:type="dcterms:W3CDTF">2000-07-16T11:21:18Z</dcterms:created>
  <dcterms:modified xsi:type="dcterms:W3CDTF">2020-01-27T11:14:35Z</dcterms:modified>
</cp:coreProperties>
</file>