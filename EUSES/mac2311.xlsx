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1713F0-6612-4517-8BF9-D064BFC454D6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</sheets>
  <definedNames>
    <definedName name="HTML_CodePage" hidden="1">1252</definedName>
    <definedName name="HTML_Control" hidden="1">{"'Sheet3'!$A$1:$AJ$5"}</definedName>
    <definedName name="HTML_Description" hidden="1">""</definedName>
    <definedName name="HTML_Email" hidden="1">""</definedName>
    <definedName name="HTML_Header" hidden="1">"MAC2311 EXAMPLE SHEET"</definedName>
    <definedName name="HTML_LastUpdate" hidden="1">"8/26/98"</definedName>
    <definedName name="HTML_LineAfter" hidden="1">FALSE</definedName>
    <definedName name="HTML_LineBefore" hidden="1">FALSE</definedName>
    <definedName name="HTML_Name" hidden="1">"Douglas Knudsen"</definedName>
    <definedName name="HTML_OBDlg2" hidden="1">TRUE</definedName>
    <definedName name="HTML_OBDlg4" hidden="1">TRUE</definedName>
    <definedName name="HTML_OS" hidden="1">0</definedName>
    <definedName name="HTML_PathFile" hidden="1">"C:\Dougs\Mac1142sum98\WEb\sample2311.htm"</definedName>
    <definedName name="HTML_Title" hidden="1">"Mac2311"</definedName>
  </definedNames>
  <calcPr calcId="0"/>
</workbook>
</file>

<file path=xl/calcChain.xml><?xml version="1.0" encoding="utf-8"?>
<calcChain xmlns="http://schemas.openxmlformats.org/spreadsheetml/2006/main">
  <c r="K3" i="1" l="1"/>
  <c r="T3" i="1"/>
  <c r="AC3" i="1"/>
  <c r="AD3" i="1"/>
  <c r="AE3" i="1"/>
  <c r="K4" i="1"/>
  <c r="T4" i="1"/>
  <c r="AC4" i="1"/>
  <c r="AD4" i="1"/>
  <c r="AE4" i="1"/>
  <c r="K5" i="1"/>
  <c r="T5" i="1"/>
  <c r="AC5" i="1"/>
  <c r="AD5" i="1"/>
  <c r="AE5" i="1"/>
  <c r="K6" i="1"/>
  <c r="T6" i="1"/>
  <c r="AC6" i="1"/>
  <c r="AD6" i="1"/>
  <c r="AE6" i="1"/>
  <c r="K7" i="1"/>
  <c r="T7" i="1"/>
  <c r="AC7" i="1"/>
  <c r="AD7" i="1"/>
  <c r="AE7" i="1"/>
  <c r="K8" i="1"/>
  <c r="T8" i="1"/>
  <c r="AC8" i="1"/>
  <c r="AD8" i="1"/>
  <c r="AE8" i="1"/>
  <c r="K9" i="1"/>
  <c r="T9" i="1"/>
  <c r="AC9" i="1"/>
  <c r="AD9" i="1"/>
  <c r="AE9" i="1"/>
  <c r="K10" i="1"/>
  <c r="T10" i="1"/>
  <c r="AC10" i="1"/>
  <c r="AD10" i="1"/>
  <c r="AE10" i="1"/>
  <c r="K11" i="1"/>
  <c r="T11" i="1"/>
  <c r="AC11" i="1"/>
  <c r="AD11" i="1"/>
  <c r="AE11" i="1"/>
  <c r="K12" i="1"/>
  <c r="T12" i="1"/>
  <c r="AC12" i="1"/>
  <c r="AD12" i="1"/>
  <c r="AE12" i="1"/>
  <c r="K13" i="1"/>
  <c r="T13" i="1"/>
  <c r="AC13" i="1"/>
  <c r="AD13" i="1"/>
  <c r="AE13" i="1"/>
  <c r="K14" i="1"/>
  <c r="T14" i="1"/>
  <c r="AC14" i="1"/>
  <c r="AD14" i="1"/>
  <c r="AE14" i="1"/>
  <c r="K15" i="1"/>
  <c r="T15" i="1"/>
  <c r="AC15" i="1"/>
  <c r="AD15" i="1"/>
  <c r="AE15" i="1"/>
  <c r="K16" i="1"/>
  <c r="T16" i="1"/>
  <c r="AC16" i="1"/>
  <c r="AD16" i="1"/>
  <c r="AE16" i="1"/>
  <c r="K17" i="1"/>
  <c r="T17" i="1"/>
  <c r="AC17" i="1"/>
  <c r="AD17" i="1"/>
  <c r="AE17" i="1"/>
  <c r="K18" i="1"/>
  <c r="T18" i="1"/>
  <c r="AC18" i="1"/>
  <c r="AD18" i="1"/>
  <c r="AE18" i="1"/>
  <c r="K19" i="1"/>
  <c r="T19" i="1"/>
  <c r="AC19" i="1"/>
  <c r="AD19" i="1"/>
  <c r="AE19" i="1"/>
  <c r="K20" i="1"/>
  <c r="T20" i="1"/>
  <c r="AC20" i="1"/>
  <c r="AD20" i="1"/>
  <c r="AE20" i="1"/>
  <c r="K21" i="1"/>
  <c r="T21" i="1"/>
  <c r="AC21" i="1"/>
  <c r="AD21" i="1"/>
  <c r="AE21" i="1"/>
  <c r="K22" i="1"/>
  <c r="T22" i="1"/>
  <c r="AC22" i="1"/>
  <c r="AD22" i="1"/>
  <c r="AE22" i="1"/>
  <c r="K23" i="1"/>
  <c r="T23" i="1"/>
  <c r="AC23" i="1"/>
  <c r="AD23" i="1"/>
  <c r="AE23" i="1"/>
  <c r="K24" i="1"/>
  <c r="T24" i="1"/>
  <c r="AC24" i="1"/>
  <c r="AD24" i="1"/>
  <c r="AE24" i="1"/>
  <c r="K25" i="1"/>
  <c r="T25" i="1"/>
  <c r="AC25" i="1"/>
  <c r="AD25" i="1"/>
  <c r="AE25" i="1"/>
  <c r="K26" i="1"/>
  <c r="T26" i="1"/>
  <c r="AC26" i="1"/>
  <c r="AD26" i="1"/>
  <c r="AE26" i="1"/>
  <c r="K27" i="1"/>
  <c r="T27" i="1"/>
  <c r="AC27" i="1"/>
  <c r="AD27" i="1"/>
  <c r="AE27" i="1"/>
  <c r="K28" i="1"/>
  <c r="T28" i="1"/>
  <c r="AC28" i="1"/>
  <c r="AD28" i="1"/>
  <c r="AE28" i="1"/>
  <c r="K29" i="1"/>
  <c r="T29" i="1"/>
  <c r="AC29" i="1"/>
  <c r="AD29" i="1"/>
  <c r="AE29" i="1"/>
  <c r="K30" i="1"/>
  <c r="T30" i="1"/>
  <c r="AC30" i="1"/>
  <c r="AD30" i="1"/>
  <c r="AE30" i="1"/>
  <c r="K31" i="1"/>
  <c r="T31" i="1"/>
  <c r="AC31" i="1"/>
  <c r="AD31" i="1"/>
  <c r="AE31" i="1"/>
  <c r="K32" i="1"/>
  <c r="T32" i="1"/>
  <c r="AC32" i="1"/>
  <c r="AD32" i="1"/>
  <c r="AE32" i="1"/>
  <c r="K33" i="1"/>
  <c r="T33" i="1"/>
  <c r="AC33" i="1"/>
  <c r="AD33" i="1"/>
  <c r="AE33" i="1"/>
  <c r="K34" i="1"/>
  <c r="T34" i="1"/>
  <c r="AC34" i="1"/>
  <c r="AD34" i="1"/>
  <c r="AE34" i="1"/>
  <c r="K35" i="1"/>
  <c r="T35" i="1"/>
  <c r="AC35" i="1"/>
  <c r="AD35" i="1"/>
  <c r="AE35" i="1"/>
  <c r="K36" i="1"/>
  <c r="T36" i="1"/>
  <c r="AC36" i="1"/>
  <c r="AD36" i="1"/>
  <c r="AE36" i="1"/>
  <c r="K37" i="1"/>
  <c r="T37" i="1"/>
  <c r="AC37" i="1"/>
  <c r="AD37" i="1"/>
  <c r="AE37" i="1"/>
  <c r="K38" i="1"/>
  <c r="T38" i="1"/>
  <c r="AC38" i="1"/>
  <c r="AD38" i="1"/>
  <c r="AE38" i="1"/>
  <c r="K39" i="1"/>
  <c r="T39" i="1"/>
  <c r="AC39" i="1"/>
  <c r="AD39" i="1"/>
  <c r="AE39" i="1"/>
  <c r="K40" i="1"/>
  <c r="T40" i="1"/>
  <c r="AC40" i="1"/>
  <c r="AD40" i="1"/>
  <c r="AE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</calcChain>
</file>

<file path=xl/sharedStrings.xml><?xml version="1.0" encoding="utf-8"?>
<sst xmlns="http://schemas.openxmlformats.org/spreadsheetml/2006/main" count="120" uniqueCount="68">
  <si>
    <t>GRADES</t>
  </si>
  <si>
    <t>SECTION  #HERE</t>
  </si>
  <si>
    <t xml:space="preserve">INSTRUCTOR </t>
  </si>
  <si>
    <t>SS#</t>
  </si>
  <si>
    <t>Name</t>
  </si>
  <si>
    <t>P1</t>
  </si>
  <si>
    <t>P2</t>
  </si>
  <si>
    <t>P3</t>
  </si>
  <si>
    <t>P4</t>
  </si>
  <si>
    <t>P5</t>
  </si>
  <si>
    <t>P6</t>
  </si>
  <si>
    <t>P7</t>
  </si>
  <si>
    <t>P8</t>
  </si>
  <si>
    <t>PTOT</t>
  </si>
  <si>
    <t>Q1</t>
  </si>
  <si>
    <t>Q2</t>
  </si>
  <si>
    <t>Q3</t>
  </si>
  <si>
    <t>Q4</t>
  </si>
  <si>
    <t>Q5</t>
  </si>
  <si>
    <t>Q6</t>
  </si>
  <si>
    <t>Q7</t>
  </si>
  <si>
    <t>Q8</t>
  </si>
  <si>
    <t>QTOT</t>
  </si>
  <si>
    <t>T1</t>
  </si>
  <si>
    <t>T2</t>
  </si>
  <si>
    <t>MUA</t>
  </si>
  <si>
    <t>T3</t>
  </si>
  <si>
    <t>T4</t>
  </si>
  <si>
    <t>MUB</t>
  </si>
  <si>
    <t>FINAL</t>
  </si>
  <si>
    <t>Xtra</t>
  </si>
  <si>
    <t>TEStot</t>
  </si>
  <si>
    <t>TOT</t>
  </si>
  <si>
    <t>GRADE</t>
  </si>
  <si>
    <t>013456789</t>
  </si>
  <si>
    <t>Doe, John</t>
  </si>
  <si>
    <t>Kaiser, Jennifer</t>
  </si>
  <si>
    <t>Lombardi, John</t>
  </si>
  <si>
    <t>AVERAGES</t>
  </si>
  <si>
    <t>ATTENDENCE</t>
  </si>
  <si>
    <t xml:space="preserve"> </t>
  </si>
  <si>
    <t>SECTION   3048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</si>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</sst>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3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Protection="1"/>
    <xf numFmtId="172" fontId="0" fillId="0" borderId="0" xfId="0" applyNumberFormat="1" applyProtection="1"/>
    <xf numFmtId="172" fontId="1" fillId="0" borderId="0" xfId="0" applyNumberFormat="1" applyFont="1" applyProtection="1"/>
    <xf numFmtId="0" fontId="0" fillId="0" borderId="0" xfId="0" applyProtection="1"/>
    <xf numFmtId="49" fontId="1" fillId="0" borderId="0" xfId="0" applyNumberFormat="1" applyFont="1" applyProtection="1"/>
    <xf numFmtId="172" fontId="1" fillId="0" borderId="0" xfId="0" applyNumberFormat="1" applyFont="1" applyAlignment="1" applyProtection="1">
      <alignment horizontal="right"/>
    </xf>
    <xf numFmtId="0" fontId="1" fillId="0" borderId="0" xfId="0" applyFont="1" applyAlignment="1" applyProtection="1">
      <alignment horizontal="right"/>
    </xf>
    <xf numFmtId="0" fontId="0" fillId="0" borderId="0" xfId="0" applyProtection="1">
      <protection locked="0"/>
    </xf>
    <xf numFmtId="172" fontId="0" fillId="0" borderId="0" xfId="0" applyNumberFormat="1" applyProtection="1">
      <protection locked="0"/>
    </xf>
    <xf numFmtId="172" fontId="0" fillId="0" borderId="0" xfId="0" applyNumberFormat="1"/>
    <xf numFmtId="0" fontId="1" fillId="0" borderId="0" xfId="0" applyFont="1"/>
    <xf numFmtId="49" fontId="0" fillId="0" borderId="0" xfId="0" applyNumberFormat="1"/>
    <xf numFmtId="17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/>
    <xf numFmtId="17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72" fontId="2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right"/>
    </xf>
    <xf numFmtId="172" fontId="2" fillId="0" borderId="0" xfId="0" applyNumberFormat="1" applyFont="1" applyAlignment="1" applyProtection="1">
      <alignment horizontal="right"/>
    </xf>
    <xf numFmtId="49" fontId="0" fillId="0" borderId="0" xfId="0" applyNumberFormat="1" applyProtection="1">
      <protection locked="0"/>
    </xf>
    <xf numFmtId="172" fontId="0" fillId="0" borderId="0" xfId="0" applyNumberForma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79"/>
  <sheetViews>
    <sheetView tabSelected="1" workbookViewId="0">
      <selection activeCell="AC3" sqref="AC3"/>
    </sheetView>
  </sheetViews>
  <sheetFormatPr defaultRowHeight="12.5" x14ac:dyDescent="0.25"/>
  <cols>
    <col min="1" max="1" width="11" customWidth="1"/>
    <col min="2" max="2" width="14" customWidth="1"/>
    <col min="3" max="3" width="3.54296875" style="10" customWidth="1"/>
    <col min="4" max="4" width="3.26953125" style="10" customWidth="1"/>
    <col min="5" max="5" width="3.7265625" style="10" customWidth="1"/>
    <col min="6" max="6" width="3.54296875" style="10" customWidth="1"/>
    <col min="7" max="7" width="3.7265625" style="10" customWidth="1"/>
    <col min="8" max="8" width="3.453125" style="10" customWidth="1"/>
    <col min="9" max="9" width="3.7265625" style="10" customWidth="1"/>
    <col min="10" max="10" width="3.453125" style="10" customWidth="1"/>
    <col min="11" max="11" width="5.54296875" style="10" customWidth="1"/>
    <col min="12" max="12" width="4.54296875" style="10" customWidth="1"/>
    <col min="13" max="13" width="4.26953125" style="10" customWidth="1"/>
    <col min="14" max="14" width="4.453125" style="10" customWidth="1"/>
    <col min="15" max="15" width="3.7265625" style="10" customWidth="1"/>
    <col min="16" max="16" width="3.81640625" style="10" customWidth="1"/>
    <col min="17" max="18" width="4" style="10" customWidth="1"/>
    <col min="19" max="19" width="3.81640625" style="10" customWidth="1"/>
    <col min="20" max="20" width="6.1796875" style="10" customWidth="1"/>
    <col min="21" max="21" width="4.81640625" style="10" customWidth="1"/>
    <col min="22" max="22" width="4.54296875" style="10" customWidth="1"/>
    <col min="23" max="23" width="5.54296875" customWidth="1"/>
    <col min="24" max="24" width="4.7265625" customWidth="1"/>
    <col min="25" max="25" width="4.54296875" customWidth="1"/>
    <col min="26" max="26" width="4.7265625" customWidth="1"/>
    <col min="27" max="27" width="5" customWidth="1"/>
    <col min="28" max="28" width="4.26953125" customWidth="1"/>
    <col min="29" max="29" width="5.81640625" customWidth="1"/>
    <col min="30" max="30" width="5.7265625" customWidth="1"/>
    <col min="31" max="31" width="4.26953125" customWidth="1"/>
    <col min="32" max="32" width="6.7265625" customWidth="1"/>
    <col min="33" max="33" width="5.81640625" customWidth="1"/>
    <col min="34" max="34" width="7" customWidth="1"/>
    <col min="35" max="84" width="8.7265625" style="8"/>
  </cols>
  <sheetData>
    <row r="1" spans="1:84" ht="13" x14ac:dyDescent="0.3">
      <c r="A1" s="1" t="s">
        <v>0</v>
      </c>
      <c r="B1" s="24"/>
      <c r="C1" s="21" t="s">
        <v>1</v>
      </c>
      <c r="D1" s="25"/>
      <c r="E1" s="25"/>
      <c r="F1" s="9"/>
      <c r="G1" s="9"/>
      <c r="H1" s="9"/>
      <c r="I1" s="9"/>
      <c r="J1" s="9"/>
      <c r="K1" s="20" t="s">
        <v>2</v>
      </c>
      <c r="L1" s="9"/>
      <c r="M1" s="9"/>
      <c r="N1" s="9"/>
      <c r="O1" s="9"/>
      <c r="P1" s="9"/>
      <c r="Q1" s="9"/>
      <c r="R1" s="9"/>
      <c r="S1" s="9"/>
      <c r="U1" s="3" t="s">
        <v>0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8"/>
      <c r="AH1" s="8"/>
      <c r="CE1"/>
      <c r="CF1"/>
    </row>
    <row r="2" spans="1:84" ht="13" x14ac:dyDescent="0.3">
      <c r="A2" s="5" t="s">
        <v>3</v>
      </c>
      <c r="B2" s="1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23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6" t="s">
        <v>19</v>
      </c>
      <c r="R2" s="6" t="s">
        <v>20</v>
      </c>
      <c r="S2" s="6" t="s">
        <v>21</v>
      </c>
      <c r="T2" s="1" t="s">
        <v>22</v>
      </c>
      <c r="U2" s="7" t="s">
        <v>23</v>
      </c>
      <c r="V2" s="7" t="s">
        <v>24</v>
      </c>
      <c r="W2" s="7" t="s">
        <v>25</v>
      </c>
      <c r="X2" s="7" t="s">
        <v>26</v>
      </c>
      <c r="Y2" s="7" t="s">
        <v>27</v>
      </c>
      <c r="Z2" s="7" t="s">
        <v>28</v>
      </c>
      <c r="AA2" s="7" t="s">
        <v>29</v>
      </c>
      <c r="AB2" s="22" t="s">
        <v>30</v>
      </c>
      <c r="AC2" s="1" t="s">
        <v>31</v>
      </c>
      <c r="AD2" s="1" t="s">
        <v>32</v>
      </c>
      <c r="AE2" s="1" t="s">
        <v>33</v>
      </c>
      <c r="AF2" s="8"/>
      <c r="AG2" s="8"/>
      <c r="AH2" s="8"/>
      <c r="CD2"/>
      <c r="CE2"/>
      <c r="CF2"/>
    </row>
    <row r="3" spans="1:84" x14ac:dyDescent="0.25">
      <c r="A3" s="24" t="s">
        <v>34</v>
      </c>
      <c r="B3" s="8" t="s">
        <v>35</v>
      </c>
      <c r="C3" s="9">
        <v>4</v>
      </c>
      <c r="D3" s="9">
        <v>5</v>
      </c>
      <c r="E3" s="9">
        <v>4.5</v>
      </c>
      <c r="F3" s="9">
        <v>3</v>
      </c>
      <c r="G3" s="9">
        <v>0</v>
      </c>
      <c r="H3" s="9">
        <v>0</v>
      </c>
      <c r="I3" s="9">
        <v>0</v>
      </c>
      <c r="J3" s="9">
        <v>5</v>
      </c>
      <c r="K3" s="2">
        <f t="shared" ref="K3:K40" si="0">SUM(C3:J3)-SMALL(C3:J3,1)-SMALL(C3:J3,2)</f>
        <v>21.5</v>
      </c>
      <c r="L3" s="9">
        <v>7.5</v>
      </c>
      <c r="M3" s="9">
        <v>7</v>
      </c>
      <c r="N3" s="9">
        <v>8</v>
      </c>
      <c r="O3" s="9">
        <v>6</v>
      </c>
      <c r="P3" s="9">
        <v>8</v>
      </c>
      <c r="Q3" s="9">
        <v>9</v>
      </c>
      <c r="R3" s="9">
        <v>9</v>
      </c>
      <c r="S3" s="9">
        <v>8.5</v>
      </c>
      <c r="T3" s="10">
        <f t="shared" ref="T3:T40" si="1">SUM(L3:S3)-SMALL(L3:S3,1) -SMALL(L3:S3,2)</f>
        <v>50</v>
      </c>
      <c r="U3" s="9">
        <v>45</v>
      </c>
      <c r="V3" s="9">
        <v>55</v>
      </c>
      <c r="W3" s="9">
        <v>60</v>
      </c>
      <c r="X3" s="9">
        <v>45</v>
      </c>
      <c r="Y3" s="9">
        <v>55</v>
      </c>
      <c r="Z3" s="9"/>
      <c r="AA3" s="9">
        <v>90</v>
      </c>
      <c r="AB3" s="8">
        <v>6</v>
      </c>
      <c r="AC3" s="10">
        <f>IF(ISBLANK(W3),SUM(U3:V3),SMALL(U3:W3,3)+SMALL(U3:W3,2))+IF(ISBLANK(Z3),SUM(X3:Y3),SMALL(X3:Z3,3)+SMALL(X3:Z3,2))+AA3</f>
        <v>305</v>
      </c>
      <c r="AD3" s="10">
        <f t="shared" ref="AD3:AD40" si="2">K3+T3+AB3+AC3</f>
        <v>382.5</v>
      </c>
      <c r="AE3" t="str">
        <f>IF(AD3&gt;=400,"A",IF(AD3&gt;=380,"B+",IF(AD3&gt;=350,"B",IF(AD3&gt;=330,"C+",IF(AD3&gt;=300,"C",IF(AD3&gt;=280,"D+",IF(AD3&gt;=250,"D","E")))))))</f>
        <v>B+</v>
      </c>
      <c r="AF3" s="8"/>
      <c r="AG3" s="8"/>
      <c r="AH3" s="8"/>
      <c r="CD3"/>
      <c r="CE3"/>
      <c r="CF3"/>
    </row>
    <row r="4" spans="1:84" x14ac:dyDescent="0.25">
      <c r="A4" s="24">
        <v>987654321</v>
      </c>
      <c r="B4" s="8" t="s">
        <v>36</v>
      </c>
      <c r="C4" s="9">
        <v>4.5</v>
      </c>
      <c r="D4" s="9">
        <v>4</v>
      </c>
      <c r="E4" s="9">
        <v>4</v>
      </c>
      <c r="F4" s="9">
        <v>5</v>
      </c>
      <c r="G4" s="9">
        <v>5</v>
      </c>
      <c r="H4" s="9">
        <v>4.5</v>
      </c>
      <c r="I4" s="9">
        <v>0</v>
      </c>
      <c r="J4" s="9">
        <v>4</v>
      </c>
      <c r="K4" s="2">
        <f t="shared" si="0"/>
        <v>27</v>
      </c>
      <c r="L4" s="9">
        <v>5</v>
      </c>
      <c r="M4" s="9">
        <v>3.5</v>
      </c>
      <c r="N4" s="9">
        <v>4.5</v>
      </c>
      <c r="O4" s="9">
        <v>9</v>
      </c>
      <c r="P4" s="9">
        <v>9</v>
      </c>
      <c r="Q4" s="9">
        <v>9</v>
      </c>
      <c r="R4" s="9">
        <v>9</v>
      </c>
      <c r="S4" s="9">
        <v>9</v>
      </c>
      <c r="T4" s="10">
        <f t="shared" si="1"/>
        <v>50</v>
      </c>
      <c r="U4" s="9">
        <v>65</v>
      </c>
      <c r="V4" s="9">
        <v>60</v>
      </c>
      <c r="W4" s="9"/>
      <c r="X4" s="9">
        <v>55</v>
      </c>
      <c r="Y4" s="9">
        <v>35</v>
      </c>
      <c r="Z4" s="9">
        <v>50</v>
      </c>
      <c r="AA4" s="9">
        <v>65</v>
      </c>
      <c r="AB4" s="8">
        <v>2</v>
      </c>
      <c r="AC4" s="10">
        <f t="shared" ref="AC4:AC40" si="3">IF(ISBLANK(W4),SUM(U4:V4),SMALL(U4:W4,3)+SMALL(U4:W4,2))+IF(ISBLANK(Z4),SUM(X4:Y4),SMALL(X4:Z4,3)+SMALL(X4:Z4,2))+AA4</f>
        <v>295</v>
      </c>
      <c r="AD4" s="10">
        <f t="shared" si="2"/>
        <v>374</v>
      </c>
      <c r="AE4" t="str">
        <f t="shared" ref="AE4:AE40" si="4">IF(AD4&gt;=400,"A",IF(AD4&gt;=380,"B+",IF(AD4&gt;=350,"B",IF(AD4&gt;=330,"C+",IF(AD4&gt;=300,"C",IF(AD4&gt;=280,"D+",IF(AD4&gt;=250,"D","E")))))))</f>
        <v>B</v>
      </c>
      <c r="AF4" s="8"/>
      <c r="AG4" s="8"/>
      <c r="AH4" s="8"/>
      <c r="CD4"/>
      <c r="CE4"/>
      <c r="CF4"/>
    </row>
    <row r="5" spans="1:84" x14ac:dyDescent="0.25">
      <c r="A5" s="24">
        <v>192837465</v>
      </c>
      <c r="B5" s="8" t="s">
        <v>37</v>
      </c>
      <c r="C5" s="9">
        <v>1</v>
      </c>
      <c r="D5" s="9">
        <v>0</v>
      </c>
      <c r="E5" s="9">
        <v>0</v>
      </c>
      <c r="F5" s="9">
        <v>3</v>
      </c>
      <c r="G5" s="9">
        <v>2</v>
      </c>
      <c r="H5" s="9">
        <v>2.5</v>
      </c>
      <c r="I5" s="9">
        <v>9</v>
      </c>
      <c r="J5" s="9">
        <v>5</v>
      </c>
      <c r="K5" s="2">
        <f t="shared" si="0"/>
        <v>22.5</v>
      </c>
      <c r="L5" s="9">
        <v>0</v>
      </c>
      <c r="M5" s="9">
        <v>0</v>
      </c>
      <c r="N5" s="9">
        <v>2</v>
      </c>
      <c r="O5" s="9">
        <v>3</v>
      </c>
      <c r="P5" s="9">
        <v>2</v>
      </c>
      <c r="Q5" s="9">
        <v>4</v>
      </c>
      <c r="R5" s="9">
        <v>1</v>
      </c>
      <c r="S5" s="9">
        <v>0</v>
      </c>
      <c r="T5" s="10">
        <f t="shared" si="1"/>
        <v>12</v>
      </c>
      <c r="U5" s="9">
        <v>20</v>
      </c>
      <c r="V5" s="9">
        <v>35</v>
      </c>
      <c r="W5" s="9"/>
      <c r="X5" s="9">
        <v>25.5</v>
      </c>
      <c r="Y5" s="9">
        <v>20</v>
      </c>
      <c r="Z5" s="9">
        <v>45</v>
      </c>
      <c r="AA5" s="9">
        <v>55</v>
      </c>
      <c r="AB5" s="8">
        <v>5</v>
      </c>
      <c r="AC5" s="10">
        <f t="shared" si="3"/>
        <v>180.5</v>
      </c>
      <c r="AD5" s="10">
        <f t="shared" si="2"/>
        <v>220</v>
      </c>
      <c r="AE5" t="str">
        <f t="shared" si="4"/>
        <v>E</v>
      </c>
      <c r="AF5" s="8"/>
      <c r="AG5" s="8"/>
      <c r="AH5" s="8"/>
      <c r="CD5"/>
      <c r="CE5"/>
      <c r="CF5"/>
    </row>
    <row r="6" spans="1:84" x14ac:dyDescent="0.25">
      <c r="A6" s="24"/>
      <c r="B6" s="8"/>
      <c r="C6" s="9"/>
      <c r="D6" s="9"/>
      <c r="E6" s="9"/>
      <c r="F6" s="9"/>
      <c r="G6" s="9"/>
      <c r="H6" s="9"/>
      <c r="I6" s="9"/>
      <c r="J6" s="9"/>
      <c r="K6" s="2" t="e">
        <f t="shared" si="0"/>
        <v>#NUM!</v>
      </c>
      <c r="L6" s="9"/>
      <c r="M6" s="9"/>
      <c r="N6" s="9"/>
      <c r="O6" s="9"/>
      <c r="P6" s="9"/>
      <c r="Q6" s="9"/>
      <c r="R6" s="9"/>
      <c r="S6" s="9"/>
      <c r="T6" s="10" t="e">
        <f t="shared" si="1"/>
        <v>#NUM!</v>
      </c>
      <c r="U6" s="9"/>
      <c r="V6" s="9"/>
      <c r="W6" s="9"/>
      <c r="X6" s="9"/>
      <c r="Y6" s="9"/>
      <c r="Z6" s="9"/>
      <c r="AA6" s="9"/>
      <c r="AB6" s="8"/>
      <c r="AC6" s="10">
        <f t="shared" si="3"/>
        <v>0</v>
      </c>
      <c r="AD6" s="10" t="e">
        <f t="shared" si="2"/>
        <v>#NUM!</v>
      </c>
      <c r="AE6" t="e">
        <f t="shared" si="4"/>
        <v>#NUM!</v>
      </c>
      <c r="AF6" s="8"/>
      <c r="AG6" s="8"/>
      <c r="AH6" s="8"/>
      <c r="CD6"/>
      <c r="CE6"/>
      <c r="CF6"/>
    </row>
    <row r="7" spans="1:84" x14ac:dyDescent="0.25">
      <c r="A7" s="24"/>
      <c r="B7" s="8"/>
      <c r="C7" s="9"/>
      <c r="D7" s="9"/>
      <c r="E7" s="9"/>
      <c r="F7" s="9"/>
      <c r="G7" s="9"/>
      <c r="H7" s="9"/>
      <c r="I7" s="9"/>
      <c r="J7" s="9"/>
      <c r="K7" s="2" t="e">
        <f t="shared" si="0"/>
        <v>#NUM!</v>
      </c>
      <c r="L7" s="9"/>
      <c r="M7" s="9"/>
      <c r="N7" s="9"/>
      <c r="O7" s="9"/>
      <c r="P7" s="9"/>
      <c r="Q7" s="9"/>
      <c r="R7" s="9"/>
      <c r="S7" s="9"/>
      <c r="T7" s="10" t="e">
        <f t="shared" si="1"/>
        <v>#NUM!</v>
      </c>
      <c r="U7" s="9"/>
      <c r="V7" s="9"/>
      <c r="W7" s="9"/>
      <c r="X7" s="9"/>
      <c r="Y7" s="9"/>
      <c r="Z7" s="9"/>
      <c r="AA7" s="9"/>
      <c r="AB7" s="8"/>
      <c r="AC7" s="10">
        <f t="shared" si="3"/>
        <v>0</v>
      </c>
      <c r="AD7" s="10" t="e">
        <f t="shared" si="2"/>
        <v>#NUM!</v>
      </c>
      <c r="AE7" t="e">
        <f t="shared" si="4"/>
        <v>#NUM!</v>
      </c>
      <c r="AF7" s="8"/>
      <c r="AG7" s="8"/>
      <c r="AH7" s="8"/>
      <c r="CD7"/>
      <c r="CE7"/>
      <c r="CF7"/>
    </row>
    <row r="8" spans="1:84" x14ac:dyDescent="0.25">
      <c r="A8" s="24"/>
      <c r="B8" s="8"/>
      <c r="C8" s="9"/>
      <c r="D8" s="9"/>
      <c r="E8" s="9"/>
      <c r="F8" s="9"/>
      <c r="G8" s="9"/>
      <c r="H8" s="9"/>
      <c r="I8" s="9"/>
      <c r="J8" s="9"/>
      <c r="K8" s="2" t="e">
        <f t="shared" si="0"/>
        <v>#NUM!</v>
      </c>
      <c r="L8" s="9"/>
      <c r="M8" s="9"/>
      <c r="N8" s="9"/>
      <c r="O8" s="9"/>
      <c r="P8" s="9"/>
      <c r="Q8" s="9"/>
      <c r="R8" s="9"/>
      <c r="S8" s="9"/>
      <c r="T8" s="10" t="e">
        <f t="shared" si="1"/>
        <v>#NUM!</v>
      </c>
      <c r="U8" s="9"/>
      <c r="V8" s="9"/>
      <c r="W8" s="9"/>
      <c r="X8" s="9"/>
      <c r="Y8" s="9"/>
      <c r="Z8" s="9"/>
      <c r="AA8" s="9"/>
      <c r="AB8" s="8"/>
      <c r="AC8" s="10">
        <f t="shared" si="3"/>
        <v>0</v>
      </c>
      <c r="AD8" s="10" t="e">
        <f t="shared" si="2"/>
        <v>#NUM!</v>
      </c>
      <c r="AE8" t="e">
        <f t="shared" si="4"/>
        <v>#NUM!</v>
      </c>
      <c r="AF8" s="8"/>
      <c r="AG8" s="8"/>
      <c r="AH8" s="8"/>
      <c r="CD8"/>
      <c r="CE8"/>
      <c r="CF8"/>
    </row>
    <row r="9" spans="1:84" x14ac:dyDescent="0.25">
      <c r="A9" s="24"/>
      <c r="B9" s="8"/>
      <c r="C9" s="9"/>
      <c r="D9" s="9"/>
      <c r="E9" s="9"/>
      <c r="F9" s="9"/>
      <c r="G9" s="9"/>
      <c r="H9" s="9"/>
      <c r="I9" s="9"/>
      <c r="J9" s="9"/>
      <c r="K9" s="2" t="e">
        <f t="shared" si="0"/>
        <v>#NUM!</v>
      </c>
      <c r="L9" s="9"/>
      <c r="M9" s="9"/>
      <c r="N9" s="9"/>
      <c r="O9" s="9"/>
      <c r="P9" s="9"/>
      <c r="Q9" s="9"/>
      <c r="R9" s="9"/>
      <c r="S9" s="9"/>
      <c r="T9" s="10" t="e">
        <f t="shared" si="1"/>
        <v>#NUM!</v>
      </c>
      <c r="U9" s="9"/>
      <c r="V9" s="9"/>
      <c r="W9" s="9"/>
      <c r="X9" s="9"/>
      <c r="Y9" s="9"/>
      <c r="Z9" s="9"/>
      <c r="AA9" s="9"/>
      <c r="AB9" s="8"/>
      <c r="AC9" s="10">
        <f t="shared" si="3"/>
        <v>0</v>
      </c>
      <c r="AD9" s="10" t="e">
        <f t="shared" si="2"/>
        <v>#NUM!</v>
      </c>
      <c r="AE9" t="e">
        <f t="shared" si="4"/>
        <v>#NUM!</v>
      </c>
      <c r="AF9" s="8"/>
      <c r="AG9" s="8"/>
      <c r="AH9" s="8"/>
      <c r="CD9"/>
      <c r="CE9"/>
      <c r="CF9"/>
    </row>
    <row r="10" spans="1:84" x14ac:dyDescent="0.25">
      <c r="A10" s="24"/>
      <c r="B10" s="8"/>
      <c r="C10" s="9"/>
      <c r="D10" s="9"/>
      <c r="E10" s="9"/>
      <c r="F10" s="9"/>
      <c r="G10" s="9"/>
      <c r="H10" s="9"/>
      <c r="I10" s="9"/>
      <c r="J10" s="9"/>
      <c r="K10" s="2" t="e">
        <f t="shared" si="0"/>
        <v>#NUM!</v>
      </c>
      <c r="L10" s="9"/>
      <c r="M10" s="9"/>
      <c r="N10" s="9"/>
      <c r="O10" s="9"/>
      <c r="P10" s="9"/>
      <c r="Q10" s="9"/>
      <c r="R10" s="9"/>
      <c r="S10" s="9"/>
      <c r="T10" s="10" t="e">
        <f t="shared" si="1"/>
        <v>#NUM!</v>
      </c>
      <c r="U10" s="9"/>
      <c r="V10" s="9"/>
      <c r="W10" s="9"/>
      <c r="X10" s="9"/>
      <c r="Y10" s="9"/>
      <c r="Z10" s="9"/>
      <c r="AA10" s="9"/>
      <c r="AB10" s="8"/>
      <c r="AC10" s="10">
        <f t="shared" si="3"/>
        <v>0</v>
      </c>
      <c r="AD10" s="10" t="e">
        <f t="shared" si="2"/>
        <v>#NUM!</v>
      </c>
      <c r="AE10" t="e">
        <f t="shared" si="4"/>
        <v>#NUM!</v>
      </c>
      <c r="AF10" s="8"/>
      <c r="AG10" s="8"/>
      <c r="AH10" s="8"/>
      <c r="CD10"/>
      <c r="CE10"/>
      <c r="CF10"/>
    </row>
    <row r="11" spans="1:84" x14ac:dyDescent="0.25">
      <c r="A11" s="24"/>
      <c r="B11" s="8"/>
      <c r="C11" s="9"/>
      <c r="D11" s="9"/>
      <c r="E11" s="9"/>
      <c r="F11" s="9"/>
      <c r="G11" s="9"/>
      <c r="H11" s="9"/>
      <c r="I11" s="9"/>
      <c r="J11" s="9"/>
      <c r="K11" s="2" t="e">
        <f t="shared" si="0"/>
        <v>#NUM!</v>
      </c>
      <c r="L11" s="9"/>
      <c r="M11" s="9"/>
      <c r="N11" s="9"/>
      <c r="O11" s="9"/>
      <c r="P11" s="9"/>
      <c r="Q11" s="9"/>
      <c r="R11" s="9"/>
      <c r="S11" s="9"/>
      <c r="T11" s="10" t="e">
        <f t="shared" si="1"/>
        <v>#NUM!</v>
      </c>
      <c r="U11" s="9"/>
      <c r="V11" s="9"/>
      <c r="W11" s="9"/>
      <c r="X11" s="9"/>
      <c r="Y11" s="9"/>
      <c r="Z11" s="9"/>
      <c r="AA11" s="9"/>
      <c r="AB11" s="8"/>
      <c r="AC11" s="10">
        <f t="shared" si="3"/>
        <v>0</v>
      </c>
      <c r="AD11" s="10" t="e">
        <f t="shared" si="2"/>
        <v>#NUM!</v>
      </c>
      <c r="AE11" t="e">
        <f t="shared" si="4"/>
        <v>#NUM!</v>
      </c>
      <c r="AF11" s="8"/>
      <c r="AG11" s="8"/>
      <c r="AH11" s="8"/>
      <c r="CD11"/>
      <c r="CE11"/>
      <c r="CF11"/>
    </row>
    <row r="12" spans="1:84" x14ac:dyDescent="0.25">
      <c r="A12" s="24"/>
      <c r="C12" s="9"/>
      <c r="D12" s="9"/>
      <c r="E12" s="9"/>
      <c r="F12" s="9"/>
      <c r="G12" s="9"/>
      <c r="H12" s="9"/>
      <c r="I12" s="9"/>
      <c r="J12" s="9"/>
      <c r="K12" s="2" t="e">
        <f t="shared" si="0"/>
        <v>#NUM!</v>
      </c>
      <c r="L12" s="9"/>
      <c r="M12" s="9"/>
      <c r="N12" s="9"/>
      <c r="O12" s="9"/>
      <c r="P12" s="9"/>
      <c r="Q12" s="9"/>
      <c r="R12" s="9"/>
      <c r="S12" s="9"/>
      <c r="T12" s="10" t="e">
        <f t="shared" si="1"/>
        <v>#NUM!</v>
      </c>
      <c r="U12" s="9"/>
      <c r="V12" s="9"/>
      <c r="W12" s="9"/>
      <c r="X12" s="9"/>
      <c r="Y12" s="9"/>
      <c r="Z12" s="9"/>
      <c r="AA12" s="9"/>
      <c r="AB12" s="8"/>
      <c r="AC12" s="10">
        <f t="shared" si="3"/>
        <v>0</v>
      </c>
      <c r="AD12" s="10" t="e">
        <f t="shared" si="2"/>
        <v>#NUM!</v>
      </c>
      <c r="AE12" t="e">
        <f t="shared" si="4"/>
        <v>#NUM!</v>
      </c>
      <c r="AF12" s="8"/>
      <c r="AG12" s="8"/>
      <c r="AH12" s="8"/>
      <c r="CD12"/>
      <c r="CE12"/>
      <c r="CF12"/>
    </row>
    <row r="13" spans="1:84" x14ac:dyDescent="0.25">
      <c r="A13" s="24"/>
      <c r="C13" s="9"/>
      <c r="D13" s="9"/>
      <c r="E13" s="9"/>
      <c r="F13" s="9"/>
      <c r="G13" s="9"/>
      <c r="H13" s="9"/>
      <c r="I13" s="9"/>
      <c r="J13" s="9"/>
      <c r="K13" s="2" t="e">
        <f t="shared" si="0"/>
        <v>#NUM!</v>
      </c>
      <c r="L13" s="9"/>
      <c r="M13" s="9"/>
      <c r="N13" s="9"/>
      <c r="O13" s="9"/>
      <c r="P13" s="9"/>
      <c r="Q13" s="9"/>
      <c r="R13" s="9"/>
      <c r="S13" s="9"/>
      <c r="T13" s="10" t="e">
        <f t="shared" si="1"/>
        <v>#NUM!</v>
      </c>
      <c r="U13" s="9"/>
      <c r="V13" s="9"/>
      <c r="W13" s="9"/>
      <c r="X13" s="9"/>
      <c r="Y13" s="9"/>
      <c r="Z13" s="9"/>
      <c r="AA13" s="9"/>
      <c r="AB13" s="8"/>
      <c r="AC13" s="10">
        <f t="shared" si="3"/>
        <v>0</v>
      </c>
      <c r="AD13" s="10" t="e">
        <f t="shared" si="2"/>
        <v>#NUM!</v>
      </c>
      <c r="AE13" t="e">
        <f t="shared" si="4"/>
        <v>#NUM!</v>
      </c>
      <c r="AF13" s="8"/>
      <c r="AG13" s="8"/>
      <c r="AH13" s="8"/>
      <c r="CD13"/>
      <c r="CE13"/>
      <c r="CF13"/>
    </row>
    <row r="14" spans="1:84" x14ac:dyDescent="0.25">
      <c r="A14" s="24"/>
      <c r="C14" s="9"/>
      <c r="D14" s="9"/>
      <c r="E14" s="9"/>
      <c r="F14" s="9"/>
      <c r="G14" s="9"/>
      <c r="H14" s="9"/>
      <c r="I14" s="9"/>
      <c r="J14" s="9"/>
      <c r="K14" s="2" t="e">
        <f t="shared" si="0"/>
        <v>#NUM!</v>
      </c>
      <c r="L14" s="9"/>
      <c r="M14" s="9"/>
      <c r="N14" s="9"/>
      <c r="O14" s="9"/>
      <c r="P14" s="9"/>
      <c r="Q14" s="9"/>
      <c r="R14" s="9"/>
      <c r="S14" s="9"/>
      <c r="T14" s="10" t="e">
        <f t="shared" si="1"/>
        <v>#NUM!</v>
      </c>
      <c r="U14" s="9"/>
      <c r="V14" s="9"/>
      <c r="W14" s="9"/>
      <c r="X14" s="9"/>
      <c r="Y14" s="9"/>
      <c r="Z14" s="9"/>
      <c r="AA14" s="9"/>
      <c r="AB14" s="8"/>
      <c r="AC14" s="10">
        <f t="shared" si="3"/>
        <v>0</v>
      </c>
      <c r="AD14" s="10" t="e">
        <f t="shared" si="2"/>
        <v>#NUM!</v>
      </c>
      <c r="AE14" t="e">
        <f t="shared" si="4"/>
        <v>#NUM!</v>
      </c>
      <c r="AF14" s="8"/>
      <c r="AG14" s="8"/>
      <c r="AH14" s="8"/>
      <c r="CD14"/>
      <c r="CE14"/>
      <c r="CF14"/>
    </row>
    <row r="15" spans="1:84" x14ac:dyDescent="0.25">
      <c r="A15" s="24"/>
      <c r="C15" s="9"/>
      <c r="D15" s="9"/>
      <c r="E15" s="9"/>
      <c r="F15" s="9"/>
      <c r="G15" s="9"/>
      <c r="H15" s="9"/>
      <c r="I15" s="9"/>
      <c r="J15" s="9"/>
      <c r="K15" s="2" t="e">
        <f t="shared" si="0"/>
        <v>#NUM!</v>
      </c>
      <c r="L15" s="9"/>
      <c r="M15" s="9"/>
      <c r="N15" s="9"/>
      <c r="O15" s="9"/>
      <c r="P15" s="9"/>
      <c r="Q15" s="9"/>
      <c r="R15" s="9"/>
      <c r="S15" s="9"/>
      <c r="T15" s="10" t="e">
        <f t="shared" si="1"/>
        <v>#NUM!</v>
      </c>
      <c r="U15" s="9"/>
      <c r="V15" s="9"/>
      <c r="W15" s="9"/>
      <c r="X15" s="9"/>
      <c r="Y15" s="9"/>
      <c r="Z15" s="9"/>
      <c r="AA15" s="9"/>
      <c r="AB15" s="8"/>
      <c r="AC15" s="10">
        <f t="shared" si="3"/>
        <v>0</v>
      </c>
      <c r="AD15" s="10" t="e">
        <f t="shared" si="2"/>
        <v>#NUM!</v>
      </c>
      <c r="AE15" t="e">
        <f t="shared" si="4"/>
        <v>#NUM!</v>
      </c>
      <c r="AF15" s="8"/>
      <c r="AG15" s="8"/>
      <c r="AH15" s="8"/>
      <c r="CD15"/>
      <c r="CE15"/>
      <c r="CF15"/>
    </row>
    <row r="16" spans="1:84" x14ac:dyDescent="0.25">
      <c r="A16" s="24"/>
      <c r="C16" s="9"/>
      <c r="D16" s="9"/>
      <c r="E16" s="9"/>
      <c r="F16" s="9"/>
      <c r="G16" s="9"/>
      <c r="H16" s="9"/>
      <c r="I16" s="9"/>
      <c r="J16" s="9"/>
      <c r="K16" s="2" t="e">
        <f t="shared" si="0"/>
        <v>#NUM!</v>
      </c>
      <c r="L16" s="9"/>
      <c r="M16" s="9"/>
      <c r="N16" s="9"/>
      <c r="O16" s="9"/>
      <c r="P16" s="9"/>
      <c r="Q16" s="9"/>
      <c r="R16" s="9"/>
      <c r="S16" s="9"/>
      <c r="T16" s="10" t="e">
        <f t="shared" si="1"/>
        <v>#NUM!</v>
      </c>
      <c r="U16" s="9"/>
      <c r="V16" s="9"/>
      <c r="W16" s="9"/>
      <c r="X16" s="9"/>
      <c r="Y16" s="9"/>
      <c r="Z16" s="9"/>
      <c r="AA16" s="9"/>
      <c r="AB16" s="8"/>
      <c r="AC16" s="10">
        <f t="shared" si="3"/>
        <v>0</v>
      </c>
      <c r="AD16" s="10" t="e">
        <f t="shared" si="2"/>
        <v>#NUM!</v>
      </c>
      <c r="AE16" t="e">
        <f t="shared" si="4"/>
        <v>#NUM!</v>
      </c>
      <c r="AF16" s="8"/>
      <c r="AG16" s="8"/>
      <c r="AH16" s="8"/>
      <c r="CD16"/>
      <c r="CE16"/>
      <c r="CF16"/>
    </row>
    <row r="17" spans="1:84" x14ac:dyDescent="0.25">
      <c r="A17" s="24"/>
      <c r="C17" s="9"/>
      <c r="D17" s="9"/>
      <c r="E17" s="9"/>
      <c r="F17" s="9"/>
      <c r="G17" s="9"/>
      <c r="H17" s="9"/>
      <c r="I17" s="9"/>
      <c r="J17" s="9"/>
      <c r="K17" s="2" t="e">
        <f t="shared" si="0"/>
        <v>#NUM!</v>
      </c>
      <c r="L17" s="9"/>
      <c r="M17" s="9"/>
      <c r="N17" s="9"/>
      <c r="O17" s="9"/>
      <c r="P17" s="9"/>
      <c r="Q17" s="9"/>
      <c r="R17" s="9"/>
      <c r="S17" s="9"/>
      <c r="T17" s="10" t="e">
        <f t="shared" si="1"/>
        <v>#NUM!</v>
      </c>
      <c r="U17" s="9"/>
      <c r="V17" s="9"/>
      <c r="W17" s="9"/>
      <c r="X17" s="9"/>
      <c r="Y17" s="9"/>
      <c r="Z17" s="9"/>
      <c r="AA17" s="9"/>
      <c r="AB17" s="8"/>
      <c r="AC17" s="10">
        <f t="shared" si="3"/>
        <v>0</v>
      </c>
      <c r="AD17" s="10" t="e">
        <f t="shared" si="2"/>
        <v>#NUM!</v>
      </c>
      <c r="AE17" t="e">
        <f t="shared" si="4"/>
        <v>#NUM!</v>
      </c>
      <c r="AF17" s="8"/>
      <c r="AG17" s="8"/>
      <c r="AH17" s="8"/>
      <c r="CD17"/>
      <c r="CE17"/>
      <c r="CF17"/>
    </row>
    <row r="18" spans="1:84" x14ac:dyDescent="0.25">
      <c r="A18" s="24"/>
      <c r="C18" s="9"/>
      <c r="D18" s="9"/>
      <c r="E18" s="9"/>
      <c r="F18" s="9"/>
      <c r="G18" s="9"/>
      <c r="H18" s="9"/>
      <c r="I18" s="9"/>
      <c r="J18" s="9"/>
      <c r="K18" s="2" t="e">
        <f t="shared" si="0"/>
        <v>#NUM!</v>
      </c>
      <c r="L18" s="9"/>
      <c r="M18" s="9"/>
      <c r="N18" s="9"/>
      <c r="O18" s="9"/>
      <c r="P18" s="9"/>
      <c r="Q18" s="9"/>
      <c r="R18" s="9"/>
      <c r="S18" s="9"/>
      <c r="T18" s="10" t="e">
        <f t="shared" si="1"/>
        <v>#NUM!</v>
      </c>
      <c r="U18" s="9"/>
      <c r="V18" s="9"/>
      <c r="W18" s="9"/>
      <c r="X18" s="9"/>
      <c r="Y18" s="9"/>
      <c r="Z18" s="9"/>
      <c r="AA18" s="9"/>
      <c r="AB18" s="8"/>
      <c r="AC18" s="10">
        <f t="shared" si="3"/>
        <v>0</v>
      </c>
      <c r="AD18" s="10" t="e">
        <f t="shared" si="2"/>
        <v>#NUM!</v>
      </c>
      <c r="AE18" t="e">
        <f t="shared" si="4"/>
        <v>#NUM!</v>
      </c>
      <c r="AF18" s="8"/>
      <c r="AG18" s="8"/>
      <c r="AH18" s="8"/>
      <c r="CD18"/>
      <c r="CE18"/>
      <c r="CF18"/>
    </row>
    <row r="19" spans="1:84" x14ac:dyDescent="0.25">
      <c r="A19" s="24"/>
      <c r="C19" s="9"/>
      <c r="D19" s="9"/>
      <c r="E19" s="9"/>
      <c r="F19" s="9"/>
      <c r="G19" s="9"/>
      <c r="H19" s="9"/>
      <c r="I19" s="9"/>
      <c r="J19" s="9"/>
      <c r="K19" s="2" t="e">
        <f t="shared" si="0"/>
        <v>#NUM!</v>
      </c>
      <c r="L19" s="9"/>
      <c r="M19" s="9"/>
      <c r="N19" s="9"/>
      <c r="O19" s="9"/>
      <c r="P19" s="9"/>
      <c r="Q19" s="9"/>
      <c r="R19" s="9"/>
      <c r="S19" s="9"/>
      <c r="T19" s="10" t="e">
        <f t="shared" si="1"/>
        <v>#NUM!</v>
      </c>
      <c r="U19" s="9"/>
      <c r="V19" s="9"/>
      <c r="W19" s="9"/>
      <c r="X19" s="9"/>
      <c r="Y19" s="9"/>
      <c r="Z19" s="9"/>
      <c r="AA19" s="9"/>
      <c r="AB19" s="8"/>
      <c r="AC19" s="10">
        <f t="shared" si="3"/>
        <v>0</v>
      </c>
      <c r="AD19" s="10" t="e">
        <f t="shared" si="2"/>
        <v>#NUM!</v>
      </c>
      <c r="AE19" t="e">
        <f t="shared" si="4"/>
        <v>#NUM!</v>
      </c>
      <c r="AF19" s="8"/>
      <c r="AG19" s="8"/>
      <c r="AH19" s="8"/>
      <c r="CD19"/>
      <c r="CE19"/>
      <c r="CF19"/>
    </row>
    <row r="20" spans="1:84" x14ac:dyDescent="0.25">
      <c r="A20" s="24"/>
      <c r="C20" s="9"/>
      <c r="D20" s="9"/>
      <c r="E20" s="9"/>
      <c r="F20" s="9"/>
      <c r="G20" s="9"/>
      <c r="H20" s="9"/>
      <c r="I20" s="9"/>
      <c r="J20" s="9"/>
      <c r="K20" s="2" t="e">
        <f t="shared" si="0"/>
        <v>#NUM!</v>
      </c>
      <c r="L20" s="9"/>
      <c r="M20" s="9"/>
      <c r="N20" s="9"/>
      <c r="O20" s="9"/>
      <c r="P20" s="9"/>
      <c r="Q20" s="9"/>
      <c r="R20" s="9"/>
      <c r="S20" s="9"/>
      <c r="T20" s="10" t="e">
        <f t="shared" si="1"/>
        <v>#NUM!</v>
      </c>
      <c r="U20" s="9"/>
      <c r="V20" s="9"/>
      <c r="W20" s="9"/>
      <c r="X20" s="9"/>
      <c r="Y20" s="9"/>
      <c r="Z20" s="9"/>
      <c r="AA20" s="9"/>
      <c r="AB20" s="8"/>
      <c r="AC20" s="10">
        <f t="shared" si="3"/>
        <v>0</v>
      </c>
      <c r="AD20" s="10" t="e">
        <f t="shared" si="2"/>
        <v>#NUM!</v>
      </c>
      <c r="AE20" t="e">
        <f t="shared" si="4"/>
        <v>#NUM!</v>
      </c>
      <c r="AF20" s="8"/>
      <c r="AG20" s="8"/>
      <c r="AH20" s="8"/>
      <c r="CD20"/>
      <c r="CE20"/>
      <c r="CF20"/>
    </row>
    <row r="21" spans="1:84" x14ac:dyDescent="0.25">
      <c r="A21" s="24"/>
      <c r="C21" s="9"/>
      <c r="D21" s="9"/>
      <c r="E21" s="9"/>
      <c r="F21" s="9"/>
      <c r="G21" s="9"/>
      <c r="H21" s="9"/>
      <c r="I21" s="9"/>
      <c r="J21" s="9"/>
      <c r="K21" s="2" t="e">
        <f t="shared" si="0"/>
        <v>#NUM!</v>
      </c>
      <c r="L21" s="9"/>
      <c r="M21" s="9"/>
      <c r="N21" s="9"/>
      <c r="O21" s="9"/>
      <c r="P21" s="9"/>
      <c r="Q21" s="9"/>
      <c r="R21" s="9"/>
      <c r="S21" s="9"/>
      <c r="T21" s="10" t="e">
        <f t="shared" si="1"/>
        <v>#NUM!</v>
      </c>
      <c r="U21" s="9"/>
      <c r="V21" s="9"/>
      <c r="W21" s="9"/>
      <c r="X21" s="9"/>
      <c r="Y21" s="9"/>
      <c r="Z21" s="9"/>
      <c r="AA21" s="9"/>
      <c r="AB21" s="8"/>
      <c r="AC21" s="10">
        <f t="shared" si="3"/>
        <v>0</v>
      </c>
      <c r="AD21" s="10" t="e">
        <f t="shared" si="2"/>
        <v>#NUM!</v>
      </c>
      <c r="AE21" t="e">
        <f t="shared" si="4"/>
        <v>#NUM!</v>
      </c>
      <c r="AF21" s="8"/>
      <c r="AG21" s="8"/>
      <c r="AH21" s="8"/>
      <c r="CD21"/>
      <c r="CE21"/>
      <c r="CF21"/>
    </row>
    <row r="22" spans="1:84" x14ac:dyDescent="0.25">
      <c r="A22" s="24"/>
      <c r="C22" s="9"/>
      <c r="D22" s="9"/>
      <c r="E22" s="9"/>
      <c r="F22" s="9"/>
      <c r="G22" s="9"/>
      <c r="H22" s="9"/>
      <c r="I22" s="9"/>
      <c r="J22" s="9"/>
      <c r="K22" s="2" t="e">
        <f t="shared" si="0"/>
        <v>#NUM!</v>
      </c>
      <c r="L22" s="9"/>
      <c r="M22" s="9"/>
      <c r="N22" s="9"/>
      <c r="O22" s="9"/>
      <c r="P22" s="9"/>
      <c r="Q22" s="9"/>
      <c r="R22" s="9"/>
      <c r="S22" s="9"/>
      <c r="T22" s="10" t="e">
        <f t="shared" si="1"/>
        <v>#NUM!</v>
      </c>
      <c r="U22" s="9"/>
      <c r="V22" s="9"/>
      <c r="W22" s="9"/>
      <c r="X22" s="9"/>
      <c r="Y22" s="9"/>
      <c r="Z22" s="9"/>
      <c r="AA22" s="9"/>
      <c r="AB22" s="8"/>
      <c r="AC22" s="10">
        <f t="shared" si="3"/>
        <v>0</v>
      </c>
      <c r="AD22" s="10" t="e">
        <f t="shared" si="2"/>
        <v>#NUM!</v>
      </c>
      <c r="AE22" t="e">
        <f t="shared" si="4"/>
        <v>#NUM!</v>
      </c>
      <c r="AF22" s="8"/>
      <c r="AG22" s="8"/>
      <c r="AH22" s="8"/>
      <c r="CD22"/>
      <c r="CE22"/>
      <c r="CF22"/>
    </row>
    <row r="23" spans="1:84" x14ac:dyDescent="0.25">
      <c r="A23" s="24"/>
      <c r="C23" s="9"/>
      <c r="D23" s="9"/>
      <c r="E23" s="9"/>
      <c r="F23" s="9"/>
      <c r="G23" s="9"/>
      <c r="H23" s="9"/>
      <c r="I23" s="9"/>
      <c r="J23" s="9"/>
      <c r="K23" s="2" t="e">
        <f t="shared" si="0"/>
        <v>#NUM!</v>
      </c>
      <c r="L23" s="9"/>
      <c r="M23" s="9"/>
      <c r="N23" s="9"/>
      <c r="O23" s="9"/>
      <c r="P23" s="9"/>
      <c r="Q23" s="9"/>
      <c r="R23" s="9"/>
      <c r="S23" s="9"/>
      <c r="T23" s="10" t="e">
        <f t="shared" si="1"/>
        <v>#NUM!</v>
      </c>
      <c r="U23" s="9"/>
      <c r="V23" s="9"/>
      <c r="W23" s="9"/>
      <c r="X23" s="9"/>
      <c r="Y23" s="9"/>
      <c r="Z23" s="9"/>
      <c r="AA23" s="9"/>
      <c r="AB23" s="8"/>
      <c r="AC23" s="10">
        <f t="shared" si="3"/>
        <v>0</v>
      </c>
      <c r="AD23" s="10" t="e">
        <f t="shared" si="2"/>
        <v>#NUM!</v>
      </c>
      <c r="AE23" t="e">
        <f t="shared" si="4"/>
        <v>#NUM!</v>
      </c>
      <c r="AF23" s="8"/>
      <c r="AG23" s="8"/>
      <c r="AH23" s="8"/>
      <c r="CD23"/>
      <c r="CE23"/>
      <c r="CF23"/>
    </row>
    <row r="24" spans="1:84" x14ac:dyDescent="0.25">
      <c r="A24" s="24"/>
      <c r="C24" s="9"/>
      <c r="D24" s="9"/>
      <c r="E24" s="9"/>
      <c r="F24" s="9"/>
      <c r="G24" s="9"/>
      <c r="H24" s="9"/>
      <c r="I24" s="9"/>
      <c r="J24" s="9"/>
      <c r="K24" s="2" t="e">
        <f t="shared" si="0"/>
        <v>#NUM!</v>
      </c>
      <c r="L24" s="9"/>
      <c r="M24" s="9"/>
      <c r="N24" s="9"/>
      <c r="O24" s="9"/>
      <c r="P24" s="9"/>
      <c r="Q24" s="9"/>
      <c r="R24" s="9"/>
      <c r="S24" s="9"/>
      <c r="T24" s="10" t="e">
        <f t="shared" si="1"/>
        <v>#NUM!</v>
      </c>
      <c r="U24" s="9"/>
      <c r="V24" s="9"/>
      <c r="W24" s="9"/>
      <c r="X24" s="9"/>
      <c r="Y24" s="9"/>
      <c r="Z24" s="9"/>
      <c r="AA24" s="9"/>
      <c r="AB24" s="8"/>
      <c r="AC24" s="10">
        <f t="shared" si="3"/>
        <v>0</v>
      </c>
      <c r="AD24" s="10" t="e">
        <f t="shared" si="2"/>
        <v>#NUM!</v>
      </c>
      <c r="AE24" t="e">
        <f t="shared" si="4"/>
        <v>#NUM!</v>
      </c>
      <c r="AF24" s="8"/>
      <c r="AG24" s="8"/>
      <c r="AH24" s="8"/>
      <c r="CD24"/>
      <c r="CE24"/>
      <c r="CF24"/>
    </row>
    <row r="25" spans="1:84" x14ac:dyDescent="0.25">
      <c r="A25" s="24"/>
      <c r="C25" s="9"/>
      <c r="D25" s="9"/>
      <c r="E25" s="9"/>
      <c r="F25" s="9"/>
      <c r="G25" s="9"/>
      <c r="H25" s="9"/>
      <c r="I25" s="9"/>
      <c r="J25" s="9"/>
      <c r="K25" s="2" t="e">
        <f t="shared" si="0"/>
        <v>#NUM!</v>
      </c>
      <c r="L25" s="9"/>
      <c r="M25" s="9"/>
      <c r="N25" s="9"/>
      <c r="O25" s="9"/>
      <c r="P25" s="9"/>
      <c r="Q25" s="9"/>
      <c r="R25" s="9"/>
      <c r="S25" s="9"/>
      <c r="T25" s="10" t="e">
        <f t="shared" si="1"/>
        <v>#NUM!</v>
      </c>
      <c r="U25" s="9"/>
      <c r="V25" s="9"/>
      <c r="W25" s="9"/>
      <c r="X25" s="9"/>
      <c r="Y25" s="9"/>
      <c r="Z25" s="9"/>
      <c r="AA25" s="9"/>
      <c r="AB25" s="8"/>
      <c r="AC25" s="10">
        <f t="shared" si="3"/>
        <v>0</v>
      </c>
      <c r="AD25" s="10" t="e">
        <f t="shared" si="2"/>
        <v>#NUM!</v>
      </c>
      <c r="AE25" t="e">
        <f t="shared" si="4"/>
        <v>#NUM!</v>
      </c>
      <c r="AF25" s="8"/>
      <c r="AG25" s="8"/>
      <c r="AH25" s="8"/>
      <c r="CD25"/>
      <c r="CE25"/>
      <c r="CF25"/>
    </row>
    <row r="26" spans="1:84" x14ac:dyDescent="0.25">
      <c r="A26" s="24"/>
      <c r="C26" s="9"/>
      <c r="D26" s="9"/>
      <c r="E26" s="9"/>
      <c r="F26" s="9"/>
      <c r="G26" s="9"/>
      <c r="H26" s="9"/>
      <c r="I26" s="9"/>
      <c r="J26" s="9"/>
      <c r="K26" s="2" t="e">
        <f t="shared" si="0"/>
        <v>#NUM!</v>
      </c>
      <c r="L26" s="9"/>
      <c r="M26" s="9"/>
      <c r="N26" s="9"/>
      <c r="O26" s="9"/>
      <c r="P26" s="9"/>
      <c r="Q26" s="9"/>
      <c r="R26" s="9"/>
      <c r="S26" s="9"/>
      <c r="T26" s="10" t="e">
        <f t="shared" si="1"/>
        <v>#NUM!</v>
      </c>
      <c r="U26" s="9"/>
      <c r="V26" s="9"/>
      <c r="W26" s="9"/>
      <c r="X26" s="9"/>
      <c r="Y26" s="9"/>
      <c r="Z26" s="9"/>
      <c r="AA26" s="9"/>
      <c r="AB26" s="8"/>
      <c r="AC26" s="10">
        <f t="shared" si="3"/>
        <v>0</v>
      </c>
      <c r="AD26" s="10" t="e">
        <f t="shared" si="2"/>
        <v>#NUM!</v>
      </c>
      <c r="AE26" t="e">
        <f t="shared" si="4"/>
        <v>#NUM!</v>
      </c>
      <c r="AF26" s="8"/>
      <c r="AG26" s="8"/>
      <c r="AH26" s="8"/>
      <c r="CD26"/>
      <c r="CE26"/>
      <c r="CF26"/>
    </row>
    <row r="27" spans="1:84" x14ac:dyDescent="0.25">
      <c r="A27" s="24"/>
      <c r="C27" s="9"/>
      <c r="D27" s="9"/>
      <c r="E27" s="9"/>
      <c r="F27" s="9"/>
      <c r="G27" s="9"/>
      <c r="H27" s="9"/>
      <c r="I27" s="9"/>
      <c r="J27" s="9"/>
      <c r="K27" s="2" t="e">
        <f t="shared" si="0"/>
        <v>#NUM!</v>
      </c>
      <c r="L27" s="9"/>
      <c r="M27" s="9"/>
      <c r="N27" s="9"/>
      <c r="O27" s="9"/>
      <c r="P27" s="9"/>
      <c r="Q27" s="9"/>
      <c r="R27" s="9"/>
      <c r="S27" s="9"/>
      <c r="T27" s="10" t="e">
        <f t="shared" si="1"/>
        <v>#NUM!</v>
      </c>
      <c r="U27" s="9"/>
      <c r="V27" s="9"/>
      <c r="W27" s="9"/>
      <c r="X27" s="9"/>
      <c r="Y27" s="9"/>
      <c r="Z27" s="9"/>
      <c r="AA27" s="9"/>
      <c r="AB27" s="8"/>
      <c r="AC27" s="10">
        <f t="shared" si="3"/>
        <v>0</v>
      </c>
      <c r="AD27" s="10" t="e">
        <f t="shared" si="2"/>
        <v>#NUM!</v>
      </c>
      <c r="AE27" t="e">
        <f t="shared" si="4"/>
        <v>#NUM!</v>
      </c>
      <c r="AF27" s="8"/>
      <c r="AG27" s="8"/>
      <c r="AH27" s="8"/>
      <c r="CD27"/>
      <c r="CE27"/>
      <c r="CF27"/>
    </row>
    <row r="28" spans="1:84" x14ac:dyDescent="0.25">
      <c r="A28" s="24"/>
      <c r="C28" s="9"/>
      <c r="D28" s="9"/>
      <c r="E28" s="9"/>
      <c r="F28" s="9"/>
      <c r="G28" s="9"/>
      <c r="H28" s="9"/>
      <c r="I28" s="9"/>
      <c r="J28" s="9"/>
      <c r="K28" s="2" t="e">
        <f t="shared" si="0"/>
        <v>#NUM!</v>
      </c>
      <c r="L28" s="9"/>
      <c r="M28" s="9"/>
      <c r="N28" s="9"/>
      <c r="O28" s="9"/>
      <c r="P28" s="9"/>
      <c r="Q28" s="9"/>
      <c r="R28" s="9"/>
      <c r="S28" s="9"/>
      <c r="T28" s="10" t="e">
        <f t="shared" si="1"/>
        <v>#NUM!</v>
      </c>
      <c r="U28" s="9"/>
      <c r="V28" s="9"/>
      <c r="W28" s="9"/>
      <c r="X28" s="9"/>
      <c r="Y28" s="9"/>
      <c r="Z28" s="9"/>
      <c r="AA28" s="9"/>
      <c r="AB28" s="8"/>
      <c r="AC28" s="10">
        <f t="shared" si="3"/>
        <v>0</v>
      </c>
      <c r="AD28" s="10" t="e">
        <f t="shared" si="2"/>
        <v>#NUM!</v>
      </c>
      <c r="AE28" t="e">
        <f t="shared" si="4"/>
        <v>#NUM!</v>
      </c>
      <c r="AF28" s="8"/>
      <c r="AG28" s="8"/>
      <c r="AH28" s="8"/>
      <c r="CD28"/>
      <c r="CE28"/>
      <c r="CF28"/>
    </row>
    <row r="29" spans="1:84" x14ac:dyDescent="0.25">
      <c r="A29" s="24"/>
      <c r="C29" s="9"/>
      <c r="D29" s="9"/>
      <c r="E29" s="9"/>
      <c r="F29" s="9"/>
      <c r="G29" s="9"/>
      <c r="H29" s="9"/>
      <c r="I29" s="9"/>
      <c r="J29" s="9"/>
      <c r="K29" s="2" t="e">
        <f t="shared" si="0"/>
        <v>#NUM!</v>
      </c>
      <c r="L29" s="9"/>
      <c r="M29" s="9"/>
      <c r="N29" s="9"/>
      <c r="O29" s="9"/>
      <c r="P29" s="9"/>
      <c r="Q29" s="9"/>
      <c r="R29" s="9"/>
      <c r="S29" s="9"/>
      <c r="T29" s="10" t="e">
        <f t="shared" si="1"/>
        <v>#NUM!</v>
      </c>
      <c r="U29" s="9"/>
      <c r="V29" s="9"/>
      <c r="W29" s="9"/>
      <c r="X29" s="9"/>
      <c r="Y29" s="9"/>
      <c r="Z29" s="9"/>
      <c r="AA29" s="9"/>
      <c r="AB29" s="8"/>
      <c r="AC29" s="10">
        <f t="shared" si="3"/>
        <v>0</v>
      </c>
      <c r="AD29" s="10" t="e">
        <f t="shared" si="2"/>
        <v>#NUM!</v>
      </c>
      <c r="AE29" t="e">
        <f t="shared" si="4"/>
        <v>#NUM!</v>
      </c>
      <c r="AF29" s="8"/>
      <c r="AG29" s="8"/>
      <c r="AH29" s="8"/>
      <c r="CD29"/>
      <c r="CE29"/>
      <c r="CF29"/>
    </row>
    <row r="30" spans="1:84" x14ac:dyDescent="0.25">
      <c r="A30" s="24"/>
      <c r="C30" s="9"/>
      <c r="D30" s="9"/>
      <c r="E30" s="9"/>
      <c r="F30" s="9"/>
      <c r="G30" s="9"/>
      <c r="H30" s="9"/>
      <c r="I30" s="9"/>
      <c r="J30" s="9"/>
      <c r="K30" s="2" t="e">
        <f t="shared" si="0"/>
        <v>#NUM!</v>
      </c>
      <c r="L30" s="9"/>
      <c r="M30" s="9"/>
      <c r="N30" s="9"/>
      <c r="O30" s="9"/>
      <c r="P30" s="9"/>
      <c r="Q30" s="9"/>
      <c r="R30" s="9"/>
      <c r="S30" s="9"/>
      <c r="T30" s="10" t="e">
        <f t="shared" si="1"/>
        <v>#NUM!</v>
      </c>
      <c r="U30" s="9"/>
      <c r="V30" s="9"/>
      <c r="W30" s="9"/>
      <c r="X30" s="9"/>
      <c r="Y30" s="9"/>
      <c r="Z30" s="9"/>
      <c r="AA30" s="9"/>
      <c r="AB30" s="8"/>
      <c r="AC30" s="10">
        <f t="shared" si="3"/>
        <v>0</v>
      </c>
      <c r="AD30" s="10" t="e">
        <f t="shared" si="2"/>
        <v>#NUM!</v>
      </c>
      <c r="AE30" t="e">
        <f t="shared" si="4"/>
        <v>#NUM!</v>
      </c>
      <c r="AF30" s="8"/>
      <c r="AG30" s="8"/>
      <c r="AH30" s="8"/>
      <c r="CD30"/>
      <c r="CE30"/>
      <c r="CF30"/>
    </row>
    <row r="31" spans="1:84" x14ac:dyDescent="0.25">
      <c r="A31" s="24"/>
      <c r="C31" s="9"/>
      <c r="D31" s="9"/>
      <c r="E31" s="9"/>
      <c r="F31" s="9"/>
      <c r="G31" s="9"/>
      <c r="H31" s="9"/>
      <c r="I31" s="9"/>
      <c r="J31" s="9"/>
      <c r="K31" s="2" t="e">
        <f t="shared" si="0"/>
        <v>#NUM!</v>
      </c>
      <c r="L31" s="9"/>
      <c r="M31" s="9"/>
      <c r="N31" s="9"/>
      <c r="O31" s="9"/>
      <c r="P31" s="9"/>
      <c r="Q31" s="9"/>
      <c r="R31" s="9"/>
      <c r="S31" s="9"/>
      <c r="T31" s="10" t="e">
        <f t="shared" si="1"/>
        <v>#NUM!</v>
      </c>
      <c r="U31" s="9"/>
      <c r="V31" s="9"/>
      <c r="W31" s="9"/>
      <c r="X31" s="9"/>
      <c r="Y31" s="9"/>
      <c r="Z31" s="9"/>
      <c r="AA31" s="9"/>
      <c r="AB31" s="8"/>
      <c r="AC31" s="10">
        <f t="shared" si="3"/>
        <v>0</v>
      </c>
      <c r="AD31" s="10" t="e">
        <f t="shared" si="2"/>
        <v>#NUM!</v>
      </c>
      <c r="AE31" t="e">
        <f t="shared" si="4"/>
        <v>#NUM!</v>
      </c>
      <c r="AF31" s="8"/>
      <c r="AG31" s="8"/>
      <c r="AH31" s="8"/>
      <c r="CD31"/>
      <c r="CE31"/>
      <c r="CF31"/>
    </row>
    <row r="32" spans="1:84" x14ac:dyDescent="0.25">
      <c r="A32" s="24"/>
      <c r="C32" s="9"/>
      <c r="D32" s="9"/>
      <c r="E32" s="9"/>
      <c r="F32" s="9"/>
      <c r="G32" s="9"/>
      <c r="H32" s="9"/>
      <c r="I32" s="9"/>
      <c r="J32" s="9"/>
      <c r="K32" s="2" t="e">
        <f t="shared" si="0"/>
        <v>#NUM!</v>
      </c>
      <c r="L32" s="9"/>
      <c r="M32" s="9"/>
      <c r="N32" s="9"/>
      <c r="O32" s="9"/>
      <c r="P32" s="9"/>
      <c r="Q32" s="9"/>
      <c r="R32" s="9"/>
      <c r="S32" s="9"/>
      <c r="T32" s="10" t="e">
        <f t="shared" si="1"/>
        <v>#NUM!</v>
      </c>
      <c r="U32" s="9"/>
      <c r="V32" s="9"/>
      <c r="W32" s="9"/>
      <c r="X32" s="9"/>
      <c r="Y32" s="9"/>
      <c r="Z32" s="9"/>
      <c r="AA32" s="9"/>
      <c r="AB32" s="8"/>
      <c r="AC32" s="10">
        <f t="shared" si="3"/>
        <v>0</v>
      </c>
      <c r="AD32" s="10" t="e">
        <f t="shared" si="2"/>
        <v>#NUM!</v>
      </c>
      <c r="AE32" t="e">
        <f t="shared" si="4"/>
        <v>#NUM!</v>
      </c>
      <c r="AF32" s="8"/>
      <c r="AG32" s="8"/>
      <c r="AH32" s="8"/>
      <c r="CD32"/>
      <c r="CE32"/>
      <c r="CF32"/>
    </row>
    <row r="33" spans="1:84" x14ac:dyDescent="0.25">
      <c r="A33" s="24"/>
      <c r="C33" s="9"/>
      <c r="D33" s="9"/>
      <c r="E33" s="9"/>
      <c r="F33" s="9"/>
      <c r="G33" s="9"/>
      <c r="H33" s="9"/>
      <c r="I33" s="9"/>
      <c r="J33" s="9"/>
      <c r="K33" s="2" t="e">
        <f t="shared" si="0"/>
        <v>#NUM!</v>
      </c>
      <c r="L33" s="9"/>
      <c r="M33" s="9"/>
      <c r="N33" s="9"/>
      <c r="O33" s="9"/>
      <c r="P33" s="9"/>
      <c r="Q33" s="9"/>
      <c r="R33" s="9"/>
      <c r="S33" s="9"/>
      <c r="T33" s="10" t="e">
        <f t="shared" si="1"/>
        <v>#NUM!</v>
      </c>
      <c r="U33" s="9"/>
      <c r="V33" s="9"/>
      <c r="W33" s="9"/>
      <c r="X33" s="9"/>
      <c r="Y33" s="9"/>
      <c r="Z33" s="9"/>
      <c r="AA33" s="9"/>
      <c r="AB33" s="8"/>
      <c r="AC33" s="10">
        <f t="shared" si="3"/>
        <v>0</v>
      </c>
      <c r="AD33" s="10" t="e">
        <f t="shared" si="2"/>
        <v>#NUM!</v>
      </c>
      <c r="AE33" t="e">
        <f t="shared" si="4"/>
        <v>#NUM!</v>
      </c>
      <c r="AF33" s="8"/>
      <c r="AG33" s="8"/>
      <c r="AH33" s="8"/>
      <c r="CD33"/>
      <c r="CE33"/>
      <c r="CF33"/>
    </row>
    <row r="34" spans="1:84" x14ac:dyDescent="0.25">
      <c r="A34" s="24"/>
      <c r="C34" s="9"/>
      <c r="D34" s="9"/>
      <c r="E34" s="9"/>
      <c r="F34" s="9"/>
      <c r="G34" s="9"/>
      <c r="H34" s="9"/>
      <c r="I34" s="9"/>
      <c r="J34" s="9"/>
      <c r="K34" s="2" t="e">
        <f t="shared" si="0"/>
        <v>#NUM!</v>
      </c>
      <c r="L34" s="9"/>
      <c r="M34" s="9"/>
      <c r="N34" s="9"/>
      <c r="O34" s="9"/>
      <c r="P34" s="9"/>
      <c r="Q34" s="9"/>
      <c r="R34" s="9"/>
      <c r="S34" s="9"/>
      <c r="T34" s="10" t="e">
        <f t="shared" si="1"/>
        <v>#NUM!</v>
      </c>
      <c r="U34" s="9"/>
      <c r="V34" s="9"/>
      <c r="W34" s="9"/>
      <c r="X34" s="9"/>
      <c r="Y34" s="9"/>
      <c r="Z34" s="9"/>
      <c r="AA34" s="9"/>
      <c r="AB34" s="8"/>
      <c r="AC34" s="10">
        <f t="shared" si="3"/>
        <v>0</v>
      </c>
      <c r="AD34" s="10" t="e">
        <f t="shared" si="2"/>
        <v>#NUM!</v>
      </c>
      <c r="AE34" t="e">
        <f t="shared" si="4"/>
        <v>#NUM!</v>
      </c>
      <c r="AF34" s="8"/>
      <c r="AG34" s="8"/>
      <c r="AH34" s="8"/>
      <c r="CD34"/>
      <c r="CE34"/>
      <c r="CF34"/>
    </row>
    <row r="35" spans="1:84" x14ac:dyDescent="0.25">
      <c r="A35" s="24"/>
      <c r="C35" s="9"/>
      <c r="D35" s="9"/>
      <c r="E35" s="9"/>
      <c r="F35" s="9"/>
      <c r="G35" s="9"/>
      <c r="H35" s="9"/>
      <c r="I35" s="9"/>
      <c r="J35" s="9"/>
      <c r="K35" s="2" t="e">
        <f t="shared" si="0"/>
        <v>#NUM!</v>
      </c>
      <c r="L35" s="9"/>
      <c r="M35" s="9"/>
      <c r="N35" s="9"/>
      <c r="O35" s="9"/>
      <c r="P35" s="9"/>
      <c r="Q35" s="9"/>
      <c r="R35" s="9"/>
      <c r="S35" s="9"/>
      <c r="T35" s="10" t="e">
        <f t="shared" si="1"/>
        <v>#NUM!</v>
      </c>
      <c r="U35" s="9"/>
      <c r="V35" s="9"/>
      <c r="W35" s="9"/>
      <c r="X35" s="9"/>
      <c r="Y35" s="9"/>
      <c r="Z35" s="9"/>
      <c r="AA35" s="9"/>
      <c r="AB35" s="8"/>
      <c r="AC35" s="10">
        <f t="shared" si="3"/>
        <v>0</v>
      </c>
      <c r="AD35" s="10" t="e">
        <f t="shared" si="2"/>
        <v>#NUM!</v>
      </c>
      <c r="AE35" t="e">
        <f t="shared" si="4"/>
        <v>#NUM!</v>
      </c>
      <c r="AF35" s="8"/>
      <c r="AG35" s="8"/>
      <c r="AH35" s="8"/>
      <c r="CD35"/>
      <c r="CE35"/>
      <c r="CF35"/>
    </row>
    <row r="36" spans="1:84" x14ac:dyDescent="0.25">
      <c r="A36" s="8"/>
      <c r="B36" s="24"/>
      <c r="C36" s="9"/>
      <c r="D36" s="9"/>
      <c r="E36" s="9"/>
      <c r="F36" s="9"/>
      <c r="G36" s="9"/>
      <c r="H36" s="9"/>
      <c r="I36" s="9"/>
      <c r="J36" s="9"/>
      <c r="K36" s="2" t="e">
        <f t="shared" si="0"/>
        <v>#NUM!</v>
      </c>
      <c r="L36" s="9"/>
      <c r="M36" s="9"/>
      <c r="N36" s="9"/>
      <c r="O36" s="9"/>
      <c r="P36" s="9"/>
      <c r="Q36" s="9"/>
      <c r="R36" s="9"/>
      <c r="S36" s="9"/>
      <c r="T36" s="10" t="e">
        <f t="shared" si="1"/>
        <v>#NUM!</v>
      </c>
      <c r="U36" s="9"/>
      <c r="V36" s="9"/>
      <c r="W36" s="9"/>
      <c r="X36" s="9"/>
      <c r="Y36" s="9"/>
      <c r="Z36" s="9"/>
      <c r="AA36" s="9"/>
      <c r="AB36" s="8"/>
      <c r="AC36" s="10">
        <f t="shared" si="3"/>
        <v>0</v>
      </c>
      <c r="AD36" s="10" t="e">
        <f t="shared" si="2"/>
        <v>#NUM!</v>
      </c>
      <c r="AE36" t="e">
        <f t="shared" si="4"/>
        <v>#NUM!</v>
      </c>
      <c r="AF36" s="8"/>
      <c r="AG36" s="8"/>
      <c r="AH36" s="8"/>
      <c r="CD36"/>
      <c r="CE36"/>
      <c r="CF36"/>
    </row>
    <row r="37" spans="1:84" x14ac:dyDescent="0.25">
      <c r="A37" s="8"/>
      <c r="B37" s="24"/>
      <c r="C37" s="9"/>
      <c r="D37" s="9"/>
      <c r="E37" s="9"/>
      <c r="F37" s="9"/>
      <c r="G37" s="9"/>
      <c r="H37" s="9"/>
      <c r="I37" s="9"/>
      <c r="J37" s="9"/>
      <c r="K37" s="2" t="e">
        <f t="shared" si="0"/>
        <v>#NUM!</v>
      </c>
      <c r="L37" s="9"/>
      <c r="M37" s="9"/>
      <c r="N37" s="9"/>
      <c r="O37" s="9"/>
      <c r="P37" s="9"/>
      <c r="Q37" s="9"/>
      <c r="R37" s="9"/>
      <c r="S37" s="9"/>
      <c r="T37" s="10" t="e">
        <f t="shared" si="1"/>
        <v>#NUM!</v>
      </c>
      <c r="U37" s="9"/>
      <c r="V37" s="9"/>
      <c r="W37" s="9"/>
      <c r="X37" s="9"/>
      <c r="Y37" s="9"/>
      <c r="Z37" s="9"/>
      <c r="AA37" s="9"/>
      <c r="AB37" s="8"/>
      <c r="AC37" s="10">
        <f t="shared" si="3"/>
        <v>0</v>
      </c>
      <c r="AD37" s="10" t="e">
        <f t="shared" si="2"/>
        <v>#NUM!</v>
      </c>
      <c r="AE37" t="e">
        <f t="shared" si="4"/>
        <v>#NUM!</v>
      </c>
      <c r="AF37" s="8"/>
      <c r="AG37" s="8"/>
      <c r="AH37" s="8"/>
      <c r="CD37"/>
      <c r="CE37"/>
      <c r="CF37"/>
    </row>
    <row r="38" spans="1:84" x14ac:dyDescent="0.25">
      <c r="A38" s="8"/>
      <c r="B38" s="24"/>
      <c r="C38" s="9"/>
      <c r="D38" s="9"/>
      <c r="E38" s="9"/>
      <c r="F38" s="9"/>
      <c r="G38" s="9"/>
      <c r="H38" s="9"/>
      <c r="I38" s="9"/>
      <c r="J38" s="9"/>
      <c r="K38" s="2" t="e">
        <f t="shared" si="0"/>
        <v>#NUM!</v>
      </c>
      <c r="L38" s="9"/>
      <c r="M38" s="9"/>
      <c r="N38" s="9"/>
      <c r="O38" s="9"/>
      <c r="P38" s="9"/>
      <c r="Q38" s="9"/>
      <c r="R38" s="9"/>
      <c r="S38" s="9"/>
      <c r="T38" s="10" t="e">
        <f t="shared" si="1"/>
        <v>#NUM!</v>
      </c>
      <c r="U38" s="9"/>
      <c r="V38" s="9"/>
      <c r="W38" s="9"/>
      <c r="X38" s="9"/>
      <c r="Y38" s="9"/>
      <c r="Z38" s="9"/>
      <c r="AA38" s="9"/>
      <c r="AB38" s="8"/>
      <c r="AC38" s="10">
        <f t="shared" si="3"/>
        <v>0</v>
      </c>
      <c r="AD38" s="10" t="e">
        <f t="shared" si="2"/>
        <v>#NUM!</v>
      </c>
      <c r="AE38" t="e">
        <f t="shared" si="4"/>
        <v>#NUM!</v>
      </c>
      <c r="AF38" s="8"/>
      <c r="AG38" s="8"/>
      <c r="AH38" s="8"/>
      <c r="CD38"/>
      <c r="CE38"/>
      <c r="CF38"/>
    </row>
    <row r="39" spans="1:84" x14ac:dyDescent="0.25">
      <c r="A39" s="8"/>
      <c r="B39" s="24"/>
      <c r="C39" s="9"/>
      <c r="D39" s="9"/>
      <c r="E39" s="9"/>
      <c r="F39" s="9"/>
      <c r="G39" s="9"/>
      <c r="H39" s="9"/>
      <c r="I39" s="9"/>
      <c r="J39" s="9"/>
      <c r="K39" s="2" t="e">
        <f t="shared" si="0"/>
        <v>#NUM!</v>
      </c>
      <c r="L39" s="9"/>
      <c r="M39" s="9"/>
      <c r="N39" s="9"/>
      <c r="O39" s="9"/>
      <c r="P39" s="9"/>
      <c r="Q39" s="9"/>
      <c r="R39" s="9"/>
      <c r="S39" s="9"/>
      <c r="T39" s="10" t="e">
        <f t="shared" si="1"/>
        <v>#NUM!</v>
      </c>
      <c r="U39" s="9"/>
      <c r="V39" s="9"/>
      <c r="W39" s="9"/>
      <c r="X39" s="9"/>
      <c r="Y39" s="9"/>
      <c r="Z39" s="9"/>
      <c r="AA39" s="9"/>
      <c r="AB39" s="8"/>
      <c r="AC39" s="10">
        <f t="shared" si="3"/>
        <v>0</v>
      </c>
      <c r="AD39" s="10" t="e">
        <f t="shared" si="2"/>
        <v>#NUM!</v>
      </c>
      <c r="AE39" t="e">
        <f t="shared" si="4"/>
        <v>#NUM!</v>
      </c>
      <c r="AF39" s="8"/>
      <c r="AG39" s="8"/>
      <c r="AH39" s="8"/>
      <c r="CD39"/>
      <c r="CE39"/>
      <c r="CF39"/>
    </row>
    <row r="40" spans="1:84" x14ac:dyDescent="0.25">
      <c r="A40" s="8"/>
      <c r="B40" s="24"/>
      <c r="C40" s="9"/>
      <c r="D40" s="9"/>
      <c r="E40" s="9"/>
      <c r="F40" s="9"/>
      <c r="G40" s="9"/>
      <c r="H40" s="9"/>
      <c r="I40" s="9"/>
      <c r="J40" s="9"/>
      <c r="K40" s="2" t="e">
        <f t="shared" si="0"/>
        <v>#NUM!</v>
      </c>
      <c r="L40" s="9"/>
      <c r="M40" s="9"/>
      <c r="N40" s="9"/>
      <c r="O40" s="9"/>
      <c r="P40" s="9"/>
      <c r="Q40" s="9"/>
      <c r="R40" s="9"/>
      <c r="S40" s="9"/>
      <c r="T40" s="10" t="e">
        <f t="shared" si="1"/>
        <v>#NUM!</v>
      </c>
      <c r="U40" s="9"/>
      <c r="V40" s="9"/>
      <c r="W40" s="9"/>
      <c r="X40" s="9"/>
      <c r="Y40" s="9"/>
      <c r="Z40" s="9"/>
      <c r="AA40" s="9"/>
      <c r="AB40" s="8"/>
      <c r="AC40" s="10">
        <f t="shared" si="3"/>
        <v>0</v>
      </c>
      <c r="AD40" s="10" t="e">
        <f t="shared" si="2"/>
        <v>#NUM!</v>
      </c>
      <c r="AE40" t="e">
        <f t="shared" si="4"/>
        <v>#NUM!</v>
      </c>
      <c r="AF40" s="8"/>
      <c r="AG40" s="8"/>
      <c r="AH40" s="8"/>
      <c r="CD40"/>
      <c r="CE40"/>
      <c r="CF40"/>
    </row>
    <row r="41" spans="1:84" ht="13" x14ac:dyDescent="0.3">
      <c r="A41" s="11" t="s">
        <v>38</v>
      </c>
      <c r="C41" s="10">
        <f t="shared" ref="C41:S41" si="5">AVERAGE(C3:C40)</f>
        <v>3.1666666666666665</v>
      </c>
      <c r="D41" s="10">
        <f t="shared" si="5"/>
        <v>3</v>
      </c>
      <c r="E41" s="10">
        <f t="shared" si="5"/>
        <v>2.8333333333333335</v>
      </c>
      <c r="F41" s="10">
        <f t="shared" si="5"/>
        <v>3.6666666666666665</v>
      </c>
      <c r="G41" s="10">
        <f t="shared" si="5"/>
        <v>2.3333333333333335</v>
      </c>
      <c r="H41" s="10">
        <f t="shared" si="5"/>
        <v>2.3333333333333335</v>
      </c>
      <c r="I41" s="10">
        <f t="shared" si="5"/>
        <v>3</v>
      </c>
      <c r="J41" s="10">
        <f t="shared" si="5"/>
        <v>4.666666666666667</v>
      </c>
      <c r="K41" s="10" t="e">
        <f t="shared" si="5"/>
        <v>#NUM!</v>
      </c>
      <c r="L41" s="9">
        <f t="shared" si="5"/>
        <v>4.166666666666667</v>
      </c>
      <c r="M41" s="9">
        <f t="shared" si="5"/>
        <v>3.5</v>
      </c>
      <c r="N41" s="9">
        <f t="shared" si="5"/>
        <v>4.833333333333333</v>
      </c>
      <c r="O41" s="9">
        <f t="shared" si="5"/>
        <v>6</v>
      </c>
      <c r="P41" s="9">
        <f t="shared" si="5"/>
        <v>6.333333333333333</v>
      </c>
      <c r="Q41" s="9">
        <f t="shared" si="5"/>
        <v>7.333333333333333</v>
      </c>
      <c r="R41" s="9">
        <f t="shared" si="5"/>
        <v>6.333333333333333</v>
      </c>
      <c r="S41" s="9">
        <f t="shared" si="5"/>
        <v>5.833333333333333</v>
      </c>
      <c r="T41" s="10" t="e">
        <f>AVERAGE(T3:T40)</f>
        <v>#NUM!</v>
      </c>
      <c r="U41" s="10">
        <f t="shared" ref="U41:AD41" si="6">AVERAGE(U3:U40)</f>
        <v>43.333333333333336</v>
      </c>
      <c r="V41" s="10">
        <f t="shared" si="6"/>
        <v>50</v>
      </c>
      <c r="W41" s="10">
        <f t="shared" si="6"/>
        <v>60</v>
      </c>
      <c r="X41" s="10">
        <f t="shared" si="6"/>
        <v>41.833333333333336</v>
      </c>
      <c r="Y41" s="10">
        <f t="shared" si="6"/>
        <v>36.666666666666664</v>
      </c>
      <c r="Z41" s="10">
        <f t="shared" si="6"/>
        <v>47.5</v>
      </c>
      <c r="AA41" s="10">
        <f t="shared" si="6"/>
        <v>70</v>
      </c>
      <c r="AB41" s="10">
        <f t="shared" si="6"/>
        <v>4.333333333333333</v>
      </c>
      <c r="AC41" s="10">
        <f t="shared" si="6"/>
        <v>20.539473684210527</v>
      </c>
      <c r="AD41" s="10" t="e">
        <f t="shared" si="6"/>
        <v>#NUM!</v>
      </c>
      <c r="AE41" t="e">
        <f>IF(AD41&gt;=400,"A",IF(AD41&gt;=385,"B+",IF(AD41&gt;=350,"B",IF(AD41&gt;=335,"C+",IF(AD41&gt;=300,"C",IF(AD41&gt;=285,"D+",IF(AD41&gt;=250,"D","E")))))))</f>
        <v>#NUM!</v>
      </c>
      <c r="AF41" s="8"/>
      <c r="AG41" s="8"/>
      <c r="AH41" s="8"/>
      <c r="CD41"/>
      <c r="CE41"/>
      <c r="CF41"/>
    </row>
    <row r="42" spans="1:84" x14ac:dyDescent="0.25">
      <c r="N42" s="9"/>
      <c r="O42" s="9"/>
      <c r="P42" s="9"/>
      <c r="Q42" s="9"/>
      <c r="R42" s="9"/>
      <c r="S42" s="9"/>
      <c r="T42" s="9"/>
      <c r="U42" s="9"/>
      <c r="V42"/>
      <c r="AH42" s="8"/>
      <c r="CF42"/>
    </row>
    <row r="43" spans="1:84" x14ac:dyDescent="0.25">
      <c r="N43" s="9"/>
      <c r="O43" s="9"/>
      <c r="P43" s="9"/>
      <c r="Q43" s="9"/>
      <c r="R43" s="9"/>
      <c r="S43" s="9"/>
      <c r="T43" s="9"/>
      <c r="U43" s="9"/>
      <c r="V43"/>
      <c r="AH43" s="8"/>
      <c r="CF43"/>
    </row>
    <row r="44" spans="1:84" x14ac:dyDescent="0.25">
      <c r="N44" s="9"/>
      <c r="O44" s="9"/>
      <c r="P44" s="9"/>
      <c r="Q44" s="9"/>
      <c r="R44" s="9"/>
      <c r="S44" s="9"/>
      <c r="T44" s="9"/>
      <c r="U44" s="9"/>
      <c r="V44"/>
      <c r="AH44" s="8"/>
      <c r="CF44"/>
    </row>
    <row r="45" spans="1:84" x14ac:dyDescent="0.25">
      <c r="N45" s="9"/>
      <c r="O45" s="9"/>
      <c r="P45" s="9"/>
      <c r="Q45" s="9"/>
      <c r="R45" s="9"/>
      <c r="S45" s="9"/>
      <c r="T45" s="9"/>
      <c r="U45" s="9"/>
      <c r="V45" s="9"/>
    </row>
    <row r="46" spans="1:84" x14ac:dyDescent="0.25">
      <c r="N46" s="9"/>
      <c r="O46" s="9"/>
      <c r="P46" s="9"/>
      <c r="Q46" s="9"/>
      <c r="R46" s="9"/>
      <c r="S46" s="9"/>
      <c r="T46" s="9"/>
      <c r="U46" s="9"/>
      <c r="V46" s="9"/>
    </row>
    <row r="47" spans="1:84" x14ac:dyDescent="0.25">
      <c r="N47" s="9"/>
      <c r="O47" s="9"/>
      <c r="P47" s="9"/>
      <c r="Q47" s="9"/>
      <c r="R47" s="9"/>
      <c r="S47" s="9"/>
      <c r="T47" s="9"/>
      <c r="U47" s="9"/>
      <c r="V47" s="9"/>
    </row>
    <row r="48" spans="1:84" x14ac:dyDescent="0.25">
      <c r="N48" s="9"/>
      <c r="O48" s="9"/>
      <c r="P48" s="9"/>
      <c r="Q48" s="9"/>
      <c r="R48" s="9"/>
      <c r="S48" s="9"/>
      <c r="T48" s="9"/>
      <c r="U48" s="9"/>
      <c r="V48" s="9"/>
    </row>
    <row r="49" spans="2:22" x14ac:dyDescent="0.25">
      <c r="N49" s="9"/>
      <c r="O49" s="9"/>
      <c r="P49" s="9"/>
      <c r="Q49" s="9"/>
      <c r="R49" s="9"/>
      <c r="S49" s="9"/>
      <c r="T49" s="9"/>
      <c r="U49" s="9"/>
      <c r="V49" s="9"/>
    </row>
    <row r="50" spans="2:22" x14ac:dyDescent="0.25">
      <c r="N50" s="9"/>
      <c r="O50" s="9"/>
      <c r="P50" s="9"/>
      <c r="Q50" s="9"/>
      <c r="R50" s="9"/>
      <c r="S50" s="9"/>
      <c r="T50" s="9"/>
      <c r="U50" s="9"/>
      <c r="V50" s="9"/>
    </row>
    <row r="51" spans="2:22" x14ac:dyDescent="0.25">
      <c r="N51" s="9"/>
      <c r="O51" s="9"/>
      <c r="P51" s="9"/>
      <c r="Q51" s="9"/>
      <c r="R51" s="9"/>
      <c r="S51" s="9"/>
      <c r="T51" s="9"/>
      <c r="U51" s="9"/>
      <c r="V51" s="9"/>
    </row>
    <row r="52" spans="2:22" x14ac:dyDescent="0.25">
      <c r="N52" s="9"/>
      <c r="O52" s="9"/>
      <c r="P52" s="9"/>
      <c r="Q52" s="9"/>
      <c r="R52" s="9"/>
      <c r="S52" s="9"/>
      <c r="T52" s="9"/>
      <c r="U52" s="9"/>
      <c r="V52" s="9"/>
    </row>
    <row r="53" spans="2:22" x14ac:dyDescent="0.25">
      <c r="N53" s="9"/>
      <c r="O53" s="9"/>
      <c r="P53" s="9"/>
      <c r="Q53" s="9"/>
      <c r="R53" s="9"/>
      <c r="S53" s="9"/>
      <c r="T53" s="9"/>
      <c r="U53" s="9"/>
      <c r="V53" s="9"/>
    </row>
    <row r="54" spans="2:22" x14ac:dyDescent="0.25">
      <c r="N54" s="9"/>
      <c r="O54" s="9"/>
      <c r="P54" s="9"/>
      <c r="Q54" s="9"/>
      <c r="R54" s="9"/>
      <c r="S54" s="9"/>
      <c r="T54" s="9"/>
      <c r="U54" s="9"/>
      <c r="V54" s="9"/>
    </row>
    <row r="55" spans="2:22" x14ac:dyDescent="0.25">
      <c r="N55" s="9"/>
      <c r="O55" s="9"/>
      <c r="P55" s="9"/>
      <c r="Q55" s="9"/>
      <c r="R55" s="9"/>
      <c r="S55" s="9"/>
      <c r="T55" s="9"/>
      <c r="U55" s="9"/>
      <c r="V55" s="9"/>
    </row>
    <row r="56" spans="2:22" x14ac:dyDescent="0.25">
      <c r="B56" s="8"/>
      <c r="N56" s="9"/>
      <c r="O56" s="9"/>
      <c r="P56" s="9"/>
      <c r="Q56" s="9"/>
      <c r="R56" s="9"/>
      <c r="S56" s="9"/>
      <c r="T56" s="9"/>
      <c r="U56" s="9"/>
      <c r="V56" s="9"/>
    </row>
    <row r="57" spans="2:22" x14ac:dyDescent="0.25">
      <c r="B57" s="8"/>
      <c r="N57" s="9"/>
      <c r="O57" s="9"/>
      <c r="P57" s="9"/>
      <c r="Q57" s="9"/>
      <c r="R57" s="9"/>
      <c r="S57" s="9"/>
      <c r="T57" s="9"/>
      <c r="U57" s="9"/>
      <c r="V57" s="9"/>
    </row>
    <row r="58" spans="2:22" x14ac:dyDescent="0.25">
      <c r="B58" s="8"/>
      <c r="N58" s="9"/>
      <c r="O58" s="9"/>
      <c r="P58" s="9"/>
      <c r="Q58" s="9"/>
      <c r="R58" s="9"/>
      <c r="S58" s="9"/>
      <c r="T58" s="9"/>
      <c r="U58" s="9"/>
      <c r="V58" s="9"/>
    </row>
    <row r="59" spans="2:22" x14ac:dyDescent="0.25">
      <c r="B59" s="8"/>
      <c r="N59" s="9"/>
      <c r="O59" s="9"/>
      <c r="P59" s="9"/>
      <c r="Q59" s="9"/>
      <c r="R59" s="9"/>
      <c r="S59" s="9"/>
      <c r="T59" s="9"/>
      <c r="U59" s="9"/>
      <c r="V59" s="9"/>
    </row>
    <row r="60" spans="2:22" x14ac:dyDescent="0.25">
      <c r="B60" s="8"/>
      <c r="N60" s="9"/>
      <c r="O60" s="9"/>
      <c r="P60" s="9"/>
      <c r="Q60" s="9"/>
      <c r="R60" s="9"/>
      <c r="S60" s="9"/>
      <c r="T60" s="9"/>
      <c r="U60" s="9"/>
      <c r="V60" s="9"/>
    </row>
    <row r="61" spans="2:22" x14ac:dyDescent="0.25">
      <c r="B61" s="8"/>
      <c r="N61" s="9"/>
      <c r="O61" s="9"/>
      <c r="P61" s="9"/>
      <c r="Q61" s="9"/>
      <c r="R61" s="9"/>
      <c r="S61" s="9"/>
      <c r="T61" s="9"/>
      <c r="U61" s="9"/>
      <c r="V61" s="9"/>
    </row>
    <row r="62" spans="2:22" x14ac:dyDescent="0.25">
      <c r="B62" s="8"/>
      <c r="N62" s="9"/>
      <c r="O62" s="9"/>
      <c r="P62" s="9"/>
      <c r="Q62" s="9"/>
      <c r="R62" s="9"/>
      <c r="S62" s="9"/>
      <c r="T62" s="9"/>
      <c r="U62" s="9"/>
      <c r="V62" s="9"/>
    </row>
    <row r="63" spans="2:22" x14ac:dyDescent="0.25">
      <c r="B63" s="8"/>
      <c r="N63" s="9"/>
      <c r="O63" s="9"/>
      <c r="P63" s="9"/>
      <c r="Q63" s="9"/>
      <c r="R63" s="9"/>
      <c r="S63" s="9"/>
      <c r="T63" s="9"/>
      <c r="U63" s="9"/>
      <c r="V63" s="9"/>
    </row>
    <row r="64" spans="2:22" x14ac:dyDescent="0.25">
      <c r="B64" s="8"/>
      <c r="N64" s="9"/>
      <c r="O64" s="9"/>
      <c r="P64" s="9"/>
      <c r="Q64" s="9"/>
      <c r="R64" s="9"/>
      <c r="S64" s="9"/>
      <c r="T64" s="9"/>
      <c r="U64" s="9"/>
      <c r="V64" s="9"/>
    </row>
    <row r="65" spans="2:22" x14ac:dyDescent="0.25">
      <c r="B65" s="8"/>
      <c r="N65" s="9"/>
      <c r="O65" s="9"/>
      <c r="P65" s="9"/>
      <c r="Q65" s="9"/>
      <c r="R65" s="9"/>
      <c r="S65" s="9"/>
      <c r="T65" s="9"/>
      <c r="U65" s="9"/>
      <c r="V65" s="9"/>
    </row>
    <row r="66" spans="2:22" x14ac:dyDescent="0.25">
      <c r="B66" s="8"/>
      <c r="N66" s="9"/>
      <c r="O66" s="9"/>
      <c r="P66" s="9"/>
      <c r="Q66" s="9"/>
      <c r="R66" s="9"/>
      <c r="S66" s="9"/>
      <c r="T66" s="9"/>
      <c r="U66" s="9"/>
      <c r="V66" s="9"/>
    </row>
    <row r="67" spans="2:22" x14ac:dyDescent="0.25">
      <c r="B67" s="8"/>
    </row>
    <row r="68" spans="2:22" x14ac:dyDescent="0.25">
      <c r="B68" s="8"/>
    </row>
    <row r="69" spans="2:22" x14ac:dyDescent="0.25">
      <c r="B69" s="8"/>
    </row>
    <row r="70" spans="2:22" x14ac:dyDescent="0.25">
      <c r="B70" s="8"/>
    </row>
    <row r="71" spans="2:22" x14ac:dyDescent="0.25">
      <c r="B71" s="8"/>
    </row>
    <row r="72" spans="2:22" x14ac:dyDescent="0.25">
      <c r="B72" s="8"/>
    </row>
    <row r="73" spans="2:22" x14ac:dyDescent="0.25">
      <c r="B73" s="8"/>
    </row>
    <row r="74" spans="2:22" x14ac:dyDescent="0.25">
      <c r="B74" s="8"/>
    </row>
    <row r="75" spans="2:22" x14ac:dyDescent="0.25">
      <c r="B75" s="8"/>
    </row>
    <row r="76" spans="2:22" x14ac:dyDescent="0.25">
      <c r="B76" s="8"/>
    </row>
    <row r="77" spans="2:22" x14ac:dyDescent="0.25">
      <c r="B77" s="8"/>
    </row>
    <row r="78" spans="2:22" x14ac:dyDescent="0.25">
      <c r="B78" s="8"/>
    </row>
    <row r="79" spans="2:22" x14ac:dyDescent="0.25">
      <c r="B79" s="8"/>
    </row>
  </sheetData>
  <printOptions gridLines="1"/>
  <pageMargins left="0.75" right="0.75" top="1" bottom="1" header="0.5" footer="0.5"/>
  <pageSetup scale="75" orientation="landscape" horizontalDpi="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Views>
    <sheetView workbookViewId="0">
      <selection activeCell="B6" sqref="B6"/>
    </sheetView>
  </sheetViews>
  <sheetFormatPr defaultRowHeight="12.5" x14ac:dyDescent="0.25"/>
  <cols>
    <col min="1" max="1" width="17.1796875" customWidth="1"/>
    <col min="2" max="2" width="10.26953125" customWidth="1"/>
    <col min="3" max="4" width="3.54296875" customWidth="1"/>
    <col min="5" max="5" width="3" customWidth="1"/>
    <col min="6" max="6" width="3.1796875" customWidth="1"/>
    <col min="7" max="7" width="3.54296875" customWidth="1"/>
    <col min="8" max="8" width="3.453125" customWidth="1"/>
    <col min="9" max="10" width="3.26953125" customWidth="1"/>
    <col min="11" max="11" width="3.7265625" customWidth="1"/>
    <col min="12" max="12" width="4.26953125" customWidth="1"/>
    <col min="13" max="15" width="3.81640625" customWidth="1"/>
    <col min="16" max="16" width="3.7265625" customWidth="1"/>
    <col min="17" max="17" width="3.81640625" customWidth="1"/>
    <col min="18" max="18" width="4" customWidth="1"/>
    <col min="19" max="19" width="4.26953125" customWidth="1"/>
    <col min="20" max="20" width="3.81640625" customWidth="1"/>
    <col min="21" max="21" width="3.7265625" customWidth="1"/>
    <col min="22" max="22" width="3.54296875" customWidth="1"/>
    <col min="23" max="23" width="4.26953125" customWidth="1"/>
    <col min="24" max="25" width="3.7265625" customWidth="1"/>
    <col min="26" max="26" width="3.54296875" customWidth="1"/>
  </cols>
  <sheetData>
    <row r="1" spans="1:26" ht="13" x14ac:dyDescent="0.3">
      <c r="A1" s="11" t="s">
        <v>39</v>
      </c>
      <c r="B1" s="12"/>
      <c r="C1" s="13"/>
      <c r="D1" s="14" t="s">
        <v>40</v>
      </c>
      <c r="E1" s="15"/>
      <c r="H1" s="11" t="s">
        <v>41</v>
      </c>
      <c r="J1" s="10"/>
      <c r="K1" s="10"/>
      <c r="L1" s="10"/>
      <c r="M1" s="10"/>
      <c r="N1" s="10"/>
      <c r="O1" s="10"/>
      <c r="P1" s="10"/>
      <c r="R1" s="11" t="s">
        <v>39</v>
      </c>
    </row>
    <row r="2" spans="1:26" ht="13" x14ac:dyDescent="0.3">
      <c r="A2" s="11" t="s">
        <v>4</v>
      </c>
      <c r="B2" s="16" t="s">
        <v>3</v>
      </c>
      <c r="C2" s="17" t="s">
        <v>42</v>
      </c>
      <c r="D2" s="18" t="s">
        <v>43</v>
      </c>
      <c r="E2" s="19" t="s">
        <v>44</v>
      </c>
      <c r="F2" s="19" t="s">
        <v>45</v>
      </c>
      <c r="G2" s="19" t="s">
        <v>46</v>
      </c>
      <c r="H2" s="19" t="s">
        <v>47</v>
      </c>
      <c r="I2" s="19" t="s">
        <v>48</v>
      </c>
      <c r="J2" s="17" t="s">
        <v>49</v>
      </c>
      <c r="K2" s="17" t="s">
        <v>50</v>
      </c>
      <c r="L2" s="17" t="s">
        <v>51</v>
      </c>
      <c r="M2" s="17" t="s">
        <v>52</v>
      </c>
      <c r="N2" s="17" t="s">
        <v>53</v>
      </c>
      <c r="O2" s="17" t="s">
        <v>54</v>
      </c>
      <c r="P2" s="17" t="s">
        <v>55</v>
      </c>
      <c r="Q2" s="19" t="s">
        <v>56</v>
      </c>
      <c r="R2" s="17" t="s">
        <v>57</v>
      </c>
      <c r="S2" s="19" t="s">
        <v>58</v>
      </c>
      <c r="T2" s="19" t="s">
        <v>59</v>
      </c>
      <c r="U2" s="19" t="s">
        <v>60</v>
      </c>
      <c r="V2" s="19" t="s">
        <v>61</v>
      </c>
      <c r="W2" s="19" t="s">
        <v>62</v>
      </c>
      <c r="X2" s="19" t="s">
        <v>63</v>
      </c>
      <c r="Y2" s="19" t="s">
        <v>64</v>
      </c>
      <c r="Z2" s="19" t="s">
        <v>65</v>
      </c>
    </row>
    <row r="3" spans="1:26" x14ac:dyDescent="0.25">
      <c r="A3" s="8" t="s">
        <v>35</v>
      </c>
      <c r="B3" s="8">
        <v>123456789</v>
      </c>
      <c r="C3" s="8" t="s">
        <v>66</v>
      </c>
      <c r="D3" s="8" t="s">
        <v>66</v>
      </c>
      <c r="E3" s="8" t="s">
        <v>66</v>
      </c>
      <c r="F3" s="8" t="s">
        <v>66</v>
      </c>
      <c r="G3" s="8" t="s">
        <v>67</v>
      </c>
      <c r="H3" s="8" t="s">
        <v>67</v>
      </c>
      <c r="I3" s="8" t="s">
        <v>67</v>
      </c>
      <c r="J3" s="8" t="s">
        <v>66</v>
      </c>
      <c r="K3" s="8" t="s">
        <v>66</v>
      </c>
      <c r="L3" s="8" t="s">
        <v>66</v>
      </c>
      <c r="M3" s="8" t="s">
        <v>66</v>
      </c>
      <c r="N3" s="8" t="s">
        <v>66</v>
      </c>
      <c r="O3" s="8" t="s">
        <v>66</v>
      </c>
      <c r="P3" s="8" t="s">
        <v>66</v>
      </c>
      <c r="Q3" s="8" t="s">
        <v>66</v>
      </c>
      <c r="R3" s="8" t="s">
        <v>66</v>
      </c>
      <c r="S3" s="8" t="s">
        <v>66</v>
      </c>
      <c r="T3" s="8" t="s">
        <v>67</v>
      </c>
      <c r="U3" s="8" t="s">
        <v>67</v>
      </c>
      <c r="V3" s="8" t="s">
        <v>66</v>
      </c>
      <c r="W3" s="8" t="s">
        <v>66</v>
      </c>
      <c r="X3" s="8" t="s">
        <v>66</v>
      </c>
      <c r="Y3" s="8" t="s">
        <v>66</v>
      </c>
      <c r="Z3" s="8" t="s">
        <v>66</v>
      </c>
    </row>
    <row r="4" spans="1:26" x14ac:dyDescent="0.25">
      <c r="A4" s="8" t="s">
        <v>36</v>
      </c>
      <c r="B4" s="8">
        <v>987654321</v>
      </c>
      <c r="C4" s="8" t="s">
        <v>66</v>
      </c>
      <c r="D4" s="8" t="s">
        <v>66</v>
      </c>
      <c r="E4" s="8" t="s">
        <v>66</v>
      </c>
      <c r="F4" s="8" t="s">
        <v>66</v>
      </c>
      <c r="G4" s="8" t="s">
        <v>66</v>
      </c>
      <c r="H4" s="8" t="s">
        <v>66</v>
      </c>
      <c r="I4" s="8" t="s">
        <v>67</v>
      </c>
      <c r="J4" s="8" t="s">
        <v>66</v>
      </c>
      <c r="K4" s="8" t="s">
        <v>66</v>
      </c>
      <c r="L4" s="8" t="s">
        <v>66</v>
      </c>
      <c r="M4" s="8" t="s">
        <v>66</v>
      </c>
      <c r="N4" s="8" t="s">
        <v>66</v>
      </c>
      <c r="O4" s="8" t="s">
        <v>66</v>
      </c>
      <c r="P4" s="8" t="s">
        <v>66</v>
      </c>
      <c r="Q4" s="8" t="s">
        <v>66</v>
      </c>
      <c r="R4" s="8" t="s">
        <v>66</v>
      </c>
      <c r="S4" s="8" t="s">
        <v>66</v>
      </c>
      <c r="T4" s="8" t="s">
        <v>66</v>
      </c>
      <c r="U4" s="8" t="s">
        <v>66</v>
      </c>
      <c r="V4" s="8" t="s">
        <v>66</v>
      </c>
      <c r="W4" s="8" t="s">
        <v>66</v>
      </c>
      <c r="X4" s="8" t="s">
        <v>66</v>
      </c>
      <c r="Y4" s="8" t="s">
        <v>66</v>
      </c>
      <c r="Z4" s="8" t="s">
        <v>66</v>
      </c>
    </row>
    <row r="5" spans="1:26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2020-01-27T11:49:52Z</dcterms:created>
  <dcterms:modified xsi:type="dcterms:W3CDTF">2020-01-27T11:49:53Z</dcterms:modified>
</cp:coreProperties>
</file>