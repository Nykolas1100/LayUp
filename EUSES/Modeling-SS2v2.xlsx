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C016E4F-0D65-4692-A68F-FCEC8AFECFCB}" xr6:coauthVersionLast="45" xr6:coauthVersionMax="45" xr10:uidLastSave="{00000000-0000-0000-0000-000000000000}"/>
  <bookViews>
    <workbookView xWindow="2280" yWindow="2280" windowWidth="28800" windowHeight="15460" firstSheet="2" activeTab="5"/>
  </bookViews>
  <sheets>
    <sheet name="Introduction" sheetId="4" r:id="rId1"/>
    <sheet name="Publication_Costs" sheetId="3" r:id="rId2"/>
    <sheet name="Cost vs. Demand" sheetId="5" r:id="rId3"/>
    <sheet name="Simple" sheetId="1" r:id="rId4"/>
    <sheet name="Advanced" sheetId="2" r:id="rId5"/>
    <sheet name="Sensitivity Analysis" sheetId="6" r:id="rId6"/>
  </sheets>
  <definedNames>
    <definedName name="book_price">Simple!$B$4</definedName>
    <definedName name="book_price2" localSheetId="5">'Sensitivity Analysis'!$B$4</definedName>
    <definedName name="book_price2">Advanced!$B$4</definedName>
    <definedName name="books_sold">Simple!$B$8</definedName>
    <definedName name="books_sold2" localSheetId="5">'Sensitivity Analysis'!$B$15</definedName>
    <definedName name="books_sold2">Advanced!$B$15</definedName>
    <definedName name="cost_intercept">Simple!#REF!</definedName>
    <definedName name="cost_intercept2" localSheetId="5">'Sensitivity Analysis'!#REF!</definedName>
    <definedName name="cost_intercept2">Advanced!#REF!</definedName>
    <definedName name="cost_slope">Simple!#REF!</definedName>
    <definedName name="cost_slope2" localSheetId="5">'Sensitivity Analysis'!#REF!</definedName>
    <definedName name="cost_slope2">Advanced!#REF!</definedName>
    <definedName name="demand_intercept" localSheetId="5">'Sensitivity Analysis'!$B$11</definedName>
    <definedName name="demand_intercept">Advanced!$B$11</definedName>
    <definedName name="demand_slope" localSheetId="5">'Sensitivity Analysis'!$B$12</definedName>
    <definedName name="demand_slope">Advanced!$B$12</definedName>
    <definedName name="num_pages">'Sensitivity Analysis'!$B$44</definedName>
    <definedName name="profit">Simple!$B$15</definedName>
    <definedName name="profit2" localSheetId="5">'Sensitivity Analysis'!$B$21</definedName>
    <definedName name="profit2">Advanced!$B$21</definedName>
    <definedName name="publish_cost">Simple!$B$13</definedName>
    <definedName name="publish_cost2" localSheetId="5">'Sensitivity Analysis'!$B$19</definedName>
    <definedName name="publish_cost2">Advanced!$B$19</definedName>
    <definedName name="revenue">Simple!$B$12</definedName>
    <definedName name="revenue2" localSheetId="5">'Sensitivity Analysis'!$B$18</definedName>
    <definedName name="revenue2">Advanced!$B$18</definedName>
    <definedName name="rights">Simple!$B$7</definedName>
    <definedName name="rights2" localSheetId="5">'Sensitivity Analysis'!$B$7</definedName>
    <definedName name="rights2">Advanced!$B$7</definedName>
    <definedName name="salary">Simple!$B$9</definedName>
    <definedName name="salary2" localSheetId="5">'Sensitivity Analysis'!$B$8</definedName>
    <definedName name="salary2">Advanced!$B$8</definedName>
    <definedName name="total_cost">Simple!$B$14</definedName>
    <definedName name="total_cost2" localSheetId="5">'Sensitivity Analysis'!$B$20</definedName>
    <definedName name="total_cost2">Advanced!$B$20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5" l="1"/>
  <c r="C2" i="5" s="1"/>
  <c r="D2" i="5"/>
  <c r="E2" i="5" s="1"/>
  <c r="B3" i="5"/>
  <c r="C3" i="5" s="1"/>
  <c r="D3" i="5"/>
  <c r="E3" i="5" s="1"/>
  <c r="B4" i="5"/>
  <c r="C4" i="5" s="1"/>
  <c r="D4" i="5"/>
  <c r="E4" i="5" s="1"/>
  <c r="B5" i="5"/>
  <c r="C5" i="5" s="1"/>
  <c r="D5" i="5"/>
  <c r="E5" i="5" s="1"/>
  <c r="F5" i="5" s="1"/>
  <c r="L5" i="5"/>
  <c r="B12" i="2" s="1"/>
  <c r="B6" i="5"/>
  <c r="C6" i="5" s="1"/>
  <c r="D6" i="5"/>
  <c r="E6" i="5" s="1"/>
  <c r="L6" i="5"/>
  <c r="B11" i="2" s="1"/>
  <c r="B7" i="5"/>
  <c r="C7" i="5" s="1"/>
  <c r="D7" i="5"/>
  <c r="E7" i="5" s="1"/>
  <c r="B8" i="5"/>
  <c r="C8" i="5" s="1"/>
  <c r="D8" i="5"/>
  <c r="E8" i="5" s="1"/>
  <c r="B9" i="5"/>
  <c r="C9" i="5" s="1"/>
  <c r="D9" i="5"/>
  <c r="E9" i="5" s="1"/>
  <c r="B10" i="5"/>
  <c r="C10" i="5" s="1"/>
  <c r="D10" i="5"/>
  <c r="E10" i="5"/>
  <c r="B11" i="5"/>
  <c r="C11" i="5" s="1"/>
  <c r="D11" i="5"/>
  <c r="E11" i="5" s="1"/>
  <c r="B12" i="5"/>
  <c r="C12" i="5" s="1"/>
  <c r="D12" i="5"/>
  <c r="E12" i="5" s="1"/>
  <c r="B13" i="5"/>
  <c r="C13" i="5" s="1"/>
  <c r="D13" i="5"/>
  <c r="E13" i="5" s="1"/>
  <c r="B14" i="5"/>
  <c r="C14" i="5" s="1"/>
  <c r="D14" i="5"/>
  <c r="E14" i="5" s="1"/>
  <c r="B15" i="5"/>
  <c r="C15" i="5" s="1"/>
  <c r="D15" i="5"/>
  <c r="E15" i="5" s="1"/>
  <c r="B16" i="5"/>
  <c r="C16" i="5" s="1"/>
  <c r="D16" i="5"/>
  <c r="E16" i="5" s="1"/>
  <c r="B17" i="5"/>
  <c r="C17" i="5" s="1"/>
  <c r="D17" i="5"/>
  <c r="E17" i="5" s="1"/>
  <c r="B18" i="5"/>
  <c r="C18" i="5" s="1"/>
  <c r="D18" i="5"/>
  <c r="E18" i="5" s="1"/>
  <c r="B19" i="5"/>
  <c r="C19" i="5" s="1"/>
  <c r="D19" i="5"/>
  <c r="E19" i="5" s="1"/>
  <c r="B20" i="5"/>
  <c r="C20" i="5" s="1"/>
  <c r="D20" i="5"/>
  <c r="E20" i="5"/>
  <c r="B21" i="5"/>
  <c r="C21" i="5" s="1"/>
  <c r="D21" i="5"/>
  <c r="E21" i="5" s="1"/>
  <c r="B22" i="5"/>
  <c r="C22" i="5" s="1"/>
  <c r="D22" i="5"/>
  <c r="E22" i="5" s="1"/>
  <c r="B23" i="5"/>
  <c r="C23" i="5" s="1"/>
  <c r="D23" i="5"/>
  <c r="E23" i="5" s="1"/>
  <c r="B24" i="5"/>
  <c r="C24" i="5" s="1"/>
  <c r="D24" i="5"/>
  <c r="E24" i="5" s="1"/>
  <c r="B25" i="5"/>
  <c r="C25" i="5" s="1"/>
  <c r="D25" i="5"/>
  <c r="E25" i="5" s="1"/>
  <c r="B26" i="5"/>
  <c r="C26" i="5" s="1"/>
  <c r="D26" i="5"/>
  <c r="E26" i="5"/>
  <c r="B27" i="5"/>
  <c r="C27" i="5" s="1"/>
  <c r="D27" i="5"/>
  <c r="E27" i="5" s="1"/>
  <c r="B28" i="5"/>
  <c r="C28" i="5" s="1"/>
  <c r="D28" i="5"/>
  <c r="E28" i="5" s="1"/>
  <c r="B29" i="5"/>
  <c r="C29" i="5" s="1"/>
  <c r="D29" i="5"/>
  <c r="E29" i="5" s="1"/>
  <c r="B30" i="5"/>
  <c r="C30" i="5" s="1"/>
  <c r="D30" i="5"/>
  <c r="E30" i="5" s="1"/>
  <c r="B31" i="5"/>
  <c r="C31" i="5" s="1"/>
  <c r="D31" i="5"/>
  <c r="E31" i="5" s="1"/>
  <c r="D5" i="3"/>
  <c r="D6" i="3"/>
  <c r="D7" i="3"/>
  <c r="D8" i="3"/>
  <c r="D9" i="3"/>
  <c r="D10" i="3"/>
  <c r="C37" i="6"/>
  <c r="C38" i="6"/>
  <c r="C39" i="6"/>
  <c r="C40" i="6"/>
  <c r="C41" i="6"/>
  <c r="C42" i="6"/>
  <c r="B12" i="1"/>
  <c r="B13" i="1"/>
  <c r="B14" i="1" s="1"/>
  <c r="B15" i="1" s="1"/>
  <c r="B17" i="1" s="1"/>
  <c r="F10" i="5" l="1"/>
  <c r="F2" i="5"/>
  <c r="F9" i="5"/>
  <c r="F25" i="5"/>
  <c r="F17" i="5"/>
  <c r="F22" i="5"/>
  <c r="F13" i="5"/>
  <c r="F30" i="5"/>
  <c r="F29" i="5"/>
  <c r="F14" i="5"/>
  <c r="F18" i="5"/>
  <c r="F26" i="5"/>
  <c r="F11" i="5"/>
  <c r="F15" i="5"/>
  <c r="F31" i="5"/>
  <c r="F16" i="5"/>
  <c r="F20" i="5"/>
  <c r="F6" i="5"/>
  <c r="F28" i="5"/>
  <c r="F24" i="5"/>
  <c r="F21" i="5"/>
  <c r="F23" i="5"/>
  <c r="F8" i="5"/>
  <c r="F12" i="5"/>
  <c r="F7" i="5"/>
  <c r="F19" i="5"/>
  <c r="F27" i="5"/>
  <c r="F4" i="5"/>
  <c r="B15" i="2"/>
  <c r="F3" i="5"/>
  <c r="B12" i="6"/>
  <c r="B11" i="6"/>
  <c r="B15" i="6" l="1"/>
  <c r="C14" i="2"/>
  <c r="B18" i="2"/>
  <c r="B19" i="2"/>
  <c r="B20" i="2" s="1"/>
  <c r="B21" i="2" l="1"/>
  <c r="C14" i="6"/>
  <c r="B18" i="6"/>
  <c r="B19" i="6"/>
  <c r="B20" i="6" s="1"/>
  <c r="B21" i="6" l="1"/>
  <c r="B23" i="6" s="1"/>
  <c r="D21" i="2"/>
  <c r="B23" i="2"/>
  <c r="D25" i="2"/>
</calcChain>
</file>

<file path=xl/comments1.xml><?xml version="1.0" encoding="utf-8"?>
<comments xmlns="http://schemas.openxmlformats.org/spreadsheetml/2006/main">
  <authors>
    <author>Panos</author>
  </authors>
  <commentList>
    <comment ref="B17" authorId="0" shapeId="0">
      <text>
        <r>
          <rPr>
            <b/>
            <sz val="8"/>
            <color indexed="81"/>
            <rFont val="Tahoma"/>
            <family val="2"/>
          </rPr>
          <t>Sensitivity analysis should be undertaken before final decision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Panos</author>
  </authors>
  <commentList>
    <comment ref="C3" authorId="0" shapeId="0">
      <text>
        <r>
          <rPr>
            <sz val="8"/>
            <color indexed="81"/>
            <rFont val="Tahoma"/>
            <family val="2"/>
          </rPr>
          <t>Names end in "2" to avoid conflict with the names in the simple model.
Of course in a real application different models occupy different workbooks and names should not conflict.</t>
        </r>
      </text>
    </comment>
    <comment ref="B23" authorId="0" shapeId="0">
      <text>
        <r>
          <rPr>
            <b/>
            <sz val="8"/>
            <color indexed="81"/>
            <rFont val="Tahoma"/>
            <family val="2"/>
          </rPr>
          <t>Sensitivity analysis should be undertaken before final decision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Panos</author>
  </authors>
  <commentList>
    <comment ref="C3" authorId="0" shapeId="0">
      <text>
        <r>
          <rPr>
            <sz val="8"/>
            <color indexed="81"/>
            <rFont val="Tahoma"/>
            <family val="2"/>
          </rPr>
          <t>Names end in "2" to avoid conflict with the names in the simple model.
Of course in a real application different models occupy different workbooks and names should not conflict.</t>
        </r>
      </text>
    </comment>
    <comment ref="B23" authorId="0" shapeId="0">
      <text>
        <r>
          <rPr>
            <b/>
            <sz val="8"/>
            <color indexed="81"/>
            <rFont val="Tahoma"/>
            <family val="2"/>
          </rPr>
          <t>Sensitivity analysis should be undertaken before final decision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<sst xmlns="http://schemas.openxmlformats.org/spreadsheetml/2006/main" count="111" uniqueCount="55">
  <si>
    <t>Copies Ordered</t>
  </si>
  <si>
    <t>Cost per page</t>
  </si>
  <si>
    <t>Number of Pages</t>
  </si>
  <si>
    <t>Cost per Book</t>
  </si>
  <si>
    <t>Total Cost</t>
  </si>
  <si>
    <t>Decision Variables</t>
  </si>
  <si>
    <t>Parameters</t>
  </si>
  <si>
    <t>Author's rights</t>
  </si>
  <si>
    <t>Books Demand Equation</t>
  </si>
  <si>
    <t>Intercept</t>
  </si>
  <si>
    <t>Physical Results</t>
  </si>
  <si>
    <t>Books Sold</t>
  </si>
  <si>
    <t>Revenue</t>
  </si>
  <si>
    <t>Publishing Cost</t>
  </si>
  <si>
    <t>Profit</t>
  </si>
  <si>
    <t>Advanced Model</t>
  </si>
  <si>
    <t>Simple Model</t>
  </si>
  <si>
    <t>book_price</t>
  </si>
  <si>
    <t>rights</t>
  </si>
  <si>
    <t>books_sold</t>
  </si>
  <si>
    <t>revenue</t>
  </si>
  <si>
    <t>profit</t>
  </si>
  <si>
    <t>salary</t>
  </si>
  <si>
    <t>Names</t>
  </si>
  <si>
    <t>publish_cost</t>
  </si>
  <si>
    <t>total_cost</t>
  </si>
  <si>
    <t>Recommendation</t>
  </si>
  <si>
    <t>book_price2</t>
  </si>
  <si>
    <t>rights2</t>
  </si>
  <si>
    <t>demand_intercept</t>
  </si>
  <si>
    <t>demand_slope</t>
  </si>
  <si>
    <t>books_sold2</t>
  </si>
  <si>
    <t>revenue2</t>
  </si>
  <si>
    <t>publish_cost2</t>
  </si>
  <si>
    <t>total_cost2</t>
  </si>
  <si>
    <t>salary2</t>
  </si>
  <si>
    <t>profit2</t>
  </si>
  <si>
    <t>Equation Coefficients</t>
  </si>
  <si>
    <t>Slope (Linear Coefficient)</t>
  </si>
  <si>
    <t>Financial Results ($)</t>
  </si>
  <si>
    <t>Book Price ($)</t>
  </si>
  <si>
    <t>Internship Salary ($)</t>
  </si>
  <si>
    <t>Publication Costs ($)</t>
  </si>
  <si>
    <t>Price</t>
  </si>
  <si>
    <t>Qty. Sold</t>
  </si>
  <si>
    <t>Regression Line:</t>
  </si>
  <si>
    <t>Slope:</t>
  </si>
  <si>
    <t>Intercept:</t>
  </si>
  <si>
    <t>Rights</t>
  </si>
  <si>
    <t>num_pages</t>
  </si>
  <si>
    <t>Baseline</t>
  </si>
  <si>
    <t>AllUp</t>
  </si>
  <si>
    <t>AllDown</t>
  </si>
  <si>
    <t>UpMore</t>
  </si>
  <si>
    <t>DownMore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</si>
</sst>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6" formatCode="&quot;$&quot;#,##0.00_);\(&quot;$&quot;#,##0.00\)"/>
    <numFmt numFmtId="172" formatCode="&quot;$&quot;#,##0.0000"/>
    <numFmt numFmtId="173" formatCode="&quot;$&quot;#,##0.00"/>
    <numFmt numFmtId="174" formatCode="&quot;$&quot;#,##0.0"/>
    <numFmt numFmtId="175" formatCode="&quot;$&quot;#,##0"/>
  </numFmts>
  <fonts count="10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sz val="8"/>
      <color indexed="81"/>
      <name val="Tahoma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b/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indent="1"/>
    </xf>
    <xf numFmtId="0" fontId="0" fillId="3" borderId="0" xfId="0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0" fillId="3" borderId="0" xfId="0" applyFill="1" applyBorder="1"/>
    <xf numFmtId="0" fontId="0" fillId="2" borderId="0" xfId="0" applyFill="1" applyBorder="1"/>
    <xf numFmtId="174" fontId="0" fillId="2" borderId="0" xfId="0" applyNumberFormat="1" applyFill="1" applyBorder="1"/>
    <xf numFmtId="0" fontId="1" fillId="5" borderId="0" xfId="0" applyFont="1" applyFill="1" applyAlignment="1">
      <alignment horizontal="center"/>
    </xf>
    <xf numFmtId="0" fontId="3" fillId="3" borderId="1" xfId="0" applyFont="1" applyFill="1" applyBorder="1"/>
    <xf numFmtId="0" fontId="0" fillId="3" borderId="1" xfId="0" applyFill="1" applyBorder="1"/>
    <xf numFmtId="0" fontId="0" fillId="5" borderId="2" xfId="0" applyFill="1" applyBorder="1"/>
    <xf numFmtId="175" fontId="0" fillId="5" borderId="2" xfId="0" applyNumberFormat="1" applyFill="1" applyBorder="1"/>
    <xf numFmtId="0" fontId="0" fillId="3" borderId="1" xfId="0" applyFill="1" applyBorder="1" applyAlignment="1">
      <alignment horizontal="left" indent="1"/>
    </xf>
    <xf numFmtId="0" fontId="0" fillId="3" borderId="3" xfId="0" applyFill="1" applyBorder="1"/>
    <xf numFmtId="0" fontId="4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3" fillId="3" borderId="4" xfId="0" applyFont="1" applyFill="1" applyBorder="1"/>
    <xf numFmtId="9" fontId="0" fillId="5" borderId="5" xfId="0" applyNumberFormat="1" applyFill="1" applyBorder="1"/>
    <xf numFmtId="0" fontId="0" fillId="3" borderId="6" xfId="0" applyFill="1" applyBorder="1"/>
    <xf numFmtId="174" fontId="0" fillId="5" borderId="7" xfId="0" applyNumberFormat="1" applyFill="1" applyBorder="1"/>
    <xf numFmtId="0" fontId="1" fillId="5" borderId="8" xfId="0" applyFont="1" applyFill="1" applyBorder="1" applyAlignment="1">
      <alignment horizontal="center"/>
    </xf>
    <xf numFmtId="0" fontId="5" fillId="3" borderId="0" xfId="0" applyFont="1" applyFill="1"/>
    <xf numFmtId="0" fontId="0" fillId="5" borderId="7" xfId="0" applyFill="1" applyBorder="1"/>
    <xf numFmtId="0" fontId="1" fillId="3" borderId="0" xfId="0" applyFont="1" applyFill="1" applyAlignment="1">
      <alignment horizontal="center"/>
    </xf>
    <xf numFmtId="0" fontId="7" fillId="2" borderId="0" xfId="0" applyFont="1" applyFill="1"/>
    <xf numFmtId="173" fontId="0" fillId="5" borderId="0" xfId="0" applyNumberFormat="1" applyFill="1"/>
    <xf numFmtId="0" fontId="0" fillId="5" borderId="0" xfId="0" applyFill="1"/>
    <xf numFmtId="0" fontId="1" fillId="5" borderId="0" xfId="0" applyFont="1" applyFill="1"/>
    <xf numFmtId="0" fontId="0" fillId="5" borderId="0" xfId="0" applyNumberFormat="1" applyFill="1"/>
    <xf numFmtId="172" fontId="0" fillId="5" borderId="0" xfId="0" applyNumberFormat="1" applyFill="1" applyBorder="1"/>
    <xf numFmtId="173" fontId="0" fillId="5" borderId="0" xfId="0" applyNumberFormat="1" applyFill="1" applyBorder="1"/>
    <xf numFmtId="0" fontId="0" fillId="5" borderId="0" xfId="0" applyFill="1" applyBorder="1"/>
    <xf numFmtId="0" fontId="1" fillId="5" borderId="0" xfId="0" applyFont="1" applyFill="1" applyBorder="1"/>
    <xf numFmtId="172" fontId="1" fillId="5" borderId="0" xfId="0" applyNumberFormat="1" applyFont="1" applyFill="1" applyBorder="1"/>
    <xf numFmtId="173" fontId="1" fillId="5" borderId="0" xfId="0" applyNumberFormat="1" applyFont="1" applyFill="1" applyBorder="1" applyAlignment="1">
      <alignment horizontal="center"/>
    </xf>
    <xf numFmtId="175" fontId="0" fillId="5" borderId="5" xfId="0" applyNumberFormat="1" applyFill="1" applyBorder="1"/>
    <xf numFmtId="175" fontId="0" fillId="5" borderId="9" xfId="0" applyNumberFormat="1" applyFill="1" applyBorder="1"/>
    <xf numFmtId="0" fontId="0" fillId="3" borderId="6" xfId="0" applyFill="1" applyBorder="1" applyAlignment="1">
      <alignment horizontal="left"/>
    </xf>
    <xf numFmtId="0" fontId="8" fillId="3" borderId="1" xfId="0" applyFont="1" applyFill="1" applyBorder="1"/>
    <xf numFmtId="175" fontId="0" fillId="3" borderId="2" xfId="0" applyNumberFormat="1" applyFill="1" applyBorder="1"/>
    <xf numFmtId="0" fontId="0" fillId="3" borderId="2" xfId="0" applyNumberFormat="1" applyFill="1" applyBorder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Fill="1"/>
    <xf numFmtId="0" fontId="0" fillId="3" borderId="0" xfId="0" applyFill="1" applyAlignment="1">
      <alignment horizontal="center"/>
    </xf>
    <xf numFmtId="0" fontId="0" fillId="3" borderId="8" xfId="0" applyFill="1" applyBorder="1"/>
    <xf numFmtId="10" fontId="0" fillId="3" borderId="0" xfId="0" applyNumberFormat="1" applyFill="1"/>
    <xf numFmtId="0" fontId="0" fillId="5" borderId="0" xfId="0" applyFill="1" applyBorder="1" applyAlignment="1">
      <alignment horizontal="center"/>
    </xf>
    <xf numFmtId="172" fontId="0" fillId="5" borderId="0" xfId="0" applyNumberFormat="1" applyFill="1" applyBorder="1" applyAlignment="1">
      <alignment horizontal="center"/>
    </xf>
    <xf numFmtId="173" fontId="0" fillId="5" borderId="0" xfId="0" applyNumberForma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172" fontId="1" fillId="5" borderId="0" xfId="0" applyNumberFormat="1" applyFont="1" applyFill="1" applyBorder="1" applyAlignment="1">
      <alignment horizontal="center"/>
    </xf>
    <xf numFmtId="0" fontId="0" fillId="5" borderId="8" xfId="0" applyNumberFormat="1" applyFill="1" applyBorder="1"/>
    <xf numFmtId="0" fontId="1" fillId="2" borderId="0" xfId="0" applyFont="1" applyFill="1" applyBorder="1"/>
    <xf numFmtId="173" fontId="0" fillId="2" borderId="0" xfId="0" applyNumberFormat="1" applyFill="1" applyBorder="1"/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9366103573490832"/>
          <c:y val="7.9884267782623225E-2"/>
          <c:w val="0.25397711198694772"/>
          <c:h val="0.84322282659435632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'Cost vs. Demand'!$H$2:$H$31</c:f>
              <c:numCache>
                <c:formatCode>General</c:formatCode>
                <c:ptCount val="30"/>
                <c:pt idx="0">
                  <c:v>31</c:v>
                </c:pt>
                <c:pt idx="1">
                  <c:v>18</c:v>
                </c:pt>
                <c:pt idx="2">
                  <c:v>15</c:v>
                </c:pt>
                <c:pt idx="3">
                  <c:v>23</c:v>
                </c:pt>
                <c:pt idx="4">
                  <c:v>14</c:v>
                </c:pt>
                <c:pt idx="5">
                  <c:v>34</c:v>
                </c:pt>
                <c:pt idx="6">
                  <c:v>27</c:v>
                </c:pt>
                <c:pt idx="7">
                  <c:v>34</c:v>
                </c:pt>
                <c:pt idx="8">
                  <c:v>28</c:v>
                </c:pt>
                <c:pt idx="9">
                  <c:v>18</c:v>
                </c:pt>
                <c:pt idx="10">
                  <c:v>34</c:v>
                </c:pt>
                <c:pt idx="11">
                  <c:v>28</c:v>
                </c:pt>
                <c:pt idx="12">
                  <c:v>20</c:v>
                </c:pt>
                <c:pt idx="13">
                  <c:v>31</c:v>
                </c:pt>
                <c:pt idx="14">
                  <c:v>8</c:v>
                </c:pt>
                <c:pt idx="15">
                  <c:v>8</c:v>
                </c:pt>
                <c:pt idx="16">
                  <c:v>24</c:v>
                </c:pt>
                <c:pt idx="17">
                  <c:v>30</c:v>
                </c:pt>
                <c:pt idx="18">
                  <c:v>27</c:v>
                </c:pt>
                <c:pt idx="19">
                  <c:v>16</c:v>
                </c:pt>
                <c:pt idx="20">
                  <c:v>28</c:v>
                </c:pt>
                <c:pt idx="21">
                  <c:v>35</c:v>
                </c:pt>
                <c:pt idx="22">
                  <c:v>8</c:v>
                </c:pt>
                <c:pt idx="23">
                  <c:v>33</c:v>
                </c:pt>
                <c:pt idx="24">
                  <c:v>27</c:v>
                </c:pt>
                <c:pt idx="25">
                  <c:v>24</c:v>
                </c:pt>
                <c:pt idx="26">
                  <c:v>14</c:v>
                </c:pt>
                <c:pt idx="27">
                  <c:v>24</c:v>
                </c:pt>
                <c:pt idx="28">
                  <c:v>20</c:v>
                </c:pt>
                <c:pt idx="29">
                  <c:v>19</c:v>
                </c:pt>
              </c:numCache>
            </c:numRef>
          </c:xVal>
          <c:yVal>
            <c:numRef>
              <c:f>'Cost vs. Demand'!$I$2:$I$31</c:f>
              <c:numCache>
                <c:formatCode>0</c:formatCode>
                <c:ptCount val="30"/>
                <c:pt idx="0">
                  <c:v>623.02090949029662</c:v>
                </c:pt>
                <c:pt idx="1">
                  <c:v>2399.7164288489148</c:v>
                </c:pt>
                <c:pt idx="2">
                  <c:v>2866.4962888346054</c:v>
                </c:pt>
                <c:pt idx="3">
                  <c:v>2013.8197373319417</c:v>
                </c:pt>
                <c:pt idx="4">
                  <c:v>3172.0650699199177</c:v>
                </c:pt>
                <c:pt idx="5">
                  <c:v>156.32028468302451</c:v>
                </c:pt>
                <c:pt idx="6">
                  <c:v>1037.1127663226798</c:v>
                </c:pt>
                <c:pt idx="7">
                  <c:v>348.76092346734367</c:v>
                </c:pt>
                <c:pt idx="8">
                  <c:v>1066.4571691432502</c:v>
                </c:pt>
                <c:pt idx="9">
                  <c:v>2650.4335591057315</c:v>
                </c:pt>
                <c:pt idx="10">
                  <c:v>247.21285687177442</c:v>
                </c:pt>
                <c:pt idx="11">
                  <c:v>1128.6061981064267</c:v>
                </c:pt>
                <c:pt idx="12">
                  <c:v>2129.0506275428925</c:v>
                </c:pt>
                <c:pt idx="13">
                  <c:v>614.16326783015393</c:v>
                </c:pt>
                <c:pt idx="14">
                  <c:v>3984.0894858306274</c:v>
                </c:pt>
                <c:pt idx="15">
                  <c:v>4056.4534681569785</c:v>
                </c:pt>
                <c:pt idx="16">
                  <c:v>1424.4023891957477</c:v>
                </c:pt>
                <c:pt idx="17">
                  <c:v>697.81150361523032</c:v>
                </c:pt>
                <c:pt idx="18">
                  <c:v>1397.5077544152737</c:v>
                </c:pt>
                <c:pt idx="19">
                  <c:v>2599.5857619470917</c:v>
                </c:pt>
                <c:pt idx="20">
                  <c:v>993.75316312769428</c:v>
                </c:pt>
                <c:pt idx="21">
                  <c:v>-18.963107524905354</c:v>
                </c:pt>
                <c:pt idx="22">
                  <c:v>3760.2041045564692</c:v>
                </c:pt>
                <c:pt idx="23">
                  <c:v>548.79646864254028</c:v>
                </c:pt>
                <c:pt idx="24">
                  <c:v>1311.5650889510289</c:v>
                </c:pt>
                <c:pt idx="25">
                  <c:v>1777.1737744193524</c:v>
                </c:pt>
                <c:pt idx="26">
                  <c:v>3083.3580134995282</c:v>
                </c:pt>
                <c:pt idx="27">
                  <c:v>1653.2463537738658</c:v>
                </c:pt>
                <c:pt idx="28">
                  <c:v>1984.1371805407107</c:v>
                </c:pt>
                <c:pt idx="29">
                  <c:v>2211.9464565510862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CA-4444-B8C5-B2CD4D6C9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654191"/>
        <c:axId val="1"/>
      </c:scatterChart>
      <c:valAx>
        <c:axId val="1066654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665419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63738427136983"/>
          <c:y val="0.48522295986482256"/>
          <c:w val="0.20635640348939502"/>
          <c:h val="3.550411901449921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69850</xdr:colOff>
      <xdr:row>0</xdr:row>
      <xdr:rowOff>76200</xdr:rowOff>
    </xdr:from>
    <xdr:ext cx="5921236" cy="3276794"/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0F188DBC-F730-4BC1-9D0A-5BDFAFA01DD8}"/>
            </a:ext>
          </a:extLst>
        </xdr:cNvPr>
        <xdr:cNvSpPr txBox="1">
          <a:spLocks noChangeArrowheads="1"/>
        </xdr:cNvSpPr>
      </xdr:nvSpPr>
      <xdr:spPr bwMode="auto">
        <a:xfrm>
          <a:off x="69850" y="76200"/>
          <a:ext cx="5921236" cy="3276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32004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The summer before your senior year you can either write and publish a "Freshman Guide",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or do an internship that will pay you $5000.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The book would be interesting only to Penn freshmen, so your aspirations for a national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bestseller will not be fulfilled (for now). Also, you cannot really hope to sell the book for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more than a year, as Penn (being the fun and dynamic place you describe in the "Guide")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will have changed so much as to render the "Guide" useless.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 publisher has "agreed" to publish your book if you incur part of the publication expenses.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You were provided with the publisher's cost structure, part of which is shown in the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"Publication_Costs" worksheet. This is enough to help you calculate your publication costs.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Talking to the publisher and the Penn bookstore, you understand that your rights, as the author,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will be 25% of the book price. Much better than the average author's rights, but then again, you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are paying for the publication costs...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You were able to query the bookstore's database to find some data relating the price of a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quanty of the books sold last month.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Your job, Mr. Phelps, if you choose to accept it, is either to publish or perish in the summer heat.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14</xdr:row>
      <xdr:rowOff>6350</xdr:rowOff>
    </xdr:from>
    <xdr:ext cx="63500" cy="190500"/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ADBAB257-2955-4475-A385-CDED59712C81}"/>
            </a:ext>
          </a:extLst>
        </xdr:cNvPr>
        <xdr:cNvSpPr txBox="1">
          <a:spLocks noChangeArrowheads="1"/>
        </xdr:cNvSpPr>
      </xdr:nvSpPr>
      <xdr:spPr bwMode="auto">
        <a:xfrm>
          <a:off x="190500" y="2254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33</xdr:row>
      <xdr:rowOff>19050</xdr:rowOff>
    </xdr:from>
    <xdr:to>
      <xdr:col>8</xdr:col>
      <xdr:colOff>158750</xdr:colOff>
      <xdr:row>46</xdr:row>
      <xdr:rowOff>101600</xdr:rowOff>
    </xdr:to>
    <xdr:graphicFrame macro="">
      <xdr:nvGraphicFramePr>
        <xdr:cNvPr id="5122" name="Chart 2">
          <a:extLst>
            <a:ext uri="{FF2B5EF4-FFF2-40B4-BE49-F238E27FC236}">
              <a16:creationId xmlns:a16="http://schemas.microsoft.com/office/drawing/2014/main" id="{0D7863F2-7EE9-4868-A61C-A8AFB5ECF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107950</xdr:colOff>
      <xdr:row>19</xdr:row>
      <xdr:rowOff>0</xdr:rowOff>
    </xdr:from>
    <xdr:ext cx="5208734" cy="179793"/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AB94DB7B-A75E-4F2D-9C5F-E6AEDB987848}"/>
            </a:ext>
          </a:extLst>
        </xdr:cNvPr>
        <xdr:cNvSpPr txBox="1">
          <a:spLocks noChangeArrowheads="1"/>
        </xdr:cNvSpPr>
      </xdr:nvSpPr>
      <xdr:spPr bwMode="auto">
        <a:xfrm>
          <a:off x="107950" y="3136900"/>
          <a:ext cx="5208734" cy="179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32004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 this simple model, the number of books sold is taken to be an exogenous variable.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203200</xdr:colOff>
      <xdr:row>1</xdr:row>
      <xdr:rowOff>120650</xdr:rowOff>
    </xdr:from>
    <xdr:ext cx="4588436" cy="1212127"/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B2BE32C0-820D-4B9C-B631-8199D8CD9137}"/>
            </a:ext>
          </a:extLst>
        </xdr:cNvPr>
        <xdr:cNvSpPr txBox="1">
          <a:spLocks noChangeArrowheads="1"/>
        </xdr:cNvSpPr>
      </xdr:nvSpPr>
      <xdr:spPr bwMode="auto">
        <a:xfrm>
          <a:off x="4432300" y="374650"/>
          <a:ext cx="4588436" cy="12121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32004" rIns="0" bIns="0" anchor="t" upright="1">
          <a:spAutoFit/>
        </a:bodyPr>
        <a:lstStyle/>
        <a:p>
          <a:pPr algn="l" rtl="0">
            <a:lnSpc>
              <a:spcPts val="1100"/>
            </a:lnSpc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 this model, the number of books sold is a linear function of price.</a:t>
          </a:r>
        </a:p>
        <a:p>
          <a:pPr algn="l" rtl="0">
            <a:lnSpc>
              <a:spcPts val="1100"/>
            </a:lnSpc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Try to find the optimal price (within a dollar) by using a one-way data table.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You may want to find what the approximate optimal price is,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and then re-use the data table for a smaller range of prices.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The model is far from perfect. Can you think of imperfections and possible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improvements?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69850</xdr:colOff>
      <xdr:row>1</xdr:row>
      <xdr:rowOff>82550</xdr:rowOff>
    </xdr:from>
    <xdr:ext cx="2971800" cy="520700"/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D0BDBB59-0136-402D-825A-38B7C77A4858}"/>
            </a:ext>
          </a:extLst>
        </xdr:cNvPr>
        <xdr:cNvSpPr txBox="1">
          <a:spLocks noChangeArrowheads="1"/>
        </xdr:cNvSpPr>
      </xdr:nvSpPr>
      <xdr:spPr bwMode="auto">
        <a:xfrm>
          <a:off x="4940300" y="336550"/>
          <a:ext cx="29718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32004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Sensitivity Analysis:  One-way data table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How do profits vary as a function of book price?</a:t>
          </a:r>
        </a:p>
      </xdr:txBody>
    </xdr:sp>
    <xdr:clientData/>
  </xdr:oneCellAnchor>
  <xdr:oneCellAnchor>
    <xdr:from>
      <xdr:col>4</xdr:col>
      <xdr:colOff>69850</xdr:colOff>
      <xdr:row>33</xdr:row>
      <xdr:rowOff>57150</xdr:rowOff>
    </xdr:from>
    <xdr:ext cx="5151667" cy="917174"/>
    <xdr:sp macro="" textlink="">
      <xdr:nvSpPr>
        <xdr:cNvPr id="6148" name="Text Box 4">
          <a:extLst>
            <a:ext uri="{FF2B5EF4-FFF2-40B4-BE49-F238E27FC236}">
              <a16:creationId xmlns:a16="http://schemas.microsoft.com/office/drawing/2014/main" id="{3398EBC8-B28F-4AD2-8E1C-14BA8C1632F5}"/>
            </a:ext>
          </a:extLst>
        </xdr:cNvPr>
        <xdr:cNvSpPr txBox="1">
          <a:spLocks noChangeArrowheads="1"/>
        </xdr:cNvSpPr>
      </xdr:nvSpPr>
      <xdr:spPr bwMode="auto">
        <a:xfrm>
          <a:off x="4940300" y="5422900"/>
          <a:ext cx="5151667" cy="91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32004" rIns="0" bIns="0" anchor="t" upright="1">
          <a:spAutoFit/>
        </a:bodyPr>
        <a:lstStyle/>
        <a:p>
          <a:pPr algn="l" rtl="0">
            <a:lnSpc>
              <a:spcPts val="1100"/>
            </a:lnSpc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Sensitivity Analysis:  Scenario Manager</a:t>
          </a:r>
        </a:p>
        <a:p>
          <a:pPr algn="l" rtl="0">
            <a:lnSpc>
              <a:spcPts val="1100"/>
            </a:lnSpc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How do profits (and possibly additional endogenous measures) vary as a function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of one or more (including three plus) exogenous decision variables and parameters.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 this case, profits as a function of book price, author's rights, and the size of the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book (num_pages affects printing costs).</a:t>
          </a:r>
        </a:p>
      </xdr:txBody>
    </xdr:sp>
    <xdr:clientData/>
  </xdr:oneCellAnchor>
  <xdr:oneCellAnchor>
    <xdr:from>
      <xdr:col>4</xdr:col>
      <xdr:colOff>82550</xdr:colOff>
      <xdr:row>12</xdr:row>
      <xdr:rowOff>139700</xdr:rowOff>
    </xdr:from>
    <xdr:ext cx="4312334" cy="622222"/>
    <xdr:sp macro="" textlink="">
      <xdr:nvSpPr>
        <xdr:cNvPr id="6149" name="Text Box 5">
          <a:extLst>
            <a:ext uri="{FF2B5EF4-FFF2-40B4-BE49-F238E27FC236}">
              <a16:creationId xmlns:a16="http://schemas.microsoft.com/office/drawing/2014/main" id="{3C8745FE-6AE9-46D9-809E-222AFE66E219}"/>
            </a:ext>
          </a:extLst>
        </xdr:cNvPr>
        <xdr:cNvSpPr txBox="1">
          <a:spLocks noChangeArrowheads="1"/>
        </xdr:cNvSpPr>
      </xdr:nvSpPr>
      <xdr:spPr bwMode="auto">
        <a:xfrm>
          <a:off x="4953000" y="2152650"/>
          <a:ext cx="4312334" cy="622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32004" rIns="0" bIns="0" anchor="t" upright="1">
          <a:spAutoFit/>
        </a:bodyPr>
        <a:lstStyle/>
        <a:p>
          <a:pPr algn="l" rtl="0">
            <a:lnSpc>
              <a:spcPts val="1100"/>
            </a:lnSpc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Sensitivity Analysis:  Two-way data table</a:t>
          </a:r>
        </a:p>
        <a:p>
          <a:pPr algn="l" rtl="0">
            <a:lnSpc>
              <a:spcPts val="1100"/>
            </a:lnSpc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How do profits vary as a function of book price and the author's rights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(cut of sales)?</a:t>
          </a:r>
        </a:p>
      </xdr:txBody>
    </xdr:sp>
    <xdr:clientData/>
  </xdr:oneCellAnchor>
  <xdr:oneCellAnchor>
    <xdr:from>
      <xdr:col>4</xdr:col>
      <xdr:colOff>82550</xdr:colOff>
      <xdr:row>47</xdr:row>
      <xdr:rowOff>114300</xdr:rowOff>
    </xdr:from>
    <xdr:ext cx="4133850" cy="1016000"/>
    <xdr:sp macro="" textlink="">
      <xdr:nvSpPr>
        <xdr:cNvPr id="6150" name="Text Box 6">
          <a:extLst>
            <a:ext uri="{FF2B5EF4-FFF2-40B4-BE49-F238E27FC236}">
              <a16:creationId xmlns:a16="http://schemas.microsoft.com/office/drawing/2014/main" id="{3B9ED828-5D9F-4061-8EAC-D7284D4C4019}"/>
            </a:ext>
          </a:extLst>
        </xdr:cNvPr>
        <xdr:cNvSpPr txBox="1">
          <a:spLocks noChangeArrowheads="1"/>
        </xdr:cNvSpPr>
      </xdr:nvSpPr>
      <xdr:spPr bwMode="auto">
        <a:xfrm>
          <a:off x="4953000" y="7727950"/>
          <a:ext cx="4133850" cy="101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32004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Sensitivity Analysis:  "If What" -- Goal Seek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If I want a profit of $2,000, for a 150 page book and 25% royalites, is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there a Price I can charge that would produce a profit of $2,000?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What if I only wanted a profit of $500?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E25" sqref="E25"/>
    </sheetView>
  </sheetViews>
  <sheetFormatPr defaultColWidth="9.1796875" defaultRowHeight="12.5" x14ac:dyDescent="0.25"/>
  <cols>
    <col min="1" max="1" width="17" style="1" bestFit="1" customWidth="1"/>
    <col min="2" max="16384" width="9.1796875" style="1"/>
  </cols>
  <sheetData/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"/>
  <sheetViews>
    <sheetView workbookViewId="0">
      <selection activeCell="B2" sqref="B2:E12"/>
    </sheetView>
  </sheetViews>
  <sheetFormatPr defaultColWidth="9.1796875" defaultRowHeight="12.5" x14ac:dyDescent="0.25"/>
  <cols>
    <col min="1" max="1" width="9.1796875" style="1"/>
    <col min="2" max="2" width="16.7265625" style="1" bestFit="1" customWidth="1"/>
    <col min="3" max="4" width="13.7265625" style="1" bestFit="1" customWidth="1"/>
    <col min="5" max="5" width="10" style="1" bestFit="1" customWidth="1"/>
    <col min="6" max="16384" width="9.1796875" style="1"/>
  </cols>
  <sheetData>
    <row r="2" spans="2:5" ht="13" x14ac:dyDescent="0.3">
      <c r="B2" s="62"/>
      <c r="C2" s="62"/>
      <c r="D2" s="29"/>
      <c r="E2" s="30"/>
    </row>
    <row r="3" spans="2:5" ht="13" x14ac:dyDescent="0.3">
      <c r="B3" s="63" t="s">
        <v>42</v>
      </c>
      <c r="C3" s="63"/>
      <c r="D3" s="29"/>
      <c r="E3" s="30"/>
    </row>
    <row r="4" spans="2:5" ht="13" x14ac:dyDescent="0.3">
      <c r="B4" s="36" t="s">
        <v>0</v>
      </c>
      <c r="C4" s="37" t="s">
        <v>1</v>
      </c>
      <c r="D4" s="38" t="s">
        <v>3</v>
      </c>
      <c r="E4" s="36" t="s">
        <v>4</v>
      </c>
    </row>
    <row r="5" spans="2:5" x14ac:dyDescent="0.25">
      <c r="B5" s="35">
        <v>1</v>
      </c>
      <c r="C5" s="33">
        <v>2.5000000000000001E-2</v>
      </c>
      <c r="D5" s="34">
        <f t="shared" ref="D5:D10" si="0">C5*$C$12</f>
        <v>3.75</v>
      </c>
      <c r="E5" s="34"/>
    </row>
    <row r="6" spans="2:5" x14ac:dyDescent="0.25">
      <c r="B6" s="35">
        <v>251</v>
      </c>
      <c r="C6" s="33">
        <v>2.2499999999999999E-2</v>
      </c>
      <c r="D6" s="34">
        <f t="shared" si="0"/>
        <v>3.375</v>
      </c>
      <c r="E6" s="34"/>
    </row>
    <row r="7" spans="2:5" x14ac:dyDescent="0.25">
      <c r="B7" s="35">
        <v>501</v>
      </c>
      <c r="C7" s="33">
        <v>2.01E-2</v>
      </c>
      <c r="D7" s="34">
        <f t="shared" si="0"/>
        <v>3.0150000000000001</v>
      </c>
      <c r="E7" s="34"/>
    </row>
    <row r="8" spans="2:5" x14ac:dyDescent="0.25">
      <c r="B8" s="35">
        <v>801</v>
      </c>
      <c r="C8" s="33">
        <v>1.7999999999999999E-2</v>
      </c>
      <c r="D8" s="34">
        <f t="shared" si="0"/>
        <v>2.6999999999999997</v>
      </c>
      <c r="E8" s="34"/>
    </row>
    <row r="9" spans="2:5" x14ac:dyDescent="0.25">
      <c r="B9" s="35">
        <v>1001</v>
      </c>
      <c r="C9" s="33">
        <v>1.6500000000000001E-2</v>
      </c>
      <c r="D9" s="34">
        <f t="shared" si="0"/>
        <v>2.4750000000000001</v>
      </c>
      <c r="E9" s="34"/>
    </row>
    <row r="10" spans="2:5" x14ac:dyDescent="0.25">
      <c r="B10" s="35">
        <v>1501</v>
      </c>
      <c r="C10" s="33">
        <v>1.4999999999999999E-2</v>
      </c>
      <c r="D10" s="34">
        <f t="shared" si="0"/>
        <v>2.25</v>
      </c>
      <c r="E10" s="34"/>
    </row>
    <row r="11" spans="2:5" x14ac:dyDescent="0.25">
      <c r="B11" s="30"/>
      <c r="C11" s="30"/>
      <c r="D11" s="30"/>
      <c r="E11" s="30"/>
    </row>
    <row r="12" spans="2:5" ht="13" x14ac:dyDescent="0.3">
      <c r="B12" s="31" t="s">
        <v>2</v>
      </c>
      <c r="C12" s="32">
        <v>150</v>
      </c>
      <c r="D12" s="30"/>
      <c r="E12" s="30"/>
    </row>
  </sheetData>
  <mergeCells count="2">
    <mergeCell ref="B2:C2"/>
    <mergeCell ref="B3:C3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1"/>
  <sheetViews>
    <sheetView showGridLines="0" topLeftCell="H1" workbookViewId="0">
      <selection activeCell="H3" sqref="H3"/>
    </sheetView>
  </sheetViews>
  <sheetFormatPr defaultColWidth="9.1796875" defaultRowHeight="12.5" x14ac:dyDescent="0.25"/>
  <cols>
    <col min="1" max="1" width="0" style="1" hidden="1" customWidth="1"/>
    <col min="2" max="6" width="9.1796875" style="1" hidden="1" customWidth="1"/>
    <col min="7" max="7" width="0" style="1" hidden="1" customWidth="1"/>
    <col min="8" max="9" width="9.1796875" style="47"/>
    <col min="10" max="16384" width="9.1796875" style="1"/>
  </cols>
  <sheetData>
    <row r="1" spans="2:12" ht="13" x14ac:dyDescent="0.3">
      <c r="B1" s="1" t="s">
        <v>43</v>
      </c>
      <c r="C1" s="1" t="s">
        <v>44</v>
      </c>
      <c r="H1" s="48" t="s">
        <v>43</v>
      </c>
      <c r="I1" s="48" t="s">
        <v>44</v>
      </c>
    </row>
    <row r="2" spans="2:12" x14ac:dyDescent="0.25">
      <c r="B2" s="1">
        <f ca="1">INT(RAND()*35 + 1)</f>
        <v>4</v>
      </c>
      <c r="C2" s="1">
        <f ca="1">-140*B2+5000</f>
        <v>4440</v>
      </c>
      <c r="D2" s="1">
        <f ca="1">RAND()</f>
        <v>0.89007518033957611</v>
      </c>
      <c r="E2" s="1">
        <f ca="1">NORMINV(D2,0,144)</f>
        <v>176.67763745703405</v>
      </c>
      <c r="F2" s="1">
        <f ca="1">C2+E2</f>
        <v>4616.6776374570345</v>
      </c>
      <c r="H2" s="45">
        <v>31</v>
      </c>
      <c r="I2" s="46">
        <v>623.02090949029662</v>
      </c>
    </row>
    <row r="3" spans="2:12" x14ac:dyDescent="0.25">
      <c r="B3" s="1">
        <f t="shared" ref="B3:B31" ca="1" si="0">INT(RAND()*35 + 1)</f>
        <v>11</v>
      </c>
      <c r="C3" s="1">
        <f t="shared" ref="C3:C31" ca="1" si="1">-140*B3+5000</f>
        <v>3460</v>
      </c>
      <c r="D3" s="1">
        <f t="shared" ref="D3:D31" ca="1" si="2">RAND()</f>
        <v>0.71195193906856247</v>
      </c>
      <c r="E3" s="1">
        <f t="shared" ref="E3:E31" ca="1" si="3">NORMINV(D3,0,144)</f>
        <v>80.509841437722557</v>
      </c>
      <c r="F3" s="1">
        <f t="shared" ref="F3:F31" ca="1" si="4">C3+E3</f>
        <v>3540.5098414377226</v>
      </c>
      <c r="H3" s="45">
        <v>18</v>
      </c>
      <c r="I3" s="46">
        <v>2399.7164288489148</v>
      </c>
    </row>
    <row r="4" spans="2:12" x14ac:dyDescent="0.25">
      <c r="B4" s="1">
        <f t="shared" ca="1" si="0"/>
        <v>2</v>
      </c>
      <c r="C4" s="1">
        <f t="shared" ca="1" si="1"/>
        <v>4720</v>
      </c>
      <c r="D4" s="1">
        <f t="shared" ca="1" si="2"/>
        <v>0.24051198138033147</v>
      </c>
      <c r="E4" s="1">
        <f t="shared" ca="1" si="3"/>
        <v>-101.47055116688951</v>
      </c>
      <c r="F4" s="1">
        <f t="shared" ca="1" si="4"/>
        <v>4618.5294488331101</v>
      </c>
      <c r="H4" s="45">
        <v>15</v>
      </c>
      <c r="I4" s="46">
        <v>2866.4962888346054</v>
      </c>
      <c r="K4" s="1" t="s">
        <v>45</v>
      </c>
    </row>
    <row r="5" spans="2:12" x14ac:dyDescent="0.25">
      <c r="B5" s="1">
        <f t="shared" ca="1" si="0"/>
        <v>6</v>
      </c>
      <c r="C5" s="1">
        <f t="shared" ca="1" si="1"/>
        <v>4160</v>
      </c>
      <c r="D5" s="1">
        <f t="shared" ca="1" si="2"/>
        <v>0.66240407338780949</v>
      </c>
      <c r="E5" s="1">
        <f t="shared" ca="1" si="3"/>
        <v>60.340783889213427</v>
      </c>
      <c r="F5" s="1">
        <f t="shared" ca="1" si="4"/>
        <v>4220.3407838892135</v>
      </c>
      <c r="H5" s="45">
        <v>23</v>
      </c>
      <c r="I5" s="46">
        <v>2013.8197373319417</v>
      </c>
      <c r="K5" s="1" t="s">
        <v>46</v>
      </c>
      <c r="L5" s="1">
        <f>SLOPE(I2:I31,H2:H31)</f>
        <v>-141.23076663479804</v>
      </c>
    </row>
    <row r="6" spans="2:12" x14ac:dyDescent="0.25">
      <c r="B6" s="1">
        <f t="shared" ca="1" si="0"/>
        <v>15</v>
      </c>
      <c r="C6" s="1">
        <f t="shared" ca="1" si="1"/>
        <v>2900</v>
      </c>
      <c r="D6" s="1">
        <f t="shared" ca="1" si="2"/>
        <v>0.85637410242770473</v>
      </c>
      <c r="E6" s="1">
        <f t="shared" ca="1" si="3"/>
        <v>153.24044805784536</v>
      </c>
      <c r="F6" s="1">
        <f t="shared" ca="1" si="4"/>
        <v>3053.2404480578452</v>
      </c>
      <c r="H6" s="45">
        <v>14</v>
      </c>
      <c r="I6" s="46">
        <v>3172.0650699199177</v>
      </c>
      <c r="K6" s="1" t="s">
        <v>47</v>
      </c>
      <c r="L6" s="1">
        <f>INTERCEPT(I2:I31,H2:H31)</f>
        <v>5025.9946863851965</v>
      </c>
    </row>
    <row r="7" spans="2:12" x14ac:dyDescent="0.25">
      <c r="B7" s="1">
        <f t="shared" ca="1" si="0"/>
        <v>26</v>
      </c>
      <c r="C7" s="1">
        <f t="shared" ca="1" si="1"/>
        <v>1360</v>
      </c>
      <c r="D7" s="1">
        <f t="shared" ca="1" si="2"/>
        <v>0.8926795997853546</v>
      </c>
      <c r="E7" s="1">
        <f t="shared" ca="1" si="3"/>
        <v>178.69033755370765</v>
      </c>
      <c r="F7" s="1">
        <f t="shared" ca="1" si="4"/>
        <v>1538.6903375537076</v>
      </c>
      <c r="H7" s="45">
        <v>34</v>
      </c>
      <c r="I7" s="46">
        <v>156.32028468302451</v>
      </c>
    </row>
    <row r="8" spans="2:12" x14ac:dyDescent="0.25">
      <c r="B8" s="1">
        <f t="shared" ca="1" si="0"/>
        <v>26</v>
      </c>
      <c r="C8" s="1">
        <f t="shared" ca="1" si="1"/>
        <v>1360</v>
      </c>
      <c r="D8" s="1">
        <f t="shared" ca="1" si="2"/>
        <v>5.9051980217895927E-2</v>
      </c>
      <c r="E8" s="1">
        <f t="shared" ca="1" si="3"/>
        <v>-225.04055838959434</v>
      </c>
      <c r="F8" s="1">
        <f t="shared" ca="1" si="4"/>
        <v>1134.9594416104057</v>
      </c>
      <c r="H8" s="45">
        <v>27</v>
      </c>
      <c r="I8" s="46">
        <v>1037.1127663226798</v>
      </c>
    </row>
    <row r="9" spans="2:12" x14ac:dyDescent="0.25">
      <c r="B9" s="1">
        <f t="shared" ca="1" si="0"/>
        <v>27</v>
      </c>
      <c r="C9" s="1">
        <f t="shared" ca="1" si="1"/>
        <v>1220</v>
      </c>
      <c r="D9" s="1">
        <f t="shared" ca="1" si="2"/>
        <v>0.84236031541111434</v>
      </c>
      <c r="E9" s="1">
        <f t="shared" ca="1" si="3"/>
        <v>144.6056524973238</v>
      </c>
      <c r="F9" s="1">
        <f t="shared" ca="1" si="4"/>
        <v>1364.6056524973237</v>
      </c>
      <c r="H9" s="45">
        <v>34</v>
      </c>
      <c r="I9" s="46">
        <v>348.76092346734367</v>
      </c>
    </row>
    <row r="10" spans="2:12" x14ac:dyDescent="0.25">
      <c r="B10" s="1">
        <f t="shared" ca="1" si="0"/>
        <v>32</v>
      </c>
      <c r="C10" s="1">
        <f t="shared" ca="1" si="1"/>
        <v>520</v>
      </c>
      <c r="D10" s="1">
        <f t="shared" ca="1" si="2"/>
        <v>0.82262830289960764</v>
      </c>
      <c r="E10" s="1">
        <f t="shared" ca="1" si="3"/>
        <v>133.26161136879909</v>
      </c>
      <c r="F10" s="1">
        <f t="shared" ca="1" si="4"/>
        <v>653.26161136879909</v>
      </c>
      <c r="H10" s="45">
        <v>28</v>
      </c>
      <c r="I10" s="46">
        <v>1066.4571691432502</v>
      </c>
    </row>
    <row r="11" spans="2:12" x14ac:dyDescent="0.25">
      <c r="B11" s="1">
        <f t="shared" ca="1" si="0"/>
        <v>21</v>
      </c>
      <c r="C11" s="1">
        <f t="shared" ca="1" si="1"/>
        <v>2060</v>
      </c>
      <c r="D11" s="1">
        <f t="shared" ca="1" si="2"/>
        <v>0.10821742682926949</v>
      </c>
      <c r="E11" s="1">
        <f t="shared" ca="1" si="3"/>
        <v>-177.99318557230808</v>
      </c>
      <c r="F11" s="1">
        <f t="shared" ca="1" si="4"/>
        <v>1882.006814427692</v>
      </c>
      <c r="H11" s="45">
        <v>18</v>
      </c>
      <c r="I11" s="46">
        <v>2650.4335591057315</v>
      </c>
    </row>
    <row r="12" spans="2:12" x14ac:dyDescent="0.25">
      <c r="B12" s="1">
        <f t="shared" ca="1" si="0"/>
        <v>8</v>
      </c>
      <c r="C12" s="1">
        <f t="shared" ca="1" si="1"/>
        <v>3880</v>
      </c>
      <c r="D12" s="1">
        <f t="shared" ca="1" si="2"/>
        <v>0.11257272486344527</v>
      </c>
      <c r="E12" s="1">
        <f t="shared" ca="1" si="3"/>
        <v>-174.66611356276562</v>
      </c>
      <c r="F12" s="1">
        <f t="shared" ca="1" si="4"/>
        <v>3705.3338864372345</v>
      </c>
      <c r="H12" s="45">
        <v>34</v>
      </c>
      <c r="I12" s="46">
        <v>247.21285687177442</v>
      </c>
    </row>
    <row r="13" spans="2:12" x14ac:dyDescent="0.25">
      <c r="B13" s="1">
        <f t="shared" ca="1" si="0"/>
        <v>25</v>
      </c>
      <c r="C13" s="1">
        <f t="shared" ca="1" si="1"/>
        <v>1500</v>
      </c>
      <c r="D13" s="1">
        <f t="shared" ca="1" si="2"/>
        <v>0.31057639376409096</v>
      </c>
      <c r="E13" s="1">
        <f t="shared" ca="1" si="3"/>
        <v>-71.167278078598855</v>
      </c>
      <c r="F13" s="1">
        <f t="shared" ca="1" si="4"/>
        <v>1428.8327219214011</v>
      </c>
      <c r="H13" s="45">
        <v>28</v>
      </c>
      <c r="I13" s="46">
        <v>1128.6061981064267</v>
      </c>
    </row>
    <row r="14" spans="2:12" x14ac:dyDescent="0.25">
      <c r="B14" s="1">
        <f t="shared" ca="1" si="0"/>
        <v>33</v>
      </c>
      <c r="C14" s="1">
        <f t="shared" ca="1" si="1"/>
        <v>380</v>
      </c>
      <c r="D14" s="1">
        <f t="shared" ca="1" si="2"/>
        <v>0.21160800834037974</v>
      </c>
      <c r="E14" s="1">
        <f t="shared" ca="1" si="3"/>
        <v>-115.32301488755242</v>
      </c>
      <c r="F14" s="1">
        <f t="shared" ca="1" si="4"/>
        <v>264.6769851124476</v>
      </c>
      <c r="H14" s="45">
        <v>20</v>
      </c>
      <c r="I14" s="46">
        <v>2129.0506275428925</v>
      </c>
    </row>
    <row r="15" spans="2:12" x14ac:dyDescent="0.25">
      <c r="B15" s="1">
        <f t="shared" ca="1" si="0"/>
        <v>5</v>
      </c>
      <c r="C15" s="1">
        <f t="shared" ca="1" si="1"/>
        <v>4300</v>
      </c>
      <c r="D15" s="1">
        <f t="shared" ca="1" si="2"/>
        <v>0.23002120753775923</v>
      </c>
      <c r="E15" s="1">
        <f t="shared" ca="1" si="3"/>
        <v>-106.3838892238302</v>
      </c>
      <c r="F15" s="1">
        <f t="shared" ca="1" si="4"/>
        <v>4193.61611077617</v>
      </c>
      <c r="H15" s="45">
        <v>31</v>
      </c>
      <c r="I15" s="46">
        <v>614.16326783015393</v>
      </c>
    </row>
    <row r="16" spans="2:12" x14ac:dyDescent="0.25">
      <c r="B16" s="1">
        <f t="shared" ca="1" si="0"/>
        <v>15</v>
      </c>
      <c r="C16" s="1">
        <f t="shared" ca="1" si="1"/>
        <v>2900</v>
      </c>
      <c r="D16" s="1">
        <f t="shared" ca="1" si="2"/>
        <v>0.54001264264014115</v>
      </c>
      <c r="E16" s="1">
        <f t="shared" ca="1" si="3"/>
        <v>14.467042252057308</v>
      </c>
      <c r="F16" s="1">
        <f t="shared" ca="1" si="4"/>
        <v>2914.4670422520571</v>
      </c>
      <c r="H16" s="45">
        <v>8</v>
      </c>
      <c r="I16" s="46">
        <v>3984.0894858306274</v>
      </c>
    </row>
    <row r="17" spans="2:9" x14ac:dyDescent="0.25">
      <c r="B17" s="1">
        <f t="shared" ca="1" si="0"/>
        <v>32</v>
      </c>
      <c r="C17" s="1">
        <f t="shared" ca="1" si="1"/>
        <v>520</v>
      </c>
      <c r="D17" s="1">
        <f t="shared" ca="1" si="2"/>
        <v>0.32854187825254866</v>
      </c>
      <c r="E17" s="1">
        <f t="shared" ca="1" si="3"/>
        <v>-63.927799644100254</v>
      </c>
      <c r="F17" s="1">
        <f t="shared" ca="1" si="4"/>
        <v>456.07220035589972</v>
      </c>
      <c r="H17" s="45">
        <v>8</v>
      </c>
      <c r="I17" s="46">
        <v>4056.4534681569785</v>
      </c>
    </row>
    <row r="18" spans="2:9" x14ac:dyDescent="0.25">
      <c r="B18" s="1">
        <f t="shared" ca="1" si="0"/>
        <v>21</v>
      </c>
      <c r="C18" s="1">
        <f t="shared" ca="1" si="1"/>
        <v>2060</v>
      </c>
      <c r="D18" s="1">
        <f t="shared" ca="1" si="2"/>
        <v>1.6559435527947253E-2</v>
      </c>
      <c r="E18" s="1">
        <f t="shared" ca="1" si="3"/>
        <v>-306.81205610244217</v>
      </c>
      <c r="F18" s="1">
        <f t="shared" ca="1" si="4"/>
        <v>1753.1879438975579</v>
      </c>
      <c r="H18" s="45">
        <v>24</v>
      </c>
      <c r="I18" s="46">
        <v>1424.4023891957477</v>
      </c>
    </row>
    <row r="19" spans="2:9" x14ac:dyDescent="0.25">
      <c r="B19" s="1">
        <f t="shared" ca="1" si="0"/>
        <v>24</v>
      </c>
      <c r="C19" s="1">
        <f t="shared" ca="1" si="1"/>
        <v>1640</v>
      </c>
      <c r="D19" s="1">
        <f t="shared" ca="1" si="2"/>
        <v>0.75849787056424689</v>
      </c>
      <c r="E19" s="1">
        <f t="shared" ca="1" si="3"/>
        <v>101.01294754840052</v>
      </c>
      <c r="F19" s="1">
        <f t="shared" ca="1" si="4"/>
        <v>1741.0129475484005</v>
      </c>
      <c r="H19" s="45">
        <v>30</v>
      </c>
      <c r="I19" s="46">
        <v>697.81150361523032</v>
      </c>
    </row>
    <row r="20" spans="2:9" x14ac:dyDescent="0.25">
      <c r="B20" s="1">
        <f t="shared" ca="1" si="0"/>
        <v>30</v>
      </c>
      <c r="C20" s="1">
        <f t="shared" ca="1" si="1"/>
        <v>800</v>
      </c>
      <c r="D20" s="1">
        <f t="shared" ca="1" si="2"/>
        <v>9.2936272522365915E-3</v>
      </c>
      <c r="E20" s="1">
        <f t="shared" ca="1" si="3"/>
        <v>-338.93381125214688</v>
      </c>
      <c r="F20" s="1">
        <f t="shared" ca="1" si="4"/>
        <v>461.06618874785312</v>
      </c>
      <c r="H20" s="45">
        <v>27</v>
      </c>
      <c r="I20" s="46">
        <v>1397.5077544152737</v>
      </c>
    </row>
    <row r="21" spans="2:9" x14ac:dyDescent="0.25">
      <c r="B21" s="1">
        <f t="shared" ca="1" si="0"/>
        <v>23</v>
      </c>
      <c r="C21" s="1">
        <f t="shared" ca="1" si="1"/>
        <v>1780</v>
      </c>
      <c r="D21" s="1">
        <f t="shared" ca="1" si="2"/>
        <v>0.89906500897733332</v>
      </c>
      <c r="E21" s="1">
        <f t="shared" ca="1" si="3"/>
        <v>183.7788495907329</v>
      </c>
      <c r="F21" s="1">
        <f t="shared" ca="1" si="4"/>
        <v>1963.778849590733</v>
      </c>
      <c r="H21" s="45">
        <v>16</v>
      </c>
      <c r="I21" s="46">
        <v>2599.5857619470917</v>
      </c>
    </row>
    <row r="22" spans="2:9" x14ac:dyDescent="0.25">
      <c r="B22" s="1">
        <f t="shared" ca="1" si="0"/>
        <v>8</v>
      </c>
      <c r="C22" s="1">
        <f t="shared" ca="1" si="1"/>
        <v>3880</v>
      </c>
      <c r="D22" s="1">
        <f t="shared" ca="1" si="2"/>
        <v>0.21503276651347281</v>
      </c>
      <c r="E22" s="1">
        <f t="shared" ca="1" si="3"/>
        <v>-113.62745038809945</v>
      </c>
      <c r="F22" s="1">
        <f t="shared" ca="1" si="4"/>
        <v>3766.3725496119005</v>
      </c>
      <c r="H22" s="45">
        <v>28</v>
      </c>
      <c r="I22" s="46">
        <v>993.75316312769428</v>
      </c>
    </row>
    <row r="23" spans="2:9" x14ac:dyDescent="0.25">
      <c r="B23" s="1">
        <f t="shared" ca="1" si="0"/>
        <v>1</v>
      </c>
      <c r="C23" s="1">
        <f t="shared" ca="1" si="1"/>
        <v>4860</v>
      </c>
      <c r="D23" s="1">
        <f t="shared" ca="1" si="2"/>
        <v>0.69809404040875256</v>
      </c>
      <c r="E23" s="1">
        <f t="shared" ca="1" si="3"/>
        <v>74.725432119619228</v>
      </c>
      <c r="F23" s="1">
        <f t="shared" ca="1" si="4"/>
        <v>4934.7254321196197</v>
      </c>
      <c r="H23" s="45">
        <v>35</v>
      </c>
      <c r="I23" s="46">
        <v>-18.963107524905354</v>
      </c>
    </row>
    <row r="24" spans="2:9" x14ac:dyDescent="0.25">
      <c r="B24" s="1">
        <f t="shared" ca="1" si="0"/>
        <v>31</v>
      </c>
      <c r="C24" s="1">
        <f t="shared" ca="1" si="1"/>
        <v>660</v>
      </c>
      <c r="D24" s="1">
        <f t="shared" ca="1" si="2"/>
        <v>2.2597369649573928E-2</v>
      </c>
      <c r="E24" s="1">
        <f t="shared" ca="1" si="3"/>
        <v>-288.40859200106911</v>
      </c>
      <c r="F24" s="1">
        <f t="shared" ca="1" si="4"/>
        <v>371.59140799893089</v>
      </c>
      <c r="H24" s="45">
        <v>8</v>
      </c>
      <c r="I24" s="46">
        <v>3760.2041045564692</v>
      </c>
    </row>
    <row r="25" spans="2:9" x14ac:dyDescent="0.25">
      <c r="B25" s="1">
        <f t="shared" ca="1" si="0"/>
        <v>33</v>
      </c>
      <c r="C25" s="1">
        <f t="shared" ca="1" si="1"/>
        <v>380</v>
      </c>
      <c r="D25" s="1">
        <f t="shared" ca="1" si="2"/>
        <v>0.28481920506828617</v>
      </c>
      <c r="E25" s="1">
        <f t="shared" ca="1" si="3"/>
        <v>-81.876111989720627</v>
      </c>
      <c r="F25" s="1">
        <f t="shared" ca="1" si="4"/>
        <v>298.12388801027936</v>
      </c>
      <c r="H25" s="45">
        <v>33</v>
      </c>
      <c r="I25" s="46">
        <v>548.79646864254028</v>
      </c>
    </row>
    <row r="26" spans="2:9" x14ac:dyDescent="0.25">
      <c r="B26" s="1">
        <f t="shared" ca="1" si="0"/>
        <v>11</v>
      </c>
      <c r="C26" s="1">
        <f t="shared" ca="1" si="1"/>
        <v>3460</v>
      </c>
      <c r="D26" s="1">
        <f t="shared" ca="1" si="2"/>
        <v>9.7820183958899687E-2</v>
      </c>
      <c r="E26" s="1">
        <f t="shared" ca="1" si="3"/>
        <v>-186.34644479215834</v>
      </c>
      <c r="F26" s="1">
        <f t="shared" ca="1" si="4"/>
        <v>3273.6535552078417</v>
      </c>
      <c r="H26" s="45">
        <v>27</v>
      </c>
      <c r="I26" s="46">
        <v>1311.5650889510289</v>
      </c>
    </row>
    <row r="27" spans="2:9" x14ac:dyDescent="0.25">
      <c r="B27" s="1">
        <f t="shared" ca="1" si="0"/>
        <v>22</v>
      </c>
      <c r="C27" s="1">
        <f t="shared" ca="1" si="1"/>
        <v>1920</v>
      </c>
      <c r="D27" s="1">
        <f t="shared" ca="1" si="2"/>
        <v>0.86556337542632011</v>
      </c>
      <c r="E27" s="1">
        <f t="shared" ca="1" si="3"/>
        <v>159.21519305735217</v>
      </c>
      <c r="F27" s="1">
        <f t="shared" ca="1" si="4"/>
        <v>2079.2151930573523</v>
      </c>
      <c r="H27" s="45">
        <v>24</v>
      </c>
      <c r="I27" s="46">
        <v>1777.1737744193524</v>
      </c>
    </row>
    <row r="28" spans="2:9" x14ac:dyDescent="0.25">
      <c r="B28" s="1">
        <f t="shared" ca="1" si="0"/>
        <v>26</v>
      </c>
      <c r="C28" s="1">
        <f t="shared" ca="1" si="1"/>
        <v>1360</v>
      </c>
      <c r="D28" s="1">
        <f t="shared" ca="1" si="2"/>
        <v>8.8668488452110394E-2</v>
      </c>
      <c r="E28" s="1">
        <f t="shared" ca="1" si="3"/>
        <v>-194.25599515219588</v>
      </c>
      <c r="F28" s="1">
        <f t="shared" ca="1" si="4"/>
        <v>1165.744004847804</v>
      </c>
      <c r="H28" s="45">
        <v>14</v>
      </c>
      <c r="I28" s="46">
        <v>3083.3580134995282</v>
      </c>
    </row>
    <row r="29" spans="2:9" x14ac:dyDescent="0.25">
      <c r="B29" s="1">
        <f t="shared" ca="1" si="0"/>
        <v>29</v>
      </c>
      <c r="C29" s="1">
        <f t="shared" ca="1" si="1"/>
        <v>940</v>
      </c>
      <c r="D29" s="1">
        <f t="shared" ca="1" si="2"/>
        <v>0.81534703325981683</v>
      </c>
      <c r="E29" s="1">
        <f t="shared" ca="1" si="3"/>
        <v>129.27948710536953</v>
      </c>
      <c r="F29" s="1">
        <f t="shared" ca="1" si="4"/>
        <v>1069.2794871053695</v>
      </c>
      <c r="H29" s="45">
        <v>24</v>
      </c>
      <c r="I29" s="46">
        <v>1653.2463537738658</v>
      </c>
    </row>
    <row r="30" spans="2:9" x14ac:dyDescent="0.25">
      <c r="B30" s="1">
        <f t="shared" ca="1" si="0"/>
        <v>27</v>
      </c>
      <c r="C30" s="1">
        <f t="shared" ca="1" si="1"/>
        <v>1220</v>
      </c>
      <c r="D30" s="1">
        <f t="shared" ca="1" si="2"/>
        <v>0.97674435556856776</v>
      </c>
      <c r="E30" s="1">
        <f t="shared" ca="1" si="3"/>
        <v>286.66419030892473</v>
      </c>
      <c r="F30" s="1">
        <f t="shared" ca="1" si="4"/>
        <v>1506.6641903089248</v>
      </c>
      <c r="H30" s="45">
        <v>20</v>
      </c>
      <c r="I30" s="46">
        <v>1984.1371805407107</v>
      </c>
    </row>
    <row r="31" spans="2:9" x14ac:dyDescent="0.25">
      <c r="B31" s="1">
        <f t="shared" ca="1" si="0"/>
        <v>4</v>
      </c>
      <c r="C31" s="1">
        <f t="shared" ca="1" si="1"/>
        <v>4440</v>
      </c>
      <c r="D31" s="1">
        <f t="shared" ca="1" si="2"/>
        <v>0.14784305623399985</v>
      </c>
      <c r="E31" s="1">
        <f t="shared" ca="1" si="3"/>
        <v>-150.58499382881737</v>
      </c>
      <c r="F31" s="1">
        <f t="shared" ca="1" si="4"/>
        <v>4289.4150061711825</v>
      </c>
      <c r="H31" s="45">
        <v>19</v>
      </c>
      <c r="I31" s="46">
        <v>2211.9464565510862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7"/>
  <sheetViews>
    <sheetView workbookViewId="0">
      <selection activeCell="B9" sqref="B9"/>
    </sheetView>
  </sheetViews>
  <sheetFormatPr defaultColWidth="9.1796875" defaultRowHeight="12.5" x14ac:dyDescent="0.25"/>
  <cols>
    <col min="1" max="1" width="26" style="1" bestFit="1" customWidth="1"/>
    <col min="2" max="2" width="16.54296875" style="1" bestFit="1" customWidth="1"/>
    <col min="3" max="3" width="12.7265625" style="1" bestFit="1" customWidth="1"/>
    <col min="4" max="16384" width="9.1796875" style="1"/>
  </cols>
  <sheetData>
    <row r="1" spans="1:3" ht="20" x14ac:dyDescent="0.4">
      <c r="A1" s="18" t="s">
        <v>16</v>
      </c>
      <c r="B1" s="8"/>
    </row>
    <row r="2" spans="1:3" x14ac:dyDescent="0.25">
      <c r="A2" s="8"/>
      <c r="B2" s="8"/>
    </row>
    <row r="3" spans="1:3" ht="13" x14ac:dyDescent="0.3">
      <c r="A3" s="19" t="s">
        <v>5</v>
      </c>
      <c r="B3" s="8"/>
      <c r="C3" s="6" t="s">
        <v>23</v>
      </c>
    </row>
    <row r="4" spans="1:3" x14ac:dyDescent="0.25">
      <c r="A4" s="22" t="s">
        <v>40</v>
      </c>
      <c r="B4" s="23">
        <v>50</v>
      </c>
      <c r="C4" s="7" t="s">
        <v>17</v>
      </c>
    </row>
    <row r="5" spans="1:3" x14ac:dyDescent="0.25">
      <c r="A5" s="9"/>
      <c r="B5" s="9"/>
    </row>
    <row r="6" spans="1:3" ht="13" x14ac:dyDescent="0.3">
      <c r="A6" s="19" t="s">
        <v>6</v>
      </c>
      <c r="B6" s="8"/>
    </row>
    <row r="7" spans="1:3" x14ac:dyDescent="0.25">
      <c r="A7" s="20" t="s">
        <v>7</v>
      </c>
      <c r="B7" s="21">
        <v>0.25</v>
      </c>
      <c r="C7" s="7" t="s">
        <v>18</v>
      </c>
    </row>
    <row r="8" spans="1:3" x14ac:dyDescent="0.25">
      <c r="A8" s="13" t="s">
        <v>11</v>
      </c>
      <c r="B8" s="14">
        <v>1000</v>
      </c>
      <c r="C8" s="7" t="s">
        <v>19</v>
      </c>
    </row>
    <row r="9" spans="1:3" x14ac:dyDescent="0.25">
      <c r="A9" s="13" t="s">
        <v>41</v>
      </c>
      <c r="B9" s="15">
        <v>5000</v>
      </c>
      <c r="C9" s="7" t="s">
        <v>22</v>
      </c>
    </row>
    <row r="10" spans="1:3" x14ac:dyDescent="0.25">
      <c r="A10" s="9"/>
      <c r="B10" s="9"/>
    </row>
    <row r="11" spans="1:3" ht="13" x14ac:dyDescent="0.3">
      <c r="A11" s="19" t="s">
        <v>39</v>
      </c>
      <c r="B11" s="8"/>
    </row>
    <row r="12" spans="1:3" x14ac:dyDescent="0.25">
      <c r="A12" s="20" t="s">
        <v>12</v>
      </c>
      <c r="B12" s="39">
        <f>book_price*books_sold*rights</f>
        <v>12500</v>
      </c>
      <c r="C12" s="7" t="s">
        <v>20</v>
      </c>
    </row>
    <row r="13" spans="1:3" x14ac:dyDescent="0.25">
      <c r="A13" s="13" t="s">
        <v>13</v>
      </c>
      <c r="B13" s="15">
        <f>VLOOKUP(books_sold,Publication_Costs!B5:D10,3)*books_sold</f>
        <v>2699.9999999999995</v>
      </c>
      <c r="C13" s="7" t="s">
        <v>24</v>
      </c>
    </row>
    <row r="14" spans="1:3" x14ac:dyDescent="0.25">
      <c r="A14" s="13" t="s">
        <v>4</v>
      </c>
      <c r="B14" s="15">
        <f>publish_cost+salary</f>
        <v>7700</v>
      </c>
      <c r="C14" s="7" t="s">
        <v>25</v>
      </c>
    </row>
    <row r="15" spans="1:3" x14ac:dyDescent="0.25">
      <c r="A15" s="17" t="s">
        <v>14</v>
      </c>
      <c r="B15" s="40">
        <f>revenue-total_cost</f>
        <v>4800</v>
      </c>
      <c r="C15" s="7" t="s">
        <v>21</v>
      </c>
    </row>
    <row r="16" spans="1:3" x14ac:dyDescent="0.25">
      <c r="A16" s="9"/>
      <c r="B16" s="10"/>
    </row>
    <row r="17" spans="1:2" ht="13" x14ac:dyDescent="0.3">
      <c r="A17" s="5" t="s">
        <v>26</v>
      </c>
      <c r="B17" s="24" t="str">
        <f>IF(profit&gt;0,"Write the book!","Do the internship")</f>
        <v>Write the book!</v>
      </c>
    </row>
  </sheetData>
  <phoneticPr fontId="0" type="noConversion"/>
  <conditionalFormatting sqref="B15">
    <cfRule type="cellIs" dxfId="2" priority="1" stopIfTrue="1" operator="lessThan">
      <formula>0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topLeftCell="A16" workbookViewId="0">
      <selection activeCell="E44" sqref="E44"/>
    </sheetView>
  </sheetViews>
  <sheetFormatPr defaultColWidth="9.1796875" defaultRowHeight="12.5" outlineLevelRow="1" x14ac:dyDescent="0.25"/>
  <cols>
    <col min="1" max="1" width="26" style="1" bestFit="1" customWidth="1"/>
    <col min="2" max="2" width="16.54296875" style="1" bestFit="1" customWidth="1"/>
    <col min="3" max="3" width="18" style="1" bestFit="1" customWidth="1"/>
    <col min="4" max="16384" width="9.1796875" style="1"/>
  </cols>
  <sheetData>
    <row r="1" spans="1:5" ht="20" x14ac:dyDescent="0.4">
      <c r="A1" s="4" t="s">
        <v>15</v>
      </c>
      <c r="B1" s="3"/>
    </row>
    <row r="2" spans="1:5" x14ac:dyDescent="0.25">
      <c r="A2" s="3"/>
      <c r="B2" s="3"/>
    </row>
    <row r="3" spans="1:5" ht="13" x14ac:dyDescent="0.3">
      <c r="A3" s="25" t="s">
        <v>5</v>
      </c>
      <c r="B3" s="3"/>
      <c r="C3" s="6" t="s">
        <v>23</v>
      </c>
    </row>
    <row r="4" spans="1:5" x14ac:dyDescent="0.25">
      <c r="A4" s="22" t="s">
        <v>40</v>
      </c>
      <c r="B4" s="23">
        <v>20</v>
      </c>
      <c r="C4" s="7" t="s">
        <v>27</v>
      </c>
    </row>
    <row r="5" spans="1:5" x14ac:dyDescent="0.25">
      <c r="E5" s="28"/>
    </row>
    <row r="6" spans="1:5" ht="13" x14ac:dyDescent="0.3">
      <c r="A6" s="25" t="s">
        <v>6</v>
      </c>
      <c r="B6" s="3"/>
    </row>
    <row r="7" spans="1:5" x14ac:dyDescent="0.25">
      <c r="A7" s="20" t="s">
        <v>7</v>
      </c>
      <c r="B7" s="21">
        <v>0.25</v>
      </c>
      <c r="C7" s="7" t="s">
        <v>28</v>
      </c>
    </row>
    <row r="8" spans="1:5" x14ac:dyDescent="0.25">
      <c r="A8" s="12" t="s">
        <v>41</v>
      </c>
      <c r="B8" s="15">
        <v>5000</v>
      </c>
      <c r="C8" s="7" t="s">
        <v>35</v>
      </c>
    </row>
    <row r="9" spans="1:5" x14ac:dyDescent="0.25">
      <c r="A9" s="42" t="s">
        <v>37</v>
      </c>
      <c r="B9" s="43"/>
    </row>
    <row r="10" spans="1:5" outlineLevel="1" x14ac:dyDescent="0.25">
      <c r="A10" s="13" t="s">
        <v>8</v>
      </c>
      <c r="B10" s="44"/>
    </row>
    <row r="11" spans="1:5" outlineLevel="1" x14ac:dyDescent="0.25">
      <c r="A11" s="16" t="s">
        <v>9</v>
      </c>
      <c r="B11" s="14">
        <f>'Cost vs. Demand'!L6</f>
        <v>5025.9946863851965</v>
      </c>
      <c r="C11" s="7" t="s">
        <v>29</v>
      </c>
    </row>
    <row r="12" spans="1:5" outlineLevel="1" x14ac:dyDescent="0.25">
      <c r="A12" s="16" t="s">
        <v>38</v>
      </c>
      <c r="B12" s="14">
        <f>'Cost vs. Demand'!L5</f>
        <v>-141.23076663479804</v>
      </c>
      <c r="C12" s="7" t="s">
        <v>30</v>
      </c>
    </row>
    <row r="13" spans="1:5" x14ac:dyDescent="0.25">
      <c r="A13" s="2"/>
    </row>
    <row r="14" spans="1:5" ht="13" x14ac:dyDescent="0.3">
      <c r="A14" s="25" t="s">
        <v>10</v>
      </c>
      <c r="B14" s="3"/>
      <c r="C14" s="28" t="str">
        <f>IF(books_sold2&lt;0,"Book Price too high!","")</f>
        <v/>
      </c>
    </row>
    <row r="15" spans="1:5" x14ac:dyDescent="0.25">
      <c r="A15" s="41" t="s">
        <v>11</v>
      </c>
      <c r="B15" s="26">
        <f>book_price2*demand_slope+demand_intercept</f>
        <v>2201.3793536892354</v>
      </c>
      <c r="C15" s="7" t="s">
        <v>31</v>
      </c>
    </row>
    <row r="17" spans="1:10" ht="13" x14ac:dyDescent="0.3">
      <c r="A17" s="25" t="s">
        <v>39</v>
      </c>
      <c r="B17" s="3"/>
    </row>
    <row r="18" spans="1:10" x14ac:dyDescent="0.25">
      <c r="A18" s="20" t="s">
        <v>12</v>
      </c>
      <c r="B18" s="39">
        <f>books_sold2*book_price2*rights2</f>
        <v>11006.896768446177</v>
      </c>
      <c r="C18" s="7" t="s">
        <v>32</v>
      </c>
    </row>
    <row r="19" spans="1:10" x14ac:dyDescent="0.25">
      <c r="A19" s="13" t="s">
        <v>13</v>
      </c>
      <c r="B19" s="15">
        <f>VLOOKUP(books_sold2,Publication_Costs!B5:D10,3)*books_sold2</f>
        <v>4953.1035458007791</v>
      </c>
      <c r="C19" s="7" t="s">
        <v>33</v>
      </c>
    </row>
    <row r="20" spans="1:10" x14ac:dyDescent="0.25">
      <c r="A20" s="13" t="s">
        <v>4</v>
      </c>
      <c r="B20" s="15">
        <f>publish_cost2+salary2</f>
        <v>9953.1035458007791</v>
      </c>
      <c r="C20" s="7" t="s">
        <v>34</v>
      </c>
      <c r="E20" s="1">
        <v>10</v>
      </c>
      <c r="F20" s="1">
        <v>15</v>
      </c>
      <c r="G20" s="1">
        <v>20</v>
      </c>
      <c r="H20" s="1">
        <v>25</v>
      </c>
      <c r="I20" s="1">
        <v>30</v>
      </c>
      <c r="J20" s="1">
        <v>35</v>
      </c>
    </row>
    <row r="21" spans="1:10" x14ac:dyDescent="0.25">
      <c r="A21" s="17" t="s">
        <v>14</v>
      </c>
      <c r="B21" s="40">
        <f>revenue2-total_cost2</f>
        <v>1053.7932226453977</v>
      </c>
      <c r="C21" s="7" t="s">
        <v>36</v>
      </c>
      <c r="D21" s="1">
        <f>profit2</f>
        <v>1053.7932226453977</v>
      </c>
      <c r="E21" s="1">
        <f t="dataTable" ref="E21:J21" dt2D="0" dtr="1" r1="B4" ca="1"/>
        <v>-4096.5782449906965</v>
      </c>
      <c r="F21" s="1">
        <v>-638.70021970516245</v>
      </c>
      <c r="G21" s="1">
        <v>1053.7932226453977</v>
      </c>
      <c r="H21" s="1">
        <v>644.47633994505122</v>
      </c>
      <c r="I21" s="1">
        <v>-1461.0134822744722</v>
      </c>
      <c r="J21" s="1">
        <v>-4585.4107291636774</v>
      </c>
    </row>
    <row r="23" spans="1:10" ht="13" x14ac:dyDescent="0.3">
      <c r="A23" s="27" t="s">
        <v>26</v>
      </c>
      <c r="B23" s="11" t="str">
        <f>IF(profit2&gt;0,"Write the book!","Do the internship")</f>
        <v>Write the book!</v>
      </c>
    </row>
    <row r="25" spans="1:10" x14ac:dyDescent="0.25">
      <c r="D25" s="1">
        <f>profit2</f>
        <v>1053.7932226453977</v>
      </c>
      <c r="E25" s="1">
        <v>10</v>
      </c>
      <c r="F25" s="1">
        <v>15</v>
      </c>
      <c r="G25" s="1">
        <v>20</v>
      </c>
      <c r="H25" s="1">
        <v>25</v>
      </c>
      <c r="I25" s="1">
        <v>30</v>
      </c>
      <c r="J25" s="1">
        <v>35</v>
      </c>
    </row>
    <row r="26" spans="1:10" x14ac:dyDescent="0.25">
      <c r="D26" s="1">
        <v>0.1</v>
      </c>
      <c r="E26" s="1">
        <f t="dataTable" ref="E26:J30" dt2D="1" dtr="0" r1="B4" r2="B7"/>
        <v>-9517.1087750465194</v>
      </c>
      <c r="F26" s="1">
        <v>-7180.6498901474197</v>
      </c>
      <c r="G26" s="1">
        <v>-5550.3448384223084</v>
      </c>
      <c r="H26" s="1">
        <v>-4962.6193619871192</v>
      </c>
      <c r="I26" s="1">
        <v>-5011.8360753101188</v>
      </c>
      <c r="J26" s="1">
        <v>-5020.7294635418157</v>
      </c>
    </row>
    <row r="27" spans="1:10" x14ac:dyDescent="0.25">
      <c r="D27" s="1">
        <v>0.2</v>
      </c>
      <c r="E27" s="1">
        <v>-5903.4217550093035</v>
      </c>
      <c r="F27" s="1">
        <v>-2819.3501098525812</v>
      </c>
      <c r="G27" s="1">
        <v>-1147.5861310438377</v>
      </c>
      <c r="H27" s="1">
        <v>-1224.5555606990056</v>
      </c>
      <c r="I27" s="1">
        <v>-2644.6210132863544</v>
      </c>
      <c r="J27" s="1">
        <v>-4730.5169739563898</v>
      </c>
    </row>
    <row r="28" spans="1:10" x14ac:dyDescent="0.25">
      <c r="D28" s="1">
        <v>0.25</v>
      </c>
      <c r="E28" s="1">
        <v>-4096.5782449906965</v>
      </c>
      <c r="F28" s="1">
        <v>-638.70021970516245</v>
      </c>
      <c r="G28" s="1">
        <v>1053.7932226453977</v>
      </c>
      <c r="H28" s="1">
        <v>644.47633994505122</v>
      </c>
      <c r="I28" s="1">
        <v>-1461.0134822744722</v>
      </c>
      <c r="J28" s="1">
        <v>-4585.4107291636774</v>
      </c>
    </row>
    <row r="29" spans="1:10" x14ac:dyDescent="0.25">
      <c r="D29" s="1">
        <v>0.4</v>
      </c>
      <c r="E29" s="1">
        <v>1323.9522850651283</v>
      </c>
      <c r="F29" s="1">
        <v>5903.2494507370957</v>
      </c>
      <c r="G29" s="1">
        <v>7657.9312837131038</v>
      </c>
      <c r="H29" s="1">
        <v>6251.5720418772216</v>
      </c>
      <c r="I29" s="1">
        <v>2089.8091107611745</v>
      </c>
      <c r="J29" s="1">
        <v>-4150.0919947855382</v>
      </c>
    </row>
    <row r="30" spans="1:10" x14ac:dyDescent="0.25">
      <c r="D30" s="1">
        <v>0.5</v>
      </c>
      <c r="E30" s="1">
        <v>4937.6393051023424</v>
      </c>
      <c r="F30" s="1">
        <v>10264.549231031933</v>
      </c>
      <c r="G30" s="1">
        <v>12060.689991091574</v>
      </c>
      <c r="H30" s="1">
        <v>9989.6358431653352</v>
      </c>
      <c r="I30" s="1">
        <v>4457.0241727849389</v>
      </c>
      <c r="J30" s="1">
        <v>-3859.8795052001124</v>
      </c>
    </row>
  </sheetData>
  <phoneticPr fontId="0" type="noConversion"/>
  <conditionalFormatting sqref="B21">
    <cfRule type="cellIs" dxfId="1" priority="1" stopIfTrue="1" operator="lessThan">
      <formula>0</formula>
    </cfRule>
  </conditionalFormatting>
  <pageMargins left="0.75" right="0.75" top="1" bottom="1" header="0.5" footer="0.5"/>
  <pageSetup scale="68" orientation="portrait" r:id="rId1"/>
  <headerFooter alignWithMargins="0">
    <oddHeader>&amp;LBook Publishing Case</oddHeader>
    <oddFooter>&amp;C&amp;P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tabSelected="1" topLeftCell="A46" workbookViewId="0">
      <selection activeCell="C26" sqref="C26"/>
    </sheetView>
  </sheetViews>
  <sheetFormatPr defaultColWidth="9.1796875" defaultRowHeight="12.5" outlineLevelRow="1" x14ac:dyDescent="0.25"/>
  <cols>
    <col min="1" max="1" width="26" style="1" bestFit="1" customWidth="1"/>
    <col min="2" max="2" width="16.54296875" style="1" bestFit="1" customWidth="1"/>
    <col min="3" max="3" width="18" style="1" bestFit="1" customWidth="1"/>
    <col min="4" max="16384" width="9.1796875" style="1"/>
  </cols>
  <sheetData>
    <row r="1" spans="1:13" ht="20" x14ac:dyDescent="0.4">
      <c r="A1" s="4" t="s">
        <v>15</v>
      </c>
      <c r="B1" s="3"/>
    </row>
    <row r="2" spans="1:13" x14ac:dyDescent="0.25">
      <c r="A2" s="3"/>
      <c r="B2" s="3"/>
    </row>
    <row r="3" spans="1:13" ht="13" x14ac:dyDescent="0.3">
      <c r="A3" s="25" t="s">
        <v>5</v>
      </c>
      <c r="B3" s="3"/>
      <c r="C3" s="6" t="s">
        <v>23</v>
      </c>
    </row>
    <row r="4" spans="1:13" x14ac:dyDescent="0.25">
      <c r="A4" s="22" t="s">
        <v>40</v>
      </c>
      <c r="B4" s="23">
        <v>20</v>
      </c>
      <c r="C4" s="7" t="s">
        <v>27</v>
      </c>
    </row>
    <row r="5" spans="1:13" x14ac:dyDescent="0.25">
      <c r="E5" s="28"/>
    </row>
    <row r="6" spans="1:13" ht="13" x14ac:dyDescent="0.3">
      <c r="A6" s="25" t="s">
        <v>6</v>
      </c>
      <c r="B6" s="3"/>
    </row>
    <row r="7" spans="1:13" x14ac:dyDescent="0.25">
      <c r="A7" s="20" t="s">
        <v>7</v>
      </c>
      <c r="B7" s="21">
        <v>0.25</v>
      </c>
      <c r="C7" s="7" t="s">
        <v>28</v>
      </c>
      <c r="E7" s="7"/>
      <c r="F7" s="7"/>
      <c r="G7" s="7" t="s">
        <v>43</v>
      </c>
      <c r="H7" s="7"/>
      <c r="I7" s="7"/>
      <c r="J7" s="7"/>
      <c r="K7" s="7"/>
      <c r="L7" s="7"/>
      <c r="M7" s="7"/>
    </row>
    <row r="8" spans="1:13" x14ac:dyDescent="0.25">
      <c r="A8" s="12" t="s">
        <v>41</v>
      </c>
      <c r="B8" s="15">
        <v>5000</v>
      </c>
      <c r="C8" s="7" t="s">
        <v>35</v>
      </c>
      <c r="E8" s="7"/>
      <c r="F8" s="7" t="s">
        <v>14</v>
      </c>
      <c r="G8" s="50">
        <v>10</v>
      </c>
      <c r="H8" s="50">
        <v>15</v>
      </c>
      <c r="I8" s="50">
        <v>20</v>
      </c>
      <c r="J8" s="50">
        <v>25</v>
      </c>
      <c r="K8" s="50">
        <v>30</v>
      </c>
      <c r="L8" s="50">
        <v>35</v>
      </c>
      <c r="M8" s="50">
        <v>40</v>
      </c>
    </row>
    <row r="9" spans="1:13" x14ac:dyDescent="0.25">
      <c r="A9" s="42" t="s">
        <v>37</v>
      </c>
      <c r="B9" s="43"/>
      <c r="E9" s="7"/>
      <c r="F9" s="3"/>
      <c r="G9" s="49"/>
      <c r="H9" s="49"/>
      <c r="I9" s="49"/>
      <c r="J9" s="49"/>
      <c r="K9" s="49"/>
      <c r="L9" s="49"/>
      <c r="M9" s="49"/>
    </row>
    <row r="10" spans="1:13" outlineLevel="1" x14ac:dyDescent="0.25">
      <c r="A10" s="13" t="s">
        <v>8</v>
      </c>
      <c r="B10" s="44"/>
    </row>
    <row r="11" spans="1:13" outlineLevel="1" x14ac:dyDescent="0.25">
      <c r="A11" s="16" t="s">
        <v>9</v>
      </c>
      <c r="B11" s="14">
        <f>'Cost vs. Demand'!L6</f>
        <v>5025.9946863851965</v>
      </c>
      <c r="C11" s="7" t="s">
        <v>29</v>
      </c>
    </row>
    <row r="12" spans="1:13" outlineLevel="1" x14ac:dyDescent="0.25">
      <c r="A12" s="16" t="s">
        <v>38</v>
      </c>
      <c r="B12" s="14">
        <f>'Cost vs. Demand'!L5</f>
        <v>-141.23076663479804</v>
      </c>
      <c r="C12" s="7" t="s">
        <v>30</v>
      </c>
    </row>
    <row r="13" spans="1:13" x14ac:dyDescent="0.25">
      <c r="A13" s="2"/>
    </row>
    <row r="14" spans="1:13" ht="13" x14ac:dyDescent="0.3">
      <c r="A14" s="25" t="s">
        <v>10</v>
      </c>
      <c r="B14" s="3"/>
      <c r="C14" s="28" t="str">
        <f>IF(books_sold2&lt;0,"Book Price too high!","")</f>
        <v/>
      </c>
    </row>
    <row r="15" spans="1:13" x14ac:dyDescent="0.25">
      <c r="A15" s="41" t="s">
        <v>11</v>
      </c>
      <c r="B15" s="26">
        <f>book_price2*demand_slope+demand_intercept</f>
        <v>2201.3793536892354</v>
      </c>
      <c r="C15" s="7" t="s">
        <v>31</v>
      </c>
    </row>
    <row r="17" spans="1:13" ht="13" x14ac:dyDescent="0.3">
      <c r="A17" s="25" t="s">
        <v>39</v>
      </c>
      <c r="B17" s="3"/>
    </row>
    <row r="18" spans="1:13" x14ac:dyDescent="0.25">
      <c r="A18" s="20" t="s">
        <v>12</v>
      </c>
      <c r="B18" s="39">
        <f>books_sold2*book_price2*rights2</f>
        <v>11006.896768446177</v>
      </c>
      <c r="C18" s="7" t="s">
        <v>32</v>
      </c>
    </row>
    <row r="19" spans="1:13" x14ac:dyDescent="0.25">
      <c r="A19" s="13" t="s">
        <v>13</v>
      </c>
      <c r="B19" s="15">
        <f>VLOOKUP(books_sold2,A37:C42,3)*books_sold2</f>
        <v>4953.1035458007791</v>
      </c>
      <c r="C19" s="7" t="s">
        <v>33</v>
      </c>
    </row>
    <row r="20" spans="1:13" x14ac:dyDescent="0.25">
      <c r="A20" s="13" t="s">
        <v>4</v>
      </c>
      <c r="B20" s="15">
        <f>publish_cost2+salary2</f>
        <v>9953.1035458007791</v>
      </c>
      <c r="C20" s="7" t="s">
        <v>34</v>
      </c>
      <c r="E20" s="7"/>
      <c r="F20" s="7"/>
      <c r="G20" s="7" t="s">
        <v>43</v>
      </c>
      <c r="H20" s="7"/>
      <c r="I20" s="7"/>
      <c r="J20" s="7"/>
      <c r="K20" s="7"/>
      <c r="L20" s="7"/>
      <c r="M20" s="7"/>
    </row>
    <row r="21" spans="1:13" x14ac:dyDescent="0.25">
      <c r="A21" s="17" t="s">
        <v>14</v>
      </c>
      <c r="B21" s="40">
        <f>revenue2-total_cost2</f>
        <v>1053.7932226453977</v>
      </c>
      <c r="C21" s="7" t="s">
        <v>36</v>
      </c>
      <c r="E21" s="7" t="s">
        <v>14</v>
      </c>
      <c r="F21" s="51"/>
      <c r="G21" s="50">
        <v>10</v>
      </c>
      <c r="H21" s="50">
        <v>15</v>
      </c>
      <c r="I21" s="50">
        <v>20</v>
      </c>
      <c r="J21" s="50">
        <v>25</v>
      </c>
      <c r="K21" s="50">
        <v>30</v>
      </c>
      <c r="L21" s="50">
        <v>35</v>
      </c>
      <c r="M21" s="50">
        <v>40</v>
      </c>
    </row>
    <row r="22" spans="1:13" x14ac:dyDescent="0.25">
      <c r="E22" s="7" t="s">
        <v>48</v>
      </c>
      <c r="F22" s="52">
        <v>0.1</v>
      </c>
      <c r="G22" s="49"/>
      <c r="H22" s="49"/>
      <c r="I22" s="49"/>
      <c r="J22" s="49"/>
      <c r="K22" s="49"/>
      <c r="L22" s="49"/>
      <c r="M22" s="49"/>
    </row>
    <row r="23" spans="1:13" ht="13" x14ac:dyDescent="0.3">
      <c r="A23" s="27" t="s">
        <v>26</v>
      </c>
      <c r="B23" s="11" t="str">
        <f>IF(profit2&gt;0,"Write the book!","Do the internship")</f>
        <v>Write the book!</v>
      </c>
      <c r="E23" s="7"/>
      <c r="F23" s="52">
        <v>0.15</v>
      </c>
      <c r="G23" s="49"/>
      <c r="H23" s="49"/>
      <c r="I23" s="49"/>
      <c r="J23" s="49"/>
      <c r="K23" s="49"/>
      <c r="L23" s="49"/>
      <c r="M23" s="49"/>
    </row>
    <row r="24" spans="1:13" x14ac:dyDescent="0.25">
      <c r="E24" s="7"/>
      <c r="F24" s="52">
        <v>0.2</v>
      </c>
      <c r="G24" s="49"/>
      <c r="H24" s="49"/>
      <c r="I24" s="49"/>
      <c r="J24" s="49"/>
      <c r="K24" s="49"/>
      <c r="L24" s="49"/>
      <c r="M24" s="49"/>
    </row>
    <row r="25" spans="1:13" x14ac:dyDescent="0.25">
      <c r="E25" s="7"/>
      <c r="F25" s="52">
        <v>0.25</v>
      </c>
      <c r="G25" s="49"/>
      <c r="H25" s="49"/>
      <c r="I25" s="49"/>
      <c r="J25" s="49"/>
      <c r="K25" s="49"/>
      <c r="L25" s="49"/>
      <c r="M25" s="49"/>
    </row>
    <row r="26" spans="1:13" x14ac:dyDescent="0.25">
      <c r="E26" s="7"/>
      <c r="F26" s="52">
        <v>0.3</v>
      </c>
      <c r="G26" s="49"/>
      <c r="H26" s="49"/>
      <c r="I26" s="49"/>
      <c r="J26" s="49"/>
      <c r="K26" s="49"/>
      <c r="L26" s="49"/>
      <c r="M26" s="49"/>
    </row>
    <row r="27" spans="1:13" x14ac:dyDescent="0.25">
      <c r="E27" s="7"/>
      <c r="F27" s="52">
        <v>0.35</v>
      </c>
      <c r="G27" s="49"/>
      <c r="H27" s="49"/>
      <c r="I27" s="49"/>
      <c r="J27" s="49"/>
      <c r="K27" s="49"/>
      <c r="L27" s="49"/>
      <c r="M27" s="49"/>
    </row>
    <row r="28" spans="1:13" x14ac:dyDescent="0.25">
      <c r="E28" s="7"/>
      <c r="F28" s="52">
        <v>0.4</v>
      </c>
      <c r="G28" s="49"/>
      <c r="H28" s="49"/>
      <c r="I28" s="49"/>
      <c r="J28" s="49"/>
      <c r="K28" s="49"/>
      <c r="L28" s="49"/>
      <c r="M28" s="49"/>
    </row>
    <row r="29" spans="1:13" x14ac:dyDescent="0.25">
      <c r="E29" s="7"/>
      <c r="F29" s="52">
        <v>0.45</v>
      </c>
      <c r="G29" s="49"/>
      <c r="H29" s="49"/>
      <c r="I29" s="49"/>
      <c r="J29" s="49"/>
      <c r="K29" s="49"/>
      <c r="L29" s="49"/>
      <c r="M29" s="49"/>
    </row>
    <row r="34" spans="1:12" ht="13" x14ac:dyDescent="0.3">
      <c r="A34" s="62"/>
      <c r="B34" s="62"/>
      <c r="C34" s="29"/>
    </row>
    <row r="35" spans="1:12" ht="13" x14ac:dyDescent="0.3">
      <c r="A35" s="63" t="s">
        <v>42</v>
      </c>
      <c r="B35" s="63"/>
      <c r="C35" s="29"/>
    </row>
    <row r="36" spans="1:12" ht="13" x14ac:dyDescent="0.3">
      <c r="A36" s="56" t="s">
        <v>0</v>
      </c>
      <c r="B36" s="57" t="s">
        <v>1</v>
      </c>
      <c r="C36" s="38" t="s">
        <v>3</v>
      </c>
      <c r="D36" s="59"/>
    </row>
    <row r="37" spans="1:12" x14ac:dyDescent="0.25">
      <c r="A37" s="53">
        <v>1</v>
      </c>
      <c r="B37" s="54">
        <v>2.5000000000000001E-2</v>
      </c>
      <c r="C37" s="55">
        <f t="shared" ref="C37:C42" si="0">B37*$B$44</f>
        <v>3.75</v>
      </c>
      <c r="D37" s="60"/>
    </row>
    <row r="38" spans="1:12" x14ac:dyDescent="0.25">
      <c r="A38" s="53">
        <v>251</v>
      </c>
      <c r="B38" s="54">
        <v>2.2499999999999999E-2</v>
      </c>
      <c r="C38" s="55">
        <f t="shared" si="0"/>
        <v>3.375</v>
      </c>
      <c r="D38" s="60"/>
    </row>
    <row r="39" spans="1:12" x14ac:dyDescent="0.25">
      <c r="A39" s="53">
        <v>501</v>
      </c>
      <c r="B39" s="54">
        <v>2.01E-2</v>
      </c>
      <c r="C39" s="55">
        <f t="shared" si="0"/>
        <v>3.0150000000000001</v>
      </c>
      <c r="D39" s="60"/>
    </row>
    <row r="40" spans="1:12" x14ac:dyDescent="0.25">
      <c r="A40" s="53">
        <v>801</v>
      </c>
      <c r="B40" s="54">
        <v>1.7999999999999999E-2</v>
      </c>
      <c r="C40" s="55">
        <f t="shared" si="0"/>
        <v>2.6999999999999997</v>
      </c>
      <c r="D40" s="60"/>
      <c r="G40" s="47"/>
      <c r="H40" s="47"/>
      <c r="I40" s="47"/>
      <c r="J40" s="47"/>
      <c r="K40" s="47"/>
    </row>
    <row r="41" spans="1:12" x14ac:dyDescent="0.25">
      <c r="A41" s="53">
        <v>1001</v>
      </c>
      <c r="B41" s="54">
        <v>1.6500000000000001E-2</v>
      </c>
      <c r="C41" s="55">
        <f t="shared" si="0"/>
        <v>2.4750000000000001</v>
      </c>
      <c r="D41" s="60"/>
      <c r="E41" s="7"/>
      <c r="F41" s="7"/>
      <c r="G41" s="61" t="s">
        <v>50</v>
      </c>
      <c r="H41" s="61" t="s">
        <v>51</v>
      </c>
      <c r="I41" s="61" t="s">
        <v>52</v>
      </c>
      <c r="J41" s="61" t="s">
        <v>53</v>
      </c>
      <c r="K41" s="61" t="s">
        <v>54</v>
      </c>
      <c r="L41" s="7"/>
    </row>
    <row r="42" spans="1:12" x14ac:dyDescent="0.25">
      <c r="A42" s="53">
        <v>1501</v>
      </c>
      <c r="B42" s="54">
        <v>1.4999999999999999E-2</v>
      </c>
      <c r="C42" s="55">
        <f t="shared" si="0"/>
        <v>2.25</v>
      </c>
      <c r="D42" s="60"/>
      <c r="E42" s="7" t="s">
        <v>27</v>
      </c>
      <c r="F42" s="7"/>
      <c r="G42" s="50">
        <v>20</v>
      </c>
      <c r="H42" s="50">
        <v>25</v>
      </c>
      <c r="I42" s="50">
        <v>15</v>
      </c>
      <c r="J42" s="50">
        <v>30</v>
      </c>
      <c r="K42" s="50">
        <v>15</v>
      </c>
      <c r="L42" s="49"/>
    </row>
    <row r="43" spans="1:12" x14ac:dyDescent="0.25">
      <c r="A43" s="30"/>
      <c r="B43" s="30"/>
      <c r="C43" s="30"/>
      <c r="E43" s="7" t="s">
        <v>28</v>
      </c>
      <c r="F43" s="7"/>
      <c r="G43" s="50">
        <v>25</v>
      </c>
      <c r="H43" s="50">
        <v>30</v>
      </c>
      <c r="I43" s="50">
        <v>20</v>
      </c>
      <c r="J43" s="50">
        <v>30</v>
      </c>
      <c r="K43" s="50">
        <v>20</v>
      </c>
      <c r="L43" s="49"/>
    </row>
    <row r="44" spans="1:12" ht="13" x14ac:dyDescent="0.3">
      <c r="A44" s="31" t="s">
        <v>2</v>
      </c>
      <c r="B44" s="58">
        <v>150</v>
      </c>
      <c r="C44" s="30"/>
      <c r="E44" s="7" t="s">
        <v>49</v>
      </c>
      <c r="F44" s="7"/>
      <c r="G44" s="50">
        <v>150</v>
      </c>
      <c r="H44" s="50">
        <v>200</v>
      </c>
      <c r="I44" s="50">
        <v>100</v>
      </c>
      <c r="J44" s="50">
        <v>200</v>
      </c>
      <c r="K44" s="50">
        <v>50</v>
      </c>
      <c r="L44" s="49"/>
    </row>
  </sheetData>
  <scenarios current="4" sqref="B21 B23">
    <scenario name="Baseline" locked="1" count="3" user="thomasyl" comment="Created by thomasyl on 1/21/2004">
      <inputCells r="B4" val="20" numFmtId="166"/>
      <inputCells r="B7" val="0.25" numFmtId="9"/>
      <inputCells r="B44" val="150"/>
    </scenario>
    <scenario name="AllUp" locked="1" count="3" user="thomasyl" comment="Created by thomasyl on 1/21/2004_x000a_Modified by thomasyl on 1/21/2004">
      <inputCells r="B4" val="25" numFmtId="166"/>
      <inputCells r="B7" val="0.3" numFmtId="9"/>
      <inputCells r="B44" val="200"/>
    </scenario>
    <scenario name="AllDown" locked="1" count="3" user="thomasyl" comment="Created by thomasyl on 1/21/2004">
      <inputCells r="B4" val="15" numFmtId="166"/>
      <inputCells r="B7" val="0.2" numFmtId="9"/>
      <inputCells r="B44" val="100"/>
    </scenario>
    <scenario name="UpMore" locked="1" count="3" user="thomasyl" comment="Created by thomasyl on 1/21/2004">
      <inputCells r="B4" val="30" numFmtId="166"/>
      <inputCells r="B7" val="0.3" numFmtId="9"/>
      <inputCells r="B44" val="200"/>
    </scenario>
    <scenario name="DownMore" locked="1" count="3" user="thomasyl" comment="Created by thomasyl on 1/21/2004_x000a_Modified by thomasyl on 1/21/2004">
      <inputCells r="B4" val="15" numFmtId="166"/>
      <inputCells r="B7" val="0.2" numFmtId="9"/>
      <inputCells r="B44" val="50"/>
    </scenario>
  </scenarios>
  <mergeCells count="2">
    <mergeCell ref="A34:B34"/>
    <mergeCell ref="A35:B35"/>
  </mergeCells>
  <phoneticPr fontId="0" type="noConversion"/>
  <conditionalFormatting sqref="B21">
    <cfRule type="cellIs" dxfId="0" priority="1" stopIfTrue="1" operator="lessThan">
      <formula>0</formula>
    </cfRule>
  </conditionalFormatting>
  <pageMargins left="0.75" right="0.75" top="1" bottom="1" header="0.5" footer="0.5"/>
  <pageSetup scale="68" orientation="portrait" r:id="rId1"/>
  <headerFooter alignWithMargins="0">
    <oddHeader>&amp;LBook Publishing Case</oddHeader>
    <oddFooter>&amp;C&amp;P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29</vt:i4>
      </vt:variant>
    </vt:vector>
  </HeadingPairs>
  <TitlesOfParts>
    <vt:vector size="35" baseType="lpstr">
      <vt:lpstr>Introduction</vt:lpstr>
      <vt:lpstr>Publication_Costs</vt:lpstr>
      <vt:lpstr>Cost vs. Demand</vt:lpstr>
      <vt:lpstr>Simple</vt:lpstr>
      <vt:lpstr>Advanced</vt:lpstr>
      <vt:lpstr>Sensitivity Analysis</vt:lpstr>
      <vt:lpstr>book_price</vt:lpstr>
      <vt:lpstr>'Sensitivity Analysis'!book_price2</vt:lpstr>
      <vt:lpstr>book_price2</vt:lpstr>
      <vt:lpstr>books_sold</vt:lpstr>
      <vt:lpstr>'Sensitivity Analysis'!books_sold2</vt:lpstr>
      <vt:lpstr>books_sold2</vt:lpstr>
      <vt:lpstr>'Sensitivity Analysis'!demand_intercept</vt:lpstr>
      <vt:lpstr>demand_intercept</vt:lpstr>
      <vt:lpstr>'Sensitivity Analysis'!demand_slope</vt:lpstr>
      <vt:lpstr>demand_slope</vt:lpstr>
      <vt:lpstr>num_pages</vt:lpstr>
      <vt:lpstr>profit</vt:lpstr>
      <vt:lpstr>'Sensitivity Analysis'!profit2</vt:lpstr>
      <vt:lpstr>profit2</vt:lpstr>
      <vt:lpstr>publish_cost</vt:lpstr>
      <vt:lpstr>'Sensitivity Analysis'!publish_cost2</vt:lpstr>
      <vt:lpstr>publish_cost2</vt:lpstr>
      <vt:lpstr>revenue</vt:lpstr>
      <vt:lpstr>'Sensitivity Analysis'!revenue2</vt:lpstr>
      <vt:lpstr>revenue2</vt:lpstr>
      <vt:lpstr>rights</vt:lpstr>
      <vt:lpstr>'Sensitivity Analysis'!rights2</vt:lpstr>
      <vt:lpstr>rights2</vt:lpstr>
      <vt:lpstr>salary</vt:lpstr>
      <vt:lpstr>'Sensitivity Analysis'!salary2</vt:lpstr>
      <vt:lpstr>salary2</vt:lpstr>
      <vt:lpstr>total_cost</vt:lpstr>
      <vt:lpstr>'Sensitivity Analysis'!total_cost2</vt:lpstr>
      <vt:lpstr>total_cost2</vt:lpstr>
    </vt:vector>
  </TitlesOfParts>
  <Manager/>
  <Company>University of Pennsylvania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publish.xml</dc:title>
  <dc:subject>a simple book publication example</dc:subject>
  <dc:creator>Panos Markopoulos adapted by Thomas Lee</dc:creator>
  <dc:description>Created for OPIM 101_x000d_
Updated w/ Sensitivity Analysis</dc:description>
  <cp:lastModifiedBy>Carina Negreanu</cp:lastModifiedBy>
  <cp:lastPrinted>2004-01-17T01:39:43Z</cp:lastPrinted>
  <dcterms:created xsi:type="dcterms:W3CDTF">2003-01-17T05:08:37Z</dcterms:created>
  <dcterms:modified xsi:type="dcterms:W3CDTF">2020-01-27T11:51:54Z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691086676</vt:i4>
  </property>
  <property fmtid="{D5CDD505-2E9C-101B-9397-08002B2CF9AE}" pid="3" name="_EmailSubject">
    <vt:lpwstr>Panos's slides and workbook</vt:lpwstr>
  </property>
  <property fmtid="{D5CDD505-2E9C-101B-9397-08002B2CF9AE}" pid="4" name="_AuthorEmail">
    <vt:lpwstr>markopou@unagi.cis.upenn.edu</vt:lpwstr>
  </property>
  <property fmtid="{D5CDD505-2E9C-101B-9397-08002B2CF9AE}" pid="5" name="_AuthorEmailDisplayName">
    <vt:lpwstr>Panos Markopoulos</vt:lpwstr>
  </property>
  <property fmtid="{D5CDD505-2E9C-101B-9397-08002B2CF9AE}" pid="6" name="_ReviewingToolsShownOnce">
    <vt:lpwstr/>
  </property>
</Properties>
</file>