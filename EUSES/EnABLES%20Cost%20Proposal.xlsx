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B3D51E7-0132-48B1-A494-A056B58D49CB}" xr6:coauthVersionLast="45" xr6:coauthVersionMax="45" xr10:uidLastSave="{00000000-0000-0000-0000-000000000000}"/>
  <bookViews>
    <workbookView xWindow="1900" yWindow="1900" windowWidth="28800" windowHeight="15460" tabRatio="815" activeTab="5"/>
  </bookViews>
  <sheets>
    <sheet name="Infrastructure Description" sheetId="1" r:id="rId1"/>
    <sheet name="Software" sheetId="8" r:id="rId2"/>
    <sheet name="Not to Exceed" sheetId="7" r:id="rId3"/>
    <sheet name="Technical Support Staffing" sheetId="6" r:id="rId4"/>
    <sheet name="Training" sheetId="5" r:id="rId5"/>
    <sheet name="Customization &amp; Implementation" sheetId="10" r:id="rId6"/>
    <sheet name="Total Costs " sheetId="12" r:id="rId7"/>
  </sheets>
  <definedNames>
    <definedName name="_xlnm.Print_Area" localSheetId="5">'Customization &amp; Implementation'!$A$1:$E$60</definedName>
    <definedName name="_xlnm.Print_Area" localSheetId="0">'Infrastructure Description'!$A$1:$H$21</definedName>
    <definedName name="_xlnm.Print_Area" localSheetId="2">'Not to Exceed'!$A$1:$G$74</definedName>
    <definedName name="_xlnm.Print_Area" localSheetId="1">Software!$A$1:$G$13</definedName>
    <definedName name="_xlnm.Print_Area" localSheetId="3">'Technical Support Staffing'!$A$2:$J$21</definedName>
    <definedName name="_xlnm.Print_Area" localSheetId="4">Training!$A$1:$H$25</definedName>
    <definedName name="_xlnm.Print_Titles" localSheetId="3">Software!#REF!</definedName>
    <definedName name="_xlnm.Print_Titles" localSheetId="4">Training!$1:$1</definedName>
  </definedNames>
  <calcPr calcId="191029" fullCalcOnLoad="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4" i="10" l="1"/>
  <c r="E4" i="10"/>
  <c r="D5" i="10"/>
  <c r="E5" i="10"/>
  <c r="D6" i="10"/>
  <c r="E6" i="10"/>
  <c r="D7" i="10"/>
  <c r="E7" i="10"/>
  <c r="D8" i="10"/>
  <c r="E8" i="10"/>
  <c r="D9" i="10"/>
  <c r="E9" i="10"/>
  <c r="D10" i="10"/>
  <c r="E10" i="10"/>
  <c r="D11" i="10"/>
  <c r="E11" i="10"/>
  <c r="D12" i="10"/>
  <c r="E12" i="10"/>
  <c r="D13" i="10"/>
  <c r="D24" i="10" s="1"/>
  <c r="E13" i="10"/>
  <c r="E24" i="10" s="1"/>
  <c r="D14" i="10"/>
  <c r="E14" i="10"/>
  <c r="D15" i="10"/>
  <c r="E15" i="10"/>
  <c r="D16" i="10"/>
  <c r="E16" i="10"/>
  <c r="D17" i="10"/>
  <c r="E17" i="10"/>
  <c r="D18" i="10"/>
  <c r="E18" i="10"/>
  <c r="D19" i="10"/>
  <c r="E19" i="10"/>
  <c r="D20" i="10"/>
  <c r="E20" i="10"/>
  <c r="D21" i="10"/>
  <c r="E21" i="10"/>
  <c r="B24" i="10"/>
  <c r="D28" i="10"/>
  <c r="D41" i="10" s="1"/>
  <c r="B6" i="12" s="1"/>
  <c r="D29" i="10"/>
  <c r="D30" i="10"/>
  <c r="D31" i="10"/>
  <c r="D32" i="10"/>
  <c r="D33" i="10"/>
  <c r="D34" i="10"/>
  <c r="D35" i="10"/>
  <c r="D36" i="10"/>
  <c r="D37" i="10"/>
  <c r="D38" i="10"/>
  <c r="D39" i="10"/>
  <c r="D40" i="10"/>
  <c r="B41" i="10"/>
  <c r="D45" i="10"/>
  <c r="B15" i="12" s="1"/>
  <c r="D46" i="10"/>
  <c r="B14" i="12" s="1"/>
  <c r="D47" i="10"/>
  <c r="D48" i="10"/>
  <c r="D49" i="10"/>
  <c r="D50" i="10"/>
  <c r="D51" i="10"/>
  <c r="D52" i="10"/>
  <c r="D53" i="10"/>
  <c r="D54" i="10"/>
  <c r="D55" i="10"/>
  <c r="D56" i="10"/>
  <c r="D57" i="10"/>
  <c r="B58" i="10"/>
  <c r="E4" i="7"/>
  <c r="G4" i="7"/>
  <c r="E5" i="7"/>
  <c r="G5" i="7"/>
  <c r="E6" i="7"/>
  <c r="G6" i="7"/>
  <c r="E7" i="7"/>
  <c r="G7" i="7" s="1"/>
  <c r="G17" i="7" s="1"/>
  <c r="E8" i="7"/>
  <c r="G8" i="7"/>
  <c r="E9" i="7"/>
  <c r="G9" i="7"/>
  <c r="E10" i="7"/>
  <c r="G10" i="7"/>
  <c r="E11" i="7"/>
  <c r="G11" i="7"/>
  <c r="E12" i="7"/>
  <c r="G12" i="7"/>
  <c r="E13" i="7"/>
  <c r="G13" i="7"/>
  <c r="E14" i="7"/>
  <c r="G14" i="7"/>
  <c r="E15" i="7"/>
  <c r="G15" i="7"/>
  <c r="E16" i="7"/>
  <c r="G16" i="7"/>
  <c r="B17" i="7"/>
  <c r="I17" i="7"/>
  <c r="J17" i="7"/>
  <c r="K17" i="7"/>
  <c r="D22" i="7"/>
  <c r="E22" i="7"/>
  <c r="D23" i="7"/>
  <c r="E23" i="7"/>
  <c r="D24" i="7"/>
  <c r="E24" i="7"/>
  <c r="D25" i="7"/>
  <c r="E25" i="7"/>
  <c r="E37" i="7" s="1"/>
  <c r="D26" i="7"/>
  <c r="E26" i="7"/>
  <c r="D27" i="7"/>
  <c r="D37" i="7" s="1"/>
  <c r="E27" i="7"/>
  <c r="D28" i="7"/>
  <c r="E28" i="7"/>
  <c r="D30" i="7"/>
  <c r="E30" i="7"/>
  <c r="D31" i="7"/>
  <c r="E31" i="7"/>
  <c r="D32" i="7"/>
  <c r="E32" i="7"/>
  <c r="D33" i="7"/>
  <c r="E33" i="7"/>
  <c r="D34" i="7"/>
  <c r="E34" i="7"/>
  <c r="D35" i="7"/>
  <c r="E35" i="7"/>
  <c r="B37" i="7"/>
  <c r="D40" i="7"/>
  <c r="D47" i="7" s="1"/>
  <c r="E40" i="7"/>
  <c r="E47" i="7" s="1"/>
  <c r="D41" i="7"/>
  <c r="E41" i="7"/>
  <c r="D42" i="7"/>
  <c r="E42" i="7"/>
  <c r="D43" i="7"/>
  <c r="E43" i="7"/>
  <c r="D44" i="7"/>
  <c r="E44" i="7"/>
  <c r="D45" i="7"/>
  <c r="E45" i="7"/>
  <c r="B47" i="7"/>
  <c r="D50" i="7"/>
  <c r="D58" i="7" s="1"/>
  <c r="D60" i="7" s="1"/>
  <c r="E50" i="7"/>
  <c r="E58" i="7" s="1"/>
  <c r="E60" i="7" s="1"/>
  <c r="D51" i="7"/>
  <c r="E51" i="7"/>
  <c r="D52" i="7"/>
  <c r="E52" i="7"/>
  <c r="D53" i="7"/>
  <c r="E53" i="7"/>
  <c r="D54" i="7"/>
  <c r="E54" i="7"/>
  <c r="D55" i="7"/>
  <c r="E55" i="7"/>
  <c r="D56" i="7"/>
  <c r="E56" i="7"/>
  <c r="B58" i="7"/>
  <c r="B60" i="7"/>
  <c r="F3" i="8"/>
  <c r="F4" i="8"/>
  <c r="F5" i="8"/>
  <c r="F6" i="8"/>
  <c r="F7" i="8"/>
  <c r="F8" i="8"/>
  <c r="F9" i="8"/>
  <c r="F10" i="8"/>
  <c r="F11" i="8"/>
  <c r="F12" i="8"/>
  <c r="D13" i="8"/>
  <c r="E13" i="8"/>
  <c r="F13" i="8"/>
  <c r="B9" i="12" s="1"/>
  <c r="G13" i="8"/>
  <c r="B3" i="12"/>
  <c r="B4" i="12"/>
  <c r="B5" i="12"/>
  <c r="B11" i="12"/>
  <c r="C8" i="5"/>
  <c r="C12" i="5"/>
  <c r="C16" i="5"/>
  <c r="B7" i="12" l="1"/>
  <c r="B17" i="12" s="1"/>
  <c r="E17" i="7"/>
  <c r="D58" i="10"/>
  <c r="D60" i="10" s="1"/>
</calcChain>
</file>

<file path=xl/sharedStrings.xml><?xml version="1.0" encoding="utf-8"?>
<sst xmlns="http://schemas.openxmlformats.org/spreadsheetml/2006/main" count="147" uniqueCount="127">
  <si>
    <t>Server Configuration</t>
  </si>
  <si>
    <t>Server Function</t>
  </si>
  <si>
    <t>Describe the software needed to run on the server and any configuration requirements needed for proper operation of the software.</t>
  </si>
  <si>
    <t>For the configuration and purpose described, indicate the estimated number of servers needed for optimum performance</t>
  </si>
  <si>
    <t>Identify disk and capacity requirements for the server.</t>
  </si>
  <si>
    <t>Disk &amp; Capacity 
Requirements</t>
  </si>
  <si>
    <t># of Servers 
Needed</t>
  </si>
  <si>
    <t>Describe the function or purpose of the server (e.g., http server, middle-tier application server, failover, etc., )</t>
  </si>
  <si>
    <t>Training 
Hours</t>
  </si>
  <si>
    <t>Training 
Description</t>
  </si>
  <si>
    <t>Technical Support Staffing Recommendations</t>
  </si>
  <si>
    <t>Skillset</t>
  </si>
  <si>
    <t>Training Recommendations</t>
  </si>
  <si>
    <t>Training Location</t>
  </si>
  <si>
    <t>Total application development training</t>
  </si>
  <si>
    <t>Total technical support training</t>
  </si>
  <si>
    <t>Total user training</t>
  </si>
  <si>
    <t>Cost</t>
  </si>
  <si>
    <t xml:space="preserve">Total technical support </t>
  </si>
  <si>
    <t>Development</t>
  </si>
  <si>
    <t>Acceptance</t>
  </si>
  <si>
    <t>Production</t>
  </si>
  <si>
    <t>Application Infrastructure Description</t>
  </si>
  <si>
    <r>
      <t xml:space="preserve">Environment
</t>
    </r>
    <r>
      <rPr>
        <sz val="10"/>
        <color indexed="9"/>
        <rFont val="Arial"/>
        <family val="2"/>
      </rPr>
      <t xml:space="preserve"> (check all that apply)</t>
    </r>
  </si>
  <si>
    <t>Education</t>
  </si>
  <si>
    <t>DWD</t>
  </si>
  <si>
    <t xml:space="preserve">Training Supplied by: </t>
  </si>
  <si>
    <t>Vendor*</t>
  </si>
  <si>
    <t>Estimated cost for training supplied by DWD for Non-standard toolsets**</t>
  </si>
  <si>
    <t xml:space="preserve">**Training cost for DWD standard environments will be estimated by DWD </t>
  </si>
  <si>
    <t xml:space="preserve">Annual </t>
  </si>
  <si>
    <t xml:space="preserve">Startup </t>
  </si>
  <si>
    <t xml:space="preserve">Provide an estimate for the staffing required for the installation, operational administration and infrastructure support of your proposed solution.  Detail by skillset (eg. database administrator, system administrator, application support specialist, etc.).
Vendors selected as candidates for the final round of this RFP process will be asked at that time to validate those estimates with a proposal from a third-party Application Service Provider if the proposed solution involves a development and runtime environment other than Microsoft (Visual Studio and/or .NET) or  IBM WebSphere.
</t>
  </si>
  <si>
    <t xml:space="preserve">Skillset  </t>
  </si>
  <si>
    <t>Estimated Staff Time (Indicate in Percentage)</t>
  </si>
  <si>
    <t>Software</t>
  </si>
  <si>
    <t>Software Component</t>
  </si>
  <si>
    <t>Description</t>
  </si>
  <si>
    <t>License Restriction / Usage Metrics</t>
  </si>
  <si>
    <t>Annual Maintenance</t>
  </si>
  <si>
    <t xml:space="preserve">Total Cost </t>
  </si>
  <si>
    <t>Total Software Costs</t>
  </si>
  <si>
    <t>Other Expense</t>
  </si>
  <si>
    <t xml:space="preserve">Project Manager </t>
  </si>
  <si>
    <t xml:space="preserve">Technical Architect </t>
  </si>
  <si>
    <t xml:space="preserve">Lead Business Analyst </t>
  </si>
  <si>
    <t xml:space="preserve">Business Analyst </t>
  </si>
  <si>
    <t xml:space="preserve">Training Specialist </t>
  </si>
  <si>
    <t>Other:</t>
  </si>
  <si>
    <t>Total Estimated Hours:</t>
  </si>
  <si>
    <t>Deliverable</t>
  </si>
  <si>
    <t xml:space="preserve">Total Estimated Hours </t>
  </si>
  <si>
    <t>Integrator Percentage</t>
  </si>
  <si>
    <t>Integrator Hours</t>
  </si>
  <si>
    <t>DWD Hours</t>
  </si>
  <si>
    <t>Third Party</t>
  </si>
  <si>
    <t>Estimated Hours through Implementation</t>
  </si>
  <si>
    <t>Rate</t>
  </si>
  <si>
    <t>Estimated Costs</t>
  </si>
  <si>
    <t>Total Estimated Hours and Costs:</t>
  </si>
  <si>
    <t>Integrator Skillset</t>
  </si>
  <si>
    <t>Rate*</t>
  </si>
  <si>
    <t>*Will be Provided by DWD</t>
  </si>
  <si>
    <t>Infrastructure</t>
  </si>
  <si>
    <t>Total Hours</t>
  </si>
  <si>
    <t>Phase 4 - Customization and Implementation Time and Cost Estimates</t>
  </si>
  <si>
    <t xml:space="preserve">Phase 1 – Planning </t>
  </si>
  <si>
    <t xml:space="preserve"> Project Planning</t>
  </si>
  <si>
    <t xml:space="preserve">  Project Office Documentation</t>
  </si>
  <si>
    <t xml:space="preserve">  Communications Plan</t>
  </si>
  <si>
    <t xml:space="preserve">  Risk Management Plan</t>
  </si>
  <si>
    <t xml:space="preserve"> Installation Planning </t>
  </si>
  <si>
    <t xml:space="preserve">  Knowledge Transfer / Staff Training </t>
  </si>
  <si>
    <t>Phase 2 – System Enhancement Analysis</t>
  </si>
  <si>
    <t xml:space="preserve">  Definition of System Enhancements (Gap  Analysis)</t>
  </si>
  <si>
    <t xml:space="preserve">  Prioritization of Enhancements</t>
  </si>
  <si>
    <t xml:space="preserve">  Creation of the Enhancement Project Plan </t>
  </si>
  <si>
    <t xml:space="preserve">  Conduct Process Audits</t>
  </si>
  <si>
    <t>Phase 3 – Base System Installation</t>
  </si>
  <si>
    <t xml:space="preserve">  Infrastructure Deployment</t>
  </si>
  <si>
    <t xml:space="preserve">  Initial Database Conversion</t>
  </si>
  <si>
    <t xml:space="preserve">  Limited Interface / Integration Implementation</t>
  </si>
  <si>
    <t xml:space="preserve">  Installation of the Base System</t>
  </si>
  <si>
    <t xml:space="preserve">  Configuration of the Base System</t>
  </si>
  <si>
    <t xml:space="preserve">  Testing of the Base System</t>
  </si>
  <si>
    <t xml:space="preserve">     Phase 1 Totals</t>
  </si>
  <si>
    <t xml:space="preserve">     Phase 2 Totals</t>
  </si>
  <si>
    <t xml:space="preserve">     Phase 3 Totals</t>
  </si>
  <si>
    <t>Hourly Rate(1)</t>
  </si>
  <si>
    <t xml:space="preserve">Total NTE Hours </t>
  </si>
  <si>
    <t>Not to Exceed (NTE) Costs</t>
  </si>
  <si>
    <t>NTE Hours Phase 1</t>
  </si>
  <si>
    <t>NTE Hours Phase 2</t>
  </si>
  <si>
    <t>NTE Hours Phase 3</t>
  </si>
  <si>
    <t>Provide an estimate of training required for the installation, operational administration, infrastructure support, application development and user training of your proposed solution.  Detail by skillset (eg. database administrator, system administrator, analyst, developer, etc.).</t>
  </si>
  <si>
    <t xml:space="preserve">Software Specialist </t>
  </si>
  <si>
    <t>Product Quality Assurance Specialist</t>
  </si>
  <si>
    <t xml:space="preserve">Process Audit Specialist </t>
  </si>
  <si>
    <t xml:space="preserve">  Create Project Plans  </t>
  </si>
  <si>
    <t xml:space="preserve">  Process Audit Plan</t>
  </si>
  <si>
    <t xml:space="preserve">  Infrastructure Design Plan</t>
  </si>
  <si>
    <t xml:space="preserve">  Installation, Configuration, and Testing of the Software Plan</t>
  </si>
  <si>
    <t xml:space="preserve">  Knowledge Transfer / Staff Training Plan</t>
  </si>
  <si>
    <t xml:space="preserve">  Configuration Management Plan</t>
  </si>
  <si>
    <t xml:space="preserve">  Environmental Documentation</t>
  </si>
  <si>
    <t xml:space="preserve">  Database Conversion Plan</t>
  </si>
  <si>
    <t xml:space="preserve">  Interface / Integration Design Analysis</t>
  </si>
  <si>
    <t xml:space="preserve">  Database Conversion Analysis</t>
  </si>
  <si>
    <t>The integrator shall estimate the total effort required for each step in each phase and use this worksheet to allocate DWD and Integrator workloads and cost estimates. The Integrator should use good judgement in costing project overhead either as a separate item in the Cost Proposal or spread across the project tasks. Skillset estimates must balance to deliverable estimates.</t>
  </si>
  <si>
    <t>Engagement Partner</t>
  </si>
  <si>
    <t>Total  Hours:</t>
  </si>
  <si>
    <t>*Costs associated with training that is provided by the vendor should be included as a "Not to Exceed" Cost</t>
  </si>
  <si>
    <t>DWD Skillset (anticipated - please estimate)</t>
  </si>
  <si>
    <t xml:space="preserve">  Acceptance Plan</t>
  </si>
  <si>
    <t xml:space="preserve">  Change Control Plan</t>
  </si>
  <si>
    <t>Integrator Costs</t>
  </si>
  <si>
    <t>Phase 1</t>
  </si>
  <si>
    <t>Phase 2</t>
  </si>
  <si>
    <t>Phase 3</t>
  </si>
  <si>
    <t>Phase 4</t>
  </si>
  <si>
    <t xml:space="preserve">Software Costs </t>
  </si>
  <si>
    <t xml:space="preserve">DWD </t>
  </si>
  <si>
    <t>Phase 1 Percentage of Hours (work area)</t>
  </si>
  <si>
    <t>Phase 2 Percentage of Hours (work area)</t>
  </si>
  <si>
    <t>Phase 3 Percentage of Hours (work area)</t>
  </si>
  <si>
    <t xml:space="preserve">To Be Completed by DWD </t>
  </si>
  <si>
    <t>&lt;--- this area is optional and used as work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</si>
</sst>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_(&quot;$&quot;* #,##0.00_);_(&quot;$&quot;* \(#,##0.00\);_(&quot;$&quot;* &quot;-&quot;??_);_(@_)"/>
    <numFmt numFmtId="175" formatCode="_(&quot;$&quot;* #,##0_);_(&quot;$&quot;* \(#,##0\);_(&quot;$&quot;* &quot;-&quot;??_);_(@_)"/>
  </numFmts>
  <fonts count="17" x14ac:knownFonts="1">
    <font>
      <sz val="10"/>
      <name val="Arial"/>
    </font>
    <font>
      <sz val="10"/>
      <name val="Arial"/>
    </font>
    <font>
      <b/>
      <sz val="10"/>
      <color indexed="9"/>
      <name val="Arial"/>
      <family val="2"/>
    </font>
    <font>
      <sz val="10"/>
      <color indexed="9"/>
      <name val="Arial"/>
      <family val="2"/>
    </font>
    <font>
      <i/>
      <sz val="10"/>
      <color indexed="9"/>
      <name val="Arial"/>
      <family val="2"/>
    </font>
    <font>
      <sz val="10"/>
      <name val="Arial"/>
      <family val="2"/>
    </font>
    <font>
      <i/>
      <sz val="10"/>
      <color indexed="18"/>
      <name val="Arial"/>
      <family val="2"/>
    </font>
    <font>
      <b/>
      <sz val="10"/>
      <name val="Arial"/>
      <family val="2"/>
    </font>
    <font>
      <sz val="10"/>
      <color indexed="8"/>
      <name val="Perpetua"/>
    </font>
    <font>
      <b/>
      <sz val="10"/>
      <color indexed="18"/>
      <name val="Arial"/>
      <family val="2"/>
    </font>
    <font>
      <b/>
      <sz val="10"/>
      <color indexed="9"/>
      <name val="Perpetua"/>
    </font>
    <font>
      <b/>
      <sz val="10"/>
      <color indexed="9"/>
      <name val="Arial"/>
    </font>
    <font>
      <sz val="12"/>
      <name val="Arial"/>
      <family val="2"/>
    </font>
    <font>
      <b/>
      <sz val="12"/>
      <name val="Arial"/>
      <family val="2"/>
    </font>
    <font>
      <b/>
      <i/>
      <sz val="10"/>
      <name val="Arial"/>
      <family val="2"/>
    </font>
    <font>
      <i/>
      <sz val="10"/>
      <name val="Arial"/>
      <family val="2"/>
    </font>
    <font>
      <sz val="14"/>
      <color indexed="9"/>
      <name val="Arial"/>
      <family val="2"/>
    </font>
  </fonts>
  <fills count="5">
    <fill>
      <patternFill patternType="none"/>
    </fill>
    <fill>
      <patternFill patternType="gray125"/>
    </fill>
    <fill>
      <patternFill patternType="solid">
        <fgColor indexed="54"/>
        <bgColor indexed="64"/>
      </patternFill>
    </fill>
    <fill>
      <patternFill patternType="solid">
        <fgColor indexed="55"/>
        <bgColor indexed="64"/>
      </patternFill>
    </fill>
    <fill>
      <patternFill patternType="solid">
        <fgColor indexed="2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170" fontId="1" fillId="0" borderId="0" applyFont="0" applyFill="0" applyBorder="0" applyAlignment="0" applyProtection="0"/>
    <xf numFmtId="9" fontId="1" fillId="0" borderId="0" applyFont="0" applyFill="0" applyBorder="0" applyAlignment="0" applyProtection="0"/>
  </cellStyleXfs>
  <cellXfs count="89">
    <xf numFmtId="0" fontId="0" fillId="0" borderId="0" xfId="0"/>
    <xf numFmtId="0" fontId="2" fillId="2" borderId="0" xfId="0" applyFont="1" applyFill="1" applyAlignment="1">
      <alignment horizontal="center" wrapText="1"/>
    </xf>
    <xf numFmtId="0" fontId="7" fillId="0" borderId="0" xfId="0" applyFont="1" applyAlignment="1">
      <alignment vertical="top" wrapText="1"/>
    </xf>
    <xf numFmtId="0" fontId="0" fillId="0" borderId="0" xfId="0" applyAlignment="1">
      <alignment vertical="top"/>
    </xf>
    <xf numFmtId="0" fontId="2" fillId="2" borderId="1" xfId="0" applyFont="1" applyFill="1" applyBorder="1" applyAlignment="1">
      <alignment wrapText="1"/>
    </xf>
    <xf numFmtId="0" fontId="2" fillId="2" borderId="0" xfId="0" applyFont="1" applyFill="1" applyAlignment="1">
      <alignment wrapText="1"/>
    </xf>
    <xf numFmtId="0" fontId="2" fillId="2" borderId="0" xfId="0" applyFont="1" applyFill="1" applyBorder="1" applyAlignment="1">
      <alignment horizontal="center"/>
    </xf>
    <xf numFmtId="0" fontId="6" fillId="0" borderId="0" xfId="0" applyFont="1" applyAlignment="1">
      <alignment horizontal="center" vertical="top" wrapText="1"/>
    </xf>
    <xf numFmtId="0" fontId="2" fillId="2" borderId="0" xfId="0" applyFont="1" applyFill="1"/>
    <xf numFmtId="0" fontId="2" fillId="2" borderId="0" xfId="0" applyFont="1" applyFill="1" applyBorder="1" applyAlignment="1">
      <alignment horizontal="center" wrapText="1"/>
    </xf>
    <xf numFmtId="0" fontId="4" fillId="2" borderId="0" xfId="0" applyFont="1" applyFill="1" applyBorder="1" applyAlignment="1">
      <alignment horizontal="center" vertical="top" wrapText="1"/>
    </xf>
    <xf numFmtId="0" fontId="0" fillId="0" borderId="0" xfId="0" applyFill="1" applyBorder="1" applyAlignment="1">
      <alignment vertical="top"/>
    </xf>
    <xf numFmtId="0" fontId="8" fillId="0" borderId="0" xfId="0" applyNumberFormat="1" applyFont="1" applyFill="1" applyBorder="1" applyAlignment="1" applyProtection="1">
      <alignment vertical="top" wrapText="1"/>
      <protection locked="0"/>
    </xf>
    <xf numFmtId="0" fontId="0" fillId="0" borderId="0" xfId="0" applyBorder="1" applyAlignment="1">
      <alignment horizontal="center"/>
    </xf>
    <xf numFmtId="0" fontId="0" fillId="0" borderId="0" xfId="0" applyBorder="1"/>
    <xf numFmtId="0" fontId="2" fillId="3" borderId="0" xfId="0" applyFont="1" applyFill="1"/>
    <xf numFmtId="0" fontId="6" fillId="0" borderId="0" xfId="0" applyFont="1" applyBorder="1" applyAlignment="1">
      <alignment vertical="top" wrapText="1"/>
    </xf>
    <xf numFmtId="0" fontId="9" fillId="0" borderId="0" xfId="0" applyFont="1" applyBorder="1" applyAlignment="1">
      <alignment horizontal="center"/>
    </xf>
    <xf numFmtId="0" fontId="0" fillId="0" borderId="0" xfId="0" applyBorder="1" applyAlignment="1">
      <alignment horizontal="center" vertical="top" wrapText="1"/>
    </xf>
    <xf numFmtId="0" fontId="10" fillId="3" borderId="0" xfId="0" applyNumberFormat="1" applyFont="1" applyFill="1" applyBorder="1" applyAlignment="1" applyProtection="1">
      <alignment vertical="top" wrapText="1"/>
      <protection locked="0"/>
    </xf>
    <xf numFmtId="0" fontId="11" fillId="3" borderId="0" xfId="0" applyFont="1" applyFill="1" applyBorder="1" applyAlignment="1">
      <alignment horizontal="center"/>
    </xf>
    <xf numFmtId="0" fontId="11" fillId="3" borderId="0" xfId="0" applyFont="1" applyFill="1" applyBorder="1"/>
    <xf numFmtId="0" fontId="11" fillId="3" borderId="0" xfId="0" applyFont="1" applyFill="1"/>
    <xf numFmtId="0" fontId="2" fillId="3" borderId="0" xfId="0" applyFont="1" applyFill="1" applyBorder="1"/>
    <xf numFmtId="0" fontId="2" fillId="3" borderId="0" xfId="0" applyFont="1" applyFill="1" applyBorder="1" applyAlignment="1">
      <alignment horizontal="center"/>
    </xf>
    <xf numFmtId="0" fontId="7" fillId="0" borderId="0" xfId="0" applyFont="1" applyFill="1" applyBorder="1" applyAlignment="1">
      <alignment vertical="top" wrapText="1"/>
    </xf>
    <xf numFmtId="0" fontId="0" fillId="0" borderId="0" xfId="0" applyBorder="1" applyAlignment="1">
      <alignment vertical="top" wrapText="1"/>
    </xf>
    <xf numFmtId="0" fontId="7" fillId="0" borderId="0" xfId="0" applyFont="1" applyFill="1" applyBorder="1" applyAlignment="1">
      <alignment vertical="top"/>
    </xf>
    <xf numFmtId="0" fontId="2" fillId="2" borderId="0" xfId="0" applyFont="1" applyFill="1" applyBorder="1"/>
    <xf numFmtId="0" fontId="2" fillId="2" borderId="0" xfId="0" applyFont="1" applyFill="1" applyAlignment="1">
      <alignment horizontal="center"/>
    </xf>
    <xf numFmtId="0" fontId="0" fillId="2" borderId="0" xfId="0" applyFill="1"/>
    <xf numFmtId="0" fontId="4" fillId="2" borderId="0" xfId="0" applyFont="1" applyFill="1" applyBorder="1" applyAlignment="1">
      <alignment horizontal="center" vertical="top" textRotation="90" wrapText="1"/>
    </xf>
    <xf numFmtId="0" fontId="7" fillId="0" borderId="0" xfId="0" applyFont="1" applyFill="1" applyBorder="1" applyAlignment="1">
      <alignment horizontal="left" vertical="top" wrapText="1"/>
    </xf>
    <xf numFmtId="0" fontId="6" fillId="0" borderId="0" xfId="0" applyFont="1" applyBorder="1" applyAlignment="1">
      <alignment horizontal="center" vertical="top" wrapText="1"/>
    </xf>
    <xf numFmtId="0" fontId="2" fillId="2" borderId="1" xfId="0" applyFont="1" applyFill="1" applyBorder="1" applyAlignment="1">
      <alignment horizontal="center" wrapText="1"/>
    </xf>
    <xf numFmtId="0" fontId="2" fillId="2" borderId="0" xfId="0" applyFont="1" applyFill="1" applyAlignment="1">
      <alignment horizontal="center" vertical="top" wrapText="1"/>
    </xf>
    <xf numFmtId="0" fontId="7" fillId="0" borderId="0" xfId="0" applyFont="1"/>
    <xf numFmtId="0" fontId="10" fillId="3" borderId="0" xfId="0" applyNumberFormat="1" applyFont="1" applyFill="1" applyBorder="1" applyAlignment="1" applyProtection="1">
      <alignment horizontal="left" vertical="top" wrapText="1"/>
      <protection locked="0"/>
    </xf>
    <xf numFmtId="0" fontId="11" fillId="0" borderId="0" xfId="0" applyFont="1" applyFill="1" applyBorder="1"/>
    <xf numFmtId="0" fontId="6" fillId="0" borderId="0" xfId="0" applyFont="1" applyAlignment="1">
      <alignment horizontal="left" vertical="top" wrapText="1"/>
    </xf>
    <xf numFmtId="9" fontId="0" fillId="0" borderId="0" xfId="0" applyNumberFormat="1" applyAlignment="1">
      <alignment horizontal="center"/>
    </xf>
    <xf numFmtId="1" fontId="0" fillId="0" borderId="0" xfId="0" applyNumberFormat="1"/>
    <xf numFmtId="1" fontId="2" fillId="3" borderId="0" xfId="0" applyNumberFormat="1" applyFont="1" applyFill="1"/>
    <xf numFmtId="0" fontId="7" fillId="0" borderId="0" xfId="0" applyFont="1" applyProtection="1"/>
    <xf numFmtId="1" fontId="0" fillId="0" borderId="0" xfId="0" applyNumberFormat="1" applyProtection="1">
      <protection locked="0"/>
    </xf>
    <xf numFmtId="0" fontId="0" fillId="0" borderId="0" xfId="0" applyProtection="1">
      <protection locked="0"/>
    </xf>
    <xf numFmtId="0" fontId="0" fillId="0" borderId="0" xfId="0" applyAlignment="1" applyProtection="1">
      <alignment horizontal="center"/>
      <protection locked="0"/>
    </xf>
    <xf numFmtId="170" fontId="0" fillId="0" borderId="0" xfId="1" applyFont="1"/>
    <xf numFmtId="0" fontId="0" fillId="2" borderId="0" xfId="0" applyFill="1" applyAlignment="1">
      <alignment wrapText="1"/>
    </xf>
    <xf numFmtId="0" fontId="2" fillId="4" borderId="0" xfId="0" applyFont="1" applyFill="1"/>
    <xf numFmtId="0" fontId="0" fillId="4" borderId="0" xfId="0" applyFill="1"/>
    <xf numFmtId="0" fontId="5" fillId="0" borderId="0" xfId="0" applyFont="1" applyProtection="1"/>
    <xf numFmtId="1" fontId="5" fillId="0" borderId="0" xfId="0" applyNumberFormat="1" applyFont="1" applyProtection="1">
      <protection locked="0"/>
    </xf>
    <xf numFmtId="9" fontId="5" fillId="0" borderId="0" xfId="0" applyNumberFormat="1" applyFont="1" applyAlignment="1">
      <alignment horizontal="center"/>
    </xf>
    <xf numFmtId="0" fontId="5" fillId="0" borderId="0" xfId="0" applyFont="1"/>
    <xf numFmtId="9" fontId="5" fillId="0" borderId="0" xfId="0" applyNumberFormat="1" applyFont="1" applyAlignment="1" applyProtection="1">
      <alignment horizontal="center"/>
      <protection locked="0"/>
    </xf>
    <xf numFmtId="0" fontId="7" fillId="0" borderId="0" xfId="0" applyFont="1" applyAlignment="1">
      <alignment horizontal="center"/>
    </xf>
    <xf numFmtId="1" fontId="7" fillId="0" borderId="0" xfId="0" applyNumberFormat="1" applyFont="1" applyProtection="1">
      <protection locked="0"/>
    </xf>
    <xf numFmtId="9" fontId="7" fillId="0" borderId="0" xfId="0" applyNumberFormat="1" applyFont="1" applyAlignment="1">
      <alignment horizontal="center"/>
    </xf>
    <xf numFmtId="0" fontId="14" fillId="0" borderId="0" xfId="0" applyFont="1"/>
    <xf numFmtId="0" fontId="14" fillId="0" borderId="0" xfId="0" applyFont="1" applyAlignment="1">
      <alignment horizontal="center"/>
    </xf>
    <xf numFmtId="0" fontId="14" fillId="0" borderId="0" xfId="0" applyFont="1" applyProtection="1"/>
    <xf numFmtId="0" fontId="15" fillId="0" borderId="0" xfId="0" applyFont="1"/>
    <xf numFmtId="1" fontId="14" fillId="0" borderId="0" xfId="0" applyNumberFormat="1" applyFont="1" applyProtection="1">
      <protection locked="0"/>
    </xf>
    <xf numFmtId="9" fontId="14" fillId="0" borderId="0" xfId="0" applyNumberFormat="1" applyFont="1" applyAlignment="1">
      <alignment horizontal="center"/>
    </xf>
    <xf numFmtId="9" fontId="0" fillId="0" borderId="0" xfId="2" applyFont="1"/>
    <xf numFmtId="9" fontId="0" fillId="0" borderId="0" xfId="2" applyNumberFormat="1" applyFont="1"/>
    <xf numFmtId="175" fontId="0" fillId="0" borderId="0" xfId="1" applyNumberFormat="1" applyFont="1"/>
    <xf numFmtId="175" fontId="2" fillId="3" borderId="0" xfId="1" applyNumberFormat="1" applyFont="1" applyFill="1"/>
    <xf numFmtId="0" fontId="0" fillId="0" borderId="0" xfId="0" applyAlignment="1">
      <alignment horizontal="left" indent="1"/>
    </xf>
    <xf numFmtId="175" fontId="0" fillId="0" borderId="0" xfId="1" applyNumberFormat="1" applyFont="1" applyAlignment="1">
      <alignment horizontal="left"/>
    </xf>
    <xf numFmtId="175" fontId="7" fillId="0" borderId="0" xfId="1" applyNumberFormat="1" applyFont="1" applyAlignment="1">
      <alignment horizontal="left"/>
    </xf>
    <xf numFmtId="175" fontId="7" fillId="0" borderId="0" xfId="0" applyNumberFormat="1" applyFont="1"/>
    <xf numFmtId="0" fontId="16" fillId="2" borderId="0" xfId="0" applyFont="1" applyFill="1"/>
    <xf numFmtId="0" fontId="2" fillId="2" borderId="0" xfId="0" applyFont="1" applyFill="1" applyBorder="1" applyAlignment="1">
      <alignment horizontal="center" wrapText="1"/>
    </xf>
    <xf numFmtId="0" fontId="0" fillId="0" borderId="0" xfId="0" applyAlignment="1">
      <alignment wrapText="1"/>
    </xf>
    <xf numFmtId="0" fontId="0" fillId="0" borderId="0" xfId="0" applyAlignment="1"/>
    <xf numFmtId="0" fontId="2" fillId="2" borderId="0" xfId="0" applyFont="1" applyFill="1" applyBorder="1" applyAlignment="1">
      <alignment horizontal="center"/>
    </xf>
    <xf numFmtId="0" fontId="3" fillId="2" borderId="0" xfId="0" applyFont="1" applyFill="1" applyBorder="1" applyAlignment="1"/>
    <xf numFmtId="0" fontId="12" fillId="0" borderId="0" xfId="0" applyFont="1" applyAlignment="1">
      <alignment wrapText="1"/>
    </xf>
    <xf numFmtId="0" fontId="13" fillId="0" borderId="2" xfId="0" applyFont="1" applyBorder="1" applyAlignment="1">
      <alignment horizontal="center"/>
    </xf>
    <xf numFmtId="0" fontId="0" fillId="0" borderId="2" xfId="0" applyBorder="1" applyAlignment="1">
      <alignment horizontal="center"/>
    </xf>
    <xf numFmtId="0" fontId="6" fillId="0" borderId="0" xfId="0" applyFont="1" applyBorder="1" applyAlignment="1">
      <alignment horizontal="center" vertical="top" wrapText="1"/>
    </xf>
    <xf numFmtId="0" fontId="9" fillId="0" borderId="0" xfId="0" applyFont="1" applyBorder="1" applyAlignment="1">
      <alignment horizontal="center" wrapText="1"/>
    </xf>
    <xf numFmtId="0" fontId="2" fillId="2" borderId="3" xfId="0" applyFont="1" applyFill="1" applyBorder="1" applyAlignment="1">
      <alignment horizontal="center" wrapText="1"/>
    </xf>
    <xf numFmtId="0" fontId="6" fillId="0" borderId="0" xfId="0" applyFont="1" applyAlignment="1">
      <alignment horizontal="left" vertical="top" wrapText="1"/>
    </xf>
    <xf numFmtId="0" fontId="2" fillId="2" borderId="3" xfId="0" applyFont="1" applyFill="1" applyBorder="1" applyAlignment="1">
      <alignment horizontal="center" vertical="top" wrapText="1"/>
    </xf>
    <xf numFmtId="0" fontId="2" fillId="2" borderId="0" xfId="0" applyFont="1" applyFill="1" applyBorder="1" applyAlignment="1">
      <alignment horizontal="center" vertical="top" wrapText="1"/>
    </xf>
    <xf numFmtId="0" fontId="2" fillId="2" borderId="4" xfId="0" applyFont="1" applyFill="1" applyBorder="1" applyAlignment="1">
      <alignment horizontal="center" vertical="top"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5"/>
  <sheetViews>
    <sheetView workbookViewId="0">
      <selection sqref="A1:H1"/>
    </sheetView>
  </sheetViews>
  <sheetFormatPr defaultColWidth="9.1796875" defaultRowHeight="12.5" x14ac:dyDescent="0.25"/>
  <cols>
    <col min="1" max="1" width="30.54296875" style="14" customWidth="1"/>
    <col min="2" max="2" width="28.81640625" style="14" customWidth="1"/>
    <col min="3" max="3" width="20.81640625" style="14" customWidth="1"/>
    <col min="4" max="4" width="20.26953125" style="14" customWidth="1"/>
    <col min="5" max="5" width="5.1796875" style="14" customWidth="1"/>
    <col min="6" max="6" width="5.26953125" style="14" customWidth="1"/>
    <col min="7" max="7" width="5.54296875" style="14" customWidth="1"/>
    <col min="8" max="8" width="6" style="14" customWidth="1"/>
    <col min="9" max="16384" width="9.1796875" style="14"/>
  </cols>
  <sheetData>
    <row r="1" spans="1:8" ht="13" x14ac:dyDescent="0.3">
      <c r="A1" s="77" t="s">
        <v>22</v>
      </c>
      <c r="B1" s="78"/>
      <c r="C1" s="78"/>
      <c r="D1" s="78"/>
      <c r="E1" s="76"/>
      <c r="F1" s="76"/>
      <c r="G1" s="76"/>
      <c r="H1" s="76"/>
    </row>
    <row r="2" spans="1:8" ht="26" x14ac:dyDescent="0.3">
      <c r="A2" s="6" t="s">
        <v>0</v>
      </c>
      <c r="B2" s="6" t="s">
        <v>1</v>
      </c>
      <c r="C2" s="9" t="s">
        <v>5</v>
      </c>
      <c r="D2" s="9" t="s">
        <v>6</v>
      </c>
      <c r="E2" s="74" t="s">
        <v>23</v>
      </c>
      <c r="F2" s="75"/>
      <c r="G2" s="75"/>
      <c r="H2" s="76"/>
    </row>
    <row r="3" spans="1:8" ht="78" x14ac:dyDescent="0.25">
      <c r="A3" s="10" t="s">
        <v>2</v>
      </c>
      <c r="B3" s="10" t="s">
        <v>7</v>
      </c>
      <c r="C3" s="10" t="s">
        <v>4</v>
      </c>
      <c r="D3" s="10" t="s">
        <v>3</v>
      </c>
      <c r="E3" s="31" t="s">
        <v>19</v>
      </c>
      <c r="F3" s="31" t="s">
        <v>20</v>
      </c>
      <c r="G3" s="31" t="s">
        <v>24</v>
      </c>
      <c r="H3" s="31" t="s">
        <v>21</v>
      </c>
    </row>
    <row r="4" spans="1:8" x14ac:dyDescent="0.25">
      <c r="A4" s="11"/>
      <c r="B4" s="11"/>
      <c r="C4" s="11"/>
      <c r="D4" s="11"/>
    </row>
    <row r="5" spans="1:8" x14ac:dyDescent="0.25">
      <c r="A5" s="11"/>
      <c r="B5" s="11"/>
      <c r="C5" s="11"/>
      <c r="D5" s="11"/>
    </row>
    <row r="6" spans="1:8" x14ac:dyDescent="0.25">
      <c r="A6" s="11"/>
      <c r="B6" s="11"/>
      <c r="C6" s="11"/>
      <c r="D6" s="11"/>
    </row>
    <row r="7" spans="1:8" x14ac:dyDescent="0.25">
      <c r="A7" s="11"/>
      <c r="B7" s="11"/>
      <c r="C7" s="11"/>
      <c r="D7" s="11"/>
    </row>
    <row r="8" spans="1:8" ht="13" x14ac:dyDescent="0.25">
      <c r="A8" s="27"/>
      <c r="B8" s="11"/>
      <c r="C8" s="11"/>
      <c r="D8" s="11"/>
    </row>
    <row r="9" spans="1:8" x14ac:dyDescent="0.25">
      <c r="A9" s="11"/>
      <c r="B9" s="11"/>
      <c r="C9" s="11"/>
      <c r="D9" s="11"/>
    </row>
    <row r="10" spans="1:8" x14ac:dyDescent="0.25">
      <c r="A10" s="11"/>
      <c r="B10" s="11"/>
      <c r="C10" s="11"/>
      <c r="D10" s="11"/>
    </row>
    <row r="11" spans="1:8" x14ac:dyDescent="0.25">
      <c r="A11" s="11"/>
      <c r="B11" s="11"/>
      <c r="C11" s="11"/>
      <c r="D11" s="11"/>
    </row>
    <row r="12" spans="1:8" x14ac:dyDescent="0.25">
      <c r="A12" s="11"/>
      <c r="B12" s="11"/>
      <c r="C12" s="11"/>
      <c r="D12" s="11"/>
    </row>
    <row r="13" spans="1:8" ht="13" x14ac:dyDescent="0.25">
      <c r="A13" s="25"/>
      <c r="B13" s="26"/>
      <c r="C13" s="26"/>
      <c r="D13" s="26"/>
    </row>
    <row r="14" spans="1:8" ht="13" x14ac:dyDescent="0.25">
      <c r="A14" s="25"/>
      <c r="B14" s="26"/>
      <c r="C14" s="26"/>
      <c r="D14" s="26"/>
    </row>
    <row r="15" spans="1:8" ht="13" x14ac:dyDescent="0.25">
      <c r="A15" s="32"/>
      <c r="B15" s="32"/>
      <c r="C15" s="32"/>
      <c r="D15" s="32"/>
      <c r="E15" s="32"/>
      <c r="F15" s="32"/>
      <c r="G15" s="32"/>
    </row>
  </sheetData>
  <mergeCells count="2">
    <mergeCell ref="E2:H2"/>
    <mergeCell ref="A1:H1"/>
  </mergeCells>
  <printOptions gridLines="1"/>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T13"/>
  <sheetViews>
    <sheetView workbookViewId="0">
      <selection activeCell="A4" sqref="A4"/>
    </sheetView>
  </sheetViews>
  <sheetFormatPr defaultRowHeight="12.5" x14ac:dyDescent="0.25"/>
  <cols>
    <col min="1" max="1" width="33.26953125" customWidth="1"/>
    <col min="2" max="2" width="48" customWidth="1"/>
    <col min="3" max="3" width="32.453125" customWidth="1"/>
    <col min="4" max="4" width="17.453125" customWidth="1"/>
    <col min="5" max="5" width="20" customWidth="1"/>
    <col min="6" max="6" width="18.453125" customWidth="1"/>
    <col min="7" max="7" width="18.7265625" customWidth="1"/>
    <col min="8" max="8" width="16.54296875" customWidth="1"/>
    <col min="9" max="9" width="14.7265625" customWidth="1"/>
    <col min="10" max="10" width="16.1796875" customWidth="1"/>
    <col min="11" max="11" width="14.54296875" customWidth="1"/>
    <col min="12" max="12" width="17.1796875" customWidth="1"/>
    <col min="13" max="13" width="15.453125" customWidth="1"/>
    <col min="14" max="14" width="16.81640625" customWidth="1"/>
    <col min="15" max="15" width="14.54296875" customWidth="1"/>
    <col min="16" max="16" width="16.26953125" customWidth="1"/>
    <col min="17" max="17" width="15.54296875" customWidth="1"/>
    <col min="18" max="18" width="16.7265625" customWidth="1"/>
    <col min="19" max="19" width="14.453125" customWidth="1"/>
    <col min="20" max="20" width="16.453125" customWidth="1"/>
    <col min="21" max="21" width="15.1796875" customWidth="1"/>
    <col min="22" max="22" width="17.1796875" customWidth="1"/>
    <col min="23" max="23" width="15.7265625" customWidth="1"/>
    <col min="24" max="24" width="18.26953125" customWidth="1"/>
    <col min="25" max="25" width="15.1796875" customWidth="1"/>
    <col min="26" max="26" width="17.81640625" customWidth="1"/>
    <col min="27" max="27" width="15.7265625" customWidth="1"/>
    <col min="28" max="28" width="16.1796875" customWidth="1"/>
    <col min="29" max="29" width="16" customWidth="1"/>
    <col min="30" max="30" width="15.81640625" customWidth="1"/>
    <col min="31" max="31" width="17" customWidth="1"/>
    <col min="32" max="32" width="16.81640625" customWidth="1"/>
    <col min="33" max="33" width="15" customWidth="1"/>
    <col min="34" max="34" width="16.7265625" customWidth="1"/>
    <col min="35" max="35" width="16.81640625" customWidth="1"/>
    <col min="36" max="36" width="16.54296875" customWidth="1"/>
    <col min="37" max="37" width="14.81640625" customWidth="1"/>
    <col min="38" max="38" width="17" customWidth="1"/>
    <col min="39" max="39" width="18.26953125" customWidth="1"/>
    <col min="40" max="40" width="19" customWidth="1"/>
    <col min="41" max="42" width="18.453125" customWidth="1"/>
    <col min="43" max="43" width="20.26953125" customWidth="1"/>
    <col min="44" max="44" width="20" customWidth="1"/>
    <col min="45" max="45" width="19.1796875" customWidth="1"/>
    <col min="46" max="46" width="18.81640625" customWidth="1"/>
  </cols>
  <sheetData>
    <row r="1" spans="1:46" s="30" customFormat="1" ht="20.149999999999999" customHeight="1" x14ac:dyDescent="0.3">
      <c r="C1" s="8" t="s">
        <v>35</v>
      </c>
    </row>
    <row r="2" spans="1:46" s="5" customFormat="1" ht="13" x14ac:dyDescent="0.3">
      <c r="A2" s="4" t="s">
        <v>36</v>
      </c>
      <c r="B2" s="4" t="s">
        <v>37</v>
      </c>
      <c r="C2" s="4" t="s">
        <v>38</v>
      </c>
      <c r="D2" s="4" t="s">
        <v>17</v>
      </c>
      <c r="E2" s="4" t="s">
        <v>42</v>
      </c>
      <c r="F2" s="4" t="s">
        <v>40</v>
      </c>
      <c r="G2" s="4" t="s">
        <v>39</v>
      </c>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1:46" ht="30" customHeight="1" x14ac:dyDescent="0.25">
      <c r="F3">
        <f>SUM(D3:E3)</f>
        <v>0</v>
      </c>
    </row>
    <row r="4" spans="1:46" ht="30" customHeight="1" x14ac:dyDescent="0.25">
      <c r="F4">
        <f t="shared" ref="F4:F12" si="0">SUM(D4:E4)</f>
        <v>0</v>
      </c>
    </row>
    <row r="5" spans="1:46" ht="30" customHeight="1" x14ac:dyDescent="0.25">
      <c r="F5">
        <f t="shared" si="0"/>
        <v>0</v>
      </c>
    </row>
    <row r="6" spans="1:46" ht="30" customHeight="1" x14ac:dyDescent="0.25">
      <c r="F6">
        <f t="shared" si="0"/>
        <v>0</v>
      </c>
    </row>
    <row r="7" spans="1:46" ht="30" customHeight="1" x14ac:dyDescent="0.25">
      <c r="F7">
        <f t="shared" si="0"/>
        <v>0</v>
      </c>
    </row>
    <row r="8" spans="1:46" ht="30" customHeight="1" x14ac:dyDescent="0.25">
      <c r="F8">
        <f t="shared" si="0"/>
        <v>0</v>
      </c>
    </row>
    <row r="9" spans="1:46" ht="30" customHeight="1" x14ac:dyDescent="0.25">
      <c r="F9">
        <f t="shared" si="0"/>
        <v>0</v>
      </c>
    </row>
    <row r="10" spans="1:46" ht="30" customHeight="1" x14ac:dyDescent="0.25">
      <c r="F10">
        <f t="shared" si="0"/>
        <v>0</v>
      </c>
    </row>
    <row r="11" spans="1:46" ht="30" customHeight="1" x14ac:dyDescent="0.25">
      <c r="F11">
        <f t="shared" si="0"/>
        <v>0</v>
      </c>
    </row>
    <row r="12" spans="1:46" ht="30" customHeight="1" x14ac:dyDescent="0.25">
      <c r="F12">
        <f t="shared" si="0"/>
        <v>0</v>
      </c>
    </row>
    <row r="13" spans="1:46" s="15" customFormat="1" ht="30" customHeight="1" x14ac:dyDescent="0.3">
      <c r="A13" s="15" t="s">
        <v>41</v>
      </c>
      <c r="D13" s="15">
        <f>SUM(D3:D12)</f>
        <v>0</v>
      </c>
      <c r="E13" s="15">
        <f>SUM(E3:E12)</f>
        <v>0</v>
      </c>
      <c r="F13" s="15">
        <f>SUM(F3:F12)</f>
        <v>0</v>
      </c>
      <c r="G13" s="15">
        <f>SUM(G3:G12)</f>
        <v>0</v>
      </c>
    </row>
  </sheetData>
  <printOptions gridLines="1"/>
  <pageMargins left="0.75" right="0.75" top="1" bottom="1" header="0.5" footer="0.5"/>
  <pageSetup scale="65" fitToHeight="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U67"/>
  <sheetViews>
    <sheetView workbookViewId="0"/>
  </sheetViews>
  <sheetFormatPr defaultRowHeight="12.5" x14ac:dyDescent="0.25"/>
  <cols>
    <col min="1" max="1" width="52.1796875" customWidth="1"/>
    <col min="2" max="2" width="15.81640625" customWidth="1"/>
    <col min="3" max="3" width="14.54296875" customWidth="1"/>
    <col min="4" max="4" width="14.81640625" customWidth="1"/>
    <col min="5" max="5" width="16.1796875" customWidth="1"/>
    <col min="6" max="6" width="15.54296875" customWidth="1"/>
    <col min="7" max="8" width="15.7265625" customWidth="1"/>
    <col min="9" max="9" width="16.54296875" customWidth="1"/>
    <col min="10" max="10" width="14.7265625" customWidth="1"/>
    <col min="11" max="11" width="16.1796875" customWidth="1"/>
    <col min="12" max="12" width="14.54296875" customWidth="1"/>
    <col min="13" max="13" width="17.1796875" customWidth="1"/>
    <col min="14" max="14" width="15.453125" customWidth="1"/>
    <col min="15" max="15" width="16.81640625" customWidth="1"/>
    <col min="16" max="16" width="14.54296875" customWidth="1"/>
    <col min="17" max="17" width="16.26953125" customWidth="1"/>
    <col min="18" max="18" width="15.54296875" customWidth="1"/>
    <col min="19" max="19" width="16.7265625" customWidth="1"/>
    <col min="20" max="20" width="14.453125" customWidth="1"/>
    <col min="21" max="21" width="16.453125" customWidth="1"/>
    <col min="22" max="22" width="15.1796875" customWidth="1"/>
    <col min="23" max="23" width="17.1796875" customWidth="1"/>
    <col min="24" max="24" width="15.7265625" customWidth="1"/>
    <col min="25" max="25" width="18.26953125" customWidth="1"/>
    <col min="26" max="26" width="15.1796875" customWidth="1"/>
    <col min="27" max="27" width="17.81640625" customWidth="1"/>
    <col min="28" max="28" width="15.7265625" customWidth="1"/>
    <col min="29" max="29" width="16.1796875" customWidth="1"/>
    <col min="30" max="30" width="16" customWidth="1"/>
    <col min="31" max="31" width="15.81640625" customWidth="1"/>
    <col min="32" max="32" width="17" customWidth="1"/>
    <col min="33" max="33" width="16.81640625" customWidth="1"/>
    <col min="34" max="34" width="15" customWidth="1"/>
    <col min="35" max="35" width="16.7265625" customWidth="1"/>
    <col min="36" max="36" width="16.81640625" customWidth="1"/>
    <col min="37" max="37" width="16.54296875" customWidth="1"/>
    <col min="38" max="38" width="14.81640625" customWidth="1"/>
    <col min="39" max="39" width="17" customWidth="1"/>
    <col min="40" max="40" width="18.26953125" customWidth="1"/>
    <col min="41" max="41" width="19" customWidth="1"/>
    <col min="42" max="43" width="18.453125" customWidth="1"/>
    <col min="44" max="44" width="20.26953125" customWidth="1"/>
    <col min="45" max="45" width="20" customWidth="1"/>
    <col min="46" max="46" width="19.1796875" customWidth="1"/>
    <col min="47" max="47" width="18.81640625" customWidth="1"/>
  </cols>
  <sheetData>
    <row r="1" spans="1:47" ht="24.75" customHeight="1" x14ac:dyDescent="0.35">
      <c r="B1" s="80" t="s">
        <v>90</v>
      </c>
      <c r="C1" s="81"/>
      <c r="D1" s="81"/>
    </row>
    <row r="2" spans="1:47" s="5" customFormat="1" ht="52" x14ac:dyDescent="0.3">
      <c r="A2" s="4" t="s">
        <v>11</v>
      </c>
      <c r="B2" s="34" t="s">
        <v>91</v>
      </c>
      <c r="C2" s="34" t="s">
        <v>92</v>
      </c>
      <c r="D2" s="34" t="s">
        <v>93</v>
      </c>
      <c r="E2" s="4" t="s">
        <v>64</v>
      </c>
      <c r="F2" s="4" t="s">
        <v>88</v>
      </c>
      <c r="G2" s="4" t="s">
        <v>40</v>
      </c>
      <c r="H2" s="4"/>
      <c r="I2" s="4" t="s">
        <v>122</v>
      </c>
      <c r="J2" s="4" t="s">
        <v>123</v>
      </c>
      <c r="K2" s="4" t="s">
        <v>124</v>
      </c>
      <c r="L2" s="4" t="s">
        <v>126</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spans="1:47" x14ac:dyDescent="0.25">
      <c r="B3" s="45"/>
    </row>
    <row r="4" spans="1:47" ht="13" x14ac:dyDescent="0.3">
      <c r="A4" s="36" t="s">
        <v>109</v>
      </c>
      <c r="B4" s="45"/>
      <c r="C4" s="45"/>
      <c r="D4" s="45"/>
      <c r="E4">
        <f t="shared" ref="E4:E16" si="0">SUM(B4:D4)</f>
        <v>0</v>
      </c>
      <c r="G4" s="67">
        <f>E4*F4</f>
        <v>0</v>
      </c>
      <c r="I4" s="65"/>
      <c r="J4" s="65"/>
      <c r="K4" s="65"/>
    </row>
    <row r="5" spans="1:47" ht="13" x14ac:dyDescent="0.3">
      <c r="A5" s="36" t="s">
        <v>43</v>
      </c>
      <c r="B5" s="45"/>
      <c r="C5" s="45"/>
      <c r="D5" s="45"/>
      <c r="E5">
        <f t="shared" si="0"/>
        <v>0</v>
      </c>
      <c r="G5" s="67">
        <f t="shared" ref="G5:G16" si="1">E5*F5</f>
        <v>0</v>
      </c>
      <c r="I5" s="65"/>
      <c r="J5" s="65"/>
      <c r="K5" s="65"/>
    </row>
    <row r="6" spans="1:47" ht="13" x14ac:dyDescent="0.3">
      <c r="A6" s="36" t="s">
        <v>44</v>
      </c>
      <c r="B6" s="45"/>
      <c r="C6" s="45"/>
      <c r="D6" s="45"/>
      <c r="E6">
        <f t="shared" si="0"/>
        <v>0</v>
      </c>
      <c r="G6" s="67">
        <f t="shared" si="1"/>
        <v>0</v>
      </c>
      <c r="I6" s="65"/>
      <c r="J6" s="65"/>
      <c r="K6" s="65"/>
    </row>
    <row r="7" spans="1:47" ht="13" x14ac:dyDescent="0.3">
      <c r="A7" s="36" t="s">
        <v>45</v>
      </c>
      <c r="B7" s="45"/>
      <c r="C7" s="45"/>
      <c r="D7" s="45"/>
      <c r="E7">
        <f t="shared" si="0"/>
        <v>0</v>
      </c>
      <c r="G7" s="67">
        <f t="shared" si="1"/>
        <v>0</v>
      </c>
      <c r="I7" s="65"/>
      <c r="J7" s="65"/>
      <c r="K7" s="65"/>
    </row>
    <row r="8" spans="1:47" ht="13" x14ac:dyDescent="0.3">
      <c r="A8" s="36" t="s">
        <v>46</v>
      </c>
      <c r="B8" s="45"/>
      <c r="C8" s="45"/>
      <c r="D8" s="45"/>
      <c r="E8">
        <f t="shared" si="0"/>
        <v>0</v>
      </c>
      <c r="G8" s="67">
        <f t="shared" si="1"/>
        <v>0</v>
      </c>
      <c r="I8" s="65"/>
      <c r="J8" s="65"/>
      <c r="K8" s="65"/>
    </row>
    <row r="9" spans="1:47" ht="13" x14ac:dyDescent="0.3">
      <c r="A9" s="36" t="s">
        <v>95</v>
      </c>
      <c r="B9" s="45"/>
      <c r="C9" s="45"/>
      <c r="D9" s="45"/>
      <c r="E9">
        <f t="shared" si="0"/>
        <v>0</v>
      </c>
      <c r="G9" s="67">
        <f t="shared" si="1"/>
        <v>0</v>
      </c>
      <c r="I9" s="65"/>
      <c r="J9" s="65"/>
      <c r="K9" s="65"/>
    </row>
    <row r="10" spans="1:47" ht="13" x14ac:dyDescent="0.3">
      <c r="A10" s="36" t="s">
        <v>96</v>
      </c>
      <c r="B10" s="45"/>
      <c r="C10" s="45"/>
      <c r="D10" s="45"/>
      <c r="E10">
        <f t="shared" si="0"/>
        <v>0</v>
      </c>
      <c r="G10" s="67">
        <f t="shared" si="1"/>
        <v>0</v>
      </c>
      <c r="I10" s="65"/>
      <c r="J10" s="65"/>
      <c r="K10" s="65"/>
    </row>
    <row r="11" spans="1:47" ht="13" x14ac:dyDescent="0.3">
      <c r="A11" s="36" t="s">
        <v>97</v>
      </c>
      <c r="B11" s="45"/>
      <c r="E11">
        <f t="shared" si="0"/>
        <v>0</v>
      </c>
      <c r="G11" s="67">
        <f t="shared" si="1"/>
        <v>0</v>
      </c>
      <c r="I11" s="65"/>
      <c r="J11" s="65"/>
      <c r="K11" s="65"/>
    </row>
    <row r="12" spans="1:47" ht="13" x14ac:dyDescent="0.3">
      <c r="A12" s="36" t="s">
        <v>47</v>
      </c>
      <c r="B12" s="45"/>
      <c r="E12">
        <f t="shared" si="0"/>
        <v>0</v>
      </c>
      <c r="G12" s="67">
        <f t="shared" si="1"/>
        <v>0</v>
      </c>
      <c r="I12" s="65"/>
      <c r="J12" s="65"/>
      <c r="K12" s="65"/>
    </row>
    <row r="13" spans="1:47" ht="13" x14ac:dyDescent="0.3">
      <c r="A13" s="36" t="s">
        <v>48</v>
      </c>
      <c r="B13" s="45"/>
      <c r="E13">
        <f t="shared" si="0"/>
        <v>0</v>
      </c>
      <c r="G13" s="67">
        <f t="shared" si="1"/>
        <v>0</v>
      </c>
      <c r="I13" s="66"/>
    </row>
    <row r="14" spans="1:47" x14ac:dyDescent="0.25">
      <c r="A14" s="45"/>
      <c r="B14" s="45"/>
      <c r="E14">
        <f t="shared" si="0"/>
        <v>0</v>
      </c>
      <c r="G14" s="67">
        <f t="shared" si="1"/>
        <v>0</v>
      </c>
      <c r="I14" s="66"/>
    </row>
    <row r="15" spans="1:47" x14ac:dyDescent="0.25">
      <c r="A15" s="45"/>
      <c r="B15" s="45"/>
      <c r="E15">
        <f t="shared" si="0"/>
        <v>0</v>
      </c>
      <c r="G15" s="67">
        <f t="shared" si="1"/>
        <v>0</v>
      </c>
      <c r="I15" s="66"/>
    </row>
    <row r="16" spans="1:47" x14ac:dyDescent="0.25">
      <c r="A16" s="45"/>
      <c r="B16" s="45"/>
      <c r="E16">
        <f t="shared" si="0"/>
        <v>0</v>
      </c>
      <c r="G16" s="67">
        <f t="shared" si="1"/>
        <v>0</v>
      </c>
      <c r="I16" s="66"/>
    </row>
    <row r="17" spans="1:47" s="15" customFormat="1" ht="13" x14ac:dyDescent="0.3">
      <c r="A17" s="15" t="s">
        <v>110</v>
      </c>
      <c r="B17" s="15">
        <f>SUM(B4:B15)</f>
        <v>0</v>
      </c>
      <c r="E17" s="15">
        <f>SUM(E3:E16)</f>
        <v>0</v>
      </c>
      <c r="G17" s="68">
        <f>SUM(G3:G16)</f>
        <v>0</v>
      </c>
      <c r="I17" s="15">
        <f>SUM(I4:I16)</f>
        <v>0</v>
      </c>
      <c r="J17" s="15">
        <f>SUM(J4:J16)</f>
        <v>0</v>
      </c>
      <c r="K17" s="15">
        <f>SUM(K4:K16)</f>
        <v>0</v>
      </c>
    </row>
    <row r="18" spans="1:47" ht="8.25" customHeight="1" x14ac:dyDescent="0.25"/>
    <row r="19" spans="1:47" s="5" customFormat="1" ht="24.75" customHeight="1" x14ac:dyDescent="0.3">
      <c r="A19" s="4" t="s">
        <v>50</v>
      </c>
      <c r="B19" s="34" t="s">
        <v>89</v>
      </c>
      <c r="C19" s="34" t="s">
        <v>52</v>
      </c>
      <c r="D19" s="34" t="s">
        <v>53</v>
      </c>
      <c r="E19" s="34" t="s">
        <v>54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row>
    <row r="20" spans="1:47" s="36" customFormat="1" ht="13" x14ac:dyDescent="0.3">
      <c r="A20" s="36" t="s">
        <v>66</v>
      </c>
      <c r="C20" s="56"/>
    </row>
    <row r="21" spans="1:47" s="59" customFormat="1" ht="13" x14ac:dyDescent="0.3">
      <c r="A21" s="59" t="s">
        <v>67</v>
      </c>
      <c r="C21" s="60"/>
    </row>
    <row r="22" spans="1:47" x14ac:dyDescent="0.25">
      <c r="A22" t="s">
        <v>98</v>
      </c>
      <c r="C22" s="40">
        <v>0.5</v>
      </c>
      <c r="D22">
        <f>B22*C22</f>
        <v>0</v>
      </c>
      <c r="E22">
        <f>B22*(1-C22)</f>
        <v>0</v>
      </c>
    </row>
    <row r="23" spans="1:47" x14ac:dyDescent="0.25">
      <c r="A23" t="s">
        <v>68</v>
      </c>
      <c r="C23" s="40">
        <v>0.5</v>
      </c>
      <c r="D23">
        <f t="shared" ref="D23:D35" si="2">B23*C23</f>
        <v>0</v>
      </c>
      <c r="E23">
        <f t="shared" ref="E23:E35" si="3">B23*(1-C23)</f>
        <v>0</v>
      </c>
    </row>
    <row r="24" spans="1:47" x14ac:dyDescent="0.25">
      <c r="A24" t="s">
        <v>69</v>
      </c>
      <c r="C24" s="40">
        <v>0</v>
      </c>
      <c r="D24">
        <f t="shared" si="2"/>
        <v>0</v>
      </c>
      <c r="E24">
        <f t="shared" si="3"/>
        <v>0</v>
      </c>
    </row>
    <row r="25" spans="1:47" x14ac:dyDescent="0.25">
      <c r="A25" t="s">
        <v>70</v>
      </c>
      <c r="C25" s="40">
        <v>0.5</v>
      </c>
      <c r="D25">
        <f t="shared" si="2"/>
        <v>0</v>
      </c>
      <c r="E25">
        <f t="shared" si="3"/>
        <v>0</v>
      </c>
    </row>
    <row r="26" spans="1:47" x14ac:dyDescent="0.25">
      <c r="A26" t="s">
        <v>99</v>
      </c>
      <c r="C26" s="40">
        <v>0.75</v>
      </c>
      <c r="D26">
        <f t="shared" si="2"/>
        <v>0</v>
      </c>
      <c r="E26">
        <f t="shared" si="3"/>
        <v>0</v>
      </c>
    </row>
    <row r="27" spans="1:47" x14ac:dyDescent="0.25">
      <c r="A27" t="s">
        <v>113</v>
      </c>
      <c r="C27" s="40">
        <v>0.5</v>
      </c>
      <c r="D27">
        <f>B27*C27</f>
        <v>0</v>
      </c>
      <c r="E27">
        <f>B27*(1-C27)</f>
        <v>0</v>
      </c>
    </row>
    <row r="28" spans="1:47" x14ac:dyDescent="0.25">
      <c r="A28" t="s">
        <v>114</v>
      </c>
      <c r="C28" s="40">
        <v>0</v>
      </c>
      <c r="D28">
        <f t="shared" si="2"/>
        <v>0</v>
      </c>
      <c r="E28">
        <f t="shared" si="3"/>
        <v>0</v>
      </c>
    </row>
    <row r="29" spans="1:47" s="59" customFormat="1" ht="13" x14ac:dyDescent="0.3">
      <c r="A29" s="61" t="s">
        <v>71</v>
      </c>
      <c r="B29" s="63"/>
      <c r="C29" s="64"/>
    </row>
    <row r="30" spans="1:47" s="62" customFormat="1" ht="13" x14ac:dyDescent="0.3">
      <c r="A30" s="51" t="s">
        <v>100</v>
      </c>
      <c r="B30" s="52"/>
      <c r="C30" s="53">
        <v>0.4</v>
      </c>
      <c r="D30">
        <f>B30*C30</f>
        <v>0</v>
      </c>
      <c r="E30">
        <f>B30*(1-C30)</f>
        <v>0</v>
      </c>
    </row>
    <row r="31" spans="1:47" s="54" customFormat="1" x14ac:dyDescent="0.25">
      <c r="A31" s="51" t="s">
        <v>101</v>
      </c>
      <c r="B31" s="52"/>
      <c r="C31" s="53">
        <v>0.5</v>
      </c>
      <c r="D31">
        <f t="shared" si="2"/>
        <v>0</v>
      </c>
      <c r="E31">
        <f t="shared" si="3"/>
        <v>0</v>
      </c>
    </row>
    <row r="32" spans="1:47" s="54" customFormat="1" x14ac:dyDescent="0.25">
      <c r="A32" s="51" t="s">
        <v>102</v>
      </c>
      <c r="B32" s="52"/>
      <c r="C32" s="53">
        <v>0.5</v>
      </c>
      <c r="D32">
        <f t="shared" si="2"/>
        <v>0</v>
      </c>
      <c r="E32">
        <f t="shared" si="3"/>
        <v>0</v>
      </c>
    </row>
    <row r="33" spans="1:5" s="54" customFormat="1" x14ac:dyDescent="0.25">
      <c r="A33" s="51" t="s">
        <v>103</v>
      </c>
      <c r="B33" s="52"/>
      <c r="C33" s="53">
        <v>0.5</v>
      </c>
      <c r="D33">
        <f t="shared" si="2"/>
        <v>0</v>
      </c>
      <c r="E33">
        <f t="shared" si="3"/>
        <v>0</v>
      </c>
    </row>
    <row r="34" spans="1:5" s="54" customFormat="1" x14ac:dyDescent="0.25">
      <c r="A34" s="51" t="s">
        <v>104</v>
      </c>
      <c r="B34" s="52"/>
      <c r="C34" s="53">
        <v>0.5</v>
      </c>
      <c r="D34">
        <f t="shared" si="2"/>
        <v>0</v>
      </c>
      <c r="E34">
        <f t="shared" si="3"/>
        <v>0</v>
      </c>
    </row>
    <row r="35" spans="1:5" s="54" customFormat="1" x14ac:dyDescent="0.25">
      <c r="A35" s="51" t="s">
        <v>105</v>
      </c>
      <c r="B35" s="52"/>
      <c r="C35" s="53">
        <v>0.4</v>
      </c>
      <c r="D35">
        <f t="shared" si="2"/>
        <v>0</v>
      </c>
      <c r="E35">
        <f t="shared" si="3"/>
        <v>0</v>
      </c>
    </row>
    <row r="36" spans="1:5" s="54" customFormat="1" x14ac:dyDescent="0.25">
      <c r="A36" s="51"/>
      <c r="B36" s="52"/>
      <c r="C36" s="53"/>
    </row>
    <row r="37" spans="1:5" s="36" customFormat="1" ht="13" x14ac:dyDescent="0.3">
      <c r="A37" s="43" t="s">
        <v>85</v>
      </c>
      <c r="B37" s="57">
        <f>SUM(B22:B36)</f>
        <v>0</v>
      </c>
      <c r="C37" s="58"/>
      <c r="D37" s="57">
        <f>SUM(D22:D36)</f>
        <v>0</v>
      </c>
      <c r="E37" s="57">
        <f>SUM(E22:E36)</f>
        <v>0</v>
      </c>
    </row>
    <row r="38" spans="1:5" ht="13" x14ac:dyDescent="0.3">
      <c r="A38" s="43"/>
      <c r="B38" s="44"/>
      <c r="C38" s="40"/>
    </row>
    <row r="39" spans="1:5" ht="13" x14ac:dyDescent="0.3">
      <c r="A39" s="43" t="s">
        <v>73</v>
      </c>
      <c r="B39" s="44"/>
      <c r="C39" s="40"/>
    </row>
    <row r="40" spans="1:5" s="54" customFormat="1" x14ac:dyDescent="0.25">
      <c r="A40" s="51" t="s">
        <v>74</v>
      </c>
      <c r="B40" s="52"/>
      <c r="C40" s="53">
        <v>0.5</v>
      </c>
      <c r="D40">
        <f t="shared" ref="D40:D45" si="4">B40*C40</f>
        <v>0</v>
      </c>
      <c r="E40">
        <f t="shared" ref="E40:E45" si="5">B40*(1-C40)</f>
        <v>0</v>
      </c>
    </row>
    <row r="41" spans="1:5" s="54" customFormat="1" x14ac:dyDescent="0.25">
      <c r="A41" s="51" t="s">
        <v>75</v>
      </c>
      <c r="B41" s="52"/>
      <c r="C41" s="53">
        <v>0.1</v>
      </c>
      <c r="D41">
        <f t="shared" si="4"/>
        <v>0</v>
      </c>
      <c r="E41">
        <f t="shared" si="5"/>
        <v>0</v>
      </c>
    </row>
    <row r="42" spans="1:5" s="54" customFormat="1" x14ac:dyDescent="0.25">
      <c r="A42" s="51" t="s">
        <v>76</v>
      </c>
      <c r="B42" s="52"/>
      <c r="C42" s="53">
        <v>0.5</v>
      </c>
      <c r="D42">
        <f t="shared" si="4"/>
        <v>0</v>
      </c>
      <c r="E42">
        <f t="shared" si="5"/>
        <v>0</v>
      </c>
    </row>
    <row r="43" spans="1:5" s="54" customFormat="1" x14ac:dyDescent="0.25">
      <c r="A43" s="51" t="s">
        <v>106</v>
      </c>
      <c r="B43" s="52"/>
      <c r="C43" s="53">
        <v>0.6</v>
      </c>
      <c r="D43">
        <f t="shared" si="4"/>
        <v>0</v>
      </c>
      <c r="E43">
        <f t="shared" si="5"/>
        <v>0</v>
      </c>
    </row>
    <row r="44" spans="1:5" s="54" customFormat="1" x14ac:dyDescent="0.25">
      <c r="A44" s="51" t="s">
        <v>107</v>
      </c>
      <c r="B44" s="52"/>
      <c r="C44" s="53">
        <v>0.4</v>
      </c>
      <c r="D44">
        <f t="shared" si="4"/>
        <v>0</v>
      </c>
      <c r="E44">
        <f t="shared" si="5"/>
        <v>0</v>
      </c>
    </row>
    <row r="45" spans="1:5" s="54" customFormat="1" x14ac:dyDescent="0.25">
      <c r="A45" s="51" t="s">
        <v>77</v>
      </c>
      <c r="B45" s="52"/>
      <c r="C45" s="53">
        <v>0.9</v>
      </c>
      <c r="D45">
        <f t="shared" si="4"/>
        <v>0</v>
      </c>
      <c r="E45">
        <f t="shared" si="5"/>
        <v>0</v>
      </c>
    </row>
    <row r="46" spans="1:5" s="54" customFormat="1" x14ac:dyDescent="0.25">
      <c r="A46" s="51"/>
      <c r="B46" s="52"/>
      <c r="C46" s="53"/>
    </row>
    <row r="47" spans="1:5" s="36" customFormat="1" ht="13" x14ac:dyDescent="0.3">
      <c r="A47" s="43" t="s">
        <v>86</v>
      </c>
      <c r="B47" s="57">
        <f>SUM(B40:B46)</f>
        <v>0</v>
      </c>
      <c r="C47" s="58"/>
      <c r="D47" s="57">
        <f>SUM(D40:D46)</f>
        <v>0</v>
      </c>
      <c r="E47" s="57">
        <f>SUM(E40:E46)</f>
        <v>0</v>
      </c>
    </row>
    <row r="48" spans="1:5" ht="13" x14ac:dyDescent="0.3">
      <c r="A48" s="43"/>
      <c r="B48" s="44"/>
      <c r="C48" s="40"/>
    </row>
    <row r="49" spans="1:5" ht="13" x14ac:dyDescent="0.3">
      <c r="A49" s="43" t="s">
        <v>78</v>
      </c>
      <c r="B49" s="44"/>
      <c r="C49" s="40"/>
    </row>
    <row r="50" spans="1:5" s="54" customFormat="1" x14ac:dyDescent="0.25">
      <c r="A50" s="51" t="s">
        <v>79</v>
      </c>
      <c r="B50" s="52"/>
      <c r="C50" s="53">
        <v>0.2</v>
      </c>
      <c r="D50">
        <f t="shared" ref="D50:D56" si="6">B50*C50</f>
        <v>0</v>
      </c>
      <c r="E50">
        <f t="shared" ref="E50:E56" si="7">B50*(1-C50)</f>
        <v>0</v>
      </c>
    </row>
    <row r="51" spans="1:5" s="54" customFormat="1" x14ac:dyDescent="0.25">
      <c r="A51" s="51" t="s">
        <v>80</v>
      </c>
      <c r="B51" s="52"/>
      <c r="C51" s="53">
        <v>0.4</v>
      </c>
      <c r="D51">
        <f t="shared" si="6"/>
        <v>0</v>
      </c>
      <c r="E51">
        <f t="shared" si="7"/>
        <v>0</v>
      </c>
    </row>
    <row r="52" spans="1:5" s="54" customFormat="1" x14ac:dyDescent="0.25">
      <c r="A52" s="51" t="s">
        <v>81</v>
      </c>
      <c r="B52" s="52"/>
      <c r="C52" s="53">
        <v>0.5</v>
      </c>
      <c r="D52">
        <f t="shared" si="6"/>
        <v>0</v>
      </c>
      <c r="E52">
        <f t="shared" si="7"/>
        <v>0</v>
      </c>
    </row>
    <row r="53" spans="1:5" s="54" customFormat="1" x14ac:dyDescent="0.25">
      <c r="A53" s="51" t="s">
        <v>72</v>
      </c>
      <c r="B53" s="52"/>
      <c r="C53" s="53">
        <v>0.75</v>
      </c>
      <c r="D53">
        <f t="shared" si="6"/>
        <v>0</v>
      </c>
      <c r="E53">
        <f t="shared" si="7"/>
        <v>0</v>
      </c>
    </row>
    <row r="54" spans="1:5" s="54" customFormat="1" x14ac:dyDescent="0.25">
      <c r="A54" s="51" t="s">
        <v>82</v>
      </c>
      <c r="B54" s="52"/>
      <c r="C54" s="53">
        <v>0.75</v>
      </c>
      <c r="D54">
        <f t="shared" si="6"/>
        <v>0</v>
      </c>
      <c r="E54">
        <f t="shared" si="7"/>
        <v>0</v>
      </c>
    </row>
    <row r="55" spans="1:5" s="54" customFormat="1" x14ac:dyDescent="0.25">
      <c r="A55" s="51" t="s">
        <v>83</v>
      </c>
      <c r="B55" s="52"/>
      <c r="C55" s="55">
        <v>0.5</v>
      </c>
      <c r="D55">
        <f t="shared" si="6"/>
        <v>0</v>
      </c>
      <c r="E55">
        <f t="shared" si="7"/>
        <v>0</v>
      </c>
    </row>
    <row r="56" spans="1:5" s="54" customFormat="1" x14ac:dyDescent="0.25">
      <c r="A56" s="54" t="s">
        <v>84</v>
      </c>
      <c r="B56" s="52"/>
      <c r="C56" s="55">
        <v>0.4</v>
      </c>
      <c r="D56">
        <f t="shared" si="6"/>
        <v>0</v>
      </c>
      <c r="E56">
        <f t="shared" si="7"/>
        <v>0</v>
      </c>
    </row>
    <row r="57" spans="1:5" ht="13" x14ac:dyDescent="0.3">
      <c r="A57" s="36"/>
      <c r="B57" s="44"/>
      <c r="C57" s="46"/>
    </row>
    <row r="58" spans="1:5" s="36" customFormat="1" ht="13" x14ac:dyDescent="0.3">
      <c r="A58" s="43" t="s">
        <v>87</v>
      </c>
      <c r="B58" s="57">
        <f>SUM(B50:B57)</f>
        <v>0</v>
      </c>
      <c r="C58" s="58"/>
      <c r="D58" s="57">
        <f>SUM(D50:D57)</f>
        <v>0</v>
      </c>
      <c r="E58" s="57">
        <f>SUM(E50:E57)</f>
        <v>0</v>
      </c>
    </row>
    <row r="59" spans="1:5" x14ac:dyDescent="0.25">
      <c r="B59" s="41"/>
      <c r="C59" s="46"/>
    </row>
    <row r="60" spans="1:5" s="15" customFormat="1" ht="13" x14ac:dyDescent="0.3">
      <c r="A60" s="15" t="s">
        <v>110</v>
      </c>
      <c r="B60" s="42">
        <f>SUM(B58,B47,B37)</f>
        <v>0</v>
      </c>
      <c r="D60" s="42">
        <f>SUM(D58,D47,D37)</f>
        <v>0</v>
      </c>
      <c r="E60" s="42">
        <f>SUM(E58,E47,E37)</f>
        <v>0</v>
      </c>
    </row>
    <row r="61" spans="1:5" x14ac:dyDescent="0.25">
      <c r="B61" s="41"/>
    </row>
    <row r="62" spans="1:5" x14ac:dyDescent="0.25">
      <c r="B62" s="41"/>
    </row>
    <row r="63" spans="1:5" ht="13" x14ac:dyDescent="0.3">
      <c r="A63" s="36"/>
      <c r="B63" s="47"/>
    </row>
    <row r="64" spans="1:5" x14ac:dyDescent="0.25">
      <c r="B64" s="41"/>
    </row>
    <row r="66" spans="1:3" ht="15" customHeight="1" x14ac:dyDescent="0.25"/>
    <row r="67" spans="1:3" ht="91.5" customHeight="1" x14ac:dyDescent="0.35">
      <c r="A67" s="79" t="s">
        <v>108</v>
      </c>
      <c r="B67" s="75"/>
      <c r="C67" s="75"/>
    </row>
  </sheetData>
  <mergeCells count="2">
    <mergeCell ref="A67:C67"/>
    <mergeCell ref="B1:D1"/>
  </mergeCells>
  <printOptions gridLines="1"/>
  <pageMargins left="0.75" right="0.75" top="1" bottom="1" header="0.5" footer="0.5"/>
  <pageSetup scale="85" fitToHeight="1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13"/>
  <sheetViews>
    <sheetView workbookViewId="0">
      <selection sqref="A1:J1"/>
    </sheetView>
  </sheetViews>
  <sheetFormatPr defaultColWidth="9.1796875" defaultRowHeight="12.5" x14ac:dyDescent="0.25"/>
  <cols>
    <col min="1" max="1" width="36.1796875" style="14" customWidth="1"/>
    <col min="2" max="2" width="11.453125" style="14" customWidth="1"/>
    <col min="3" max="3" width="14.81640625" style="14" customWidth="1"/>
    <col min="4" max="6" width="9.1796875" style="14"/>
    <col min="7" max="7" width="8.26953125" style="14" customWidth="1"/>
    <col min="8" max="16384" width="9.1796875" style="14"/>
  </cols>
  <sheetData>
    <row r="1" spans="1:10" ht="13" x14ac:dyDescent="0.3">
      <c r="A1" s="77" t="s">
        <v>10</v>
      </c>
      <c r="B1" s="77"/>
      <c r="C1" s="77"/>
      <c r="D1" s="77"/>
      <c r="E1" s="77"/>
      <c r="F1" s="77"/>
      <c r="G1" s="77"/>
      <c r="H1" s="77"/>
      <c r="I1" s="77"/>
      <c r="J1" s="77"/>
    </row>
    <row r="2" spans="1:10" ht="77.25" customHeight="1" x14ac:dyDescent="0.25">
      <c r="A2" s="82" t="s">
        <v>32</v>
      </c>
      <c r="B2" s="82"/>
      <c r="C2" s="82"/>
      <c r="D2" s="82"/>
      <c r="E2" s="82"/>
      <c r="F2" s="82"/>
      <c r="G2" s="82"/>
      <c r="H2" s="82"/>
      <c r="I2" s="82"/>
      <c r="J2" s="82"/>
    </row>
    <row r="3" spans="1:10" ht="13" x14ac:dyDescent="0.25">
      <c r="A3" s="33"/>
      <c r="B3" s="33"/>
      <c r="C3" s="33"/>
      <c r="D3" s="33"/>
      <c r="E3" s="33"/>
      <c r="F3" s="33"/>
      <c r="G3" s="33"/>
      <c r="H3" s="33"/>
      <c r="I3" s="33"/>
      <c r="J3" s="33"/>
    </row>
    <row r="4" spans="1:10" ht="26.25" customHeight="1" x14ac:dyDescent="0.3">
      <c r="A4" s="16"/>
      <c r="B4" s="83" t="s">
        <v>34</v>
      </c>
      <c r="C4" s="83"/>
      <c r="D4" s="17"/>
      <c r="E4" s="17"/>
      <c r="F4" s="17"/>
      <c r="G4" s="17"/>
    </row>
    <row r="5" spans="1:10" ht="13" x14ac:dyDescent="0.3">
      <c r="A5" s="28" t="s">
        <v>33</v>
      </c>
      <c r="B5" s="9" t="s">
        <v>31</v>
      </c>
      <c r="C5" s="9" t="s">
        <v>30</v>
      </c>
      <c r="D5" s="9"/>
      <c r="E5" s="9"/>
      <c r="F5" s="9"/>
      <c r="G5" s="9"/>
      <c r="H5" s="9"/>
      <c r="I5" s="9"/>
      <c r="J5" s="9"/>
    </row>
    <row r="6" spans="1:10" x14ac:dyDescent="0.25">
      <c r="B6" s="18"/>
    </row>
    <row r="7" spans="1:10" x14ac:dyDescent="0.25">
      <c r="B7" s="13"/>
    </row>
    <row r="8" spans="1:10" x14ac:dyDescent="0.25">
      <c r="B8" s="13"/>
    </row>
    <row r="9" spans="1:10" x14ac:dyDescent="0.25">
      <c r="B9" s="13"/>
    </row>
    <row r="13" spans="1:10" s="38" customFormat="1" ht="14" x14ac:dyDescent="0.3">
      <c r="A13" s="19" t="s">
        <v>18</v>
      </c>
      <c r="B13" s="21"/>
      <c r="C13" s="21"/>
      <c r="D13" s="21"/>
      <c r="E13" s="21"/>
      <c r="F13" s="21"/>
      <c r="G13" s="21"/>
      <c r="H13" s="21"/>
      <c r="I13" s="21"/>
      <c r="J13" s="21"/>
    </row>
  </sheetData>
  <mergeCells count="3">
    <mergeCell ref="A1:J1"/>
    <mergeCell ref="A2:J2"/>
    <mergeCell ref="B4:C4"/>
  </mergeCells>
  <printOptions gridLines="1"/>
  <pageMargins left="0.75" right="0.75" top="1" bottom="1" header="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21"/>
  <sheetViews>
    <sheetView workbookViewId="0"/>
  </sheetViews>
  <sheetFormatPr defaultRowHeight="12.5" x14ac:dyDescent="0.25"/>
  <cols>
    <col min="1" max="1" width="32.453125" customWidth="1"/>
    <col min="2" max="2" width="36.26953125" customWidth="1"/>
    <col min="3" max="3" width="9" customWidth="1"/>
    <col min="4" max="4" width="11.26953125" customWidth="1"/>
    <col min="5" max="5" width="9.453125" customWidth="1"/>
    <col min="6" max="7" width="10.1796875" customWidth="1"/>
    <col min="8" max="8" width="13.54296875" customWidth="1"/>
  </cols>
  <sheetData>
    <row r="1" spans="1:8" ht="13" x14ac:dyDescent="0.3">
      <c r="A1" s="6" t="s">
        <v>12</v>
      </c>
      <c r="B1" s="6"/>
      <c r="C1" s="6"/>
      <c r="D1" s="6"/>
      <c r="E1" s="6"/>
      <c r="F1" s="6"/>
      <c r="G1" s="6"/>
      <c r="H1" s="6"/>
    </row>
    <row r="2" spans="1:8" ht="40.5" customHeight="1" x14ac:dyDescent="0.25">
      <c r="A2" s="85" t="s">
        <v>94</v>
      </c>
      <c r="B2" s="85"/>
      <c r="C2" s="85"/>
      <c r="D2" s="85"/>
      <c r="E2" s="85"/>
      <c r="F2" s="85"/>
      <c r="G2" s="39"/>
      <c r="H2" s="7"/>
    </row>
    <row r="3" spans="1:8" ht="35.25" customHeight="1" x14ac:dyDescent="0.25">
      <c r="A3" s="35"/>
      <c r="B3" s="35"/>
      <c r="C3" s="35"/>
      <c r="D3" s="35"/>
      <c r="E3" s="86" t="s">
        <v>26</v>
      </c>
      <c r="F3" s="87"/>
      <c r="G3" s="88"/>
      <c r="H3" s="84" t="s">
        <v>28</v>
      </c>
    </row>
    <row r="4" spans="1:8" ht="54.75" customHeight="1" x14ac:dyDescent="0.3">
      <c r="A4" s="8" t="s">
        <v>11</v>
      </c>
      <c r="B4" s="1" t="s">
        <v>9</v>
      </c>
      <c r="C4" s="1" t="s">
        <v>8</v>
      </c>
      <c r="D4" s="1" t="s">
        <v>13</v>
      </c>
      <c r="E4" s="34" t="s">
        <v>27</v>
      </c>
      <c r="F4" s="34" t="s">
        <v>25</v>
      </c>
      <c r="G4" s="34" t="s">
        <v>55</v>
      </c>
      <c r="H4" s="84"/>
    </row>
    <row r="5" spans="1:8" ht="14" x14ac:dyDescent="0.25">
      <c r="A5" s="12"/>
      <c r="B5" s="13"/>
      <c r="C5" s="13"/>
      <c r="D5" s="13"/>
      <c r="E5" s="13"/>
      <c r="F5" s="14"/>
      <c r="G5" s="14"/>
      <c r="H5" s="14"/>
    </row>
    <row r="6" spans="1:8" ht="14" x14ac:dyDescent="0.25">
      <c r="A6" s="12"/>
      <c r="B6" s="13"/>
      <c r="C6" s="13"/>
      <c r="D6" s="13"/>
      <c r="E6" s="13"/>
      <c r="F6" s="14"/>
      <c r="G6" s="14"/>
      <c r="H6" s="14"/>
    </row>
    <row r="7" spans="1:8" ht="14" x14ac:dyDescent="0.25">
      <c r="A7" s="12"/>
      <c r="B7" s="13"/>
      <c r="C7" s="13"/>
      <c r="D7" s="13"/>
      <c r="E7" s="13"/>
      <c r="F7" s="14"/>
      <c r="G7" s="14"/>
      <c r="H7" s="14"/>
    </row>
    <row r="8" spans="1:8" s="22" customFormat="1" ht="14" x14ac:dyDescent="0.3">
      <c r="A8" s="37" t="s">
        <v>15</v>
      </c>
      <c r="B8" s="20"/>
      <c r="C8" s="20">
        <f>SUM(C5:C7)</f>
        <v>0</v>
      </c>
      <c r="D8" s="20"/>
      <c r="E8" s="20"/>
      <c r="F8" s="21"/>
      <c r="G8" s="21"/>
      <c r="H8" s="20"/>
    </row>
    <row r="9" spans="1:8" x14ac:dyDescent="0.25">
      <c r="A9" s="14"/>
      <c r="B9" s="14"/>
      <c r="C9" s="14"/>
      <c r="D9" s="14"/>
      <c r="E9" s="14"/>
      <c r="F9" s="14"/>
      <c r="G9" s="14"/>
      <c r="H9" s="14"/>
    </row>
    <row r="10" spans="1:8" x14ac:dyDescent="0.25">
      <c r="A10" s="14"/>
      <c r="B10" s="14"/>
      <c r="D10" s="14"/>
      <c r="E10" s="14"/>
      <c r="F10" s="14"/>
      <c r="G10" s="14"/>
      <c r="H10" s="14"/>
    </row>
    <row r="11" spans="1:8" x14ac:dyDescent="0.25">
      <c r="A11" s="14"/>
      <c r="B11" s="14"/>
      <c r="C11" s="14"/>
      <c r="D11" s="14"/>
      <c r="E11" s="14"/>
      <c r="F11" s="14"/>
      <c r="G11" s="14"/>
      <c r="H11" s="14"/>
    </row>
    <row r="12" spans="1:8" s="15" customFormat="1" ht="13" x14ac:dyDescent="0.3">
      <c r="A12" s="23" t="s">
        <v>14</v>
      </c>
      <c r="B12" s="23"/>
      <c r="C12" s="24">
        <f>SUM(C9:C11)</f>
        <v>0</v>
      </c>
      <c r="D12" s="23"/>
      <c r="E12" s="23"/>
      <c r="F12" s="23"/>
      <c r="G12" s="23"/>
      <c r="H12" s="24"/>
    </row>
    <row r="13" spans="1:8" x14ac:dyDescent="0.25">
      <c r="A13" s="14"/>
      <c r="B13" s="14"/>
      <c r="C13" s="14"/>
      <c r="D13" s="14"/>
      <c r="E13" s="14"/>
      <c r="F13" s="14"/>
      <c r="G13" s="14"/>
      <c r="H13" s="14"/>
    </row>
    <row r="14" spans="1:8" x14ac:dyDescent="0.25">
      <c r="A14" s="14"/>
      <c r="B14" s="14"/>
      <c r="C14" s="14"/>
      <c r="D14" s="14"/>
      <c r="E14" s="14"/>
      <c r="F14" s="14"/>
      <c r="G14" s="14"/>
      <c r="H14" s="14"/>
    </row>
    <row r="15" spans="1:8" x14ac:dyDescent="0.25">
      <c r="A15" s="14"/>
      <c r="B15" s="14"/>
      <c r="C15" s="14"/>
      <c r="D15" s="14"/>
      <c r="E15" s="14"/>
      <c r="F15" s="14"/>
      <c r="G15" s="14"/>
      <c r="H15" s="14"/>
    </row>
    <row r="16" spans="1:8" s="15" customFormat="1" ht="13" x14ac:dyDescent="0.3">
      <c r="A16" s="23" t="s">
        <v>16</v>
      </c>
      <c r="B16" s="23"/>
      <c r="C16" s="24">
        <f>SUM(C13:C15)</f>
        <v>0</v>
      </c>
      <c r="D16" s="23"/>
      <c r="E16" s="23"/>
      <c r="F16" s="23"/>
      <c r="G16" s="23"/>
      <c r="H16" s="24"/>
    </row>
    <row r="19" spans="1:8" ht="27.75" customHeight="1" x14ac:dyDescent="0.25">
      <c r="A19" s="2"/>
      <c r="B19" s="3"/>
      <c r="C19" s="3"/>
      <c r="D19" s="3"/>
      <c r="E19" s="3"/>
      <c r="F19" s="3"/>
      <c r="G19" s="3"/>
      <c r="H19" s="3"/>
    </row>
    <row r="20" spans="1:8" ht="13" x14ac:dyDescent="0.3">
      <c r="A20" s="36" t="s">
        <v>111</v>
      </c>
    </row>
    <row r="21" spans="1:8" ht="13" x14ac:dyDescent="0.3">
      <c r="A21" s="36" t="s">
        <v>29</v>
      </c>
    </row>
  </sheetData>
  <mergeCells count="3">
    <mergeCell ref="H3:H4"/>
    <mergeCell ref="A2:F2"/>
    <mergeCell ref="E3:G3"/>
  </mergeCells>
  <printOptions gridLines="1"/>
  <pageMargins left="0.75" right="0.75" top="1" bottom="1"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60"/>
  <sheetViews>
    <sheetView tabSelected="1" workbookViewId="0"/>
  </sheetViews>
  <sheetFormatPr defaultRowHeight="12.5" x14ac:dyDescent="0.25"/>
  <cols>
    <col min="1" max="1" width="54.1796875" bestFit="1" customWidth="1"/>
    <col min="2" max="2" width="20.26953125" bestFit="1" customWidth="1"/>
    <col min="3" max="3" width="14.81640625" customWidth="1"/>
    <col min="4" max="4" width="12.1796875" customWidth="1"/>
  </cols>
  <sheetData>
    <row r="1" spans="1:7" s="30" customFormat="1" ht="18.75" customHeight="1" x14ac:dyDescent="0.3">
      <c r="A1" s="29"/>
      <c r="B1" s="29" t="s">
        <v>65</v>
      </c>
      <c r="C1" s="29"/>
      <c r="D1" s="29"/>
      <c r="E1" s="29"/>
      <c r="F1" s="29"/>
      <c r="G1" s="29"/>
    </row>
    <row r="2" spans="1:7" s="8" customFormat="1" ht="26" x14ac:dyDescent="0.3">
      <c r="A2" s="4" t="s">
        <v>50</v>
      </c>
      <c r="B2" s="34" t="s">
        <v>51</v>
      </c>
      <c r="C2" s="34" t="s">
        <v>52</v>
      </c>
      <c r="D2" s="34" t="s">
        <v>53</v>
      </c>
      <c r="E2" s="34" t="s">
        <v>54</v>
      </c>
      <c r="F2" s="4"/>
    </row>
    <row r="4" spans="1:7" ht="13" x14ac:dyDescent="0.3">
      <c r="A4" s="43"/>
      <c r="B4" s="44"/>
      <c r="C4" s="40"/>
      <c r="D4">
        <f>B4*C4</f>
        <v>0</v>
      </c>
      <c r="E4">
        <f>B4*(1-C4)</f>
        <v>0</v>
      </c>
    </row>
    <row r="5" spans="1:7" ht="13" x14ac:dyDescent="0.3">
      <c r="A5" s="43"/>
      <c r="B5" s="44"/>
      <c r="C5" s="40"/>
      <c r="D5">
        <f t="shared" ref="D5:D21" si="0">B5*C5</f>
        <v>0</v>
      </c>
      <c r="E5">
        <f t="shared" ref="E5:E21" si="1">B5*(1-C5)</f>
        <v>0</v>
      </c>
    </row>
    <row r="6" spans="1:7" ht="13" x14ac:dyDescent="0.3">
      <c r="A6" s="43"/>
      <c r="B6" s="44"/>
      <c r="C6" s="40"/>
      <c r="D6">
        <f t="shared" si="0"/>
        <v>0</v>
      </c>
      <c r="E6">
        <f t="shared" si="1"/>
        <v>0</v>
      </c>
    </row>
    <row r="7" spans="1:7" ht="13" x14ac:dyDescent="0.3">
      <c r="A7" s="43"/>
      <c r="B7" s="44"/>
      <c r="C7" s="40"/>
      <c r="D7">
        <f t="shared" si="0"/>
        <v>0</v>
      </c>
      <c r="E7">
        <f t="shared" si="1"/>
        <v>0</v>
      </c>
    </row>
    <row r="8" spans="1:7" ht="13" x14ac:dyDescent="0.3">
      <c r="A8" s="43"/>
      <c r="B8" s="44"/>
      <c r="C8" s="40"/>
      <c r="D8">
        <f t="shared" si="0"/>
        <v>0</v>
      </c>
      <c r="E8">
        <f t="shared" si="1"/>
        <v>0</v>
      </c>
    </row>
    <row r="9" spans="1:7" ht="13" x14ac:dyDescent="0.3">
      <c r="A9" s="43"/>
      <c r="B9" s="44"/>
      <c r="C9" s="40"/>
      <c r="D9">
        <f t="shared" si="0"/>
        <v>0</v>
      </c>
      <c r="E9">
        <f t="shared" si="1"/>
        <v>0</v>
      </c>
    </row>
    <row r="10" spans="1:7" ht="13" x14ac:dyDescent="0.3">
      <c r="A10" s="43"/>
      <c r="B10" s="44"/>
      <c r="C10" s="40"/>
      <c r="D10">
        <f t="shared" si="0"/>
        <v>0</v>
      </c>
      <c r="E10">
        <f t="shared" si="1"/>
        <v>0</v>
      </c>
    </row>
    <row r="11" spans="1:7" ht="13" x14ac:dyDescent="0.3">
      <c r="A11" s="43"/>
      <c r="B11" s="44"/>
      <c r="C11" s="40"/>
      <c r="D11">
        <f t="shared" si="0"/>
        <v>0</v>
      </c>
      <c r="E11">
        <f t="shared" si="1"/>
        <v>0</v>
      </c>
    </row>
    <row r="12" spans="1:7" ht="13" x14ac:dyDescent="0.3">
      <c r="A12" s="43"/>
      <c r="B12" s="44"/>
      <c r="C12" s="40"/>
      <c r="D12">
        <f t="shared" si="0"/>
        <v>0</v>
      </c>
      <c r="E12">
        <f t="shared" si="1"/>
        <v>0</v>
      </c>
    </row>
    <row r="13" spans="1:7" ht="13" x14ac:dyDescent="0.3">
      <c r="A13" s="43"/>
      <c r="B13" s="44"/>
      <c r="C13" s="40"/>
      <c r="D13">
        <f t="shared" si="0"/>
        <v>0</v>
      </c>
      <c r="E13">
        <f t="shared" si="1"/>
        <v>0</v>
      </c>
    </row>
    <row r="14" spans="1:7" ht="13" x14ac:dyDescent="0.3">
      <c r="A14" s="43"/>
      <c r="B14" s="44"/>
      <c r="C14" s="40"/>
      <c r="D14">
        <f t="shared" si="0"/>
        <v>0</v>
      </c>
      <c r="E14">
        <f t="shared" si="1"/>
        <v>0</v>
      </c>
    </row>
    <row r="15" spans="1:7" ht="13" x14ac:dyDescent="0.3">
      <c r="A15" s="43"/>
      <c r="B15" s="44"/>
      <c r="C15" s="40"/>
      <c r="D15">
        <f t="shared" si="0"/>
        <v>0</v>
      </c>
      <c r="E15">
        <f t="shared" si="1"/>
        <v>0</v>
      </c>
    </row>
    <row r="16" spans="1:7" ht="13" x14ac:dyDescent="0.3">
      <c r="A16" s="43"/>
      <c r="B16" s="44"/>
      <c r="C16" s="40"/>
      <c r="D16">
        <f t="shared" si="0"/>
        <v>0</v>
      </c>
      <c r="E16">
        <f t="shared" si="1"/>
        <v>0</v>
      </c>
    </row>
    <row r="17" spans="1:6" ht="13" x14ac:dyDescent="0.3">
      <c r="A17" s="43"/>
      <c r="B17" s="44"/>
      <c r="C17" s="40"/>
      <c r="D17">
        <f t="shared" si="0"/>
        <v>0</v>
      </c>
      <c r="E17">
        <f t="shared" si="1"/>
        <v>0</v>
      </c>
    </row>
    <row r="18" spans="1:6" ht="13" x14ac:dyDescent="0.3">
      <c r="A18" s="43"/>
      <c r="B18" s="44"/>
      <c r="C18" s="40"/>
      <c r="D18">
        <f t="shared" si="0"/>
        <v>0</v>
      </c>
      <c r="E18">
        <f t="shared" si="1"/>
        <v>0</v>
      </c>
    </row>
    <row r="19" spans="1:6" ht="13" x14ac:dyDescent="0.3">
      <c r="A19" s="43"/>
      <c r="B19" s="44"/>
      <c r="C19" s="40"/>
      <c r="D19">
        <f t="shared" si="0"/>
        <v>0</v>
      </c>
      <c r="E19">
        <f t="shared" si="1"/>
        <v>0</v>
      </c>
    </row>
    <row r="20" spans="1:6" ht="13" x14ac:dyDescent="0.3">
      <c r="A20" s="43"/>
      <c r="B20" s="44"/>
      <c r="C20" s="46"/>
      <c r="D20">
        <f t="shared" si="0"/>
        <v>0</v>
      </c>
      <c r="E20">
        <f t="shared" si="1"/>
        <v>0</v>
      </c>
    </row>
    <row r="21" spans="1:6" ht="13" x14ac:dyDescent="0.3">
      <c r="A21" s="36"/>
      <c r="B21" s="44"/>
      <c r="C21" s="46"/>
      <c r="D21">
        <f t="shared" si="0"/>
        <v>0</v>
      </c>
      <c r="E21">
        <f t="shared" si="1"/>
        <v>0</v>
      </c>
    </row>
    <row r="22" spans="1:6" ht="13" x14ac:dyDescent="0.3">
      <c r="A22" s="36"/>
      <c r="B22" s="44"/>
      <c r="C22" s="46"/>
    </row>
    <row r="23" spans="1:6" x14ac:dyDescent="0.25">
      <c r="B23" s="41"/>
      <c r="C23" s="46"/>
    </row>
    <row r="24" spans="1:6" ht="13" x14ac:dyDescent="0.3">
      <c r="A24" s="15" t="s">
        <v>49</v>
      </c>
      <c r="B24" s="42">
        <f>SUM(B4:B22)</f>
        <v>0</v>
      </c>
      <c r="C24" s="15"/>
      <c r="D24" s="42">
        <f>SUM(D4:D22)</f>
        <v>0</v>
      </c>
      <c r="E24" s="42">
        <f>SUM(E4:E22)</f>
        <v>0</v>
      </c>
      <c r="F24" s="15"/>
    </row>
    <row r="26" spans="1:6" s="48" customFormat="1" ht="39" x14ac:dyDescent="0.3">
      <c r="A26" s="4" t="s">
        <v>60</v>
      </c>
      <c r="B26" s="34" t="s">
        <v>56</v>
      </c>
      <c r="C26" s="34" t="s">
        <v>57</v>
      </c>
      <c r="D26" s="34" t="s">
        <v>58</v>
      </c>
    </row>
    <row r="27" spans="1:6" x14ac:dyDescent="0.25">
      <c r="B27" s="45"/>
    </row>
    <row r="28" spans="1:6" ht="13" x14ac:dyDescent="0.3">
      <c r="A28" s="36" t="s">
        <v>109</v>
      </c>
      <c r="B28" s="45"/>
      <c r="D28">
        <f>B28*C28</f>
        <v>0</v>
      </c>
    </row>
    <row r="29" spans="1:6" ht="13" x14ac:dyDescent="0.3">
      <c r="A29" s="36" t="s">
        <v>43</v>
      </c>
      <c r="B29" s="45"/>
      <c r="D29">
        <f t="shared" ref="D29:D40" si="2">B29*C29</f>
        <v>0</v>
      </c>
    </row>
    <row r="30" spans="1:6" ht="13" x14ac:dyDescent="0.3">
      <c r="A30" s="36" t="s">
        <v>44</v>
      </c>
      <c r="B30" s="45"/>
      <c r="D30">
        <f t="shared" si="2"/>
        <v>0</v>
      </c>
    </row>
    <row r="31" spans="1:6" ht="13" x14ac:dyDescent="0.3">
      <c r="A31" s="36" t="s">
        <v>45</v>
      </c>
      <c r="B31" s="45"/>
      <c r="D31">
        <f t="shared" si="2"/>
        <v>0</v>
      </c>
    </row>
    <row r="32" spans="1:6" ht="13" x14ac:dyDescent="0.3">
      <c r="A32" s="36" t="s">
        <v>46</v>
      </c>
      <c r="B32" s="45"/>
      <c r="D32">
        <f t="shared" si="2"/>
        <v>0</v>
      </c>
    </row>
    <row r="33" spans="1:9" ht="13" x14ac:dyDescent="0.3">
      <c r="A33" s="36" t="s">
        <v>95</v>
      </c>
      <c r="B33" s="45"/>
      <c r="D33">
        <f t="shared" si="2"/>
        <v>0</v>
      </c>
    </row>
    <row r="34" spans="1:9" ht="13" x14ac:dyDescent="0.3">
      <c r="A34" s="36" t="s">
        <v>96</v>
      </c>
      <c r="B34" s="45"/>
      <c r="D34">
        <f t="shared" si="2"/>
        <v>0</v>
      </c>
    </row>
    <row r="35" spans="1:9" ht="13" x14ac:dyDescent="0.3">
      <c r="A35" s="36" t="s">
        <v>97</v>
      </c>
      <c r="B35" s="45"/>
      <c r="D35">
        <f t="shared" si="2"/>
        <v>0</v>
      </c>
    </row>
    <row r="36" spans="1:9" ht="13" x14ac:dyDescent="0.3">
      <c r="A36" s="36" t="s">
        <v>47</v>
      </c>
      <c r="B36" s="45"/>
      <c r="D36">
        <f t="shared" si="2"/>
        <v>0</v>
      </c>
    </row>
    <row r="37" spans="1:9" ht="13" x14ac:dyDescent="0.3">
      <c r="A37" s="36" t="s">
        <v>48</v>
      </c>
      <c r="B37" s="45"/>
      <c r="D37">
        <f t="shared" si="2"/>
        <v>0</v>
      </c>
    </row>
    <row r="38" spans="1:9" x14ac:dyDescent="0.25">
      <c r="A38" s="45"/>
      <c r="B38" s="45"/>
      <c r="D38">
        <f t="shared" si="2"/>
        <v>0</v>
      </c>
    </row>
    <row r="39" spans="1:9" x14ac:dyDescent="0.25">
      <c r="A39" s="45"/>
      <c r="B39" s="45"/>
      <c r="D39">
        <f t="shared" si="2"/>
        <v>0</v>
      </c>
    </row>
    <row r="40" spans="1:9" x14ac:dyDescent="0.25">
      <c r="A40" s="45"/>
      <c r="B40" s="45"/>
      <c r="D40">
        <f t="shared" si="2"/>
        <v>0</v>
      </c>
    </row>
    <row r="41" spans="1:9" s="50" customFormat="1" ht="13" x14ac:dyDescent="0.3">
      <c r="A41" s="49" t="s">
        <v>59</v>
      </c>
      <c r="B41" s="49">
        <f>SUM(B28:B39)</f>
        <v>0</v>
      </c>
      <c r="D41" s="49">
        <f>SUM(D28:D39)</f>
        <v>0</v>
      </c>
    </row>
    <row r="43" spans="1:9" ht="39" x14ac:dyDescent="0.3">
      <c r="A43" s="4" t="s">
        <v>112</v>
      </c>
      <c r="B43" s="34" t="s">
        <v>56</v>
      </c>
      <c r="C43" s="34" t="s">
        <v>61</v>
      </c>
      <c r="D43" s="34" t="s">
        <v>58</v>
      </c>
      <c r="E43" s="48"/>
      <c r="F43" s="48"/>
      <c r="G43" s="48"/>
      <c r="H43" s="48"/>
      <c r="I43" s="48"/>
    </row>
    <row r="44" spans="1:9" x14ac:dyDescent="0.25">
      <c r="B44" s="45"/>
    </row>
    <row r="45" spans="1:9" ht="13" x14ac:dyDescent="0.3">
      <c r="A45" s="36"/>
      <c r="B45" s="45"/>
      <c r="D45">
        <f>B45*C45</f>
        <v>0</v>
      </c>
    </row>
    <row r="46" spans="1:9" ht="13" x14ac:dyDescent="0.3">
      <c r="A46" s="36"/>
      <c r="B46" s="45"/>
      <c r="D46">
        <f t="shared" ref="D46:D57" si="3">B46*C46</f>
        <v>0</v>
      </c>
    </row>
    <row r="47" spans="1:9" ht="13" x14ac:dyDescent="0.3">
      <c r="A47" s="36"/>
      <c r="B47" s="45"/>
      <c r="D47">
        <f t="shared" si="3"/>
        <v>0</v>
      </c>
    </row>
    <row r="48" spans="1:9" ht="13" x14ac:dyDescent="0.3">
      <c r="A48" s="36"/>
      <c r="B48" s="45"/>
      <c r="D48">
        <f t="shared" si="3"/>
        <v>0</v>
      </c>
    </row>
    <row r="49" spans="1:9" ht="13" x14ac:dyDescent="0.3">
      <c r="A49" s="36"/>
      <c r="B49" s="45"/>
      <c r="D49">
        <f t="shared" si="3"/>
        <v>0</v>
      </c>
    </row>
    <row r="50" spans="1:9" ht="13" x14ac:dyDescent="0.3">
      <c r="A50" s="36"/>
      <c r="B50" s="45"/>
      <c r="D50">
        <f t="shared" si="3"/>
        <v>0</v>
      </c>
    </row>
    <row r="51" spans="1:9" ht="13" x14ac:dyDescent="0.3">
      <c r="A51" s="36"/>
      <c r="B51" s="45"/>
      <c r="D51">
        <f t="shared" si="3"/>
        <v>0</v>
      </c>
    </row>
    <row r="52" spans="1:9" ht="13" x14ac:dyDescent="0.3">
      <c r="A52" s="36"/>
      <c r="B52" s="45"/>
      <c r="D52">
        <f t="shared" si="3"/>
        <v>0</v>
      </c>
    </row>
    <row r="53" spans="1:9" ht="13" x14ac:dyDescent="0.3">
      <c r="A53" s="36"/>
      <c r="B53" s="45"/>
      <c r="D53">
        <f t="shared" si="3"/>
        <v>0</v>
      </c>
    </row>
    <row r="54" spans="1:9" ht="13" x14ac:dyDescent="0.3">
      <c r="A54" s="36"/>
      <c r="B54" s="45"/>
      <c r="D54">
        <f t="shared" si="3"/>
        <v>0</v>
      </c>
    </row>
    <row r="55" spans="1:9" x14ac:dyDescent="0.25">
      <c r="A55" s="45"/>
      <c r="B55" s="45"/>
      <c r="D55">
        <f t="shared" si="3"/>
        <v>0</v>
      </c>
    </row>
    <row r="56" spans="1:9" x14ac:dyDescent="0.25">
      <c r="A56" s="45"/>
      <c r="B56" s="45"/>
      <c r="D56">
        <f t="shared" si="3"/>
        <v>0</v>
      </c>
    </row>
    <row r="57" spans="1:9" x14ac:dyDescent="0.25">
      <c r="A57" s="45"/>
      <c r="B57" s="45"/>
      <c r="D57">
        <f t="shared" si="3"/>
        <v>0</v>
      </c>
    </row>
    <row r="58" spans="1:9" ht="13" x14ac:dyDescent="0.3">
      <c r="A58" s="49" t="s">
        <v>59</v>
      </c>
      <c r="B58" s="49">
        <f>SUM(B45:B56)</f>
        <v>0</v>
      </c>
      <c r="C58" s="50"/>
      <c r="D58" s="49">
        <f>SUM(D45:D56)</f>
        <v>0</v>
      </c>
      <c r="E58" s="50"/>
      <c r="F58" s="50"/>
      <c r="G58" s="50"/>
      <c r="H58" s="50"/>
      <c r="I58" s="50"/>
    </row>
    <row r="60" spans="1:9" x14ac:dyDescent="0.25">
      <c r="A60" t="s">
        <v>62</v>
      </c>
      <c r="D60">
        <f>SUM(D58,D41)</f>
        <v>0</v>
      </c>
    </row>
  </sheetData>
  <printOptions gridLines="1"/>
  <pageMargins left="0.75" right="0.75" top="1" bottom="1" header="0.5" footer="0.5"/>
  <pageSetup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heetViews>
  <sheetFormatPr defaultRowHeight="12.5" x14ac:dyDescent="0.25"/>
  <cols>
    <col min="1" max="1" width="22.81640625" customWidth="1"/>
    <col min="2" max="2" width="17.54296875" customWidth="1"/>
  </cols>
  <sheetData>
    <row r="1" spans="1:2" s="30" customFormat="1" ht="25.5" customHeight="1" x14ac:dyDescent="0.35">
      <c r="B1" s="73" t="s">
        <v>125</v>
      </c>
    </row>
    <row r="2" spans="1:2" ht="13" x14ac:dyDescent="0.3">
      <c r="A2" s="36" t="s">
        <v>115</v>
      </c>
      <c r="B2" s="41"/>
    </row>
    <row r="3" spans="1:2" x14ac:dyDescent="0.25">
      <c r="A3" s="69" t="s">
        <v>116</v>
      </c>
      <c r="B3" s="70">
        <f>'Not to Exceed'!B4*'Not to Exceed'!F4+'Not to Exceed'!B5*'Not to Exceed'!F5+'Not to Exceed'!B6*'Not to Exceed'!F6+'Not to Exceed'!B7*'Not to Exceed'!F7+'Not to Exceed'!B8*'Not to Exceed'!F8+'Not to Exceed'!B9*'Not to Exceed'!F9+'Not to Exceed'!B10*'Not to Exceed'!F10+'Not to Exceed'!B11*'Not to Exceed'!F11+'Not to Exceed'!B12*'Not to Exceed'!F12</f>
        <v>0</v>
      </c>
    </row>
    <row r="4" spans="1:2" x14ac:dyDescent="0.25">
      <c r="A4" s="69" t="s">
        <v>117</v>
      </c>
      <c r="B4" s="70">
        <f>'Not to Exceed'!C4*'Not to Exceed'!F4+'Not to Exceed'!C5*'Not to Exceed'!F5+'Not to Exceed'!C6*'Not to Exceed'!F6+'Not to Exceed'!C7*'Not to Exceed'!F7+'Not to Exceed'!C8*'Not to Exceed'!F8+'Not to Exceed'!C9*'Not to Exceed'!F9+'Not to Exceed'!C10*'Not to Exceed'!F10+'Not to Exceed'!C11*'Not to Exceed'!F11+'Not to Exceed'!C12*'Not to Exceed'!F12</f>
        <v>0</v>
      </c>
    </row>
    <row r="5" spans="1:2" x14ac:dyDescent="0.25">
      <c r="A5" s="69" t="s">
        <v>118</v>
      </c>
      <c r="B5" s="70">
        <f>'Not to Exceed'!D4*'Not to Exceed'!F4+'Not to Exceed'!D5*'Not to Exceed'!F5+'Not to Exceed'!D6*'Not to Exceed'!F6+'Not to Exceed'!D7*'Not to Exceed'!F7+'Not to Exceed'!D8*'Not to Exceed'!F8+'Not to Exceed'!D9*'Not to Exceed'!F9+'Not to Exceed'!D10*'Not to Exceed'!F10+'Not to Exceed'!D11*'Not to Exceed'!F11+'Not to Exceed'!D12*'Not to Exceed'!F12</f>
        <v>0</v>
      </c>
    </row>
    <row r="6" spans="1:2" x14ac:dyDescent="0.25">
      <c r="A6" s="69" t="s">
        <v>119</v>
      </c>
      <c r="B6" s="70">
        <f>'Customization &amp; Implementation'!D41</f>
        <v>0</v>
      </c>
    </row>
    <row r="7" spans="1:2" ht="13" x14ac:dyDescent="0.3">
      <c r="B7" s="71">
        <f>SUM(B2:B6)</f>
        <v>0</v>
      </c>
    </row>
    <row r="8" spans="1:2" x14ac:dyDescent="0.25">
      <c r="B8" s="70"/>
    </row>
    <row r="9" spans="1:2" ht="13" x14ac:dyDescent="0.3">
      <c r="A9" s="36" t="s">
        <v>120</v>
      </c>
      <c r="B9" s="71">
        <f>Software!F13</f>
        <v>0</v>
      </c>
    </row>
    <row r="10" spans="1:2" ht="13" x14ac:dyDescent="0.3">
      <c r="A10" s="36"/>
      <c r="B10" s="70"/>
    </row>
    <row r="11" spans="1:2" ht="13" x14ac:dyDescent="0.3">
      <c r="A11" s="36" t="s">
        <v>63</v>
      </c>
      <c r="B11" s="71" t="e">
        <f>#REF!</f>
        <v>#REF!</v>
      </c>
    </row>
    <row r="12" spans="1:2" ht="13" x14ac:dyDescent="0.3">
      <c r="A12" s="36"/>
      <c r="B12" s="70"/>
    </row>
    <row r="13" spans="1:2" ht="13" x14ac:dyDescent="0.3">
      <c r="A13" s="36" t="s">
        <v>121</v>
      </c>
      <c r="B13" s="70"/>
    </row>
    <row r="14" spans="1:2" x14ac:dyDescent="0.25">
      <c r="A14" s="69"/>
      <c r="B14" s="70">
        <f>'Customization &amp; Implementation'!D46</f>
        <v>0</v>
      </c>
    </row>
    <row r="15" spans="1:2" x14ac:dyDescent="0.25">
      <c r="A15" s="69"/>
      <c r="B15" s="70">
        <f>'Customization &amp; Implementation'!D45</f>
        <v>0</v>
      </c>
    </row>
    <row r="17" spans="2:2" ht="13" x14ac:dyDescent="0.3">
      <c r="B17" s="72" t="e">
        <f>SUM(B3:B15)</f>
        <v>#REF!</v>
      </c>
    </row>
  </sheetData>
  <sheetProtection password="9B69" sheet="1" objects="1" scenarios="1"/>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Infrastructure Description</vt:lpstr>
      <vt:lpstr>Software</vt:lpstr>
      <vt:lpstr>Not to Exceed</vt:lpstr>
      <vt:lpstr>Technical Support Staffing</vt:lpstr>
      <vt:lpstr>Training</vt:lpstr>
      <vt:lpstr>Customization &amp; Implementation</vt:lpstr>
      <vt:lpstr>Total Costs </vt:lpstr>
      <vt:lpstr>'Customization &amp; Implementation'!Print_Area</vt:lpstr>
      <vt:lpstr>'Infrastructure Description'!Print_Area</vt:lpstr>
      <vt:lpstr>'Not to Exceed'!Print_Area</vt:lpstr>
      <vt:lpstr>Software!Print_Area</vt:lpstr>
      <vt:lpstr>'Technical Support Staffing'!Print_Area</vt:lpstr>
      <vt:lpstr>Training!Print_Area</vt:lpstr>
      <vt:lpstr>Training!Print_Titles</vt:lpstr>
    </vt:vector>
  </TitlesOfParts>
  <Company>State of Wisconsin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Annalee Segal</dc:creator>
  <cp:lastModifiedBy>Carina Negreanu</cp:lastModifiedBy>
  <cp:lastPrinted>2002-10-29T18:04:39Z</cp:lastPrinted>
  <dcterms:created xsi:type="dcterms:W3CDTF">2002-01-22T18:15:56Z</dcterms:created>
  <dcterms:modified xsi:type="dcterms:W3CDTF">2020-01-27T11:31:05Z</dcterms:modified>
</cp:coreProperties>
</file>