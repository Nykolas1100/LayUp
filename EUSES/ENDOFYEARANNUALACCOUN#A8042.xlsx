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BB6229C-55F4-4D9B-AA97-CDA59736077A}" xr6:coauthVersionLast="45" xr6:coauthVersionMax="45" xr10:uidLastSave="{00000000-0000-0000-0000-000000000000}"/>
  <bookViews>
    <workbookView xWindow="1900" yWindow="1900" windowWidth="28800" windowHeight="15460"/>
  </bookViews>
  <sheets>
    <sheet name="Mar03" sheetId="1" r:id="rId1"/>
  </sheets>
  <definedNames>
    <definedName name="_xlnm.Print_Area" localSheetId="0">'Mar03'!$A$1:$J$322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1" i="1" l="1"/>
  <c r="I13" i="1"/>
  <c r="I16" i="1"/>
  <c r="A21" i="1"/>
  <c r="J21" i="1"/>
  <c r="K21" i="1" s="1"/>
  <c r="A33" i="1"/>
  <c r="A35" i="1"/>
  <c r="I50" i="1"/>
  <c r="J56" i="1" s="1"/>
  <c r="I51" i="1"/>
  <c r="I52" i="1"/>
  <c r="I54" i="1"/>
  <c r="A56" i="1"/>
  <c r="A61" i="1" s="1"/>
  <c r="A75" i="1" s="1"/>
  <c r="A77" i="1" s="1"/>
  <c r="J59" i="1"/>
  <c r="I66" i="1"/>
  <c r="I68" i="1"/>
  <c r="I71" i="1"/>
  <c r="A73" i="1"/>
  <c r="J73" i="1"/>
  <c r="K73" i="1" s="1"/>
  <c r="I99" i="1"/>
  <c r="A104" i="1"/>
  <c r="F186" i="1"/>
  <c r="F198" i="1"/>
  <c r="G206" i="1"/>
  <c r="G208" i="1"/>
  <c r="G209" i="1"/>
  <c r="G210" i="1"/>
  <c r="G211" i="1"/>
  <c r="I211" i="1"/>
  <c r="H217" i="1"/>
  <c r="H219" i="1" s="1"/>
  <c r="H218" i="1"/>
  <c r="D219" i="1"/>
  <c r="E219" i="1"/>
  <c r="F219" i="1"/>
  <c r="J219" i="1"/>
  <c r="G233" i="1"/>
  <c r="I233" i="1"/>
  <c r="G244" i="1"/>
  <c r="G246" i="1"/>
  <c r="I248" i="1"/>
  <c r="G255" i="1"/>
  <c r="I28" i="1" s="1"/>
  <c r="I255" i="1"/>
  <c r="G261" i="1"/>
  <c r="G266" i="1"/>
  <c r="G269" i="1"/>
  <c r="I270" i="1"/>
  <c r="G281" i="1"/>
  <c r="G293" i="1"/>
  <c r="G247" i="1" s="1"/>
  <c r="G248" i="1" s="1"/>
  <c r="I27" i="1" s="1"/>
  <c r="I293" i="1"/>
  <c r="G299" i="1"/>
  <c r="H299" i="1" s="1"/>
  <c r="H305" i="1" s="1"/>
  <c r="I312" i="1" s="1"/>
  <c r="G300" i="1"/>
  <c r="H300" i="1"/>
  <c r="G301" i="1"/>
  <c r="H301" i="1"/>
  <c r="G302" i="1"/>
  <c r="H302" i="1"/>
  <c r="G303" i="1"/>
  <c r="H303" i="1"/>
  <c r="G304" i="1"/>
  <c r="H304" i="1"/>
  <c r="D305" i="1"/>
  <c r="E305" i="1"/>
  <c r="F305" i="1"/>
  <c r="I30" i="1" s="1"/>
  <c r="G305" i="1"/>
  <c r="H308" i="1"/>
  <c r="H312" i="1"/>
  <c r="K56" i="1" l="1"/>
  <c r="J61" i="1"/>
  <c r="G268" i="1"/>
  <c r="G270" i="1" s="1"/>
  <c r="I29" i="1" s="1"/>
  <c r="J33" i="1" s="1"/>
  <c r="K33" i="1" l="1"/>
  <c r="K35" i="1" s="1"/>
  <c r="J35" i="1"/>
  <c r="I101" i="1" s="1"/>
  <c r="I103" i="1" s="1"/>
  <c r="I104" i="1" s="1"/>
  <c r="K61" i="1"/>
  <c r="K75" i="1" s="1"/>
  <c r="J75" i="1"/>
  <c r="J77" i="1" s="1"/>
  <c r="K77" i="1" l="1"/>
  <c r="L75" i="1"/>
  <c r="K101" i="1"/>
  <c r="K104" i="1" s="1"/>
  <c r="L35" i="1"/>
</calcChain>
</file>

<file path=xl/sharedStrings.xml><?xml version="1.0" encoding="utf-8"?>
<sst xmlns="http://schemas.openxmlformats.org/spreadsheetml/2006/main" count="259" uniqueCount="198">
  <si>
    <t>PUBLIC HEALTH ASSOCIATION OF NEW ZEALAND INC</t>
  </si>
  <si>
    <t>Notes</t>
  </si>
  <si>
    <t>$</t>
  </si>
  <si>
    <t>Subscriptions</t>
  </si>
  <si>
    <t>Conference Income</t>
  </si>
  <si>
    <t>Interest Income</t>
  </si>
  <si>
    <t>Newsletter Inserts/Advertising</t>
  </si>
  <si>
    <t>Sundry Income</t>
  </si>
  <si>
    <t>5</t>
  </si>
  <si>
    <t>The notes to the financial statements form part of and are to be</t>
  </si>
  <si>
    <t>read in conjunction with these accounts.</t>
  </si>
  <si>
    <t>STATEMENT OF FINANCIAL POSITION</t>
  </si>
  <si>
    <t>Petty Cash</t>
  </si>
  <si>
    <t>ANZ Banking Group</t>
  </si>
  <si>
    <t>Short Term Deposits</t>
  </si>
  <si>
    <t>2</t>
  </si>
  <si>
    <t>PHA Branch Bank Accounts</t>
  </si>
  <si>
    <t>3</t>
  </si>
  <si>
    <t>Accounts Receivable</t>
  </si>
  <si>
    <t>4</t>
  </si>
  <si>
    <t>Accrued Expenses</t>
  </si>
  <si>
    <t>Accounts Payable</t>
  </si>
  <si>
    <t>STATEMENT OF MOVEMENT IN EQUITY</t>
  </si>
  <si>
    <t>Net Surplus for the year</t>
  </si>
  <si>
    <t>Total Recognised Revenues and Expenses for year</t>
  </si>
  <si>
    <t>Accumulated funds at end of year</t>
  </si>
  <si>
    <t>NOTES TO THE FINANCIAL STATEMENTS</t>
  </si>
  <si>
    <t xml:space="preserve">The organisation is registered under the Incorporated Societies Act 1908 </t>
  </si>
  <si>
    <t>These financial statements are general purpose financial statements and have been prepared</t>
  </si>
  <si>
    <t>in accordance with generally accepted accounting practice.</t>
  </si>
  <si>
    <t>The accounting principles recognised as appropriate for the measurement and reporting of</t>
  </si>
  <si>
    <t>earnings and financial position on a historical cost basis are followed in these financial statements.</t>
  </si>
  <si>
    <t>The following specific accounting policies which materially affect the measurement of financial</t>
  </si>
  <si>
    <t>performance and financial position have been applied.</t>
  </si>
  <si>
    <t>a)</t>
  </si>
  <si>
    <t>Depreciation</t>
  </si>
  <si>
    <t>Depreciation is provided on all fixed assets on a straight line basis over their</t>
  </si>
  <si>
    <t>estimated economic lives.</t>
  </si>
  <si>
    <t>Estimated economic lives are:</t>
  </si>
  <si>
    <t>Office Furniture &amp; Fixtures</t>
  </si>
  <si>
    <t>5 years</t>
  </si>
  <si>
    <t xml:space="preserve">               1992 onwards over</t>
  </si>
  <si>
    <t>4 years</t>
  </si>
  <si>
    <t>Office Equipment</t>
  </si>
  <si>
    <t>b)</t>
  </si>
  <si>
    <t>Valuation of Fixed Assets</t>
  </si>
  <si>
    <t>Fixed assets are recorded at original cost less accumulated depreciation.</t>
  </si>
  <si>
    <t>c)</t>
  </si>
  <si>
    <t>Accounts receivable are recorded at their estimated net realisable value.</t>
  </si>
  <si>
    <t>d)</t>
  </si>
  <si>
    <t>GST</t>
  </si>
  <si>
    <t>The financial statements have been prepared on a GST exclusive basis.</t>
  </si>
  <si>
    <t>e)</t>
  </si>
  <si>
    <t>Subscription Income</t>
  </si>
  <si>
    <t>f)</t>
  </si>
  <si>
    <t>Taxation</t>
  </si>
  <si>
    <t>No taxation has been provided for in these financial statements as the organisation is</t>
  </si>
  <si>
    <t>g)</t>
  </si>
  <si>
    <t>Differential Reporting</t>
  </si>
  <si>
    <t>The organisation is not publicly accountable and is small under defined criteria.  It therefore</t>
  </si>
  <si>
    <t>qualifies for differential reporting in respect of accounting standards, and all appropriate</t>
  </si>
  <si>
    <t>exemptions have been applied.</t>
  </si>
  <si>
    <t>Institution</t>
  </si>
  <si>
    <t>Amount</t>
  </si>
  <si>
    <t xml:space="preserve">Maturity </t>
  </si>
  <si>
    <t>Interest</t>
  </si>
  <si>
    <t>Date</t>
  </si>
  <si>
    <t>Rate</t>
  </si>
  <si>
    <t>Westpac Trust</t>
  </si>
  <si>
    <t>ANZ Banking Corporation</t>
  </si>
  <si>
    <t>The PHA branches are not incorporated societies in their own right.  Accordingly</t>
  </si>
  <si>
    <t>Canterbury PHA</t>
  </si>
  <si>
    <t>Wellington PHA</t>
  </si>
  <si>
    <t>Net Book</t>
  </si>
  <si>
    <t>Office Furniture</t>
  </si>
  <si>
    <t xml:space="preserve">       &amp; Fixtures</t>
  </si>
  <si>
    <t>Provision for Current Year's Audit</t>
  </si>
  <si>
    <t>Less Provision in previous years</t>
  </si>
  <si>
    <t>Rent</t>
  </si>
  <si>
    <t>Insurance</t>
  </si>
  <si>
    <t>Auckland PHA</t>
  </si>
  <si>
    <t xml:space="preserve">Waikato PHA </t>
  </si>
  <si>
    <t>Manawatu/Wanganui PHA</t>
  </si>
  <si>
    <t>STATEMENT OF FINANCIAL PERFORMANCE</t>
  </si>
  <si>
    <t>ANZ Cheque</t>
  </si>
  <si>
    <t>exempt from taxation under section CB4(1)(c) of the Income Tax Act 1994.</t>
  </si>
  <si>
    <t>2.5 - 5 years</t>
  </si>
  <si>
    <t>Income Received by Branches</t>
  </si>
  <si>
    <t>Operational Expenses</t>
  </si>
  <si>
    <t>Branch Expenditure</t>
  </si>
  <si>
    <t>Director Contract</t>
  </si>
  <si>
    <t>Director Training</t>
  </si>
  <si>
    <t>Advocacy Liaison - Director</t>
  </si>
  <si>
    <t>Advocacy Liaison - Executive</t>
  </si>
  <si>
    <t>Office Overheads (50%)</t>
  </si>
  <si>
    <t>ACC</t>
  </si>
  <si>
    <t>Maori Caucus</t>
  </si>
  <si>
    <t>Staff Training</t>
  </si>
  <si>
    <t>Accounting</t>
  </si>
  <si>
    <t>Audit Fees</t>
  </si>
  <si>
    <t>Postage, Couriers</t>
  </si>
  <si>
    <t>Power</t>
  </si>
  <si>
    <t>Printing &amp; Photocopying</t>
  </si>
  <si>
    <t>Stationery</t>
  </si>
  <si>
    <t>Telephone/Fax/Internet</t>
  </si>
  <si>
    <t xml:space="preserve">Otago PHA </t>
  </si>
  <si>
    <t>Staff Travel/Accommodation</t>
  </si>
  <si>
    <t>Communications (Newsletter, Web)</t>
  </si>
  <si>
    <t>Income</t>
  </si>
  <si>
    <t>Expenses</t>
  </si>
  <si>
    <t>Surplus</t>
  </si>
  <si>
    <t>(Deficit)</t>
  </si>
  <si>
    <t>Beginning</t>
  </si>
  <si>
    <t>Funds</t>
  </si>
  <si>
    <t>Ending</t>
  </si>
  <si>
    <t>Total Income</t>
  </si>
  <si>
    <t>Less Expenses</t>
  </si>
  <si>
    <t>Total Expenditure</t>
  </si>
  <si>
    <t>Current Assets</t>
  </si>
  <si>
    <t>Total Current Assets</t>
  </si>
  <si>
    <t>Fixed Assets</t>
  </si>
  <si>
    <t>Total Assets</t>
  </si>
  <si>
    <t>Less Current Liabilities</t>
  </si>
  <si>
    <t>Total Current Liabilities</t>
  </si>
  <si>
    <t>Net Assets</t>
  </si>
  <si>
    <t>1.  Statement Of General Accounting Policies</t>
  </si>
  <si>
    <t>Reporting Entity</t>
  </si>
  <si>
    <t>Measurement Base</t>
  </si>
  <si>
    <t>Specific Accounting Policies</t>
  </si>
  <si>
    <t>Change in Accounting Policies</t>
  </si>
  <si>
    <t>basis with those used in previous years.</t>
  </si>
  <si>
    <t xml:space="preserve">No changes in accounting policies have occurred during the year. Some expenditure has been regrouped </t>
  </si>
  <si>
    <t>and comparitive figures have been changed accordingly.  All policies have been applied on a consistent</t>
  </si>
  <si>
    <t>2.  ANZ Bank Accounts</t>
  </si>
  <si>
    <t>3.  Short Term Deposits</t>
  </si>
  <si>
    <t>5.  Fixed Assets</t>
  </si>
  <si>
    <t>Cost</t>
  </si>
  <si>
    <t>6.  Audit Fees</t>
  </si>
  <si>
    <t>Accumulated</t>
  </si>
  <si>
    <t>Disposals</t>
  </si>
  <si>
    <t>Sales</t>
  </si>
  <si>
    <t>Subscriptions from members are recognised as income when received.</t>
  </si>
  <si>
    <t>Public Health Sector Project</t>
  </si>
  <si>
    <t>Sales - Publications</t>
  </si>
  <si>
    <t>Public Health Sector Project Provision</t>
  </si>
  <si>
    <t>ANZ Serious Saver</t>
  </si>
  <si>
    <t>Less Contribution PHSP</t>
  </si>
  <si>
    <t>9.  PHA Operations</t>
  </si>
  <si>
    <t>10. Office Overheads</t>
  </si>
  <si>
    <t>8.  Public Health Sector Project</t>
  </si>
  <si>
    <t>PHA Staff Costs</t>
  </si>
  <si>
    <t>Manawatu/Wang. PHA</t>
  </si>
  <si>
    <t xml:space="preserve">Otago PHA  </t>
  </si>
  <si>
    <t>GST Payable (incl Branches)</t>
  </si>
  <si>
    <t>the funds held by these branches are incorporated into PHA National</t>
  </si>
  <si>
    <t xml:space="preserve">Financial Statements. </t>
  </si>
  <si>
    <t>4.  PHA Branch Bank Funds Held</t>
  </si>
  <si>
    <t>Funds*</t>
  </si>
  <si>
    <t>* Branch Financial Position</t>
  </si>
  <si>
    <t>Bank Accounts</t>
  </si>
  <si>
    <t>Total</t>
  </si>
  <si>
    <t>Equity</t>
  </si>
  <si>
    <t>Accumulated Funds at beginning of year</t>
  </si>
  <si>
    <t>PHA  Administration</t>
  </si>
  <si>
    <t>PHA President</t>
  </si>
  <si>
    <t>2002</t>
  </si>
  <si>
    <t>Val. 31.3.02</t>
  </si>
  <si>
    <t>Managers Salary (30%)</t>
  </si>
  <si>
    <t>Subcommittees (Pol/Comm)</t>
  </si>
  <si>
    <t>Treaty Hui</t>
  </si>
  <si>
    <t>Council/Exec Mtg Exps (30%)</t>
  </si>
  <si>
    <t>Network Meetings/Costs</t>
  </si>
  <si>
    <t>Council/Executive Meetings (70%)</t>
  </si>
  <si>
    <t>Manager Salary (70%)</t>
  </si>
  <si>
    <t>Subcommittees (HQ/Funding)</t>
  </si>
  <si>
    <t>Contract Fees</t>
  </si>
  <si>
    <t>Bad Debts</t>
  </si>
  <si>
    <t>General</t>
  </si>
  <si>
    <t>Check</t>
  </si>
  <si>
    <t>Add (Less) movement in provision</t>
  </si>
  <si>
    <t>PHA Branch Receivables</t>
  </si>
  <si>
    <t>MoH Advocacy Contract</t>
  </si>
  <si>
    <t>MoH Advocacy Contract Expenses</t>
  </si>
  <si>
    <t>7.  MoH Public Health and Advocacy</t>
  </si>
  <si>
    <t>11.  PHA Branch Activity for the Year ended 31 March 2003</t>
  </si>
  <si>
    <t>For the year ended 31 March 2003</t>
  </si>
  <si>
    <t>2003</t>
  </si>
  <si>
    <t>As At 31 March 2003</t>
  </si>
  <si>
    <t>Provision for Conference 2003</t>
  </si>
  <si>
    <t>Grants</t>
  </si>
  <si>
    <t>Val. 31.3.03</t>
  </si>
  <si>
    <t>Media Contracts</t>
  </si>
  <si>
    <t>Conference (Exec/Staff Exps/Planning)</t>
  </si>
  <si>
    <t>Gen,BFs,CC Comm</t>
  </si>
  <si>
    <t>Acrued Interest</t>
  </si>
  <si>
    <t>GST Payable</t>
  </si>
  <si>
    <t>Public Health National Forum</t>
  </si>
  <si>
    <t>Audit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</si>
</sst>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75" formatCode="_(* #,##0_);_(* \(#,##0\);_(* &quot;-&quot;_);_(@_)"/>
    <numFmt numFmtId="176" formatCode="_(&quot;$&quot;* #,##0.00_);_(&quot;$&quot;* \(#,##0.00\);_(&quot;$&quot;* &quot;-&quot;??_);_(@_)"/>
    <numFmt numFmtId="177" formatCode="_(* #,##0.00_);_(* \(#,##0.00\);_(* &quot;-&quot;??_);_(@_)"/>
    <numFmt numFmtId="179" formatCode="_(* #,##0_);_(* \(#,##0\);_(* &quot;-&quot;??_);_(@_)"/>
    <numFmt numFmtId="182" formatCode="_(&quot;$&quot;* #,##0_);_(&quot;$&quot;* \(#,##0\);_(&quot;$&quot;* &quot;-&quot;??_);_(@_)"/>
  </numFmts>
  <fonts count="16" x14ac:knownFonts="1">
    <font>
      <sz val="10"/>
      <name val="Times New Roman"/>
    </font>
    <font>
      <b/>
      <sz val="10"/>
      <name val="Times New Roman"/>
    </font>
    <font>
      <sz val="10"/>
      <name val="Times New Roman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b/>
      <u/>
      <sz val="10"/>
      <name val="Times New Roman"/>
    </font>
    <font>
      <sz val="10"/>
      <color indexed="10"/>
      <name val="Times New Roman"/>
      <family val="1"/>
    </font>
    <font>
      <sz val="8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i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ashDot">
        <color indexed="64"/>
      </bottom>
      <diagonal/>
    </border>
  </borders>
  <cellStyleXfs count="4">
    <xf numFmtId="0" fontId="0" fillId="0" borderId="0"/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6">
    <xf numFmtId="0" fontId="0" fillId="0" borderId="0" xfId="0"/>
    <xf numFmtId="179" fontId="3" fillId="0" borderId="0" xfId="1" applyNumberFormat="1" applyFont="1" applyAlignment="1">
      <alignment horizontal="centerContinuous"/>
    </xf>
    <xf numFmtId="179" fontId="4" fillId="0" borderId="0" xfId="1" applyNumberFormat="1" applyFont="1" applyAlignment="1">
      <alignment horizontal="centerContinuous"/>
    </xf>
    <xf numFmtId="179" fontId="3" fillId="0" borderId="0" xfId="1" quotePrefix="1" applyNumberFormat="1" applyFont="1" applyAlignment="1">
      <alignment horizontal="center"/>
    </xf>
    <xf numFmtId="179" fontId="3" fillId="0" borderId="0" xfId="1" quotePrefix="1" applyNumberFormat="1" applyFont="1"/>
    <xf numFmtId="179" fontId="3" fillId="0" borderId="0" xfId="1" applyNumberFormat="1" applyFont="1"/>
    <xf numFmtId="179" fontId="3" fillId="0" borderId="0" xfId="1" applyNumberFormat="1" applyFont="1" applyBorder="1" applyAlignment="1">
      <alignment horizontal="center"/>
    </xf>
    <xf numFmtId="179" fontId="3" fillId="0" borderId="0" xfId="1" quotePrefix="1" applyNumberFormat="1" applyFont="1" applyAlignment="1">
      <alignment horizontal="centerContinuous"/>
    </xf>
    <xf numFmtId="179" fontId="2" fillId="0" borderId="0" xfId="1" quotePrefix="1" applyNumberFormat="1" applyAlignment="1">
      <alignment horizontal="center"/>
    </xf>
    <xf numFmtId="179" fontId="2" fillId="0" borderId="0" xfId="1" applyNumberFormat="1" applyAlignment="1">
      <alignment horizontal="center"/>
    </xf>
    <xf numFmtId="179" fontId="2" fillId="0" borderId="0" xfId="1" applyNumberFormat="1"/>
    <xf numFmtId="179" fontId="2" fillId="0" borderId="0" xfId="1" applyNumberFormat="1" applyFont="1"/>
    <xf numFmtId="179" fontId="2" fillId="0" borderId="1" xfId="1" applyNumberFormat="1" applyBorder="1"/>
    <xf numFmtId="179" fontId="1" fillId="0" borderId="0" xfId="1" applyNumberFormat="1" applyFont="1"/>
    <xf numFmtId="179" fontId="2" fillId="0" borderId="0" xfId="1" quotePrefix="1" applyNumberFormat="1" applyFont="1" applyAlignment="1">
      <alignment horizontal="center"/>
    </xf>
    <xf numFmtId="179" fontId="5" fillId="0" borderId="0" xfId="1" applyNumberFormat="1" applyFont="1"/>
    <xf numFmtId="182" fontId="2" fillId="0" borderId="2" xfId="2" applyNumberFormat="1" applyBorder="1"/>
    <xf numFmtId="179" fontId="2" fillId="0" borderId="0" xfId="1" applyNumberFormat="1" applyAlignment="1">
      <alignment horizontal="centerContinuous"/>
    </xf>
    <xf numFmtId="179" fontId="6" fillId="0" borderId="0" xfId="1" applyNumberFormat="1" applyFont="1"/>
    <xf numFmtId="0" fontId="0" fillId="0" borderId="0" xfId="0" applyAlignment="1">
      <alignment horizontal="centerContinuous"/>
    </xf>
    <xf numFmtId="179" fontId="2" fillId="0" borderId="0" xfId="1" applyNumberFormat="1" applyFont="1" applyAlignment="1">
      <alignment horizontal="centerContinuous"/>
    </xf>
    <xf numFmtId="17" fontId="1" fillId="0" borderId="0" xfId="1" quotePrefix="1" applyNumberFormat="1" applyFont="1" applyAlignment="1">
      <alignment horizontal="center"/>
    </xf>
    <xf numFmtId="182" fontId="2" fillId="0" borderId="0" xfId="2" applyNumberFormat="1" applyBorder="1"/>
    <xf numFmtId="179" fontId="2" fillId="0" borderId="0" xfId="1" applyNumberFormat="1" applyBorder="1"/>
    <xf numFmtId="179" fontId="7" fillId="0" borderId="0" xfId="1" applyNumberFormat="1" applyFont="1" applyBorder="1"/>
    <xf numFmtId="175" fontId="2" fillId="0" borderId="0" xfId="1" applyNumberFormat="1" applyBorder="1"/>
    <xf numFmtId="175" fontId="2" fillId="0" borderId="0" xfId="2" applyNumberFormat="1" applyBorder="1"/>
    <xf numFmtId="175" fontId="2" fillId="0" borderId="0" xfId="1" applyNumberFormat="1"/>
    <xf numFmtId="175" fontId="2" fillId="0" borderId="2" xfId="1" applyNumberFormat="1" applyBorder="1"/>
    <xf numFmtId="0" fontId="7" fillId="0" borderId="0" xfId="0" applyFont="1"/>
    <xf numFmtId="179" fontId="7" fillId="0" borderId="0" xfId="1" applyNumberFormat="1" applyFont="1"/>
    <xf numFmtId="179" fontId="2" fillId="0" borderId="0" xfId="1" quotePrefix="1" applyNumberFormat="1" applyFont="1"/>
    <xf numFmtId="179" fontId="3" fillId="0" borderId="0" xfId="1" applyNumberFormat="1" applyFont="1" applyAlignment="1">
      <alignment horizontal="left"/>
    </xf>
    <xf numFmtId="179" fontId="3" fillId="0" borderId="0" xfId="1" applyNumberFormat="1" applyFont="1" applyAlignment="1">
      <alignment horizontal="center"/>
    </xf>
    <xf numFmtId="15" fontId="2" fillId="0" borderId="0" xfId="1" applyNumberFormat="1"/>
    <xf numFmtId="10" fontId="2" fillId="0" borderId="0" xfId="3" applyNumberFormat="1"/>
    <xf numFmtId="15" fontId="2" fillId="0" borderId="0" xfId="1" applyNumberFormat="1" applyFont="1" applyAlignment="1">
      <alignment horizontal="right"/>
    </xf>
    <xf numFmtId="14" fontId="2" fillId="0" borderId="0" xfId="1" applyNumberFormat="1"/>
    <xf numFmtId="179" fontId="2" fillId="0" borderId="1" xfId="1" quotePrefix="1" applyNumberFormat="1" applyFont="1" applyBorder="1"/>
    <xf numFmtId="179" fontId="2" fillId="0" borderId="2" xfId="1" applyNumberFormat="1" applyBorder="1"/>
    <xf numFmtId="179" fontId="0" fillId="0" borderId="0" xfId="0" applyNumberFormat="1"/>
    <xf numFmtId="182" fontId="2" fillId="0" borderId="2" xfId="1" applyNumberFormat="1" applyBorder="1"/>
    <xf numFmtId="182" fontId="8" fillId="0" borderId="0" xfId="2" applyNumberFormat="1" applyFont="1" applyBorder="1"/>
    <xf numFmtId="179" fontId="2" fillId="0" borderId="0" xfId="3" applyNumberFormat="1"/>
    <xf numFmtId="182" fontId="2" fillId="0" borderId="0" xfId="1" applyNumberFormat="1"/>
    <xf numFmtId="49" fontId="2" fillId="0" borderId="0" xfId="1" applyNumberFormat="1" applyFont="1" applyAlignment="1">
      <alignment horizontal="center"/>
    </xf>
    <xf numFmtId="179" fontId="2" fillId="0" borderId="0" xfId="1" applyNumberFormat="1" applyFont="1" applyAlignment="1">
      <alignment horizontal="center"/>
    </xf>
    <xf numFmtId="177" fontId="2" fillId="0" borderId="0" xfId="1" applyNumberFormat="1" applyAlignment="1">
      <alignment horizontal="left"/>
    </xf>
    <xf numFmtId="179" fontId="2" fillId="0" borderId="3" xfId="1" applyNumberFormat="1" applyBorder="1"/>
    <xf numFmtId="0" fontId="2" fillId="0" borderId="0" xfId="1" applyNumberFormat="1" applyAlignment="1">
      <alignment horizontal="center"/>
    </xf>
    <xf numFmtId="0" fontId="5" fillId="0" borderId="0" xfId="1" applyNumberFormat="1" applyFont="1" applyAlignment="1"/>
    <xf numFmtId="0" fontId="5" fillId="0" borderId="0" xfId="1" applyNumberFormat="1" applyFont="1" applyAlignment="1">
      <alignment horizontal="center"/>
    </xf>
    <xf numFmtId="0" fontId="2" fillId="0" borderId="0" xfId="1" applyNumberFormat="1" applyBorder="1" applyAlignment="1">
      <alignment horizontal="center"/>
    </xf>
    <xf numFmtId="179" fontId="10" fillId="0" borderId="0" xfId="1" applyNumberFormat="1" applyFont="1" applyAlignment="1">
      <alignment horizontal="centerContinuous"/>
    </xf>
    <xf numFmtId="179" fontId="11" fillId="0" borderId="0" xfId="1" applyNumberFormat="1" applyFont="1"/>
    <xf numFmtId="179" fontId="12" fillId="0" borderId="0" xfId="1" applyNumberFormat="1" applyFont="1" applyAlignment="1">
      <alignment horizontal="center"/>
    </xf>
    <xf numFmtId="179" fontId="12" fillId="0" borderId="0" xfId="1" applyNumberFormat="1" applyFont="1"/>
    <xf numFmtId="179" fontId="12" fillId="0" borderId="0" xfId="1" applyNumberFormat="1" applyFont="1" applyAlignment="1">
      <alignment horizontal="centerContinuous"/>
    </xf>
    <xf numFmtId="179" fontId="11" fillId="0" borderId="0" xfId="1" applyNumberFormat="1" applyFont="1" applyAlignment="1">
      <alignment horizontal="centerContinuous"/>
    </xf>
    <xf numFmtId="179" fontId="10" fillId="0" borderId="0" xfId="1" applyNumberFormat="1" applyFont="1"/>
    <xf numFmtId="0" fontId="10" fillId="0" borderId="0" xfId="0" applyFont="1"/>
    <xf numFmtId="179" fontId="5" fillId="0" borderId="0" xfId="1" applyNumberFormat="1" applyFont="1" applyBorder="1"/>
    <xf numFmtId="179" fontId="5" fillId="0" borderId="0" xfId="1" quotePrefix="1" applyNumberFormat="1" applyFont="1"/>
    <xf numFmtId="182" fontId="2" fillId="0" borderId="0" xfId="1" applyNumberFormat="1" applyBorder="1"/>
    <xf numFmtId="179" fontId="13" fillId="0" borderId="0" xfId="1" applyNumberFormat="1" applyFont="1" applyAlignment="1">
      <alignment horizontal="center"/>
    </xf>
    <xf numFmtId="179" fontId="13" fillId="0" borderId="1" xfId="1" applyNumberFormat="1" applyFont="1" applyBorder="1" applyAlignment="1">
      <alignment horizontal="center"/>
    </xf>
    <xf numFmtId="179" fontId="13" fillId="0" borderId="1" xfId="1" applyNumberFormat="1" applyFont="1" applyBorder="1"/>
    <xf numFmtId="179" fontId="14" fillId="0" borderId="0" xfId="1" applyNumberFormat="1" applyFont="1" applyAlignment="1">
      <alignment horizontal="center"/>
    </xf>
    <xf numFmtId="179" fontId="14" fillId="0" borderId="0" xfId="1" applyNumberFormat="1" applyFont="1" applyAlignment="1">
      <alignment horizontal="left"/>
    </xf>
    <xf numFmtId="0" fontId="13" fillId="0" borderId="0" xfId="0" applyFont="1"/>
    <xf numFmtId="179" fontId="14" fillId="0" borderId="0" xfId="1" applyNumberFormat="1" applyFont="1"/>
    <xf numFmtId="179" fontId="9" fillId="0" borderId="0" xfId="1" applyNumberFormat="1" applyFont="1" applyBorder="1"/>
    <xf numFmtId="179" fontId="15" fillId="0" borderId="0" xfId="1" applyNumberFormat="1" applyFont="1"/>
    <xf numFmtId="179" fontId="15" fillId="0" borderId="3" xfId="1" applyNumberFormat="1" applyFont="1" applyBorder="1"/>
    <xf numFmtId="175" fontId="2" fillId="0" borderId="0" xfId="1" applyNumberFormat="1" applyFont="1" applyBorder="1"/>
    <xf numFmtId="179" fontId="5" fillId="0" borderId="4" xfId="1" applyNumberFormat="1" applyFont="1" applyBorder="1"/>
    <xf numFmtId="179" fontId="2" fillId="0" borderId="4" xfId="1" applyNumberFormat="1" applyBorder="1"/>
    <xf numFmtId="175" fontId="2" fillId="0" borderId="4" xfId="1" applyNumberFormat="1" applyBorder="1"/>
    <xf numFmtId="0" fontId="0" fillId="2" borderId="0" xfId="0" applyFill="1"/>
    <xf numFmtId="179" fontId="0" fillId="2" borderId="0" xfId="0" applyNumberFormat="1" applyFill="1"/>
    <xf numFmtId="43" fontId="0" fillId="2" borderId="0" xfId="0" applyNumberFormat="1" applyFill="1"/>
    <xf numFmtId="179" fontId="7" fillId="2" borderId="0" xfId="1" applyNumberFormat="1" applyFont="1" applyFill="1"/>
    <xf numFmtId="0" fontId="7" fillId="2" borderId="0" xfId="0" applyFont="1" applyFill="1"/>
    <xf numFmtId="179" fontId="2" fillId="2" borderId="0" xfId="1" applyNumberFormat="1" applyFill="1"/>
    <xf numFmtId="179" fontId="3" fillId="0" borderId="0" xfId="1" applyNumberFormat="1" applyFont="1" applyAlignment="1">
      <alignment horizontal="center"/>
    </xf>
    <xf numFmtId="179" fontId="2" fillId="0" borderId="0" xfId="1" applyNumberForma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2"/>
  <sheetViews>
    <sheetView tabSelected="1" topLeftCell="A43" workbookViewId="0">
      <selection activeCell="E316" sqref="E316"/>
    </sheetView>
  </sheetViews>
  <sheetFormatPr defaultRowHeight="14" x14ac:dyDescent="0.3"/>
  <cols>
    <col min="1" max="1" width="11.19921875" style="10" customWidth="1"/>
    <col min="2" max="2" width="6.296875" style="10" customWidth="1"/>
    <col min="3" max="3" width="6" style="56" customWidth="1"/>
    <col min="4" max="4" width="9.296875" style="10" customWidth="1"/>
    <col min="5" max="5" width="10.19921875" style="10" customWidth="1"/>
    <col min="6" max="6" width="9.69921875" style="10" customWidth="1"/>
    <col min="7" max="7" width="13" style="10" customWidth="1"/>
    <col min="8" max="8" width="10.796875" style="10" customWidth="1"/>
    <col min="9" max="9" width="10.5" style="10" customWidth="1"/>
    <col min="10" max="10" width="11.19921875" style="10" customWidth="1"/>
    <col min="11" max="11" width="11.5" style="78" bestFit="1" customWidth="1"/>
    <col min="12" max="13" width="9.296875" style="78" customWidth="1"/>
  </cols>
  <sheetData>
    <row r="1" spans="1:10" ht="18" customHeight="1" x14ac:dyDescent="0.3">
      <c r="A1" s="1" t="s">
        <v>0</v>
      </c>
      <c r="B1" s="2"/>
      <c r="C1" s="53"/>
      <c r="D1" s="2"/>
      <c r="E1" s="2"/>
      <c r="F1" s="2"/>
      <c r="G1" s="2"/>
      <c r="H1" s="2"/>
      <c r="I1" s="2"/>
      <c r="J1" s="2"/>
    </row>
    <row r="2" spans="1:10" ht="18" customHeight="1" x14ac:dyDescent="0.3">
      <c r="A2" s="1" t="s">
        <v>83</v>
      </c>
      <c r="B2" s="2"/>
      <c r="C2" s="53"/>
      <c r="D2" s="2"/>
      <c r="E2" s="2"/>
      <c r="F2" s="2"/>
      <c r="G2" s="2"/>
      <c r="H2" s="2"/>
      <c r="I2" s="2"/>
      <c r="J2" s="2"/>
    </row>
    <row r="3" spans="1:10" ht="18" customHeight="1" x14ac:dyDescent="0.3">
      <c r="A3" s="1" t="s">
        <v>185</v>
      </c>
      <c r="B3" s="2"/>
      <c r="C3" s="53"/>
      <c r="D3" s="2"/>
      <c r="E3" s="2"/>
      <c r="F3" s="2"/>
      <c r="G3" s="2"/>
      <c r="H3" s="2"/>
      <c r="I3" s="2"/>
      <c r="J3" s="2"/>
    </row>
    <row r="5" spans="1:10" x14ac:dyDescent="0.3">
      <c r="A5" s="21" t="s">
        <v>165</v>
      </c>
      <c r="B5" s="4"/>
      <c r="C5" s="54"/>
      <c r="D5" s="5"/>
      <c r="E5" s="5"/>
      <c r="F5" s="5"/>
      <c r="G5" s="5"/>
      <c r="H5" s="6" t="s">
        <v>1</v>
      </c>
      <c r="I5" s="7" t="s">
        <v>186</v>
      </c>
      <c r="J5" s="1"/>
    </row>
    <row r="6" spans="1:10" x14ac:dyDescent="0.3">
      <c r="A6" s="8" t="s">
        <v>2</v>
      </c>
      <c r="B6" s="8"/>
      <c r="C6" s="55"/>
      <c r="D6" s="9"/>
      <c r="E6" s="9"/>
      <c r="F6" s="9"/>
      <c r="G6" s="9"/>
      <c r="H6" s="9"/>
      <c r="I6" s="8" t="s">
        <v>2</v>
      </c>
      <c r="J6" s="8" t="s">
        <v>2</v>
      </c>
    </row>
    <row r="7" spans="1:10" x14ac:dyDescent="0.3">
      <c r="C7" s="54" t="s">
        <v>108</v>
      </c>
    </row>
    <row r="9" spans="1:10" x14ac:dyDescent="0.3">
      <c r="A9" s="10">
        <v>213750</v>
      </c>
      <c r="D9" s="11" t="s">
        <v>181</v>
      </c>
      <c r="H9" s="45"/>
      <c r="I9" s="10">
        <v>216250</v>
      </c>
    </row>
    <row r="10" spans="1:10" x14ac:dyDescent="0.3">
      <c r="A10" s="61">
        <v>55000</v>
      </c>
      <c r="D10" s="11" t="s">
        <v>142</v>
      </c>
      <c r="E10" s="11"/>
      <c r="H10" s="71">
        <v>0</v>
      </c>
    </row>
    <row r="11" spans="1:10" x14ac:dyDescent="0.3">
      <c r="A11" s="61">
        <v>29766</v>
      </c>
      <c r="D11" s="11"/>
      <c r="E11" s="11" t="s">
        <v>179</v>
      </c>
      <c r="H11" s="71">
        <v>217</v>
      </c>
      <c r="I11" s="10">
        <f>SUM(H10:H11)</f>
        <v>217</v>
      </c>
    </row>
    <row r="12" spans="1:10" x14ac:dyDescent="0.3">
      <c r="A12" s="10">
        <v>0</v>
      </c>
      <c r="D12" s="11" t="s">
        <v>189</v>
      </c>
      <c r="E12" s="11"/>
      <c r="H12" s="71"/>
      <c r="I12" s="10">
        <v>2000</v>
      </c>
    </row>
    <row r="13" spans="1:10" x14ac:dyDescent="0.3">
      <c r="A13" s="10">
        <v>20975</v>
      </c>
      <c r="D13" s="10" t="s">
        <v>3</v>
      </c>
      <c r="I13" s="10">
        <f>25255.18-2411.04</f>
        <v>22844</v>
      </c>
    </row>
    <row r="14" spans="1:10" x14ac:dyDescent="0.3">
      <c r="A14" s="10">
        <v>3910</v>
      </c>
      <c r="D14" s="11" t="s">
        <v>4</v>
      </c>
      <c r="H14" s="50"/>
      <c r="I14" s="10">
        <v>14132</v>
      </c>
    </row>
    <row r="15" spans="1:10" x14ac:dyDescent="0.3">
      <c r="A15" s="11">
        <v>10751</v>
      </c>
      <c r="D15" s="10" t="s">
        <v>5</v>
      </c>
      <c r="H15" s="50"/>
      <c r="I15" s="11">
        <v>10784</v>
      </c>
    </row>
    <row r="16" spans="1:10" x14ac:dyDescent="0.3">
      <c r="A16" s="10">
        <v>2498</v>
      </c>
      <c r="D16" s="10" t="s">
        <v>6</v>
      </c>
      <c r="H16" s="50"/>
      <c r="I16" s="10">
        <f>580+1240</f>
        <v>1820</v>
      </c>
    </row>
    <row r="17" spans="1:11" x14ac:dyDescent="0.3">
      <c r="A17" s="10">
        <v>384</v>
      </c>
      <c r="D17" s="10" t="s">
        <v>7</v>
      </c>
      <c r="H17" s="50"/>
      <c r="I17" s="10">
        <v>970</v>
      </c>
    </row>
    <row r="18" spans="1:11" x14ac:dyDescent="0.3">
      <c r="A18" s="10">
        <v>2118</v>
      </c>
      <c r="D18" s="11" t="s">
        <v>143</v>
      </c>
      <c r="H18" s="50"/>
      <c r="I18" s="10">
        <v>944</v>
      </c>
    </row>
    <row r="19" spans="1:11" x14ac:dyDescent="0.3">
      <c r="A19" s="12">
        <v>11344</v>
      </c>
      <c r="D19" s="11" t="s">
        <v>87</v>
      </c>
      <c r="H19" s="51">
        <v>11</v>
      </c>
      <c r="I19" s="12">
        <v>24689</v>
      </c>
    </row>
    <row r="20" spans="1:11" ht="5.25" customHeight="1" x14ac:dyDescent="0.3">
      <c r="A20" s="23"/>
    </row>
    <row r="21" spans="1:11" x14ac:dyDescent="0.3">
      <c r="A21" s="10">
        <f>SUM(A9:A20)</f>
        <v>350496</v>
      </c>
      <c r="D21" s="13" t="s">
        <v>115</v>
      </c>
      <c r="J21" s="10">
        <f>SUM(I9:I19)</f>
        <v>294650</v>
      </c>
      <c r="K21" s="79">
        <f>+J21-I19</f>
        <v>269961</v>
      </c>
    </row>
    <row r="24" spans="1:11" x14ac:dyDescent="0.3">
      <c r="C24" s="54" t="s">
        <v>116</v>
      </c>
    </row>
    <row r="25" spans="1:11" x14ac:dyDescent="0.3">
      <c r="H25" s="49"/>
    </row>
    <row r="26" spans="1:11" x14ac:dyDescent="0.3">
      <c r="H26" s="49"/>
    </row>
    <row r="27" spans="1:11" x14ac:dyDescent="0.3">
      <c r="A27" s="10">
        <v>189991</v>
      </c>
      <c r="D27" s="11" t="s">
        <v>182</v>
      </c>
      <c r="H27" s="49">
        <v>7</v>
      </c>
      <c r="I27" s="10">
        <f>+G248</f>
        <v>172433</v>
      </c>
    </row>
    <row r="28" spans="1:11" x14ac:dyDescent="0.3">
      <c r="A28" s="10">
        <v>76516</v>
      </c>
      <c r="D28" s="11" t="s">
        <v>142</v>
      </c>
      <c r="H28" s="49">
        <v>8</v>
      </c>
      <c r="I28" s="10">
        <f>+G255</f>
        <v>217</v>
      </c>
      <c r="K28" s="79"/>
    </row>
    <row r="29" spans="1:11" x14ac:dyDescent="0.3">
      <c r="A29" s="10">
        <v>64557</v>
      </c>
      <c r="D29" s="11" t="s">
        <v>88</v>
      </c>
      <c r="H29" s="49">
        <v>9</v>
      </c>
      <c r="I29" s="10">
        <f>+G270</f>
        <v>61353</v>
      </c>
    </row>
    <row r="30" spans="1:11" x14ac:dyDescent="0.3">
      <c r="A30" s="12">
        <v>6679</v>
      </c>
      <c r="D30" s="11" t="s">
        <v>89</v>
      </c>
      <c r="H30" s="49">
        <v>11</v>
      </c>
      <c r="I30" s="12">
        <f>+F305</f>
        <v>16449</v>
      </c>
    </row>
    <row r="31" spans="1:11" x14ac:dyDescent="0.3">
      <c r="H31" s="46"/>
    </row>
    <row r="32" spans="1:11" ht="4.5" customHeight="1" x14ac:dyDescent="0.3"/>
    <row r="33" spans="1:12" x14ac:dyDescent="0.3">
      <c r="A33" s="10">
        <f>SUM(A27:A32)</f>
        <v>337743</v>
      </c>
      <c r="D33" s="5" t="s">
        <v>117</v>
      </c>
      <c r="E33" s="15"/>
      <c r="F33" s="15"/>
      <c r="G33" s="15"/>
      <c r="J33" s="10">
        <f>SUM(I27:I31)</f>
        <v>250452</v>
      </c>
      <c r="K33" s="79">
        <f>+J33-I30</f>
        <v>234003</v>
      </c>
      <c r="L33" s="79"/>
    </row>
    <row r="35" spans="1:12" ht="15.75" customHeight="1" x14ac:dyDescent="0.3">
      <c r="A35" s="12">
        <f>+A21-A33</f>
        <v>12753</v>
      </c>
      <c r="C35" s="54" t="s">
        <v>23</v>
      </c>
      <c r="E35" s="15"/>
      <c r="F35" s="15"/>
      <c r="G35" s="15"/>
      <c r="H35" s="15"/>
      <c r="J35" s="12">
        <f>+J21-J33</f>
        <v>44198</v>
      </c>
      <c r="K35" s="79">
        <f>+K21-K33</f>
        <v>35958</v>
      </c>
      <c r="L35" s="79">
        <f>+K35-12531.78</f>
        <v>23426</v>
      </c>
    </row>
    <row r="39" spans="1:12" x14ac:dyDescent="0.3">
      <c r="A39" s="17" t="s">
        <v>9</v>
      </c>
      <c r="B39" s="17"/>
      <c r="C39" s="57"/>
      <c r="D39" s="17"/>
      <c r="E39" s="17"/>
      <c r="F39" s="17"/>
      <c r="G39" s="17"/>
      <c r="H39" s="17"/>
      <c r="I39" s="17"/>
      <c r="J39" s="17"/>
    </row>
    <row r="40" spans="1:12" x14ac:dyDescent="0.3">
      <c r="A40" s="17" t="s">
        <v>10</v>
      </c>
      <c r="B40" s="17"/>
      <c r="C40" s="57"/>
      <c r="D40" s="17"/>
      <c r="E40" s="17"/>
      <c r="F40" s="17"/>
      <c r="G40" s="17"/>
      <c r="H40" s="17"/>
      <c r="I40" s="17"/>
      <c r="J40" s="17"/>
    </row>
    <row r="41" spans="1:12" ht="18" customHeight="1" x14ac:dyDescent="0.3">
      <c r="A41" s="1" t="s">
        <v>0</v>
      </c>
      <c r="B41" s="2"/>
      <c r="C41" s="53"/>
      <c r="D41" s="2"/>
      <c r="E41" s="2"/>
      <c r="F41" s="2"/>
      <c r="G41" s="2"/>
      <c r="H41" s="2"/>
      <c r="I41" s="2"/>
      <c r="J41" s="2"/>
    </row>
    <row r="42" spans="1:12" ht="18" customHeight="1" x14ac:dyDescent="0.3">
      <c r="A42" s="1" t="s">
        <v>11</v>
      </c>
      <c r="B42" s="2"/>
      <c r="C42" s="53"/>
      <c r="D42" s="2"/>
      <c r="E42" s="2"/>
      <c r="F42" s="2"/>
      <c r="G42" s="2"/>
      <c r="H42" s="2"/>
      <c r="I42" s="2"/>
      <c r="J42" s="2"/>
    </row>
    <row r="43" spans="1:12" ht="18" customHeight="1" x14ac:dyDescent="0.3">
      <c r="A43" s="1" t="s">
        <v>187</v>
      </c>
      <c r="B43" s="2"/>
      <c r="C43" s="53"/>
      <c r="D43" s="2"/>
      <c r="E43" s="2"/>
      <c r="F43" s="2"/>
      <c r="G43" s="2"/>
      <c r="H43" s="2"/>
      <c r="I43" s="2"/>
      <c r="J43" s="2"/>
    </row>
    <row r="45" spans="1:12" x14ac:dyDescent="0.3">
      <c r="A45" s="21" t="s">
        <v>165</v>
      </c>
      <c r="B45" s="4"/>
      <c r="C45" s="54"/>
      <c r="D45" s="5"/>
      <c r="E45" s="5"/>
      <c r="F45" s="5"/>
      <c r="G45" s="5"/>
      <c r="H45" s="6" t="s">
        <v>1</v>
      </c>
      <c r="I45" s="7" t="s">
        <v>186</v>
      </c>
      <c r="J45" s="1"/>
    </row>
    <row r="46" spans="1:12" x14ac:dyDescent="0.3">
      <c r="A46" s="8" t="s">
        <v>2</v>
      </c>
      <c r="B46" s="8"/>
      <c r="C46" s="55"/>
      <c r="D46" s="9"/>
      <c r="E46" s="9"/>
      <c r="F46" s="9"/>
      <c r="G46" s="9"/>
      <c r="H46" s="9"/>
      <c r="I46" s="8" t="s">
        <v>2</v>
      </c>
      <c r="J46" s="8" t="s">
        <v>2</v>
      </c>
    </row>
    <row r="47" spans="1:12" x14ac:dyDescent="0.3">
      <c r="C47" s="54" t="s">
        <v>118</v>
      </c>
      <c r="H47" s="9"/>
    </row>
    <row r="48" spans="1:12" ht="9" customHeight="1" x14ac:dyDescent="0.3">
      <c r="H48" s="9"/>
    </row>
    <row r="49" spans="1:12" ht="13" x14ac:dyDescent="0.3">
      <c r="A49" s="10">
        <v>200</v>
      </c>
      <c r="C49" s="15" t="s">
        <v>12</v>
      </c>
      <c r="D49"/>
      <c r="H49" s="9"/>
      <c r="I49" s="10">
        <v>200</v>
      </c>
    </row>
    <row r="50" spans="1:12" ht="13" x14ac:dyDescent="0.3">
      <c r="A50" s="11">
        <v>64749</v>
      </c>
      <c r="C50" s="15" t="s">
        <v>13</v>
      </c>
      <c r="D50"/>
      <c r="H50" s="14" t="s">
        <v>15</v>
      </c>
      <c r="I50" s="11">
        <f>+F186</f>
        <v>91343</v>
      </c>
    </row>
    <row r="51" spans="1:12" ht="13" x14ac:dyDescent="0.3">
      <c r="A51" s="10">
        <v>164504</v>
      </c>
      <c r="C51" s="15" t="s">
        <v>14</v>
      </c>
      <c r="D51"/>
      <c r="H51" s="14" t="s">
        <v>17</v>
      </c>
      <c r="I51" s="10">
        <f>+F198</f>
        <v>172077</v>
      </c>
    </row>
    <row r="52" spans="1:12" ht="13" x14ac:dyDescent="0.3">
      <c r="A52" s="10">
        <v>53860</v>
      </c>
      <c r="C52" s="15" t="s">
        <v>16</v>
      </c>
      <c r="D52"/>
      <c r="H52" s="14" t="s">
        <v>19</v>
      </c>
      <c r="I52" s="10">
        <f>+G211</f>
        <v>53242</v>
      </c>
    </row>
    <row r="53" spans="1:12" ht="13" x14ac:dyDescent="0.3">
      <c r="A53" s="10">
        <v>63</v>
      </c>
      <c r="C53" s="15" t="s">
        <v>180</v>
      </c>
      <c r="D53"/>
      <c r="H53" s="14"/>
      <c r="I53" s="10">
        <v>9083</v>
      </c>
    </row>
    <row r="54" spans="1:12" ht="13" x14ac:dyDescent="0.3">
      <c r="A54" s="10">
        <v>26977</v>
      </c>
      <c r="C54" s="15" t="s">
        <v>18</v>
      </c>
      <c r="D54"/>
      <c r="H54" s="9"/>
      <c r="I54" s="10">
        <f>23128.25+202.95-43.36+3561.96</f>
        <v>26850</v>
      </c>
    </row>
    <row r="55" spans="1:12" ht="6.75" customHeight="1" x14ac:dyDescent="0.3">
      <c r="H55" s="9"/>
      <c r="I55" s="12"/>
    </row>
    <row r="56" spans="1:12" x14ac:dyDescent="0.3">
      <c r="A56" s="10">
        <f>SUM(A49:A55)</f>
        <v>310353</v>
      </c>
      <c r="D56" s="5" t="s">
        <v>119</v>
      </c>
      <c r="E56" s="18"/>
      <c r="F56" s="18"/>
      <c r="H56" s="9"/>
      <c r="J56" s="10">
        <f>SUM(I49:I54)</f>
        <v>352795</v>
      </c>
      <c r="K56" s="80">
        <f>+J56-I53-I52</f>
        <v>290470</v>
      </c>
      <c r="L56" s="80"/>
    </row>
    <row r="57" spans="1:12" x14ac:dyDescent="0.3">
      <c r="H57" s="9"/>
    </row>
    <row r="58" spans="1:12" x14ac:dyDescent="0.3">
      <c r="H58" s="9"/>
    </row>
    <row r="59" spans="1:12" x14ac:dyDescent="0.3">
      <c r="A59" s="10">
        <v>4555</v>
      </c>
      <c r="C59" s="54" t="s">
        <v>120</v>
      </c>
      <c r="H59" s="14" t="s">
        <v>8</v>
      </c>
      <c r="I59" s="10">
        <v>5492</v>
      </c>
      <c r="J59" s="10">
        <f>+I59</f>
        <v>5492</v>
      </c>
    </row>
    <row r="60" spans="1:12" ht="6.75" customHeight="1" x14ac:dyDescent="0.3">
      <c r="A60" s="12"/>
      <c r="H60" s="9"/>
      <c r="J60" s="12"/>
    </row>
    <row r="61" spans="1:12" x14ac:dyDescent="0.3">
      <c r="A61" s="10">
        <f>+A56+A59</f>
        <v>314908</v>
      </c>
      <c r="D61" s="5" t="s">
        <v>121</v>
      </c>
      <c r="H61" s="9"/>
      <c r="J61" s="10">
        <f>+J56+J59</f>
        <v>358287</v>
      </c>
      <c r="K61" s="79">
        <f>+J61-I52-I53</f>
        <v>295962</v>
      </c>
    </row>
    <row r="62" spans="1:12" x14ac:dyDescent="0.3">
      <c r="H62" s="9"/>
      <c r="K62" s="79"/>
    </row>
    <row r="63" spans="1:12" x14ac:dyDescent="0.3">
      <c r="H63" s="9"/>
    </row>
    <row r="64" spans="1:12" x14ac:dyDescent="0.3">
      <c r="C64" s="54" t="s">
        <v>122</v>
      </c>
      <c r="H64" s="9"/>
    </row>
    <row r="65" spans="1:12" ht="9" customHeight="1" x14ac:dyDescent="0.3">
      <c r="H65" s="9"/>
    </row>
    <row r="66" spans="1:12" ht="13" x14ac:dyDescent="0.3">
      <c r="A66" s="10">
        <v>2149</v>
      </c>
      <c r="C66" s="15" t="s">
        <v>153</v>
      </c>
      <c r="D66"/>
      <c r="H66" s="9"/>
      <c r="I66" s="10">
        <f>10044.76+126.26</f>
        <v>10171</v>
      </c>
    </row>
    <row r="67" spans="1:12" ht="13" x14ac:dyDescent="0.3">
      <c r="A67" s="10">
        <v>4019</v>
      </c>
      <c r="C67" s="15" t="s">
        <v>20</v>
      </c>
      <c r="D67"/>
      <c r="H67" s="9"/>
      <c r="I67" s="10">
        <v>18446</v>
      </c>
    </row>
    <row r="68" spans="1:12" ht="13" x14ac:dyDescent="0.3">
      <c r="A68" s="10">
        <v>16715</v>
      </c>
      <c r="C68" s="15" t="s">
        <v>21</v>
      </c>
      <c r="H68" s="9"/>
      <c r="I68" s="10">
        <f>3375+4511.4+1990.51</f>
        <v>9877</v>
      </c>
    </row>
    <row r="69" spans="1:12" ht="13" x14ac:dyDescent="0.3">
      <c r="A69" s="10">
        <v>6306</v>
      </c>
      <c r="C69" s="15" t="s">
        <v>144</v>
      </c>
      <c r="H69" s="9"/>
      <c r="I69" s="10">
        <v>0</v>
      </c>
    </row>
    <row r="70" spans="1:12" ht="13" x14ac:dyDescent="0.3">
      <c r="A70" s="10">
        <v>0</v>
      </c>
      <c r="C70" s="15" t="s">
        <v>196</v>
      </c>
      <c r="H70" s="9"/>
      <c r="I70" s="10">
        <v>6089</v>
      </c>
    </row>
    <row r="71" spans="1:12" ht="13" x14ac:dyDescent="0.3">
      <c r="A71" s="10">
        <v>20688</v>
      </c>
      <c r="C71" s="15" t="s">
        <v>188</v>
      </c>
      <c r="H71" s="9"/>
      <c r="I71" s="10">
        <f>7500-10025+7000</f>
        <v>4475</v>
      </c>
    </row>
    <row r="72" spans="1:12" ht="5.25" customHeight="1" x14ac:dyDescent="0.3">
      <c r="A72" s="12"/>
      <c r="H72" s="9"/>
      <c r="J72" s="12"/>
    </row>
    <row r="73" spans="1:12" x14ac:dyDescent="0.3">
      <c r="A73" s="10">
        <f>SUM(A66:A72)</f>
        <v>49877</v>
      </c>
      <c r="D73" s="5" t="s">
        <v>123</v>
      </c>
      <c r="H73" s="9"/>
      <c r="J73" s="10">
        <f>SUM(I66:I72)</f>
        <v>49058</v>
      </c>
      <c r="K73" s="79">
        <f>+J73-126.26</f>
        <v>48932</v>
      </c>
    </row>
    <row r="74" spans="1:12" x14ac:dyDescent="0.3">
      <c r="H74" s="9"/>
    </row>
    <row r="75" spans="1:12" ht="14.5" thickBot="1" x14ac:dyDescent="0.35">
      <c r="A75" s="16">
        <f>+A61-A73</f>
        <v>265031</v>
      </c>
      <c r="D75" s="5" t="s">
        <v>124</v>
      </c>
      <c r="H75" s="9"/>
      <c r="J75" s="16">
        <f>+J61-J73</f>
        <v>309229</v>
      </c>
      <c r="K75" s="79">
        <f>+K61-K73</f>
        <v>247030</v>
      </c>
      <c r="L75" s="79">
        <f>+K73+K75</f>
        <v>295962</v>
      </c>
    </row>
    <row r="76" spans="1:12" ht="14.5" thickTop="1" x14ac:dyDescent="0.3">
      <c r="H76" s="9"/>
    </row>
    <row r="77" spans="1:12" ht="14.5" thickBot="1" x14ac:dyDescent="0.35">
      <c r="A77" s="16">
        <f>+A75</f>
        <v>265031</v>
      </c>
      <c r="D77" s="5" t="s">
        <v>161</v>
      </c>
      <c r="H77" s="9"/>
      <c r="J77" s="16">
        <f>+J75</f>
        <v>309229</v>
      </c>
      <c r="K77" s="79">
        <f>+K75</f>
        <v>247030</v>
      </c>
    </row>
    <row r="78" spans="1:12" ht="14.5" thickTop="1" x14ac:dyDescent="0.3">
      <c r="A78" s="23"/>
      <c r="D78" s="5"/>
      <c r="H78" s="9"/>
      <c r="J78" s="23"/>
    </row>
    <row r="79" spans="1:12" x14ac:dyDescent="0.3">
      <c r="A79" s="23"/>
      <c r="D79" s="5"/>
      <c r="H79" s="9"/>
      <c r="J79" s="23"/>
    </row>
    <row r="80" spans="1:12" x14ac:dyDescent="0.3">
      <c r="A80" s="23"/>
      <c r="D80" s="5"/>
      <c r="H80" s="9"/>
      <c r="J80" s="23"/>
    </row>
    <row r="81" spans="1:10" x14ac:dyDescent="0.3">
      <c r="A81" s="23"/>
      <c r="D81" s="5"/>
      <c r="H81" s="9"/>
      <c r="J81" s="23"/>
    </row>
    <row r="82" spans="1:10" ht="13" x14ac:dyDescent="0.3">
      <c r="A82" s="23"/>
      <c r="C82" s="75"/>
      <c r="D82" s="76"/>
      <c r="E82" s="76"/>
      <c r="F82" s="76"/>
      <c r="I82" s="77"/>
      <c r="J82" s="23"/>
    </row>
    <row r="83" spans="1:10" x14ac:dyDescent="0.3">
      <c r="A83" s="23"/>
      <c r="C83" s="56" t="s">
        <v>164</v>
      </c>
      <c r="I83" s="74" t="s">
        <v>66</v>
      </c>
      <c r="J83" s="23"/>
    </row>
    <row r="84" spans="1:10" x14ac:dyDescent="0.3">
      <c r="A84" s="23"/>
      <c r="I84" s="74"/>
      <c r="J84" s="23"/>
    </row>
    <row r="85" spans="1:10" x14ac:dyDescent="0.3">
      <c r="A85" s="23"/>
      <c r="I85" s="74"/>
      <c r="J85" s="23"/>
    </row>
    <row r="86" spans="1:10" x14ac:dyDescent="0.3">
      <c r="A86" s="23"/>
      <c r="I86" s="74"/>
      <c r="J86" s="23"/>
    </row>
    <row r="87" spans="1:10" ht="15" customHeight="1" x14ac:dyDescent="0.3">
      <c r="A87" s="85" t="s">
        <v>9</v>
      </c>
      <c r="B87" s="85"/>
      <c r="C87" s="85"/>
      <c r="D87" s="85"/>
      <c r="E87" s="85"/>
      <c r="F87" s="85"/>
      <c r="G87" s="85"/>
      <c r="H87" s="85"/>
      <c r="I87" s="85"/>
      <c r="J87" s="85"/>
    </row>
    <row r="88" spans="1:10" ht="15" customHeight="1" x14ac:dyDescent="0.3">
      <c r="A88" s="85" t="s">
        <v>10</v>
      </c>
      <c r="B88" s="85"/>
      <c r="C88" s="85"/>
      <c r="D88" s="85"/>
      <c r="E88" s="85"/>
      <c r="F88" s="85"/>
      <c r="G88" s="85"/>
      <c r="H88" s="85"/>
      <c r="I88" s="85"/>
      <c r="J88" s="85"/>
    </row>
    <row r="89" spans="1:10" x14ac:dyDescent="0.3">
      <c r="H89" s="9"/>
    </row>
    <row r="90" spans="1:10" x14ac:dyDescent="0.3">
      <c r="H90" s="9"/>
    </row>
    <row r="91" spans="1:10" x14ac:dyDescent="0.3">
      <c r="H91" s="9"/>
    </row>
    <row r="92" spans="1:10" ht="15" customHeight="1" x14ac:dyDescent="0.3">
      <c r="A92" s="84" t="s">
        <v>0</v>
      </c>
      <c r="B92" s="84"/>
      <c r="C92" s="84"/>
      <c r="D92" s="84"/>
      <c r="E92" s="84"/>
      <c r="F92" s="84"/>
      <c r="G92" s="84"/>
      <c r="H92" s="84"/>
      <c r="I92" s="84"/>
      <c r="J92" s="84"/>
    </row>
    <row r="93" spans="1:10" x14ac:dyDescent="0.3">
      <c r="A93" s="1" t="s">
        <v>22</v>
      </c>
      <c r="B93" s="17"/>
      <c r="C93" s="57"/>
      <c r="D93" s="17"/>
      <c r="E93" s="17"/>
      <c r="F93" s="19"/>
      <c r="G93" s="19"/>
      <c r="H93" s="17"/>
      <c r="I93" s="17"/>
      <c r="J93" s="17"/>
    </row>
    <row r="94" spans="1:10" x14ac:dyDescent="0.3">
      <c r="A94" s="1" t="s">
        <v>185</v>
      </c>
      <c r="B94" s="17"/>
      <c r="C94" s="57"/>
      <c r="D94" s="19"/>
      <c r="E94" s="17"/>
      <c r="F94" s="17"/>
      <c r="G94" s="17"/>
      <c r="H94" s="17"/>
      <c r="I94" s="17"/>
      <c r="J94" s="17"/>
    </row>
    <row r="95" spans="1:10" x14ac:dyDescent="0.3">
      <c r="A95" s="20"/>
      <c r="B95" s="17"/>
      <c r="C95" s="57"/>
      <c r="D95" s="19"/>
      <c r="E95" s="17"/>
      <c r="F95" s="17"/>
      <c r="G95" s="17"/>
      <c r="H95" s="17"/>
      <c r="I95" s="17"/>
      <c r="J95" s="17"/>
    </row>
    <row r="96" spans="1:10" x14ac:dyDescent="0.3">
      <c r="A96" s="20"/>
      <c r="B96" s="17"/>
      <c r="C96" s="57"/>
      <c r="D96" s="19"/>
      <c r="E96" s="17"/>
      <c r="F96" s="17"/>
      <c r="G96" s="17"/>
      <c r="H96" s="17"/>
      <c r="I96" s="17"/>
      <c r="J96" s="17"/>
    </row>
    <row r="97" spans="1:11" x14ac:dyDescent="0.3">
      <c r="A97" s="20"/>
      <c r="B97" s="17"/>
      <c r="C97" s="57"/>
      <c r="D97" s="19"/>
      <c r="E97" s="17"/>
      <c r="F97" s="17"/>
      <c r="G97" s="17"/>
      <c r="H97" s="17"/>
      <c r="I97" s="17"/>
      <c r="J97" s="17"/>
    </row>
    <row r="98" spans="1:11" x14ac:dyDescent="0.3">
      <c r="A98" s="21" t="s">
        <v>165</v>
      </c>
      <c r="I98" s="21" t="s">
        <v>186</v>
      </c>
      <c r="J98"/>
    </row>
    <row r="99" spans="1:11" ht="13" x14ac:dyDescent="0.3">
      <c r="A99" s="26">
        <v>252278</v>
      </c>
      <c r="B99" s="23"/>
      <c r="C99" s="61" t="s">
        <v>162</v>
      </c>
      <c r="D99" s="24"/>
      <c r="E99" s="23"/>
      <c r="F99" s="23"/>
      <c r="G99" s="23"/>
      <c r="H99" s="23"/>
      <c r="I99" s="25">
        <f>+A104</f>
        <v>265031</v>
      </c>
      <c r="J99"/>
      <c r="K99" s="78">
        <v>211072.62</v>
      </c>
    </row>
    <row r="100" spans="1:11" ht="13" x14ac:dyDescent="0.3">
      <c r="A100" s="26"/>
      <c r="B100" s="23"/>
      <c r="C100" s="61"/>
      <c r="D100" s="24"/>
      <c r="E100" s="23"/>
      <c r="F100" s="23"/>
      <c r="G100" s="23"/>
      <c r="H100" s="23"/>
      <c r="I100" s="25"/>
      <c r="J100"/>
    </row>
    <row r="101" spans="1:11" ht="13" x14ac:dyDescent="0.3">
      <c r="A101" s="27">
        <v>12753</v>
      </c>
      <c r="C101" s="15" t="s">
        <v>23</v>
      </c>
      <c r="I101" s="27">
        <f>+J35</f>
        <v>44198</v>
      </c>
      <c r="J101"/>
      <c r="K101" s="79">
        <f>+K35</f>
        <v>35958</v>
      </c>
    </row>
    <row r="102" spans="1:11" ht="13" x14ac:dyDescent="0.3">
      <c r="A102" s="27"/>
      <c r="C102" s="15"/>
      <c r="I102" s="27"/>
      <c r="J102"/>
      <c r="K102" s="79"/>
    </row>
    <row r="103" spans="1:11" ht="13" x14ac:dyDescent="0.3">
      <c r="A103" s="27">
        <v>12753</v>
      </c>
      <c r="C103" s="15" t="s">
        <v>24</v>
      </c>
      <c r="I103" s="27">
        <f>+I101</f>
        <v>44198</v>
      </c>
      <c r="J103"/>
    </row>
    <row r="104" spans="1:11" ht="13.5" thickBot="1" x14ac:dyDescent="0.35">
      <c r="A104" s="28">
        <f>+A99+A103</f>
        <v>265031</v>
      </c>
      <c r="C104" s="15" t="s">
        <v>25</v>
      </c>
      <c r="I104" s="28">
        <f>+I99+I103</f>
        <v>309229</v>
      </c>
      <c r="J104"/>
      <c r="K104" s="78">
        <f>SUM(K99:K103)</f>
        <v>247030.62</v>
      </c>
    </row>
    <row r="105" spans="1:11" ht="13.5" thickTop="1" x14ac:dyDescent="0.3">
      <c r="C105" s="15"/>
      <c r="I105" s="25"/>
      <c r="J105" s="25"/>
    </row>
    <row r="106" spans="1:11" ht="13" x14ac:dyDescent="0.3">
      <c r="C106" s="15"/>
      <c r="I106" s="25"/>
      <c r="J106" s="25"/>
      <c r="K106" s="78" t="s">
        <v>178</v>
      </c>
    </row>
    <row r="107" spans="1:11" ht="13" x14ac:dyDescent="0.3">
      <c r="C107" s="15"/>
      <c r="I107" s="25"/>
      <c r="J107" s="25"/>
    </row>
    <row r="108" spans="1:11" ht="13" x14ac:dyDescent="0.3">
      <c r="C108" s="15"/>
      <c r="I108" s="25"/>
      <c r="J108" s="25"/>
    </row>
    <row r="109" spans="1:11" ht="13" x14ac:dyDescent="0.3">
      <c r="C109" s="15"/>
      <c r="I109" s="25"/>
      <c r="J109" s="25"/>
    </row>
    <row r="110" spans="1:11" ht="13" x14ac:dyDescent="0.3">
      <c r="C110" s="15"/>
      <c r="I110" s="25"/>
      <c r="J110" s="25"/>
    </row>
    <row r="111" spans="1:11" ht="13" x14ac:dyDescent="0.3">
      <c r="C111" s="15"/>
      <c r="I111" s="25"/>
      <c r="J111" s="25"/>
    </row>
    <row r="112" spans="1:11" ht="13" x14ac:dyDescent="0.3">
      <c r="C112" s="15"/>
      <c r="I112" s="25"/>
      <c r="J112" s="25"/>
    </row>
    <row r="113" spans="3:10" ht="13" x14ac:dyDescent="0.3">
      <c r="C113" s="15"/>
      <c r="I113" s="25"/>
      <c r="J113" s="25"/>
    </row>
    <row r="114" spans="3:10" ht="13" x14ac:dyDescent="0.3">
      <c r="C114" s="15"/>
      <c r="I114" s="25"/>
      <c r="J114" s="25"/>
    </row>
    <row r="115" spans="3:10" ht="13" x14ac:dyDescent="0.3">
      <c r="C115" s="15"/>
      <c r="I115" s="25"/>
      <c r="J115" s="25"/>
    </row>
    <row r="116" spans="3:10" x14ac:dyDescent="0.3">
      <c r="J116" s="25"/>
    </row>
    <row r="117" spans="3:10" x14ac:dyDescent="0.3">
      <c r="J117" s="25"/>
    </row>
    <row r="118" spans="3:10" x14ac:dyDescent="0.3">
      <c r="I118" s="74"/>
      <c r="J118" s="25"/>
    </row>
    <row r="119" spans="3:10" x14ac:dyDescent="0.3">
      <c r="I119" s="74"/>
      <c r="J119" s="25"/>
    </row>
    <row r="120" spans="3:10" x14ac:dyDescent="0.3">
      <c r="I120" s="74"/>
      <c r="J120" s="25"/>
    </row>
    <row r="121" spans="3:10" x14ac:dyDescent="0.3">
      <c r="I121" s="74"/>
      <c r="J121" s="25"/>
    </row>
    <row r="122" spans="3:10" x14ac:dyDescent="0.3">
      <c r="I122" s="74"/>
      <c r="J122" s="25"/>
    </row>
    <row r="123" spans="3:10" x14ac:dyDescent="0.3">
      <c r="I123" s="74"/>
      <c r="J123" s="25"/>
    </row>
    <row r="124" spans="3:10" x14ac:dyDescent="0.3">
      <c r="I124" s="74"/>
      <c r="J124" s="25"/>
    </row>
    <row r="125" spans="3:10" x14ac:dyDescent="0.3">
      <c r="I125" s="74"/>
      <c r="J125" s="25"/>
    </row>
    <row r="126" spans="3:10" x14ac:dyDescent="0.3">
      <c r="I126" s="25"/>
      <c r="J126" s="25"/>
    </row>
    <row r="127" spans="3:10" x14ac:dyDescent="0.3">
      <c r="I127" s="25"/>
      <c r="J127" s="25"/>
    </row>
    <row r="129" spans="1:10" x14ac:dyDescent="0.3">
      <c r="A129" s="17" t="s">
        <v>9</v>
      </c>
      <c r="B129" s="17"/>
      <c r="C129" s="57"/>
      <c r="D129" s="17"/>
      <c r="E129" s="17"/>
      <c r="F129" s="17"/>
      <c r="G129" s="17"/>
      <c r="H129" s="17"/>
      <c r="I129" s="17"/>
      <c r="J129" s="17"/>
    </row>
    <row r="130" spans="1:10" x14ac:dyDescent="0.3">
      <c r="A130" s="17" t="s">
        <v>10</v>
      </c>
      <c r="B130" s="17"/>
      <c r="C130" s="57"/>
      <c r="D130" s="17"/>
      <c r="E130" s="17"/>
      <c r="F130" s="17"/>
      <c r="G130" s="17"/>
      <c r="H130" s="17"/>
      <c r="I130" s="17"/>
      <c r="J130" s="17"/>
    </row>
    <row r="131" spans="1:10" ht="18" customHeight="1" x14ac:dyDescent="0.3">
      <c r="A131" s="1" t="s">
        <v>0</v>
      </c>
      <c r="B131" s="1"/>
      <c r="C131" s="58"/>
      <c r="D131" s="1"/>
      <c r="E131" s="1"/>
      <c r="F131" s="1"/>
      <c r="G131" s="1"/>
      <c r="H131" s="1"/>
      <c r="I131" s="2"/>
      <c r="J131" s="2"/>
    </row>
    <row r="132" spans="1:10" ht="18" customHeight="1" x14ac:dyDescent="0.3">
      <c r="A132" s="1" t="s">
        <v>26</v>
      </c>
      <c r="B132" s="1"/>
      <c r="C132" s="58"/>
      <c r="D132" s="1"/>
      <c r="E132" s="1"/>
      <c r="F132" s="1"/>
      <c r="G132" s="1"/>
      <c r="H132" s="1"/>
      <c r="I132" s="2"/>
      <c r="J132" s="2"/>
    </row>
    <row r="133" spans="1:10" ht="18" customHeight="1" x14ac:dyDescent="0.3">
      <c r="A133" s="1" t="s">
        <v>185</v>
      </c>
      <c r="B133" s="1"/>
      <c r="C133" s="58"/>
      <c r="D133" s="1"/>
      <c r="E133" s="1"/>
      <c r="F133" s="1"/>
      <c r="G133" s="1"/>
      <c r="H133" s="1"/>
      <c r="I133" s="2"/>
      <c r="J133" s="2"/>
    </row>
    <row r="134" spans="1:10" ht="12" customHeight="1" x14ac:dyDescent="0.3">
      <c r="A134" s="2"/>
      <c r="B134" s="2"/>
      <c r="C134" s="53"/>
      <c r="D134" s="2"/>
      <c r="E134" s="2"/>
      <c r="F134" s="2"/>
      <c r="G134" s="2"/>
      <c r="H134" s="2"/>
      <c r="I134" s="2"/>
      <c r="J134" s="2"/>
    </row>
    <row r="135" spans="1:10" x14ac:dyDescent="0.3">
      <c r="A135" s="5" t="s">
        <v>125</v>
      </c>
      <c r="B135" s="29"/>
      <c r="C135" s="59"/>
      <c r="D135" s="30"/>
      <c r="E135" s="30"/>
      <c r="F135" s="18"/>
    </row>
    <row r="136" spans="1:10" ht="15" customHeight="1" x14ac:dyDescent="0.3">
      <c r="B136"/>
    </row>
    <row r="137" spans="1:10" x14ac:dyDescent="0.3">
      <c r="A137" s="5" t="s">
        <v>126</v>
      </c>
      <c r="B137" s="29"/>
      <c r="C137" s="59"/>
      <c r="D137" s="30"/>
      <c r="E137" s="30"/>
      <c r="F137" s="18"/>
    </row>
    <row r="138" spans="1:10" ht="17.25" customHeight="1" x14ac:dyDescent="0.3">
      <c r="A138" s="11" t="s">
        <v>27</v>
      </c>
    </row>
    <row r="139" spans="1:10" ht="17.25" customHeight="1" x14ac:dyDescent="0.3">
      <c r="A139" s="11" t="s">
        <v>28</v>
      </c>
    </row>
    <row r="140" spans="1:10" ht="17.25" customHeight="1" x14ac:dyDescent="0.3">
      <c r="A140" s="11" t="s">
        <v>29</v>
      </c>
    </row>
    <row r="141" spans="1:10" ht="13.5" customHeight="1" x14ac:dyDescent="0.3">
      <c r="A141" s="11"/>
    </row>
    <row r="142" spans="1:10" ht="17.25" customHeight="1" x14ac:dyDescent="0.3">
      <c r="A142" s="13" t="s">
        <v>127</v>
      </c>
    </row>
    <row r="143" spans="1:10" ht="17.25" customHeight="1" x14ac:dyDescent="0.3">
      <c r="A143" s="11" t="s">
        <v>30</v>
      </c>
    </row>
    <row r="144" spans="1:10" ht="17.25" customHeight="1" x14ac:dyDescent="0.3">
      <c r="A144" s="11" t="s">
        <v>31</v>
      </c>
    </row>
    <row r="145" spans="1:7" ht="12.75" customHeight="1" x14ac:dyDescent="0.3">
      <c r="A145" s="11"/>
    </row>
    <row r="146" spans="1:7" ht="17.25" customHeight="1" x14ac:dyDescent="0.3">
      <c r="A146" s="5" t="s">
        <v>128</v>
      </c>
      <c r="B146" s="29"/>
      <c r="C146" s="59"/>
      <c r="D146" s="30"/>
      <c r="E146" s="30"/>
      <c r="F146" s="18"/>
    </row>
    <row r="147" spans="1:7" ht="17.25" customHeight="1" x14ac:dyDescent="0.3">
      <c r="A147" s="11" t="s">
        <v>32</v>
      </c>
      <c r="B147" s="29"/>
      <c r="C147" s="59"/>
      <c r="D147" s="30"/>
      <c r="E147" s="30"/>
      <c r="F147" s="18"/>
    </row>
    <row r="148" spans="1:7" ht="17.25" customHeight="1" x14ac:dyDescent="0.3">
      <c r="A148" s="11" t="s">
        <v>33</v>
      </c>
      <c r="B148" s="29"/>
      <c r="C148" s="59"/>
      <c r="D148" s="30"/>
      <c r="E148" s="30"/>
      <c r="F148" s="18"/>
    </row>
    <row r="149" spans="1:7" ht="13.5" customHeight="1" x14ac:dyDescent="0.3">
      <c r="A149" s="11" t="s">
        <v>34</v>
      </c>
      <c r="B149" s="5" t="s">
        <v>35</v>
      </c>
      <c r="C149" s="60"/>
      <c r="D149" s="30"/>
      <c r="E149" s="30"/>
      <c r="F149" s="30"/>
      <c r="G149" s="18"/>
    </row>
    <row r="150" spans="1:7" ht="13.5" customHeight="1" x14ac:dyDescent="0.3">
      <c r="B150" s="11" t="s">
        <v>36</v>
      </c>
    </row>
    <row r="151" spans="1:7" ht="13.5" customHeight="1" x14ac:dyDescent="0.3">
      <c r="B151" s="11" t="s">
        <v>37</v>
      </c>
    </row>
    <row r="152" spans="1:7" ht="13.5" customHeight="1" x14ac:dyDescent="0.3">
      <c r="B152" s="11" t="s">
        <v>38</v>
      </c>
    </row>
    <row r="153" spans="1:7" ht="13.5" customHeight="1" x14ac:dyDescent="0.3">
      <c r="C153" s="15" t="s">
        <v>39</v>
      </c>
      <c r="G153" s="11" t="s">
        <v>86</v>
      </c>
    </row>
    <row r="154" spans="1:7" ht="13.5" customHeight="1" x14ac:dyDescent="0.3">
      <c r="C154" s="62" t="s">
        <v>41</v>
      </c>
      <c r="G154" s="31" t="s">
        <v>42</v>
      </c>
    </row>
    <row r="155" spans="1:7" ht="13.5" customHeight="1" x14ac:dyDescent="0.3">
      <c r="C155" s="15" t="s">
        <v>43</v>
      </c>
      <c r="G155" s="11" t="s">
        <v>40</v>
      </c>
    </row>
    <row r="156" spans="1:7" ht="13.5" customHeight="1" x14ac:dyDescent="0.3">
      <c r="A156" s="11" t="s">
        <v>44</v>
      </c>
      <c r="B156" s="5" t="s">
        <v>45</v>
      </c>
      <c r="C156" s="60"/>
      <c r="D156" s="30"/>
      <c r="E156" s="30"/>
      <c r="F156" s="30"/>
      <c r="G156" s="18"/>
    </row>
    <row r="157" spans="1:7" ht="13.5" customHeight="1" x14ac:dyDescent="0.3">
      <c r="B157" s="11" t="s">
        <v>46</v>
      </c>
    </row>
    <row r="158" spans="1:7" ht="13.5" customHeight="1" x14ac:dyDescent="0.3">
      <c r="A158" s="11" t="s">
        <v>47</v>
      </c>
      <c r="B158" s="5" t="s">
        <v>18</v>
      </c>
      <c r="C158" s="60"/>
      <c r="D158" s="30"/>
      <c r="E158" s="30"/>
      <c r="F158" s="30"/>
      <c r="G158" s="18"/>
    </row>
    <row r="159" spans="1:7" ht="13.5" customHeight="1" x14ac:dyDescent="0.3">
      <c r="B159" s="11" t="s">
        <v>48</v>
      </c>
    </row>
    <row r="160" spans="1:7" ht="13.5" customHeight="1" x14ac:dyDescent="0.3">
      <c r="A160" s="11" t="s">
        <v>49</v>
      </c>
      <c r="B160" s="5" t="s">
        <v>50</v>
      </c>
      <c r="C160" s="60"/>
      <c r="D160" s="30"/>
      <c r="E160" s="30"/>
      <c r="F160" s="30"/>
      <c r="G160" s="18"/>
    </row>
    <row r="161" spans="1:17" ht="13.5" customHeight="1" x14ac:dyDescent="0.3">
      <c r="B161" s="11" t="s">
        <v>51</v>
      </c>
    </row>
    <row r="162" spans="1:17" ht="13.5" customHeight="1" x14ac:dyDescent="0.3">
      <c r="A162" s="11" t="s">
        <v>52</v>
      </c>
      <c r="B162" s="13" t="s">
        <v>53</v>
      </c>
    </row>
    <row r="163" spans="1:17" ht="13.5" customHeight="1" x14ac:dyDescent="0.3">
      <c r="B163" s="11" t="s">
        <v>141</v>
      </c>
    </row>
    <row r="164" spans="1:17" ht="13.5" customHeight="1" x14ac:dyDescent="0.3">
      <c r="A164" s="11" t="s">
        <v>54</v>
      </c>
      <c r="B164" s="13" t="s">
        <v>55</v>
      </c>
    </row>
    <row r="165" spans="1:17" ht="13.5" customHeight="1" x14ac:dyDescent="0.3">
      <c r="B165" s="11" t="s">
        <v>56</v>
      </c>
    </row>
    <row r="166" spans="1:17" ht="13.5" customHeight="1" x14ac:dyDescent="0.3">
      <c r="B166" s="11" t="s">
        <v>85</v>
      </c>
    </row>
    <row r="167" spans="1:17" ht="13.5" customHeight="1" x14ac:dyDescent="0.3">
      <c r="A167" s="11" t="s">
        <v>57</v>
      </c>
      <c r="B167" s="13" t="s">
        <v>58</v>
      </c>
    </row>
    <row r="168" spans="1:17" ht="13.5" customHeight="1" x14ac:dyDescent="0.3">
      <c r="A168" s="11"/>
      <c r="B168" s="11" t="s">
        <v>59</v>
      </c>
    </row>
    <row r="169" spans="1:17" ht="13.5" customHeight="1" x14ac:dyDescent="0.3">
      <c r="A169" s="11"/>
      <c r="B169" s="11" t="s">
        <v>60</v>
      </c>
    </row>
    <row r="170" spans="1:17" ht="13.5" customHeight="1" x14ac:dyDescent="0.3">
      <c r="A170" s="11"/>
      <c r="B170" s="11" t="s">
        <v>61</v>
      </c>
      <c r="M170" s="82"/>
    </row>
    <row r="171" spans="1:17" ht="13.5" customHeight="1" x14ac:dyDescent="0.3">
      <c r="A171" s="11"/>
      <c r="B171" s="11"/>
    </row>
    <row r="172" spans="1:17" ht="17.25" customHeight="1" x14ac:dyDescent="0.3">
      <c r="A172" s="5" t="s">
        <v>129</v>
      </c>
      <c r="B172" s="29"/>
      <c r="C172" s="59"/>
      <c r="D172" s="30"/>
      <c r="E172" s="30"/>
      <c r="F172" s="18"/>
      <c r="L172" s="81"/>
      <c r="N172" s="30"/>
      <c r="O172" s="30"/>
      <c r="P172" s="30"/>
      <c r="Q172" s="18"/>
    </row>
    <row r="173" spans="1:17" ht="17.25" customHeight="1" x14ac:dyDescent="0.3">
      <c r="A173" s="11" t="s">
        <v>131</v>
      </c>
    </row>
    <row r="174" spans="1:17" ht="17.25" customHeight="1" x14ac:dyDescent="0.3">
      <c r="A174" s="11" t="s">
        <v>132</v>
      </c>
    </row>
    <row r="175" spans="1:17" ht="17.25" customHeight="1" x14ac:dyDescent="0.3">
      <c r="A175" s="11" t="s">
        <v>130</v>
      </c>
    </row>
    <row r="176" spans="1:17" ht="18" customHeight="1" x14ac:dyDescent="0.3">
      <c r="A176" s="1" t="s">
        <v>0</v>
      </c>
      <c r="B176" s="1"/>
      <c r="C176" s="58"/>
      <c r="D176" s="1"/>
      <c r="E176" s="1"/>
      <c r="F176" s="1"/>
      <c r="G176" s="1"/>
      <c r="H176" s="1"/>
      <c r="I176" s="1"/>
      <c r="J176" s="2"/>
    </row>
    <row r="177" spans="1:10" ht="18" customHeight="1" x14ac:dyDescent="0.3">
      <c r="A177" s="1" t="s">
        <v>26</v>
      </c>
      <c r="B177" s="1"/>
      <c r="C177" s="58"/>
      <c r="D177" s="1"/>
      <c r="E177" s="1"/>
      <c r="F177" s="1"/>
      <c r="G177" s="1"/>
      <c r="H177" s="1"/>
      <c r="I177" s="1"/>
      <c r="J177" s="2"/>
    </row>
    <row r="178" spans="1:10" ht="18" customHeight="1" x14ac:dyDescent="0.3">
      <c r="A178" s="1" t="s">
        <v>185</v>
      </c>
      <c r="B178" s="1"/>
      <c r="C178" s="58"/>
      <c r="D178" s="1"/>
      <c r="E178" s="1"/>
      <c r="F178" s="1"/>
      <c r="G178" s="1"/>
      <c r="H178" s="1"/>
      <c r="I178" s="1"/>
      <c r="J178" s="2"/>
    </row>
    <row r="179" spans="1:10" ht="12.75" customHeight="1" x14ac:dyDescent="0.3">
      <c r="A179" s="1"/>
      <c r="B179" s="1"/>
      <c r="C179" s="58"/>
      <c r="D179" s="1"/>
      <c r="E179" s="1"/>
      <c r="F179" s="1"/>
      <c r="G179" s="1"/>
      <c r="H179" s="1"/>
      <c r="I179" s="1"/>
      <c r="J179" s="2"/>
    </row>
    <row r="180" spans="1:10" ht="12.75" customHeight="1" x14ac:dyDescent="0.3">
      <c r="A180" s="1"/>
      <c r="B180" s="1"/>
      <c r="C180" s="58"/>
      <c r="D180" s="1"/>
      <c r="E180" s="1"/>
      <c r="F180" s="1"/>
      <c r="G180" s="1"/>
      <c r="H180" s="1"/>
      <c r="I180" s="1"/>
      <c r="J180" s="2"/>
    </row>
    <row r="181" spans="1:10" x14ac:dyDescent="0.3">
      <c r="A181" s="32" t="s">
        <v>133</v>
      </c>
      <c r="B181" s="5"/>
      <c r="C181" s="54"/>
      <c r="D181" s="5"/>
      <c r="E181" s="15"/>
      <c r="F181" s="15"/>
      <c r="G181" s="15"/>
      <c r="H181" s="15"/>
      <c r="I181" s="15"/>
    </row>
    <row r="182" spans="1:10" x14ac:dyDescent="0.3">
      <c r="A182" s="15"/>
      <c r="B182" s="32"/>
      <c r="D182" s="15"/>
      <c r="E182" s="15"/>
      <c r="F182" s="67" t="s">
        <v>63</v>
      </c>
      <c r="G182" s="33"/>
      <c r="H182" s="33"/>
      <c r="I182" s="33"/>
    </row>
    <row r="183" spans="1:10" ht="5.25" customHeight="1" x14ac:dyDescent="0.3"/>
    <row r="184" spans="1:10" x14ac:dyDescent="0.3">
      <c r="B184" s="11" t="s">
        <v>84</v>
      </c>
      <c r="F184" s="10">
        <v>28623</v>
      </c>
      <c r="H184" s="34"/>
      <c r="I184" s="35"/>
    </row>
    <row r="185" spans="1:10" x14ac:dyDescent="0.3">
      <c r="B185" s="11" t="s">
        <v>145</v>
      </c>
      <c r="F185" s="10">
        <v>62720</v>
      </c>
      <c r="H185" s="36"/>
      <c r="I185" s="35"/>
    </row>
    <row r="186" spans="1:10" ht="14.5" thickBot="1" x14ac:dyDescent="0.35">
      <c r="B186" s="11"/>
      <c r="F186" s="16">
        <f>SUM(F184:F185)</f>
        <v>91343</v>
      </c>
      <c r="H186" s="37"/>
      <c r="I186" s="35"/>
    </row>
    <row r="187" spans="1:10" ht="12.75" customHeight="1" thickTop="1" x14ac:dyDescent="0.3">
      <c r="B187" s="11"/>
      <c r="F187" s="22"/>
      <c r="H187" s="37"/>
      <c r="I187" s="35"/>
    </row>
    <row r="188" spans="1:10" x14ac:dyDescent="0.3">
      <c r="A188" s="32" t="s">
        <v>134</v>
      </c>
      <c r="B188" s="5"/>
      <c r="C188" s="54"/>
      <c r="D188" s="5"/>
      <c r="E188" s="15"/>
      <c r="F188" s="15"/>
      <c r="G188" s="15"/>
      <c r="H188" s="15"/>
      <c r="I188" s="15"/>
    </row>
    <row r="189" spans="1:10" x14ac:dyDescent="0.3">
      <c r="A189" s="15"/>
      <c r="B189" s="32" t="s">
        <v>62</v>
      </c>
      <c r="D189" s="15"/>
      <c r="E189" s="15"/>
      <c r="F189" s="67" t="s">
        <v>63</v>
      </c>
      <c r="G189" s="33"/>
      <c r="H189" s="67" t="s">
        <v>64</v>
      </c>
      <c r="I189" s="67" t="s">
        <v>65</v>
      </c>
    </row>
    <row r="190" spans="1:10" ht="12.75" customHeight="1" x14ac:dyDescent="0.3">
      <c r="A190" s="15"/>
      <c r="B190" s="15"/>
      <c r="D190" s="15"/>
      <c r="E190" s="15"/>
      <c r="F190" s="33"/>
      <c r="G190" s="33"/>
      <c r="H190" s="67" t="s">
        <v>66</v>
      </c>
      <c r="I190" s="67" t="s">
        <v>67</v>
      </c>
    </row>
    <row r="191" spans="1:10" ht="4.9000000000000004" customHeight="1" x14ac:dyDescent="0.3"/>
    <row r="192" spans="1:10" x14ac:dyDescent="0.3">
      <c r="B192" s="11" t="s">
        <v>68</v>
      </c>
      <c r="F192" s="10">
        <v>23722</v>
      </c>
      <c r="H192" s="34">
        <v>37839</v>
      </c>
      <c r="I192" s="35">
        <v>5.45E-2</v>
      </c>
    </row>
    <row r="193" spans="1:9" x14ac:dyDescent="0.3">
      <c r="B193" s="11" t="s">
        <v>69</v>
      </c>
      <c r="F193" s="10">
        <v>28558</v>
      </c>
      <c r="H193" s="36">
        <v>38150</v>
      </c>
      <c r="I193" s="35">
        <v>5.7000000000000002E-2</v>
      </c>
    </row>
    <row r="194" spans="1:9" x14ac:dyDescent="0.3">
      <c r="B194" s="11" t="s">
        <v>69</v>
      </c>
      <c r="F194" s="10">
        <v>23958</v>
      </c>
      <c r="H194" s="36">
        <v>37849</v>
      </c>
      <c r="I194" s="35">
        <v>5.45E-2</v>
      </c>
    </row>
    <row r="195" spans="1:9" x14ac:dyDescent="0.3">
      <c r="B195" s="11" t="s">
        <v>69</v>
      </c>
      <c r="F195" s="10">
        <v>21329</v>
      </c>
      <c r="H195" s="36">
        <v>37781</v>
      </c>
      <c r="I195" s="35">
        <v>5.5E-2</v>
      </c>
    </row>
    <row r="196" spans="1:9" x14ac:dyDescent="0.3">
      <c r="B196" s="11" t="s">
        <v>69</v>
      </c>
      <c r="F196" s="10">
        <v>43217</v>
      </c>
      <c r="H196" s="36">
        <v>37803</v>
      </c>
      <c r="I196" s="35">
        <v>0.06</v>
      </c>
    </row>
    <row r="197" spans="1:9" x14ac:dyDescent="0.3">
      <c r="B197" s="11" t="s">
        <v>69</v>
      </c>
      <c r="F197" s="10">
        <v>31293</v>
      </c>
      <c r="H197" s="34">
        <v>38076</v>
      </c>
      <c r="I197" s="35">
        <v>0.06</v>
      </c>
    </row>
    <row r="198" spans="1:9" ht="14.5" thickBot="1" x14ac:dyDescent="0.35">
      <c r="B198" s="11"/>
      <c r="F198" s="16">
        <f>SUM(F192:F197)</f>
        <v>172077</v>
      </c>
      <c r="H198" s="37"/>
      <c r="I198" s="35"/>
    </row>
    <row r="199" spans="1:9" ht="14.5" thickTop="1" x14ac:dyDescent="0.3">
      <c r="B199" s="11"/>
      <c r="F199" s="22"/>
      <c r="H199" s="37"/>
      <c r="I199" s="35"/>
    </row>
    <row r="200" spans="1:9" x14ac:dyDescent="0.3">
      <c r="A200" s="32" t="s">
        <v>156</v>
      </c>
      <c r="B200" s="15"/>
      <c r="D200" s="15"/>
      <c r="E200" s="15"/>
      <c r="F200" s="42"/>
      <c r="H200" s="37"/>
      <c r="I200" s="35"/>
    </row>
    <row r="201" spans="1:9" x14ac:dyDescent="0.3">
      <c r="A201" s="15"/>
      <c r="B201" s="15" t="s">
        <v>70</v>
      </c>
      <c r="D201" s="15"/>
      <c r="E201" s="15"/>
      <c r="F201" s="42"/>
      <c r="H201" s="37"/>
      <c r="I201" s="35"/>
    </row>
    <row r="202" spans="1:9" x14ac:dyDescent="0.3">
      <c r="A202" s="15"/>
      <c r="B202" s="15" t="s">
        <v>154</v>
      </c>
      <c r="D202" s="15"/>
      <c r="E202" s="15"/>
      <c r="F202" s="42"/>
      <c r="H202" s="37"/>
      <c r="I202" s="35"/>
    </row>
    <row r="203" spans="1:9" x14ac:dyDescent="0.3">
      <c r="A203" s="15"/>
      <c r="B203" s="15" t="s">
        <v>155</v>
      </c>
      <c r="D203" s="15"/>
      <c r="E203" s="15"/>
      <c r="F203" s="42"/>
      <c r="H203" s="37"/>
      <c r="I203" s="35"/>
    </row>
    <row r="204" spans="1:9" x14ac:dyDescent="0.3">
      <c r="A204" s="15"/>
      <c r="B204" s="15"/>
      <c r="D204" s="15"/>
      <c r="E204" s="15"/>
      <c r="F204" s="42"/>
      <c r="G204" s="3" t="s">
        <v>186</v>
      </c>
      <c r="H204" s="37"/>
      <c r="I204" s="3" t="s">
        <v>165</v>
      </c>
    </row>
    <row r="205" spans="1:9" x14ac:dyDescent="0.3">
      <c r="A205" s="15"/>
      <c r="B205" s="15" t="s">
        <v>71</v>
      </c>
      <c r="D205" s="15"/>
      <c r="E205" s="15"/>
      <c r="F205" s="42"/>
      <c r="G205" s="10">
        <v>4911</v>
      </c>
      <c r="I205" s="43">
        <v>6497</v>
      </c>
    </row>
    <row r="206" spans="1:9" x14ac:dyDescent="0.3">
      <c r="A206" s="15"/>
      <c r="B206" s="15" t="s">
        <v>72</v>
      </c>
      <c r="D206" s="15"/>
      <c r="E206" s="15"/>
      <c r="F206" s="42"/>
      <c r="G206" s="10">
        <f>3792.37+5919.4</f>
        <v>9712</v>
      </c>
      <c r="I206" s="43">
        <v>8826</v>
      </c>
    </row>
    <row r="207" spans="1:9" x14ac:dyDescent="0.3">
      <c r="A207" s="15"/>
      <c r="B207" s="15" t="s">
        <v>80</v>
      </c>
      <c r="D207" s="15"/>
      <c r="E207" s="15"/>
      <c r="F207" s="42"/>
      <c r="G207" s="10">
        <v>8661</v>
      </c>
      <c r="I207" s="43">
        <v>7966</v>
      </c>
    </row>
    <row r="208" spans="1:9" x14ac:dyDescent="0.3">
      <c r="A208" s="15"/>
      <c r="B208" s="15" t="s">
        <v>81</v>
      </c>
      <c r="D208" s="15"/>
      <c r="E208" s="15"/>
      <c r="F208" s="42"/>
      <c r="G208" s="10">
        <f>145.77+5751.45</f>
        <v>5897</v>
      </c>
      <c r="I208" s="43">
        <v>8891</v>
      </c>
    </row>
    <row r="209" spans="1:10" x14ac:dyDescent="0.3">
      <c r="A209" s="15"/>
      <c r="B209" s="15" t="s">
        <v>82</v>
      </c>
      <c r="D209" s="15"/>
      <c r="E209" s="15"/>
      <c r="F209" s="42"/>
      <c r="G209" s="10">
        <f>2058.22+3482.21</f>
        <v>5540</v>
      </c>
      <c r="I209" s="43">
        <v>8239</v>
      </c>
    </row>
    <row r="210" spans="1:10" x14ac:dyDescent="0.3">
      <c r="B210" s="11" t="s">
        <v>105</v>
      </c>
      <c r="F210" s="22"/>
      <c r="G210" s="10">
        <f>6253.2+12267.64</f>
        <v>18521</v>
      </c>
      <c r="I210" s="43">
        <v>13441</v>
      </c>
    </row>
    <row r="211" spans="1:10" ht="14.5" thickBot="1" x14ac:dyDescent="0.35">
      <c r="B211" s="11"/>
      <c r="F211" s="22"/>
      <c r="G211" s="41">
        <f>SUM(G205:G210)</f>
        <v>53242</v>
      </c>
      <c r="H211" s="44"/>
      <c r="I211" s="41">
        <f>SUM(I205:I210)</f>
        <v>53860</v>
      </c>
    </row>
    <row r="212" spans="1:10" ht="14.5" thickTop="1" x14ac:dyDescent="0.3">
      <c r="B212" s="11"/>
      <c r="F212" s="22"/>
      <c r="G212" s="63"/>
      <c r="H212" s="44"/>
      <c r="I212" s="63"/>
    </row>
    <row r="213" spans="1:10" x14ac:dyDescent="0.3">
      <c r="I213" s="43"/>
    </row>
    <row r="214" spans="1:10" x14ac:dyDescent="0.3">
      <c r="A214" s="32" t="s">
        <v>135</v>
      </c>
      <c r="B214" s="15"/>
      <c r="D214" s="67" t="s">
        <v>136</v>
      </c>
      <c r="E214" s="67" t="s">
        <v>139</v>
      </c>
      <c r="F214" s="68" t="s">
        <v>138</v>
      </c>
      <c r="G214" s="69"/>
      <c r="H214" s="67" t="s">
        <v>73</v>
      </c>
      <c r="I214" s="69"/>
      <c r="J214" s="67" t="s">
        <v>73</v>
      </c>
    </row>
    <row r="215" spans="1:10" ht="15.65" customHeight="1" x14ac:dyDescent="0.3">
      <c r="A215" s="15"/>
      <c r="B215" s="15"/>
      <c r="D215" s="70"/>
      <c r="E215" s="67" t="s">
        <v>140</v>
      </c>
      <c r="F215" s="68" t="s">
        <v>35</v>
      </c>
      <c r="G215" s="69"/>
      <c r="H215" s="67" t="s">
        <v>190</v>
      </c>
      <c r="I215" s="69"/>
      <c r="J215" s="67" t="s">
        <v>166</v>
      </c>
    </row>
    <row r="216" spans="1:10" x14ac:dyDescent="0.3">
      <c r="A216" s="11" t="s">
        <v>74</v>
      </c>
    </row>
    <row r="217" spans="1:10" x14ac:dyDescent="0.3">
      <c r="A217" s="31" t="s">
        <v>75</v>
      </c>
      <c r="D217" s="11">
        <v>2039</v>
      </c>
      <c r="E217" s="10">
        <v>0</v>
      </c>
      <c r="F217" s="31">
        <v>2039</v>
      </c>
      <c r="H217" s="10">
        <f>+D217-E217-F217</f>
        <v>0</v>
      </c>
      <c r="J217" s="10">
        <v>0</v>
      </c>
    </row>
    <row r="218" spans="1:10" x14ac:dyDescent="0.3">
      <c r="A218" s="11" t="s">
        <v>43</v>
      </c>
      <c r="D218" s="12">
        <v>17257</v>
      </c>
      <c r="E218" s="38">
        <v>0</v>
      </c>
      <c r="F218" s="10">
        <v>11764</v>
      </c>
      <c r="G218" s="12"/>
      <c r="H218" s="12">
        <f>+D218-E218-F218</f>
        <v>5493</v>
      </c>
      <c r="I218" s="12"/>
      <c r="J218" s="12">
        <v>4555</v>
      </c>
    </row>
    <row r="219" spans="1:10" ht="14.5" thickBot="1" x14ac:dyDescent="0.35">
      <c r="D219" s="16">
        <f>SUM(D217:D218)</f>
        <v>19296</v>
      </c>
      <c r="E219" s="39">
        <f>SUM(E217:E218)</f>
        <v>0</v>
      </c>
      <c r="F219" s="16">
        <f>SUM(F217:F218)</f>
        <v>13803</v>
      </c>
      <c r="G219" s="39"/>
      <c r="H219" s="16">
        <f>SUM(H217:H218)</f>
        <v>5493</v>
      </c>
      <c r="I219" s="39"/>
      <c r="J219" s="16">
        <f>SUM(J217:J218)</f>
        <v>4555</v>
      </c>
    </row>
    <row r="220" spans="1:10" ht="14.5" thickTop="1" x14ac:dyDescent="0.3"/>
    <row r="222" spans="1:10" x14ac:dyDescent="0.3">
      <c r="A222" s="1" t="s">
        <v>0</v>
      </c>
      <c r="B222" s="1"/>
      <c r="C222" s="58"/>
      <c r="D222" s="1"/>
      <c r="E222" s="1"/>
      <c r="F222" s="1"/>
      <c r="G222" s="1"/>
      <c r="H222" s="1"/>
      <c r="I222" s="1"/>
    </row>
    <row r="223" spans="1:10" x14ac:dyDescent="0.3">
      <c r="A223" s="1" t="s">
        <v>26</v>
      </c>
      <c r="B223" s="1"/>
      <c r="C223" s="58"/>
      <c r="D223" s="1"/>
      <c r="E223" s="1"/>
      <c r="F223" s="1"/>
      <c r="G223" s="1"/>
      <c r="H223" s="1"/>
      <c r="I223" s="1"/>
    </row>
    <row r="224" spans="1:10" x14ac:dyDescent="0.3">
      <c r="A224" s="1" t="s">
        <v>185</v>
      </c>
      <c r="B224" s="1"/>
      <c r="C224" s="58"/>
      <c r="D224" s="1"/>
      <c r="E224" s="1"/>
      <c r="F224" s="1"/>
      <c r="G224" s="1"/>
      <c r="H224" s="1"/>
      <c r="I224" s="1"/>
    </row>
    <row r="225" spans="1:11" x14ac:dyDescent="0.3">
      <c r="A225" s="1"/>
      <c r="B225" s="1"/>
      <c r="C225" s="58"/>
      <c r="D225" s="1"/>
      <c r="E225" s="1"/>
      <c r="F225" s="1"/>
      <c r="G225" s="1"/>
      <c r="H225" s="1"/>
      <c r="I225" s="1"/>
    </row>
    <row r="226" spans="1:11" x14ac:dyDescent="0.3">
      <c r="A226" s="1"/>
      <c r="B226" s="1"/>
      <c r="C226" s="58"/>
      <c r="D226" s="1"/>
      <c r="E226" s="1"/>
      <c r="F226" s="1"/>
      <c r="G226" s="1"/>
      <c r="H226" s="1"/>
      <c r="I226" s="1"/>
    </row>
    <row r="227" spans="1:11" x14ac:dyDescent="0.3">
      <c r="A227" s="32" t="s">
        <v>137</v>
      </c>
      <c r="B227" s="15"/>
      <c r="D227" s="15"/>
      <c r="E227" s="15"/>
      <c r="F227" s="15"/>
      <c r="G227" s="3" t="s">
        <v>186</v>
      </c>
      <c r="H227" s="3"/>
      <c r="I227" s="3" t="s">
        <v>165</v>
      </c>
    </row>
    <row r="228" spans="1:11" ht="9" customHeight="1" x14ac:dyDescent="0.3"/>
    <row r="229" spans="1:11" ht="13" x14ac:dyDescent="0.3">
      <c r="C229" s="11" t="s">
        <v>76</v>
      </c>
      <c r="G229" s="10">
        <v>2040</v>
      </c>
      <c r="I229" s="10">
        <v>2000</v>
      </c>
    </row>
    <row r="230" spans="1:11" ht="13" x14ac:dyDescent="0.3">
      <c r="C230" s="11" t="s">
        <v>197</v>
      </c>
      <c r="G230" s="10">
        <v>2023</v>
      </c>
      <c r="I230" s="10">
        <v>1980</v>
      </c>
    </row>
    <row r="231" spans="1:11" ht="13" x14ac:dyDescent="0.3">
      <c r="C231" s="11" t="s">
        <v>77</v>
      </c>
      <c r="G231" s="10">
        <v>-2000</v>
      </c>
      <c r="I231" s="10">
        <v>-1600</v>
      </c>
    </row>
    <row r="232" spans="1:11" ht="13" x14ac:dyDescent="0.3">
      <c r="C232" s="11" t="s">
        <v>146</v>
      </c>
      <c r="G232" s="10">
        <v>0</v>
      </c>
      <c r="I232" s="10">
        <v>-138</v>
      </c>
    </row>
    <row r="233" spans="1:11" ht="14.5" thickBot="1" x14ac:dyDescent="0.35">
      <c r="G233" s="16">
        <f>SUM(G229:G232)</f>
        <v>2063</v>
      </c>
      <c r="I233" s="16">
        <f>SUM(I229:I232)</f>
        <v>2242</v>
      </c>
      <c r="J233" s="15"/>
    </row>
    <row r="234" spans="1:11" ht="14.5" thickTop="1" x14ac:dyDescent="0.3">
      <c r="G234" s="22"/>
      <c r="I234" s="22"/>
      <c r="J234" s="15"/>
    </row>
    <row r="235" spans="1:11" x14ac:dyDescent="0.3">
      <c r="A235" s="32" t="s">
        <v>183</v>
      </c>
      <c r="B235" s="15"/>
      <c r="D235" s="15"/>
      <c r="E235" s="15"/>
      <c r="F235" s="15"/>
      <c r="G235" s="3" t="s">
        <v>186</v>
      </c>
      <c r="I235" s="3" t="s">
        <v>165</v>
      </c>
      <c r="J235" s="15"/>
    </row>
    <row r="236" spans="1:11" ht="9" customHeight="1" x14ac:dyDescent="0.3">
      <c r="A236" s="15"/>
      <c r="B236" s="15"/>
      <c r="D236" s="15"/>
      <c r="E236" s="15"/>
      <c r="F236" s="15"/>
    </row>
    <row r="237" spans="1:11" ht="13" x14ac:dyDescent="0.3">
      <c r="C237" s="15" t="s">
        <v>168</v>
      </c>
      <c r="G237" s="40">
        <v>327</v>
      </c>
      <c r="I237" s="40">
        <v>229</v>
      </c>
      <c r="J237" s="11"/>
      <c r="K237" s="83"/>
    </row>
    <row r="238" spans="1:11" ht="13" x14ac:dyDescent="0.3">
      <c r="C238" s="15" t="s">
        <v>90</v>
      </c>
      <c r="G238" s="40">
        <v>70300</v>
      </c>
      <c r="I238" s="40">
        <v>55666</v>
      </c>
      <c r="J238" s="11"/>
      <c r="K238" s="83"/>
    </row>
    <row r="239" spans="1:11" ht="13" x14ac:dyDescent="0.3">
      <c r="C239" s="15" t="s">
        <v>91</v>
      </c>
      <c r="G239" s="40">
        <v>0</v>
      </c>
      <c r="I239" s="40">
        <v>3714</v>
      </c>
      <c r="J239" s="11"/>
      <c r="K239" s="83"/>
    </row>
    <row r="240" spans="1:11" ht="13" x14ac:dyDescent="0.3">
      <c r="C240" s="15" t="s">
        <v>191</v>
      </c>
      <c r="G240" s="40">
        <v>62377</v>
      </c>
      <c r="I240" s="40">
        <v>90000</v>
      </c>
      <c r="J240" s="11"/>
      <c r="K240" s="83"/>
    </row>
    <row r="241" spans="1:11" ht="13" x14ac:dyDescent="0.3">
      <c r="C241" s="15" t="s">
        <v>92</v>
      </c>
      <c r="G241" s="40">
        <v>1965</v>
      </c>
      <c r="I241" s="40">
        <v>2652</v>
      </c>
      <c r="J241" s="11"/>
      <c r="K241" s="83"/>
    </row>
    <row r="242" spans="1:11" ht="13" x14ac:dyDescent="0.3">
      <c r="C242" s="15" t="s">
        <v>93</v>
      </c>
      <c r="G242" s="40">
        <v>1956</v>
      </c>
      <c r="I242" s="40">
        <v>1894</v>
      </c>
      <c r="J242" s="11"/>
      <c r="K242" s="83"/>
    </row>
    <row r="243" spans="1:11" ht="13" x14ac:dyDescent="0.3">
      <c r="C243" s="15" t="s">
        <v>169</v>
      </c>
      <c r="G243" s="40">
        <v>0</v>
      </c>
      <c r="I243" s="40">
        <v>1700</v>
      </c>
      <c r="J243" s="11"/>
      <c r="K243" s="83"/>
    </row>
    <row r="244" spans="1:11" ht="13" x14ac:dyDescent="0.3">
      <c r="C244" s="15" t="s">
        <v>170</v>
      </c>
      <c r="G244" s="40">
        <f>6470.94*0.3</f>
        <v>1941</v>
      </c>
      <c r="I244" s="40">
        <v>3438</v>
      </c>
      <c r="J244" s="11"/>
      <c r="K244" s="83"/>
    </row>
    <row r="245" spans="1:11" ht="13" x14ac:dyDescent="0.3">
      <c r="C245" s="15" t="s">
        <v>192</v>
      </c>
      <c r="G245" s="40">
        <v>5661</v>
      </c>
      <c r="I245" s="40">
        <v>3764</v>
      </c>
      <c r="J245" s="11"/>
      <c r="K245" s="83"/>
    </row>
    <row r="246" spans="1:11" ht="13" x14ac:dyDescent="0.3">
      <c r="C246" s="15" t="s">
        <v>167</v>
      </c>
      <c r="G246" s="40">
        <f>44796.13*0.3</f>
        <v>13439</v>
      </c>
      <c r="I246" s="40">
        <v>12000</v>
      </c>
      <c r="J246" s="11"/>
      <c r="K246" s="83"/>
    </row>
    <row r="247" spans="1:11" ht="13" x14ac:dyDescent="0.3">
      <c r="C247" s="15" t="s">
        <v>94</v>
      </c>
      <c r="G247" s="40">
        <f>+G293/2</f>
        <v>14467</v>
      </c>
      <c r="H247" s="49">
        <v>10</v>
      </c>
      <c r="I247" s="40">
        <v>14934</v>
      </c>
      <c r="J247" s="11"/>
      <c r="K247" s="83"/>
    </row>
    <row r="248" spans="1:11" ht="13.5" thickBot="1" x14ac:dyDescent="0.35">
      <c r="C248" s="15"/>
      <c r="G248" s="16">
        <f>SUM(G237:G247)</f>
        <v>172433</v>
      </c>
      <c r="I248" s="16">
        <f>SUM(I237:I247)</f>
        <v>189991</v>
      </c>
    </row>
    <row r="249" spans="1:11" ht="13.5" thickTop="1" x14ac:dyDescent="0.3">
      <c r="C249" s="15"/>
      <c r="G249" s="22"/>
      <c r="I249" s="22"/>
    </row>
    <row r="250" spans="1:11" x14ac:dyDescent="0.3">
      <c r="A250" s="32" t="s">
        <v>149</v>
      </c>
      <c r="B250" s="15"/>
      <c r="D250" s="15"/>
      <c r="E250" s="15"/>
      <c r="F250" s="15"/>
      <c r="G250" s="3" t="s">
        <v>186</v>
      </c>
      <c r="I250" s="3" t="s">
        <v>165</v>
      </c>
    </row>
    <row r="251" spans="1:11" ht="8.25" customHeight="1" x14ac:dyDescent="0.3">
      <c r="C251" s="15"/>
      <c r="G251" s="22"/>
      <c r="I251" s="22"/>
    </row>
    <row r="252" spans="1:11" ht="13.5" customHeight="1" x14ac:dyDescent="0.3">
      <c r="C252" s="15" t="s">
        <v>171</v>
      </c>
      <c r="G252" s="40">
        <v>217</v>
      </c>
      <c r="I252" s="40">
        <v>65516</v>
      </c>
    </row>
    <row r="253" spans="1:11" ht="13.5" customHeight="1" x14ac:dyDescent="0.3">
      <c r="C253" s="15" t="s">
        <v>150</v>
      </c>
      <c r="G253" s="40">
        <v>0</v>
      </c>
      <c r="I253" s="40">
        <v>8568</v>
      </c>
    </row>
    <row r="254" spans="1:11" ht="13.5" customHeight="1" x14ac:dyDescent="0.3">
      <c r="C254" s="15" t="s">
        <v>163</v>
      </c>
      <c r="G254" s="40">
        <v>0</v>
      </c>
      <c r="I254" s="40">
        <v>2432</v>
      </c>
    </row>
    <row r="255" spans="1:11" ht="13.5" customHeight="1" thickBot="1" x14ac:dyDescent="0.35">
      <c r="C255" s="15"/>
      <c r="G255" s="16">
        <f>SUM(G252:G254)</f>
        <v>217</v>
      </c>
      <c r="I255" s="16">
        <f>SUM(I252:I254)</f>
        <v>76516</v>
      </c>
    </row>
    <row r="256" spans="1:11" ht="13.5" customHeight="1" thickTop="1" x14ac:dyDescent="0.3">
      <c r="C256" s="15"/>
    </row>
    <row r="257" spans="1:10" ht="13" x14ac:dyDescent="0.3">
      <c r="A257" s="32" t="s">
        <v>147</v>
      </c>
      <c r="C257" s="15"/>
      <c r="G257" s="3" t="s">
        <v>186</v>
      </c>
      <c r="I257" s="3" t="s">
        <v>165</v>
      </c>
    </row>
    <row r="258" spans="1:10" ht="9.75" customHeight="1" x14ac:dyDescent="0.3">
      <c r="C258" s="15"/>
    </row>
    <row r="259" spans="1:10" ht="13" x14ac:dyDescent="0.3">
      <c r="B259" s="13"/>
      <c r="C259" s="15" t="s">
        <v>95</v>
      </c>
      <c r="G259" s="10">
        <v>736</v>
      </c>
      <c r="I259" s="40">
        <v>775</v>
      </c>
    </row>
    <row r="260" spans="1:10" ht="13" x14ac:dyDescent="0.3">
      <c r="C260" s="15" t="s">
        <v>175</v>
      </c>
      <c r="G260" s="10">
        <v>0</v>
      </c>
      <c r="I260" s="40">
        <v>2000</v>
      </c>
    </row>
    <row r="261" spans="1:10" ht="13" x14ac:dyDescent="0.3">
      <c r="B261" s="13"/>
      <c r="C261" s="15" t="s">
        <v>172</v>
      </c>
      <c r="G261" s="10">
        <f>6470.94*0.7</f>
        <v>4530</v>
      </c>
      <c r="I261" s="40">
        <v>8020</v>
      </c>
    </row>
    <row r="262" spans="1:10" ht="13" x14ac:dyDescent="0.3">
      <c r="C262" s="15" t="s">
        <v>35</v>
      </c>
      <c r="G262" s="10">
        <v>2442</v>
      </c>
      <c r="I262" s="40">
        <v>2466</v>
      </c>
    </row>
    <row r="263" spans="1:10" ht="13" x14ac:dyDescent="0.3">
      <c r="C263" s="15" t="s">
        <v>96</v>
      </c>
      <c r="G263" s="10">
        <v>873</v>
      </c>
      <c r="I263" s="40">
        <v>172</v>
      </c>
    </row>
    <row r="264" spans="1:10" ht="13" x14ac:dyDescent="0.3">
      <c r="C264" s="15" t="s">
        <v>97</v>
      </c>
      <c r="G264" s="10">
        <v>326</v>
      </c>
      <c r="H264" s="23"/>
      <c r="I264" s="40">
        <v>744</v>
      </c>
    </row>
    <row r="265" spans="1:10" ht="13" x14ac:dyDescent="0.3">
      <c r="C265" s="15" t="s">
        <v>174</v>
      </c>
      <c r="G265" s="10">
        <v>5</v>
      </c>
      <c r="H265" s="23"/>
      <c r="I265" s="40">
        <v>280</v>
      </c>
    </row>
    <row r="266" spans="1:10" ht="13" x14ac:dyDescent="0.3">
      <c r="C266" s="15" t="s">
        <v>173</v>
      </c>
      <c r="G266" s="10">
        <f>44796.13*0.7</f>
        <v>31357</v>
      </c>
      <c r="H266" s="23"/>
      <c r="I266" s="40">
        <v>28000</v>
      </c>
    </row>
    <row r="267" spans="1:10" ht="13" x14ac:dyDescent="0.3">
      <c r="C267" s="15" t="s">
        <v>106</v>
      </c>
      <c r="G267" s="10">
        <v>101</v>
      </c>
      <c r="H267" s="23"/>
      <c r="I267" s="40">
        <v>161</v>
      </c>
      <c r="J267" s="47"/>
    </row>
    <row r="268" spans="1:10" ht="13" x14ac:dyDescent="0.3">
      <c r="C268" s="15" t="s">
        <v>94</v>
      </c>
      <c r="G268" s="10">
        <f>+G293/2</f>
        <v>14467</v>
      </c>
      <c r="H268" s="52">
        <v>10</v>
      </c>
      <c r="I268" s="40">
        <v>14933</v>
      </c>
    </row>
    <row r="269" spans="1:10" ht="13" x14ac:dyDescent="0.3">
      <c r="C269" s="15" t="s">
        <v>107</v>
      </c>
      <c r="G269" s="10">
        <f>2441.59+4074.75</f>
        <v>6516</v>
      </c>
      <c r="I269" s="40">
        <v>7006</v>
      </c>
    </row>
    <row r="270" spans="1:10" ht="13.5" thickBot="1" x14ac:dyDescent="0.35">
      <c r="B270" s="13"/>
      <c r="C270" s="15"/>
      <c r="G270" s="16">
        <f>SUM(G257:G269)</f>
        <v>61353</v>
      </c>
      <c r="I270" s="16">
        <f>SUM(I257:I269)</f>
        <v>64557</v>
      </c>
    </row>
    <row r="271" spans="1:10" ht="13.5" thickTop="1" x14ac:dyDescent="0.3">
      <c r="B271" s="13"/>
      <c r="C271" s="15"/>
      <c r="G271" s="22"/>
      <c r="I271" s="22"/>
    </row>
    <row r="272" spans="1:10" ht="13" x14ac:dyDescent="0.3">
      <c r="B272" s="13"/>
      <c r="C272" s="15"/>
      <c r="G272" s="22"/>
      <c r="I272" s="22"/>
    </row>
    <row r="273" spans="1:11" ht="13" x14ac:dyDescent="0.3">
      <c r="B273" s="13"/>
      <c r="C273" s="15"/>
      <c r="G273" s="22"/>
      <c r="I273" s="22"/>
    </row>
    <row r="274" spans="1:11" ht="13" x14ac:dyDescent="0.3">
      <c r="A274" s="84" t="s">
        <v>0</v>
      </c>
      <c r="B274" s="84"/>
      <c r="C274" s="84"/>
      <c r="D274" s="84"/>
      <c r="E274" s="84"/>
      <c r="F274" s="84"/>
      <c r="G274" s="84"/>
      <c r="H274" s="84"/>
      <c r="I274" s="84"/>
      <c r="J274" s="84"/>
    </row>
    <row r="275" spans="1:11" ht="13" x14ac:dyDescent="0.3">
      <c r="A275" s="84" t="s">
        <v>26</v>
      </c>
      <c r="B275" s="84"/>
      <c r="C275" s="84"/>
      <c r="D275" s="84"/>
      <c r="E275" s="84"/>
      <c r="F275" s="84"/>
      <c r="G275" s="84"/>
      <c r="H275" s="84"/>
      <c r="I275" s="84"/>
      <c r="J275" s="84"/>
    </row>
    <row r="276" spans="1:11" ht="13" x14ac:dyDescent="0.3">
      <c r="A276" s="84" t="s">
        <v>185</v>
      </c>
      <c r="B276" s="84"/>
      <c r="C276" s="84"/>
      <c r="D276" s="84"/>
      <c r="E276" s="84"/>
      <c r="F276" s="84"/>
      <c r="G276" s="84"/>
      <c r="H276" s="84"/>
      <c r="I276" s="84"/>
      <c r="J276" s="84"/>
    </row>
    <row r="277" spans="1:11" ht="13" x14ac:dyDescent="0.3">
      <c r="C277" s="15"/>
    </row>
    <row r="278" spans="1:11" ht="13" x14ac:dyDescent="0.3">
      <c r="C278" s="15"/>
    </row>
    <row r="279" spans="1:11" ht="13" x14ac:dyDescent="0.3">
      <c r="A279" s="5" t="s">
        <v>148</v>
      </c>
      <c r="C279" s="15"/>
      <c r="G279" s="3" t="s">
        <v>186</v>
      </c>
      <c r="I279" s="3" t="s">
        <v>165</v>
      </c>
    </row>
    <row r="280" spans="1:11" ht="13" x14ac:dyDescent="0.3">
      <c r="C280" s="15"/>
    </row>
    <row r="281" spans="1:11" ht="13" x14ac:dyDescent="0.3">
      <c r="C281" s="15" t="s">
        <v>177</v>
      </c>
      <c r="G281" s="10">
        <f>1117.15+664.54+289.18</f>
        <v>2071</v>
      </c>
      <c r="I281" s="10">
        <v>2273</v>
      </c>
      <c r="K281" s="78" t="s">
        <v>193</v>
      </c>
    </row>
    <row r="282" spans="1:11" ht="13" x14ac:dyDescent="0.3">
      <c r="C282" s="15" t="s">
        <v>98</v>
      </c>
      <c r="G282" s="10">
        <v>6991</v>
      </c>
      <c r="I282" s="10">
        <v>6353</v>
      </c>
    </row>
    <row r="283" spans="1:11" ht="13" x14ac:dyDescent="0.3">
      <c r="C283" s="15" t="s">
        <v>99</v>
      </c>
      <c r="G283" s="10">
        <v>2063</v>
      </c>
      <c r="H283" s="52">
        <v>6</v>
      </c>
      <c r="I283" s="10">
        <v>2242</v>
      </c>
    </row>
    <row r="284" spans="1:11" ht="13" x14ac:dyDescent="0.3">
      <c r="C284" s="15" t="s">
        <v>176</v>
      </c>
      <c r="G284" s="10">
        <v>246</v>
      </c>
      <c r="H284" s="52"/>
      <c r="I284" s="10">
        <v>853</v>
      </c>
    </row>
    <row r="285" spans="1:11" ht="13" x14ac:dyDescent="0.3">
      <c r="C285" s="15" t="s">
        <v>79</v>
      </c>
      <c r="G285" s="10">
        <v>939</v>
      </c>
      <c r="I285" s="10">
        <v>794</v>
      </c>
    </row>
    <row r="286" spans="1:11" ht="13" x14ac:dyDescent="0.3">
      <c r="C286" s="15" t="s">
        <v>43</v>
      </c>
      <c r="G286" s="10">
        <v>1429</v>
      </c>
      <c r="I286" s="40">
        <v>1257</v>
      </c>
    </row>
    <row r="287" spans="1:11" ht="13" x14ac:dyDescent="0.3">
      <c r="C287" s="15" t="s">
        <v>100</v>
      </c>
      <c r="G287" s="10">
        <v>1913</v>
      </c>
      <c r="I287" s="10">
        <v>1817</v>
      </c>
    </row>
    <row r="288" spans="1:11" ht="13" x14ac:dyDescent="0.3">
      <c r="C288" s="15" t="s">
        <v>101</v>
      </c>
      <c r="G288" s="10">
        <v>243</v>
      </c>
      <c r="I288" s="10">
        <v>252</v>
      </c>
    </row>
    <row r="289" spans="1:10" ht="13" x14ac:dyDescent="0.3">
      <c r="C289" s="15" t="s">
        <v>102</v>
      </c>
      <c r="G289" s="10">
        <v>1607</v>
      </c>
      <c r="I289" s="10">
        <v>4271</v>
      </c>
    </row>
    <row r="290" spans="1:10" ht="13" x14ac:dyDescent="0.3">
      <c r="C290" s="15" t="s">
        <v>78</v>
      </c>
      <c r="G290" s="10">
        <v>4753</v>
      </c>
      <c r="I290" s="10">
        <v>4052</v>
      </c>
    </row>
    <row r="291" spans="1:10" ht="13" x14ac:dyDescent="0.3">
      <c r="C291" s="15" t="s">
        <v>103</v>
      </c>
      <c r="G291" s="10">
        <v>892</v>
      </c>
      <c r="I291" s="10">
        <v>283</v>
      </c>
    </row>
    <row r="292" spans="1:10" ht="13" x14ac:dyDescent="0.3">
      <c r="C292" s="15" t="s">
        <v>104</v>
      </c>
      <c r="G292" s="10">
        <v>5787</v>
      </c>
      <c r="I292" s="10">
        <v>5420</v>
      </c>
    </row>
    <row r="293" spans="1:10" ht="13.5" thickBot="1" x14ac:dyDescent="0.35">
      <c r="C293" s="15"/>
      <c r="G293" s="16">
        <f>SUM(G281:G292)</f>
        <v>28934</v>
      </c>
      <c r="I293" s="16">
        <f>SUM(I281:I292)</f>
        <v>29867</v>
      </c>
    </row>
    <row r="294" spans="1:10" ht="13.5" thickTop="1" x14ac:dyDescent="0.3">
      <c r="A294" s="5"/>
      <c r="C294" s="15"/>
    </row>
    <row r="295" spans="1:10" x14ac:dyDescent="0.3">
      <c r="A295" s="32" t="s">
        <v>184</v>
      </c>
    </row>
    <row r="296" spans="1:10" x14ac:dyDescent="0.3">
      <c r="A296" s="32"/>
    </row>
    <row r="297" spans="1:10" x14ac:dyDescent="0.3">
      <c r="A297" s="11"/>
      <c r="D297" s="64" t="s">
        <v>112</v>
      </c>
      <c r="E297" s="64" t="s">
        <v>108</v>
      </c>
      <c r="F297" s="64" t="s">
        <v>109</v>
      </c>
      <c r="G297" s="64" t="s">
        <v>110</v>
      </c>
      <c r="H297" s="64" t="s">
        <v>114</v>
      </c>
      <c r="I297"/>
      <c r="J297"/>
    </row>
    <row r="298" spans="1:10" x14ac:dyDescent="0.3">
      <c r="A298" s="11"/>
      <c r="D298" s="65" t="s">
        <v>113</v>
      </c>
      <c r="E298" s="66"/>
      <c r="F298" s="65"/>
      <c r="G298" s="65" t="s">
        <v>111</v>
      </c>
      <c r="H298" s="65" t="s">
        <v>157</v>
      </c>
      <c r="I298"/>
      <c r="J298"/>
    </row>
    <row r="299" spans="1:10" x14ac:dyDescent="0.3">
      <c r="A299" s="15" t="s">
        <v>71</v>
      </c>
      <c r="D299" s="43">
        <v>6600</v>
      </c>
      <c r="E299" s="10">
        <v>3712</v>
      </c>
      <c r="F299" s="10">
        <v>5268</v>
      </c>
      <c r="G299" s="10">
        <f t="shared" ref="G299:G304" si="0">+E299-F299</f>
        <v>-1556</v>
      </c>
      <c r="H299" s="10">
        <f t="shared" ref="H299:H304" si="1">+D299+G299</f>
        <v>5044</v>
      </c>
      <c r="I299"/>
      <c r="J299" s="40"/>
    </row>
    <row r="300" spans="1:10" x14ac:dyDescent="0.3">
      <c r="A300" s="15" t="s">
        <v>72</v>
      </c>
      <c r="D300" s="43">
        <v>8932</v>
      </c>
      <c r="E300" s="10">
        <v>12039</v>
      </c>
      <c r="F300" s="10">
        <v>3255</v>
      </c>
      <c r="G300" s="10">
        <f t="shared" si="0"/>
        <v>8784</v>
      </c>
      <c r="H300" s="10">
        <f t="shared" si="1"/>
        <v>17716</v>
      </c>
      <c r="I300"/>
      <c r="J300" s="40"/>
    </row>
    <row r="301" spans="1:10" x14ac:dyDescent="0.3">
      <c r="A301" s="15" t="s">
        <v>80</v>
      </c>
      <c r="D301" s="43">
        <v>7939</v>
      </c>
      <c r="E301" s="10">
        <v>705</v>
      </c>
      <c r="F301" s="10">
        <v>10</v>
      </c>
      <c r="G301" s="10">
        <f t="shared" si="0"/>
        <v>695</v>
      </c>
      <c r="H301" s="10">
        <f t="shared" si="1"/>
        <v>8634</v>
      </c>
      <c r="J301" s="40"/>
    </row>
    <row r="302" spans="1:10" x14ac:dyDescent="0.3">
      <c r="A302" s="15" t="s">
        <v>81</v>
      </c>
      <c r="D302" s="43">
        <v>8891</v>
      </c>
      <c r="E302" s="10">
        <v>492</v>
      </c>
      <c r="F302" s="10">
        <v>3025</v>
      </c>
      <c r="G302" s="10">
        <f t="shared" si="0"/>
        <v>-2533</v>
      </c>
      <c r="H302" s="10">
        <f t="shared" si="1"/>
        <v>6358</v>
      </c>
      <c r="I302"/>
      <c r="J302" s="40"/>
    </row>
    <row r="303" spans="1:10" x14ac:dyDescent="0.3">
      <c r="A303" s="15" t="s">
        <v>151</v>
      </c>
      <c r="D303" s="43">
        <v>8155</v>
      </c>
      <c r="E303" s="10">
        <v>1830</v>
      </c>
      <c r="F303" s="10">
        <v>4143</v>
      </c>
      <c r="G303" s="10">
        <f t="shared" si="0"/>
        <v>-2313</v>
      </c>
      <c r="H303" s="10">
        <f t="shared" si="1"/>
        <v>5842</v>
      </c>
      <c r="I303"/>
      <c r="J303" s="40"/>
    </row>
    <row r="304" spans="1:10" x14ac:dyDescent="0.3">
      <c r="A304" s="11" t="s">
        <v>152</v>
      </c>
      <c r="D304" s="10">
        <v>13441</v>
      </c>
      <c r="E304" s="10">
        <v>5912</v>
      </c>
      <c r="F304" s="10">
        <v>748</v>
      </c>
      <c r="G304" s="10">
        <f t="shared" si="0"/>
        <v>5164</v>
      </c>
      <c r="H304" s="10">
        <f t="shared" si="1"/>
        <v>18605</v>
      </c>
      <c r="I304"/>
      <c r="J304" s="40"/>
    </row>
    <row r="305" spans="4:10" x14ac:dyDescent="0.3">
      <c r="D305" s="48">
        <f>SUM(D299:D304)</f>
        <v>53958</v>
      </c>
      <c r="E305" s="48">
        <f>SUM(E299:E304)</f>
        <v>24690</v>
      </c>
      <c r="F305" s="48">
        <f>SUM(F299:F304)</f>
        <v>16449</v>
      </c>
      <c r="G305" s="48">
        <f>SUM(G299:G304)</f>
        <v>8241</v>
      </c>
      <c r="H305" s="48">
        <f>SUM(H299:H304)</f>
        <v>62199</v>
      </c>
      <c r="I305"/>
      <c r="J305"/>
    </row>
    <row r="306" spans="4:10" x14ac:dyDescent="0.3">
      <c r="I306"/>
      <c r="J306"/>
    </row>
    <row r="307" spans="4:10" ht="12.75" customHeight="1" x14ac:dyDescent="0.3">
      <c r="D307" s="72" t="s">
        <v>158</v>
      </c>
      <c r="E307" s="72"/>
      <c r="F307" s="72"/>
      <c r="G307" s="72"/>
      <c r="H307" s="72"/>
      <c r="I307"/>
      <c r="J307"/>
    </row>
    <row r="308" spans="4:10" ht="12.75" customHeight="1" x14ac:dyDescent="0.3">
      <c r="D308" s="72" t="s">
        <v>159</v>
      </c>
      <c r="E308" s="72"/>
      <c r="F308" s="72"/>
      <c r="G308" s="72"/>
      <c r="H308" s="72">
        <f>+G211</f>
        <v>53242</v>
      </c>
      <c r="J308"/>
    </row>
    <row r="309" spans="4:10" ht="12.75" customHeight="1" x14ac:dyDescent="0.3">
      <c r="D309" s="72" t="s">
        <v>194</v>
      </c>
      <c r="E309" s="72"/>
      <c r="F309" s="72"/>
      <c r="G309" s="72"/>
      <c r="H309" s="72">
        <v>83</v>
      </c>
      <c r="J309"/>
    </row>
    <row r="310" spans="4:10" ht="12.75" customHeight="1" x14ac:dyDescent="0.3">
      <c r="D310" s="72" t="s">
        <v>18</v>
      </c>
      <c r="E310" s="72"/>
      <c r="F310" s="72"/>
      <c r="G310" s="72"/>
      <c r="H310" s="72">
        <v>9000</v>
      </c>
      <c r="J310"/>
    </row>
    <row r="311" spans="4:10" ht="12.75" customHeight="1" x14ac:dyDescent="0.3">
      <c r="D311" s="72" t="s">
        <v>195</v>
      </c>
      <c r="E311" s="72"/>
      <c r="F311" s="72"/>
      <c r="G311" s="72"/>
      <c r="H311" s="72">
        <v>-126</v>
      </c>
      <c r="J311"/>
    </row>
    <row r="312" spans="4:10" ht="12.75" customHeight="1" x14ac:dyDescent="0.3">
      <c r="D312" s="72" t="s">
        <v>160</v>
      </c>
      <c r="E312" s="72"/>
      <c r="F312" s="72"/>
      <c r="G312" s="72"/>
      <c r="H312" s="73">
        <f>SUM(H308:H311)</f>
        <v>62199</v>
      </c>
      <c r="I312" s="10">
        <f>+H305-H312</f>
        <v>0</v>
      </c>
      <c r="J312"/>
    </row>
  </sheetData>
  <mergeCells count="6">
    <mergeCell ref="A274:J274"/>
    <mergeCell ref="A275:J275"/>
    <mergeCell ref="A276:J276"/>
    <mergeCell ref="A87:J87"/>
    <mergeCell ref="A88:J88"/>
    <mergeCell ref="A92:J92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98" fitToHeight="7" orientation="portrait" horizontalDpi="300" verticalDpi="300" r:id="rId1"/>
  <headerFooter alignWithMargins="0">
    <oddFooter>&amp;L&amp;8 23/6/03&amp;CPage &amp;P</oddFooter>
  </headerFooter>
  <rowBreaks count="6" manualBreakCount="6">
    <brk id="40" max="16383" man="1"/>
    <brk id="90" max="9" man="1"/>
    <brk id="130" max="16383" man="1"/>
    <brk id="175" max="16383" man="1"/>
    <brk id="221" max="16383" man="1"/>
    <brk id="272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Mar03</vt:lpstr>
      <vt:lpstr>Mar03!Print_Area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AMS Services</dc:creator>
  <cp:lastModifiedBy>Carina Negreanu</cp:lastModifiedBy>
  <cp:lastPrinted>2003-06-26T23:21:22Z</cp:lastPrinted>
  <dcterms:created xsi:type="dcterms:W3CDTF">2000-05-10T23:31:34Z</dcterms:created>
  <dcterms:modified xsi:type="dcterms:W3CDTF">2020-01-27T11:31:08Z</dcterms:modified>
</cp:coreProperties>
</file>