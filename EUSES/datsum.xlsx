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709D59-228E-40C6-AFAE-72088C0DBA59}" xr6:coauthVersionLast="45" xr6:coauthVersionMax="45" xr10:uidLastSave="{00000000-0000-0000-0000-000000000000}"/>
  <bookViews>
    <workbookView xWindow="3420" yWindow="3420" windowWidth="28800" windowHeight="15460"/>
  </bookViews>
  <sheets>
    <sheet name="pages 2-8" sheetId="1" r:id="rId1"/>
    <sheet name="Page1" sheetId="2" r:id="rId2"/>
    <sheet name="Sheet3" sheetId="3" r:id="rId3"/>
  </sheets>
  <definedNames>
    <definedName name="_xlnm.Print_Area" localSheetId="0">'pages 2-8'!$A$1:$Y$343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2" l="1"/>
  <c r="J10" i="2" s="1"/>
  <c r="M10" i="2"/>
  <c r="H11" i="2"/>
  <c r="J11" i="2" s="1"/>
  <c r="M11" i="2"/>
  <c r="H12" i="2"/>
  <c r="J12" i="2"/>
  <c r="M12" i="2"/>
  <c r="H13" i="2"/>
  <c r="J13" i="2" s="1"/>
  <c r="M13" i="2"/>
  <c r="H14" i="2"/>
  <c r="J14" i="2"/>
  <c r="M14" i="2"/>
  <c r="H15" i="2"/>
  <c r="J15" i="2"/>
  <c r="M15" i="2"/>
  <c r="H16" i="2"/>
  <c r="J16" i="2"/>
  <c r="M16" i="2"/>
  <c r="H17" i="2"/>
  <c r="J17" i="2"/>
  <c r="M17" i="2"/>
  <c r="H18" i="2"/>
  <c r="J18" i="2"/>
  <c r="M18" i="2"/>
  <c r="H19" i="2"/>
  <c r="J19" i="2"/>
  <c r="M19" i="2"/>
  <c r="G21" i="2"/>
  <c r="J21" i="2"/>
  <c r="K21" i="2"/>
  <c r="L21" i="2"/>
  <c r="M21" i="2"/>
  <c r="J25" i="2"/>
  <c r="M25" i="2"/>
  <c r="J26" i="2"/>
  <c r="M26" i="2"/>
  <c r="J27" i="2"/>
  <c r="M27" i="2"/>
  <c r="J28" i="2"/>
  <c r="M28" i="2"/>
  <c r="J29" i="2"/>
  <c r="M29" i="2"/>
  <c r="J30" i="2"/>
  <c r="M30" i="2"/>
  <c r="W84" i="1"/>
  <c r="W85" i="1"/>
  <c r="W86" i="1"/>
  <c r="W87" i="1"/>
  <c r="W88" i="1"/>
  <c r="L95" i="1"/>
  <c r="L96" i="1"/>
  <c r="L97" i="1"/>
  <c r="L98" i="1"/>
  <c r="L99" i="1"/>
  <c r="U137" i="1"/>
  <c r="U138" i="1"/>
  <c r="U139" i="1"/>
  <c r="U140" i="1"/>
  <c r="U141" i="1"/>
  <c r="U142" i="1"/>
</calcChain>
</file>

<file path=xl/sharedStrings.xml><?xml version="1.0" encoding="utf-8"?>
<sst xmlns="http://schemas.openxmlformats.org/spreadsheetml/2006/main" count="698" uniqueCount="376">
  <si>
    <t>Community Domain</t>
  </si>
  <si>
    <t>Economic Well-Being</t>
  </si>
  <si>
    <t>Fewer children under age 21 are receiving public assistance.</t>
  </si>
  <si>
    <t>Fewer children and people of all ages are receiving food stamps</t>
  </si>
  <si>
    <t>1995</t>
  </si>
  <si>
    <t>1996</t>
  </si>
  <si>
    <t>1997</t>
  </si>
  <si>
    <t>1998</t>
  </si>
  <si>
    <t>1999</t>
  </si>
  <si>
    <t>2000</t>
  </si>
  <si>
    <t>Source:  TCDSS</t>
  </si>
  <si>
    <t>4/1996</t>
  </si>
  <si>
    <t>4/1997</t>
  </si>
  <si>
    <t>4/1998</t>
  </si>
  <si>
    <t>4/2000</t>
  </si>
  <si>
    <t>4/2001</t>
  </si>
  <si>
    <t>4/2002</t>
  </si>
  <si>
    <t>4/1999</t>
  </si>
  <si>
    <t>All ages</t>
  </si>
  <si>
    <t>&lt; 18 receiving F.S.</t>
  </si>
  <si>
    <t>Source:  TCDSS, NYS Touchstones</t>
  </si>
  <si>
    <t>Fewer people of all ages and children under age 18 are living below the poverty level.</t>
  </si>
  <si>
    <t>The unemployment rate is the lowest in the State.</t>
  </si>
  <si>
    <t>NYS</t>
  </si>
  <si>
    <t>Tompkins</t>
  </si>
  <si>
    <t>1979</t>
  </si>
  <si>
    <t>1989</t>
  </si>
  <si>
    <t>* includes students living off campus and attending college locally</t>
  </si>
  <si>
    <t>Source:  U.S. Census</t>
  </si>
  <si>
    <t>&lt; 18</t>
  </si>
  <si>
    <t>12.7% (2,397)</t>
  </si>
  <si>
    <t>14.3% (2,516)</t>
  </si>
  <si>
    <t>11.5% (2,043)</t>
  </si>
  <si>
    <t>All ages*</t>
  </si>
  <si>
    <t>Child (0-17) poverty rates vary greatly among Tompkins County towns.</t>
  </si>
  <si>
    <t>Poverty for children under age 5 living with just their mother rose in some communities.</t>
  </si>
  <si>
    <t>Caroline</t>
  </si>
  <si>
    <t>Danby</t>
  </si>
  <si>
    <t>Dryden</t>
  </si>
  <si>
    <t>Enfield</t>
  </si>
  <si>
    <t>Groton</t>
  </si>
  <si>
    <t>C. Ithaca</t>
  </si>
  <si>
    <t>T. Ithaca</t>
  </si>
  <si>
    <t>Lansing</t>
  </si>
  <si>
    <t>Newfield</t>
  </si>
  <si>
    <t>Ulysses</t>
  </si>
  <si>
    <t xml:space="preserve">   Communities with a poverty increase in last 10 years.</t>
  </si>
  <si>
    <t>Roughly one quarter of students participate in free/reduced countywide.</t>
  </si>
  <si>
    <t>Tompkins Cty.</t>
  </si>
  <si>
    <t>Ithaca</t>
  </si>
  <si>
    <t>Trumansburg</t>
  </si>
  <si>
    <t>Source:  NYS Dept. of Education</t>
  </si>
  <si>
    <t>1998-99</t>
  </si>
  <si>
    <t>1999-00</t>
  </si>
  <si>
    <t>2000-01</t>
  </si>
  <si>
    <t>Citizenship and Crime</t>
  </si>
  <si>
    <t>Fewer youth 16-18 and more youth 19-20 have been admitted to County jail.</t>
  </si>
  <si>
    <t>Juvenile delinquency petitions filed in Family Court have increased.</t>
  </si>
  <si>
    <t>Ages 16-18</t>
  </si>
  <si>
    <t>Ages 19-20</t>
  </si>
  <si>
    <t>Source:  T.C. Jail</t>
  </si>
  <si>
    <t>Youth (16-20) arrests for driving under the influence of alcohol have declined.</t>
  </si>
  <si>
    <t>Source:  OASAS</t>
  </si>
  <si>
    <t>per 10,000</t>
  </si>
  <si>
    <t>Family Domain</t>
  </si>
  <si>
    <t>Family Conflict and Management</t>
  </si>
  <si>
    <t>More children (0-17) are living in single parent families and outside their family.</t>
  </si>
  <si>
    <t>There has been an increase in both the number of child abuse/neglect reports and indications.</t>
  </si>
  <si>
    <t>2 married parents</t>
  </si>
  <si>
    <t>Single parent</t>
  </si>
  <si>
    <t>Other relatives</t>
  </si>
  <si>
    <t>Non-relatives</t>
  </si>
  <si>
    <t>Householder or spouse</t>
  </si>
  <si>
    <t>Group quarters</t>
  </si>
  <si>
    <t>&lt;18 not living w/family</t>
  </si>
  <si>
    <t>1990</t>
  </si>
  <si>
    <t>13,266 (72.2%)</t>
  </si>
  <si>
    <t>3,506 (19.2%)</t>
  </si>
  <si>
    <t>603 (3.3%)</t>
  </si>
  <si>
    <t>496 (2.7%)</t>
  </si>
  <si>
    <t>29 (0.2%)</t>
  </si>
  <si>
    <t>336 (1.8%)</t>
  </si>
  <si>
    <t>861 (4.7%)</t>
  </si>
  <si>
    <t>12,222 (66.8%)</t>
  </si>
  <si>
    <t>4,399 (24.0%)</t>
  </si>
  <si>
    <t>707 (3.9%)</t>
  </si>
  <si>
    <t>440 (2.4%)</t>
  </si>
  <si>
    <t>23 (0.1%)</t>
  </si>
  <si>
    <t>505 (2.8%)</t>
  </si>
  <si>
    <t>968 (5.3%)</t>
  </si>
  <si>
    <t>Reports</t>
  </si>
  <si>
    <t>More children are entering foster care for reasons of PINS/JD.</t>
  </si>
  <si>
    <t>PINS/JD</t>
  </si>
  <si>
    <t>Other</t>
  </si>
  <si>
    <t>Abuse/Neglect</t>
  </si>
  <si>
    <t>Source:  TC Probation Dept.</t>
  </si>
  <si>
    <t>Probation opened more PINS cases for youth. (ages 7-15 through 6/02, 7-17 from 7/02 on).</t>
  </si>
  <si>
    <t>The number of regulated child care slots has declined.</t>
  </si>
  <si>
    <t>There is not enough child care available for all who need it.</t>
  </si>
  <si>
    <t>Centers</t>
  </si>
  <si>
    <t>Total slots</t>
  </si>
  <si>
    <t>Source:  Day Care &amp; Child Development Council</t>
  </si>
  <si>
    <t>2001</t>
  </si>
  <si>
    <t>Pre-K/Head Start</t>
  </si>
  <si>
    <t>Private schol w/ day care</t>
  </si>
  <si>
    <t>Nursery school</t>
  </si>
  <si>
    <t>School Age Child Care</t>
  </si>
  <si>
    <t>Reg. Family Day Care</t>
  </si>
  <si>
    <t>Number of children</t>
  </si>
  <si>
    <t>Potential Demand*</t>
  </si>
  <si>
    <t>Capacity*</t>
  </si>
  <si>
    <t>Unmet need</t>
  </si>
  <si>
    <r>
      <t xml:space="preserve">*Estimates by 1998 </t>
    </r>
    <r>
      <rPr>
        <i/>
        <sz val="10"/>
        <rFont val="Arial Narrow"/>
        <family val="2"/>
      </rPr>
      <t>Kids Count Data Book</t>
    </r>
  </si>
  <si>
    <t>**Excluding informal care by friends and relatives.</t>
  </si>
  <si>
    <t>Sources:  Day Care Council, U.S. Census, Kids Count</t>
  </si>
  <si>
    <t>Under 5 yrs</t>
  </si>
  <si>
    <t>2,700 (63%)</t>
  </si>
  <si>
    <t>6 - 11 years</t>
  </si>
  <si>
    <t>3,160 (51%)</t>
  </si>
  <si>
    <t>More youth (16-20) are using the Red Cross shelter.</t>
  </si>
  <si>
    <t>Source:  American Red Cross</t>
  </si>
  <si>
    <t>School Domain</t>
  </si>
  <si>
    <t>Lack of Commitment to School</t>
  </si>
  <si>
    <t>% of graduates with Regents Diploma</t>
  </si>
  <si>
    <t>To 2 or 4 yr. College</t>
  </si>
  <si>
    <t>To</t>
  </si>
  <si>
    <t>Employment</t>
  </si>
  <si>
    <t>Some districts have not met the NYS standard for 8th grade Math in recent years.</t>
  </si>
  <si>
    <t>Percent of students meeting NYS Standard</t>
  </si>
  <si>
    <t xml:space="preserve">    = below NYS standard for 8th grade Eng. Lang. Arts</t>
  </si>
  <si>
    <t xml:space="preserve">    = below NYS standard for 8th grade math</t>
  </si>
  <si>
    <t>School Enrollment</t>
  </si>
  <si>
    <t>Primary and Secondary School Enrollment</t>
  </si>
  <si>
    <t>2002</t>
  </si>
  <si>
    <t>"1997" is the 1997 - 1998 school year</t>
  </si>
  <si>
    <t>Source:  TST BOCES</t>
  </si>
  <si>
    <t>Tompkins* Total</t>
  </si>
  <si>
    <t>K-6</t>
  </si>
  <si>
    <t>7-12</t>
  </si>
  <si>
    <t>Over 1800 students in grades PreK-12 have disabilities.</t>
  </si>
  <si>
    <t>Source:  NYS Dept. of Education, VESID</t>
  </si>
  <si>
    <t>English Language Learners (ESL, ESOL) are clustered in the Ithaca district.</t>
  </si>
  <si>
    <t>Drop out rates vary among school districts; Countywide rates have declined.</t>
  </si>
  <si>
    <t>Student suspensions (K - 12) are consistently higher in some districts than in others.</t>
  </si>
  <si>
    <t>21  (3.3%)</t>
  </si>
  <si>
    <t>7  (1.9%)</t>
  </si>
  <si>
    <t>31  (1.7%)</t>
  </si>
  <si>
    <t>5  (1.2%)</t>
  </si>
  <si>
    <t>16  (5.2%)</t>
  </si>
  <si>
    <t>9  (2.0%)</t>
  </si>
  <si>
    <t>89  (2.3%)</t>
  </si>
  <si>
    <t>31  (5.3%)</t>
  </si>
  <si>
    <t>10  (2.6%)</t>
  </si>
  <si>
    <t>25  (1.4%)</t>
  </si>
  <si>
    <t>7  (1.6%)</t>
  </si>
  <si>
    <t>3  (1.0%)</t>
  </si>
  <si>
    <t>4  (0.8%)</t>
  </si>
  <si>
    <t>80  (2.0%)</t>
  </si>
  <si>
    <t>36  (5.9%)</t>
  </si>
  <si>
    <t>14  (3.6%)</t>
  </si>
  <si>
    <t>13  (0.7%)</t>
  </si>
  <si>
    <t>10  (2.3%)</t>
  </si>
  <si>
    <t>11  (3.7%)</t>
  </si>
  <si>
    <t>6  (1.3%)</t>
  </si>
  <si>
    <t>90  (2.2%)</t>
  </si>
  <si>
    <t>66  (3.1%)</t>
  </si>
  <si>
    <t>43  (3.4%)</t>
  </si>
  <si>
    <t>162  (2.8%)</t>
  </si>
  <si>
    <t>20  (1.5%)</t>
  </si>
  <si>
    <t>56  (5.5%)</t>
  </si>
  <si>
    <t>52  (3.5%)</t>
  </si>
  <si>
    <t>399  (3.0%)</t>
  </si>
  <si>
    <t>88  (4.3%)</t>
  </si>
  <si>
    <t>44  (3.6%)</t>
  </si>
  <si>
    <t>247  (4.3%)</t>
  </si>
  <si>
    <t>29  (2.1%)</t>
  </si>
  <si>
    <t>52  (5.4%)</t>
  </si>
  <si>
    <t>42  (2.9%)</t>
  </si>
  <si>
    <t>502  (3.9%)</t>
  </si>
  <si>
    <t>89  (4.2%)</t>
  </si>
  <si>
    <t>31  (2.4%)</t>
  </si>
  <si>
    <t>141  (2.4%)</t>
  </si>
  <si>
    <t>14  (1.0%)</t>
  </si>
  <si>
    <t>73  (7.5%)</t>
  </si>
  <si>
    <t>49  (3.3%)</t>
  </si>
  <si>
    <t>397  (3.0%)</t>
  </si>
  <si>
    <t>Table shows percent meeting NYS standards in 2000-01.</t>
  </si>
  <si>
    <t>4th grade ELA</t>
  </si>
  <si>
    <t>4th grade Math</t>
  </si>
  <si>
    <t>8th grade ELA</t>
  </si>
  <si>
    <t>8th grade math</t>
  </si>
  <si>
    <t>Disadv.</t>
  </si>
  <si>
    <t>Not</t>
  </si>
  <si>
    <t>Individual Domain</t>
  </si>
  <si>
    <t>Alienation and Rebelliousness</t>
  </si>
  <si>
    <t>Suicide deaths claim more adults than youth; Tompkins rate is higher than NYS rate.</t>
  </si>
  <si>
    <t>HIV/AIDS continues to be a problem here.</t>
  </si>
  <si>
    <t>Source:  NYS DOH, TC DOH</t>
  </si>
  <si>
    <t>&lt; age 20</t>
  </si>
  <si>
    <t>20 +</t>
  </si>
  <si>
    <t>all ages</t>
  </si>
  <si>
    <t>Source:  NYS DOH</t>
  </si>
  <si>
    <t>Adolescent arrests for violent crime have decreased.</t>
  </si>
  <si>
    <t>Source: Kids Count Data Book</t>
  </si>
  <si>
    <t>Rate per 1000 youth</t>
  </si>
  <si>
    <t>Age 10-12</t>
  </si>
  <si>
    <t>Age 13-15</t>
  </si>
  <si>
    <t>Age 16-19</t>
  </si>
  <si>
    <t>Rate per 100,000,</t>
  </si>
  <si>
    <t>Early Initiation of Problem Behavior</t>
  </si>
  <si>
    <t>Reported cases of sexually transmitted diseases among youth, ages 15-19 remains steady.</t>
  </si>
  <si>
    <t>3 yr. ave.</t>
  </si>
  <si>
    <t>1992 - 94</t>
  </si>
  <si>
    <t>1995 - 97</t>
  </si>
  <si>
    <t>1998 - 00</t>
  </si>
  <si>
    <t>Source:  NYS Dept. of Health Bureau of STD Control</t>
  </si>
  <si>
    <t>Syphilis</t>
  </si>
  <si>
    <t>Gonorrhea</t>
  </si>
  <si>
    <t>Chlamydia</t>
  </si>
  <si>
    <t>n/a</t>
  </si>
  <si>
    <t>1993-95</t>
  </si>
  <si>
    <t>1996-98</t>
  </si>
  <si>
    <t>1998-00</t>
  </si>
  <si>
    <t>rate/10,000 youth, 15-19</t>
  </si>
  <si>
    <t>Teen pregnancy for all age groups has declined.</t>
  </si>
  <si>
    <t>Births to teens under age 18 have declined.</t>
  </si>
  <si>
    <t>2000 rate</t>
  </si>
  <si>
    <t>per 1,000</t>
  </si>
  <si>
    <t>Ages 10 - 14</t>
  </si>
  <si>
    <t>Ages 15 - 17</t>
  </si>
  <si>
    <t>Ages 18 - 19</t>
  </si>
  <si>
    <t>Source:  NYS DOH Biometrics, US Census</t>
  </si>
  <si>
    <t>Teen pregnancy rates are significantly higher in some municipalities.</t>
  </si>
  <si>
    <t>Ages 10-14</t>
  </si>
  <si>
    <t>Ages 15-17</t>
  </si>
  <si>
    <t>Ages 18-19</t>
  </si>
  <si>
    <t>White teens</t>
  </si>
  <si>
    <t>Ithaca (C)</t>
  </si>
  <si>
    <t>Ithaca (T)</t>
  </si>
  <si>
    <t>Pregnancies</t>
  </si>
  <si>
    <t>Births</t>
  </si>
  <si>
    <t>Violent crime – includes murder, nonnegligent manslaughter, forcible rape, robbery and aggravated assault</t>
  </si>
  <si>
    <t>Property crime – includes burglary, larceny-theft, motor vehicle theft and arson</t>
  </si>
  <si>
    <t>Arrests – this reflects arrests, not people (the same person can be arrested more than once)</t>
  </si>
  <si>
    <t>Youth Population</t>
  </si>
  <si>
    <t>Age</t>
  </si>
  <si>
    <t>Percent</t>
  </si>
  <si>
    <t>Towns *</t>
  </si>
  <si>
    <t>0 - 4</t>
  </si>
  <si>
    <t>5 - 9</t>
  </si>
  <si>
    <t>10 - 14</t>
  </si>
  <si>
    <t>15 - 17</t>
  </si>
  <si>
    <t>18 - 20</t>
  </si>
  <si>
    <t>0 - 17</t>
  </si>
  <si>
    <t>Change</t>
  </si>
  <si>
    <t xml:space="preserve">0 - 20 </t>
  </si>
  <si>
    <t>0 - 20</t>
  </si>
  <si>
    <t>total</t>
  </si>
  <si>
    <t>Ithaca (City)</t>
  </si>
  <si>
    <t>Ithaca (Town)</t>
  </si>
  <si>
    <t>* Including village populations shown below</t>
  </si>
  <si>
    <t>Villages</t>
  </si>
  <si>
    <t xml:space="preserve">Cayuga Hts. </t>
  </si>
  <si>
    <t xml:space="preserve">Dryden </t>
  </si>
  <si>
    <t xml:space="preserve">Freeville </t>
  </si>
  <si>
    <t xml:space="preserve">Groton </t>
  </si>
  <si>
    <t xml:space="preserve">Lansing </t>
  </si>
  <si>
    <t>County youth (0-17) diversity has increased since 1990.</t>
  </si>
  <si>
    <t>Enrollment at area colleges influences the age distribution countywide.</t>
  </si>
  <si>
    <t>%  0-17</t>
  </si>
  <si>
    <t>% aged</t>
  </si>
  <si>
    <t>USA</t>
  </si>
  <si>
    <t>White</t>
  </si>
  <si>
    <t>incl. 301</t>
  </si>
  <si>
    <t>Hispanic</t>
  </si>
  <si>
    <t xml:space="preserve"> 0 - 4</t>
  </si>
  <si>
    <t>African American</t>
  </si>
  <si>
    <t>incl. 85</t>
  </si>
  <si>
    <t xml:space="preserve"> 5 - 9</t>
  </si>
  <si>
    <t>Native American</t>
  </si>
  <si>
    <t>incl. 13</t>
  </si>
  <si>
    <t>Asian/Pac. Isl.</t>
  </si>
  <si>
    <t>Some other race</t>
  </si>
  <si>
    <t>incl. 165</t>
  </si>
  <si>
    <t>18 - 24</t>
  </si>
  <si>
    <t>2+ races</t>
  </si>
  <si>
    <t>incl. 87</t>
  </si>
  <si>
    <t>25 - 64</t>
  </si>
  <si>
    <t>65 +</t>
  </si>
  <si>
    <t>Hispanic* total</t>
  </si>
  <si>
    <t>* All Hispanic persons are recorded by one of the race designations listed above.</t>
  </si>
  <si>
    <t>Child poverty rates in 2000 by community.</t>
  </si>
  <si>
    <t>2000 poverty rates for families led by a female, w/o husband.</t>
  </si>
  <si>
    <t>(see Family Domain for PINS data)</t>
  </si>
  <si>
    <t>Total</t>
  </si>
  <si>
    <t>% Indicated</t>
  </si>
  <si>
    <t>Child care slots in 2001</t>
  </si>
  <si>
    <t>Countywide school enrollment has declined, especially in grades K-6, reflecting the demographic decrease in younger children.</t>
  </si>
  <si>
    <t>Percent of students with disabilities.</t>
  </si>
  <si>
    <t>All districts performed better on 4th grade Math than English for the last 3 years.</t>
  </si>
  <si>
    <t>Students who are economically disadvantaged are less successful in meeting NYS Education standards in most districts than those who are not disadvantaged.  In several districts the disparity is striking.</t>
  </si>
  <si>
    <t xml:space="preserve">Total AIDS cases reported, all ages </t>
  </si>
  <si>
    <t>Rec'd</t>
  </si>
  <si>
    <t>Closed</t>
  </si>
  <si>
    <t>of closed rpts.</t>
  </si>
  <si>
    <t>Indications*</t>
  </si>
  <si>
    <t>*Indication = evidence found</t>
  </si>
  <si>
    <t>Rate/100,000 thru June, 2000</t>
  </si>
  <si>
    <t>Tompkins - 107.3</t>
  </si>
  <si>
    <t xml:space="preserve">NYS- 190.2 </t>
  </si>
  <si>
    <t>(excl. NYC and prison pop.)</t>
  </si>
  <si>
    <t>Afr. Am. teens</t>
  </si>
  <si>
    <t>The rate of teen pregnancies and births to African American teens is twice that of white teens.</t>
  </si>
  <si>
    <t>Ave. rates  for 1996 - 2000, per 1,000 teens 10-17</t>
  </si>
  <si>
    <t>Pregnancy Rate in 2000 per 1,000 teens</t>
  </si>
  <si>
    <t>Birth Rate  in 2000 per 1,000 teens</t>
  </si>
  <si>
    <t>Rates of youth hospitalization resulting from self inflicted injuries have decreased.</t>
  </si>
  <si>
    <t>Countywide youth population (0-17 and 0-21) increased less than 1% from 1990 to 2000.  Youth population rose in 6 communities.  Youth 0-9 decreased 13%; youth 10-17 increased 19%.  Total County population grew 2.6%.</t>
  </si>
  <si>
    <t>Percent change in poverty rate from 1990-2000.</t>
  </si>
  <si>
    <t>+ 3.7%</t>
  </si>
  <si>
    <t>- 5.9%</t>
  </si>
  <si>
    <t>- 1.8%</t>
  </si>
  <si>
    <t>+ 9.5%</t>
  </si>
  <si>
    <t>- 8.1%</t>
  </si>
  <si>
    <t>Child (0-17) poverty rates increased in some communities while decreasing in others.</t>
  </si>
  <si>
    <t>- 4.7%</t>
  </si>
  <si>
    <t>- 7.0%</t>
  </si>
  <si>
    <t>- 2.6%</t>
  </si>
  <si>
    <t>+ 0.3</t>
  </si>
  <si>
    <t>- 2.8%</t>
  </si>
  <si>
    <t>Sources:  NYS Dept. of Labor, US Dept. of Labor</t>
  </si>
  <si>
    <t>11 of these were ages 16-17</t>
  </si>
  <si>
    <t>New Regents req'ments are being phased in; some districts are struggling to meet higher standards.</t>
  </si>
  <si>
    <t>Econ.</t>
  </si>
  <si>
    <t>Law Guardian Office = 277-3198</t>
  </si>
  <si>
    <t>incl.</t>
  </si>
  <si>
    <t>intensive services</t>
  </si>
  <si>
    <t>All &lt; 21 served</t>
  </si>
  <si>
    <t>Youth living independently continue to use the Youth Outreach Program on a steady basis.</t>
  </si>
  <si>
    <t>Source: NYS DCJS Uniform Crime Reports</t>
  </si>
  <si>
    <t>&lt; 12</t>
  </si>
  <si>
    <t>Adolescent (&lt; 20) arrests for property crimes have decreased.</t>
  </si>
  <si>
    <t>Adolescent (&lt; 20) arrests for violent crimes have increased for the oldest teens.</t>
  </si>
  <si>
    <t>Youth (10-20) drug arrest rates are up and down.</t>
  </si>
  <si>
    <t>Most of the 2001 high school seniors planned to go to college.</t>
  </si>
  <si>
    <t xml:space="preserve">Definitions, Abbreviations, and Details on sources:  </t>
  </si>
  <si>
    <t>TCDSS =Tompkins County Department of Social Services, 274-5211</t>
  </si>
  <si>
    <t>Tompkins County Department of Probation, 274-5380</t>
  </si>
  <si>
    <t>Tompkins County Family Court, 277-1517</t>
  </si>
  <si>
    <t>Tompkins County Jail, 257-5316</t>
  </si>
  <si>
    <t>Tompkins-Seneca-Tioga BOCES,257-1551</t>
  </si>
  <si>
    <t>Tompkins County Dept. of Health, 274-6674</t>
  </si>
  <si>
    <t>Tompkins County Chapter, American Red Cross, 273-1900</t>
  </si>
  <si>
    <t>Day Care and Child Development Council of Tompkins County, Inc., http://www.daycarecouncil.org</t>
  </si>
  <si>
    <t>VESID (Office of Vocational and Educational Services for Individuals with Disabilities), http://www.vesid.nysed.gov/</t>
  </si>
  <si>
    <t>NYS Dept. of Labor, http://www.labor.state.ny.us/</t>
  </si>
  <si>
    <t>NYS Dept. of Education, http://www.nysed.gov/home.html</t>
  </si>
  <si>
    <t>NYS Touchstones, http://capital.net/com/council/touchstones/Databook02.html</t>
  </si>
  <si>
    <t>NYS DCJS = NYS Division of Criminal Justice Services, http://www.criminaljustice.state.ny.us</t>
  </si>
  <si>
    <t>NYS DOH = NYS Dept. of Health, http://www.health.state.ny.us/nysdoh</t>
  </si>
  <si>
    <t xml:space="preserve">U.S. Dept. of Labor, http://www.dol.gov/ </t>
  </si>
  <si>
    <t>U.S. Census, http://www.census.gov/</t>
  </si>
  <si>
    <t xml:space="preserve">OASAS = NYS Office of Alcohol and Substance Abuse Services, http://www.oasas.state.ny.us </t>
  </si>
  <si>
    <t>Source:  Tompkins Cty. Family Court, Law Guardian Office</t>
  </si>
  <si>
    <t>Source:  TCDSS; # as of Dec. of year shown</t>
  </si>
  <si>
    <t>Learning Web, 275-0122</t>
  </si>
  <si>
    <t>Source:  Learning Web's Youth Outreach Prog. Annual Reports</t>
  </si>
  <si>
    <t>Kids Count, http://www.aecf.org/kidscount/</t>
  </si>
  <si>
    <t>NYS Touchstones Kids Count Data Book</t>
  </si>
  <si>
    <t>All districts have met the state standard for 4th grade English Language Arts for the last 3 years.</t>
  </si>
  <si>
    <t>Some districts have not met the NYS standard for 8th grade English Language Arts in recent years.</t>
  </si>
  <si>
    <t>JD =  Juvenile Delinquent, a youth 7-15 who committed an act that would be a crime if committed by an adult</t>
  </si>
  <si>
    <t>PINS = Person in Need of Supervision, non-criminal; youth age 7-17 not attending school, beyond parental control</t>
  </si>
  <si>
    <t>More adults (25+) have at least a high school diploma.</t>
  </si>
  <si>
    <t>% who are High School graduates</t>
  </si>
  <si>
    <t>Adolescent arrests for property crime have also decreased.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</si>
</sst>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0.0"/>
  </numFmts>
  <fonts count="18" x14ac:knownFonts="1">
    <font>
      <sz val="10"/>
      <name val="Arial"/>
    </font>
    <font>
      <b/>
      <i/>
      <sz val="11"/>
      <color indexed="9"/>
      <name val="Arial Narrow"/>
      <family val="2"/>
    </font>
    <font>
      <sz val="10"/>
      <name val="Arial Narrow"/>
      <family val="2"/>
    </font>
    <font>
      <b/>
      <i/>
      <sz val="11"/>
      <name val="Arial Narrow"/>
      <family val="2"/>
    </font>
    <font>
      <b/>
      <sz val="11"/>
      <color indexed="9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9.5"/>
      <name val="Arial Narrow"/>
      <family val="2"/>
    </font>
    <font>
      <b/>
      <i/>
      <sz val="9"/>
      <name val="Arial Narrow"/>
      <family val="2"/>
    </font>
    <font>
      <b/>
      <sz val="9"/>
      <name val="Arial Narrow"/>
      <family val="2"/>
    </font>
    <font>
      <i/>
      <sz val="10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b/>
      <sz val="10"/>
      <name val="Arial"/>
    </font>
    <font>
      <sz val="9"/>
      <name val="Arial"/>
    </font>
    <font>
      <sz val="10"/>
      <color indexed="10"/>
      <name val="Arial Narrow"/>
      <family val="2"/>
    </font>
    <font>
      <u/>
      <sz val="9"/>
      <name val="Arial Narrow"/>
      <family val="2"/>
    </font>
    <font>
      <b/>
      <i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0" xfId="0" applyFont="1" applyBorder="1"/>
    <xf numFmtId="0" fontId="6" fillId="0" borderId="2" xfId="0" applyFont="1" applyBorder="1"/>
    <xf numFmtId="3" fontId="2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/>
    <xf numFmtId="0" fontId="2" fillId="0" borderId="6" xfId="0" applyFont="1" applyBorder="1"/>
    <xf numFmtId="172" fontId="2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72" fontId="2" fillId="0" borderId="1" xfId="0" applyNumberFormat="1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8" fillId="0" borderId="0" xfId="0" applyFont="1" applyBorder="1"/>
    <xf numFmtId="3" fontId="6" fillId="0" borderId="0" xfId="0" applyNumberFormat="1" applyFont="1" applyBorder="1" applyAlignment="1">
      <alignment horizontal="right"/>
    </xf>
    <xf numFmtId="172" fontId="8" fillId="0" borderId="0" xfId="0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9" fontId="2" fillId="0" borderId="0" xfId="0" applyNumberFormat="1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9" fontId="2" fillId="0" borderId="0" xfId="0" applyNumberFormat="1" applyFont="1" applyBorder="1"/>
    <xf numFmtId="0" fontId="5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16" fontId="2" fillId="0" borderId="10" xfId="0" quotePrefix="1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3" fontId="2" fillId="0" borderId="10" xfId="0" applyNumberFormat="1" applyFont="1" applyBorder="1"/>
    <xf numFmtId="3" fontId="2" fillId="0" borderId="10" xfId="0" applyNumberFormat="1" applyFont="1" applyBorder="1" applyAlignment="1">
      <alignment horizontal="right"/>
    </xf>
    <xf numFmtId="0" fontId="0" fillId="0" borderId="11" xfId="0" applyBorder="1"/>
    <xf numFmtId="172" fontId="2" fillId="0" borderId="0" xfId="0" applyNumberFormat="1" applyFont="1" applyBorder="1"/>
    <xf numFmtId="1" fontId="2" fillId="0" borderId="0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2" xfId="0" applyFont="1" applyBorder="1" applyAlignment="1"/>
    <xf numFmtId="0" fontId="2" fillId="0" borderId="12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quotePrefix="1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4" fillId="0" borderId="0" xfId="0" applyFont="1" applyFill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3" xfId="0" applyBorder="1"/>
    <xf numFmtId="0" fontId="0" fillId="0" borderId="1" xfId="0" applyBorder="1"/>
    <xf numFmtId="0" fontId="5" fillId="0" borderId="15" xfId="0" applyFont="1" applyBorder="1"/>
    <xf numFmtId="0" fontId="5" fillId="0" borderId="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2" fillId="0" borderId="15" xfId="0" applyFont="1" applyBorder="1"/>
    <xf numFmtId="3" fontId="2" fillId="0" borderId="15" xfId="0" applyNumberFormat="1" applyFont="1" applyBorder="1"/>
    <xf numFmtId="3" fontId="2" fillId="0" borderId="22" xfId="0" applyNumberFormat="1" applyFont="1" applyBorder="1"/>
    <xf numFmtId="3" fontId="2" fillId="0" borderId="23" xfId="0" applyNumberFormat="1" applyFont="1" applyBorder="1"/>
    <xf numFmtId="172" fontId="2" fillId="0" borderId="22" xfId="0" applyNumberFormat="1" applyFont="1" applyBorder="1"/>
    <xf numFmtId="172" fontId="2" fillId="0" borderId="15" xfId="0" applyNumberFormat="1" applyFont="1" applyBorder="1"/>
    <xf numFmtId="0" fontId="2" fillId="0" borderId="24" xfId="0" applyFont="1" applyBorder="1"/>
    <xf numFmtId="3" fontId="2" fillId="0" borderId="0" xfId="0" applyNumberFormat="1" applyFont="1" applyBorder="1"/>
    <xf numFmtId="172" fontId="2" fillId="0" borderId="23" xfId="0" applyNumberFormat="1" applyFont="1" applyBorder="1"/>
    <xf numFmtId="0" fontId="5" fillId="0" borderId="4" xfId="0" applyFont="1" applyBorder="1"/>
    <xf numFmtId="0" fontId="5" fillId="0" borderId="15" xfId="0" applyFont="1" applyFill="1" applyBorder="1"/>
    <xf numFmtId="3" fontId="5" fillId="0" borderId="15" xfId="0" applyNumberFormat="1" applyFont="1" applyFill="1" applyBorder="1"/>
    <xf numFmtId="172" fontId="5" fillId="0" borderId="15" xfId="0" applyNumberFormat="1" applyFont="1" applyFill="1" applyBorder="1"/>
    <xf numFmtId="0" fontId="13" fillId="0" borderId="1" xfId="0" applyFont="1" applyBorder="1"/>
    <xf numFmtId="0" fontId="13" fillId="0" borderId="0" xfId="0" applyFont="1"/>
    <xf numFmtId="0" fontId="5" fillId="0" borderId="16" xfId="0" applyFont="1" applyBorder="1"/>
    <xf numFmtId="3" fontId="2" fillId="0" borderId="2" xfId="0" applyNumberFormat="1" applyFont="1" applyBorder="1"/>
    <xf numFmtId="172" fontId="2" fillId="0" borderId="2" xfId="0" applyNumberFormat="1" applyFont="1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16" fontId="2" fillId="0" borderId="0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6" fillId="0" borderId="25" xfId="0" applyFont="1" applyBorder="1"/>
    <xf numFmtId="0" fontId="2" fillId="0" borderId="25" xfId="0" applyFont="1" applyBorder="1"/>
    <xf numFmtId="3" fontId="6" fillId="0" borderId="25" xfId="0" applyNumberFormat="1" applyFont="1" applyBorder="1" applyAlignment="1">
      <alignment horizontal="right"/>
    </xf>
    <xf numFmtId="0" fontId="15" fillId="0" borderId="0" xfId="0" applyFont="1"/>
    <xf numFmtId="17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2" fillId="0" borderId="26" xfId="0" applyFont="1" applyBorder="1"/>
    <xf numFmtId="0" fontId="16" fillId="0" borderId="0" xfId="0" applyFont="1" applyBorder="1"/>
    <xf numFmtId="1" fontId="2" fillId="0" borderId="0" xfId="0" applyNumberFormat="1" applyFont="1" applyBorder="1"/>
    <xf numFmtId="1" fontId="2" fillId="0" borderId="0" xfId="0" applyNumberFormat="1" applyFont="1" applyBorder="1" applyAlignment="1"/>
    <xf numFmtId="1" fontId="2" fillId="0" borderId="0" xfId="0" applyNumberFormat="1" applyFont="1"/>
    <xf numFmtId="1" fontId="2" fillId="0" borderId="1" xfId="0" applyNumberFormat="1" applyFont="1" applyBorder="1"/>
    <xf numFmtId="0" fontId="17" fillId="0" borderId="0" xfId="0" applyFont="1"/>
    <xf numFmtId="173" fontId="2" fillId="0" borderId="0" xfId="0" applyNumberFormat="1" applyFont="1" applyBorder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72" fontId="2" fillId="0" borderId="0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Border="1" applyAlignment="1"/>
    <xf numFmtId="0" fontId="2" fillId="0" borderId="0" xfId="0" quotePrefix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0" fontId="9" fillId="0" borderId="0" xfId="0" quotePrefix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6" fontId="2" fillId="0" borderId="10" xfId="0" quotePrefix="1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172" fontId="2" fillId="0" borderId="0" xfId="0" quotePrefix="1" applyNumberFormat="1" applyFont="1" applyBorder="1" applyAlignment="1">
      <alignment horizontal="center"/>
    </xf>
    <xf numFmtId="10" fontId="2" fillId="0" borderId="0" xfId="0" quotePrefix="1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88900</xdr:colOff>
      <xdr:row>221</xdr:row>
      <xdr:rowOff>12700</xdr:rowOff>
    </xdr:from>
    <xdr:to>
      <xdr:col>13</xdr:col>
      <xdr:colOff>88900</xdr:colOff>
      <xdr:row>222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76319DF-B8A3-4756-A084-74F78D6D6F86}"/>
            </a:ext>
          </a:extLst>
        </xdr:cNvPr>
        <xdr:cNvSpPr>
          <a:spLocks noChangeShapeType="1"/>
        </xdr:cNvSpPr>
      </xdr:nvSpPr>
      <xdr:spPr bwMode="auto">
        <a:xfrm>
          <a:off x="3308350" y="366204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220</xdr:row>
      <xdr:rowOff>152400</xdr:rowOff>
    </xdr:from>
    <xdr:to>
      <xdr:col>1</xdr:col>
      <xdr:colOff>69850</xdr:colOff>
      <xdr:row>221</xdr:row>
      <xdr:rowOff>146050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BF19CECA-9A3F-4F24-952E-18685B1FF80E}"/>
            </a:ext>
          </a:extLst>
        </xdr:cNvPr>
        <xdr:cNvSpPr>
          <a:spLocks noChangeShapeType="1"/>
        </xdr:cNvSpPr>
      </xdr:nvSpPr>
      <xdr:spPr bwMode="auto">
        <a:xfrm>
          <a:off x="317500" y="365950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209550</xdr:colOff>
      <xdr:row>218</xdr:row>
      <xdr:rowOff>12700</xdr:rowOff>
    </xdr:from>
    <xdr:to>
      <xdr:col>8</xdr:col>
      <xdr:colOff>209550</xdr:colOff>
      <xdr:row>219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7E5B66E5-B214-4A1C-A068-FF70F8909199}"/>
            </a:ext>
          </a:extLst>
        </xdr:cNvPr>
        <xdr:cNvSpPr>
          <a:spLocks noChangeShapeType="1"/>
        </xdr:cNvSpPr>
      </xdr:nvSpPr>
      <xdr:spPr bwMode="auto">
        <a:xfrm>
          <a:off x="2190750" y="361251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214</xdr:row>
      <xdr:rowOff>19050</xdr:rowOff>
    </xdr:from>
    <xdr:to>
      <xdr:col>8</xdr:col>
      <xdr:colOff>190500</xdr:colOff>
      <xdr:row>215</xdr:row>
      <xdr:rowOff>12700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DD351EE-831E-4813-9F8A-A85AC93E0E58}"/>
            </a:ext>
          </a:extLst>
        </xdr:cNvPr>
        <xdr:cNvSpPr>
          <a:spLocks noChangeShapeType="1"/>
        </xdr:cNvSpPr>
      </xdr:nvSpPr>
      <xdr:spPr bwMode="auto">
        <a:xfrm>
          <a:off x="2171700" y="354711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215</xdr:row>
      <xdr:rowOff>0</xdr:rowOff>
    </xdr:from>
    <xdr:to>
      <xdr:col>11</xdr:col>
      <xdr:colOff>190500</xdr:colOff>
      <xdr:row>215</xdr:row>
      <xdr:rowOff>152400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21380BB9-2DF8-4A6A-B0E7-4C5AAEECBB6D}"/>
            </a:ext>
          </a:extLst>
        </xdr:cNvPr>
        <xdr:cNvSpPr>
          <a:spLocks noChangeShapeType="1"/>
        </xdr:cNvSpPr>
      </xdr:nvSpPr>
      <xdr:spPr bwMode="auto">
        <a:xfrm>
          <a:off x="2914650" y="356171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158750</xdr:colOff>
      <xdr:row>214</xdr:row>
      <xdr:rowOff>0</xdr:rowOff>
    </xdr:from>
    <xdr:to>
      <xdr:col>11</xdr:col>
      <xdr:colOff>158750</xdr:colOff>
      <xdr:row>214</xdr:row>
      <xdr:rowOff>152400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53466491-4DC9-4BD6-B5D9-6722B758FCBD}"/>
            </a:ext>
          </a:extLst>
        </xdr:cNvPr>
        <xdr:cNvSpPr>
          <a:spLocks noChangeShapeType="1"/>
        </xdr:cNvSpPr>
      </xdr:nvSpPr>
      <xdr:spPr bwMode="auto">
        <a:xfrm>
          <a:off x="2882900" y="354520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190500</xdr:colOff>
      <xdr:row>214</xdr:row>
      <xdr:rowOff>12700</xdr:rowOff>
    </xdr:from>
    <xdr:to>
      <xdr:col>21</xdr:col>
      <xdr:colOff>190500</xdr:colOff>
      <xdr:row>215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72429111-ECF8-4796-BF40-BF1236CB94B2}"/>
            </a:ext>
          </a:extLst>
        </xdr:cNvPr>
        <xdr:cNvSpPr>
          <a:spLocks noChangeShapeType="1"/>
        </xdr:cNvSpPr>
      </xdr:nvSpPr>
      <xdr:spPr bwMode="auto">
        <a:xfrm>
          <a:off x="5391150" y="354647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196850</xdr:colOff>
      <xdr:row>218</xdr:row>
      <xdr:rowOff>0</xdr:rowOff>
    </xdr:from>
    <xdr:to>
      <xdr:col>21</xdr:col>
      <xdr:colOff>196850</xdr:colOff>
      <xdr:row>218</xdr:row>
      <xdr:rowOff>152400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1CDCA5E6-D1A4-48BC-B930-9EAE5A9D52E1}"/>
            </a:ext>
          </a:extLst>
        </xdr:cNvPr>
        <xdr:cNvSpPr>
          <a:spLocks noChangeShapeType="1"/>
        </xdr:cNvSpPr>
      </xdr:nvSpPr>
      <xdr:spPr bwMode="auto">
        <a:xfrm>
          <a:off x="5397500" y="361124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171450</xdr:colOff>
      <xdr:row>214</xdr:row>
      <xdr:rowOff>0</xdr:rowOff>
    </xdr:from>
    <xdr:to>
      <xdr:col>24</xdr:col>
      <xdr:colOff>171450</xdr:colOff>
      <xdr:row>214</xdr:row>
      <xdr:rowOff>152400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8C10A61A-C4E1-48C3-A8A9-BB6CEC70019E}"/>
            </a:ext>
          </a:extLst>
        </xdr:cNvPr>
        <xdr:cNvSpPr>
          <a:spLocks noChangeShapeType="1"/>
        </xdr:cNvSpPr>
      </xdr:nvSpPr>
      <xdr:spPr bwMode="auto">
        <a:xfrm>
          <a:off x="6115050" y="354520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218</xdr:row>
      <xdr:rowOff>152400</xdr:rowOff>
    </xdr:from>
    <xdr:to>
      <xdr:col>24</xdr:col>
      <xdr:colOff>158750</xdr:colOff>
      <xdr:row>219</xdr:row>
      <xdr:rowOff>146050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6FEF03C4-8CFF-44AE-A66B-5B24E6BB387D}"/>
            </a:ext>
          </a:extLst>
        </xdr:cNvPr>
        <xdr:cNvSpPr>
          <a:spLocks noChangeShapeType="1"/>
        </xdr:cNvSpPr>
      </xdr:nvSpPr>
      <xdr:spPr bwMode="auto">
        <a:xfrm>
          <a:off x="6102350" y="362648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42</xdr:row>
          <xdr:rowOff>0</xdr:rowOff>
        </xdr:from>
        <xdr:to>
          <xdr:col>4</xdr:col>
          <xdr:colOff>171450</xdr:colOff>
          <xdr:row>42</xdr:row>
          <xdr:rowOff>152400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3F4331C5-DE76-48DF-98C5-82A08ABC1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44</xdr:row>
          <xdr:rowOff>127000</xdr:rowOff>
        </xdr:from>
        <xdr:to>
          <xdr:col>4</xdr:col>
          <xdr:colOff>146050</xdr:colOff>
          <xdr:row>45</xdr:row>
          <xdr:rowOff>114300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79F2554F-047A-48E9-AF67-7A4FB0352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45</xdr:row>
          <xdr:rowOff>152400</xdr:rowOff>
        </xdr:from>
        <xdr:to>
          <xdr:col>4</xdr:col>
          <xdr:colOff>158750</xdr:colOff>
          <xdr:row>46</xdr:row>
          <xdr:rowOff>146050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77C84FA6-9264-4A0C-9542-4E476939F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47</xdr:row>
          <xdr:rowOff>38100</xdr:rowOff>
        </xdr:from>
        <xdr:to>
          <xdr:col>4</xdr:col>
          <xdr:colOff>171450</xdr:colOff>
          <xdr:row>48</xdr:row>
          <xdr:rowOff>25400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D2F54921-4F28-43E6-B667-A28DC73C4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48</xdr:row>
          <xdr:rowOff>19050</xdr:rowOff>
        </xdr:from>
        <xdr:to>
          <xdr:col>2</xdr:col>
          <xdr:colOff>69850</xdr:colOff>
          <xdr:row>49</xdr:row>
          <xdr:rowOff>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29C59242-90D8-4FD5-8E59-1258E9097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587"/>
  <sheetViews>
    <sheetView tabSelected="1" topLeftCell="U253" zoomScaleNormal="100" workbookViewId="0">
      <selection activeCell="AR254" sqref="AR254"/>
    </sheetView>
  </sheetViews>
  <sheetFormatPr defaultColWidth="3.54296875" defaultRowHeight="13" x14ac:dyDescent="0.3"/>
  <cols>
    <col min="1" max="12" width="3.54296875" style="1" customWidth="1"/>
    <col min="13" max="13" width="3.54296875" style="3" customWidth="1"/>
    <col min="14" max="16384" width="3.54296875" style="1"/>
  </cols>
  <sheetData>
    <row r="1" spans="1:25" x14ac:dyDescent="0.3">
      <c r="M1" s="4"/>
    </row>
    <row r="2" spans="1:25" ht="14" x14ac:dyDescent="0.3">
      <c r="A2" s="121" t="s">
        <v>0</v>
      </c>
      <c r="B2" s="121"/>
      <c r="C2" s="121"/>
      <c r="D2" s="121"/>
      <c r="E2" s="121"/>
      <c r="F2" s="121"/>
      <c r="G2" s="121"/>
      <c r="M2" s="4"/>
    </row>
    <row r="3" spans="1:25" ht="14" x14ac:dyDescent="0.3">
      <c r="A3" s="2" t="s">
        <v>1</v>
      </c>
      <c r="M3" s="4"/>
    </row>
    <row r="4" spans="1:25" x14ac:dyDescent="0.3">
      <c r="M4" s="4"/>
    </row>
    <row r="5" spans="1:25" ht="12.75" customHeight="1" x14ac:dyDescent="0.3">
      <c r="A5" s="112">
        <v>4</v>
      </c>
      <c r="B5" s="114" t="s">
        <v>2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9"/>
      <c r="N5" s="112">
        <v>5</v>
      </c>
      <c r="O5" s="114" t="s">
        <v>3</v>
      </c>
      <c r="P5" s="114"/>
      <c r="Q5" s="114"/>
      <c r="R5" s="114"/>
      <c r="S5" s="114"/>
      <c r="T5" s="114"/>
      <c r="U5" s="114"/>
      <c r="V5" s="114"/>
      <c r="W5" s="114"/>
      <c r="X5" s="114"/>
      <c r="Y5" s="115"/>
    </row>
    <row r="6" spans="1:25" x14ac:dyDescent="0.3">
      <c r="A6" s="113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N6" s="113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x14ac:dyDescent="0.3">
      <c r="A7" s="1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N7" s="4"/>
      <c r="O7" s="4"/>
      <c r="P7" s="4"/>
      <c r="Q7" s="4"/>
      <c r="R7" s="4"/>
      <c r="S7" s="106" t="s">
        <v>18</v>
      </c>
      <c r="T7" s="106"/>
      <c r="U7" s="4"/>
      <c r="V7" s="8" t="s">
        <v>19</v>
      </c>
      <c r="W7" s="4"/>
      <c r="X7" s="4"/>
      <c r="Y7" s="3"/>
    </row>
    <row r="8" spans="1:25" x14ac:dyDescent="0.3">
      <c r="A8" s="10"/>
      <c r="B8" s="4"/>
      <c r="C8" s="123" t="s">
        <v>4</v>
      </c>
      <c r="D8" s="123"/>
      <c r="E8" s="4"/>
      <c r="F8" s="124">
        <v>1589</v>
      </c>
      <c r="G8" s="124"/>
      <c r="H8" s="4"/>
      <c r="I8" s="4"/>
      <c r="J8" s="4"/>
      <c r="K8" s="4"/>
      <c r="L8" s="4"/>
      <c r="N8" s="4"/>
      <c r="O8" s="4"/>
      <c r="P8" s="123" t="s">
        <v>11</v>
      </c>
      <c r="Q8" s="123"/>
      <c r="R8" s="4"/>
      <c r="S8" s="124">
        <v>5136</v>
      </c>
      <c r="T8" s="124"/>
      <c r="U8" s="4"/>
      <c r="V8" s="4"/>
      <c r="W8" s="4"/>
      <c r="X8" s="4"/>
      <c r="Y8" s="3"/>
    </row>
    <row r="9" spans="1:25" x14ac:dyDescent="0.3">
      <c r="A9" s="10"/>
      <c r="B9" s="4"/>
      <c r="C9" s="123" t="s">
        <v>5</v>
      </c>
      <c r="D9" s="123"/>
      <c r="E9" s="4"/>
      <c r="F9" s="124">
        <v>1384</v>
      </c>
      <c r="G9" s="124"/>
      <c r="H9" s="4"/>
      <c r="I9" s="4"/>
      <c r="J9" s="4"/>
      <c r="K9" s="4"/>
      <c r="L9" s="4"/>
      <c r="N9" s="4"/>
      <c r="O9" s="4"/>
      <c r="P9" s="123" t="s">
        <v>12</v>
      </c>
      <c r="Q9" s="123"/>
      <c r="R9" s="4"/>
      <c r="S9" s="124">
        <v>4909</v>
      </c>
      <c r="T9" s="124"/>
      <c r="U9" s="4"/>
      <c r="V9" s="4"/>
      <c r="W9" s="4"/>
      <c r="X9" s="4"/>
      <c r="Y9" s="3"/>
    </row>
    <row r="10" spans="1:25" x14ac:dyDescent="0.3">
      <c r="A10" s="10"/>
      <c r="B10" s="4"/>
      <c r="C10" s="123" t="s">
        <v>6</v>
      </c>
      <c r="D10" s="123"/>
      <c r="E10" s="4"/>
      <c r="F10" s="124">
        <v>1325</v>
      </c>
      <c r="G10" s="124"/>
      <c r="H10" s="4"/>
      <c r="I10" s="4"/>
      <c r="J10" s="4"/>
      <c r="K10" s="4"/>
      <c r="L10" s="4"/>
      <c r="N10" s="4"/>
      <c r="O10" s="4"/>
      <c r="P10" s="123" t="s">
        <v>13</v>
      </c>
      <c r="Q10" s="123"/>
      <c r="R10" s="4"/>
      <c r="S10" s="124">
        <v>4357</v>
      </c>
      <c r="T10" s="124"/>
      <c r="U10" s="4"/>
      <c r="V10" s="124">
        <v>1752</v>
      </c>
      <c r="W10" s="124"/>
      <c r="X10" s="4"/>
      <c r="Y10" s="3"/>
    </row>
    <row r="11" spans="1:25" x14ac:dyDescent="0.3">
      <c r="A11" s="10"/>
      <c r="B11" s="4"/>
      <c r="C11" s="123" t="s">
        <v>7</v>
      </c>
      <c r="D11" s="123"/>
      <c r="E11" s="4"/>
      <c r="F11" s="124">
        <v>1317</v>
      </c>
      <c r="G11" s="124"/>
      <c r="H11" s="4"/>
      <c r="I11" s="4"/>
      <c r="J11" s="4"/>
      <c r="K11" s="4"/>
      <c r="L11" s="4"/>
      <c r="N11" s="4"/>
      <c r="O11" s="4"/>
      <c r="P11" s="123" t="s">
        <v>17</v>
      </c>
      <c r="Q11" s="123"/>
      <c r="R11" s="4"/>
      <c r="S11" s="124">
        <v>3968</v>
      </c>
      <c r="T11" s="124"/>
      <c r="U11" s="4"/>
      <c r="V11" s="4"/>
      <c r="W11" s="4"/>
      <c r="X11" s="4"/>
      <c r="Y11" s="3"/>
    </row>
    <row r="12" spans="1:25" x14ac:dyDescent="0.3">
      <c r="A12" s="10"/>
      <c r="B12" s="4"/>
      <c r="C12" s="123" t="s">
        <v>8</v>
      </c>
      <c r="D12" s="123"/>
      <c r="E12" s="4"/>
      <c r="F12" s="124">
        <v>704</v>
      </c>
      <c r="G12" s="124"/>
      <c r="H12" s="4"/>
      <c r="I12" s="4"/>
      <c r="J12" s="4"/>
      <c r="K12" s="4"/>
      <c r="L12" s="4"/>
      <c r="N12" s="4"/>
      <c r="O12" s="4"/>
      <c r="P12" s="123" t="s">
        <v>14</v>
      </c>
      <c r="Q12" s="123"/>
      <c r="R12" s="4"/>
      <c r="S12" s="124">
        <v>3561</v>
      </c>
      <c r="T12" s="124"/>
      <c r="U12" s="4"/>
      <c r="V12" s="124">
        <v>1376</v>
      </c>
      <c r="W12" s="124"/>
      <c r="X12" s="4"/>
      <c r="Y12" s="3"/>
    </row>
    <row r="13" spans="1:25" x14ac:dyDescent="0.3">
      <c r="A13" s="10"/>
      <c r="B13" s="4"/>
      <c r="C13" s="123" t="s">
        <v>9</v>
      </c>
      <c r="D13" s="123"/>
      <c r="E13" s="4"/>
      <c r="F13" s="124">
        <v>644</v>
      </c>
      <c r="G13" s="124"/>
      <c r="H13" s="4"/>
      <c r="I13" s="4"/>
      <c r="J13" s="4"/>
      <c r="K13" s="4"/>
      <c r="L13" s="4"/>
      <c r="N13" s="4"/>
      <c r="O13" s="4"/>
      <c r="P13" s="123" t="s">
        <v>15</v>
      </c>
      <c r="Q13" s="123"/>
      <c r="R13" s="4"/>
      <c r="S13" s="124">
        <v>3337</v>
      </c>
      <c r="T13" s="124"/>
      <c r="U13" s="4"/>
      <c r="V13" s="4"/>
      <c r="W13" s="4"/>
      <c r="X13" s="4"/>
      <c r="Y13" s="3"/>
    </row>
    <row r="14" spans="1:25" x14ac:dyDescent="0.3">
      <c r="A14" s="10"/>
      <c r="B14" s="4"/>
      <c r="C14" s="123">
        <v>2001</v>
      </c>
      <c r="D14" s="123"/>
      <c r="E14" s="4"/>
      <c r="F14" s="124">
        <v>681</v>
      </c>
      <c r="G14" s="124"/>
      <c r="H14" s="4"/>
      <c r="I14" s="4"/>
      <c r="J14" s="4"/>
      <c r="K14" s="4"/>
      <c r="L14" s="4"/>
      <c r="N14" s="4"/>
      <c r="O14" s="4"/>
      <c r="P14" s="123" t="s">
        <v>16</v>
      </c>
      <c r="Q14" s="123"/>
      <c r="R14" s="4"/>
      <c r="S14" s="124">
        <v>3598</v>
      </c>
      <c r="T14" s="124"/>
      <c r="U14" s="4"/>
      <c r="V14" s="4"/>
      <c r="W14" s="4"/>
      <c r="X14" s="4"/>
      <c r="Y14" s="3"/>
    </row>
    <row r="15" spans="1:25" x14ac:dyDescent="0.3">
      <c r="A15" s="11"/>
      <c r="B15" s="12"/>
      <c r="C15" s="5" t="s">
        <v>10</v>
      </c>
      <c r="D15" s="12"/>
      <c r="E15" s="12"/>
      <c r="F15" s="6"/>
      <c r="G15" s="12"/>
      <c r="H15" s="12"/>
      <c r="I15" s="12"/>
      <c r="J15" s="12"/>
      <c r="K15" s="12"/>
      <c r="L15" s="12"/>
      <c r="M15" s="13"/>
      <c r="N15" s="12"/>
      <c r="O15" s="5" t="s">
        <v>20</v>
      </c>
      <c r="P15" s="12"/>
      <c r="Q15" s="12"/>
      <c r="R15" s="12"/>
      <c r="S15" s="12"/>
      <c r="T15" s="12"/>
      <c r="U15" s="12"/>
      <c r="V15" s="12"/>
      <c r="W15" s="12"/>
      <c r="X15" s="12"/>
      <c r="Y15" s="13"/>
    </row>
    <row r="16" spans="1:25" x14ac:dyDescent="0.3">
      <c r="M16" s="16"/>
    </row>
    <row r="17" spans="1:25" x14ac:dyDescent="0.3">
      <c r="A17" s="112">
        <v>6</v>
      </c>
      <c r="B17" s="114" t="s">
        <v>21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9"/>
      <c r="N17" s="112">
        <v>7</v>
      </c>
      <c r="O17" s="107" t="s">
        <v>22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8"/>
    </row>
    <row r="18" spans="1:25" x14ac:dyDescent="0.3">
      <c r="A18" s="113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N18" s="113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10"/>
    </row>
    <row r="19" spans="1:25" x14ac:dyDescent="0.3">
      <c r="A19" s="1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O19" s="4"/>
      <c r="P19" s="4"/>
      <c r="Q19" s="4"/>
      <c r="R19" s="4"/>
      <c r="S19" s="106" t="s">
        <v>23</v>
      </c>
      <c r="T19" s="106"/>
      <c r="U19" s="4"/>
      <c r="V19" s="106" t="s">
        <v>24</v>
      </c>
      <c r="W19" s="106"/>
      <c r="X19" s="4"/>
      <c r="Y19" s="3"/>
    </row>
    <row r="20" spans="1:25" x14ac:dyDescent="0.3">
      <c r="A20" s="10"/>
      <c r="B20" s="4"/>
      <c r="C20" s="4"/>
      <c r="D20" s="4"/>
      <c r="E20" s="4"/>
      <c r="F20" s="106" t="s">
        <v>33</v>
      </c>
      <c r="G20" s="106"/>
      <c r="H20" s="4"/>
      <c r="I20" s="106" t="s">
        <v>29</v>
      </c>
      <c r="J20" s="106"/>
      <c r="K20" s="4"/>
      <c r="L20" s="4"/>
      <c r="N20" s="4"/>
      <c r="O20" s="4"/>
      <c r="P20" s="125">
        <v>1998</v>
      </c>
      <c r="Q20" s="125"/>
      <c r="R20" s="4"/>
      <c r="S20" s="111">
        <v>5.6000000000000001E-2</v>
      </c>
      <c r="T20" s="111"/>
      <c r="U20" s="4"/>
      <c r="V20" s="111">
        <v>2.9000000000000001E-2</v>
      </c>
      <c r="W20" s="111"/>
      <c r="X20" s="4"/>
      <c r="Y20" s="3"/>
    </row>
    <row r="21" spans="1:25" x14ac:dyDescent="0.3">
      <c r="A21" s="10"/>
      <c r="B21" s="4"/>
      <c r="C21" s="123" t="s">
        <v>25</v>
      </c>
      <c r="D21" s="123"/>
      <c r="E21" s="4"/>
      <c r="F21" s="111">
        <v>0.17</v>
      </c>
      <c r="G21" s="111"/>
      <c r="H21" s="4"/>
      <c r="I21" s="106" t="s">
        <v>30</v>
      </c>
      <c r="J21" s="106"/>
      <c r="K21" s="106"/>
      <c r="L21" s="4"/>
      <c r="N21" s="4"/>
      <c r="O21" s="4"/>
      <c r="P21" s="125">
        <v>1999</v>
      </c>
      <c r="Q21" s="125"/>
      <c r="R21" s="4"/>
      <c r="S21" s="111">
        <v>5.1999999999999998E-2</v>
      </c>
      <c r="T21" s="111"/>
      <c r="U21" s="4"/>
      <c r="V21" s="111">
        <v>2.8000000000000001E-2</v>
      </c>
      <c r="W21" s="111"/>
      <c r="X21" s="4"/>
      <c r="Y21" s="3"/>
    </row>
    <row r="22" spans="1:25" x14ac:dyDescent="0.3">
      <c r="A22" s="10"/>
      <c r="B22" s="4"/>
      <c r="C22" s="123" t="s">
        <v>26</v>
      </c>
      <c r="D22" s="123"/>
      <c r="E22" s="4"/>
      <c r="F22" s="111">
        <v>0.189</v>
      </c>
      <c r="G22" s="111"/>
      <c r="H22" s="4"/>
      <c r="I22" s="106" t="s">
        <v>31</v>
      </c>
      <c r="J22" s="106"/>
      <c r="K22" s="106"/>
      <c r="L22" s="4"/>
      <c r="N22" s="4"/>
      <c r="O22" s="4"/>
      <c r="P22" s="125">
        <v>2000</v>
      </c>
      <c r="Q22" s="125"/>
      <c r="R22" s="4"/>
      <c r="S22" s="111">
        <v>4.5999999999999999E-2</v>
      </c>
      <c r="T22" s="111"/>
      <c r="U22" s="4"/>
      <c r="V22" s="111">
        <v>2.7E-2</v>
      </c>
      <c r="W22" s="111"/>
      <c r="X22" s="4"/>
      <c r="Y22" s="3"/>
    </row>
    <row r="23" spans="1:25" x14ac:dyDescent="0.3">
      <c r="A23" s="10"/>
      <c r="B23" s="4"/>
      <c r="C23" s="123" t="s">
        <v>8</v>
      </c>
      <c r="D23" s="123"/>
      <c r="E23" s="4"/>
      <c r="F23" s="111">
        <v>0.17599999999999999</v>
      </c>
      <c r="G23" s="111"/>
      <c r="H23" s="4"/>
      <c r="I23" s="106" t="s">
        <v>32</v>
      </c>
      <c r="J23" s="106"/>
      <c r="K23" s="106"/>
      <c r="L23" s="4"/>
      <c r="N23" s="4"/>
      <c r="O23" s="4"/>
      <c r="P23" s="125">
        <v>2001</v>
      </c>
      <c r="Q23" s="125"/>
      <c r="R23" s="4"/>
      <c r="S23" s="111">
        <v>4.9000000000000002E-2</v>
      </c>
      <c r="T23" s="111"/>
      <c r="U23" s="4"/>
      <c r="V23" s="111">
        <v>2.5999999999999999E-2</v>
      </c>
      <c r="W23" s="111"/>
      <c r="X23" s="4"/>
      <c r="Y23" s="3"/>
    </row>
    <row r="24" spans="1:25" x14ac:dyDescent="0.3">
      <c r="A24" s="10"/>
      <c r="B24" s="4"/>
      <c r="C24" s="15" t="s">
        <v>27</v>
      </c>
      <c r="D24" s="4"/>
      <c r="E24" s="4"/>
      <c r="F24" s="4"/>
      <c r="G24" s="4"/>
      <c r="H24" s="4"/>
      <c r="I24" s="4"/>
      <c r="J24" s="4"/>
      <c r="K24" s="4"/>
      <c r="L24" s="4"/>
      <c r="N24" s="4"/>
      <c r="O24" s="4"/>
      <c r="P24" s="106">
        <v>2002</v>
      </c>
      <c r="Q24" s="106"/>
      <c r="R24" s="4"/>
      <c r="S24" s="111">
        <v>6.0999999999999999E-2</v>
      </c>
      <c r="T24" s="111"/>
      <c r="U24" s="4"/>
      <c r="V24" s="111">
        <v>3.4000000000000002E-2</v>
      </c>
      <c r="W24" s="111"/>
      <c r="X24" s="4"/>
      <c r="Y24" s="3"/>
    </row>
    <row r="25" spans="1:25" x14ac:dyDescent="0.3">
      <c r="A25" s="11"/>
      <c r="B25" s="12"/>
      <c r="C25" s="5" t="s">
        <v>28</v>
      </c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2"/>
      <c r="O25" s="12"/>
      <c r="P25" s="5" t="s">
        <v>330</v>
      </c>
      <c r="Q25" s="12"/>
      <c r="R25" s="12"/>
      <c r="S25" s="12"/>
      <c r="T25" s="12"/>
      <c r="U25" s="12"/>
      <c r="V25" s="12"/>
      <c r="W25" s="12"/>
      <c r="X25" s="12"/>
      <c r="Y25" s="13"/>
    </row>
    <row r="26" spans="1:25" x14ac:dyDescent="0.3">
      <c r="M26" s="17"/>
    </row>
    <row r="27" spans="1:25" x14ac:dyDescent="0.3">
      <c r="A27" s="112">
        <v>8</v>
      </c>
      <c r="B27" s="114" t="s">
        <v>34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9"/>
      <c r="N27" s="112">
        <v>9</v>
      </c>
      <c r="O27" s="114" t="s">
        <v>324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15"/>
    </row>
    <row r="28" spans="1:25" x14ac:dyDescent="0.3">
      <c r="A28" s="113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N28" s="113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7"/>
    </row>
    <row r="29" spans="1:25" x14ac:dyDescent="0.3">
      <c r="A29" s="10"/>
      <c r="B29" s="106" t="s">
        <v>291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N29" s="10"/>
      <c r="O29" s="4"/>
      <c r="P29" s="4" t="s">
        <v>318</v>
      </c>
      <c r="Q29" s="4"/>
      <c r="R29" s="4"/>
      <c r="S29" s="4"/>
      <c r="T29" s="4"/>
      <c r="U29" s="4"/>
      <c r="V29" s="4"/>
      <c r="W29" s="4"/>
      <c r="X29" s="4"/>
      <c r="Y29" s="3"/>
    </row>
    <row r="30" spans="1:25" x14ac:dyDescent="0.3">
      <c r="A30" s="10"/>
      <c r="B30" s="1" t="s">
        <v>48</v>
      </c>
      <c r="E30" s="126">
        <v>0.115</v>
      </c>
      <c r="F30" s="126"/>
      <c r="N30" s="10"/>
      <c r="O30" s="1" t="s">
        <v>48</v>
      </c>
      <c r="P30" s="4"/>
      <c r="Q30" s="4"/>
      <c r="R30" s="164" t="s">
        <v>329</v>
      </c>
      <c r="S30" s="111"/>
      <c r="T30" s="4"/>
      <c r="U30" s="4"/>
      <c r="V30" s="4"/>
      <c r="W30" s="4"/>
      <c r="X30" s="4"/>
      <c r="Y30" s="3"/>
    </row>
    <row r="31" spans="1:25" x14ac:dyDescent="0.3">
      <c r="A31" s="10"/>
      <c r="B31" s="4" t="s">
        <v>36</v>
      </c>
      <c r="C31" s="4"/>
      <c r="D31" s="4"/>
      <c r="E31" s="111">
        <v>7.5999999999999998E-2</v>
      </c>
      <c r="F31" s="111"/>
      <c r="G31" s="4"/>
      <c r="H31" s="18" t="s">
        <v>41</v>
      </c>
      <c r="I31" s="4"/>
      <c r="J31" s="4"/>
      <c r="K31" s="111">
        <v>0.22700000000000001</v>
      </c>
      <c r="L31" s="111"/>
      <c r="N31" s="10"/>
      <c r="O31" s="4" t="s">
        <v>36</v>
      </c>
      <c r="P31" s="4"/>
      <c r="Q31" s="4"/>
      <c r="R31" s="164" t="s">
        <v>321</v>
      </c>
      <c r="S31" s="111"/>
      <c r="T31" s="4"/>
      <c r="U31" s="18" t="s">
        <v>41</v>
      </c>
      <c r="V31" s="4"/>
      <c r="W31" s="4"/>
      <c r="X31" s="164" t="s">
        <v>325</v>
      </c>
      <c r="Y31" s="132"/>
    </row>
    <row r="32" spans="1:25" x14ac:dyDescent="0.3">
      <c r="A32" s="10"/>
      <c r="B32" s="4" t="s">
        <v>37</v>
      </c>
      <c r="C32" s="4"/>
      <c r="D32" s="4"/>
      <c r="E32" s="111">
        <v>0.05</v>
      </c>
      <c r="F32" s="111"/>
      <c r="G32" s="4"/>
      <c r="H32" s="18" t="s">
        <v>42</v>
      </c>
      <c r="I32" s="4"/>
      <c r="J32" s="4"/>
      <c r="K32" s="111">
        <v>4.1000000000000002E-2</v>
      </c>
      <c r="L32" s="111"/>
      <c r="N32" s="10"/>
      <c r="O32" s="4" t="s">
        <v>37</v>
      </c>
      <c r="P32" s="4"/>
      <c r="Q32" s="4"/>
      <c r="R32" s="164" t="s">
        <v>320</v>
      </c>
      <c r="S32" s="111"/>
      <c r="T32" s="4"/>
      <c r="U32" s="18" t="s">
        <v>42</v>
      </c>
      <c r="V32" s="4"/>
      <c r="W32" s="4"/>
      <c r="X32" s="164" t="s">
        <v>325</v>
      </c>
      <c r="Y32" s="132"/>
    </row>
    <row r="33" spans="1:25" x14ac:dyDescent="0.3">
      <c r="A33" s="10"/>
      <c r="B33" s="4" t="s">
        <v>38</v>
      </c>
      <c r="C33" s="4"/>
      <c r="D33" s="4"/>
      <c r="E33" s="111">
        <v>0.156</v>
      </c>
      <c r="F33" s="111"/>
      <c r="G33" s="4"/>
      <c r="H33" s="18" t="s">
        <v>43</v>
      </c>
      <c r="I33" s="4"/>
      <c r="J33" s="4"/>
      <c r="K33" s="111">
        <v>5.6000000000000001E-2</v>
      </c>
      <c r="L33" s="111"/>
      <c r="N33" s="10"/>
      <c r="O33" s="4" t="s">
        <v>38</v>
      </c>
      <c r="P33" s="4"/>
      <c r="Q33" s="4"/>
      <c r="R33" s="165" t="s">
        <v>319</v>
      </c>
      <c r="S33" s="166"/>
      <c r="T33" s="4"/>
      <c r="U33" s="18" t="s">
        <v>43</v>
      </c>
      <c r="V33" s="4"/>
      <c r="W33" s="4"/>
      <c r="X33" s="164" t="s">
        <v>326</v>
      </c>
      <c r="Y33" s="132"/>
    </row>
    <row r="34" spans="1:25" x14ac:dyDescent="0.3">
      <c r="A34" s="10"/>
      <c r="B34" s="4" t="s">
        <v>39</v>
      </c>
      <c r="C34" s="4"/>
      <c r="D34" s="4"/>
      <c r="E34" s="111">
        <v>0.24399999999999999</v>
      </c>
      <c r="F34" s="111"/>
      <c r="G34" s="4"/>
      <c r="H34" s="18" t="s">
        <v>44</v>
      </c>
      <c r="I34" s="4"/>
      <c r="J34" s="4"/>
      <c r="K34" s="111">
        <v>0.13200000000000001</v>
      </c>
      <c r="L34" s="111"/>
      <c r="N34" s="10"/>
      <c r="O34" s="4" t="s">
        <v>39</v>
      </c>
      <c r="P34" s="4"/>
      <c r="Q34" s="4"/>
      <c r="R34" s="164" t="s">
        <v>322</v>
      </c>
      <c r="S34" s="111"/>
      <c r="T34" s="4"/>
      <c r="U34" s="18" t="s">
        <v>44</v>
      </c>
      <c r="V34" s="4"/>
      <c r="W34" s="4"/>
      <c r="X34" s="164" t="s">
        <v>327</v>
      </c>
      <c r="Y34" s="132"/>
    </row>
    <row r="35" spans="1:25" x14ac:dyDescent="0.3">
      <c r="A35" s="10"/>
      <c r="B35" s="4" t="s">
        <v>40</v>
      </c>
      <c r="C35" s="4"/>
      <c r="D35" s="4"/>
      <c r="E35" s="111">
        <v>7.6999999999999999E-2</v>
      </c>
      <c r="F35" s="111"/>
      <c r="G35" s="4"/>
      <c r="H35" s="18" t="s">
        <v>45</v>
      </c>
      <c r="I35" s="4"/>
      <c r="J35" s="4"/>
      <c r="K35" s="111">
        <v>7.8E-2</v>
      </c>
      <c r="L35" s="111"/>
      <c r="N35" s="10"/>
      <c r="O35" s="4" t="s">
        <v>40</v>
      </c>
      <c r="P35" s="4"/>
      <c r="Q35" s="4"/>
      <c r="R35" s="164" t="s">
        <v>323</v>
      </c>
      <c r="S35" s="111"/>
      <c r="T35" s="4"/>
      <c r="U35" s="18" t="s">
        <v>45</v>
      </c>
      <c r="V35" s="4"/>
      <c r="W35" s="4"/>
      <c r="X35" s="164" t="s">
        <v>328</v>
      </c>
      <c r="Y35" s="132"/>
    </row>
    <row r="36" spans="1:25" x14ac:dyDescent="0.3">
      <c r="A36" s="10"/>
      <c r="B36" s="15"/>
      <c r="C36" s="4"/>
      <c r="D36" s="4"/>
      <c r="E36" s="4"/>
      <c r="F36" s="4"/>
      <c r="G36" s="4"/>
      <c r="H36" s="4"/>
      <c r="I36" s="4"/>
      <c r="J36" s="4"/>
      <c r="K36" s="4"/>
      <c r="L36" s="4"/>
      <c r="N36" s="10"/>
      <c r="O36" s="15"/>
      <c r="P36" s="4"/>
      <c r="Q36" s="4"/>
      <c r="R36" s="4"/>
      <c r="S36" s="4"/>
      <c r="T36" s="4"/>
      <c r="U36" s="4"/>
      <c r="V36" s="4"/>
      <c r="W36" s="4"/>
      <c r="X36" s="4"/>
      <c r="Y36" s="3"/>
    </row>
    <row r="37" spans="1:25" x14ac:dyDescent="0.3">
      <c r="A37" s="11"/>
      <c r="B37" s="5" t="s">
        <v>28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  <c r="N37" s="11"/>
      <c r="O37" s="5" t="s">
        <v>28</v>
      </c>
      <c r="P37" s="12"/>
      <c r="Q37" s="12"/>
      <c r="R37" s="12"/>
      <c r="S37" s="12"/>
      <c r="T37" s="12"/>
      <c r="U37" s="12"/>
      <c r="V37" s="12"/>
      <c r="W37" s="12"/>
      <c r="X37" s="12"/>
      <c r="Y37" s="13"/>
    </row>
    <row r="38" spans="1:25" x14ac:dyDescent="0.3">
      <c r="M38" s="17"/>
    </row>
    <row r="39" spans="1:25" x14ac:dyDescent="0.3">
      <c r="A39" s="112">
        <v>10</v>
      </c>
      <c r="B39" s="107" t="s">
        <v>35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9"/>
      <c r="N39" s="112">
        <v>11</v>
      </c>
      <c r="O39" s="114" t="s">
        <v>47</v>
      </c>
      <c r="P39" s="114"/>
      <c r="Q39" s="114"/>
      <c r="R39" s="114"/>
      <c r="S39" s="114"/>
      <c r="T39" s="114"/>
      <c r="U39" s="114"/>
      <c r="V39" s="114"/>
      <c r="W39" s="114"/>
      <c r="X39" s="114"/>
      <c r="Y39" s="115"/>
    </row>
    <row r="40" spans="1:25" x14ac:dyDescent="0.3">
      <c r="A40" s="113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N40" s="113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7"/>
    </row>
    <row r="41" spans="1:25" x14ac:dyDescent="0.3">
      <c r="A41" s="1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3"/>
    </row>
    <row r="42" spans="1:25" x14ac:dyDescent="0.3">
      <c r="A42" s="10"/>
      <c r="B42" s="106" t="s">
        <v>292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39"/>
      <c r="N42" s="4"/>
      <c r="O42" s="4"/>
      <c r="P42" s="4"/>
      <c r="Q42" s="130" t="s">
        <v>52</v>
      </c>
      <c r="R42" s="130"/>
      <c r="S42" s="4"/>
      <c r="T42" s="130" t="s">
        <v>53</v>
      </c>
      <c r="U42" s="130"/>
      <c r="V42" s="4"/>
      <c r="W42" s="130" t="s">
        <v>54</v>
      </c>
      <c r="X42" s="130"/>
      <c r="Y42" s="3"/>
    </row>
    <row r="43" spans="1:25" x14ac:dyDescent="0.3">
      <c r="A43" s="10"/>
      <c r="B43" s="4"/>
      <c r="C43" s="4" t="s">
        <v>24</v>
      </c>
      <c r="D43" s="4"/>
      <c r="E43" s="4"/>
      <c r="F43" s="111">
        <v>0.47399999999999998</v>
      </c>
      <c r="G43" s="111"/>
      <c r="H43" s="4"/>
      <c r="I43" s="4"/>
      <c r="J43" s="4"/>
      <c r="K43" s="4"/>
      <c r="L43" s="4"/>
      <c r="N43" s="20" t="s">
        <v>48</v>
      </c>
      <c r="O43" s="4"/>
      <c r="P43" s="4"/>
      <c r="Q43" s="111">
        <v>0.27488398878532999</v>
      </c>
      <c r="R43" s="111"/>
      <c r="S43" s="4"/>
      <c r="T43" s="111">
        <v>0.26641381385900231</v>
      </c>
      <c r="U43" s="111"/>
      <c r="V43" s="4"/>
      <c r="W43" s="111">
        <v>0.24728680777942669</v>
      </c>
      <c r="X43" s="111"/>
      <c r="Y43" s="3"/>
    </row>
    <row r="44" spans="1:25" x14ac:dyDescent="0.3">
      <c r="A44" s="10"/>
      <c r="B44" s="4"/>
      <c r="C44" s="4" t="s">
        <v>36</v>
      </c>
      <c r="D44" s="4"/>
      <c r="E44" s="4"/>
      <c r="F44" s="111">
        <v>0</v>
      </c>
      <c r="G44" s="111"/>
      <c r="H44" s="4"/>
      <c r="I44" s="18" t="s">
        <v>41</v>
      </c>
      <c r="J44" s="4"/>
      <c r="K44" s="4"/>
      <c r="L44" s="111">
        <v>0.48599999999999999</v>
      </c>
      <c r="M44" s="132"/>
      <c r="N44" s="20" t="s">
        <v>38</v>
      </c>
      <c r="O44" s="4"/>
      <c r="P44" s="4"/>
      <c r="Q44" s="111">
        <v>0.218</v>
      </c>
      <c r="R44" s="111"/>
      <c r="S44" s="4"/>
      <c r="T44" s="111">
        <v>0.25700000000000001</v>
      </c>
      <c r="U44" s="111"/>
      <c r="V44" s="4"/>
      <c r="W44" s="111">
        <v>0.22799999999999998</v>
      </c>
      <c r="X44" s="111"/>
      <c r="Y44" s="3"/>
    </row>
    <row r="45" spans="1:25" x14ac:dyDescent="0.3">
      <c r="A45" s="10"/>
      <c r="B45" s="4"/>
      <c r="C45" s="4" t="s">
        <v>37</v>
      </c>
      <c r="D45" s="4"/>
      <c r="E45" s="4"/>
      <c r="F45" s="111">
        <v>0</v>
      </c>
      <c r="G45" s="111"/>
      <c r="H45" s="4"/>
      <c r="I45" s="18" t="s">
        <v>42</v>
      </c>
      <c r="J45" s="4"/>
      <c r="K45" s="4"/>
      <c r="L45" s="111">
        <v>0.318</v>
      </c>
      <c r="M45" s="132"/>
      <c r="N45" s="20" t="s">
        <v>40</v>
      </c>
      <c r="O45" s="4"/>
      <c r="P45" s="4"/>
      <c r="Q45" s="111">
        <v>0.31900000000000001</v>
      </c>
      <c r="R45" s="111"/>
      <c r="S45" s="4"/>
      <c r="T45" s="111">
        <v>0.32800000000000001</v>
      </c>
      <c r="U45" s="111"/>
      <c r="V45" s="4"/>
      <c r="W45" s="111">
        <v>0.308</v>
      </c>
      <c r="X45" s="111"/>
      <c r="Y45" s="3"/>
    </row>
    <row r="46" spans="1:25" x14ac:dyDescent="0.3">
      <c r="A46" s="10"/>
      <c r="B46" s="4"/>
      <c r="C46" s="4" t="s">
        <v>38</v>
      </c>
      <c r="D46" s="4"/>
      <c r="E46" s="4"/>
      <c r="F46" s="111">
        <v>0.79300000000000004</v>
      </c>
      <c r="G46" s="111"/>
      <c r="H46" s="4"/>
      <c r="I46" s="18" t="s">
        <v>43</v>
      </c>
      <c r="J46" s="4"/>
      <c r="K46" s="4"/>
      <c r="L46" s="111">
        <v>0.13500000000000001</v>
      </c>
      <c r="M46" s="132"/>
      <c r="N46" s="20" t="s">
        <v>49</v>
      </c>
      <c r="O46" s="4"/>
      <c r="P46" s="4"/>
      <c r="Q46" s="111">
        <v>0.29699999999999999</v>
      </c>
      <c r="R46" s="111"/>
      <c r="S46" s="4"/>
      <c r="T46" s="111">
        <v>0.25700000000000001</v>
      </c>
      <c r="U46" s="111"/>
      <c r="V46" s="4"/>
      <c r="W46" s="111">
        <v>0.252</v>
      </c>
      <c r="X46" s="111"/>
      <c r="Y46" s="3"/>
    </row>
    <row r="47" spans="1:25" x14ac:dyDescent="0.3">
      <c r="A47" s="10"/>
      <c r="B47" s="4"/>
      <c r="C47" s="4" t="s">
        <v>39</v>
      </c>
      <c r="D47" s="4"/>
      <c r="E47" s="4"/>
      <c r="F47" s="111">
        <v>0.63100000000000001</v>
      </c>
      <c r="G47" s="111"/>
      <c r="H47" s="4"/>
      <c r="I47" s="18" t="s">
        <v>44</v>
      </c>
      <c r="J47" s="4"/>
      <c r="K47" s="4"/>
      <c r="L47" s="111">
        <v>0.39600000000000002</v>
      </c>
      <c r="M47" s="132"/>
      <c r="N47" s="20" t="s">
        <v>43</v>
      </c>
      <c r="O47" s="4"/>
      <c r="P47" s="4"/>
      <c r="Q47" s="111">
        <v>0.20400000000000001</v>
      </c>
      <c r="R47" s="111"/>
      <c r="S47" s="4"/>
      <c r="T47" s="111">
        <v>0.156</v>
      </c>
      <c r="U47" s="111"/>
      <c r="V47" s="4"/>
      <c r="W47" s="111">
        <v>0.10200000000000001</v>
      </c>
      <c r="X47" s="111"/>
      <c r="Y47" s="3"/>
    </row>
    <row r="48" spans="1:25" x14ac:dyDescent="0.3">
      <c r="A48" s="10"/>
      <c r="B48" s="4"/>
      <c r="C48" s="4" t="s">
        <v>40</v>
      </c>
      <c r="D48" s="4"/>
      <c r="E48" s="4"/>
      <c r="F48" s="111">
        <v>0.4</v>
      </c>
      <c r="G48" s="111"/>
      <c r="H48" s="4"/>
      <c r="I48" s="18" t="s">
        <v>45</v>
      </c>
      <c r="J48" s="4"/>
      <c r="K48" s="4"/>
      <c r="L48" s="111">
        <v>0.378</v>
      </c>
      <c r="M48" s="132"/>
      <c r="N48" s="20" t="s">
        <v>44</v>
      </c>
      <c r="O48" s="4"/>
      <c r="P48" s="4"/>
      <c r="Q48" s="111">
        <v>0.36699999999999999</v>
      </c>
      <c r="R48" s="111"/>
      <c r="S48" s="4"/>
      <c r="T48" s="111">
        <v>0.375</v>
      </c>
      <c r="U48" s="111"/>
      <c r="V48" s="4"/>
      <c r="W48" s="111">
        <v>0.48099999999999998</v>
      </c>
      <c r="X48" s="111"/>
      <c r="Y48" s="3"/>
    </row>
    <row r="49" spans="1:25" x14ac:dyDescent="0.3">
      <c r="A49" s="10"/>
      <c r="B49" s="4"/>
      <c r="C49" s="15" t="s">
        <v>46</v>
      </c>
      <c r="D49" s="4"/>
      <c r="E49" s="4"/>
      <c r="F49" s="4"/>
      <c r="G49" s="4"/>
      <c r="H49" s="4"/>
      <c r="I49" s="4"/>
      <c r="J49" s="4"/>
      <c r="K49" s="4"/>
      <c r="L49" s="4"/>
      <c r="N49" s="20" t="s">
        <v>50</v>
      </c>
      <c r="O49" s="4"/>
      <c r="P49" s="4"/>
      <c r="Q49" s="111">
        <v>0.26200000000000001</v>
      </c>
      <c r="R49" s="111"/>
      <c r="S49" s="4"/>
      <c r="T49" s="111">
        <v>0.33299999999999996</v>
      </c>
      <c r="U49" s="111"/>
      <c r="V49" s="4"/>
      <c r="W49" s="111">
        <v>0.19800000000000001</v>
      </c>
      <c r="X49" s="111"/>
      <c r="Y49" s="3"/>
    </row>
    <row r="50" spans="1:25" x14ac:dyDescent="0.3">
      <c r="A50" s="11"/>
      <c r="B50" s="12"/>
      <c r="C50" s="5" t="s">
        <v>28</v>
      </c>
      <c r="D50" s="12"/>
      <c r="E50" s="12"/>
      <c r="F50" s="12"/>
      <c r="G50" s="12"/>
      <c r="H50" s="12"/>
      <c r="I50" s="12"/>
      <c r="J50" s="12"/>
      <c r="K50" s="12"/>
      <c r="L50" s="12"/>
      <c r="M50" s="13"/>
      <c r="N50" s="5" t="s">
        <v>51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3"/>
    </row>
    <row r="51" spans="1:25" x14ac:dyDescent="0.3">
      <c r="M51" s="17"/>
    </row>
    <row r="52" spans="1:25" x14ac:dyDescent="0.3">
      <c r="M52" s="4"/>
    </row>
    <row r="53" spans="1:25" ht="14" x14ac:dyDescent="0.3">
      <c r="A53" s="121" t="s">
        <v>0</v>
      </c>
      <c r="B53" s="121"/>
      <c r="C53" s="121"/>
      <c r="D53" s="121"/>
      <c r="E53" s="121"/>
      <c r="F53" s="121"/>
      <c r="G53" s="121"/>
      <c r="M53" s="4"/>
    </row>
    <row r="54" spans="1:25" ht="14" x14ac:dyDescent="0.3">
      <c r="A54" s="2" t="s">
        <v>55</v>
      </c>
      <c r="M54" s="4"/>
    </row>
    <row r="55" spans="1:25" x14ac:dyDescent="0.3">
      <c r="M55" s="4"/>
    </row>
    <row r="56" spans="1:25" x14ac:dyDescent="0.3">
      <c r="A56" s="112">
        <v>12</v>
      </c>
      <c r="B56" s="114" t="s">
        <v>56</v>
      </c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9"/>
      <c r="N56" s="112">
        <v>13</v>
      </c>
      <c r="O56" s="107" t="s">
        <v>57</v>
      </c>
      <c r="P56" s="107"/>
      <c r="Q56" s="107"/>
      <c r="R56" s="107"/>
      <c r="S56" s="107"/>
      <c r="T56" s="107"/>
      <c r="U56" s="107"/>
      <c r="V56" s="107"/>
      <c r="W56" s="107"/>
      <c r="X56" s="107"/>
      <c r="Y56" s="108"/>
    </row>
    <row r="57" spans="1:25" x14ac:dyDescent="0.3">
      <c r="A57" s="113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N57" s="113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10"/>
    </row>
    <row r="58" spans="1:25" x14ac:dyDescent="0.3">
      <c r="A58" s="10"/>
      <c r="B58" s="4"/>
      <c r="C58" s="4"/>
      <c r="D58" s="4"/>
      <c r="E58" s="122" t="s">
        <v>58</v>
      </c>
      <c r="F58" s="122"/>
      <c r="G58" s="122"/>
      <c r="H58" s="4" t="s">
        <v>59</v>
      </c>
      <c r="I58" s="4"/>
      <c r="J58" s="4"/>
      <c r="K58" s="4"/>
      <c r="L58" s="4"/>
      <c r="N58" s="4"/>
      <c r="O58" s="123" t="s">
        <v>6</v>
      </c>
      <c r="P58" s="123"/>
      <c r="Q58" s="4"/>
      <c r="R58" s="7">
        <v>55</v>
      </c>
      <c r="S58" s="4"/>
      <c r="T58" s="163" t="s">
        <v>293</v>
      </c>
      <c r="U58" s="163"/>
      <c r="V58" s="163"/>
      <c r="W58" s="163"/>
      <c r="X58" s="163"/>
      <c r="Y58" s="3"/>
    </row>
    <row r="59" spans="1:25" x14ac:dyDescent="0.3">
      <c r="A59" s="10"/>
      <c r="B59" s="123" t="s">
        <v>5</v>
      </c>
      <c r="C59" s="123"/>
      <c r="D59" s="4"/>
      <c r="E59" s="106">
        <v>150</v>
      </c>
      <c r="F59" s="106"/>
      <c r="G59" s="4"/>
      <c r="H59" s="106">
        <v>95</v>
      </c>
      <c r="I59" s="106"/>
      <c r="J59" s="4"/>
      <c r="K59" s="4"/>
      <c r="L59" s="4"/>
      <c r="N59" s="4"/>
      <c r="O59" s="123" t="s">
        <v>7</v>
      </c>
      <c r="P59" s="123"/>
      <c r="Q59" s="4"/>
      <c r="R59" s="7">
        <v>48</v>
      </c>
      <c r="S59" s="4"/>
      <c r="T59" s="163"/>
      <c r="U59" s="163"/>
      <c r="V59" s="163"/>
      <c r="W59" s="163"/>
      <c r="X59" s="163"/>
      <c r="Y59" s="3"/>
    </row>
    <row r="60" spans="1:25" x14ac:dyDescent="0.3">
      <c r="A60" s="10"/>
      <c r="B60" s="123" t="s">
        <v>6</v>
      </c>
      <c r="C60" s="123"/>
      <c r="D60" s="4"/>
      <c r="E60" s="106">
        <v>152</v>
      </c>
      <c r="F60" s="106"/>
      <c r="G60" s="4"/>
      <c r="H60" s="106">
        <v>120</v>
      </c>
      <c r="I60" s="106"/>
      <c r="J60" s="4"/>
      <c r="K60" s="4"/>
      <c r="L60" s="4"/>
      <c r="N60" s="4"/>
      <c r="O60" s="123" t="s">
        <v>8</v>
      </c>
      <c r="P60" s="123"/>
      <c r="Q60" s="4"/>
      <c r="R60" s="7">
        <v>38</v>
      </c>
      <c r="S60" s="4"/>
      <c r="T60" s="4"/>
      <c r="U60" s="4"/>
      <c r="V60" s="4"/>
      <c r="W60" s="4"/>
      <c r="X60" s="4"/>
      <c r="Y60" s="3"/>
    </row>
    <row r="61" spans="1:25" x14ac:dyDescent="0.3">
      <c r="A61" s="10"/>
      <c r="B61" s="123" t="s">
        <v>7</v>
      </c>
      <c r="C61" s="123"/>
      <c r="D61" s="4"/>
      <c r="E61" s="106">
        <v>154</v>
      </c>
      <c r="F61" s="106"/>
      <c r="G61" s="4"/>
      <c r="H61" s="106">
        <v>135</v>
      </c>
      <c r="I61" s="106"/>
      <c r="J61" s="4"/>
      <c r="K61" s="4"/>
      <c r="L61" s="4"/>
      <c r="N61" s="4"/>
      <c r="O61" s="123" t="s">
        <v>9</v>
      </c>
      <c r="P61" s="123"/>
      <c r="Q61" s="4"/>
      <c r="R61" s="7">
        <v>64</v>
      </c>
      <c r="S61" s="4"/>
      <c r="T61" s="4"/>
      <c r="U61" s="4"/>
      <c r="V61" s="4"/>
      <c r="W61" s="4"/>
      <c r="X61" s="4"/>
      <c r="Y61" s="3"/>
    </row>
    <row r="62" spans="1:25" x14ac:dyDescent="0.3">
      <c r="A62" s="10"/>
      <c r="B62" s="123" t="s">
        <v>8</v>
      </c>
      <c r="C62" s="123"/>
      <c r="D62" s="4"/>
      <c r="E62" s="106">
        <v>132</v>
      </c>
      <c r="F62" s="106"/>
      <c r="G62" s="4"/>
      <c r="H62" s="106">
        <v>109</v>
      </c>
      <c r="I62" s="106"/>
      <c r="J62" s="4"/>
      <c r="K62" s="4"/>
      <c r="L62" s="4"/>
      <c r="N62" s="4"/>
      <c r="O62" s="123">
        <v>2001</v>
      </c>
      <c r="P62" s="123"/>
      <c r="Q62" s="4"/>
      <c r="R62" s="7">
        <v>56</v>
      </c>
      <c r="S62" s="4"/>
      <c r="T62" s="4"/>
      <c r="U62" s="4"/>
      <c r="V62" s="4"/>
      <c r="W62" s="4"/>
      <c r="X62" s="4"/>
      <c r="Y62" s="3"/>
    </row>
    <row r="63" spans="1:25" x14ac:dyDescent="0.3">
      <c r="A63" s="10"/>
      <c r="B63" s="123" t="s">
        <v>9</v>
      </c>
      <c r="C63" s="123"/>
      <c r="D63" s="4"/>
      <c r="E63" s="106">
        <v>128</v>
      </c>
      <c r="F63" s="106"/>
      <c r="G63" s="4"/>
      <c r="H63" s="106">
        <v>113</v>
      </c>
      <c r="I63" s="106"/>
      <c r="J63" s="4"/>
      <c r="K63" s="4"/>
      <c r="L63" s="4"/>
      <c r="N63" s="4"/>
      <c r="O63" s="106">
        <v>2002</v>
      </c>
      <c r="P63" s="106"/>
      <c r="Q63" s="4"/>
      <c r="R63" s="7">
        <v>75</v>
      </c>
      <c r="S63" s="4"/>
      <c r="T63" s="4"/>
      <c r="U63" s="4"/>
      <c r="V63" s="4"/>
      <c r="W63" s="4"/>
      <c r="X63" s="4"/>
      <c r="Y63" s="3"/>
    </row>
    <row r="64" spans="1:25" x14ac:dyDescent="0.3">
      <c r="A64" s="10"/>
      <c r="B64" s="123">
        <v>2001</v>
      </c>
      <c r="C64" s="123"/>
      <c r="D64" s="4"/>
      <c r="E64" s="106">
        <v>125</v>
      </c>
      <c r="F64" s="106"/>
      <c r="G64" s="4"/>
      <c r="H64" s="106">
        <v>145</v>
      </c>
      <c r="I64" s="106"/>
      <c r="J64" s="4"/>
      <c r="K64" s="4"/>
      <c r="L64" s="4"/>
      <c r="N64" s="4"/>
      <c r="P64" s="4"/>
      <c r="Q64" s="4"/>
      <c r="R64" s="4"/>
      <c r="S64" s="4"/>
      <c r="T64" s="4"/>
      <c r="U64" s="4"/>
      <c r="V64" s="4"/>
      <c r="W64" s="4"/>
      <c r="X64" s="4"/>
      <c r="Y64" s="3"/>
    </row>
    <row r="65" spans="1:25" x14ac:dyDescent="0.3">
      <c r="A65" s="11"/>
      <c r="B65" s="5" t="s">
        <v>60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3"/>
      <c r="N65" s="12"/>
      <c r="O65" s="5" t="s">
        <v>363</v>
      </c>
      <c r="P65" s="12"/>
      <c r="Q65" s="12"/>
      <c r="R65" s="12"/>
      <c r="S65" s="12"/>
      <c r="T65" s="12"/>
      <c r="U65" s="12"/>
      <c r="V65" s="12"/>
      <c r="W65" s="12"/>
      <c r="X65" s="12"/>
      <c r="Y65" s="13"/>
    </row>
    <row r="66" spans="1:25" x14ac:dyDescent="0.3">
      <c r="M66" s="17"/>
    </row>
    <row r="67" spans="1:25" x14ac:dyDescent="0.3">
      <c r="A67" s="112">
        <v>14</v>
      </c>
      <c r="B67" s="107" t="s">
        <v>343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9"/>
      <c r="N67" s="112">
        <v>15</v>
      </c>
      <c r="O67" s="107" t="s">
        <v>61</v>
      </c>
      <c r="P67" s="107"/>
      <c r="Q67" s="107"/>
      <c r="R67" s="107"/>
      <c r="S67" s="107"/>
      <c r="T67" s="107"/>
      <c r="U67" s="107"/>
      <c r="V67" s="107"/>
      <c r="W67" s="107"/>
      <c r="X67" s="107"/>
      <c r="Y67" s="108"/>
    </row>
    <row r="68" spans="1:25" x14ac:dyDescent="0.3">
      <c r="A68" s="113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N68" s="113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10"/>
    </row>
    <row r="69" spans="1:25" x14ac:dyDescent="0.3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3"/>
    </row>
    <row r="70" spans="1:25" x14ac:dyDescent="0.3">
      <c r="A70" s="10"/>
      <c r="B70" s="106">
        <v>1995</v>
      </c>
      <c r="C70" s="106"/>
      <c r="D70" s="4"/>
      <c r="E70" s="106">
        <v>148.5</v>
      </c>
      <c r="F70" s="106"/>
      <c r="G70" s="4" t="s">
        <v>63</v>
      </c>
      <c r="H70" s="4"/>
      <c r="I70" s="4"/>
      <c r="J70" s="4"/>
      <c r="K70" s="4"/>
      <c r="L70" s="4"/>
      <c r="N70" s="4"/>
      <c r="O70" s="106">
        <v>1995</v>
      </c>
      <c r="P70" s="106"/>
      <c r="Q70" s="4"/>
      <c r="R70" s="106">
        <v>29.8</v>
      </c>
      <c r="S70" s="106"/>
      <c r="T70" s="4" t="s">
        <v>63</v>
      </c>
      <c r="U70" s="4"/>
      <c r="V70" s="4"/>
      <c r="W70" s="4"/>
      <c r="X70" s="4"/>
      <c r="Y70" s="3"/>
    </row>
    <row r="71" spans="1:25" x14ac:dyDescent="0.3">
      <c r="A71" s="10"/>
      <c r="B71" s="123" t="s">
        <v>5</v>
      </c>
      <c r="C71" s="123"/>
      <c r="D71" s="4"/>
      <c r="E71" s="106">
        <v>132.19999999999999</v>
      </c>
      <c r="F71" s="106"/>
      <c r="G71" s="4"/>
      <c r="H71" s="4"/>
      <c r="I71" s="4"/>
      <c r="J71" s="4"/>
      <c r="K71" s="4"/>
      <c r="L71" s="4"/>
      <c r="N71" s="4"/>
      <c r="O71" s="123" t="s">
        <v>5</v>
      </c>
      <c r="P71" s="123"/>
      <c r="Q71" s="4"/>
      <c r="R71" s="106">
        <v>25.2</v>
      </c>
      <c r="S71" s="106">
        <v>25.2</v>
      </c>
      <c r="T71" s="4"/>
      <c r="U71" s="4"/>
      <c r="V71" s="4"/>
      <c r="W71" s="4"/>
      <c r="X71" s="4"/>
      <c r="Y71" s="3"/>
    </row>
    <row r="72" spans="1:25" x14ac:dyDescent="0.3">
      <c r="A72" s="10"/>
      <c r="B72" s="123" t="s">
        <v>6</v>
      </c>
      <c r="C72" s="123"/>
      <c r="D72" s="4"/>
      <c r="E72" s="106">
        <v>154.80000000000001</v>
      </c>
      <c r="F72" s="106"/>
      <c r="G72" s="4"/>
      <c r="H72" s="4"/>
      <c r="I72" s="4"/>
      <c r="J72" s="4"/>
      <c r="K72" s="4"/>
      <c r="L72" s="4"/>
      <c r="N72" s="4"/>
      <c r="O72" s="123" t="s">
        <v>6</v>
      </c>
      <c r="P72" s="123"/>
      <c r="Q72" s="4"/>
      <c r="R72" s="106">
        <v>25.5</v>
      </c>
      <c r="S72" s="106">
        <v>25.5</v>
      </c>
      <c r="T72" s="4"/>
      <c r="U72" s="4"/>
      <c r="V72" s="4"/>
      <c r="W72" s="4"/>
      <c r="X72" s="4"/>
      <c r="Y72" s="3"/>
    </row>
    <row r="73" spans="1:25" x14ac:dyDescent="0.3">
      <c r="A73" s="10"/>
      <c r="B73" s="123" t="s">
        <v>7</v>
      </c>
      <c r="C73" s="123"/>
      <c r="D73" s="4"/>
      <c r="E73" s="106">
        <v>135.19999999999999</v>
      </c>
      <c r="F73" s="106"/>
      <c r="G73" s="4"/>
      <c r="H73" s="4"/>
      <c r="I73" s="4"/>
      <c r="J73" s="4"/>
      <c r="K73" s="4"/>
      <c r="L73" s="4"/>
      <c r="N73" s="4"/>
      <c r="O73" s="123" t="s">
        <v>7</v>
      </c>
      <c r="P73" s="123"/>
      <c r="Q73" s="4"/>
      <c r="R73" s="106">
        <v>28.1</v>
      </c>
      <c r="S73" s="106">
        <v>28.1</v>
      </c>
      <c r="T73" s="4"/>
      <c r="U73" s="4"/>
      <c r="V73" s="4"/>
      <c r="W73" s="4"/>
      <c r="X73" s="4"/>
      <c r="Y73" s="3"/>
    </row>
    <row r="74" spans="1:25" x14ac:dyDescent="0.3">
      <c r="A74" s="10"/>
      <c r="B74" s="123" t="s">
        <v>8</v>
      </c>
      <c r="C74" s="123"/>
      <c r="D74" s="4"/>
      <c r="E74" s="106">
        <v>145.6</v>
      </c>
      <c r="F74" s="106"/>
      <c r="G74" s="4"/>
      <c r="H74" s="4"/>
      <c r="I74" s="4"/>
      <c r="J74" s="4"/>
      <c r="K74" s="4"/>
      <c r="L74" s="4"/>
      <c r="N74" s="4"/>
      <c r="O74" s="123" t="s">
        <v>8</v>
      </c>
      <c r="P74" s="123"/>
      <c r="Q74" s="4"/>
      <c r="R74" s="106">
        <v>23.5</v>
      </c>
      <c r="S74" s="106">
        <v>23.5</v>
      </c>
      <c r="T74" s="4"/>
      <c r="U74" s="4"/>
      <c r="V74" s="4"/>
      <c r="W74" s="4"/>
      <c r="X74" s="4"/>
      <c r="Y74" s="3"/>
    </row>
    <row r="75" spans="1:25" x14ac:dyDescent="0.3">
      <c r="A75" s="11"/>
      <c r="B75" s="5" t="s">
        <v>62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  <c r="N75" s="12"/>
      <c r="O75" s="5" t="s">
        <v>62</v>
      </c>
      <c r="P75" s="12"/>
      <c r="Q75" s="12"/>
      <c r="R75" s="12"/>
      <c r="S75" s="12"/>
      <c r="T75" s="12"/>
      <c r="U75" s="12"/>
      <c r="V75" s="12"/>
      <c r="W75" s="12"/>
      <c r="X75" s="12"/>
      <c r="Y75" s="13"/>
    </row>
    <row r="76" spans="1:25" x14ac:dyDescent="0.3">
      <c r="M76" s="4"/>
    </row>
    <row r="77" spans="1:25" ht="14" x14ac:dyDescent="0.3">
      <c r="A77" s="121" t="s">
        <v>64</v>
      </c>
      <c r="B77" s="121"/>
      <c r="C77" s="121"/>
      <c r="D77" s="121"/>
      <c r="E77" s="121"/>
      <c r="F77" s="121"/>
      <c r="G77" s="121"/>
      <c r="M77" s="4"/>
    </row>
    <row r="78" spans="1:25" ht="14" x14ac:dyDescent="0.3">
      <c r="A78" s="2" t="s">
        <v>65</v>
      </c>
      <c r="M78" s="4"/>
    </row>
    <row r="79" spans="1:25" x14ac:dyDescent="0.3">
      <c r="M79" s="12"/>
    </row>
    <row r="80" spans="1:25" x14ac:dyDescent="0.3">
      <c r="A80" s="112">
        <v>16</v>
      </c>
      <c r="B80" s="107" t="s">
        <v>66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9"/>
      <c r="N80" s="112">
        <v>17</v>
      </c>
      <c r="O80" s="107" t="s">
        <v>67</v>
      </c>
      <c r="P80" s="107"/>
      <c r="Q80" s="107"/>
      <c r="R80" s="107"/>
      <c r="S80" s="107"/>
      <c r="T80" s="107"/>
      <c r="U80" s="107"/>
      <c r="V80" s="107"/>
      <c r="W80" s="107"/>
      <c r="X80" s="107"/>
      <c r="Y80" s="108"/>
    </row>
    <row r="81" spans="1:27" x14ac:dyDescent="0.3">
      <c r="A81" s="113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N81" s="113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10"/>
    </row>
    <row r="82" spans="1:27" ht="12.75" customHeight="1" x14ac:dyDescent="0.3">
      <c r="A82" s="10"/>
      <c r="B82" s="4"/>
      <c r="C82" s="4"/>
      <c r="D82" s="4"/>
      <c r="E82" s="4"/>
      <c r="F82" s="133" t="s">
        <v>75</v>
      </c>
      <c r="G82" s="133"/>
      <c r="H82" s="133"/>
      <c r="I82" s="130">
        <v>2000</v>
      </c>
      <c r="J82" s="130"/>
      <c r="K82" s="130"/>
      <c r="L82" s="4"/>
      <c r="N82" s="4"/>
      <c r="O82" s="4"/>
      <c r="P82" s="130" t="s">
        <v>90</v>
      </c>
      <c r="Q82" s="130"/>
      <c r="R82" s="130"/>
      <c r="S82" s="131"/>
      <c r="T82" s="4"/>
      <c r="U82" s="21" t="s">
        <v>305</v>
      </c>
      <c r="V82" s="97"/>
      <c r="W82" s="130" t="s">
        <v>295</v>
      </c>
      <c r="X82" s="130"/>
      <c r="Y82" s="150"/>
    </row>
    <row r="83" spans="1:27" x14ac:dyDescent="0.3">
      <c r="A83" s="10"/>
      <c r="B83" s="15" t="s">
        <v>68</v>
      </c>
      <c r="C83" s="4"/>
      <c r="D83" s="4"/>
      <c r="E83" s="4"/>
      <c r="F83" s="4"/>
      <c r="G83" s="4"/>
      <c r="H83" s="24" t="s">
        <v>76</v>
      </c>
      <c r="I83" s="4"/>
      <c r="J83" s="4"/>
      <c r="K83" s="24" t="s">
        <v>83</v>
      </c>
      <c r="L83" s="4"/>
      <c r="N83" s="4"/>
      <c r="O83" s="7"/>
      <c r="P83" s="106" t="s">
        <v>302</v>
      </c>
      <c r="Q83" s="119"/>
      <c r="R83" s="120" t="s">
        <v>303</v>
      </c>
      <c r="S83" s="119"/>
      <c r="T83" s="4"/>
      <c r="U83" s="7"/>
      <c r="V83" s="97"/>
      <c r="W83" s="111" t="s">
        <v>304</v>
      </c>
      <c r="X83" s="111"/>
      <c r="Y83" s="132"/>
    </row>
    <row r="84" spans="1:27" x14ac:dyDescent="0.3">
      <c r="A84" s="10"/>
      <c r="B84" s="15" t="s">
        <v>69</v>
      </c>
      <c r="C84" s="4"/>
      <c r="D84" s="4"/>
      <c r="E84" s="4"/>
      <c r="F84" s="4"/>
      <c r="G84" s="4"/>
      <c r="H84" s="24" t="s">
        <v>77</v>
      </c>
      <c r="I84" s="4"/>
      <c r="J84" s="4"/>
      <c r="K84" s="24" t="s">
        <v>84</v>
      </c>
      <c r="L84" s="4"/>
      <c r="N84" s="128" t="s">
        <v>7</v>
      </c>
      <c r="O84" s="129"/>
      <c r="P84" s="106">
        <v>781</v>
      </c>
      <c r="Q84" s="119"/>
      <c r="R84" s="120">
        <v>793</v>
      </c>
      <c r="S84" s="119"/>
      <c r="T84" s="4"/>
      <c r="U84" s="7">
        <v>258</v>
      </c>
      <c r="V84" s="97"/>
      <c r="W84" s="111">
        <f>SUM(U84)/R84</f>
        <v>0.32534678436317782</v>
      </c>
      <c r="X84" s="118"/>
      <c r="Y84" s="19"/>
    </row>
    <row r="85" spans="1:27" x14ac:dyDescent="0.3">
      <c r="A85" s="10"/>
      <c r="B85" s="91" t="s">
        <v>70</v>
      </c>
      <c r="C85" s="92"/>
      <c r="D85" s="92"/>
      <c r="E85" s="92"/>
      <c r="F85" s="92"/>
      <c r="G85" s="92"/>
      <c r="H85" s="93" t="s">
        <v>78</v>
      </c>
      <c r="I85" s="92"/>
      <c r="J85" s="92"/>
      <c r="K85" s="93" t="s">
        <v>85</v>
      </c>
      <c r="L85" s="4"/>
      <c r="N85" s="128">
        <v>1999</v>
      </c>
      <c r="O85" s="129"/>
      <c r="P85" s="106">
        <v>743</v>
      </c>
      <c r="Q85" s="119"/>
      <c r="R85" s="120">
        <v>690</v>
      </c>
      <c r="S85" s="119"/>
      <c r="T85" s="4"/>
      <c r="U85" s="7">
        <v>205</v>
      </c>
      <c r="V85" s="97"/>
      <c r="W85" s="111">
        <f>SUM(U85)/R85</f>
        <v>0.29710144927536231</v>
      </c>
      <c r="X85" s="118"/>
      <c r="Y85" s="3"/>
    </row>
    <row r="86" spans="1:27" x14ac:dyDescent="0.3">
      <c r="A86" s="10"/>
      <c r="B86" s="15" t="s">
        <v>71</v>
      </c>
      <c r="C86" s="4"/>
      <c r="D86" s="4"/>
      <c r="E86" s="4"/>
      <c r="F86" s="4"/>
      <c r="G86" s="4"/>
      <c r="H86" s="24" t="s">
        <v>79</v>
      </c>
      <c r="I86" s="4"/>
      <c r="J86" s="4"/>
      <c r="K86" s="24" t="s">
        <v>86</v>
      </c>
      <c r="L86" s="4"/>
      <c r="N86" s="128" t="s">
        <v>9</v>
      </c>
      <c r="O86" s="129"/>
      <c r="P86" s="106">
        <v>744</v>
      </c>
      <c r="Q86" s="119"/>
      <c r="R86" s="120">
        <v>768</v>
      </c>
      <c r="S86" s="119"/>
      <c r="T86" s="4"/>
      <c r="U86" s="7">
        <v>251</v>
      </c>
      <c r="V86" s="97"/>
      <c r="W86" s="111">
        <f>SUM(U86)/R86</f>
        <v>0.32682291666666669</v>
      </c>
      <c r="X86" s="118"/>
      <c r="Y86" s="3"/>
      <c r="AA86" s="94"/>
    </row>
    <row r="87" spans="1:27" x14ac:dyDescent="0.3">
      <c r="A87" s="10"/>
      <c r="B87" s="15" t="s">
        <v>72</v>
      </c>
      <c r="C87" s="4"/>
      <c r="D87" s="4"/>
      <c r="E87" s="4"/>
      <c r="F87" s="4"/>
      <c r="G87" s="4"/>
      <c r="H87" s="24" t="s">
        <v>80</v>
      </c>
      <c r="I87" s="4"/>
      <c r="J87" s="4"/>
      <c r="K87" s="24" t="s">
        <v>87</v>
      </c>
      <c r="L87" s="4"/>
      <c r="N87" s="128">
        <v>2001</v>
      </c>
      <c r="O87" s="129"/>
      <c r="P87" s="106">
        <v>874</v>
      </c>
      <c r="Q87" s="119"/>
      <c r="R87" s="120">
        <v>907</v>
      </c>
      <c r="S87" s="119"/>
      <c r="T87" s="4"/>
      <c r="U87" s="7">
        <v>286</v>
      </c>
      <c r="V87" s="97"/>
      <c r="W87" s="111">
        <f>SUM(U87)/R87</f>
        <v>0.31532524807056228</v>
      </c>
      <c r="X87" s="118"/>
      <c r="Y87" s="3"/>
    </row>
    <row r="88" spans="1:27" x14ac:dyDescent="0.3">
      <c r="A88" s="10"/>
      <c r="B88" s="15" t="s">
        <v>73</v>
      </c>
      <c r="C88" s="4"/>
      <c r="D88" s="4"/>
      <c r="E88" s="4"/>
      <c r="F88" s="4"/>
      <c r="G88" s="4"/>
      <c r="H88" s="24" t="s">
        <v>81</v>
      </c>
      <c r="I88" s="4"/>
      <c r="J88" s="4"/>
      <c r="K88" s="24" t="s">
        <v>88</v>
      </c>
      <c r="L88" s="4"/>
      <c r="N88" s="128">
        <v>2002</v>
      </c>
      <c r="O88" s="129"/>
      <c r="P88" s="106">
        <v>836</v>
      </c>
      <c r="Q88" s="119"/>
      <c r="R88" s="120">
        <v>849</v>
      </c>
      <c r="S88" s="119"/>
      <c r="T88" s="4"/>
      <c r="U88" s="7">
        <v>273</v>
      </c>
      <c r="V88" s="97"/>
      <c r="W88" s="111">
        <f>SUM(U88)/R88</f>
        <v>0.32155477031802121</v>
      </c>
      <c r="X88" s="118"/>
      <c r="Y88" s="3"/>
    </row>
    <row r="89" spans="1:27" x14ac:dyDescent="0.3">
      <c r="A89" s="90" t="s">
        <v>294</v>
      </c>
      <c r="B89" s="23" t="s">
        <v>74</v>
      </c>
      <c r="C89" s="4"/>
      <c r="D89" s="4"/>
      <c r="E89" s="4"/>
      <c r="F89" s="4"/>
      <c r="G89" s="4"/>
      <c r="H89" s="25" t="s">
        <v>82</v>
      </c>
      <c r="I89" s="4"/>
      <c r="J89" s="4"/>
      <c r="K89" s="26" t="s">
        <v>89</v>
      </c>
      <c r="L89" s="4"/>
      <c r="T89" s="4"/>
      <c r="V89" s="4"/>
      <c r="Y89" s="3"/>
    </row>
    <row r="90" spans="1:27" x14ac:dyDescent="0.3">
      <c r="A90" s="11"/>
      <c r="B90" s="5" t="s">
        <v>28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  <c r="N90" s="12"/>
      <c r="O90" s="5" t="s">
        <v>10</v>
      </c>
      <c r="P90" s="12"/>
      <c r="Q90" s="12"/>
      <c r="R90" s="12"/>
      <c r="S90" s="5" t="s">
        <v>306</v>
      </c>
      <c r="T90" s="12"/>
      <c r="U90" s="12"/>
      <c r="V90" s="12"/>
      <c r="W90" s="12"/>
      <c r="X90" s="12"/>
      <c r="Y90" s="13"/>
    </row>
    <row r="91" spans="1:27" x14ac:dyDescent="0.3">
      <c r="M91" s="17"/>
    </row>
    <row r="92" spans="1:27" x14ac:dyDescent="0.3">
      <c r="A92" s="112">
        <v>18</v>
      </c>
      <c r="B92" s="107" t="s">
        <v>91</v>
      </c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9"/>
      <c r="N92" s="112">
        <v>19</v>
      </c>
      <c r="O92" s="107" t="s">
        <v>96</v>
      </c>
      <c r="P92" s="107"/>
      <c r="Q92" s="107"/>
      <c r="R92" s="107"/>
      <c r="S92" s="107"/>
      <c r="T92" s="107"/>
      <c r="U92" s="107"/>
      <c r="V92" s="107"/>
      <c r="W92" s="107"/>
      <c r="X92" s="107"/>
      <c r="Y92" s="108"/>
    </row>
    <row r="93" spans="1:27" x14ac:dyDescent="0.3">
      <c r="A93" s="113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N93" s="113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10"/>
    </row>
    <row r="94" spans="1:27" x14ac:dyDescent="0.3">
      <c r="A94" s="10"/>
      <c r="B94" s="4"/>
      <c r="C94" s="4"/>
      <c r="D94" s="4"/>
      <c r="E94" s="4"/>
      <c r="F94" s="22" t="s">
        <v>94</v>
      </c>
      <c r="G94" s="4"/>
      <c r="H94" s="7" t="s">
        <v>92</v>
      </c>
      <c r="I94" s="4"/>
      <c r="J94" s="7" t="s">
        <v>93</v>
      </c>
      <c r="K94" s="4"/>
      <c r="L94" s="4" t="s">
        <v>294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3"/>
    </row>
    <row r="95" spans="1:27" x14ac:dyDescent="0.3">
      <c r="A95" s="10"/>
      <c r="B95" s="4"/>
      <c r="C95" s="106" t="s">
        <v>6</v>
      </c>
      <c r="D95" s="106"/>
      <c r="E95" s="4"/>
      <c r="F95" s="7">
        <v>74</v>
      </c>
      <c r="G95" s="4"/>
      <c r="H95" s="7">
        <v>20</v>
      </c>
      <c r="I95" s="4"/>
      <c r="J95" s="7">
        <v>2</v>
      </c>
      <c r="K95" s="4"/>
      <c r="L95" s="4">
        <f>SUM(F95:J95)</f>
        <v>96</v>
      </c>
      <c r="N95" s="4"/>
      <c r="O95" s="106" t="s">
        <v>6</v>
      </c>
      <c r="P95" s="106"/>
      <c r="Q95" s="4"/>
      <c r="R95" s="7">
        <v>104</v>
      </c>
      <c r="S95" s="4"/>
      <c r="T95" s="4"/>
      <c r="U95" s="4"/>
      <c r="V95" s="4"/>
      <c r="W95" s="4"/>
      <c r="X95" s="4"/>
      <c r="Y95" s="3"/>
    </row>
    <row r="96" spans="1:27" x14ac:dyDescent="0.3">
      <c r="A96" s="10"/>
      <c r="B96" s="4"/>
      <c r="C96" s="106" t="s">
        <v>7</v>
      </c>
      <c r="D96" s="106"/>
      <c r="E96" s="4"/>
      <c r="F96" s="7">
        <v>88</v>
      </c>
      <c r="G96" s="4"/>
      <c r="H96" s="7">
        <v>22</v>
      </c>
      <c r="I96" s="4"/>
      <c r="J96" s="7">
        <v>7</v>
      </c>
      <c r="K96" s="4"/>
      <c r="L96" s="4">
        <f>SUM(F96:J96)</f>
        <v>117</v>
      </c>
      <c r="N96" s="4"/>
      <c r="O96" s="106" t="s">
        <v>7</v>
      </c>
      <c r="P96" s="106"/>
      <c r="Q96" s="4"/>
      <c r="R96" s="7">
        <v>130</v>
      </c>
      <c r="S96" s="4"/>
      <c r="T96" s="4"/>
      <c r="U96" s="4"/>
      <c r="V96" s="4"/>
      <c r="W96" s="4"/>
      <c r="X96" s="4"/>
      <c r="Y96" s="3"/>
    </row>
    <row r="97" spans="1:25" x14ac:dyDescent="0.3">
      <c r="A97" s="10"/>
      <c r="B97" s="4"/>
      <c r="C97" s="106" t="s">
        <v>8</v>
      </c>
      <c r="D97" s="106"/>
      <c r="E97" s="4"/>
      <c r="F97" s="7">
        <v>70</v>
      </c>
      <c r="G97" s="4"/>
      <c r="H97" s="7">
        <v>21</v>
      </c>
      <c r="I97" s="4"/>
      <c r="J97" s="7">
        <v>6</v>
      </c>
      <c r="K97" s="4"/>
      <c r="L97" s="4">
        <f>SUM(F97:J97)</f>
        <v>97</v>
      </c>
      <c r="N97" s="4"/>
      <c r="O97" s="106" t="s">
        <v>8</v>
      </c>
      <c r="P97" s="106"/>
      <c r="Q97" s="4"/>
      <c r="R97" s="7">
        <v>138</v>
      </c>
      <c r="S97" s="4"/>
      <c r="T97" s="4"/>
      <c r="U97" s="4"/>
      <c r="V97" s="4"/>
      <c r="W97" s="4"/>
      <c r="X97" s="4"/>
      <c r="Y97" s="3"/>
    </row>
    <row r="98" spans="1:25" x14ac:dyDescent="0.3">
      <c r="A98" s="10"/>
      <c r="B98" s="4"/>
      <c r="C98" s="106" t="s">
        <v>9</v>
      </c>
      <c r="D98" s="106"/>
      <c r="E98" s="4"/>
      <c r="F98" s="7">
        <v>68</v>
      </c>
      <c r="G98" s="4"/>
      <c r="H98" s="7">
        <v>23</v>
      </c>
      <c r="I98" s="4"/>
      <c r="J98" s="7">
        <v>11</v>
      </c>
      <c r="K98" s="4"/>
      <c r="L98" s="4">
        <f>SUM(F98:J98)</f>
        <v>102</v>
      </c>
      <c r="N98" s="4"/>
      <c r="O98" s="106" t="s">
        <v>9</v>
      </c>
      <c r="P98" s="106"/>
      <c r="Q98" s="4"/>
      <c r="R98" s="7">
        <v>156</v>
      </c>
      <c r="S98" s="4"/>
      <c r="T98" s="4"/>
      <c r="U98" s="4"/>
      <c r="V98" s="4"/>
      <c r="W98" s="4"/>
      <c r="X98" s="4"/>
      <c r="Y98" s="3"/>
    </row>
    <row r="99" spans="1:25" x14ac:dyDescent="0.3">
      <c r="A99" s="10"/>
      <c r="B99" s="4"/>
      <c r="C99" s="106">
        <v>2001</v>
      </c>
      <c r="D99" s="106"/>
      <c r="E99" s="4"/>
      <c r="F99" s="7">
        <v>52</v>
      </c>
      <c r="G99" s="4"/>
      <c r="H99" s="7">
        <v>29</v>
      </c>
      <c r="I99" s="4"/>
      <c r="J99" s="7">
        <v>7</v>
      </c>
      <c r="K99" s="4"/>
      <c r="L99" s="4">
        <f>SUM(F99:J99)</f>
        <v>88</v>
      </c>
      <c r="N99" s="4"/>
      <c r="O99" s="106">
        <v>2001</v>
      </c>
      <c r="P99" s="106"/>
      <c r="Q99" s="4"/>
      <c r="R99" s="7">
        <v>149</v>
      </c>
      <c r="S99" s="4"/>
      <c r="T99" s="4"/>
      <c r="U99" s="4"/>
      <c r="V99" s="4"/>
      <c r="W99" s="4"/>
      <c r="X99" s="4"/>
      <c r="Y99" s="3"/>
    </row>
    <row r="100" spans="1:25" x14ac:dyDescent="0.3">
      <c r="A100" s="10"/>
      <c r="B100" s="4"/>
      <c r="C100" s="106"/>
      <c r="D100" s="106"/>
      <c r="E100" s="4"/>
      <c r="F100" s="4"/>
      <c r="G100" s="4"/>
      <c r="H100" s="4"/>
      <c r="I100" s="4"/>
      <c r="J100" s="4"/>
      <c r="K100" s="4"/>
      <c r="L100" s="4"/>
      <c r="N100" s="4"/>
      <c r="O100" s="106">
        <v>2002</v>
      </c>
      <c r="P100" s="106"/>
      <c r="Q100" s="4"/>
      <c r="R100" s="7">
        <v>178</v>
      </c>
      <c r="S100" s="4"/>
      <c r="T100" s="4" t="s">
        <v>331</v>
      </c>
      <c r="U100" s="4"/>
      <c r="V100" s="4"/>
      <c r="W100" s="4"/>
      <c r="X100" s="4"/>
      <c r="Y100" s="3"/>
    </row>
    <row r="101" spans="1:25" x14ac:dyDescent="0.3">
      <c r="A101" s="11"/>
      <c r="B101" s="12"/>
      <c r="C101" s="5" t="s">
        <v>364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N101" s="12"/>
      <c r="O101" s="5" t="s">
        <v>95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3"/>
    </row>
    <row r="102" spans="1:25" x14ac:dyDescent="0.3">
      <c r="M102" s="4"/>
    </row>
    <row r="103" spans="1:25" ht="14" x14ac:dyDescent="0.3">
      <c r="A103" s="121" t="s">
        <v>64</v>
      </c>
      <c r="B103" s="121"/>
      <c r="C103" s="121"/>
      <c r="D103" s="121"/>
      <c r="E103" s="121"/>
      <c r="F103" s="121"/>
      <c r="G103" s="121"/>
      <c r="M103" s="4"/>
    </row>
    <row r="104" spans="1:25" ht="14" x14ac:dyDescent="0.3">
      <c r="A104" s="2" t="s">
        <v>65</v>
      </c>
      <c r="M104" s="4"/>
    </row>
    <row r="105" spans="1:25" x14ac:dyDescent="0.3">
      <c r="M105" s="12"/>
    </row>
    <row r="106" spans="1:25" x14ac:dyDescent="0.3">
      <c r="A106" s="112">
        <v>20</v>
      </c>
      <c r="B106" s="107" t="s">
        <v>97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9"/>
      <c r="N106" s="112">
        <v>21</v>
      </c>
      <c r="O106" s="107" t="s">
        <v>98</v>
      </c>
      <c r="P106" s="107"/>
      <c r="Q106" s="107"/>
      <c r="R106" s="107"/>
      <c r="S106" s="107"/>
      <c r="T106" s="107"/>
      <c r="U106" s="107"/>
      <c r="V106" s="107"/>
      <c r="W106" s="107"/>
      <c r="X106" s="107"/>
      <c r="Y106" s="108"/>
    </row>
    <row r="107" spans="1:25" x14ac:dyDescent="0.3">
      <c r="A107" s="113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N107" s="113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10"/>
    </row>
    <row r="108" spans="1:25" x14ac:dyDescent="0.3">
      <c r="A108" s="10"/>
      <c r="B108" s="4"/>
      <c r="C108" s="4"/>
      <c r="D108" s="4"/>
      <c r="E108" s="4"/>
      <c r="F108" s="4"/>
      <c r="G108" s="130">
        <v>1994</v>
      </c>
      <c r="H108" s="130"/>
      <c r="I108" s="130" t="s">
        <v>6</v>
      </c>
      <c r="J108" s="130"/>
      <c r="K108" s="130" t="s">
        <v>102</v>
      </c>
      <c r="L108" s="130"/>
      <c r="N108" s="4"/>
      <c r="P108" s="4"/>
      <c r="Q108" s="4"/>
      <c r="R108" s="4"/>
      <c r="T108" s="4" t="s">
        <v>296</v>
      </c>
    </row>
    <row r="109" spans="1:25" x14ac:dyDescent="0.3">
      <c r="A109" s="10"/>
      <c r="B109" s="4" t="s">
        <v>99</v>
      </c>
      <c r="C109" s="4"/>
      <c r="D109" s="4"/>
      <c r="E109" s="4"/>
      <c r="F109" s="4"/>
      <c r="G109" s="106">
        <v>578</v>
      </c>
      <c r="H109" s="106"/>
      <c r="I109" s="106">
        <v>704</v>
      </c>
      <c r="J109" s="106"/>
      <c r="K109" s="124">
        <v>593</v>
      </c>
      <c r="L109" s="124"/>
      <c r="N109" s="4"/>
      <c r="S109" s="106" t="s">
        <v>115</v>
      </c>
      <c r="T109" s="106"/>
      <c r="U109" s="134"/>
      <c r="V109" s="4"/>
      <c r="W109" s="106" t="s">
        <v>117</v>
      </c>
      <c r="X109" s="106"/>
      <c r="Y109" s="139"/>
    </row>
    <row r="110" spans="1:25" x14ac:dyDescent="0.3">
      <c r="A110" s="10"/>
      <c r="B110" s="4" t="s">
        <v>107</v>
      </c>
      <c r="C110" s="4"/>
      <c r="D110" s="4"/>
      <c r="E110" s="4"/>
      <c r="F110" s="4"/>
      <c r="G110" s="106">
        <v>700</v>
      </c>
      <c r="H110" s="106"/>
      <c r="I110" s="106">
        <v>934</v>
      </c>
      <c r="J110" s="106"/>
      <c r="K110" s="124">
        <v>720</v>
      </c>
      <c r="L110" s="124"/>
      <c r="N110" s="4"/>
      <c r="O110" s="4" t="s">
        <v>108</v>
      </c>
      <c r="P110" s="4"/>
      <c r="Q110" s="4"/>
      <c r="R110" s="4"/>
      <c r="S110" s="124">
        <v>4285</v>
      </c>
      <c r="T110" s="124"/>
      <c r="U110" s="135"/>
      <c r="V110" s="4"/>
      <c r="W110" s="124">
        <v>6197</v>
      </c>
      <c r="X110" s="124"/>
      <c r="Y110" s="140"/>
    </row>
    <row r="111" spans="1:25" x14ac:dyDescent="0.3">
      <c r="A111" s="10"/>
      <c r="B111" s="4" t="s">
        <v>106</v>
      </c>
      <c r="C111" s="4"/>
      <c r="D111" s="4"/>
      <c r="E111" s="4"/>
      <c r="F111" s="4"/>
      <c r="G111" s="124">
        <v>1334</v>
      </c>
      <c r="H111" s="124"/>
      <c r="I111" s="124">
        <v>1488</v>
      </c>
      <c r="J111" s="124"/>
      <c r="K111" s="124">
        <v>1301</v>
      </c>
      <c r="L111" s="124"/>
      <c r="N111" s="4"/>
      <c r="O111" s="4" t="s">
        <v>109</v>
      </c>
      <c r="P111" s="4"/>
      <c r="Q111" s="4"/>
      <c r="R111" s="4"/>
      <c r="S111" s="106" t="s">
        <v>116</v>
      </c>
      <c r="T111" s="106"/>
      <c r="U111" s="134"/>
      <c r="V111" s="4"/>
      <c r="W111" s="106" t="s">
        <v>118</v>
      </c>
      <c r="X111" s="106"/>
      <c r="Y111" s="139"/>
    </row>
    <row r="112" spans="1:25" x14ac:dyDescent="0.3">
      <c r="A112" s="10"/>
      <c r="B112" s="8" t="s">
        <v>105</v>
      </c>
      <c r="C112" s="4"/>
      <c r="D112" s="4"/>
      <c r="E112" s="4"/>
      <c r="F112" s="4"/>
      <c r="G112" s="106">
        <v>518</v>
      </c>
      <c r="H112" s="106"/>
      <c r="I112" s="106">
        <v>299</v>
      </c>
      <c r="J112" s="106"/>
      <c r="K112" s="124">
        <v>307</v>
      </c>
      <c r="L112" s="124"/>
      <c r="N112" s="4"/>
      <c r="O112" s="4" t="s">
        <v>110</v>
      </c>
      <c r="P112" s="4"/>
      <c r="Q112" s="4"/>
      <c r="R112" s="4"/>
      <c r="S112" s="124">
        <v>2123</v>
      </c>
      <c r="T112" s="124"/>
      <c r="U112" s="135"/>
      <c r="V112" s="4"/>
      <c r="W112" s="124">
        <v>1356</v>
      </c>
      <c r="X112" s="124"/>
      <c r="Y112" s="140"/>
    </row>
    <row r="113" spans="1:35" x14ac:dyDescent="0.3">
      <c r="A113" s="10"/>
      <c r="B113" s="4" t="s">
        <v>103</v>
      </c>
      <c r="C113" s="4"/>
      <c r="D113" s="4"/>
      <c r="E113" s="4"/>
      <c r="F113" s="4"/>
      <c r="G113" s="106">
        <v>431</v>
      </c>
      <c r="H113" s="106"/>
      <c r="I113" s="106">
        <v>451</v>
      </c>
      <c r="J113" s="106"/>
      <c r="K113" s="124">
        <v>420</v>
      </c>
      <c r="L113" s="124"/>
      <c r="N113" s="4"/>
      <c r="O113" s="28" t="s">
        <v>111</v>
      </c>
      <c r="P113" s="4"/>
      <c r="Q113" s="4"/>
      <c r="R113" s="4"/>
      <c r="S113" s="130">
        <v>577</v>
      </c>
      <c r="T113" s="130"/>
      <c r="U113" s="142"/>
      <c r="V113" s="4"/>
      <c r="W113" s="136">
        <v>1804</v>
      </c>
      <c r="X113" s="136"/>
      <c r="Y113" s="141"/>
    </row>
    <row r="114" spans="1:35" x14ac:dyDescent="0.3">
      <c r="A114" s="10"/>
      <c r="B114" s="4" t="s">
        <v>104</v>
      </c>
      <c r="C114" s="4"/>
      <c r="D114" s="4"/>
      <c r="E114" s="4"/>
      <c r="F114" s="4"/>
      <c r="G114" s="106">
        <v>109</v>
      </c>
      <c r="H114" s="106"/>
      <c r="I114" s="106">
        <v>114</v>
      </c>
      <c r="J114" s="106"/>
      <c r="K114" s="124">
        <v>138</v>
      </c>
      <c r="L114" s="124"/>
      <c r="N114" s="4"/>
      <c r="O114" s="4" t="s">
        <v>112</v>
      </c>
      <c r="P114" s="4"/>
      <c r="Q114" s="4"/>
      <c r="R114" s="4"/>
      <c r="S114" s="4"/>
      <c r="T114" s="4"/>
      <c r="U114" s="4"/>
      <c r="V114" s="4"/>
      <c r="W114" s="4"/>
      <c r="X114" s="4"/>
      <c r="Y114" s="3"/>
    </row>
    <row r="115" spans="1:35" x14ac:dyDescent="0.3">
      <c r="A115" s="10"/>
      <c r="B115" s="28" t="s">
        <v>100</v>
      </c>
      <c r="C115" s="4"/>
      <c r="D115" s="4"/>
      <c r="E115" s="4"/>
      <c r="F115" s="4"/>
      <c r="G115" s="136">
        <v>3670</v>
      </c>
      <c r="H115" s="136"/>
      <c r="I115" s="136">
        <v>3990</v>
      </c>
      <c r="J115" s="136"/>
      <c r="K115" s="136">
        <v>3479</v>
      </c>
      <c r="L115" s="136"/>
      <c r="N115" s="4"/>
      <c r="O115" s="4" t="s">
        <v>113</v>
      </c>
      <c r="P115" s="4"/>
      <c r="Q115" s="4"/>
      <c r="R115" s="4"/>
      <c r="S115" s="4"/>
      <c r="T115" s="4"/>
      <c r="U115" s="4"/>
      <c r="V115" s="4"/>
      <c r="W115" s="4"/>
      <c r="X115" s="4"/>
      <c r="Y115" s="3"/>
    </row>
    <row r="116" spans="1:35" x14ac:dyDescent="0.3">
      <c r="A116" s="11"/>
      <c r="B116" s="5" t="s">
        <v>101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2"/>
      <c r="O116" s="5" t="s">
        <v>114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3"/>
    </row>
    <row r="117" spans="1:35" x14ac:dyDescent="0.3">
      <c r="M117" s="17"/>
    </row>
    <row r="118" spans="1:35" x14ac:dyDescent="0.3">
      <c r="A118" s="112">
        <v>22</v>
      </c>
      <c r="B118" s="107" t="s">
        <v>119</v>
      </c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9"/>
      <c r="N118" s="112">
        <v>23</v>
      </c>
      <c r="O118" s="107" t="s">
        <v>338</v>
      </c>
      <c r="P118" s="107"/>
      <c r="Q118" s="107"/>
      <c r="R118" s="107"/>
      <c r="S118" s="107"/>
      <c r="T118" s="107"/>
      <c r="U118" s="107"/>
      <c r="V118" s="107"/>
      <c r="W118" s="107"/>
      <c r="X118" s="107"/>
      <c r="Y118" s="108"/>
      <c r="AA118" s="112">
        <v>23</v>
      </c>
      <c r="AB118" s="114" t="s">
        <v>373</v>
      </c>
      <c r="AC118" s="114"/>
      <c r="AD118" s="114"/>
      <c r="AE118" s="114"/>
      <c r="AF118" s="114"/>
      <c r="AG118" s="114"/>
      <c r="AH118" s="114"/>
      <c r="AI118" s="115"/>
    </row>
    <row r="119" spans="1:35" x14ac:dyDescent="0.3">
      <c r="A119" s="113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N119" s="113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10"/>
      <c r="AA119" s="113"/>
      <c r="AB119" s="116"/>
      <c r="AC119" s="116"/>
      <c r="AD119" s="116"/>
      <c r="AE119" s="116"/>
      <c r="AF119" s="116"/>
      <c r="AG119" s="116"/>
      <c r="AH119" s="116"/>
      <c r="AI119" s="117"/>
    </row>
    <row r="120" spans="1:35" x14ac:dyDescent="0.3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N120" s="4"/>
      <c r="O120" s="4"/>
      <c r="P120" s="4"/>
      <c r="Q120" s="4" t="s">
        <v>337</v>
      </c>
      <c r="T120" s="4"/>
      <c r="U120" s="4" t="s">
        <v>336</v>
      </c>
      <c r="V120" s="4"/>
      <c r="W120" s="4"/>
      <c r="X120" s="4"/>
      <c r="Y120" s="3"/>
      <c r="AA120" s="10"/>
      <c r="AB120" s="4"/>
      <c r="AC120" s="4"/>
      <c r="AD120" s="4"/>
      <c r="AE120" s="4"/>
      <c r="AF120" s="4"/>
      <c r="AG120" s="4"/>
      <c r="AH120" s="4"/>
      <c r="AI120" s="3"/>
    </row>
    <row r="121" spans="1:35" x14ac:dyDescent="0.3">
      <c r="A121" s="10"/>
      <c r="B121" s="30" t="s">
        <v>6</v>
      </c>
      <c r="C121" s="4"/>
      <c r="D121" s="7">
        <v>39</v>
      </c>
      <c r="E121" s="4"/>
      <c r="F121" s="4"/>
      <c r="G121" s="4"/>
      <c r="H121" s="4"/>
      <c r="I121" s="4"/>
      <c r="J121" s="4"/>
      <c r="K121" s="4"/>
      <c r="L121" s="4"/>
      <c r="N121" s="4"/>
      <c r="O121" s="30"/>
      <c r="P121" s="4"/>
      <c r="Q121" s="4"/>
      <c r="R121" s="4"/>
      <c r="S121" s="4"/>
      <c r="T121" s="4"/>
      <c r="U121" s="4"/>
      <c r="V121" s="4"/>
      <c r="W121" s="4"/>
      <c r="X121" s="4"/>
      <c r="Y121" s="3"/>
      <c r="AA121" s="10"/>
      <c r="AB121" s="4"/>
      <c r="AC121" s="4" t="s">
        <v>374</v>
      </c>
      <c r="AD121" s="4"/>
      <c r="AE121" s="4"/>
      <c r="AF121" s="4"/>
      <c r="AG121" s="4"/>
      <c r="AH121" s="4"/>
      <c r="AI121" s="3"/>
    </row>
    <row r="122" spans="1:35" x14ac:dyDescent="0.3">
      <c r="A122" s="10"/>
      <c r="B122" s="30" t="s">
        <v>7</v>
      </c>
      <c r="C122" s="4"/>
      <c r="D122" s="7">
        <v>62</v>
      </c>
      <c r="E122" s="4"/>
      <c r="F122" s="4"/>
      <c r="G122" s="4"/>
      <c r="H122" s="4"/>
      <c r="I122" s="4"/>
      <c r="J122" s="4"/>
      <c r="K122" s="4"/>
      <c r="L122" s="4"/>
      <c r="N122" s="4"/>
      <c r="O122" s="30" t="s">
        <v>8</v>
      </c>
      <c r="P122" s="4"/>
      <c r="Q122" s="4"/>
      <c r="R122" s="99" t="s">
        <v>219</v>
      </c>
      <c r="S122" s="4"/>
      <c r="T122" s="4" t="s">
        <v>335</v>
      </c>
      <c r="V122" s="4">
        <v>52</v>
      </c>
      <c r="W122" s="4"/>
      <c r="X122" s="4"/>
      <c r="Y122" s="3"/>
      <c r="AA122" s="10"/>
      <c r="AB122" s="4"/>
      <c r="AC122" s="4"/>
      <c r="AD122" s="4"/>
      <c r="AE122" s="4"/>
      <c r="AF122" s="4"/>
      <c r="AG122" s="4"/>
      <c r="AH122" s="4"/>
      <c r="AI122" s="3"/>
    </row>
    <row r="123" spans="1:35" x14ac:dyDescent="0.3">
      <c r="A123" s="10"/>
      <c r="B123" s="30" t="s">
        <v>8</v>
      </c>
      <c r="C123" s="4"/>
      <c r="D123" s="7">
        <v>57</v>
      </c>
      <c r="E123" s="4"/>
      <c r="F123" s="4"/>
      <c r="G123" s="4"/>
      <c r="H123" s="4"/>
      <c r="I123" s="4"/>
      <c r="J123" s="4"/>
      <c r="K123" s="4"/>
      <c r="L123" s="4"/>
      <c r="N123" s="4"/>
      <c r="O123" s="30" t="s">
        <v>9</v>
      </c>
      <c r="P123" s="4"/>
      <c r="Q123" s="96"/>
      <c r="R123" s="43">
        <v>213</v>
      </c>
      <c r="S123" s="14"/>
      <c r="T123" s="4" t="s">
        <v>335</v>
      </c>
      <c r="V123" s="4">
        <v>56</v>
      </c>
      <c r="W123" s="4"/>
      <c r="X123" s="4"/>
      <c r="Y123" s="3"/>
      <c r="AA123" s="10"/>
      <c r="AB123" s="106">
        <v>1990</v>
      </c>
      <c r="AC123" s="106"/>
      <c r="AD123" s="4"/>
      <c r="AE123" s="111">
        <v>0.872</v>
      </c>
      <c r="AF123" s="111"/>
      <c r="AG123" s="4"/>
      <c r="AH123" s="4"/>
      <c r="AI123" s="3"/>
    </row>
    <row r="124" spans="1:35" x14ac:dyDescent="0.3">
      <c r="A124" s="10"/>
      <c r="B124" s="30" t="s">
        <v>9</v>
      </c>
      <c r="C124" s="4"/>
      <c r="D124" s="7">
        <v>67</v>
      </c>
      <c r="E124" s="4"/>
      <c r="F124" s="4"/>
      <c r="G124" s="4"/>
      <c r="H124" s="4"/>
      <c r="I124" s="4"/>
      <c r="J124" s="4"/>
      <c r="K124" s="4"/>
      <c r="L124" s="4"/>
      <c r="N124" s="4"/>
      <c r="O124" s="143">
        <v>2001</v>
      </c>
      <c r="P124" s="143"/>
      <c r="Q124" s="96"/>
      <c r="R124" s="4">
        <v>221</v>
      </c>
      <c r="S124" s="14"/>
      <c r="T124" s="4" t="s">
        <v>335</v>
      </c>
      <c r="V124" s="4">
        <v>68</v>
      </c>
      <c r="W124" s="4"/>
      <c r="X124" s="4"/>
      <c r="Y124" s="3"/>
      <c r="AA124" s="10"/>
      <c r="AB124" s="106">
        <v>2000</v>
      </c>
      <c r="AC124" s="106"/>
      <c r="AD124" s="4"/>
      <c r="AE124" s="111">
        <v>0.91400000000000003</v>
      </c>
      <c r="AF124" s="111"/>
      <c r="AG124" s="4"/>
      <c r="AH124" s="4"/>
      <c r="AI124" s="3"/>
    </row>
    <row r="125" spans="1:35" x14ac:dyDescent="0.3">
      <c r="A125" s="10"/>
      <c r="B125" s="143">
        <v>2001</v>
      </c>
      <c r="C125" s="143"/>
      <c r="D125" s="7">
        <v>68</v>
      </c>
      <c r="E125" s="4"/>
      <c r="F125" s="4"/>
      <c r="G125" s="4"/>
      <c r="H125" s="4"/>
      <c r="I125" s="4"/>
      <c r="J125" s="4"/>
      <c r="K125" s="4"/>
      <c r="L125" s="4"/>
      <c r="N125" s="4"/>
      <c r="O125" s="144">
        <v>2002</v>
      </c>
      <c r="P125" s="144"/>
      <c r="Q125" s="4"/>
      <c r="R125" s="4">
        <v>156</v>
      </c>
      <c r="T125" s="4" t="s">
        <v>335</v>
      </c>
      <c r="V125" s="4">
        <v>59</v>
      </c>
      <c r="W125" s="4"/>
      <c r="X125" s="4"/>
      <c r="Y125" s="3"/>
      <c r="AA125" s="10"/>
      <c r="AB125" s="4"/>
      <c r="AC125" s="4"/>
      <c r="AD125" s="4"/>
      <c r="AE125" s="4"/>
      <c r="AF125" s="4"/>
      <c r="AG125" s="4"/>
      <c r="AH125" s="4"/>
      <c r="AI125" s="3"/>
    </row>
    <row r="126" spans="1:35" x14ac:dyDescent="0.3">
      <c r="A126" s="10"/>
      <c r="B126" s="144">
        <v>2002</v>
      </c>
      <c r="C126" s="144"/>
      <c r="D126" s="7">
        <v>85</v>
      </c>
      <c r="E126" s="4"/>
      <c r="F126" s="4"/>
      <c r="G126" s="4"/>
      <c r="H126" s="4"/>
      <c r="I126" s="4"/>
      <c r="J126" s="4"/>
      <c r="K126" s="4"/>
      <c r="L126" s="4"/>
      <c r="N126" s="4"/>
      <c r="Q126" s="4"/>
      <c r="T126" s="4"/>
      <c r="V126" s="4"/>
      <c r="W126" s="4"/>
      <c r="X126" s="4"/>
      <c r="Y126" s="3"/>
      <c r="AA126" s="10"/>
      <c r="AB126" s="15" t="s">
        <v>28</v>
      </c>
      <c r="AC126" s="4"/>
      <c r="AD126" s="4"/>
      <c r="AE126" s="4"/>
      <c r="AF126" s="4"/>
      <c r="AG126" s="4"/>
      <c r="AH126" s="4"/>
      <c r="AI126" s="3"/>
    </row>
    <row r="127" spans="1:35" x14ac:dyDescent="0.3">
      <c r="A127" s="11"/>
      <c r="B127" s="5" t="s">
        <v>120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2"/>
      <c r="O127" s="5" t="s">
        <v>366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3"/>
      <c r="AA127" s="11"/>
      <c r="AB127" s="12"/>
      <c r="AC127" s="12"/>
      <c r="AD127" s="12"/>
      <c r="AE127" s="12"/>
      <c r="AF127" s="12"/>
      <c r="AG127" s="12"/>
      <c r="AH127" s="12"/>
      <c r="AI127" s="13"/>
    </row>
    <row r="128" spans="1:35" x14ac:dyDescent="0.3">
      <c r="M128" s="17"/>
    </row>
    <row r="129" spans="1:25" ht="14" x14ac:dyDescent="0.3">
      <c r="A129" s="121" t="s">
        <v>121</v>
      </c>
      <c r="B129" s="121"/>
      <c r="C129" s="121"/>
      <c r="D129" s="121"/>
      <c r="E129" s="121"/>
      <c r="F129" s="121"/>
      <c r="G129" s="121"/>
      <c r="M129" s="4"/>
    </row>
    <row r="130" spans="1:25" ht="14" x14ac:dyDescent="0.3">
      <c r="A130" s="2" t="s">
        <v>131</v>
      </c>
      <c r="M130" s="4"/>
    </row>
    <row r="131" spans="1:25" x14ac:dyDescent="0.3">
      <c r="M131" s="4"/>
    </row>
    <row r="132" spans="1:25" x14ac:dyDescent="0.3">
      <c r="A132" s="112">
        <v>24</v>
      </c>
      <c r="B132" s="107" t="s">
        <v>297</v>
      </c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8"/>
    </row>
    <row r="133" spans="1:25" x14ac:dyDescent="0.3">
      <c r="A133" s="113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10"/>
    </row>
    <row r="134" spans="1:25" x14ac:dyDescent="0.3">
      <c r="A134" s="10"/>
      <c r="B134" s="138" t="s">
        <v>132</v>
      </c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29"/>
    </row>
    <row r="135" spans="1:25" x14ac:dyDescent="0.3">
      <c r="A135" s="10"/>
      <c r="B135" s="36"/>
      <c r="C135" s="138" t="s">
        <v>38</v>
      </c>
      <c r="D135" s="138"/>
      <c r="E135" s="138"/>
      <c r="F135" s="138"/>
      <c r="G135" s="138" t="s">
        <v>40</v>
      </c>
      <c r="H135" s="138"/>
      <c r="I135" s="138" t="s">
        <v>49</v>
      </c>
      <c r="J135" s="138"/>
      <c r="K135" s="138"/>
      <c r="L135" s="138"/>
      <c r="M135" s="138" t="s">
        <v>43</v>
      </c>
      <c r="N135" s="138"/>
      <c r="O135" s="138" t="s">
        <v>44</v>
      </c>
      <c r="P135" s="138"/>
      <c r="Q135" s="138" t="s">
        <v>50</v>
      </c>
      <c r="R135" s="138"/>
      <c r="S135" s="138"/>
      <c r="T135" s="138"/>
      <c r="U135" s="138" t="s">
        <v>136</v>
      </c>
      <c r="V135" s="138"/>
      <c r="W135" s="138"/>
      <c r="X135" s="138"/>
      <c r="Y135" s="3"/>
    </row>
    <row r="136" spans="1:25" x14ac:dyDescent="0.3">
      <c r="A136" s="10"/>
      <c r="B136" s="36"/>
      <c r="C136" s="138" t="s">
        <v>137</v>
      </c>
      <c r="D136" s="138"/>
      <c r="E136" s="152" t="s">
        <v>138</v>
      </c>
      <c r="F136" s="152"/>
      <c r="G136" s="35" t="s">
        <v>137</v>
      </c>
      <c r="H136" s="37" t="s">
        <v>138</v>
      </c>
      <c r="I136" s="138" t="s">
        <v>137</v>
      </c>
      <c r="J136" s="138"/>
      <c r="K136" s="152" t="s">
        <v>138</v>
      </c>
      <c r="L136" s="152"/>
      <c r="M136" s="35" t="s">
        <v>137</v>
      </c>
      <c r="N136" s="37" t="s">
        <v>138</v>
      </c>
      <c r="O136" s="35" t="s">
        <v>137</v>
      </c>
      <c r="P136" s="37" t="s">
        <v>138</v>
      </c>
      <c r="Q136" s="138" t="s">
        <v>137</v>
      </c>
      <c r="R136" s="138"/>
      <c r="S136" s="152" t="s">
        <v>138</v>
      </c>
      <c r="T136" s="152"/>
      <c r="U136" s="138" t="s">
        <v>137</v>
      </c>
      <c r="V136" s="138"/>
      <c r="W136" s="152" t="s">
        <v>138</v>
      </c>
      <c r="X136" s="152"/>
      <c r="Y136" s="3"/>
    </row>
    <row r="137" spans="1:25" x14ac:dyDescent="0.3">
      <c r="A137" s="10"/>
      <c r="B137" s="38" t="s">
        <v>6</v>
      </c>
      <c r="C137" s="154">
        <v>1217</v>
      </c>
      <c r="D137" s="154"/>
      <c r="E137" s="154">
        <v>1060</v>
      </c>
      <c r="F137" s="154"/>
      <c r="G137" s="39">
        <v>674</v>
      </c>
      <c r="H137" s="39">
        <v>594</v>
      </c>
      <c r="I137" s="154">
        <v>3303</v>
      </c>
      <c r="J137" s="154"/>
      <c r="K137" s="154">
        <v>2768</v>
      </c>
      <c r="L137" s="154"/>
      <c r="M137" s="39">
        <v>703</v>
      </c>
      <c r="N137" s="39">
        <v>620</v>
      </c>
      <c r="O137" s="39">
        <v>526</v>
      </c>
      <c r="P137" s="39">
        <v>458</v>
      </c>
      <c r="Q137" s="154">
        <v>758</v>
      </c>
      <c r="R137" s="154"/>
      <c r="S137" s="154">
        <v>754</v>
      </c>
      <c r="T137" s="154"/>
      <c r="U137" s="154">
        <f t="shared" ref="U137:U142" si="0">SUM(I137,L137,N137,P137,R137,T137)</f>
        <v>4381</v>
      </c>
      <c r="V137" s="154"/>
      <c r="W137" s="154">
        <v>6254</v>
      </c>
      <c r="X137" s="154"/>
      <c r="Y137" s="3"/>
    </row>
    <row r="138" spans="1:25" x14ac:dyDescent="0.3">
      <c r="A138" s="10"/>
      <c r="B138" s="38" t="s">
        <v>7</v>
      </c>
      <c r="C138" s="154">
        <v>1185</v>
      </c>
      <c r="D138" s="154"/>
      <c r="E138" s="154">
        <v>1027</v>
      </c>
      <c r="F138" s="154"/>
      <c r="G138" s="39">
        <v>673</v>
      </c>
      <c r="H138" s="39">
        <v>593</v>
      </c>
      <c r="I138" s="154">
        <v>3078</v>
      </c>
      <c r="J138" s="154"/>
      <c r="K138" s="154">
        <v>2798</v>
      </c>
      <c r="L138" s="154"/>
      <c r="M138" s="39">
        <v>714</v>
      </c>
      <c r="N138" s="39">
        <v>636</v>
      </c>
      <c r="O138" s="39">
        <v>539</v>
      </c>
      <c r="P138" s="39">
        <v>475</v>
      </c>
      <c r="Q138" s="154">
        <v>767</v>
      </c>
      <c r="R138" s="154"/>
      <c r="S138" s="154">
        <v>712</v>
      </c>
      <c r="T138" s="154"/>
      <c r="U138" s="154">
        <f t="shared" si="0"/>
        <v>4189</v>
      </c>
      <c r="V138" s="154"/>
      <c r="W138" s="154">
        <v>6241</v>
      </c>
      <c r="X138" s="154"/>
      <c r="Y138" s="3"/>
    </row>
    <row r="139" spans="1:25" x14ac:dyDescent="0.3">
      <c r="A139" s="10"/>
      <c r="B139" s="38" t="s">
        <v>8</v>
      </c>
      <c r="C139" s="154">
        <v>1220</v>
      </c>
      <c r="D139" s="154"/>
      <c r="E139" s="154">
        <v>929</v>
      </c>
      <c r="F139" s="154"/>
      <c r="G139" s="39">
        <v>678</v>
      </c>
      <c r="H139" s="39">
        <v>591</v>
      </c>
      <c r="I139" s="154">
        <v>3135</v>
      </c>
      <c r="J139" s="154"/>
      <c r="K139" s="154">
        <v>2798</v>
      </c>
      <c r="L139" s="154"/>
      <c r="M139" s="39">
        <v>734</v>
      </c>
      <c r="N139" s="39">
        <v>650</v>
      </c>
      <c r="O139" s="39">
        <v>528</v>
      </c>
      <c r="P139" s="39">
        <v>432</v>
      </c>
      <c r="Q139" s="154">
        <v>770</v>
      </c>
      <c r="R139" s="154"/>
      <c r="S139" s="154">
        <v>727</v>
      </c>
      <c r="T139" s="154"/>
      <c r="U139" s="154">
        <f t="shared" si="0"/>
        <v>4217</v>
      </c>
      <c r="V139" s="154"/>
      <c r="W139" s="154">
        <v>6127</v>
      </c>
      <c r="X139" s="154"/>
      <c r="Y139" s="3"/>
    </row>
    <row r="140" spans="1:25" x14ac:dyDescent="0.3">
      <c r="A140" s="10"/>
      <c r="B140" s="38" t="s">
        <v>9</v>
      </c>
      <c r="C140" s="154">
        <v>1158</v>
      </c>
      <c r="D140" s="154"/>
      <c r="E140" s="154">
        <v>917</v>
      </c>
      <c r="F140" s="154"/>
      <c r="G140" s="39">
        <v>661</v>
      </c>
      <c r="H140" s="39">
        <v>579</v>
      </c>
      <c r="I140" s="154">
        <v>3061</v>
      </c>
      <c r="J140" s="154"/>
      <c r="K140" s="154">
        <v>2688</v>
      </c>
      <c r="L140" s="154"/>
      <c r="M140" s="39">
        <v>723</v>
      </c>
      <c r="N140" s="39">
        <v>672</v>
      </c>
      <c r="O140" s="39">
        <v>545</v>
      </c>
      <c r="P140" s="39">
        <v>425</v>
      </c>
      <c r="Q140" s="154">
        <v>731</v>
      </c>
      <c r="R140" s="154"/>
      <c r="S140" s="154">
        <v>733</v>
      </c>
      <c r="T140" s="154"/>
      <c r="U140" s="154">
        <f t="shared" si="0"/>
        <v>4158</v>
      </c>
      <c r="V140" s="154"/>
      <c r="W140" s="154">
        <v>6014</v>
      </c>
      <c r="X140" s="154"/>
      <c r="Y140" s="3"/>
    </row>
    <row r="141" spans="1:25" x14ac:dyDescent="0.3">
      <c r="A141" s="10"/>
      <c r="B141" s="38" t="s">
        <v>102</v>
      </c>
      <c r="C141" s="154">
        <v>1156</v>
      </c>
      <c r="D141" s="154"/>
      <c r="E141" s="154">
        <v>976</v>
      </c>
      <c r="F141" s="154"/>
      <c r="G141" s="39">
        <v>666</v>
      </c>
      <c r="H141" s="39">
        <v>542</v>
      </c>
      <c r="I141" s="154">
        <v>2920</v>
      </c>
      <c r="J141" s="154"/>
      <c r="K141" s="154">
        <v>2608</v>
      </c>
      <c r="L141" s="154"/>
      <c r="M141" s="39">
        <v>682</v>
      </c>
      <c r="N141" s="39">
        <v>665</v>
      </c>
      <c r="O141" s="39">
        <v>529</v>
      </c>
      <c r="P141" s="39">
        <v>409</v>
      </c>
      <c r="Q141" s="154">
        <v>720</v>
      </c>
      <c r="R141" s="154"/>
      <c r="S141" s="154">
        <v>776</v>
      </c>
      <c r="T141" s="154"/>
      <c r="U141" s="154">
        <f t="shared" si="0"/>
        <v>3994</v>
      </c>
      <c r="V141" s="154"/>
      <c r="W141" s="154">
        <v>5976</v>
      </c>
      <c r="X141" s="154"/>
      <c r="Y141" s="3"/>
    </row>
    <row r="142" spans="1:25" x14ac:dyDescent="0.3">
      <c r="A142" s="10"/>
      <c r="B142" s="38" t="s">
        <v>133</v>
      </c>
      <c r="C142" s="154">
        <v>1056</v>
      </c>
      <c r="D142" s="154"/>
      <c r="E142" s="154">
        <v>876</v>
      </c>
      <c r="F142" s="154"/>
      <c r="G142" s="40">
        <v>616</v>
      </c>
      <c r="H142" s="40">
        <v>516</v>
      </c>
      <c r="I142" s="154">
        <v>2854</v>
      </c>
      <c r="J142" s="154"/>
      <c r="K142" s="154">
        <v>2719</v>
      </c>
      <c r="L142" s="154"/>
      <c r="M142" s="40">
        <v>678</v>
      </c>
      <c r="N142" s="40">
        <v>681</v>
      </c>
      <c r="O142" s="40">
        <v>551</v>
      </c>
      <c r="P142" s="40">
        <v>419</v>
      </c>
      <c r="Q142" s="154">
        <v>715</v>
      </c>
      <c r="R142" s="154"/>
      <c r="S142" s="154">
        <v>761</v>
      </c>
      <c r="T142" s="154"/>
      <c r="U142" s="154">
        <f t="shared" si="0"/>
        <v>3954</v>
      </c>
      <c r="V142" s="154"/>
      <c r="W142" s="154">
        <v>5972</v>
      </c>
      <c r="X142" s="154"/>
      <c r="Y142" s="3"/>
    </row>
    <row r="143" spans="1:25" x14ac:dyDescent="0.3">
      <c r="A143" s="10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3"/>
    </row>
    <row r="144" spans="1:25" x14ac:dyDescent="0.3">
      <c r="A144" s="10"/>
      <c r="B144" s="4" t="s">
        <v>134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3"/>
    </row>
    <row r="145" spans="1:25" x14ac:dyDescent="0.3">
      <c r="A145" s="11"/>
      <c r="B145" s="5" t="s">
        <v>135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3"/>
    </row>
    <row r="146" spans="1:25" x14ac:dyDescent="0.3">
      <c r="A146" s="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3">
      <c r="A147" s="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4" x14ac:dyDescent="0.3">
      <c r="A148" s="121" t="s">
        <v>121</v>
      </c>
      <c r="B148" s="121"/>
      <c r="C148" s="121"/>
      <c r="D148" s="121"/>
      <c r="E148" s="121"/>
      <c r="F148" s="121"/>
      <c r="G148" s="12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4" x14ac:dyDescent="0.3">
      <c r="A149" s="2" t="s">
        <v>131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3">
      <c r="A150" s="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3">
      <c r="A151" s="112">
        <v>25</v>
      </c>
      <c r="B151" s="107" t="s">
        <v>139</v>
      </c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9"/>
      <c r="N151" s="155">
        <v>26</v>
      </c>
      <c r="O151" s="107" t="s">
        <v>141</v>
      </c>
      <c r="P151" s="107"/>
      <c r="Q151" s="107"/>
      <c r="R151" s="107"/>
      <c r="S151" s="107"/>
      <c r="T151" s="107"/>
      <c r="U151" s="107"/>
      <c r="V151" s="107"/>
      <c r="W151" s="107"/>
      <c r="X151" s="107"/>
      <c r="Y151" s="108"/>
    </row>
    <row r="152" spans="1:25" x14ac:dyDescent="0.3">
      <c r="A152" s="113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N152" s="156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10"/>
    </row>
    <row r="153" spans="1:25" x14ac:dyDescent="0.3">
      <c r="A153" s="10"/>
      <c r="E153" s="1" t="s">
        <v>298</v>
      </c>
      <c r="N153" s="4"/>
      <c r="O153" s="4"/>
      <c r="P153" s="4"/>
      <c r="Q153" s="4"/>
      <c r="R153" s="130" t="s">
        <v>52</v>
      </c>
      <c r="S153" s="130"/>
      <c r="T153" s="28"/>
      <c r="U153" s="130" t="s">
        <v>53</v>
      </c>
      <c r="V153" s="130"/>
      <c r="W153" s="28"/>
      <c r="X153" s="130" t="s">
        <v>54</v>
      </c>
      <c r="Y153" s="150"/>
    </row>
    <row r="154" spans="1:25" x14ac:dyDescent="0.3">
      <c r="A154" s="10"/>
      <c r="B154" s="15"/>
      <c r="C154" s="4"/>
      <c r="D154" s="4"/>
      <c r="E154" s="130" t="s">
        <v>52</v>
      </c>
      <c r="F154" s="130"/>
      <c r="G154" s="4"/>
      <c r="H154" s="130" t="s">
        <v>53</v>
      </c>
      <c r="I154" s="130"/>
      <c r="J154" s="4"/>
      <c r="K154" s="130" t="s">
        <v>54</v>
      </c>
      <c r="L154" s="130"/>
      <c r="N154" s="4"/>
      <c r="O154" s="8" t="s">
        <v>38</v>
      </c>
      <c r="P154" s="4"/>
      <c r="Q154" s="4"/>
      <c r="R154" s="127">
        <v>27</v>
      </c>
      <c r="S154" s="127"/>
      <c r="T154" s="4"/>
      <c r="U154" s="127">
        <v>34</v>
      </c>
      <c r="V154" s="127"/>
      <c r="W154" s="43"/>
      <c r="X154" s="127">
        <v>21</v>
      </c>
      <c r="Y154" s="157"/>
    </row>
    <row r="155" spans="1:25" x14ac:dyDescent="0.3">
      <c r="A155" s="10"/>
      <c r="B155" s="8" t="s">
        <v>38</v>
      </c>
      <c r="C155" s="4"/>
      <c r="D155" s="4"/>
      <c r="E155" s="111">
        <v>0.14699999999999999</v>
      </c>
      <c r="F155" s="111"/>
      <c r="G155" s="4"/>
      <c r="H155" s="111">
        <v>0.13800000000000001</v>
      </c>
      <c r="I155" s="111"/>
      <c r="J155" s="4"/>
      <c r="K155" s="111">
        <v>0.14399999999999999</v>
      </c>
      <c r="L155" s="111"/>
      <c r="N155" s="4"/>
      <c r="O155" s="8" t="s">
        <v>40</v>
      </c>
      <c r="P155" s="4"/>
      <c r="Q155" s="4"/>
      <c r="R155" s="127">
        <v>0</v>
      </c>
      <c r="S155" s="127"/>
      <c r="T155" s="4"/>
      <c r="U155" s="127">
        <v>0</v>
      </c>
      <c r="V155" s="127"/>
      <c r="W155" s="43"/>
      <c r="X155" s="127">
        <v>0</v>
      </c>
      <c r="Y155" s="157"/>
    </row>
    <row r="156" spans="1:25" x14ac:dyDescent="0.3">
      <c r="A156" s="10"/>
      <c r="B156" s="8" t="s">
        <v>40</v>
      </c>
      <c r="C156" s="4"/>
      <c r="D156" s="4"/>
      <c r="E156" s="111">
        <v>0.151</v>
      </c>
      <c r="F156" s="111"/>
      <c r="G156" s="4"/>
      <c r="H156" s="111">
        <v>0.15</v>
      </c>
      <c r="I156" s="111"/>
      <c r="J156" s="4"/>
      <c r="K156" s="111">
        <v>0.157</v>
      </c>
      <c r="L156" s="111"/>
      <c r="N156" s="4"/>
      <c r="O156" s="8" t="s">
        <v>49</v>
      </c>
      <c r="P156" s="4"/>
      <c r="Q156" s="4"/>
      <c r="R156" s="127">
        <v>268</v>
      </c>
      <c r="S156" s="127"/>
      <c r="T156" s="4"/>
      <c r="U156" s="127">
        <v>285</v>
      </c>
      <c r="V156" s="127"/>
      <c r="W156" s="43"/>
      <c r="X156" s="127">
        <v>316</v>
      </c>
      <c r="Y156" s="157"/>
    </row>
    <row r="157" spans="1:25" x14ac:dyDescent="0.3">
      <c r="A157" s="10"/>
      <c r="B157" s="8" t="s">
        <v>49</v>
      </c>
      <c r="C157" s="4"/>
      <c r="D157" s="4"/>
      <c r="E157" s="111">
        <v>0.13200000000000001</v>
      </c>
      <c r="F157" s="111"/>
      <c r="G157" s="4"/>
      <c r="H157" s="111">
        <v>0.13</v>
      </c>
      <c r="I157" s="111"/>
      <c r="J157" s="4"/>
      <c r="K157" s="111">
        <v>0.13800000000000001</v>
      </c>
      <c r="L157" s="111"/>
      <c r="N157" s="4"/>
      <c r="O157" s="8" t="s">
        <v>43</v>
      </c>
      <c r="P157" s="4"/>
      <c r="Q157" s="4"/>
      <c r="R157" s="127">
        <v>5</v>
      </c>
      <c r="S157" s="127"/>
      <c r="T157" s="4"/>
      <c r="U157" s="127">
        <v>11</v>
      </c>
      <c r="V157" s="127"/>
      <c r="W157" s="43"/>
      <c r="X157" s="127">
        <v>4</v>
      </c>
      <c r="Y157" s="157"/>
    </row>
    <row r="158" spans="1:25" x14ac:dyDescent="0.3">
      <c r="A158" s="10"/>
      <c r="B158" s="8" t="s">
        <v>43</v>
      </c>
      <c r="C158" s="4"/>
      <c r="D158" s="4"/>
      <c r="E158" s="111">
        <v>0.12</v>
      </c>
      <c r="F158" s="111"/>
      <c r="G158" s="4"/>
      <c r="H158" s="111">
        <v>0.113</v>
      </c>
      <c r="I158" s="111"/>
      <c r="J158" s="4"/>
      <c r="K158" s="111">
        <v>0.126</v>
      </c>
      <c r="L158" s="111"/>
      <c r="N158" s="4"/>
      <c r="O158" s="8" t="s">
        <v>44</v>
      </c>
      <c r="P158" s="4"/>
      <c r="Q158" s="4"/>
      <c r="R158" s="127">
        <v>6</v>
      </c>
      <c r="S158" s="127"/>
      <c r="T158" s="4"/>
      <c r="U158" s="127">
        <v>6</v>
      </c>
      <c r="V158" s="127"/>
      <c r="W158" s="43"/>
      <c r="X158" s="127">
        <v>3</v>
      </c>
      <c r="Y158" s="157"/>
    </row>
    <row r="159" spans="1:25" x14ac:dyDescent="0.3">
      <c r="A159" s="10"/>
      <c r="B159" s="8" t="s">
        <v>44</v>
      </c>
      <c r="C159" s="4"/>
      <c r="D159" s="4"/>
      <c r="E159" s="111">
        <v>0.159</v>
      </c>
      <c r="F159" s="111"/>
      <c r="G159" s="4"/>
      <c r="H159" s="111">
        <v>0.158</v>
      </c>
      <c r="I159" s="111"/>
      <c r="J159" s="4"/>
      <c r="K159" s="111">
        <v>0.14699999999999999</v>
      </c>
      <c r="L159" s="111"/>
      <c r="N159" s="4"/>
      <c r="O159" s="8" t="s">
        <v>50</v>
      </c>
      <c r="P159" s="4"/>
      <c r="Q159" s="4"/>
      <c r="R159" s="127">
        <v>1</v>
      </c>
      <c r="S159" s="127"/>
      <c r="T159" s="4"/>
      <c r="U159" s="127">
        <v>2</v>
      </c>
      <c r="V159" s="127"/>
      <c r="W159" s="43"/>
      <c r="X159" s="127">
        <v>1</v>
      </c>
      <c r="Y159" s="157"/>
    </row>
    <row r="160" spans="1:25" x14ac:dyDescent="0.3">
      <c r="A160" s="10"/>
      <c r="B160" s="8" t="s">
        <v>50</v>
      </c>
      <c r="C160" s="4"/>
      <c r="D160" s="4"/>
      <c r="E160" s="111">
        <v>0.13800000000000001</v>
      </c>
      <c r="F160" s="111"/>
      <c r="G160" s="4"/>
      <c r="H160" s="111">
        <v>0.14399999999999999</v>
      </c>
      <c r="I160" s="111"/>
      <c r="J160" s="4"/>
      <c r="K160" s="111">
        <v>0.14799999999999999</v>
      </c>
      <c r="L160" s="111"/>
      <c r="N160" s="4"/>
      <c r="O160" s="8" t="s">
        <v>24</v>
      </c>
      <c r="P160" s="4"/>
      <c r="Q160" s="4"/>
      <c r="R160" s="127">
        <v>307</v>
      </c>
      <c r="S160" s="127"/>
      <c r="T160" s="4"/>
      <c r="U160" s="127">
        <v>338</v>
      </c>
      <c r="V160" s="127"/>
      <c r="W160" s="43"/>
      <c r="X160" s="127">
        <v>345</v>
      </c>
      <c r="Y160" s="157"/>
    </row>
    <row r="161" spans="1:25" x14ac:dyDescent="0.3">
      <c r="A161" s="10"/>
      <c r="B161" s="8" t="s">
        <v>24</v>
      </c>
      <c r="C161" s="4"/>
      <c r="D161" s="4"/>
      <c r="E161" s="111">
        <v>0.13800000000000001</v>
      </c>
      <c r="F161" s="111"/>
      <c r="G161" s="4"/>
      <c r="H161" s="111">
        <v>0.13500000000000001</v>
      </c>
      <c r="I161" s="111"/>
      <c r="J161" s="4"/>
      <c r="K161" s="111">
        <v>0.14199999999999999</v>
      </c>
      <c r="L161" s="11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3"/>
    </row>
    <row r="162" spans="1:25" x14ac:dyDescent="0.3">
      <c r="A162" s="11"/>
      <c r="B162" s="5" t="s">
        <v>140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3"/>
      <c r="N162" s="12"/>
      <c r="O162" s="5" t="s">
        <v>51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3"/>
    </row>
    <row r="163" spans="1:25" x14ac:dyDescent="0.3">
      <c r="M163" s="4"/>
    </row>
    <row r="164" spans="1:25" ht="14" x14ac:dyDescent="0.3">
      <c r="A164" s="2" t="s">
        <v>122</v>
      </c>
      <c r="M164" s="4"/>
    </row>
    <row r="165" spans="1:25" ht="14" x14ac:dyDescent="0.3">
      <c r="A165" s="2"/>
      <c r="M165" s="4"/>
    </row>
    <row r="166" spans="1:25" x14ac:dyDescent="0.3">
      <c r="A166" s="112">
        <v>27</v>
      </c>
      <c r="B166" s="107" t="s">
        <v>142</v>
      </c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9"/>
      <c r="N166" s="112">
        <v>28</v>
      </c>
      <c r="O166" s="107" t="s">
        <v>143</v>
      </c>
      <c r="P166" s="107"/>
      <c r="Q166" s="107"/>
      <c r="R166" s="107"/>
      <c r="S166" s="107"/>
      <c r="T166" s="107"/>
      <c r="U166" s="107"/>
      <c r="V166" s="107"/>
      <c r="W166" s="107"/>
      <c r="X166" s="107"/>
      <c r="Y166" s="108"/>
    </row>
    <row r="167" spans="1:25" x14ac:dyDescent="0.3">
      <c r="A167" s="113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N167" s="113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10"/>
    </row>
    <row r="168" spans="1:25" ht="12.75" customHeight="1" x14ac:dyDescent="0.3">
      <c r="A168" s="44"/>
      <c r="B168" s="4"/>
      <c r="C168" s="4"/>
      <c r="D168" s="4"/>
      <c r="E168" s="130" t="s">
        <v>52</v>
      </c>
      <c r="F168" s="130"/>
      <c r="G168" s="130"/>
      <c r="H168" s="158" t="s">
        <v>53</v>
      </c>
      <c r="I168" s="130"/>
      <c r="J168" s="131"/>
      <c r="K168" s="130" t="s">
        <v>54</v>
      </c>
      <c r="L168" s="130"/>
      <c r="M168" s="150"/>
      <c r="N168" s="4"/>
      <c r="O168" s="4"/>
      <c r="P168" s="4"/>
      <c r="Q168" s="4"/>
      <c r="R168" s="21" t="s">
        <v>52</v>
      </c>
      <c r="S168" s="4"/>
      <c r="T168" s="158" t="s">
        <v>53</v>
      </c>
      <c r="U168" s="130"/>
      <c r="V168" s="131"/>
      <c r="W168" s="4"/>
      <c r="X168" s="34" t="s">
        <v>54</v>
      </c>
      <c r="Y168" s="3"/>
    </row>
    <row r="169" spans="1:25" ht="12.75" customHeight="1" x14ac:dyDescent="0.3">
      <c r="A169" s="44"/>
      <c r="B169" s="8" t="s">
        <v>38</v>
      </c>
      <c r="C169" s="4"/>
      <c r="D169" s="4"/>
      <c r="E169" s="106" t="s">
        <v>144</v>
      </c>
      <c r="F169" s="106"/>
      <c r="G169" s="106"/>
      <c r="H169" s="120" t="s">
        <v>158</v>
      </c>
      <c r="I169" s="106"/>
      <c r="J169" s="119"/>
      <c r="K169" s="106" t="s">
        <v>151</v>
      </c>
      <c r="L169" s="106"/>
      <c r="M169" s="139"/>
      <c r="N169" s="4"/>
      <c r="O169" s="8" t="s">
        <v>38</v>
      </c>
      <c r="P169" s="4"/>
      <c r="Q169" s="4"/>
      <c r="R169" s="4"/>
      <c r="S169" s="22" t="s">
        <v>165</v>
      </c>
      <c r="T169" s="120" t="s">
        <v>179</v>
      </c>
      <c r="U169" s="106"/>
      <c r="V169" s="119"/>
      <c r="W169" s="4"/>
      <c r="X169" s="29" t="s">
        <v>172</v>
      </c>
      <c r="Y169" s="3"/>
    </row>
    <row r="170" spans="1:25" ht="12.75" customHeight="1" x14ac:dyDescent="0.3">
      <c r="A170" s="44"/>
      <c r="B170" s="8" t="s">
        <v>40</v>
      </c>
      <c r="C170" s="4"/>
      <c r="D170" s="4"/>
      <c r="E170" s="106" t="s">
        <v>145</v>
      </c>
      <c r="F170" s="106"/>
      <c r="G170" s="106"/>
      <c r="H170" s="120" t="s">
        <v>159</v>
      </c>
      <c r="I170" s="106"/>
      <c r="J170" s="119"/>
      <c r="K170" s="106" t="s">
        <v>152</v>
      </c>
      <c r="L170" s="106"/>
      <c r="M170" s="139"/>
      <c r="N170" s="4"/>
      <c r="O170" s="8" t="s">
        <v>40</v>
      </c>
      <c r="P170" s="4"/>
      <c r="Q170" s="4"/>
      <c r="R170" s="4"/>
      <c r="S170" s="22" t="s">
        <v>166</v>
      </c>
      <c r="T170" s="120" t="s">
        <v>180</v>
      </c>
      <c r="U170" s="106"/>
      <c r="V170" s="119"/>
      <c r="W170" s="4"/>
      <c r="X170" s="29" t="s">
        <v>173</v>
      </c>
      <c r="Y170" s="3"/>
    </row>
    <row r="171" spans="1:25" ht="12.75" customHeight="1" x14ac:dyDescent="0.3">
      <c r="A171" s="44"/>
      <c r="B171" s="8" t="s">
        <v>49</v>
      </c>
      <c r="C171" s="4"/>
      <c r="D171" s="4"/>
      <c r="E171" s="106" t="s">
        <v>146</v>
      </c>
      <c r="F171" s="106"/>
      <c r="G171" s="106"/>
      <c r="H171" s="120" t="s">
        <v>160</v>
      </c>
      <c r="I171" s="106"/>
      <c r="J171" s="119"/>
      <c r="K171" s="106" t="s">
        <v>153</v>
      </c>
      <c r="L171" s="106"/>
      <c r="M171" s="139"/>
      <c r="N171" s="4"/>
      <c r="O171" s="8" t="s">
        <v>49</v>
      </c>
      <c r="P171" s="4"/>
      <c r="Q171" s="4"/>
      <c r="R171" s="4"/>
      <c r="S171" s="22" t="s">
        <v>167</v>
      </c>
      <c r="T171" s="120" t="s">
        <v>181</v>
      </c>
      <c r="U171" s="106"/>
      <c r="V171" s="119"/>
      <c r="W171" s="4"/>
      <c r="X171" s="29" t="s">
        <v>174</v>
      </c>
      <c r="Y171" s="3"/>
    </row>
    <row r="172" spans="1:25" ht="12.75" customHeight="1" x14ac:dyDescent="0.3">
      <c r="A172" s="44"/>
      <c r="B172" s="8" t="s">
        <v>43</v>
      </c>
      <c r="C172" s="4"/>
      <c r="D172" s="4"/>
      <c r="E172" s="106" t="s">
        <v>147</v>
      </c>
      <c r="F172" s="106"/>
      <c r="G172" s="106"/>
      <c r="H172" s="120" t="s">
        <v>161</v>
      </c>
      <c r="I172" s="106"/>
      <c r="J172" s="119"/>
      <c r="K172" s="106" t="s">
        <v>154</v>
      </c>
      <c r="L172" s="106"/>
      <c r="M172" s="139"/>
      <c r="N172" s="4"/>
      <c r="O172" s="8" t="s">
        <v>43</v>
      </c>
      <c r="P172" s="4"/>
      <c r="Q172" s="4"/>
      <c r="R172" s="4"/>
      <c r="S172" s="22" t="s">
        <v>168</v>
      </c>
      <c r="T172" s="120" t="s">
        <v>182</v>
      </c>
      <c r="U172" s="106"/>
      <c r="V172" s="119"/>
      <c r="W172" s="4"/>
      <c r="X172" s="29" t="s">
        <v>175</v>
      </c>
      <c r="Y172" s="3"/>
    </row>
    <row r="173" spans="1:25" ht="12.75" customHeight="1" x14ac:dyDescent="0.3">
      <c r="A173" s="44"/>
      <c r="B173" s="8" t="s">
        <v>44</v>
      </c>
      <c r="C173" s="4"/>
      <c r="D173" s="4"/>
      <c r="E173" s="106" t="s">
        <v>148</v>
      </c>
      <c r="F173" s="106"/>
      <c r="G173" s="106"/>
      <c r="H173" s="120" t="s">
        <v>162</v>
      </c>
      <c r="I173" s="106"/>
      <c r="J173" s="119"/>
      <c r="K173" s="106" t="s">
        <v>155</v>
      </c>
      <c r="L173" s="106"/>
      <c r="M173" s="139"/>
      <c r="N173" s="4"/>
      <c r="O173" s="8" t="s">
        <v>44</v>
      </c>
      <c r="P173" s="4"/>
      <c r="Q173" s="4"/>
      <c r="R173" s="4"/>
      <c r="S173" s="22" t="s">
        <v>169</v>
      </c>
      <c r="T173" s="120" t="s">
        <v>183</v>
      </c>
      <c r="U173" s="106"/>
      <c r="V173" s="119"/>
      <c r="W173" s="4"/>
      <c r="X173" s="29" t="s">
        <v>176</v>
      </c>
      <c r="Y173" s="3"/>
    </row>
    <row r="174" spans="1:25" ht="12.75" customHeight="1" x14ac:dyDescent="0.3">
      <c r="A174" s="44"/>
      <c r="B174" s="8" t="s">
        <v>50</v>
      </c>
      <c r="C174" s="4"/>
      <c r="D174" s="4"/>
      <c r="E174" s="106" t="s">
        <v>149</v>
      </c>
      <c r="F174" s="106"/>
      <c r="G174" s="106"/>
      <c r="H174" s="120" t="s">
        <v>163</v>
      </c>
      <c r="I174" s="106"/>
      <c r="J174" s="119"/>
      <c r="K174" s="106" t="s">
        <v>156</v>
      </c>
      <c r="L174" s="106"/>
      <c r="M174" s="139"/>
      <c r="N174" s="4"/>
      <c r="O174" s="8" t="s">
        <v>50</v>
      </c>
      <c r="P174" s="4"/>
      <c r="Q174" s="4"/>
      <c r="R174" s="4"/>
      <c r="S174" s="22" t="s">
        <v>170</v>
      </c>
      <c r="T174" s="120" t="s">
        <v>184</v>
      </c>
      <c r="U174" s="106"/>
      <c r="V174" s="119"/>
      <c r="W174" s="4"/>
      <c r="X174" s="29" t="s">
        <v>177</v>
      </c>
      <c r="Y174" s="3"/>
    </row>
    <row r="175" spans="1:25" ht="12.75" customHeight="1" x14ac:dyDescent="0.3">
      <c r="A175" s="44"/>
      <c r="B175" s="8" t="s">
        <v>24</v>
      </c>
      <c r="C175" s="4"/>
      <c r="D175" s="4"/>
      <c r="E175" s="106" t="s">
        <v>150</v>
      </c>
      <c r="F175" s="106"/>
      <c r="G175" s="106"/>
      <c r="H175" s="120" t="s">
        <v>164</v>
      </c>
      <c r="I175" s="106"/>
      <c r="J175" s="119"/>
      <c r="K175" s="106" t="s">
        <v>157</v>
      </c>
      <c r="L175" s="106"/>
      <c r="M175" s="139"/>
      <c r="N175" s="4"/>
      <c r="O175" s="8" t="s">
        <v>24</v>
      </c>
      <c r="P175" s="4"/>
      <c r="Q175" s="4"/>
      <c r="R175" s="4"/>
      <c r="S175" s="22" t="s">
        <v>171</v>
      </c>
      <c r="T175" s="120" t="s">
        <v>185</v>
      </c>
      <c r="U175" s="106"/>
      <c r="V175" s="119"/>
      <c r="W175" s="4"/>
      <c r="X175" s="29" t="s">
        <v>178</v>
      </c>
      <c r="Y175" s="3"/>
    </row>
    <row r="176" spans="1:25" ht="12.75" customHeight="1" x14ac:dyDescent="0.3">
      <c r="A176" s="44"/>
      <c r="B176" s="8"/>
      <c r="C176" s="4"/>
      <c r="D176" s="4"/>
      <c r="E176" s="7"/>
      <c r="F176" s="7"/>
      <c r="G176" s="7"/>
      <c r="H176" s="7"/>
      <c r="I176" s="7"/>
      <c r="J176" s="7"/>
      <c r="K176" s="7"/>
      <c r="L176" s="7"/>
      <c r="M176" s="29"/>
      <c r="N176" s="4"/>
      <c r="O176" s="8"/>
      <c r="P176" s="4"/>
      <c r="Q176" s="4"/>
      <c r="R176" s="4"/>
      <c r="S176" s="4"/>
      <c r="T176" s="4"/>
      <c r="U176" s="4"/>
      <c r="V176" s="4"/>
      <c r="W176" s="4"/>
      <c r="X176" s="4"/>
      <c r="Y176" s="3"/>
    </row>
    <row r="177" spans="1:25" ht="12.75" customHeight="1" x14ac:dyDescent="0.3">
      <c r="A177" s="45"/>
      <c r="B177" s="5" t="s">
        <v>51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"/>
      <c r="N177" s="12"/>
      <c r="O177" s="5" t="s">
        <v>51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3"/>
    </row>
    <row r="178" spans="1:25" ht="12.75" customHeight="1" x14ac:dyDescent="0.3">
      <c r="M178" s="12"/>
    </row>
    <row r="179" spans="1:25" x14ac:dyDescent="0.3">
      <c r="A179" s="112">
        <v>29</v>
      </c>
      <c r="B179" s="107" t="s">
        <v>332</v>
      </c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9"/>
      <c r="N179" s="112">
        <v>30</v>
      </c>
      <c r="O179" s="107" t="s">
        <v>344</v>
      </c>
      <c r="P179" s="107"/>
      <c r="Q179" s="107"/>
      <c r="R179" s="107"/>
      <c r="S179" s="107"/>
      <c r="T179" s="107"/>
      <c r="U179" s="107"/>
      <c r="V179" s="107"/>
      <c r="W179" s="107"/>
      <c r="X179" s="107"/>
      <c r="Y179" s="108"/>
    </row>
    <row r="180" spans="1:25" x14ac:dyDescent="0.3">
      <c r="A180" s="113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N180" s="113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10"/>
    </row>
    <row r="181" spans="1:25" x14ac:dyDescent="0.3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3"/>
    </row>
    <row r="182" spans="1:25" x14ac:dyDescent="0.3">
      <c r="A182" s="10"/>
      <c r="B182" s="4"/>
      <c r="C182" s="4"/>
      <c r="D182" s="4"/>
      <c r="E182" s="106" t="s">
        <v>123</v>
      </c>
      <c r="F182" s="106"/>
      <c r="G182" s="106"/>
      <c r="H182" s="106"/>
      <c r="I182" s="106"/>
      <c r="J182" s="106"/>
      <c r="K182" s="106"/>
      <c r="L182" s="106"/>
      <c r="N182" s="4"/>
      <c r="O182" s="4"/>
      <c r="P182" s="4"/>
      <c r="Q182" s="4"/>
      <c r="R182" s="149" t="s">
        <v>124</v>
      </c>
      <c r="S182" s="149"/>
      <c r="T182" s="149"/>
      <c r="U182" s="4"/>
      <c r="V182" s="7" t="s">
        <v>125</v>
      </c>
      <c r="W182" s="4"/>
      <c r="X182" s="145" t="s">
        <v>93</v>
      </c>
      <c r="Y182" s="146"/>
    </row>
    <row r="183" spans="1:25" x14ac:dyDescent="0.3">
      <c r="A183" s="10"/>
      <c r="B183" s="4"/>
      <c r="C183" s="4"/>
      <c r="D183" s="4"/>
      <c r="E183" s="130" t="s">
        <v>52</v>
      </c>
      <c r="F183" s="130"/>
      <c r="G183" s="4"/>
      <c r="H183" s="130" t="s">
        <v>53</v>
      </c>
      <c r="I183" s="130"/>
      <c r="J183" s="4"/>
      <c r="K183" s="130" t="s">
        <v>54</v>
      </c>
      <c r="L183" s="130"/>
      <c r="N183" s="4"/>
      <c r="O183" s="4"/>
      <c r="P183" s="4"/>
      <c r="Q183" s="4"/>
      <c r="R183" s="149"/>
      <c r="S183" s="149"/>
      <c r="T183" s="149"/>
      <c r="U183" s="4"/>
      <c r="V183" s="7" t="s">
        <v>126</v>
      </c>
      <c r="W183" s="4"/>
      <c r="X183" s="145"/>
      <c r="Y183" s="146"/>
    </row>
    <row r="184" spans="1:25" x14ac:dyDescent="0.3">
      <c r="A184" s="10"/>
      <c r="B184" s="8" t="s">
        <v>38</v>
      </c>
      <c r="C184" s="4"/>
      <c r="D184" s="4"/>
      <c r="E184" s="137">
        <v>0.39</v>
      </c>
      <c r="F184" s="137"/>
      <c r="G184" s="4"/>
      <c r="H184" s="137">
        <v>0.45</v>
      </c>
      <c r="I184" s="137"/>
      <c r="J184" s="33"/>
      <c r="K184" s="137">
        <v>0.36</v>
      </c>
      <c r="L184" s="137"/>
      <c r="N184" s="4"/>
      <c r="O184" s="8" t="s">
        <v>38</v>
      </c>
      <c r="P184" s="4"/>
      <c r="Q184" s="4"/>
      <c r="R184" s="147">
        <v>0.76</v>
      </c>
      <c r="S184" s="147"/>
      <c r="T184" s="147"/>
      <c r="U184" s="147">
        <v>0.14000000000000001</v>
      </c>
      <c r="V184" s="147"/>
      <c r="W184" s="147"/>
      <c r="X184" s="148">
        <v>0.09</v>
      </c>
      <c r="Y184" s="148"/>
    </row>
    <row r="185" spans="1:25" x14ac:dyDescent="0.3">
      <c r="A185" s="10"/>
      <c r="B185" s="8" t="s">
        <v>40</v>
      </c>
      <c r="C185" s="4"/>
      <c r="D185" s="4"/>
      <c r="E185" s="137">
        <v>0.47</v>
      </c>
      <c r="F185" s="137"/>
      <c r="G185" s="4"/>
      <c r="H185" s="137">
        <v>0.56000000000000005</v>
      </c>
      <c r="I185" s="137"/>
      <c r="J185" s="33"/>
      <c r="K185" s="137">
        <v>0.54</v>
      </c>
      <c r="L185" s="137"/>
      <c r="N185" s="4"/>
      <c r="O185" s="8" t="s">
        <v>40</v>
      </c>
      <c r="P185" s="4"/>
      <c r="Q185" s="4"/>
      <c r="R185" s="147">
        <v>0.83</v>
      </c>
      <c r="S185" s="147"/>
      <c r="T185" s="147"/>
      <c r="U185" s="147">
        <v>0.12</v>
      </c>
      <c r="V185" s="147">
        <v>0.12</v>
      </c>
      <c r="W185" s="147"/>
      <c r="X185" s="148">
        <v>0.05</v>
      </c>
      <c r="Y185" s="148"/>
    </row>
    <row r="186" spans="1:25" x14ac:dyDescent="0.3">
      <c r="A186" s="10"/>
      <c r="B186" s="8" t="s">
        <v>49</v>
      </c>
      <c r="C186" s="4"/>
      <c r="D186" s="4"/>
      <c r="E186" s="137">
        <v>0.74</v>
      </c>
      <c r="F186" s="137"/>
      <c r="G186" s="4"/>
      <c r="H186" s="137">
        <v>0.72</v>
      </c>
      <c r="I186" s="137"/>
      <c r="J186" s="33"/>
      <c r="K186" s="137">
        <v>0.63</v>
      </c>
      <c r="L186" s="137"/>
      <c r="N186" s="4"/>
      <c r="O186" s="8" t="s">
        <v>49</v>
      </c>
      <c r="P186" s="4"/>
      <c r="Q186" s="4"/>
      <c r="R186" s="147">
        <v>0.89</v>
      </c>
      <c r="S186" s="147"/>
      <c r="T186" s="147"/>
      <c r="U186" s="147">
        <v>0.05</v>
      </c>
      <c r="V186" s="147">
        <v>0.05</v>
      </c>
      <c r="W186" s="147"/>
      <c r="X186" s="148">
        <v>0.05</v>
      </c>
      <c r="Y186" s="148"/>
    </row>
    <row r="187" spans="1:25" x14ac:dyDescent="0.3">
      <c r="A187" s="10"/>
      <c r="B187" s="8" t="s">
        <v>43</v>
      </c>
      <c r="C187" s="4"/>
      <c r="D187" s="4"/>
      <c r="E187" s="137">
        <v>0.47</v>
      </c>
      <c r="F187" s="137"/>
      <c r="G187" s="4"/>
      <c r="H187" s="137">
        <v>0.66</v>
      </c>
      <c r="I187" s="137"/>
      <c r="J187" s="33"/>
      <c r="K187" s="137">
        <v>0.69</v>
      </c>
      <c r="L187" s="137"/>
      <c r="N187" s="4"/>
      <c r="O187" s="8" t="s">
        <v>43</v>
      </c>
      <c r="P187" s="4"/>
      <c r="Q187" s="4"/>
      <c r="R187" s="147">
        <v>0.84</v>
      </c>
      <c r="S187" s="147"/>
      <c r="T187" s="147"/>
      <c r="U187" s="147">
        <v>0.14000000000000001</v>
      </c>
      <c r="V187" s="147">
        <v>0.14000000000000001</v>
      </c>
      <c r="W187" s="147"/>
      <c r="X187" s="148">
        <v>0.01</v>
      </c>
      <c r="Y187" s="148"/>
    </row>
    <row r="188" spans="1:25" x14ac:dyDescent="0.3">
      <c r="A188" s="10"/>
      <c r="B188" s="8" t="s">
        <v>44</v>
      </c>
      <c r="C188" s="4"/>
      <c r="D188" s="4"/>
      <c r="E188" s="137">
        <v>0.56999999999999995</v>
      </c>
      <c r="F188" s="137"/>
      <c r="G188" s="4"/>
      <c r="H188" s="137">
        <v>0.81</v>
      </c>
      <c r="I188" s="137"/>
      <c r="J188" s="33"/>
      <c r="K188" s="137">
        <v>0.37</v>
      </c>
      <c r="L188" s="137"/>
      <c r="N188" s="4"/>
      <c r="O188" s="8" t="s">
        <v>44</v>
      </c>
      <c r="P188" s="4"/>
      <c r="Q188" s="4"/>
      <c r="R188" s="147">
        <v>0.63</v>
      </c>
      <c r="S188" s="147"/>
      <c r="T188" s="147"/>
      <c r="U188" s="147">
        <v>0.25</v>
      </c>
      <c r="V188" s="147">
        <v>0.25</v>
      </c>
      <c r="W188" s="147"/>
      <c r="X188" s="148">
        <v>0.11</v>
      </c>
      <c r="Y188" s="148"/>
    </row>
    <row r="189" spans="1:25" x14ac:dyDescent="0.3">
      <c r="A189" s="10"/>
      <c r="B189" s="8" t="s">
        <v>50</v>
      </c>
      <c r="C189" s="4"/>
      <c r="D189" s="4"/>
      <c r="E189" s="137">
        <v>0.62</v>
      </c>
      <c r="F189" s="137"/>
      <c r="G189" s="4"/>
      <c r="H189" s="137">
        <v>0.69</v>
      </c>
      <c r="I189" s="137"/>
      <c r="J189" s="33"/>
      <c r="K189" s="137">
        <v>0.68</v>
      </c>
      <c r="L189" s="137"/>
      <c r="N189" s="4"/>
      <c r="O189" s="8" t="s">
        <v>50</v>
      </c>
      <c r="P189" s="4"/>
      <c r="Q189" s="4"/>
      <c r="R189" s="147">
        <v>0.68</v>
      </c>
      <c r="S189" s="147"/>
      <c r="T189" s="147"/>
      <c r="U189" s="147">
        <v>0.18</v>
      </c>
      <c r="V189" s="147">
        <v>0.18</v>
      </c>
      <c r="W189" s="147"/>
      <c r="X189" s="148">
        <v>0.14000000000000001</v>
      </c>
      <c r="Y189" s="148"/>
    </row>
    <row r="190" spans="1:25" x14ac:dyDescent="0.3">
      <c r="A190" s="10"/>
      <c r="B190" s="8" t="s">
        <v>24</v>
      </c>
      <c r="C190" s="4"/>
      <c r="D190" s="4"/>
      <c r="E190" s="137">
        <v>0.61</v>
      </c>
      <c r="F190" s="137"/>
      <c r="G190" s="4"/>
      <c r="H190" s="137">
        <v>0.65</v>
      </c>
      <c r="I190" s="137"/>
      <c r="J190" s="33"/>
      <c r="K190" s="137">
        <v>0.56999999999999995</v>
      </c>
      <c r="L190" s="1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3"/>
    </row>
    <row r="191" spans="1:25" x14ac:dyDescent="0.3">
      <c r="A191" s="11"/>
      <c r="B191" s="5" t="s">
        <v>51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"/>
      <c r="N191" s="12"/>
      <c r="O191" s="5" t="s">
        <v>51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3"/>
    </row>
    <row r="192" spans="1:25" x14ac:dyDescent="0.3">
      <c r="A192" s="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5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3">
      <c r="A193" s="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5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4" x14ac:dyDescent="0.3">
      <c r="A194" s="121" t="s">
        <v>121</v>
      </c>
      <c r="B194" s="121"/>
      <c r="C194" s="121"/>
      <c r="D194" s="121"/>
      <c r="E194" s="121"/>
      <c r="F194" s="121"/>
      <c r="G194" s="121"/>
      <c r="H194" s="4"/>
      <c r="I194" s="4"/>
      <c r="J194" s="4"/>
      <c r="K194" s="4"/>
      <c r="L194" s="4"/>
      <c r="M194" s="4"/>
      <c r="N194" s="4"/>
      <c r="O194" s="15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4" x14ac:dyDescent="0.3">
      <c r="A195" s="2" t="s">
        <v>122</v>
      </c>
      <c r="H195" s="4"/>
      <c r="I195" s="4"/>
      <c r="J195" s="4"/>
      <c r="K195" s="4"/>
      <c r="L195" s="4"/>
      <c r="M195" s="4"/>
      <c r="N195" s="4"/>
      <c r="O195" s="15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3">
      <c r="M196" s="4"/>
    </row>
    <row r="197" spans="1:25" x14ac:dyDescent="0.3">
      <c r="A197" s="112">
        <v>31</v>
      </c>
      <c r="B197" s="107" t="s">
        <v>369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9"/>
      <c r="N197" s="112">
        <v>32</v>
      </c>
      <c r="O197" s="107" t="s">
        <v>299</v>
      </c>
      <c r="P197" s="107"/>
      <c r="Q197" s="107"/>
      <c r="R197" s="107"/>
      <c r="S197" s="107"/>
      <c r="T197" s="107"/>
      <c r="U197" s="107"/>
      <c r="V197" s="107"/>
      <c r="W197" s="107"/>
      <c r="X197" s="107"/>
      <c r="Y197" s="108"/>
    </row>
    <row r="198" spans="1:25" x14ac:dyDescent="0.3">
      <c r="A198" s="113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N198" s="113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10"/>
    </row>
    <row r="199" spans="1:25" x14ac:dyDescent="0.3">
      <c r="A199" s="10"/>
      <c r="B199" s="4"/>
      <c r="C199" s="4"/>
      <c r="D199" s="4"/>
      <c r="E199" s="130" t="s">
        <v>52</v>
      </c>
      <c r="F199" s="130"/>
      <c r="G199" s="28"/>
      <c r="H199" s="130" t="s">
        <v>53</v>
      </c>
      <c r="I199" s="130"/>
      <c r="J199" s="28"/>
      <c r="K199" s="130" t="s">
        <v>54</v>
      </c>
      <c r="L199" s="130"/>
      <c r="N199" s="4"/>
      <c r="O199" s="4"/>
      <c r="P199" s="4"/>
      <c r="Q199" s="4"/>
      <c r="R199" s="130" t="s">
        <v>52</v>
      </c>
      <c r="S199" s="130"/>
      <c r="T199" s="28"/>
      <c r="U199" s="130" t="s">
        <v>53</v>
      </c>
      <c r="V199" s="130"/>
      <c r="W199" s="28"/>
      <c r="X199" s="130" t="s">
        <v>54</v>
      </c>
      <c r="Y199" s="150"/>
    </row>
    <row r="200" spans="1:25" x14ac:dyDescent="0.3">
      <c r="A200" s="10"/>
      <c r="B200" s="4"/>
      <c r="C200" s="4"/>
      <c r="D200" s="4"/>
      <c r="E200" s="4" t="s">
        <v>128</v>
      </c>
      <c r="F200" s="4"/>
      <c r="G200" s="4"/>
      <c r="H200" s="4"/>
      <c r="I200" s="4"/>
      <c r="J200" s="4"/>
      <c r="K200" s="4"/>
      <c r="L200" s="4"/>
      <c r="N200" s="4"/>
      <c r="O200" s="4"/>
      <c r="P200" s="4"/>
      <c r="Q200" s="4" t="s">
        <v>128</v>
      </c>
      <c r="S200" s="4"/>
      <c r="T200" s="4"/>
      <c r="U200" s="4"/>
      <c r="V200" s="4"/>
      <c r="W200" s="4"/>
      <c r="X200" s="4"/>
      <c r="Y200" s="3"/>
    </row>
    <row r="201" spans="1:25" x14ac:dyDescent="0.3">
      <c r="A201" s="10"/>
      <c r="B201" s="8" t="s">
        <v>38</v>
      </c>
      <c r="C201" s="4"/>
      <c r="D201" s="4"/>
      <c r="E201" s="147">
        <v>0.55000000000000004</v>
      </c>
      <c r="F201" s="147"/>
      <c r="G201" s="4"/>
      <c r="H201" s="147">
        <v>0.59</v>
      </c>
      <c r="I201" s="147"/>
      <c r="J201" s="4"/>
      <c r="K201" s="147">
        <v>0.6</v>
      </c>
      <c r="L201" s="147"/>
      <c r="N201" s="4"/>
      <c r="O201" s="8" t="s">
        <v>38</v>
      </c>
      <c r="P201" s="4"/>
      <c r="Q201" s="4"/>
      <c r="R201" s="147">
        <v>0.67</v>
      </c>
      <c r="S201" s="147"/>
      <c r="T201" s="31"/>
      <c r="U201" s="147">
        <v>0.59</v>
      </c>
      <c r="V201" s="147"/>
      <c r="W201" s="4"/>
      <c r="X201" s="147">
        <v>0.68</v>
      </c>
      <c r="Y201" s="148"/>
    </row>
    <row r="202" spans="1:25" x14ac:dyDescent="0.3">
      <c r="A202" s="10"/>
      <c r="B202" s="8" t="s">
        <v>40</v>
      </c>
      <c r="C202" s="4"/>
      <c r="D202" s="4"/>
      <c r="E202" s="147">
        <v>0.52</v>
      </c>
      <c r="F202" s="147"/>
      <c r="G202" s="4"/>
      <c r="H202" s="147">
        <v>0.61</v>
      </c>
      <c r="I202" s="147"/>
      <c r="J202" s="4"/>
      <c r="K202" s="147">
        <v>0.5</v>
      </c>
      <c r="L202" s="147"/>
      <c r="N202" s="4"/>
      <c r="O202" s="8" t="s">
        <v>40</v>
      </c>
      <c r="P202" s="4"/>
      <c r="Q202" s="4"/>
      <c r="R202" s="147">
        <v>0.67</v>
      </c>
      <c r="S202" s="147"/>
      <c r="T202" s="31"/>
      <c r="U202" s="147">
        <v>0.7</v>
      </c>
      <c r="V202" s="147"/>
      <c r="W202" s="4"/>
      <c r="X202" s="147">
        <v>0.72</v>
      </c>
      <c r="Y202" s="148"/>
    </row>
    <row r="203" spans="1:25" x14ac:dyDescent="0.3">
      <c r="A203" s="10"/>
      <c r="B203" s="8" t="s">
        <v>49</v>
      </c>
      <c r="C203" s="4"/>
      <c r="D203" s="4"/>
      <c r="E203" s="147">
        <v>0.71</v>
      </c>
      <c r="F203" s="147"/>
      <c r="G203" s="4"/>
      <c r="H203" s="147">
        <v>0.77</v>
      </c>
      <c r="I203" s="147"/>
      <c r="J203" s="4"/>
      <c r="K203" s="147">
        <v>0.68</v>
      </c>
      <c r="L203" s="147"/>
      <c r="N203" s="4"/>
      <c r="O203" s="8" t="s">
        <v>49</v>
      </c>
      <c r="P203" s="4"/>
      <c r="Q203" s="4"/>
      <c r="R203" s="147">
        <v>0.84</v>
      </c>
      <c r="S203" s="147"/>
      <c r="T203" s="31"/>
      <c r="U203" s="147">
        <v>0.78</v>
      </c>
      <c r="V203" s="147"/>
      <c r="W203" s="4"/>
      <c r="X203" s="147">
        <v>0.77</v>
      </c>
      <c r="Y203" s="148"/>
    </row>
    <row r="204" spans="1:25" x14ac:dyDescent="0.3">
      <c r="A204" s="10"/>
      <c r="B204" s="8" t="s">
        <v>43</v>
      </c>
      <c r="C204" s="4"/>
      <c r="D204" s="4"/>
      <c r="E204" s="147">
        <v>0.63</v>
      </c>
      <c r="F204" s="147"/>
      <c r="G204" s="4"/>
      <c r="H204" s="147">
        <v>0.7</v>
      </c>
      <c r="I204" s="147"/>
      <c r="J204" s="4"/>
      <c r="K204" s="147">
        <v>0.68</v>
      </c>
      <c r="L204" s="147"/>
      <c r="N204" s="4"/>
      <c r="O204" s="8" t="s">
        <v>43</v>
      </c>
      <c r="P204" s="4"/>
      <c r="Q204" s="4"/>
      <c r="R204" s="147">
        <v>0.85</v>
      </c>
      <c r="S204" s="147"/>
      <c r="T204" s="31"/>
      <c r="U204" s="147">
        <v>0.87</v>
      </c>
      <c r="V204" s="147"/>
      <c r="W204" s="4"/>
      <c r="X204" s="147">
        <v>0.82</v>
      </c>
      <c r="Y204" s="148"/>
    </row>
    <row r="205" spans="1:25" x14ac:dyDescent="0.3">
      <c r="A205" s="10"/>
      <c r="B205" s="8" t="s">
        <v>44</v>
      </c>
      <c r="C205" s="4"/>
      <c r="D205" s="4"/>
      <c r="E205" s="147">
        <v>0.55000000000000004</v>
      </c>
      <c r="F205" s="147"/>
      <c r="G205" s="4"/>
      <c r="H205" s="147">
        <v>0.62</v>
      </c>
      <c r="I205" s="147"/>
      <c r="J205" s="4"/>
      <c r="K205" s="147">
        <v>0.57999999999999996</v>
      </c>
      <c r="L205" s="147"/>
      <c r="N205" s="4"/>
      <c r="O205" s="8" t="s">
        <v>44</v>
      </c>
      <c r="P205" s="4"/>
      <c r="Q205" s="4"/>
      <c r="R205" s="147">
        <v>0.83</v>
      </c>
      <c r="S205" s="147"/>
      <c r="T205" s="31"/>
      <c r="U205" s="147">
        <v>0.67</v>
      </c>
      <c r="V205" s="147"/>
      <c r="W205" s="4"/>
      <c r="X205" s="147">
        <v>0.73</v>
      </c>
      <c r="Y205" s="148"/>
    </row>
    <row r="206" spans="1:25" x14ac:dyDescent="0.3">
      <c r="A206" s="10"/>
      <c r="B206" s="8" t="s">
        <v>50</v>
      </c>
      <c r="C206" s="4"/>
      <c r="D206" s="4"/>
      <c r="E206" s="147">
        <v>0.59</v>
      </c>
      <c r="F206" s="147"/>
      <c r="G206" s="4"/>
      <c r="H206" s="147">
        <v>0.78</v>
      </c>
      <c r="I206" s="147"/>
      <c r="J206" s="4"/>
      <c r="K206" s="147">
        <v>0.76</v>
      </c>
      <c r="L206" s="147"/>
      <c r="N206" s="4"/>
      <c r="O206" s="8" t="s">
        <v>50</v>
      </c>
      <c r="P206" s="4"/>
      <c r="Q206" s="4"/>
      <c r="R206" s="147">
        <v>0.8</v>
      </c>
      <c r="S206" s="147"/>
      <c r="T206" s="31"/>
      <c r="U206" s="147">
        <v>0.84</v>
      </c>
      <c r="V206" s="147"/>
      <c r="W206" s="4"/>
      <c r="X206" s="147">
        <v>0.9</v>
      </c>
      <c r="Y206" s="148"/>
    </row>
    <row r="207" spans="1:25" x14ac:dyDescent="0.3">
      <c r="A207" s="10"/>
      <c r="B207" s="28" t="s">
        <v>24</v>
      </c>
      <c r="C207" s="4"/>
      <c r="D207" s="4"/>
      <c r="E207" s="137">
        <v>0.63</v>
      </c>
      <c r="F207" s="137"/>
      <c r="G207" s="4"/>
      <c r="H207" s="137">
        <v>0.71</v>
      </c>
      <c r="I207" s="137"/>
      <c r="J207" s="4"/>
      <c r="K207" s="137">
        <v>0.65</v>
      </c>
      <c r="L207" s="137"/>
      <c r="N207" s="4"/>
      <c r="O207" s="28" t="s">
        <v>24</v>
      </c>
      <c r="P207" s="4"/>
      <c r="Q207" s="4"/>
      <c r="R207" s="137">
        <v>0.79</v>
      </c>
      <c r="S207" s="137"/>
      <c r="T207" s="32"/>
      <c r="U207" s="137">
        <v>0.75</v>
      </c>
      <c r="V207" s="137"/>
      <c r="W207" s="4"/>
      <c r="X207" s="137">
        <v>0.77</v>
      </c>
      <c r="Y207" s="151"/>
    </row>
    <row r="208" spans="1:25" x14ac:dyDescent="0.3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32"/>
      <c r="L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3"/>
    </row>
    <row r="209" spans="1:25" x14ac:dyDescent="0.3">
      <c r="A209" s="11"/>
      <c r="B209" s="5" t="s">
        <v>51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"/>
      <c r="N209" s="12"/>
      <c r="O209" s="5" t="s">
        <v>51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3"/>
    </row>
    <row r="210" spans="1:25" x14ac:dyDescent="0.3">
      <c r="M210" s="16"/>
    </row>
    <row r="211" spans="1:25" x14ac:dyDescent="0.3">
      <c r="A211" s="112">
        <v>33</v>
      </c>
      <c r="B211" s="107" t="s">
        <v>370</v>
      </c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9"/>
      <c r="N211" s="112">
        <v>34</v>
      </c>
      <c r="O211" s="107" t="s">
        <v>127</v>
      </c>
      <c r="P211" s="107"/>
      <c r="Q211" s="107"/>
      <c r="R211" s="107"/>
      <c r="S211" s="107"/>
      <c r="T211" s="107"/>
      <c r="U211" s="107"/>
      <c r="V211" s="107"/>
      <c r="W211" s="107"/>
      <c r="X211" s="107"/>
      <c r="Y211" s="108"/>
    </row>
    <row r="212" spans="1:25" x14ac:dyDescent="0.3">
      <c r="A212" s="113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N212" s="113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10"/>
    </row>
    <row r="213" spans="1:25" x14ac:dyDescent="0.3">
      <c r="A213" s="10"/>
      <c r="B213" s="4"/>
      <c r="C213" s="4"/>
      <c r="D213" s="4"/>
      <c r="E213" s="130" t="s">
        <v>52</v>
      </c>
      <c r="F213" s="130"/>
      <c r="G213" s="28"/>
      <c r="H213" s="130" t="s">
        <v>53</v>
      </c>
      <c r="I213" s="130"/>
      <c r="J213" s="28"/>
      <c r="K213" s="130" t="s">
        <v>54</v>
      </c>
      <c r="L213" s="130"/>
      <c r="N213" s="4"/>
      <c r="O213" s="4"/>
      <c r="P213" s="4"/>
      <c r="Q213" s="4"/>
      <c r="R213" s="130" t="s">
        <v>52</v>
      </c>
      <c r="S213" s="130"/>
      <c r="T213" s="28"/>
      <c r="U213" s="130" t="s">
        <v>53</v>
      </c>
      <c r="V213" s="130"/>
      <c r="W213" s="28"/>
      <c r="X213" s="130" t="s">
        <v>54</v>
      </c>
      <c r="Y213" s="150"/>
    </row>
    <row r="214" spans="1:25" x14ac:dyDescent="0.3">
      <c r="A214" s="10"/>
      <c r="B214" s="4"/>
      <c r="C214" s="4"/>
      <c r="D214" s="4"/>
      <c r="E214" s="4" t="s">
        <v>128</v>
      </c>
      <c r="F214" s="4"/>
      <c r="G214" s="4"/>
      <c r="H214" s="4"/>
      <c r="I214" s="4"/>
      <c r="J214" s="4"/>
      <c r="K214" s="4"/>
      <c r="L214" s="4"/>
      <c r="N214" s="4"/>
      <c r="O214" s="4"/>
      <c r="P214" s="4"/>
      <c r="Q214" s="4" t="s">
        <v>128</v>
      </c>
      <c r="S214" s="4"/>
      <c r="T214" s="4"/>
      <c r="U214" s="4"/>
      <c r="V214" s="4"/>
      <c r="W214" s="4"/>
      <c r="X214" s="4"/>
      <c r="Y214" s="3"/>
    </row>
    <row r="215" spans="1:25" x14ac:dyDescent="0.3">
      <c r="A215" s="10"/>
      <c r="B215" s="8" t="s">
        <v>38</v>
      </c>
      <c r="C215" s="4"/>
      <c r="D215" s="4"/>
      <c r="E215" s="147">
        <v>0.62</v>
      </c>
      <c r="F215" s="147"/>
      <c r="G215" s="4"/>
      <c r="H215" s="147">
        <v>0.45</v>
      </c>
      <c r="I215" s="147"/>
      <c r="J215" s="4"/>
      <c r="K215" s="147">
        <v>0.4</v>
      </c>
      <c r="L215" s="147"/>
      <c r="N215" s="4"/>
      <c r="O215" s="8" t="s">
        <v>38</v>
      </c>
      <c r="P215" s="4"/>
      <c r="Q215" s="4"/>
      <c r="R215" s="147">
        <v>0.54</v>
      </c>
      <c r="S215" s="147"/>
      <c r="T215" s="4"/>
      <c r="U215" s="147">
        <v>0.54</v>
      </c>
      <c r="V215" s="147"/>
      <c r="W215" s="4"/>
      <c r="X215" s="147">
        <v>0.55000000000000004</v>
      </c>
      <c r="Y215" s="148"/>
    </row>
    <row r="216" spans="1:25" x14ac:dyDescent="0.3">
      <c r="A216" s="10"/>
      <c r="B216" s="8" t="s">
        <v>40</v>
      </c>
      <c r="C216" s="4"/>
      <c r="D216" s="4"/>
      <c r="E216" s="147">
        <v>0.67</v>
      </c>
      <c r="F216" s="147"/>
      <c r="G216" s="4"/>
      <c r="H216" s="147">
        <v>0.54</v>
      </c>
      <c r="I216" s="147"/>
      <c r="J216" s="4"/>
      <c r="K216" s="147">
        <v>0.48</v>
      </c>
      <c r="L216" s="147"/>
      <c r="N216" s="4"/>
      <c r="O216" s="8" t="s">
        <v>40</v>
      </c>
      <c r="P216" s="4"/>
      <c r="Q216" s="4"/>
      <c r="R216" s="147">
        <v>0.41</v>
      </c>
      <c r="S216" s="147"/>
      <c r="T216" s="4"/>
      <c r="U216" s="147">
        <v>0.57999999999999996</v>
      </c>
      <c r="V216" s="147"/>
      <c r="W216" s="4"/>
      <c r="X216" s="147">
        <v>0.56999999999999995</v>
      </c>
      <c r="Y216" s="148"/>
    </row>
    <row r="217" spans="1:25" x14ac:dyDescent="0.3">
      <c r="A217" s="10"/>
      <c r="B217" s="8" t="s">
        <v>49</v>
      </c>
      <c r="C217" s="4"/>
      <c r="D217" s="4"/>
      <c r="E217" s="147">
        <v>0.68</v>
      </c>
      <c r="F217" s="147"/>
      <c r="G217" s="4"/>
      <c r="H217" s="147">
        <v>0.67</v>
      </c>
      <c r="I217" s="147"/>
      <c r="J217" s="4"/>
      <c r="K217" s="147">
        <v>0.56000000000000005</v>
      </c>
      <c r="L217" s="147"/>
      <c r="N217" s="4"/>
      <c r="O217" s="8" t="s">
        <v>49</v>
      </c>
      <c r="P217" s="4"/>
      <c r="Q217" s="4"/>
      <c r="R217" s="147">
        <v>0.64</v>
      </c>
      <c r="S217" s="147"/>
      <c r="T217" s="4"/>
      <c r="U217" s="147">
        <v>0.69</v>
      </c>
      <c r="V217" s="147"/>
      <c r="W217" s="4"/>
      <c r="X217" s="147">
        <v>0.57999999999999996</v>
      </c>
      <c r="Y217" s="148"/>
    </row>
    <row r="218" spans="1:25" x14ac:dyDescent="0.3">
      <c r="A218" s="10"/>
      <c r="B218" s="8" t="s">
        <v>43</v>
      </c>
      <c r="C218" s="4"/>
      <c r="D218" s="4"/>
      <c r="E218" s="147">
        <v>0.75</v>
      </c>
      <c r="F218" s="147"/>
      <c r="G218" s="4"/>
      <c r="H218" s="147">
        <v>0.69</v>
      </c>
      <c r="I218" s="147"/>
      <c r="J218" s="4"/>
      <c r="K218" s="147">
        <v>0.72</v>
      </c>
      <c r="L218" s="147"/>
      <c r="N218" s="4"/>
      <c r="O218" s="8" t="s">
        <v>43</v>
      </c>
      <c r="P218" s="4"/>
      <c r="Q218" s="4"/>
      <c r="R218" s="147">
        <v>0.67</v>
      </c>
      <c r="S218" s="147"/>
      <c r="T218" s="4"/>
      <c r="U218" s="147">
        <v>0.68</v>
      </c>
      <c r="V218" s="147"/>
      <c r="W218" s="4"/>
      <c r="X218" s="147">
        <v>0.64</v>
      </c>
      <c r="Y218" s="148"/>
    </row>
    <row r="219" spans="1:25" x14ac:dyDescent="0.3">
      <c r="A219" s="10"/>
      <c r="B219" s="8" t="s">
        <v>44</v>
      </c>
      <c r="C219" s="4"/>
      <c r="D219" s="4"/>
      <c r="E219" s="147">
        <v>0.46</v>
      </c>
      <c r="F219" s="147"/>
      <c r="G219" s="4"/>
      <c r="H219" s="147">
        <v>0.49</v>
      </c>
      <c r="I219" s="147"/>
      <c r="J219" s="4"/>
      <c r="K219" s="147">
        <v>0.61</v>
      </c>
      <c r="L219" s="147"/>
      <c r="N219" s="4"/>
      <c r="O219" s="8" t="s">
        <v>44</v>
      </c>
      <c r="P219" s="4"/>
      <c r="Q219" s="4"/>
      <c r="R219" s="147">
        <v>0.32</v>
      </c>
      <c r="S219" s="147"/>
      <c r="T219" s="4"/>
      <c r="U219" s="147">
        <v>0.42</v>
      </c>
      <c r="V219" s="147"/>
      <c r="W219" s="4"/>
      <c r="X219" s="147">
        <v>0.73</v>
      </c>
      <c r="Y219" s="148"/>
    </row>
    <row r="220" spans="1:25" x14ac:dyDescent="0.3">
      <c r="A220" s="10"/>
      <c r="B220" s="8" t="s">
        <v>50</v>
      </c>
      <c r="C220" s="4"/>
      <c r="D220" s="4"/>
      <c r="E220" s="147">
        <v>0.7</v>
      </c>
      <c r="F220" s="147"/>
      <c r="G220" s="4"/>
      <c r="H220" s="147">
        <v>0.65</v>
      </c>
      <c r="I220" s="147"/>
      <c r="J220" s="4"/>
      <c r="K220" s="147">
        <v>0.61</v>
      </c>
      <c r="L220" s="147"/>
      <c r="N220" s="4"/>
      <c r="O220" s="8" t="s">
        <v>50</v>
      </c>
      <c r="P220" s="4"/>
      <c r="Q220" s="4"/>
      <c r="R220" s="147">
        <v>0.6</v>
      </c>
      <c r="S220" s="147"/>
      <c r="T220" s="4"/>
      <c r="U220" s="147">
        <v>0.69</v>
      </c>
      <c r="V220" s="147"/>
      <c r="W220" s="4"/>
      <c r="X220" s="147">
        <v>0.54</v>
      </c>
      <c r="Y220" s="148"/>
    </row>
    <row r="221" spans="1:25" x14ac:dyDescent="0.3">
      <c r="A221" s="10"/>
      <c r="B221" s="28" t="s">
        <v>24</v>
      </c>
      <c r="C221" s="4"/>
      <c r="D221" s="4"/>
      <c r="E221" s="147">
        <v>0.66</v>
      </c>
      <c r="F221" s="147"/>
      <c r="G221" s="4"/>
      <c r="H221" s="147">
        <v>0.62</v>
      </c>
      <c r="I221" s="147"/>
      <c r="J221" s="4"/>
      <c r="K221" s="147">
        <v>0.56000000000000005</v>
      </c>
      <c r="L221" s="147"/>
      <c r="N221" s="4"/>
      <c r="O221" s="28" t="s">
        <v>24</v>
      </c>
      <c r="P221" s="4"/>
      <c r="Q221" s="4"/>
      <c r="R221" s="147">
        <v>0.57999999999999996</v>
      </c>
      <c r="S221" s="147"/>
      <c r="T221" s="4"/>
      <c r="U221" s="147">
        <v>0.64</v>
      </c>
      <c r="V221" s="147"/>
      <c r="W221" s="4"/>
      <c r="X221" s="147">
        <v>0.59</v>
      </c>
      <c r="Y221" s="148"/>
    </row>
    <row r="222" spans="1:25" x14ac:dyDescent="0.3">
      <c r="A222" s="10"/>
      <c r="B222" s="4" t="s">
        <v>129</v>
      </c>
      <c r="C222" s="33"/>
      <c r="D222" s="33"/>
      <c r="E222" s="33"/>
      <c r="F222" s="3"/>
      <c r="G222" s="4"/>
      <c r="I222" s="4"/>
      <c r="J222" s="4"/>
      <c r="K222" s="3"/>
      <c r="N222" s="4" t="s">
        <v>130</v>
      </c>
    </row>
    <row r="223" spans="1:25" x14ac:dyDescent="0.3">
      <c r="A223" s="1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3"/>
    </row>
    <row r="224" spans="1:25" x14ac:dyDescent="0.3">
      <c r="A224" s="11"/>
      <c r="B224" s="5" t="s">
        <v>51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3"/>
      <c r="N224" s="12"/>
      <c r="O224" s="5" t="s">
        <v>51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3"/>
    </row>
    <row r="225" spans="1:25" x14ac:dyDescent="0.3">
      <c r="M225" s="17"/>
    </row>
    <row r="226" spans="1:25" s="4" customFormat="1" x14ac:dyDescent="0.3">
      <c r="A226" s="112">
        <v>35</v>
      </c>
      <c r="B226" s="107" t="s">
        <v>300</v>
      </c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8"/>
    </row>
    <row r="227" spans="1:25" s="4" customFormat="1" x14ac:dyDescent="0.3">
      <c r="A227" s="113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10"/>
    </row>
    <row r="228" spans="1:25" s="4" customFormat="1" x14ac:dyDescent="0.3">
      <c r="A228" s="10"/>
      <c r="E228" s="46" t="s">
        <v>186</v>
      </c>
      <c r="Y228" s="3"/>
    </row>
    <row r="229" spans="1:25" s="4" customFormat="1" x14ac:dyDescent="0.3">
      <c r="A229" s="10"/>
      <c r="E229" s="159" t="s">
        <v>187</v>
      </c>
      <c r="F229" s="159"/>
      <c r="G229" s="159"/>
      <c r="H229" s="159"/>
      <c r="J229" s="159" t="s">
        <v>188</v>
      </c>
      <c r="K229" s="159"/>
      <c r="L229" s="159"/>
      <c r="M229" s="159"/>
      <c r="O229" s="159" t="s">
        <v>189</v>
      </c>
      <c r="P229" s="159"/>
      <c r="Q229" s="159"/>
      <c r="R229" s="159"/>
      <c r="T229" s="159" t="s">
        <v>190</v>
      </c>
      <c r="U229" s="159"/>
      <c r="V229" s="159"/>
      <c r="W229" s="159"/>
      <c r="Y229" s="3"/>
    </row>
    <row r="230" spans="1:25" s="4" customFormat="1" x14ac:dyDescent="0.3">
      <c r="A230" s="10"/>
      <c r="E230" s="153" t="s">
        <v>333</v>
      </c>
      <c r="F230" s="153"/>
      <c r="G230" s="153" t="s">
        <v>192</v>
      </c>
      <c r="H230" s="153"/>
      <c r="J230" s="153" t="s">
        <v>333</v>
      </c>
      <c r="K230" s="153"/>
      <c r="L230" s="153" t="s">
        <v>192</v>
      </c>
      <c r="M230" s="153"/>
      <c r="O230" s="153" t="s">
        <v>333</v>
      </c>
      <c r="P230" s="153"/>
      <c r="Q230" s="153" t="s">
        <v>192</v>
      </c>
      <c r="R230" s="153"/>
      <c r="T230" s="153" t="s">
        <v>333</v>
      </c>
      <c r="U230" s="153"/>
      <c r="V230" s="153" t="s">
        <v>192</v>
      </c>
      <c r="W230" s="153"/>
      <c r="Y230" s="3"/>
    </row>
    <row r="231" spans="1:25" s="4" customFormat="1" x14ac:dyDescent="0.3">
      <c r="A231" s="10"/>
      <c r="E231" s="153" t="s">
        <v>191</v>
      </c>
      <c r="F231" s="153"/>
      <c r="G231" s="153" t="s">
        <v>191</v>
      </c>
      <c r="H231" s="153"/>
      <c r="J231" s="153" t="s">
        <v>191</v>
      </c>
      <c r="K231" s="153"/>
      <c r="L231" s="153" t="s">
        <v>191</v>
      </c>
      <c r="M231" s="153"/>
      <c r="O231" s="153" t="s">
        <v>191</v>
      </c>
      <c r="P231" s="153"/>
      <c r="Q231" s="153" t="s">
        <v>191</v>
      </c>
      <c r="R231" s="153"/>
      <c r="T231" s="153" t="s">
        <v>191</v>
      </c>
      <c r="U231" s="153"/>
      <c r="V231" s="153" t="s">
        <v>191</v>
      </c>
      <c r="W231" s="153"/>
      <c r="Y231" s="3"/>
    </row>
    <row r="232" spans="1:25" s="4" customFormat="1" x14ac:dyDescent="0.3">
      <c r="A232" s="10"/>
      <c r="B232" s="48" t="s">
        <v>38</v>
      </c>
      <c r="C232" s="51"/>
      <c r="D232" s="50"/>
      <c r="E232" s="160">
        <v>0.41</v>
      </c>
      <c r="F232" s="160"/>
      <c r="G232" s="160">
        <v>0.69</v>
      </c>
      <c r="H232" s="160"/>
      <c r="J232" s="160">
        <v>0.5</v>
      </c>
      <c r="K232" s="160"/>
      <c r="L232" s="160">
        <v>0.77</v>
      </c>
      <c r="M232" s="160"/>
      <c r="O232" s="160">
        <v>0.1</v>
      </c>
      <c r="P232" s="160"/>
      <c r="Q232" s="160">
        <v>0.46</v>
      </c>
      <c r="R232" s="160"/>
      <c r="T232" s="160">
        <v>0.05</v>
      </c>
      <c r="U232" s="160"/>
      <c r="V232" s="160">
        <v>0.64</v>
      </c>
      <c r="W232" s="160"/>
      <c r="Y232" s="3"/>
    </row>
    <row r="233" spans="1:25" s="4" customFormat="1" x14ac:dyDescent="0.3">
      <c r="A233" s="10"/>
      <c r="B233" s="48" t="s">
        <v>40</v>
      </c>
      <c r="C233" s="51"/>
      <c r="D233" s="50"/>
      <c r="E233" s="160">
        <v>0.33</v>
      </c>
      <c r="F233" s="160"/>
      <c r="G233" s="160">
        <v>0.59</v>
      </c>
      <c r="H233" s="160"/>
      <c r="J233" s="160">
        <v>0.61</v>
      </c>
      <c r="K233" s="160"/>
      <c r="L233" s="160">
        <v>0.78</v>
      </c>
      <c r="M233" s="160"/>
      <c r="O233" s="160">
        <v>0.33</v>
      </c>
      <c r="P233" s="160"/>
      <c r="Q233" s="160">
        <v>0.54</v>
      </c>
      <c r="R233" s="160"/>
      <c r="T233" s="160">
        <v>0.38</v>
      </c>
      <c r="U233" s="160"/>
      <c r="V233" s="160">
        <v>0.65</v>
      </c>
      <c r="W233" s="160"/>
      <c r="Y233" s="3"/>
    </row>
    <row r="234" spans="1:25" s="4" customFormat="1" x14ac:dyDescent="0.3">
      <c r="A234" s="10"/>
      <c r="B234" s="48" t="s">
        <v>49</v>
      </c>
      <c r="C234" s="51"/>
      <c r="D234" s="50"/>
      <c r="E234" s="160">
        <v>0.4</v>
      </c>
      <c r="F234" s="160"/>
      <c r="G234" s="160">
        <v>0.8</v>
      </c>
      <c r="H234" s="160"/>
      <c r="J234" s="160">
        <v>0.52</v>
      </c>
      <c r="K234" s="160"/>
      <c r="L234" s="160">
        <v>0.86</v>
      </c>
      <c r="M234" s="160"/>
      <c r="O234" s="160">
        <v>0.26</v>
      </c>
      <c r="P234" s="160"/>
      <c r="Q234" s="160">
        <v>0.64</v>
      </c>
      <c r="R234" s="160"/>
      <c r="T234" s="160">
        <v>0.26</v>
      </c>
      <c r="U234" s="160"/>
      <c r="V234" s="160">
        <v>0.66</v>
      </c>
      <c r="W234" s="160"/>
      <c r="Y234" s="3"/>
    </row>
    <row r="235" spans="1:25" s="4" customFormat="1" x14ac:dyDescent="0.3">
      <c r="A235" s="10"/>
      <c r="B235" s="48" t="s">
        <v>43</v>
      </c>
      <c r="C235" s="51"/>
      <c r="D235" s="50"/>
      <c r="E235" s="160">
        <v>0.55000000000000004</v>
      </c>
      <c r="F235" s="160"/>
      <c r="G235" s="160">
        <v>0.7</v>
      </c>
      <c r="H235" s="160"/>
      <c r="J235" s="160">
        <v>0.55000000000000004</v>
      </c>
      <c r="K235" s="160"/>
      <c r="L235" s="160">
        <v>0.86</v>
      </c>
      <c r="M235" s="160"/>
      <c r="O235" s="160">
        <v>0.42</v>
      </c>
      <c r="P235" s="160"/>
      <c r="Q235" s="160">
        <v>0.76</v>
      </c>
      <c r="R235" s="160"/>
      <c r="T235" s="160">
        <v>0.18</v>
      </c>
      <c r="U235" s="160"/>
      <c r="V235" s="160">
        <v>0.69</v>
      </c>
      <c r="W235" s="160"/>
      <c r="Y235" s="3"/>
    </row>
    <row r="236" spans="1:25" s="4" customFormat="1" x14ac:dyDescent="0.3">
      <c r="A236" s="10"/>
      <c r="B236" s="48" t="s">
        <v>44</v>
      </c>
      <c r="C236" s="51"/>
      <c r="D236" s="50"/>
      <c r="E236" s="160">
        <v>0.53</v>
      </c>
      <c r="F236" s="160"/>
      <c r="G236" s="160">
        <v>0.6</v>
      </c>
      <c r="H236" s="160"/>
      <c r="J236" s="160">
        <v>0.69</v>
      </c>
      <c r="K236" s="160"/>
      <c r="L236" s="160">
        <v>0.76</v>
      </c>
      <c r="M236" s="160"/>
      <c r="O236" s="160">
        <v>0.61</v>
      </c>
      <c r="P236" s="160"/>
      <c r="Q236" s="160">
        <v>0.61</v>
      </c>
      <c r="R236" s="160"/>
      <c r="T236" s="160">
        <v>0.67</v>
      </c>
      <c r="U236" s="160"/>
      <c r="V236" s="160">
        <v>0.76</v>
      </c>
      <c r="W236" s="160"/>
      <c r="Y236" s="3"/>
    </row>
    <row r="237" spans="1:25" s="4" customFormat="1" x14ac:dyDescent="0.3">
      <c r="A237" s="10"/>
      <c r="B237" s="48" t="s">
        <v>50</v>
      </c>
      <c r="C237" s="49"/>
      <c r="D237" s="49"/>
      <c r="E237" s="160">
        <v>0.56999999999999995</v>
      </c>
      <c r="F237" s="160"/>
      <c r="G237" s="160">
        <v>0.81</v>
      </c>
      <c r="H237" s="160"/>
      <c r="J237" s="160">
        <v>0.78</v>
      </c>
      <c r="K237" s="160"/>
      <c r="L237" s="160">
        <v>0.93</v>
      </c>
      <c r="M237" s="160"/>
      <c r="O237" s="160">
        <v>0.3</v>
      </c>
      <c r="P237" s="160"/>
      <c r="Q237" s="160">
        <v>0.71</v>
      </c>
      <c r="R237" s="160"/>
      <c r="T237" s="160">
        <v>0.21</v>
      </c>
      <c r="U237" s="160"/>
      <c r="V237" s="160">
        <v>0.64</v>
      </c>
      <c r="W237" s="160"/>
      <c r="Y237" s="3"/>
    </row>
    <row r="238" spans="1:25" s="4" customFormat="1" x14ac:dyDescent="0.3">
      <c r="A238" s="10"/>
      <c r="B238" s="8"/>
      <c r="Y238" s="3"/>
    </row>
    <row r="239" spans="1:25" s="4" customFormat="1" x14ac:dyDescent="0.3">
      <c r="A239" s="11"/>
      <c r="B239" s="5" t="s">
        <v>51</v>
      </c>
      <c r="C239" s="12"/>
      <c r="D239" s="12"/>
      <c r="E239" s="12"/>
      <c r="F239" s="12"/>
      <c r="G239" s="12"/>
      <c r="H239" s="47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</row>
    <row r="240" spans="1:25" s="4" customFormat="1" x14ac:dyDescent="0.3"/>
    <row r="241" spans="1:25" s="4" customFormat="1" x14ac:dyDescent="0.3"/>
    <row r="242" spans="1:25" s="4" customFormat="1" x14ac:dyDescent="0.3"/>
    <row r="243" spans="1:25" s="4" customFormat="1" x14ac:dyDescent="0.3"/>
    <row r="244" spans="1:25" s="4" customFormat="1" x14ac:dyDescent="0.3"/>
    <row r="245" spans="1:25" ht="14" x14ac:dyDescent="0.3">
      <c r="A245" s="121" t="s">
        <v>193</v>
      </c>
      <c r="B245" s="121"/>
      <c r="C245" s="121"/>
      <c r="D245" s="121"/>
      <c r="E245" s="121"/>
      <c r="F245" s="121"/>
      <c r="G245" s="121"/>
      <c r="H245" s="4"/>
      <c r="I245" s="4"/>
      <c r="J245" s="4"/>
      <c r="K245" s="4"/>
      <c r="L245" s="4"/>
      <c r="M245" s="4"/>
      <c r="N245" s="4"/>
      <c r="O245" s="15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4" x14ac:dyDescent="0.3">
      <c r="A246" s="2" t="s">
        <v>194</v>
      </c>
      <c r="B246" s="27"/>
      <c r="H246" s="4"/>
      <c r="I246" s="4"/>
      <c r="J246" s="4"/>
      <c r="K246" s="4"/>
      <c r="L246" s="4"/>
      <c r="M246" s="4"/>
      <c r="N246" s="4"/>
      <c r="O246" s="15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s="4" customFormat="1" x14ac:dyDescent="0.3"/>
    <row r="248" spans="1:25" s="4" customFormat="1" ht="12.75" customHeight="1" x14ac:dyDescent="0.3">
      <c r="A248" s="112">
        <v>36</v>
      </c>
      <c r="B248" s="107" t="s">
        <v>195</v>
      </c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9"/>
      <c r="N248" s="112">
        <v>37</v>
      </c>
      <c r="O248" s="107" t="s">
        <v>196</v>
      </c>
      <c r="P248" s="107"/>
      <c r="Q248" s="107"/>
      <c r="R248" s="107"/>
      <c r="S248" s="107"/>
      <c r="T248" s="107"/>
      <c r="U248" s="107"/>
      <c r="V248" s="107"/>
      <c r="W248" s="107"/>
      <c r="X248" s="107"/>
      <c r="Y248" s="108"/>
    </row>
    <row r="249" spans="1:25" s="4" customFormat="1" x14ac:dyDescent="0.3">
      <c r="A249" s="113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3"/>
      <c r="N249" s="113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10"/>
    </row>
    <row r="250" spans="1:25" s="4" customFormat="1" x14ac:dyDescent="0.3">
      <c r="A250" s="10"/>
      <c r="I250" s="144" t="s">
        <v>208</v>
      </c>
      <c r="J250" s="144"/>
      <c r="K250" s="144"/>
      <c r="L250" s="144"/>
      <c r="M250" s="3"/>
      <c r="Y250" s="3"/>
    </row>
    <row r="251" spans="1:25" s="4" customFormat="1" x14ac:dyDescent="0.3">
      <c r="A251" s="10"/>
      <c r="E251" s="106" t="s">
        <v>198</v>
      </c>
      <c r="F251" s="106"/>
      <c r="G251" s="106" t="s">
        <v>199</v>
      </c>
      <c r="H251" s="106"/>
      <c r="I251" s="106" t="s">
        <v>200</v>
      </c>
      <c r="J251" s="106"/>
      <c r="M251" s="3"/>
      <c r="Q251" s="4" t="s">
        <v>301</v>
      </c>
      <c r="Y251" s="3"/>
    </row>
    <row r="252" spans="1:25" s="4" customFormat="1" x14ac:dyDescent="0.3">
      <c r="A252" s="10"/>
      <c r="B252" s="106">
        <v>1996</v>
      </c>
      <c r="C252" s="106"/>
      <c r="E252" s="106">
        <v>0</v>
      </c>
      <c r="F252" s="106"/>
      <c r="G252" s="106">
        <v>6</v>
      </c>
      <c r="H252" s="106"/>
      <c r="I252" s="106">
        <v>6.9</v>
      </c>
      <c r="J252" s="106"/>
      <c r="M252" s="3"/>
      <c r="O252" s="52" t="s">
        <v>4</v>
      </c>
      <c r="Q252" s="4">
        <v>7</v>
      </c>
      <c r="Y252" s="3"/>
    </row>
    <row r="253" spans="1:25" s="4" customFormat="1" x14ac:dyDescent="0.3">
      <c r="A253" s="10"/>
      <c r="B253" s="123" t="s">
        <v>6</v>
      </c>
      <c r="C253" s="123"/>
      <c r="E253" s="106">
        <v>0</v>
      </c>
      <c r="F253" s="106"/>
      <c r="G253" s="106">
        <v>9</v>
      </c>
      <c r="H253" s="106"/>
      <c r="I253" s="106">
        <v>9.8000000000000007</v>
      </c>
      <c r="J253" s="106"/>
      <c r="M253" s="3"/>
      <c r="O253" s="52" t="s">
        <v>5</v>
      </c>
      <c r="Q253" s="4">
        <v>9</v>
      </c>
      <c r="T253" s="98" t="s">
        <v>307</v>
      </c>
      <c r="Y253" s="3"/>
    </row>
    <row r="254" spans="1:25" s="4" customFormat="1" x14ac:dyDescent="0.3">
      <c r="A254" s="10"/>
      <c r="B254" s="123" t="s">
        <v>7</v>
      </c>
      <c r="C254" s="123"/>
      <c r="E254" s="106">
        <v>2</v>
      </c>
      <c r="F254" s="106"/>
      <c r="G254" s="106">
        <v>6</v>
      </c>
      <c r="H254" s="106"/>
      <c r="I254" s="106">
        <v>6.8</v>
      </c>
      <c r="J254" s="106"/>
      <c r="M254" s="3"/>
      <c r="O254" s="52" t="s">
        <v>6</v>
      </c>
      <c r="Q254" s="4">
        <v>16</v>
      </c>
      <c r="T254" s="15" t="s">
        <v>308</v>
      </c>
      <c r="Y254" s="3"/>
    </row>
    <row r="255" spans="1:25" s="4" customFormat="1" x14ac:dyDescent="0.3">
      <c r="A255" s="10"/>
      <c r="B255" s="123" t="s">
        <v>8</v>
      </c>
      <c r="C255" s="123"/>
      <c r="E255" s="106">
        <v>0</v>
      </c>
      <c r="F255" s="106"/>
      <c r="G255" s="106">
        <v>7</v>
      </c>
      <c r="H255" s="106"/>
      <c r="I255" s="106">
        <v>7.7</v>
      </c>
      <c r="J255" s="106"/>
      <c r="M255" s="3"/>
      <c r="O255" s="52" t="s">
        <v>7</v>
      </c>
      <c r="Q255" s="4">
        <v>6</v>
      </c>
      <c r="T255" s="15" t="s">
        <v>309</v>
      </c>
      <c r="Y255" s="3"/>
    </row>
    <row r="256" spans="1:25" s="4" customFormat="1" x14ac:dyDescent="0.3">
      <c r="A256" s="10"/>
      <c r="B256" s="123" t="s">
        <v>9</v>
      </c>
      <c r="C256" s="123"/>
      <c r="E256" s="106">
        <v>1</v>
      </c>
      <c r="F256" s="106"/>
      <c r="G256" s="106">
        <v>8</v>
      </c>
      <c r="H256" s="106"/>
      <c r="I256" s="106">
        <v>9.3000000000000007</v>
      </c>
      <c r="J256" s="106"/>
      <c r="M256" s="3"/>
      <c r="O256" s="52" t="s">
        <v>8</v>
      </c>
      <c r="Q256" s="4">
        <v>10</v>
      </c>
      <c r="U256" s="15" t="s">
        <v>310</v>
      </c>
      <c r="Y256" s="3"/>
    </row>
    <row r="257" spans="1:50" s="4" customFormat="1" x14ac:dyDescent="0.3">
      <c r="A257" s="10"/>
      <c r="B257" s="123">
        <v>2001</v>
      </c>
      <c r="C257" s="123"/>
      <c r="E257" s="106">
        <v>1</v>
      </c>
      <c r="F257" s="106"/>
      <c r="G257" s="106">
        <v>10</v>
      </c>
      <c r="H257" s="106"/>
      <c r="I257" s="106">
        <v>11.4</v>
      </c>
      <c r="J257" s="106"/>
      <c r="M257" s="3"/>
      <c r="O257" s="52" t="s">
        <v>9</v>
      </c>
      <c r="Q257" s="4">
        <v>3</v>
      </c>
      <c r="Y257" s="3"/>
    </row>
    <row r="258" spans="1:50" s="4" customFormat="1" x14ac:dyDescent="0.3">
      <c r="A258" s="11"/>
      <c r="B258" s="5" t="s">
        <v>197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"/>
      <c r="N258" s="12"/>
      <c r="O258" s="5" t="s">
        <v>201</v>
      </c>
      <c r="P258" s="12"/>
      <c r="Q258" s="12"/>
      <c r="R258" s="12"/>
      <c r="S258" s="12"/>
      <c r="T258" s="12"/>
      <c r="U258" s="12"/>
      <c r="V258" s="12"/>
      <c r="W258" s="12"/>
      <c r="X258" s="12"/>
      <c r="Y258" s="13"/>
    </row>
    <row r="259" spans="1:50" s="4" customFormat="1" x14ac:dyDescent="0.3"/>
    <row r="260" spans="1:50" s="4" customFormat="1" x14ac:dyDescent="0.3">
      <c r="A260" s="112">
        <v>38</v>
      </c>
      <c r="B260" s="107" t="s">
        <v>342</v>
      </c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9"/>
      <c r="N260" s="112">
        <v>39</v>
      </c>
      <c r="O260" s="107" t="s">
        <v>341</v>
      </c>
      <c r="P260" s="107"/>
      <c r="Q260" s="107"/>
      <c r="R260" s="107"/>
      <c r="S260" s="107"/>
      <c r="T260" s="107"/>
      <c r="U260" s="107"/>
      <c r="V260" s="107"/>
      <c r="W260" s="107"/>
      <c r="X260" s="107"/>
      <c r="Y260" s="108"/>
      <c r="AB260" s="107" t="s">
        <v>202</v>
      </c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8"/>
      <c r="AN260" s="112">
        <v>39</v>
      </c>
      <c r="AO260" s="107" t="s">
        <v>375</v>
      </c>
      <c r="AP260" s="107"/>
      <c r="AQ260" s="107"/>
      <c r="AR260" s="107"/>
      <c r="AS260" s="107"/>
      <c r="AT260" s="107"/>
      <c r="AU260" s="107"/>
      <c r="AV260" s="107"/>
      <c r="AW260" s="107"/>
      <c r="AX260" s="108"/>
    </row>
    <row r="261" spans="1:50" s="4" customFormat="1" x14ac:dyDescent="0.3">
      <c r="A261" s="113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3"/>
      <c r="N261" s="113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10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10"/>
      <c r="AN261" s="113"/>
      <c r="AO261" s="109"/>
      <c r="AP261" s="109"/>
      <c r="AQ261" s="109"/>
      <c r="AR261" s="109"/>
      <c r="AS261" s="109"/>
      <c r="AT261" s="109"/>
      <c r="AU261" s="109"/>
      <c r="AV261" s="109"/>
      <c r="AW261" s="109"/>
      <c r="AX261" s="110"/>
    </row>
    <row r="262" spans="1:50" s="4" customFormat="1" x14ac:dyDescent="0.3">
      <c r="A262" s="10"/>
      <c r="M262" s="3"/>
      <c r="Y262" s="3"/>
      <c r="AD262" s="4" t="s">
        <v>204</v>
      </c>
      <c r="AL262" s="3"/>
      <c r="AN262" s="10"/>
      <c r="AQ262" s="4" t="s">
        <v>204</v>
      </c>
      <c r="AX262" s="3"/>
    </row>
    <row r="263" spans="1:50" s="4" customFormat="1" x14ac:dyDescent="0.3">
      <c r="A263" s="10"/>
      <c r="D263" s="106" t="s">
        <v>340</v>
      </c>
      <c r="E263" s="106"/>
      <c r="G263" s="106" t="s">
        <v>206</v>
      </c>
      <c r="H263" s="106"/>
      <c r="J263" s="4" t="s">
        <v>207</v>
      </c>
      <c r="M263" s="3"/>
      <c r="Q263" s="106" t="s">
        <v>340</v>
      </c>
      <c r="R263" s="106"/>
      <c r="T263" s="106" t="s">
        <v>206</v>
      </c>
      <c r="U263" s="106"/>
      <c r="W263" s="4" t="s">
        <v>207</v>
      </c>
      <c r="Y263" s="3"/>
      <c r="AD263" s="106" t="s">
        <v>205</v>
      </c>
      <c r="AE263" s="106"/>
      <c r="AG263" s="106" t="s">
        <v>206</v>
      </c>
      <c r="AH263" s="106"/>
      <c r="AJ263" s="4" t="s">
        <v>207</v>
      </c>
      <c r="AL263" s="3"/>
      <c r="AN263" s="10"/>
      <c r="AQ263" s="4" t="s">
        <v>205</v>
      </c>
      <c r="AT263" s="4" t="s">
        <v>206</v>
      </c>
      <c r="AW263" s="4" t="s">
        <v>207</v>
      </c>
      <c r="AX263" s="3"/>
    </row>
    <row r="264" spans="1:50" s="4" customFormat="1" x14ac:dyDescent="0.3">
      <c r="A264" s="10"/>
      <c r="B264" s="106">
        <v>1996</v>
      </c>
      <c r="C264" s="106"/>
      <c r="D264" s="127">
        <v>1</v>
      </c>
      <c r="E264" s="127"/>
      <c r="F264" s="100"/>
      <c r="G264" s="127">
        <v>7</v>
      </c>
      <c r="H264" s="127"/>
      <c r="I264" s="101"/>
      <c r="J264" s="127">
        <v>43</v>
      </c>
      <c r="K264" s="127"/>
      <c r="L264" s="99"/>
      <c r="M264" s="3"/>
      <c r="O264" s="106">
        <v>1996</v>
      </c>
      <c r="P264" s="106"/>
      <c r="Q264" s="127">
        <v>12</v>
      </c>
      <c r="R264" s="127"/>
      <c r="S264" s="96"/>
      <c r="T264" s="127">
        <v>72</v>
      </c>
      <c r="U264" s="127"/>
      <c r="V264" s="96"/>
      <c r="W264" s="127">
        <v>188</v>
      </c>
      <c r="X264" s="127"/>
      <c r="Y264" s="102"/>
      <c r="AB264" s="106">
        <v>1993</v>
      </c>
      <c r="AC264" s="106"/>
      <c r="AD264" s="104">
        <v>1.3</v>
      </c>
      <c r="AE264" s="104"/>
      <c r="AG264" s="104">
        <v>6.4</v>
      </c>
      <c r="AH264" s="104"/>
      <c r="AJ264" s="104">
        <v>4.2</v>
      </c>
      <c r="AK264" s="104"/>
      <c r="AL264" s="3"/>
      <c r="AN264" s="10"/>
      <c r="AO264" s="106">
        <v>1993</v>
      </c>
      <c r="AP264" s="106"/>
      <c r="AQ264" s="106">
        <v>5.0999999999999996</v>
      </c>
      <c r="AR264" s="106"/>
      <c r="AT264" s="104">
        <v>37.9</v>
      </c>
      <c r="AU264" s="104"/>
      <c r="AW264" s="104">
        <v>22.7</v>
      </c>
      <c r="AX264" s="105"/>
    </row>
    <row r="265" spans="1:50" s="4" customFormat="1" x14ac:dyDescent="0.3">
      <c r="A265" s="10"/>
      <c r="B265" s="106">
        <v>1997</v>
      </c>
      <c r="C265" s="106"/>
      <c r="D265" s="127">
        <v>1</v>
      </c>
      <c r="E265" s="127"/>
      <c r="F265" s="100"/>
      <c r="G265" s="127">
        <v>7</v>
      </c>
      <c r="H265" s="127"/>
      <c r="I265" s="101"/>
      <c r="J265" s="127">
        <v>27</v>
      </c>
      <c r="K265" s="127"/>
      <c r="L265" s="99"/>
      <c r="M265" s="3"/>
      <c r="O265" s="106">
        <v>1997</v>
      </c>
      <c r="P265" s="106"/>
      <c r="Q265" s="127">
        <v>7</v>
      </c>
      <c r="R265" s="127"/>
      <c r="S265" s="96"/>
      <c r="T265" s="127">
        <v>72</v>
      </c>
      <c r="U265" s="127"/>
      <c r="V265" s="96"/>
      <c r="W265" s="127">
        <v>204</v>
      </c>
      <c r="X265" s="127"/>
      <c r="Y265" s="102"/>
      <c r="AB265" s="106">
        <v>1995</v>
      </c>
      <c r="AC265" s="106"/>
      <c r="AD265" s="104">
        <v>0.3</v>
      </c>
      <c r="AE265" s="104"/>
      <c r="AG265" s="104">
        <v>5.8</v>
      </c>
      <c r="AH265" s="104"/>
      <c r="AJ265" s="104">
        <v>5</v>
      </c>
      <c r="AK265" s="104"/>
      <c r="AL265" s="3"/>
      <c r="AN265" s="10"/>
      <c r="AO265" s="106">
        <v>1995</v>
      </c>
      <c r="AP265" s="106"/>
      <c r="AQ265" s="106">
        <v>3.3</v>
      </c>
      <c r="AR265" s="106"/>
      <c r="AT265" s="104">
        <v>29.2</v>
      </c>
      <c r="AU265" s="104"/>
      <c r="AW265" s="104">
        <v>17</v>
      </c>
      <c r="AX265" s="105"/>
    </row>
    <row r="266" spans="1:50" s="4" customFormat="1" x14ac:dyDescent="0.3">
      <c r="A266" s="10"/>
      <c r="B266" s="106">
        <v>1998</v>
      </c>
      <c r="C266" s="106"/>
      <c r="D266" s="127">
        <v>2</v>
      </c>
      <c r="E266" s="127"/>
      <c r="F266" s="100"/>
      <c r="G266" s="127">
        <v>5</v>
      </c>
      <c r="H266" s="127"/>
      <c r="I266" s="101"/>
      <c r="J266" s="127">
        <v>39</v>
      </c>
      <c r="K266" s="127"/>
      <c r="L266" s="99"/>
      <c r="M266" s="3"/>
      <c r="O266" s="106">
        <v>1998</v>
      </c>
      <c r="P266" s="106"/>
      <c r="Q266" s="127">
        <v>5</v>
      </c>
      <c r="R266" s="127"/>
      <c r="S266" s="96"/>
      <c r="T266" s="127">
        <v>50</v>
      </c>
      <c r="U266" s="127"/>
      <c r="V266" s="96"/>
      <c r="W266" s="127">
        <v>143</v>
      </c>
      <c r="X266" s="127"/>
      <c r="Y266" s="102"/>
      <c r="AB266" s="106">
        <v>1997</v>
      </c>
      <c r="AC266" s="106"/>
      <c r="AD266" s="104">
        <v>0.3</v>
      </c>
      <c r="AE266" s="104"/>
      <c r="AG266" s="104">
        <v>2.2999999999999998</v>
      </c>
      <c r="AH266" s="104"/>
      <c r="AJ266" s="104">
        <v>2.6</v>
      </c>
      <c r="AK266" s="104"/>
      <c r="AL266" s="3"/>
      <c r="AN266" s="10"/>
      <c r="AO266" s="106">
        <v>1997</v>
      </c>
      <c r="AP266" s="106"/>
      <c r="AQ266" s="106">
        <v>0.6</v>
      </c>
      <c r="AR266" s="106"/>
      <c r="AT266" s="104">
        <v>24</v>
      </c>
      <c r="AU266" s="104"/>
      <c r="AW266" s="104">
        <v>19.899999999999999</v>
      </c>
      <c r="AX266" s="105"/>
    </row>
    <row r="267" spans="1:50" s="4" customFormat="1" x14ac:dyDescent="0.3">
      <c r="A267" s="10"/>
      <c r="B267" s="106">
        <v>1999</v>
      </c>
      <c r="C267" s="106"/>
      <c r="D267" s="127">
        <v>0</v>
      </c>
      <c r="E267" s="127"/>
      <c r="F267" s="99"/>
      <c r="G267" s="127">
        <v>3</v>
      </c>
      <c r="H267" s="127"/>
      <c r="I267" s="101"/>
      <c r="J267" s="127">
        <v>34</v>
      </c>
      <c r="K267" s="127"/>
      <c r="L267" s="99"/>
      <c r="M267" s="3"/>
      <c r="O267" s="106">
        <v>1999</v>
      </c>
      <c r="P267" s="106"/>
      <c r="Q267" s="127">
        <v>4</v>
      </c>
      <c r="R267" s="127"/>
      <c r="S267" s="96"/>
      <c r="T267" s="127">
        <v>16</v>
      </c>
      <c r="U267" s="127"/>
      <c r="V267" s="96"/>
      <c r="W267" s="127">
        <v>122</v>
      </c>
      <c r="X267" s="127"/>
      <c r="Y267" s="102"/>
      <c r="AB267" s="7"/>
      <c r="AC267" s="7"/>
      <c r="AD267" s="95"/>
      <c r="AE267" s="95"/>
      <c r="AG267" s="95"/>
      <c r="AH267" s="95"/>
      <c r="AJ267" s="95"/>
      <c r="AK267" s="95"/>
      <c r="AL267" s="3"/>
      <c r="AN267" s="10"/>
      <c r="AO267" s="106">
        <v>1999</v>
      </c>
      <c r="AP267" s="106"/>
      <c r="AQ267" s="106">
        <v>1.1000000000000001</v>
      </c>
      <c r="AR267" s="106"/>
      <c r="AT267" s="104">
        <v>5.2</v>
      </c>
      <c r="AU267" s="104"/>
      <c r="AW267" s="104">
        <v>12.6</v>
      </c>
      <c r="AX267" s="105"/>
    </row>
    <row r="268" spans="1:50" s="4" customFormat="1" x14ac:dyDescent="0.3">
      <c r="A268" s="10"/>
      <c r="B268" s="106">
        <v>2000</v>
      </c>
      <c r="C268" s="106"/>
      <c r="D268" s="167">
        <v>2</v>
      </c>
      <c r="E268" s="167"/>
      <c r="F268" s="99"/>
      <c r="G268" s="127">
        <v>5</v>
      </c>
      <c r="H268" s="127"/>
      <c r="I268" s="101"/>
      <c r="J268" s="127">
        <v>52</v>
      </c>
      <c r="K268" s="127"/>
      <c r="L268" s="99"/>
      <c r="M268" s="3"/>
      <c r="O268" s="106">
        <v>2000</v>
      </c>
      <c r="P268" s="106"/>
      <c r="Q268" s="106">
        <v>11</v>
      </c>
      <c r="R268" s="106"/>
      <c r="S268" s="96"/>
      <c r="T268" s="127">
        <v>38</v>
      </c>
      <c r="U268" s="127"/>
      <c r="V268" s="96"/>
      <c r="W268" s="127">
        <v>126</v>
      </c>
      <c r="X268" s="127"/>
      <c r="Y268" s="102"/>
      <c r="AB268" s="106">
        <v>1999</v>
      </c>
      <c r="AC268" s="106"/>
      <c r="AD268" s="104">
        <v>0</v>
      </c>
      <c r="AE268" s="104"/>
      <c r="AG268" s="104">
        <v>1</v>
      </c>
      <c r="AH268" s="104"/>
      <c r="AJ268" s="104">
        <v>3.5</v>
      </c>
      <c r="AK268" s="104"/>
      <c r="AL268" s="3"/>
      <c r="AN268" s="10"/>
      <c r="AX268" s="3"/>
    </row>
    <row r="269" spans="1:50" s="4" customFormat="1" x14ac:dyDescent="0.3">
      <c r="A269" s="11"/>
      <c r="B269" s="5" t="s">
        <v>339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/>
      <c r="N269" s="12"/>
      <c r="O269" s="5" t="s">
        <v>339</v>
      </c>
      <c r="P269" s="12"/>
      <c r="Q269" s="12"/>
      <c r="R269" s="12"/>
      <c r="S269" s="12"/>
      <c r="T269" s="12"/>
      <c r="U269" s="12"/>
      <c r="V269" s="12"/>
      <c r="W269" s="12"/>
      <c r="X269" s="12"/>
      <c r="Y269" s="13"/>
      <c r="AB269" s="5" t="s">
        <v>203</v>
      </c>
      <c r="AC269" s="12"/>
      <c r="AD269" s="12"/>
      <c r="AE269" s="12"/>
      <c r="AF269" s="12"/>
      <c r="AG269" s="12"/>
      <c r="AH269" s="12"/>
      <c r="AI269" s="12"/>
      <c r="AJ269" s="12"/>
      <c r="AK269" s="12"/>
      <c r="AL269" s="13"/>
      <c r="AN269" s="11"/>
      <c r="AO269" s="5" t="s">
        <v>203</v>
      </c>
      <c r="AP269" s="12"/>
      <c r="AQ269" s="12"/>
      <c r="AR269" s="12"/>
      <c r="AS269" s="12"/>
      <c r="AT269" s="12"/>
      <c r="AU269" s="12"/>
      <c r="AV269" s="12"/>
      <c r="AW269" s="12"/>
      <c r="AX269" s="13"/>
    </row>
    <row r="270" spans="1:50" s="4" customFormat="1" x14ac:dyDescent="0.3"/>
    <row r="271" spans="1:50" s="4" customFormat="1" ht="14" x14ac:dyDescent="0.3">
      <c r="A271" s="2" t="s">
        <v>209</v>
      </c>
    </row>
    <row r="272" spans="1:50" s="4" customFormat="1" x14ac:dyDescent="0.3"/>
    <row r="273" spans="1:25" s="4" customFormat="1" x14ac:dyDescent="0.3">
      <c r="A273" s="112">
        <v>40</v>
      </c>
      <c r="B273" s="107" t="s">
        <v>210</v>
      </c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9"/>
      <c r="N273" s="112">
        <v>41</v>
      </c>
      <c r="O273" s="107" t="s">
        <v>316</v>
      </c>
      <c r="P273" s="107"/>
      <c r="Q273" s="107"/>
      <c r="R273" s="107"/>
      <c r="S273" s="107"/>
      <c r="T273" s="107"/>
      <c r="U273" s="107"/>
      <c r="V273" s="107"/>
      <c r="W273" s="107"/>
      <c r="X273" s="107"/>
      <c r="Y273" s="108"/>
    </row>
    <row r="274" spans="1:25" s="4" customFormat="1" x14ac:dyDescent="0.3">
      <c r="A274" s="113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3"/>
      <c r="N274" s="113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10"/>
    </row>
    <row r="275" spans="1:25" s="4" customFormat="1" x14ac:dyDescent="0.3">
      <c r="A275" s="10"/>
      <c r="M275" s="3"/>
      <c r="Y275" s="3"/>
    </row>
    <row r="276" spans="1:25" s="4" customFormat="1" x14ac:dyDescent="0.3">
      <c r="A276" s="10"/>
      <c r="B276" s="8" t="s">
        <v>211</v>
      </c>
      <c r="E276" s="21" t="s">
        <v>216</v>
      </c>
      <c r="H276" s="21" t="s">
        <v>217</v>
      </c>
      <c r="K276" s="21" t="s">
        <v>218</v>
      </c>
      <c r="M276" s="3"/>
      <c r="O276" s="7" t="s">
        <v>211</v>
      </c>
      <c r="R276" s="7"/>
      <c r="T276" s="8" t="s">
        <v>223</v>
      </c>
      <c r="Y276" s="3"/>
    </row>
    <row r="277" spans="1:25" s="4" customFormat="1" x14ac:dyDescent="0.3">
      <c r="A277" s="10"/>
      <c r="B277" s="8" t="s">
        <v>212</v>
      </c>
      <c r="E277" s="7">
        <v>0</v>
      </c>
      <c r="H277" s="7">
        <v>15</v>
      </c>
      <c r="K277" s="7" t="s">
        <v>219</v>
      </c>
      <c r="M277" s="3"/>
      <c r="O277" s="7" t="s">
        <v>220</v>
      </c>
      <c r="R277" s="7">
        <v>13</v>
      </c>
      <c r="T277" s="106">
        <v>11.76</v>
      </c>
      <c r="U277" s="106"/>
      <c r="Y277" s="3"/>
    </row>
    <row r="278" spans="1:25" s="4" customFormat="1" x14ac:dyDescent="0.3">
      <c r="A278" s="10"/>
      <c r="B278" s="8" t="s">
        <v>213</v>
      </c>
      <c r="E278" s="7">
        <v>0</v>
      </c>
      <c r="H278" s="7">
        <v>15</v>
      </c>
      <c r="K278" s="7" t="s">
        <v>219</v>
      </c>
      <c r="M278" s="3"/>
      <c r="O278" s="7" t="s">
        <v>221</v>
      </c>
      <c r="R278" s="7">
        <v>12</v>
      </c>
      <c r="T278" s="161">
        <v>11</v>
      </c>
      <c r="U278" s="161"/>
      <c r="Y278" s="3"/>
    </row>
    <row r="279" spans="1:25" s="4" customFormat="1" x14ac:dyDescent="0.3">
      <c r="A279" s="10"/>
      <c r="B279" s="8" t="s">
        <v>214</v>
      </c>
      <c r="E279" s="7">
        <v>0</v>
      </c>
      <c r="H279" s="7">
        <v>15</v>
      </c>
      <c r="K279" s="7" t="s">
        <v>219</v>
      </c>
      <c r="M279" s="3"/>
      <c r="O279" s="7" t="s">
        <v>222</v>
      </c>
      <c r="R279" s="7">
        <v>10</v>
      </c>
      <c r="T279" s="106">
        <v>8.65</v>
      </c>
      <c r="U279" s="106"/>
      <c r="Y279" s="3"/>
    </row>
    <row r="280" spans="1:25" s="4" customFormat="1" x14ac:dyDescent="0.3">
      <c r="A280" s="10"/>
      <c r="M280" s="3"/>
      <c r="O280" s="7"/>
      <c r="Y280" s="3"/>
    </row>
    <row r="281" spans="1:25" s="4" customFormat="1" x14ac:dyDescent="0.3">
      <c r="A281" s="11"/>
      <c r="B281" s="5" t="s">
        <v>215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"/>
      <c r="N281" s="12"/>
      <c r="O281" s="53" t="s">
        <v>368</v>
      </c>
      <c r="P281" s="12"/>
      <c r="Q281" s="12"/>
      <c r="R281" s="12"/>
      <c r="S281" s="12"/>
      <c r="T281" s="12"/>
      <c r="U281" s="12"/>
      <c r="V281" s="12"/>
      <c r="W281" s="12"/>
      <c r="X281" s="12"/>
      <c r="Y281" s="13"/>
    </row>
    <row r="282" spans="1:25" s="4" customFormat="1" x14ac:dyDescent="0.3"/>
    <row r="283" spans="1:25" s="4" customFormat="1" x14ac:dyDescent="0.3">
      <c r="A283" s="112">
        <v>42</v>
      </c>
      <c r="B283" s="107" t="s">
        <v>224</v>
      </c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9"/>
      <c r="N283" s="112">
        <v>43</v>
      </c>
      <c r="O283" s="107" t="s">
        <v>225</v>
      </c>
      <c r="P283" s="107"/>
      <c r="Q283" s="107"/>
      <c r="R283" s="107"/>
      <c r="S283" s="107"/>
      <c r="T283" s="107"/>
      <c r="U283" s="107"/>
      <c r="V283" s="107"/>
      <c r="W283" s="107"/>
      <c r="X283" s="107"/>
      <c r="Y283" s="108"/>
    </row>
    <row r="284" spans="1:25" s="4" customFormat="1" x14ac:dyDescent="0.3">
      <c r="A284" s="113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3"/>
      <c r="N284" s="113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10"/>
    </row>
    <row r="285" spans="1:25" s="4" customFormat="1" x14ac:dyDescent="0.3">
      <c r="A285" s="10"/>
      <c r="E285" s="7" t="s">
        <v>228</v>
      </c>
      <c r="H285" s="7" t="s">
        <v>229</v>
      </c>
      <c r="K285" s="7" t="s">
        <v>230</v>
      </c>
      <c r="M285" s="3"/>
      <c r="R285" s="7" t="s">
        <v>228</v>
      </c>
      <c r="U285" s="7" t="s">
        <v>229</v>
      </c>
      <c r="X285" s="29" t="s">
        <v>230</v>
      </c>
      <c r="Y285" s="3"/>
    </row>
    <row r="286" spans="1:25" s="4" customFormat="1" x14ac:dyDescent="0.3">
      <c r="A286" s="10"/>
      <c r="B286" s="106" t="s">
        <v>4</v>
      </c>
      <c r="C286" s="106"/>
      <c r="E286" s="7">
        <v>3</v>
      </c>
      <c r="H286" s="7">
        <v>59</v>
      </c>
      <c r="K286" s="7">
        <v>100</v>
      </c>
      <c r="M286" s="3"/>
      <c r="O286" s="106" t="s">
        <v>4</v>
      </c>
      <c r="P286" s="106"/>
      <c r="R286" s="7">
        <v>0</v>
      </c>
      <c r="U286" s="7">
        <v>30</v>
      </c>
      <c r="X286" s="7">
        <v>35</v>
      </c>
      <c r="Y286" s="3"/>
    </row>
    <row r="287" spans="1:25" s="4" customFormat="1" x14ac:dyDescent="0.3">
      <c r="A287" s="10"/>
      <c r="B287" s="106" t="s">
        <v>5</v>
      </c>
      <c r="C287" s="106"/>
      <c r="E287" s="7">
        <v>0</v>
      </c>
      <c r="H287" s="7">
        <v>58</v>
      </c>
      <c r="K287" s="7">
        <v>103</v>
      </c>
      <c r="M287" s="3"/>
      <c r="O287" s="106" t="s">
        <v>5</v>
      </c>
      <c r="P287" s="106"/>
      <c r="R287" s="7">
        <v>0</v>
      </c>
      <c r="U287" s="7">
        <v>26</v>
      </c>
      <c r="X287" s="7">
        <v>42</v>
      </c>
      <c r="Y287" s="3"/>
    </row>
    <row r="288" spans="1:25" s="4" customFormat="1" x14ac:dyDescent="0.3">
      <c r="A288" s="10"/>
      <c r="B288" s="106" t="s">
        <v>6</v>
      </c>
      <c r="C288" s="106"/>
      <c r="E288" s="7">
        <v>3</v>
      </c>
      <c r="H288" s="7">
        <v>60</v>
      </c>
      <c r="K288" s="7">
        <v>109</v>
      </c>
      <c r="M288" s="3"/>
      <c r="O288" s="106" t="s">
        <v>6</v>
      </c>
      <c r="P288" s="106"/>
      <c r="R288" s="7">
        <v>2</v>
      </c>
      <c r="U288" s="7">
        <v>26</v>
      </c>
      <c r="X288" s="7">
        <v>50</v>
      </c>
      <c r="Y288" s="3"/>
    </row>
    <row r="289" spans="1:25" s="4" customFormat="1" x14ac:dyDescent="0.3">
      <c r="A289" s="10"/>
      <c r="B289" s="106" t="s">
        <v>7</v>
      </c>
      <c r="C289" s="106"/>
      <c r="E289" s="7">
        <v>3</v>
      </c>
      <c r="H289" s="7">
        <v>50</v>
      </c>
      <c r="K289" s="7">
        <v>127</v>
      </c>
      <c r="M289" s="3"/>
      <c r="O289" s="106" t="s">
        <v>7</v>
      </c>
      <c r="P289" s="106"/>
      <c r="R289" s="7">
        <v>0</v>
      </c>
      <c r="U289" s="7">
        <v>22</v>
      </c>
      <c r="X289" s="7">
        <v>52</v>
      </c>
      <c r="Y289" s="3"/>
    </row>
    <row r="290" spans="1:25" s="4" customFormat="1" x14ac:dyDescent="0.3">
      <c r="A290" s="10"/>
      <c r="B290" s="106" t="s">
        <v>8</v>
      </c>
      <c r="C290" s="106"/>
      <c r="E290" s="7">
        <v>5</v>
      </c>
      <c r="H290" s="7">
        <v>49</v>
      </c>
      <c r="K290" s="7">
        <v>111</v>
      </c>
      <c r="M290" s="3"/>
      <c r="O290" s="106" t="s">
        <v>8</v>
      </c>
      <c r="P290" s="106"/>
      <c r="R290" s="7">
        <v>0</v>
      </c>
      <c r="U290" s="7">
        <v>21</v>
      </c>
      <c r="X290" s="7">
        <v>52</v>
      </c>
      <c r="Y290" s="3"/>
    </row>
    <row r="291" spans="1:25" s="4" customFormat="1" x14ac:dyDescent="0.3">
      <c r="A291" s="10"/>
      <c r="B291" s="106">
        <v>2000</v>
      </c>
      <c r="C291" s="106"/>
      <c r="E291" s="7">
        <v>2</v>
      </c>
      <c r="H291" s="7">
        <v>42</v>
      </c>
      <c r="K291" s="7">
        <v>89</v>
      </c>
      <c r="M291" s="3"/>
      <c r="O291" s="106">
        <v>2000</v>
      </c>
      <c r="P291" s="106"/>
      <c r="R291" s="7">
        <v>1</v>
      </c>
      <c r="U291" s="7">
        <v>14</v>
      </c>
      <c r="X291" s="7">
        <v>39</v>
      </c>
      <c r="Y291" s="3"/>
    </row>
    <row r="292" spans="1:25" s="4" customFormat="1" x14ac:dyDescent="0.3">
      <c r="A292" s="10"/>
      <c r="B292" s="106" t="s">
        <v>226</v>
      </c>
      <c r="C292" s="106"/>
      <c r="D292" s="162">
        <v>0.8</v>
      </c>
      <c r="E292" s="162"/>
      <c r="F292" s="162"/>
      <c r="G292" s="162">
        <v>24.9</v>
      </c>
      <c r="H292" s="162"/>
      <c r="I292" s="162"/>
      <c r="J292" s="162">
        <v>19.3</v>
      </c>
      <c r="K292" s="162"/>
      <c r="L292" s="162"/>
      <c r="M292" s="3"/>
      <c r="O292" s="106" t="s">
        <v>226</v>
      </c>
      <c r="P292" s="106"/>
      <c r="Q292" s="162">
        <v>0.4</v>
      </c>
      <c r="R292" s="162"/>
      <c r="S292" s="162"/>
      <c r="U292" s="162">
        <v>8.3000000000000007</v>
      </c>
      <c r="X292" s="162">
        <v>8.8000000000000007</v>
      </c>
      <c r="Y292" s="3"/>
    </row>
    <row r="293" spans="1:25" s="4" customFormat="1" x14ac:dyDescent="0.3">
      <c r="A293" s="10"/>
      <c r="B293" s="106" t="s">
        <v>227</v>
      </c>
      <c r="C293" s="106"/>
      <c r="D293" s="162"/>
      <c r="E293" s="162"/>
      <c r="F293" s="162"/>
      <c r="G293" s="162"/>
      <c r="H293" s="162"/>
      <c r="I293" s="162"/>
      <c r="J293" s="162"/>
      <c r="K293" s="162"/>
      <c r="L293" s="162"/>
      <c r="M293" s="3"/>
      <c r="O293" s="106" t="s">
        <v>227</v>
      </c>
      <c r="P293" s="106"/>
      <c r="Q293" s="162"/>
      <c r="R293" s="162"/>
      <c r="S293" s="162"/>
      <c r="U293" s="162"/>
      <c r="X293" s="162"/>
      <c r="Y293" s="3"/>
    </row>
    <row r="294" spans="1:25" s="4" customFormat="1" x14ac:dyDescent="0.3">
      <c r="A294" s="11"/>
      <c r="B294" s="5" t="s">
        <v>231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3"/>
      <c r="N294" s="12"/>
      <c r="O294" s="5" t="s">
        <v>231</v>
      </c>
      <c r="P294" s="12"/>
      <c r="Q294" s="12"/>
      <c r="R294" s="12"/>
      <c r="S294" s="12"/>
      <c r="T294" s="12"/>
      <c r="U294" s="12"/>
      <c r="V294" s="12"/>
      <c r="W294" s="12"/>
      <c r="X294" s="12"/>
      <c r="Y294" s="13"/>
    </row>
    <row r="295" spans="1:25" s="4" customFormat="1" x14ac:dyDescent="0.3"/>
    <row r="296" spans="1:25" s="4" customFormat="1" ht="14" x14ac:dyDescent="0.3">
      <c r="A296" s="121" t="s">
        <v>193</v>
      </c>
      <c r="B296" s="121"/>
      <c r="C296" s="121"/>
      <c r="D296" s="121"/>
      <c r="E296" s="121"/>
      <c r="F296" s="121"/>
      <c r="G296" s="121"/>
    </row>
    <row r="297" spans="1:25" s="4" customFormat="1" ht="14" x14ac:dyDescent="0.3">
      <c r="A297" s="2" t="s">
        <v>209</v>
      </c>
      <c r="B297" s="54"/>
      <c r="C297" s="54"/>
      <c r="D297" s="54"/>
      <c r="E297" s="54"/>
      <c r="F297" s="54"/>
      <c r="G297" s="54"/>
    </row>
    <row r="298" spans="1:25" s="4" customFormat="1" x14ac:dyDescent="0.3"/>
    <row r="299" spans="1:25" s="4" customFormat="1" x14ac:dyDescent="0.3">
      <c r="A299" s="112">
        <v>44</v>
      </c>
      <c r="B299" s="107" t="s">
        <v>312</v>
      </c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9"/>
      <c r="N299" s="155">
        <v>45</v>
      </c>
      <c r="O299" s="107" t="s">
        <v>232</v>
      </c>
      <c r="P299" s="107"/>
      <c r="Q299" s="107"/>
      <c r="R299" s="107"/>
      <c r="S299" s="107"/>
      <c r="T299" s="107"/>
      <c r="U299" s="107"/>
      <c r="V299" s="107"/>
      <c r="W299" s="107"/>
      <c r="X299" s="107"/>
      <c r="Y299" s="108"/>
    </row>
    <row r="300" spans="1:25" s="4" customFormat="1" x14ac:dyDescent="0.3">
      <c r="A300" s="113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3"/>
      <c r="N300" s="156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10"/>
    </row>
    <row r="301" spans="1:25" s="4" customFormat="1" x14ac:dyDescent="0.3">
      <c r="A301" s="10"/>
      <c r="M301" s="3"/>
      <c r="O301" s="4" t="s">
        <v>313</v>
      </c>
      <c r="Y301" s="3"/>
    </row>
    <row r="302" spans="1:25" s="4" customFormat="1" x14ac:dyDescent="0.3">
      <c r="A302" s="10"/>
      <c r="E302" s="28" t="s">
        <v>314</v>
      </c>
      <c r="M302" s="3"/>
      <c r="R302" s="130" t="s">
        <v>239</v>
      </c>
      <c r="S302" s="130"/>
      <c r="T302" s="130"/>
      <c r="U302" s="130" t="s">
        <v>240</v>
      </c>
      <c r="V302" s="130"/>
      <c r="W302" s="130"/>
      <c r="Y302" s="3"/>
    </row>
    <row r="303" spans="1:25" s="4" customFormat="1" x14ac:dyDescent="0.3">
      <c r="A303" s="10"/>
      <c r="F303" s="7" t="s">
        <v>311</v>
      </c>
      <c r="H303" s="106" t="s">
        <v>236</v>
      </c>
      <c r="I303" s="106"/>
      <c r="J303" s="106"/>
      <c r="M303" s="3"/>
      <c r="O303" s="28" t="s">
        <v>36</v>
      </c>
      <c r="R303" s="104">
        <v>14.6</v>
      </c>
      <c r="S303" s="104"/>
      <c r="T303" s="104"/>
      <c r="U303" s="104">
        <v>5.617977528089888</v>
      </c>
      <c r="V303" s="104"/>
      <c r="W303" s="104"/>
      <c r="Y303" s="3"/>
    </row>
    <row r="304" spans="1:25" s="4" customFormat="1" x14ac:dyDescent="0.3">
      <c r="A304" s="10"/>
      <c r="B304" s="106" t="s">
        <v>233</v>
      </c>
      <c r="C304" s="106"/>
      <c r="D304" s="106"/>
      <c r="E304" s="104">
        <v>0</v>
      </c>
      <c r="F304" s="104"/>
      <c r="G304" s="104"/>
      <c r="H304" s="104">
        <v>0.9</v>
      </c>
      <c r="I304" s="104"/>
      <c r="J304" s="104"/>
      <c r="M304" s="3"/>
      <c r="O304" s="28" t="s">
        <v>37</v>
      </c>
      <c r="R304" s="104">
        <v>3.7</v>
      </c>
      <c r="S304" s="104"/>
      <c r="T304" s="104"/>
      <c r="U304" s="104">
        <v>3.7</v>
      </c>
      <c r="V304" s="104"/>
      <c r="W304" s="104"/>
      <c r="Y304" s="3"/>
    </row>
    <row r="305" spans="1:25" s="4" customFormat="1" x14ac:dyDescent="0.3">
      <c r="A305" s="10"/>
      <c r="B305" s="106" t="s">
        <v>234</v>
      </c>
      <c r="C305" s="106"/>
      <c r="D305" s="106"/>
      <c r="E305" s="104">
        <v>67.3</v>
      </c>
      <c r="F305" s="104"/>
      <c r="G305" s="104"/>
      <c r="H305" s="104">
        <v>21.5</v>
      </c>
      <c r="I305" s="104"/>
      <c r="J305" s="104"/>
      <c r="M305" s="3"/>
      <c r="O305" s="28" t="s">
        <v>38</v>
      </c>
      <c r="R305" s="104">
        <v>8</v>
      </c>
      <c r="S305" s="104"/>
      <c r="T305" s="104"/>
      <c r="U305" s="104">
        <v>5.3</v>
      </c>
      <c r="V305" s="104"/>
      <c r="W305" s="104"/>
      <c r="Y305" s="3"/>
    </row>
    <row r="306" spans="1:25" s="4" customFormat="1" x14ac:dyDescent="0.3">
      <c r="A306" s="10"/>
      <c r="B306" s="106" t="s">
        <v>235</v>
      </c>
      <c r="C306" s="106"/>
      <c r="D306" s="106"/>
      <c r="E306" s="104">
        <v>51.5</v>
      </c>
      <c r="F306" s="104"/>
      <c r="G306" s="104"/>
      <c r="H306" s="104">
        <v>20.2</v>
      </c>
      <c r="I306" s="104"/>
      <c r="J306" s="104"/>
      <c r="M306" s="3"/>
      <c r="O306" s="28" t="s">
        <v>39</v>
      </c>
      <c r="R306" s="104">
        <v>7.4</v>
      </c>
      <c r="S306" s="104"/>
      <c r="T306" s="104"/>
      <c r="U306" s="104">
        <v>7.4</v>
      </c>
      <c r="V306" s="104"/>
      <c r="W306" s="104"/>
      <c r="Y306" s="3"/>
    </row>
    <row r="307" spans="1:25" s="4" customFormat="1" x14ac:dyDescent="0.3">
      <c r="A307" s="10"/>
      <c r="M307" s="3"/>
      <c r="O307" s="28" t="s">
        <v>40</v>
      </c>
      <c r="R307" s="104">
        <v>15.571776155717762</v>
      </c>
      <c r="S307" s="104"/>
      <c r="T307" s="104"/>
      <c r="U307" s="104">
        <v>8.8000000000000007</v>
      </c>
      <c r="V307" s="104"/>
      <c r="W307" s="104"/>
      <c r="Y307" s="3"/>
    </row>
    <row r="308" spans="1:25" s="4" customFormat="1" x14ac:dyDescent="0.3">
      <c r="A308" s="10"/>
      <c r="E308" s="28" t="s">
        <v>315</v>
      </c>
      <c r="M308" s="3"/>
      <c r="O308" s="28" t="s">
        <v>237</v>
      </c>
      <c r="R308" s="104">
        <v>35.299999999999997</v>
      </c>
      <c r="S308" s="104"/>
      <c r="T308" s="104"/>
      <c r="U308" s="104">
        <v>7.6</v>
      </c>
      <c r="V308" s="104"/>
      <c r="W308" s="104"/>
      <c r="Y308" s="3"/>
    </row>
    <row r="309" spans="1:25" s="4" customFormat="1" x14ac:dyDescent="0.3">
      <c r="A309" s="10"/>
      <c r="F309" s="7" t="s">
        <v>311</v>
      </c>
      <c r="I309" s="7" t="s">
        <v>236</v>
      </c>
      <c r="J309" s="7"/>
      <c r="K309" s="7"/>
      <c r="M309" s="3"/>
      <c r="O309" s="28" t="s">
        <v>238</v>
      </c>
      <c r="R309" s="104">
        <v>4.3</v>
      </c>
      <c r="S309" s="104"/>
      <c r="T309" s="104"/>
      <c r="U309" s="104">
        <v>2.5</v>
      </c>
      <c r="V309" s="104"/>
      <c r="W309" s="104"/>
      <c r="Y309" s="3"/>
    </row>
    <row r="310" spans="1:25" s="4" customFormat="1" x14ac:dyDescent="0.3">
      <c r="A310" s="10"/>
      <c r="B310" s="106" t="s">
        <v>233</v>
      </c>
      <c r="C310" s="106"/>
      <c r="D310" s="106"/>
      <c r="E310" s="104">
        <v>0</v>
      </c>
      <c r="F310" s="104"/>
      <c r="G310" s="104"/>
      <c r="H310" s="104">
        <v>0.5</v>
      </c>
      <c r="I310" s="104"/>
      <c r="J310" s="104"/>
      <c r="M310" s="3"/>
      <c r="O310" s="28" t="s">
        <v>43</v>
      </c>
      <c r="R310" s="104">
        <v>5.3</v>
      </c>
      <c r="S310" s="104"/>
      <c r="T310" s="104"/>
      <c r="U310" s="104">
        <v>3.9</v>
      </c>
      <c r="V310" s="104"/>
      <c r="W310" s="104"/>
      <c r="Y310" s="3"/>
    </row>
    <row r="311" spans="1:25" s="4" customFormat="1" x14ac:dyDescent="0.3">
      <c r="A311" s="10"/>
      <c r="B311" s="106" t="s">
        <v>234</v>
      </c>
      <c r="C311" s="106"/>
      <c r="D311" s="106"/>
      <c r="E311" s="104">
        <v>19.2</v>
      </c>
      <c r="F311" s="104"/>
      <c r="G311" s="104"/>
      <c r="H311" s="104">
        <v>7.6</v>
      </c>
      <c r="I311" s="104"/>
      <c r="J311" s="104"/>
      <c r="M311" s="3"/>
      <c r="O311" s="28" t="s">
        <v>44</v>
      </c>
      <c r="R311" s="104">
        <v>21.7</v>
      </c>
      <c r="S311" s="104"/>
      <c r="T311" s="104"/>
      <c r="U311" s="104">
        <v>12.8</v>
      </c>
      <c r="V311" s="104"/>
      <c r="W311" s="104"/>
      <c r="Y311" s="3"/>
    </row>
    <row r="312" spans="1:25" s="4" customFormat="1" x14ac:dyDescent="0.3">
      <c r="A312" s="10"/>
      <c r="B312" s="106" t="s">
        <v>235</v>
      </c>
      <c r="C312" s="106"/>
      <c r="D312" s="106"/>
      <c r="E312" s="104">
        <v>21.5</v>
      </c>
      <c r="F312" s="104"/>
      <c r="G312" s="104"/>
      <c r="H312" s="104">
        <v>9.5</v>
      </c>
      <c r="I312" s="104"/>
      <c r="J312" s="104"/>
      <c r="M312" s="3"/>
      <c r="O312" s="28" t="s">
        <v>45</v>
      </c>
      <c r="R312" s="104">
        <v>9.3000000000000007</v>
      </c>
      <c r="S312" s="104"/>
      <c r="T312" s="104"/>
      <c r="U312" s="104">
        <v>3.1152647975077881</v>
      </c>
      <c r="V312" s="104"/>
      <c r="W312" s="104"/>
      <c r="Y312" s="3"/>
    </row>
    <row r="313" spans="1:25" s="4" customFormat="1" x14ac:dyDescent="0.3">
      <c r="A313" s="10"/>
      <c r="M313" s="3"/>
      <c r="O313" s="28" t="s">
        <v>24</v>
      </c>
      <c r="R313" s="130">
        <v>12.9</v>
      </c>
      <c r="S313" s="130"/>
      <c r="T313" s="130"/>
      <c r="U313" s="130">
        <v>5.7</v>
      </c>
      <c r="V313" s="130"/>
      <c r="W313" s="130"/>
      <c r="Y313" s="3"/>
    </row>
    <row r="314" spans="1:25" s="4" customFormat="1" x14ac:dyDescent="0.3">
      <c r="A314" s="11"/>
      <c r="B314" s="5" t="s">
        <v>231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"/>
      <c r="N314" s="12"/>
      <c r="O314" s="5" t="s">
        <v>231</v>
      </c>
      <c r="P314" s="12"/>
      <c r="Q314" s="12"/>
      <c r="R314" s="12"/>
      <c r="S314" s="12"/>
      <c r="T314" s="12"/>
      <c r="U314" s="12"/>
      <c r="V314" s="12"/>
      <c r="W314" s="12"/>
      <c r="X314" s="12"/>
      <c r="Y314" s="13"/>
    </row>
    <row r="315" spans="1:25" s="4" customFormat="1" x14ac:dyDescent="0.3"/>
    <row r="316" spans="1:25" s="4" customFormat="1" x14ac:dyDescent="0.3"/>
    <row r="317" spans="1:25" x14ac:dyDescent="0.3">
      <c r="A317" s="103" t="s">
        <v>345</v>
      </c>
      <c r="M317" s="1"/>
    </row>
    <row r="318" spans="1:25" x14ac:dyDescent="0.3">
      <c r="M318" s="1"/>
    </row>
    <row r="319" spans="1:25" x14ac:dyDescent="0.3">
      <c r="B319" s="1" t="s">
        <v>243</v>
      </c>
      <c r="M319" s="1"/>
    </row>
    <row r="320" spans="1:25" x14ac:dyDescent="0.3">
      <c r="B320" s="1" t="s">
        <v>353</v>
      </c>
      <c r="M320" s="1"/>
    </row>
    <row r="321" spans="2:13" x14ac:dyDescent="0.3">
      <c r="B321" s="1" t="s">
        <v>371</v>
      </c>
      <c r="M321" s="1"/>
    </row>
    <row r="322" spans="2:13" x14ac:dyDescent="0.3">
      <c r="B322" s="4" t="s">
        <v>367</v>
      </c>
      <c r="M322" s="1"/>
    </row>
    <row r="323" spans="2:13" x14ac:dyDescent="0.3">
      <c r="B323" s="1" t="s">
        <v>334</v>
      </c>
      <c r="M323" s="1"/>
    </row>
    <row r="324" spans="2:13" x14ac:dyDescent="0.3">
      <c r="B324" s="4" t="s">
        <v>365</v>
      </c>
      <c r="M324" s="1"/>
    </row>
    <row r="325" spans="2:13" x14ac:dyDescent="0.3">
      <c r="B325" s="1" t="s">
        <v>358</v>
      </c>
      <c r="M325" s="1"/>
    </row>
    <row r="326" spans="2:13" x14ac:dyDescent="0.3">
      <c r="B326" s="1" t="s">
        <v>356</v>
      </c>
      <c r="M326" s="1"/>
    </row>
    <row r="327" spans="2:13" x14ac:dyDescent="0.3">
      <c r="B327" s="1" t="s">
        <v>355</v>
      </c>
      <c r="M327" s="1"/>
    </row>
    <row r="328" spans="2:13" x14ac:dyDescent="0.3">
      <c r="B328" s="1" t="s">
        <v>359</v>
      </c>
      <c r="M328" s="1"/>
    </row>
    <row r="329" spans="2:13" x14ac:dyDescent="0.3">
      <c r="B329" s="1" t="s">
        <v>357</v>
      </c>
      <c r="M329" s="1"/>
    </row>
    <row r="330" spans="2:13" x14ac:dyDescent="0.3">
      <c r="B330" s="1" t="s">
        <v>362</v>
      </c>
      <c r="M330" s="1"/>
    </row>
    <row r="331" spans="2:13" x14ac:dyDescent="0.3">
      <c r="B331" s="4" t="s">
        <v>372</v>
      </c>
      <c r="M331" s="1"/>
    </row>
    <row r="332" spans="2:13" x14ac:dyDescent="0.3">
      <c r="B332" s="1" t="s">
        <v>242</v>
      </c>
      <c r="M332" s="1"/>
    </row>
    <row r="333" spans="2:13" x14ac:dyDescent="0.3">
      <c r="B333" s="1" t="s">
        <v>346</v>
      </c>
      <c r="M333" s="1"/>
    </row>
    <row r="334" spans="2:13" x14ac:dyDescent="0.3">
      <c r="B334" s="1" t="s">
        <v>352</v>
      </c>
      <c r="M334" s="1"/>
    </row>
    <row r="335" spans="2:13" x14ac:dyDescent="0.3">
      <c r="B335" s="1" t="s">
        <v>351</v>
      </c>
      <c r="M335" s="1"/>
    </row>
    <row r="336" spans="2:13" x14ac:dyDescent="0.3">
      <c r="B336" s="1" t="s">
        <v>347</v>
      </c>
      <c r="M336" s="1"/>
    </row>
    <row r="337" spans="2:13" x14ac:dyDescent="0.3">
      <c r="B337" s="1" t="s">
        <v>348</v>
      </c>
      <c r="M337" s="1"/>
    </row>
    <row r="338" spans="2:13" x14ac:dyDescent="0.3">
      <c r="B338" s="1" t="s">
        <v>349</v>
      </c>
      <c r="M338" s="1"/>
    </row>
    <row r="339" spans="2:13" x14ac:dyDescent="0.3">
      <c r="B339" s="1" t="s">
        <v>350</v>
      </c>
      <c r="M339" s="1"/>
    </row>
    <row r="340" spans="2:13" x14ac:dyDescent="0.3">
      <c r="B340" s="1" t="s">
        <v>361</v>
      </c>
      <c r="M340" s="1"/>
    </row>
    <row r="341" spans="2:13" s="4" customFormat="1" x14ac:dyDescent="0.3">
      <c r="B341" s="1" t="s">
        <v>360</v>
      </c>
    </row>
    <row r="342" spans="2:13" s="4" customFormat="1" x14ac:dyDescent="0.3">
      <c r="B342" s="1" t="s">
        <v>354</v>
      </c>
    </row>
    <row r="343" spans="2:13" s="4" customFormat="1" x14ac:dyDescent="0.3">
      <c r="B343" s="1" t="s">
        <v>241</v>
      </c>
    </row>
    <row r="344" spans="2:13" s="4" customFormat="1" x14ac:dyDescent="0.3"/>
    <row r="345" spans="2:13" s="4" customFormat="1" x14ac:dyDescent="0.3"/>
    <row r="346" spans="2:13" s="4" customFormat="1" x14ac:dyDescent="0.3"/>
    <row r="347" spans="2:13" s="4" customFormat="1" x14ac:dyDescent="0.3"/>
    <row r="348" spans="2:13" s="4" customFormat="1" x14ac:dyDescent="0.3"/>
    <row r="349" spans="2:13" s="4" customFormat="1" x14ac:dyDescent="0.3"/>
    <row r="350" spans="2:13" s="4" customFormat="1" x14ac:dyDescent="0.3"/>
    <row r="351" spans="2:13" s="4" customFormat="1" x14ac:dyDescent="0.3"/>
    <row r="352" spans="2:13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</sheetData>
  <mergeCells count="870">
    <mergeCell ref="Q268:R268"/>
    <mergeCell ref="O268:P268"/>
    <mergeCell ref="D268:E268"/>
    <mergeCell ref="G268:H268"/>
    <mergeCell ref="Q267:R267"/>
    <mergeCell ref="T264:U264"/>
    <mergeCell ref="T265:U265"/>
    <mergeCell ref="T266:U266"/>
    <mergeCell ref="T267:U267"/>
    <mergeCell ref="AB268:AC268"/>
    <mergeCell ref="AB266:AC266"/>
    <mergeCell ref="O266:P266"/>
    <mergeCell ref="O267:P267"/>
    <mergeCell ref="Q266:R266"/>
    <mergeCell ref="D267:E267"/>
    <mergeCell ref="D266:E266"/>
    <mergeCell ref="G266:H266"/>
    <mergeCell ref="G267:H267"/>
    <mergeCell ref="T268:U268"/>
    <mergeCell ref="AD268:AE268"/>
    <mergeCell ref="AG268:AH268"/>
    <mergeCell ref="AJ268:AK268"/>
    <mergeCell ref="AJ265:AK265"/>
    <mergeCell ref="AD266:AE266"/>
    <mergeCell ref="AG266:AH266"/>
    <mergeCell ref="AJ266:AK266"/>
    <mergeCell ref="R31:S31"/>
    <mergeCell ref="R32:S32"/>
    <mergeCell ref="R33:S33"/>
    <mergeCell ref="R34:S34"/>
    <mergeCell ref="R35:S35"/>
    <mergeCell ref="X31:Y31"/>
    <mergeCell ref="X32:Y32"/>
    <mergeCell ref="X33:Y33"/>
    <mergeCell ref="X34:Y34"/>
    <mergeCell ref="X35:Y35"/>
    <mergeCell ref="O27:Y28"/>
    <mergeCell ref="E32:F32"/>
    <mergeCell ref="E33:F33"/>
    <mergeCell ref="E34:F34"/>
    <mergeCell ref="E35:F35"/>
    <mergeCell ref="K32:L32"/>
    <mergeCell ref="K33:L33"/>
    <mergeCell ref="K34:L34"/>
    <mergeCell ref="K35:L35"/>
    <mergeCell ref="R30:S30"/>
    <mergeCell ref="W82:Y82"/>
    <mergeCell ref="W83:Y83"/>
    <mergeCell ref="E155:F155"/>
    <mergeCell ref="H155:I155"/>
    <mergeCell ref="K155:L155"/>
    <mergeCell ref="R155:S155"/>
    <mergeCell ref="U155:V155"/>
    <mergeCell ref="X155:Y155"/>
    <mergeCell ref="K154:L154"/>
    <mergeCell ref="U308:W308"/>
    <mergeCell ref="U309:W309"/>
    <mergeCell ref="U310:W310"/>
    <mergeCell ref="U311:W311"/>
    <mergeCell ref="U312:W312"/>
    <mergeCell ref="U313:W313"/>
    <mergeCell ref="U302:W302"/>
    <mergeCell ref="U303:W303"/>
    <mergeCell ref="U304:W304"/>
    <mergeCell ref="U305:W305"/>
    <mergeCell ref="U306:W306"/>
    <mergeCell ref="U307:W307"/>
    <mergeCell ref="R308:T308"/>
    <mergeCell ref="R309:T309"/>
    <mergeCell ref="R310:T310"/>
    <mergeCell ref="R311:T311"/>
    <mergeCell ref="R312:T312"/>
    <mergeCell ref="R313:T313"/>
    <mergeCell ref="R302:T302"/>
    <mergeCell ref="R303:T303"/>
    <mergeCell ref="R304:T304"/>
    <mergeCell ref="R305:T305"/>
    <mergeCell ref="R306:T306"/>
    <mergeCell ref="R307:T307"/>
    <mergeCell ref="H305:J305"/>
    <mergeCell ref="H306:J306"/>
    <mergeCell ref="E310:G310"/>
    <mergeCell ref="H310:J310"/>
    <mergeCell ref="H311:J311"/>
    <mergeCell ref="E312:G312"/>
    <mergeCell ref="H312:J312"/>
    <mergeCell ref="B312:D312"/>
    <mergeCell ref="E304:G304"/>
    <mergeCell ref="E305:G305"/>
    <mergeCell ref="E306:G306"/>
    <mergeCell ref="E311:G311"/>
    <mergeCell ref="B305:D305"/>
    <mergeCell ref="B306:D306"/>
    <mergeCell ref="B310:D310"/>
    <mergeCell ref="B311:D311"/>
    <mergeCell ref="O292:P292"/>
    <mergeCell ref="O293:P293"/>
    <mergeCell ref="Q292:S293"/>
    <mergeCell ref="U292:U293"/>
    <mergeCell ref="X292:X293"/>
    <mergeCell ref="A299:A300"/>
    <mergeCell ref="B299:L300"/>
    <mergeCell ref="N299:N300"/>
    <mergeCell ref="O299:Y300"/>
    <mergeCell ref="A296:G296"/>
    <mergeCell ref="O286:P286"/>
    <mergeCell ref="O287:P287"/>
    <mergeCell ref="O288:P288"/>
    <mergeCell ref="O289:P289"/>
    <mergeCell ref="O290:P290"/>
    <mergeCell ref="O291:P291"/>
    <mergeCell ref="B292:C292"/>
    <mergeCell ref="B293:C293"/>
    <mergeCell ref="J292:L293"/>
    <mergeCell ref="B304:D304"/>
    <mergeCell ref="H303:J303"/>
    <mergeCell ref="H304:J304"/>
    <mergeCell ref="G292:I293"/>
    <mergeCell ref="D292:F293"/>
    <mergeCell ref="B286:C286"/>
    <mergeCell ref="B287:C287"/>
    <mergeCell ref="B288:C288"/>
    <mergeCell ref="B289:C289"/>
    <mergeCell ref="B290:C290"/>
    <mergeCell ref="B291:C291"/>
    <mergeCell ref="T277:U277"/>
    <mergeCell ref="T278:U278"/>
    <mergeCell ref="T279:U279"/>
    <mergeCell ref="A283:A284"/>
    <mergeCell ref="B283:L284"/>
    <mergeCell ref="N283:N284"/>
    <mergeCell ref="O283:Y284"/>
    <mergeCell ref="W264:X264"/>
    <mergeCell ref="W265:X265"/>
    <mergeCell ref="W266:X266"/>
    <mergeCell ref="W268:X268"/>
    <mergeCell ref="W267:X267"/>
    <mergeCell ref="A273:A274"/>
    <mergeCell ref="B273:L274"/>
    <mergeCell ref="N273:N274"/>
    <mergeCell ref="O273:Y274"/>
    <mergeCell ref="J266:K266"/>
    <mergeCell ref="I250:L250"/>
    <mergeCell ref="I251:J251"/>
    <mergeCell ref="I252:J252"/>
    <mergeCell ref="I253:J253"/>
    <mergeCell ref="I254:J254"/>
    <mergeCell ref="J264:K264"/>
    <mergeCell ref="B268:C268"/>
    <mergeCell ref="B265:C265"/>
    <mergeCell ref="N260:N261"/>
    <mergeCell ref="G265:H265"/>
    <mergeCell ref="G263:H263"/>
    <mergeCell ref="G264:H264"/>
    <mergeCell ref="B266:C266"/>
    <mergeCell ref="J265:K265"/>
    <mergeCell ref="J267:K267"/>
    <mergeCell ref="J268:K268"/>
    <mergeCell ref="O260:Y261"/>
    <mergeCell ref="I257:J257"/>
    <mergeCell ref="O264:P264"/>
    <mergeCell ref="A260:A261"/>
    <mergeCell ref="B260:L261"/>
    <mergeCell ref="B267:C267"/>
    <mergeCell ref="Q263:R263"/>
    <mergeCell ref="T263:U263"/>
    <mergeCell ref="Q264:R264"/>
    <mergeCell ref="Q265:R265"/>
    <mergeCell ref="E251:F251"/>
    <mergeCell ref="E252:F252"/>
    <mergeCell ref="E253:F253"/>
    <mergeCell ref="E254:F254"/>
    <mergeCell ref="O265:P265"/>
    <mergeCell ref="G255:H255"/>
    <mergeCell ref="G256:H256"/>
    <mergeCell ref="G257:H257"/>
    <mergeCell ref="I255:J255"/>
    <mergeCell ref="I256:J256"/>
    <mergeCell ref="E257:F257"/>
    <mergeCell ref="B252:C252"/>
    <mergeCell ref="B253:C253"/>
    <mergeCell ref="B254:C254"/>
    <mergeCell ref="B255:C255"/>
    <mergeCell ref="B256:C256"/>
    <mergeCell ref="B257:C257"/>
    <mergeCell ref="A248:A249"/>
    <mergeCell ref="B248:L249"/>
    <mergeCell ref="N248:N249"/>
    <mergeCell ref="O248:Y249"/>
    <mergeCell ref="E255:F255"/>
    <mergeCell ref="E256:F256"/>
    <mergeCell ref="G251:H251"/>
    <mergeCell ref="G252:H252"/>
    <mergeCell ref="G253:H253"/>
    <mergeCell ref="G254:H254"/>
    <mergeCell ref="V236:W236"/>
    <mergeCell ref="V237:W237"/>
    <mergeCell ref="T232:U232"/>
    <mergeCell ref="T233:U233"/>
    <mergeCell ref="V232:W232"/>
    <mergeCell ref="V233:W233"/>
    <mergeCell ref="V234:W234"/>
    <mergeCell ref="V235:W235"/>
    <mergeCell ref="T234:U234"/>
    <mergeCell ref="T235:U235"/>
    <mergeCell ref="T236:U236"/>
    <mergeCell ref="T237:U237"/>
    <mergeCell ref="O234:P234"/>
    <mergeCell ref="O235:P235"/>
    <mergeCell ref="O236:P236"/>
    <mergeCell ref="O237:P237"/>
    <mergeCell ref="Q236:R236"/>
    <mergeCell ref="Q237:R237"/>
    <mergeCell ref="O232:P232"/>
    <mergeCell ref="O233:P233"/>
    <mergeCell ref="Q232:R232"/>
    <mergeCell ref="Q233:R233"/>
    <mergeCell ref="Q234:R234"/>
    <mergeCell ref="Q235:R235"/>
    <mergeCell ref="J232:K232"/>
    <mergeCell ref="J233:K233"/>
    <mergeCell ref="J234:K234"/>
    <mergeCell ref="J235:K235"/>
    <mergeCell ref="L232:M232"/>
    <mergeCell ref="L233:M233"/>
    <mergeCell ref="L234:M234"/>
    <mergeCell ref="L235:M235"/>
    <mergeCell ref="E236:F236"/>
    <mergeCell ref="E237:F237"/>
    <mergeCell ref="G236:H236"/>
    <mergeCell ref="G237:H237"/>
    <mergeCell ref="L236:M236"/>
    <mergeCell ref="L237:M237"/>
    <mergeCell ref="J236:K236"/>
    <mergeCell ref="J237:K237"/>
    <mergeCell ref="E232:F232"/>
    <mergeCell ref="E233:F233"/>
    <mergeCell ref="E234:F234"/>
    <mergeCell ref="E235:F235"/>
    <mergeCell ref="G232:H232"/>
    <mergeCell ref="G233:H233"/>
    <mergeCell ref="G234:H234"/>
    <mergeCell ref="G235:H235"/>
    <mergeCell ref="X221:Y221"/>
    <mergeCell ref="X220:Y220"/>
    <mergeCell ref="T230:U230"/>
    <mergeCell ref="V230:W230"/>
    <mergeCell ref="T231:U231"/>
    <mergeCell ref="V231:W231"/>
    <mergeCell ref="T174:V174"/>
    <mergeCell ref="T175:V175"/>
    <mergeCell ref="A194:G194"/>
    <mergeCell ref="A226:A227"/>
    <mergeCell ref="B226:Y227"/>
    <mergeCell ref="A245:G245"/>
    <mergeCell ref="O229:R229"/>
    <mergeCell ref="T229:W229"/>
    <mergeCell ref="E230:F230"/>
    <mergeCell ref="G230:H230"/>
    <mergeCell ref="T168:V168"/>
    <mergeCell ref="T169:V169"/>
    <mergeCell ref="T170:V170"/>
    <mergeCell ref="T171:V171"/>
    <mergeCell ref="T172:V172"/>
    <mergeCell ref="T173:V173"/>
    <mergeCell ref="E173:G173"/>
    <mergeCell ref="E174:G174"/>
    <mergeCell ref="E175:G175"/>
    <mergeCell ref="K169:M169"/>
    <mergeCell ref="K170:M170"/>
    <mergeCell ref="K171:M171"/>
    <mergeCell ref="K172:M172"/>
    <mergeCell ref="K173:M173"/>
    <mergeCell ref="K174:M174"/>
    <mergeCell ref="K175:M175"/>
    <mergeCell ref="H169:J169"/>
    <mergeCell ref="H170:J170"/>
    <mergeCell ref="H171:J171"/>
    <mergeCell ref="H172:J172"/>
    <mergeCell ref="E169:G169"/>
    <mergeCell ref="E170:G170"/>
    <mergeCell ref="E171:G171"/>
    <mergeCell ref="E172:G172"/>
    <mergeCell ref="H173:J173"/>
    <mergeCell ref="H174:J174"/>
    <mergeCell ref="H175:J175"/>
    <mergeCell ref="E229:H229"/>
    <mergeCell ref="J229:M229"/>
    <mergeCell ref="K218:L218"/>
    <mergeCell ref="E220:F220"/>
    <mergeCell ref="E221:F221"/>
    <mergeCell ref="H215:I215"/>
    <mergeCell ref="H216:I216"/>
    <mergeCell ref="E168:G168"/>
    <mergeCell ref="H168:J168"/>
    <mergeCell ref="K168:M168"/>
    <mergeCell ref="E231:F231"/>
    <mergeCell ref="G231:H231"/>
    <mergeCell ref="J230:K230"/>
    <mergeCell ref="L230:M230"/>
    <mergeCell ref="J231:K231"/>
    <mergeCell ref="L231:M231"/>
    <mergeCell ref="H221:I221"/>
    <mergeCell ref="X160:Y160"/>
    <mergeCell ref="O230:P230"/>
    <mergeCell ref="A166:A167"/>
    <mergeCell ref="B166:L167"/>
    <mergeCell ref="N166:N167"/>
    <mergeCell ref="O166:Y167"/>
    <mergeCell ref="Q230:R230"/>
    <mergeCell ref="K217:L217"/>
    <mergeCell ref="R215:S215"/>
    <mergeCell ref="R216:S216"/>
    <mergeCell ref="X157:Y157"/>
    <mergeCell ref="R158:S158"/>
    <mergeCell ref="U158:V158"/>
    <mergeCell ref="X158:Y158"/>
    <mergeCell ref="R159:S159"/>
    <mergeCell ref="U159:V159"/>
    <mergeCell ref="X159:Y159"/>
    <mergeCell ref="X156:Y156"/>
    <mergeCell ref="R153:S153"/>
    <mergeCell ref="U153:V153"/>
    <mergeCell ref="X153:Y153"/>
    <mergeCell ref="R154:S154"/>
    <mergeCell ref="U154:V154"/>
    <mergeCell ref="X154:Y154"/>
    <mergeCell ref="K157:L157"/>
    <mergeCell ref="K158:L158"/>
    <mergeCell ref="K159:L159"/>
    <mergeCell ref="K160:L160"/>
    <mergeCell ref="R156:S156"/>
    <mergeCell ref="U156:V156"/>
    <mergeCell ref="R157:S157"/>
    <mergeCell ref="U157:V157"/>
    <mergeCell ref="R160:S160"/>
    <mergeCell ref="U160:V160"/>
    <mergeCell ref="E158:F158"/>
    <mergeCell ref="E159:F159"/>
    <mergeCell ref="H157:I157"/>
    <mergeCell ref="H158:I158"/>
    <mergeCell ref="H159:I159"/>
    <mergeCell ref="H160:I160"/>
    <mergeCell ref="E154:F154"/>
    <mergeCell ref="B134:X134"/>
    <mergeCell ref="A151:A152"/>
    <mergeCell ref="B151:L152"/>
    <mergeCell ref="N151:N152"/>
    <mergeCell ref="O151:Y152"/>
    <mergeCell ref="A148:G148"/>
    <mergeCell ref="I141:J141"/>
    <mergeCell ref="I142:J142"/>
    <mergeCell ref="H154:I154"/>
    <mergeCell ref="I138:J138"/>
    <mergeCell ref="I139:J139"/>
    <mergeCell ref="I140:J140"/>
    <mergeCell ref="K137:L137"/>
    <mergeCell ref="K138:L138"/>
    <mergeCell ref="K139:L139"/>
    <mergeCell ref="K140:L140"/>
    <mergeCell ref="C141:D141"/>
    <mergeCell ref="C142:D142"/>
    <mergeCell ref="E137:F137"/>
    <mergeCell ref="E138:F138"/>
    <mergeCell ref="E139:F139"/>
    <mergeCell ref="E140:F140"/>
    <mergeCell ref="E141:F141"/>
    <mergeCell ref="E142:F142"/>
    <mergeCell ref="C137:D137"/>
    <mergeCell ref="C138:D138"/>
    <mergeCell ref="C139:D139"/>
    <mergeCell ref="C140:D140"/>
    <mergeCell ref="U142:V142"/>
    <mergeCell ref="W137:X137"/>
    <mergeCell ref="W138:X138"/>
    <mergeCell ref="W139:X139"/>
    <mergeCell ref="W140:X140"/>
    <mergeCell ref="W141:X141"/>
    <mergeCell ref="W142:X142"/>
    <mergeCell ref="U138:V138"/>
    <mergeCell ref="U141:V141"/>
    <mergeCell ref="Q142:R142"/>
    <mergeCell ref="S141:T141"/>
    <mergeCell ref="S142:T142"/>
    <mergeCell ref="Q140:R140"/>
    <mergeCell ref="Q141:R141"/>
    <mergeCell ref="U139:V139"/>
    <mergeCell ref="S137:T137"/>
    <mergeCell ref="S138:T138"/>
    <mergeCell ref="S139:T139"/>
    <mergeCell ref="S140:T140"/>
    <mergeCell ref="U140:V140"/>
    <mergeCell ref="U135:X135"/>
    <mergeCell ref="U136:V136"/>
    <mergeCell ref="W136:X136"/>
    <mergeCell ref="Q137:R137"/>
    <mergeCell ref="U137:V137"/>
    <mergeCell ref="Q138:R138"/>
    <mergeCell ref="E160:F160"/>
    <mergeCell ref="E157:F157"/>
    <mergeCell ref="K216:L216"/>
    <mergeCell ref="Q135:T135"/>
    <mergeCell ref="S136:T136"/>
    <mergeCell ref="Q136:R136"/>
    <mergeCell ref="Q139:R139"/>
    <mergeCell ref="K141:L141"/>
    <mergeCell ref="K142:L142"/>
    <mergeCell ref="I137:J137"/>
    <mergeCell ref="B132:Y133"/>
    <mergeCell ref="G135:H135"/>
    <mergeCell ref="C135:F135"/>
    <mergeCell ref="O231:P231"/>
    <mergeCell ref="Q231:R231"/>
    <mergeCell ref="E156:F156"/>
    <mergeCell ref="E161:F161"/>
    <mergeCell ref="H156:I156"/>
    <mergeCell ref="K156:L156"/>
    <mergeCell ref="K161:L161"/>
    <mergeCell ref="R218:S218"/>
    <mergeCell ref="X219:Y219"/>
    <mergeCell ref="U216:V216"/>
    <mergeCell ref="U217:V217"/>
    <mergeCell ref="U218:V218"/>
    <mergeCell ref="X216:Y216"/>
    <mergeCell ref="X217:Y217"/>
    <mergeCell ref="X218:Y218"/>
    <mergeCell ref="R217:S217"/>
    <mergeCell ref="U221:V221"/>
    <mergeCell ref="U220:V220"/>
    <mergeCell ref="U219:V219"/>
    <mergeCell ref="K220:L220"/>
    <mergeCell ref="K221:L221"/>
    <mergeCell ref="R219:S219"/>
    <mergeCell ref="R220:S220"/>
    <mergeCell ref="R221:S221"/>
    <mergeCell ref="K219:L219"/>
    <mergeCell ref="H217:I217"/>
    <mergeCell ref="H218:I218"/>
    <mergeCell ref="H219:I219"/>
    <mergeCell ref="H220:I220"/>
    <mergeCell ref="E216:F216"/>
    <mergeCell ref="E217:F217"/>
    <mergeCell ref="E218:F218"/>
    <mergeCell ref="E219:F219"/>
    <mergeCell ref="V12:W12"/>
    <mergeCell ref="E215:F215"/>
    <mergeCell ref="K215:L215"/>
    <mergeCell ref="U215:V215"/>
    <mergeCell ref="X215:Y215"/>
    <mergeCell ref="M135:N135"/>
    <mergeCell ref="O135:P135"/>
    <mergeCell ref="H161:I161"/>
    <mergeCell ref="E136:F136"/>
    <mergeCell ref="I136:J136"/>
    <mergeCell ref="E213:F213"/>
    <mergeCell ref="H213:I213"/>
    <mergeCell ref="K213:L213"/>
    <mergeCell ref="R213:S213"/>
    <mergeCell ref="U213:V213"/>
    <mergeCell ref="X213:Y213"/>
    <mergeCell ref="U207:V207"/>
    <mergeCell ref="X207:Y207"/>
    <mergeCell ref="A211:A212"/>
    <mergeCell ref="B211:L212"/>
    <mergeCell ref="N211:N212"/>
    <mergeCell ref="O211:Y212"/>
    <mergeCell ref="U204:V204"/>
    <mergeCell ref="X204:Y204"/>
    <mergeCell ref="R205:S205"/>
    <mergeCell ref="U205:V205"/>
    <mergeCell ref="X205:Y205"/>
    <mergeCell ref="R206:S206"/>
    <mergeCell ref="U206:V206"/>
    <mergeCell ref="X206:Y206"/>
    <mergeCell ref="U201:V201"/>
    <mergeCell ref="X201:Y201"/>
    <mergeCell ref="R202:S202"/>
    <mergeCell ref="U202:V202"/>
    <mergeCell ref="X202:Y202"/>
    <mergeCell ref="R203:S203"/>
    <mergeCell ref="U203:V203"/>
    <mergeCell ref="X203:Y203"/>
    <mergeCell ref="K203:L203"/>
    <mergeCell ref="K204:L204"/>
    <mergeCell ref="K205:L205"/>
    <mergeCell ref="K206:L206"/>
    <mergeCell ref="K207:L207"/>
    <mergeCell ref="R201:S201"/>
    <mergeCell ref="R204:S204"/>
    <mergeCell ref="R207:S207"/>
    <mergeCell ref="E207:F207"/>
    <mergeCell ref="H201:I201"/>
    <mergeCell ref="H202:I202"/>
    <mergeCell ref="H203:I203"/>
    <mergeCell ref="H204:I204"/>
    <mergeCell ref="H205:I205"/>
    <mergeCell ref="H206:I206"/>
    <mergeCell ref="H207:I207"/>
    <mergeCell ref="E203:F203"/>
    <mergeCell ref="E204:F204"/>
    <mergeCell ref="E205:F205"/>
    <mergeCell ref="E206:F206"/>
    <mergeCell ref="U199:V199"/>
    <mergeCell ref="X199:Y199"/>
    <mergeCell ref="E201:F201"/>
    <mergeCell ref="E202:F202"/>
    <mergeCell ref="K201:L201"/>
    <mergeCell ref="K202:L202"/>
    <mergeCell ref="E199:F199"/>
    <mergeCell ref="H199:I199"/>
    <mergeCell ref="K199:L199"/>
    <mergeCell ref="R199:S199"/>
    <mergeCell ref="A197:A198"/>
    <mergeCell ref="B197:L198"/>
    <mergeCell ref="N197:N198"/>
    <mergeCell ref="O197:Y198"/>
    <mergeCell ref="X188:Y188"/>
    <mergeCell ref="X189:Y189"/>
    <mergeCell ref="U184:W184"/>
    <mergeCell ref="U185:W185"/>
    <mergeCell ref="U186:W186"/>
    <mergeCell ref="U187:W187"/>
    <mergeCell ref="U188:W188"/>
    <mergeCell ref="U189:W189"/>
    <mergeCell ref="X184:Y184"/>
    <mergeCell ref="X185:Y185"/>
    <mergeCell ref="O124:P124"/>
    <mergeCell ref="O125:P125"/>
    <mergeCell ref="X182:Y183"/>
    <mergeCell ref="R184:T184"/>
    <mergeCell ref="K186:L186"/>
    <mergeCell ref="K187:L187"/>
    <mergeCell ref="R185:T185"/>
    <mergeCell ref="R187:T187"/>
    <mergeCell ref="X186:Y186"/>
    <mergeCell ref="X187:Y187"/>
    <mergeCell ref="A179:A180"/>
    <mergeCell ref="B179:L180"/>
    <mergeCell ref="N179:N180"/>
    <mergeCell ref="O179:Y180"/>
    <mergeCell ref="B125:C125"/>
    <mergeCell ref="B126:C126"/>
    <mergeCell ref="C136:D136"/>
    <mergeCell ref="K136:L136"/>
    <mergeCell ref="A129:G129"/>
    <mergeCell ref="A132:A133"/>
    <mergeCell ref="AD263:AE263"/>
    <mergeCell ref="AG263:AH263"/>
    <mergeCell ref="W113:Y113"/>
    <mergeCell ref="S112:U112"/>
    <mergeCell ref="S113:U113"/>
    <mergeCell ref="W112:Y112"/>
    <mergeCell ref="R182:T183"/>
    <mergeCell ref="R188:T188"/>
    <mergeCell ref="R189:T189"/>
    <mergeCell ref="R186:T186"/>
    <mergeCell ref="A118:A119"/>
    <mergeCell ref="B118:L119"/>
    <mergeCell ref="N118:N119"/>
    <mergeCell ref="O118:Y119"/>
    <mergeCell ref="I115:J115"/>
    <mergeCell ref="G112:H112"/>
    <mergeCell ref="G113:H113"/>
    <mergeCell ref="K111:L111"/>
    <mergeCell ref="K112:L112"/>
    <mergeCell ref="K113:L113"/>
    <mergeCell ref="K114:L114"/>
    <mergeCell ref="S111:U111"/>
    <mergeCell ref="W109:Y109"/>
    <mergeCell ref="W110:Y110"/>
    <mergeCell ref="W111:Y111"/>
    <mergeCell ref="G114:H114"/>
    <mergeCell ref="I109:J109"/>
    <mergeCell ref="I110:J110"/>
    <mergeCell ref="I111:J111"/>
    <mergeCell ref="I112:J112"/>
    <mergeCell ref="I113:J113"/>
    <mergeCell ref="I114:J114"/>
    <mergeCell ref="G109:H109"/>
    <mergeCell ref="G110:H110"/>
    <mergeCell ref="G111:H111"/>
    <mergeCell ref="G115:H115"/>
    <mergeCell ref="E183:F183"/>
    <mergeCell ref="E184:F184"/>
    <mergeCell ref="E185:F185"/>
    <mergeCell ref="E182:L182"/>
    <mergeCell ref="H183:I183"/>
    <mergeCell ref="H184:I184"/>
    <mergeCell ref="H185:I185"/>
    <mergeCell ref="K183:L183"/>
    <mergeCell ref="I135:L135"/>
    <mergeCell ref="H190:I190"/>
    <mergeCell ref="K184:L184"/>
    <mergeCell ref="K185:L185"/>
    <mergeCell ref="E186:F186"/>
    <mergeCell ref="E187:F187"/>
    <mergeCell ref="E188:F188"/>
    <mergeCell ref="E189:F189"/>
    <mergeCell ref="K190:L190"/>
    <mergeCell ref="K188:L188"/>
    <mergeCell ref="K189:L189"/>
    <mergeCell ref="K110:L110"/>
    <mergeCell ref="S109:U109"/>
    <mergeCell ref="S110:U110"/>
    <mergeCell ref="K115:L115"/>
    <mergeCell ref="I108:J108"/>
    <mergeCell ref="E190:F190"/>
    <mergeCell ref="H186:I186"/>
    <mergeCell ref="H187:I187"/>
    <mergeCell ref="H188:I188"/>
    <mergeCell ref="H189:I189"/>
    <mergeCell ref="A106:A107"/>
    <mergeCell ref="B106:L107"/>
    <mergeCell ref="N106:N107"/>
    <mergeCell ref="O106:Y107"/>
    <mergeCell ref="K108:L108"/>
    <mergeCell ref="K109:L109"/>
    <mergeCell ref="G108:H108"/>
    <mergeCell ref="O96:P96"/>
    <mergeCell ref="O97:P97"/>
    <mergeCell ref="O98:P98"/>
    <mergeCell ref="C97:D97"/>
    <mergeCell ref="C98:D98"/>
    <mergeCell ref="A103:G103"/>
    <mergeCell ref="P83:Q83"/>
    <mergeCell ref="R83:S83"/>
    <mergeCell ref="C99:D99"/>
    <mergeCell ref="C100:D100"/>
    <mergeCell ref="A92:A93"/>
    <mergeCell ref="B92:L93"/>
    <mergeCell ref="O99:P99"/>
    <mergeCell ref="O100:P100"/>
    <mergeCell ref="C95:D95"/>
    <mergeCell ref="C96:D96"/>
    <mergeCell ref="R70:S70"/>
    <mergeCell ref="R71:S71"/>
    <mergeCell ref="R72:S72"/>
    <mergeCell ref="R73:S73"/>
    <mergeCell ref="O80:Y81"/>
    <mergeCell ref="R74:S74"/>
    <mergeCell ref="B72:C72"/>
    <mergeCell ref="E72:F72"/>
    <mergeCell ref="B73:C73"/>
    <mergeCell ref="E73:F73"/>
    <mergeCell ref="B70:C70"/>
    <mergeCell ref="E70:F70"/>
    <mergeCell ref="B71:C71"/>
    <mergeCell ref="E71:F71"/>
    <mergeCell ref="O73:P73"/>
    <mergeCell ref="B74:C74"/>
    <mergeCell ref="A77:G77"/>
    <mergeCell ref="A80:A81"/>
    <mergeCell ref="B80:L81"/>
    <mergeCell ref="E74:F74"/>
    <mergeCell ref="A67:A68"/>
    <mergeCell ref="B67:L68"/>
    <mergeCell ref="N67:N68"/>
    <mergeCell ref="O67:Y68"/>
    <mergeCell ref="F82:H82"/>
    <mergeCell ref="I82:K82"/>
    <mergeCell ref="N80:N81"/>
    <mergeCell ref="O74:P74"/>
    <mergeCell ref="O70:P70"/>
    <mergeCell ref="O71:P71"/>
    <mergeCell ref="W48:X48"/>
    <mergeCell ref="W49:X49"/>
    <mergeCell ref="O58:P58"/>
    <mergeCell ref="O59:P59"/>
    <mergeCell ref="O60:P60"/>
    <mergeCell ref="O61:P61"/>
    <mergeCell ref="T58:X59"/>
    <mergeCell ref="W42:X42"/>
    <mergeCell ref="W43:X43"/>
    <mergeCell ref="W44:X44"/>
    <mergeCell ref="W45:X45"/>
    <mergeCell ref="W46:X46"/>
    <mergeCell ref="W47:X47"/>
    <mergeCell ref="Q49:R49"/>
    <mergeCell ref="T42:U42"/>
    <mergeCell ref="T43:U43"/>
    <mergeCell ref="T44:U44"/>
    <mergeCell ref="T45:U45"/>
    <mergeCell ref="T46:U46"/>
    <mergeCell ref="T47:U47"/>
    <mergeCell ref="T48:U48"/>
    <mergeCell ref="T49:U49"/>
    <mergeCell ref="Q43:R43"/>
    <mergeCell ref="Q44:R44"/>
    <mergeCell ref="Q45:R45"/>
    <mergeCell ref="Q46:R46"/>
    <mergeCell ref="Q47:R47"/>
    <mergeCell ref="Q48:R48"/>
    <mergeCell ref="O39:Y40"/>
    <mergeCell ref="N39:N40"/>
    <mergeCell ref="AB264:AC264"/>
    <mergeCell ref="B264:C264"/>
    <mergeCell ref="D263:E263"/>
    <mergeCell ref="D264:E264"/>
    <mergeCell ref="F47:G47"/>
    <mergeCell ref="L44:M44"/>
    <mergeCell ref="L45:M45"/>
    <mergeCell ref="Q42:R42"/>
    <mergeCell ref="L46:M46"/>
    <mergeCell ref="F43:G43"/>
    <mergeCell ref="F44:G44"/>
    <mergeCell ref="F45:G45"/>
    <mergeCell ref="F46:G46"/>
    <mergeCell ref="A39:A40"/>
    <mergeCell ref="B42:M42"/>
    <mergeCell ref="F48:G48"/>
    <mergeCell ref="L48:M48"/>
    <mergeCell ref="L47:M47"/>
    <mergeCell ref="A53:G53"/>
    <mergeCell ref="A56:A57"/>
    <mergeCell ref="B56:L57"/>
    <mergeCell ref="P82:S82"/>
    <mergeCell ref="B59:C59"/>
    <mergeCell ref="B60:C60"/>
    <mergeCell ref="B61:C61"/>
    <mergeCell ref="B62:C62"/>
    <mergeCell ref="N56:N57"/>
    <mergeCell ref="O56:Y57"/>
    <mergeCell ref="O62:P62"/>
    <mergeCell ref="O63:P63"/>
    <mergeCell ref="O72:P72"/>
    <mergeCell ref="AG264:AH264"/>
    <mergeCell ref="AJ264:AK264"/>
    <mergeCell ref="P86:Q86"/>
    <mergeCell ref="N84:O84"/>
    <mergeCell ref="N85:O85"/>
    <mergeCell ref="N86:O86"/>
    <mergeCell ref="N87:O87"/>
    <mergeCell ref="N92:N93"/>
    <mergeCell ref="O92:Y93"/>
    <mergeCell ref="O95:P95"/>
    <mergeCell ref="AB265:AC265"/>
    <mergeCell ref="AD265:AE265"/>
    <mergeCell ref="AG265:AH265"/>
    <mergeCell ref="D265:E265"/>
    <mergeCell ref="N88:O88"/>
    <mergeCell ref="W85:X85"/>
    <mergeCell ref="W86:X86"/>
    <mergeCell ref="W87:X87"/>
    <mergeCell ref="P85:Q85"/>
    <mergeCell ref="AD264:AE264"/>
    <mergeCell ref="A27:A28"/>
    <mergeCell ref="B27:L28"/>
    <mergeCell ref="N27:N28"/>
    <mergeCell ref="B39:L40"/>
    <mergeCell ref="E30:F30"/>
    <mergeCell ref="E31:F31"/>
    <mergeCell ref="K31:L31"/>
    <mergeCell ref="B29:L29"/>
    <mergeCell ref="S24:T24"/>
    <mergeCell ref="F20:G20"/>
    <mergeCell ref="I20:J20"/>
    <mergeCell ref="F21:G21"/>
    <mergeCell ref="F22:G22"/>
    <mergeCell ref="I21:K21"/>
    <mergeCell ref="I22:K22"/>
    <mergeCell ref="V22:W22"/>
    <mergeCell ref="V23:W23"/>
    <mergeCell ref="V24:W24"/>
    <mergeCell ref="C21:D21"/>
    <mergeCell ref="C22:D22"/>
    <mergeCell ref="C23:D23"/>
    <mergeCell ref="F23:G23"/>
    <mergeCell ref="I23:K23"/>
    <mergeCell ref="P24:Q24"/>
    <mergeCell ref="S23:T23"/>
    <mergeCell ref="P22:Q22"/>
    <mergeCell ref="P23:Q23"/>
    <mergeCell ref="S19:T19"/>
    <mergeCell ref="S20:T20"/>
    <mergeCell ref="S21:T21"/>
    <mergeCell ref="S22:T22"/>
    <mergeCell ref="A17:A18"/>
    <mergeCell ref="B17:L18"/>
    <mergeCell ref="N17:N18"/>
    <mergeCell ref="O17:Y18"/>
    <mergeCell ref="P20:Q20"/>
    <mergeCell ref="P21:Q21"/>
    <mergeCell ref="V19:W19"/>
    <mergeCell ref="V20:W20"/>
    <mergeCell ref="V21:W21"/>
    <mergeCell ref="S12:T12"/>
    <mergeCell ref="S13:T13"/>
    <mergeCell ref="S14:T14"/>
    <mergeCell ref="V10:W10"/>
    <mergeCell ref="A5:A6"/>
    <mergeCell ref="N5:N6"/>
    <mergeCell ref="P12:Q12"/>
    <mergeCell ref="P13:Q13"/>
    <mergeCell ref="P14:Q14"/>
    <mergeCell ref="S7:T7"/>
    <mergeCell ref="P8:Q8"/>
    <mergeCell ref="P9:Q9"/>
    <mergeCell ref="P10:Q10"/>
    <mergeCell ref="P11:Q11"/>
    <mergeCell ref="S10:T10"/>
    <mergeCell ref="S11:T11"/>
    <mergeCell ref="S8:T8"/>
    <mergeCell ref="S9:T9"/>
    <mergeCell ref="F11:G11"/>
    <mergeCell ref="F12:G12"/>
    <mergeCell ref="F13:G13"/>
    <mergeCell ref="F14:G14"/>
    <mergeCell ref="C10:D10"/>
    <mergeCell ref="C11:D11"/>
    <mergeCell ref="C12:D12"/>
    <mergeCell ref="C13:D13"/>
    <mergeCell ref="O5:Y6"/>
    <mergeCell ref="B63:C63"/>
    <mergeCell ref="C8:D8"/>
    <mergeCell ref="C9:D9"/>
    <mergeCell ref="C14:D14"/>
    <mergeCell ref="F8:G8"/>
    <mergeCell ref="F9:G9"/>
    <mergeCell ref="F10:G10"/>
    <mergeCell ref="B64:C64"/>
    <mergeCell ref="E59:F59"/>
    <mergeCell ref="E60:F60"/>
    <mergeCell ref="E61:F61"/>
    <mergeCell ref="E62:F62"/>
    <mergeCell ref="E63:F63"/>
    <mergeCell ref="A2:G2"/>
    <mergeCell ref="E64:F64"/>
    <mergeCell ref="E58:G58"/>
    <mergeCell ref="H59:I59"/>
    <mergeCell ref="H60:I60"/>
    <mergeCell ref="H61:I61"/>
    <mergeCell ref="H62:I62"/>
    <mergeCell ref="H63:I63"/>
    <mergeCell ref="H64:I64"/>
    <mergeCell ref="B5:L6"/>
    <mergeCell ref="W88:X88"/>
    <mergeCell ref="P84:Q84"/>
    <mergeCell ref="W84:X84"/>
    <mergeCell ref="P87:Q87"/>
    <mergeCell ref="P88:Q88"/>
    <mergeCell ref="R84:S84"/>
    <mergeCell ref="R85:S85"/>
    <mergeCell ref="R86:S86"/>
    <mergeCell ref="R87:S87"/>
    <mergeCell ref="R88:S88"/>
    <mergeCell ref="AO260:AX261"/>
    <mergeCell ref="AB124:AC124"/>
    <mergeCell ref="AE123:AF123"/>
    <mergeCell ref="AE124:AF124"/>
    <mergeCell ref="AN260:AN261"/>
    <mergeCell ref="AA118:AA119"/>
    <mergeCell ref="AB118:AI119"/>
    <mergeCell ref="AB123:AC123"/>
    <mergeCell ref="AB260:AL261"/>
    <mergeCell ref="AO266:AP266"/>
    <mergeCell ref="AO267:AP267"/>
    <mergeCell ref="AQ264:AR264"/>
    <mergeCell ref="AQ265:AR265"/>
    <mergeCell ref="AQ266:AR266"/>
    <mergeCell ref="AQ267:AR267"/>
    <mergeCell ref="AO264:AP264"/>
    <mergeCell ref="AO265:AP265"/>
    <mergeCell ref="AT266:AU266"/>
    <mergeCell ref="AT267:AU267"/>
    <mergeCell ref="AW264:AX264"/>
    <mergeCell ref="AW265:AX265"/>
    <mergeCell ref="AW266:AX266"/>
    <mergeCell ref="AW267:AX267"/>
    <mergeCell ref="AT264:AU264"/>
    <mergeCell ref="AT265:AU265"/>
  </mergeCells>
  <pageMargins left="0.75" right="0.75" top="1" bottom="1" header="0.5" footer="0.5"/>
  <pageSetup firstPageNumber="2" orientation="portrait" useFirstPageNumber="1" r:id="rId1"/>
  <headerFooter alignWithMargins="0">
    <oddHeader>&amp;C&amp;"Arial Narrow,Bold"&amp;12Tompkins County Youth Services Department
&amp;"Arial Narrow,Bold Italic"Healthy Youth, Vital Communities&amp;"Arial Narrow,Bold"
2003 Summary of Needs Assessment Data</oddHeader>
    <oddFooter>&amp;L&amp;"Arial Narrow,Regular"&amp;9youth/ccplan/04-06/hyvc/demographics/data summary for agencies 1&amp;R&amp;"Arial Narrow,Regular"&amp;9&amp;P</oddFooter>
  </headerFooter>
  <rowBreaks count="2" manualBreakCount="2">
    <brk id="146" max="16383" man="1"/>
    <brk id="192" max="16383" man="1"/>
  </rowBreaks>
  <drawing r:id="rId2"/>
  <legacyDrawing r:id="rId3"/>
  <oleObjects>
    <mc:AlternateContent xmlns:mc="http://schemas.openxmlformats.org/markup-compatibility/2006">
      <mc:Choice Requires="x14">
        <oleObject progId="MS_ClipArt_Gallery" shapeId="1049" r:id="rId4">
          <objectPr defaultSize="0" autoPict="0" r:id="rId5">
            <anchor moveWithCells="1">
              <from>
                <xdr:col>4</xdr:col>
                <xdr:colOff>69850</xdr:colOff>
                <xdr:row>42</xdr:row>
                <xdr:rowOff>0</xdr:rowOff>
              </from>
              <to>
                <xdr:col>4</xdr:col>
                <xdr:colOff>171450</xdr:colOff>
                <xdr:row>42</xdr:row>
                <xdr:rowOff>152400</xdr:rowOff>
              </to>
            </anchor>
          </objectPr>
        </oleObject>
      </mc:Choice>
      <mc:Fallback>
        <oleObject progId="MS_ClipArt_Gallery" shapeId="1049" r:id="rId4"/>
      </mc:Fallback>
    </mc:AlternateContent>
    <mc:AlternateContent xmlns:mc="http://schemas.openxmlformats.org/markup-compatibility/2006">
      <mc:Choice Requires="x14">
        <oleObject progId="MS_ClipArt_Gallery" shapeId="1050" r:id="rId6">
          <objectPr defaultSize="0" autoPict="0" r:id="rId5">
            <anchor moveWithCells="1">
              <from>
                <xdr:col>4</xdr:col>
                <xdr:colOff>50800</xdr:colOff>
                <xdr:row>44</xdr:row>
                <xdr:rowOff>127000</xdr:rowOff>
              </from>
              <to>
                <xdr:col>4</xdr:col>
                <xdr:colOff>146050</xdr:colOff>
                <xdr:row>45</xdr:row>
                <xdr:rowOff>114300</xdr:rowOff>
              </to>
            </anchor>
          </objectPr>
        </oleObject>
      </mc:Choice>
      <mc:Fallback>
        <oleObject progId="MS_ClipArt_Gallery" shapeId="1050" r:id="rId6"/>
      </mc:Fallback>
    </mc:AlternateContent>
    <mc:AlternateContent xmlns:mc="http://schemas.openxmlformats.org/markup-compatibility/2006">
      <mc:Choice Requires="x14">
        <oleObject progId="MS_ClipArt_Gallery" shapeId="1051" r:id="rId7">
          <objectPr defaultSize="0" autoPict="0" r:id="rId5">
            <anchor moveWithCells="1">
              <from>
                <xdr:col>4</xdr:col>
                <xdr:colOff>57150</xdr:colOff>
                <xdr:row>45</xdr:row>
                <xdr:rowOff>152400</xdr:rowOff>
              </from>
              <to>
                <xdr:col>4</xdr:col>
                <xdr:colOff>158750</xdr:colOff>
                <xdr:row>46</xdr:row>
                <xdr:rowOff>146050</xdr:rowOff>
              </to>
            </anchor>
          </objectPr>
        </oleObject>
      </mc:Choice>
      <mc:Fallback>
        <oleObject progId="MS_ClipArt_Gallery" shapeId="1051" r:id="rId7"/>
      </mc:Fallback>
    </mc:AlternateContent>
    <mc:AlternateContent xmlns:mc="http://schemas.openxmlformats.org/markup-compatibility/2006">
      <mc:Choice Requires="x14">
        <oleObject progId="MS_ClipArt_Gallery" shapeId="1052" r:id="rId8">
          <objectPr defaultSize="0" autoPict="0" r:id="rId5">
            <anchor moveWithCells="1">
              <from>
                <xdr:col>4</xdr:col>
                <xdr:colOff>69850</xdr:colOff>
                <xdr:row>47</xdr:row>
                <xdr:rowOff>38100</xdr:rowOff>
              </from>
              <to>
                <xdr:col>4</xdr:col>
                <xdr:colOff>171450</xdr:colOff>
                <xdr:row>48</xdr:row>
                <xdr:rowOff>25400</xdr:rowOff>
              </to>
            </anchor>
          </objectPr>
        </oleObject>
      </mc:Choice>
      <mc:Fallback>
        <oleObject progId="MS_ClipArt_Gallery" shapeId="1052" r:id="rId8"/>
      </mc:Fallback>
    </mc:AlternateContent>
    <mc:AlternateContent xmlns:mc="http://schemas.openxmlformats.org/markup-compatibility/2006">
      <mc:Choice Requires="x14">
        <oleObject progId="MS_ClipArt_Gallery" shapeId="1053" r:id="rId9">
          <objectPr defaultSize="0" autoPict="0" r:id="rId5">
            <anchor moveWithCells="1">
              <from>
                <xdr:col>1</xdr:col>
                <xdr:colOff>215900</xdr:colOff>
                <xdr:row>48</xdr:row>
                <xdr:rowOff>19050</xdr:rowOff>
              </from>
              <to>
                <xdr:col>2</xdr:col>
                <xdr:colOff>69850</xdr:colOff>
                <xdr:row>49</xdr:row>
                <xdr:rowOff>0</xdr:rowOff>
              </to>
            </anchor>
          </objectPr>
        </oleObject>
      </mc:Choice>
      <mc:Fallback>
        <oleObject progId="MS_ClipArt_Gallery" shapeId="1053" r:id="rId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workbookViewId="0">
      <selection activeCell="B6" sqref="B6"/>
    </sheetView>
  </sheetViews>
  <sheetFormatPr defaultRowHeight="12.5" x14ac:dyDescent="0.25"/>
  <cols>
    <col min="1" max="1" width="3.54296875" customWidth="1"/>
    <col min="2" max="2" width="10.81640625" customWidth="1"/>
    <col min="3" max="3" width="6.54296875" customWidth="1"/>
    <col min="4" max="5" width="6.7265625" customWidth="1"/>
    <col min="6" max="6" width="6.54296875" customWidth="1"/>
    <col min="7" max="13" width="6.7265625" customWidth="1"/>
    <col min="14" max="14" width="2.54296875" customWidth="1"/>
  </cols>
  <sheetData>
    <row r="2" spans="1:14" ht="14" x14ac:dyDescent="0.3">
      <c r="A2" s="168" t="s">
        <v>244</v>
      </c>
      <c r="B2" s="168"/>
      <c r="C2" s="16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4" x14ac:dyDescent="0.3">
      <c r="A3" s="55"/>
      <c r="B3" s="56"/>
      <c r="C3" s="5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x14ac:dyDescent="0.25">
      <c r="A4" s="112">
        <v>1</v>
      </c>
      <c r="B4" s="114" t="s">
        <v>317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57"/>
    </row>
    <row r="5" spans="1:14" x14ac:dyDescent="0.25">
      <c r="A5" s="113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58"/>
    </row>
    <row r="6" spans="1:14" ht="13" x14ac:dyDescent="0.3">
      <c r="A6" s="10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8"/>
    </row>
    <row r="7" spans="1:14" ht="13" x14ac:dyDescent="0.3">
      <c r="A7" s="10"/>
      <c r="B7" s="59"/>
      <c r="C7" s="169" t="s">
        <v>245</v>
      </c>
      <c r="D7" s="169"/>
      <c r="E7" s="169"/>
      <c r="F7" s="169"/>
      <c r="G7" s="170"/>
      <c r="H7" s="60">
        <v>2000</v>
      </c>
      <c r="I7" s="61">
        <v>1990</v>
      </c>
      <c r="J7" s="62" t="s">
        <v>246</v>
      </c>
      <c r="K7" s="60">
        <v>2000</v>
      </c>
      <c r="L7" s="61">
        <v>1990</v>
      </c>
      <c r="M7" s="61" t="s">
        <v>246</v>
      </c>
      <c r="N7" s="58"/>
    </row>
    <row r="8" spans="1:14" ht="13" x14ac:dyDescent="0.3">
      <c r="A8" s="10"/>
      <c r="B8" s="59" t="s">
        <v>247</v>
      </c>
      <c r="C8" s="173" t="s">
        <v>248</v>
      </c>
      <c r="D8" s="173" t="s">
        <v>249</v>
      </c>
      <c r="E8" s="173" t="s">
        <v>250</v>
      </c>
      <c r="F8" s="173" t="s">
        <v>251</v>
      </c>
      <c r="G8" s="171" t="s">
        <v>252</v>
      </c>
      <c r="H8" s="34" t="s">
        <v>253</v>
      </c>
      <c r="I8" s="63" t="s">
        <v>253</v>
      </c>
      <c r="J8" s="64" t="s">
        <v>254</v>
      </c>
      <c r="K8" s="34" t="s">
        <v>255</v>
      </c>
      <c r="L8" s="63" t="s">
        <v>256</v>
      </c>
      <c r="M8" s="63" t="s">
        <v>254</v>
      </c>
      <c r="N8" s="58"/>
    </row>
    <row r="9" spans="1:14" ht="13" x14ac:dyDescent="0.3">
      <c r="A9" s="10"/>
      <c r="B9" s="59"/>
      <c r="C9" s="174"/>
      <c r="D9" s="174"/>
      <c r="E9" s="174"/>
      <c r="F9" s="174"/>
      <c r="G9" s="172"/>
      <c r="H9" s="65" t="s">
        <v>257</v>
      </c>
      <c r="I9" s="66" t="s">
        <v>257</v>
      </c>
      <c r="J9" s="67"/>
      <c r="K9" s="65" t="s">
        <v>257</v>
      </c>
      <c r="L9" s="66" t="s">
        <v>257</v>
      </c>
      <c r="M9" s="66"/>
      <c r="N9" s="58"/>
    </row>
    <row r="10" spans="1:14" ht="13" x14ac:dyDescent="0.3">
      <c r="A10" s="10"/>
      <c r="B10" s="68" t="s">
        <v>36</v>
      </c>
      <c r="C10" s="69">
        <v>169</v>
      </c>
      <c r="D10" s="69">
        <v>214</v>
      </c>
      <c r="E10" s="69">
        <v>227</v>
      </c>
      <c r="F10" s="69">
        <v>178</v>
      </c>
      <c r="G10" s="70">
        <v>96</v>
      </c>
      <c r="H10" s="71">
        <f t="shared" ref="H10:H19" si="0">SUM(C10:F10)</f>
        <v>788</v>
      </c>
      <c r="I10" s="69">
        <v>843</v>
      </c>
      <c r="J10" s="72">
        <f t="shared" ref="J10:J19" si="1">SUM((H10-I10)/I10)</f>
        <v>-6.5243179122182679E-2</v>
      </c>
      <c r="K10" s="71">
        <v>884</v>
      </c>
      <c r="L10" s="69">
        <v>945</v>
      </c>
      <c r="M10" s="73">
        <f t="shared" ref="M10:M19" si="2">SUM(K10-L10)/L10</f>
        <v>-6.4550264550264552E-2</v>
      </c>
      <c r="N10" s="58"/>
    </row>
    <row r="11" spans="1:14" ht="13" x14ac:dyDescent="0.3">
      <c r="A11" s="10"/>
      <c r="B11" s="68" t="s">
        <v>37</v>
      </c>
      <c r="C11" s="69">
        <v>140</v>
      </c>
      <c r="D11" s="69">
        <v>221</v>
      </c>
      <c r="E11" s="69">
        <v>230</v>
      </c>
      <c r="F11" s="69">
        <v>145</v>
      </c>
      <c r="G11" s="70">
        <v>81</v>
      </c>
      <c r="H11" s="71">
        <f t="shared" si="0"/>
        <v>736</v>
      </c>
      <c r="I11" s="69">
        <v>733</v>
      </c>
      <c r="J11" s="72">
        <f t="shared" si="1"/>
        <v>4.0927694406548429E-3</v>
      </c>
      <c r="K11" s="71">
        <v>817</v>
      </c>
      <c r="L11" s="69">
        <v>830</v>
      </c>
      <c r="M11" s="73">
        <f t="shared" si="2"/>
        <v>-1.566265060240964E-2</v>
      </c>
      <c r="N11" s="58"/>
    </row>
    <row r="12" spans="1:14" ht="13" x14ac:dyDescent="0.3">
      <c r="A12" s="10"/>
      <c r="B12" s="68" t="s">
        <v>38</v>
      </c>
      <c r="C12" s="69">
        <v>857</v>
      </c>
      <c r="D12" s="69">
        <v>991</v>
      </c>
      <c r="E12" s="69">
        <v>948</v>
      </c>
      <c r="F12" s="69">
        <v>653</v>
      </c>
      <c r="G12" s="70">
        <v>628</v>
      </c>
      <c r="H12" s="71">
        <f t="shared" si="0"/>
        <v>3449</v>
      </c>
      <c r="I12" s="69">
        <v>3648</v>
      </c>
      <c r="J12" s="72">
        <f t="shared" si="1"/>
        <v>-5.4550438596491231E-2</v>
      </c>
      <c r="K12" s="71">
        <v>4077</v>
      </c>
      <c r="L12" s="69">
        <v>4157</v>
      </c>
      <c r="M12" s="73">
        <f t="shared" si="2"/>
        <v>-1.9244647582391146E-2</v>
      </c>
      <c r="N12" s="58"/>
    </row>
    <row r="13" spans="1:14" ht="13" x14ac:dyDescent="0.3">
      <c r="A13" s="10"/>
      <c r="B13" s="68" t="s">
        <v>39</v>
      </c>
      <c r="C13" s="69">
        <v>224</v>
      </c>
      <c r="D13" s="69">
        <v>298</v>
      </c>
      <c r="E13" s="69">
        <v>254</v>
      </c>
      <c r="F13" s="69">
        <v>151</v>
      </c>
      <c r="G13" s="70">
        <v>98</v>
      </c>
      <c r="H13" s="71">
        <f t="shared" si="0"/>
        <v>927</v>
      </c>
      <c r="I13" s="69">
        <v>879</v>
      </c>
      <c r="J13" s="72">
        <f t="shared" si="1"/>
        <v>5.4607508532423209E-2</v>
      </c>
      <c r="K13" s="71">
        <v>1025</v>
      </c>
      <c r="L13" s="69">
        <v>987</v>
      </c>
      <c r="M13" s="73">
        <f t="shared" si="2"/>
        <v>3.8500506585612972E-2</v>
      </c>
      <c r="N13" s="58"/>
    </row>
    <row r="14" spans="1:14" ht="13" x14ac:dyDescent="0.3">
      <c r="A14" s="10"/>
      <c r="B14" s="68" t="s">
        <v>40</v>
      </c>
      <c r="C14" s="69">
        <v>317</v>
      </c>
      <c r="D14" s="69">
        <v>452</v>
      </c>
      <c r="E14" s="69">
        <v>533</v>
      </c>
      <c r="F14" s="69">
        <v>327</v>
      </c>
      <c r="G14" s="70">
        <v>188</v>
      </c>
      <c r="H14" s="71">
        <f t="shared" si="0"/>
        <v>1629</v>
      </c>
      <c r="I14" s="69">
        <v>1573</v>
      </c>
      <c r="J14" s="72">
        <f t="shared" si="1"/>
        <v>3.5600762873490149E-2</v>
      </c>
      <c r="K14" s="71">
        <v>1817</v>
      </c>
      <c r="L14" s="69">
        <v>1762</v>
      </c>
      <c r="M14" s="73">
        <f t="shared" si="2"/>
        <v>3.1214528944381384E-2</v>
      </c>
      <c r="N14" s="58"/>
    </row>
    <row r="15" spans="1:14" ht="13" x14ac:dyDescent="0.3">
      <c r="A15" s="10"/>
      <c r="B15" s="68" t="s">
        <v>258</v>
      </c>
      <c r="C15" s="69">
        <v>727</v>
      </c>
      <c r="D15" s="69">
        <v>721</v>
      </c>
      <c r="E15" s="69">
        <v>729</v>
      </c>
      <c r="F15" s="69">
        <v>528</v>
      </c>
      <c r="G15" s="70">
        <v>8489</v>
      </c>
      <c r="H15" s="71">
        <f t="shared" si="0"/>
        <v>2705</v>
      </c>
      <c r="I15" s="69">
        <v>2972</v>
      </c>
      <c r="J15" s="72">
        <f t="shared" si="1"/>
        <v>-8.9838492597577382E-2</v>
      </c>
      <c r="K15" s="71">
        <v>11194</v>
      </c>
      <c r="L15" s="69">
        <v>11044</v>
      </c>
      <c r="M15" s="73">
        <f t="shared" si="2"/>
        <v>1.3582035494386092E-2</v>
      </c>
      <c r="N15" s="58"/>
    </row>
    <row r="16" spans="1:14" ht="13" x14ac:dyDescent="0.3">
      <c r="A16" s="10"/>
      <c r="B16" s="68" t="s">
        <v>259</v>
      </c>
      <c r="C16" s="69">
        <v>703</v>
      </c>
      <c r="D16" s="69">
        <v>733</v>
      </c>
      <c r="E16" s="69">
        <v>831</v>
      </c>
      <c r="F16" s="69">
        <v>487</v>
      </c>
      <c r="G16" s="70">
        <v>3600</v>
      </c>
      <c r="H16" s="71">
        <f t="shared" si="0"/>
        <v>2754</v>
      </c>
      <c r="I16" s="69">
        <v>2742</v>
      </c>
      <c r="J16" s="72">
        <f t="shared" si="1"/>
        <v>4.3763676148796497E-3</v>
      </c>
      <c r="K16" s="71">
        <v>6354</v>
      </c>
      <c r="L16" s="69">
        <v>6758</v>
      </c>
      <c r="M16" s="73">
        <f t="shared" si="2"/>
        <v>-5.9781000295945547E-2</v>
      </c>
      <c r="N16" s="58"/>
    </row>
    <row r="17" spans="1:14" ht="13" x14ac:dyDescent="0.3">
      <c r="A17" s="10"/>
      <c r="B17" s="68" t="s">
        <v>43</v>
      </c>
      <c r="C17" s="69">
        <v>582</v>
      </c>
      <c r="D17" s="69">
        <v>685</v>
      </c>
      <c r="E17" s="69">
        <v>803</v>
      </c>
      <c r="F17" s="69">
        <v>672</v>
      </c>
      <c r="G17" s="70">
        <v>261</v>
      </c>
      <c r="H17" s="71">
        <f t="shared" si="0"/>
        <v>2742</v>
      </c>
      <c r="I17" s="69">
        <v>2257</v>
      </c>
      <c r="J17" s="72">
        <f t="shared" si="1"/>
        <v>0.21488701816570668</v>
      </c>
      <c r="K17" s="71">
        <v>3003</v>
      </c>
      <c r="L17" s="69">
        <v>2566</v>
      </c>
      <c r="M17" s="73">
        <f t="shared" si="2"/>
        <v>0.17030397505845674</v>
      </c>
      <c r="N17" s="58"/>
    </row>
    <row r="18" spans="1:14" ht="13" x14ac:dyDescent="0.3">
      <c r="A18" s="10"/>
      <c r="B18" s="68" t="s">
        <v>44</v>
      </c>
      <c r="C18" s="69">
        <v>349</v>
      </c>
      <c r="D18" s="69">
        <v>441</v>
      </c>
      <c r="E18" s="69">
        <v>386</v>
      </c>
      <c r="F18" s="69">
        <v>211</v>
      </c>
      <c r="G18" s="70">
        <v>168</v>
      </c>
      <c r="H18" s="71">
        <f t="shared" si="0"/>
        <v>1387</v>
      </c>
      <c r="I18" s="69">
        <v>1309</v>
      </c>
      <c r="J18" s="72">
        <f t="shared" si="1"/>
        <v>5.9587471352177235E-2</v>
      </c>
      <c r="K18" s="71">
        <v>1555</v>
      </c>
      <c r="L18" s="69">
        <v>1492</v>
      </c>
      <c r="M18" s="73">
        <f t="shared" si="2"/>
        <v>4.2225201072386059E-2</v>
      </c>
      <c r="N18" s="58"/>
    </row>
    <row r="19" spans="1:14" ht="13" x14ac:dyDescent="0.3">
      <c r="A19" s="10"/>
      <c r="B19" s="68" t="s">
        <v>45</v>
      </c>
      <c r="C19" s="69">
        <v>217</v>
      </c>
      <c r="D19" s="69">
        <v>320</v>
      </c>
      <c r="E19" s="69">
        <v>403</v>
      </c>
      <c r="F19" s="69">
        <v>239</v>
      </c>
      <c r="G19" s="70">
        <v>131</v>
      </c>
      <c r="H19" s="71">
        <f t="shared" si="0"/>
        <v>1179</v>
      </c>
      <c r="I19" s="69">
        <v>1280</v>
      </c>
      <c r="J19" s="72">
        <f t="shared" si="1"/>
        <v>-7.8906249999999997E-2</v>
      </c>
      <c r="K19" s="71">
        <v>1310</v>
      </c>
      <c r="L19" s="69">
        <v>1443</v>
      </c>
      <c r="M19" s="73">
        <f t="shared" si="2"/>
        <v>-9.2169092169092165E-2</v>
      </c>
      <c r="N19" s="58"/>
    </row>
    <row r="20" spans="1:14" ht="13" x14ac:dyDescent="0.3">
      <c r="A20" s="10"/>
      <c r="B20" s="74"/>
      <c r="C20" s="75"/>
      <c r="D20" s="75"/>
      <c r="E20" s="75"/>
      <c r="F20" s="75"/>
      <c r="G20" s="75"/>
      <c r="H20" s="75"/>
      <c r="I20" s="75"/>
      <c r="J20" s="42"/>
      <c r="K20" s="75"/>
      <c r="L20" s="75"/>
      <c r="M20" s="76"/>
      <c r="N20" s="58"/>
    </row>
    <row r="21" spans="1:14" s="82" customFormat="1" ht="13" x14ac:dyDescent="0.3">
      <c r="A21" s="77"/>
      <c r="B21" s="78" t="s">
        <v>48</v>
      </c>
      <c r="C21" s="79">
        <v>4285</v>
      </c>
      <c r="D21" s="79">
        <v>5076</v>
      </c>
      <c r="E21" s="79">
        <v>5344</v>
      </c>
      <c r="F21" s="79">
        <v>3591</v>
      </c>
      <c r="G21" s="79">
        <f>SUM(G10:G19)</f>
        <v>13740</v>
      </c>
      <c r="H21" s="79">
        <v>18296</v>
      </c>
      <c r="I21" s="79">
        <v>18236</v>
      </c>
      <c r="J21" s="80">
        <f>SUM((H21-I21)/I21)</f>
        <v>3.290195218249616E-3</v>
      </c>
      <c r="K21" s="79">
        <f>SUM(K10:K19)</f>
        <v>32036</v>
      </c>
      <c r="L21" s="79">
        <f>SUM(L10:L19)</f>
        <v>31984</v>
      </c>
      <c r="M21" s="80">
        <f>SUM(K21-L21)/L21</f>
        <v>1.6258129064532266E-3</v>
      </c>
      <c r="N21" s="81"/>
    </row>
    <row r="22" spans="1:14" ht="13" x14ac:dyDescent="0.3">
      <c r="A22" s="10"/>
      <c r="B22" s="4" t="s">
        <v>260</v>
      </c>
      <c r="C22" s="75"/>
      <c r="D22" s="75"/>
      <c r="E22" s="75"/>
      <c r="F22" s="75"/>
      <c r="G22" s="75"/>
      <c r="H22" s="75"/>
      <c r="I22" s="75"/>
      <c r="J22" s="42"/>
      <c r="K22" s="75"/>
      <c r="L22" s="75"/>
      <c r="M22" s="42"/>
      <c r="N22" s="58"/>
    </row>
    <row r="23" spans="1:14" ht="13" x14ac:dyDescent="0.3">
      <c r="A23" s="10"/>
      <c r="B23" s="4"/>
      <c r="C23" s="75"/>
      <c r="D23" s="75"/>
      <c r="E23" s="75"/>
      <c r="F23" s="75"/>
      <c r="G23" s="75"/>
      <c r="H23" s="75"/>
      <c r="I23" s="75"/>
      <c r="J23" s="42"/>
      <c r="K23" s="75"/>
      <c r="L23" s="75"/>
      <c r="M23" s="42"/>
      <c r="N23" s="58"/>
    </row>
    <row r="24" spans="1:14" ht="13" x14ac:dyDescent="0.3">
      <c r="A24" s="10"/>
      <c r="B24" s="83" t="s">
        <v>261</v>
      </c>
      <c r="C24" s="75"/>
      <c r="D24" s="75"/>
      <c r="E24" s="75"/>
      <c r="F24" s="75"/>
      <c r="G24" s="75"/>
      <c r="H24" s="75"/>
      <c r="I24" s="75"/>
      <c r="J24" s="4"/>
      <c r="K24" s="75"/>
      <c r="L24" s="75"/>
      <c r="M24" s="42"/>
      <c r="N24" s="58"/>
    </row>
    <row r="25" spans="1:14" ht="13" x14ac:dyDescent="0.3">
      <c r="A25" s="10"/>
      <c r="B25" s="68" t="s">
        <v>262</v>
      </c>
      <c r="C25" s="69">
        <v>86</v>
      </c>
      <c r="D25" s="69">
        <v>136</v>
      </c>
      <c r="E25" s="69">
        <v>181</v>
      </c>
      <c r="F25" s="69">
        <v>98</v>
      </c>
      <c r="G25" s="68">
        <v>208</v>
      </c>
      <c r="H25" s="69">
        <v>501</v>
      </c>
      <c r="I25" s="69">
        <v>479</v>
      </c>
      <c r="J25" s="73">
        <f t="shared" ref="J25:J30" si="3">SUM((H25-I25)/I25)</f>
        <v>4.5929018789144051E-2</v>
      </c>
      <c r="K25" s="69">
        <v>709</v>
      </c>
      <c r="L25" s="69">
        <v>1019</v>
      </c>
      <c r="M25" s="73">
        <f t="shared" ref="M25:M30" si="4">SUM(K25-L25)/L25</f>
        <v>-0.3042198233562316</v>
      </c>
      <c r="N25" s="58"/>
    </row>
    <row r="26" spans="1:14" ht="13" x14ac:dyDescent="0.3">
      <c r="A26" s="10"/>
      <c r="B26" s="68" t="s">
        <v>263</v>
      </c>
      <c r="C26" s="69">
        <v>110</v>
      </c>
      <c r="D26" s="69">
        <v>152</v>
      </c>
      <c r="E26" s="69">
        <v>147</v>
      </c>
      <c r="F26" s="69">
        <v>75</v>
      </c>
      <c r="G26" s="68">
        <v>79</v>
      </c>
      <c r="H26" s="69">
        <v>484</v>
      </c>
      <c r="I26" s="69">
        <v>529</v>
      </c>
      <c r="J26" s="73">
        <f t="shared" si="3"/>
        <v>-8.5066162570888462E-2</v>
      </c>
      <c r="K26" s="69">
        <v>563</v>
      </c>
      <c r="L26" s="69">
        <v>596</v>
      </c>
      <c r="M26" s="73">
        <f t="shared" si="4"/>
        <v>-5.5369127516778527E-2</v>
      </c>
      <c r="N26" s="58"/>
    </row>
    <row r="27" spans="1:14" ht="13" x14ac:dyDescent="0.3">
      <c r="A27" s="10"/>
      <c r="B27" s="68" t="s">
        <v>264</v>
      </c>
      <c r="C27" s="69">
        <v>27</v>
      </c>
      <c r="D27" s="69">
        <v>38</v>
      </c>
      <c r="E27" s="69">
        <v>43</v>
      </c>
      <c r="F27" s="69">
        <v>26</v>
      </c>
      <c r="G27" s="68">
        <v>20</v>
      </c>
      <c r="H27" s="69">
        <v>134</v>
      </c>
      <c r="I27" s="69">
        <v>137</v>
      </c>
      <c r="J27" s="73">
        <f t="shared" si="3"/>
        <v>-2.1897810218978103E-2</v>
      </c>
      <c r="K27" s="69">
        <v>154</v>
      </c>
      <c r="L27" s="69">
        <v>148</v>
      </c>
      <c r="M27" s="73">
        <f t="shared" si="4"/>
        <v>4.0540540540540543E-2</v>
      </c>
      <c r="N27" s="58"/>
    </row>
    <row r="28" spans="1:14" ht="13" x14ac:dyDescent="0.3">
      <c r="A28" s="10"/>
      <c r="B28" s="68" t="s">
        <v>265</v>
      </c>
      <c r="C28" s="69">
        <v>135</v>
      </c>
      <c r="D28" s="69">
        <v>199</v>
      </c>
      <c r="E28" s="69">
        <v>203</v>
      </c>
      <c r="F28" s="69">
        <v>139</v>
      </c>
      <c r="G28" s="68">
        <v>64</v>
      </c>
      <c r="H28" s="69">
        <v>676</v>
      </c>
      <c r="I28" s="69">
        <v>678</v>
      </c>
      <c r="J28" s="73">
        <f t="shared" si="3"/>
        <v>-2.9498525073746312E-3</v>
      </c>
      <c r="K28" s="69">
        <v>740</v>
      </c>
      <c r="L28" s="69">
        <v>759</v>
      </c>
      <c r="M28" s="73">
        <f t="shared" si="4"/>
        <v>-2.5032938076416336E-2</v>
      </c>
      <c r="N28" s="58"/>
    </row>
    <row r="29" spans="1:14" ht="13" x14ac:dyDescent="0.3">
      <c r="A29" s="10"/>
      <c r="B29" s="68" t="s">
        <v>266</v>
      </c>
      <c r="C29" s="69">
        <v>213</v>
      </c>
      <c r="D29" s="69">
        <v>162</v>
      </c>
      <c r="E29" s="69">
        <v>158</v>
      </c>
      <c r="F29" s="69">
        <v>112</v>
      </c>
      <c r="G29" s="68">
        <v>93</v>
      </c>
      <c r="H29" s="69">
        <v>645</v>
      </c>
      <c r="I29" s="69">
        <v>677</v>
      </c>
      <c r="J29" s="73">
        <f t="shared" si="3"/>
        <v>-4.7267355982274745E-2</v>
      </c>
      <c r="K29" s="69">
        <v>738</v>
      </c>
      <c r="L29" s="69">
        <v>783</v>
      </c>
      <c r="M29" s="73">
        <f t="shared" si="4"/>
        <v>-5.7471264367816091E-2</v>
      </c>
      <c r="N29" s="58"/>
    </row>
    <row r="30" spans="1:14" ht="13" x14ac:dyDescent="0.3">
      <c r="A30" s="10"/>
      <c r="B30" s="68" t="s">
        <v>50</v>
      </c>
      <c r="C30" s="69">
        <v>73</v>
      </c>
      <c r="D30" s="69">
        <v>100</v>
      </c>
      <c r="E30" s="69">
        <v>154</v>
      </c>
      <c r="F30" s="69">
        <v>98</v>
      </c>
      <c r="G30" s="68">
        <v>41</v>
      </c>
      <c r="H30" s="69">
        <v>425</v>
      </c>
      <c r="I30" s="69">
        <v>469</v>
      </c>
      <c r="J30" s="73">
        <f t="shared" si="3"/>
        <v>-9.3816631130063971E-2</v>
      </c>
      <c r="K30" s="69">
        <v>466</v>
      </c>
      <c r="L30" s="69">
        <v>504</v>
      </c>
      <c r="M30" s="73">
        <f t="shared" si="4"/>
        <v>-7.5396825396825393E-2</v>
      </c>
      <c r="N30" s="58"/>
    </row>
    <row r="31" spans="1:14" ht="13" x14ac:dyDescent="0.3">
      <c r="A31" s="11"/>
      <c r="B31" s="5" t="s">
        <v>28</v>
      </c>
      <c r="C31" s="84"/>
      <c r="D31" s="84"/>
      <c r="E31" s="84"/>
      <c r="F31" s="84"/>
      <c r="G31" s="12"/>
      <c r="H31" s="84"/>
      <c r="I31" s="84"/>
      <c r="J31" s="85"/>
      <c r="K31" s="84"/>
      <c r="L31" s="84"/>
      <c r="M31" s="85"/>
      <c r="N31" s="86"/>
    </row>
    <row r="33" spans="1:14" x14ac:dyDescent="0.25">
      <c r="A33" s="112">
        <v>2</v>
      </c>
      <c r="B33" s="114" t="s">
        <v>267</v>
      </c>
      <c r="C33" s="114"/>
      <c r="D33" s="114"/>
      <c r="E33" s="114"/>
      <c r="F33" s="115"/>
      <c r="G33" s="155">
        <v>3</v>
      </c>
      <c r="H33" s="107" t="s">
        <v>268</v>
      </c>
      <c r="I33" s="107"/>
      <c r="J33" s="107"/>
      <c r="K33" s="107"/>
      <c r="L33" s="107"/>
      <c r="M33" s="87"/>
      <c r="N33" s="57"/>
    </row>
    <row r="34" spans="1:14" x14ac:dyDescent="0.25">
      <c r="A34" s="113"/>
      <c r="B34" s="116"/>
      <c r="C34" s="116"/>
      <c r="D34" s="116"/>
      <c r="E34" s="116"/>
      <c r="F34" s="117"/>
      <c r="G34" s="156"/>
      <c r="H34" s="109"/>
      <c r="I34" s="109"/>
      <c r="J34" s="109"/>
      <c r="K34" s="109"/>
      <c r="L34" s="109"/>
      <c r="M34" s="88"/>
      <c r="N34" s="58"/>
    </row>
    <row r="35" spans="1:14" ht="13" x14ac:dyDescent="0.3">
      <c r="A35" s="10"/>
      <c r="B35" s="4"/>
      <c r="C35" s="4"/>
      <c r="D35" s="4"/>
      <c r="E35" s="4"/>
      <c r="F35" s="3"/>
      <c r="G35" s="4"/>
      <c r="H35" s="4"/>
      <c r="I35" s="4"/>
      <c r="J35" s="4"/>
      <c r="K35" s="4"/>
      <c r="L35" s="4"/>
      <c r="M35" s="4"/>
      <c r="N35" s="58"/>
    </row>
    <row r="36" spans="1:14" ht="13" x14ac:dyDescent="0.3">
      <c r="A36" s="10"/>
      <c r="B36" s="4"/>
      <c r="C36" s="4"/>
      <c r="D36" s="4"/>
      <c r="E36" s="4"/>
      <c r="F36" s="34" t="s">
        <v>269</v>
      </c>
      <c r="G36" s="4"/>
      <c r="H36" s="7" t="s">
        <v>270</v>
      </c>
      <c r="I36" s="88"/>
      <c r="J36" s="7" t="s">
        <v>24</v>
      </c>
      <c r="K36" s="7" t="s">
        <v>23</v>
      </c>
      <c r="L36" s="7" t="s">
        <v>271</v>
      </c>
      <c r="M36" s="4"/>
      <c r="N36" s="58"/>
    </row>
    <row r="37" spans="1:14" ht="13" x14ac:dyDescent="0.3">
      <c r="A37" s="10"/>
      <c r="B37" s="4" t="s">
        <v>272</v>
      </c>
      <c r="C37" s="75">
        <v>15453</v>
      </c>
      <c r="D37" s="22" t="s">
        <v>273</v>
      </c>
      <c r="E37" s="4" t="s">
        <v>274</v>
      </c>
      <c r="F37" s="19">
        <v>0.84499999999999997</v>
      </c>
      <c r="G37" s="4"/>
      <c r="H37" s="7" t="s">
        <v>275</v>
      </c>
      <c r="I37" s="88"/>
      <c r="J37" s="14">
        <v>4.3999999999999997E-2</v>
      </c>
      <c r="K37" s="14">
        <v>6.5000000000000002E-2</v>
      </c>
      <c r="L37" s="14">
        <v>6.8000000000000005E-2</v>
      </c>
      <c r="M37" s="4"/>
      <c r="N37" s="58"/>
    </row>
    <row r="38" spans="1:14" ht="13" x14ac:dyDescent="0.3">
      <c r="A38" s="128" t="s">
        <v>276</v>
      </c>
      <c r="B38" s="129"/>
      <c r="C38" s="75">
        <v>1003</v>
      </c>
      <c r="D38" s="22" t="s">
        <v>277</v>
      </c>
      <c r="E38" s="4" t="s">
        <v>274</v>
      </c>
      <c r="F38" s="19">
        <v>5.5E-2</v>
      </c>
      <c r="G38" s="4"/>
      <c r="H38" s="7" t="s">
        <v>278</v>
      </c>
      <c r="I38" s="88"/>
      <c r="J38" s="14">
        <v>5.2999999999999999E-2</v>
      </c>
      <c r="K38" s="14">
        <v>7.0999999999999994E-2</v>
      </c>
      <c r="L38" s="14">
        <v>7.2999999999999995E-2</v>
      </c>
      <c r="M38" s="4"/>
      <c r="N38" s="58"/>
    </row>
    <row r="39" spans="1:14" ht="13" x14ac:dyDescent="0.3">
      <c r="A39" s="128" t="s">
        <v>279</v>
      </c>
      <c r="B39" s="129"/>
      <c r="C39" s="4">
        <v>64</v>
      </c>
      <c r="D39" s="22" t="s">
        <v>280</v>
      </c>
      <c r="E39" s="4" t="s">
        <v>274</v>
      </c>
      <c r="F39" s="19">
        <v>3.0000000000000001E-3</v>
      </c>
      <c r="G39" s="4"/>
      <c r="H39" s="89" t="s">
        <v>250</v>
      </c>
      <c r="I39" s="88"/>
      <c r="J39" s="14">
        <v>5.5E-2</v>
      </c>
      <c r="K39" s="14">
        <v>7.0000000000000007E-2</v>
      </c>
      <c r="L39" s="14">
        <v>7.2999999999999995E-2</v>
      </c>
      <c r="M39" s="4"/>
      <c r="N39" s="58"/>
    </row>
    <row r="40" spans="1:14" ht="13" x14ac:dyDescent="0.3">
      <c r="A40" s="10"/>
      <c r="B40" s="4" t="s">
        <v>281</v>
      </c>
      <c r="C40" s="4">
        <v>782</v>
      </c>
      <c r="D40" s="22" t="s">
        <v>277</v>
      </c>
      <c r="E40" s="4" t="s">
        <v>274</v>
      </c>
      <c r="F40" s="19">
        <v>4.2999999999999997E-2</v>
      </c>
      <c r="G40" s="4"/>
      <c r="H40" s="7" t="s">
        <v>251</v>
      </c>
      <c r="I40" s="88"/>
      <c r="J40" s="14">
        <v>3.6999999999999998E-2</v>
      </c>
      <c r="K40" s="14">
        <v>0.04</v>
      </c>
      <c r="L40" s="14">
        <v>4.2999999999999997E-2</v>
      </c>
      <c r="M40" s="4"/>
      <c r="N40" s="58"/>
    </row>
    <row r="41" spans="1:14" ht="13" x14ac:dyDescent="0.3">
      <c r="A41" s="128" t="s">
        <v>282</v>
      </c>
      <c r="B41" s="129"/>
      <c r="C41" s="4">
        <v>249</v>
      </c>
      <c r="D41" s="22" t="s">
        <v>283</v>
      </c>
      <c r="E41" s="4" t="s">
        <v>274</v>
      </c>
      <c r="F41" s="19">
        <v>1.4E-2</v>
      </c>
      <c r="G41" s="4"/>
      <c r="H41" s="7" t="s">
        <v>284</v>
      </c>
      <c r="I41" s="88"/>
      <c r="J41" s="14">
        <v>0.26</v>
      </c>
      <c r="K41" s="14">
        <v>9.2999999999999999E-2</v>
      </c>
      <c r="L41" s="14">
        <v>9.6000000000000002E-2</v>
      </c>
      <c r="M41" s="4"/>
      <c r="N41" s="58"/>
    </row>
    <row r="42" spans="1:14" ht="13" x14ac:dyDescent="0.3">
      <c r="A42" s="10"/>
      <c r="B42" s="4" t="s">
        <v>285</v>
      </c>
      <c r="C42" s="4">
        <v>745</v>
      </c>
      <c r="D42" s="22" t="s">
        <v>286</v>
      </c>
      <c r="E42" s="4" t="s">
        <v>274</v>
      </c>
      <c r="F42" s="19">
        <v>4.1000000000000002E-2</v>
      </c>
      <c r="G42" s="4"/>
      <c r="H42" s="7" t="s">
        <v>287</v>
      </c>
      <c r="I42" s="88"/>
      <c r="J42" s="14">
        <v>0.45500000000000002</v>
      </c>
      <c r="K42" s="14">
        <v>0.53100000000000003</v>
      </c>
      <c r="L42" s="14">
        <v>0.52200000000000002</v>
      </c>
      <c r="M42" s="4"/>
      <c r="N42" s="58"/>
    </row>
    <row r="43" spans="1:14" ht="13" x14ac:dyDescent="0.3">
      <c r="A43" s="10"/>
      <c r="B43" s="4"/>
      <c r="C43" s="4"/>
      <c r="D43" s="22"/>
      <c r="E43" s="4"/>
      <c r="F43" s="19"/>
      <c r="G43" s="4"/>
      <c r="H43" s="7" t="s">
        <v>288</v>
      </c>
      <c r="I43" s="88"/>
      <c r="J43" s="14">
        <v>9.6000000000000002E-2</v>
      </c>
      <c r="K43" s="14">
        <v>0.129</v>
      </c>
      <c r="L43" s="14">
        <v>0.124</v>
      </c>
      <c r="M43" s="4"/>
      <c r="N43" s="58"/>
    </row>
    <row r="44" spans="1:14" ht="13" x14ac:dyDescent="0.3">
      <c r="A44" s="10"/>
      <c r="B44" s="4" t="s">
        <v>289</v>
      </c>
      <c r="C44" s="4"/>
      <c r="D44" s="22">
        <v>659</v>
      </c>
      <c r="E44" s="4"/>
      <c r="F44" s="19">
        <v>3.5999999999999997E-2</v>
      </c>
      <c r="G44" s="4"/>
      <c r="H44" s="4"/>
      <c r="I44" s="4"/>
      <c r="J44" s="4"/>
      <c r="K44" s="4"/>
      <c r="L44" s="4"/>
      <c r="M44" s="4"/>
      <c r="N44" s="58"/>
    </row>
    <row r="45" spans="1:14" ht="13" x14ac:dyDescent="0.3">
      <c r="A45" s="10"/>
      <c r="B45" s="88"/>
      <c r="C45" s="88"/>
      <c r="D45" s="88"/>
      <c r="E45" s="88"/>
      <c r="F45" s="58"/>
      <c r="G45" s="4"/>
      <c r="H45" s="15" t="s">
        <v>28</v>
      </c>
      <c r="I45" s="4"/>
      <c r="J45" s="4"/>
      <c r="K45" s="4"/>
      <c r="L45" s="4"/>
      <c r="M45" s="4"/>
      <c r="N45" s="58"/>
    </row>
    <row r="46" spans="1:14" ht="13" x14ac:dyDescent="0.3">
      <c r="A46" s="10"/>
      <c r="B46" s="175" t="s">
        <v>290</v>
      </c>
      <c r="C46" s="176"/>
      <c r="D46" s="176"/>
      <c r="E46" s="176"/>
      <c r="F46" s="177"/>
      <c r="G46" s="4"/>
      <c r="H46" s="4"/>
      <c r="I46" s="4"/>
      <c r="J46" s="4"/>
      <c r="K46" s="4"/>
      <c r="L46" s="4"/>
      <c r="M46" s="4"/>
      <c r="N46" s="58"/>
    </row>
    <row r="47" spans="1:14" ht="13" x14ac:dyDescent="0.3">
      <c r="A47" s="10"/>
      <c r="B47" s="176"/>
      <c r="C47" s="176"/>
      <c r="D47" s="176"/>
      <c r="E47" s="176"/>
      <c r="F47" s="177"/>
      <c r="G47" s="4"/>
      <c r="H47" s="4"/>
      <c r="I47" s="4"/>
      <c r="J47" s="4"/>
      <c r="K47" s="4"/>
      <c r="L47" s="4"/>
      <c r="M47" s="4"/>
      <c r="N47" s="58"/>
    </row>
    <row r="48" spans="1:14" ht="13" x14ac:dyDescent="0.3">
      <c r="A48" s="11"/>
      <c r="B48" s="5" t="s">
        <v>28</v>
      </c>
      <c r="C48" s="12"/>
      <c r="D48" s="12"/>
      <c r="E48" s="12"/>
      <c r="F48" s="13"/>
      <c r="G48" s="12"/>
      <c r="H48" s="12"/>
      <c r="I48" s="12"/>
      <c r="J48" s="12"/>
      <c r="K48" s="12"/>
      <c r="L48" s="12"/>
      <c r="M48" s="12"/>
      <c r="N48" s="86"/>
    </row>
    <row r="49" spans="1:13" ht="13" x14ac:dyDescent="0.3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</sheetData>
  <mergeCells count="17">
    <mergeCell ref="E8:E9"/>
    <mergeCell ref="F8:F9"/>
    <mergeCell ref="H33:L34"/>
    <mergeCell ref="B46:F47"/>
    <mergeCell ref="A41:B41"/>
    <mergeCell ref="A38:B38"/>
    <mergeCell ref="A39:B39"/>
    <mergeCell ref="A2:C2"/>
    <mergeCell ref="A4:A5"/>
    <mergeCell ref="B4:M5"/>
    <mergeCell ref="C7:G7"/>
    <mergeCell ref="G8:G9"/>
    <mergeCell ref="A33:A34"/>
    <mergeCell ref="B33:F34"/>
    <mergeCell ref="G33:G34"/>
    <mergeCell ref="C8:C9"/>
    <mergeCell ref="D8:D9"/>
  </mergeCells>
  <pageMargins left="0.75" right="0.75" top="1" bottom="1" header="0.5" footer="0.5"/>
  <pageSetup orientation="portrait" useFirstPageNumber="1" r:id="rId1"/>
  <headerFooter alignWithMargins="0">
    <oddHeader>&amp;C&amp;"Arial Narrow,Bold"&amp;12Tompkins County Youth Services Department
&amp;"Arial Narrow,Bold Italic"Healthy Youth, Vital Communities&amp;"Arial Narrow,Bold"
2003 Summary of Needs Assessment Data</oddHeader>
    <oddFooter>&amp;L&amp;"Arial Narrow,Regular"&amp;9youth/ccplan/04-06/hyvc/demographics/data summary for agencies 1&amp;R&amp;"Arial Narrow,Regular"&amp;9&amp;P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pages 2-8</vt:lpstr>
      <vt:lpstr>Page1</vt:lpstr>
      <vt:lpstr>Sheet3</vt:lpstr>
      <vt:lpstr>'pages 2-8'!Print_Area</vt:lpstr>
    </vt:vector>
  </TitlesOfParts>
  <Company>Tompkins County Youth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Bennett</dc:creator>
  <cp:lastModifiedBy>Carina Negreanu</cp:lastModifiedBy>
  <cp:lastPrinted>2003-04-15T21:09:21Z</cp:lastPrinted>
  <dcterms:created xsi:type="dcterms:W3CDTF">2003-04-11T13:38:57Z</dcterms:created>
  <dcterms:modified xsi:type="dcterms:W3CDTF">2020-01-27T11:27:47Z</dcterms:modified>
</cp:coreProperties>
</file>