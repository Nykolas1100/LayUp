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F4DB069-8762-4D6D-9818-8EC985EA821F}" xr6:coauthVersionLast="45" xr6:coauthVersionMax="45" xr10:uidLastSave="{00000000-0000-0000-0000-000000000000}"/>
  <bookViews>
    <workbookView xWindow="2660" yWindow="2660" windowWidth="28800" windowHeight="15460"/>
  </bookViews>
  <sheets>
    <sheet name="Comments" sheetId="1" r:id="rId1"/>
    <sheet name="Basic Logistic Regression" sheetId="2" r:id="rId2"/>
    <sheet name="Secant Limit" sheetId="3" r:id="rId3"/>
    <sheet name="Slope &amp; Concavity Graphs " sheetId="4" r:id="rId4"/>
    <sheet name="Sheet1" sheetId="5" r:id="rId5"/>
    <sheet name="Sheet2" sheetId="6" r:id="rId6"/>
    <sheet name="Module1" sheetId="7" state="veryHidden" r:id=""/>
  </sheets>
  <externalReferences>
    <externalReference r:id="rId7"/>
  </externalReferences>
  <definedNames>
    <definedName name="anscount" hidden="1">4</definedName>
    <definedName name="limcount" hidden="1">1</definedName>
    <definedName name="sencount" hidden="1">1</definedName>
    <definedName name="solver_adj" localSheetId="1" hidden="1">'Basic Logistic Regression'!$E$9</definedName>
    <definedName name="solver_cvg" localSheetId="1" hidden="1">0.001</definedName>
    <definedName name="solver_drv" localSheetId="1" hidden="1">1</definedName>
    <definedName name="solver_est" localSheetId="1" hidden="1">0</definedName>
    <definedName name="solver_itr" localSheetId="1" hidden="1">100</definedName>
    <definedName name="solver_lhs1" localSheetId="1" hidden="1">'Basic Logistic Regression'!$E$9</definedName>
    <definedName name="solver_lin" localSheetId="1" hidden="1">2</definedName>
    <definedName name="solver_neg" localSheetId="1" hidden="1">2</definedName>
    <definedName name="solver_num" localSheetId="1" hidden="1">1</definedName>
    <definedName name="solver_nwt" localSheetId="1" hidden="1">1</definedName>
    <definedName name="solver_opt" localSheetId="1" hidden="1">'Basic Logistic Regression'!$K$9</definedName>
    <definedName name="solver_pre" localSheetId="1" hidden="1">0.000001</definedName>
    <definedName name="solver_rel1" localSheetId="1" hidden="1">3</definedName>
    <definedName name="solver_rhs1" localSheetId="1" hidden="1">'Basic Logistic Regression'!$E$15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2</definedName>
    <definedName name="solver_val" localSheetId="1" hidden="1">0</definedName>
    <definedName name="x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9" i="2" l="1"/>
  <c r="D9" i="2"/>
  <c r="F9" i="2"/>
  <c r="G9" i="2" s="1"/>
  <c r="L9" i="2"/>
  <c r="C10" i="2"/>
  <c r="D10" i="2"/>
  <c r="F10" i="2"/>
  <c r="G10" i="2" s="1"/>
  <c r="C11" i="2"/>
  <c r="D11" i="2"/>
  <c r="F11" i="2"/>
  <c r="G11" i="2" s="1"/>
  <c r="C12" i="2"/>
  <c r="D12" i="2"/>
  <c r="F12" i="2"/>
  <c r="G12" i="2"/>
  <c r="C13" i="2"/>
  <c r="D13" i="2"/>
  <c r="F13" i="2"/>
  <c r="G13" i="2" s="1"/>
  <c r="C14" i="2"/>
  <c r="D14" i="2"/>
  <c r="F14" i="2"/>
  <c r="G14" i="2" s="1"/>
  <c r="C15" i="2"/>
  <c r="D15" i="2"/>
  <c r="F15" i="2"/>
  <c r="G15" i="2" s="1"/>
  <c r="C16" i="2"/>
  <c r="D16" i="2"/>
  <c r="F16" i="2"/>
  <c r="G16" i="2"/>
  <c r="C17" i="2"/>
  <c r="D17" i="2"/>
  <c r="F17" i="2"/>
  <c r="G17" i="2" s="1"/>
  <c r="M17" i="2"/>
  <c r="C18" i="2"/>
  <c r="D18" i="2"/>
  <c r="F18" i="2"/>
  <c r="G18" i="2"/>
  <c r="M18" i="2"/>
  <c r="C19" i="2"/>
  <c r="D19" i="2"/>
  <c r="F19" i="2"/>
  <c r="G19" i="2"/>
  <c r="H19" i="2"/>
  <c r="I19" i="2"/>
  <c r="J19" i="2"/>
  <c r="M19" i="2"/>
  <c r="C20" i="2"/>
  <c r="D20" i="2"/>
  <c r="F20" i="2"/>
  <c r="G20" i="2"/>
  <c r="H20" i="2"/>
  <c r="I20" i="2"/>
  <c r="J20" i="2"/>
  <c r="M20" i="2"/>
  <c r="C21" i="2"/>
  <c r="D21" i="2"/>
  <c r="F21" i="2"/>
  <c r="G21" i="2"/>
  <c r="H21" i="2"/>
  <c r="I21" i="2"/>
  <c r="J21" i="2"/>
  <c r="M21" i="2"/>
  <c r="C22" i="2"/>
  <c r="D22" i="2"/>
  <c r="F22" i="2"/>
  <c r="G22" i="2"/>
  <c r="H22" i="2"/>
  <c r="I22" i="2"/>
  <c r="J22" i="2"/>
  <c r="C23" i="2"/>
  <c r="D23" i="2"/>
  <c r="F23" i="2"/>
  <c r="G23" i="2"/>
  <c r="H23" i="2"/>
  <c r="I23" i="2"/>
  <c r="J23" i="2"/>
  <c r="C24" i="2"/>
  <c r="D24" i="2"/>
  <c r="F24" i="2"/>
  <c r="G24" i="2"/>
  <c r="H24" i="2"/>
  <c r="I24" i="2"/>
  <c r="J24" i="2"/>
  <c r="C25" i="2"/>
  <c r="D25" i="2"/>
  <c r="F25" i="2"/>
  <c r="G25" i="2"/>
  <c r="H25" i="2"/>
  <c r="I25" i="2"/>
  <c r="J25" i="2"/>
  <c r="C26" i="2"/>
  <c r="D26" i="2"/>
  <c r="E26" i="2"/>
  <c r="F26" i="2"/>
  <c r="G26" i="2"/>
  <c r="H26" i="2"/>
  <c r="I26" i="2"/>
  <c r="J26" i="2"/>
  <c r="K26" i="2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N26" i="2"/>
  <c r="C27" i="2"/>
  <c r="D27" i="2"/>
  <c r="F27" i="2"/>
  <c r="G27" i="2"/>
  <c r="H27" i="2"/>
  <c r="I27" i="2"/>
  <c r="J27" i="2"/>
  <c r="C28" i="2"/>
  <c r="D28" i="2"/>
  <c r="F28" i="2"/>
  <c r="G28" i="2"/>
  <c r="H28" i="2"/>
  <c r="I28" i="2"/>
  <c r="J28" i="2"/>
  <c r="C29" i="2"/>
  <c r="D29" i="2"/>
  <c r="E29" i="2"/>
  <c r="E33" i="2" s="1"/>
  <c r="F29" i="2"/>
  <c r="G29" i="2"/>
  <c r="H29" i="2"/>
  <c r="I29" i="2"/>
  <c r="J29" i="2"/>
  <c r="N29" i="2" a="1"/>
  <c r="N30" i="2" s="1"/>
  <c r="C30" i="2"/>
  <c r="D30" i="2"/>
  <c r="F30" i="2"/>
  <c r="G30" i="2"/>
  <c r="H30" i="2"/>
  <c r="I30" i="2"/>
  <c r="J30" i="2"/>
  <c r="C31" i="2"/>
  <c r="D31" i="2"/>
  <c r="F31" i="2"/>
  <c r="G31" i="2"/>
  <c r="H31" i="2"/>
  <c r="I31" i="2"/>
  <c r="J31" i="2"/>
  <c r="N31" i="2"/>
  <c r="C32" i="2"/>
  <c r="D32" i="2"/>
  <c r="F32" i="2"/>
  <c r="G32" i="2"/>
  <c r="H32" i="2"/>
  <c r="I32" i="2"/>
  <c r="J32" i="2"/>
  <c r="C33" i="2"/>
  <c r="D33" i="2"/>
  <c r="F33" i="2"/>
  <c r="G33" i="2"/>
  <c r="H33" i="2"/>
  <c r="I33" i="2"/>
  <c r="J33" i="2"/>
  <c r="C34" i="2"/>
  <c r="D34" i="2"/>
  <c r="F34" i="2"/>
  <c r="G34" i="2"/>
  <c r="H34" i="2"/>
  <c r="I34" i="2"/>
  <c r="J34" i="2"/>
  <c r="C35" i="2"/>
  <c r="D35" i="2"/>
  <c r="F35" i="2"/>
  <c r="G35" i="2"/>
  <c r="H35" i="2"/>
  <c r="I35" i="2"/>
  <c r="J35" i="2"/>
  <c r="C36" i="2"/>
  <c r="D36" i="2"/>
  <c r="F36" i="2"/>
  <c r="G36" i="2"/>
  <c r="H36" i="2"/>
  <c r="I36" i="2"/>
  <c r="J36" i="2"/>
  <c r="C37" i="2"/>
  <c r="D37" i="2"/>
  <c r="F37" i="2"/>
  <c r="G37" i="2"/>
  <c r="H37" i="2"/>
  <c r="I37" i="2"/>
  <c r="J37" i="2"/>
  <c r="C38" i="2"/>
  <c r="D38" i="2"/>
  <c r="F38" i="2"/>
  <c r="G38" i="2"/>
  <c r="H38" i="2"/>
  <c r="I38" i="2"/>
  <c r="J38" i="2"/>
  <c r="C39" i="2"/>
  <c r="D39" i="2"/>
  <c r="F39" i="2"/>
  <c r="G39" i="2"/>
  <c r="H39" i="2"/>
  <c r="I39" i="2"/>
  <c r="J39" i="2"/>
  <c r="C40" i="2"/>
  <c r="D40" i="2"/>
  <c r="F40" i="2"/>
  <c r="G40" i="2"/>
  <c r="H40" i="2"/>
  <c r="I40" i="2"/>
  <c r="J40" i="2"/>
  <c r="C41" i="2"/>
  <c r="D41" i="2"/>
  <c r="F41" i="2"/>
  <c r="G41" i="2"/>
  <c r="H41" i="2"/>
  <c r="I41" i="2"/>
  <c r="J41" i="2"/>
  <c r="B43" i="2"/>
  <c r="N47" i="2"/>
  <c r="C49" i="2"/>
  <c r="E11" i="3"/>
  <c r="H11" i="3"/>
  <c r="C12" i="3"/>
  <c r="A12" i="3" s="1"/>
  <c r="E12" i="3"/>
  <c r="H12" i="3"/>
  <c r="H13" i="3" s="1"/>
  <c r="H14" i="3" s="1"/>
  <c r="H15" i="3" s="1"/>
  <c r="H16" i="3" s="1"/>
  <c r="E13" i="3"/>
  <c r="E14" i="3"/>
  <c r="E15" i="3"/>
  <c r="E16" i="3"/>
  <c r="C17" i="3"/>
  <c r="C21" i="3" s="1"/>
  <c r="E17" i="3"/>
  <c r="E18" i="3"/>
  <c r="E19" i="3"/>
  <c r="E20" i="3"/>
  <c r="E21" i="3"/>
  <c r="E22" i="3"/>
  <c r="E23" i="3"/>
  <c r="H23" i="3"/>
  <c r="H22" i="3" s="1"/>
  <c r="H21" i="3" s="1"/>
  <c r="H20" i="3" s="1"/>
  <c r="E8" i="4"/>
  <c r="A13" i="4"/>
  <c r="B13" i="4" s="1"/>
  <c r="D67" i="4"/>
  <c r="E67" i="4"/>
  <c r="F67" i="4" s="1"/>
  <c r="D21" i="3" l="1"/>
  <c r="A21" i="3"/>
  <c r="H19" i="3"/>
  <c r="H18" i="3" s="1"/>
  <c r="C20" i="3"/>
  <c r="N51" i="2"/>
  <c r="C13" i="3"/>
  <c r="N50" i="2"/>
  <c r="C23" i="3"/>
  <c r="C18" i="3"/>
  <c r="N49" i="2"/>
  <c r="D43" i="2" a="1"/>
  <c r="N48" i="2"/>
  <c r="C15" i="3"/>
  <c r="N42" i="2"/>
  <c r="D17" i="3"/>
  <c r="D12" i="3"/>
  <c r="N46" i="2"/>
  <c r="N41" i="2"/>
  <c r="N39" i="2"/>
  <c r="N37" i="2"/>
  <c r="N35" i="2"/>
  <c r="N33" i="2"/>
  <c r="N29" i="2"/>
  <c r="A14" i="4"/>
  <c r="A17" i="3"/>
  <c r="C22" i="3"/>
  <c r="N45" i="2"/>
  <c r="A67" i="4"/>
  <c r="B67" i="4" s="1"/>
  <c r="C67" i="4" s="1"/>
  <c r="G67" i="4" s="1"/>
  <c r="D13" i="4" s="1"/>
  <c r="C13" i="4"/>
  <c r="C14" i="3"/>
  <c r="C19" i="3"/>
  <c r="N44" i="2"/>
  <c r="C16" i="3"/>
  <c r="C11" i="3"/>
  <c r="N40" i="2"/>
  <c r="N38" i="2"/>
  <c r="N36" i="2"/>
  <c r="N34" i="2"/>
  <c r="N43" i="2"/>
  <c r="N32" i="2"/>
  <c r="A14" i="3" l="1"/>
  <c r="D14" i="3"/>
  <c r="D44" i="2"/>
  <c r="C47" i="2" s="1"/>
  <c r="C48" i="2" s="1"/>
  <c r="D43" i="2"/>
  <c r="C46" i="2" s="1"/>
  <c r="N9" i="2" s="1"/>
  <c r="A13" i="3"/>
  <c r="D13" i="3"/>
  <c r="A15" i="3"/>
  <c r="D15" i="3"/>
  <c r="D22" i="3"/>
  <c r="A22" i="3"/>
  <c r="F18" i="3"/>
  <c r="G18" i="3" s="1"/>
  <c r="B18" i="3" s="1"/>
  <c r="F23" i="3"/>
  <c r="F13" i="3"/>
  <c r="G13" i="3" s="1"/>
  <c r="B13" i="3" s="1"/>
  <c r="F21" i="3"/>
  <c r="G21" i="3" s="1"/>
  <c r="B21" i="3" s="1"/>
  <c r="F11" i="3"/>
  <c r="F16" i="3"/>
  <c r="G16" i="3" s="1"/>
  <c r="B16" i="3" s="1"/>
  <c r="F14" i="3"/>
  <c r="G14" i="3" s="1"/>
  <c r="B14" i="3" s="1"/>
  <c r="F19" i="3"/>
  <c r="G19" i="3" s="1"/>
  <c r="B19" i="3" s="1"/>
  <c r="F22" i="3"/>
  <c r="G22" i="3" s="1"/>
  <c r="B22" i="3" s="1"/>
  <c r="F12" i="3"/>
  <c r="G12" i="3" s="1"/>
  <c r="B12" i="3" s="1"/>
  <c r="F17" i="3"/>
  <c r="G17" i="3" s="1"/>
  <c r="B17" i="3" s="1"/>
  <c r="F20" i="3"/>
  <c r="F15" i="3"/>
  <c r="A19" i="3"/>
  <c r="D19" i="3"/>
  <c r="A18" i="3"/>
  <c r="D18" i="3"/>
  <c r="C14" i="4"/>
  <c r="E14" i="4" s="1"/>
  <c r="B14" i="4"/>
  <c r="A68" i="4"/>
  <c r="B68" i="4" s="1"/>
  <c r="A15" i="4"/>
  <c r="D68" i="4"/>
  <c r="E68" i="4" s="1"/>
  <c r="F68" i="4" s="1"/>
  <c r="A20" i="3"/>
  <c r="D20" i="3"/>
  <c r="E12" i="2"/>
  <c r="E15" i="2" s="1"/>
  <c r="A23" i="3"/>
  <c r="D23" i="3"/>
  <c r="A11" i="3"/>
  <c r="D11" i="3"/>
  <c r="A16" i="3"/>
  <c r="D16" i="3"/>
  <c r="G11" i="3" l="1"/>
  <c r="B11" i="3" s="1"/>
  <c r="C68" i="4"/>
  <c r="G68" i="4" s="1"/>
  <c r="A16" i="4"/>
  <c r="A69" i="4"/>
  <c r="B69" i="4" s="1"/>
  <c r="D69" i="4"/>
  <c r="E69" i="4" s="1"/>
  <c r="B15" i="4"/>
  <c r="C15" i="4"/>
  <c r="E15" i="4" s="1"/>
  <c r="G15" i="3"/>
  <c r="B15" i="3" s="1"/>
  <c r="L34" i="2"/>
  <c r="L36" i="2"/>
  <c r="L38" i="2"/>
  <c r="L40" i="2"/>
  <c r="H11" i="2"/>
  <c r="I11" i="2" s="1"/>
  <c r="J11" i="2" s="1"/>
  <c r="L44" i="2"/>
  <c r="H9" i="2"/>
  <c r="I9" i="2" s="1"/>
  <c r="J9" i="2" s="1"/>
  <c r="K9" i="2" s="1"/>
  <c r="H14" i="2"/>
  <c r="I14" i="2" s="1"/>
  <c r="J14" i="2" s="1"/>
  <c r="L31" i="2"/>
  <c r="L37" i="2"/>
  <c r="H17" i="2"/>
  <c r="I17" i="2" s="1"/>
  <c r="J17" i="2" s="1"/>
  <c r="L45" i="2"/>
  <c r="L33" i="2"/>
  <c r="L46" i="2"/>
  <c r="L29" i="2"/>
  <c r="L35" i="2"/>
  <c r="M9" i="2"/>
  <c r="L27" i="2"/>
  <c r="L41" i="2"/>
  <c r="H12" i="2"/>
  <c r="I12" i="2" s="1"/>
  <c r="J12" i="2" s="1"/>
  <c r="L39" i="2"/>
  <c r="L42" i="2"/>
  <c r="H15" i="2"/>
  <c r="I15" i="2" s="1"/>
  <c r="J15" i="2" s="1"/>
  <c r="H18" i="2"/>
  <c r="I18" i="2" s="1"/>
  <c r="J18" i="2" s="1"/>
  <c r="H10" i="2"/>
  <c r="I10" i="2" s="1"/>
  <c r="J10" i="2" s="1"/>
  <c r="H13" i="2"/>
  <c r="I13" i="2" s="1"/>
  <c r="J13" i="2" s="1"/>
  <c r="L28" i="2"/>
  <c r="H16" i="2"/>
  <c r="I16" i="2" s="1"/>
  <c r="J16" i="2" s="1"/>
  <c r="L26" i="2"/>
  <c r="L30" i="2"/>
  <c r="L32" i="2"/>
  <c r="L43" i="2"/>
  <c r="G20" i="3"/>
  <c r="B20" i="3" s="1"/>
  <c r="G23" i="3"/>
  <c r="B23" i="3" s="1"/>
  <c r="C69" i="4" l="1"/>
  <c r="G69" i="4" s="1"/>
  <c r="F69" i="4"/>
  <c r="B16" i="4"/>
  <c r="C16" i="4"/>
  <c r="E16" i="4" s="1"/>
  <c r="A17" i="4"/>
  <c r="A70" i="4"/>
  <c r="B70" i="4" s="1"/>
  <c r="D70" i="4"/>
  <c r="E70" i="4" s="1"/>
  <c r="F70" i="4" s="1"/>
  <c r="I68" i="4"/>
  <c r="F14" i="4" s="1"/>
  <c r="D14" i="4"/>
  <c r="D71" i="4" l="1"/>
  <c r="E71" i="4" s="1"/>
  <c r="F71" i="4" s="1"/>
  <c r="B17" i="4"/>
  <c r="C17" i="4"/>
  <c r="E17" i="4" s="1"/>
  <c r="A18" i="4"/>
  <c r="A71" i="4"/>
  <c r="B71" i="4" s="1"/>
  <c r="C70" i="4"/>
  <c r="G70" i="4" s="1"/>
  <c r="I69" i="4"/>
  <c r="F15" i="4" s="1"/>
  <c r="D15" i="4"/>
  <c r="D16" i="4" l="1"/>
  <c r="I70" i="4"/>
  <c r="F16" i="4" s="1"/>
  <c r="A72" i="4"/>
  <c r="B72" i="4" s="1"/>
  <c r="D72" i="4"/>
  <c r="E72" i="4" s="1"/>
  <c r="B18" i="4"/>
  <c r="C72" i="4" s="1"/>
  <c r="C18" i="4"/>
  <c r="E18" i="4" s="1"/>
  <c r="A19" i="4"/>
  <c r="C71" i="4"/>
  <c r="G71" i="4" s="1"/>
  <c r="I71" i="4" l="1"/>
  <c r="F17" i="4" s="1"/>
  <c r="D17" i="4"/>
  <c r="C19" i="4"/>
  <c r="E19" i="4" s="1"/>
  <c r="A20" i="4"/>
  <c r="A73" i="4"/>
  <c r="B73" i="4" s="1"/>
  <c r="D73" i="4"/>
  <c r="E73" i="4" s="1"/>
  <c r="B19" i="4"/>
  <c r="C73" i="4" s="1"/>
  <c r="G72" i="4"/>
  <c r="F72" i="4"/>
  <c r="I72" i="4" l="1"/>
  <c r="F18" i="4" s="1"/>
  <c r="D18" i="4"/>
  <c r="F73" i="4"/>
  <c r="G73" i="4" s="1"/>
  <c r="A74" i="4"/>
  <c r="B74" i="4" s="1"/>
  <c r="D74" i="4"/>
  <c r="E74" i="4" s="1"/>
  <c r="B20" i="4"/>
  <c r="C74" i="4" s="1"/>
  <c r="C20" i="4"/>
  <c r="E20" i="4" s="1"/>
  <c r="A21" i="4"/>
  <c r="I73" i="4" l="1"/>
  <c r="F19" i="4" s="1"/>
  <c r="D19" i="4"/>
  <c r="F74" i="4"/>
  <c r="G74" i="4" s="1"/>
  <c r="A75" i="4"/>
  <c r="B75" i="4" s="1"/>
  <c r="B21" i="4"/>
  <c r="C75" i="4" s="1"/>
  <c r="C21" i="4"/>
  <c r="E21" i="4" s="1"/>
  <c r="D75" i="4"/>
  <c r="E75" i="4" s="1"/>
  <c r="F75" i="4" s="1"/>
  <c r="A22" i="4"/>
  <c r="D20" i="4" l="1"/>
  <c r="I74" i="4"/>
  <c r="F20" i="4" s="1"/>
  <c r="D76" i="4"/>
  <c r="E76" i="4" s="1"/>
  <c r="A23" i="4"/>
  <c r="B22" i="4"/>
  <c r="A76" i="4"/>
  <c r="B76" i="4" s="1"/>
  <c r="C22" i="4"/>
  <c r="E22" i="4" s="1"/>
  <c r="G75" i="4"/>
  <c r="D21" i="4" l="1"/>
  <c r="I75" i="4"/>
  <c r="F21" i="4" s="1"/>
  <c r="C76" i="4"/>
  <c r="B23" i="4"/>
  <c r="C23" i="4"/>
  <c r="E23" i="4" s="1"/>
  <c r="A77" i="4"/>
  <c r="B77" i="4" s="1"/>
  <c r="A24" i="4"/>
  <c r="D77" i="4"/>
  <c r="E77" i="4" s="1"/>
  <c r="F77" i="4" s="1"/>
  <c r="F76" i="4"/>
  <c r="B24" i="4" l="1"/>
  <c r="C78" i="4" s="1"/>
  <c r="C24" i="4"/>
  <c r="E24" i="4" s="1"/>
  <c r="A78" i="4"/>
  <c r="B78" i="4" s="1"/>
  <c r="A25" i="4"/>
  <c r="D78" i="4"/>
  <c r="E78" i="4" s="1"/>
  <c r="C77" i="4"/>
  <c r="G77" i="4" s="1"/>
  <c r="G76" i="4"/>
  <c r="D23" i="4" l="1"/>
  <c r="I77" i="4"/>
  <c r="F23" i="4" s="1"/>
  <c r="F78" i="4"/>
  <c r="A26" i="4"/>
  <c r="A79" i="4"/>
  <c r="B79" i="4" s="1"/>
  <c r="D79" i="4"/>
  <c r="E79" i="4" s="1"/>
  <c r="F79" i="4" s="1"/>
  <c r="B25" i="4"/>
  <c r="C25" i="4"/>
  <c r="E25" i="4" s="1"/>
  <c r="I76" i="4"/>
  <c r="F22" i="4" s="1"/>
  <c r="D22" i="4"/>
  <c r="G78" i="4"/>
  <c r="I78" i="4" l="1"/>
  <c r="F24" i="4" s="1"/>
  <c r="D24" i="4"/>
  <c r="C79" i="4"/>
  <c r="G79" i="4" s="1"/>
  <c r="B26" i="4"/>
  <c r="C26" i="4"/>
  <c r="E26" i="4" s="1"/>
  <c r="A80" i="4"/>
  <c r="B80" i="4" s="1"/>
  <c r="A27" i="4"/>
  <c r="D80" i="4"/>
  <c r="E80" i="4" s="1"/>
  <c r="F80" i="4" s="1"/>
  <c r="D81" i="4" l="1"/>
  <c r="E81" i="4" s="1"/>
  <c r="B27" i="4"/>
  <c r="C27" i="4"/>
  <c r="E27" i="4" s="1"/>
  <c r="A28" i="4"/>
  <c r="A81" i="4"/>
  <c r="B81" i="4" s="1"/>
  <c r="C80" i="4"/>
  <c r="G80" i="4" s="1"/>
  <c r="I79" i="4"/>
  <c r="F25" i="4" s="1"/>
  <c r="D25" i="4"/>
  <c r="C81" i="4" l="1"/>
  <c r="D26" i="4"/>
  <c r="I80" i="4"/>
  <c r="F26" i="4" s="1"/>
  <c r="A82" i="4"/>
  <c r="B82" i="4" s="1"/>
  <c r="D82" i="4"/>
  <c r="E82" i="4" s="1"/>
  <c r="B28" i="4"/>
  <c r="C82" i="4" s="1"/>
  <c r="C28" i="4"/>
  <c r="E28" i="4" s="1"/>
  <c r="A29" i="4"/>
  <c r="F81" i="4"/>
  <c r="C29" i="4" l="1"/>
  <c r="E29" i="4" s="1"/>
  <c r="A30" i="4"/>
  <c r="A83" i="4"/>
  <c r="B83" i="4" s="1"/>
  <c r="D83" i="4"/>
  <c r="E83" i="4" s="1"/>
  <c r="F83" i="4" s="1"/>
  <c r="B29" i="4"/>
  <c r="C83" i="4" s="1"/>
  <c r="F82" i="4"/>
  <c r="G82" i="4" s="1"/>
  <c r="G81" i="4"/>
  <c r="I82" i="4" l="1"/>
  <c r="F28" i="4" s="1"/>
  <c r="D28" i="4"/>
  <c r="G83" i="4"/>
  <c r="D84" i="4"/>
  <c r="E84" i="4" s="1"/>
  <c r="B30" i="4"/>
  <c r="C30" i="4"/>
  <c r="E30" i="4" s="1"/>
  <c r="A31" i="4"/>
  <c r="A84" i="4"/>
  <c r="B84" i="4" s="1"/>
  <c r="I81" i="4"/>
  <c r="F27" i="4" s="1"/>
  <c r="D27" i="4"/>
  <c r="A85" i="4" l="1"/>
  <c r="B85" i="4" s="1"/>
  <c r="B31" i="4"/>
  <c r="C85" i="4" s="1"/>
  <c r="C31" i="4"/>
  <c r="E31" i="4" s="1"/>
  <c r="D85" i="4"/>
  <c r="E85" i="4" s="1"/>
  <c r="F85" i="4" s="1"/>
  <c r="A32" i="4"/>
  <c r="C84" i="4"/>
  <c r="F84" i="4"/>
  <c r="I83" i="4"/>
  <c r="F29" i="4" s="1"/>
  <c r="D29" i="4"/>
  <c r="G84" i="4" l="1"/>
  <c r="D86" i="4"/>
  <c r="E86" i="4" s="1"/>
  <c r="F86" i="4" s="1"/>
  <c r="A33" i="4"/>
  <c r="B32" i="4"/>
  <c r="A86" i="4"/>
  <c r="B86" i="4" s="1"/>
  <c r="C32" i="4"/>
  <c r="E32" i="4" s="1"/>
  <c r="G85" i="4"/>
  <c r="D31" i="4" l="1"/>
  <c r="I85" i="4"/>
  <c r="F31" i="4" s="1"/>
  <c r="C86" i="4"/>
  <c r="G86" i="4" s="1"/>
  <c r="B33" i="4"/>
  <c r="C33" i="4"/>
  <c r="E33" i="4" s="1"/>
  <c r="A87" i="4"/>
  <c r="B87" i="4" s="1"/>
  <c r="A34" i="4"/>
  <c r="D87" i="4"/>
  <c r="E87" i="4" s="1"/>
  <c r="F87" i="4" s="1"/>
  <c r="D30" i="4"/>
  <c r="I84" i="4"/>
  <c r="F30" i="4" s="1"/>
  <c r="B34" i="4" l="1"/>
  <c r="C34" i="4"/>
  <c r="E34" i="4" s="1"/>
  <c r="A35" i="4"/>
  <c r="D88" i="4"/>
  <c r="E88" i="4" s="1"/>
  <c r="F88" i="4" s="1"/>
  <c r="A88" i="4"/>
  <c r="B88" i="4" s="1"/>
  <c r="C87" i="4"/>
  <c r="G87" i="4" s="1"/>
  <c r="I86" i="4"/>
  <c r="F32" i="4" s="1"/>
  <c r="D32" i="4"/>
  <c r="D33" i="4" l="1"/>
  <c r="I87" i="4"/>
  <c r="F33" i="4" s="1"/>
  <c r="A36" i="4"/>
  <c r="A89" i="4"/>
  <c r="B89" i="4" s="1"/>
  <c r="D89" i="4"/>
  <c r="E89" i="4" s="1"/>
  <c r="B35" i="4"/>
  <c r="C89" i="4" s="1"/>
  <c r="C35" i="4"/>
  <c r="E35" i="4" s="1"/>
  <c r="C88" i="4"/>
  <c r="G88" i="4" s="1"/>
  <c r="I88" i="4" l="1"/>
  <c r="F34" i="4" s="1"/>
  <c r="D34" i="4"/>
  <c r="F89" i="4"/>
  <c r="G89" i="4"/>
  <c r="B36" i="4"/>
  <c r="C36" i="4"/>
  <c r="E36" i="4" s="1"/>
  <c r="A37" i="4"/>
  <c r="A90" i="4"/>
  <c r="B90" i="4" s="1"/>
  <c r="D90" i="4"/>
  <c r="E90" i="4" s="1"/>
  <c r="F90" i="4" s="1"/>
  <c r="C90" i="4" l="1"/>
  <c r="G90" i="4" s="1"/>
  <c r="D91" i="4"/>
  <c r="E91" i="4" s="1"/>
  <c r="B37" i="4"/>
  <c r="C37" i="4"/>
  <c r="E37" i="4" s="1"/>
  <c r="A38" i="4"/>
  <c r="A91" i="4"/>
  <c r="B91" i="4" s="1"/>
  <c r="I89" i="4"/>
  <c r="F35" i="4" s="1"/>
  <c r="D35" i="4"/>
  <c r="C91" i="4" l="1"/>
  <c r="F91" i="4"/>
  <c r="A92" i="4"/>
  <c r="B92" i="4" s="1"/>
  <c r="D92" i="4"/>
  <c r="E92" i="4" s="1"/>
  <c r="B38" i="4"/>
  <c r="C92" i="4" s="1"/>
  <c r="C38" i="4"/>
  <c r="E38" i="4" s="1"/>
  <c r="A39" i="4"/>
  <c r="D36" i="4"/>
  <c r="I90" i="4"/>
  <c r="F36" i="4" s="1"/>
  <c r="F92" i="4" l="1"/>
  <c r="G92" i="4" s="1"/>
  <c r="C39" i="4"/>
  <c r="E39" i="4" s="1"/>
  <c r="A40" i="4"/>
  <c r="D93" i="4"/>
  <c r="E93" i="4" s="1"/>
  <c r="B39" i="4"/>
  <c r="C93" i="4" s="1"/>
  <c r="A93" i="4"/>
  <c r="B93" i="4" s="1"/>
  <c r="G91" i="4"/>
  <c r="I92" i="4" l="1"/>
  <c r="F38" i="4" s="1"/>
  <c r="D38" i="4"/>
  <c r="I91" i="4"/>
  <c r="F37" i="4" s="1"/>
  <c r="D37" i="4"/>
  <c r="F93" i="4"/>
  <c r="D94" i="4"/>
  <c r="E94" i="4" s="1"/>
  <c r="F94" i="4" s="1"/>
  <c r="B40" i="4"/>
  <c r="C40" i="4"/>
  <c r="E40" i="4" s="1"/>
  <c r="A41" i="4"/>
  <c r="A94" i="4"/>
  <c r="B94" i="4" s="1"/>
  <c r="G93" i="4"/>
  <c r="I93" i="4" l="1"/>
  <c r="F39" i="4" s="1"/>
  <c r="D39" i="4"/>
  <c r="A95" i="4"/>
  <c r="B95" i="4" s="1"/>
  <c r="B41" i="4"/>
  <c r="C95" i="4" s="1"/>
  <c r="C41" i="4"/>
  <c r="E41" i="4" s="1"/>
  <c r="D95" i="4"/>
  <c r="E95" i="4" s="1"/>
  <c r="A42" i="4"/>
  <c r="C94" i="4"/>
  <c r="G94" i="4" s="1"/>
  <c r="D40" i="4" l="1"/>
  <c r="I94" i="4"/>
  <c r="F40" i="4" s="1"/>
  <c r="D96" i="4"/>
  <c r="E96" i="4" s="1"/>
  <c r="A43" i="4"/>
  <c r="C42" i="4"/>
  <c r="E42" i="4" s="1"/>
  <c r="B42" i="4"/>
  <c r="C96" i="4" s="1"/>
  <c r="A96" i="4"/>
  <c r="B96" i="4" s="1"/>
  <c r="F95" i="4"/>
  <c r="G95" i="4"/>
  <c r="D41" i="4" l="1"/>
  <c r="I95" i="4"/>
  <c r="F41" i="4" s="1"/>
  <c r="F96" i="4"/>
  <c r="G96" i="4"/>
  <c r="B43" i="4"/>
  <c r="C43" i="4"/>
  <c r="E43" i="4" s="1"/>
  <c r="A97" i="4"/>
  <c r="B97" i="4" s="1"/>
  <c r="A44" i="4"/>
  <c r="D97" i="4"/>
  <c r="E97" i="4" s="1"/>
  <c r="F97" i="4" s="1"/>
  <c r="C44" i="4" l="1"/>
  <c r="E44" i="4" s="1"/>
  <c r="B44" i="4"/>
  <c r="A45" i="4"/>
  <c r="D98" i="4"/>
  <c r="E98" i="4" s="1"/>
  <c r="F98" i="4" s="1"/>
  <c r="A98" i="4"/>
  <c r="B98" i="4" s="1"/>
  <c r="C97" i="4"/>
  <c r="G97" i="4" s="1"/>
  <c r="I96" i="4"/>
  <c r="F42" i="4" s="1"/>
  <c r="D42" i="4"/>
  <c r="D43" i="4" l="1"/>
  <c r="I97" i="4"/>
  <c r="F43" i="4" s="1"/>
  <c r="A46" i="4"/>
  <c r="D99" i="4"/>
  <c r="E99" i="4" s="1"/>
  <c r="F99" i="4" s="1"/>
  <c r="B45" i="4"/>
  <c r="C45" i="4"/>
  <c r="E45" i="4" s="1"/>
  <c r="A99" i="4"/>
  <c r="B99" i="4" s="1"/>
  <c r="C98" i="4"/>
  <c r="G98" i="4" s="1"/>
  <c r="I98" i="4" l="1"/>
  <c r="F44" i="4" s="1"/>
  <c r="D44" i="4"/>
  <c r="C99" i="4"/>
  <c r="G99" i="4" s="1"/>
  <c r="B46" i="4"/>
  <c r="C46" i="4"/>
  <c r="E46" i="4" s="1"/>
  <c r="A47" i="4"/>
  <c r="A100" i="4"/>
  <c r="B100" i="4" s="1"/>
  <c r="D100" i="4"/>
  <c r="E100" i="4" s="1"/>
  <c r="F100" i="4" s="1"/>
  <c r="C100" i="4" l="1"/>
  <c r="G100" i="4" s="1"/>
  <c r="I99" i="4"/>
  <c r="F45" i="4" s="1"/>
  <c r="D45" i="4"/>
  <c r="D101" i="4"/>
  <c r="E101" i="4" s="1"/>
  <c r="B47" i="4"/>
  <c r="C47" i="4"/>
  <c r="E47" i="4" s="1"/>
  <c r="A48" i="4"/>
  <c r="A101" i="4"/>
  <c r="B101" i="4" s="1"/>
  <c r="C101" i="4" l="1"/>
  <c r="G101" i="4" s="1"/>
  <c r="A102" i="4"/>
  <c r="B102" i="4" s="1"/>
  <c r="D102" i="4"/>
  <c r="E102" i="4" s="1"/>
  <c r="B48" i="4"/>
  <c r="C48" i="4"/>
  <c r="E48" i="4" s="1"/>
  <c r="A49" i="4"/>
  <c r="F101" i="4"/>
  <c r="D46" i="4"/>
  <c r="I100" i="4"/>
  <c r="F46" i="4" s="1"/>
  <c r="C49" i="4" l="1"/>
  <c r="E49" i="4" s="1"/>
  <c r="A50" i="4"/>
  <c r="D103" i="4"/>
  <c r="E103" i="4" s="1"/>
  <c r="B49" i="4"/>
  <c r="C103" i="4" s="1"/>
  <c r="A103" i="4"/>
  <c r="B103" i="4" s="1"/>
  <c r="C102" i="4"/>
  <c r="F102" i="4"/>
  <c r="I101" i="4"/>
  <c r="F47" i="4" s="1"/>
  <c r="D47" i="4"/>
  <c r="G102" i="4" l="1"/>
  <c r="F103" i="4"/>
  <c r="G103" i="4" s="1"/>
  <c r="A104" i="4"/>
  <c r="B104" i="4" s="1"/>
  <c r="D104" i="4"/>
  <c r="E104" i="4" s="1"/>
  <c r="F104" i="4" s="1"/>
  <c r="B50" i="4"/>
  <c r="C104" i="4" s="1"/>
  <c r="C50" i="4"/>
  <c r="E50" i="4" s="1"/>
  <c r="A51" i="4"/>
  <c r="I103" i="4" l="1"/>
  <c r="F49" i="4" s="1"/>
  <c r="D49" i="4"/>
  <c r="A105" i="4"/>
  <c r="B105" i="4" s="1"/>
  <c r="B51" i="4"/>
  <c r="C105" i="4" s="1"/>
  <c r="C51" i="4"/>
  <c r="E51" i="4" s="1"/>
  <c r="D105" i="4"/>
  <c r="E105" i="4" s="1"/>
  <c r="A52" i="4"/>
  <c r="G104" i="4"/>
  <c r="I102" i="4"/>
  <c r="F48" i="4" s="1"/>
  <c r="D48" i="4"/>
  <c r="D106" i="4" l="1"/>
  <c r="E106" i="4" s="1"/>
  <c r="F106" i="4" s="1"/>
  <c r="A53" i="4"/>
  <c r="B52" i="4"/>
  <c r="A106" i="4"/>
  <c r="B106" i="4" s="1"/>
  <c r="C52" i="4"/>
  <c r="E52" i="4" s="1"/>
  <c r="D50" i="4"/>
  <c r="I104" i="4"/>
  <c r="F50" i="4" s="1"/>
  <c r="F105" i="4"/>
  <c r="G105" i="4"/>
  <c r="D51" i="4" l="1"/>
  <c r="I105" i="4"/>
  <c r="F51" i="4" s="1"/>
  <c r="C106" i="4"/>
  <c r="G106" i="4" s="1"/>
  <c r="B53" i="4"/>
  <c r="C107" i="4" s="1"/>
  <c r="C53" i="4"/>
  <c r="E53" i="4" s="1"/>
  <c r="A107" i="4"/>
  <c r="B107" i="4" s="1"/>
  <c r="A54" i="4"/>
  <c r="D107" i="4"/>
  <c r="E107" i="4" s="1"/>
  <c r="F107" i="4" s="1"/>
  <c r="C54" i="4" l="1"/>
  <c r="E54" i="4" s="1"/>
  <c r="B54" i="4"/>
  <c r="A55" i="4"/>
  <c r="D108" i="4"/>
  <c r="E108" i="4" s="1"/>
  <c r="F108" i="4" s="1"/>
  <c r="A108" i="4"/>
  <c r="B108" i="4" s="1"/>
  <c r="G107" i="4"/>
  <c r="I106" i="4"/>
  <c r="F52" i="4" s="1"/>
  <c r="D52" i="4"/>
  <c r="D53" i="4" l="1"/>
  <c r="I107" i="4"/>
  <c r="F53" i="4" s="1"/>
  <c r="A56" i="4"/>
  <c r="D109" i="4"/>
  <c r="E109" i="4" s="1"/>
  <c r="B55" i="4"/>
  <c r="C55" i="4"/>
  <c r="E55" i="4" s="1"/>
  <c r="A109" i="4"/>
  <c r="B109" i="4" s="1"/>
  <c r="C108" i="4"/>
  <c r="G108" i="4" s="1"/>
  <c r="I108" i="4" l="1"/>
  <c r="F54" i="4" s="1"/>
  <c r="D54" i="4"/>
  <c r="F109" i="4"/>
  <c r="C109" i="4"/>
  <c r="G109" i="4" s="1"/>
  <c r="C56" i="4"/>
  <c r="E56" i="4" s="1"/>
  <c r="A57" i="4"/>
  <c r="A110" i="4"/>
  <c r="B110" i="4" s="1"/>
  <c r="D110" i="4"/>
  <c r="E110" i="4" s="1"/>
  <c r="F110" i="4" s="1"/>
  <c r="B56" i="4"/>
  <c r="C110" i="4" s="1"/>
  <c r="G110" i="4" l="1"/>
  <c r="D111" i="4"/>
  <c r="E111" i="4" s="1"/>
  <c r="F111" i="4" s="1"/>
  <c r="B57" i="4"/>
  <c r="C57" i="4"/>
  <c r="E57" i="4" s="1"/>
  <c r="A58" i="4"/>
  <c r="A111" i="4"/>
  <c r="B111" i="4" s="1"/>
  <c r="I109" i="4"/>
  <c r="F55" i="4" s="1"/>
  <c r="D55" i="4"/>
  <c r="A112" i="4" l="1"/>
  <c r="B112" i="4" s="1"/>
  <c r="D112" i="4"/>
  <c r="E112" i="4" s="1"/>
  <c r="F112" i="4" s="1"/>
  <c r="B58" i="4"/>
  <c r="C58" i="4"/>
  <c r="E58" i="4" s="1"/>
  <c r="A59" i="4"/>
  <c r="C111" i="4"/>
  <c r="G111" i="4" s="1"/>
  <c r="D56" i="4"/>
  <c r="I110" i="4"/>
  <c r="F56" i="4" s="1"/>
  <c r="I111" i="4" l="1"/>
  <c r="F57" i="4" s="1"/>
  <c r="D57" i="4"/>
  <c r="C59" i="4"/>
  <c r="E59" i="4" s="1"/>
  <c r="A60" i="4"/>
  <c r="D113" i="4"/>
  <c r="E113" i="4" s="1"/>
  <c r="B59" i="4"/>
  <c r="A113" i="4"/>
  <c r="B113" i="4" s="1"/>
  <c r="C112" i="4"/>
  <c r="G112" i="4" s="1"/>
  <c r="I112" i="4" l="1"/>
  <c r="F58" i="4" s="1"/>
  <c r="D58" i="4"/>
  <c r="C113" i="4"/>
  <c r="F113" i="4"/>
  <c r="D114" i="4"/>
  <c r="E114" i="4" s="1"/>
  <c r="B60" i="4"/>
  <c r="C60" i="4"/>
  <c r="E60" i="4" s="1"/>
  <c r="A61" i="4"/>
  <c r="A114" i="4"/>
  <c r="B114" i="4" s="1"/>
  <c r="A115" i="4" l="1"/>
  <c r="B115" i="4" s="1"/>
  <c r="B61" i="4"/>
  <c r="C61" i="4"/>
  <c r="E61" i="4" s="1"/>
  <c r="D115" i="4"/>
  <c r="E115" i="4" s="1"/>
  <c r="F115" i="4" s="1"/>
  <c r="A62" i="4"/>
  <c r="C114" i="4"/>
  <c r="G114" i="4" s="1"/>
  <c r="F114" i="4"/>
  <c r="G113" i="4"/>
  <c r="D60" i="4" l="1"/>
  <c r="I114" i="4"/>
  <c r="F60" i="4" s="1"/>
  <c r="I113" i="4"/>
  <c r="F59" i="4" s="1"/>
  <c r="D59" i="4"/>
  <c r="D116" i="4"/>
  <c r="E116" i="4" s="1"/>
  <c r="A63" i="4"/>
  <c r="B62" i="4"/>
  <c r="A116" i="4"/>
  <c r="B116" i="4" s="1"/>
  <c r="C62" i="4"/>
  <c r="E62" i="4" s="1"/>
  <c r="C115" i="4"/>
  <c r="G115" i="4" s="1"/>
  <c r="B63" i="4" l="1"/>
  <c r="C63" i="4"/>
  <c r="A117" i="4"/>
  <c r="B117" i="4" s="1"/>
  <c r="D117" i="4"/>
  <c r="E117" i="4" s="1"/>
  <c r="F117" i="4" s="1"/>
  <c r="D61" i="4"/>
  <c r="I115" i="4"/>
  <c r="F61" i="4" s="1"/>
  <c r="C116" i="4"/>
  <c r="F116" i="4"/>
  <c r="G116" i="4" l="1"/>
  <c r="C117" i="4"/>
  <c r="G117" i="4" s="1"/>
  <c r="D63" i="4" l="1"/>
  <c r="L117" i="4"/>
  <c r="I116" i="4"/>
  <c r="F62" i="4" s="1"/>
  <c r="D62" i="4"/>
</calcChain>
</file>

<file path=xl/sharedStrings.xml><?xml version="1.0" encoding="utf-8"?>
<sst xmlns="http://schemas.openxmlformats.org/spreadsheetml/2006/main" count="184" uniqueCount="176">
  <si>
    <r>
      <t xml:space="preserve">Comments on </t>
    </r>
    <r>
      <rPr>
        <b/>
        <i/>
        <u/>
        <sz val="10"/>
        <rFont val="Arial"/>
        <family val="2"/>
      </rPr>
      <t>Math Connections</t>
    </r>
    <r>
      <rPr>
        <b/>
        <u/>
        <sz val="10"/>
        <rFont val="Arial"/>
        <family val="2"/>
      </rPr>
      <t xml:space="preserve"> Excel Workbook of Volume 1 Templates</t>
    </r>
  </si>
  <si>
    <t>(copyright 2003, Bruce Pollack-Johnson and Audrey Borchardt; please acknowledge)</t>
  </si>
  <si>
    <r>
      <t>This file is referred to in our Technology Supplement as "</t>
    </r>
    <r>
      <rPr>
        <b/>
        <sz val="10"/>
        <rFont val="Arial"/>
        <family val="2"/>
      </rPr>
      <t>V1Tmp</t>
    </r>
    <r>
      <rPr>
        <sz val="10"/>
        <rFont val="Arial"/>
      </rPr>
      <t>".  If you downloaded it off of the Web site given below, and it had a</t>
    </r>
  </si>
  <si>
    <r>
      <t>Before</t>
    </r>
    <r>
      <rPr>
        <b/>
        <sz val="10"/>
        <rFont val="Arial"/>
      </rPr>
      <t xml:space="preserve"> using</t>
    </r>
    <r>
      <rPr>
        <sz val="10"/>
        <rFont val="Arial"/>
      </rPr>
      <t xml:space="preserve"> any of the worksheets</t>
    </r>
    <r>
      <rPr>
        <b/>
        <sz val="10"/>
        <rFont val="Arial"/>
      </rPr>
      <t>,</t>
    </r>
    <r>
      <rPr>
        <sz val="10"/>
        <rFont val="Arial"/>
      </rPr>
      <t xml:space="preserve"> </t>
    </r>
    <r>
      <rPr>
        <b/>
        <i/>
        <sz val="10"/>
        <rFont val="Arial"/>
      </rPr>
      <t>make a copy</t>
    </r>
    <r>
      <rPr>
        <sz val="10"/>
        <rFont val="Arial"/>
      </rPr>
      <t xml:space="preserve"> </t>
    </r>
    <r>
      <rPr>
        <b/>
        <sz val="10"/>
        <rFont val="Arial"/>
      </rPr>
      <t>of the</t>
    </r>
    <r>
      <rPr>
        <sz val="10"/>
        <rFont val="Arial"/>
      </rPr>
      <t xml:space="preserve"> full workbook (this Excel </t>
    </r>
    <r>
      <rPr>
        <b/>
        <sz val="10"/>
        <rFont val="Arial"/>
      </rPr>
      <t>file</t>
    </r>
    <r>
      <rPr>
        <sz val="10"/>
        <rFont val="Arial"/>
      </rPr>
      <t xml:space="preserve">) </t>
    </r>
    <r>
      <rPr>
        <b/>
        <sz val="10"/>
        <rFont val="Arial"/>
      </rPr>
      <t>and rename it</t>
    </r>
    <r>
      <rPr>
        <sz val="10"/>
        <rFont val="Arial"/>
      </rPr>
      <t xml:space="preserve"> (use File, Save As…).</t>
    </r>
  </si>
  <si>
    <t>For example, you could name it "V1TmpS15HW" for "Section 1.5 Homework".</t>
  </si>
  <si>
    <r>
      <t xml:space="preserve">If you want </t>
    </r>
    <r>
      <rPr>
        <b/>
        <sz val="10"/>
        <rFont val="Arial"/>
      </rPr>
      <t xml:space="preserve">to </t>
    </r>
    <r>
      <rPr>
        <b/>
        <i/>
        <sz val="10"/>
        <rFont val="Arial"/>
      </rPr>
      <t>work on</t>
    </r>
    <r>
      <rPr>
        <b/>
        <sz val="10"/>
        <rFont val="Arial"/>
      </rPr>
      <t xml:space="preserve"> </t>
    </r>
    <r>
      <rPr>
        <b/>
        <i/>
        <sz val="10"/>
        <rFont val="Arial"/>
      </rPr>
      <t>different examples</t>
    </r>
    <r>
      <rPr>
        <b/>
        <sz val="10"/>
        <rFont val="Arial"/>
      </rPr>
      <t>,</t>
    </r>
    <r>
      <rPr>
        <sz val="10"/>
        <rFont val="Arial"/>
      </rPr>
      <t xml:space="preserve"> </t>
    </r>
    <r>
      <rPr>
        <b/>
        <sz val="10"/>
        <rFont val="Arial"/>
        <family val="2"/>
      </rPr>
      <t>make a copy</t>
    </r>
    <r>
      <rPr>
        <sz val="10"/>
        <rFont val="Arial"/>
        <family val="2"/>
      </rPr>
      <t xml:space="preserve"> </t>
    </r>
    <r>
      <rPr>
        <b/>
        <sz val="10"/>
        <rFont val="Arial"/>
        <family val="2"/>
      </rPr>
      <t xml:space="preserve">and rename </t>
    </r>
    <r>
      <rPr>
        <b/>
        <sz val="10"/>
        <rFont val="Arial"/>
      </rPr>
      <t xml:space="preserve">a </t>
    </r>
    <r>
      <rPr>
        <b/>
        <sz val="10"/>
        <rFont val="Arial"/>
        <family val="2"/>
      </rPr>
      <t xml:space="preserve">new </t>
    </r>
    <r>
      <rPr>
        <b/>
        <i/>
        <sz val="10"/>
        <rFont val="Arial"/>
        <family val="2"/>
      </rPr>
      <t>worksheet</t>
    </r>
    <r>
      <rPr>
        <sz val="10"/>
        <rFont val="Arial"/>
        <family val="2"/>
      </rPr>
      <t xml:space="preserve"> </t>
    </r>
    <r>
      <rPr>
        <sz val="10"/>
        <rFont val="Arial"/>
      </rPr>
      <t xml:space="preserve">(use Edit, Move or  </t>
    </r>
  </si>
  <si>
    <r>
      <t>Copy Sheet…) for each example,</t>
    </r>
    <r>
      <rPr>
        <i/>
        <sz val="10"/>
        <rFont val="Arial"/>
      </rPr>
      <t xml:space="preserve"> </t>
    </r>
    <r>
      <rPr>
        <b/>
        <i/>
        <sz val="10"/>
        <rFont val="Arial"/>
      </rPr>
      <t>before</t>
    </r>
    <r>
      <rPr>
        <sz val="10"/>
        <rFont val="Arial"/>
        <family val="2"/>
      </rPr>
      <t xml:space="preserve"> </t>
    </r>
    <r>
      <rPr>
        <b/>
        <sz val="10"/>
        <rFont val="Arial"/>
      </rPr>
      <t>you start</t>
    </r>
    <r>
      <rPr>
        <sz val="10"/>
        <rFont val="Arial"/>
        <family val="2"/>
      </rPr>
      <t xml:space="preserve"> on each example. </t>
    </r>
    <r>
      <rPr>
        <sz val="10"/>
        <rFont val="Arial"/>
      </rPr>
      <t xml:space="preserve"> (Remember to </t>
    </r>
    <r>
      <rPr>
        <i/>
        <sz val="10"/>
        <rFont val="Arial"/>
      </rPr>
      <t>click on the Copy box</t>
    </r>
    <r>
      <rPr>
        <sz val="10"/>
        <rFont val="Arial"/>
      </rPr>
      <t xml:space="preserve"> so that the </t>
    </r>
  </si>
  <si>
    <t xml:space="preserve">sheet doesn't just get moved.)  To rename a sheet, double-click on its index tab and type in the new name </t>
  </si>
  <si>
    <t>(for example, "Section 1.5, Exercise 3").  On the "Slope &amp; Concavity" sheet, doing an example will add a lot of yellow cells,</t>
  </si>
  <si>
    <r>
      <t xml:space="preserve">so if you want later examples to </t>
    </r>
    <r>
      <rPr>
        <i/>
        <sz val="10"/>
        <rFont val="Arial"/>
        <family val="2"/>
      </rPr>
      <t>start</t>
    </r>
    <r>
      <rPr>
        <sz val="10"/>
        <rFont val="Arial"/>
      </rPr>
      <t xml:space="preserve"> looking like the original, copy the sheet </t>
    </r>
    <r>
      <rPr>
        <i/>
        <sz val="10"/>
        <rFont val="Arial"/>
        <family val="2"/>
      </rPr>
      <t>before</t>
    </r>
    <r>
      <rPr>
        <sz val="10"/>
        <rFont val="Arial"/>
      </rPr>
      <t xml:space="preserve"> doing the first example (and do it on the </t>
    </r>
    <r>
      <rPr>
        <i/>
        <sz val="10"/>
        <rFont val="Arial"/>
        <family val="2"/>
      </rPr>
      <t>copy</t>
    </r>
    <r>
      <rPr>
        <sz val="10"/>
        <rFont val="Arial"/>
      </rPr>
      <t>)</t>
    </r>
  </si>
  <si>
    <r>
      <t xml:space="preserve">When making  entries (such as the data for the Basic Logistic Regression sheet), </t>
    </r>
    <r>
      <rPr>
        <b/>
        <sz val="10"/>
        <rFont val="Arial"/>
      </rPr>
      <t xml:space="preserve">be sure that nothing </t>
    </r>
    <r>
      <rPr>
        <b/>
        <i/>
        <sz val="10"/>
        <rFont val="Arial"/>
      </rPr>
      <t>unwanted</t>
    </r>
    <r>
      <rPr>
        <b/>
        <sz val="10"/>
        <rFont val="Arial"/>
      </rPr>
      <t xml:space="preserve"> remains</t>
    </r>
    <r>
      <rPr>
        <sz val="10"/>
        <rFont val="Arial"/>
      </rPr>
      <t xml:space="preserve"> </t>
    </r>
  </si>
  <si>
    <t>from what was there before (delete the old one, or double-check your entries).</t>
  </si>
  <si>
    <r>
      <t>All three template worksheets are unprotected.</t>
    </r>
    <r>
      <rPr>
        <sz val="10"/>
        <rFont val="Arial"/>
      </rPr>
      <t xml:space="preserve"> </t>
    </r>
    <r>
      <rPr>
        <b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>Always</t>
    </r>
    <r>
      <rPr>
        <b/>
        <sz val="10"/>
        <rFont val="Arial"/>
        <family val="2"/>
      </rPr>
      <t xml:space="preserve"> make a copy before using them.</t>
    </r>
  </si>
  <si>
    <r>
      <t>For the latest (updated) version of this file (or a new clean copy)</t>
    </r>
    <r>
      <rPr>
        <sz val="10"/>
        <rFont val="Arial"/>
        <family val="2"/>
      </rPr>
      <t xml:space="preserve">, go to www.math.villanova.edu/connections , click on the link to </t>
    </r>
  </si>
  <si>
    <r>
      <t>"</t>
    </r>
    <r>
      <rPr>
        <i/>
        <sz val="10"/>
        <rFont val="Arial"/>
        <family val="2"/>
      </rPr>
      <t>Excel Files: Calculus Demos, Templates, and Samples</t>
    </r>
    <r>
      <rPr>
        <sz val="10"/>
        <rFont val="Arial"/>
      </rPr>
      <t>", and click on "V1Tmp.xls" .</t>
    </r>
  </si>
  <si>
    <r>
      <t xml:space="preserve">Math Connections: Real world Problem Solving Using Math Models, Calculus, and Technology for Business and Everyday Life </t>
    </r>
    <r>
      <rPr>
        <sz val="10"/>
        <rFont val="Arial"/>
        <family val="2"/>
      </rPr>
      <t>(Volume 1: Single Variable Problem Solving)</t>
    </r>
  </si>
  <si>
    <t>by Bruce Pollack-Johnson and Audrey Borchardt</t>
  </si>
  <si>
    <t>is published by Pearson Custom Publishing (Second Edition, copyright 2003).  For desk copies or orders,</t>
  </si>
  <si>
    <t>call (800) 922-0579 and mention the ISBN: 0536-73594-8 .</t>
  </si>
  <si>
    <r>
      <t>Fitting a Logistic Model to Data: Basic Version</t>
    </r>
    <r>
      <rPr>
        <sz val="10"/>
        <rFont val="Arial"/>
        <family val="2"/>
      </rPr>
      <t xml:space="preserve"> [Make a </t>
    </r>
    <r>
      <rPr>
        <b/>
        <sz val="10"/>
        <rFont val="Arial"/>
        <family val="2"/>
      </rPr>
      <t>copy</t>
    </r>
    <r>
      <rPr>
        <sz val="10"/>
        <rFont val="Arial"/>
        <family val="2"/>
      </rPr>
      <t xml:space="preserve"> first! Highlight the old data &amp; hit Delete before entering a new data set]</t>
    </r>
  </si>
  <si>
    <r>
      <t>1.</t>
    </r>
    <r>
      <rPr>
        <sz val="10"/>
        <rFont val="Arial"/>
        <family val="2"/>
      </rPr>
      <t xml:space="preserve"> Enter the independent variable values (up to 33 data points) in Column A (start in row 9). </t>
    </r>
    <r>
      <rPr>
        <b/>
        <sz val="10"/>
        <rFont val="Arial"/>
      </rPr>
      <t>2</t>
    </r>
    <r>
      <rPr>
        <sz val="10"/>
        <rFont val="Arial"/>
        <family val="2"/>
      </rPr>
      <t>. Enter the dependent variable values in Column B (also start in row 9).</t>
    </r>
  </si>
  <si>
    <r>
      <t>3</t>
    </r>
    <r>
      <rPr>
        <sz val="10"/>
        <rFont val="Arial"/>
      </rPr>
      <t>. Enter a guess for the upper limit L in E9, then hit Enter.  Possible model parameters (L,A,B) will be given in L9:N9 .  You can try different</t>
    </r>
  </si>
  <si>
    <r>
      <t xml:space="preserve">L values by trial and error to minimze the SSE in K9.  </t>
    </r>
    <r>
      <rPr>
        <b/>
        <sz val="10"/>
        <rFont val="Arial"/>
        <family val="2"/>
      </rPr>
      <t xml:space="preserve">4. </t>
    </r>
    <r>
      <rPr>
        <sz val="10"/>
        <rFont val="Arial"/>
        <family val="2"/>
      </rPr>
      <t>If you know how, use Solver (under Tools) to Minimize the Target Cell K9 using</t>
    </r>
  </si>
  <si>
    <r>
      <t xml:space="preserve"> the Changing Cell E9 (Click on Solve and OK).  </t>
    </r>
    <r>
      <rPr>
        <b/>
        <sz val="10"/>
        <rFont val="Arial"/>
      </rPr>
      <t>5</t>
    </r>
    <r>
      <rPr>
        <sz val="10"/>
        <rFont val="Arial"/>
        <family val="2"/>
      </rPr>
      <t>. If the Solver solution makes sense, use it. If not, try initial L values on either side of</t>
    </r>
  </si>
  <si>
    <t xml:space="preserve"> your guess and trial and error to see if you can obtain a lower SSE.  Your model parameters (L,A,B) will again be given in L9:N9 .</t>
  </si>
  <si>
    <t>Data (x)</t>
  </si>
  <si>
    <t>Data (y)</t>
  </si>
  <si>
    <t>x</t>
  </si>
  <si>
    <t>1's</t>
  </si>
  <si>
    <t>L</t>
  </si>
  <si>
    <t>L-y</t>
  </si>
  <si>
    <t>ln((L-y)/y)</t>
  </si>
  <si>
    <t>Model</t>
  </si>
  <si>
    <t>y-Model</t>
  </si>
  <si>
    <r>
      <t>Error</t>
    </r>
    <r>
      <rPr>
        <vertAlign val="superscript"/>
        <sz val="10"/>
        <rFont val="Arial"/>
        <family val="2"/>
      </rPr>
      <t>2</t>
    </r>
  </si>
  <si>
    <t>SSE</t>
  </si>
  <si>
    <t>A</t>
  </si>
  <si>
    <t>B</t>
  </si>
  <si>
    <t>max |y|</t>
  </si>
  <si>
    <t>1.0001*(max |y|)</t>
  </si>
  <si>
    <t>(to keep</t>
  </si>
  <si>
    <t>|L| &gt; max |y| ,</t>
  </si>
  <si>
    <t>use the</t>
  </si>
  <si>
    <t>constraint</t>
  </si>
  <si>
    <t>N26 &gt;= E15</t>
  </si>
  <si>
    <t>in Solver)</t>
  </si>
  <si>
    <t>NOTE:  This works</t>
  </si>
  <si>
    <t>(L can be -ve)</t>
  </si>
  <si>
    <t>Min x</t>
  </si>
  <si>
    <t>Model y</t>
  </si>
  <si>
    <r>
      <t xml:space="preserve">best  when </t>
    </r>
    <r>
      <rPr>
        <i/>
        <sz val="10"/>
        <rFont val="Arial"/>
        <family val="2"/>
      </rPr>
      <t>all</t>
    </r>
    <r>
      <rPr>
        <sz val="10"/>
        <rFont val="Arial"/>
      </rPr>
      <t xml:space="preserve"> y</t>
    </r>
  </si>
  <si>
    <t>|L|</t>
  </si>
  <si>
    <t>values are between</t>
  </si>
  <si>
    <t xml:space="preserve">0 and L.  For other </t>
  </si>
  <si>
    <t>Max x</t>
  </si>
  <si>
    <t xml:space="preserve">cases, you may get </t>
  </si>
  <si>
    <t>|y|</t>
  </si>
  <si>
    <t>useable answers,</t>
  </si>
  <si>
    <t>but the mathematical</t>
  </si>
  <si>
    <t>rigor is not assured.</t>
  </si>
  <si>
    <t>Increment</t>
  </si>
  <si>
    <t>B=</t>
  </si>
  <si>
    <t>C=y-int=</t>
  </si>
  <si>
    <t>A=e^C=</t>
  </si>
  <si>
    <t>L=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</si>
  <si>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</si>
  <si>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</si>
  <si>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</si>
  <si>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</si>
  <si>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</si>
  <si>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</si>
  <si>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</si>
  <si>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</si>
  <si>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</si>
  <si>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</si>
  <si>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</si>
  <si>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</si>
  <si>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</si>
  <si>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</si>
  <si>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</si>
  <si>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</si>
  <si>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</si>
  <si>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</si>
  <si>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</si>
  <si>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</si>
  <si>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</si>
  <si>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</si>
  <si>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</si>
  <si>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</si>
  <si>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</si>
  <si>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r>
      <t xml:space="preserve">The Limit of the Slopes of Secant Lines through a Point for a Given Curve   1. </t>
    </r>
    <r>
      <rPr>
        <sz val="10"/>
        <rFont val="Arial"/>
        <family val="2"/>
      </rPr>
      <t xml:space="preserve">In cell C6, enter "D11=" and then the formula </t>
    </r>
  </si>
  <si>
    <r>
      <t xml:space="preserve">  for your function, using  c11  for the variable, then hit Enter.  </t>
    </r>
    <r>
      <rPr>
        <b/>
        <sz val="10"/>
        <rFont val="Arial"/>
        <family val="2"/>
      </rPr>
      <t>2.</t>
    </r>
    <r>
      <rPr>
        <sz val="10"/>
        <rFont val="Arial"/>
        <family val="2"/>
      </rPr>
      <t xml:space="preserve"> Copy C6 to D11, and then in D11 delete everything to the left of the "=" sign  </t>
    </r>
  </si>
  <si>
    <r>
      <t xml:space="preserve"> </t>
    </r>
    <r>
      <rPr>
        <sz val="10"/>
        <rFont val="Arial"/>
        <family val="2"/>
      </rPr>
      <t xml:space="preserve">and hit Enter.  </t>
    </r>
    <r>
      <rPr>
        <b/>
        <sz val="10"/>
        <rFont val="Arial"/>
      </rPr>
      <t>3</t>
    </r>
    <r>
      <rPr>
        <sz val="10"/>
        <rFont val="Arial"/>
        <family val="2"/>
      </rPr>
      <t>.</t>
    </r>
    <r>
      <rPr>
        <sz val="10"/>
        <rFont val="Arial"/>
      </rPr>
      <t xml:space="preserve"> </t>
    </r>
    <r>
      <rPr>
        <sz val="10"/>
        <rFont val="Arial"/>
        <family val="2"/>
      </rPr>
      <t xml:space="preserve">Copy cell D11 to D12:D23 .  </t>
    </r>
    <r>
      <rPr>
        <b/>
        <sz val="10"/>
        <rFont val="Arial"/>
        <family val="2"/>
      </rPr>
      <t>4</t>
    </r>
    <r>
      <rPr>
        <sz val="10"/>
        <rFont val="Arial"/>
        <family val="2"/>
      </rPr>
      <t xml:space="preserve">. Enter the point (the value of </t>
    </r>
    <r>
      <rPr>
        <i/>
        <sz val="10"/>
        <rFont val="Arial"/>
        <family val="2"/>
      </rPr>
      <t>a</t>
    </r>
    <r>
      <rPr>
        <sz val="10"/>
        <rFont val="Arial"/>
        <family val="2"/>
      </rPr>
      <t xml:space="preserve">) in E8, then hit Enter.  </t>
    </r>
    <r>
      <rPr>
        <b/>
        <sz val="10"/>
        <rFont val="Arial"/>
        <family val="2"/>
      </rPr>
      <t>5.</t>
    </r>
    <r>
      <rPr>
        <sz val="10"/>
        <rFont val="Arial"/>
        <family val="2"/>
      </rPr>
      <t xml:space="preserve"> If desired, change the increment in H6,    </t>
    </r>
  </si>
  <si>
    <r>
      <t xml:space="preserve">  then hit Enter.  </t>
    </r>
    <r>
      <rPr>
        <b/>
        <sz val="10"/>
        <rFont val="Arial"/>
      </rPr>
      <t>6</t>
    </r>
    <r>
      <rPr>
        <sz val="10"/>
        <rFont val="Arial"/>
        <family val="2"/>
      </rPr>
      <t>. Adjust the width of column B (drag the vertical line between B &amp; C) to see the effects of different levels of rounding.</t>
    </r>
  </si>
  <si>
    <t>Function:</t>
  </si>
  <si>
    <t>Initial Increment Magnitude:</t>
  </si>
  <si>
    <t>(the other increments are obtained by successive</t>
  </si>
  <si>
    <t xml:space="preserve">    Quick View: </t>
  </si>
  <si>
    <r>
      <t>Point (</t>
    </r>
    <r>
      <rPr>
        <b/>
        <sz val="10"/>
        <rFont val="Arial"/>
      </rPr>
      <t>a</t>
    </r>
    <r>
      <rPr>
        <sz val="10"/>
        <rFont val="Arial"/>
        <family val="2"/>
      </rPr>
      <t>):</t>
    </r>
  </si>
  <si>
    <t xml:space="preserve"> division by 10; H6 can be changed if you want)</t>
  </si>
  <si>
    <t xml:space="preserve">  Rounded Slope</t>
  </si>
  <si>
    <t>x Value</t>
  </si>
  <si>
    <t>Slope</t>
  </si>
  <si>
    <t>x=a+h</t>
  </si>
  <si>
    <t>f(x)</t>
  </si>
  <si>
    <t>a</t>
  </si>
  <si>
    <t>f(a)</t>
  </si>
  <si>
    <t>slope=(f(x)-f(a))/(x-a)</t>
  </si>
  <si>
    <t xml:space="preserve">  increment=x-a=h</t>
  </si>
  <si>
    <r>
      <t>Approximate Slope and Concavity Graphs</t>
    </r>
    <r>
      <rPr>
        <sz val="10"/>
        <rFont val="Arial"/>
        <family val="2"/>
      </rPr>
      <t xml:space="preserve"> (make a copy first!)</t>
    </r>
  </si>
  <si>
    <t>Note:  You can drag</t>
  </si>
  <si>
    <r>
      <t>1</t>
    </r>
    <r>
      <rPr>
        <sz val="10"/>
        <rFont val="Arial"/>
      </rPr>
      <t>.  Enter the domain: the lower bound in A8 &amp; the upper bound in C8.</t>
    </r>
  </si>
  <si>
    <t xml:space="preserve">the black vertical </t>
  </si>
  <si>
    <r>
      <t>2</t>
    </r>
    <r>
      <rPr>
        <sz val="10"/>
        <rFont val="Arial"/>
      </rPr>
      <t xml:space="preserve">.  In cell A10, enter  "B13=" followed by the function, using  a13  for x, &amp; hit Enter.   </t>
    </r>
  </si>
  <si>
    <r>
      <t>line</t>
    </r>
    <r>
      <rPr>
        <sz val="10"/>
        <rFont val="Arial"/>
      </rPr>
      <t xml:space="preserve"> (initially lined </t>
    </r>
  </si>
  <si>
    <r>
      <t>3</t>
    </r>
    <r>
      <rPr>
        <sz val="10"/>
        <rFont val="Arial"/>
      </rPr>
      <t xml:space="preserve">. Copy A10 to B13 and in B13, delete everything before the "=" sign, &amp; hit Enter.  </t>
    </r>
    <r>
      <rPr>
        <b/>
        <sz val="10"/>
        <rFont val="Arial"/>
        <family val="2"/>
      </rPr>
      <t/>
    </r>
  </si>
  <si>
    <t xml:space="preserve">up at the point of </t>
  </si>
  <si>
    <t>inflection of the</t>
  </si>
  <si>
    <r>
      <t xml:space="preserve">   at the right.  </t>
    </r>
    <r>
      <rPr>
        <i/>
        <sz val="10"/>
        <rFont val="Arial"/>
        <family val="2"/>
      </rPr>
      <t>See the note below the concavity graph about possible distortions.</t>
    </r>
  </si>
  <si>
    <t>original curve in</t>
  </si>
  <si>
    <t>the example) to</t>
  </si>
  <si>
    <t xml:space="preserve">  &lt;= x &lt;=</t>
  </si>
  <si>
    <t>increment=</t>
  </si>
  <si>
    <r>
      <t xml:space="preserve">[Domain </t>
    </r>
    <r>
      <rPr>
        <i/>
        <sz val="10"/>
        <rFont val="Arial"/>
        <family val="2"/>
      </rPr>
      <t>automatically</t>
    </r>
    <r>
      <rPr>
        <sz val="10"/>
        <rFont val="Arial"/>
      </rPr>
      <t xml:space="preserve"> split</t>
    </r>
  </si>
  <si>
    <t>line up at any point</t>
  </si>
  <si>
    <t>into 50 equal subintervals]</t>
  </si>
  <si>
    <t>of any curve to see</t>
  </si>
  <si>
    <t>B13=a13^3-9*a13^2+24*a13</t>
  </si>
  <si>
    <t>the relationships</t>
  </si>
  <si>
    <t>between the</t>
  </si>
  <si>
    <t>est slope</t>
  </si>
  <si>
    <t>est concav</t>
  </si>
  <si>
    <t>different curves</t>
  </si>
  <si>
    <t>at different points.</t>
  </si>
  <si>
    <r>
      <t>"</t>
    </r>
    <r>
      <rPr>
        <b/>
        <sz val="10"/>
        <rFont val="Arial"/>
        <family val="2"/>
      </rPr>
      <t>Ctrl+D</t>
    </r>
    <r>
      <rPr>
        <sz val="10"/>
        <rFont val="Arial"/>
      </rPr>
      <t>" means to</t>
    </r>
  </si>
  <si>
    <t>hold down the Ctrl</t>
  </si>
  <si>
    <t>key and press the</t>
  </si>
  <si>
    <t>D key (don't use</t>
  </si>
  <si>
    <t>the Shift key).</t>
  </si>
  <si>
    <t>To remove a</t>
  </si>
  <si>
    <t>dotted line</t>
  </si>
  <si>
    <t>cell border,</t>
  </si>
  <si>
    <t>hit Esc.</t>
  </si>
  <si>
    <t xml:space="preserve">Note: If the either the slope or concavity graph is a </t>
  </si>
  <si>
    <t>horizontal line (that is, if the original function is</t>
  </si>
  <si>
    <t>linear or quadratic), they may look irregular due to</t>
  </si>
  <si>
    <t>roundoff error and a tiny scale for the y-axis.</t>
  </si>
  <si>
    <t>In such cases, the slope and concavity graphs should be able to</t>
  </si>
  <si>
    <t>be graphed by hand easily.  To make the slope and concavity</t>
  </si>
  <si>
    <r>
      <t xml:space="preserve">graphs look better </t>
    </r>
    <r>
      <rPr>
        <i/>
        <sz val="10"/>
        <rFont val="Arial"/>
        <family val="2"/>
      </rPr>
      <t>here</t>
    </r>
    <r>
      <rPr>
        <sz val="10"/>
        <rFont val="Arial"/>
      </rPr>
      <t>, you can click on the vertical axis</t>
    </r>
  </si>
  <si>
    <t>(so it gets highlighted), then click on Format, Selected Axis,</t>
  </si>
  <si>
    <t>and Scale, and enter a wider interval (Minimum and Maximum).</t>
  </si>
  <si>
    <t>Estimated slope calculations:</t>
  </si>
  <si>
    <t>Estimated concavity calculations:</t>
  </si>
  <si>
    <t>x-.0001</t>
  </si>
  <si>
    <t>f(x-0.0001)</t>
  </si>
  <si>
    <t>slope</t>
  </si>
  <si>
    <t>x+0.0001</t>
  </si>
  <si>
    <t>f(x+.0001)</t>
  </si>
  <si>
    <t>avgslope</t>
  </si>
  <si>
    <t>For more information, contact the authors at (610) 519-6926 or Bruce.Pollack-Johnson@villanova.edu (or see www.math.villanova.edu/connections)</t>
  </si>
  <si>
    <t>different name, we suggest you rename your orignal copy "V1Tmp".</t>
  </si>
  <si>
    <t xml:space="preserve">[After copying your formula into the yellow block, numbers will become left-justified.  To make them right-justified again, you can highlight </t>
  </si>
  <si>
    <t>the yellow block (D11:D23), and click on the Right-Justify ("Align Right") button or click on Format, Cells…, Alignment, Horizontal, Right.]</t>
  </si>
  <si>
    <t>D11=1*c11^2</t>
  </si>
  <si>
    <t>If part of the line</t>
  </si>
  <si>
    <t>disappears, just</t>
  </si>
  <si>
    <t>click on it, and it</t>
  </si>
  <si>
    <t>should re-appear.</t>
  </si>
  <si>
    <r>
      <t>4.</t>
    </r>
    <r>
      <rPr>
        <sz val="10"/>
        <rFont val="Arial"/>
      </rPr>
      <t xml:space="preserve"> Press </t>
    </r>
    <r>
      <rPr>
        <b/>
        <sz val="10"/>
        <rFont val="Arial"/>
        <family val="2"/>
      </rPr>
      <t>Ctrl+D</t>
    </r>
    <r>
      <rPr>
        <sz val="10"/>
        <rFont val="Arial"/>
      </rPr>
      <t xml:space="preserve">.  </t>
    </r>
    <r>
      <rPr>
        <b/>
        <sz val="10"/>
        <rFont val="Arial"/>
        <family val="2"/>
      </rPr>
      <t>5.</t>
    </r>
    <r>
      <rPr>
        <sz val="10"/>
        <rFont val="Arial"/>
      </rPr>
      <t xml:space="preserve"> The original, slope, and concavity graphs should appear </t>
    </r>
  </si>
  <si>
    <r>
      <t xml:space="preserve">Cells that are colored </t>
    </r>
    <r>
      <rPr>
        <b/>
        <i/>
        <sz val="10"/>
        <rFont val="Arial"/>
      </rPr>
      <t>yellow</t>
    </r>
    <r>
      <rPr>
        <sz val="10"/>
        <rFont val="Arial"/>
        <family val="2"/>
      </rPr>
      <t xml:space="preserve"> are for you </t>
    </r>
    <r>
      <rPr>
        <b/>
        <sz val="10"/>
        <rFont val="Arial"/>
      </rPr>
      <t>to enter</t>
    </r>
    <r>
      <rPr>
        <sz val="10"/>
        <rFont val="Arial"/>
        <family val="2"/>
      </rPr>
      <t xml:space="preserve"> information; </t>
    </r>
    <r>
      <rPr>
        <b/>
        <i/>
        <sz val="10"/>
        <rFont val="Arial"/>
      </rPr>
      <t>blue</t>
    </r>
    <r>
      <rPr>
        <sz val="10"/>
        <rFont val="Arial"/>
        <family val="2"/>
      </rPr>
      <t xml:space="preserve"> cells </t>
    </r>
    <r>
      <rPr>
        <b/>
        <sz val="10"/>
        <rFont val="Arial"/>
      </rPr>
      <t>show results</t>
    </r>
    <r>
      <rPr>
        <sz val="10"/>
        <rFont val="Arial"/>
        <family val="2"/>
      </rPr>
      <t>.  Sometimes, you enter a formula in one cell, but it's likely to spill onto</t>
    </r>
  </si>
  <si>
    <r>
      <t xml:space="preserve"> later cells - we've colored them yellow too.  To enter or change a formula, click on the </t>
    </r>
    <r>
      <rPr>
        <b/>
        <sz val="10"/>
        <rFont val="Arial"/>
        <family val="2"/>
      </rPr>
      <t>leftmost cell</t>
    </r>
    <r>
      <rPr>
        <sz val="10"/>
        <rFont val="Arial"/>
      </rPr>
      <t xml:space="preserve"> where it starts.  Remember to </t>
    </r>
    <r>
      <rPr>
        <b/>
        <sz val="10"/>
        <rFont val="Arial"/>
        <family val="2"/>
      </rPr>
      <t xml:space="preserve">always use an </t>
    </r>
  </si>
  <si>
    <r>
      <t xml:space="preserve">If the </t>
    </r>
    <r>
      <rPr>
        <b/>
        <sz val="10"/>
        <rFont val="Arial"/>
        <family val="2"/>
      </rPr>
      <t>size of the display on your screen</t>
    </r>
    <r>
      <rPr>
        <sz val="10"/>
        <rFont val="Arial"/>
      </rPr>
      <t xml:space="preserve"> does not seem ideal, change it, such as to 75% or 60% (edit the value on the toolbar); or use View, Zoom if necessary.</t>
    </r>
  </si>
  <si>
    <r>
      <t>(</t>
    </r>
    <r>
      <rPr>
        <b/>
        <sz val="10"/>
        <rFont val="Arial"/>
        <family val="2"/>
      </rPr>
      <t>a leading minus sign in front of an even power should be written as "-1*").</t>
    </r>
  </si>
  <si>
    <r>
      <t>asterisk ( * ) for multiplication in formulas</t>
    </r>
    <r>
      <rPr>
        <sz val="10"/>
        <rFont val="Arial"/>
      </rPr>
      <t>.  Excel evaluates "=-3^2-3" as 9 (not the standard -12), so "-x2-x" in a formula must be, e.g., "=-1*a13^2-a13"</t>
    </r>
  </si>
  <si>
    <r>
      <t xml:space="preserve"> to keep the original sheet intact.  </t>
    </r>
    <r>
      <rPr>
        <b/>
        <sz val="10"/>
        <rFont val="Arial"/>
        <family val="2"/>
      </rPr>
      <t xml:space="preserve">To remove a dotted-line cell/block outline, </t>
    </r>
    <r>
      <rPr>
        <sz val="10"/>
        <rFont val="Arial"/>
        <family val="2"/>
      </rPr>
      <t>hit</t>
    </r>
    <r>
      <rPr>
        <b/>
        <sz val="10"/>
        <rFont val="Arial"/>
        <family val="2"/>
      </rPr>
      <t xml:space="preserve"> "Esc"</t>
    </r>
    <r>
      <rPr>
        <sz val="10"/>
        <rFont val="Arial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</si>
</sst>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7" formatCode="0.0"/>
  </numFmts>
  <fonts count="14" x14ac:knownFonts="1">
    <font>
      <sz val="10"/>
      <name val="Arial"/>
    </font>
    <font>
      <b/>
      <sz val="10"/>
      <name val="Arial"/>
    </font>
    <font>
      <i/>
      <sz val="10"/>
      <name val="Arial"/>
    </font>
    <font>
      <b/>
      <i/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vertAlign val="superscript"/>
      <sz val="10"/>
      <name val="Arial"/>
      <family val="2"/>
    </font>
    <font>
      <b/>
      <u/>
      <sz val="10"/>
      <name val="Arial"/>
      <family val="2"/>
    </font>
    <font>
      <b/>
      <i/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35"/>
        <bgColor indexed="64"/>
      </patternFill>
    </fill>
    <fill>
      <patternFill patternType="solid">
        <fgColor indexed="4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4" fillId="0" borderId="0" xfId="0" applyFont="1"/>
    <xf numFmtId="0" fontId="0" fillId="0" borderId="0" xfId="0" applyFill="1"/>
    <xf numFmtId="0" fontId="1" fillId="0" borderId="0" xfId="0" applyFont="1" applyFill="1"/>
    <xf numFmtId="0" fontId="0" fillId="0" borderId="0" xfId="0" applyFill="1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7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 applyProtection="1">
      <protection locked="0"/>
    </xf>
    <xf numFmtId="0" fontId="0" fillId="4" borderId="0" xfId="0" applyFill="1"/>
    <xf numFmtId="0" fontId="0" fillId="3" borderId="0" xfId="0" applyFill="1" applyProtection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3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Continuous"/>
    </xf>
    <xf numFmtId="0" fontId="1" fillId="0" borderId="0" xfId="0" applyFont="1" applyProtection="1">
      <protection locked="0"/>
    </xf>
    <xf numFmtId="0" fontId="0" fillId="0" borderId="0" xfId="0" applyFill="1" applyBorder="1" applyAlignment="1">
      <alignment horizontal="right"/>
    </xf>
    <xf numFmtId="0" fontId="1" fillId="2" borderId="0" xfId="0" applyFont="1" applyFill="1" applyBorder="1" applyAlignment="1" applyProtection="1">
      <alignment horizontal="left"/>
      <protection locked="0"/>
    </xf>
    <xf numFmtId="0" fontId="0" fillId="2" borderId="0" xfId="0" applyFill="1" applyBorder="1"/>
    <xf numFmtId="0" fontId="0" fillId="0" borderId="0" xfId="0" applyBorder="1" applyAlignment="1">
      <alignment horizontal="right"/>
    </xf>
    <xf numFmtId="0" fontId="1" fillId="5" borderId="4" xfId="0" applyFont="1" applyFill="1" applyBorder="1"/>
    <xf numFmtId="0" fontId="1" fillId="5" borderId="5" xfId="0" applyFont="1" applyFill="1" applyBorder="1"/>
    <xf numFmtId="0" fontId="1" fillId="5" borderId="6" xfId="0" applyFont="1" applyFill="1" applyBorder="1"/>
    <xf numFmtId="0" fontId="1" fillId="5" borderId="7" xfId="0" applyFont="1" applyFill="1" applyBorder="1"/>
    <xf numFmtId="0" fontId="0" fillId="0" borderId="1" xfId="0" applyFill="1" applyBorder="1" applyAlignment="1">
      <alignment horizontal="right"/>
    </xf>
    <xf numFmtId="0" fontId="1" fillId="0" borderId="1" xfId="0" applyFont="1" applyFill="1" applyBorder="1" applyAlignment="1" applyProtection="1">
      <alignment horizontal="right"/>
    </xf>
    <xf numFmtId="0" fontId="0" fillId="0" borderId="1" xfId="0" applyFill="1" applyBorder="1" applyAlignment="1" applyProtection="1">
      <alignment horizontal="right"/>
    </xf>
    <xf numFmtId="0" fontId="0" fillId="0" borderId="1" xfId="0" applyBorder="1" applyAlignment="1" applyProtection="1">
      <alignment horizontal="right"/>
    </xf>
    <xf numFmtId="0" fontId="0" fillId="0" borderId="1" xfId="0" applyBorder="1" applyProtection="1"/>
    <xf numFmtId="0" fontId="1" fillId="5" borderId="6" xfId="0" applyFont="1" applyFill="1" applyBorder="1" applyAlignment="1">
      <alignment horizontal="right"/>
    </xf>
    <xf numFmtId="0" fontId="1" fillId="5" borderId="7" xfId="0" applyFont="1" applyFill="1" applyBorder="1" applyAlignment="1">
      <alignment horizontal="right"/>
    </xf>
    <xf numFmtId="0" fontId="0" fillId="0" borderId="1" xfId="0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0" fillId="2" borderId="0" xfId="0" applyFill="1" applyProtection="1">
      <protection locked="0"/>
    </xf>
    <xf numFmtId="0" fontId="4" fillId="5" borderId="9" xfId="0" applyFont="1" applyFill="1" applyBorder="1"/>
    <xf numFmtId="0" fontId="0" fillId="4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1" fillId="2" borderId="0" xfId="0" applyFont="1" applyFill="1" applyAlignment="1" applyProtection="1">
      <alignment horizontal="left"/>
      <protection locked="0"/>
    </xf>
    <xf numFmtId="0" fontId="1" fillId="3" borderId="0" xfId="0" applyFont="1" applyFill="1" applyProtection="1">
      <protection locked="0"/>
    </xf>
    <xf numFmtId="0" fontId="9" fillId="0" borderId="0" xfId="0" applyFont="1"/>
    <xf numFmtId="0" fontId="3" fillId="0" borderId="0" xfId="0" applyFont="1"/>
    <xf numFmtId="0" fontId="2" fillId="0" borderId="0" xfId="0" applyFont="1"/>
    <xf numFmtId="0" fontId="7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2" fontId="0" fillId="0" borderId="0" xfId="0" applyNumberFormat="1"/>
    <xf numFmtId="0" fontId="7" fillId="0" borderId="0" xfId="0" applyFont="1" applyFill="1" applyAlignment="1">
      <alignment horizontal="right"/>
    </xf>
    <xf numFmtId="0" fontId="0" fillId="0" borderId="0" xfId="0" applyFill="1" applyProtection="1">
      <protection locked="0"/>
    </xf>
    <xf numFmtId="177" fontId="0" fillId="0" borderId="0" xfId="0" applyNumberFormat="1" applyFill="1"/>
    <xf numFmtId="177" fontId="0" fillId="0" borderId="0" xfId="0" applyNumberFormat="1"/>
    <xf numFmtId="0" fontId="5" fillId="2" borderId="0" xfId="0" applyFont="1" applyFill="1" applyBorder="1" applyAlignment="1" applyProtection="1">
      <alignment horizontal="left"/>
      <protection locked="0"/>
    </xf>
    <xf numFmtId="0" fontId="5" fillId="2" borderId="0" xfId="0" applyFont="1" applyFill="1" applyBorder="1" applyAlignment="1" applyProtection="1">
      <alignment horizontal="right"/>
      <protection locked="0"/>
    </xf>
    <xf numFmtId="0" fontId="5" fillId="3" borderId="0" xfId="0" applyFont="1" applyFill="1" applyProtection="1">
      <protection locked="0"/>
    </xf>
    <xf numFmtId="0" fontId="5" fillId="0" borderId="0" xfId="0" applyFont="1" applyFill="1"/>
    <xf numFmtId="0" fontId="0" fillId="0" borderId="0" xfId="0" applyAlignment="1">
      <alignment horizontal="right"/>
    </xf>
    <xf numFmtId="0" fontId="0" fillId="2" borderId="0" xfId="0" applyFill="1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Logistic Model: 
y=L/(1+Ae^(-Bx))</a:t>
            </a:r>
          </a:p>
        </c:rich>
      </c:tx>
      <c:layout>
        <c:manualLayout>
          <c:xMode val="edge"/>
          <c:yMode val="edge"/>
          <c:x val="0.32693439725989609"/>
          <c:y val="4.61555580909560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9231435132935065"/>
          <c:y val="0.39078372517009485"/>
          <c:w val="0.46155444319044159"/>
          <c:h val="0.32616594384275632"/>
        </c:manualLayout>
      </c:layout>
      <c:scatterChart>
        <c:scatterStyle val="lineMarker"/>
        <c:varyColors val="0"/>
        <c:ser>
          <c:idx val="0"/>
          <c:order val="0"/>
          <c:tx>
            <c:strRef>
              <c:f>'Basic Logistic Regression'!$B$8</c:f>
              <c:strCache>
                <c:ptCount val="1"/>
                <c:pt idx="0">
                  <c:v>Data (y)</c:v>
                </c:pt>
              </c:strCache>
            </c:strRef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'Basic Logistic Regression'!$A$9:$A$41</c:f>
              <c:numCache>
                <c:formatCode>General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</c:numCache>
            </c:numRef>
          </c:xVal>
          <c:yVal>
            <c:numRef>
              <c:f>'Basic Logistic Regression'!$B$9:$B$41</c:f>
              <c:numCache>
                <c:formatCode>General</c:formatCode>
                <c:ptCount val="33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11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13-45F0-97E3-1A85FE89C6BB}"/>
            </c:ext>
          </c:extLst>
        </c:ser>
        <c:ser>
          <c:idx val="1"/>
          <c:order val="1"/>
          <c:tx>
            <c:strRef>
              <c:f>'Basic Logistic Regression'!$H$8</c:f>
              <c:strCache>
                <c:ptCount val="1"/>
                <c:pt idx="0">
                  <c:v>Model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'Basic Logistic Regression'!$K$26:$K$46</c:f>
              <c:numCache>
                <c:formatCode>General</c:formatCode>
                <c:ptCount val="21"/>
                <c:pt idx="0">
                  <c:v>0</c:v>
                </c:pt>
                <c:pt idx="1">
                  <c:v>0.45</c:v>
                </c:pt>
                <c:pt idx="2">
                  <c:v>0.9</c:v>
                </c:pt>
                <c:pt idx="3">
                  <c:v>1.35</c:v>
                </c:pt>
                <c:pt idx="4">
                  <c:v>1.8</c:v>
                </c:pt>
                <c:pt idx="5">
                  <c:v>2.25</c:v>
                </c:pt>
                <c:pt idx="6">
                  <c:v>2.7</c:v>
                </c:pt>
                <c:pt idx="7">
                  <c:v>3.1500000000000004</c:v>
                </c:pt>
                <c:pt idx="8">
                  <c:v>3.6000000000000005</c:v>
                </c:pt>
                <c:pt idx="9">
                  <c:v>4.0500000000000007</c:v>
                </c:pt>
                <c:pt idx="10">
                  <c:v>4.5000000000000009</c:v>
                </c:pt>
                <c:pt idx="11">
                  <c:v>4.9500000000000011</c:v>
                </c:pt>
                <c:pt idx="12">
                  <c:v>5.4000000000000012</c:v>
                </c:pt>
                <c:pt idx="13">
                  <c:v>5.8500000000000014</c:v>
                </c:pt>
                <c:pt idx="14">
                  <c:v>6.3000000000000016</c:v>
                </c:pt>
                <c:pt idx="15">
                  <c:v>6.7500000000000018</c:v>
                </c:pt>
                <c:pt idx="16">
                  <c:v>7.200000000000002</c:v>
                </c:pt>
                <c:pt idx="17">
                  <c:v>7.6500000000000021</c:v>
                </c:pt>
                <c:pt idx="18">
                  <c:v>8.1000000000000014</c:v>
                </c:pt>
                <c:pt idx="19">
                  <c:v>8.5500000000000007</c:v>
                </c:pt>
                <c:pt idx="20">
                  <c:v>9</c:v>
                </c:pt>
              </c:numCache>
            </c:numRef>
          </c:xVal>
          <c:yVal>
            <c:numRef>
              <c:f>'Basic Logistic Regression'!$L$26:$L$46</c:f>
              <c:numCache>
                <c:formatCode>General</c:formatCode>
                <c:ptCount val="21"/>
                <c:pt idx="0">
                  <c:v>1.5954800887928351</c:v>
                </c:pt>
                <c:pt idx="1">
                  <c:v>2.0115415254699167</c:v>
                </c:pt>
                <c:pt idx="2">
                  <c:v>2.5212381930596104</c:v>
                </c:pt>
                <c:pt idx="3">
                  <c:v>3.1375584777887555</c:v>
                </c:pt>
                <c:pt idx="4">
                  <c:v>3.8711710942995969</c:v>
                </c:pt>
                <c:pt idx="5">
                  <c:v>4.7282172876148865</c:v>
                </c:pt>
                <c:pt idx="6">
                  <c:v>5.7078581083809663</c:v>
                </c:pt>
                <c:pt idx="7">
                  <c:v>6.8000932823443714</c:v>
                </c:pt>
                <c:pt idx="8">
                  <c:v>7.9845694715802082</c:v>
                </c:pt>
                <c:pt idx="9">
                  <c:v>9.2310795660598384</c:v>
                </c:pt>
                <c:pt idx="10">
                  <c:v>10.502099179505082</c:v>
                </c:pt>
                <c:pt idx="11">
                  <c:v>11.757060537307279</c:v>
                </c:pt>
                <c:pt idx="12">
                  <c:v>12.957399575400729</c:v>
                </c:pt>
                <c:pt idx="13">
                  <c:v>14.071090758906051</c:v>
                </c:pt>
                <c:pt idx="14">
                  <c:v>15.075598613341391</c:v>
                </c:pt>
                <c:pt idx="15">
                  <c:v>15.958795486757639</c:v>
                </c:pt>
                <c:pt idx="16">
                  <c:v>16.718073874295129</c:v>
                </c:pt>
                <c:pt idx="17">
                  <c:v>17.358310052304002</c:v>
                </c:pt>
                <c:pt idx="18">
                  <c:v>17.889417021684785</c:v>
                </c:pt>
                <c:pt idx="19">
                  <c:v>18.32405532265124</c:v>
                </c:pt>
                <c:pt idx="20">
                  <c:v>18.675812652505979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13-45F0-97E3-1A85FE89C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4420175"/>
        <c:axId val="1"/>
      </c:scatterChart>
      <c:valAx>
        <c:axId val="101442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x</a:t>
                </a:r>
              </a:p>
            </c:rich>
          </c:tx>
          <c:layout>
            <c:manualLayout>
              <c:xMode val="edge"/>
              <c:yMode val="edge"/>
              <c:x val="0.40813379004339972"/>
              <c:y val="0.827723008431145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y</a:t>
                </a:r>
              </a:p>
            </c:rich>
          </c:tx>
          <c:layout>
            <c:manualLayout>
              <c:xMode val="edge"/>
              <c:yMode val="edge"/>
              <c:x val="5.7694305398805198E-2"/>
              <c:y val="0.5323274366490268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14420175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2652088279976912"/>
          <c:y val="0.42463113443679601"/>
          <c:w val="0.24146135222462914"/>
          <c:h val="0.15692889750925068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Original Graph (f(x))</a:t>
            </a:r>
          </a:p>
        </c:rich>
      </c:tx>
      <c:layout>
        <c:manualLayout>
          <c:xMode val="edge"/>
          <c:yMode val="edge"/>
          <c:x val="0.25926760127810222"/>
          <c:y val="3.361475569598178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5311676257909"/>
          <c:y val="0.23110144540987473"/>
          <c:w val="0.84941004609206827"/>
          <c:h val="0.58825822467968114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'Slope &amp; Concavity Graphs '!$A$13:$A$63</c:f>
              <c:numCache>
                <c:formatCode>General</c:formatCode>
                <c:ptCount val="51"/>
                <c:pt idx="0">
                  <c:v>0</c:v>
                </c:pt>
                <c:pt idx="1">
                  <c:v>0.12</c:v>
                </c:pt>
                <c:pt idx="2">
                  <c:v>0.24</c:v>
                </c:pt>
                <c:pt idx="3">
                  <c:v>0.36</c:v>
                </c:pt>
                <c:pt idx="4">
                  <c:v>0.48</c:v>
                </c:pt>
                <c:pt idx="5">
                  <c:v>0.6</c:v>
                </c:pt>
                <c:pt idx="6">
                  <c:v>0.72</c:v>
                </c:pt>
                <c:pt idx="7">
                  <c:v>0.84</c:v>
                </c:pt>
                <c:pt idx="8">
                  <c:v>0.96</c:v>
                </c:pt>
                <c:pt idx="9">
                  <c:v>1.08</c:v>
                </c:pt>
                <c:pt idx="10">
                  <c:v>1.2000000000000002</c:v>
                </c:pt>
                <c:pt idx="11">
                  <c:v>1.3200000000000003</c:v>
                </c:pt>
                <c:pt idx="12">
                  <c:v>1.4400000000000004</c:v>
                </c:pt>
                <c:pt idx="13">
                  <c:v>1.5600000000000005</c:v>
                </c:pt>
                <c:pt idx="14">
                  <c:v>1.6800000000000006</c:v>
                </c:pt>
                <c:pt idx="15">
                  <c:v>1.8000000000000007</c:v>
                </c:pt>
                <c:pt idx="16">
                  <c:v>1.9200000000000008</c:v>
                </c:pt>
                <c:pt idx="17">
                  <c:v>2.0400000000000009</c:v>
                </c:pt>
                <c:pt idx="18">
                  <c:v>2.160000000000001</c:v>
                </c:pt>
                <c:pt idx="19">
                  <c:v>2.2800000000000011</c:v>
                </c:pt>
                <c:pt idx="20">
                  <c:v>2.4000000000000012</c:v>
                </c:pt>
                <c:pt idx="21">
                  <c:v>2.5200000000000014</c:v>
                </c:pt>
                <c:pt idx="22">
                  <c:v>2.6400000000000015</c:v>
                </c:pt>
                <c:pt idx="23">
                  <c:v>2.7600000000000016</c:v>
                </c:pt>
                <c:pt idx="24">
                  <c:v>2.8800000000000017</c:v>
                </c:pt>
                <c:pt idx="25">
                  <c:v>3.0000000000000018</c:v>
                </c:pt>
                <c:pt idx="26">
                  <c:v>3.1200000000000019</c:v>
                </c:pt>
                <c:pt idx="27">
                  <c:v>3.240000000000002</c:v>
                </c:pt>
                <c:pt idx="28">
                  <c:v>3.3600000000000021</c:v>
                </c:pt>
                <c:pt idx="29">
                  <c:v>3.4800000000000022</c:v>
                </c:pt>
                <c:pt idx="30">
                  <c:v>3.6000000000000023</c:v>
                </c:pt>
                <c:pt idx="31">
                  <c:v>3.7200000000000024</c:v>
                </c:pt>
                <c:pt idx="32">
                  <c:v>3.8400000000000025</c:v>
                </c:pt>
                <c:pt idx="33">
                  <c:v>3.9600000000000026</c:v>
                </c:pt>
                <c:pt idx="34">
                  <c:v>4.0800000000000027</c:v>
                </c:pt>
                <c:pt idx="35">
                  <c:v>4.2000000000000028</c:v>
                </c:pt>
                <c:pt idx="36">
                  <c:v>4.3200000000000029</c:v>
                </c:pt>
                <c:pt idx="37">
                  <c:v>4.4400000000000031</c:v>
                </c:pt>
                <c:pt idx="38">
                  <c:v>4.5600000000000032</c:v>
                </c:pt>
                <c:pt idx="39">
                  <c:v>4.6800000000000033</c:v>
                </c:pt>
                <c:pt idx="40">
                  <c:v>4.8000000000000034</c:v>
                </c:pt>
                <c:pt idx="41">
                  <c:v>4.9200000000000035</c:v>
                </c:pt>
                <c:pt idx="42">
                  <c:v>5.0400000000000036</c:v>
                </c:pt>
                <c:pt idx="43">
                  <c:v>5.1600000000000037</c:v>
                </c:pt>
                <c:pt idx="44">
                  <c:v>5.2800000000000038</c:v>
                </c:pt>
                <c:pt idx="45">
                  <c:v>5.4000000000000039</c:v>
                </c:pt>
                <c:pt idx="46">
                  <c:v>5.520000000000004</c:v>
                </c:pt>
                <c:pt idx="47">
                  <c:v>5.6400000000000041</c:v>
                </c:pt>
                <c:pt idx="48">
                  <c:v>5.7600000000000042</c:v>
                </c:pt>
                <c:pt idx="49">
                  <c:v>5.8800000000000043</c:v>
                </c:pt>
                <c:pt idx="50">
                  <c:v>6.0000000000000044</c:v>
                </c:pt>
              </c:numCache>
            </c:numRef>
          </c:xVal>
          <c:yVal>
            <c:numRef>
              <c:f>'Slope &amp; Concavity Graphs '!$B$13:$B$63</c:f>
              <c:numCache>
                <c:formatCode>General</c:formatCode>
                <c:ptCount val="51"/>
                <c:pt idx="0">
                  <c:v>0</c:v>
                </c:pt>
                <c:pt idx="1">
                  <c:v>2.7521279999999999</c:v>
                </c:pt>
                <c:pt idx="2">
                  <c:v>5.2554239999999997</c:v>
                </c:pt>
                <c:pt idx="3">
                  <c:v>7.5202560000000007</c:v>
                </c:pt>
                <c:pt idx="4">
                  <c:v>9.5569919999999993</c:v>
                </c:pt>
                <c:pt idx="5">
                  <c:v>11.375999999999999</c:v>
                </c:pt>
                <c:pt idx="6">
                  <c:v>12.987648000000002</c:v>
                </c:pt>
                <c:pt idx="7">
                  <c:v>14.402304000000001</c:v>
                </c:pt>
                <c:pt idx="8">
                  <c:v>15.630336</c:v>
                </c:pt>
                <c:pt idx="9">
                  <c:v>16.682112000000004</c:v>
                </c:pt>
                <c:pt idx="10">
                  <c:v>17.568000000000001</c:v>
                </c:pt>
                <c:pt idx="11">
                  <c:v>18.298368000000004</c:v>
                </c:pt>
                <c:pt idx="12">
                  <c:v>18.883583999999999</c:v>
                </c:pt>
                <c:pt idx="13">
                  <c:v>19.334016000000002</c:v>
                </c:pt>
                <c:pt idx="14">
                  <c:v>19.660032000000001</c:v>
                </c:pt>
                <c:pt idx="15">
                  <c:v>19.872000000000003</c:v>
                </c:pt>
                <c:pt idx="16">
                  <c:v>19.980288000000002</c:v>
                </c:pt>
                <c:pt idx="17">
                  <c:v>19.995263999999999</c:v>
                </c:pt>
                <c:pt idx="18">
                  <c:v>19.927295999999998</c:v>
                </c:pt>
                <c:pt idx="19">
                  <c:v>19.786752</c:v>
                </c:pt>
                <c:pt idx="20">
                  <c:v>19.583999999999996</c:v>
                </c:pt>
                <c:pt idx="21">
                  <c:v>19.329408000000001</c:v>
                </c:pt>
                <c:pt idx="22">
                  <c:v>19.033343999999992</c:v>
                </c:pt>
                <c:pt idx="23">
                  <c:v>18.706175999999999</c:v>
                </c:pt>
                <c:pt idx="24">
                  <c:v>18.358271999999985</c:v>
                </c:pt>
                <c:pt idx="25">
                  <c:v>17.999999999999993</c:v>
                </c:pt>
                <c:pt idx="26">
                  <c:v>17.641728000000008</c:v>
                </c:pt>
                <c:pt idx="27">
                  <c:v>17.293824000000001</c:v>
                </c:pt>
                <c:pt idx="28">
                  <c:v>16.966655999999993</c:v>
                </c:pt>
                <c:pt idx="29">
                  <c:v>16.670591999999999</c:v>
                </c:pt>
                <c:pt idx="30">
                  <c:v>16.415999999999997</c:v>
                </c:pt>
                <c:pt idx="31">
                  <c:v>16.213247999999993</c:v>
                </c:pt>
                <c:pt idx="32">
                  <c:v>16.072704000000002</c:v>
                </c:pt>
                <c:pt idx="33">
                  <c:v>16.004735999999994</c:v>
                </c:pt>
                <c:pt idx="34">
                  <c:v>16.019712000000013</c:v>
                </c:pt>
                <c:pt idx="35">
                  <c:v>16.128</c:v>
                </c:pt>
                <c:pt idx="36">
                  <c:v>16.339967999999999</c:v>
                </c:pt>
                <c:pt idx="37">
                  <c:v>16.665983999999995</c:v>
                </c:pt>
                <c:pt idx="38">
                  <c:v>17.116416000000015</c:v>
                </c:pt>
                <c:pt idx="39">
                  <c:v>17.701632000000018</c:v>
                </c:pt>
                <c:pt idx="40">
                  <c:v>18.432000000000031</c:v>
                </c:pt>
                <c:pt idx="41">
                  <c:v>19.317888000000039</c:v>
                </c:pt>
                <c:pt idx="42">
                  <c:v>20.369664000000057</c:v>
                </c:pt>
                <c:pt idx="43">
                  <c:v>21.597696000000042</c:v>
                </c:pt>
                <c:pt idx="44">
                  <c:v>23.012352000000021</c:v>
                </c:pt>
                <c:pt idx="45">
                  <c:v>24.624000000000024</c:v>
                </c:pt>
                <c:pt idx="46">
                  <c:v>26.443008000000049</c:v>
                </c:pt>
                <c:pt idx="47">
                  <c:v>28.479744000000068</c:v>
                </c:pt>
                <c:pt idx="48">
                  <c:v>30.74457600000008</c:v>
                </c:pt>
                <c:pt idx="49">
                  <c:v>33.247872000000058</c:v>
                </c:pt>
                <c:pt idx="50">
                  <c:v>36.000000000000114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12-4253-8504-0FF9409C48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9959535"/>
        <c:axId val="1"/>
      </c:scatterChart>
      <c:valAx>
        <c:axId val="1009959535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9959535"/>
        <c:crossesAt val="0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Approximate Slope Graph (f'(x))</a:t>
            </a:r>
          </a:p>
        </c:rich>
      </c:tx>
      <c:layout>
        <c:manualLayout>
          <c:xMode val="edge"/>
          <c:yMode val="edge"/>
          <c:x val="0.12346076251338201"/>
          <c:y val="3.738447839080630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605311676257909"/>
          <c:y val="0.29907582712645042"/>
          <c:w val="0.84941004609206827"/>
          <c:h val="0.60749777385060244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'Slope &amp; Concavity Graphs '!$C$13:$C$63</c:f>
              <c:numCache>
                <c:formatCode>General</c:formatCode>
                <c:ptCount val="51"/>
                <c:pt idx="0">
                  <c:v>0</c:v>
                </c:pt>
                <c:pt idx="1">
                  <c:v>0.12</c:v>
                </c:pt>
                <c:pt idx="2">
                  <c:v>0.24</c:v>
                </c:pt>
                <c:pt idx="3">
                  <c:v>0.36</c:v>
                </c:pt>
                <c:pt idx="4">
                  <c:v>0.48</c:v>
                </c:pt>
                <c:pt idx="5">
                  <c:v>0.6</c:v>
                </c:pt>
                <c:pt idx="6">
                  <c:v>0.72</c:v>
                </c:pt>
                <c:pt idx="7">
                  <c:v>0.84</c:v>
                </c:pt>
                <c:pt idx="8">
                  <c:v>0.96</c:v>
                </c:pt>
                <c:pt idx="9">
                  <c:v>1.08</c:v>
                </c:pt>
                <c:pt idx="10">
                  <c:v>1.2000000000000002</c:v>
                </c:pt>
                <c:pt idx="11">
                  <c:v>1.3200000000000003</c:v>
                </c:pt>
                <c:pt idx="12">
                  <c:v>1.4400000000000004</c:v>
                </c:pt>
                <c:pt idx="13">
                  <c:v>1.5600000000000005</c:v>
                </c:pt>
                <c:pt idx="14">
                  <c:v>1.6800000000000006</c:v>
                </c:pt>
                <c:pt idx="15">
                  <c:v>1.8000000000000007</c:v>
                </c:pt>
                <c:pt idx="16">
                  <c:v>1.9200000000000008</c:v>
                </c:pt>
                <c:pt idx="17">
                  <c:v>2.0400000000000009</c:v>
                </c:pt>
                <c:pt idx="18">
                  <c:v>2.160000000000001</c:v>
                </c:pt>
                <c:pt idx="19">
                  <c:v>2.2800000000000011</c:v>
                </c:pt>
                <c:pt idx="20">
                  <c:v>2.4000000000000012</c:v>
                </c:pt>
                <c:pt idx="21">
                  <c:v>2.5200000000000014</c:v>
                </c:pt>
                <c:pt idx="22">
                  <c:v>2.6400000000000015</c:v>
                </c:pt>
                <c:pt idx="23">
                  <c:v>2.7600000000000016</c:v>
                </c:pt>
                <c:pt idx="24">
                  <c:v>2.8800000000000017</c:v>
                </c:pt>
                <c:pt idx="25">
                  <c:v>3.0000000000000018</c:v>
                </c:pt>
                <c:pt idx="26">
                  <c:v>3.1200000000000019</c:v>
                </c:pt>
                <c:pt idx="27">
                  <c:v>3.240000000000002</c:v>
                </c:pt>
                <c:pt idx="28">
                  <c:v>3.3600000000000021</c:v>
                </c:pt>
                <c:pt idx="29">
                  <c:v>3.4800000000000022</c:v>
                </c:pt>
                <c:pt idx="30">
                  <c:v>3.6000000000000023</c:v>
                </c:pt>
                <c:pt idx="31">
                  <c:v>3.7200000000000024</c:v>
                </c:pt>
                <c:pt idx="32">
                  <c:v>3.8400000000000025</c:v>
                </c:pt>
                <c:pt idx="33">
                  <c:v>3.9600000000000026</c:v>
                </c:pt>
                <c:pt idx="34">
                  <c:v>4.0800000000000027</c:v>
                </c:pt>
                <c:pt idx="35">
                  <c:v>4.2000000000000028</c:v>
                </c:pt>
                <c:pt idx="36">
                  <c:v>4.3200000000000029</c:v>
                </c:pt>
                <c:pt idx="37">
                  <c:v>4.4400000000000031</c:v>
                </c:pt>
                <c:pt idx="38">
                  <c:v>4.5600000000000032</c:v>
                </c:pt>
                <c:pt idx="39">
                  <c:v>4.6800000000000033</c:v>
                </c:pt>
                <c:pt idx="40">
                  <c:v>4.8000000000000034</c:v>
                </c:pt>
                <c:pt idx="41">
                  <c:v>4.9200000000000035</c:v>
                </c:pt>
                <c:pt idx="42">
                  <c:v>5.0400000000000036</c:v>
                </c:pt>
                <c:pt idx="43">
                  <c:v>5.1600000000000037</c:v>
                </c:pt>
                <c:pt idx="44">
                  <c:v>5.2800000000000038</c:v>
                </c:pt>
                <c:pt idx="45">
                  <c:v>5.4000000000000039</c:v>
                </c:pt>
                <c:pt idx="46">
                  <c:v>5.520000000000004</c:v>
                </c:pt>
                <c:pt idx="47">
                  <c:v>5.6400000000000041</c:v>
                </c:pt>
                <c:pt idx="48">
                  <c:v>5.7600000000000042</c:v>
                </c:pt>
                <c:pt idx="49">
                  <c:v>5.8800000000000043</c:v>
                </c:pt>
                <c:pt idx="50">
                  <c:v>6.0000000000000044</c:v>
                </c:pt>
              </c:numCache>
            </c:numRef>
          </c:xVal>
          <c:yVal>
            <c:numRef>
              <c:f>'Slope &amp; Concavity Graphs '!$D$13:$D$63</c:f>
              <c:numCache>
                <c:formatCode>General</c:formatCode>
                <c:ptCount val="51"/>
                <c:pt idx="0">
                  <c:v>24.000000010000001</c:v>
                </c:pt>
                <c:pt idx="1">
                  <c:v>21.883200010002213</c:v>
                </c:pt>
                <c:pt idx="2">
                  <c:v>19.85280000999623</c:v>
                </c:pt>
                <c:pt idx="3">
                  <c:v>17.90880000999806</c:v>
                </c:pt>
                <c:pt idx="4">
                  <c:v>16.051200009998823</c:v>
                </c:pt>
                <c:pt idx="5">
                  <c:v>14.280000010007399</c:v>
                </c:pt>
                <c:pt idx="6">
                  <c:v>12.595200009997143</c:v>
                </c:pt>
                <c:pt idx="7">
                  <c:v>10.996800010003582</c:v>
                </c:pt>
                <c:pt idx="8">
                  <c:v>9.4848000100178353</c:v>
                </c:pt>
                <c:pt idx="9">
                  <c:v>8.0592000100132566</c:v>
                </c:pt>
                <c:pt idx="10">
                  <c:v>6.720000010034255</c:v>
                </c:pt>
                <c:pt idx="11">
                  <c:v>5.4672000100097762</c:v>
                </c:pt>
                <c:pt idx="12">
                  <c:v>4.3008000100286381</c:v>
                </c:pt>
                <c:pt idx="13">
                  <c:v>3.2208000100197864</c:v>
                </c:pt>
                <c:pt idx="14">
                  <c:v>2.2272000100187483</c:v>
                </c:pt>
                <c:pt idx="15">
                  <c:v>1.3200000100255238</c:v>
                </c:pt>
                <c:pt idx="16">
                  <c:v>0.49920001000458569</c:v>
                </c:pt>
                <c:pt idx="17">
                  <c:v>-0.23519998999077529</c:v>
                </c:pt>
                <c:pt idx="18">
                  <c:v>-0.88319999006714056</c:v>
                </c:pt>
                <c:pt idx="19">
                  <c:v>-1.4447999900113473</c:v>
                </c:pt>
                <c:pt idx="20">
                  <c:v>-1.9199999900720854</c:v>
                </c:pt>
                <c:pt idx="21">
                  <c:v>-2.3087999899473743</c:v>
                </c:pt>
                <c:pt idx="22">
                  <c:v>-2.6111999900280125</c:v>
                </c:pt>
                <c:pt idx="23">
                  <c:v>-2.8271999899942557</c:v>
                </c:pt>
                <c:pt idx="24">
                  <c:v>-2.9567999900947939</c:v>
                </c:pt>
                <c:pt idx="25">
                  <c:v>-2.9999999899388285</c:v>
                </c:pt>
                <c:pt idx="26">
                  <c:v>-2.9567999900237396</c:v>
                </c:pt>
                <c:pt idx="27">
                  <c:v>-2.8271999899232014</c:v>
                </c:pt>
                <c:pt idx="28">
                  <c:v>-2.6111999900635396</c:v>
                </c:pt>
                <c:pt idx="29">
                  <c:v>-2.3087999898763201</c:v>
                </c:pt>
                <c:pt idx="30">
                  <c:v>-1.9199999900365583</c:v>
                </c:pt>
                <c:pt idx="31">
                  <c:v>-1.444799989940293</c:v>
                </c:pt>
                <c:pt idx="32">
                  <c:v>-0.88319999008490413</c:v>
                </c:pt>
                <c:pt idx="33">
                  <c:v>-0.235199990044066</c:v>
                </c:pt>
                <c:pt idx="34">
                  <c:v>0.49920001004011283</c:v>
                </c:pt>
                <c:pt idx="35">
                  <c:v>1.3200000098834153</c:v>
                </c:pt>
                <c:pt idx="36">
                  <c:v>2.2272000099121669</c:v>
                </c:pt>
                <c:pt idx="37">
                  <c:v>3.220800009913205</c:v>
                </c:pt>
                <c:pt idx="38">
                  <c:v>4.3008000099575838</c:v>
                </c:pt>
                <c:pt idx="39">
                  <c:v>5.467200009974249</c:v>
                </c:pt>
                <c:pt idx="40">
                  <c:v>6.720000010034255</c:v>
                </c:pt>
                <c:pt idx="41">
                  <c:v>8.059200009995493</c:v>
                </c:pt>
                <c:pt idx="42">
                  <c:v>9.4848000100000718</c:v>
                </c:pt>
                <c:pt idx="43">
                  <c:v>10.996800010047991</c:v>
                </c:pt>
                <c:pt idx="44">
                  <c:v>12.595200009997143</c:v>
                </c:pt>
                <c:pt idx="45">
                  <c:v>14.280000009847527</c:v>
                </c:pt>
                <c:pt idx="46">
                  <c:v>16.05120000988336</c:v>
                </c:pt>
                <c:pt idx="47">
                  <c:v>17.908800009962533</c:v>
                </c:pt>
                <c:pt idx="48">
                  <c:v>19.852800010085048</c:v>
                </c:pt>
                <c:pt idx="49">
                  <c:v>21.883200009824577</c:v>
                </c:pt>
                <c:pt idx="50">
                  <c:v>24.000000010033773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5F8-4D45-AE3C-A4B8C4906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635567"/>
        <c:axId val="1"/>
      </c:scatterChart>
      <c:valAx>
        <c:axId val="942635567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263556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Approximate Concavity Graph (f''(x))</a:t>
            </a:r>
          </a:p>
        </c:rich>
      </c:tx>
      <c:layout>
        <c:manualLayout>
          <c:xMode val="edge"/>
          <c:yMode val="edge"/>
          <c:x val="0.13366759700383438"/>
          <c:y val="3.37565565386652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86499004030336"/>
          <c:y val="0.35866341322331824"/>
          <c:w val="0.81190688550477186"/>
          <c:h val="0.5316657654839775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'Slope &amp; Concavity Graphs '!$E$14:$E$62</c:f>
              <c:numCache>
                <c:formatCode>0.00</c:formatCode>
                <c:ptCount val="49"/>
                <c:pt idx="0">
                  <c:v>0.12</c:v>
                </c:pt>
                <c:pt idx="1">
                  <c:v>0.24</c:v>
                </c:pt>
                <c:pt idx="2">
                  <c:v>0.36</c:v>
                </c:pt>
                <c:pt idx="3">
                  <c:v>0.48</c:v>
                </c:pt>
                <c:pt idx="4">
                  <c:v>0.6</c:v>
                </c:pt>
                <c:pt idx="5">
                  <c:v>0.72</c:v>
                </c:pt>
                <c:pt idx="6">
                  <c:v>0.84</c:v>
                </c:pt>
                <c:pt idx="7">
                  <c:v>0.96</c:v>
                </c:pt>
                <c:pt idx="8">
                  <c:v>1.08</c:v>
                </c:pt>
                <c:pt idx="9">
                  <c:v>1.2000000000000002</c:v>
                </c:pt>
                <c:pt idx="10">
                  <c:v>1.3200000000000003</c:v>
                </c:pt>
                <c:pt idx="11">
                  <c:v>1.4400000000000004</c:v>
                </c:pt>
                <c:pt idx="12">
                  <c:v>1.5600000000000005</c:v>
                </c:pt>
                <c:pt idx="13">
                  <c:v>1.6800000000000006</c:v>
                </c:pt>
                <c:pt idx="14">
                  <c:v>1.8000000000000007</c:v>
                </c:pt>
                <c:pt idx="15">
                  <c:v>1.9200000000000008</c:v>
                </c:pt>
                <c:pt idx="16">
                  <c:v>2.0400000000000009</c:v>
                </c:pt>
                <c:pt idx="17">
                  <c:v>2.160000000000001</c:v>
                </c:pt>
                <c:pt idx="18">
                  <c:v>2.2800000000000011</c:v>
                </c:pt>
                <c:pt idx="19">
                  <c:v>2.4000000000000012</c:v>
                </c:pt>
                <c:pt idx="20">
                  <c:v>2.5200000000000014</c:v>
                </c:pt>
                <c:pt idx="21">
                  <c:v>2.6400000000000015</c:v>
                </c:pt>
                <c:pt idx="22">
                  <c:v>2.7600000000000016</c:v>
                </c:pt>
                <c:pt idx="23">
                  <c:v>2.8800000000000017</c:v>
                </c:pt>
                <c:pt idx="24">
                  <c:v>3.0000000000000018</c:v>
                </c:pt>
                <c:pt idx="25">
                  <c:v>3.1200000000000019</c:v>
                </c:pt>
                <c:pt idx="26">
                  <c:v>3.240000000000002</c:v>
                </c:pt>
                <c:pt idx="27">
                  <c:v>3.3600000000000021</c:v>
                </c:pt>
                <c:pt idx="28">
                  <c:v>3.4800000000000022</c:v>
                </c:pt>
                <c:pt idx="29">
                  <c:v>3.6000000000000023</c:v>
                </c:pt>
                <c:pt idx="30">
                  <c:v>3.7200000000000024</c:v>
                </c:pt>
                <c:pt idx="31">
                  <c:v>3.8400000000000025</c:v>
                </c:pt>
                <c:pt idx="32">
                  <c:v>3.9600000000000026</c:v>
                </c:pt>
                <c:pt idx="33">
                  <c:v>4.0800000000000027</c:v>
                </c:pt>
                <c:pt idx="34">
                  <c:v>4.2000000000000028</c:v>
                </c:pt>
                <c:pt idx="35">
                  <c:v>4.3200000000000029</c:v>
                </c:pt>
                <c:pt idx="36">
                  <c:v>4.4400000000000031</c:v>
                </c:pt>
                <c:pt idx="37">
                  <c:v>4.5600000000000032</c:v>
                </c:pt>
                <c:pt idx="38">
                  <c:v>4.6800000000000033</c:v>
                </c:pt>
                <c:pt idx="39">
                  <c:v>4.8000000000000034</c:v>
                </c:pt>
                <c:pt idx="40">
                  <c:v>4.9200000000000035</c:v>
                </c:pt>
                <c:pt idx="41">
                  <c:v>5.0400000000000036</c:v>
                </c:pt>
                <c:pt idx="42">
                  <c:v>5.1600000000000037</c:v>
                </c:pt>
                <c:pt idx="43">
                  <c:v>5.2800000000000038</c:v>
                </c:pt>
                <c:pt idx="44">
                  <c:v>5.4000000000000039</c:v>
                </c:pt>
                <c:pt idx="45">
                  <c:v>5.520000000000004</c:v>
                </c:pt>
                <c:pt idx="46">
                  <c:v>5.6400000000000041</c:v>
                </c:pt>
                <c:pt idx="47">
                  <c:v>5.7600000000000042</c:v>
                </c:pt>
                <c:pt idx="48">
                  <c:v>5.8800000000000043</c:v>
                </c:pt>
              </c:numCache>
            </c:numRef>
          </c:xVal>
          <c:yVal>
            <c:numRef>
              <c:f>'Slope &amp; Concavity Graphs '!$F$14:$F$62</c:f>
              <c:numCache>
                <c:formatCode>0</c:formatCode>
                <c:ptCount val="49"/>
                <c:pt idx="0">
                  <c:v>-17.639999999981569</c:v>
                </c:pt>
                <c:pt idx="1">
                  <c:v>-16.92000000004986</c:v>
                </c:pt>
                <c:pt idx="2">
                  <c:v>-16.199999999984747</c:v>
                </c:pt>
                <c:pt idx="3">
                  <c:v>-15.479999999993648</c:v>
                </c:pt>
                <c:pt idx="4">
                  <c:v>-14.759999999928535</c:v>
                </c:pt>
                <c:pt idx="5">
                  <c:v>-14.040000000085467</c:v>
                </c:pt>
                <c:pt idx="6">
                  <c:v>-13.319999999946338</c:v>
                </c:pt>
                <c:pt idx="7">
                  <c:v>-12.599999999881225</c:v>
                </c:pt>
                <c:pt idx="8">
                  <c:v>-11.880000000038157</c:v>
                </c:pt>
                <c:pt idx="9">
                  <c:v>-11.159999999825015</c:v>
                </c:pt>
                <c:pt idx="10">
                  <c:v>-10.440000000203991</c:v>
                </c:pt>
                <c:pt idx="11">
                  <c:v>-9.7199999998428179</c:v>
                </c:pt>
                <c:pt idx="12">
                  <c:v>-9.000000000073765</c:v>
                </c:pt>
                <c:pt idx="13">
                  <c:v>-8.280000000008652</c:v>
                </c:pt>
                <c:pt idx="14">
                  <c:v>-7.5599999999435381</c:v>
                </c:pt>
                <c:pt idx="15">
                  <c:v>-6.8400000001744843</c:v>
                </c:pt>
                <c:pt idx="16">
                  <c:v>-6.1199999999613421</c:v>
                </c:pt>
                <c:pt idx="17">
                  <c:v>-5.4000000006363775</c:v>
                </c:pt>
                <c:pt idx="18">
                  <c:v>-4.6799999995350561</c:v>
                </c:pt>
                <c:pt idx="19">
                  <c:v>-3.9600000005061515</c:v>
                </c:pt>
                <c:pt idx="20">
                  <c:v>-3.2399999989607409</c:v>
                </c:pt>
                <c:pt idx="21">
                  <c:v>-2.5200000006719847</c:v>
                </c:pt>
                <c:pt idx="22">
                  <c:v>-1.7999999997186933</c:v>
                </c:pt>
                <c:pt idx="23">
                  <c:v>-1.0800000008378183</c:v>
                </c:pt>
                <c:pt idx="24">
                  <c:v>-0.35999999870028887</c:v>
                </c:pt>
                <c:pt idx="25">
                  <c:v>0.35999999929240784</c:v>
                </c:pt>
                <c:pt idx="26">
                  <c:v>1.0800000008378183</c:v>
                </c:pt>
                <c:pt idx="27">
                  <c:v>1.7999999988305149</c:v>
                </c:pt>
                <c:pt idx="28">
                  <c:v>2.5200000015601631</c:v>
                </c:pt>
                <c:pt idx="29">
                  <c:v>3.2399999986646817</c:v>
                </c:pt>
                <c:pt idx="30">
                  <c:v>3.9600000008022107</c:v>
                </c:pt>
                <c:pt idx="31">
                  <c:v>4.6799999987949077</c:v>
                </c:pt>
                <c:pt idx="32">
                  <c:v>5.4000000003403184</c:v>
                </c:pt>
                <c:pt idx="33">
                  <c:v>6.1200000007014905</c:v>
                </c:pt>
                <c:pt idx="34">
                  <c:v>6.8399999986941875</c:v>
                </c:pt>
                <c:pt idx="35">
                  <c:v>7.5600000002395973</c:v>
                </c:pt>
                <c:pt idx="36">
                  <c:v>8.280000000008652</c:v>
                </c:pt>
                <c:pt idx="37">
                  <c:v>9.0000000003698233</c:v>
                </c:pt>
                <c:pt idx="38">
                  <c:v>9.720000000138878</c:v>
                </c:pt>
                <c:pt idx="39">
                  <c:v>10.440000000500049</c:v>
                </c:pt>
                <c:pt idx="40">
                  <c:v>11.159999999676984</c:v>
                </c:pt>
                <c:pt idx="41">
                  <c:v>11.880000000038157</c:v>
                </c:pt>
                <c:pt idx="42">
                  <c:v>12.60000000039933</c:v>
                </c:pt>
                <c:pt idx="43">
                  <c:v>13.319999999576265</c:v>
                </c:pt>
                <c:pt idx="44">
                  <c:v>14.039999998753199</c:v>
                </c:pt>
                <c:pt idx="45">
                  <c:v>14.760000000298609</c:v>
                </c:pt>
                <c:pt idx="46">
                  <c:v>15.480000000659782</c:v>
                </c:pt>
                <c:pt idx="47">
                  <c:v>16.200000001020953</c:v>
                </c:pt>
                <c:pt idx="48">
                  <c:v>16.919999997829414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0E-4A22-8055-B0C646A6BE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2633487"/>
        <c:axId val="1"/>
      </c:scatterChart>
      <c:valAx>
        <c:axId val="942633487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5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2633487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88900</xdr:colOff>
      <xdr:row>9</xdr:row>
      <xdr:rowOff>95250</xdr:rowOff>
    </xdr:from>
    <xdr:to>
      <xdr:col>13</xdr:col>
      <xdr:colOff>965200</xdr:colOff>
      <xdr:row>22</xdr:row>
      <xdr:rowOff>95250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5612B1F2-B285-4184-A085-EDB2AE71C6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31750</xdr:colOff>
      <xdr:row>0</xdr:row>
      <xdr:rowOff>57150</xdr:rowOff>
    </xdr:from>
    <xdr:to>
      <xdr:col>10</xdr:col>
      <xdr:colOff>647700</xdr:colOff>
      <xdr:row>9</xdr:row>
      <xdr:rowOff>95250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C176654A-B1C5-4B49-AC61-6CCB1CB46E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31750</xdr:colOff>
      <xdr:row>9</xdr:row>
      <xdr:rowOff>146050</xdr:rowOff>
    </xdr:from>
    <xdr:to>
      <xdr:col>10</xdr:col>
      <xdr:colOff>647700</xdr:colOff>
      <xdr:row>18</xdr:row>
      <xdr:rowOff>63500</xdr:rowOff>
    </xdr:to>
    <xdr:graphicFrame macro="">
      <xdr:nvGraphicFramePr>
        <xdr:cNvPr id="2050" name="Chart 2">
          <a:extLst>
            <a:ext uri="{FF2B5EF4-FFF2-40B4-BE49-F238E27FC236}">
              <a16:creationId xmlns:a16="http://schemas.microsoft.com/office/drawing/2014/main" id="{8E32EB44-1CB1-453F-98AA-6A554C042D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50800</xdr:colOff>
      <xdr:row>18</xdr:row>
      <xdr:rowOff>114300</xdr:rowOff>
    </xdr:from>
    <xdr:to>
      <xdr:col>10</xdr:col>
      <xdr:colOff>660400</xdr:colOff>
      <xdr:row>28</xdr:row>
      <xdr:rowOff>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C84D73C4-253B-4FED-831D-64A495DB8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546100</xdr:colOff>
      <xdr:row>2</xdr:row>
      <xdr:rowOff>76200</xdr:rowOff>
    </xdr:from>
    <xdr:to>
      <xdr:col>8</xdr:col>
      <xdr:colOff>546100</xdr:colOff>
      <xdr:row>27</xdr:row>
      <xdr:rowOff>19050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1982D0EC-BFE9-484B-A4CD-89D11335523A}"/>
            </a:ext>
          </a:extLst>
        </xdr:cNvPr>
        <xdr:cNvSpPr>
          <a:spLocks noChangeShapeType="1"/>
        </xdr:cNvSpPr>
      </xdr:nvSpPr>
      <xdr:spPr bwMode="auto">
        <a:xfrm>
          <a:off x="6172200" y="406400"/>
          <a:ext cx="0" cy="39878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v2TmpSm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/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zoomScale="65" workbookViewId="0">
      <selection activeCell="A3" sqref="A3"/>
    </sheetView>
  </sheetViews>
  <sheetFormatPr defaultRowHeight="12.5" x14ac:dyDescent="0.25"/>
  <cols>
    <col min="11" max="11" width="12.54296875" customWidth="1"/>
  </cols>
  <sheetData>
    <row r="1" spans="1:2" ht="13" x14ac:dyDescent="0.3">
      <c r="A1" s="45" t="s">
        <v>0</v>
      </c>
    </row>
    <row r="2" spans="1:2" x14ac:dyDescent="0.25">
      <c r="B2" t="s">
        <v>1</v>
      </c>
    </row>
    <row r="4" spans="1:2" ht="13" x14ac:dyDescent="0.3">
      <c r="A4" t="s">
        <v>2</v>
      </c>
    </row>
    <row r="5" spans="1:2" x14ac:dyDescent="0.25">
      <c r="B5" t="s">
        <v>161</v>
      </c>
    </row>
    <row r="7" spans="1:2" ht="13" x14ac:dyDescent="0.3">
      <c r="A7" s="46" t="s">
        <v>3</v>
      </c>
    </row>
    <row r="8" spans="1:2" ht="13" x14ac:dyDescent="0.3">
      <c r="A8" s="46"/>
      <c r="B8" t="s">
        <v>4</v>
      </c>
    </row>
    <row r="9" spans="1:2" ht="13" x14ac:dyDescent="0.3">
      <c r="A9" s="47"/>
    </row>
    <row r="10" spans="1:2" ht="13" x14ac:dyDescent="0.3">
      <c r="A10" t="s">
        <v>5</v>
      </c>
    </row>
    <row r="11" spans="1:2" ht="13" x14ac:dyDescent="0.3">
      <c r="B11" s="4" t="s">
        <v>6</v>
      </c>
    </row>
    <row r="12" spans="1:2" x14ac:dyDescent="0.25">
      <c r="B12" t="s">
        <v>7</v>
      </c>
    </row>
    <row r="13" spans="1:2" x14ac:dyDescent="0.25">
      <c r="B13" t="s">
        <v>8</v>
      </c>
    </row>
    <row r="14" spans="1:2" ht="13" x14ac:dyDescent="0.3">
      <c r="B14" t="s">
        <v>9</v>
      </c>
    </row>
    <row r="15" spans="1:2" ht="13" x14ac:dyDescent="0.3">
      <c r="B15" t="s">
        <v>175</v>
      </c>
    </row>
    <row r="17" spans="1:2" ht="13" x14ac:dyDescent="0.3">
      <c r="A17" t="s">
        <v>172</v>
      </c>
    </row>
    <row r="19" spans="1:2" ht="13" x14ac:dyDescent="0.3">
      <c r="A19" t="s">
        <v>170</v>
      </c>
    </row>
    <row r="20" spans="1:2" ht="13" x14ac:dyDescent="0.3">
      <c r="B20" t="s">
        <v>171</v>
      </c>
    </row>
    <row r="21" spans="1:2" ht="13" x14ac:dyDescent="0.3">
      <c r="B21" s="3" t="s">
        <v>174</v>
      </c>
    </row>
    <row r="22" spans="1:2" ht="13" x14ac:dyDescent="0.3">
      <c r="B22" t="s">
        <v>173</v>
      </c>
    </row>
    <row r="23" spans="1:2" ht="13" x14ac:dyDescent="0.3">
      <c r="B23" s="3"/>
    </row>
    <row r="24" spans="1:2" ht="13" x14ac:dyDescent="0.3">
      <c r="A24" t="s">
        <v>10</v>
      </c>
    </row>
    <row r="25" spans="1:2" x14ac:dyDescent="0.25">
      <c r="B25" s="2" t="s">
        <v>11</v>
      </c>
    </row>
    <row r="27" spans="1:2" ht="13" x14ac:dyDescent="0.3">
      <c r="A27" s="3" t="s">
        <v>12</v>
      </c>
    </row>
    <row r="28" spans="1:2" ht="13" x14ac:dyDescent="0.3">
      <c r="A28" s="3"/>
    </row>
    <row r="29" spans="1:2" ht="13" x14ac:dyDescent="0.3">
      <c r="A29" s="3" t="s">
        <v>13</v>
      </c>
    </row>
    <row r="30" spans="1:2" ht="13" x14ac:dyDescent="0.3">
      <c r="A30" s="3"/>
      <c r="B30" t="s">
        <v>14</v>
      </c>
    </row>
    <row r="32" spans="1:2" x14ac:dyDescent="0.25">
      <c r="A32" t="s">
        <v>160</v>
      </c>
    </row>
    <row r="34" spans="1:2" ht="13" x14ac:dyDescent="0.3">
      <c r="A34" s="47" t="s">
        <v>15</v>
      </c>
    </row>
    <row r="35" spans="1:2" ht="13" x14ac:dyDescent="0.3">
      <c r="A35" s="47"/>
      <c r="B35" t="s">
        <v>16</v>
      </c>
    </row>
    <row r="36" spans="1:2" x14ac:dyDescent="0.25">
      <c r="B36" t="s">
        <v>17</v>
      </c>
    </row>
    <row r="37" spans="1:2" x14ac:dyDescent="0.25">
      <c r="B37" t="s">
        <v>18</v>
      </c>
    </row>
  </sheetData>
  <sheetProtection sheet="1" objects="1" scenario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9"/>
  <sheetViews>
    <sheetView zoomScale="75" workbookViewId="0">
      <selection activeCell="A9" sqref="A9"/>
    </sheetView>
  </sheetViews>
  <sheetFormatPr defaultRowHeight="12.5" x14ac:dyDescent="0.25"/>
  <cols>
    <col min="2" max="2" width="7.81640625" customWidth="1"/>
    <col min="3" max="3" width="5" customWidth="1"/>
    <col min="4" max="4" width="4.81640625" customWidth="1"/>
    <col min="5" max="5" width="13" customWidth="1"/>
    <col min="6" max="6" width="6.1796875" customWidth="1"/>
    <col min="8" max="8" width="7" customWidth="1"/>
    <col min="9" max="9" width="7.81640625" customWidth="1"/>
    <col min="10" max="10" width="6.1796875" customWidth="1"/>
    <col min="11" max="11" width="6.54296875" customWidth="1"/>
    <col min="13" max="13" width="17.26953125" customWidth="1"/>
    <col min="14" max="14" width="11.26953125" customWidth="1"/>
  </cols>
  <sheetData>
    <row r="1" spans="1:14" ht="13" x14ac:dyDescent="0.3">
      <c r="A1" s="20" t="s">
        <v>19</v>
      </c>
      <c r="B1" s="2"/>
      <c r="C1" s="2"/>
    </row>
    <row r="2" spans="1:14" ht="13" x14ac:dyDescent="0.3">
      <c r="A2" s="1" t="s">
        <v>20</v>
      </c>
    </row>
    <row r="3" spans="1:14" ht="13" x14ac:dyDescent="0.3">
      <c r="A3" s="3" t="s">
        <v>21</v>
      </c>
    </row>
    <row r="4" spans="1:14" ht="13" x14ac:dyDescent="0.3">
      <c r="A4" s="2" t="s">
        <v>22</v>
      </c>
    </row>
    <row r="5" spans="1:14" ht="13" x14ac:dyDescent="0.3">
      <c r="A5" t="s">
        <v>23</v>
      </c>
    </row>
    <row r="6" spans="1:14" x14ac:dyDescent="0.25">
      <c r="A6" s="4" t="s">
        <v>24</v>
      </c>
    </row>
    <row r="7" spans="1:14" x14ac:dyDescent="0.25">
      <c r="A7" s="4"/>
    </row>
    <row r="8" spans="1:14" ht="14.5" x14ac:dyDescent="0.25">
      <c r="A8" s="10" t="s">
        <v>25</v>
      </c>
      <c r="B8" s="10" t="s">
        <v>26</v>
      </c>
      <c r="C8" s="10" t="s">
        <v>27</v>
      </c>
      <c r="D8" s="10" t="s">
        <v>28</v>
      </c>
      <c r="E8" s="10" t="s">
        <v>29</v>
      </c>
      <c r="F8" s="10" t="s">
        <v>30</v>
      </c>
      <c r="G8" s="10" t="s">
        <v>31</v>
      </c>
      <c r="H8" s="10" t="s">
        <v>32</v>
      </c>
      <c r="I8" s="10" t="s">
        <v>33</v>
      </c>
      <c r="J8" s="10" t="s">
        <v>34</v>
      </c>
      <c r="K8" s="10" t="s">
        <v>35</v>
      </c>
      <c r="L8" s="10" t="s">
        <v>29</v>
      </c>
      <c r="M8" s="10" t="s">
        <v>36</v>
      </c>
      <c r="N8" s="10" t="s">
        <v>37</v>
      </c>
    </row>
    <row r="9" spans="1:14" x14ac:dyDescent="0.25">
      <c r="A9" s="13">
        <v>0</v>
      </c>
      <c r="B9" s="13">
        <v>2</v>
      </c>
      <c r="C9">
        <f t="shared" ref="C9:C41" si="0">IF(ISBLANK(A9)," ",+A9)</f>
        <v>0</v>
      </c>
      <c r="D9">
        <f t="shared" ref="D9:D41" si="1">IF(ISBLANK(B9)," ",1)</f>
        <v>1</v>
      </c>
      <c r="E9" s="15">
        <v>20</v>
      </c>
      <c r="F9">
        <f t="shared" ref="F9:F23" si="2">IF(ISBLANK(B9)," ",+$E$9-B9)</f>
        <v>18</v>
      </c>
      <c r="G9">
        <f t="shared" ref="G9:G23" si="3">IF(ISBLANK(B9)," ",+LN(ABS(F9/B9)))</f>
        <v>2.1972245773362196</v>
      </c>
      <c r="H9">
        <f>IF(ISBLANK(A9)," ",$E$9/(1+$C$48*EXP(-$C$46*A9)))</f>
        <v>1.5954800887928351</v>
      </c>
      <c r="I9">
        <f t="shared" ref="I9:I23" si="4">IF(ISBLANK(B9)," ",+B9-H9)</f>
        <v>0.40451991120716491</v>
      </c>
      <c r="J9">
        <f t="shared" ref="J9:J23" si="5">IF(ISBLANK(B9)," ",+I9^2)</f>
        <v>0.16363635856305259</v>
      </c>
      <c r="K9" s="41">
        <f>SUM(J9:INDEX(J9:J41,B43))</f>
        <v>2.9972335267739565</v>
      </c>
      <c r="L9" s="14">
        <f>+E9</f>
        <v>20</v>
      </c>
      <c r="M9" s="14">
        <f>+C48</f>
        <v>11.535411842796679</v>
      </c>
      <c r="N9" s="14">
        <f>+C46</f>
        <v>0.5657613213011311</v>
      </c>
    </row>
    <row r="10" spans="1:14" x14ac:dyDescent="0.25">
      <c r="A10" s="13">
        <v>1</v>
      </c>
      <c r="B10" s="13">
        <v>3</v>
      </c>
      <c r="C10">
        <f t="shared" si="0"/>
        <v>1</v>
      </c>
      <c r="D10">
        <f t="shared" si="1"/>
        <v>1</v>
      </c>
      <c r="F10">
        <f t="shared" si="2"/>
        <v>17</v>
      </c>
      <c r="G10">
        <f t="shared" si="3"/>
        <v>1.7346010553881064</v>
      </c>
      <c r="H10">
        <f t="shared" ref="H10:H41" si="6">IF(ISBLANK(A10)," ",$E$9/(1+$C$48*EXP(-$C$46*A10)))</f>
        <v>2.6485580021589081</v>
      </c>
      <c r="I10">
        <f t="shared" si="4"/>
        <v>0.35144199784109187</v>
      </c>
      <c r="J10">
        <f t="shared" si="5"/>
        <v>0.12351147784653803</v>
      </c>
    </row>
    <row r="11" spans="1:14" x14ac:dyDescent="0.25">
      <c r="A11" s="13">
        <v>2</v>
      </c>
      <c r="B11" s="13">
        <v>4</v>
      </c>
      <c r="C11">
        <f t="shared" si="0"/>
        <v>2</v>
      </c>
      <c r="D11">
        <f t="shared" si="1"/>
        <v>1</v>
      </c>
      <c r="E11" s="10" t="s">
        <v>38</v>
      </c>
      <c r="F11">
        <f t="shared" si="2"/>
        <v>16</v>
      </c>
      <c r="G11">
        <f t="shared" si="3"/>
        <v>1.3862943611198906</v>
      </c>
      <c r="H11">
        <f t="shared" si="6"/>
        <v>4.2367027946293607</v>
      </c>
      <c r="I11">
        <f t="shared" si="4"/>
        <v>-0.23670279462936072</v>
      </c>
      <c r="J11">
        <f t="shared" si="5"/>
        <v>5.6028212985349317E-2</v>
      </c>
    </row>
    <row r="12" spans="1:14" x14ac:dyDescent="0.25">
      <c r="A12" s="13">
        <v>3</v>
      </c>
      <c r="B12" s="13">
        <v>6</v>
      </c>
      <c r="C12">
        <f t="shared" si="0"/>
        <v>3</v>
      </c>
      <c r="D12">
        <f t="shared" si="1"/>
        <v>1</v>
      </c>
      <c r="E12">
        <f>MAX(N29:N51)</f>
        <v>19</v>
      </c>
      <c r="F12">
        <f t="shared" si="2"/>
        <v>14</v>
      </c>
      <c r="G12">
        <f t="shared" si="3"/>
        <v>0.84729786038720367</v>
      </c>
      <c r="H12">
        <f t="shared" si="6"/>
        <v>6.4245447416755379</v>
      </c>
      <c r="I12">
        <f t="shared" si="4"/>
        <v>-0.42454474167553791</v>
      </c>
      <c r="J12">
        <f t="shared" si="5"/>
        <v>0.18023823768434921</v>
      </c>
    </row>
    <row r="13" spans="1:14" x14ac:dyDescent="0.25">
      <c r="A13" s="13">
        <v>4</v>
      </c>
      <c r="B13" s="13">
        <v>8</v>
      </c>
      <c r="C13">
        <f t="shared" si="0"/>
        <v>4</v>
      </c>
      <c r="D13">
        <f t="shared" si="1"/>
        <v>1</v>
      </c>
      <c r="F13">
        <f t="shared" si="2"/>
        <v>12</v>
      </c>
      <c r="G13">
        <f t="shared" si="3"/>
        <v>0.40546510810816438</v>
      </c>
      <c r="H13">
        <f t="shared" si="6"/>
        <v>9.0906375903780212</v>
      </c>
      <c r="I13">
        <f t="shared" si="4"/>
        <v>-1.0906375903780212</v>
      </c>
      <c r="J13">
        <f t="shared" si="5"/>
        <v>1.1894903535455763</v>
      </c>
    </row>
    <row r="14" spans="1:14" x14ac:dyDescent="0.25">
      <c r="A14" s="13">
        <v>5</v>
      </c>
      <c r="B14" s="13">
        <v>11</v>
      </c>
      <c r="C14">
        <f t="shared" si="0"/>
        <v>5</v>
      </c>
      <c r="D14">
        <f t="shared" si="1"/>
        <v>1</v>
      </c>
      <c r="E14" s="48" t="s">
        <v>39</v>
      </c>
      <c r="F14">
        <f t="shared" si="2"/>
        <v>9</v>
      </c>
      <c r="G14">
        <f t="shared" si="3"/>
        <v>-0.20067069546215111</v>
      </c>
      <c r="H14">
        <f t="shared" si="6"/>
        <v>11.893785329739032</v>
      </c>
      <c r="I14">
        <f t="shared" si="4"/>
        <v>-0.89378532973903191</v>
      </c>
      <c r="J14">
        <f t="shared" si="5"/>
        <v>0.79885221565671005</v>
      </c>
    </row>
    <row r="15" spans="1:14" x14ac:dyDescent="0.25">
      <c r="A15" s="13">
        <v>6</v>
      </c>
      <c r="B15" s="13">
        <v>14</v>
      </c>
      <c r="C15">
        <f t="shared" si="0"/>
        <v>6</v>
      </c>
      <c r="D15">
        <f t="shared" si="1"/>
        <v>1</v>
      </c>
      <c r="E15">
        <f>1.0001*E12</f>
        <v>19.001899999999999</v>
      </c>
      <c r="F15">
        <f t="shared" si="2"/>
        <v>6</v>
      </c>
      <c r="G15">
        <f t="shared" si="3"/>
        <v>-0.84729786038720367</v>
      </c>
      <c r="H15">
        <f t="shared" si="6"/>
        <v>14.418869326092041</v>
      </c>
      <c r="I15">
        <f t="shared" si="4"/>
        <v>-0.41886932609204131</v>
      </c>
      <c r="J15">
        <f t="shared" si="5"/>
        <v>0.17545151234080084</v>
      </c>
    </row>
    <row r="16" spans="1:14" x14ac:dyDescent="0.25">
      <c r="A16" s="13">
        <v>7</v>
      </c>
      <c r="B16" s="13">
        <v>16</v>
      </c>
      <c r="C16">
        <f t="shared" si="0"/>
        <v>7</v>
      </c>
      <c r="D16">
        <f t="shared" si="1"/>
        <v>1</v>
      </c>
      <c r="F16">
        <f t="shared" si="2"/>
        <v>4</v>
      </c>
      <c r="G16">
        <f t="shared" si="3"/>
        <v>-1.3862943611198906</v>
      </c>
      <c r="H16">
        <f t="shared" si="6"/>
        <v>16.395747648549619</v>
      </c>
      <c r="I16">
        <f t="shared" si="4"/>
        <v>-0.39574764854961941</v>
      </c>
      <c r="J16">
        <f t="shared" si="5"/>
        <v>0.15661620133255308</v>
      </c>
    </row>
    <row r="17" spans="1:14" x14ac:dyDescent="0.25">
      <c r="A17" s="13">
        <v>8</v>
      </c>
      <c r="B17" s="13">
        <v>18</v>
      </c>
      <c r="C17">
        <f t="shared" si="0"/>
        <v>8</v>
      </c>
      <c r="D17">
        <f t="shared" si="1"/>
        <v>1</v>
      </c>
      <c r="E17" s="49" t="s">
        <v>40</v>
      </c>
      <c r="F17">
        <f t="shared" si="2"/>
        <v>2</v>
      </c>
      <c r="G17">
        <f t="shared" si="3"/>
        <v>-2.1972245773362196</v>
      </c>
      <c r="H17">
        <f t="shared" si="6"/>
        <v>17.780201181659642</v>
      </c>
      <c r="I17">
        <f t="shared" si="4"/>
        <v>0.21979881834035808</v>
      </c>
      <c r="J17">
        <f t="shared" si="5"/>
        <v>4.8311520543817731E-2</v>
      </c>
      <c r="M17">
        <f>IF(ISBLANK(B17)," ",B17)</f>
        <v>18</v>
      </c>
    </row>
    <row r="18" spans="1:14" x14ac:dyDescent="0.25">
      <c r="A18" s="13">
        <v>9</v>
      </c>
      <c r="B18" s="13">
        <v>19</v>
      </c>
      <c r="C18">
        <f t="shared" si="0"/>
        <v>9</v>
      </c>
      <c r="D18">
        <f t="shared" si="1"/>
        <v>1</v>
      </c>
      <c r="E18" s="49" t="s">
        <v>41</v>
      </c>
      <c r="F18">
        <f t="shared" si="2"/>
        <v>1</v>
      </c>
      <c r="G18">
        <f t="shared" si="3"/>
        <v>-2.9444389791664407</v>
      </c>
      <c r="H18">
        <f t="shared" si="6"/>
        <v>18.675812652505979</v>
      </c>
      <c r="I18">
        <f t="shared" si="4"/>
        <v>0.32418734749402134</v>
      </c>
      <c r="J18">
        <f t="shared" si="5"/>
        <v>0.10509743627520934</v>
      </c>
      <c r="M18">
        <f>IF(ISBLANK(B18)," ",B18)</f>
        <v>19</v>
      </c>
    </row>
    <row r="19" spans="1:14" x14ac:dyDescent="0.25">
      <c r="A19" s="13"/>
      <c r="B19" s="13"/>
      <c r="C19" t="str">
        <f t="shared" si="0"/>
        <v xml:space="preserve"> </v>
      </c>
      <c r="D19" t="str">
        <f t="shared" si="1"/>
        <v xml:space="preserve"> </v>
      </c>
      <c r="E19" s="49" t="s">
        <v>42</v>
      </c>
      <c r="F19" t="str">
        <f t="shared" si="2"/>
        <v xml:space="preserve"> </v>
      </c>
      <c r="G19" t="str">
        <f t="shared" si="3"/>
        <v xml:space="preserve"> </v>
      </c>
      <c r="H19" t="str">
        <f t="shared" si="6"/>
        <v xml:space="preserve"> </v>
      </c>
      <c r="I19" t="str">
        <f t="shared" si="4"/>
        <v xml:space="preserve"> </v>
      </c>
      <c r="J19" t="str">
        <f t="shared" si="5"/>
        <v xml:space="preserve"> </v>
      </c>
      <c r="M19" t="str">
        <f>IF(ISBLANK(B19)," ",B19)</f>
        <v xml:space="preserve"> </v>
      </c>
    </row>
    <row r="20" spans="1:14" x14ac:dyDescent="0.25">
      <c r="A20" s="13"/>
      <c r="B20" s="13"/>
      <c r="C20" t="str">
        <f t="shared" si="0"/>
        <v xml:space="preserve"> </v>
      </c>
      <c r="D20" t="str">
        <f t="shared" si="1"/>
        <v xml:space="preserve"> </v>
      </c>
      <c r="E20" s="49" t="s">
        <v>43</v>
      </c>
      <c r="F20" t="str">
        <f t="shared" si="2"/>
        <v xml:space="preserve"> </v>
      </c>
      <c r="G20" t="str">
        <f t="shared" si="3"/>
        <v xml:space="preserve"> </v>
      </c>
      <c r="H20" t="str">
        <f t="shared" si="6"/>
        <v xml:space="preserve"> </v>
      </c>
      <c r="I20" t="str">
        <f t="shared" si="4"/>
        <v xml:space="preserve"> </v>
      </c>
      <c r="J20" t="str">
        <f t="shared" si="5"/>
        <v xml:space="preserve"> </v>
      </c>
      <c r="M20" t="str">
        <f>IF(ISBLANK(B20)," ",B20)</f>
        <v xml:space="preserve"> </v>
      </c>
    </row>
    <row r="21" spans="1:14" x14ac:dyDescent="0.25">
      <c r="A21" s="13"/>
      <c r="B21" s="13"/>
      <c r="C21" t="str">
        <f t="shared" si="0"/>
        <v xml:space="preserve"> </v>
      </c>
      <c r="D21" t="str">
        <f t="shared" si="1"/>
        <v xml:space="preserve"> </v>
      </c>
      <c r="E21" s="49" t="s">
        <v>44</v>
      </c>
      <c r="F21" t="str">
        <f t="shared" si="2"/>
        <v xml:space="preserve"> </v>
      </c>
      <c r="G21" t="str">
        <f t="shared" si="3"/>
        <v xml:space="preserve"> </v>
      </c>
      <c r="H21" t="str">
        <f t="shared" si="6"/>
        <v xml:space="preserve"> </v>
      </c>
      <c r="I21" t="str">
        <f t="shared" si="4"/>
        <v xml:space="preserve"> </v>
      </c>
      <c r="J21" t="str">
        <f t="shared" si="5"/>
        <v xml:space="preserve"> </v>
      </c>
      <c r="M21" t="str">
        <f>IF(ISBLANK(B21)," ",B21)</f>
        <v xml:space="preserve"> </v>
      </c>
    </row>
    <row r="22" spans="1:14" x14ac:dyDescent="0.25">
      <c r="A22" s="13"/>
      <c r="B22" s="13"/>
      <c r="C22" t="str">
        <f t="shared" si="0"/>
        <v xml:space="preserve"> </v>
      </c>
      <c r="D22" t="str">
        <f t="shared" si="1"/>
        <v xml:space="preserve"> </v>
      </c>
      <c r="E22" s="49" t="s">
        <v>45</v>
      </c>
      <c r="F22" t="str">
        <f t="shared" si="2"/>
        <v xml:space="preserve"> </v>
      </c>
      <c r="G22" t="str">
        <f t="shared" si="3"/>
        <v xml:space="preserve"> </v>
      </c>
      <c r="H22" t="str">
        <f t="shared" si="6"/>
        <v xml:space="preserve"> </v>
      </c>
      <c r="I22" t="str">
        <f t="shared" si="4"/>
        <v xml:space="preserve"> </v>
      </c>
      <c r="J22" t="str">
        <f t="shared" si="5"/>
        <v xml:space="preserve"> </v>
      </c>
    </row>
    <row r="23" spans="1:14" x14ac:dyDescent="0.25">
      <c r="A23" s="13"/>
      <c r="B23" s="13"/>
      <c r="C23" t="str">
        <f t="shared" si="0"/>
        <v xml:space="preserve"> </v>
      </c>
      <c r="D23" t="str">
        <f t="shared" si="1"/>
        <v xml:space="preserve"> </v>
      </c>
      <c r="F23" t="str">
        <f t="shared" si="2"/>
        <v xml:space="preserve"> </v>
      </c>
      <c r="G23" t="str">
        <f t="shared" si="3"/>
        <v xml:space="preserve"> </v>
      </c>
      <c r="H23" t="str">
        <f t="shared" si="6"/>
        <v xml:space="preserve"> </v>
      </c>
      <c r="I23" t="str">
        <f t="shared" si="4"/>
        <v xml:space="preserve"> </v>
      </c>
      <c r="J23" t="str">
        <f t="shared" si="5"/>
        <v xml:space="preserve"> </v>
      </c>
    </row>
    <row r="24" spans="1:14" x14ac:dyDescent="0.25">
      <c r="A24" s="13"/>
      <c r="B24" s="13"/>
      <c r="C24" t="str">
        <f t="shared" si="0"/>
        <v xml:space="preserve"> </v>
      </c>
      <c r="D24" t="str">
        <f t="shared" si="1"/>
        <v xml:space="preserve"> </v>
      </c>
      <c r="F24" t="str">
        <f t="shared" ref="F24:F41" si="7">IF(ISBLANK(B24)," ",+$E$9-B24)</f>
        <v xml:space="preserve"> </v>
      </c>
      <c r="G24" t="str">
        <f t="shared" ref="G24:G41" si="8">IF(ISBLANK(B24)," ",+LN(ABS(F24/B24)))</f>
        <v xml:space="preserve"> </v>
      </c>
      <c r="H24" t="str">
        <f t="shared" si="6"/>
        <v xml:space="preserve"> </v>
      </c>
      <c r="I24" t="str">
        <f t="shared" ref="I24:I41" si="9">IF(ISBLANK(B24)," ",+B24-H24)</f>
        <v xml:space="preserve"> </v>
      </c>
      <c r="J24" t="str">
        <f t="shared" ref="J24:J41" si="10">IF(ISBLANK(B24)," ",+I24^2)</f>
        <v xml:space="preserve"> </v>
      </c>
      <c r="M24" t="s">
        <v>46</v>
      </c>
      <c r="N24" t="s">
        <v>47</v>
      </c>
    </row>
    <row r="25" spans="1:14" ht="13" x14ac:dyDescent="0.3">
      <c r="A25" s="13"/>
      <c r="B25" s="13"/>
      <c r="C25" t="str">
        <f t="shared" si="0"/>
        <v xml:space="preserve"> </v>
      </c>
      <c r="D25" t="str">
        <f t="shared" si="1"/>
        <v xml:space="preserve"> </v>
      </c>
      <c r="E25" s="48" t="s">
        <v>48</v>
      </c>
      <c r="F25" t="str">
        <f t="shared" si="7"/>
        <v xml:space="preserve"> </v>
      </c>
      <c r="G25" t="str">
        <f t="shared" si="8"/>
        <v xml:space="preserve"> </v>
      </c>
      <c r="H25" t="str">
        <f t="shared" si="6"/>
        <v xml:space="preserve"> </v>
      </c>
      <c r="I25" t="str">
        <f t="shared" si="9"/>
        <v xml:space="preserve"> </v>
      </c>
      <c r="J25" t="str">
        <f t="shared" si="10"/>
        <v xml:space="preserve"> </v>
      </c>
      <c r="K25" s="48" t="s">
        <v>27</v>
      </c>
      <c r="L25" s="48" t="s">
        <v>49</v>
      </c>
      <c r="M25" t="s">
        <v>50</v>
      </c>
      <c r="N25" s="60" t="s">
        <v>51</v>
      </c>
    </row>
    <row r="26" spans="1:14" x14ac:dyDescent="0.25">
      <c r="A26" s="13"/>
      <c r="B26" s="13"/>
      <c r="C26" t="str">
        <f t="shared" si="0"/>
        <v xml:space="preserve"> </v>
      </c>
      <c r="D26" t="str">
        <f t="shared" si="1"/>
        <v xml:space="preserve"> </v>
      </c>
      <c r="E26">
        <f>MIN(A9:A41)</f>
        <v>0</v>
      </c>
      <c r="F26" t="str">
        <f t="shared" si="7"/>
        <v xml:space="preserve"> </v>
      </c>
      <c r="G26" t="str">
        <f t="shared" si="8"/>
        <v xml:space="preserve"> </v>
      </c>
      <c r="H26" t="str">
        <f t="shared" si="6"/>
        <v xml:space="preserve"> </v>
      </c>
      <c r="I26" t="str">
        <f t="shared" si="9"/>
        <v xml:space="preserve"> </v>
      </c>
      <c r="J26" t="str">
        <f t="shared" si="10"/>
        <v xml:space="preserve"> </v>
      </c>
      <c r="K26">
        <f>E26</f>
        <v>0</v>
      </c>
      <c r="L26">
        <f>$E$9/(1+$C$48*EXP(-$C$46*K26))</f>
        <v>1.5954800887928351</v>
      </c>
      <c r="M26" s="2" t="s">
        <v>52</v>
      </c>
      <c r="N26">
        <f>ABS(E9)</f>
        <v>20</v>
      </c>
    </row>
    <row r="27" spans="1:14" x14ac:dyDescent="0.25">
      <c r="A27" s="13"/>
      <c r="B27" s="13"/>
      <c r="C27" t="str">
        <f t="shared" si="0"/>
        <v xml:space="preserve"> </v>
      </c>
      <c r="D27" t="str">
        <f t="shared" si="1"/>
        <v xml:space="preserve"> </v>
      </c>
      <c r="F27" t="str">
        <f t="shared" si="7"/>
        <v xml:space="preserve"> </v>
      </c>
      <c r="G27" t="str">
        <f t="shared" si="8"/>
        <v xml:space="preserve"> </v>
      </c>
      <c r="H27" t="str">
        <f t="shared" si="6"/>
        <v xml:space="preserve"> </v>
      </c>
      <c r="I27" t="str">
        <f t="shared" si="9"/>
        <v xml:space="preserve"> </v>
      </c>
      <c r="J27" t="str">
        <f t="shared" si="10"/>
        <v xml:space="preserve"> </v>
      </c>
      <c r="K27">
        <f>K26+$E$33</f>
        <v>0.45</v>
      </c>
      <c r="L27">
        <f t="shared" ref="L27:L46" si="11">$E$9/(1+$C$48*EXP(-$C$46*K27))</f>
        <v>2.0115415254699167</v>
      </c>
      <c r="M27" t="s">
        <v>53</v>
      </c>
    </row>
    <row r="28" spans="1:14" x14ac:dyDescent="0.25">
      <c r="A28" s="13"/>
      <c r="B28" s="13"/>
      <c r="C28" t="str">
        <f t="shared" si="0"/>
        <v xml:space="preserve"> </v>
      </c>
      <c r="D28" t="str">
        <f t="shared" si="1"/>
        <v xml:space="preserve"> </v>
      </c>
      <c r="E28" s="48" t="s">
        <v>54</v>
      </c>
      <c r="F28" t="str">
        <f t="shared" si="7"/>
        <v xml:space="preserve"> </v>
      </c>
      <c r="G28" t="str">
        <f t="shared" si="8"/>
        <v xml:space="preserve"> </v>
      </c>
      <c r="H28" t="str">
        <f t="shared" si="6"/>
        <v xml:space="preserve"> </v>
      </c>
      <c r="I28" t="str">
        <f t="shared" si="9"/>
        <v xml:space="preserve"> </v>
      </c>
      <c r="J28" t="str">
        <f t="shared" si="10"/>
        <v xml:space="preserve"> </v>
      </c>
      <c r="K28">
        <f t="shared" ref="K28:K44" si="12">K27+$E$33</f>
        <v>0.9</v>
      </c>
      <c r="L28">
        <f t="shared" si="11"/>
        <v>2.5212381930596104</v>
      </c>
      <c r="M28" t="s">
        <v>55</v>
      </c>
      <c r="N28" s="60" t="s">
        <v>56</v>
      </c>
    </row>
    <row r="29" spans="1:14" x14ac:dyDescent="0.25">
      <c r="A29" s="13"/>
      <c r="B29" s="13"/>
      <c r="C29" t="str">
        <f t="shared" si="0"/>
        <v xml:space="preserve"> </v>
      </c>
      <c r="D29" t="str">
        <f t="shared" si="1"/>
        <v xml:space="preserve"> </v>
      </c>
      <c r="E29">
        <f>MAX(A9:A41)</f>
        <v>9</v>
      </c>
      <c r="F29" t="str">
        <f t="shared" si="7"/>
        <v xml:space="preserve"> </v>
      </c>
      <c r="G29" t="str">
        <f t="shared" si="8"/>
        <v xml:space="preserve"> </v>
      </c>
      <c r="H29" t="str">
        <f t="shared" si="6"/>
        <v xml:space="preserve"> </v>
      </c>
      <c r="I29" t="str">
        <f t="shared" si="9"/>
        <v xml:space="preserve"> </v>
      </c>
      <c r="J29" t="str">
        <f t="shared" si="10"/>
        <v xml:space="preserve"> </v>
      </c>
      <c r="K29">
        <f t="shared" si="12"/>
        <v>1.35</v>
      </c>
      <c r="L29">
        <f t="shared" si="11"/>
        <v>3.1375584777887555</v>
      </c>
      <c r="M29" t="s">
        <v>57</v>
      </c>
      <c r="N29">
        <f t="array" ref="N29:N51">ABS(B9:B41)</f>
        <v>2</v>
      </c>
    </row>
    <row r="30" spans="1:14" x14ac:dyDescent="0.25">
      <c r="A30" s="13"/>
      <c r="B30" s="13"/>
      <c r="C30" t="str">
        <f t="shared" si="0"/>
        <v xml:space="preserve"> </v>
      </c>
      <c r="D30" t="str">
        <f t="shared" si="1"/>
        <v xml:space="preserve"> </v>
      </c>
      <c r="F30" t="str">
        <f t="shared" si="7"/>
        <v xml:space="preserve"> </v>
      </c>
      <c r="G30" t="str">
        <f t="shared" si="8"/>
        <v xml:space="preserve"> </v>
      </c>
      <c r="H30" t="str">
        <f t="shared" si="6"/>
        <v xml:space="preserve"> </v>
      </c>
      <c r="I30" t="str">
        <f t="shared" si="9"/>
        <v xml:space="preserve"> </v>
      </c>
      <c r="J30" t="str">
        <f t="shared" si="10"/>
        <v xml:space="preserve"> </v>
      </c>
      <c r="K30">
        <f t="shared" si="12"/>
        <v>1.8</v>
      </c>
      <c r="L30">
        <f t="shared" si="11"/>
        <v>3.8711710942995969</v>
      </c>
      <c r="M30" t="s">
        <v>58</v>
      </c>
      <c r="N30">
        <v>3</v>
      </c>
    </row>
    <row r="31" spans="1:14" x14ac:dyDescent="0.25">
      <c r="A31" s="13"/>
      <c r="B31" s="13"/>
      <c r="C31" t="str">
        <f t="shared" si="0"/>
        <v xml:space="preserve"> </v>
      </c>
      <c r="D31" t="str">
        <f t="shared" si="1"/>
        <v xml:space="preserve"> </v>
      </c>
      <c r="F31" t="str">
        <f t="shared" si="7"/>
        <v xml:space="preserve"> </v>
      </c>
      <c r="G31" t="str">
        <f t="shared" si="8"/>
        <v xml:space="preserve"> </v>
      </c>
      <c r="H31" t="str">
        <f t="shared" si="6"/>
        <v xml:space="preserve"> </v>
      </c>
      <c r="I31" t="str">
        <f t="shared" si="9"/>
        <v xml:space="preserve"> </v>
      </c>
      <c r="J31" t="str">
        <f t="shared" si="10"/>
        <v xml:space="preserve"> </v>
      </c>
      <c r="K31">
        <f t="shared" si="12"/>
        <v>2.25</v>
      </c>
      <c r="L31">
        <f t="shared" si="11"/>
        <v>4.7282172876148865</v>
      </c>
      <c r="M31" t="s">
        <v>59</v>
      </c>
      <c r="N31">
        <v>4</v>
      </c>
    </row>
    <row r="32" spans="1:14" x14ac:dyDescent="0.25">
      <c r="A32" s="13"/>
      <c r="B32" s="13"/>
      <c r="C32" t="str">
        <f t="shared" si="0"/>
        <v xml:space="preserve"> </v>
      </c>
      <c r="D32" t="str">
        <f t="shared" si="1"/>
        <v xml:space="preserve"> </v>
      </c>
      <c r="E32" s="48" t="s">
        <v>60</v>
      </c>
      <c r="F32" t="str">
        <f t="shared" si="7"/>
        <v xml:space="preserve"> </v>
      </c>
      <c r="G32" t="str">
        <f t="shared" si="8"/>
        <v xml:space="preserve"> </v>
      </c>
      <c r="H32" t="str">
        <f t="shared" si="6"/>
        <v xml:space="preserve"> </v>
      </c>
      <c r="I32" t="str">
        <f t="shared" si="9"/>
        <v xml:space="preserve"> </v>
      </c>
      <c r="J32" t="str">
        <f t="shared" si="10"/>
        <v xml:space="preserve"> </v>
      </c>
      <c r="K32">
        <f t="shared" si="12"/>
        <v>2.7</v>
      </c>
      <c r="L32">
        <f t="shared" si="11"/>
        <v>5.7078581083809663</v>
      </c>
      <c r="N32">
        <v>6</v>
      </c>
    </row>
    <row r="33" spans="1:14" x14ac:dyDescent="0.25">
      <c r="A33" s="13"/>
      <c r="B33" s="13"/>
      <c r="C33" t="str">
        <f t="shared" si="0"/>
        <v xml:space="preserve"> </v>
      </c>
      <c r="D33" t="str">
        <f t="shared" si="1"/>
        <v xml:space="preserve"> </v>
      </c>
      <c r="E33">
        <f>(E29-E26)/20</f>
        <v>0.45</v>
      </c>
      <c r="F33" t="str">
        <f t="shared" si="7"/>
        <v xml:space="preserve"> </v>
      </c>
      <c r="G33" t="str">
        <f t="shared" si="8"/>
        <v xml:space="preserve"> </v>
      </c>
      <c r="H33" t="str">
        <f t="shared" si="6"/>
        <v xml:space="preserve"> </v>
      </c>
      <c r="I33" t="str">
        <f t="shared" si="9"/>
        <v xml:space="preserve"> </v>
      </c>
      <c r="J33" t="str">
        <f t="shared" si="10"/>
        <v xml:space="preserve"> </v>
      </c>
      <c r="K33">
        <f t="shared" si="12"/>
        <v>3.1500000000000004</v>
      </c>
      <c r="L33">
        <f t="shared" si="11"/>
        <v>6.8000932823443714</v>
      </c>
      <c r="N33">
        <v>8</v>
      </c>
    </row>
    <row r="34" spans="1:14" x14ac:dyDescent="0.25">
      <c r="A34" s="13"/>
      <c r="B34" s="13"/>
      <c r="C34" t="str">
        <f t="shared" si="0"/>
        <v xml:space="preserve"> </v>
      </c>
      <c r="D34" t="str">
        <f t="shared" si="1"/>
        <v xml:space="preserve"> </v>
      </c>
      <c r="F34" t="str">
        <f t="shared" si="7"/>
        <v xml:space="preserve"> </v>
      </c>
      <c r="G34" t="str">
        <f t="shared" si="8"/>
        <v xml:space="preserve"> </v>
      </c>
      <c r="H34" t="str">
        <f t="shared" si="6"/>
        <v xml:space="preserve"> </v>
      </c>
      <c r="I34" t="str">
        <f t="shared" si="9"/>
        <v xml:space="preserve"> </v>
      </c>
      <c r="J34" t="str">
        <f t="shared" si="10"/>
        <v xml:space="preserve"> </v>
      </c>
      <c r="K34">
        <f t="shared" si="12"/>
        <v>3.6000000000000005</v>
      </c>
      <c r="L34">
        <f t="shared" si="11"/>
        <v>7.9845694715802082</v>
      </c>
      <c r="N34">
        <v>11</v>
      </c>
    </row>
    <row r="35" spans="1:14" x14ac:dyDescent="0.25">
      <c r="A35" s="13"/>
      <c r="B35" s="13"/>
      <c r="C35" t="str">
        <f t="shared" si="0"/>
        <v xml:space="preserve"> </v>
      </c>
      <c r="D35" t="str">
        <f t="shared" si="1"/>
        <v xml:space="preserve"> </v>
      </c>
      <c r="F35" t="str">
        <f t="shared" si="7"/>
        <v xml:space="preserve"> </v>
      </c>
      <c r="G35" t="str">
        <f t="shared" si="8"/>
        <v xml:space="preserve"> </v>
      </c>
      <c r="H35" t="str">
        <f t="shared" si="6"/>
        <v xml:space="preserve"> </v>
      </c>
      <c r="I35" t="str">
        <f t="shared" si="9"/>
        <v xml:space="preserve"> </v>
      </c>
      <c r="J35" t="str">
        <f t="shared" si="10"/>
        <v xml:space="preserve"> </v>
      </c>
      <c r="K35">
        <f t="shared" si="12"/>
        <v>4.0500000000000007</v>
      </c>
      <c r="L35">
        <f t="shared" si="11"/>
        <v>9.2310795660598384</v>
      </c>
      <c r="N35">
        <v>14</v>
      </c>
    </row>
    <row r="36" spans="1:14" x14ac:dyDescent="0.25">
      <c r="A36" s="13"/>
      <c r="B36" s="13"/>
      <c r="C36" t="str">
        <f t="shared" si="0"/>
        <v xml:space="preserve"> </v>
      </c>
      <c r="D36" t="str">
        <f t="shared" si="1"/>
        <v xml:space="preserve"> </v>
      </c>
      <c r="F36" t="str">
        <f t="shared" si="7"/>
        <v xml:space="preserve"> </v>
      </c>
      <c r="G36" t="str">
        <f t="shared" si="8"/>
        <v xml:space="preserve"> </v>
      </c>
      <c r="H36" t="str">
        <f t="shared" si="6"/>
        <v xml:space="preserve"> </v>
      </c>
      <c r="I36" t="str">
        <f t="shared" si="9"/>
        <v xml:space="preserve"> </v>
      </c>
      <c r="J36" t="str">
        <f t="shared" si="10"/>
        <v xml:space="preserve"> </v>
      </c>
      <c r="K36">
        <f t="shared" si="12"/>
        <v>4.5000000000000009</v>
      </c>
      <c r="L36">
        <f t="shared" si="11"/>
        <v>10.502099179505082</v>
      </c>
      <c r="N36">
        <v>16</v>
      </c>
    </row>
    <row r="37" spans="1:14" x14ac:dyDescent="0.25">
      <c r="A37" s="13"/>
      <c r="B37" s="13"/>
      <c r="C37" t="str">
        <f t="shared" si="0"/>
        <v xml:space="preserve"> </v>
      </c>
      <c r="D37" t="str">
        <f t="shared" si="1"/>
        <v xml:space="preserve"> </v>
      </c>
      <c r="F37" t="str">
        <f t="shared" si="7"/>
        <v xml:space="preserve"> </v>
      </c>
      <c r="G37" t="str">
        <f t="shared" si="8"/>
        <v xml:space="preserve"> </v>
      </c>
      <c r="H37" t="str">
        <f t="shared" si="6"/>
        <v xml:space="preserve"> </v>
      </c>
      <c r="I37" t="str">
        <f t="shared" si="9"/>
        <v xml:space="preserve"> </v>
      </c>
      <c r="J37" t="str">
        <f t="shared" si="10"/>
        <v xml:space="preserve"> </v>
      </c>
      <c r="K37">
        <f t="shared" si="12"/>
        <v>4.9500000000000011</v>
      </c>
      <c r="L37">
        <f t="shared" si="11"/>
        <v>11.757060537307279</v>
      </c>
      <c r="N37">
        <v>18</v>
      </c>
    </row>
    <row r="38" spans="1:14" x14ac:dyDescent="0.25">
      <c r="A38" s="13"/>
      <c r="B38" s="13"/>
      <c r="C38" t="str">
        <f t="shared" si="0"/>
        <v xml:space="preserve"> </v>
      </c>
      <c r="D38" t="str">
        <f t="shared" si="1"/>
        <v xml:space="preserve"> </v>
      </c>
      <c r="F38" t="str">
        <f t="shared" si="7"/>
        <v xml:space="preserve"> </v>
      </c>
      <c r="G38" t="str">
        <f t="shared" si="8"/>
        <v xml:space="preserve"> </v>
      </c>
      <c r="H38" t="str">
        <f t="shared" si="6"/>
        <v xml:space="preserve"> </v>
      </c>
      <c r="I38" t="str">
        <f t="shared" si="9"/>
        <v xml:space="preserve"> </v>
      </c>
      <c r="J38" t="str">
        <f t="shared" si="10"/>
        <v xml:space="preserve"> </v>
      </c>
      <c r="K38">
        <f t="shared" si="12"/>
        <v>5.4000000000000012</v>
      </c>
      <c r="L38">
        <f t="shared" si="11"/>
        <v>12.957399575400729</v>
      </c>
      <c r="N38">
        <v>19</v>
      </c>
    </row>
    <row r="39" spans="1:14" x14ac:dyDescent="0.25">
      <c r="A39" s="13"/>
      <c r="B39" s="13"/>
      <c r="C39" t="str">
        <f t="shared" si="0"/>
        <v xml:space="preserve"> </v>
      </c>
      <c r="D39" t="str">
        <f t="shared" si="1"/>
        <v xml:space="preserve"> </v>
      </c>
      <c r="F39" t="str">
        <f t="shared" si="7"/>
        <v xml:space="preserve"> </v>
      </c>
      <c r="G39" t="str">
        <f t="shared" si="8"/>
        <v xml:space="preserve"> </v>
      </c>
      <c r="H39" t="str">
        <f t="shared" si="6"/>
        <v xml:space="preserve"> </v>
      </c>
      <c r="I39" t="str">
        <f t="shared" si="9"/>
        <v xml:space="preserve"> </v>
      </c>
      <c r="J39" t="str">
        <f t="shared" si="10"/>
        <v xml:space="preserve"> </v>
      </c>
      <c r="K39">
        <f t="shared" si="12"/>
        <v>5.8500000000000014</v>
      </c>
      <c r="L39">
        <f t="shared" si="11"/>
        <v>14.071090758906051</v>
      </c>
      <c r="N39">
        <v>0</v>
      </c>
    </row>
    <row r="40" spans="1:14" x14ac:dyDescent="0.25">
      <c r="A40" s="13"/>
      <c r="B40" s="13"/>
      <c r="C40" t="str">
        <f t="shared" si="0"/>
        <v xml:space="preserve"> </v>
      </c>
      <c r="D40" t="str">
        <f t="shared" si="1"/>
        <v xml:space="preserve"> </v>
      </c>
      <c r="F40" t="str">
        <f t="shared" si="7"/>
        <v xml:space="preserve"> </v>
      </c>
      <c r="G40" t="str">
        <f t="shared" si="8"/>
        <v xml:space="preserve"> </v>
      </c>
      <c r="H40" t="str">
        <f t="shared" si="6"/>
        <v xml:space="preserve"> </v>
      </c>
      <c r="I40" t="str">
        <f t="shared" si="9"/>
        <v xml:space="preserve"> </v>
      </c>
      <c r="J40" t="str">
        <f t="shared" si="10"/>
        <v xml:space="preserve"> </v>
      </c>
      <c r="K40">
        <f t="shared" si="12"/>
        <v>6.3000000000000016</v>
      </c>
      <c r="L40">
        <f t="shared" si="11"/>
        <v>15.075598613341391</v>
      </c>
      <c r="N40">
        <v>0</v>
      </c>
    </row>
    <row r="41" spans="1:14" x14ac:dyDescent="0.25">
      <c r="A41" s="13"/>
      <c r="B41" s="13"/>
      <c r="C41" t="str">
        <f t="shared" si="0"/>
        <v xml:space="preserve"> </v>
      </c>
      <c r="D41" t="str">
        <f t="shared" si="1"/>
        <v xml:space="preserve"> </v>
      </c>
      <c r="F41" t="str">
        <f t="shared" si="7"/>
        <v xml:space="preserve"> </v>
      </c>
      <c r="G41" t="str">
        <f t="shared" si="8"/>
        <v xml:space="preserve"> </v>
      </c>
      <c r="H41" t="str">
        <f t="shared" si="6"/>
        <v xml:space="preserve"> </v>
      </c>
      <c r="I41" t="str">
        <f t="shared" si="9"/>
        <v xml:space="preserve"> </v>
      </c>
      <c r="J41" t="str">
        <f t="shared" si="10"/>
        <v xml:space="preserve"> </v>
      </c>
      <c r="K41">
        <f t="shared" si="12"/>
        <v>6.7500000000000018</v>
      </c>
      <c r="L41">
        <f t="shared" si="11"/>
        <v>15.958795486757639</v>
      </c>
      <c r="N41">
        <v>0</v>
      </c>
    </row>
    <row r="42" spans="1:14" x14ac:dyDescent="0.25">
      <c r="K42">
        <f t="shared" si="12"/>
        <v>7.200000000000002</v>
      </c>
      <c r="L42">
        <f t="shared" si="11"/>
        <v>16.718073874295129</v>
      </c>
      <c r="N42">
        <v>0</v>
      </c>
    </row>
    <row r="43" spans="1:14" x14ac:dyDescent="0.25">
      <c r="B43">
        <f>COUNT(B9:B41)</f>
        <v>10</v>
      </c>
      <c r="D43">
        <f t="array" ref="D43:D44">MMULT(MINVERSE(MMULT(TRANSPOSE(C9:INDEX(D9:D41,B43)),C9:INDEX(D9:D41,B43))),MMULT(TRANSPOSE(C9:INDEX(D9:D41,B43)),G9:INDEX(G9:G41,B43)))</f>
        <v>-0.5657613213011311</v>
      </c>
      <c r="K43">
        <f t="shared" si="12"/>
        <v>7.6500000000000021</v>
      </c>
      <c r="L43">
        <f t="shared" si="11"/>
        <v>17.358310052304002</v>
      </c>
      <c r="N43">
        <v>0</v>
      </c>
    </row>
    <row r="44" spans="1:14" x14ac:dyDescent="0.25">
      <c r="D44">
        <v>2.4454215947418581</v>
      </c>
      <c r="K44">
        <f t="shared" si="12"/>
        <v>8.1000000000000014</v>
      </c>
      <c r="L44">
        <f t="shared" si="11"/>
        <v>17.889417021684785</v>
      </c>
      <c r="N44">
        <v>0</v>
      </c>
    </row>
    <row r="45" spans="1:14" x14ac:dyDescent="0.25">
      <c r="K45">
        <f>K44+$E$33</f>
        <v>8.5500000000000007</v>
      </c>
      <c r="L45">
        <f t="shared" si="11"/>
        <v>18.32405532265124</v>
      </c>
      <c r="N45">
        <v>0</v>
      </c>
    </row>
    <row r="46" spans="1:14" x14ac:dyDescent="0.25">
      <c r="B46" t="s">
        <v>61</v>
      </c>
      <c r="C46">
        <f>-D43</f>
        <v>0.5657613213011311</v>
      </c>
      <c r="K46">
        <f>K45+$E$33</f>
        <v>9</v>
      </c>
      <c r="L46">
        <f t="shared" si="11"/>
        <v>18.675812652505979</v>
      </c>
      <c r="N46">
        <v>0</v>
      </c>
    </row>
    <row r="47" spans="1:14" x14ac:dyDescent="0.25">
      <c r="B47" t="s">
        <v>62</v>
      </c>
      <c r="C47">
        <f>+D44</f>
        <v>2.4454215947418581</v>
      </c>
      <c r="N47">
        <v>0</v>
      </c>
    </row>
    <row r="48" spans="1:14" x14ac:dyDescent="0.25">
      <c r="B48" t="s">
        <v>63</v>
      </c>
      <c r="C48">
        <f>EXP(C47)</f>
        <v>11.535411842796679</v>
      </c>
      <c r="N48">
        <v>0</v>
      </c>
    </row>
    <row r="49" spans="2:14" x14ac:dyDescent="0.25">
      <c r="B49" t="s">
        <v>64</v>
      </c>
      <c r="C49">
        <f>E9</f>
        <v>20</v>
      </c>
      <c r="N49">
        <v>0</v>
      </c>
    </row>
    <row r="50" spans="2:14" x14ac:dyDescent="0.25">
      <c r="N50">
        <v>0</v>
      </c>
    </row>
    <row r="51" spans="2:14" x14ac:dyDescent="0.25">
      <c r="N51">
        <v>0</v>
      </c>
    </row>
    <row r="52" spans="2:14" x14ac:dyDescent="0.25">
      <c r="B52" t="s">
        <v>65</v>
      </c>
    </row>
    <row r="53" spans="2:14" ht="13" thickBot="1" x14ac:dyDescent="0.3"/>
    <row r="54" spans="2:14" ht="13" x14ac:dyDescent="0.3">
      <c r="B54" s="19" t="s">
        <v>66</v>
      </c>
      <c r="C54" s="19"/>
    </row>
    <row r="55" spans="2:14" x14ac:dyDescent="0.25">
      <c r="B55" s="16" t="s">
        <v>67</v>
      </c>
      <c r="C55" s="16">
        <v>0.98724665720724492</v>
      </c>
    </row>
    <row r="56" spans="2:14" x14ac:dyDescent="0.25">
      <c r="B56" s="16" t="s">
        <v>68</v>
      </c>
      <c r="C56" s="16">
        <v>0.97465596216687944</v>
      </c>
    </row>
    <row r="57" spans="2:14" x14ac:dyDescent="0.25">
      <c r="B57" s="16" t="s">
        <v>69</v>
      </c>
      <c r="C57" s="16">
        <v>0.97043195586135933</v>
      </c>
    </row>
    <row r="58" spans="2:14" x14ac:dyDescent="0.25">
      <c r="B58" s="16" t="s">
        <v>70</v>
      </c>
      <c r="C58" s="16">
        <v>0.25070629603814837</v>
      </c>
    </row>
    <row r="59" spans="2:14" ht="13" thickBot="1" x14ac:dyDescent="0.3">
      <c r="B59" s="17" t="s">
        <v>71</v>
      </c>
      <c r="C59" s="17">
        <v>8</v>
      </c>
    </row>
    <row r="61" spans="2:14" ht="13" thickBot="1" x14ac:dyDescent="0.3">
      <c r="B61" t="s">
        <v>72</v>
      </c>
    </row>
    <row r="62" spans="2:14" ht="13" x14ac:dyDescent="0.3">
      <c r="B62" s="18"/>
      <c r="C62" s="18" t="s">
        <v>73</v>
      </c>
      <c r="D62" s="18" t="s">
        <v>74</v>
      </c>
      <c r="E62" s="18" t="s">
        <v>75</v>
      </c>
      <c r="F62" s="18" t="s">
        <v>76</v>
      </c>
      <c r="G62" s="18" t="s">
        <v>77</v>
      </c>
    </row>
    <row r="63" spans="2:14" x14ac:dyDescent="0.25">
      <c r="B63" s="16" t="s">
        <v>78</v>
      </c>
      <c r="C63" s="16">
        <v>1</v>
      </c>
      <c r="D63" s="16">
        <v>14.502980639211334</v>
      </c>
      <c r="E63" s="16">
        <v>14.502980639211334</v>
      </c>
      <c r="F63" s="16">
        <v>230.74207083762195</v>
      </c>
      <c r="G63" s="16">
        <v>5.1362810727793603E-6</v>
      </c>
    </row>
    <row r="64" spans="2:14" x14ac:dyDescent="0.25">
      <c r="B64" s="16" t="s">
        <v>79</v>
      </c>
      <c r="C64" s="16">
        <v>6</v>
      </c>
      <c r="D64" s="16">
        <v>0.37712188123900614</v>
      </c>
      <c r="E64" s="16">
        <v>6.285364687316769E-2</v>
      </c>
      <c r="F64" s="16"/>
      <c r="G64" s="16"/>
    </row>
    <row r="65" spans="2:10" ht="13" thickBot="1" x14ac:dyDescent="0.3">
      <c r="B65" s="17" t="s">
        <v>80</v>
      </c>
      <c r="C65" s="17">
        <v>7</v>
      </c>
      <c r="D65" s="17">
        <v>14.88010252045034</v>
      </c>
      <c r="E65" s="17"/>
      <c r="F65" s="17"/>
      <c r="G65" s="17"/>
    </row>
    <row r="66" spans="2:10" ht="13" thickBot="1" x14ac:dyDescent="0.3"/>
    <row r="67" spans="2:10" ht="13" x14ac:dyDescent="0.3">
      <c r="B67" s="18"/>
      <c r="C67" s="18" t="s">
        <v>81</v>
      </c>
      <c r="D67" s="18" t="s">
        <v>70</v>
      </c>
      <c r="E67" s="18" t="s">
        <v>82</v>
      </c>
      <c r="F67" s="18" t="s">
        <v>83</v>
      </c>
      <c r="G67" s="18" t="s">
        <v>84</v>
      </c>
      <c r="H67" s="18" t="s">
        <v>85</v>
      </c>
      <c r="I67" s="18" t="s">
        <v>86</v>
      </c>
      <c r="J67" s="18" t="s">
        <v>87</v>
      </c>
    </row>
    <row r="68" spans="2:10" x14ac:dyDescent="0.25">
      <c r="B68" s="16" t="s">
        <v>88</v>
      </c>
      <c r="C68" s="16">
        <v>2.1773402488128544</v>
      </c>
      <c r="D68" s="16">
        <v>0.16183021822418253</v>
      </c>
      <c r="E68" s="16">
        <v>13.454472673308743</v>
      </c>
      <c r="F68" s="16">
        <v>1.0445161288062828E-5</v>
      </c>
      <c r="G68" s="16">
        <v>1.7813556803793285</v>
      </c>
      <c r="H68" s="16">
        <v>2.5733248172463803</v>
      </c>
      <c r="I68" s="16">
        <v>1.7813556803793285</v>
      </c>
      <c r="J68" s="16">
        <v>2.5733248172463803</v>
      </c>
    </row>
    <row r="69" spans="2:10" ht="13" thickBot="1" x14ac:dyDescent="0.3">
      <c r="B69" s="17" t="s">
        <v>89</v>
      </c>
      <c r="C69" s="17">
        <v>-0.58763003908783029</v>
      </c>
      <c r="D69" s="17">
        <v>3.8684821335274226E-2</v>
      </c>
      <c r="E69" s="17">
        <v>-15.190196537162441</v>
      </c>
      <c r="F69" s="17">
        <v>5.1362810727793696E-6</v>
      </c>
      <c r="G69" s="17">
        <v>-0.68228845609716693</v>
      </c>
      <c r="H69" s="17">
        <v>-0.49297162207849365</v>
      </c>
      <c r="I69" s="17">
        <v>-0.68228845609716693</v>
      </c>
      <c r="J69" s="17">
        <v>-0.49297162207849365</v>
      </c>
    </row>
  </sheetData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zoomScale="85" workbookViewId="0">
      <selection activeCell="C6" sqref="C6"/>
    </sheetView>
  </sheetViews>
  <sheetFormatPr defaultRowHeight="12.5" x14ac:dyDescent="0.25"/>
  <cols>
    <col min="1" max="1" width="10" customWidth="1"/>
    <col min="2" max="2" width="7.7265625" customWidth="1"/>
    <col min="3" max="3" width="21.7265625" customWidth="1"/>
    <col min="4" max="4" width="12.1796875" customWidth="1"/>
    <col min="5" max="5" width="6.1796875" customWidth="1"/>
    <col min="6" max="6" width="6.81640625" customWidth="1"/>
    <col min="7" max="7" width="25.1796875" customWidth="1"/>
    <col min="8" max="8" width="16.81640625" customWidth="1"/>
    <col min="9" max="9" width="6.26953125" customWidth="1"/>
  </cols>
  <sheetData>
    <row r="1" spans="1:9" ht="13" x14ac:dyDescent="0.3">
      <c r="A1" s="6" t="s">
        <v>90</v>
      </c>
      <c r="B1" s="5"/>
      <c r="C1" s="5"/>
      <c r="D1" s="5"/>
      <c r="E1" s="5"/>
      <c r="F1" s="5"/>
      <c r="G1" s="5"/>
      <c r="H1" s="5"/>
      <c r="I1" s="5"/>
    </row>
    <row r="2" spans="1:9" ht="13" x14ac:dyDescent="0.3">
      <c r="A2" s="2" t="s">
        <v>91</v>
      </c>
      <c r="B2" s="5"/>
      <c r="C2" s="5"/>
      <c r="D2" s="5"/>
      <c r="E2" s="5"/>
      <c r="F2" s="5"/>
      <c r="G2" s="5"/>
      <c r="H2" s="5"/>
      <c r="I2" s="5"/>
    </row>
    <row r="3" spans="1:9" ht="13" x14ac:dyDescent="0.3">
      <c r="A3" s="6" t="s">
        <v>92</v>
      </c>
      <c r="B3" s="5"/>
      <c r="C3" s="5"/>
      <c r="D3" s="5"/>
      <c r="E3" s="5"/>
      <c r="F3" s="5"/>
      <c r="G3" s="5"/>
      <c r="H3" s="5"/>
      <c r="I3" s="5"/>
    </row>
    <row r="4" spans="1:9" ht="13" x14ac:dyDescent="0.3">
      <c r="A4" s="59" t="s">
        <v>93</v>
      </c>
      <c r="B4" s="5"/>
      <c r="C4" s="5"/>
      <c r="D4" s="5"/>
      <c r="E4" s="5"/>
      <c r="F4" s="5"/>
      <c r="G4" s="5"/>
      <c r="H4" s="5"/>
      <c r="I4" s="5"/>
    </row>
    <row r="5" spans="1:9" x14ac:dyDescent="0.25">
      <c r="B5" s="5"/>
      <c r="C5" s="5"/>
      <c r="D5" s="5"/>
      <c r="E5" s="5"/>
      <c r="F5" s="5"/>
      <c r="G5" s="5"/>
      <c r="H5" s="5"/>
      <c r="I5" s="5"/>
    </row>
    <row r="6" spans="1:9" ht="13" x14ac:dyDescent="0.3">
      <c r="B6" s="21" t="s">
        <v>94</v>
      </c>
      <c r="C6" s="56" t="s">
        <v>164</v>
      </c>
      <c r="D6" s="12"/>
      <c r="E6" s="12"/>
      <c r="F6" s="23"/>
      <c r="G6" s="24" t="s">
        <v>95</v>
      </c>
      <c r="H6" s="22">
        <v>1</v>
      </c>
      <c r="I6" s="5"/>
    </row>
    <row r="7" spans="1:9" ht="13.5" thickBot="1" x14ac:dyDescent="0.35">
      <c r="A7" s="6"/>
      <c r="B7" s="5"/>
      <c r="C7" s="5"/>
      <c r="F7" s="5"/>
      <c r="G7" s="5" t="s">
        <v>96</v>
      </c>
      <c r="H7" s="5"/>
      <c r="I7" s="5"/>
    </row>
    <row r="8" spans="1:9" ht="13" x14ac:dyDescent="0.3">
      <c r="A8" s="25" t="s">
        <v>97</v>
      </c>
      <c r="B8" s="26"/>
      <c r="C8" s="7"/>
      <c r="D8" s="21" t="s">
        <v>98</v>
      </c>
      <c r="E8" s="22">
        <v>10</v>
      </c>
      <c r="G8" s="5" t="s">
        <v>99</v>
      </c>
      <c r="I8" s="5"/>
    </row>
    <row r="9" spans="1:9" ht="13.5" thickBot="1" x14ac:dyDescent="0.35">
      <c r="A9" s="27" t="s">
        <v>100</v>
      </c>
      <c r="B9" s="28"/>
      <c r="C9" s="29"/>
      <c r="D9" s="30"/>
      <c r="E9" s="31"/>
      <c r="F9" s="31"/>
      <c r="G9" s="32"/>
      <c r="H9" s="33"/>
    </row>
    <row r="10" spans="1:9" ht="13.5" thickBot="1" x14ac:dyDescent="0.35">
      <c r="A10" s="34" t="s">
        <v>101</v>
      </c>
      <c r="B10" s="35" t="s">
        <v>102</v>
      </c>
      <c r="C10" s="9" t="s">
        <v>103</v>
      </c>
      <c r="D10" s="8" t="s">
        <v>104</v>
      </c>
      <c r="E10" s="8" t="s">
        <v>105</v>
      </c>
      <c r="F10" s="8" t="s">
        <v>106</v>
      </c>
      <c r="G10" s="8" t="s">
        <v>107</v>
      </c>
      <c r="H10" s="36" t="s">
        <v>108</v>
      </c>
    </row>
    <row r="11" spans="1:9" ht="13" x14ac:dyDescent="0.3">
      <c r="A11" s="37">
        <f t="shared" ref="A11:A23" si="0">C11</f>
        <v>9</v>
      </c>
      <c r="B11" s="38">
        <f t="shared" ref="B11:B23" si="1">G11</f>
        <v>19</v>
      </c>
      <c r="C11" s="5">
        <f t="shared" ref="C11:C16" si="2">$C$17+H11</f>
        <v>9</v>
      </c>
      <c r="D11" s="57">
        <f>C11^2</f>
        <v>81</v>
      </c>
      <c r="E11">
        <f t="shared" ref="E11:E23" si="3">$E$8</f>
        <v>10</v>
      </c>
      <c r="F11">
        <f t="shared" ref="F11:F23" si="4">$D$17</f>
        <v>100</v>
      </c>
      <c r="G11">
        <f t="shared" ref="G11:G23" si="5">(F11-D11)/(E11-C11)</f>
        <v>19</v>
      </c>
      <c r="H11">
        <f>-H6</f>
        <v>-1</v>
      </c>
    </row>
    <row r="12" spans="1:9" ht="13" x14ac:dyDescent="0.3">
      <c r="A12" s="37">
        <f t="shared" si="0"/>
        <v>9.9</v>
      </c>
      <c r="B12" s="38">
        <f t="shared" si="1"/>
        <v>19.90000000000002</v>
      </c>
      <c r="C12" s="5">
        <f t="shared" si="2"/>
        <v>9.9</v>
      </c>
      <c r="D12" s="61">
        <f t="shared" ref="D12:D23" si="6">+C12^2</f>
        <v>98.01</v>
      </c>
      <c r="E12">
        <f t="shared" si="3"/>
        <v>10</v>
      </c>
      <c r="F12">
        <f t="shared" si="4"/>
        <v>100</v>
      </c>
      <c r="G12">
        <f t="shared" si="5"/>
        <v>19.90000000000002</v>
      </c>
      <c r="H12">
        <f>H11*0.1</f>
        <v>-0.1</v>
      </c>
    </row>
    <row r="13" spans="1:9" ht="13" x14ac:dyDescent="0.3">
      <c r="A13" s="37">
        <f t="shared" si="0"/>
        <v>9.99</v>
      </c>
      <c r="B13" s="38">
        <f t="shared" si="1"/>
        <v>19.990000000000379</v>
      </c>
      <c r="C13" s="5">
        <f t="shared" si="2"/>
        <v>9.99</v>
      </c>
      <c r="D13" s="61">
        <f t="shared" si="6"/>
        <v>99.8001</v>
      </c>
      <c r="E13">
        <f t="shared" si="3"/>
        <v>10</v>
      </c>
      <c r="F13">
        <f t="shared" si="4"/>
        <v>100</v>
      </c>
      <c r="G13">
        <f t="shared" si="5"/>
        <v>19.990000000000379</v>
      </c>
      <c r="H13">
        <f>H12*0.1</f>
        <v>-1.0000000000000002E-2</v>
      </c>
    </row>
    <row r="14" spans="1:9" ht="13" x14ac:dyDescent="0.3">
      <c r="A14" s="37">
        <f t="shared" si="0"/>
        <v>9.9990000000000006</v>
      </c>
      <c r="B14" s="38">
        <f t="shared" si="1"/>
        <v>19.998999999995419</v>
      </c>
      <c r="C14" s="5">
        <f t="shared" si="2"/>
        <v>9.9990000000000006</v>
      </c>
      <c r="D14" s="61">
        <f t="shared" si="6"/>
        <v>99.980001000000016</v>
      </c>
      <c r="E14">
        <f t="shared" si="3"/>
        <v>10</v>
      </c>
      <c r="F14">
        <f t="shared" si="4"/>
        <v>100</v>
      </c>
      <c r="G14">
        <f t="shared" si="5"/>
        <v>19.998999999995419</v>
      </c>
      <c r="H14">
        <f>H13*0.1</f>
        <v>-1.0000000000000002E-3</v>
      </c>
    </row>
    <row r="15" spans="1:9" ht="13" x14ac:dyDescent="0.3">
      <c r="A15" s="37">
        <f t="shared" si="0"/>
        <v>9.9999000000000002</v>
      </c>
      <c r="B15" s="38">
        <f t="shared" si="1"/>
        <v>19.99990000006278</v>
      </c>
      <c r="C15" s="5">
        <f t="shared" si="2"/>
        <v>9.9999000000000002</v>
      </c>
      <c r="D15" s="61">
        <f t="shared" si="6"/>
        <v>99.998000009999998</v>
      </c>
      <c r="E15">
        <f t="shared" si="3"/>
        <v>10</v>
      </c>
      <c r="F15">
        <f t="shared" si="4"/>
        <v>100</v>
      </c>
      <c r="G15">
        <f t="shared" si="5"/>
        <v>19.99990000006278</v>
      </c>
      <c r="H15">
        <f>H14*0.1</f>
        <v>-1.0000000000000003E-4</v>
      </c>
    </row>
    <row r="16" spans="1:9" ht="13" x14ac:dyDescent="0.3">
      <c r="A16" s="37">
        <f t="shared" si="0"/>
        <v>9.9999900000000004</v>
      </c>
      <c r="B16" s="38">
        <f t="shared" si="1"/>
        <v>19.999989999821537</v>
      </c>
      <c r="C16" s="5">
        <f t="shared" si="2"/>
        <v>9.9999900000000004</v>
      </c>
      <c r="D16" s="61">
        <f t="shared" si="6"/>
        <v>99.999800000100009</v>
      </c>
      <c r="E16">
        <f t="shared" si="3"/>
        <v>10</v>
      </c>
      <c r="F16">
        <f t="shared" si="4"/>
        <v>100</v>
      </c>
      <c r="G16">
        <f t="shared" si="5"/>
        <v>19.999989999821537</v>
      </c>
      <c r="H16">
        <f>H15*0.1</f>
        <v>-1.0000000000000004E-5</v>
      </c>
    </row>
    <row r="17" spans="1:8" ht="13" x14ac:dyDescent="0.3">
      <c r="A17" s="37">
        <f t="shared" si="0"/>
        <v>10</v>
      </c>
      <c r="B17" s="40" t="e">
        <f t="shared" si="1"/>
        <v>#DIV/0!</v>
      </c>
      <c r="C17">
        <f>E8</f>
        <v>10</v>
      </c>
      <c r="D17" s="61">
        <f t="shared" si="6"/>
        <v>100</v>
      </c>
      <c r="E17">
        <f t="shared" si="3"/>
        <v>10</v>
      </c>
      <c r="F17">
        <f t="shared" si="4"/>
        <v>100</v>
      </c>
      <c r="G17" t="e">
        <f t="shared" si="5"/>
        <v>#DIV/0!</v>
      </c>
      <c r="H17">
        <v>0</v>
      </c>
    </row>
    <row r="18" spans="1:8" ht="13" x14ac:dyDescent="0.3">
      <c r="A18" s="37">
        <f t="shared" si="0"/>
        <v>10.00001</v>
      </c>
      <c r="B18" s="38">
        <f t="shared" si="1"/>
        <v>20.000010000178463</v>
      </c>
      <c r="C18">
        <f t="shared" ref="C18:C23" si="7">$C$17+H18</f>
        <v>10.00001</v>
      </c>
      <c r="D18" s="61">
        <f t="shared" si="6"/>
        <v>100.00020000009999</v>
      </c>
      <c r="E18">
        <f t="shared" si="3"/>
        <v>10</v>
      </c>
      <c r="F18">
        <f t="shared" si="4"/>
        <v>100</v>
      </c>
      <c r="G18">
        <f t="shared" si="5"/>
        <v>20.000010000178463</v>
      </c>
      <c r="H18">
        <f>H19*0.1</f>
        <v>1.0000000000000004E-5</v>
      </c>
    </row>
    <row r="19" spans="1:8" ht="13" x14ac:dyDescent="0.3">
      <c r="A19" s="37">
        <f t="shared" si="0"/>
        <v>10.0001</v>
      </c>
      <c r="B19" s="38">
        <f t="shared" si="1"/>
        <v>20.00009999993722</v>
      </c>
      <c r="C19">
        <f t="shared" si="7"/>
        <v>10.0001</v>
      </c>
      <c r="D19" s="61">
        <f t="shared" si="6"/>
        <v>100.00200000999999</v>
      </c>
      <c r="E19">
        <f t="shared" si="3"/>
        <v>10</v>
      </c>
      <c r="F19">
        <f t="shared" si="4"/>
        <v>100</v>
      </c>
      <c r="G19">
        <f t="shared" si="5"/>
        <v>20.00009999993722</v>
      </c>
      <c r="H19">
        <f>H20*0.1</f>
        <v>1.0000000000000003E-4</v>
      </c>
    </row>
    <row r="20" spans="1:8" ht="13" x14ac:dyDescent="0.3">
      <c r="A20" s="37">
        <f t="shared" si="0"/>
        <v>10.000999999999999</v>
      </c>
      <c r="B20" s="38">
        <f t="shared" si="1"/>
        <v>20.001000000004581</v>
      </c>
      <c r="C20">
        <f t="shared" si="7"/>
        <v>10.000999999999999</v>
      </c>
      <c r="D20" s="61">
        <f t="shared" si="6"/>
        <v>100.02000099999999</v>
      </c>
      <c r="E20">
        <f t="shared" si="3"/>
        <v>10</v>
      </c>
      <c r="F20">
        <f t="shared" si="4"/>
        <v>100</v>
      </c>
      <c r="G20">
        <f t="shared" si="5"/>
        <v>20.001000000004581</v>
      </c>
      <c r="H20">
        <f>H21*0.1</f>
        <v>1.0000000000000002E-3</v>
      </c>
    </row>
    <row r="21" spans="1:8" ht="13" x14ac:dyDescent="0.3">
      <c r="A21" s="37">
        <f t="shared" si="0"/>
        <v>10.01</v>
      </c>
      <c r="B21" s="38">
        <f t="shared" si="1"/>
        <v>20.009999999999621</v>
      </c>
      <c r="C21">
        <f t="shared" si="7"/>
        <v>10.01</v>
      </c>
      <c r="D21" s="61">
        <f t="shared" si="6"/>
        <v>100.20009999999999</v>
      </c>
      <c r="E21">
        <f t="shared" si="3"/>
        <v>10</v>
      </c>
      <c r="F21">
        <f t="shared" si="4"/>
        <v>100</v>
      </c>
      <c r="G21">
        <f t="shared" si="5"/>
        <v>20.009999999999621</v>
      </c>
      <c r="H21">
        <f>H22*0.1</f>
        <v>1.0000000000000002E-2</v>
      </c>
    </row>
    <row r="22" spans="1:8" ht="13" x14ac:dyDescent="0.3">
      <c r="A22" s="37">
        <f t="shared" si="0"/>
        <v>10.1</v>
      </c>
      <c r="B22" s="38">
        <f t="shared" si="1"/>
        <v>20.09999999999998</v>
      </c>
      <c r="C22">
        <f t="shared" si="7"/>
        <v>10.1</v>
      </c>
      <c r="D22" s="61">
        <f t="shared" si="6"/>
        <v>102.00999999999999</v>
      </c>
      <c r="E22">
        <f t="shared" si="3"/>
        <v>10</v>
      </c>
      <c r="F22">
        <f t="shared" si="4"/>
        <v>100</v>
      </c>
      <c r="G22">
        <f t="shared" si="5"/>
        <v>20.09999999999998</v>
      </c>
      <c r="H22">
        <f>H23*0.1</f>
        <v>0.1</v>
      </c>
    </row>
    <row r="23" spans="1:8" ht="13.5" thickBot="1" x14ac:dyDescent="0.35">
      <c r="A23" s="27">
        <f t="shared" si="0"/>
        <v>11</v>
      </c>
      <c r="B23" s="28">
        <f t="shared" si="1"/>
        <v>21</v>
      </c>
      <c r="C23">
        <f t="shared" si="7"/>
        <v>11</v>
      </c>
      <c r="D23" s="61">
        <f t="shared" si="6"/>
        <v>121</v>
      </c>
      <c r="E23">
        <f t="shared" si="3"/>
        <v>10</v>
      </c>
      <c r="F23">
        <f t="shared" si="4"/>
        <v>100</v>
      </c>
      <c r="G23">
        <f t="shared" si="5"/>
        <v>21</v>
      </c>
      <c r="H23">
        <f>H6</f>
        <v>1</v>
      </c>
    </row>
    <row r="25" spans="1:8" x14ac:dyDescent="0.25">
      <c r="A25" t="s">
        <v>162</v>
      </c>
    </row>
    <row r="26" spans="1:8" x14ac:dyDescent="0.25">
      <c r="A26" t="s">
        <v>163</v>
      </c>
    </row>
  </sheetData>
  <printOptions headings="1" gridLine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zoomScale="65" workbookViewId="0">
      <selection activeCell="A8" sqref="A8"/>
    </sheetView>
  </sheetViews>
  <sheetFormatPr defaultRowHeight="12.5" x14ac:dyDescent="0.25"/>
  <cols>
    <col min="4" max="4" width="9.7265625" customWidth="1"/>
    <col min="7" max="7" width="18.453125" customWidth="1"/>
    <col min="9" max="9" width="10.54296875" customWidth="1"/>
    <col min="11" max="11" width="10" customWidth="1"/>
  </cols>
  <sheetData>
    <row r="1" spans="1:12" ht="13" x14ac:dyDescent="0.3">
      <c r="A1" s="1" t="s">
        <v>109</v>
      </c>
      <c r="L1" t="s">
        <v>110</v>
      </c>
    </row>
    <row r="2" spans="1:12" ht="13" x14ac:dyDescent="0.3">
      <c r="A2" s="1" t="s">
        <v>111</v>
      </c>
      <c r="L2" t="s">
        <v>112</v>
      </c>
    </row>
    <row r="3" spans="1:12" ht="13" x14ac:dyDescent="0.3">
      <c r="A3" s="1" t="s">
        <v>113</v>
      </c>
      <c r="L3" s="3" t="s">
        <v>114</v>
      </c>
    </row>
    <row r="4" spans="1:12" ht="13" x14ac:dyDescent="0.3">
      <c r="A4" s="1" t="s">
        <v>115</v>
      </c>
      <c r="L4" t="s">
        <v>116</v>
      </c>
    </row>
    <row r="5" spans="1:12" ht="13" x14ac:dyDescent="0.3">
      <c r="A5" s="3" t="s">
        <v>169</v>
      </c>
      <c r="L5" t="s">
        <v>117</v>
      </c>
    </row>
    <row r="6" spans="1:12" ht="13" x14ac:dyDescent="0.3">
      <c r="A6" s="4" t="s">
        <v>118</v>
      </c>
      <c r="L6" t="s">
        <v>119</v>
      </c>
    </row>
    <row r="7" spans="1:12" x14ac:dyDescent="0.25">
      <c r="L7" t="s">
        <v>120</v>
      </c>
    </row>
    <row r="8" spans="1:12" ht="13" x14ac:dyDescent="0.3">
      <c r="A8" s="42">
        <v>0</v>
      </c>
      <c r="B8" t="s">
        <v>121</v>
      </c>
      <c r="C8" s="43">
        <v>6</v>
      </c>
      <c r="D8" t="s">
        <v>122</v>
      </c>
      <c r="E8" s="11">
        <f>(C8-A8)/50</f>
        <v>0.12</v>
      </c>
      <c r="F8" t="s">
        <v>123</v>
      </c>
      <c r="L8" t="s">
        <v>124</v>
      </c>
    </row>
    <row r="9" spans="1:12" x14ac:dyDescent="0.25">
      <c r="F9" t="s">
        <v>125</v>
      </c>
      <c r="L9" t="s">
        <v>126</v>
      </c>
    </row>
    <row r="10" spans="1:12" ht="13" x14ac:dyDescent="0.3">
      <c r="A10" s="58" t="s">
        <v>127</v>
      </c>
      <c r="B10" s="44"/>
      <c r="C10" s="44"/>
      <c r="D10" s="44"/>
      <c r="E10" s="44"/>
      <c r="F10" s="44"/>
      <c r="G10" s="44"/>
      <c r="L10" t="s">
        <v>128</v>
      </c>
    </row>
    <row r="11" spans="1:12" x14ac:dyDescent="0.25">
      <c r="L11" t="s">
        <v>129</v>
      </c>
    </row>
    <row r="12" spans="1:12" x14ac:dyDescent="0.25">
      <c r="A12" s="10" t="s">
        <v>27</v>
      </c>
      <c r="B12" s="10" t="s">
        <v>104</v>
      </c>
      <c r="C12" s="10" t="s">
        <v>27</v>
      </c>
      <c r="D12" s="10" t="s">
        <v>130</v>
      </c>
      <c r="E12" t="s">
        <v>27</v>
      </c>
      <c r="F12" t="s">
        <v>131</v>
      </c>
      <c r="L12" t="s">
        <v>132</v>
      </c>
    </row>
    <row r="13" spans="1:12" x14ac:dyDescent="0.25">
      <c r="A13">
        <f>A8</f>
        <v>0</v>
      </c>
      <c r="B13" s="39">
        <f t="shared" ref="B13:B44" si="0">A13^3-9*A13^2+24*A13</f>
        <v>0</v>
      </c>
      <c r="C13">
        <f t="shared" ref="C13:C44" si="1">A13</f>
        <v>0</v>
      </c>
      <c r="D13">
        <f t="shared" ref="D13:D44" si="2">G67</f>
        <v>24.000000010000001</v>
      </c>
      <c r="E13" s="50"/>
      <c r="L13" t="s">
        <v>133</v>
      </c>
    </row>
    <row r="14" spans="1:12" x14ac:dyDescent="0.25">
      <c r="A14">
        <f t="shared" ref="A14:A45" si="3">A13+$E$8</f>
        <v>0.12</v>
      </c>
      <c r="B14" s="53">
        <f t="shared" si="0"/>
        <v>2.7521279999999999</v>
      </c>
      <c r="C14">
        <f t="shared" si="1"/>
        <v>0.12</v>
      </c>
      <c r="D14">
        <f t="shared" si="2"/>
        <v>21.883200010002213</v>
      </c>
      <c r="E14" s="51">
        <f t="shared" ref="E14:E45" si="4">C14</f>
        <v>0.12</v>
      </c>
      <c r="F14" s="50">
        <f t="shared" ref="F14:F45" si="5">I68</f>
        <v>-17.639999999981569</v>
      </c>
      <c r="L14" t="s">
        <v>165</v>
      </c>
    </row>
    <row r="15" spans="1:12" x14ac:dyDescent="0.25">
      <c r="A15">
        <f t="shared" si="3"/>
        <v>0.24</v>
      </c>
      <c r="B15" s="53">
        <f t="shared" si="0"/>
        <v>5.2554239999999997</v>
      </c>
      <c r="C15">
        <f t="shared" si="1"/>
        <v>0.24</v>
      </c>
      <c r="D15">
        <f t="shared" si="2"/>
        <v>19.85280000999623</v>
      </c>
      <c r="E15" s="51">
        <f t="shared" si="4"/>
        <v>0.24</v>
      </c>
      <c r="F15" s="50">
        <f t="shared" si="5"/>
        <v>-16.92000000004986</v>
      </c>
      <c r="L15" t="s">
        <v>166</v>
      </c>
    </row>
    <row r="16" spans="1:12" x14ac:dyDescent="0.25">
      <c r="A16">
        <f t="shared" si="3"/>
        <v>0.36</v>
      </c>
      <c r="B16" s="53">
        <f t="shared" si="0"/>
        <v>7.5202560000000007</v>
      </c>
      <c r="C16">
        <f t="shared" si="1"/>
        <v>0.36</v>
      </c>
      <c r="D16">
        <f t="shared" si="2"/>
        <v>17.90880000999806</v>
      </c>
      <c r="E16" s="51">
        <f t="shared" si="4"/>
        <v>0.36</v>
      </c>
      <c r="F16" s="50">
        <f t="shared" si="5"/>
        <v>-16.199999999984747</v>
      </c>
      <c r="L16" t="s">
        <v>167</v>
      </c>
    </row>
    <row r="17" spans="1:12" x14ac:dyDescent="0.25">
      <c r="A17">
        <f t="shared" si="3"/>
        <v>0.48</v>
      </c>
      <c r="B17" s="53">
        <f t="shared" si="0"/>
        <v>9.5569919999999993</v>
      </c>
      <c r="C17">
        <f t="shared" si="1"/>
        <v>0.48</v>
      </c>
      <c r="D17">
        <f t="shared" si="2"/>
        <v>16.051200009998823</v>
      </c>
      <c r="E17" s="51">
        <f t="shared" si="4"/>
        <v>0.48</v>
      </c>
      <c r="F17" s="50">
        <f t="shared" si="5"/>
        <v>-15.479999999993648</v>
      </c>
      <c r="L17" t="s">
        <v>168</v>
      </c>
    </row>
    <row r="18" spans="1:12" ht="13" x14ac:dyDescent="0.3">
      <c r="A18">
        <f t="shared" si="3"/>
        <v>0.6</v>
      </c>
      <c r="B18" s="53">
        <f t="shared" si="0"/>
        <v>11.375999999999999</v>
      </c>
      <c r="C18">
        <f t="shared" si="1"/>
        <v>0.6</v>
      </c>
      <c r="D18">
        <f t="shared" si="2"/>
        <v>14.280000010007399</v>
      </c>
      <c r="E18" s="51">
        <f t="shared" si="4"/>
        <v>0.6</v>
      </c>
      <c r="F18" s="50">
        <f t="shared" si="5"/>
        <v>-14.759999999928535</v>
      </c>
      <c r="L18" t="s">
        <v>134</v>
      </c>
    </row>
    <row r="19" spans="1:12" x14ac:dyDescent="0.25">
      <c r="A19">
        <f t="shared" si="3"/>
        <v>0.72</v>
      </c>
      <c r="B19" s="53">
        <f t="shared" si="0"/>
        <v>12.987648000000002</v>
      </c>
      <c r="C19">
        <f t="shared" si="1"/>
        <v>0.72</v>
      </c>
      <c r="D19">
        <f t="shared" si="2"/>
        <v>12.595200009997143</v>
      </c>
      <c r="E19" s="51">
        <f t="shared" si="4"/>
        <v>0.72</v>
      </c>
      <c r="F19" s="50">
        <f t="shared" si="5"/>
        <v>-14.040000000085467</v>
      </c>
      <c r="L19" t="s">
        <v>135</v>
      </c>
    </row>
    <row r="20" spans="1:12" x14ac:dyDescent="0.25">
      <c r="A20">
        <f t="shared" si="3"/>
        <v>0.84</v>
      </c>
      <c r="B20" s="53">
        <f t="shared" si="0"/>
        <v>14.402304000000001</v>
      </c>
      <c r="C20">
        <f t="shared" si="1"/>
        <v>0.84</v>
      </c>
      <c r="D20">
        <f t="shared" si="2"/>
        <v>10.996800010003582</v>
      </c>
      <c r="E20" s="51">
        <f t="shared" si="4"/>
        <v>0.84</v>
      </c>
      <c r="F20" s="50">
        <f t="shared" si="5"/>
        <v>-13.319999999946338</v>
      </c>
      <c r="L20" t="s">
        <v>136</v>
      </c>
    </row>
    <row r="21" spans="1:12" x14ac:dyDescent="0.25">
      <c r="A21">
        <f t="shared" si="3"/>
        <v>0.96</v>
      </c>
      <c r="B21" s="53">
        <f t="shared" si="0"/>
        <v>15.630336</v>
      </c>
      <c r="C21">
        <f t="shared" si="1"/>
        <v>0.96</v>
      </c>
      <c r="D21">
        <f t="shared" si="2"/>
        <v>9.4848000100178353</v>
      </c>
      <c r="E21" s="51">
        <f t="shared" si="4"/>
        <v>0.96</v>
      </c>
      <c r="F21" s="50">
        <f t="shared" si="5"/>
        <v>-12.599999999881225</v>
      </c>
      <c r="L21" t="s">
        <v>137</v>
      </c>
    </row>
    <row r="22" spans="1:12" x14ac:dyDescent="0.25">
      <c r="A22">
        <f t="shared" si="3"/>
        <v>1.08</v>
      </c>
      <c r="B22" s="53">
        <f t="shared" si="0"/>
        <v>16.682112000000004</v>
      </c>
      <c r="C22">
        <f t="shared" si="1"/>
        <v>1.08</v>
      </c>
      <c r="D22">
        <f t="shared" si="2"/>
        <v>8.0592000100132566</v>
      </c>
      <c r="E22" s="51">
        <f t="shared" si="4"/>
        <v>1.08</v>
      </c>
      <c r="F22" s="50">
        <f t="shared" si="5"/>
        <v>-11.880000000038157</v>
      </c>
      <c r="L22" t="s">
        <v>138</v>
      </c>
    </row>
    <row r="23" spans="1:12" ht="13" x14ac:dyDescent="0.3">
      <c r="A23">
        <f t="shared" si="3"/>
        <v>1.2000000000000002</v>
      </c>
      <c r="B23" s="53">
        <f t="shared" si="0"/>
        <v>17.568000000000001</v>
      </c>
      <c r="C23">
        <f t="shared" si="1"/>
        <v>1.2000000000000002</v>
      </c>
      <c r="D23">
        <f t="shared" si="2"/>
        <v>6.720000010034255</v>
      </c>
      <c r="E23" s="51">
        <f t="shared" si="4"/>
        <v>1.2000000000000002</v>
      </c>
      <c r="F23" s="50">
        <f t="shared" si="5"/>
        <v>-11.159999999825015</v>
      </c>
      <c r="L23" s="3" t="s">
        <v>139</v>
      </c>
    </row>
    <row r="24" spans="1:12" ht="13" x14ac:dyDescent="0.3">
      <c r="A24">
        <f t="shared" si="3"/>
        <v>1.3200000000000003</v>
      </c>
      <c r="B24" s="53">
        <f t="shared" si="0"/>
        <v>18.298368000000004</v>
      </c>
      <c r="C24">
        <f t="shared" si="1"/>
        <v>1.3200000000000003</v>
      </c>
      <c r="D24">
        <f t="shared" si="2"/>
        <v>5.4672000100097762</v>
      </c>
      <c r="E24" s="51">
        <f t="shared" si="4"/>
        <v>1.3200000000000003</v>
      </c>
      <c r="F24" s="50">
        <f t="shared" si="5"/>
        <v>-10.440000000203991</v>
      </c>
      <c r="L24" s="3" t="s">
        <v>140</v>
      </c>
    </row>
    <row r="25" spans="1:12" ht="13" x14ac:dyDescent="0.3">
      <c r="A25">
        <f t="shared" si="3"/>
        <v>1.4400000000000004</v>
      </c>
      <c r="B25" s="53">
        <f t="shared" si="0"/>
        <v>18.883583999999999</v>
      </c>
      <c r="C25">
        <f t="shared" si="1"/>
        <v>1.4400000000000004</v>
      </c>
      <c r="D25">
        <f t="shared" si="2"/>
        <v>4.3008000100286381</v>
      </c>
      <c r="E25" s="51">
        <f t="shared" si="4"/>
        <v>1.4400000000000004</v>
      </c>
      <c r="F25" s="50">
        <f t="shared" si="5"/>
        <v>-9.7199999998428179</v>
      </c>
      <c r="I25" s="3"/>
      <c r="J25" s="3"/>
      <c r="K25" s="3"/>
      <c r="L25" s="3" t="s">
        <v>141</v>
      </c>
    </row>
    <row r="26" spans="1:12" ht="13" x14ac:dyDescent="0.3">
      <c r="A26">
        <f t="shared" si="3"/>
        <v>1.5600000000000005</v>
      </c>
      <c r="B26" s="53">
        <f t="shared" si="0"/>
        <v>19.334016000000002</v>
      </c>
      <c r="C26">
        <f t="shared" si="1"/>
        <v>1.5600000000000005</v>
      </c>
      <c r="D26">
        <f t="shared" si="2"/>
        <v>3.2208000100197864</v>
      </c>
      <c r="E26" s="51">
        <f t="shared" si="4"/>
        <v>1.5600000000000005</v>
      </c>
      <c r="F26" s="50">
        <f t="shared" si="5"/>
        <v>-9.000000000073765</v>
      </c>
      <c r="I26" s="3"/>
      <c r="J26" s="3"/>
      <c r="K26" s="3"/>
      <c r="L26" t="s">
        <v>142</v>
      </c>
    </row>
    <row r="27" spans="1:12" ht="13" x14ac:dyDescent="0.3">
      <c r="A27">
        <f t="shared" si="3"/>
        <v>1.6800000000000006</v>
      </c>
      <c r="B27" s="53">
        <f t="shared" si="0"/>
        <v>19.660032000000001</v>
      </c>
      <c r="C27">
        <f t="shared" si="1"/>
        <v>1.6800000000000006</v>
      </c>
      <c r="D27">
        <f t="shared" si="2"/>
        <v>2.2272000100187483</v>
      </c>
      <c r="E27" s="51">
        <f t="shared" si="4"/>
        <v>1.6800000000000006</v>
      </c>
      <c r="F27" s="50">
        <f t="shared" si="5"/>
        <v>-8.280000000008652</v>
      </c>
      <c r="I27" s="3"/>
      <c r="J27" s="3"/>
    </row>
    <row r="28" spans="1:12" x14ac:dyDescent="0.25">
      <c r="A28">
        <f t="shared" si="3"/>
        <v>1.8000000000000007</v>
      </c>
      <c r="B28" s="53">
        <f t="shared" si="0"/>
        <v>19.872000000000003</v>
      </c>
      <c r="C28">
        <f t="shared" si="1"/>
        <v>1.8000000000000007</v>
      </c>
      <c r="D28">
        <f t="shared" si="2"/>
        <v>1.3200000100255238</v>
      </c>
      <c r="E28" s="51">
        <f t="shared" si="4"/>
        <v>1.8000000000000007</v>
      </c>
      <c r="F28" s="50">
        <f t="shared" si="5"/>
        <v>-7.5599999999435381</v>
      </c>
    </row>
    <row r="29" spans="1:12" ht="13" x14ac:dyDescent="0.3">
      <c r="A29">
        <f t="shared" si="3"/>
        <v>1.9200000000000008</v>
      </c>
      <c r="B29" s="53">
        <f t="shared" si="0"/>
        <v>19.980288000000002</v>
      </c>
      <c r="C29">
        <f t="shared" si="1"/>
        <v>1.9200000000000008</v>
      </c>
      <c r="D29">
        <f t="shared" si="2"/>
        <v>0.49920001000458569</v>
      </c>
      <c r="E29" s="51">
        <f t="shared" si="4"/>
        <v>1.9200000000000008</v>
      </c>
      <c r="F29" s="50">
        <f t="shared" si="5"/>
        <v>-6.8400000001744843</v>
      </c>
      <c r="H29" s="3" t="s">
        <v>143</v>
      </c>
    </row>
    <row r="30" spans="1:12" ht="13" x14ac:dyDescent="0.3">
      <c r="A30">
        <f t="shared" si="3"/>
        <v>2.0400000000000009</v>
      </c>
      <c r="B30" s="53">
        <f t="shared" si="0"/>
        <v>19.995263999999999</v>
      </c>
      <c r="C30">
        <f t="shared" si="1"/>
        <v>2.0400000000000009</v>
      </c>
      <c r="D30">
        <f t="shared" si="2"/>
        <v>-0.23519998999077529</v>
      </c>
      <c r="E30" s="51">
        <f t="shared" si="4"/>
        <v>2.0400000000000009</v>
      </c>
      <c r="F30" s="50">
        <f t="shared" si="5"/>
        <v>-6.1199999999613421</v>
      </c>
      <c r="H30" s="3" t="s">
        <v>144</v>
      </c>
    </row>
    <row r="31" spans="1:12" ht="13" x14ac:dyDescent="0.3">
      <c r="A31">
        <f t="shared" si="3"/>
        <v>2.160000000000001</v>
      </c>
      <c r="B31" s="53">
        <f t="shared" si="0"/>
        <v>19.927295999999998</v>
      </c>
      <c r="C31">
        <f t="shared" si="1"/>
        <v>2.160000000000001</v>
      </c>
      <c r="D31">
        <f t="shared" si="2"/>
        <v>-0.88319999006714056</v>
      </c>
      <c r="E31" s="51">
        <f t="shared" si="4"/>
        <v>2.160000000000001</v>
      </c>
      <c r="F31" s="50">
        <f t="shared" si="5"/>
        <v>-5.4000000006363775</v>
      </c>
      <c r="H31" s="3" t="s">
        <v>145</v>
      </c>
    </row>
    <row r="32" spans="1:12" ht="13" x14ac:dyDescent="0.3">
      <c r="A32">
        <f t="shared" si="3"/>
        <v>2.2800000000000011</v>
      </c>
      <c r="B32" s="53">
        <f t="shared" si="0"/>
        <v>19.786752</v>
      </c>
      <c r="C32">
        <f t="shared" si="1"/>
        <v>2.2800000000000011</v>
      </c>
      <c r="D32">
        <f t="shared" si="2"/>
        <v>-1.4447999900113473</v>
      </c>
      <c r="E32" s="51">
        <f t="shared" si="4"/>
        <v>2.2800000000000011</v>
      </c>
      <c r="F32" s="50">
        <f t="shared" si="5"/>
        <v>-4.6799999995350561</v>
      </c>
      <c r="H32" s="3" t="s">
        <v>146</v>
      </c>
    </row>
    <row r="33" spans="1:8" x14ac:dyDescent="0.25">
      <c r="A33">
        <f t="shared" si="3"/>
        <v>2.4000000000000012</v>
      </c>
      <c r="B33" s="53">
        <f t="shared" si="0"/>
        <v>19.583999999999996</v>
      </c>
      <c r="C33">
        <f t="shared" si="1"/>
        <v>2.4000000000000012</v>
      </c>
      <c r="D33">
        <f t="shared" si="2"/>
        <v>-1.9199999900720854</v>
      </c>
      <c r="E33" s="51">
        <f t="shared" si="4"/>
        <v>2.4000000000000012</v>
      </c>
      <c r="F33" s="50">
        <f t="shared" si="5"/>
        <v>-3.9600000005061515</v>
      </c>
      <c r="H33" t="s">
        <v>147</v>
      </c>
    </row>
    <row r="34" spans="1:8" x14ac:dyDescent="0.25">
      <c r="A34">
        <f t="shared" si="3"/>
        <v>2.5200000000000014</v>
      </c>
      <c r="B34" s="53">
        <f t="shared" si="0"/>
        <v>19.329408000000001</v>
      </c>
      <c r="C34">
        <f t="shared" si="1"/>
        <v>2.5200000000000014</v>
      </c>
      <c r="D34">
        <f t="shared" si="2"/>
        <v>-2.3087999899473743</v>
      </c>
      <c r="E34" s="51">
        <f t="shared" si="4"/>
        <v>2.5200000000000014</v>
      </c>
      <c r="F34" s="50">
        <f t="shared" si="5"/>
        <v>-3.2399999989607409</v>
      </c>
      <c r="H34" t="s">
        <v>148</v>
      </c>
    </row>
    <row r="35" spans="1:8" ht="13" x14ac:dyDescent="0.3">
      <c r="A35">
        <f t="shared" si="3"/>
        <v>2.6400000000000015</v>
      </c>
      <c r="B35" s="53">
        <f t="shared" si="0"/>
        <v>19.033343999999992</v>
      </c>
      <c r="C35">
        <f t="shared" si="1"/>
        <v>2.6400000000000015</v>
      </c>
      <c r="D35">
        <f t="shared" si="2"/>
        <v>-2.6111999900280125</v>
      </c>
      <c r="E35" s="51">
        <f t="shared" si="4"/>
        <v>2.6400000000000015</v>
      </c>
      <c r="F35" s="50">
        <f t="shared" si="5"/>
        <v>-2.5200000006719847</v>
      </c>
      <c r="H35" t="s">
        <v>149</v>
      </c>
    </row>
    <row r="36" spans="1:8" x14ac:dyDescent="0.25">
      <c r="A36">
        <f t="shared" si="3"/>
        <v>2.7600000000000016</v>
      </c>
      <c r="B36" s="53">
        <f t="shared" si="0"/>
        <v>18.706175999999999</v>
      </c>
      <c r="C36">
        <f t="shared" si="1"/>
        <v>2.7600000000000016</v>
      </c>
      <c r="D36">
        <f t="shared" si="2"/>
        <v>-2.8271999899942557</v>
      </c>
      <c r="E36" s="51">
        <f t="shared" si="4"/>
        <v>2.7600000000000016</v>
      </c>
      <c r="F36" s="50">
        <f t="shared" si="5"/>
        <v>-1.7999999997186933</v>
      </c>
      <c r="H36" t="s">
        <v>150</v>
      </c>
    </row>
    <row r="37" spans="1:8" x14ac:dyDescent="0.25">
      <c r="A37">
        <f t="shared" si="3"/>
        <v>2.8800000000000017</v>
      </c>
      <c r="B37" s="53">
        <f t="shared" si="0"/>
        <v>18.358271999999985</v>
      </c>
      <c r="C37">
        <f t="shared" si="1"/>
        <v>2.8800000000000017</v>
      </c>
      <c r="D37">
        <f t="shared" si="2"/>
        <v>-2.9567999900947939</v>
      </c>
      <c r="E37" s="51">
        <f t="shared" si="4"/>
        <v>2.8800000000000017</v>
      </c>
      <c r="F37" s="50">
        <f t="shared" si="5"/>
        <v>-1.0800000008378183</v>
      </c>
      <c r="H37" t="s">
        <v>151</v>
      </c>
    </row>
    <row r="38" spans="1:8" x14ac:dyDescent="0.25">
      <c r="A38">
        <f t="shared" si="3"/>
        <v>3.0000000000000018</v>
      </c>
      <c r="B38" s="53">
        <f t="shared" si="0"/>
        <v>17.999999999999993</v>
      </c>
      <c r="C38">
        <f t="shared" si="1"/>
        <v>3.0000000000000018</v>
      </c>
      <c r="D38">
        <f t="shared" si="2"/>
        <v>-2.9999999899388285</v>
      </c>
      <c r="E38" s="51">
        <f t="shared" si="4"/>
        <v>3.0000000000000018</v>
      </c>
      <c r="F38" s="50">
        <f t="shared" si="5"/>
        <v>-0.35999999870028887</v>
      </c>
    </row>
    <row r="39" spans="1:8" x14ac:dyDescent="0.25">
      <c r="A39">
        <f t="shared" si="3"/>
        <v>3.1200000000000019</v>
      </c>
      <c r="B39" s="53">
        <f t="shared" si="0"/>
        <v>17.641728000000008</v>
      </c>
      <c r="C39">
        <f t="shared" si="1"/>
        <v>3.1200000000000019</v>
      </c>
      <c r="D39">
        <f t="shared" si="2"/>
        <v>-2.9567999900237396</v>
      </c>
      <c r="E39" s="51">
        <f t="shared" si="4"/>
        <v>3.1200000000000019</v>
      </c>
      <c r="F39" s="50">
        <f t="shared" si="5"/>
        <v>0.35999999929240784</v>
      </c>
    </row>
    <row r="40" spans="1:8" x14ac:dyDescent="0.25">
      <c r="A40">
        <f t="shared" si="3"/>
        <v>3.240000000000002</v>
      </c>
      <c r="B40" s="53">
        <f t="shared" si="0"/>
        <v>17.293824000000001</v>
      </c>
      <c r="C40">
        <f t="shared" si="1"/>
        <v>3.240000000000002</v>
      </c>
      <c r="D40">
        <f t="shared" si="2"/>
        <v>-2.8271999899232014</v>
      </c>
      <c r="E40" s="51">
        <f t="shared" si="4"/>
        <v>3.240000000000002</v>
      </c>
      <c r="F40" s="50">
        <f t="shared" si="5"/>
        <v>1.0800000008378183</v>
      </c>
    </row>
    <row r="41" spans="1:8" x14ac:dyDescent="0.25">
      <c r="A41">
        <f t="shared" si="3"/>
        <v>3.3600000000000021</v>
      </c>
      <c r="B41" s="53">
        <f t="shared" si="0"/>
        <v>16.966655999999993</v>
      </c>
      <c r="C41">
        <f t="shared" si="1"/>
        <v>3.3600000000000021</v>
      </c>
      <c r="D41">
        <f t="shared" si="2"/>
        <v>-2.6111999900635396</v>
      </c>
      <c r="E41" s="51">
        <f t="shared" si="4"/>
        <v>3.3600000000000021</v>
      </c>
      <c r="F41" s="50">
        <f t="shared" si="5"/>
        <v>1.7999999988305149</v>
      </c>
    </row>
    <row r="42" spans="1:8" x14ac:dyDescent="0.25">
      <c r="A42">
        <f t="shared" si="3"/>
        <v>3.4800000000000022</v>
      </c>
      <c r="B42" s="53">
        <f t="shared" si="0"/>
        <v>16.670591999999999</v>
      </c>
      <c r="C42">
        <f t="shared" si="1"/>
        <v>3.4800000000000022</v>
      </c>
      <c r="D42">
        <f t="shared" si="2"/>
        <v>-2.3087999898763201</v>
      </c>
      <c r="E42" s="51">
        <f t="shared" si="4"/>
        <v>3.4800000000000022</v>
      </c>
      <c r="F42" s="50">
        <f t="shared" si="5"/>
        <v>2.5200000015601631</v>
      </c>
    </row>
    <row r="43" spans="1:8" x14ac:dyDescent="0.25">
      <c r="A43">
        <f t="shared" si="3"/>
        <v>3.6000000000000023</v>
      </c>
      <c r="B43" s="53">
        <f t="shared" si="0"/>
        <v>16.415999999999997</v>
      </c>
      <c r="C43">
        <f t="shared" si="1"/>
        <v>3.6000000000000023</v>
      </c>
      <c r="D43">
        <f t="shared" si="2"/>
        <v>-1.9199999900365583</v>
      </c>
      <c r="E43" s="51">
        <f t="shared" si="4"/>
        <v>3.6000000000000023</v>
      </c>
      <c r="F43" s="50">
        <f t="shared" si="5"/>
        <v>3.2399999986646817</v>
      </c>
    </row>
    <row r="44" spans="1:8" x14ac:dyDescent="0.25">
      <c r="A44">
        <f t="shared" si="3"/>
        <v>3.7200000000000024</v>
      </c>
      <c r="B44" s="53">
        <f t="shared" si="0"/>
        <v>16.213247999999993</v>
      </c>
      <c r="C44">
        <f t="shared" si="1"/>
        <v>3.7200000000000024</v>
      </c>
      <c r="D44">
        <f t="shared" si="2"/>
        <v>-1.444799989940293</v>
      </c>
      <c r="E44" s="51">
        <f t="shared" si="4"/>
        <v>3.7200000000000024</v>
      </c>
      <c r="F44" s="50">
        <f t="shared" si="5"/>
        <v>3.9600000008022107</v>
      </c>
    </row>
    <row r="45" spans="1:8" x14ac:dyDescent="0.25">
      <c r="A45">
        <f t="shared" si="3"/>
        <v>3.8400000000000025</v>
      </c>
      <c r="B45" s="53">
        <f t="shared" ref="B45:B63" si="6">A45^3-9*A45^2+24*A45</f>
        <v>16.072704000000002</v>
      </c>
      <c r="C45">
        <f t="shared" ref="C45:C63" si="7">A45</f>
        <v>3.8400000000000025</v>
      </c>
      <c r="D45">
        <f t="shared" ref="D45:D63" si="8">G99</f>
        <v>-0.88319999008490413</v>
      </c>
      <c r="E45" s="51">
        <f t="shared" si="4"/>
        <v>3.8400000000000025</v>
      </c>
      <c r="F45" s="50">
        <f t="shared" si="5"/>
        <v>4.6799999987949077</v>
      </c>
    </row>
    <row r="46" spans="1:8" x14ac:dyDescent="0.25">
      <c r="A46">
        <f t="shared" ref="A46:A63" si="9">A45+$E$8</f>
        <v>3.9600000000000026</v>
      </c>
      <c r="B46" s="53">
        <f t="shared" si="6"/>
        <v>16.004735999999994</v>
      </c>
      <c r="C46">
        <f t="shared" si="7"/>
        <v>3.9600000000000026</v>
      </c>
      <c r="D46">
        <f t="shared" si="8"/>
        <v>-0.235199990044066</v>
      </c>
      <c r="E46" s="51">
        <f t="shared" ref="E46:E62" si="10">C46</f>
        <v>3.9600000000000026</v>
      </c>
      <c r="F46" s="50">
        <f t="shared" ref="F46:F62" si="11">I100</f>
        <v>5.4000000003403184</v>
      </c>
    </row>
    <row r="47" spans="1:8" x14ac:dyDescent="0.25">
      <c r="A47">
        <f t="shared" si="9"/>
        <v>4.0800000000000027</v>
      </c>
      <c r="B47" s="53">
        <f t="shared" si="6"/>
        <v>16.019712000000013</v>
      </c>
      <c r="C47">
        <f t="shared" si="7"/>
        <v>4.0800000000000027</v>
      </c>
      <c r="D47">
        <f t="shared" si="8"/>
        <v>0.49920001004011283</v>
      </c>
      <c r="E47" s="51">
        <f t="shared" si="10"/>
        <v>4.0800000000000027</v>
      </c>
      <c r="F47" s="50">
        <f t="shared" si="11"/>
        <v>6.1200000007014905</v>
      </c>
    </row>
    <row r="48" spans="1:8" x14ac:dyDescent="0.25">
      <c r="A48">
        <f t="shared" si="9"/>
        <v>4.2000000000000028</v>
      </c>
      <c r="B48" s="53">
        <f t="shared" si="6"/>
        <v>16.128</v>
      </c>
      <c r="C48">
        <f t="shared" si="7"/>
        <v>4.2000000000000028</v>
      </c>
      <c r="D48">
        <f t="shared" si="8"/>
        <v>1.3200000098834153</v>
      </c>
      <c r="E48" s="51">
        <f t="shared" si="10"/>
        <v>4.2000000000000028</v>
      </c>
      <c r="F48" s="50">
        <f t="shared" si="11"/>
        <v>6.8399999986941875</v>
      </c>
    </row>
    <row r="49" spans="1:6" x14ac:dyDescent="0.25">
      <c r="A49">
        <f t="shared" si="9"/>
        <v>4.3200000000000029</v>
      </c>
      <c r="B49" s="53">
        <f t="shared" si="6"/>
        <v>16.339967999999999</v>
      </c>
      <c r="C49">
        <f t="shared" si="7"/>
        <v>4.3200000000000029</v>
      </c>
      <c r="D49">
        <f t="shared" si="8"/>
        <v>2.2272000099121669</v>
      </c>
      <c r="E49" s="51">
        <f t="shared" si="10"/>
        <v>4.3200000000000029</v>
      </c>
      <c r="F49" s="50">
        <f t="shared" si="11"/>
        <v>7.5600000002395973</v>
      </c>
    </row>
    <row r="50" spans="1:6" x14ac:dyDescent="0.25">
      <c r="A50">
        <f t="shared" si="9"/>
        <v>4.4400000000000031</v>
      </c>
      <c r="B50" s="53">
        <f t="shared" si="6"/>
        <v>16.665983999999995</v>
      </c>
      <c r="C50">
        <f t="shared" si="7"/>
        <v>4.4400000000000031</v>
      </c>
      <c r="D50">
        <f t="shared" si="8"/>
        <v>3.220800009913205</v>
      </c>
      <c r="E50" s="51">
        <f t="shared" si="10"/>
        <v>4.4400000000000031</v>
      </c>
      <c r="F50" s="50">
        <f t="shared" si="11"/>
        <v>8.280000000008652</v>
      </c>
    </row>
    <row r="51" spans="1:6" x14ac:dyDescent="0.25">
      <c r="A51">
        <f t="shared" si="9"/>
        <v>4.5600000000000032</v>
      </c>
      <c r="B51" s="53">
        <f t="shared" si="6"/>
        <v>17.116416000000015</v>
      </c>
      <c r="C51">
        <f t="shared" si="7"/>
        <v>4.5600000000000032</v>
      </c>
      <c r="D51">
        <f t="shared" si="8"/>
        <v>4.3008000099575838</v>
      </c>
      <c r="E51" s="51">
        <f t="shared" si="10"/>
        <v>4.5600000000000032</v>
      </c>
      <c r="F51" s="50">
        <f t="shared" si="11"/>
        <v>9.0000000003698233</v>
      </c>
    </row>
    <row r="52" spans="1:6" x14ac:dyDescent="0.25">
      <c r="A52">
        <f t="shared" si="9"/>
        <v>4.6800000000000033</v>
      </c>
      <c r="B52" s="53">
        <f t="shared" si="6"/>
        <v>17.701632000000018</v>
      </c>
      <c r="C52">
        <f t="shared" si="7"/>
        <v>4.6800000000000033</v>
      </c>
      <c r="D52">
        <f t="shared" si="8"/>
        <v>5.467200009974249</v>
      </c>
      <c r="E52" s="51">
        <f t="shared" si="10"/>
        <v>4.6800000000000033</v>
      </c>
      <c r="F52" s="50">
        <f t="shared" si="11"/>
        <v>9.720000000138878</v>
      </c>
    </row>
    <row r="53" spans="1:6" x14ac:dyDescent="0.25">
      <c r="A53">
        <f t="shared" si="9"/>
        <v>4.8000000000000034</v>
      </c>
      <c r="B53" s="53">
        <f t="shared" si="6"/>
        <v>18.432000000000031</v>
      </c>
      <c r="C53">
        <f t="shared" si="7"/>
        <v>4.8000000000000034</v>
      </c>
      <c r="D53">
        <f t="shared" si="8"/>
        <v>6.720000010034255</v>
      </c>
      <c r="E53" s="51">
        <f t="shared" si="10"/>
        <v>4.8000000000000034</v>
      </c>
      <c r="F53" s="50">
        <f t="shared" si="11"/>
        <v>10.440000000500049</v>
      </c>
    </row>
    <row r="54" spans="1:6" x14ac:dyDescent="0.25">
      <c r="A54">
        <f t="shared" si="9"/>
        <v>4.9200000000000035</v>
      </c>
      <c r="B54" s="53">
        <f t="shared" si="6"/>
        <v>19.317888000000039</v>
      </c>
      <c r="C54">
        <f t="shared" si="7"/>
        <v>4.9200000000000035</v>
      </c>
      <c r="D54">
        <f t="shared" si="8"/>
        <v>8.059200009995493</v>
      </c>
      <c r="E54" s="51">
        <f t="shared" si="10"/>
        <v>4.9200000000000035</v>
      </c>
      <c r="F54" s="50">
        <f t="shared" si="11"/>
        <v>11.159999999676984</v>
      </c>
    </row>
    <row r="55" spans="1:6" x14ac:dyDescent="0.25">
      <c r="A55">
        <f t="shared" si="9"/>
        <v>5.0400000000000036</v>
      </c>
      <c r="B55" s="53">
        <f t="shared" si="6"/>
        <v>20.369664000000057</v>
      </c>
      <c r="C55">
        <f t="shared" si="7"/>
        <v>5.0400000000000036</v>
      </c>
      <c r="D55">
        <f t="shared" si="8"/>
        <v>9.4848000100000718</v>
      </c>
      <c r="E55" s="51">
        <f t="shared" si="10"/>
        <v>5.0400000000000036</v>
      </c>
      <c r="F55" s="50">
        <f t="shared" si="11"/>
        <v>11.880000000038157</v>
      </c>
    </row>
    <row r="56" spans="1:6" x14ac:dyDescent="0.25">
      <c r="A56">
        <f t="shared" si="9"/>
        <v>5.1600000000000037</v>
      </c>
      <c r="B56" s="53">
        <f t="shared" si="6"/>
        <v>21.597696000000042</v>
      </c>
      <c r="C56">
        <f t="shared" si="7"/>
        <v>5.1600000000000037</v>
      </c>
      <c r="D56">
        <f t="shared" si="8"/>
        <v>10.996800010047991</v>
      </c>
      <c r="E56" s="51">
        <f t="shared" si="10"/>
        <v>5.1600000000000037</v>
      </c>
      <c r="F56" s="50">
        <f t="shared" si="11"/>
        <v>12.60000000039933</v>
      </c>
    </row>
    <row r="57" spans="1:6" x14ac:dyDescent="0.25">
      <c r="A57">
        <f t="shared" si="9"/>
        <v>5.2800000000000038</v>
      </c>
      <c r="B57" s="53">
        <f t="shared" si="6"/>
        <v>23.012352000000021</v>
      </c>
      <c r="C57">
        <f t="shared" si="7"/>
        <v>5.2800000000000038</v>
      </c>
      <c r="D57">
        <f t="shared" si="8"/>
        <v>12.595200009997143</v>
      </c>
      <c r="E57" s="51">
        <f t="shared" si="10"/>
        <v>5.2800000000000038</v>
      </c>
      <c r="F57" s="50">
        <f t="shared" si="11"/>
        <v>13.319999999576265</v>
      </c>
    </row>
    <row r="58" spans="1:6" x14ac:dyDescent="0.25">
      <c r="A58">
        <f t="shared" si="9"/>
        <v>5.4000000000000039</v>
      </c>
      <c r="B58" s="53">
        <f t="shared" si="6"/>
        <v>24.624000000000024</v>
      </c>
      <c r="C58">
        <f t="shared" si="7"/>
        <v>5.4000000000000039</v>
      </c>
      <c r="D58">
        <f t="shared" si="8"/>
        <v>14.280000009847527</v>
      </c>
      <c r="E58" s="51">
        <f t="shared" si="10"/>
        <v>5.4000000000000039</v>
      </c>
      <c r="F58" s="50">
        <f t="shared" si="11"/>
        <v>14.039999998753199</v>
      </c>
    </row>
    <row r="59" spans="1:6" x14ac:dyDescent="0.25">
      <c r="A59">
        <f t="shared" si="9"/>
        <v>5.520000000000004</v>
      </c>
      <c r="B59" s="53">
        <f t="shared" si="6"/>
        <v>26.443008000000049</v>
      </c>
      <c r="C59">
        <f t="shared" si="7"/>
        <v>5.520000000000004</v>
      </c>
      <c r="D59">
        <f t="shared" si="8"/>
        <v>16.05120000988336</v>
      </c>
      <c r="E59" s="51">
        <f t="shared" si="10"/>
        <v>5.520000000000004</v>
      </c>
      <c r="F59" s="50">
        <f t="shared" si="11"/>
        <v>14.760000000298609</v>
      </c>
    </row>
    <row r="60" spans="1:6" x14ac:dyDescent="0.25">
      <c r="A60">
        <f t="shared" si="9"/>
        <v>5.6400000000000041</v>
      </c>
      <c r="B60" s="53">
        <f t="shared" si="6"/>
        <v>28.479744000000068</v>
      </c>
      <c r="C60">
        <f t="shared" si="7"/>
        <v>5.6400000000000041</v>
      </c>
      <c r="D60">
        <f t="shared" si="8"/>
        <v>17.908800009962533</v>
      </c>
      <c r="E60" s="51">
        <f t="shared" si="10"/>
        <v>5.6400000000000041</v>
      </c>
      <c r="F60" s="50">
        <f t="shared" si="11"/>
        <v>15.480000000659782</v>
      </c>
    </row>
    <row r="61" spans="1:6" x14ac:dyDescent="0.25">
      <c r="A61">
        <f t="shared" si="9"/>
        <v>5.7600000000000042</v>
      </c>
      <c r="B61" s="53">
        <f t="shared" si="6"/>
        <v>30.74457600000008</v>
      </c>
      <c r="C61">
        <f t="shared" si="7"/>
        <v>5.7600000000000042</v>
      </c>
      <c r="D61">
        <f t="shared" si="8"/>
        <v>19.852800010085048</v>
      </c>
      <c r="E61" s="51">
        <f t="shared" si="10"/>
        <v>5.7600000000000042</v>
      </c>
      <c r="F61" s="50">
        <f t="shared" si="11"/>
        <v>16.200000001020953</v>
      </c>
    </row>
    <row r="62" spans="1:6" x14ac:dyDescent="0.25">
      <c r="A62">
        <f t="shared" si="9"/>
        <v>5.8800000000000043</v>
      </c>
      <c r="B62" s="53">
        <f t="shared" si="6"/>
        <v>33.247872000000058</v>
      </c>
      <c r="C62">
        <f t="shared" si="7"/>
        <v>5.8800000000000043</v>
      </c>
      <c r="D62">
        <f t="shared" si="8"/>
        <v>21.883200009824577</v>
      </c>
      <c r="E62" s="51">
        <f t="shared" si="10"/>
        <v>5.8800000000000043</v>
      </c>
      <c r="F62" s="50">
        <f t="shared" si="11"/>
        <v>16.919999997829414</v>
      </c>
    </row>
    <row r="63" spans="1:6" x14ac:dyDescent="0.25">
      <c r="A63">
        <f t="shared" si="9"/>
        <v>6.0000000000000044</v>
      </c>
      <c r="B63" s="53">
        <f t="shared" si="6"/>
        <v>36.000000000000114</v>
      </c>
      <c r="C63">
        <f t="shared" si="7"/>
        <v>6.0000000000000044</v>
      </c>
      <c r="D63">
        <f t="shared" si="8"/>
        <v>24.000000010033773</v>
      </c>
      <c r="E63" s="50"/>
    </row>
    <row r="64" spans="1:6" x14ac:dyDescent="0.25">
      <c r="B64" s="5"/>
    </row>
    <row r="65" spans="1:15" x14ac:dyDescent="0.25">
      <c r="A65" t="s">
        <v>152</v>
      </c>
      <c r="B65" s="5"/>
      <c r="I65" t="s">
        <v>153</v>
      </c>
    </row>
    <row r="66" spans="1:15" x14ac:dyDescent="0.25">
      <c r="A66" s="10" t="s">
        <v>154</v>
      </c>
      <c r="B66" s="52" t="s">
        <v>155</v>
      </c>
      <c r="C66" s="10" t="s">
        <v>156</v>
      </c>
      <c r="D66" s="10" t="s">
        <v>157</v>
      </c>
      <c r="E66" s="10" t="s">
        <v>158</v>
      </c>
      <c r="F66" s="10" t="s">
        <v>156</v>
      </c>
      <c r="G66" s="10" t="s">
        <v>159</v>
      </c>
      <c r="I66" s="10"/>
      <c r="J66" s="10"/>
      <c r="K66" s="10"/>
      <c r="L66" s="10"/>
      <c r="M66" s="10"/>
      <c r="N66" s="10"/>
      <c r="O66" s="10"/>
    </row>
    <row r="67" spans="1:15" x14ac:dyDescent="0.25">
      <c r="A67">
        <f t="shared" ref="A67:A98" si="12">A13-0.0001</f>
        <v>-1E-4</v>
      </c>
      <c r="B67" s="53">
        <f t="shared" ref="B67:B98" si="13">A67^3-9*A67^2+24*A67</f>
        <v>-2.4000900010000001E-3</v>
      </c>
      <c r="C67">
        <f t="shared" ref="C67:C98" si="14">(B13-B67)/0.0001</f>
        <v>24.000900009999999</v>
      </c>
      <c r="D67">
        <f t="shared" ref="D67:D98" si="15">A13+0.0001</f>
        <v>1E-4</v>
      </c>
      <c r="E67" s="53">
        <f t="shared" ref="E67:E98" si="16">D67^3-9*D67^2+24*D67</f>
        <v>2.3999100010000003E-3</v>
      </c>
      <c r="F67">
        <f t="shared" ref="F67:F98" si="17">(E67-B13)/0.0001</f>
        <v>23.999100010000003</v>
      </c>
      <c r="G67">
        <f t="shared" ref="G67:G98" si="18">(C67+F67)/2</f>
        <v>24.000000010000001</v>
      </c>
      <c r="J67" s="53"/>
      <c r="K67" s="54"/>
      <c r="L67" s="5"/>
      <c r="M67" s="53"/>
      <c r="N67" s="55"/>
    </row>
    <row r="68" spans="1:15" x14ac:dyDescent="0.25">
      <c r="A68">
        <f t="shared" si="12"/>
        <v>0.11989999999999999</v>
      </c>
      <c r="B68" s="53">
        <f t="shared" si="13"/>
        <v>2.7499395935989996</v>
      </c>
      <c r="C68">
        <f t="shared" si="14"/>
        <v>21.884064010002646</v>
      </c>
      <c r="D68">
        <f t="shared" si="15"/>
        <v>0.1201</v>
      </c>
      <c r="E68" s="53">
        <f t="shared" si="16"/>
        <v>2.7543162336010001</v>
      </c>
      <c r="F68">
        <f t="shared" si="17"/>
        <v>21.882336010001779</v>
      </c>
      <c r="G68">
        <f t="shared" si="18"/>
        <v>21.883200010002213</v>
      </c>
      <c r="I68" s="51">
        <f t="shared" ref="I68:I99" si="19">(G68-G67)/$E$8</f>
        <v>-17.639999999981569</v>
      </c>
      <c r="J68" s="53"/>
      <c r="K68" s="54"/>
      <c r="L68" s="5"/>
      <c r="M68" s="53"/>
      <c r="N68" s="55"/>
    </row>
    <row r="69" spans="1:15" x14ac:dyDescent="0.25">
      <c r="A69">
        <f t="shared" si="12"/>
        <v>0.2399</v>
      </c>
      <c r="B69" s="53">
        <f t="shared" si="13"/>
        <v>5.2534386371990003</v>
      </c>
      <c r="C69">
        <f t="shared" si="14"/>
        <v>19.853628009993685</v>
      </c>
      <c r="D69">
        <f t="shared" si="15"/>
        <v>0.24009999999999998</v>
      </c>
      <c r="E69" s="53">
        <f t="shared" si="16"/>
        <v>5.2574091972009995</v>
      </c>
      <c r="F69">
        <f t="shared" si="17"/>
        <v>19.851972009998775</v>
      </c>
      <c r="G69">
        <f t="shared" si="18"/>
        <v>19.85280000999623</v>
      </c>
      <c r="I69" s="51">
        <f t="shared" si="19"/>
        <v>-16.92000000004986</v>
      </c>
      <c r="J69" s="53"/>
      <c r="K69" s="54"/>
      <c r="L69" s="5"/>
      <c r="M69" s="53"/>
      <c r="N69" s="55"/>
    </row>
    <row r="70" spans="1:15" x14ac:dyDescent="0.25">
      <c r="A70">
        <f t="shared" si="12"/>
        <v>0.3599</v>
      </c>
      <c r="B70" s="53">
        <f t="shared" si="13"/>
        <v>7.5184650407989988</v>
      </c>
      <c r="C70">
        <f t="shared" si="14"/>
        <v>17.909592010019182</v>
      </c>
      <c r="D70">
        <f t="shared" si="15"/>
        <v>0.36009999999999998</v>
      </c>
      <c r="E70" s="53">
        <f t="shared" si="16"/>
        <v>7.5220468008009984</v>
      </c>
      <c r="F70">
        <f t="shared" si="17"/>
        <v>17.908008009976939</v>
      </c>
      <c r="G70">
        <f t="shared" si="18"/>
        <v>17.90880000999806</v>
      </c>
      <c r="I70" s="51">
        <f t="shared" si="19"/>
        <v>-16.199999999984747</v>
      </c>
      <c r="J70" s="53"/>
      <c r="K70" s="54"/>
      <c r="L70" s="5"/>
      <c r="M70" s="53"/>
      <c r="N70" s="55"/>
    </row>
    <row r="71" spans="1:15" x14ac:dyDescent="0.25">
      <c r="A71">
        <f t="shared" si="12"/>
        <v>0.47989999999999999</v>
      </c>
      <c r="B71" s="53">
        <f t="shared" si="13"/>
        <v>9.5553868043989993</v>
      </c>
      <c r="C71">
        <f t="shared" si="14"/>
        <v>16.051956009999202</v>
      </c>
      <c r="D71">
        <f t="shared" si="15"/>
        <v>0.48009999999999997</v>
      </c>
      <c r="E71" s="53">
        <f t="shared" si="16"/>
        <v>9.5585970444009991</v>
      </c>
      <c r="F71">
        <f t="shared" si="17"/>
        <v>16.050444009998444</v>
      </c>
      <c r="G71">
        <f t="shared" si="18"/>
        <v>16.051200009998823</v>
      </c>
      <c r="I71" s="51">
        <f t="shared" si="19"/>
        <v>-15.479999999993648</v>
      </c>
      <c r="J71" s="53"/>
      <c r="K71" s="54"/>
      <c r="L71" s="5"/>
      <c r="M71" s="53"/>
      <c r="N71" s="55"/>
    </row>
    <row r="72" spans="1:15" x14ac:dyDescent="0.25">
      <c r="A72">
        <f t="shared" si="12"/>
        <v>0.59989999999999999</v>
      </c>
      <c r="B72" s="53">
        <f t="shared" si="13"/>
        <v>11.374571927999</v>
      </c>
      <c r="C72">
        <f t="shared" si="14"/>
        <v>14.280720009995918</v>
      </c>
      <c r="D72">
        <f t="shared" si="15"/>
        <v>0.60009999999999997</v>
      </c>
      <c r="E72" s="53">
        <f t="shared" si="16"/>
        <v>11.377427928001001</v>
      </c>
      <c r="F72">
        <f t="shared" si="17"/>
        <v>14.27928001001888</v>
      </c>
      <c r="G72">
        <f t="shared" si="18"/>
        <v>14.280000010007399</v>
      </c>
      <c r="I72" s="51">
        <f t="shared" si="19"/>
        <v>-14.759999999928535</v>
      </c>
      <c r="J72" s="53"/>
      <c r="K72" s="54"/>
      <c r="L72" s="5"/>
      <c r="M72" s="53"/>
      <c r="N72" s="55"/>
    </row>
    <row r="73" spans="1:15" x14ac:dyDescent="0.25">
      <c r="A73">
        <f t="shared" si="12"/>
        <v>0.71989999999999998</v>
      </c>
      <c r="B73" s="53">
        <f t="shared" si="13"/>
        <v>12.986388411599</v>
      </c>
      <c r="C73">
        <f t="shared" si="14"/>
        <v>12.59588401001821</v>
      </c>
      <c r="D73">
        <f t="shared" si="15"/>
        <v>0.72009999999999996</v>
      </c>
      <c r="E73" s="53">
        <f t="shared" si="16"/>
        <v>12.988907451600999</v>
      </c>
      <c r="F73">
        <f t="shared" si="17"/>
        <v>12.594516009976076</v>
      </c>
      <c r="G73">
        <f t="shared" si="18"/>
        <v>12.595200009997143</v>
      </c>
      <c r="I73" s="51">
        <f t="shared" si="19"/>
        <v>-14.040000000085467</v>
      </c>
      <c r="J73" s="53"/>
      <c r="K73" s="54"/>
      <c r="L73" s="5"/>
      <c r="M73" s="53"/>
      <c r="N73" s="55"/>
    </row>
    <row r="74" spans="1:15" x14ac:dyDescent="0.25">
      <c r="A74">
        <f t="shared" si="12"/>
        <v>0.83989999999999998</v>
      </c>
      <c r="B74" s="53">
        <f t="shared" si="13"/>
        <v>14.401204255198998</v>
      </c>
      <c r="C74">
        <f t="shared" si="14"/>
        <v>10.997448010030553</v>
      </c>
      <c r="D74">
        <f t="shared" si="15"/>
        <v>0.84009999999999996</v>
      </c>
      <c r="E74" s="53">
        <f t="shared" si="16"/>
        <v>14.403403615200999</v>
      </c>
      <c r="F74">
        <f t="shared" si="17"/>
        <v>10.996152009976612</v>
      </c>
      <c r="G74">
        <f t="shared" si="18"/>
        <v>10.996800010003582</v>
      </c>
      <c r="I74" s="51">
        <f t="shared" si="19"/>
        <v>-13.319999999946338</v>
      </c>
      <c r="J74" s="53"/>
      <c r="K74" s="54"/>
      <c r="L74" s="5"/>
      <c r="M74" s="53"/>
      <c r="N74" s="55"/>
    </row>
    <row r="75" spans="1:15" x14ac:dyDescent="0.25">
      <c r="A75">
        <f t="shared" si="12"/>
        <v>0.95989999999999998</v>
      </c>
      <c r="B75" s="53">
        <f t="shared" si="13"/>
        <v>15.629387458798998</v>
      </c>
      <c r="C75">
        <f t="shared" si="14"/>
        <v>9.4854120100151817</v>
      </c>
      <c r="D75">
        <f t="shared" si="15"/>
        <v>0.96009999999999995</v>
      </c>
      <c r="E75" s="53">
        <f t="shared" si="16"/>
        <v>15.631284418801002</v>
      </c>
      <c r="F75">
        <f t="shared" si="17"/>
        <v>9.4841880100204889</v>
      </c>
      <c r="G75">
        <f t="shared" si="18"/>
        <v>9.4848000100178353</v>
      </c>
      <c r="I75" s="51">
        <f t="shared" si="19"/>
        <v>-12.599999999881225</v>
      </c>
      <c r="J75" s="53"/>
      <c r="K75" s="54"/>
      <c r="L75" s="5"/>
      <c r="M75" s="53"/>
      <c r="N75" s="55"/>
    </row>
    <row r="76" spans="1:15" x14ac:dyDescent="0.25">
      <c r="A76">
        <f t="shared" si="12"/>
        <v>1.0799000000000001</v>
      </c>
      <c r="B76" s="53">
        <f t="shared" si="13"/>
        <v>16.681306022398999</v>
      </c>
      <c r="C76">
        <f t="shared" si="14"/>
        <v>8.0597760100431515</v>
      </c>
      <c r="D76">
        <f t="shared" si="15"/>
        <v>1.0801000000000001</v>
      </c>
      <c r="E76" s="53">
        <f t="shared" si="16"/>
        <v>16.682917862401002</v>
      </c>
      <c r="F76">
        <f t="shared" si="17"/>
        <v>8.0586240099833617</v>
      </c>
      <c r="G76">
        <f t="shared" si="18"/>
        <v>8.0592000100132566</v>
      </c>
      <c r="I76" s="51">
        <f t="shared" si="19"/>
        <v>-11.880000000038157</v>
      </c>
      <c r="J76" s="53"/>
      <c r="K76" s="54"/>
      <c r="L76" s="5"/>
      <c r="M76" s="53"/>
      <c r="N76" s="55"/>
    </row>
    <row r="77" spans="1:15" x14ac:dyDescent="0.25">
      <c r="A77">
        <f t="shared" si="12"/>
        <v>1.1999000000000002</v>
      </c>
      <c r="B77" s="53">
        <f t="shared" si="13"/>
        <v>17.567327945998997</v>
      </c>
      <c r="C77">
        <f t="shared" si="14"/>
        <v>6.7205400100434076</v>
      </c>
      <c r="D77">
        <f t="shared" si="15"/>
        <v>1.2001000000000002</v>
      </c>
      <c r="E77" s="53">
        <f t="shared" si="16"/>
        <v>17.568671946001004</v>
      </c>
      <c r="F77">
        <f t="shared" si="17"/>
        <v>6.7194600100251023</v>
      </c>
      <c r="G77">
        <f t="shared" si="18"/>
        <v>6.720000010034255</v>
      </c>
      <c r="I77" s="51">
        <f t="shared" si="19"/>
        <v>-11.159999999825015</v>
      </c>
      <c r="J77" s="53"/>
      <c r="K77" s="54"/>
      <c r="L77" s="5"/>
      <c r="M77" s="53"/>
      <c r="N77" s="55"/>
    </row>
    <row r="78" spans="1:15" x14ac:dyDescent="0.25">
      <c r="A78">
        <f t="shared" si="12"/>
        <v>1.3199000000000003</v>
      </c>
      <c r="B78" s="53">
        <f t="shared" si="13"/>
        <v>18.297821229599002</v>
      </c>
      <c r="C78">
        <f t="shared" si="14"/>
        <v>5.4677040100159502</v>
      </c>
      <c r="D78">
        <f t="shared" si="15"/>
        <v>1.3201000000000003</v>
      </c>
      <c r="E78" s="53">
        <f t="shared" si="16"/>
        <v>18.298914669601004</v>
      </c>
      <c r="F78">
        <f t="shared" si="17"/>
        <v>5.4666960100036022</v>
      </c>
      <c r="G78">
        <f t="shared" si="18"/>
        <v>5.4672000100097762</v>
      </c>
      <c r="I78" s="51">
        <f t="shared" si="19"/>
        <v>-10.440000000203991</v>
      </c>
      <c r="J78" s="53"/>
      <c r="K78" s="54"/>
      <c r="L78" s="5"/>
      <c r="M78" s="53"/>
      <c r="N78" s="55"/>
    </row>
    <row r="79" spans="1:15" x14ac:dyDescent="0.25">
      <c r="A79">
        <f t="shared" si="12"/>
        <v>1.4399000000000004</v>
      </c>
      <c r="B79" s="53">
        <f t="shared" si="13"/>
        <v>18.883153873198999</v>
      </c>
      <c r="C79">
        <f t="shared" si="14"/>
        <v>4.3012680099963063</v>
      </c>
      <c r="D79">
        <f t="shared" si="15"/>
        <v>1.4401000000000004</v>
      </c>
      <c r="E79" s="53">
        <f t="shared" si="16"/>
        <v>18.884014033201005</v>
      </c>
      <c r="F79">
        <f t="shared" si="17"/>
        <v>4.3003320100609699</v>
      </c>
      <c r="G79">
        <f t="shared" si="18"/>
        <v>4.3008000100286381</v>
      </c>
      <c r="I79" s="51">
        <f t="shared" si="19"/>
        <v>-9.7199999998428179</v>
      </c>
      <c r="J79" s="53"/>
      <c r="K79" s="54"/>
      <c r="L79" s="5"/>
      <c r="M79" s="53"/>
      <c r="N79" s="55"/>
    </row>
    <row r="80" spans="1:15" x14ac:dyDescent="0.25">
      <c r="A80">
        <f t="shared" si="12"/>
        <v>1.5599000000000005</v>
      </c>
      <c r="B80" s="53">
        <f t="shared" si="13"/>
        <v>19.333693876799</v>
      </c>
      <c r="C80">
        <f t="shared" si="14"/>
        <v>3.2212320100200031</v>
      </c>
      <c r="D80">
        <f t="shared" si="15"/>
        <v>1.5601000000000005</v>
      </c>
      <c r="E80" s="53">
        <f t="shared" si="16"/>
        <v>19.334338036801004</v>
      </c>
      <c r="F80">
        <f t="shared" si="17"/>
        <v>3.2203680100195697</v>
      </c>
      <c r="G80">
        <f t="shared" si="18"/>
        <v>3.2208000100197864</v>
      </c>
      <c r="I80" s="51">
        <f t="shared" si="19"/>
        <v>-9.000000000073765</v>
      </c>
      <c r="J80" s="53"/>
      <c r="K80" s="54"/>
      <c r="L80" s="5"/>
      <c r="M80" s="53"/>
      <c r="N80" s="55"/>
    </row>
    <row r="81" spans="1:14" x14ac:dyDescent="0.25">
      <c r="A81">
        <f t="shared" si="12"/>
        <v>1.6799000000000006</v>
      </c>
      <c r="B81" s="53">
        <f t="shared" si="13"/>
        <v>19.659809240398999</v>
      </c>
      <c r="C81">
        <f t="shared" si="14"/>
        <v>2.2275960100159864</v>
      </c>
      <c r="D81">
        <f t="shared" si="15"/>
        <v>1.6801000000000006</v>
      </c>
      <c r="E81" s="53">
        <f t="shared" si="16"/>
        <v>19.660254680401003</v>
      </c>
      <c r="F81">
        <f t="shared" si="17"/>
        <v>2.2268040100215103</v>
      </c>
      <c r="G81">
        <f t="shared" si="18"/>
        <v>2.2272000100187483</v>
      </c>
      <c r="I81" s="51">
        <f t="shared" si="19"/>
        <v>-8.280000000008652</v>
      </c>
      <c r="J81" s="53"/>
      <c r="K81" s="54"/>
      <c r="L81" s="5"/>
      <c r="M81" s="53"/>
      <c r="N81" s="55"/>
    </row>
    <row r="82" spans="1:14" x14ac:dyDescent="0.25">
      <c r="A82">
        <f t="shared" si="12"/>
        <v>1.7999000000000007</v>
      </c>
      <c r="B82" s="53">
        <f t="shared" si="13"/>
        <v>19.871867963998998</v>
      </c>
      <c r="C82">
        <f t="shared" si="14"/>
        <v>1.3203600100553103</v>
      </c>
      <c r="D82">
        <f t="shared" si="15"/>
        <v>1.8001000000000007</v>
      </c>
      <c r="E82" s="53">
        <f t="shared" si="16"/>
        <v>19.872131964001003</v>
      </c>
      <c r="F82">
        <f t="shared" si="17"/>
        <v>1.3196400099957373</v>
      </c>
      <c r="G82">
        <f t="shared" si="18"/>
        <v>1.3200000100255238</v>
      </c>
      <c r="I82" s="51">
        <f t="shared" si="19"/>
        <v>-7.5599999999435381</v>
      </c>
      <c r="J82" s="53"/>
      <c r="K82" s="54"/>
      <c r="L82" s="5"/>
      <c r="M82" s="53"/>
      <c r="N82" s="55"/>
    </row>
    <row r="83" spans="1:14" x14ac:dyDescent="0.25">
      <c r="A83">
        <f t="shared" si="12"/>
        <v>1.9199000000000008</v>
      </c>
      <c r="B83" s="53">
        <f t="shared" si="13"/>
        <v>19.980238047599002</v>
      </c>
      <c r="C83">
        <f t="shared" si="14"/>
        <v>0.49952400999586644</v>
      </c>
      <c r="D83">
        <f t="shared" si="15"/>
        <v>1.9201000000000008</v>
      </c>
      <c r="E83" s="53">
        <f t="shared" si="16"/>
        <v>19.980337887601003</v>
      </c>
      <c r="F83">
        <f t="shared" si="17"/>
        <v>0.49887601001330495</v>
      </c>
      <c r="G83">
        <f t="shared" si="18"/>
        <v>0.49920001000458569</v>
      </c>
      <c r="I83" s="51">
        <f t="shared" si="19"/>
        <v>-6.8400000001744843</v>
      </c>
      <c r="J83" s="53"/>
      <c r="K83" s="54"/>
      <c r="L83" s="5"/>
      <c r="M83" s="53"/>
      <c r="N83" s="55"/>
    </row>
    <row r="84" spans="1:14" x14ac:dyDescent="0.25">
      <c r="A84">
        <f t="shared" si="12"/>
        <v>2.0399000000000007</v>
      </c>
      <c r="B84" s="53">
        <f t="shared" si="13"/>
        <v>19.995287491198997</v>
      </c>
      <c r="C84">
        <f t="shared" si="14"/>
        <v>-0.23491198998470963</v>
      </c>
      <c r="D84">
        <f t="shared" si="15"/>
        <v>2.0401000000000011</v>
      </c>
      <c r="E84" s="53">
        <f t="shared" si="16"/>
        <v>19.995240451200999</v>
      </c>
      <c r="F84">
        <f t="shared" si="17"/>
        <v>-0.23548798999684095</v>
      </c>
      <c r="G84">
        <f t="shared" si="18"/>
        <v>-0.23519998999077529</v>
      </c>
      <c r="I84" s="51">
        <f t="shared" si="19"/>
        <v>-6.1199999999613421</v>
      </c>
      <c r="J84" s="53"/>
      <c r="K84" s="54"/>
      <c r="L84" s="5"/>
      <c r="M84" s="53"/>
      <c r="N84" s="55"/>
    </row>
    <row r="85" spans="1:14" x14ac:dyDescent="0.25">
      <c r="A85">
        <f t="shared" si="12"/>
        <v>2.1599000000000008</v>
      </c>
      <c r="B85" s="53">
        <f t="shared" si="13"/>
        <v>19.927384294799001</v>
      </c>
      <c r="C85">
        <f t="shared" si="14"/>
        <v>-0.88294799002852642</v>
      </c>
      <c r="D85">
        <f t="shared" si="15"/>
        <v>2.1601000000000012</v>
      </c>
      <c r="E85" s="53">
        <f t="shared" si="16"/>
        <v>19.927207654800988</v>
      </c>
      <c r="F85">
        <f t="shared" si="17"/>
        <v>-0.8834519901057547</v>
      </c>
      <c r="G85">
        <f t="shared" si="18"/>
        <v>-0.88319999006714056</v>
      </c>
      <c r="I85" s="51">
        <f t="shared" si="19"/>
        <v>-5.4000000006363775</v>
      </c>
      <c r="J85" s="53"/>
      <c r="K85" s="54"/>
      <c r="L85" s="5"/>
      <c r="M85" s="53"/>
      <c r="N85" s="55"/>
    </row>
    <row r="86" spans="1:14" x14ac:dyDescent="0.25">
      <c r="A86">
        <f t="shared" si="12"/>
        <v>2.2799000000000009</v>
      </c>
      <c r="B86" s="53">
        <f t="shared" si="13"/>
        <v>19.786896458398999</v>
      </c>
      <c r="C86">
        <f t="shared" si="14"/>
        <v>-1.4445839899934754</v>
      </c>
      <c r="D86">
        <f t="shared" si="15"/>
        <v>2.2801000000000013</v>
      </c>
      <c r="E86" s="53">
        <f t="shared" si="16"/>
        <v>19.786607498400997</v>
      </c>
      <c r="F86">
        <f t="shared" si="17"/>
        <v>-1.4450159900292192</v>
      </c>
      <c r="G86">
        <f t="shared" si="18"/>
        <v>-1.4447999900113473</v>
      </c>
      <c r="I86" s="51">
        <f t="shared" si="19"/>
        <v>-4.6799999995350561</v>
      </c>
      <c r="J86" s="53"/>
      <c r="K86" s="54"/>
      <c r="L86" s="5"/>
      <c r="M86" s="53"/>
      <c r="N86" s="55"/>
    </row>
    <row r="87" spans="1:14" x14ac:dyDescent="0.25">
      <c r="A87">
        <f t="shared" si="12"/>
        <v>2.399900000000001</v>
      </c>
      <c r="B87" s="53">
        <f t="shared" si="13"/>
        <v>19.584191981999005</v>
      </c>
      <c r="C87">
        <f t="shared" si="14"/>
        <v>-1.9198199900927193</v>
      </c>
      <c r="D87">
        <f t="shared" si="15"/>
        <v>2.4001000000000015</v>
      </c>
      <c r="E87" s="53">
        <f t="shared" si="16"/>
        <v>19.583807982000991</v>
      </c>
      <c r="F87">
        <f t="shared" si="17"/>
        <v>-1.9201799900514516</v>
      </c>
      <c r="G87">
        <f t="shared" si="18"/>
        <v>-1.9199999900720854</v>
      </c>
      <c r="I87" s="51">
        <f t="shared" si="19"/>
        <v>-3.9600000005061515</v>
      </c>
      <c r="J87" s="53"/>
      <c r="K87" s="54"/>
      <c r="L87" s="5"/>
      <c r="M87" s="53"/>
      <c r="N87" s="55"/>
    </row>
    <row r="88" spans="1:14" x14ac:dyDescent="0.25">
      <c r="A88">
        <f t="shared" si="12"/>
        <v>2.5199000000000011</v>
      </c>
      <c r="B88" s="53">
        <f t="shared" si="13"/>
        <v>19.329638865598994</v>
      </c>
      <c r="C88">
        <f t="shared" si="14"/>
        <v>-2.3086559899354597</v>
      </c>
      <c r="D88">
        <f t="shared" si="15"/>
        <v>2.5201000000000016</v>
      </c>
      <c r="E88" s="53">
        <f t="shared" si="16"/>
        <v>19.329177105601005</v>
      </c>
      <c r="F88">
        <f t="shared" si="17"/>
        <v>-2.308943989959289</v>
      </c>
      <c r="G88">
        <f t="shared" si="18"/>
        <v>-2.3087999899473743</v>
      </c>
      <c r="I88" s="51">
        <f t="shared" si="19"/>
        <v>-3.2399999989607409</v>
      </c>
      <c r="J88" s="53"/>
      <c r="K88" s="54"/>
      <c r="L88" s="5"/>
      <c r="M88" s="53"/>
      <c r="N88" s="55"/>
    </row>
    <row r="89" spans="1:14" x14ac:dyDescent="0.25">
      <c r="A89">
        <f t="shared" si="12"/>
        <v>2.6399000000000012</v>
      </c>
      <c r="B89" s="53">
        <f t="shared" si="13"/>
        <v>19.033605109199002</v>
      </c>
      <c r="C89">
        <f t="shared" si="14"/>
        <v>-2.6110919900901308</v>
      </c>
      <c r="D89">
        <f t="shared" si="15"/>
        <v>2.6401000000000017</v>
      </c>
      <c r="E89" s="53">
        <f t="shared" si="16"/>
        <v>19.033082869200996</v>
      </c>
      <c r="F89">
        <f t="shared" si="17"/>
        <v>-2.6113079899658942</v>
      </c>
      <c r="G89">
        <f t="shared" si="18"/>
        <v>-2.6111999900280125</v>
      </c>
      <c r="I89" s="51">
        <f t="shared" si="19"/>
        <v>-2.5200000006719847</v>
      </c>
      <c r="J89" s="53"/>
      <c r="K89" s="54"/>
      <c r="L89" s="5"/>
      <c r="M89" s="53"/>
      <c r="N89" s="55"/>
    </row>
    <row r="90" spans="1:14" x14ac:dyDescent="0.25">
      <c r="A90">
        <f t="shared" si="12"/>
        <v>2.7599000000000014</v>
      </c>
      <c r="B90" s="53">
        <f t="shared" si="13"/>
        <v>18.706458712798991</v>
      </c>
      <c r="C90">
        <f t="shared" si="14"/>
        <v>-2.8271279899172441</v>
      </c>
      <c r="D90">
        <f t="shared" si="15"/>
        <v>2.7601000000000018</v>
      </c>
      <c r="E90" s="53">
        <f t="shared" si="16"/>
        <v>18.705893272800992</v>
      </c>
      <c r="F90">
        <f t="shared" si="17"/>
        <v>-2.8272719900712673</v>
      </c>
      <c r="G90">
        <f t="shared" si="18"/>
        <v>-2.8271999899942557</v>
      </c>
      <c r="I90" s="51">
        <f t="shared" si="19"/>
        <v>-1.7999999997186933</v>
      </c>
      <c r="J90" s="53"/>
      <c r="K90" s="54"/>
      <c r="L90" s="5"/>
      <c r="M90" s="53"/>
      <c r="N90" s="55"/>
    </row>
    <row r="91" spans="1:14" x14ac:dyDescent="0.25">
      <c r="A91">
        <f t="shared" si="12"/>
        <v>2.8799000000000015</v>
      </c>
      <c r="B91" s="53">
        <f t="shared" si="13"/>
        <v>18.358567676398998</v>
      </c>
      <c r="C91">
        <f t="shared" si="14"/>
        <v>-2.9567639901273424</v>
      </c>
      <c r="D91">
        <f t="shared" si="15"/>
        <v>2.8801000000000019</v>
      </c>
      <c r="E91" s="53">
        <f t="shared" si="16"/>
        <v>18.357976316400979</v>
      </c>
      <c r="F91">
        <f t="shared" si="17"/>
        <v>-2.9568359900622454</v>
      </c>
      <c r="G91">
        <f t="shared" si="18"/>
        <v>-2.9567999900947939</v>
      </c>
      <c r="I91" s="51">
        <f t="shared" si="19"/>
        <v>-1.0800000008378183</v>
      </c>
      <c r="J91" s="53"/>
      <c r="K91" s="54"/>
      <c r="L91" s="5"/>
      <c r="M91" s="53"/>
      <c r="N91" s="55"/>
    </row>
    <row r="92" spans="1:14" x14ac:dyDescent="0.25">
      <c r="A92">
        <f t="shared" si="12"/>
        <v>2.9999000000000016</v>
      </c>
      <c r="B92" s="53">
        <f t="shared" si="13"/>
        <v>18.000299999998987</v>
      </c>
      <c r="C92">
        <f t="shared" si="14"/>
        <v>-2.9999999899388285</v>
      </c>
      <c r="D92">
        <f t="shared" si="15"/>
        <v>3.000100000000002</v>
      </c>
      <c r="E92" s="53">
        <f t="shared" si="16"/>
        <v>17.999700000000999</v>
      </c>
      <c r="F92">
        <f t="shared" si="17"/>
        <v>-2.9999999899388285</v>
      </c>
      <c r="G92">
        <f t="shared" si="18"/>
        <v>-2.9999999899388285</v>
      </c>
      <c r="I92" s="51">
        <f t="shared" si="19"/>
        <v>-0.35999999870028887</v>
      </c>
      <c r="J92" s="53"/>
      <c r="K92" s="54"/>
      <c r="L92" s="5"/>
      <c r="M92" s="53"/>
      <c r="N92" s="55"/>
    </row>
    <row r="93" spans="1:14" x14ac:dyDescent="0.25">
      <c r="A93">
        <f t="shared" si="12"/>
        <v>3.1199000000000017</v>
      </c>
      <c r="B93" s="53">
        <f t="shared" si="13"/>
        <v>17.642023683598993</v>
      </c>
      <c r="C93">
        <f t="shared" si="14"/>
        <v>-2.9568359898490826</v>
      </c>
      <c r="D93">
        <f t="shared" si="15"/>
        <v>3.1201000000000021</v>
      </c>
      <c r="E93" s="53">
        <f t="shared" si="16"/>
        <v>17.641432323600988</v>
      </c>
      <c r="F93">
        <f t="shared" si="17"/>
        <v>-2.9567639901983966</v>
      </c>
      <c r="G93">
        <f t="shared" si="18"/>
        <v>-2.9567999900237396</v>
      </c>
      <c r="I93" s="51">
        <f t="shared" si="19"/>
        <v>0.35999999929240784</v>
      </c>
      <c r="J93" s="53"/>
      <c r="K93" s="54"/>
      <c r="L93" s="5"/>
      <c r="M93" s="53"/>
      <c r="N93" s="55"/>
    </row>
    <row r="94" spans="1:14" x14ac:dyDescent="0.25">
      <c r="A94">
        <f t="shared" si="12"/>
        <v>3.2399000000000018</v>
      </c>
      <c r="B94" s="53">
        <f t="shared" si="13"/>
        <v>17.294106727198987</v>
      </c>
      <c r="C94">
        <f t="shared" si="14"/>
        <v>-2.8272719898581045</v>
      </c>
      <c r="D94">
        <f t="shared" si="15"/>
        <v>3.2401000000000022</v>
      </c>
      <c r="E94" s="53">
        <f t="shared" si="16"/>
        <v>17.293541287201002</v>
      </c>
      <c r="F94">
        <f t="shared" si="17"/>
        <v>-2.8271279899882984</v>
      </c>
      <c r="G94">
        <f t="shared" si="18"/>
        <v>-2.8271999899232014</v>
      </c>
      <c r="I94" s="51">
        <f t="shared" si="19"/>
        <v>1.0800000008378183</v>
      </c>
      <c r="J94" s="53"/>
      <c r="K94" s="54"/>
      <c r="L94" s="5"/>
      <c r="M94" s="53"/>
      <c r="N94" s="55"/>
    </row>
    <row r="95" spans="1:14" x14ac:dyDescent="0.25">
      <c r="A95">
        <f t="shared" si="12"/>
        <v>3.3599000000000019</v>
      </c>
      <c r="B95" s="53">
        <f t="shared" si="13"/>
        <v>16.966917130799011</v>
      </c>
      <c r="C95">
        <f t="shared" si="14"/>
        <v>-2.611307990179057</v>
      </c>
      <c r="D95">
        <f t="shared" si="15"/>
        <v>3.3601000000000023</v>
      </c>
      <c r="E95" s="53">
        <f t="shared" si="16"/>
        <v>16.966394890800998</v>
      </c>
      <c r="F95">
        <f t="shared" si="17"/>
        <v>-2.6110919899480223</v>
      </c>
      <c r="G95">
        <f t="shared" si="18"/>
        <v>-2.6111999900635396</v>
      </c>
      <c r="I95" s="51">
        <f t="shared" si="19"/>
        <v>1.7999999988305149</v>
      </c>
      <c r="J95" s="53"/>
      <c r="K95" s="54"/>
      <c r="L95" s="5"/>
      <c r="M95" s="53"/>
      <c r="N95" s="55"/>
    </row>
    <row r="96" spans="1:14" x14ac:dyDescent="0.25">
      <c r="A96">
        <f t="shared" si="12"/>
        <v>3.479900000000002</v>
      </c>
      <c r="B96" s="53">
        <f t="shared" si="13"/>
        <v>16.670822894398981</v>
      </c>
      <c r="C96">
        <f t="shared" si="14"/>
        <v>-2.3089439898171804</v>
      </c>
      <c r="D96">
        <f t="shared" si="15"/>
        <v>3.4801000000000024</v>
      </c>
      <c r="E96" s="53">
        <f t="shared" si="16"/>
        <v>16.670361134401006</v>
      </c>
      <c r="F96">
        <f t="shared" si="17"/>
        <v>-2.3086559899354597</v>
      </c>
      <c r="G96">
        <f t="shared" si="18"/>
        <v>-2.3087999898763201</v>
      </c>
      <c r="I96" s="51">
        <f t="shared" si="19"/>
        <v>2.5200000015601631</v>
      </c>
      <c r="J96" s="53"/>
      <c r="K96" s="54"/>
      <c r="L96" s="5"/>
      <c r="M96" s="53"/>
      <c r="N96" s="55"/>
    </row>
    <row r="97" spans="1:14" x14ac:dyDescent="0.25">
      <c r="A97">
        <f t="shared" si="12"/>
        <v>3.5999000000000021</v>
      </c>
      <c r="B97" s="53">
        <f t="shared" si="13"/>
        <v>16.416192017998995</v>
      </c>
      <c r="C97">
        <f t="shared" si="14"/>
        <v>-1.9201799899803973</v>
      </c>
      <c r="D97">
        <f t="shared" si="15"/>
        <v>3.6001000000000025</v>
      </c>
      <c r="E97" s="53">
        <f t="shared" si="16"/>
        <v>16.415808018000988</v>
      </c>
      <c r="F97">
        <f t="shared" si="17"/>
        <v>-1.9198199900927193</v>
      </c>
      <c r="G97">
        <f t="shared" si="18"/>
        <v>-1.9199999900365583</v>
      </c>
      <c r="I97" s="51">
        <f t="shared" si="19"/>
        <v>3.2399999986646817</v>
      </c>
      <c r="J97" s="53"/>
      <c r="K97" s="54"/>
      <c r="L97" s="5"/>
      <c r="M97" s="53"/>
      <c r="N97" s="55"/>
    </row>
    <row r="98" spans="1:14" x14ac:dyDescent="0.25">
      <c r="A98">
        <f t="shared" si="12"/>
        <v>3.7199000000000022</v>
      </c>
      <c r="B98" s="53">
        <f t="shared" si="13"/>
        <v>16.213392501598989</v>
      </c>
      <c r="C98">
        <f t="shared" si="14"/>
        <v>-1.4450159899581649</v>
      </c>
      <c r="D98">
        <f t="shared" si="15"/>
        <v>3.7201000000000026</v>
      </c>
      <c r="E98" s="53">
        <f t="shared" si="16"/>
        <v>16.213103541601001</v>
      </c>
      <c r="F98">
        <f t="shared" si="17"/>
        <v>-1.4445839899224211</v>
      </c>
      <c r="G98">
        <f t="shared" si="18"/>
        <v>-1.444799989940293</v>
      </c>
      <c r="I98" s="51">
        <f t="shared" si="19"/>
        <v>3.9600000008022107</v>
      </c>
      <c r="J98" s="53"/>
      <c r="K98" s="54"/>
      <c r="L98" s="5"/>
      <c r="M98" s="53"/>
      <c r="N98" s="55"/>
    </row>
    <row r="99" spans="1:14" x14ac:dyDescent="0.25">
      <c r="A99">
        <f t="shared" ref="A99:A117" si="20">A45-0.0001</f>
        <v>3.8399000000000023</v>
      </c>
      <c r="B99" s="53">
        <f t="shared" ref="B99:B117" si="21">A99^3-9*A99^2+24*A99</f>
        <v>16.072792345199019</v>
      </c>
      <c r="C99">
        <f t="shared" ref="C99:C117" si="22">(B45-B99)/0.0001</f>
        <v>-0.88345199017680898</v>
      </c>
      <c r="D99">
        <f t="shared" ref="D99:D117" si="23">A45+0.0001</f>
        <v>3.8401000000000027</v>
      </c>
      <c r="E99" s="53">
        <f t="shared" ref="E99:E117" si="24">D99^3-9*D99^2+24*D99</f>
        <v>16.072615705201002</v>
      </c>
      <c r="F99">
        <f t="shared" ref="F99:F117" si="25">(E99-B45)/0.0001</f>
        <v>-0.88294798999299928</v>
      </c>
      <c r="G99">
        <f t="shared" ref="G99:G117" si="26">(C99+F99)/2</f>
        <v>-0.88319999008490413</v>
      </c>
      <c r="I99" s="51">
        <f t="shared" si="19"/>
        <v>4.6799999987949077</v>
      </c>
      <c r="J99" s="53"/>
      <c r="K99" s="54"/>
      <c r="L99" s="5"/>
      <c r="M99" s="53"/>
      <c r="N99" s="55"/>
    </row>
    <row r="100" spans="1:14" x14ac:dyDescent="0.25">
      <c r="A100">
        <f t="shared" si="20"/>
        <v>3.9599000000000024</v>
      </c>
      <c r="B100" s="53">
        <f t="shared" si="21"/>
        <v>16.004759548799001</v>
      </c>
      <c r="C100">
        <f t="shared" si="22"/>
        <v>-0.23548799006789523</v>
      </c>
      <c r="D100">
        <f t="shared" si="23"/>
        <v>3.9601000000000028</v>
      </c>
      <c r="E100" s="53">
        <f t="shared" si="24"/>
        <v>16.004712508800992</v>
      </c>
      <c r="F100">
        <f t="shared" si="25"/>
        <v>-0.23491199002023677</v>
      </c>
      <c r="G100">
        <f t="shared" si="26"/>
        <v>-0.235199990044066</v>
      </c>
      <c r="I100" s="51">
        <f t="shared" ref="I100:I116" si="27">(G100-G99)/$E$8</f>
        <v>5.4000000003403184</v>
      </c>
      <c r="J100" s="53"/>
      <c r="K100" s="54"/>
      <c r="L100" s="5"/>
      <c r="M100" s="53"/>
      <c r="N100" s="55"/>
    </row>
    <row r="101" spans="1:14" x14ac:dyDescent="0.25">
      <c r="A101">
        <f t="shared" si="20"/>
        <v>4.079900000000003</v>
      </c>
      <c r="B101" s="53">
        <f t="shared" si="21"/>
        <v>16.019662112399004</v>
      </c>
      <c r="C101">
        <f t="shared" si="22"/>
        <v>0.49887601008435922</v>
      </c>
      <c r="D101">
        <f t="shared" si="23"/>
        <v>4.0801000000000025</v>
      </c>
      <c r="E101" s="53">
        <f t="shared" si="24"/>
        <v>16.019761952401012</v>
      </c>
      <c r="F101">
        <f t="shared" si="25"/>
        <v>0.49952400999586644</v>
      </c>
      <c r="G101">
        <f t="shared" si="26"/>
        <v>0.49920001004011283</v>
      </c>
      <c r="I101" s="51">
        <f t="shared" si="27"/>
        <v>6.1200000007014905</v>
      </c>
      <c r="J101" s="53"/>
      <c r="K101" s="54"/>
      <c r="L101" s="5"/>
      <c r="M101" s="53"/>
      <c r="N101" s="55"/>
    </row>
    <row r="102" spans="1:14" x14ac:dyDescent="0.25">
      <c r="A102">
        <f t="shared" si="20"/>
        <v>4.1999000000000031</v>
      </c>
      <c r="B102" s="53">
        <f t="shared" si="21"/>
        <v>16.127868035999015</v>
      </c>
      <c r="C102">
        <f t="shared" si="22"/>
        <v>1.3196400098536287</v>
      </c>
      <c r="D102">
        <f t="shared" si="23"/>
        <v>4.2001000000000026</v>
      </c>
      <c r="E102" s="53">
        <f t="shared" si="24"/>
        <v>16.128132036000991</v>
      </c>
      <c r="F102">
        <f t="shared" si="25"/>
        <v>1.3203600099132018</v>
      </c>
      <c r="G102">
        <f t="shared" si="26"/>
        <v>1.3200000098834153</v>
      </c>
      <c r="I102" s="51">
        <f t="shared" si="27"/>
        <v>6.8399999986941875</v>
      </c>
      <c r="J102" s="53"/>
      <c r="K102" s="54"/>
      <c r="L102" s="5"/>
      <c r="M102" s="53"/>
      <c r="N102" s="55"/>
    </row>
    <row r="103" spans="1:14" x14ac:dyDescent="0.25">
      <c r="A103">
        <f t="shared" si="20"/>
        <v>4.3199000000000032</v>
      </c>
      <c r="B103" s="53">
        <f t="shared" si="21"/>
        <v>16.339745319599004</v>
      </c>
      <c r="C103">
        <f t="shared" si="22"/>
        <v>2.226804009950456</v>
      </c>
      <c r="D103">
        <f t="shared" si="23"/>
        <v>4.3201000000000027</v>
      </c>
      <c r="E103" s="53">
        <f t="shared" si="24"/>
        <v>16.340190759600986</v>
      </c>
      <c r="F103">
        <f t="shared" si="25"/>
        <v>2.2275960098738778</v>
      </c>
      <c r="G103">
        <f t="shared" si="26"/>
        <v>2.2272000099121669</v>
      </c>
      <c r="I103" s="51">
        <f t="shared" si="27"/>
        <v>7.5600000002395973</v>
      </c>
      <c r="J103" s="53"/>
      <c r="K103" s="54"/>
      <c r="L103" s="5"/>
      <c r="M103" s="53"/>
      <c r="N103" s="55"/>
    </row>
    <row r="104" spans="1:14" x14ac:dyDescent="0.25">
      <c r="A104">
        <f t="shared" si="20"/>
        <v>4.4399000000000033</v>
      </c>
      <c r="B104" s="53">
        <f t="shared" si="21"/>
        <v>16.665661963199028</v>
      </c>
      <c r="C104">
        <f t="shared" si="22"/>
        <v>3.2203680096642984</v>
      </c>
      <c r="D104">
        <f t="shared" si="23"/>
        <v>4.4401000000000028</v>
      </c>
      <c r="E104" s="53">
        <f t="shared" si="24"/>
        <v>16.666306123201011</v>
      </c>
      <c r="F104">
        <f t="shared" si="25"/>
        <v>3.2212320101621117</v>
      </c>
      <c r="G104">
        <f t="shared" si="26"/>
        <v>3.220800009913205</v>
      </c>
      <c r="I104" s="51">
        <f t="shared" si="27"/>
        <v>8.280000000008652</v>
      </c>
      <c r="J104" s="53"/>
      <c r="K104" s="54"/>
      <c r="L104" s="5"/>
      <c r="M104" s="53"/>
      <c r="N104" s="55"/>
    </row>
    <row r="105" spans="1:14" x14ac:dyDescent="0.25">
      <c r="A105">
        <f t="shared" si="20"/>
        <v>4.5599000000000034</v>
      </c>
      <c r="B105" s="53">
        <f t="shared" si="21"/>
        <v>17.115985966799016</v>
      </c>
      <c r="C105">
        <f t="shared" si="22"/>
        <v>4.3003320099899156</v>
      </c>
      <c r="D105">
        <f t="shared" si="23"/>
        <v>4.5601000000000029</v>
      </c>
      <c r="E105" s="53">
        <f t="shared" si="24"/>
        <v>17.116846126801008</v>
      </c>
      <c r="F105">
        <f t="shared" si="25"/>
        <v>4.301268009925252</v>
      </c>
      <c r="G105">
        <f t="shared" si="26"/>
        <v>4.3008000099575838</v>
      </c>
      <c r="I105" s="51">
        <f t="shared" si="27"/>
        <v>9.0000000003698233</v>
      </c>
      <c r="J105" s="53"/>
      <c r="K105" s="54"/>
      <c r="L105" s="5"/>
      <c r="M105" s="53"/>
      <c r="N105" s="55"/>
    </row>
    <row r="106" spans="1:14" x14ac:dyDescent="0.25">
      <c r="A106">
        <f t="shared" si="20"/>
        <v>4.6799000000000035</v>
      </c>
      <c r="B106" s="53">
        <f t="shared" si="21"/>
        <v>17.70108533039901</v>
      </c>
      <c r="C106">
        <f t="shared" si="22"/>
        <v>5.4666960100746564</v>
      </c>
      <c r="D106">
        <f t="shared" si="23"/>
        <v>4.680100000000003</v>
      </c>
      <c r="E106" s="53">
        <f t="shared" si="24"/>
        <v>17.702178770401005</v>
      </c>
      <c r="F106">
        <f t="shared" si="25"/>
        <v>5.4677040098738416</v>
      </c>
      <c r="G106">
        <f t="shared" si="26"/>
        <v>5.467200009974249</v>
      </c>
      <c r="I106" s="51">
        <f t="shared" si="27"/>
        <v>9.720000000138878</v>
      </c>
      <c r="J106" s="53"/>
      <c r="K106" s="54"/>
      <c r="L106" s="5"/>
      <c r="M106" s="53"/>
      <c r="N106" s="55"/>
    </row>
    <row r="107" spans="1:14" x14ac:dyDescent="0.25">
      <c r="A107">
        <f t="shared" si="20"/>
        <v>4.7999000000000036</v>
      </c>
      <c r="B107" s="53">
        <f t="shared" si="21"/>
        <v>18.43132805399901</v>
      </c>
      <c r="C107">
        <f t="shared" si="22"/>
        <v>6.719460010202738</v>
      </c>
      <c r="D107">
        <f t="shared" si="23"/>
        <v>4.8001000000000031</v>
      </c>
      <c r="E107" s="53">
        <f t="shared" si="24"/>
        <v>18.432672054001017</v>
      </c>
      <c r="F107">
        <f t="shared" si="25"/>
        <v>6.7205400098657719</v>
      </c>
      <c r="G107">
        <f t="shared" si="26"/>
        <v>6.720000010034255</v>
      </c>
      <c r="I107" s="51">
        <f t="shared" si="27"/>
        <v>10.440000000500049</v>
      </c>
      <c r="J107" s="53"/>
      <c r="K107" s="54"/>
      <c r="L107" s="5"/>
      <c r="M107" s="53"/>
      <c r="N107" s="55"/>
    </row>
    <row r="108" spans="1:14" x14ac:dyDescent="0.25">
      <c r="A108">
        <f t="shared" si="20"/>
        <v>4.9199000000000037</v>
      </c>
      <c r="B108" s="53">
        <f t="shared" si="21"/>
        <v>19.317082137599044</v>
      </c>
      <c r="C108">
        <f t="shared" si="22"/>
        <v>8.0586240099478346</v>
      </c>
      <c r="D108">
        <f t="shared" si="23"/>
        <v>4.9201000000000032</v>
      </c>
      <c r="E108" s="53">
        <f t="shared" si="24"/>
        <v>19.318693977601043</v>
      </c>
      <c r="F108">
        <f t="shared" si="25"/>
        <v>8.0597760100431515</v>
      </c>
      <c r="G108">
        <f t="shared" si="26"/>
        <v>8.059200009995493</v>
      </c>
      <c r="I108" s="51">
        <f t="shared" si="27"/>
        <v>11.159999999676984</v>
      </c>
      <c r="J108" s="53"/>
      <c r="K108" s="54"/>
      <c r="L108" s="5"/>
      <c r="M108" s="53"/>
      <c r="N108" s="55"/>
    </row>
    <row r="109" spans="1:14" x14ac:dyDescent="0.25">
      <c r="A109">
        <f t="shared" si="20"/>
        <v>5.0399000000000038</v>
      </c>
      <c r="B109" s="53">
        <f t="shared" si="21"/>
        <v>20.368715581199041</v>
      </c>
      <c r="C109">
        <f t="shared" si="22"/>
        <v>9.4841880101625975</v>
      </c>
      <c r="D109">
        <f t="shared" si="23"/>
        <v>5.0401000000000034</v>
      </c>
      <c r="E109" s="53">
        <f t="shared" si="24"/>
        <v>20.370612541201041</v>
      </c>
      <c r="F109">
        <f t="shared" si="25"/>
        <v>9.4854120098375461</v>
      </c>
      <c r="G109">
        <f t="shared" si="26"/>
        <v>9.4848000100000718</v>
      </c>
      <c r="I109" s="51">
        <f t="shared" si="27"/>
        <v>11.880000000038157</v>
      </c>
      <c r="J109" s="53"/>
      <c r="K109" s="54"/>
      <c r="L109" s="5"/>
      <c r="M109" s="53"/>
      <c r="N109" s="55"/>
    </row>
    <row r="110" spans="1:14" x14ac:dyDescent="0.25">
      <c r="A110">
        <f t="shared" si="20"/>
        <v>5.1599000000000039</v>
      </c>
      <c r="B110" s="53">
        <f t="shared" si="21"/>
        <v>21.596596384799028</v>
      </c>
      <c r="C110">
        <f t="shared" si="22"/>
        <v>10.996152010136484</v>
      </c>
      <c r="D110">
        <f t="shared" si="23"/>
        <v>5.1601000000000035</v>
      </c>
      <c r="E110" s="53">
        <f t="shared" si="24"/>
        <v>21.598795744801038</v>
      </c>
      <c r="F110">
        <f t="shared" si="25"/>
        <v>10.997448009959498</v>
      </c>
      <c r="G110">
        <f t="shared" si="26"/>
        <v>10.996800010047991</v>
      </c>
      <c r="I110" s="51">
        <f t="shared" si="27"/>
        <v>12.60000000039933</v>
      </c>
      <c r="J110" s="53"/>
      <c r="K110" s="54"/>
      <c r="L110" s="5"/>
      <c r="M110" s="53"/>
      <c r="N110" s="55"/>
    </row>
    <row r="111" spans="1:14" x14ac:dyDescent="0.25">
      <c r="A111">
        <f t="shared" si="20"/>
        <v>5.279900000000004</v>
      </c>
      <c r="B111" s="53">
        <f t="shared" si="21"/>
        <v>23.011092548399034</v>
      </c>
      <c r="C111">
        <f t="shared" si="22"/>
        <v>12.594516009869494</v>
      </c>
      <c r="D111">
        <f t="shared" si="23"/>
        <v>5.2801000000000036</v>
      </c>
      <c r="E111" s="53">
        <f t="shared" si="24"/>
        <v>23.013611588401034</v>
      </c>
      <c r="F111">
        <f t="shared" si="25"/>
        <v>12.595884010124792</v>
      </c>
      <c r="G111">
        <f t="shared" si="26"/>
        <v>12.595200009997143</v>
      </c>
      <c r="I111" s="51">
        <f t="shared" si="27"/>
        <v>13.319999999576265</v>
      </c>
      <c r="J111" s="53"/>
      <c r="K111" s="54"/>
      <c r="L111" s="5"/>
      <c r="M111" s="53"/>
      <c r="N111" s="55"/>
    </row>
    <row r="112" spans="1:14" x14ac:dyDescent="0.25">
      <c r="A112">
        <f t="shared" si="20"/>
        <v>5.3999000000000041</v>
      </c>
      <c r="B112" s="53">
        <f t="shared" si="21"/>
        <v>24.622572071999087</v>
      </c>
      <c r="C112">
        <f t="shared" si="22"/>
        <v>14.279280009361628</v>
      </c>
      <c r="D112">
        <f t="shared" si="23"/>
        <v>5.4001000000000037</v>
      </c>
      <c r="E112" s="53">
        <f t="shared" si="24"/>
        <v>24.625428072001057</v>
      </c>
      <c r="F112">
        <f t="shared" si="25"/>
        <v>14.280720010333425</v>
      </c>
      <c r="G112">
        <f t="shared" si="26"/>
        <v>14.280000009847527</v>
      </c>
      <c r="I112" s="51">
        <f t="shared" si="27"/>
        <v>14.039999998753199</v>
      </c>
      <c r="J112" s="53"/>
      <c r="K112" s="54"/>
      <c r="L112" s="5"/>
      <c r="M112" s="53"/>
      <c r="N112" s="55"/>
    </row>
    <row r="113" spans="1:14" x14ac:dyDescent="0.25">
      <c r="A113">
        <f t="shared" si="20"/>
        <v>5.5199000000000042</v>
      </c>
      <c r="B113" s="53">
        <f t="shared" si="21"/>
        <v>26.441402955599102</v>
      </c>
      <c r="C113">
        <f t="shared" si="22"/>
        <v>16.050444009465537</v>
      </c>
      <c r="D113">
        <f t="shared" si="23"/>
        <v>5.5201000000000038</v>
      </c>
      <c r="E113" s="53">
        <f t="shared" si="24"/>
        <v>26.444613195601079</v>
      </c>
      <c r="F113">
        <f t="shared" si="25"/>
        <v>16.051956010301183</v>
      </c>
      <c r="G113">
        <f t="shared" si="26"/>
        <v>16.05120000988336</v>
      </c>
      <c r="I113" s="51">
        <f t="shared" si="27"/>
        <v>14.760000000298609</v>
      </c>
      <c r="J113" s="53"/>
      <c r="K113" s="54"/>
      <c r="L113" s="5"/>
      <c r="M113" s="53"/>
      <c r="N113" s="55"/>
    </row>
    <row r="114" spans="1:14" x14ac:dyDescent="0.25">
      <c r="A114">
        <f t="shared" si="20"/>
        <v>5.6399000000000044</v>
      </c>
      <c r="B114" s="53">
        <f t="shared" si="21"/>
        <v>28.477953199199106</v>
      </c>
      <c r="C114">
        <f t="shared" si="22"/>
        <v>17.908008009612786</v>
      </c>
      <c r="D114">
        <f t="shared" si="23"/>
        <v>5.6401000000000039</v>
      </c>
      <c r="E114" s="53">
        <f t="shared" si="24"/>
        <v>28.481534959201099</v>
      </c>
      <c r="F114">
        <f t="shared" si="25"/>
        <v>17.909592010312281</v>
      </c>
      <c r="G114">
        <f t="shared" si="26"/>
        <v>17.908800009962533</v>
      </c>
      <c r="I114" s="51">
        <f t="shared" si="27"/>
        <v>15.480000000659782</v>
      </c>
      <c r="J114" s="53"/>
      <c r="K114" s="54"/>
      <c r="L114" s="5"/>
      <c r="M114" s="53"/>
      <c r="N114" s="55"/>
    </row>
    <row r="115" spans="1:14" x14ac:dyDescent="0.25">
      <c r="A115">
        <f t="shared" si="20"/>
        <v>5.7599000000000045</v>
      </c>
      <c r="B115" s="53">
        <f t="shared" si="21"/>
        <v>30.742590802799072</v>
      </c>
      <c r="C115">
        <f t="shared" si="22"/>
        <v>19.851972010087593</v>
      </c>
      <c r="D115">
        <f t="shared" si="23"/>
        <v>5.760100000000004</v>
      </c>
      <c r="E115" s="53">
        <f t="shared" si="24"/>
        <v>30.746561362801089</v>
      </c>
      <c r="F115">
        <f t="shared" si="25"/>
        <v>19.853628010082502</v>
      </c>
      <c r="G115">
        <f t="shared" si="26"/>
        <v>19.852800010085048</v>
      </c>
      <c r="I115" s="51">
        <f t="shared" si="27"/>
        <v>16.200000001020953</v>
      </c>
      <c r="J115" s="53"/>
      <c r="K115" s="54"/>
      <c r="L115" s="5"/>
      <c r="M115" s="53"/>
      <c r="N115" s="55"/>
    </row>
    <row r="116" spans="1:14" x14ac:dyDescent="0.25">
      <c r="A116">
        <f t="shared" si="20"/>
        <v>5.8799000000000046</v>
      </c>
      <c r="B116" s="53">
        <f t="shared" si="21"/>
        <v>33.245683766399083</v>
      </c>
      <c r="C116">
        <f t="shared" si="22"/>
        <v>21.882336009753089</v>
      </c>
      <c r="D116">
        <f t="shared" si="23"/>
        <v>5.8801000000000041</v>
      </c>
      <c r="E116" s="53">
        <f t="shared" si="24"/>
        <v>33.250060406401047</v>
      </c>
      <c r="F116">
        <f t="shared" si="25"/>
        <v>21.884064009896065</v>
      </c>
      <c r="G116">
        <f t="shared" si="26"/>
        <v>21.883200009824577</v>
      </c>
      <c r="I116" s="51">
        <f t="shared" si="27"/>
        <v>16.919999997829414</v>
      </c>
      <c r="J116" s="53"/>
      <c r="K116" s="54"/>
      <c r="L116" s="5"/>
      <c r="M116" s="53"/>
      <c r="N116" s="55"/>
    </row>
    <row r="117" spans="1:14" x14ac:dyDescent="0.25">
      <c r="A117">
        <f t="shared" si="20"/>
        <v>5.9999000000000047</v>
      </c>
      <c r="B117" s="53">
        <f t="shared" si="21"/>
        <v>35.997600089999111</v>
      </c>
      <c r="C117">
        <f t="shared" si="22"/>
        <v>23.999100010030361</v>
      </c>
      <c r="D117">
        <f t="shared" si="23"/>
        <v>6.0001000000000042</v>
      </c>
      <c r="E117" s="53">
        <f t="shared" si="24"/>
        <v>36.002400090001117</v>
      </c>
      <c r="F117">
        <f t="shared" si="25"/>
        <v>24.000900010037185</v>
      </c>
      <c r="G117">
        <f t="shared" si="26"/>
        <v>24.000000010033773</v>
      </c>
      <c r="J117" s="53"/>
      <c r="K117" s="5"/>
      <c r="L117" s="5">
        <f>(G117-G116)/$E$8</f>
        <v>17.640000001743299</v>
      </c>
      <c r="M117" s="53"/>
    </row>
  </sheetData>
  <printOptions headings="1" gridLines="1"/>
  <pageMargins left="0.75" right="0.75" top="1" bottom="1" header="0.5" footer="0.5"/>
  <pageSetup orientation="portrait" horizontalDpi="300" verticalDpi="300" r:id="rId1"/>
  <headerFooter alignWithMargins="0">
    <oddHeader>&amp;A</oddHeader>
    <oddFooter>Page 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Comments</vt:lpstr>
      <vt:lpstr>Basic Logistic Regression</vt:lpstr>
      <vt:lpstr>Secant Limit</vt:lpstr>
      <vt:lpstr>Slope &amp; Concavity Graphs </vt:lpstr>
      <vt:lpstr>Sheet1</vt:lpstr>
      <vt:lpstr>Sheet2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Borchardt</dc:creator>
  <cp:lastModifiedBy>Carina Negreanu</cp:lastModifiedBy>
  <dcterms:created xsi:type="dcterms:W3CDTF">1998-06-03T20:06:16Z</dcterms:created>
  <dcterms:modified xsi:type="dcterms:W3CDTF">2020-01-27T12:49:02Z</dcterms:modified>
</cp:coreProperties>
</file>