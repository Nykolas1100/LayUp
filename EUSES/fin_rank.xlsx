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8CE9402-6D8D-4B76-8C8D-04708E52E44A}" xr6:coauthVersionLast="45" xr6:coauthVersionMax="45" xr10:uidLastSave="{00000000-0000-0000-0000-000000000000}"/>
  <bookViews>
    <workbookView xWindow="1900" yWindow="1900" windowWidth="28800" windowHeight="15460"/>
  </bookViews>
  <sheets>
    <sheet name="R84FinAll" sheetId="1" r:id="rId1"/>
  </sheets>
  <definedNames>
    <definedName name="_R841FinBanks">#REF!</definedName>
    <definedName name="_R842FinIns">#REF!</definedName>
    <definedName name="_R843FinOther">#REF!</definedName>
    <definedName name="_R84FinAll">'R84FinAll'!$B$6:$E$150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49" i="1" l="1"/>
  <c r="C149" i="1"/>
  <c r="E149" i="1" s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E78" i="1"/>
  <c r="E73" i="1"/>
  <c r="E14" i="1"/>
  <c r="E23" i="1"/>
  <c r="E30" i="1"/>
  <c r="E81" i="1"/>
  <c r="E117" i="1"/>
  <c r="E19" i="1"/>
  <c r="E17" i="1"/>
  <c r="E49" i="1"/>
  <c r="E28" i="1"/>
  <c r="E58" i="1"/>
  <c r="E12" i="1"/>
</calcChain>
</file>

<file path=xl/sharedStrings.xml><?xml version="1.0" encoding="utf-8"?>
<sst xmlns="http://schemas.openxmlformats.org/spreadsheetml/2006/main" count="231" uniqueCount="151">
  <si>
    <t>FirmName</t>
  </si>
  <si>
    <t>% Change</t>
  </si>
  <si>
    <t>Weber Shandwick Worldwide</t>
  </si>
  <si>
    <t>Edelman Public Relations Worldwide</t>
  </si>
  <si>
    <t>Ketchum, Inc.</t>
  </si>
  <si>
    <t>Fleishman-Hillard Inc.</t>
  </si>
  <si>
    <t>Hill and Knowlton, Inc.</t>
  </si>
  <si>
    <t>Burson Marsteller</t>
  </si>
  <si>
    <t>GCI GROUP/APCO Worldwide</t>
  </si>
  <si>
    <t>Ruder Finn Group</t>
  </si>
  <si>
    <t>Golin/Harris International</t>
  </si>
  <si>
    <t>Trimedia, Inc.</t>
  </si>
  <si>
    <t>Manning, Selvage &amp; Lee</t>
  </si>
  <si>
    <t>PepperCom, Inc.</t>
  </si>
  <si>
    <t>Middleberg Euro RSCG</t>
  </si>
  <si>
    <t>Makovsky &amp; Company</t>
  </si>
  <si>
    <t>Porter Novelli</t>
  </si>
  <si>
    <t>CONE</t>
  </si>
  <si>
    <t>Morgen-Walke Associates, Inc.</t>
  </si>
  <si>
    <t>Publicis Dialog</t>
  </si>
  <si>
    <t>KCSA Public Relations</t>
  </si>
  <si>
    <t>Jasculca/Terman and Associates</t>
  </si>
  <si>
    <t>BLISS GOUVERNEUR &amp; ASSOCIATES INC</t>
  </si>
  <si>
    <t>Stanton Crenshaw Communications</t>
  </si>
  <si>
    <t>HLB Communications, Inc.</t>
  </si>
  <si>
    <t>CKPR</t>
  </si>
  <si>
    <t>G.S. Schwartz &amp; Company, Inc.</t>
  </si>
  <si>
    <t>THE PHELPS GROUP</t>
  </si>
  <si>
    <t>Creative Response Concepts</t>
  </si>
  <si>
    <t>Jacobs &amp; Prosek Public Relations</t>
  </si>
  <si>
    <t>SOUTHARD COMMUNICATIONS</t>
  </si>
  <si>
    <t>Edward Howard &amp; Co.</t>
  </si>
  <si>
    <t>Hunter Public Relations</t>
  </si>
  <si>
    <t>Strategic Objectives Inc.</t>
  </si>
  <si>
    <t>EMMANUEL KERR KILSBY INC</t>
  </si>
  <si>
    <t>BATES CHURCHILL PUBLIC RELATIONS, INC.</t>
  </si>
  <si>
    <t>Imada Wong Communications Group, Inc. dba IW Group</t>
  </si>
  <si>
    <t>Padilla Speer Beardsley, Inc.</t>
  </si>
  <si>
    <t>IMRE Communications</t>
  </si>
  <si>
    <t>Dittus Communications, Inc.</t>
  </si>
  <si>
    <t>NYPR Marketing and Public Relations</t>
  </si>
  <si>
    <t>Kupper Parker Communications</t>
  </si>
  <si>
    <t>LandersMadden</t>
  </si>
  <si>
    <t>Jackson Spalding, Inc.</t>
  </si>
  <si>
    <t>Collins &amp; Company</t>
  </si>
  <si>
    <t>Singer Associates, Inc.</t>
  </si>
  <si>
    <t>Waggener Edstrom, Inc.</t>
  </si>
  <si>
    <t>The Weiser Group</t>
  </si>
  <si>
    <t>The Rasky/Baerlein Group</t>
  </si>
  <si>
    <t>The Ruth Group</t>
  </si>
  <si>
    <t>Caponigro Public Relations, Inc.</t>
  </si>
  <si>
    <t>Plesser Associates</t>
  </si>
  <si>
    <t>Schenkein, Inc.</t>
  </si>
  <si>
    <t>Richard French &amp; Associates</t>
  </si>
  <si>
    <t>Anne Klein &amp; Associates, Inc.</t>
  </si>
  <si>
    <t>SAWCHUK BROWN ASSOCIATES</t>
  </si>
  <si>
    <t>Dye, Van Mol &amp; Lawrence, Inc.</t>
  </si>
  <si>
    <t>DUFFEY COMMUNICATIONS INC</t>
  </si>
  <si>
    <t>The Headline Group</t>
  </si>
  <si>
    <t>MGA Communications, Inc.</t>
  </si>
  <si>
    <t>Paine PR</t>
  </si>
  <si>
    <t>Magnet Communications</t>
  </si>
  <si>
    <t>Pantín/JGR/Public Relations</t>
  </si>
  <si>
    <t>Gerbig, Snell/Weisheimer</t>
  </si>
  <si>
    <t>Morgan&amp;Myers</t>
  </si>
  <si>
    <t>Vollmer</t>
  </si>
  <si>
    <t>Marcus Thomas LLC</t>
  </si>
  <si>
    <t>Cushman/Amberg Communications</t>
  </si>
  <si>
    <t>Cohn &amp; Wolfe</t>
  </si>
  <si>
    <t>Carmichael Lynch Spong</t>
  </si>
  <si>
    <t>GOGERTY STARK MARRIOTT</t>
  </si>
  <si>
    <t>Clifford Public Relations, LLC</t>
  </si>
  <si>
    <t>PR21, Inc.</t>
  </si>
  <si>
    <t>Thorp &amp; Company</t>
  </si>
  <si>
    <t>Ashton Partners</t>
  </si>
  <si>
    <t>Corporate Ink Public Relations</t>
  </si>
  <si>
    <t>JOHN BAILEY &amp; ASSOCIATES</t>
  </si>
  <si>
    <t>Morrissey &amp; Company</t>
  </si>
  <si>
    <t>Zeppos &amp; Associates, Incorporated</t>
  </si>
  <si>
    <t>Patrice Tanaka &amp; Company, Inc.</t>
  </si>
  <si>
    <t>Lane Marketing Communications</t>
  </si>
  <si>
    <t>Eric Mower and Associates</t>
  </si>
  <si>
    <t>COOKSEY COMMUNICATIONS</t>
  </si>
  <si>
    <t>Carter Ryley Thomas, Inc.</t>
  </si>
  <si>
    <t>LVM GROUP INC</t>
  </si>
  <si>
    <t>MCNEELY PIGOTT &amp; FOX PUBLIC RELATIONS</t>
  </si>
  <si>
    <t>MARX LAYNE &amp; COMPANY</t>
  </si>
  <si>
    <t>Fletcher Martin Ewing PR</t>
  </si>
  <si>
    <t>DUBLIN &amp; ASSOCIATES,INC</t>
  </si>
  <si>
    <t>BISHOFF SOLOMON COMMUNICATIONS</t>
  </si>
  <si>
    <t>Guthrie/Mayes Public Relations</t>
  </si>
  <si>
    <t>MICHAEL JAMES &amp; CO</t>
  </si>
  <si>
    <t>Equals Three Communications®</t>
  </si>
  <si>
    <t>Cooper Katz &amp; Company</t>
  </si>
  <si>
    <t>Berry Associates Public Relations Inc.</t>
  </si>
  <si>
    <t>PRX Inc.</t>
  </si>
  <si>
    <t>Development Counsellors International</t>
  </si>
  <si>
    <t>L.C. Williams &amp; Associates</t>
  </si>
  <si>
    <t>Paul Werth Associates</t>
  </si>
  <si>
    <t>Morningstar Communications Company</t>
  </si>
  <si>
    <t>BRW LeGrand</t>
  </si>
  <si>
    <t>KATCHER VAUGHN &amp; BAILEY COMMUNICATIONS</t>
  </si>
  <si>
    <t>Pan Communications, Inc.</t>
  </si>
  <si>
    <t>VALENCIA PEREZ AND ECHEVESTE</t>
  </si>
  <si>
    <t>CATAPULT PR-IR</t>
  </si>
  <si>
    <t>LINHART MCCLAIN FINLON PR</t>
  </si>
  <si>
    <t>Hyde Park Communications</t>
  </si>
  <si>
    <t>Public Communications Inc.</t>
  </si>
  <si>
    <t>David Grossman &amp; Associates</t>
  </si>
  <si>
    <t>PIERPONT COMMUNICATIONS INC</t>
  </si>
  <si>
    <t>PRACO Public Relations &amp; Advertising Company</t>
  </si>
  <si>
    <t>The Standing Partnership, Inc.</t>
  </si>
  <si>
    <t>Millennium Communications</t>
  </si>
  <si>
    <t>Ackermann PR</t>
  </si>
  <si>
    <t>LaBreche Murray</t>
  </si>
  <si>
    <t>ANDREA OBSTON MARKETING COMMUNICATIONS, LLC</t>
  </si>
  <si>
    <t>Agnes Huff Communications Group, LLC</t>
  </si>
  <si>
    <t>Conkling, Fiskum &amp; McCormick, Inc.</t>
  </si>
  <si>
    <t>The Powell Group</t>
  </si>
  <si>
    <t>Seyferth Spaulding Tennyson</t>
  </si>
  <si>
    <t>Durazo Communications, Inc.</t>
  </si>
  <si>
    <t>Reputation Management Associates</t>
  </si>
  <si>
    <t>DCS GROUP</t>
  </si>
  <si>
    <t>Sacunas &amp; Saline</t>
  </si>
  <si>
    <t>Saphar &amp; Associates</t>
  </si>
  <si>
    <t>PRSTREET, INC.</t>
  </si>
  <si>
    <t>Siddall Matus &amp; Coughter Inc.</t>
  </si>
  <si>
    <t>RUMBAUGH PUBLIC RELATIONS</t>
  </si>
  <si>
    <t>Goff &amp; Howard, Inc.</t>
  </si>
  <si>
    <t>LEVENSON PUBLIC RELATIONS</t>
  </si>
  <si>
    <t>SCOTT PEYRON &amp; ASSOCIATES</t>
  </si>
  <si>
    <t>Witeck Combs Communications, Inc.</t>
  </si>
  <si>
    <t>Schneider &amp; Associates, Inc.</t>
  </si>
  <si>
    <t>The Bivings Group</t>
  </si>
  <si>
    <t>Jack Horner Communications Inc.</t>
  </si>
  <si>
    <t>Rossman Martin &amp; Associates</t>
  </si>
  <si>
    <t>TRIAD Communication</t>
  </si>
  <si>
    <t>James A. Fyock &amp; Associates, Inc.</t>
  </si>
  <si>
    <t>Barkley Evergreen &amp; Partners, Inc.</t>
  </si>
  <si>
    <t>2001 Revenue</t>
  </si>
  <si>
    <t>2000 Revenue</t>
  </si>
  <si>
    <t>Rogers &amp; Associates</t>
  </si>
  <si>
    <t>Hope-Beckham, Inc.</t>
  </si>
  <si>
    <t>MWW Group</t>
  </si>
  <si>
    <t>n/a</t>
  </si>
  <si>
    <t>SLAY Public Relations (formerly Martin Public Relations)</t>
  </si>
  <si>
    <t>TOTAL FINANCIAL PRODUCTS &amp; SERVICES</t>
  </si>
  <si>
    <t>Council of Public Relations Firms</t>
  </si>
  <si>
    <t>2002 Industry Documentation &amp; Rankings</t>
  </si>
  <si>
    <t>2001 Revenues</t>
  </si>
  <si>
    <t>Industry Sector: Financial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</si>
</sst>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&quot;$&quot;#,##0"/>
  </numFmts>
  <fonts count="3" x14ac:knownFonts="1">
    <font>
      <sz val="10"/>
      <name val="MS Sans Serif"/>
    </font>
    <font>
      <b/>
      <sz val="10"/>
      <name val="MS Sans Serif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quotePrefix="1" applyNumberFormat="1"/>
    <xf numFmtId="0" fontId="1" fillId="0" borderId="0" xfId="0" quotePrefix="1" applyNumberFormat="1" applyFont="1"/>
    <xf numFmtId="0" fontId="1" fillId="0" borderId="0" xfId="0" applyFont="1"/>
    <xf numFmtId="0" fontId="0" fillId="0" borderId="0" xfId="0" applyNumberFormat="1"/>
    <xf numFmtId="172" fontId="1" fillId="0" borderId="0" xfId="0" applyNumberFormat="1" applyFont="1" applyAlignment="1">
      <alignment horizontal="right"/>
    </xf>
    <xf numFmtId="10" fontId="1" fillId="0" borderId="0" xfId="0" quotePrefix="1" applyNumberFormat="1" applyFont="1" applyAlignment="1">
      <alignment horizontal="right"/>
    </xf>
    <xf numFmtId="172" fontId="0" fillId="0" borderId="0" xfId="0" quotePrefix="1" applyNumberFormat="1" applyAlignment="1">
      <alignment horizontal="right"/>
    </xf>
    <xf numFmtId="10" fontId="0" fillId="0" borderId="0" xfId="0" quotePrefix="1" applyNumberFormat="1" applyAlignment="1">
      <alignment horizontal="right"/>
    </xf>
    <xf numFmtId="10" fontId="0" fillId="0" borderId="0" xfId="0" applyNumberFormat="1" applyAlignment="1">
      <alignment horizontal="right"/>
    </xf>
    <xf numFmtId="17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" fillId="0" borderId="0" xfId="0" applyNumberFormat="1" applyFont="1"/>
    <xf numFmtId="172" fontId="1" fillId="0" borderId="0" xfId="0" quotePrefix="1" applyNumberFormat="1" applyFont="1" applyAlignment="1">
      <alignment horizontal="right"/>
    </xf>
    <xf numFmtId="0" fontId="2" fillId="0" borderId="0" xfId="0" applyFont="1" applyAlignment="1"/>
    <xf numFmtId="0" fontId="0" fillId="0" borderId="0" xfId="0" applyAlignment="1"/>
    <xf numFmtId="0" fontId="2" fillId="0" borderId="0" xfId="0" applyFont="1" applyAlignment="1"/>
    <xf numFmtId="0" fontId="0" fillId="0" borderId="0" xfId="0" applyAlignme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3"/>
  <sheetViews>
    <sheetView tabSelected="1" workbookViewId="0">
      <selection activeCell="B5" sqref="B5"/>
    </sheetView>
  </sheetViews>
  <sheetFormatPr defaultRowHeight="13" x14ac:dyDescent="0.3"/>
  <cols>
    <col min="1" max="1" width="4" bestFit="1" customWidth="1"/>
    <col min="2" max="2" width="55.54296875" bestFit="1" customWidth="1"/>
    <col min="3" max="4" width="15.453125" style="10" bestFit="1" customWidth="1"/>
    <col min="5" max="5" width="11.26953125" style="9" bestFit="1" customWidth="1"/>
  </cols>
  <sheetData>
    <row r="1" spans="1:6" ht="15.5" x14ac:dyDescent="0.35">
      <c r="A1" s="16" t="s">
        <v>147</v>
      </c>
      <c r="B1" s="16"/>
      <c r="C1" s="17"/>
      <c r="D1"/>
      <c r="E1"/>
    </row>
    <row r="2" spans="1:6" ht="15.5" x14ac:dyDescent="0.35">
      <c r="A2" s="16" t="s">
        <v>148</v>
      </c>
      <c r="B2" s="16"/>
      <c r="C2" s="17"/>
      <c r="D2"/>
      <c r="E2"/>
    </row>
    <row r="3" spans="1:6" ht="15.5" x14ac:dyDescent="0.35">
      <c r="A3" s="14"/>
      <c r="B3" s="14"/>
      <c r="C3" s="15"/>
      <c r="D3"/>
      <c r="E3"/>
    </row>
    <row r="4" spans="1:6" ht="15.5" x14ac:dyDescent="0.35">
      <c r="A4" s="14"/>
      <c r="B4" s="14"/>
      <c r="C4" s="16" t="s">
        <v>150</v>
      </c>
      <c r="D4" s="17"/>
      <c r="E4" s="15"/>
      <c r="F4" s="15"/>
    </row>
    <row r="5" spans="1:6" ht="15.5" x14ac:dyDescent="0.35">
      <c r="C5" s="18" t="s">
        <v>149</v>
      </c>
      <c r="D5" s="18"/>
      <c r="E5"/>
    </row>
    <row r="6" spans="1:6" s="3" customFormat="1" x14ac:dyDescent="0.3">
      <c r="B6" s="2" t="s">
        <v>0</v>
      </c>
      <c r="C6" s="5" t="s">
        <v>139</v>
      </c>
      <c r="D6" s="5" t="s">
        <v>140</v>
      </c>
      <c r="E6" s="6" t="s">
        <v>1</v>
      </c>
    </row>
    <row r="7" spans="1:6" x14ac:dyDescent="0.3">
      <c r="A7">
        <v>1</v>
      </c>
      <c r="B7" s="1" t="s">
        <v>2</v>
      </c>
      <c r="C7" s="7">
        <v>19063299</v>
      </c>
      <c r="D7" s="7">
        <v>29149388</v>
      </c>
      <c r="E7" s="8">
        <v>-0.34601374821317005</v>
      </c>
    </row>
    <row r="8" spans="1:6" x14ac:dyDescent="0.3">
      <c r="A8">
        <f>A7+1</f>
        <v>2</v>
      </c>
      <c r="B8" s="1" t="s">
        <v>3</v>
      </c>
      <c r="C8" s="7">
        <v>13559704</v>
      </c>
      <c r="D8" s="7">
        <v>9908387</v>
      </c>
      <c r="E8" s="8">
        <v>0.36850770968069779</v>
      </c>
    </row>
    <row r="9" spans="1:6" x14ac:dyDescent="0.3">
      <c r="A9">
        <f t="shared" ref="A9:A72" si="0">A8+1</f>
        <v>3</v>
      </c>
      <c r="B9" s="1" t="s">
        <v>4</v>
      </c>
      <c r="C9" s="7">
        <v>12526000</v>
      </c>
      <c r="D9" s="7">
        <v>10266000</v>
      </c>
      <c r="E9" s="8">
        <v>0.22014416520553282</v>
      </c>
    </row>
    <row r="10" spans="1:6" x14ac:dyDescent="0.3">
      <c r="A10">
        <f t="shared" si="0"/>
        <v>4</v>
      </c>
      <c r="B10" s="1" t="s">
        <v>5</v>
      </c>
      <c r="C10" s="7">
        <v>11018000</v>
      </c>
      <c r="D10" s="7">
        <v>13672000</v>
      </c>
      <c r="E10" s="8">
        <v>-0.1941193680514921</v>
      </c>
    </row>
    <row r="11" spans="1:6" x14ac:dyDescent="0.3">
      <c r="A11">
        <f t="shared" si="0"/>
        <v>5</v>
      </c>
      <c r="B11" s="1" t="s">
        <v>6</v>
      </c>
      <c r="C11" s="7">
        <v>9946000</v>
      </c>
      <c r="D11" s="7">
        <v>14141000</v>
      </c>
      <c r="E11" s="8">
        <v>-0.29665511632840674</v>
      </c>
    </row>
    <row r="12" spans="1:6" x14ac:dyDescent="0.3">
      <c r="A12">
        <f t="shared" si="0"/>
        <v>6</v>
      </c>
      <c r="B12" s="1" t="s">
        <v>7</v>
      </c>
      <c r="C12" s="7">
        <v>9922000</v>
      </c>
      <c r="D12" s="7">
        <v>12800000</v>
      </c>
      <c r="E12" s="9">
        <f>SUM(C12-D12)/D12</f>
        <v>-0.22484375000000001</v>
      </c>
    </row>
    <row r="13" spans="1:6" x14ac:dyDescent="0.3">
      <c r="A13">
        <f t="shared" si="0"/>
        <v>7</v>
      </c>
      <c r="B13" s="1" t="s">
        <v>8</v>
      </c>
      <c r="C13" s="7">
        <v>6298225</v>
      </c>
      <c r="D13" s="7">
        <v>6528019</v>
      </c>
      <c r="E13" s="8">
        <v>-3.5201184310278508E-2</v>
      </c>
    </row>
    <row r="14" spans="1:6" x14ac:dyDescent="0.3">
      <c r="A14">
        <f t="shared" si="0"/>
        <v>8</v>
      </c>
      <c r="B14" s="1" t="s">
        <v>9</v>
      </c>
      <c r="C14" s="7">
        <v>6247000</v>
      </c>
      <c r="D14" s="7">
        <v>7092000</v>
      </c>
      <c r="E14" s="9">
        <f>SUM(C14-D14)/D14</f>
        <v>-0.11914833615341229</v>
      </c>
    </row>
    <row r="15" spans="1:6" x14ac:dyDescent="0.3">
      <c r="A15">
        <f t="shared" si="0"/>
        <v>9</v>
      </c>
      <c r="B15" s="1" t="s">
        <v>10</v>
      </c>
      <c r="C15" s="7">
        <v>4301706</v>
      </c>
      <c r="D15" s="7">
        <v>8795922</v>
      </c>
      <c r="E15" s="8">
        <v>-0.5109431393320677</v>
      </c>
    </row>
    <row r="16" spans="1:6" x14ac:dyDescent="0.3">
      <c r="A16">
        <f t="shared" si="0"/>
        <v>10</v>
      </c>
      <c r="B16" s="1" t="s">
        <v>11</v>
      </c>
      <c r="C16" s="7">
        <v>3142000</v>
      </c>
      <c r="D16" s="10" t="s">
        <v>144</v>
      </c>
      <c r="E16" s="9" t="s">
        <v>144</v>
      </c>
    </row>
    <row r="17" spans="1:5" x14ac:dyDescent="0.3">
      <c r="A17">
        <f t="shared" si="0"/>
        <v>11</v>
      </c>
      <c r="B17" s="1" t="s">
        <v>12</v>
      </c>
      <c r="C17" s="7">
        <v>3104860</v>
      </c>
      <c r="D17" s="7">
        <v>4019533</v>
      </c>
      <c r="E17" s="9">
        <f>SUM(C17-D17)/D17</f>
        <v>-0.22755703212288592</v>
      </c>
    </row>
    <row r="18" spans="1:5" x14ac:dyDescent="0.3">
      <c r="A18">
        <f t="shared" si="0"/>
        <v>12</v>
      </c>
      <c r="B18" s="1" t="s">
        <v>13</v>
      </c>
      <c r="C18" s="7">
        <v>2934575</v>
      </c>
      <c r="D18" s="7">
        <v>2597128</v>
      </c>
      <c r="E18" s="8">
        <v>0.1299308312874837</v>
      </c>
    </row>
    <row r="19" spans="1:5" x14ac:dyDescent="0.3">
      <c r="A19">
        <f t="shared" si="0"/>
        <v>13</v>
      </c>
      <c r="B19" s="1" t="s">
        <v>14</v>
      </c>
      <c r="C19" s="7">
        <v>2383000</v>
      </c>
      <c r="D19" s="7">
        <v>4518000</v>
      </c>
      <c r="E19" s="9">
        <f>SUM(C19-D19)/D19</f>
        <v>-0.4725542275343072</v>
      </c>
    </row>
    <row r="20" spans="1:5" x14ac:dyDescent="0.3">
      <c r="A20">
        <f t="shared" si="0"/>
        <v>14</v>
      </c>
      <c r="B20" s="1" t="s">
        <v>15</v>
      </c>
      <c r="C20" s="7">
        <v>2180000</v>
      </c>
      <c r="D20" s="7">
        <v>3894000</v>
      </c>
      <c r="E20" s="8">
        <v>-0.44016435541859272</v>
      </c>
    </row>
    <row r="21" spans="1:5" x14ac:dyDescent="0.3">
      <c r="A21">
        <f t="shared" si="0"/>
        <v>15</v>
      </c>
      <c r="B21" s="1" t="s">
        <v>16</v>
      </c>
      <c r="C21" s="7">
        <v>2030000</v>
      </c>
      <c r="D21" s="7">
        <v>9389000</v>
      </c>
      <c r="E21" s="8">
        <v>-0.78378954095217812</v>
      </c>
    </row>
    <row r="22" spans="1:5" x14ac:dyDescent="0.3">
      <c r="A22">
        <f t="shared" si="0"/>
        <v>16</v>
      </c>
      <c r="B22" s="1" t="s">
        <v>17</v>
      </c>
      <c r="C22" s="7">
        <v>1798346</v>
      </c>
      <c r="D22" s="7">
        <v>1681618</v>
      </c>
      <c r="E22" s="8">
        <v>6.9414099991793612E-2</v>
      </c>
    </row>
    <row r="23" spans="1:5" x14ac:dyDescent="0.3">
      <c r="A23">
        <f t="shared" si="0"/>
        <v>17</v>
      </c>
      <c r="B23" s="4" t="s">
        <v>143</v>
      </c>
      <c r="C23" s="10">
        <v>1606270</v>
      </c>
      <c r="D23" s="10">
        <v>1122000</v>
      </c>
      <c r="E23" s="9">
        <f>SUM(C23-D23)/D23</f>
        <v>0.43161319073083781</v>
      </c>
    </row>
    <row r="24" spans="1:5" x14ac:dyDescent="0.3">
      <c r="A24">
        <f t="shared" si="0"/>
        <v>18</v>
      </c>
      <c r="B24" s="1" t="s">
        <v>18</v>
      </c>
      <c r="C24" s="7">
        <v>1595000</v>
      </c>
      <c r="D24" s="10" t="s">
        <v>144</v>
      </c>
      <c r="E24" s="9" t="s">
        <v>144</v>
      </c>
    </row>
    <row r="25" spans="1:5" x14ac:dyDescent="0.3">
      <c r="A25">
        <f t="shared" si="0"/>
        <v>19</v>
      </c>
      <c r="B25" s="1" t="s">
        <v>19</v>
      </c>
      <c r="C25" s="7">
        <v>1413851</v>
      </c>
      <c r="D25" s="7">
        <v>1754963</v>
      </c>
      <c r="E25" s="8">
        <v>-0.19436990979297</v>
      </c>
    </row>
    <row r="26" spans="1:5" x14ac:dyDescent="0.3">
      <c r="A26">
        <f t="shared" si="0"/>
        <v>20</v>
      </c>
      <c r="B26" s="1" t="s">
        <v>145</v>
      </c>
      <c r="C26" s="7">
        <v>1378500</v>
      </c>
      <c r="D26" s="10" t="s">
        <v>144</v>
      </c>
      <c r="E26" s="9" t="s">
        <v>144</v>
      </c>
    </row>
    <row r="27" spans="1:5" x14ac:dyDescent="0.3">
      <c r="A27">
        <f t="shared" si="0"/>
        <v>21</v>
      </c>
      <c r="B27" s="1" t="s">
        <v>20</v>
      </c>
      <c r="C27" s="7">
        <v>1350000</v>
      </c>
      <c r="D27" s="7">
        <v>2800000</v>
      </c>
      <c r="E27" s="8">
        <v>-0.5178571428571429</v>
      </c>
    </row>
    <row r="28" spans="1:5" x14ac:dyDescent="0.3">
      <c r="A28">
        <f t="shared" si="0"/>
        <v>22</v>
      </c>
      <c r="B28" s="1" t="s">
        <v>21</v>
      </c>
      <c r="C28" s="7">
        <v>1289304</v>
      </c>
      <c r="D28" s="7">
        <v>881457</v>
      </c>
      <c r="E28" s="9">
        <f>SUM(C28-D28)/D28</f>
        <v>0.46269642194684485</v>
      </c>
    </row>
    <row r="29" spans="1:5" x14ac:dyDescent="0.3">
      <c r="A29">
        <f t="shared" si="0"/>
        <v>23</v>
      </c>
      <c r="B29" s="1" t="s">
        <v>22</v>
      </c>
      <c r="C29" s="7">
        <v>1265000</v>
      </c>
      <c r="D29" s="7">
        <v>1151870</v>
      </c>
      <c r="E29" s="8">
        <v>9.821420820057819E-2</v>
      </c>
    </row>
    <row r="30" spans="1:5" x14ac:dyDescent="0.3">
      <c r="A30">
        <f t="shared" si="0"/>
        <v>24</v>
      </c>
      <c r="B30" s="1" t="s">
        <v>23</v>
      </c>
      <c r="C30" s="7">
        <v>1200000</v>
      </c>
      <c r="D30" s="7">
        <v>2069987</v>
      </c>
      <c r="E30" s="9">
        <f>SUM(C30-D30)/D30</f>
        <v>-0.42028621435786795</v>
      </c>
    </row>
    <row r="31" spans="1:5" x14ac:dyDescent="0.3">
      <c r="A31">
        <f t="shared" si="0"/>
        <v>25</v>
      </c>
      <c r="B31" s="1" t="s">
        <v>23</v>
      </c>
      <c r="C31" s="7">
        <v>1200000</v>
      </c>
      <c r="D31" s="7">
        <v>2069550</v>
      </c>
      <c r="E31" s="8">
        <v>-0.42016380372544754</v>
      </c>
    </row>
    <row r="32" spans="1:5" x14ac:dyDescent="0.3">
      <c r="A32">
        <f t="shared" si="0"/>
        <v>26</v>
      </c>
      <c r="B32" s="1" t="s">
        <v>24</v>
      </c>
      <c r="C32" s="7">
        <v>1156848</v>
      </c>
      <c r="D32" s="7">
        <v>935000</v>
      </c>
      <c r="E32" s="8">
        <v>0.23727058823529412</v>
      </c>
    </row>
    <row r="33" spans="1:5" x14ac:dyDescent="0.3">
      <c r="A33">
        <f t="shared" si="0"/>
        <v>27</v>
      </c>
      <c r="B33" s="1" t="s">
        <v>25</v>
      </c>
      <c r="C33" s="7">
        <v>1087000</v>
      </c>
      <c r="D33" s="7">
        <v>2517000</v>
      </c>
      <c r="E33" s="8">
        <v>-0.56813667063965034</v>
      </c>
    </row>
    <row r="34" spans="1:5" x14ac:dyDescent="0.3">
      <c r="A34">
        <f t="shared" si="0"/>
        <v>28</v>
      </c>
      <c r="B34" s="1" t="s">
        <v>26</v>
      </c>
      <c r="C34" s="7">
        <v>1000000</v>
      </c>
      <c r="D34" s="7">
        <v>1200000</v>
      </c>
      <c r="E34" s="8">
        <v>-0.16666666666666666</v>
      </c>
    </row>
    <row r="35" spans="1:5" x14ac:dyDescent="0.3">
      <c r="A35">
        <f t="shared" si="0"/>
        <v>29</v>
      </c>
      <c r="B35" s="1" t="s">
        <v>27</v>
      </c>
      <c r="C35" s="7">
        <v>929000</v>
      </c>
      <c r="D35" s="7">
        <v>268000</v>
      </c>
      <c r="E35" s="8">
        <v>2.466417910447761</v>
      </c>
    </row>
    <row r="36" spans="1:5" x14ac:dyDescent="0.3">
      <c r="A36">
        <f t="shared" si="0"/>
        <v>30</v>
      </c>
      <c r="B36" s="1" t="s">
        <v>28</v>
      </c>
      <c r="C36" s="7">
        <v>905303</v>
      </c>
      <c r="D36" s="7">
        <v>485611</v>
      </c>
      <c r="E36" s="8">
        <v>0.86425554610583366</v>
      </c>
    </row>
    <row r="37" spans="1:5" x14ac:dyDescent="0.3">
      <c r="A37">
        <f t="shared" si="0"/>
        <v>31</v>
      </c>
      <c r="B37" s="1" t="s">
        <v>29</v>
      </c>
      <c r="C37" s="7">
        <v>713207.68</v>
      </c>
      <c r="D37" s="7">
        <v>467084</v>
      </c>
      <c r="E37" s="8">
        <v>0.52693665379246557</v>
      </c>
    </row>
    <row r="38" spans="1:5" x14ac:dyDescent="0.3">
      <c r="A38">
        <f t="shared" si="0"/>
        <v>32</v>
      </c>
      <c r="B38" s="1" t="s">
        <v>30</v>
      </c>
      <c r="C38" s="7">
        <v>700000</v>
      </c>
      <c r="D38" s="10" t="s">
        <v>144</v>
      </c>
      <c r="E38" s="9" t="s">
        <v>144</v>
      </c>
    </row>
    <row r="39" spans="1:5" x14ac:dyDescent="0.3">
      <c r="A39">
        <f t="shared" si="0"/>
        <v>33</v>
      </c>
      <c r="B39" s="1" t="s">
        <v>31</v>
      </c>
      <c r="C39" s="7">
        <v>688300</v>
      </c>
      <c r="D39" s="7">
        <v>385000</v>
      </c>
      <c r="E39" s="8">
        <v>0.78779220779220782</v>
      </c>
    </row>
    <row r="40" spans="1:5" x14ac:dyDescent="0.3">
      <c r="A40">
        <f t="shared" si="0"/>
        <v>34</v>
      </c>
      <c r="B40" s="1" t="s">
        <v>32</v>
      </c>
      <c r="C40" s="7">
        <v>678091</v>
      </c>
      <c r="D40" s="7">
        <v>331107</v>
      </c>
      <c r="E40" s="8">
        <v>1.0479512665090136</v>
      </c>
    </row>
    <row r="41" spans="1:5" x14ac:dyDescent="0.3">
      <c r="A41">
        <f t="shared" si="0"/>
        <v>35</v>
      </c>
      <c r="B41" s="1" t="s">
        <v>33</v>
      </c>
      <c r="C41" s="7">
        <v>675818</v>
      </c>
      <c r="D41" s="7">
        <v>585870</v>
      </c>
      <c r="E41" s="8">
        <v>0.15352893986720603</v>
      </c>
    </row>
    <row r="42" spans="1:5" x14ac:dyDescent="0.3">
      <c r="A42">
        <f t="shared" si="0"/>
        <v>36</v>
      </c>
      <c r="B42" s="1" t="s">
        <v>34</v>
      </c>
      <c r="C42" s="7">
        <v>613000</v>
      </c>
      <c r="D42" s="7">
        <v>650000</v>
      </c>
      <c r="E42" s="8">
        <v>-5.6923076923076923E-2</v>
      </c>
    </row>
    <row r="43" spans="1:5" x14ac:dyDescent="0.3">
      <c r="A43">
        <f t="shared" si="0"/>
        <v>37</v>
      </c>
      <c r="B43" s="1" t="s">
        <v>35</v>
      </c>
      <c r="C43" s="7">
        <v>607820</v>
      </c>
      <c r="D43" s="7">
        <v>486000</v>
      </c>
      <c r="E43" s="8">
        <v>0.25065843621399175</v>
      </c>
    </row>
    <row r="44" spans="1:5" x14ac:dyDescent="0.3">
      <c r="A44">
        <f t="shared" si="0"/>
        <v>38</v>
      </c>
      <c r="B44" s="1" t="s">
        <v>36</v>
      </c>
      <c r="C44" s="7">
        <v>600000</v>
      </c>
      <c r="D44" s="7">
        <v>250000</v>
      </c>
      <c r="E44" s="8">
        <v>1.4</v>
      </c>
    </row>
    <row r="45" spans="1:5" x14ac:dyDescent="0.3">
      <c r="A45">
        <f t="shared" si="0"/>
        <v>39</v>
      </c>
      <c r="B45" s="1" t="s">
        <v>37</v>
      </c>
      <c r="C45" s="7">
        <v>583468</v>
      </c>
      <c r="D45" s="7">
        <v>691816</v>
      </c>
      <c r="E45" s="8">
        <v>-0.15661389733686415</v>
      </c>
    </row>
    <row r="46" spans="1:5" x14ac:dyDescent="0.3">
      <c r="A46">
        <f t="shared" si="0"/>
        <v>40</v>
      </c>
      <c r="B46" s="1" t="s">
        <v>38</v>
      </c>
      <c r="C46" s="7">
        <v>554156</v>
      </c>
      <c r="D46" s="10" t="s">
        <v>144</v>
      </c>
      <c r="E46" s="9" t="s">
        <v>144</v>
      </c>
    </row>
    <row r="47" spans="1:5" x14ac:dyDescent="0.3">
      <c r="A47">
        <f t="shared" si="0"/>
        <v>41</v>
      </c>
      <c r="B47" s="1" t="s">
        <v>39</v>
      </c>
      <c r="C47" s="7">
        <v>550000</v>
      </c>
      <c r="D47" s="10" t="s">
        <v>144</v>
      </c>
      <c r="E47" s="9" t="s">
        <v>144</v>
      </c>
    </row>
    <row r="48" spans="1:5" x14ac:dyDescent="0.3">
      <c r="A48">
        <f t="shared" si="0"/>
        <v>42</v>
      </c>
      <c r="B48" s="1" t="s">
        <v>40</v>
      </c>
      <c r="C48" s="7">
        <v>541041</v>
      </c>
      <c r="D48" s="10" t="s">
        <v>144</v>
      </c>
      <c r="E48" s="9" t="s">
        <v>144</v>
      </c>
    </row>
    <row r="49" spans="1:5" x14ac:dyDescent="0.3">
      <c r="A49">
        <f t="shared" si="0"/>
        <v>43</v>
      </c>
      <c r="B49" s="1" t="s">
        <v>41</v>
      </c>
      <c r="C49" s="7">
        <v>519965</v>
      </c>
      <c r="D49" s="7">
        <v>401578</v>
      </c>
      <c r="E49" s="9">
        <f>SUM(C49-D49)/D49</f>
        <v>0.29480449626224542</v>
      </c>
    </row>
    <row r="50" spans="1:5" x14ac:dyDescent="0.3">
      <c r="A50">
        <f t="shared" si="0"/>
        <v>44</v>
      </c>
      <c r="B50" s="1" t="s">
        <v>42</v>
      </c>
      <c r="C50" s="7">
        <v>500000</v>
      </c>
      <c r="D50" s="10" t="s">
        <v>144</v>
      </c>
      <c r="E50" s="9" t="s">
        <v>144</v>
      </c>
    </row>
    <row r="51" spans="1:5" x14ac:dyDescent="0.3">
      <c r="A51">
        <f t="shared" si="0"/>
        <v>45</v>
      </c>
      <c r="B51" s="1" t="s">
        <v>43</v>
      </c>
      <c r="C51" s="7">
        <v>492258</v>
      </c>
      <c r="D51" s="10" t="s">
        <v>144</v>
      </c>
      <c r="E51" s="9" t="s">
        <v>144</v>
      </c>
    </row>
    <row r="52" spans="1:5" x14ac:dyDescent="0.3">
      <c r="A52">
        <f t="shared" si="0"/>
        <v>46</v>
      </c>
      <c r="B52" s="1" t="s">
        <v>44</v>
      </c>
      <c r="C52" s="7">
        <v>467173</v>
      </c>
      <c r="D52" s="10" t="s">
        <v>144</v>
      </c>
      <c r="E52" s="9" t="s">
        <v>144</v>
      </c>
    </row>
    <row r="53" spans="1:5" x14ac:dyDescent="0.3">
      <c r="A53">
        <f t="shared" si="0"/>
        <v>47</v>
      </c>
      <c r="B53" s="1" t="s">
        <v>45</v>
      </c>
      <c r="C53" s="7">
        <v>444055</v>
      </c>
      <c r="D53" s="10" t="s">
        <v>144</v>
      </c>
      <c r="E53" s="9" t="s">
        <v>144</v>
      </c>
    </row>
    <row r="54" spans="1:5" x14ac:dyDescent="0.3">
      <c r="A54">
        <f t="shared" si="0"/>
        <v>48</v>
      </c>
      <c r="B54" s="1" t="s">
        <v>46</v>
      </c>
      <c r="C54" s="7">
        <v>438000</v>
      </c>
      <c r="D54" s="10" t="s">
        <v>144</v>
      </c>
      <c r="E54" s="9" t="s">
        <v>144</v>
      </c>
    </row>
    <row r="55" spans="1:5" x14ac:dyDescent="0.3">
      <c r="A55">
        <f t="shared" si="0"/>
        <v>49</v>
      </c>
      <c r="B55" s="1" t="s">
        <v>47</v>
      </c>
      <c r="C55" s="7">
        <v>435000</v>
      </c>
      <c r="D55" s="7">
        <v>1340000</v>
      </c>
      <c r="E55" s="8">
        <v>-0.67537313432835822</v>
      </c>
    </row>
    <row r="56" spans="1:5" x14ac:dyDescent="0.3">
      <c r="A56">
        <f t="shared" si="0"/>
        <v>50</v>
      </c>
      <c r="B56" s="1" t="s">
        <v>48</v>
      </c>
      <c r="C56" s="7">
        <v>434089.39</v>
      </c>
      <c r="D56" s="7">
        <v>626037</v>
      </c>
      <c r="E56" s="8">
        <v>-0.30660745291412483</v>
      </c>
    </row>
    <row r="57" spans="1:5" x14ac:dyDescent="0.3">
      <c r="A57">
        <f t="shared" si="0"/>
        <v>51</v>
      </c>
      <c r="B57" s="1" t="s">
        <v>49</v>
      </c>
      <c r="C57" s="7">
        <v>412000</v>
      </c>
      <c r="D57" s="10" t="s">
        <v>144</v>
      </c>
      <c r="E57" s="9" t="s">
        <v>144</v>
      </c>
    </row>
    <row r="58" spans="1:5" x14ac:dyDescent="0.3">
      <c r="A58">
        <f t="shared" si="0"/>
        <v>52</v>
      </c>
      <c r="B58" s="1" t="s">
        <v>50</v>
      </c>
      <c r="C58" s="7">
        <v>391886</v>
      </c>
      <c r="D58" s="7">
        <v>392625</v>
      </c>
      <c r="E58" s="9">
        <f>SUM(C58-D58)/D58</f>
        <v>-1.8822031200254696E-3</v>
      </c>
    </row>
    <row r="59" spans="1:5" x14ac:dyDescent="0.3">
      <c r="A59">
        <f t="shared" si="0"/>
        <v>53</v>
      </c>
      <c r="B59" s="1" t="s">
        <v>51</v>
      </c>
      <c r="C59" s="7">
        <v>341500</v>
      </c>
      <c r="D59" s="7">
        <v>532470</v>
      </c>
      <c r="E59" s="8">
        <v>-0.35864931357635171</v>
      </c>
    </row>
    <row r="60" spans="1:5" x14ac:dyDescent="0.3">
      <c r="A60">
        <f t="shared" si="0"/>
        <v>54</v>
      </c>
      <c r="B60" s="1" t="s">
        <v>52</v>
      </c>
      <c r="C60" s="7">
        <v>328539.63</v>
      </c>
      <c r="D60" s="7">
        <v>192250</v>
      </c>
      <c r="E60" s="8">
        <v>0.70891875162548768</v>
      </c>
    </row>
    <row r="61" spans="1:5" x14ac:dyDescent="0.3">
      <c r="A61">
        <f t="shared" si="0"/>
        <v>55</v>
      </c>
      <c r="B61" s="1" t="s">
        <v>53</v>
      </c>
      <c r="C61" s="7">
        <v>324959</v>
      </c>
      <c r="D61" s="10" t="s">
        <v>144</v>
      </c>
      <c r="E61" s="9" t="s">
        <v>144</v>
      </c>
    </row>
    <row r="62" spans="1:5" x14ac:dyDescent="0.3">
      <c r="A62">
        <f t="shared" si="0"/>
        <v>56</v>
      </c>
      <c r="B62" s="1" t="s">
        <v>54</v>
      </c>
      <c r="C62" s="7">
        <v>311700</v>
      </c>
      <c r="D62" s="7">
        <v>269500</v>
      </c>
      <c r="E62" s="8">
        <v>0.15658627087198515</v>
      </c>
    </row>
    <row r="63" spans="1:5" x14ac:dyDescent="0.3">
      <c r="A63">
        <f t="shared" si="0"/>
        <v>57</v>
      </c>
      <c r="B63" s="1" t="s">
        <v>55</v>
      </c>
      <c r="C63" s="7">
        <v>310000</v>
      </c>
      <c r="D63" s="10" t="s">
        <v>144</v>
      </c>
      <c r="E63" s="9" t="s">
        <v>144</v>
      </c>
    </row>
    <row r="64" spans="1:5" x14ac:dyDescent="0.3">
      <c r="A64">
        <f t="shared" si="0"/>
        <v>58</v>
      </c>
      <c r="B64" s="1" t="s">
        <v>56</v>
      </c>
      <c r="C64" s="7">
        <v>302572</v>
      </c>
      <c r="D64" s="10" t="s">
        <v>144</v>
      </c>
      <c r="E64" s="9" t="s">
        <v>144</v>
      </c>
    </row>
    <row r="65" spans="1:5" x14ac:dyDescent="0.3">
      <c r="A65">
        <f t="shared" si="0"/>
        <v>59</v>
      </c>
      <c r="B65" s="1" t="s">
        <v>57</v>
      </c>
      <c r="C65" s="7">
        <v>290000</v>
      </c>
      <c r="D65" s="10" t="s">
        <v>144</v>
      </c>
      <c r="E65" s="9" t="s">
        <v>144</v>
      </c>
    </row>
    <row r="66" spans="1:5" x14ac:dyDescent="0.3">
      <c r="A66">
        <f t="shared" si="0"/>
        <v>60</v>
      </c>
      <c r="B66" s="1" t="s">
        <v>58</v>
      </c>
      <c r="C66" s="7">
        <v>280250</v>
      </c>
      <c r="D66" s="7">
        <v>229165</v>
      </c>
      <c r="E66" s="8">
        <v>0.22291798485807168</v>
      </c>
    </row>
    <row r="67" spans="1:5" x14ac:dyDescent="0.3">
      <c r="A67">
        <f t="shared" si="0"/>
        <v>61</v>
      </c>
      <c r="B67" s="1" t="s">
        <v>59</v>
      </c>
      <c r="C67" s="7">
        <v>274596</v>
      </c>
      <c r="D67" s="7">
        <v>262370</v>
      </c>
      <c r="E67" s="8">
        <v>4.6598315356176395E-2</v>
      </c>
    </row>
    <row r="68" spans="1:5" x14ac:dyDescent="0.3">
      <c r="A68">
        <f t="shared" si="0"/>
        <v>62</v>
      </c>
      <c r="B68" s="1" t="s">
        <v>60</v>
      </c>
      <c r="C68" s="7">
        <v>273225</v>
      </c>
      <c r="D68" s="7">
        <v>62298</v>
      </c>
      <c r="E68" s="8">
        <v>3.3857748242319174</v>
      </c>
    </row>
    <row r="69" spans="1:5" x14ac:dyDescent="0.3">
      <c r="A69">
        <f t="shared" si="0"/>
        <v>63</v>
      </c>
      <c r="B69" s="1" t="s">
        <v>61</v>
      </c>
      <c r="C69" s="7">
        <v>269000</v>
      </c>
      <c r="D69" s="7">
        <v>701000</v>
      </c>
      <c r="E69" s="8">
        <v>-0.61626248216833091</v>
      </c>
    </row>
    <row r="70" spans="1:5" x14ac:dyDescent="0.3">
      <c r="A70">
        <f t="shared" si="0"/>
        <v>64</v>
      </c>
      <c r="B70" s="1" t="s">
        <v>62</v>
      </c>
      <c r="C70" s="7">
        <v>267379</v>
      </c>
      <c r="D70" s="7">
        <v>258151</v>
      </c>
      <c r="E70" s="8">
        <v>3.5746520447335089E-2</v>
      </c>
    </row>
    <row r="71" spans="1:5" x14ac:dyDescent="0.3">
      <c r="A71">
        <f t="shared" si="0"/>
        <v>65</v>
      </c>
      <c r="B71" s="1" t="s">
        <v>63</v>
      </c>
      <c r="C71" s="7">
        <v>263000</v>
      </c>
      <c r="D71" s="7">
        <v>270000</v>
      </c>
      <c r="E71" s="8">
        <v>-2.5925925925925925E-2</v>
      </c>
    </row>
    <row r="72" spans="1:5" x14ac:dyDescent="0.3">
      <c r="A72">
        <f t="shared" si="0"/>
        <v>66</v>
      </c>
      <c r="B72" s="1" t="s">
        <v>64</v>
      </c>
      <c r="C72" s="7">
        <v>256687</v>
      </c>
      <c r="D72" s="7">
        <v>269496</v>
      </c>
      <c r="E72" s="8">
        <v>-4.7529462403894676E-2</v>
      </c>
    </row>
    <row r="73" spans="1:5" x14ac:dyDescent="0.3">
      <c r="A73">
        <f t="shared" ref="A73:A136" si="1">A72+1</f>
        <v>67</v>
      </c>
      <c r="B73" s="1" t="s">
        <v>65</v>
      </c>
      <c r="C73" s="7">
        <v>253963</v>
      </c>
      <c r="D73" s="7">
        <v>4343</v>
      </c>
      <c r="E73" s="8">
        <f>SUM(C73-D73)/D73</f>
        <v>57.476398802670964</v>
      </c>
    </row>
    <row r="74" spans="1:5" x14ac:dyDescent="0.3">
      <c r="A74">
        <f t="shared" si="1"/>
        <v>68</v>
      </c>
      <c r="B74" s="1" t="s">
        <v>66</v>
      </c>
      <c r="C74" s="7">
        <v>241436</v>
      </c>
      <c r="D74" s="7">
        <v>41358</v>
      </c>
      <c r="E74" s="8">
        <v>4.8377097538565694</v>
      </c>
    </row>
    <row r="75" spans="1:5" x14ac:dyDescent="0.3">
      <c r="A75">
        <f t="shared" si="1"/>
        <v>69</v>
      </c>
      <c r="B75" s="1" t="s">
        <v>67</v>
      </c>
      <c r="C75" s="7">
        <v>240000</v>
      </c>
      <c r="D75" s="10" t="s">
        <v>144</v>
      </c>
      <c r="E75" s="9" t="s">
        <v>144</v>
      </c>
    </row>
    <row r="76" spans="1:5" x14ac:dyDescent="0.3">
      <c r="A76">
        <f t="shared" si="1"/>
        <v>70</v>
      </c>
      <c r="B76" s="1" t="s">
        <v>68</v>
      </c>
      <c r="C76" s="7">
        <v>239000</v>
      </c>
      <c r="D76" s="7">
        <v>1774000</v>
      </c>
      <c r="E76" s="8">
        <v>-0.86527621195039461</v>
      </c>
    </row>
    <row r="77" spans="1:5" x14ac:dyDescent="0.3">
      <c r="A77">
        <f t="shared" si="1"/>
        <v>71</v>
      </c>
      <c r="B77" s="1" t="s">
        <v>69</v>
      </c>
      <c r="C77" s="7">
        <v>237000</v>
      </c>
      <c r="D77" s="7">
        <v>410000</v>
      </c>
      <c r="E77" s="8">
        <v>-0.42195121951219511</v>
      </c>
    </row>
    <row r="78" spans="1:5" x14ac:dyDescent="0.3">
      <c r="A78">
        <f t="shared" si="1"/>
        <v>72</v>
      </c>
      <c r="B78" s="1" t="s">
        <v>70</v>
      </c>
      <c r="C78" s="7">
        <v>236801</v>
      </c>
      <c r="D78" s="7">
        <v>7445</v>
      </c>
      <c r="E78" s="8">
        <f>SUM(C78-D78)/D78</f>
        <v>30.806715916722634</v>
      </c>
    </row>
    <row r="79" spans="1:5" x14ac:dyDescent="0.3">
      <c r="A79">
        <f t="shared" si="1"/>
        <v>73</v>
      </c>
      <c r="B79" s="1" t="s">
        <v>71</v>
      </c>
      <c r="C79" s="7">
        <v>235771.05</v>
      </c>
      <c r="D79" s="7">
        <v>469672</v>
      </c>
      <c r="E79" s="8">
        <v>-0.49800914255054596</v>
      </c>
    </row>
    <row r="80" spans="1:5" x14ac:dyDescent="0.3">
      <c r="A80">
        <f t="shared" si="1"/>
        <v>74</v>
      </c>
      <c r="B80" s="1" t="s">
        <v>72</v>
      </c>
      <c r="C80" s="7">
        <v>231933</v>
      </c>
      <c r="D80" s="7">
        <v>483807</v>
      </c>
      <c r="E80" s="8">
        <v>-0.52060842443371014</v>
      </c>
    </row>
    <row r="81" spans="1:5" x14ac:dyDescent="0.3">
      <c r="A81">
        <f t="shared" si="1"/>
        <v>75</v>
      </c>
      <c r="B81" s="4" t="s">
        <v>141</v>
      </c>
      <c r="C81" s="10">
        <v>228921</v>
      </c>
      <c r="D81" s="10">
        <v>273826</v>
      </c>
      <c r="E81" s="9">
        <f>SUM(C81-D81)/D81</f>
        <v>-0.16399100158494812</v>
      </c>
    </row>
    <row r="82" spans="1:5" x14ac:dyDescent="0.3">
      <c r="A82">
        <f t="shared" si="1"/>
        <v>76</v>
      </c>
      <c r="B82" s="1" t="s">
        <v>73</v>
      </c>
      <c r="C82" s="7">
        <v>226300</v>
      </c>
      <c r="D82" s="7">
        <v>255432</v>
      </c>
      <c r="E82" s="8">
        <v>-0.11404992326724921</v>
      </c>
    </row>
    <row r="83" spans="1:5" x14ac:dyDescent="0.3">
      <c r="A83">
        <f t="shared" si="1"/>
        <v>77</v>
      </c>
      <c r="B83" s="1" t="s">
        <v>74</v>
      </c>
      <c r="C83" s="7">
        <v>219713.2</v>
      </c>
      <c r="D83" s="7">
        <v>213306.63</v>
      </c>
      <c r="E83" s="8">
        <v>3.0034556356733962E-2</v>
      </c>
    </row>
    <row r="84" spans="1:5" x14ac:dyDescent="0.3">
      <c r="A84">
        <f t="shared" si="1"/>
        <v>78</v>
      </c>
      <c r="B84" s="1" t="s">
        <v>75</v>
      </c>
      <c r="C84" s="7">
        <v>218553</v>
      </c>
      <c r="D84" s="7">
        <v>145299</v>
      </c>
      <c r="E84" s="8">
        <v>0.50416038651332773</v>
      </c>
    </row>
    <row r="85" spans="1:5" x14ac:dyDescent="0.3">
      <c r="A85">
        <f t="shared" si="1"/>
        <v>79</v>
      </c>
      <c r="B85" s="1" t="s">
        <v>76</v>
      </c>
      <c r="C85" s="7">
        <v>200000</v>
      </c>
      <c r="D85" s="7">
        <v>206292</v>
      </c>
      <c r="E85" s="8">
        <v>-3.0500455664785837E-2</v>
      </c>
    </row>
    <row r="86" spans="1:5" x14ac:dyDescent="0.3">
      <c r="A86">
        <f t="shared" si="1"/>
        <v>80</v>
      </c>
      <c r="B86" s="1" t="s">
        <v>77</v>
      </c>
      <c r="C86" s="7">
        <v>188000</v>
      </c>
      <c r="D86" s="7">
        <v>154513</v>
      </c>
      <c r="E86" s="8">
        <v>0.21672610071644458</v>
      </c>
    </row>
    <row r="87" spans="1:5" x14ac:dyDescent="0.3">
      <c r="A87">
        <f t="shared" si="1"/>
        <v>81</v>
      </c>
      <c r="B87" s="1" t="s">
        <v>78</v>
      </c>
      <c r="C87" s="7">
        <v>186900</v>
      </c>
      <c r="D87" s="7">
        <v>171333</v>
      </c>
      <c r="E87" s="8">
        <v>9.085815342053194E-2</v>
      </c>
    </row>
    <row r="88" spans="1:5" x14ac:dyDescent="0.3">
      <c r="A88">
        <f t="shared" si="1"/>
        <v>82</v>
      </c>
      <c r="B88" s="1" t="s">
        <v>79</v>
      </c>
      <c r="C88" s="7">
        <v>180280</v>
      </c>
      <c r="D88" s="7">
        <v>196000</v>
      </c>
      <c r="E88" s="8">
        <v>-8.0204081632653065E-2</v>
      </c>
    </row>
    <row r="89" spans="1:5" x14ac:dyDescent="0.3">
      <c r="A89">
        <f t="shared" si="1"/>
        <v>83</v>
      </c>
      <c r="B89" s="1" t="s">
        <v>80</v>
      </c>
      <c r="C89" s="7">
        <v>175415.67</v>
      </c>
      <c r="D89" s="7">
        <v>228039</v>
      </c>
      <c r="E89" s="8">
        <v>-0.23076460605422758</v>
      </c>
    </row>
    <row r="90" spans="1:5" x14ac:dyDescent="0.3">
      <c r="A90">
        <f t="shared" si="1"/>
        <v>84</v>
      </c>
      <c r="B90" s="1" t="s">
        <v>81</v>
      </c>
      <c r="C90" s="7">
        <v>175000</v>
      </c>
      <c r="D90" s="7">
        <v>150000</v>
      </c>
      <c r="E90" s="8">
        <v>0.16666666666666666</v>
      </c>
    </row>
    <row r="91" spans="1:5" x14ac:dyDescent="0.3">
      <c r="A91">
        <f t="shared" si="1"/>
        <v>85</v>
      </c>
      <c r="B91" s="1" t="s">
        <v>82</v>
      </c>
      <c r="C91" s="7">
        <v>169482</v>
      </c>
      <c r="D91" s="10" t="s">
        <v>144</v>
      </c>
      <c r="E91" s="9" t="s">
        <v>144</v>
      </c>
    </row>
    <row r="92" spans="1:5" x14ac:dyDescent="0.3">
      <c r="A92">
        <f t="shared" si="1"/>
        <v>86</v>
      </c>
      <c r="B92" s="1" t="s">
        <v>83</v>
      </c>
      <c r="C92" s="7">
        <v>166154</v>
      </c>
      <c r="D92" s="7">
        <v>70813</v>
      </c>
      <c r="E92" s="8">
        <v>1.3463770776552328</v>
      </c>
    </row>
    <row r="93" spans="1:5" x14ac:dyDescent="0.3">
      <c r="A93">
        <f t="shared" si="1"/>
        <v>87</v>
      </c>
      <c r="B93" s="1" t="s">
        <v>84</v>
      </c>
      <c r="C93" s="7">
        <v>160600</v>
      </c>
      <c r="D93" s="7">
        <v>39105</v>
      </c>
      <c r="E93" s="8">
        <v>3.1068917018284106</v>
      </c>
    </row>
    <row r="94" spans="1:5" x14ac:dyDescent="0.3">
      <c r="A94">
        <f t="shared" si="1"/>
        <v>88</v>
      </c>
      <c r="B94" s="1" t="s">
        <v>85</v>
      </c>
      <c r="C94" s="7">
        <v>160133</v>
      </c>
      <c r="D94" s="7">
        <v>151516</v>
      </c>
      <c r="E94" s="8">
        <v>5.6871881517463502E-2</v>
      </c>
    </row>
    <row r="95" spans="1:5" x14ac:dyDescent="0.3">
      <c r="A95">
        <f t="shared" si="1"/>
        <v>89</v>
      </c>
      <c r="B95" s="1" t="s">
        <v>86</v>
      </c>
      <c r="C95" s="7">
        <v>153325.48000000001</v>
      </c>
      <c r="D95" s="10" t="s">
        <v>144</v>
      </c>
      <c r="E95" s="9" t="s">
        <v>144</v>
      </c>
    </row>
    <row r="96" spans="1:5" x14ac:dyDescent="0.3">
      <c r="A96">
        <f t="shared" si="1"/>
        <v>90</v>
      </c>
      <c r="B96" s="1" t="s">
        <v>87</v>
      </c>
      <c r="C96" s="7">
        <v>150000</v>
      </c>
      <c r="D96" s="10" t="s">
        <v>144</v>
      </c>
      <c r="E96" s="9" t="s">
        <v>144</v>
      </c>
    </row>
    <row r="97" spans="1:5" x14ac:dyDescent="0.3">
      <c r="A97">
        <f t="shared" si="1"/>
        <v>91</v>
      </c>
      <c r="B97" s="1" t="s">
        <v>88</v>
      </c>
      <c r="C97" s="7">
        <v>147653.07</v>
      </c>
      <c r="D97" s="7">
        <v>146978.56</v>
      </c>
      <c r="E97" s="8">
        <v>4.5891727337647069E-3</v>
      </c>
    </row>
    <row r="98" spans="1:5" x14ac:dyDescent="0.3">
      <c r="A98">
        <f t="shared" si="1"/>
        <v>92</v>
      </c>
      <c r="B98" s="1" t="s">
        <v>89</v>
      </c>
      <c r="C98" s="7">
        <v>141496.03</v>
      </c>
      <c r="D98" s="7">
        <v>30965</v>
      </c>
      <c r="E98" s="8">
        <v>3.569547230744389</v>
      </c>
    </row>
    <row r="99" spans="1:5" x14ac:dyDescent="0.3">
      <c r="A99">
        <f t="shared" si="1"/>
        <v>93</v>
      </c>
      <c r="B99" s="1" t="s">
        <v>90</v>
      </c>
      <c r="C99" s="7">
        <v>135000</v>
      </c>
      <c r="D99" s="7">
        <v>162000</v>
      </c>
      <c r="E99" s="8">
        <v>-0.16666666666666666</v>
      </c>
    </row>
    <row r="100" spans="1:5" x14ac:dyDescent="0.3">
      <c r="A100">
        <f t="shared" si="1"/>
        <v>94</v>
      </c>
      <c r="B100" s="1" t="s">
        <v>91</v>
      </c>
      <c r="C100" s="7">
        <v>128166</v>
      </c>
      <c r="D100" s="7">
        <v>142869</v>
      </c>
      <c r="E100" s="8">
        <v>-0.10291245826596393</v>
      </c>
    </row>
    <row r="101" spans="1:5" x14ac:dyDescent="0.3">
      <c r="A101">
        <f t="shared" si="1"/>
        <v>95</v>
      </c>
      <c r="B101" s="1" t="s">
        <v>138</v>
      </c>
      <c r="C101" s="7">
        <v>124000</v>
      </c>
      <c r="D101" s="7">
        <v>108000</v>
      </c>
      <c r="E101" s="8">
        <v>-1</v>
      </c>
    </row>
    <row r="102" spans="1:5" x14ac:dyDescent="0.3">
      <c r="A102">
        <f t="shared" si="1"/>
        <v>96</v>
      </c>
      <c r="B102" s="1" t="s">
        <v>92</v>
      </c>
      <c r="C102" s="7">
        <v>120539</v>
      </c>
      <c r="D102" s="7">
        <v>101977</v>
      </c>
      <c r="E102" s="8">
        <v>0.18202143620620337</v>
      </c>
    </row>
    <row r="103" spans="1:5" x14ac:dyDescent="0.3">
      <c r="A103">
        <f t="shared" si="1"/>
        <v>97</v>
      </c>
      <c r="B103" s="1" t="s">
        <v>93</v>
      </c>
      <c r="C103" s="7">
        <v>117619</v>
      </c>
      <c r="D103" s="10" t="s">
        <v>144</v>
      </c>
      <c r="E103" s="9" t="s">
        <v>144</v>
      </c>
    </row>
    <row r="104" spans="1:5" x14ac:dyDescent="0.3">
      <c r="A104">
        <f t="shared" si="1"/>
        <v>98</v>
      </c>
      <c r="B104" s="1" t="s">
        <v>94</v>
      </c>
      <c r="C104" s="7">
        <v>114825.62</v>
      </c>
      <c r="D104" s="7">
        <v>121226.23</v>
      </c>
      <c r="E104" s="8">
        <v>-5.2798886841568859E-2</v>
      </c>
    </row>
    <row r="105" spans="1:5" x14ac:dyDescent="0.3">
      <c r="A105">
        <f t="shared" si="1"/>
        <v>99</v>
      </c>
      <c r="B105" s="1" t="s">
        <v>95</v>
      </c>
      <c r="C105" s="7">
        <v>104780</v>
      </c>
      <c r="D105" s="10" t="s">
        <v>144</v>
      </c>
      <c r="E105" s="9" t="s">
        <v>144</v>
      </c>
    </row>
    <row r="106" spans="1:5" x14ac:dyDescent="0.3">
      <c r="A106">
        <f t="shared" si="1"/>
        <v>100</v>
      </c>
      <c r="B106" s="1" t="s">
        <v>96</v>
      </c>
      <c r="C106" s="7">
        <v>96000</v>
      </c>
      <c r="D106" s="7">
        <v>126000</v>
      </c>
      <c r="E106" s="8">
        <v>-0.23809523809523808</v>
      </c>
    </row>
    <row r="107" spans="1:5" x14ac:dyDescent="0.3">
      <c r="A107">
        <f t="shared" si="1"/>
        <v>101</v>
      </c>
      <c r="B107" s="1" t="s">
        <v>97</v>
      </c>
      <c r="C107" s="7">
        <v>94176</v>
      </c>
      <c r="D107" s="7">
        <v>98918</v>
      </c>
      <c r="E107" s="8">
        <v>-4.7938696698275336E-2</v>
      </c>
    </row>
    <row r="108" spans="1:5" x14ac:dyDescent="0.3">
      <c r="A108">
        <f t="shared" si="1"/>
        <v>102</v>
      </c>
      <c r="B108" s="1" t="s">
        <v>98</v>
      </c>
      <c r="C108" s="7">
        <v>79473</v>
      </c>
      <c r="D108" s="10" t="s">
        <v>144</v>
      </c>
      <c r="E108" s="9" t="s">
        <v>144</v>
      </c>
    </row>
    <row r="109" spans="1:5" x14ac:dyDescent="0.3">
      <c r="A109">
        <f t="shared" si="1"/>
        <v>103</v>
      </c>
      <c r="B109" s="1" t="s">
        <v>99</v>
      </c>
      <c r="C109" s="7">
        <v>78753</v>
      </c>
      <c r="D109" s="7">
        <v>170692</v>
      </c>
      <c r="E109" s="8">
        <v>-0.5386251259578656</v>
      </c>
    </row>
    <row r="110" spans="1:5" x14ac:dyDescent="0.3">
      <c r="A110">
        <f t="shared" si="1"/>
        <v>104</v>
      </c>
      <c r="B110" s="1" t="s">
        <v>100</v>
      </c>
      <c r="C110" s="7">
        <v>77720</v>
      </c>
      <c r="D110" s="10" t="s">
        <v>144</v>
      </c>
      <c r="E110" s="9" t="s">
        <v>144</v>
      </c>
    </row>
    <row r="111" spans="1:5" x14ac:dyDescent="0.3">
      <c r="A111">
        <f t="shared" si="1"/>
        <v>105</v>
      </c>
      <c r="B111" s="1" t="s">
        <v>101</v>
      </c>
      <c r="C111" s="7">
        <v>75000</v>
      </c>
      <c r="D111" s="7">
        <v>110000</v>
      </c>
      <c r="E111" s="8">
        <v>-0.31818181818181818</v>
      </c>
    </row>
    <row r="112" spans="1:5" x14ac:dyDescent="0.3">
      <c r="A112">
        <f t="shared" si="1"/>
        <v>106</v>
      </c>
      <c r="B112" s="1" t="s">
        <v>102</v>
      </c>
      <c r="C112" s="7">
        <v>74940</v>
      </c>
      <c r="D112" s="7">
        <v>77000</v>
      </c>
      <c r="E112" s="8">
        <v>-2.6753246753246755E-2</v>
      </c>
    </row>
    <row r="113" spans="1:5" x14ac:dyDescent="0.3">
      <c r="A113">
        <f t="shared" si="1"/>
        <v>107</v>
      </c>
      <c r="B113" s="1" t="s">
        <v>103</v>
      </c>
      <c r="C113" s="7">
        <v>74406.25</v>
      </c>
      <c r="D113" s="7">
        <v>115695.75</v>
      </c>
      <c r="E113" s="8">
        <v>-0.3568800063960863</v>
      </c>
    </row>
    <row r="114" spans="1:5" x14ac:dyDescent="0.3">
      <c r="A114">
        <f t="shared" si="1"/>
        <v>108</v>
      </c>
      <c r="B114" s="1" t="s">
        <v>104</v>
      </c>
      <c r="C114" s="7">
        <v>65000</v>
      </c>
      <c r="D114" s="10" t="s">
        <v>144</v>
      </c>
      <c r="E114" s="9" t="s">
        <v>144</v>
      </c>
    </row>
    <row r="115" spans="1:5" x14ac:dyDescent="0.3">
      <c r="A115">
        <f t="shared" si="1"/>
        <v>109</v>
      </c>
      <c r="B115" s="1" t="s">
        <v>105</v>
      </c>
      <c r="C115" s="7">
        <v>62563.4</v>
      </c>
      <c r="D115" s="7">
        <v>44380</v>
      </c>
      <c r="E115" s="8">
        <v>0.40972059486255075</v>
      </c>
    </row>
    <row r="116" spans="1:5" x14ac:dyDescent="0.3">
      <c r="A116">
        <f t="shared" si="1"/>
        <v>110</v>
      </c>
      <c r="B116" s="1" t="s">
        <v>106</v>
      </c>
      <c r="C116" s="7">
        <v>60500</v>
      </c>
      <c r="D116" s="10" t="s">
        <v>144</v>
      </c>
      <c r="E116" s="9" t="s">
        <v>144</v>
      </c>
    </row>
    <row r="117" spans="1:5" x14ac:dyDescent="0.3">
      <c r="A117">
        <f t="shared" si="1"/>
        <v>111</v>
      </c>
      <c r="B117" s="1" t="s">
        <v>107</v>
      </c>
      <c r="C117" s="7">
        <v>60045</v>
      </c>
      <c r="D117" s="7">
        <v>719454</v>
      </c>
      <c r="E117" s="9">
        <f>SUM(C117-D117)/D117</f>
        <v>-0.91654087683159724</v>
      </c>
    </row>
    <row r="118" spans="1:5" x14ac:dyDescent="0.3">
      <c r="A118">
        <f t="shared" si="1"/>
        <v>112</v>
      </c>
      <c r="B118" s="1" t="s">
        <v>108</v>
      </c>
      <c r="C118" s="7">
        <v>55838</v>
      </c>
      <c r="D118" s="10" t="s">
        <v>144</v>
      </c>
      <c r="E118" s="9" t="s">
        <v>144</v>
      </c>
    </row>
    <row r="119" spans="1:5" x14ac:dyDescent="0.3">
      <c r="A119">
        <f t="shared" si="1"/>
        <v>113</v>
      </c>
      <c r="B119" s="1" t="s">
        <v>109</v>
      </c>
      <c r="C119" s="7">
        <v>55606</v>
      </c>
      <c r="D119" s="7">
        <v>55384</v>
      </c>
      <c r="E119" s="8">
        <v>4.008377870865232E-3</v>
      </c>
    </row>
    <row r="120" spans="1:5" x14ac:dyDescent="0.3">
      <c r="A120">
        <f t="shared" si="1"/>
        <v>114</v>
      </c>
      <c r="B120" s="1" t="s">
        <v>110</v>
      </c>
      <c r="C120" s="7">
        <v>50000</v>
      </c>
      <c r="D120" s="7">
        <v>50000</v>
      </c>
      <c r="E120" s="8">
        <v>0</v>
      </c>
    </row>
    <row r="121" spans="1:5" x14ac:dyDescent="0.3">
      <c r="A121">
        <f t="shared" si="1"/>
        <v>115</v>
      </c>
      <c r="B121" s="1" t="s">
        <v>111</v>
      </c>
      <c r="C121" s="7">
        <v>43728</v>
      </c>
      <c r="D121" s="7">
        <v>47240</v>
      </c>
      <c r="E121" s="8">
        <v>-7.4343776460626593E-2</v>
      </c>
    </row>
    <row r="122" spans="1:5" x14ac:dyDescent="0.3">
      <c r="A122">
        <f t="shared" si="1"/>
        <v>116</v>
      </c>
      <c r="B122" s="1" t="s">
        <v>112</v>
      </c>
      <c r="C122" s="7">
        <v>41201</v>
      </c>
      <c r="D122" s="10" t="s">
        <v>144</v>
      </c>
      <c r="E122" s="9" t="s">
        <v>144</v>
      </c>
    </row>
    <row r="123" spans="1:5" x14ac:dyDescent="0.3">
      <c r="A123">
        <f t="shared" si="1"/>
        <v>117</v>
      </c>
      <c r="B123" s="1" t="s">
        <v>113</v>
      </c>
      <c r="C123" s="7">
        <v>38155</v>
      </c>
      <c r="D123" s="7">
        <v>27393</v>
      </c>
      <c r="E123" s="8">
        <v>0.39287409192129374</v>
      </c>
    </row>
    <row r="124" spans="1:5" x14ac:dyDescent="0.3">
      <c r="A124">
        <f t="shared" si="1"/>
        <v>118</v>
      </c>
      <c r="B124" s="1" t="s">
        <v>114</v>
      </c>
      <c r="C124" s="7">
        <v>37000</v>
      </c>
      <c r="D124" s="10" t="s">
        <v>144</v>
      </c>
      <c r="E124" s="9" t="s">
        <v>144</v>
      </c>
    </row>
    <row r="125" spans="1:5" x14ac:dyDescent="0.3">
      <c r="A125">
        <f t="shared" si="1"/>
        <v>119</v>
      </c>
      <c r="B125" s="1" t="s">
        <v>115</v>
      </c>
      <c r="C125" s="7">
        <v>36500</v>
      </c>
      <c r="D125" s="7">
        <v>89500</v>
      </c>
      <c r="E125" s="8">
        <v>-0.59217877094972071</v>
      </c>
    </row>
    <row r="126" spans="1:5" x14ac:dyDescent="0.3">
      <c r="A126">
        <f t="shared" si="1"/>
        <v>120</v>
      </c>
      <c r="B126" s="1" t="s">
        <v>116</v>
      </c>
      <c r="C126" s="7">
        <v>31000</v>
      </c>
      <c r="D126" s="10" t="s">
        <v>144</v>
      </c>
      <c r="E126" s="9" t="s">
        <v>144</v>
      </c>
    </row>
    <row r="127" spans="1:5" x14ac:dyDescent="0.3">
      <c r="A127">
        <f t="shared" si="1"/>
        <v>121</v>
      </c>
      <c r="B127" s="1" t="s">
        <v>117</v>
      </c>
      <c r="C127" s="7">
        <v>30725.17</v>
      </c>
      <c r="D127" s="10" t="s">
        <v>144</v>
      </c>
      <c r="E127" s="9" t="s">
        <v>144</v>
      </c>
    </row>
    <row r="128" spans="1:5" x14ac:dyDescent="0.3">
      <c r="A128">
        <f t="shared" si="1"/>
        <v>122</v>
      </c>
      <c r="B128" s="1" t="s">
        <v>118</v>
      </c>
      <c r="C128" s="7">
        <v>30171</v>
      </c>
      <c r="D128" s="10" t="s">
        <v>144</v>
      </c>
      <c r="E128" s="9" t="s">
        <v>144</v>
      </c>
    </row>
    <row r="129" spans="1:5" x14ac:dyDescent="0.3">
      <c r="A129">
        <f t="shared" si="1"/>
        <v>123</v>
      </c>
      <c r="B129" s="1" t="s">
        <v>119</v>
      </c>
      <c r="C129" s="7">
        <v>29180</v>
      </c>
      <c r="D129" s="7">
        <v>11816</v>
      </c>
      <c r="E129" s="8">
        <v>1.4695328368314151</v>
      </c>
    </row>
    <row r="130" spans="1:5" x14ac:dyDescent="0.3">
      <c r="A130">
        <f t="shared" si="1"/>
        <v>124</v>
      </c>
      <c r="B130" s="1" t="s">
        <v>120</v>
      </c>
      <c r="C130" s="7">
        <v>26500</v>
      </c>
      <c r="D130" s="10" t="s">
        <v>144</v>
      </c>
      <c r="E130" s="9" t="s">
        <v>144</v>
      </c>
    </row>
    <row r="131" spans="1:5" x14ac:dyDescent="0.3">
      <c r="A131">
        <f t="shared" si="1"/>
        <v>125</v>
      </c>
      <c r="B131" s="1" t="s">
        <v>121</v>
      </c>
      <c r="C131" s="7">
        <v>20000</v>
      </c>
      <c r="D131" s="7">
        <v>25000</v>
      </c>
      <c r="E131" s="8">
        <v>-0.2</v>
      </c>
    </row>
    <row r="132" spans="1:5" x14ac:dyDescent="0.3">
      <c r="A132">
        <f t="shared" si="1"/>
        <v>126</v>
      </c>
      <c r="B132" s="1" t="s">
        <v>122</v>
      </c>
      <c r="C132" s="7">
        <v>17160</v>
      </c>
      <c r="D132" s="7">
        <v>20799</v>
      </c>
      <c r="E132" s="8">
        <v>-0.17496033463147267</v>
      </c>
    </row>
    <row r="133" spans="1:5" x14ac:dyDescent="0.3">
      <c r="A133">
        <f t="shared" si="1"/>
        <v>127</v>
      </c>
      <c r="B133" s="1" t="s">
        <v>123</v>
      </c>
      <c r="C133" s="7">
        <v>16950</v>
      </c>
      <c r="D133" s="7">
        <v>12040</v>
      </c>
      <c r="E133" s="8">
        <v>0.40780730897009965</v>
      </c>
    </row>
    <row r="134" spans="1:5" x14ac:dyDescent="0.3">
      <c r="A134">
        <f t="shared" si="1"/>
        <v>128</v>
      </c>
      <c r="B134" s="1" t="s">
        <v>124</v>
      </c>
      <c r="C134" s="7">
        <v>12365</v>
      </c>
      <c r="D134" s="7">
        <v>23651</v>
      </c>
      <c r="E134" s="8">
        <v>-0.47718912519555201</v>
      </c>
    </row>
    <row r="135" spans="1:5" x14ac:dyDescent="0.3">
      <c r="A135">
        <f t="shared" si="1"/>
        <v>129</v>
      </c>
      <c r="B135" s="1" t="s">
        <v>125</v>
      </c>
      <c r="C135" s="7">
        <v>12000</v>
      </c>
      <c r="D135" s="7">
        <v>15000</v>
      </c>
      <c r="E135" s="8">
        <v>-0.2</v>
      </c>
    </row>
    <row r="136" spans="1:5" x14ac:dyDescent="0.3">
      <c r="A136">
        <f t="shared" si="1"/>
        <v>130</v>
      </c>
      <c r="B136" s="1" t="s">
        <v>126</v>
      </c>
      <c r="C136" s="7">
        <v>11587</v>
      </c>
      <c r="D136" s="10" t="s">
        <v>144</v>
      </c>
      <c r="E136" s="9" t="s">
        <v>144</v>
      </c>
    </row>
    <row r="137" spans="1:5" x14ac:dyDescent="0.3">
      <c r="A137">
        <f t="shared" ref="A137:A148" si="2">A136+1</f>
        <v>131</v>
      </c>
      <c r="B137" s="1" t="s">
        <v>127</v>
      </c>
      <c r="C137" s="7">
        <v>11000</v>
      </c>
      <c r="D137" s="10" t="s">
        <v>144</v>
      </c>
      <c r="E137" s="9" t="s">
        <v>144</v>
      </c>
    </row>
    <row r="138" spans="1:5" x14ac:dyDescent="0.3">
      <c r="A138">
        <f t="shared" si="2"/>
        <v>132</v>
      </c>
      <c r="B138" s="1" t="s">
        <v>128</v>
      </c>
      <c r="C138" s="7">
        <v>10500</v>
      </c>
      <c r="D138" s="7">
        <v>88500</v>
      </c>
      <c r="E138" s="8">
        <v>-0.88135593220338981</v>
      </c>
    </row>
    <row r="139" spans="1:5" x14ac:dyDescent="0.3">
      <c r="A139">
        <f t="shared" si="2"/>
        <v>133</v>
      </c>
      <c r="B139" s="4" t="s">
        <v>142</v>
      </c>
      <c r="C139" s="10">
        <v>10000</v>
      </c>
      <c r="D139" s="11" t="s">
        <v>144</v>
      </c>
      <c r="E139" s="9" t="s">
        <v>144</v>
      </c>
    </row>
    <row r="140" spans="1:5" x14ac:dyDescent="0.3">
      <c r="A140">
        <f t="shared" si="2"/>
        <v>134</v>
      </c>
      <c r="B140" s="1" t="s">
        <v>129</v>
      </c>
      <c r="C140" s="7">
        <v>7955</v>
      </c>
      <c r="D140" s="7">
        <v>130408</v>
      </c>
      <c r="E140" s="8">
        <v>-0.93899914115698424</v>
      </c>
    </row>
    <row r="141" spans="1:5" x14ac:dyDescent="0.3">
      <c r="A141">
        <f t="shared" si="2"/>
        <v>135</v>
      </c>
      <c r="B141" s="1" t="s">
        <v>130</v>
      </c>
      <c r="C141" s="7">
        <v>5082</v>
      </c>
      <c r="D141" s="7">
        <v>12980.16</v>
      </c>
      <c r="E141" s="8">
        <v>-0.60847940241106424</v>
      </c>
    </row>
    <row r="142" spans="1:5" x14ac:dyDescent="0.3">
      <c r="A142">
        <f t="shared" si="2"/>
        <v>136</v>
      </c>
      <c r="B142" s="1" t="s">
        <v>131</v>
      </c>
      <c r="C142" s="7">
        <v>3980</v>
      </c>
      <c r="D142" s="7">
        <v>55950</v>
      </c>
      <c r="E142" s="8">
        <v>-0.92886505808757824</v>
      </c>
    </row>
    <row r="143" spans="1:5" x14ac:dyDescent="0.3">
      <c r="A143">
        <f t="shared" si="2"/>
        <v>137</v>
      </c>
      <c r="B143" s="1" t="s">
        <v>132</v>
      </c>
      <c r="C143" s="7">
        <v>3408</v>
      </c>
      <c r="D143" s="7">
        <v>95909</v>
      </c>
      <c r="E143" s="8">
        <v>-0.96446631702968444</v>
      </c>
    </row>
    <row r="144" spans="1:5" x14ac:dyDescent="0.3">
      <c r="A144">
        <f t="shared" si="2"/>
        <v>138</v>
      </c>
      <c r="B144" s="1" t="s">
        <v>133</v>
      </c>
      <c r="C144" s="7">
        <v>3000</v>
      </c>
      <c r="D144" s="7">
        <v>42400</v>
      </c>
      <c r="E144" s="8">
        <v>-0.92924528301886788</v>
      </c>
    </row>
    <row r="145" spans="1:5" x14ac:dyDescent="0.3">
      <c r="A145">
        <f t="shared" si="2"/>
        <v>139</v>
      </c>
      <c r="B145" s="1" t="s">
        <v>134</v>
      </c>
      <c r="C145" s="7">
        <v>2500</v>
      </c>
      <c r="D145" s="10" t="s">
        <v>144</v>
      </c>
      <c r="E145" s="9" t="s">
        <v>144</v>
      </c>
    </row>
    <row r="146" spans="1:5" x14ac:dyDescent="0.3">
      <c r="A146">
        <f t="shared" si="2"/>
        <v>140</v>
      </c>
      <c r="B146" s="1" t="s">
        <v>135</v>
      </c>
      <c r="C146" s="7">
        <v>2200</v>
      </c>
      <c r="D146" s="10" t="s">
        <v>144</v>
      </c>
      <c r="E146" s="9" t="s">
        <v>144</v>
      </c>
    </row>
    <row r="147" spans="1:5" x14ac:dyDescent="0.3">
      <c r="A147">
        <f t="shared" si="2"/>
        <v>141</v>
      </c>
      <c r="B147" s="1" t="s">
        <v>136</v>
      </c>
      <c r="C147" s="7">
        <v>2044</v>
      </c>
      <c r="D147" s="7">
        <v>25812.53</v>
      </c>
      <c r="E147" s="8">
        <v>-0.92081365135459403</v>
      </c>
    </row>
    <row r="148" spans="1:5" x14ac:dyDescent="0.3">
      <c r="A148">
        <f t="shared" si="2"/>
        <v>142</v>
      </c>
      <c r="B148" s="1" t="s">
        <v>137</v>
      </c>
      <c r="C148" s="7">
        <v>1822.43</v>
      </c>
      <c r="D148" s="10" t="s">
        <v>144</v>
      </c>
      <c r="E148" s="9" t="s">
        <v>144</v>
      </c>
    </row>
    <row r="149" spans="1:5" s="3" customFormat="1" x14ac:dyDescent="0.3">
      <c r="B149" s="12" t="s">
        <v>146</v>
      </c>
      <c r="C149" s="13">
        <f>SUM(C7:C148)</f>
        <v>151530021.06999996</v>
      </c>
      <c r="D149" s="13">
        <f>SUM(D7:D148)</f>
        <v>173913287.85999998</v>
      </c>
      <c r="E149" s="6">
        <f>SUM(((C149-C148-C146-C145-C139-C137-C136-C130-C128-C127-C126-C124-C122-C118-C116-C114-C110-C108-C105-C103-C96-C95-C91-C75-C65-C64-C63-C61-C57-C54-C53-C52-C51-C50-C48-C47-C46-C38-C26-C24-C16)-D149)/D149)</f>
        <v>-0.20892264942543767</v>
      </c>
    </row>
    <row r="150" spans="1:5" x14ac:dyDescent="0.3">
      <c r="B150" s="1"/>
      <c r="C150" s="7"/>
      <c r="D150" s="7"/>
      <c r="E150" s="8"/>
    </row>
    <row r="151" spans="1:5" x14ac:dyDescent="0.3">
      <c r="B151" s="1"/>
      <c r="C151" s="7"/>
      <c r="D151" s="7"/>
      <c r="E151" s="8"/>
    </row>
    <row r="152" spans="1:5" x14ac:dyDescent="0.3">
      <c r="B152" s="1"/>
      <c r="C152" s="7"/>
      <c r="D152" s="7"/>
      <c r="E152" s="8"/>
    </row>
    <row r="153" spans="1:5" x14ac:dyDescent="0.3">
      <c r="B153" s="1"/>
      <c r="C153" s="7"/>
      <c r="D153" s="7"/>
      <c r="E153" s="8"/>
    </row>
    <row r="154" spans="1:5" x14ac:dyDescent="0.3">
      <c r="C154" s="11"/>
      <c r="D154" s="11"/>
    </row>
    <row r="155" spans="1:5" x14ac:dyDescent="0.3">
      <c r="C155" s="11"/>
      <c r="D155" s="11"/>
    </row>
    <row r="156" spans="1:5" x14ac:dyDescent="0.3">
      <c r="C156" s="11"/>
      <c r="D156" s="11"/>
    </row>
    <row r="157" spans="1:5" x14ac:dyDescent="0.3">
      <c r="C157" s="11"/>
      <c r="D157" s="11"/>
    </row>
    <row r="158" spans="1:5" x14ac:dyDescent="0.3">
      <c r="C158" s="11"/>
      <c r="D158" s="11"/>
    </row>
    <row r="159" spans="1:5" x14ac:dyDescent="0.3">
      <c r="C159" s="11"/>
      <c r="D159" s="11"/>
    </row>
    <row r="160" spans="1:5" x14ac:dyDescent="0.3">
      <c r="C160" s="11"/>
      <c r="D160" s="11"/>
    </row>
    <row r="161" spans="3:4" x14ac:dyDescent="0.3">
      <c r="C161" s="11"/>
      <c r="D161" s="11"/>
    </row>
    <row r="162" spans="3:4" x14ac:dyDescent="0.3">
      <c r="C162" s="11"/>
      <c r="D162" s="11"/>
    </row>
    <row r="163" spans="3:4" x14ac:dyDescent="0.3">
      <c r="C163" s="11"/>
      <c r="D163" s="11"/>
    </row>
  </sheetData>
  <mergeCells count="4">
    <mergeCell ref="A1:C1"/>
    <mergeCell ref="A2:C2"/>
    <mergeCell ref="C4:D4"/>
    <mergeCell ref="C5:D5"/>
  </mergeCells>
  <phoneticPr fontId="0" type="noConversion"/>
  <pageMargins left="0.75" right="0.75" top="1" bottom="1" header="0.5" footer="0.5"/>
  <pageSetup orientation="portrait" horizontalDpi="4294967293" verticalDpi="0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R84FinAll</vt:lpstr>
      <vt:lpstr>R84FinAll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2002-07-17T14:28:32Z</dcterms:created>
  <dcterms:modified xsi:type="dcterms:W3CDTF">2020-01-27T11:36:21Z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1849356835</vt:i4>
  </property>
  <property fmtid="{D5CDD505-2E9C-101B-9397-08002B2CF9AE}" pid="3" name="_EmailSubject">
    <vt:lpwstr>Please add</vt:lpwstr>
  </property>
  <property fmtid="{D5CDD505-2E9C-101B-9397-08002B2CF9AE}" pid="4" name="_AuthorEmail">
    <vt:lpwstr>smdrennan@prfirms.org</vt:lpwstr>
  </property>
  <property fmtid="{D5CDD505-2E9C-101B-9397-08002B2CF9AE}" pid="5" name="_AuthorEmailDisplayName">
    <vt:lpwstr>Sarah M. Drennan</vt:lpwstr>
  </property>
  <property fmtid="{D5CDD505-2E9C-101B-9397-08002B2CF9AE}" pid="6" name="_ReviewingToolsShownOnce">
    <vt:lpwstr/>
  </property>
</Properties>
</file>