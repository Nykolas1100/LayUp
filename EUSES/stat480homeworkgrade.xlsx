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EB6B8F-4AD7-49E8-83B0-CAAD07036A81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30" i="1" s="1"/>
  <c r="H13" i="1"/>
  <c r="H32" i="1" s="1"/>
  <c r="H14" i="1"/>
  <c r="H33" i="1" s="1"/>
  <c r="H15" i="1"/>
  <c r="H34" i="1" s="1"/>
  <c r="H16" i="1"/>
  <c r="H17" i="1"/>
  <c r="H18" i="1"/>
  <c r="H19" i="1"/>
  <c r="H20" i="1"/>
  <c r="H21" i="1"/>
  <c r="H22" i="1"/>
  <c r="H23" i="1"/>
  <c r="H24" i="1"/>
  <c r="H25" i="1"/>
  <c r="H26" i="1"/>
  <c r="H27" i="1"/>
  <c r="B28" i="1"/>
  <c r="C28" i="1"/>
  <c r="D28" i="1"/>
  <c r="E28" i="1"/>
  <c r="F28" i="1"/>
  <c r="G28" i="1"/>
  <c r="H28" i="1"/>
  <c r="J28" i="1"/>
  <c r="B29" i="1"/>
  <c r="C29" i="1"/>
  <c r="D29" i="1"/>
  <c r="E29" i="1"/>
  <c r="F29" i="1"/>
  <c r="G29" i="1"/>
  <c r="J29" i="1"/>
  <c r="B30" i="1"/>
  <c r="C30" i="1"/>
  <c r="D30" i="1"/>
  <c r="E30" i="1"/>
  <c r="F30" i="1"/>
  <c r="G30" i="1"/>
  <c r="J30" i="1"/>
  <c r="B31" i="1"/>
  <c r="C31" i="1"/>
  <c r="D31" i="1"/>
  <c r="E31" i="1"/>
  <c r="F31" i="1"/>
  <c r="G31" i="1"/>
  <c r="J31" i="1"/>
  <c r="B32" i="1"/>
  <c r="C32" i="1"/>
  <c r="D32" i="1"/>
  <c r="E32" i="1"/>
  <c r="F32" i="1"/>
  <c r="G32" i="1"/>
  <c r="J32" i="1"/>
  <c r="B33" i="1"/>
  <c r="C33" i="1"/>
  <c r="D33" i="1"/>
  <c r="E33" i="1"/>
  <c r="F33" i="1"/>
  <c r="G33" i="1"/>
  <c r="J33" i="1"/>
  <c r="B34" i="1"/>
  <c r="C34" i="1"/>
  <c r="D34" i="1"/>
  <c r="E34" i="1"/>
  <c r="F34" i="1"/>
  <c r="G34" i="1"/>
  <c r="J34" i="1"/>
  <c r="H29" i="1" l="1"/>
  <c r="H31" i="1"/>
</calcChain>
</file>

<file path=xl/sharedStrings.xml><?xml version="1.0" encoding="utf-8"?>
<sst xmlns="http://schemas.openxmlformats.org/spreadsheetml/2006/main" count="68" uniqueCount="29">
  <si>
    <t>UMID</t>
  </si>
  <si>
    <t>HW1</t>
  </si>
  <si>
    <t>HW2</t>
  </si>
  <si>
    <t>HW3</t>
  </si>
  <si>
    <t>STAT480 Homework Grade, Winter 2003</t>
  </si>
  <si>
    <t>Min</t>
  </si>
  <si>
    <t>Q1</t>
  </si>
  <si>
    <t>Mean</t>
  </si>
  <si>
    <t>Median</t>
  </si>
  <si>
    <t>Q3</t>
  </si>
  <si>
    <t>Max</t>
  </si>
  <si>
    <t>Stdev</t>
  </si>
  <si>
    <t>Midterm</t>
  </si>
  <si>
    <t>Homework Grade</t>
  </si>
  <si>
    <t>For the first 3 HW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</si>
  <si>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</si>
  <si>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</si>
  <si>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</si>
  <si>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</si>
  <si>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</si>
  <si>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</si>
  <si>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</si>
  <si>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</si>
  <si>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</si>
  <si>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Grade</t>
  </si>
  <si>
    <t>First 3 HW %</t>
  </si>
  <si>
    <t>HW4</t>
  </si>
  <si>
    <t>HW5</t>
  </si>
  <si>
    <t>HW6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</si>
</sst>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3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72" fontId="0" fillId="0" borderId="1" xfId="0" applyNumberFormat="1" applyBorder="1" applyAlignment="1">
      <alignment horizontal="center" wrapText="1"/>
    </xf>
    <xf numFmtId="17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72" fontId="0" fillId="0" borderId="1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pane ySplit="4" topLeftCell="A5" activePane="bottomLeft" state="frozen"/>
      <selection pane="bottomLeft" activeCell="H15" sqref="H15"/>
    </sheetView>
  </sheetViews>
  <sheetFormatPr defaultRowHeight="12.5" x14ac:dyDescent="0.25"/>
  <cols>
    <col min="1" max="1" width="12.54296875" style="2" customWidth="1"/>
    <col min="2" max="7" width="5.81640625" style="2" customWidth="1"/>
    <col min="8" max="8" width="13.1796875" style="2" customWidth="1"/>
    <col min="9" max="9" width="18.7265625" style="2" customWidth="1"/>
    <col min="10" max="10" width="8" customWidth="1"/>
    <col min="11" max="11" width="9.1796875" style="2" customWidth="1"/>
  </cols>
  <sheetData>
    <row r="1" spans="1:11" ht="20" x14ac:dyDescent="0.4">
      <c r="A1" s="3" t="s">
        <v>4</v>
      </c>
    </row>
    <row r="2" spans="1:11" x14ac:dyDescent="0.25">
      <c r="I2"/>
      <c r="J2" s="2"/>
      <c r="K2"/>
    </row>
    <row r="3" spans="1:11" s="1" customFormat="1" ht="15.75" customHeigh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26</v>
      </c>
      <c r="F3" s="4" t="s">
        <v>27</v>
      </c>
      <c r="G3" s="4" t="s">
        <v>28</v>
      </c>
      <c r="H3" s="8" t="s">
        <v>25</v>
      </c>
      <c r="I3" s="8" t="s">
        <v>13</v>
      </c>
      <c r="J3" s="8" t="s">
        <v>12</v>
      </c>
      <c r="K3" s="8" t="s">
        <v>12</v>
      </c>
    </row>
    <row r="4" spans="1:11" s="1" customFormat="1" ht="15.75" customHeight="1" x14ac:dyDescent="0.3">
      <c r="A4" s="4" t="s">
        <v>0</v>
      </c>
      <c r="B4" s="4">
        <v>40</v>
      </c>
      <c r="C4" s="4">
        <v>56</v>
      </c>
      <c r="D4" s="4">
        <v>58</v>
      </c>
      <c r="E4" s="4">
        <v>40</v>
      </c>
      <c r="F4" s="4">
        <v>30</v>
      </c>
      <c r="G4" s="4">
        <v>30</v>
      </c>
      <c r="H4" s="8">
        <v>100</v>
      </c>
      <c r="I4" s="8" t="s">
        <v>14</v>
      </c>
      <c r="J4" s="8">
        <v>30</v>
      </c>
      <c r="K4" s="8" t="s">
        <v>24</v>
      </c>
    </row>
    <row r="5" spans="1:11" ht="15.75" customHeight="1" x14ac:dyDescent="0.25">
      <c r="A5" s="5">
        <v>3783202</v>
      </c>
      <c r="B5" s="6">
        <v>33</v>
      </c>
      <c r="C5" s="6">
        <v>47</v>
      </c>
      <c r="D5" s="6">
        <v>35</v>
      </c>
      <c r="E5" s="6">
        <v>35</v>
      </c>
      <c r="F5" s="5">
        <v>26</v>
      </c>
      <c r="G5" s="5">
        <v>28</v>
      </c>
      <c r="H5" s="9">
        <f t="shared" ref="H5:H27" si="0">SUM(B5:D5)*100/(40+56+58)</f>
        <v>74.675324675324674</v>
      </c>
      <c r="I5" s="9" t="s">
        <v>18</v>
      </c>
      <c r="J5" s="10">
        <v>18</v>
      </c>
      <c r="K5" s="11" t="s">
        <v>19</v>
      </c>
    </row>
    <row r="6" spans="1:11" ht="15.75" customHeight="1" x14ac:dyDescent="0.25">
      <c r="A6" s="5">
        <v>4119705</v>
      </c>
      <c r="B6" s="6">
        <v>23</v>
      </c>
      <c r="C6" s="6">
        <v>35</v>
      </c>
      <c r="D6" s="6">
        <v>0</v>
      </c>
      <c r="E6" s="6">
        <v>32</v>
      </c>
      <c r="F6" s="5">
        <v>15</v>
      </c>
      <c r="G6" s="5">
        <v>30</v>
      </c>
      <c r="H6" s="9">
        <f t="shared" si="0"/>
        <v>37.662337662337663</v>
      </c>
      <c r="I6" s="9" t="s">
        <v>23</v>
      </c>
      <c r="J6" s="10">
        <v>17</v>
      </c>
      <c r="K6" s="11" t="s">
        <v>20</v>
      </c>
    </row>
    <row r="7" spans="1:11" ht="15.75" customHeight="1" x14ac:dyDescent="0.25">
      <c r="A7" s="5">
        <v>23161230</v>
      </c>
      <c r="B7" s="6">
        <v>30</v>
      </c>
      <c r="C7" s="6">
        <v>50</v>
      </c>
      <c r="D7" s="6">
        <v>48</v>
      </c>
      <c r="E7" s="6">
        <v>37</v>
      </c>
      <c r="F7" s="5">
        <v>28</v>
      </c>
      <c r="G7" s="5">
        <v>29</v>
      </c>
      <c r="H7" s="9">
        <f t="shared" si="0"/>
        <v>83.116883116883116</v>
      </c>
      <c r="I7" s="9" t="s">
        <v>17</v>
      </c>
      <c r="J7" s="10">
        <v>22</v>
      </c>
      <c r="K7" s="11" t="s">
        <v>18</v>
      </c>
    </row>
    <row r="8" spans="1:11" ht="15.75" customHeight="1" x14ac:dyDescent="0.25">
      <c r="A8" s="5">
        <v>23256957</v>
      </c>
      <c r="B8" s="6">
        <v>32</v>
      </c>
      <c r="C8" s="6">
        <v>49</v>
      </c>
      <c r="D8" s="6">
        <v>32</v>
      </c>
      <c r="E8" s="6">
        <v>40</v>
      </c>
      <c r="F8" s="5">
        <v>30</v>
      </c>
      <c r="G8" s="5">
        <v>28</v>
      </c>
      <c r="H8" s="9">
        <f t="shared" si="0"/>
        <v>73.376623376623371</v>
      </c>
      <c r="I8" s="9" t="s">
        <v>18</v>
      </c>
      <c r="J8" s="10">
        <v>19</v>
      </c>
      <c r="K8" s="11" t="s">
        <v>19</v>
      </c>
    </row>
    <row r="9" spans="1:11" ht="15.75" customHeight="1" x14ac:dyDescent="0.25">
      <c r="A9" s="5">
        <v>23931081</v>
      </c>
      <c r="B9" s="6">
        <v>14</v>
      </c>
      <c r="C9" s="6">
        <v>43</v>
      </c>
      <c r="D9" s="6">
        <v>40</v>
      </c>
      <c r="E9" s="6">
        <v>38</v>
      </c>
      <c r="F9" s="5">
        <v>30</v>
      </c>
      <c r="G9" s="5">
        <v>19</v>
      </c>
      <c r="H9" s="9">
        <f t="shared" si="0"/>
        <v>62.987012987012989</v>
      </c>
      <c r="I9" s="9" t="s">
        <v>20</v>
      </c>
      <c r="J9" s="10">
        <v>21.5</v>
      </c>
      <c r="K9" s="11" t="s">
        <v>18</v>
      </c>
    </row>
    <row r="10" spans="1:11" ht="15.75" customHeight="1" x14ac:dyDescent="0.25">
      <c r="A10" s="5">
        <v>27293835</v>
      </c>
      <c r="B10" s="6">
        <v>35</v>
      </c>
      <c r="C10" s="6">
        <v>53</v>
      </c>
      <c r="D10" s="6">
        <v>52</v>
      </c>
      <c r="E10" s="6">
        <v>37</v>
      </c>
      <c r="F10" s="5">
        <v>30</v>
      </c>
      <c r="G10" s="5">
        <v>28</v>
      </c>
      <c r="H10" s="9">
        <f t="shared" si="0"/>
        <v>90.909090909090907</v>
      </c>
      <c r="I10" s="9" t="s">
        <v>16</v>
      </c>
      <c r="J10" s="10">
        <v>21.5</v>
      </c>
      <c r="K10" s="11" t="s">
        <v>18</v>
      </c>
    </row>
    <row r="11" spans="1:11" ht="15.75" customHeight="1" x14ac:dyDescent="0.25">
      <c r="A11" s="5">
        <v>32403972</v>
      </c>
      <c r="B11" s="6">
        <v>36</v>
      </c>
      <c r="C11" s="6">
        <v>44</v>
      </c>
      <c r="D11" s="6">
        <v>49</v>
      </c>
      <c r="E11" s="6">
        <v>39</v>
      </c>
      <c r="F11" s="5">
        <v>30</v>
      </c>
      <c r="G11" s="5">
        <v>28</v>
      </c>
      <c r="H11" s="9">
        <f t="shared" si="0"/>
        <v>83.766233766233768</v>
      </c>
      <c r="I11" s="9" t="s">
        <v>17</v>
      </c>
      <c r="J11" s="10">
        <v>21</v>
      </c>
      <c r="K11" s="11" t="s">
        <v>18</v>
      </c>
    </row>
    <row r="12" spans="1:11" ht="15.75" customHeight="1" x14ac:dyDescent="0.25">
      <c r="A12" s="5">
        <v>34808572</v>
      </c>
      <c r="B12" s="6">
        <v>37</v>
      </c>
      <c r="C12" s="6">
        <v>55</v>
      </c>
      <c r="D12" s="6">
        <v>57</v>
      </c>
      <c r="E12" s="6">
        <v>40</v>
      </c>
      <c r="F12" s="5">
        <v>30</v>
      </c>
      <c r="G12" s="5">
        <v>30</v>
      </c>
      <c r="H12" s="9">
        <f t="shared" si="0"/>
        <v>96.753246753246756</v>
      </c>
      <c r="I12" s="9" t="s">
        <v>15</v>
      </c>
      <c r="J12" s="10">
        <v>28</v>
      </c>
      <c r="K12" s="11" t="s">
        <v>16</v>
      </c>
    </row>
    <row r="13" spans="1:11" ht="15.75" customHeight="1" x14ac:dyDescent="0.25">
      <c r="A13" s="5">
        <v>36284304</v>
      </c>
      <c r="B13" s="6">
        <v>15</v>
      </c>
      <c r="C13" s="6">
        <v>32</v>
      </c>
      <c r="D13" s="6">
        <v>43</v>
      </c>
      <c r="E13" s="6">
        <v>0</v>
      </c>
      <c r="F13" s="5">
        <v>0</v>
      </c>
      <c r="G13" s="5">
        <v>0</v>
      </c>
      <c r="H13" s="9">
        <f t="shared" si="0"/>
        <v>58.441558441558442</v>
      </c>
      <c r="I13" s="9" t="s">
        <v>20</v>
      </c>
      <c r="J13" s="10">
        <v>20</v>
      </c>
      <c r="K13" s="11" t="s">
        <v>19</v>
      </c>
    </row>
    <row r="14" spans="1:11" ht="15.75" customHeight="1" x14ac:dyDescent="0.25">
      <c r="A14" s="5">
        <v>38996969</v>
      </c>
      <c r="B14" s="6">
        <v>37</v>
      </c>
      <c r="C14" s="6">
        <v>55</v>
      </c>
      <c r="D14" s="6">
        <v>58</v>
      </c>
      <c r="E14" s="6">
        <v>40</v>
      </c>
      <c r="F14" s="5">
        <v>30</v>
      </c>
      <c r="G14" s="5">
        <v>30</v>
      </c>
      <c r="H14" s="9">
        <f t="shared" si="0"/>
        <v>97.402597402597408</v>
      </c>
      <c r="I14" s="9" t="s">
        <v>15</v>
      </c>
      <c r="J14" s="10">
        <v>25.5</v>
      </c>
      <c r="K14" s="11" t="s">
        <v>17</v>
      </c>
    </row>
    <row r="15" spans="1:11" ht="15.75" customHeight="1" x14ac:dyDescent="0.25">
      <c r="A15" s="5">
        <v>40008557</v>
      </c>
      <c r="B15" s="6">
        <v>35</v>
      </c>
      <c r="C15" s="6">
        <v>49</v>
      </c>
      <c r="D15" s="6">
        <v>52</v>
      </c>
      <c r="E15" s="6">
        <v>37</v>
      </c>
      <c r="F15" s="5">
        <v>26</v>
      </c>
      <c r="G15" s="5">
        <v>29</v>
      </c>
      <c r="H15" s="9">
        <f t="shared" si="0"/>
        <v>88.311688311688314</v>
      </c>
      <c r="I15" s="9" t="s">
        <v>16</v>
      </c>
      <c r="J15" s="10">
        <v>13.5</v>
      </c>
      <c r="K15" s="11" t="s">
        <v>21</v>
      </c>
    </row>
    <row r="16" spans="1:11" ht="15.75" customHeight="1" x14ac:dyDescent="0.25">
      <c r="A16" s="5">
        <v>45085637</v>
      </c>
      <c r="B16" s="6">
        <v>36</v>
      </c>
      <c r="C16" s="6">
        <v>42</v>
      </c>
      <c r="D16" s="6">
        <v>48</v>
      </c>
      <c r="E16" s="6">
        <v>37</v>
      </c>
      <c r="F16" s="5">
        <v>30</v>
      </c>
      <c r="G16" s="5">
        <v>28</v>
      </c>
      <c r="H16" s="9">
        <f t="shared" si="0"/>
        <v>81.818181818181813</v>
      </c>
      <c r="I16" s="9" t="s">
        <v>17</v>
      </c>
      <c r="J16" s="10">
        <v>18</v>
      </c>
      <c r="K16" s="11" t="s">
        <v>19</v>
      </c>
    </row>
    <row r="17" spans="1:11" ht="15.75" customHeight="1" x14ac:dyDescent="0.25">
      <c r="A17" s="5">
        <v>50525331</v>
      </c>
      <c r="B17" s="6">
        <v>34</v>
      </c>
      <c r="C17" s="6">
        <v>47</v>
      </c>
      <c r="D17" s="6">
        <v>48</v>
      </c>
      <c r="E17" s="6">
        <v>40</v>
      </c>
      <c r="F17" s="5">
        <v>26</v>
      </c>
      <c r="G17" s="5">
        <v>30</v>
      </c>
      <c r="H17" s="9">
        <f t="shared" si="0"/>
        <v>83.766233766233768</v>
      </c>
      <c r="I17" s="9" t="s">
        <v>17</v>
      </c>
      <c r="J17" s="10">
        <v>22</v>
      </c>
      <c r="K17" s="11" t="s">
        <v>18</v>
      </c>
    </row>
    <row r="18" spans="1:11" ht="15.75" customHeight="1" x14ac:dyDescent="0.25">
      <c r="A18" s="5">
        <v>50760786</v>
      </c>
      <c r="B18" s="6">
        <v>34</v>
      </c>
      <c r="C18" s="6">
        <v>48</v>
      </c>
      <c r="D18" s="6">
        <v>47</v>
      </c>
      <c r="E18" s="6">
        <v>33</v>
      </c>
      <c r="F18" s="5">
        <v>21</v>
      </c>
      <c r="G18" s="5">
        <v>28</v>
      </c>
      <c r="H18" s="9">
        <f t="shared" si="0"/>
        <v>83.766233766233768</v>
      </c>
      <c r="I18" s="9" t="s">
        <v>17</v>
      </c>
      <c r="J18" s="10">
        <v>17.5</v>
      </c>
      <c r="K18" s="11" t="s">
        <v>20</v>
      </c>
    </row>
    <row r="19" spans="1:11" ht="15.75" customHeight="1" x14ac:dyDescent="0.25">
      <c r="A19" s="5">
        <v>59387213</v>
      </c>
      <c r="B19" s="6">
        <v>13</v>
      </c>
      <c r="C19" s="6">
        <v>0</v>
      </c>
      <c r="D19" s="6">
        <v>47</v>
      </c>
      <c r="E19" s="6">
        <v>35</v>
      </c>
      <c r="F19" s="5">
        <v>26</v>
      </c>
      <c r="G19" s="5">
        <v>28</v>
      </c>
      <c r="H19" s="9">
        <f t="shared" si="0"/>
        <v>38.961038961038959</v>
      </c>
      <c r="I19" s="9" t="s">
        <v>22</v>
      </c>
      <c r="J19" s="10">
        <v>22.5</v>
      </c>
      <c r="K19" s="11" t="s">
        <v>18</v>
      </c>
    </row>
    <row r="20" spans="1:11" ht="15.75" customHeight="1" x14ac:dyDescent="0.25">
      <c r="A20" s="5">
        <v>61755129</v>
      </c>
      <c r="B20" s="6">
        <v>40</v>
      </c>
      <c r="C20" s="6">
        <v>44</v>
      </c>
      <c r="D20" s="6">
        <v>51</v>
      </c>
      <c r="E20" s="6">
        <v>38</v>
      </c>
      <c r="F20" s="5">
        <v>28</v>
      </c>
      <c r="G20" s="5">
        <v>30</v>
      </c>
      <c r="H20" s="9">
        <f t="shared" si="0"/>
        <v>87.662337662337663</v>
      </c>
      <c r="I20" s="9" t="s">
        <v>16</v>
      </c>
      <c r="J20" s="10">
        <v>27.5</v>
      </c>
      <c r="K20" s="11" t="s">
        <v>16</v>
      </c>
    </row>
    <row r="21" spans="1:11" ht="15.75" customHeight="1" x14ac:dyDescent="0.25">
      <c r="A21" s="5">
        <v>63427921</v>
      </c>
      <c r="B21" s="6">
        <v>18</v>
      </c>
      <c r="C21" s="6">
        <v>50</v>
      </c>
      <c r="D21" s="6">
        <v>48</v>
      </c>
      <c r="E21" s="6">
        <v>23</v>
      </c>
      <c r="F21" s="5">
        <v>25</v>
      </c>
      <c r="G21" s="5">
        <v>20</v>
      </c>
      <c r="H21" s="9">
        <f t="shared" si="0"/>
        <v>75.324675324675326</v>
      </c>
      <c r="I21" s="9" t="s">
        <v>18</v>
      </c>
      <c r="J21" s="10">
        <v>22.5</v>
      </c>
      <c r="K21" s="11" t="s">
        <v>18</v>
      </c>
    </row>
    <row r="22" spans="1:11" ht="15.75" customHeight="1" x14ac:dyDescent="0.25">
      <c r="A22" s="5">
        <v>64378756</v>
      </c>
      <c r="B22" s="6">
        <v>24</v>
      </c>
      <c r="C22" s="6">
        <v>42</v>
      </c>
      <c r="D22" s="6">
        <v>47</v>
      </c>
      <c r="E22" s="6">
        <v>39</v>
      </c>
      <c r="F22" s="5">
        <v>25</v>
      </c>
      <c r="G22" s="5">
        <v>9</v>
      </c>
      <c r="H22" s="9">
        <f t="shared" si="0"/>
        <v>73.376623376623371</v>
      </c>
      <c r="I22" s="9" t="s">
        <v>18</v>
      </c>
      <c r="J22" s="10">
        <v>22.5</v>
      </c>
      <c r="K22" s="11" t="s">
        <v>18</v>
      </c>
    </row>
    <row r="23" spans="1:11" ht="15.75" customHeight="1" x14ac:dyDescent="0.25">
      <c r="A23" s="5">
        <v>78743805</v>
      </c>
      <c r="B23" s="6">
        <v>0</v>
      </c>
      <c r="C23" s="6">
        <v>48</v>
      </c>
      <c r="D23" s="6">
        <v>57</v>
      </c>
      <c r="E23" s="6">
        <v>34</v>
      </c>
      <c r="F23" s="5">
        <v>24</v>
      </c>
      <c r="G23" s="5">
        <v>29</v>
      </c>
      <c r="H23" s="9">
        <f t="shared" si="0"/>
        <v>68.181818181818187</v>
      </c>
      <c r="I23" s="9" t="s">
        <v>19</v>
      </c>
      <c r="J23" s="10">
        <v>28</v>
      </c>
      <c r="K23" s="11" t="s">
        <v>16</v>
      </c>
    </row>
    <row r="24" spans="1:11" ht="15.75" customHeight="1" x14ac:dyDescent="0.25">
      <c r="A24" s="5">
        <v>83140300</v>
      </c>
      <c r="B24" s="6">
        <v>6</v>
      </c>
      <c r="C24" s="6">
        <v>33</v>
      </c>
      <c r="D24" s="6">
        <v>32</v>
      </c>
      <c r="E24" s="6">
        <v>27</v>
      </c>
      <c r="F24" s="5">
        <v>15</v>
      </c>
      <c r="G24" s="5">
        <v>23</v>
      </c>
      <c r="H24" s="9">
        <f t="shared" si="0"/>
        <v>46.103896103896105</v>
      </c>
      <c r="I24" s="9" t="s">
        <v>21</v>
      </c>
      <c r="J24" s="10">
        <v>14.5</v>
      </c>
      <c r="K24" s="11" t="s">
        <v>21</v>
      </c>
    </row>
    <row r="25" spans="1:11" ht="15.75" customHeight="1" x14ac:dyDescent="0.25">
      <c r="A25" s="5">
        <v>84064615</v>
      </c>
      <c r="B25" s="6">
        <v>19</v>
      </c>
      <c r="C25" s="6">
        <v>41</v>
      </c>
      <c r="D25" s="6">
        <v>48</v>
      </c>
      <c r="E25" s="6">
        <v>29</v>
      </c>
      <c r="F25" s="5">
        <v>17</v>
      </c>
      <c r="G25" s="5">
        <v>17</v>
      </c>
      <c r="H25" s="9">
        <f>SUM(B25:D25)*100/(40+56+58)</f>
        <v>70.129870129870127</v>
      </c>
      <c r="I25" s="9" t="s">
        <v>19</v>
      </c>
      <c r="J25" s="10">
        <v>28</v>
      </c>
      <c r="K25" s="11" t="s">
        <v>16</v>
      </c>
    </row>
    <row r="26" spans="1:11" ht="15.75" customHeight="1" x14ac:dyDescent="0.25">
      <c r="A26" s="5">
        <v>88315884</v>
      </c>
      <c r="B26" s="6">
        <v>38</v>
      </c>
      <c r="C26" s="6">
        <v>49</v>
      </c>
      <c r="D26" s="6">
        <v>51</v>
      </c>
      <c r="E26" s="6">
        <v>33</v>
      </c>
      <c r="F26" s="5">
        <v>25</v>
      </c>
      <c r="G26" s="5">
        <v>30</v>
      </c>
      <c r="H26" s="9">
        <f t="shared" si="0"/>
        <v>89.610389610389603</v>
      </c>
      <c r="I26" s="9" t="s">
        <v>16</v>
      </c>
      <c r="J26" s="10">
        <v>13.5</v>
      </c>
      <c r="K26" s="11" t="s">
        <v>21</v>
      </c>
    </row>
    <row r="27" spans="1:11" ht="15.75" customHeight="1" x14ac:dyDescent="0.25">
      <c r="A27" s="5">
        <v>88614504</v>
      </c>
      <c r="B27" s="6">
        <v>36</v>
      </c>
      <c r="C27" s="6">
        <v>50</v>
      </c>
      <c r="D27" s="6">
        <v>43</v>
      </c>
      <c r="E27" s="6">
        <v>40</v>
      </c>
      <c r="F27" s="5">
        <v>30</v>
      </c>
      <c r="G27" s="5">
        <v>28</v>
      </c>
      <c r="H27" s="9">
        <f t="shared" si="0"/>
        <v>83.766233766233768</v>
      </c>
      <c r="I27" s="9" t="s">
        <v>17</v>
      </c>
      <c r="J27" s="10">
        <v>16.5</v>
      </c>
      <c r="K27" s="11" t="s">
        <v>20</v>
      </c>
    </row>
    <row r="28" spans="1:11" ht="15.75" customHeight="1" x14ac:dyDescent="0.25">
      <c r="A28" s="2" t="s">
        <v>5</v>
      </c>
      <c r="B28" s="7">
        <f t="shared" ref="B28:H28" si="1">QUARTILE(B5:B27,0)</f>
        <v>0</v>
      </c>
      <c r="C28" s="7">
        <f t="shared" si="1"/>
        <v>0</v>
      </c>
      <c r="D28" s="7">
        <f t="shared" si="1"/>
        <v>0</v>
      </c>
      <c r="E28" s="7">
        <f t="shared" si="1"/>
        <v>0</v>
      </c>
      <c r="F28" s="7">
        <f t="shared" si="1"/>
        <v>0</v>
      </c>
      <c r="G28" s="7">
        <f t="shared" si="1"/>
        <v>0</v>
      </c>
      <c r="H28" s="7">
        <f t="shared" si="1"/>
        <v>37.662337662337663</v>
      </c>
      <c r="I28" s="7"/>
      <c r="J28" s="7">
        <f>QUARTILE(J5:J27,0)</f>
        <v>13.5</v>
      </c>
    </row>
    <row r="29" spans="1:11" ht="15.75" customHeight="1" x14ac:dyDescent="0.25">
      <c r="A29" s="2" t="s">
        <v>6</v>
      </c>
      <c r="B29" s="7">
        <f t="shared" ref="B29:H29" si="2">QUARTILE(B5:B27,1)</f>
        <v>18.5</v>
      </c>
      <c r="C29" s="7">
        <f t="shared" si="2"/>
        <v>42</v>
      </c>
      <c r="D29" s="7">
        <f t="shared" si="2"/>
        <v>43</v>
      </c>
      <c r="E29" s="7">
        <f t="shared" si="2"/>
        <v>33</v>
      </c>
      <c r="F29" s="7">
        <f t="shared" si="2"/>
        <v>24.5</v>
      </c>
      <c r="G29" s="7">
        <f>QUARTILE(G5:G27,1)</f>
        <v>25.5</v>
      </c>
      <c r="H29" s="7">
        <f t="shared" si="2"/>
        <v>69.155844155844164</v>
      </c>
      <c r="I29" s="7"/>
      <c r="J29" s="7">
        <f>QUARTILE(J5:J27,1)</f>
        <v>17.75</v>
      </c>
    </row>
    <row r="30" spans="1:11" ht="15.75" customHeight="1" x14ac:dyDescent="0.25">
      <c r="A30" s="2" t="s">
        <v>8</v>
      </c>
      <c r="B30" s="7">
        <f t="shared" ref="B30:H30" si="3">QUARTILE(B5:B27,2)</f>
        <v>33</v>
      </c>
      <c r="C30" s="7">
        <f t="shared" si="3"/>
        <v>47</v>
      </c>
      <c r="D30" s="7">
        <f t="shared" si="3"/>
        <v>48</v>
      </c>
      <c r="E30" s="7">
        <f t="shared" si="3"/>
        <v>37</v>
      </c>
      <c r="F30" s="7">
        <f t="shared" si="3"/>
        <v>26</v>
      </c>
      <c r="G30" s="7">
        <f>QUARTILE(G5:G27,2)</f>
        <v>28</v>
      </c>
      <c r="H30" s="7">
        <f t="shared" si="3"/>
        <v>81.818181818181813</v>
      </c>
      <c r="I30" s="7"/>
      <c r="J30" s="7">
        <f>QUARTILE(J5:J27,2)</f>
        <v>21.5</v>
      </c>
    </row>
    <row r="31" spans="1:11" ht="15.75" customHeight="1" x14ac:dyDescent="0.25">
      <c r="A31" s="2" t="s">
        <v>9</v>
      </c>
      <c r="B31" s="7">
        <f t="shared" ref="B31:H31" si="4">QUARTILE(B5:B27,3)</f>
        <v>36</v>
      </c>
      <c r="C31" s="7">
        <f t="shared" si="4"/>
        <v>49.5</v>
      </c>
      <c r="D31" s="7">
        <f t="shared" si="4"/>
        <v>51</v>
      </c>
      <c r="E31" s="7">
        <f t="shared" si="4"/>
        <v>39</v>
      </c>
      <c r="F31" s="7">
        <f t="shared" si="4"/>
        <v>30</v>
      </c>
      <c r="G31" s="7">
        <f>QUARTILE(G5:G27,3)</f>
        <v>29.5</v>
      </c>
      <c r="H31" s="7">
        <f t="shared" si="4"/>
        <v>85.714285714285722</v>
      </c>
      <c r="I31" s="7"/>
      <c r="J31" s="7">
        <f>QUARTILE(J5:J27,3)</f>
        <v>22.5</v>
      </c>
    </row>
    <row r="32" spans="1:11" ht="15.75" customHeight="1" x14ac:dyDescent="0.25">
      <c r="A32" s="2" t="s">
        <v>10</v>
      </c>
      <c r="B32" s="7">
        <f t="shared" ref="B32:H32" si="5">QUARTILE(B5:B27,4)</f>
        <v>40</v>
      </c>
      <c r="C32" s="7">
        <f t="shared" si="5"/>
        <v>55</v>
      </c>
      <c r="D32" s="7">
        <f t="shared" si="5"/>
        <v>58</v>
      </c>
      <c r="E32" s="7">
        <f t="shared" si="5"/>
        <v>40</v>
      </c>
      <c r="F32" s="7">
        <f t="shared" si="5"/>
        <v>30</v>
      </c>
      <c r="G32" s="7">
        <f>QUARTILE(G5:G27,4)</f>
        <v>30</v>
      </c>
      <c r="H32" s="7">
        <f t="shared" si="5"/>
        <v>97.402597402597408</v>
      </c>
      <c r="I32" s="7"/>
      <c r="J32" s="7">
        <f>QUARTILE(J5:J27,4)</f>
        <v>28</v>
      </c>
    </row>
    <row r="33" spans="1:10" ht="15.75" customHeight="1" x14ac:dyDescent="0.25">
      <c r="A33" s="2" t="s">
        <v>7</v>
      </c>
      <c r="B33" s="7">
        <f t="shared" ref="B33:H33" si="6">AVERAGE(B5:B27)</f>
        <v>27.173913043478262</v>
      </c>
      <c r="C33" s="7">
        <f t="shared" si="6"/>
        <v>43.739130434782609</v>
      </c>
      <c r="D33" s="7">
        <f t="shared" si="6"/>
        <v>44.913043478260867</v>
      </c>
      <c r="E33" s="7">
        <f t="shared" si="6"/>
        <v>34.043478260869563</v>
      </c>
      <c r="F33" s="7">
        <f t="shared" si="6"/>
        <v>24.652173913043477</v>
      </c>
      <c r="G33" s="7">
        <f>AVERAGE(G5:G27)</f>
        <v>25.173913043478262</v>
      </c>
      <c r="H33" s="7">
        <f t="shared" si="6"/>
        <v>75.211744776962163</v>
      </c>
      <c r="I33" s="7"/>
      <c r="J33" s="7">
        <f>AVERAGE(J5:J27)</f>
        <v>20.869565217391305</v>
      </c>
    </row>
    <row r="34" spans="1:10" ht="15.75" customHeight="1" x14ac:dyDescent="0.25">
      <c r="A34" s="2" t="s">
        <v>11</v>
      </c>
      <c r="B34" s="7">
        <f t="shared" ref="B34:H34" si="7">STDEV(B5:B27)</f>
        <v>11.436195226771105</v>
      </c>
      <c r="C34" s="7">
        <f t="shared" si="7"/>
        <v>11.390655625253647</v>
      </c>
      <c r="D34" s="7">
        <f t="shared" si="7"/>
        <v>12.052585703258337</v>
      </c>
      <c r="E34" s="7">
        <f t="shared" si="7"/>
        <v>8.6784909709924172</v>
      </c>
      <c r="F34" s="7">
        <f t="shared" si="7"/>
        <v>7.1516603008873787</v>
      </c>
      <c r="G34" s="7">
        <f>STDEV(G5:G27)</f>
        <v>7.6256276875060234</v>
      </c>
      <c r="H34" s="7">
        <f t="shared" si="7"/>
        <v>16.814468752133326</v>
      </c>
      <c r="I34" s="7"/>
      <c r="J34" s="7">
        <f>STDEV(J5:J27)</f>
        <v>4.4954962090972685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</dc:creator>
  <cp:lastModifiedBy>Carina Negreanu</cp:lastModifiedBy>
  <cp:lastPrinted>2003-03-14T03:24:51Z</cp:lastPrinted>
  <dcterms:created xsi:type="dcterms:W3CDTF">2003-03-09T14:37:34Z</dcterms:created>
  <dcterms:modified xsi:type="dcterms:W3CDTF">2020-01-27T12:42:17Z</dcterms:modified>
</cp:coreProperties>
</file>