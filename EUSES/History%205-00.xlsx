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ialogsheets/sheet1.xml" ContentType="application/vnd.openxmlformats-officedocument.spreadsheetml.dialogsheet+xml"/>
  <Override PartName="/xl/dialogsheets/sheet2.xml" ContentType="application/vnd.openxmlformats-officedocument.spreadsheetml.dialog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drawings/drawing4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drawings/drawing5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6.xml" ContentType="application/vnd.openxmlformats-officedocument.drawing+xml"/>
  <Override PartName="/xl/ctrlProps/ctrlProp13.xml" ContentType="application/vnd.ms-excel.controlproperties+xml"/>
  <Override PartName="/xl/drawings/drawing7.xml" ContentType="application/vnd.openxmlformats-officedocument.drawing+xml"/>
  <Override PartName="/xl/ctrlProps/ctrlProp14.xml" ContentType="application/vnd.ms-excel.controlproperties+xml"/>
  <Override PartName="/xl/drawings/drawing8.xml" ContentType="application/vnd.openxmlformats-officedocument.drawing+xml"/>
  <Override PartName="/xl/ctrlProps/ctrlProp15.xml" ContentType="application/vnd.ms-excel.controlproperties+xml"/>
  <Override PartName="/xl/drawings/drawing9.xml" ContentType="application/vnd.openxmlformats-officedocument.drawing+xml"/>
  <Override PartName="/xl/ctrlProps/ctrlProp1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saveExternalLinkValues="0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37A0A54-DF5D-4DE0-B538-1A5F1FF95BA2}" xr6:coauthVersionLast="45" xr6:coauthVersionMax="45" xr10:uidLastSave="{00000000-0000-0000-0000-000000000000}"/>
  <bookViews>
    <workbookView showSheetTabs="0" xWindow="3420" yWindow="3420" windowWidth="28800" windowHeight="15460" firstSheet="1" activeTab="6"/>
  </bookViews>
  <sheets>
    <sheet name="Instructions" sheetId="1" r:id="rId1"/>
    <sheet name="Definitions" sheetId="2" r:id="rId2"/>
    <sheet name="MainMenu" sheetId="3" r:id="rId3"/>
    <sheet name="DData" sheetId="4" r:id="rId4"/>
    <sheet name="HistoryDialog" sheetId="5" r:id="rId5"/>
    <sheet name="TableViewer" sheetId="6" r:id="rId6"/>
    <sheet name="BalanceSheets" sheetId="7" r:id="rId7"/>
    <sheet name="Income" sheetId="8" r:id="rId8"/>
    <sheet name="BalChg" sheetId="9" r:id="rId9"/>
    <sheet name="CommBal" sheetId="10" r:id="rId10"/>
    <sheet name="CommInc" sheetId="11" r:id="rId11"/>
    <sheet name="Ratio" sheetId="12" r:id="rId12"/>
  </sheets>
  <definedNames>
    <definedName name="ClearAll" localSheetId="8">BalChg!ClearAll</definedName>
    <definedName name="ClearAll" localSheetId="9">CommBal!ClearAll</definedName>
    <definedName name="ClearAll" localSheetId="10">CommInc!ClearAll</definedName>
    <definedName name="ClearAll" localSheetId="1">Definitions!ClearAll</definedName>
    <definedName name="ClearAll">[0]!ClearAll</definedName>
    <definedName name="DialogFrame1_Show" localSheetId="8">BalChg!DialogFrame1_Show</definedName>
    <definedName name="DialogFrame1_Show" localSheetId="9">CommBal!DialogFrame1_Show</definedName>
    <definedName name="DialogFrame1_Show" localSheetId="10">CommInc!DialogFrame1_Show</definedName>
    <definedName name="DialogFrame1_Show" localSheetId="1">Definitions!DialogFrame1_Show</definedName>
    <definedName name="DialogFrame1_Show">[0]!DialogFrame1_Show</definedName>
    <definedName name="DialogFrame2_Show" localSheetId="8">BalChg!DialogFrame2_Show</definedName>
    <definedName name="DialogFrame2_Show" localSheetId="9">CommBal!DialogFrame2_Show</definedName>
    <definedName name="DialogFrame2_Show" localSheetId="10">CommInc!DialogFrame2_Show</definedName>
    <definedName name="DialogFrame2_Show" localSheetId="1">Definitions!DialogFrame2_Show</definedName>
    <definedName name="DialogFrame2_Show">[0]!DialogFrame2_Show</definedName>
    <definedName name="GoAssumptions">[0]!GoAssumptions</definedName>
    <definedName name="GoBalance" localSheetId="8">BalChg!GoBalance</definedName>
    <definedName name="GoBalance" localSheetId="9">CommBal!GoBalance</definedName>
    <definedName name="GoBalance" localSheetId="10">CommInc!GoBalance</definedName>
    <definedName name="GoBalance" localSheetId="1">Definitions!GoBalance</definedName>
    <definedName name="GoBalance">[0]!GoBalance</definedName>
    <definedName name="GoInstructions" localSheetId="8">BalChg!GoInstructions</definedName>
    <definedName name="GoInstructions" localSheetId="9">CommBal!GoInstructions</definedName>
    <definedName name="GoInstructions" localSheetId="10">CommInc!GoInstructions</definedName>
    <definedName name="GoInstructions" localSheetId="1">Definitions!GoInstructions</definedName>
    <definedName name="GoInstructions">[0]!GoInstructions</definedName>
    <definedName name="GoMainMenu" localSheetId="8">BalChg!GoMainMenu</definedName>
    <definedName name="GoMainMenu" localSheetId="9">CommBal!GoMainMenu</definedName>
    <definedName name="GoMainMenu" localSheetId="10">CommInc!GoMainMenu</definedName>
    <definedName name="GoMainMenu" localSheetId="1">Definitions!GoMainMenu</definedName>
    <definedName name="GoMainMenu">[0]!GoMainMenu</definedName>
    <definedName name="Initialize">[0]!Initialize</definedName>
    <definedName name="InitialViewer">[0]!InitialViewer</definedName>
    <definedName name="_xlnm.Print_Area" localSheetId="6">BalanceSheets!$A$1:$F$48</definedName>
    <definedName name="_xlnm.Print_Area" localSheetId="8">BalChg!$A$1:$G$48</definedName>
    <definedName name="_xlnm.Print_Area" localSheetId="9">CommBal!$A$1:$F$48</definedName>
    <definedName name="_xlnm.Print_Area" localSheetId="10">CommInc!$A$1:$F$36</definedName>
    <definedName name="_xlnm.Print_Area" localSheetId="7">Income!$A$1:$F$36</definedName>
    <definedName name="_xlnm.Print_Area" localSheetId="11">Ratio!$A$1:$F$44</definedName>
    <definedName name="ViewA" localSheetId="8">BalChg!ViewA</definedName>
    <definedName name="ViewA" localSheetId="9">CommBal!ViewA</definedName>
    <definedName name="ViewA" localSheetId="10">CommInc!ViewA</definedName>
    <definedName name="ViewA" localSheetId="1">Definitions!ViewA</definedName>
    <definedName name="ViewA">[0]!ViewA</definedName>
    <definedName name="ViewB" localSheetId="8">BalChg!ViewB</definedName>
    <definedName name="ViewB" localSheetId="9">CommBal!ViewB</definedName>
    <definedName name="ViewB" localSheetId="10">CommInc!ViewB</definedName>
    <definedName name="ViewB" localSheetId="1">Definitions!ViewB</definedName>
    <definedName name="ViewB">[0]!ViewB</definedName>
    <definedName name="ViewC" localSheetId="8">BalChg!ViewC</definedName>
    <definedName name="ViewC" localSheetId="9">CommBal!ViewC</definedName>
    <definedName name="ViewC" localSheetId="10">CommInc!ViewC</definedName>
    <definedName name="ViewC" localSheetId="1">Definitions!ViewC</definedName>
    <definedName name="ViewC">[0]!ViewC</definedName>
    <definedName name="ViewD" localSheetId="8">BalChg!ViewD</definedName>
    <definedName name="ViewD" localSheetId="9">CommBal!ViewD</definedName>
    <definedName name="ViewD" localSheetId="10">CommInc!ViewD</definedName>
    <definedName name="ViewD" localSheetId="1">Definitions!ViewD</definedName>
    <definedName name="ViewD">[0]!ViewD</definedName>
    <definedName name="WarnYearOne">[0]!WarnYearOne</definedName>
  </definedNames>
  <calcPr calcId="0"/>
</workbook>
</file>

<file path=xl/calcChain.xml><?xml version="1.0" encoding="utf-8"?>
<calcChain xmlns="http://schemas.openxmlformats.org/spreadsheetml/2006/main">
  <c r="J2" i="7" l="1"/>
  <c r="J3" i="7"/>
  <c r="J4" i="7"/>
  <c r="J5" i="7"/>
  <c r="B16" i="7"/>
  <c r="C16" i="7"/>
  <c r="D16" i="7"/>
  <c r="E16" i="7"/>
  <c r="F16" i="7"/>
  <c r="B22" i="7"/>
  <c r="C22" i="7"/>
  <c r="D22" i="7"/>
  <c r="E22" i="7"/>
  <c r="F22" i="7"/>
  <c r="B32" i="7"/>
  <c r="C32" i="7"/>
  <c r="D32" i="7"/>
  <c r="E32" i="7"/>
  <c r="F32" i="7"/>
  <c r="B40" i="7"/>
  <c r="C40" i="7"/>
  <c r="D40" i="7"/>
  <c r="E40" i="7"/>
  <c r="F40" i="7"/>
  <c r="B44" i="7"/>
  <c r="C44" i="7"/>
  <c r="D44" i="7"/>
  <c r="E44" i="7"/>
  <c r="F44" i="7"/>
  <c r="B46" i="7"/>
  <c r="C46" i="7"/>
  <c r="D46" i="7"/>
  <c r="E46" i="7"/>
  <c r="F46" i="7"/>
  <c r="K2" i="9"/>
  <c r="K3" i="9"/>
  <c r="K4" i="9"/>
  <c r="K5" i="9"/>
  <c r="C10" i="9"/>
  <c r="D10" i="9"/>
  <c r="E10" i="9"/>
  <c r="F10" i="9"/>
  <c r="C11" i="9"/>
  <c r="D11" i="9"/>
  <c r="E11" i="9"/>
  <c r="F11" i="9"/>
  <c r="C12" i="9"/>
  <c r="D12" i="9"/>
  <c r="E12" i="9"/>
  <c r="F12" i="9"/>
  <c r="C13" i="9"/>
  <c r="D13" i="9"/>
  <c r="E13" i="9"/>
  <c r="F13" i="9"/>
  <c r="C14" i="9"/>
  <c r="D14" i="9"/>
  <c r="E14" i="9"/>
  <c r="F14" i="9"/>
  <c r="C16" i="9"/>
  <c r="D16" i="9"/>
  <c r="E16" i="9"/>
  <c r="F16" i="9"/>
  <c r="C18" i="9"/>
  <c r="D18" i="9"/>
  <c r="E18" i="9"/>
  <c r="F18" i="9"/>
  <c r="C19" i="9"/>
  <c r="D19" i="9"/>
  <c r="E19" i="9"/>
  <c r="F19" i="9"/>
  <c r="C20" i="9"/>
  <c r="D20" i="9"/>
  <c r="E20" i="9"/>
  <c r="F20" i="9"/>
  <c r="C22" i="9"/>
  <c r="D22" i="9"/>
  <c r="E22" i="9"/>
  <c r="F22" i="9"/>
  <c r="C25" i="9"/>
  <c r="D25" i="9"/>
  <c r="E25" i="9"/>
  <c r="F25" i="9"/>
  <c r="C26" i="9"/>
  <c r="D26" i="9"/>
  <c r="E26" i="9"/>
  <c r="F26" i="9"/>
  <c r="C27" i="9"/>
  <c r="D27" i="9"/>
  <c r="E27" i="9"/>
  <c r="F27" i="9"/>
  <c r="C28" i="9"/>
  <c r="D28" i="9"/>
  <c r="E28" i="9"/>
  <c r="F28" i="9"/>
  <c r="C29" i="9"/>
  <c r="D29" i="9"/>
  <c r="E29" i="9"/>
  <c r="F29" i="9"/>
  <c r="C30" i="9"/>
  <c r="D30" i="9"/>
  <c r="E30" i="9"/>
  <c r="F30" i="9"/>
  <c r="C32" i="9"/>
  <c r="D32" i="9"/>
  <c r="E32" i="9"/>
  <c r="F32" i="9"/>
  <c r="C34" i="9"/>
  <c r="D34" i="9"/>
  <c r="E34" i="9"/>
  <c r="F34" i="9"/>
  <c r="C35" i="9"/>
  <c r="D35" i="9"/>
  <c r="E35" i="9"/>
  <c r="F35" i="9"/>
  <c r="C36" i="9"/>
  <c r="D36" i="9"/>
  <c r="E36" i="9"/>
  <c r="F36" i="9"/>
  <c r="C37" i="9"/>
  <c r="D37" i="9"/>
  <c r="E37" i="9"/>
  <c r="F37" i="9"/>
  <c r="C38" i="9"/>
  <c r="D38" i="9"/>
  <c r="E38" i="9"/>
  <c r="F38" i="9"/>
  <c r="C40" i="9"/>
  <c r="D40" i="9"/>
  <c r="E40" i="9"/>
  <c r="F40" i="9"/>
  <c r="C42" i="9"/>
  <c r="D42" i="9"/>
  <c r="E42" i="9"/>
  <c r="F42" i="9"/>
  <c r="C43" i="9"/>
  <c r="D43" i="9"/>
  <c r="E43" i="9"/>
  <c r="F43" i="9"/>
  <c r="C44" i="9"/>
  <c r="D44" i="9"/>
  <c r="E44" i="9"/>
  <c r="F44" i="9"/>
  <c r="C46" i="9"/>
  <c r="D46" i="9"/>
  <c r="E46" i="9"/>
  <c r="F46" i="9"/>
  <c r="J2" i="10"/>
  <c r="J3" i="10"/>
  <c r="J4" i="10"/>
  <c r="J5" i="10"/>
  <c r="B10" i="10"/>
  <c r="C10" i="10"/>
  <c r="D10" i="10"/>
  <c r="E10" i="10"/>
  <c r="F10" i="10"/>
  <c r="B11" i="10"/>
  <c r="C11" i="10"/>
  <c r="D11" i="10"/>
  <c r="E11" i="10"/>
  <c r="F11" i="10"/>
  <c r="B12" i="10"/>
  <c r="C12" i="10"/>
  <c r="D12" i="10"/>
  <c r="E12" i="10"/>
  <c r="F12" i="10"/>
  <c r="B13" i="10"/>
  <c r="C13" i="10"/>
  <c r="D13" i="10"/>
  <c r="E13" i="10"/>
  <c r="F13" i="10"/>
  <c r="B14" i="10"/>
  <c r="C14" i="10"/>
  <c r="D14" i="10"/>
  <c r="E14" i="10"/>
  <c r="F14" i="10"/>
  <c r="B16" i="10"/>
  <c r="C16" i="10"/>
  <c r="D16" i="10"/>
  <c r="E16" i="10"/>
  <c r="F16" i="10"/>
  <c r="B18" i="10"/>
  <c r="C18" i="10"/>
  <c r="D18" i="10"/>
  <c r="E18" i="10"/>
  <c r="F18" i="10"/>
  <c r="B19" i="10"/>
  <c r="C19" i="10"/>
  <c r="D19" i="10"/>
  <c r="E19" i="10"/>
  <c r="F19" i="10"/>
  <c r="B20" i="10"/>
  <c r="C20" i="10"/>
  <c r="D20" i="10"/>
  <c r="E20" i="10"/>
  <c r="F20" i="10"/>
  <c r="B22" i="10"/>
  <c r="C22" i="10"/>
  <c r="D22" i="10"/>
  <c r="E22" i="10"/>
  <c r="F22" i="10"/>
  <c r="B25" i="10"/>
  <c r="C25" i="10"/>
  <c r="D25" i="10"/>
  <c r="E25" i="10"/>
  <c r="F25" i="10"/>
  <c r="B26" i="10"/>
  <c r="C26" i="10"/>
  <c r="D26" i="10"/>
  <c r="E26" i="10"/>
  <c r="F26" i="10"/>
  <c r="B27" i="10"/>
  <c r="C27" i="10"/>
  <c r="D27" i="10"/>
  <c r="E27" i="10"/>
  <c r="F27" i="10"/>
  <c r="B28" i="10"/>
  <c r="C28" i="10"/>
  <c r="D28" i="10"/>
  <c r="E28" i="10"/>
  <c r="F28" i="10"/>
  <c r="B29" i="10"/>
  <c r="C29" i="10"/>
  <c r="D29" i="10"/>
  <c r="E29" i="10"/>
  <c r="F29" i="10"/>
  <c r="B30" i="10"/>
  <c r="C30" i="10"/>
  <c r="D30" i="10"/>
  <c r="E30" i="10"/>
  <c r="F30" i="10"/>
  <c r="B32" i="10"/>
  <c r="C32" i="10"/>
  <c r="D32" i="10"/>
  <c r="E32" i="10"/>
  <c r="F32" i="10"/>
  <c r="B34" i="10"/>
  <c r="C34" i="10"/>
  <c r="D34" i="10"/>
  <c r="E34" i="10"/>
  <c r="F34" i="10"/>
  <c r="B35" i="10"/>
  <c r="C35" i="10"/>
  <c r="D35" i="10"/>
  <c r="E35" i="10"/>
  <c r="F35" i="10"/>
  <c r="B36" i="10"/>
  <c r="C36" i="10"/>
  <c r="D36" i="10"/>
  <c r="E36" i="10"/>
  <c r="F36" i="10"/>
  <c r="B37" i="10"/>
  <c r="C37" i="10"/>
  <c r="D37" i="10"/>
  <c r="E37" i="10"/>
  <c r="F37" i="10"/>
  <c r="B38" i="10"/>
  <c r="C38" i="10"/>
  <c r="D38" i="10"/>
  <c r="E38" i="10"/>
  <c r="F38" i="10"/>
  <c r="B40" i="10"/>
  <c r="C40" i="10"/>
  <c r="D40" i="10"/>
  <c r="E40" i="10"/>
  <c r="F40" i="10"/>
  <c r="B42" i="10"/>
  <c r="C42" i="10"/>
  <c r="D42" i="10"/>
  <c r="E42" i="10"/>
  <c r="F42" i="10"/>
  <c r="B43" i="10"/>
  <c r="C43" i="10"/>
  <c r="D43" i="10"/>
  <c r="E43" i="10"/>
  <c r="F43" i="10"/>
  <c r="B44" i="10"/>
  <c r="C44" i="10"/>
  <c r="D44" i="10"/>
  <c r="E44" i="10"/>
  <c r="F44" i="10"/>
  <c r="B46" i="10"/>
  <c r="C46" i="10"/>
  <c r="D46" i="10"/>
  <c r="E46" i="10"/>
  <c r="F46" i="10"/>
  <c r="J2" i="11"/>
  <c r="J3" i="11"/>
  <c r="J4" i="11"/>
  <c r="J5" i="11"/>
  <c r="B10" i="11"/>
  <c r="C10" i="11"/>
  <c r="D10" i="11"/>
  <c r="E10" i="11"/>
  <c r="F10" i="11"/>
  <c r="B11" i="11"/>
  <c r="C11" i="11"/>
  <c r="D11" i="11"/>
  <c r="E11" i="11"/>
  <c r="F11" i="11"/>
  <c r="B13" i="11"/>
  <c r="C13" i="11"/>
  <c r="D13" i="11"/>
  <c r="E13" i="11"/>
  <c r="F13" i="11"/>
  <c r="B15" i="11"/>
  <c r="C15" i="11"/>
  <c r="D15" i="11"/>
  <c r="E15" i="11"/>
  <c r="F15" i="11"/>
  <c r="B17" i="11"/>
  <c r="C17" i="11"/>
  <c r="D17" i="11"/>
  <c r="E17" i="11"/>
  <c r="F17" i="11"/>
  <c r="B19" i="11"/>
  <c r="C19" i="11"/>
  <c r="D19" i="11"/>
  <c r="E19" i="11"/>
  <c r="F19" i="11"/>
  <c r="B20" i="11"/>
  <c r="C20" i="11"/>
  <c r="D20" i="11"/>
  <c r="E20" i="11"/>
  <c r="F20" i="11"/>
  <c r="B21" i="11"/>
  <c r="C21" i="11"/>
  <c r="D21" i="11"/>
  <c r="E21" i="11"/>
  <c r="F21" i="11"/>
  <c r="B23" i="11"/>
  <c r="C23" i="11"/>
  <c r="D23" i="11"/>
  <c r="E23" i="11"/>
  <c r="F23" i="11"/>
  <c r="B24" i="11"/>
  <c r="C24" i="11"/>
  <c r="D24" i="11"/>
  <c r="E24" i="11"/>
  <c r="F24" i="11"/>
  <c r="B26" i="11"/>
  <c r="C26" i="11"/>
  <c r="D26" i="11"/>
  <c r="E26" i="11"/>
  <c r="F26" i="11"/>
  <c r="B28" i="11"/>
  <c r="C28" i="11"/>
  <c r="D28" i="11"/>
  <c r="E28" i="11"/>
  <c r="F28" i="11"/>
  <c r="B29" i="11"/>
  <c r="C29" i="11"/>
  <c r="D29" i="11"/>
  <c r="E29" i="11"/>
  <c r="F29" i="11"/>
  <c r="B30" i="11"/>
  <c r="C30" i="11"/>
  <c r="D30" i="11"/>
  <c r="E30" i="11"/>
  <c r="F30" i="11"/>
  <c r="B32" i="11"/>
  <c r="C32" i="11"/>
  <c r="D32" i="11"/>
  <c r="E32" i="11"/>
  <c r="F32" i="11"/>
  <c r="B34" i="11"/>
  <c r="C34" i="11"/>
  <c r="D34" i="11"/>
  <c r="E34" i="11"/>
  <c r="F34" i="11"/>
  <c r="B36" i="11"/>
  <c r="C36" i="11"/>
  <c r="D36" i="11"/>
  <c r="E36" i="11"/>
  <c r="F36" i="11"/>
  <c r="J2" i="8"/>
  <c r="J3" i="8"/>
  <c r="J4" i="8"/>
  <c r="J5" i="8"/>
  <c r="B13" i="8"/>
  <c r="C13" i="8"/>
  <c r="D13" i="8"/>
  <c r="E13" i="8"/>
  <c r="F13" i="8"/>
  <c r="B17" i="8"/>
  <c r="C17" i="8"/>
  <c r="D17" i="8"/>
  <c r="E17" i="8"/>
  <c r="F17" i="8"/>
  <c r="B23" i="8"/>
  <c r="C23" i="8"/>
  <c r="D23" i="8"/>
  <c r="E23" i="8"/>
  <c r="F23" i="8"/>
  <c r="B26" i="8"/>
  <c r="C26" i="8"/>
  <c r="D26" i="8"/>
  <c r="E26" i="8"/>
  <c r="F26" i="8"/>
  <c r="B32" i="8"/>
  <c r="C32" i="8"/>
  <c r="D32" i="8"/>
  <c r="E32" i="8"/>
  <c r="F32" i="8"/>
  <c r="B36" i="8"/>
  <c r="C36" i="8"/>
  <c r="D36" i="8"/>
  <c r="E36" i="8"/>
  <c r="F36" i="8"/>
  <c r="B8" i="12"/>
  <c r="C8" i="12"/>
  <c r="D8" i="12"/>
  <c r="E8" i="12"/>
  <c r="F8" i="12"/>
  <c r="B9" i="12"/>
  <c r="C9" i="12"/>
  <c r="D9" i="12"/>
  <c r="E9" i="12"/>
  <c r="F9" i="12"/>
  <c r="B10" i="12"/>
  <c r="C10" i="12"/>
  <c r="D10" i="12"/>
  <c r="E10" i="12"/>
  <c r="F10" i="12"/>
  <c r="B11" i="12"/>
  <c r="C11" i="12"/>
  <c r="D11" i="12"/>
  <c r="E11" i="12"/>
  <c r="F11" i="12"/>
  <c r="B12" i="12"/>
  <c r="C12" i="12"/>
  <c r="D12" i="12"/>
  <c r="E12" i="12"/>
  <c r="F12" i="12"/>
  <c r="B15" i="12"/>
  <c r="C15" i="12"/>
  <c r="D15" i="12"/>
  <c r="E15" i="12"/>
  <c r="F15" i="12"/>
  <c r="B16" i="12"/>
  <c r="C16" i="12"/>
  <c r="D16" i="12"/>
  <c r="E16" i="12"/>
  <c r="F16" i="12"/>
  <c r="B17" i="12"/>
  <c r="C17" i="12"/>
  <c r="D17" i="12"/>
  <c r="E17" i="12"/>
  <c r="F17" i="12"/>
  <c r="B18" i="12"/>
  <c r="C18" i="12"/>
  <c r="D18" i="12"/>
  <c r="E18" i="12"/>
  <c r="F18" i="12"/>
  <c r="B19" i="12"/>
  <c r="C19" i="12"/>
  <c r="D19" i="12"/>
  <c r="E19" i="12"/>
  <c r="F19" i="12"/>
  <c r="B20" i="12"/>
  <c r="C20" i="12"/>
  <c r="D20" i="12"/>
  <c r="E20" i="12"/>
  <c r="F20" i="12"/>
  <c r="B21" i="12"/>
  <c r="C21" i="12"/>
  <c r="D21" i="12"/>
  <c r="E21" i="12"/>
  <c r="F21" i="12"/>
  <c r="B22" i="12"/>
  <c r="C22" i="12"/>
  <c r="D22" i="12"/>
  <c r="E22" i="12"/>
  <c r="F22" i="12"/>
  <c r="B25" i="12"/>
  <c r="C25" i="12"/>
  <c r="D25" i="12"/>
  <c r="E25" i="12"/>
  <c r="F25" i="12"/>
  <c r="B26" i="12"/>
  <c r="C26" i="12"/>
  <c r="D26" i="12"/>
  <c r="E26" i="12"/>
  <c r="F26" i="12"/>
  <c r="B27" i="12"/>
  <c r="C27" i="12"/>
  <c r="D27" i="12"/>
  <c r="E27" i="12"/>
  <c r="F27" i="12"/>
  <c r="B28" i="12"/>
  <c r="C28" i="12"/>
  <c r="D28" i="12"/>
  <c r="E28" i="12"/>
  <c r="F28" i="12"/>
  <c r="B29" i="12"/>
  <c r="C29" i="12"/>
  <c r="D29" i="12"/>
  <c r="E29" i="12"/>
  <c r="F29" i="12"/>
  <c r="B30" i="12"/>
  <c r="C30" i="12"/>
  <c r="D30" i="12"/>
  <c r="E30" i="12"/>
  <c r="F30" i="12"/>
  <c r="B36" i="12"/>
  <c r="C36" i="12"/>
  <c r="D36" i="12"/>
  <c r="E36" i="12"/>
  <c r="F36" i="12"/>
  <c r="B37" i="12"/>
  <c r="C37" i="12"/>
  <c r="D37" i="12"/>
  <c r="E37" i="12"/>
  <c r="F37" i="12"/>
  <c r="B38" i="12"/>
  <c r="C38" i="12"/>
  <c r="D38" i="12"/>
  <c r="E38" i="12"/>
  <c r="F38" i="12"/>
  <c r="C39" i="12"/>
  <c r="D39" i="12"/>
  <c r="E39" i="12"/>
  <c r="F39" i="12"/>
  <c r="C41" i="12"/>
  <c r="D41" i="12"/>
  <c r="E41" i="12"/>
  <c r="F41" i="12"/>
  <c r="C42" i="12"/>
  <c r="D42" i="12"/>
  <c r="E42" i="12"/>
  <c r="F42" i="12"/>
</calcChain>
</file>

<file path=xl/sharedStrings.xml><?xml version="1.0" encoding="utf-8"?>
<sst xmlns="http://schemas.openxmlformats.org/spreadsheetml/2006/main" count="302" uniqueCount="194">
  <si>
    <t>Instructions for Using HISTORY</t>
  </si>
  <si>
    <t>"Word has come down from the dean</t>
  </si>
  <si>
    <t>That with the aid of a teaching machine</t>
  </si>
  <si>
    <t>Ole' Oedipus Rex could have learned about sex</t>
  </si>
  <si>
    <t>Without ever disturbing the Queen."</t>
  </si>
  <si>
    <t>Lewis Spitz</t>
  </si>
  <si>
    <t xml:space="preserve">HISTORY is intended as a companion to ANALYSIS FOR FINANCIAL MANAGEMENT, </t>
  </si>
  <si>
    <t>6th edition, by Robert C. Higgins.  Some basic familiarity with Microsoft Excel will be helpful,</t>
  </si>
  <si>
    <t>but not necessary, to use this program.</t>
  </si>
  <si>
    <t>HISTORY produces a financial analysis of up to five years of user-supplied, historical</t>
  </si>
  <si>
    <t>financial data.  Results appear in four, convenient tables of one page each.  Balance sheet and</t>
  </si>
  <si>
    <t>income statement entries can be customized to a limited degree to reflect the reporting</t>
  </si>
  <si>
    <t xml:space="preserve">practices of individual companies.  HISTORY can be used with its companion program, </t>
  </si>
  <si>
    <t>PROFORMA, to produce up to five-year forecasts of future financial performance and possible</t>
  </si>
  <si>
    <t>funding needs.</t>
  </si>
  <si>
    <t>Input</t>
  </si>
  <si>
    <t>Table</t>
  </si>
  <si>
    <t>Contents</t>
  </si>
  <si>
    <t>A</t>
  </si>
  <si>
    <t>Historical balance sheets 1-5 years</t>
  </si>
  <si>
    <t>B</t>
  </si>
  <si>
    <t>Historical income statements 1-5 years</t>
  </si>
  <si>
    <t>Output</t>
  </si>
  <si>
    <t>C</t>
  </si>
  <si>
    <t>Change in balance sheet accounts</t>
  </si>
  <si>
    <t>D</t>
  </si>
  <si>
    <t>Common-size balance sheets</t>
  </si>
  <si>
    <t>E</t>
  </si>
  <si>
    <t>Common-size income statements</t>
  </si>
  <si>
    <t>F</t>
  </si>
  <si>
    <t>Ratio and sustainable growth analysis</t>
  </si>
  <si>
    <t>INSTRUCTIONS FOR USE</t>
  </si>
  <si>
    <t>All of the worksheets in HISTORY are tied to the Main Menu, from which you selected the</t>
  </si>
  <si>
    <t>Instructions button.  To launch the other worksheets, simply choose the appropriate button from</t>
  </si>
  <si>
    <t>the Main Menu.  You can return to the Main Menu at any time by selecting the Main Menu</t>
  </si>
  <si>
    <t>button from any worksheet.</t>
  </si>
  <si>
    <t>You may want to begin by printing a copy of these instructions.  To do so, use the regular</t>
  </si>
  <si>
    <t>Print command in your software.  You can print any of the Output Tables this way.</t>
  </si>
  <si>
    <t>Enter Data</t>
  </si>
  <si>
    <t>Leave these instructions and return to the main menu by pressing the button at the top of</t>
  </si>
  <si>
    <t>this page.  At the main menu, select Input Data.  A dialog box will appear and you can</t>
  </si>
  <si>
    <t xml:space="preserve">enter the information about your company.  After entered your data and hit "OK", you </t>
  </si>
  <si>
    <t>will go automatically to the Historical Balance Sheets so you can begin your analysis.</t>
  </si>
  <si>
    <t>Input your numbers in the blue areas.  Don't worry about formatting, that is done</t>
  </si>
  <si>
    <t>automatically.  You may also customize any label in blue simply by typing over the field name.</t>
  </si>
  <si>
    <t>When you've finished, click the button for the Income Statement and continue entering data</t>
  </si>
  <si>
    <t>in the blue areas until you have completed the historical income statements and balance sheets.</t>
  </si>
  <si>
    <t/>
  </si>
  <si>
    <t>Perform Calculations</t>
  </si>
  <si>
    <t>When you have entered your data, press the Analyze button and you will return</t>
  </si>
  <si>
    <t xml:space="preserve">to the main menu.  </t>
  </si>
  <si>
    <t>View Results</t>
  </si>
  <si>
    <t>To view the results of the analysis, press the View Output button.  You may then select</t>
  </si>
  <si>
    <t>from the three output tables which you want to view.  If at any time you want to make</t>
  </si>
  <si>
    <t>changes to the data in the historical tables, you can also view those by pressing the View</t>
  </si>
  <si>
    <t>Output button and selecting the input table.  Once you are in the table, change the data, return</t>
  </si>
  <si>
    <t>to the Income Statement (unless you are there already), and press Analyze again.</t>
  </si>
  <si>
    <t>Clear</t>
  </si>
  <si>
    <t>The Clear button on the Main Menu clears all the tables so you can analyze a new</t>
  </si>
  <si>
    <t>company. If you want to save your work, use the Save As command in your software</t>
  </si>
  <si>
    <t xml:space="preserve">and rename this program. </t>
  </si>
  <si>
    <t>DEFINITIONS OF RATIOS APPEARING IN TABLE F</t>
  </si>
  <si>
    <r>
      <t>Return on equity</t>
    </r>
    <r>
      <rPr>
        <sz val="10"/>
        <rFont val="Arial"/>
      </rPr>
      <t xml:space="preserve"> = net income/total equity</t>
    </r>
  </si>
  <si>
    <r>
      <t>Return on assets</t>
    </r>
    <r>
      <rPr>
        <sz val="10"/>
        <rFont val="Arial"/>
      </rPr>
      <t xml:space="preserve"> = net income/total assets</t>
    </r>
  </si>
  <si>
    <r>
      <t>Return on invested capital</t>
    </r>
    <r>
      <rPr>
        <sz val="10"/>
        <rFont val="Arial"/>
      </rPr>
      <t xml:space="preserve"> = [(income before tax + interest expense)</t>
    </r>
  </si>
  <si>
    <t>(1 - provision for tax/income before tax)]/(short term debt + other s.t. debt +</t>
  </si>
  <si>
    <t>current portion long term debt + long term debt &amp; capital leases + minority interest + total equity)</t>
  </si>
  <si>
    <r>
      <t>Profit margin</t>
    </r>
    <r>
      <rPr>
        <sz val="10"/>
        <rFont val="Arial"/>
      </rPr>
      <t xml:space="preserve"> = net income/net sales</t>
    </r>
  </si>
  <si>
    <r>
      <t>Gross margin</t>
    </r>
    <r>
      <rPr>
        <sz val="10"/>
        <rFont val="Arial"/>
      </rPr>
      <t xml:space="preserve"> = gross profit/net sales</t>
    </r>
  </si>
  <si>
    <r>
      <t>Assets to equity</t>
    </r>
    <r>
      <rPr>
        <sz val="10"/>
        <rFont val="Arial"/>
      </rPr>
      <t xml:space="preserve"> = total assets/total equity</t>
    </r>
  </si>
  <si>
    <r>
      <t>Tot. liabilities to assets</t>
    </r>
    <r>
      <rPr>
        <sz val="10"/>
        <rFont val="Arial"/>
      </rPr>
      <t xml:space="preserve"> = total liabilities/total assets</t>
    </r>
  </si>
  <si>
    <r>
      <t>Tot. liabilities to equity</t>
    </r>
    <r>
      <rPr>
        <sz val="10"/>
        <rFont val="Arial"/>
      </rPr>
      <t xml:space="preserve"> = total liabilities/total equity</t>
    </r>
  </si>
  <si>
    <r>
      <t>Long term debt to equity</t>
    </r>
    <r>
      <rPr>
        <sz val="10"/>
        <rFont val="Arial"/>
      </rPr>
      <t xml:space="preserve"> = (l.t. debt &amp; capital leases + currrent portion l.t. debt)/total equity</t>
    </r>
  </si>
  <si>
    <r>
      <t>Times interest earned</t>
    </r>
    <r>
      <rPr>
        <sz val="10"/>
        <rFont val="Arial"/>
      </rPr>
      <t xml:space="preserve"> = (income before tax + interest expense)/interest expense</t>
    </r>
  </si>
  <si>
    <r>
      <t>Times burden covered</t>
    </r>
    <r>
      <rPr>
        <sz val="10"/>
        <rFont val="Arial"/>
      </rPr>
      <t xml:space="preserve"> = (income before tax + interest expense)/</t>
    </r>
  </si>
  <si>
    <t>interest expnse + current portion l.t. debt/[1 - provision for tax/income before tax])</t>
  </si>
  <si>
    <r>
      <t>Current ratio</t>
    </r>
    <r>
      <rPr>
        <sz val="10"/>
        <rFont val="Arial"/>
      </rPr>
      <t xml:space="preserve"> = current assets/current liabilities</t>
    </r>
  </si>
  <si>
    <r>
      <t>Acid test</t>
    </r>
    <r>
      <rPr>
        <sz val="10"/>
        <rFont val="Arial"/>
      </rPr>
      <t xml:space="preserve"> = (current assets - inventory)/current liabilities</t>
    </r>
  </si>
  <si>
    <r>
      <t>Asset turnover</t>
    </r>
    <r>
      <rPr>
        <sz val="10"/>
        <rFont val="Arial"/>
      </rPr>
      <t xml:space="preserve"> = net sales/total assets</t>
    </r>
  </si>
  <si>
    <r>
      <t>Inventory turnover</t>
    </r>
    <r>
      <rPr>
        <sz val="10"/>
        <rFont val="Arial"/>
      </rPr>
      <t xml:space="preserve"> = cost of goods sold/inventory</t>
    </r>
  </si>
  <si>
    <r>
      <t>Collection period</t>
    </r>
    <r>
      <rPr>
        <sz val="10"/>
        <rFont val="Arial"/>
      </rPr>
      <t xml:space="preserve"> = accounts receivable/(net sales/365)</t>
    </r>
  </si>
  <si>
    <r>
      <t>Days sales in cash</t>
    </r>
    <r>
      <rPr>
        <sz val="10"/>
        <rFont val="Arial"/>
      </rPr>
      <t xml:space="preserve"> = cash/(net sales/365)</t>
    </r>
  </si>
  <si>
    <r>
      <t>Payables period</t>
    </r>
    <r>
      <rPr>
        <sz val="10"/>
        <rFont val="Arial"/>
      </rPr>
      <t xml:space="preserve"> = accounts payable/(cost of goods sold/365)</t>
    </r>
  </si>
  <si>
    <r>
      <t>Fixed asset turnover</t>
    </r>
    <r>
      <rPr>
        <sz val="10"/>
        <rFont val="Arial"/>
      </rPr>
      <t xml:space="preserve"> = net sales/net property, plant, etc.</t>
    </r>
  </si>
  <si>
    <r>
      <t>Retention ratio</t>
    </r>
    <r>
      <rPr>
        <sz val="10"/>
        <rFont val="Arial"/>
      </rPr>
      <t xml:space="preserve"> = [(1 - common dividends)/net income]*100</t>
    </r>
  </si>
  <si>
    <t>MAIN MENU</t>
  </si>
  <si>
    <t>History</t>
  </si>
  <si>
    <t xml:space="preserve">Copyright 2000, Irwin/McGraw-Hill.  </t>
  </si>
  <si>
    <t>This computer program is protected by copyright law.</t>
  </si>
  <si>
    <t>Month</t>
  </si>
  <si>
    <t>Date</t>
  </si>
  <si>
    <t>Analysis Years</t>
  </si>
  <si>
    <t>January</t>
  </si>
  <si>
    <t>Februrary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</si>
  <si>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</si>
  <si>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</si>
  <si>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</si>
  <si>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</si>
  <si>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</si>
  <si>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</si>
  <si>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</si>
  <si>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</si>
  <si>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</si>
  <si>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</si>
  <si>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Table A.  Historical Balance Sheets</t>
  </si>
  <si>
    <t>Net sales</t>
  </si>
  <si>
    <t>Spencer Sporting Goods</t>
  </si>
  <si>
    <t>Net plant</t>
  </si>
  <si>
    <t>Long-term debt</t>
  </si>
  <si>
    <t>(000 omitted)</t>
  </si>
  <si>
    <t>Owner's equity</t>
  </si>
  <si>
    <t>ASSETS</t>
  </si>
  <si>
    <t>Cash</t>
  </si>
  <si>
    <t>Securities</t>
  </si>
  <si>
    <t>Accounts receivable</t>
  </si>
  <si>
    <t>Inventory</t>
  </si>
  <si>
    <t>Other current assets</t>
  </si>
  <si>
    <t>Total current assets</t>
  </si>
  <si>
    <t>Net property, plant, etc.</t>
  </si>
  <si>
    <t>Other investments</t>
  </si>
  <si>
    <t>Other long-term assets</t>
  </si>
  <si>
    <t>Total Assets</t>
  </si>
  <si>
    <t>LIABILITIES AND SHAREHOLDERS' EQUITY</t>
  </si>
  <si>
    <t>Short term debt</t>
  </si>
  <si>
    <t>Other short-term debt</t>
  </si>
  <si>
    <t>Accounts payable</t>
  </si>
  <si>
    <t>Accrued taxes</t>
  </si>
  <si>
    <t>Other accruals</t>
  </si>
  <si>
    <t>Current portion l-t. debt</t>
  </si>
  <si>
    <t>Total current liabilities</t>
  </si>
  <si>
    <t>L-t. debt and capital leases</t>
  </si>
  <si>
    <t>Deferred taxes</t>
  </si>
  <si>
    <t>Other deferrals</t>
  </si>
  <si>
    <t>Minority interests</t>
  </si>
  <si>
    <t>Other long-term liabilities</t>
  </si>
  <si>
    <t>Total liabilities</t>
  </si>
  <si>
    <t>Preferred stock</t>
  </si>
  <si>
    <t>Owners' equity</t>
  </si>
  <si>
    <t>Total equity</t>
  </si>
  <si>
    <t>Total liabilities &amp; equity</t>
  </si>
  <si>
    <t>Table B.  Historical Income Statements</t>
  </si>
  <si>
    <t>Cost of goods sold</t>
  </si>
  <si>
    <t>Gross profit</t>
  </si>
  <si>
    <t>Operating expenses</t>
  </si>
  <si>
    <t>Operating income</t>
  </si>
  <si>
    <t>Non-op. income (expense)</t>
  </si>
  <si>
    <t>Interest income</t>
  </si>
  <si>
    <t>Interest expense</t>
  </si>
  <si>
    <t>Income before tax</t>
  </si>
  <si>
    <t>Provision for tax</t>
  </si>
  <si>
    <t>Net income</t>
  </si>
  <si>
    <t>Ex. gains (loss) net tax</t>
  </si>
  <si>
    <t>Other gains (losses)</t>
  </si>
  <si>
    <t>Preferred dividends</t>
  </si>
  <si>
    <t>Available for common</t>
  </si>
  <si>
    <t>Common dividends</t>
  </si>
  <si>
    <t>Added to retained earnings</t>
  </si>
  <si>
    <t>Table C.  Changes in Balance Sheet Accounts*</t>
  </si>
  <si>
    <t>*ASSETS: + (Positive) = Use and - (Negative) = Source ; LIABILITIES: + = Source, - = Use</t>
  </si>
  <si>
    <t>Table D.  Common Size Balance Sheets</t>
  </si>
  <si>
    <t>Table E.  Common Size Income Statements</t>
  </si>
  <si>
    <t>Table F.  Ratio and Sustainable Growth Analysis</t>
  </si>
  <si>
    <t>PROFITABILITY RATIOS:</t>
  </si>
  <si>
    <t>Return on equity (%)</t>
  </si>
  <si>
    <t>Return on assets (%)</t>
  </si>
  <si>
    <t>Return on inv. captial (%)</t>
  </si>
  <si>
    <t>Profit margin (%)</t>
  </si>
  <si>
    <t>Gross margin (%)</t>
  </si>
  <si>
    <t>LEVERAGE &amp; LIQUIDITY RATIOS:</t>
  </si>
  <si>
    <t>Assets to equity (%)</t>
  </si>
  <si>
    <t>Total liabilities to assets (%)</t>
  </si>
  <si>
    <t>Total liabilities to equity (%)</t>
  </si>
  <si>
    <t>Long term debt to equity (%)</t>
  </si>
  <si>
    <t>Times interest earned (x)</t>
  </si>
  <si>
    <t>Times burden covered (x)</t>
  </si>
  <si>
    <t>Current ratio (x)</t>
  </si>
  <si>
    <t>Acid test (x)</t>
  </si>
  <si>
    <t>TURNOVER-CONTROL RATIOS:</t>
  </si>
  <si>
    <t>Asset turnover (x)</t>
  </si>
  <si>
    <t>Inventory turnover (x)</t>
  </si>
  <si>
    <t>Collection period (days)</t>
  </si>
  <si>
    <t>Days sales in cash (days)</t>
  </si>
  <si>
    <t>Payables period (days)</t>
  </si>
  <si>
    <t>Fixed asset turnover (x)</t>
  </si>
  <si>
    <t xml:space="preserve">Pro Forma Sustainable Growth Analysis </t>
  </si>
  <si>
    <t>REQUIRED RATIOS:</t>
  </si>
  <si>
    <t>Profit margin (P)</t>
  </si>
  <si>
    <t>Retention ratio (R)</t>
  </si>
  <si>
    <t>Asset turnover (A)</t>
  </si>
  <si>
    <t>Financial leverage# (T)</t>
  </si>
  <si>
    <t>n/a</t>
  </si>
  <si>
    <t>Sustainable growth rate (g*)</t>
  </si>
  <si>
    <t>Actual growth rate (g)</t>
  </si>
  <si>
    <t>#Defined as assets divided by beginning-of-period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</si>
</sst>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(* #,##0.0_);_(* \(#,##0.0\);_(* &quot;-&quot;??_);_(@_)"/>
    <numFmt numFmtId="173" formatCode="_(* #,##0_);_(* \(#,##0\);_(* &quot;-&quot;??_);_(@_)"/>
    <numFmt numFmtId="174" formatCode="0.0%"/>
    <numFmt numFmtId="176" formatCode="_(&quot;$&quot;* #,##0_);_(&quot;$&quot;* \(#,##0\);_(&quot;$&quot;* &quot;-&quot;??_);_(@_)"/>
  </numFmts>
  <fonts count="21" x14ac:knownFonts="1">
    <font>
      <sz val="10"/>
      <name val="Arial"/>
    </font>
    <font>
      <b/>
      <sz val="10"/>
      <name val="Arial"/>
    </font>
    <font>
      <i/>
      <sz val="10"/>
      <name val="Arial"/>
    </font>
    <font>
      <b/>
      <i/>
      <sz val="10"/>
      <name val="Arial"/>
    </font>
    <font>
      <sz val="10"/>
      <name val="Arial"/>
      <family val="2"/>
    </font>
    <font>
      <u/>
      <sz val="10"/>
      <name val="Arial"/>
      <family val="2"/>
    </font>
    <font>
      <sz val="10"/>
      <color indexed="36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24"/>
      <color indexed="36"/>
      <name val="Arial"/>
      <family val="2"/>
    </font>
    <font>
      <sz val="10"/>
      <color indexed="9"/>
      <name val="Arial"/>
      <family val="2"/>
    </font>
    <font>
      <sz val="10"/>
      <color indexed="10"/>
      <name val="Arial"/>
      <family val="2"/>
    </font>
    <font>
      <sz val="10"/>
      <color indexed="39"/>
      <name val="Arial"/>
      <family val="2"/>
    </font>
    <font>
      <sz val="10"/>
      <name val="Symbol"/>
      <family val="1"/>
      <charset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u/>
      <sz val="10"/>
      <color indexed="8"/>
      <name val="Arial"/>
      <family val="2"/>
    </font>
    <font>
      <sz val="10"/>
      <color indexed="8"/>
      <name val="Arial"/>
      <family val="2"/>
    </font>
    <font>
      <b/>
      <sz val="18"/>
      <color indexed="57"/>
      <name val="Arial"/>
      <family val="2"/>
    </font>
    <font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17">
    <xf numFmtId="0" fontId="0" fillId="0" borderId="0" xfId="0"/>
    <xf numFmtId="0" fontId="5" fillId="0" borderId="0" xfId="0" applyFont="1"/>
    <xf numFmtId="0" fontId="6" fillId="0" borderId="0" xfId="0" quotePrefix="1" applyFont="1" applyAlignment="1">
      <alignment horizontal="left"/>
    </xf>
    <xf numFmtId="0" fontId="0" fillId="0" borderId="0" xfId="0" applyAlignment="1">
      <alignment horizontal="centerContinuous"/>
    </xf>
    <xf numFmtId="0" fontId="0" fillId="0" borderId="0" xfId="0" quotePrefix="1" applyAlignment="1">
      <alignment horizontal="left"/>
    </xf>
    <xf numFmtId="0" fontId="0" fillId="0" borderId="0" xfId="0" applyFill="1"/>
    <xf numFmtId="0" fontId="0" fillId="0" borderId="0" xfId="0" applyBorder="1"/>
    <xf numFmtId="0" fontId="9" fillId="0" borderId="0" xfId="0" applyFont="1"/>
    <xf numFmtId="0" fontId="6" fillId="0" borderId="0" xfId="0" applyFont="1" applyAlignment="1">
      <alignment horizontal="centerContinuous"/>
    </xf>
    <xf numFmtId="0" fontId="8" fillId="0" borderId="0" xfId="0" quotePrefix="1" applyFont="1" applyAlignment="1">
      <alignment horizontal="left"/>
    </xf>
    <xf numFmtId="0" fontId="6" fillId="0" borderId="0" xfId="0" applyFont="1"/>
    <xf numFmtId="0" fontId="1" fillId="0" borderId="0" xfId="0" quotePrefix="1" applyFont="1" applyAlignment="1">
      <alignment horizontal="left"/>
    </xf>
    <xf numFmtId="0" fontId="12" fillId="0" borderId="0" xfId="0" applyFont="1"/>
    <xf numFmtId="0" fontId="13" fillId="0" borderId="0" xfId="0" applyFont="1"/>
    <xf numFmtId="0" fontId="0" fillId="0" borderId="0" xfId="0" quotePrefix="1" applyAlignment="1">
      <alignment horizontal="centerContinuous"/>
    </xf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  <xf numFmtId="0" fontId="1" fillId="0" borderId="0" xfId="0" applyFont="1"/>
    <xf numFmtId="173" fontId="4" fillId="0" borderId="0" xfId="1" applyNumberFormat="1"/>
    <xf numFmtId="0" fontId="14" fillId="0" borderId="0" xfId="0" applyFont="1" applyFill="1" applyBorder="1"/>
    <xf numFmtId="0" fontId="10" fillId="0" borderId="0" xfId="0" quotePrefix="1" applyFont="1" applyFill="1" applyBorder="1" applyAlignment="1">
      <alignment horizontal="left"/>
    </xf>
    <xf numFmtId="3" fontId="10" fillId="0" borderId="0" xfId="0" applyNumberFormat="1" applyFont="1" applyFill="1" applyBorder="1"/>
    <xf numFmtId="0" fontId="14" fillId="0" borderId="0" xfId="0" applyFont="1" applyFill="1" applyBorder="1" applyProtection="1">
      <protection locked="0"/>
    </xf>
    <xf numFmtId="0" fontId="10" fillId="0" borderId="0" xfId="0" applyFont="1" applyFill="1" applyBorder="1"/>
    <xf numFmtId="0" fontId="14" fillId="0" borderId="0" xfId="0" applyFont="1" applyFill="1" applyBorder="1" applyAlignment="1" applyProtection="1">
      <alignment horizontal="left"/>
      <protection locked="0"/>
    </xf>
    <xf numFmtId="173" fontId="4" fillId="0" borderId="0" xfId="1" applyNumberFormat="1" applyAlignment="1">
      <alignment horizontal="right"/>
    </xf>
    <xf numFmtId="0" fontId="14" fillId="0" borderId="0" xfId="0" applyFont="1" applyFill="1" applyBorder="1" applyAlignment="1">
      <alignment horizontal="right"/>
    </xf>
    <xf numFmtId="0" fontId="3" fillId="0" borderId="0" xfId="1" applyNumberFormat="1" applyFont="1" applyBorder="1" applyAlignment="1">
      <alignment horizontal="left"/>
    </xf>
    <xf numFmtId="0" fontId="16" fillId="0" borderId="1" xfId="1" applyNumberFormat="1" applyFont="1" applyBorder="1" applyAlignment="1">
      <alignment horizontal="center"/>
    </xf>
    <xf numFmtId="0" fontId="15" fillId="0" borderId="0" xfId="1" applyNumberFormat="1" applyFont="1" applyFill="1" applyBorder="1" applyAlignment="1">
      <alignment horizontal="center"/>
    </xf>
    <xf numFmtId="0" fontId="15" fillId="0" borderId="0" xfId="0" applyNumberFormat="1" applyFont="1" applyFill="1" applyBorder="1" applyAlignment="1">
      <alignment horizontal="center"/>
    </xf>
    <xf numFmtId="176" fontId="14" fillId="0" borderId="0" xfId="2" applyNumberFormat="1" applyFont="1" applyFill="1" applyBorder="1" applyAlignment="1">
      <alignment horizontal="center"/>
    </xf>
    <xf numFmtId="0" fontId="17" fillId="0" borderId="0" xfId="0" applyFont="1" applyFill="1" applyBorder="1"/>
    <xf numFmtId="0" fontId="8" fillId="0" borderId="0" xfId="0" applyFont="1"/>
    <xf numFmtId="173" fontId="14" fillId="0" borderId="0" xfId="1" applyNumberFormat="1" applyFont="1" applyFill="1" applyBorder="1" applyAlignment="1">
      <alignment horizontal="center"/>
    </xf>
    <xf numFmtId="173" fontId="8" fillId="0" borderId="0" xfId="1" applyNumberFormat="1" applyFont="1" applyAlignment="1">
      <alignment horizontal="center"/>
    </xf>
    <xf numFmtId="0" fontId="7" fillId="0" borderId="0" xfId="0" applyFont="1" applyProtection="1">
      <protection locked="0"/>
    </xf>
    <xf numFmtId="0" fontId="7" fillId="0" borderId="0" xfId="0" quotePrefix="1" applyFont="1" applyAlignment="1">
      <alignment horizontal="left"/>
    </xf>
    <xf numFmtId="0" fontId="14" fillId="0" borderId="0" xfId="0" applyFont="1" applyFill="1" applyBorder="1" applyAlignment="1">
      <alignment horizontal="center"/>
    </xf>
    <xf numFmtId="173" fontId="8" fillId="0" borderId="0" xfId="1" applyNumberFormat="1" applyFont="1" applyBorder="1" applyAlignment="1">
      <alignment horizontal="center"/>
    </xf>
    <xf numFmtId="0" fontId="3" fillId="0" borderId="0" xfId="0" quotePrefix="1" applyFont="1" applyAlignment="1">
      <alignment horizontal="left"/>
    </xf>
    <xf numFmtId="173" fontId="8" fillId="0" borderId="0" xfId="2" applyNumberFormat="1" applyFont="1" applyAlignment="1">
      <alignment horizontal="center"/>
    </xf>
    <xf numFmtId="173" fontId="14" fillId="0" borderId="0" xfId="2" applyNumberFormat="1" applyFont="1" applyFill="1" applyBorder="1" applyAlignment="1">
      <alignment horizontal="center"/>
    </xf>
    <xf numFmtId="173" fontId="14" fillId="0" borderId="0" xfId="0" applyNumberFormat="1" applyFont="1" applyFill="1" applyBorder="1" applyAlignment="1">
      <alignment horizontal="center"/>
    </xf>
    <xf numFmtId="173" fontId="8" fillId="0" borderId="0" xfId="1" applyNumberFormat="1" applyFont="1"/>
    <xf numFmtId="0" fontId="14" fillId="0" borderId="0" xfId="0" applyFont="1" applyBorder="1"/>
    <xf numFmtId="173" fontId="14" fillId="0" borderId="0" xfId="1" applyNumberFormat="1" applyFont="1" applyBorder="1" applyAlignment="1">
      <alignment horizontal="center"/>
    </xf>
    <xf numFmtId="173" fontId="4" fillId="0" borderId="0" xfId="1" applyNumberFormat="1" applyAlignment="1">
      <alignment horizontal="center"/>
    </xf>
    <xf numFmtId="173" fontId="4" fillId="0" borderId="0" xfId="1" applyNumberFormat="1" applyFill="1" applyBorder="1" applyAlignment="1">
      <alignment horizontal="center"/>
    </xf>
    <xf numFmtId="0" fontId="7" fillId="0" borderId="0" xfId="0" applyFont="1" applyAlignment="1" applyProtection="1">
      <alignment horizontal="left"/>
      <protection locked="0"/>
    </xf>
    <xf numFmtId="173" fontId="4" fillId="0" borderId="0" xfId="1" applyNumberFormat="1" applyBorder="1" applyAlignment="1">
      <alignment horizontal="center"/>
    </xf>
    <xf numFmtId="173" fontId="4" fillId="0" borderId="0" xfId="1" applyNumberFormat="1" applyFont="1" applyBorder="1" applyAlignment="1">
      <alignment horizontal="center"/>
    </xf>
    <xf numFmtId="0" fontId="0" fillId="0" borderId="0" xfId="0" quotePrefix="1" applyFill="1" applyBorder="1" applyAlignment="1">
      <alignment horizontal="left"/>
    </xf>
    <xf numFmtId="3" fontId="0" fillId="0" borderId="0" xfId="0" applyNumberFormat="1" applyFill="1" applyBorder="1"/>
    <xf numFmtId="0" fontId="15" fillId="0" borderId="0" xfId="0" applyFont="1" applyBorder="1" applyAlignment="1">
      <alignment horizontal="left"/>
    </xf>
    <xf numFmtId="0" fontId="0" fillId="0" borderId="0" xfId="0" applyFill="1" applyBorder="1"/>
    <xf numFmtId="0" fontId="14" fillId="0" borderId="0" xfId="0" applyFont="1" applyBorder="1" applyAlignment="1">
      <alignment horizontal="right"/>
    </xf>
    <xf numFmtId="0" fontId="3" fillId="0" borderId="0" xfId="0" applyFont="1"/>
    <xf numFmtId="174" fontId="4" fillId="0" borderId="0" xfId="3" applyNumberFormat="1"/>
    <xf numFmtId="174" fontId="14" fillId="0" borderId="0" xfId="3" applyNumberFormat="1" applyFont="1"/>
    <xf numFmtId="172" fontId="4" fillId="0" borderId="0" xfId="1" applyNumberFormat="1"/>
    <xf numFmtId="172" fontId="14" fillId="0" borderId="0" xfId="1" applyNumberFormat="1" applyFont="1" applyBorder="1"/>
    <xf numFmtId="172" fontId="4" fillId="0" borderId="0" xfId="1" applyNumberFormat="1" applyFont="1" applyFill="1"/>
    <xf numFmtId="172" fontId="14" fillId="0" borderId="0" xfId="1" applyNumberFormat="1" applyFont="1" applyFill="1"/>
    <xf numFmtId="172" fontId="14" fillId="0" borderId="0" xfId="1" applyNumberFormat="1" applyFont="1"/>
    <xf numFmtId="174" fontId="0" fillId="0" borderId="0" xfId="0" applyNumberFormat="1" applyAlignment="1">
      <alignment horizontal="center"/>
    </xf>
    <xf numFmtId="174" fontId="14" fillId="0" borderId="0" xfId="0" applyNumberFormat="1" applyFont="1" applyBorder="1" applyAlignment="1">
      <alignment horizontal="center"/>
    </xf>
    <xf numFmtId="174" fontId="14" fillId="0" borderId="0" xfId="3" applyNumberFormat="1" applyFont="1" applyBorder="1" applyAlignment="1">
      <alignment horizontal="center"/>
    </xf>
    <xf numFmtId="174" fontId="14" fillId="0" borderId="0" xfId="3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Border="1" applyAlignment="1">
      <alignment horizontal="center"/>
    </xf>
    <xf numFmtId="0" fontId="11" fillId="0" borderId="0" xfId="0" quotePrefix="1" applyFont="1" applyFill="1" applyAlignment="1">
      <alignment horizontal="left"/>
    </xf>
    <xf numFmtId="176" fontId="14" fillId="0" borderId="0" xfId="2" applyNumberFormat="1" applyFont="1" applyFill="1" applyAlignment="1">
      <alignment horizontal="center"/>
    </xf>
    <xf numFmtId="173" fontId="8" fillId="2" borderId="0" xfId="1" applyNumberFormat="1" applyFont="1" applyFill="1" applyAlignment="1">
      <alignment horizontal="center"/>
    </xf>
    <xf numFmtId="173" fontId="8" fillId="2" borderId="1" xfId="1" applyNumberFormat="1" applyFont="1" applyFill="1" applyBorder="1" applyAlignment="1">
      <alignment horizontal="center"/>
    </xf>
    <xf numFmtId="173" fontId="8" fillId="2" borderId="0" xfId="1" applyNumberFormat="1" applyFont="1" applyFill="1" applyBorder="1" applyAlignment="1">
      <alignment horizontal="center"/>
    </xf>
    <xf numFmtId="173" fontId="18" fillId="2" borderId="1" xfId="1" applyNumberFormat="1" applyFont="1" applyFill="1" applyBorder="1" applyAlignment="1">
      <alignment horizontal="center"/>
    </xf>
    <xf numFmtId="173" fontId="4" fillId="2" borderId="0" xfId="1" applyNumberFormat="1" applyFill="1" applyAlignment="1">
      <alignment horizontal="center"/>
    </xf>
    <xf numFmtId="173" fontId="8" fillId="2" borderId="0" xfId="1" quotePrefix="1" applyNumberFormat="1" applyFont="1" applyFill="1" applyAlignment="1">
      <alignment horizontal="center"/>
    </xf>
    <xf numFmtId="173" fontId="4" fillId="2" borderId="0" xfId="1" applyNumberFormat="1" applyFill="1" applyBorder="1" applyAlignment="1">
      <alignment horizontal="center"/>
    </xf>
    <xf numFmtId="0" fontId="8" fillId="0" borderId="0" xfId="0" quotePrefix="1" applyFont="1" applyFill="1" applyAlignment="1">
      <alignment horizontal="left"/>
    </xf>
    <xf numFmtId="176" fontId="8" fillId="0" borderId="0" xfId="2" applyNumberFormat="1" applyFont="1" applyFill="1" applyAlignment="1">
      <alignment horizontal="center"/>
    </xf>
    <xf numFmtId="0" fontId="0" fillId="0" borderId="0" xfId="0" applyAlignment="1">
      <alignment horizontal="right"/>
    </xf>
    <xf numFmtId="176" fontId="14" fillId="2" borderId="2" xfId="2" applyNumberFormat="1" applyFont="1" applyFill="1" applyBorder="1" applyAlignment="1">
      <alignment horizontal="center"/>
    </xf>
    <xf numFmtId="176" fontId="8" fillId="2" borderId="2" xfId="2" applyNumberFormat="1" applyFont="1" applyFill="1" applyBorder="1" applyAlignment="1">
      <alignment horizontal="center"/>
    </xf>
    <xf numFmtId="0" fontId="16" fillId="0" borderId="0" xfId="1" applyNumberFormat="1" applyFont="1" applyBorder="1" applyAlignment="1">
      <alignment horizontal="center"/>
    </xf>
    <xf numFmtId="176" fontId="8" fillId="0" borderId="1" xfId="2" applyNumberFormat="1" applyFont="1" applyFill="1" applyBorder="1" applyAlignment="1">
      <alignment horizontal="center"/>
    </xf>
    <xf numFmtId="174" fontId="8" fillId="0" borderId="2" xfId="3" applyNumberFormat="1" applyFont="1" applyFill="1" applyBorder="1" applyAlignment="1">
      <alignment horizontal="center"/>
    </xf>
    <xf numFmtId="174" fontId="8" fillId="0" borderId="0" xfId="3" applyNumberFormat="1" applyFont="1" applyFill="1" applyBorder="1" applyAlignment="1">
      <alignment horizontal="center"/>
    </xf>
    <xf numFmtId="174" fontId="8" fillId="0" borderId="0" xfId="3" applyNumberFormat="1" applyFont="1" applyFill="1" applyAlignment="1">
      <alignment horizontal="center"/>
    </xf>
    <xf numFmtId="174" fontId="8" fillId="0" borderId="1" xfId="3" applyNumberFormat="1" applyFont="1" applyFill="1" applyBorder="1" applyAlignment="1">
      <alignment horizontal="center"/>
    </xf>
    <xf numFmtId="174" fontId="8" fillId="0" borderId="2" xfId="3" applyNumberFormat="1" applyFont="1" applyBorder="1" applyAlignment="1">
      <alignment horizontal="center"/>
    </xf>
    <xf numFmtId="174" fontId="18" fillId="0" borderId="1" xfId="3" applyNumberFormat="1" applyFont="1" applyBorder="1" applyAlignment="1">
      <alignment horizontal="center"/>
    </xf>
    <xf numFmtId="174" fontId="4" fillId="0" borderId="0" xfId="3" applyNumberFormat="1" applyFill="1" applyBorder="1" applyAlignment="1">
      <alignment horizontal="center"/>
    </xf>
    <xf numFmtId="0" fontId="14" fillId="0" borderId="0" xfId="0" quotePrefix="1" applyFont="1" applyFill="1" applyBorder="1" applyAlignment="1">
      <alignment horizontal="left"/>
    </xf>
    <xf numFmtId="174" fontId="4" fillId="0" borderId="0" xfId="3" quotePrefix="1" applyNumberFormat="1" applyFont="1" applyAlignment="1">
      <alignment horizontal="center"/>
    </xf>
    <xf numFmtId="176" fontId="18" fillId="0" borderId="1" xfId="2" applyNumberFormat="1" applyFont="1" applyBorder="1" applyAlignment="1">
      <alignment horizontal="center"/>
    </xf>
    <xf numFmtId="0" fontId="15" fillId="0" borderId="0" xfId="0" applyFont="1" applyFill="1" applyBorder="1" applyProtection="1">
      <protection locked="0"/>
    </xf>
    <xf numFmtId="173" fontId="14" fillId="0" borderId="1" xfId="1" applyNumberFormat="1" applyFont="1" applyFill="1" applyBorder="1" applyAlignment="1">
      <alignment horizontal="center"/>
    </xf>
    <xf numFmtId="176" fontId="14" fillId="0" borderId="1" xfId="2" applyNumberFormat="1" applyFont="1" applyBorder="1" applyAlignment="1">
      <alignment horizontal="center"/>
    </xf>
    <xf numFmtId="174" fontId="14" fillId="0" borderId="0" xfId="3" applyNumberFormat="1" applyFont="1" applyFill="1" applyBorder="1" applyAlignment="1">
      <alignment horizontal="center"/>
    </xf>
    <xf numFmtId="173" fontId="14" fillId="0" borderId="0" xfId="1" applyNumberFormat="1" applyFont="1" applyBorder="1"/>
    <xf numFmtId="173" fontId="14" fillId="0" borderId="0" xfId="1" applyNumberFormat="1" applyFont="1" applyBorder="1" applyAlignment="1">
      <alignment horizontal="right"/>
    </xf>
    <xf numFmtId="173" fontId="14" fillId="0" borderId="0" xfId="2" applyNumberFormat="1" applyFont="1" applyBorder="1" applyAlignment="1">
      <alignment horizontal="center"/>
    </xf>
    <xf numFmtId="174" fontId="14" fillId="0" borderId="0" xfId="3" applyNumberFormat="1" applyFont="1" applyBorder="1"/>
    <xf numFmtId="172" fontId="14" fillId="0" borderId="0" xfId="1" applyNumberFormat="1" applyFont="1" applyFill="1" applyBorder="1"/>
    <xf numFmtId="174" fontId="14" fillId="0" borderId="0" xfId="3" quotePrefix="1" applyNumberFormat="1" applyFont="1" applyBorder="1" applyAlignment="1">
      <alignment horizontal="center"/>
    </xf>
    <xf numFmtId="173" fontId="14" fillId="0" borderId="0" xfId="1" quotePrefix="1" applyNumberFormat="1" applyFont="1" applyFill="1" applyBorder="1" applyAlignment="1">
      <alignment horizontal="center"/>
    </xf>
    <xf numFmtId="0" fontId="7" fillId="0" borderId="0" xfId="0" applyFont="1" applyFill="1" applyAlignment="1" applyProtection="1">
      <alignment horizontal="left"/>
      <protection locked="0"/>
    </xf>
    <xf numFmtId="171" fontId="14" fillId="0" borderId="0" xfId="1" applyFont="1" applyFill="1" applyBorder="1" applyAlignment="1">
      <alignment horizontal="center"/>
    </xf>
    <xf numFmtId="176" fontId="14" fillId="0" borderId="2" xfId="2" applyNumberFormat="1" applyFont="1" applyFill="1" applyBorder="1" applyAlignment="1">
      <alignment horizontal="center"/>
    </xf>
    <xf numFmtId="0" fontId="19" fillId="0" borderId="0" xfId="0" applyFont="1" applyBorder="1" applyAlignment="1">
      <alignment horizontal="right"/>
    </xf>
    <xf numFmtId="0" fontId="8" fillId="0" borderId="0" xfId="0" applyFont="1" applyFill="1" applyAlignment="1">
      <alignment horizontal="left"/>
    </xf>
    <xf numFmtId="0" fontId="14" fillId="0" borderId="0" xfId="3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dialogsheet" Target="dialogsheets/sheet2.xml"/><Relationship Id="rId11" Type="http://schemas.openxmlformats.org/officeDocument/2006/relationships/worksheet" Target="worksheets/sheet9.xml"/><Relationship Id="rId5" Type="http://schemas.openxmlformats.org/officeDocument/2006/relationships/dialogsheet" Target="dialogsheets/sheet1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7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dialog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dialog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dialogsheets/sheet1.xml><?xml version="1.0" encoding="utf-8"?>
<dialog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showRowColHeaders="0" showZeros="0" showOutlineSymbols="0" workbookViewId="0"/>
  </sheetViews>
  <sheetFormatPr defaultColWidth="1" defaultRowHeight="5.5" customHeight="1" x14ac:dyDescent="0.25"/>
  <sheetProtection sheet="1"/>
  <pageMargins left="0.75" right="0.75" top="1" bottom="1" header="0.5" footer="0.5"/>
  <headerFooter alignWithMargins="0">
    <oddHeader>&amp;A</oddHeader>
    <oddFooter>Page &amp;P</oddFooter>
  </headerFooter>
  <legacyDrawing r:id="rId1"/>
</dialogsheet>
</file>

<file path=xl/dialogsheets/sheet2.xml><?xml version="1.0" encoding="utf-8"?>
<dialog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showRowColHeaders="0" showZeros="0" showOutlineSymbols="0" workbookViewId="0"/>
  </sheetViews>
  <sheetFormatPr defaultColWidth="1" defaultRowHeight="5.5" customHeight="1" x14ac:dyDescent="0.25"/>
  <sheetProtection sheet="1"/>
  <pageMargins left="0.75" right="0.75" top="1" bottom="1" header="0.5" footer="0.5"/>
  <headerFooter alignWithMargins="0">
    <oddHeader>&amp;A</oddHeader>
    <oddFooter>Page &amp;P</oddFooter>
  </headerFooter>
  <legacyDrawing r:id="rId1"/>
</dialogsheet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565150</xdr:colOff>
          <xdr:row>0</xdr:row>
          <xdr:rowOff>82550</xdr:rowOff>
        </xdr:from>
        <xdr:to>
          <xdr:col>8</xdr:col>
          <xdr:colOff>571500</xdr:colOff>
          <xdr:row>2</xdr:row>
          <xdr:rowOff>82550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8DDB9759-76E9-483C-B6B1-F57CBC894FA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FF"/>
                  </a:solidFill>
                  <a:latin typeface="Arial"/>
                  <a:cs typeface="Arial"/>
                </a:rPr>
                <a:t>MAIN MENU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565150</xdr:colOff>
          <xdr:row>0</xdr:row>
          <xdr:rowOff>82550</xdr:rowOff>
        </xdr:from>
        <xdr:to>
          <xdr:col>8</xdr:col>
          <xdr:colOff>571500</xdr:colOff>
          <xdr:row>2</xdr:row>
          <xdr:rowOff>82550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73A6FDC1-5138-4048-B34A-B7754F7DA9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FF"/>
                  </a:solidFill>
                  <a:latin typeface="Arial"/>
                  <a:cs typeface="Arial"/>
                </a:rPr>
                <a:t>MAIN MENU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450850</xdr:colOff>
          <xdr:row>23</xdr:row>
          <xdr:rowOff>152400</xdr:rowOff>
        </xdr:from>
        <xdr:to>
          <xdr:col>4</xdr:col>
          <xdr:colOff>6350</xdr:colOff>
          <xdr:row>24</xdr:row>
          <xdr:rowOff>139700</xdr:rowOff>
        </xdr:to>
        <xdr:sp macro="" textlink="">
          <xdr:nvSpPr>
            <xdr:cNvPr id="3090" name="Picture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334BB72E-FA58-40BB-B1BB-D670A19019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793750</xdr:colOff>
          <xdr:row>7</xdr:row>
          <xdr:rowOff>63500</xdr:rowOff>
        </xdr:from>
        <xdr:to>
          <xdr:col>3</xdr:col>
          <xdr:colOff>285750</xdr:colOff>
          <xdr:row>9</xdr:row>
          <xdr:rowOff>63500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22173254-5292-4AA7-9D97-EFD09001D8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FF"/>
                  </a:solidFill>
                  <a:latin typeface="Arial"/>
                  <a:cs typeface="Arial"/>
                </a:rPr>
                <a:t>INPUT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793750</xdr:colOff>
          <xdr:row>10</xdr:row>
          <xdr:rowOff>19050</xdr:rowOff>
        </xdr:from>
        <xdr:to>
          <xdr:col>3</xdr:col>
          <xdr:colOff>285750</xdr:colOff>
          <xdr:row>12</xdr:row>
          <xdr:rowOff>19050</xdr:rowOff>
        </xdr:to>
        <xdr:sp macro="" textlink="">
          <xdr:nvSpPr>
            <xdr:cNvPr id="3075" name="Button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72A99D0A-5E0F-409A-B3C0-27D48CC8BA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FF"/>
                  </a:solidFill>
                  <a:latin typeface="Arial"/>
                  <a:cs typeface="Arial"/>
                </a:rPr>
                <a:t>VIEW TABLES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787400</xdr:colOff>
          <xdr:row>15</xdr:row>
          <xdr:rowOff>63500</xdr:rowOff>
        </xdr:from>
        <xdr:to>
          <xdr:col>3</xdr:col>
          <xdr:colOff>279400</xdr:colOff>
          <xdr:row>17</xdr:row>
          <xdr:rowOff>63500</xdr:rowOff>
        </xdr:to>
        <xdr:sp macro="" textlink="">
          <xdr:nvSpPr>
            <xdr:cNvPr id="3076" name="Button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FCDA6DFB-4CC5-4CC2-BB03-CD08A60C81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FF"/>
                  </a:solidFill>
                  <a:latin typeface="Arial"/>
                  <a:cs typeface="Arial"/>
                </a:rPr>
                <a:t>CLEAR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2</xdr:row>
          <xdr:rowOff>6350</xdr:rowOff>
        </xdr:from>
        <xdr:to>
          <xdr:col>3</xdr:col>
          <xdr:colOff>298450</xdr:colOff>
          <xdr:row>4</xdr:row>
          <xdr:rowOff>6350</xdr:rowOff>
        </xdr:to>
        <xdr:sp macro="" textlink="">
          <xdr:nvSpPr>
            <xdr:cNvPr id="3079" name="Button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6253AECE-9722-4742-8D8D-C04EE72DBA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FF"/>
                  </a:solidFill>
                  <a:latin typeface="Arial"/>
                  <a:cs typeface="Arial"/>
                </a:rPr>
                <a:t>INSTRUCTIONS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793750</xdr:colOff>
          <xdr:row>4</xdr:row>
          <xdr:rowOff>120650</xdr:rowOff>
        </xdr:from>
        <xdr:to>
          <xdr:col>3</xdr:col>
          <xdr:colOff>285750</xdr:colOff>
          <xdr:row>6</xdr:row>
          <xdr:rowOff>120650</xdr:rowOff>
        </xdr:to>
        <xdr:sp macro="" textlink="">
          <xdr:nvSpPr>
            <xdr:cNvPr id="3081" name="Button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F14562D4-E5F5-45E2-B17B-D1DA93CBA1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FF"/>
                  </a:solidFill>
                  <a:latin typeface="Arial"/>
                  <a:cs typeface="Arial"/>
                </a:rPr>
                <a:t>DEFINITIONS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787400</xdr:colOff>
          <xdr:row>12</xdr:row>
          <xdr:rowOff>133350</xdr:rowOff>
        </xdr:from>
        <xdr:to>
          <xdr:col>3</xdr:col>
          <xdr:colOff>279400</xdr:colOff>
          <xdr:row>14</xdr:row>
          <xdr:rowOff>133350</xdr:rowOff>
        </xdr:to>
        <xdr:sp macro="" textlink="">
          <xdr:nvSpPr>
            <xdr:cNvPr id="3088" name="Button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CB2F3D6F-5A0A-49CC-BE24-1B706D0774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FF"/>
                  </a:solidFill>
                  <a:latin typeface="Arial"/>
                  <a:cs typeface="Arial"/>
                </a:rPr>
                <a:t>PRINT OUTPUT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4</xdr:col>
      <xdr:colOff>76200</xdr:colOff>
      <xdr:row>0</xdr:row>
      <xdr:rowOff>374650</xdr:rowOff>
    </xdr:from>
    <xdr:to>
      <xdr:col>8</xdr:col>
      <xdr:colOff>19050</xdr:colOff>
      <xdr:row>23</xdr:row>
      <xdr:rowOff>0</xdr:rowOff>
    </xdr:to>
    <xdr:pic>
      <xdr:nvPicPr>
        <xdr:cNvPr id="3089" name="Picture 17">
          <a:extLst>
            <a:ext uri="{FF2B5EF4-FFF2-40B4-BE49-F238E27FC236}">
              <a16:creationId xmlns:a16="http://schemas.microsoft.com/office/drawing/2014/main" id="{5D9C4FE8-823F-4AAE-A877-E99FC6EDB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74650"/>
          <a:ext cx="2381250" cy="349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317500</xdr:colOff>
          <xdr:row>2</xdr:row>
          <xdr:rowOff>57150</xdr:rowOff>
        </xdr:from>
        <xdr:to>
          <xdr:col>0</xdr:col>
          <xdr:colOff>1612900</xdr:colOff>
          <xdr:row>4</xdr:row>
          <xdr:rowOff>57150</xdr:rowOff>
        </xdr:to>
        <xdr:sp macro="" textlink="">
          <xdr:nvSpPr>
            <xdr:cNvPr id="6145" name="Button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52C1CBCF-0BCF-4C63-81BE-AB7B679FD4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FF"/>
                  </a:solidFill>
                  <a:latin typeface="Arial"/>
                  <a:cs typeface="Arial"/>
                </a:rPr>
                <a:t>MAIN MENU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311150</xdr:colOff>
          <xdr:row>4</xdr:row>
          <xdr:rowOff>139700</xdr:rowOff>
        </xdr:from>
        <xdr:to>
          <xdr:col>0</xdr:col>
          <xdr:colOff>1600200</xdr:colOff>
          <xdr:row>7</xdr:row>
          <xdr:rowOff>19050</xdr:rowOff>
        </xdr:to>
        <xdr:sp macro="" textlink="">
          <xdr:nvSpPr>
            <xdr:cNvPr id="6146" name="Button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6E592EA7-EA54-4F19-900D-831B610895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FF"/>
                  </a:solidFill>
                  <a:latin typeface="Arial"/>
                  <a:cs typeface="Arial"/>
                </a:rPr>
                <a:t>DONE</a:t>
              </a:r>
            </a:p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FF"/>
                  </a:solidFill>
                  <a:latin typeface="Arial"/>
                  <a:cs typeface="Arial"/>
                </a:rPr>
                <a:t>(GO TO INCOME)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336550</xdr:colOff>
          <xdr:row>2</xdr:row>
          <xdr:rowOff>69850</xdr:rowOff>
        </xdr:from>
        <xdr:to>
          <xdr:col>0</xdr:col>
          <xdr:colOff>1625600</xdr:colOff>
          <xdr:row>4</xdr:row>
          <xdr:rowOff>63500</xdr:rowOff>
        </xdr:to>
        <xdr:sp macro="" textlink="">
          <xdr:nvSpPr>
            <xdr:cNvPr id="7169" name="Button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F5B8A278-6D01-435B-B5A3-7677C03B34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FF"/>
                  </a:solidFill>
                  <a:latin typeface="Arial"/>
                  <a:cs typeface="Arial"/>
                </a:rPr>
                <a:t>MAIN MENU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336550</xdr:colOff>
          <xdr:row>4</xdr:row>
          <xdr:rowOff>152400</xdr:rowOff>
        </xdr:from>
        <xdr:to>
          <xdr:col>0</xdr:col>
          <xdr:colOff>1625600</xdr:colOff>
          <xdr:row>6</xdr:row>
          <xdr:rowOff>152400</xdr:rowOff>
        </xdr:to>
        <xdr:sp macro="" textlink="">
          <xdr:nvSpPr>
            <xdr:cNvPr id="7170" name="Button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6A8C4F1E-A90A-4DE2-A3D1-DB6067B533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FF"/>
                  </a:solidFill>
                  <a:latin typeface="Arial"/>
                  <a:cs typeface="Arial"/>
                </a:rPr>
                <a:t>ANALYZE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317500</xdr:colOff>
          <xdr:row>3</xdr:row>
          <xdr:rowOff>0</xdr:rowOff>
        </xdr:from>
        <xdr:to>
          <xdr:col>0</xdr:col>
          <xdr:colOff>1612900</xdr:colOff>
          <xdr:row>5</xdr:row>
          <xdr:rowOff>0</xdr:rowOff>
        </xdr:to>
        <xdr:sp macro="" textlink="">
          <xdr:nvSpPr>
            <xdr:cNvPr id="8193" name="Button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F78FE3A1-B891-4441-B978-FC5185BE44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FF"/>
                  </a:solidFill>
                  <a:latin typeface="Arial"/>
                  <a:cs typeface="Arial"/>
                </a:rPr>
                <a:t>MAIN MENU</a:t>
              </a:r>
            </a:p>
          </xdr:txBody>
        </xdr:sp>
        <xdr:clientData fPrint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317500</xdr:colOff>
          <xdr:row>3</xdr:row>
          <xdr:rowOff>0</xdr:rowOff>
        </xdr:from>
        <xdr:to>
          <xdr:col>0</xdr:col>
          <xdr:colOff>1612900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33232637-1AE5-40B4-82EB-80D72525B0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FF"/>
                  </a:solidFill>
                  <a:latin typeface="Arial"/>
                  <a:cs typeface="Arial"/>
                </a:rPr>
                <a:t>MAIN MENU</a:t>
              </a:r>
            </a:p>
          </xdr:txBody>
        </xdr:sp>
        <xdr:clientData fPrintsWithSheet="0"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349250</xdr:colOff>
          <xdr:row>3</xdr:row>
          <xdr:rowOff>0</xdr:rowOff>
        </xdr:from>
        <xdr:to>
          <xdr:col>1</xdr:col>
          <xdr:colOff>0</xdr:colOff>
          <xdr:row>5</xdr:row>
          <xdr:rowOff>0</xdr:rowOff>
        </xdr:to>
        <xdr:sp macro="" textlink="">
          <xdr:nvSpPr>
            <xdr:cNvPr id="10241" name="Button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FA76CD0D-01B2-4498-BA8A-9B6B7E4066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FF"/>
                  </a:solidFill>
                  <a:latin typeface="Arial"/>
                  <a:cs typeface="Arial"/>
                </a:rPr>
                <a:t>MAIN MENU</a:t>
              </a:r>
            </a:p>
          </xdr:txBody>
        </xdr:sp>
        <xdr:clientData fPrintsWithSheet="0"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800100</xdr:colOff>
          <xdr:row>2</xdr:row>
          <xdr:rowOff>0</xdr:rowOff>
        </xdr:from>
        <xdr:to>
          <xdr:col>0</xdr:col>
          <xdr:colOff>2082800</xdr:colOff>
          <xdr:row>4</xdr:row>
          <xdr:rowOff>0</xdr:rowOff>
        </xdr:to>
        <xdr:sp macro="" textlink="">
          <xdr:nvSpPr>
            <xdr:cNvPr id="11265" name="Button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4E18B7A-65ED-4CE0-8150-51CE516EDD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FF"/>
                  </a:solidFill>
                  <a:latin typeface="Arial"/>
                  <a:cs typeface="Arial"/>
                </a:rPr>
                <a:t>MAIN MENU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image" Target="../media/image1.emf"/><Relationship Id="rId10" Type="http://schemas.openxmlformats.org/officeDocument/2006/relationships/ctrlProp" Target="../ctrlProps/ctrlProp7.xml"/><Relationship Id="rId4" Type="http://schemas.openxmlformats.org/officeDocument/2006/relationships/oleObject" Target="../embeddings/Microsoft_Word_97_-_2003_Document.doc"/><Relationship Id="rId9" Type="http://schemas.openxmlformats.org/officeDocument/2006/relationships/ctrlProp" Target="../ctrlProps/ctrlProp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ctrlProp" Target="../ctrlProps/ctrlProp10.xml"/><Relationship Id="rId4" Type="http://schemas.openxmlformats.org/officeDocument/2006/relationships/ctrlProp" Target="../ctrlProps/ctrlProp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ctrlProp" Target="../ctrlProps/ctrlProp12.xml"/><Relationship Id="rId4" Type="http://schemas.openxmlformats.org/officeDocument/2006/relationships/ctrlProp" Target="../ctrlProps/ctrlProp1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trlProp" Target="../ctrlProps/ctrlProp1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trlProp" Target="../ctrlProps/ctrlProp1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trlProp" Target="../ctrlProps/ctrlProp1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trlProp" Target="../ctrlProps/ctrlProp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4:I72"/>
  <sheetViews>
    <sheetView showGridLines="0" showRowColHeaders="0" workbookViewId="0">
      <selection activeCell="C15" sqref="C15"/>
    </sheetView>
  </sheetViews>
  <sheetFormatPr defaultRowHeight="12.5" x14ac:dyDescent="0.25"/>
  <sheetData>
    <row r="4" spans="2:9" x14ac:dyDescent="0.25">
      <c r="B4" s="8" t="s">
        <v>0</v>
      </c>
      <c r="C4" s="3"/>
      <c r="D4" s="3"/>
      <c r="E4" s="3"/>
      <c r="F4" s="3"/>
      <c r="G4" s="3"/>
      <c r="H4" s="3"/>
      <c r="I4" s="3"/>
    </row>
    <row r="6" spans="2:9" x14ac:dyDescent="0.25">
      <c r="B6" s="14" t="s">
        <v>1</v>
      </c>
      <c r="C6" s="3"/>
      <c r="D6" s="3"/>
      <c r="E6" s="3"/>
      <c r="F6" s="3"/>
      <c r="G6" s="3"/>
      <c r="H6" s="3"/>
      <c r="I6" s="3"/>
    </row>
    <row r="7" spans="2:9" x14ac:dyDescent="0.25">
      <c r="B7" s="3" t="s">
        <v>2</v>
      </c>
      <c r="C7" s="3"/>
      <c r="D7" s="3"/>
      <c r="E7" s="3"/>
      <c r="F7" s="3"/>
      <c r="G7" s="3"/>
      <c r="H7" s="3"/>
      <c r="I7" s="3"/>
    </row>
    <row r="8" spans="2:9" x14ac:dyDescent="0.25">
      <c r="B8" s="3" t="s">
        <v>3</v>
      </c>
      <c r="C8" s="3"/>
      <c r="D8" s="3"/>
      <c r="E8" s="3"/>
      <c r="F8" s="3"/>
      <c r="G8" s="3"/>
      <c r="H8" s="3"/>
      <c r="I8" s="3"/>
    </row>
    <row r="9" spans="2:9" x14ac:dyDescent="0.25">
      <c r="B9" s="3" t="s">
        <v>4</v>
      </c>
      <c r="C9" s="3"/>
      <c r="D9" s="3"/>
      <c r="E9" s="3"/>
      <c r="F9" s="3"/>
      <c r="G9" s="3"/>
      <c r="H9" s="3"/>
      <c r="I9" s="3"/>
    </row>
    <row r="10" spans="2:9" x14ac:dyDescent="0.25">
      <c r="G10" t="s">
        <v>5</v>
      </c>
    </row>
    <row r="12" spans="2:9" x14ac:dyDescent="0.25">
      <c r="B12" s="4" t="s">
        <v>6</v>
      </c>
    </row>
    <row r="13" spans="2:9" x14ac:dyDescent="0.25">
      <c r="B13" s="4" t="s">
        <v>7</v>
      </c>
    </row>
    <row r="14" spans="2:9" x14ac:dyDescent="0.25">
      <c r="B14" t="s">
        <v>8</v>
      </c>
    </row>
    <row r="16" spans="2:9" x14ac:dyDescent="0.25">
      <c r="B16" s="4" t="s">
        <v>9</v>
      </c>
    </row>
    <row r="17" spans="2:3" x14ac:dyDescent="0.25">
      <c r="B17" s="15" t="s">
        <v>10</v>
      </c>
    </row>
    <row r="18" spans="2:3" x14ac:dyDescent="0.25">
      <c r="B18" s="15" t="s">
        <v>11</v>
      </c>
    </row>
    <row r="19" spans="2:3" x14ac:dyDescent="0.25">
      <c r="B19" s="15" t="s">
        <v>12</v>
      </c>
    </row>
    <row r="20" spans="2:3" x14ac:dyDescent="0.25">
      <c r="B20" s="15" t="s">
        <v>13</v>
      </c>
    </row>
    <row r="21" spans="2:3" x14ac:dyDescent="0.25">
      <c r="B21" t="s">
        <v>14</v>
      </c>
    </row>
    <row r="23" spans="2:3" ht="13" x14ac:dyDescent="0.3">
      <c r="B23" s="16" t="s">
        <v>15</v>
      </c>
    </row>
    <row r="24" spans="2:3" x14ac:dyDescent="0.25">
      <c r="B24" s="1" t="s">
        <v>16</v>
      </c>
      <c r="C24" s="1" t="s">
        <v>17</v>
      </c>
    </row>
    <row r="25" spans="2:3" x14ac:dyDescent="0.25">
      <c r="B25" t="s">
        <v>18</v>
      </c>
      <c r="C25" s="4" t="s">
        <v>19</v>
      </c>
    </row>
    <row r="26" spans="2:3" x14ac:dyDescent="0.25">
      <c r="B26" t="s">
        <v>20</v>
      </c>
      <c r="C26" s="4" t="s">
        <v>21</v>
      </c>
    </row>
    <row r="27" spans="2:3" ht="13" x14ac:dyDescent="0.3">
      <c r="B27" s="17" t="s">
        <v>22</v>
      </c>
      <c r="C27" s="4"/>
    </row>
    <row r="28" spans="2:3" x14ac:dyDescent="0.25">
      <c r="B28" t="s">
        <v>23</v>
      </c>
      <c r="C28" t="s">
        <v>24</v>
      </c>
    </row>
    <row r="29" spans="2:3" x14ac:dyDescent="0.25">
      <c r="B29" t="s">
        <v>25</v>
      </c>
      <c r="C29" t="s">
        <v>26</v>
      </c>
    </row>
    <row r="30" spans="2:3" x14ac:dyDescent="0.25">
      <c r="B30" t="s">
        <v>27</v>
      </c>
      <c r="C30" t="s">
        <v>28</v>
      </c>
    </row>
    <row r="31" spans="2:3" x14ac:dyDescent="0.25">
      <c r="B31" t="s">
        <v>29</v>
      </c>
      <c r="C31" t="s">
        <v>30</v>
      </c>
    </row>
    <row r="33" spans="2:3" x14ac:dyDescent="0.25">
      <c r="B33" s="10" t="s">
        <v>31</v>
      </c>
    </row>
    <row r="35" spans="2:3" x14ac:dyDescent="0.25">
      <c r="B35" s="4" t="s">
        <v>32</v>
      </c>
    </row>
    <row r="36" spans="2:3" x14ac:dyDescent="0.25">
      <c r="B36" s="4" t="s">
        <v>33</v>
      </c>
    </row>
    <row r="37" spans="2:3" x14ac:dyDescent="0.25">
      <c r="B37" s="4" t="s">
        <v>34</v>
      </c>
    </row>
    <row r="38" spans="2:3" x14ac:dyDescent="0.25">
      <c r="B38" t="s">
        <v>35</v>
      </c>
    </row>
    <row r="40" spans="2:3" x14ac:dyDescent="0.25">
      <c r="B40" s="4" t="s">
        <v>36</v>
      </c>
    </row>
    <row r="41" spans="2:3" x14ac:dyDescent="0.25">
      <c r="B41" s="4" t="s">
        <v>37</v>
      </c>
    </row>
    <row r="43" spans="2:3" x14ac:dyDescent="0.25">
      <c r="B43" s="2" t="s">
        <v>38</v>
      </c>
    </row>
    <row r="44" spans="2:3" x14ac:dyDescent="0.25">
      <c r="B44" t="s">
        <v>39</v>
      </c>
    </row>
    <row r="45" spans="2:3" x14ac:dyDescent="0.25">
      <c r="B45" s="9" t="s">
        <v>40</v>
      </c>
      <c r="C45" s="1"/>
    </row>
    <row r="46" spans="2:3" x14ac:dyDescent="0.25">
      <c r="B46" s="4" t="s">
        <v>41</v>
      </c>
    </row>
    <row r="47" spans="2:3" x14ac:dyDescent="0.25">
      <c r="B47" s="4" t="s">
        <v>42</v>
      </c>
    </row>
    <row r="48" spans="2:3" x14ac:dyDescent="0.25">
      <c r="B48" s="4" t="s">
        <v>43</v>
      </c>
    </row>
    <row r="49" spans="2:2" x14ac:dyDescent="0.25">
      <c r="B49" s="4" t="s">
        <v>44</v>
      </c>
    </row>
    <row r="50" spans="2:2" x14ac:dyDescent="0.25">
      <c r="B50" s="4" t="s">
        <v>45</v>
      </c>
    </row>
    <row r="51" spans="2:2" x14ac:dyDescent="0.25">
      <c r="B51" s="4" t="s">
        <v>46</v>
      </c>
    </row>
    <row r="52" spans="2:2" x14ac:dyDescent="0.25">
      <c r="B52" s="4" t="s">
        <v>47</v>
      </c>
    </row>
    <row r="53" spans="2:2" x14ac:dyDescent="0.25">
      <c r="B53" s="10" t="s">
        <v>48</v>
      </c>
    </row>
    <row r="54" spans="2:2" x14ac:dyDescent="0.25">
      <c r="B54" s="4" t="s">
        <v>49</v>
      </c>
    </row>
    <row r="55" spans="2:2" x14ac:dyDescent="0.25">
      <c r="B55" s="4" t="s">
        <v>50</v>
      </c>
    </row>
    <row r="57" spans="2:2" x14ac:dyDescent="0.25">
      <c r="B57" s="10" t="s">
        <v>51</v>
      </c>
    </row>
    <row r="58" spans="2:2" x14ac:dyDescent="0.25">
      <c r="B58" s="4" t="s">
        <v>52</v>
      </c>
    </row>
    <row r="59" spans="2:2" x14ac:dyDescent="0.25">
      <c r="B59" s="4" t="s">
        <v>53</v>
      </c>
    </row>
    <row r="60" spans="2:2" x14ac:dyDescent="0.25">
      <c r="B60" t="s">
        <v>54</v>
      </c>
    </row>
    <row r="61" spans="2:2" x14ac:dyDescent="0.25">
      <c r="B61" s="4" t="s">
        <v>55</v>
      </c>
    </row>
    <row r="62" spans="2:2" x14ac:dyDescent="0.25">
      <c r="B62" s="4" t="s">
        <v>56</v>
      </c>
    </row>
    <row r="64" spans="2:2" x14ac:dyDescent="0.25">
      <c r="B64" s="10" t="s">
        <v>57</v>
      </c>
    </row>
    <row r="65" spans="2:2" x14ac:dyDescent="0.25">
      <c r="B65" s="4" t="s">
        <v>58</v>
      </c>
    </row>
    <row r="66" spans="2:2" x14ac:dyDescent="0.25">
      <c r="B66" s="4" t="s">
        <v>59</v>
      </c>
    </row>
    <row r="67" spans="2:2" x14ac:dyDescent="0.25">
      <c r="B67" s="4" t="s">
        <v>60</v>
      </c>
    </row>
    <row r="69" spans="2:2" x14ac:dyDescent="0.25">
      <c r="B69" s="10"/>
    </row>
    <row r="71" spans="2:2" x14ac:dyDescent="0.25">
      <c r="B71" s="4"/>
    </row>
    <row r="72" spans="2:2" x14ac:dyDescent="0.25">
      <c r="B72" s="4"/>
    </row>
  </sheetData>
  <pageMargins left="0.75" right="0.75" top="1" bottom="1" header="0.5" footer="0.5"/>
  <pageSetup orientation="portrait" r:id="rId1"/>
  <headerFooter alignWithMargins="0">
    <oddHeader>&amp;A</oddHeader>
    <oddFooter>Page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Line="0" autoPict="0" macro="[0]!GoMai">
                <anchor moveWithCells="1" sizeWithCells="1">
                  <from>
                    <xdr:col>6</xdr:col>
                    <xdr:colOff>565150</xdr:colOff>
                    <xdr:row>0</xdr:row>
                    <xdr:rowOff>82550</xdr:rowOff>
                  </from>
                  <to>
                    <xdr:col>8</xdr:col>
                    <xdr:colOff>571500</xdr:colOff>
                    <xdr:row>2</xdr:row>
                    <xdr:rowOff>82550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5:B56"/>
  <sheetViews>
    <sheetView showGridLines="0" showRowColHeaders="0" workbookViewId="0"/>
  </sheetViews>
  <sheetFormatPr defaultRowHeight="12.5" x14ac:dyDescent="0.25"/>
  <sheetData>
    <row r="5" spans="2:2" x14ac:dyDescent="0.25">
      <c r="B5" s="2" t="s">
        <v>61</v>
      </c>
    </row>
    <row r="7" spans="2:2" ht="13" x14ac:dyDescent="0.3">
      <c r="B7" s="11" t="s">
        <v>62</v>
      </c>
    </row>
    <row r="9" spans="2:2" ht="13" x14ac:dyDescent="0.3">
      <c r="B9" s="11" t="s">
        <v>63</v>
      </c>
    </row>
    <row r="11" spans="2:2" ht="13" x14ac:dyDescent="0.3">
      <c r="B11" s="11" t="s">
        <v>64</v>
      </c>
    </row>
    <row r="12" spans="2:2" x14ac:dyDescent="0.25">
      <c r="B12" s="4" t="s">
        <v>65</v>
      </c>
    </row>
    <row r="13" spans="2:2" x14ac:dyDescent="0.25">
      <c r="B13" t="s">
        <v>66</v>
      </c>
    </row>
    <row r="15" spans="2:2" ht="13" x14ac:dyDescent="0.3">
      <c r="B15" s="11" t="s">
        <v>67</v>
      </c>
    </row>
    <row r="17" spans="2:2" ht="13" x14ac:dyDescent="0.3">
      <c r="B17" s="11" t="s">
        <v>68</v>
      </c>
    </row>
    <row r="18" spans="2:2" ht="13" x14ac:dyDescent="0.3">
      <c r="B18" s="11"/>
    </row>
    <row r="19" spans="2:2" ht="13" x14ac:dyDescent="0.3">
      <c r="B19" s="11" t="s">
        <v>69</v>
      </c>
    </row>
    <row r="20" spans="2:2" ht="13" x14ac:dyDescent="0.3">
      <c r="B20" s="11"/>
    </row>
    <row r="21" spans="2:2" ht="13" x14ac:dyDescent="0.3">
      <c r="B21" s="11" t="s">
        <v>70</v>
      </c>
    </row>
    <row r="22" spans="2:2" ht="13" x14ac:dyDescent="0.3">
      <c r="B22" s="11"/>
    </row>
    <row r="23" spans="2:2" ht="13" x14ac:dyDescent="0.3">
      <c r="B23" s="11" t="s">
        <v>71</v>
      </c>
    </row>
    <row r="24" spans="2:2" ht="13" x14ac:dyDescent="0.3">
      <c r="B24" s="11"/>
    </row>
    <row r="25" spans="2:2" ht="13" x14ac:dyDescent="0.3">
      <c r="B25" s="11" t="s">
        <v>72</v>
      </c>
    </row>
    <row r="26" spans="2:2" ht="13" x14ac:dyDescent="0.3">
      <c r="B26" s="11"/>
    </row>
    <row r="27" spans="2:2" ht="13" x14ac:dyDescent="0.3">
      <c r="B27" s="11" t="s">
        <v>73</v>
      </c>
    </row>
    <row r="28" spans="2:2" ht="13" x14ac:dyDescent="0.3">
      <c r="B28" s="11"/>
    </row>
    <row r="29" spans="2:2" ht="13" x14ac:dyDescent="0.3">
      <c r="B29" s="11" t="s">
        <v>74</v>
      </c>
    </row>
    <row r="30" spans="2:2" x14ac:dyDescent="0.25">
      <c r="B30" s="19" t="s">
        <v>75</v>
      </c>
    </row>
    <row r="31" spans="2:2" x14ac:dyDescent="0.25">
      <c r="B31" s="18"/>
    </row>
    <row r="32" spans="2:2" ht="13" x14ac:dyDescent="0.3">
      <c r="B32" s="11" t="s">
        <v>76</v>
      </c>
    </row>
    <row r="33" spans="2:2" ht="13" x14ac:dyDescent="0.3">
      <c r="B33" s="11"/>
    </row>
    <row r="34" spans="2:2" ht="13" x14ac:dyDescent="0.3">
      <c r="B34" s="11" t="s">
        <v>77</v>
      </c>
    </row>
    <row r="35" spans="2:2" ht="13" x14ac:dyDescent="0.3">
      <c r="B35" s="11"/>
    </row>
    <row r="36" spans="2:2" ht="13" x14ac:dyDescent="0.3">
      <c r="B36" s="11" t="s">
        <v>78</v>
      </c>
    </row>
    <row r="37" spans="2:2" ht="13" x14ac:dyDescent="0.3">
      <c r="B37" s="11"/>
    </row>
    <row r="38" spans="2:2" ht="13" x14ac:dyDescent="0.3">
      <c r="B38" s="11" t="s">
        <v>79</v>
      </c>
    </row>
    <row r="39" spans="2:2" ht="13" x14ac:dyDescent="0.3">
      <c r="B39" s="11"/>
    </row>
    <row r="40" spans="2:2" ht="13" x14ac:dyDescent="0.3">
      <c r="B40" s="11" t="s">
        <v>80</v>
      </c>
    </row>
    <row r="41" spans="2:2" ht="13" x14ac:dyDescent="0.3">
      <c r="B41" s="11"/>
    </row>
    <row r="42" spans="2:2" ht="13" x14ac:dyDescent="0.3">
      <c r="B42" s="11" t="s">
        <v>81</v>
      </c>
    </row>
    <row r="43" spans="2:2" ht="13" x14ac:dyDescent="0.3">
      <c r="B43" s="11"/>
    </row>
    <row r="44" spans="2:2" ht="13" x14ac:dyDescent="0.3">
      <c r="B44" s="11" t="s">
        <v>82</v>
      </c>
    </row>
    <row r="45" spans="2:2" ht="13" x14ac:dyDescent="0.3">
      <c r="B45" s="11"/>
    </row>
    <row r="46" spans="2:2" ht="13" x14ac:dyDescent="0.3">
      <c r="B46" s="11" t="s">
        <v>83</v>
      </c>
    </row>
    <row r="47" spans="2:2" x14ac:dyDescent="0.25">
      <c r="B47" s="10"/>
    </row>
    <row r="48" spans="2:2" ht="13" x14ac:dyDescent="0.3">
      <c r="B48" s="11" t="s">
        <v>84</v>
      </c>
    </row>
    <row r="50" spans="2:2" x14ac:dyDescent="0.25">
      <c r="B50" s="4"/>
    </row>
    <row r="56" spans="2:2" x14ac:dyDescent="0.25">
      <c r="B56" s="4"/>
    </row>
  </sheetData>
  <pageMargins left="0.75" right="0.75" top="1" bottom="1" header="0.5" footer="0.5"/>
  <pageSetup orientation="portrait" r:id="rId1"/>
  <headerFooter alignWithMargins="0">
    <oddHeader>&amp;A</oddHeader>
    <oddFooter>Page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Line="0" autoPict="0" macro="[0]!GoMai">
                <anchor moveWithCells="1" sizeWithCells="1">
                  <from>
                    <xdr:col>6</xdr:col>
                    <xdr:colOff>565150</xdr:colOff>
                    <xdr:row>0</xdr:row>
                    <xdr:rowOff>82550</xdr:rowOff>
                  </from>
                  <to>
                    <xdr:col>8</xdr:col>
                    <xdr:colOff>571500</xdr:colOff>
                    <xdr:row>2</xdr:row>
                    <xdr:rowOff>82550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6"/>
  <sheetViews>
    <sheetView showGridLines="0" showRowColHeaders="0" workbookViewId="0">
      <selection activeCell="B9" sqref="B9"/>
    </sheetView>
  </sheetViews>
  <sheetFormatPr defaultRowHeight="12.5" x14ac:dyDescent="0.25"/>
  <cols>
    <col min="1" max="1" width="11.54296875" customWidth="1"/>
    <col min="2" max="2" width="4.81640625" customWidth="1"/>
    <col min="10" max="10" width="12.81640625" customWidth="1"/>
  </cols>
  <sheetData>
    <row r="1" spans="1:10" ht="30" x14ac:dyDescent="0.6">
      <c r="A1" s="7" t="s">
        <v>85</v>
      </c>
      <c r="J1" s="114" t="s">
        <v>86</v>
      </c>
    </row>
    <row r="16" spans="1:10" x14ac:dyDescent="0.25">
      <c r="C16" s="12"/>
    </row>
    <row r="17" spans="3:6" x14ac:dyDescent="0.25">
      <c r="C17" s="12"/>
    </row>
    <row r="25" spans="3:6" x14ac:dyDescent="0.25">
      <c r="E25" s="4" t="s">
        <v>87</v>
      </c>
      <c r="F25" s="13"/>
    </row>
    <row r="26" spans="3:6" x14ac:dyDescent="0.25">
      <c r="E26" t="s">
        <v>88</v>
      </c>
    </row>
  </sheetData>
  <pageMargins left="0.75" right="0.75" top="1" bottom="1" header="0.5" footer="0.5"/>
  <pageSetup orientation="portrait" r:id="rId1"/>
  <headerFooter alignWithMargins="0">
    <oddHeader>&amp;A</oddHeader>
    <oddFooter>Page &amp;P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3090" r:id="rId4">
          <objectPr defaultSize="0" autoLine="0" autoPict="0" r:id="rId5">
            <anchor moveWithCells="1">
              <from>
                <xdr:col>3</xdr:col>
                <xdr:colOff>450850</xdr:colOff>
                <xdr:row>23</xdr:row>
                <xdr:rowOff>152400</xdr:rowOff>
              </from>
              <to>
                <xdr:col>4</xdr:col>
                <xdr:colOff>6350</xdr:colOff>
                <xdr:row>24</xdr:row>
                <xdr:rowOff>139700</xdr:rowOff>
              </to>
            </anchor>
          </objectPr>
        </oleObject>
      </mc:Choice>
      <mc:Fallback>
        <oleObject progId="Word.Document.8" shapeId="3090" r:id="rId4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6" name="Button 1">
              <controlPr defaultSize="0" print="0" autoFill="0" autoLine="0" autoPict="0" macro="[0]!DialogFrameA_Show">
                <anchor>
                  <from>
                    <xdr:col>0</xdr:col>
                    <xdr:colOff>793750</xdr:colOff>
                    <xdr:row>7</xdr:row>
                    <xdr:rowOff>63500</xdr:rowOff>
                  </from>
                  <to>
                    <xdr:col>3</xdr:col>
                    <xdr:colOff>285750</xdr:colOff>
                    <xdr:row>9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7" name="Button 3">
              <controlPr defaultSize="0" print="0" autoFill="0" autoLine="0" autoPict="0" macro="[0]!DialogFrameB_Show">
                <anchor>
                  <from>
                    <xdr:col>0</xdr:col>
                    <xdr:colOff>793750</xdr:colOff>
                    <xdr:row>10</xdr:row>
                    <xdr:rowOff>19050</xdr:rowOff>
                  </from>
                  <to>
                    <xdr:col>3</xdr:col>
                    <xdr:colOff>285750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8" name="Button 4">
              <controlPr defaultSize="0" print="0" autoFill="0" autoLine="0" autoPict="0" macro="[0]!ClearIt">
                <anchor>
                  <from>
                    <xdr:col>0</xdr:col>
                    <xdr:colOff>787400</xdr:colOff>
                    <xdr:row>15</xdr:row>
                    <xdr:rowOff>63500</xdr:rowOff>
                  </from>
                  <to>
                    <xdr:col>3</xdr:col>
                    <xdr:colOff>279400</xdr:colOff>
                    <xdr:row>17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9" name="Button 7">
              <controlPr defaultSize="0" print="0" autoFill="0" autoLine="0" autoPict="0" macro="[0]!GoInstr">
                <anchor>
                  <from>
                    <xdr:col>1</xdr:col>
                    <xdr:colOff>0</xdr:colOff>
                    <xdr:row>2</xdr:row>
                    <xdr:rowOff>6350</xdr:rowOff>
                  </from>
                  <to>
                    <xdr:col>3</xdr:col>
                    <xdr:colOff>298450</xdr:colOff>
                    <xdr:row>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0" name="Button 9">
              <controlPr defaultSize="0" print="0" autoFill="0" autoLine="0" autoPict="0" macro="[0]!GoDef">
                <anchor>
                  <from>
                    <xdr:col>0</xdr:col>
                    <xdr:colOff>793750</xdr:colOff>
                    <xdr:row>4</xdr:row>
                    <xdr:rowOff>120650</xdr:rowOff>
                  </from>
                  <to>
                    <xdr:col>3</xdr:col>
                    <xdr:colOff>285750</xdr:colOff>
                    <xdr:row>6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1" name="Button 16">
              <controlPr defaultSize="0" print="0" autoFill="0" autoLine="0" autoPict="0" macro="[0]!PrintOutput">
                <anchor>
                  <from>
                    <xdr:col>0</xdr:col>
                    <xdr:colOff>787400</xdr:colOff>
                    <xdr:row>12</xdr:row>
                    <xdr:rowOff>133350</xdr:rowOff>
                  </from>
                  <to>
                    <xdr:col>3</xdr:col>
                    <xdr:colOff>279400</xdr:colOff>
                    <xdr:row>14</xdr:row>
                    <xdr:rowOff>133350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D36"/>
  <sheetViews>
    <sheetView showRowColHeaders="0" workbookViewId="0">
      <selection activeCell="H9" sqref="H9"/>
    </sheetView>
  </sheetViews>
  <sheetFormatPr defaultRowHeight="12.5" x14ac:dyDescent="0.25"/>
  <cols>
    <col min="2" max="2" width="10" customWidth="1"/>
    <col min="4" max="4" width="14" customWidth="1"/>
  </cols>
  <sheetData>
    <row r="5" spans="2:4" ht="13" x14ac:dyDescent="0.3">
      <c r="B5" s="20" t="s">
        <v>89</v>
      </c>
      <c r="C5" s="20" t="s">
        <v>90</v>
      </c>
      <c r="D5" s="20" t="s">
        <v>91</v>
      </c>
    </row>
    <row r="6" spans="2:4" x14ac:dyDescent="0.25">
      <c r="B6" t="s">
        <v>92</v>
      </c>
      <c r="C6">
        <v>1</v>
      </c>
      <c r="D6">
        <v>1</v>
      </c>
    </row>
    <row r="7" spans="2:4" x14ac:dyDescent="0.25">
      <c r="B7" t="s">
        <v>93</v>
      </c>
      <c r="C7">
        <v>2</v>
      </c>
      <c r="D7">
        <v>2</v>
      </c>
    </row>
    <row r="8" spans="2:4" x14ac:dyDescent="0.25">
      <c r="B8" t="s">
        <v>94</v>
      </c>
      <c r="C8">
        <v>3</v>
      </c>
      <c r="D8">
        <v>3</v>
      </c>
    </row>
    <row r="9" spans="2:4" x14ac:dyDescent="0.25">
      <c r="B9" t="s">
        <v>95</v>
      </c>
      <c r="C9">
        <v>4</v>
      </c>
      <c r="D9">
        <v>4</v>
      </c>
    </row>
    <row r="10" spans="2:4" x14ac:dyDescent="0.25">
      <c r="B10" t="s">
        <v>96</v>
      </c>
      <c r="C10">
        <v>5</v>
      </c>
      <c r="D10">
        <v>5</v>
      </c>
    </row>
    <row r="11" spans="2:4" x14ac:dyDescent="0.25">
      <c r="B11" t="s">
        <v>97</v>
      </c>
      <c r="C11">
        <v>6</v>
      </c>
    </row>
    <row r="12" spans="2:4" x14ac:dyDescent="0.25">
      <c r="B12" t="s">
        <v>98</v>
      </c>
      <c r="C12">
        <v>7</v>
      </c>
    </row>
    <row r="13" spans="2:4" x14ac:dyDescent="0.25">
      <c r="B13" t="s">
        <v>99</v>
      </c>
      <c r="C13">
        <v>8</v>
      </c>
    </row>
    <row r="14" spans="2:4" x14ac:dyDescent="0.25">
      <c r="B14" t="s">
        <v>100</v>
      </c>
      <c r="C14">
        <v>9</v>
      </c>
    </row>
    <row r="15" spans="2:4" x14ac:dyDescent="0.25">
      <c r="B15" t="s">
        <v>101</v>
      </c>
      <c r="C15">
        <v>10</v>
      </c>
    </row>
    <row r="16" spans="2:4" x14ac:dyDescent="0.25">
      <c r="B16" t="s">
        <v>102</v>
      </c>
      <c r="C16">
        <v>11</v>
      </c>
    </row>
    <row r="17" spans="2:3" x14ac:dyDescent="0.25">
      <c r="B17" t="s">
        <v>103</v>
      </c>
      <c r="C17">
        <v>12</v>
      </c>
    </row>
    <row r="18" spans="2:3" x14ac:dyDescent="0.25">
      <c r="C18">
        <v>13</v>
      </c>
    </row>
    <row r="19" spans="2:3" x14ac:dyDescent="0.25">
      <c r="C19">
        <v>14</v>
      </c>
    </row>
    <row r="20" spans="2:3" x14ac:dyDescent="0.25">
      <c r="C20">
        <v>15</v>
      </c>
    </row>
    <row r="21" spans="2:3" x14ac:dyDescent="0.25">
      <c r="C21">
        <v>16</v>
      </c>
    </row>
    <row r="22" spans="2:3" x14ac:dyDescent="0.25">
      <c r="C22">
        <v>17</v>
      </c>
    </row>
    <row r="23" spans="2:3" x14ac:dyDescent="0.25">
      <c r="C23">
        <v>18</v>
      </c>
    </row>
    <row r="24" spans="2:3" x14ac:dyDescent="0.25">
      <c r="C24">
        <v>19</v>
      </c>
    </row>
    <row r="25" spans="2:3" x14ac:dyDescent="0.25">
      <c r="C25">
        <v>20</v>
      </c>
    </row>
    <row r="26" spans="2:3" x14ac:dyDescent="0.25">
      <c r="C26">
        <v>21</v>
      </c>
    </row>
    <row r="27" spans="2:3" x14ac:dyDescent="0.25">
      <c r="C27">
        <v>22</v>
      </c>
    </row>
    <row r="28" spans="2:3" x14ac:dyDescent="0.25">
      <c r="C28">
        <v>23</v>
      </c>
    </row>
    <row r="29" spans="2:3" x14ac:dyDescent="0.25">
      <c r="C29">
        <v>24</v>
      </c>
    </row>
    <row r="30" spans="2:3" x14ac:dyDescent="0.25">
      <c r="C30">
        <v>25</v>
      </c>
    </row>
    <row r="31" spans="2:3" x14ac:dyDescent="0.25">
      <c r="C31">
        <v>26</v>
      </c>
    </row>
    <row r="32" spans="2:3" x14ac:dyDescent="0.25">
      <c r="C32">
        <v>27</v>
      </c>
    </row>
    <row r="33" spans="3:3" x14ac:dyDescent="0.25">
      <c r="C33">
        <v>28</v>
      </c>
    </row>
    <row r="34" spans="3:3" x14ac:dyDescent="0.25">
      <c r="C34">
        <v>29</v>
      </c>
    </row>
    <row r="35" spans="3:3" x14ac:dyDescent="0.25">
      <c r="C35">
        <v>30</v>
      </c>
    </row>
    <row r="36" spans="3:3" x14ac:dyDescent="0.25">
      <c r="C36">
        <v>31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9"/>
  <sheetViews>
    <sheetView showRowColHeaders="0" tabSelected="1" workbookViewId="0">
      <selection activeCell="C12" sqref="C12"/>
    </sheetView>
  </sheetViews>
  <sheetFormatPr defaultRowHeight="12.5" x14ac:dyDescent="0.25"/>
  <cols>
    <col min="1" max="1" width="23.1796875" customWidth="1"/>
    <col min="2" max="2" width="8.7265625" style="21"/>
    <col min="3" max="3" width="8.7265625" style="22"/>
    <col min="4" max="4" width="11.453125" style="22" customWidth="1"/>
    <col min="5" max="6" width="8.7265625" style="22"/>
    <col min="7" max="7" width="13.453125" style="22" customWidth="1"/>
    <col min="9" max="9" width="13.453125" customWidth="1"/>
  </cols>
  <sheetData>
    <row r="1" spans="1:10" x14ac:dyDescent="0.25">
      <c r="A1" s="2" t="s">
        <v>104</v>
      </c>
    </row>
    <row r="2" spans="1:10" x14ac:dyDescent="0.25">
      <c r="I2" s="23" t="s">
        <v>105</v>
      </c>
      <c r="J2" s="24" t="e">
        <f>#REF!</f>
        <v>#REF!</v>
      </c>
    </row>
    <row r="3" spans="1:10" ht="13" x14ac:dyDescent="0.3">
      <c r="A3" s="85"/>
      <c r="B3" s="28"/>
      <c r="C3" s="25"/>
      <c r="D3" s="100" t="s">
        <v>106</v>
      </c>
      <c r="E3" s="25"/>
      <c r="I3" s="23" t="s">
        <v>107</v>
      </c>
      <c r="J3" s="24" t="e">
        <f>#REF!</f>
        <v>#REF!</v>
      </c>
    </row>
    <row r="4" spans="1:10" x14ac:dyDescent="0.25">
      <c r="C4" s="25"/>
      <c r="D4" s="25"/>
      <c r="E4" s="25"/>
      <c r="I4" s="26" t="s">
        <v>108</v>
      </c>
      <c r="J4" s="24" t="e">
        <f>#REF!</f>
        <v>#REF!</v>
      </c>
    </row>
    <row r="5" spans="1:10" x14ac:dyDescent="0.25">
      <c r="C5" s="25"/>
      <c r="D5" s="25" t="s">
        <v>109</v>
      </c>
      <c r="E5" s="25"/>
      <c r="I5" s="26" t="s">
        <v>110</v>
      </c>
      <c r="J5" s="24" t="e">
        <f>#REF!</f>
        <v>#REF!</v>
      </c>
    </row>
    <row r="6" spans="1:10" x14ac:dyDescent="0.25">
      <c r="C6" s="25"/>
      <c r="D6" s="25" t="s">
        <v>103</v>
      </c>
      <c r="E6" s="27">
        <v>31</v>
      </c>
    </row>
    <row r="8" spans="1:10" x14ac:dyDescent="0.25">
      <c r="B8" s="28"/>
      <c r="C8" s="29"/>
      <c r="D8" s="29"/>
      <c r="E8" s="29"/>
      <c r="F8" s="29"/>
    </row>
    <row r="9" spans="1:10" ht="13" x14ac:dyDescent="0.3">
      <c r="A9" s="30" t="s">
        <v>111</v>
      </c>
      <c r="B9" s="31">
        <v>1994</v>
      </c>
      <c r="C9" s="32">
        <v>1995</v>
      </c>
      <c r="D9" s="32">
        <v>1996</v>
      </c>
      <c r="E9" s="32">
        <v>1997</v>
      </c>
      <c r="F9" s="33"/>
    </row>
    <row r="10" spans="1:10" x14ac:dyDescent="0.25">
      <c r="A10" t="s">
        <v>112</v>
      </c>
      <c r="B10" s="86">
        <v>36</v>
      </c>
      <c r="C10" s="86">
        <v>33</v>
      </c>
      <c r="D10" s="86">
        <v>25</v>
      </c>
      <c r="E10" s="86">
        <v>15</v>
      </c>
      <c r="F10" s="34"/>
      <c r="G10" s="35"/>
      <c r="H10" s="36"/>
    </row>
    <row r="11" spans="1:10" x14ac:dyDescent="0.25">
      <c r="A11" t="s">
        <v>113</v>
      </c>
      <c r="B11" s="76"/>
      <c r="C11" s="76"/>
      <c r="D11" s="76"/>
      <c r="E11" s="76"/>
      <c r="F11" s="37"/>
      <c r="H11" s="36"/>
    </row>
    <row r="12" spans="1:10" x14ac:dyDescent="0.25">
      <c r="A12" s="4" t="s">
        <v>114</v>
      </c>
      <c r="B12" s="76">
        <v>402</v>
      </c>
      <c r="C12" s="76"/>
      <c r="D12" s="76"/>
      <c r="E12" s="76"/>
      <c r="F12" s="37"/>
      <c r="H12" s="36"/>
    </row>
    <row r="13" spans="1:10" x14ac:dyDescent="0.25">
      <c r="A13" t="s">
        <v>115</v>
      </c>
      <c r="B13" s="76"/>
      <c r="C13" s="76"/>
      <c r="D13" s="76"/>
      <c r="E13" s="76"/>
      <c r="F13" s="37"/>
      <c r="H13" s="36"/>
    </row>
    <row r="14" spans="1:10" x14ac:dyDescent="0.25">
      <c r="A14" s="39" t="s">
        <v>116</v>
      </c>
      <c r="B14" s="77"/>
      <c r="C14" s="77"/>
      <c r="D14" s="77"/>
      <c r="E14" s="77"/>
      <c r="F14" s="37"/>
      <c r="H14" s="36"/>
    </row>
    <row r="15" spans="1:10" x14ac:dyDescent="0.25">
      <c r="A15" s="40"/>
      <c r="B15" s="38"/>
      <c r="C15" s="37"/>
      <c r="D15" s="41"/>
      <c r="E15" s="41"/>
      <c r="F15" s="41"/>
      <c r="H15" s="36"/>
    </row>
    <row r="16" spans="1:10" x14ac:dyDescent="0.25">
      <c r="A16" t="s">
        <v>117</v>
      </c>
      <c r="B16" s="42">
        <f>B10+B11+B12+B13+B14</f>
        <v>438</v>
      </c>
      <c r="C16" s="37">
        <f>C10+C11+C12+C13+C14</f>
        <v>33</v>
      </c>
      <c r="D16" s="37">
        <f>D10+D11+D12+D13+D14</f>
        <v>25</v>
      </c>
      <c r="E16" s="37">
        <f>E10+E11+E12+E13+E14</f>
        <v>15</v>
      </c>
      <c r="F16" s="37">
        <f>F10+F11+F12+F13+F14</f>
        <v>0</v>
      </c>
      <c r="H16" s="36"/>
    </row>
    <row r="17" spans="1:8" x14ac:dyDescent="0.25">
      <c r="B17" s="38"/>
      <c r="C17" s="37"/>
      <c r="D17" s="41"/>
      <c r="E17" s="41"/>
      <c r="F17" s="41"/>
      <c r="H17" s="36"/>
    </row>
    <row r="18" spans="1:8" x14ac:dyDescent="0.25">
      <c r="A18" t="s">
        <v>118</v>
      </c>
      <c r="B18" s="76"/>
      <c r="C18" s="76"/>
      <c r="D18" s="76"/>
      <c r="E18" s="76"/>
      <c r="F18" s="37"/>
      <c r="H18" s="36"/>
    </row>
    <row r="19" spans="1:8" x14ac:dyDescent="0.25">
      <c r="A19" s="39" t="s">
        <v>119</v>
      </c>
      <c r="B19" s="76"/>
      <c r="C19" s="76"/>
      <c r="D19" s="76"/>
      <c r="E19" s="76"/>
      <c r="F19" s="37"/>
      <c r="H19" s="36"/>
    </row>
    <row r="20" spans="1:8" x14ac:dyDescent="0.25">
      <c r="A20" s="39" t="s">
        <v>120</v>
      </c>
      <c r="B20" s="78"/>
      <c r="C20" s="78"/>
      <c r="D20" s="78"/>
      <c r="E20" s="78"/>
      <c r="F20" s="37"/>
      <c r="H20" s="36"/>
    </row>
    <row r="21" spans="1:8" x14ac:dyDescent="0.25">
      <c r="B21" s="38"/>
      <c r="C21" s="41"/>
      <c r="D21" s="41"/>
      <c r="E21" s="41"/>
      <c r="F21" s="41"/>
      <c r="H21" s="36"/>
    </row>
    <row r="22" spans="1:8" x14ac:dyDescent="0.25">
      <c r="A22" t="s">
        <v>121</v>
      </c>
      <c r="B22" s="89">
        <f>B16+B18+B19+B20</f>
        <v>438</v>
      </c>
      <c r="C22" s="89">
        <f>C16+C18+C19+C20</f>
        <v>33</v>
      </c>
      <c r="D22" s="89">
        <f>D16+D18+D19+D20</f>
        <v>25</v>
      </c>
      <c r="E22" s="89">
        <f>E16+E18+E19+E20</f>
        <v>15</v>
      </c>
      <c r="F22" s="112">
        <f>F16+F18+F19+F20</f>
        <v>0</v>
      </c>
      <c r="H22" s="36"/>
    </row>
    <row r="23" spans="1:8" x14ac:dyDescent="0.25">
      <c r="B23" s="38"/>
      <c r="C23" s="41"/>
      <c r="D23" s="41"/>
      <c r="E23" s="41"/>
      <c r="F23" s="41"/>
      <c r="H23" s="36"/>
    </row>
    <row r="24" spans="1:8" ht="13" x14ac:dyDescent="0.3">
      <c r="A24" s="43" t="s">
        <v>122</v>
      </c>
      <c r="B24" s="38"/>
      <c r="C24" s="41"/>
      <c r="D24" s="41"/>
      <c r="E24" s="41"/>
      <c r="F24" s="41"/>
      <c r="H24" s="36"/>
    </row>
    <row r="25" spans="1:8" x14ac:dyDescent="0.25">
      <c r="A25" t="s">
        <v>123</v>
      </c>
      <c r="B25" s="76"/>
      <c r="C25" s="76"/>
      <c r="D25" s="76"/>
      <c r="E25" s="76"/>
      <c r="F25" s="37"/>
      <c r="H25" s="36"/>
    </row>
    <row r="26" spans="1:8" x14ac:dyDescent="0.25">
      <c r="A26" s="39" t="s">
        <v>124</v>
      </c>
      <c r="B26" s="76"/>
      <c r="C26" s="76"/>
      <c r="D26" s="76"/>
      <c r="E26" s="76"/>
      <c r="F26" s="37"/>
      <c r="H26" s="36"/>
    </row>
    <row r="27" spans="1:8" x14ac:dyDescent="0.25">
      <c r="A27" t="s">
        <v>125</v>
      </c>
      <c r="B27" s="76"/>
      <c r="C27" s="76"/>
      <c r="D27" s="76"/>
      <c r="E27" s="76"/>
      <c r="F27" s="37"/>
      <c r="H27" s="36"/>
    </row>
    <row r="28" spans="1:8" x14ac:dyDescent="0.25">
      <c r="A28" s="39" t="s">
        <v>126</v>
      </c>
      <c r="B28" s="76"/>
      <c r="C28" s="76"/>
      <c r="D28" s="76"/>
      <c r="E28" s="76"/>
      <c r="F28" s="37"/>
      <c r="H28" s="36"/>
    </row>
    <row r="29" spans="1:8" x14ac:dyDescent="0.25">
      <c r="A29" s="39" t="s">
        <v>127</v>
      </c>
      <c r="B29" s="76"/>
      <c r="C29" s="76"/>
      <c r="D29" s="76"/>
      <c r="E29" s="76"/>
      <c r="F29" s="37"/>
      <c r="H29" s="36"/>
    </row>
    <row r="30" spans="1:8" x14ac:dyDescent="0.25">
      <c r="A30" t="s">
        <v>128</v>
      </c>
      <c r="B30" s="77"/>
      <c r="C30" s="77"/>
      <c r="D30" s="77"/>
      <c r="E30" s="77"/>
      <c r="F30" s="37"/>
      <c r="H30" s="36"/>
    </row>
    <row r="31" spans="1:8" x14ac:dyDescent="0.25">
      <c r="B31" s="38"/>
      <c r="C31" s="41"/>
      <c r="D31" s="41"/>
      <c r="E31" s="41"/>
      <c r="F31" s="41"/>
      <c r="H31" s="36"/>
    </row>
    <row r="32" spans="1:8" x14ac:dyDescent="0.25">
      <c r="A32" t="s">
        <v>129</v>
      </c>
      <c r="B32" s="38">
        <f>B25+B26+B27+B28+B29+B30</f>
        <v>0</v>
      </c>
      <c r="C32" s="37">
        <f>C25+C26+C27+C28+C29+C30</f>
        <v>0</v>
      </c>
      <c r="D32" s="37">
        <f>D25+D26+D27+D28+D29+D30</f>
        <v>0</v>
      </c>
      <c r="E32" s="37">
        <f>E25+E26+E27+E28+E29+E30</f>
        <v>0</v>
      </c>
      <c r="F32" s="37">
        <f>F25+F26+F27+F28+F29+F30</f>
        <v>0</v>
      </c>
      <c r="H32" s="36"/>
    </row>
    <row r="33" spans="1:8" x14ac:dyDescent="0.25">
      <c r="B33" s="38"/>
      <c r="C33" s="41"/>
      <c r="D33" s="41"/>
      <c r="E33" s="41"/>
      <c r="F33" s="41"/>
      <c r="H33" s="36"/>
    </row>
    <row r="34" spans="1:8" x14ac:dyDescent="0.25">
      <c r="A34" t="s">
        <v>130</v>
      </c>
      <c r="B34" s="78"/>
      <c r="C34" s="78"/>
      <c r="D34" s="78"/>
      <c r="E34" s="78"/>
      <c r="F34" s="37"/>
      <c r="H34" s="36"/>
    </row>
    <row r="35" spans="1:8" x14ac:dyDescent="0.25">
      <c r="A35" s="39" t="s">
        <v>131</v>
      </c>
      <c r="B35" s="76"/>
      <c r="C35" s="76"/>
      <c r="D35" s="76"/>
      <c r="E35" s="76"/>
      <c r="F35" s="37"/>
      <c r="H35" s="36"/>
    </row>
    <row r="36" spans="1:8" x14ac:dyDescent="0.25">
      <c r="A36" s="39" t="s">
        <v>132</v>
      </c>
      <c r="B36" s="76"/>
      <c r="C36" s="76"/>
      <c r="D36" s="76"/>
      <c r="E36" s="76"/>
      <c r="F36" s="37"/>
      <c r="H36" s="36"/>
    </row>
    <row r="37" spans="1:8" x14ac:dyDescent="0.25">
      <c r="A37" s="39" t="s">
        <v>133</v>
      </c>
      <c r="B37" s="76"/>
      <c r="C37" s="76"/>
      <c r="D37" s="76"/>
      <c r="E37" s="76"/>
      <c r="F37" s="37"/>
      <c r="H37" s="36"/>
    </row>
    <row r="38" spans="1:8" x14ac:dyDescent="0.25">
      <c r="A38" s="39" t="s">
        <v>134</v>
      </c>
      <c r="B38" s="77"/>
      <c r="C38" s="77"/>
      <c r="D38" s="77"/>
      <c r="E38" s="77"/>
      <c r="F38" s="37"/>
      <c r="H38" s="36"/>
    </row>
    <row r="39" spans="1:8" x14ac:dyDescent="0.25">
      <c r="B39" s="38"/>
      <c r="C39" s="41"/>
      <c r="D39" s="41"/>
      <c r="E39" s="41"/>
      <c r="F39" s="41"/>
      <c r="H39" s="36"/>
    </row>
    <row r="40" spans="1:8" x14ac:dyDescent="0.25">
      <c r="A40" t="s">
        <v>135</v>
      </c>
      <c r="B40" s="44">
        <f>B32+B34+B35+B36+B37+B38</f>
        <v>0</v>
      </c>
      <c r="C40" s="45">
        <f>C32+C34+C35+C36+C37+C38</f>
        <v>0</v>
      </c>
      <c r="D40" s="45">
        <f>D32+D34+D35+D36+D37+D38</f>
        <v>0</v>
      </c>
      <c r="E40" s="45">
        <f>E32+E34+E35+E36+E37+E38</f>
        <v>0</v>
      </c>
      <c r="F40" s="45">
        <f>F32+F34+F35+F36+F37+F38</f>
        <v>0</v>
      </c>
      <c r="H40" s="36"/>
    </row>
    <row r="41" spans="1:8" x14ac:dyDescent="0.25">
      <c r="B41" s="38"/>
      <c r="C41" s="41"/>
      <c r="D41" s="41"/>
      <c r="E41" s="41"/>
      <c r="F41" s="41"/>
      <c r="H41" s="36"/>
    </row>
    <row r="42" spans="1:8" x14ac:dyDescent="0.25">
      <c r="A42" t="s">
        <v>136</v>
      </c>
      <c r="B42" s="76"/>
      <c r="C42" s="76"/>
      <c r="D42" s="76"/>
      <c r="E42" s="76"/>
      <c r="F42" s="37"/>
      <c r="H42" s="36"/>
    </row>
    <row r="43" spans="1:8" x14ac:dyDescent="0.25">
      <c r="A43" t="s">
        <v>137</v>
      </c>
      <c r="B43" s="77"/>
      <c r="C43" s="77"/>
      <c r="D43" s="77"/>
      <c r="E43" s="77"/>
      <c r="F43" s="46"/>
      <c r="H43" s="36"/>
    </row>
    <row r="44" spans="1:8" x14ac:dyDescent="0.25">
      <c r="A44" t="s">
        <v>138</v>
      </c>
      <c r="B44" s="89">
        <f>B42+B43</f>
        <v>0</v>
      </c>
      <c r="C44" s="89">
        <f>C42+C43</f>
        <v>0</v>
      </c>
      <c r="D44" s="89">
        <f>D42+D43</f>
        <v>0</v>
      </c>
      <c r="E44" s="89">
        <f>E42+E43</f>
        <v>0</v>
      </c>
      <c r="F44" s="112">
        <f>F42+F43</f>
        <v>0</v>
      </c>
      <c r="H44" s="36"/>
    </row>
    <row r="45" spans="1:8" x14ac:dyDescent="0.25">
      <c r="B45" s="38"/>
      <c r="C45" s="112"/>
      <c r="D45" s="112"/>
      <c r="E45" s="112"/>
      <c r="F45" s="112"/>
      <c r="H45" s="36"/>
    </row>
    <row r="46" spans="1:8" x14ac:dyDescent="0.25">
      <c r="A46" t="s">
        <v>139</v>
      </c>
      <c r="B46" s="89">
        <f>B40+B44</f>
        <v>0</v>
      </c>
      <c r="C46" s="89">
        <f>C40+C44</f>
        <v>0</v>
      </c>
      <c r="D46" s="89">
        <f>D40+D44</f>
        <v>0</v>
      </c>
      <c r="E46" s="89">
        <f>E40+E44</f>
        <v>0</v>
      </c>
      <c r="F46" s="112">
        <f>F40+F44</f>
        <v>0</v>
      </c>
      <c r="H46" s="36"/>
    </row>
    <row r="47" spans="1:8" x14ac:dyDescent="0.25">
      <c r="B47" s="38"/>
      <c r="C47" s="41"/>
      <c r="D47" s="41"/>
      <c r="E47" s="41"/>
      <c r="F47" s="41"/>
      <c r="H47" s="36"/>
    </row>
    <row r="48" spans="1:8" s="36" customFormat="1" x14ac:dyDescent="0.25">
      <c r="A48" s="74"/>
      <c r="B48" s="75"/>
      <c r="C48" s="34"/>
      <c r="D48" s="34"/>
      <c r="E48" s="34"/>
      <c r="F48" s="34"/>
      <c r="G48" s="22"/>
    </row>
    <row r="49" spans="2:8" x14ac:dyDescent="0.25">
      <c r="B49"/>
      <c r="H49" s="36"/>
    </row>
    <row r="50" spans="2:8" x14ac:dyDescent="0.25">
      <c r="B50" s="47"/>
      <c r="H50" s="36"/>
    </row>
    <row r="51" spans="2:8" x14ac:dyDescent="0.25">
      <c r="B51" s="47"/>
      <c r="H51" s="36"/>
    </row>
    <row r="52" spans="2:8" x14ac:dyDescent="0.25">
      <c r="B52" s="47"/>
      <c r="H52" s="36"/>
    </row>
    <row r="53" spans="2:8" x14ac:dyDescent="0.25">
      <c r="B53" s="47"/>
      <c r="H53" s="36"/>
    </row>
    <row r="54" spans="2:8" x14ac:dyDescent="0.25">
      <c r="B54" s="47"/>
      <c r="H54" s="36"/>
    </row>
    <row r="55" spans="2:8" x14ac:dyDescent="0.25">
      <c r="B55" s="47"/>
      <c r="H55" s="36"/>
    </row>
    <row r="56" spans="2:8" x14ac:dyDescent="0.25">
      <c r="B56" s="47"/>
      <c r="H56" s="36"/>
    </row>
    <row r="57" spans="2:8" x14ac:dyDescent="0.25">
      <c r="B57" s="47"/>
      <c r="H57" s="36"/>
    </row>
    <row r="58" spans="2:8" x14ac:dyDescent="0.25">
      <c r="B58" s="47"/>
      <c r="H58" s="36"/>
    </row>
    <row r="59" spans="2:8" x14ac:dyDescent="0.25">
      <c r="B59" s="47"/>
      <c r="H59" s="36"/>
    </row>
  </sheetData>
  <printOptions headings="1"/>
  <pageMargins left="0.75" right="0.75" top="1" bottom="1" header="0.5" footer="0.5"/>
  <pageSetup orientation="portrait" r:id="rId1"/>
  <headerFooter alignWithMargins="0">
    <oddFooter>&amp;L&amp;D&amp;C&amp;9Analysis for Financial Management, 6th Ed.
by Robert C. Higgins&amp;R&amp;9Published by Irwin/McGraw-Hill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Button 1">
              <controlPr defaultSize="0" print="0" autoFill="0" autoLine="0" autoPict="0" macro="[0]!GoMai">
                <anchor moveWithCells="1" sizeWithCells="1">
                  <from>
                    <xdr:col>0</xdr:col>
                    <xdr:colOff>317500</xdr:colOff>
                    <xdr:row>2</xdr:row>
                    <xdr:rowOff>57150</xdr:rowOff>
                  </from>
                  <to>
                    <xdr:col>0</xdr:col>
                    <xdr:colOff>1612900</xdr:colOff>
                    <xdr:row>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Button 2">
              <controlPr defaultSize="0" print="0" autoFill="0" autoLine="0" autoPict="0" macro="[0]!GoBB">
                <anchor moveWithCells="1" sizeWithCells="1">
                  <from>
                    <xdr:col>0</xdr:col>
                    <xdr:colOff>311150</xdr:colOff>
                    <xdr:row>4</xdr:row>
                    <xdr:rowOff>139700</xdr:rowOff>
                  </from>
                  <to>
                    <xdr:col>0</xdr:col>
                    <xdr:colOff>1600200</xdr:colOff>
                    <xdr:row>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6"/>
  <sheetViews>
    <sheetView showRowColHeaders="0" workbookViewId="0">
      <selection activeCell="C3" sqref="C3:E6"/>
    </sheetView>
  </sheetViews>
  <sheetFormatPr defaultRowHeight="12.5" x14ac:dyDescent="0.25"/>
  <cols>
    <col min="1" max="1" width="23.453125" customWidth="1"/>
    <col min="2" max="2" width="8.7265625" style="21"/>
    <col min="3" max="3" width="8.7265625" style="22"/>
    <col min="4" max="4" width="10.1796875" style="22" customWidth="1"/>
    <col min="5" max="7" width="8.7265625" style="22"/>
    <col min="9" max="9" width="13.453125" customWidth="1"/>
  </cols>
  <sheetData>
    <row r="1" spans="1:10" x14ac:dyDescent="0.25">
      <c r="A1" s="2" t="s">
        <v>140</v>
      </c>
    </row>
    <row r="2" spans="1:10" x14ac:dyDescent="0.25">
      <c r="I2" s="23" t="s">
        <v>105</v>
      </c>
      <c r="J2" s="24" t="e">
        <f>#REF!</f>
        <v>#REF!</v>
      </c>
    </row>
    <row r="3" spans="1:10" ht="13" x14ac:dyDescent="0.3">
      <c r="C3" s="25"/>
      <c r="D3" s="100" t="s">
        <v>106</v>
      </c>
      <c r="E3" s="25"/>
      <c r="I3" s="23" t="s">
        <v>107</v>
      </c>
      <c r="J3" s="24" t="e">
        <f>#REF!</f>
        <v>#REF!</v>
      </c>
    </row>
    <row r="4" spans="1:10" x14ac:dyDescent="0.25">
      <c r="C4" s="25"/>
      <c r="D4" s="25"/>
      <c r="E4" s="25"/>
      <c r="I4" s="26" t="s">
        <v>108</v>
      </c>
      <c r="J4" s="24" t="e">
        <f>#REF!</f>
        <v>#REF!</v>
      </c>
    </row>
    <row r="5" spans="1:10" x14ac:dyDescent="0.25">
      <c r="C5" s="25"/>
      <c r="D5" s="25" t="s">
        <v>109</v>
      </c>
      <c r="E5" s="25"/>
      <c r="I5" s="26" t="s">
        <v>110</v>
      </c>
      <c r="J5" s="24" t="e">
        <f>#REF!</f>
        <v>#REF!</v>
      </c>
    </row>
    <row r="6" spans="1:10" x14ac:dyDescent="0.25">
      <c r="C6" s="25"/>
      <c r="D6" s="25" t="s">
        <v>103</v>
      </c>
      <c r="E6" s="27">
        <v>31</v>
      </c>
    </row>
    <row r="7" spans="1:10" x14ac:dyDescent="0.25">
      <c r="H7" s="6"/>
    </row>
    <row r="9" spans="1:10" ht="13" x14ac:dyDescent="0.3">
      <c r="B9" s="31">
        <v>1994</v>
      </c>
      <c r="C9" s="31">
        <v>1995</v>
      </c>
      <c r="D9" s="31">
        <v>1996</v>
      </c>
      <c r="E9" s="31">
        <v>1997</v>
      </c>
      <c r="F9" s="33"/>
    </row>
    <row r="10" spans="1:10" x14ac:dyDescent="0.25">
      <c r="A10" s="4" t="s">
        <v>105</v>
      </c>
      <c r="B10" s="87"/>
      <c r="C10" s="87"/>
      <c r="D10" s="87"/>
      <c r="E10" s="87"/>
      <c r="F10" s="34"/>
    </row>
    <row r="11" spans="1:10" x14ac:dyDescent="0.25">
      <c r="A11" t="s">
        <v>141</v>
      </c>
      <c r="B11" s="79"/>
      <c r="C11" s="79"/>
      <c r="D11" s="79"/>
      <c r="E11" s="79"/>
      <c r="F11" s="37"/>
    </row>
    <row r="12" spans="1:10" x14ac:dyDescent="0.25">
      <c r="B12" s="50"/>
      <c r="C12" s="37"/>
      <c r="D12" s="37"/>
      <c r="E12" s="37"/>
      <c r="F12" s="37"/>
    </row>
    <row r="13" spans="1:10" x14ac:dyDescent="0.25">
      <c r="A13" t="s">
        <v>142</v>
      </c>
      <c r="B13" s="51">
        <f>B10-B11</f>
        <v>0</v>
      </c>
      <c r="C13" s="37">
        <f>C10-C11</f>
        <v>0</v>
      </c>
      <c r="D13" s="37">
        <f>D10-D11</f>
        <v>0</v>
      </c>
      <c r="E13" s="37">
        <f>E10-E11</f>
        <v>0</v>
      </c>
      <c r="F13" s="37">
        <f>F10-F11</f>
        <v>0</v>
      </c>
    </row>
    <row r="14" spans="1:10" x14ac:dyDescent="0.25">
      <c r="B14" s="50"/>
      <c r="C14" s="37"/>
      <c r="D14" s="37"/>
      <c r="E14" s="37"/>
      <c r="F14" s="37"/>
    </row>
    <row r="15" spans="1:10" x14ac:dyDescent="0.25">
      <c r="A15" t="s">
        <v>143</v>
      </c>
      <c r="B15" s="79"/>
      <c r="C15" s="79"/>
      <c r="D15" s="79"/>
      <c r="E15" s="79"/>
      <c r="F15" s="37"/>
    </row>
    <row r="16" spans="1:10" x14ac:dyDescent="0.25">
      <c r="B16" s="50"/>
      <c r="C16" s="37"/>
      <c r="D16" s="37"/>
      <c r="E16" s="37"/>
      <c r="F16" s="37"/>
    </row>
    <row r="17" spans="1:6" x14ac:dyDescent="0.25">
      <c r="A17" t="s">
        <v>144</v>
      </c>
      <c r="B17" s="50">
        <f>B13-B15</f>
        <v>0</v>
      </c>
      <c r="C17" s="37">
        <f>C13-C15</f>
        <v>0</v>
      </c>
      <c r="D17" s="37">
        <f>D13-D15</f>
        <v>0</v>
      </c>
      <c r="E17" s="37">
        <f>E13-E15</f>
        <v>0</v>
      </c>
      <c r="F17" s="37">
        <f>F13-F15</f>
        <v>0</v>
      </c>
    </row>
    <row r="18" spans="1:6" x14ac:dyDescent="0.25">
      <c r="B18" s="50"/>
      <c r="C18" s="37"/>
      <c r="D18" s="37"/>
      <c r="E18" s="37"/>
      <c r="F18" s="37"/>
    </row>
    <row r="19" spans="1:6" x14ac:dyDescent="0.25">
      <c r="A19" s="111" t="s">
        <v>145</v>
      </c>
      <c r="B19" s="80"/>
      <c r="C19" s="80"/>
      <c r="D19" s="80"/>
      <c r="E19" s="80"/>
      <c r="F19" s="37"/>
    </row>
    <row r="20" spans="1:6" x14ac:dyDescent="0.25">
      <c r="A20" t="s">
        <v>146</v>
      </c>
      <c r="B20" s="81"/>
      <c r="C20" s="81"/>
      <c r="D20" s="81"/>
      <c r="E20" s="81"/>
      <c r="F20" s="110"/>
    </row>
    <row r="21" spans="1:6" x14ac:dyDescent="0.25">
      <c r="A21" t="s">
        <v>147</v>
      </c>
      <c r="B21" s="79"/>
      <c r="C21" s="79"/>
      <c r="D21" s="79"/>
      <c r="E21" s="79"/>
      <c r="F21" s="110"/>
    </row>
    <row r="22" spans="1:6" x14ac:dyDescent="0.25">
      <c r="B22" s="53"/>
      <c r="C22" s="37"/>
      <c r="D22" s="37"/>
      <c r="E22" s="37"/>
      <c r="F22" s="37"/>
    </row>
    <row r="23" spans="1:6" x14ac:dyDescent="0.25">
      <c r="A23" t="s">
        <v>148</v>
      </c>
      <c r="B23" s="53">
        <f>B17+B19+B20-B21</f>
        <v>0</v>
      </c>
      <c r="C23" s="37">
        <f>C17+C19+C20-C21</f>
        <v>0</v>
      </c>
      <c r="D23" s="37">
        <f>D17+D19+D20-D21</f>
        <v>0</v>
      </c>
      <c r="E23" s="37">
        <f>E17+E19+E20-E21</f>
        <v>0</v>
      </c>
      <c r="F23" s="37">
        <f>F17+F19+F20-F21</f>
        <v>0</v>
      </c>
    </row>
    <row r="24" spans="1:6" x14ac:dyDescent="0.25">
      <c r="A24" t="s">
        <v>149</v>
      </c>
      <c r="B24" s="82"/>
      <c r="C24" s="82"/>
      <c r="D24" s="82"/>
      <c r="E24" s="82"/>
      <c r="F24" s="37"/>
    </row>
    <row r="25" spans="1:6" x14ac:dyDescent="0.25">
      <c r="B25" s="53"/>
      <c r="C25" s="37"/>
      <c r="D25" s="37"/>
      <c r="E25" s="37"/>
      <c r="F25" s="37"/>
    </row>
    <row r="26" spans="1:6" x14ac:dyDescent="0.25">
      <c r="A26" t="s">
        <v>150</v>
      </c>
      <c r="B26" s="99">
        <f>B23-B24</f>
        <v>0</v>
      </c>
      <c r="C26" s="99">
        <f>C23-C24</f>
        <v>0</v>
      </c>
      <c r="D26" s="99">
        <f>D23-D24</f>
        <v>0</v>
      </c>
      <c r="E26" s="99">
        <f>E23-E24</f>
        <v>0</v>
      </c>
      <c r="F26" s="112">
        <f>F23-F24</f>
        <v>0</v>
      </c>
    </row>
    <row r="27" spans="1:6" x14ac:dyDescent="0.25">
      <c r="B27" s="50"/>
      <c r="C27" s="37"/>
      <c r="D27" s="37"/>
      <c r="E27" s="37"/>
      <c r="F27" s="37"/>
    </row>
    <row r="28" spans="1:6" x14ac:dyDescent="0.25">
      <c r="A28" s="52" t="s">
        <v>151</v>
      </c>
      <c r="B28" s="81"/>
      <c r="C28" s="81"/>
      <c r="D28" s="81"/>
      <c r="E28" s="81"/>
      <c r="F28" s="110"/>
    </row>
    <row r="29" spans="1:6" x14ac:dyDescent="0.25">
      <c r="A29" s="52" t="s">
        <v>152</v>
      </c>
      <c r="B29" s="81"/>
      <c r="C29" s="81"/>
      <c r="D29" s="81"/>
      <c r="E29" s="81"/>
      <c r="F29" s="110"/>
    </row>
    <row r="30" spans="1:6" x14ac:dyDescent="0.25">
      <c r="A30" t="s">
        <v>153</v>
      </c>
      <c r="B30" s="79"/>
      <c r="C30" s="79"/>
      <c r="D30" s="79"/>
      <c r="E30" s="79"/>
      <c r="F30" s="110"/>
    </row>
    <row r="31" spans="1:6" x14ac:dyDescent="0.25">
      <c r="B31" s="54"/>
      <c r="C31" s="37"/>
      <c r="D31" s="37"/>
      <c r="E31" s="37"/>
      <c r="F31" s="37"/>
    </row>
    <row r="32" spans="1:6" x14ac:dyDescent="0.25">
      <c r="A32" t="s">
        <v>154</v>
      </c>
      <c r="B32" s="99">
        <f>B26+B28+B29-B30</f>
        <v>0</v>
      </c>
      <c r="C32" s="99">
        <f>C26+C28+C29-C30</f>
        <v>0</v>
      </c>
      <c r="D32" s="99">
        <f>D26+D28+D29-D30</f>
        <v>0</v>
      </c>
      <c r="E32" s="99">
        <f>E26+E28+E29-E30</f>
        <v>0</v>
      </c>
      <c r="F32" s="112">
        <f>F26+F28+F29-F30</f>
        <v>0</v>
      </c>
    </row>
    <row r="33" spans="1:6" x14ac:dyDescent="0.25">
      <c r="B33" s="54"/>
      <c r="C33" s="37"/>
      <c r="D33" s="37"/>
      <c r="E33" s="37"/>
      <c r="F33" s="37"/>
    </row>
    <row r="34" spans="1:6" x14ac:dyDescent="0.25">
      <c r="A34" t="s">
        <v>155</v>
      </c>
      <c r="B34" s="79"/>
      <c r="C34" s="79"/>
      <c r="D34" s="79"/>
      <c r="E34" s="79"/>
      <c r="F34" s="37"/>
    </row>
    <row r="35" spans="1:6" x14ac:dyDescent="0.25">
      <c r="B35" s="54"/>
      <c r="C35" s="37"/>
      <c r="D35" s="37"/>
      <c r="E35" s="37"/>
      <c r="F35" s="37"/>
    </row>
    <row r="36" spans="1:6" x14ac:dyDescent="0.25">
      <c r="A36" t="s">
        <v>156</v>
      </c>
      <c r="B36" s="99">
        <f>B32-B34</f>
        <v>0</v>
      </c>
      <c r="C36" s="99">
        <f>C32-C34</f>
        <v>0</v>
      </c>
      <c r="D36" s="99">
        <f>D32-D34</f>
        <v>0</v>
      </c>
      <c r="E36" s="99">
        <f>E32-E34</f>
        <v>0</v>
      </c>
      <c r="F36" s="112">
        <f>F32-F34</f>
        <v>0</v>
      </c>
    </row>
  </sheetData>
  <printOptions headings="1"/>
  <pageMargins left="0.75" right="0.75" top="1" bottom="1" header="0.5" footer="0.5"/>
  <pageSetup orientation="portrait" r:id="rId1"/>
  <headerFooter alignWithMargins="0">
    <oddFooter>&amp;L&amp;D&amp;C&amp;9Analysis for Financial Management, 6th Ed.
by Robert C. Higgins&amp;R&amp;9Published by Irwin/McGraw-Hill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Button 1">
              <controlPr defaultSize="0" print="0" autoFill="0" autoLine="0" autoPict="0" macro="[0]!GoMai">
                <anchor moveWithCells="1" sizeWithCells="1">
                  <from>
                    <xdr:col>0</xdr:col>
                    <xdr:colOff>336550</xdr:colOff>
                    <xdr:row>2</xdr:row>
                    <xdr:rowOff>69850</xdr:rowOff>
                  </from>
                  <to>
                    <xdr:col>0</xdr:col>
                    <xdr:colOff>1625600</xdr:colOff>
                    <xdr:row>4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Button 2">
              <controlPr defaultSize="0" print="0" autoFill="0" autoLine="0" autoPict="0" macro="[0]!Ready">
                <anchor moveWithCells="1" sizeWithCells="1">
                  <from>
                    <xdr:col>0</xdr:col>
                    <xdr:colOff>336550</xdr:colOff>
                    <xdr:row>4</xdr:row>
                    <xdr:rowOff>152400</xdr:rowOff>
                  </from>
                  <to>
                    <xdr:col>0</xdr:col>
                    <xdr:colOff>1625600</xdr:colOff>
                    <xdr:row>6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59"/>
  <sheetViews>
    <sheetView showRowColHeaders="0" workbookViewId="0">
      <selection activeCell="C3" sqref="C3:E6"/>
    </sheetView>
  </sheetViews>
  <sheetFormatPr defaultRowHeight="12.5" x14ac:dyDescent="0.25"/>
  <cols>
    <col min="1" max="1" width="23.1796875" customWidth="1"/>
    <col min="2" max="2" width="9.1796875" customWidth="1"/>
    <col min="3" max="3" width="8.7265625" style="104"/>
    <col min="4" max="4" width="8.7265625" style="22"/>
    <col min="5" max="5" width="11.453125" style="22" customWidth="1"/>
    <col min="6" max="7" width="8.7265625" style="22"/>
    <col min="8" max="8" width="13.453125" style="22" customWidth="1"/>
    <col min="10" max="10" width="13.453125" customWidth="1"/>
  </cols>
  <sheetData>
    <row r="1" spans="1:11" x14ac:dyDescent="0.25">
      <c r="A1" s="2" t="s">
        <v>157</v>
      </c>
      <c r="B1" s="2"/>
    </row>
    <row r="2" spans="1:11" x14ac:dyDescent="0.25">
      <c r="J2" s="23" t="s">
        <v>105</v>
      </c>
      <c r="K2" s="24" t="e">
        <f>#REF!</f>
        <v>#REF!</v>
      </c>
    </row>
    <row r="3" spans="1:11" ht="13" x14ac:dyDescent="0.3">
      <c r="C3" s="25"/>
      <c r="D3" s="100" t="s">
        <v>106</v>
      </c>
      <c r="E3" s="25"/>
      <c r="F3" s="25"/>
      <c r="J3" s="23" t="s">
        <v>107</v>
      </c>
      <c r="K3" s="24" t="e">
        <f>#REF!</f>
        <v>#REF!</v>
      </c>
    </row>
    <row r="4" spans="1:11" x14ac:dyDescent="0.25">
      <c r="C4" s="25"/>
      <c r="D4" s="25"/>
      <c r="E4" s="25"/>
      <c r="F4" s="25"/>
      <c r="J4" s="26" t="s">
        <v>108</v>
      </c>
      <c r="K4" s="24" t="e">
        <f>#REF!</f>
        <v>#REF!</v>
      </c>
    </row>
    <row r="5" spans="1:11" x14ac:dyDescent="0.25">
      <c r="C5" s="25"/>
      <c r="D5" s="25" t="s">
        <v>109</v>
      </c>
      <c r="E5" s="25"/>
      <c r="F5" s="25"/>
      <c r="J5" s="26" t="s">
        <v>110</v>
      </c>
      <c r="K5" s="24" t="e">
        <f>#REF!</f>
        <v>#REF!</v>
      </c>
    </row>
    <row r="6" spans="1:11" x14ac:dyDescent="0.25">
      <c r="C6" s="25"/>
      <c r="D6" s="25" t="s">
        <v>103</v>
      </c>
      <c r="E6" s="27">
        <v>31</v>
      </c>
      <c r="F6" s="27"/>
    </row>
    <row r="8" spans="1:11" x14ac:dyDescent="0.25">
      <c r="C8" s="105"/>
      <c r="D8" s="29"/>
      <c r="E8" s="29"/>
      <c r="F8" s="29"/>
      <c r="G8" s="29"/>
    </row>
    <row r="9" spans="1:11" ht="13" x14ac:dyDescent="0.3">
      <c r="A9" s="30" t="s">
        <v>111</v>
      </c>
      <c r="C9" s="31">
        <v>1995</v>
      </c>
      <c r="D9" s="31">
        <v>1996</v>
      </c>
      <c r="E9" s="31">
        <v>1997</v>
      </c>
      <c r="F9" s="33"/>
      <c r="G9" s="33"/>
    </row>
    <row r="10" spans="1:11" x14ac:dyDescent="0.25">
      <c r="A10" t="s">
        <v>112</v>
      </c>
      <c r="C10" s="113">
        <f>BalanceSheets!C10-BalanceSheets!B10</f>
        <v>-3</v>
      </c>
      <c r="D10" s="113">
        <f>BalanceSheets!D10-BalanceSheets!C10</f>
        <v>-8</v>
      </c>
      <c r="E10" s="113">
        <f>BalanceSheets!E10-BalanceSheets!D10</f>
        <v>-10</v>
      </c>
      <c r="F10" s="112">
        <f>BalanceSheets!F10-BalanceSheets!E10</f>
        <v>-15</v>
      </c>
      <c r="G10" s="34"/>
      <c r="H10" s="35"/>
      <c r="I10" s="36"/>
    </row>
    <row r="11" spans="1:11" x14ac:dyDescent="0.25">
      <c r="A11" t="s">
        <v>113</v>
      </c>
      <c r="C11" s="37">
        <f>BalanceSheets!C11-BalanceSheets!B11</f>
        <v>0</v>
      </c>
      <c r="D11" s="37">
        <f>BalanceSheets!D11-BalanceSheets!C11</f>
        <v>0</v>
      </c>
      <c r="E11" s="37">
        <f>BalanceSheets!E11-BalanceSheets!D11</f>
        <v>0</v>
      </c>
      <c r="F11" s="37">
        <f>BalanceSheets!F11-BalanceSheets!E11</f>
        <v>0</v>
      </c>
      <c r="G11" s="37"/>
      <c r="I11" s="36"/>
    </row>
    <row r="12" spans="1:11" x14ac:dyDescent="0.25">
      <c r="A12" s="4" t="s">
        <v>114</v>
      </c>
      <c r="B12" s="4"/>
      <c r="C12" s="37">
        <f>BalanceSheets!C12-BalanceSheets!B12</f>
        <v>-402</v>
      </c>
      <c r="D12" s="37">
        <f>BalanceSheets!D12-BalanceSheets!C12</f>
        <v>0</v>
      </c>
      <c r="E12" s="37">
        <f>BalanceSheets!E12-BalanceSheets!D12</f>
        <v>0</v>
      </c>
      <c r="F12" s="37">
        <f>BalanceSheets!F12-BalanceSheets!E12</f>
        <v>0</v>
      </c>
      <c r="G12" s="37"/>
      <c r="I12" s="36"/>
    </row>
    <row r="13" spans="1:11" x14ac:dyDescent="0.25">
      <c r="A13" t="s">
        <v>115</v>
      </c>
      <c r="C13" s="37">
        <f>BalanceSheets!C13-BalanceSheets!B13</f>
        <v>0</v>
      </c>
      <c r="D13" s="37">
        <f>BalanceSheets!D13-BalanceSheets!C13</f>
        <v>0</v>
      </c>
      <c r="E13" s="37">
        <f>BalanceSheets!E13-BalanceSheets!D13</f>
        <v>0</v>
      </c>
      <c r="F13" s="37">
        <f>BalanceSheets!F13-BalanceSheets!E13</f>
        <v>0</v>
      </c>
      <c r="G13" s="37"/>
      <c r="I13" s="36"/>
    </row>
    <row r="14" spans="1:11" x14ac:dyDescent="0.25">
      <c r="A14" s="39" t="s">
        <v>116</v>
      </c>
      <c r="B14" s="39"/>
      <c r="C14" s="101">
        <f>BalanceSheets!C14-BalanceSheets!B14</f>
        <v>0</v>
      </c>
      <c r="D14" s="101">
        <f>BalanceSheets!D14-BalanceSheets!C14</f>
        <v>0</v>
      </c>
      <c r="E14" s="101">
        <f>BalanceSheets!E14-BalanceSheets!D14</f>
        <v>0</v>
      </c>
      <c r="F14" s="37">
        <f>BalanceSheets!F14-BalanceSheets!E14</f>
        <v>0</v>
      </c>
      <c r="G14" s="37"/>
      <c r="I14" s="36"/>
    </row>
    <row r="15" spans="1:11" x14ac:dyDescent="0.25">
      <c r="A15" s="40"/>
      <c r="B15" s="40"/>
      <c r="C15" s="49"/>
      <c r="D15" s="41"/>
      <c r="E15" s="41"/>
      <c r="F15" s="41"/>
      <c r="G15" s="41"/>
      <c r="I15" s="36"/>
    </row>
    <row r="16" spans="1:11" x14ac:dyDescent="0.25">
      <c r="A16" t="s">
        <v>117</v>
      </c>
      <c r="C16" s="49">
        <f>C10+C11+C12+C13+C14</f>
        <v>-405</v>
      </c>
      <c r="D16" s="37">
        <f>D10+D11+D12+D13+D14</f>
        <v>-8</v>
      </c>
      <c r="E16" s="37">
        <f>E10+E11+E12+E13+E14</f>
        <v>-10</v>
      </c>
      <c r="F16" s="37">
        <f>F10+F11+F12+F13+F14</f>
        <v>-15</v>
      </c>
      <c r="G16" s="37"/>
      <c r="I16" s="36"/>
    </row>
    <row r="17" spans="1:9" x14ac:dyDescent="0.25">
      <c r="C17" s="49"/>
      <c r="D17" s="41"/>
      <c r="E17" s="41"/>
      <c r="F17" s="41"/>
      <c r="G17" s="41"/>
      <c r="I17" s="36"/>
    </row>
    <row r="18" spans="1:9" x14ac:dyDescent="0.25">
      <c r="A18" t="s">
        <v>118</v>
      </c>
      <c r="C18" s="37">
        <f>BalanceSheets!C18-BalanceSheets!B18</f>
        <v>0</v>
      </c>
      <c r="D18" s="37">
        <f>BalanceSheets!D18-BalanceSheets!C18</f>
        <v>0</v>
      </c>
      <c r="E18" s="37">
        <f>BalanceSheets!E18-BalanceSheets!D18</f>
        <v>0</v>
      </c>
      <c r="F18" s="37">
        <f>BalanceSheets!F18-BalanceSheets!E18</f>
        <v>0</v>
      </c>
      <c r="G18" s="37"/>
      <c r="I18" s="36"/>
    </row>
    <row r="19" spans="1:9" x14ac:dyDescent="0.25">
      <c r="A19" s="39" t="s">
        <v>119</v>
      </c>
      <c r="B19" s="39"/>
      <c r="C19" s="37">
        <f>BalanceSheets!C19-BalanceSheets!B19</f>
        <v>0</v>
      </c>
      <c r="D19" s="37">
        <f>BalanceSheets!D19-BalanceSheets!C19</f>
        <v>0</v>
      </c>
      <c r="E19" s="37">
        <f>BalanceSheets!E19-BalanceSheets!D19</f>
        <v>0</v>
      </c>
      <c r="F19" s="37">
        <f>BalanceSheets!F19-BalanceSheets!E19</f>
        <v>0</v>
      </c>
      <c r="G19" s="37"/>
      <c r="I19" s="36"/>
    </row>
    <row r="20" spans="1:9" x14ac:dyDescent="0.25">
      <c r="A20" s="39" t="s">
        <v>120</v>
      </c>
      <c r="B20" s="39"/>
      <c r="C20" s="101">
        <f>BalanceSheets!C20-BalanceSheets!B20</f>
        <v>0</v>
      </c>
      <c r="D20" s="101">
        <f>BalanceSheets!D20-BalanceSheets!C20</f>
        <v>0</v>
      </c>
      <c r="E20" s="101">
        <f>BalanceSheets!E20-BalanceSheets!D20</f>
        <v>0</v>
      </c>
      <c r="F20" s="37">
        <f>BalanceSheets!F20-BalanceSheets!E20</f>
        <v>0</v>
      </c>
      <c r="G20" s="37"/>
      <c r="I20" s="36"/>
    </row>
    <row r="21" spans="1:9" x14ac:dyDescent="0.25">
      <c r="C21" s="49"/>
      <c r="D21" s="41"/>
      <c r="E21" s="41"/>
      <c r="F21" s="41"/>
      <c r="G21" s="41"/>
      <c r="I21" s="36"/>
    </row>
    <row r="22" spans="1:9" x14ac:dyDescent="0.25">
      <c r="A22" t="s">
        <v>121</v>
      </c>
      <c r="C22" s="102">
        <f>C16+C18+C19+C20</f>
        <v>-405</v>
      </c>
      <c r="D22" s="102">
        <f>D16+D18+D19+D20</f>
        <v>-8</v>
      </c>
      <c r="E22" s="102">
        <f>E16+E18+E19+E20</f>
        <v>-10</v>
      </c>
      <c r="F22" s="112">
        <f>F16+F18+F19+F20</f>
        <v>-15</v>
      </c>
      <c r="G22" s="34"/>
      <c r="I22" s="36"/>
    </row>
    <row r="23" spans="1:9" x14ac:dyDescent="0.25">
      <c r="C23" s="49"/>
      <c r="D23" s="41"/>
      <c r="E23" s="41"/>
      <c r="F23" s="41"/>
      <c r="G23" s="41"/>
      <c r="I23" s="36"/>
    </row>
    <row r="24" spans="1:9" ht="13" x14ac:dyDescent="0.3">
      <c r="A24" s="43" t="s">
        <v>122</v>
      </c>
      <c r="B24" s="43"/>
      <c r="C24" s="49"/>
      <c r="D24" s="41"/>
      <c r="E24" s="41"/>
      <c r="F24" s="41"/>
      <c r="G24" s="41"/>
      <c r="I24" s="36"/>
    </row>
    <row r="25" spans="1:9" x14ac:dyDescent="0.25">
      <c r="A25" t="s">
        <v>123</v>
      </c>
      <c r="C25" s="37">
        <f>BalanceSheets!C25-BalanceSheets!B25</f>
        <v>0</v>
      </c>
      <c r="D25" s="37">
        <f>BalanceSheets!D25-BalanceSheets!C25</f>
        <v>0</v>
      </c>
      <c r="E25" s="37">
        <f>BalanceSheets!E25-BalanceSheets!D25</f>
        <v>0</v>
      </c>
      <c r="F25" s="37">
        <f>BalanceSheets!F25-BalanceSheets!E25</f>
        <v>0</v>
      </c>
      <c r="G25" s="37"/>
      <c r="I25" s="36"/>
    </row>
    <row r="26" spans="1:9" x14ac:dyDescent="0.25">
      <c r="A26" s="39" t="s">
        <v>124</v>
      </c>
      <c r="B26" s="39"/>
      <c r="C26" s="37">
        <f>BalanceSheets!C26-BalanceSheets!B26</f>
        <v>0</v>
      </c>
      <c r="D26" s="37">
        <f>BalanceSheets!D26-BalanceSheets!C26</f>
        <v>0</v>
      </c>
      <c r="E26" s="37">
        <f>BalanceSheets!E26-BalanceSheets!D26</f>
        <v>0</v>
      </c>
      <c r="F26" s="37">
        <f>BalanceSheets!F26-BalanceSheets!E26</f>
        <v>0</v>
      </c>
      <c r="G26" s="37"/>
      <c r="I26" s="36"/>
    </row>
    <row r="27" spans="1:9" x14ac:dyDescent="0.25">
      <c r="A27" t="s">
        <v>125</v>
      </c>
      <c r="C27" s="37">
        <f>BalanceSheets!C27-BalanceSheets!B27</f>
        <v>0</v>
      </c>
      <c r="D27" s="37">
        <f>BalanceSheets!D27-BalanceSheets!C27</f>
        <v>0</v>
      </c>
      <c r="E27" s="37">
        <f>BalanceSheets!E27-BalanceSheets!D27</f>
        <v>0</v>
      </c>
      <c r="F27" s="37">
        <f>BalanceSheets!F27-BalanceSheets!E27</f>
        <v>0</v>
      </c>
      <c r="G27" s="37"/>
      <c r="I27" s="36"/>
    </row>
    <row r="28" spans="1:9" x14ac:dyDescent="0.25">
      <c r="A28" s="39" t="s">
        <v>126</v>
      </c>
      <c r="B28" s="39"/>
      <c r="C28" s="37">
        <f>BalanceSheets!C28-BalanceSheets!B28</f>
        <v>0</v>
      </c>
      <c r="D28" s="37">
        <f>BalanceSheets!D28-BalanceSheets!C28</f>
        <v>0</v>
      </c>
      <c r="E28" s="37">
        <f>BalanceSheets!E28-BalanceSheets!D28</f>
        <v>0</v>
      </c>
      <c r="F28" s="37">
        <f>BalanceSheets!F28-BalanceSheets!E28</f>
        <v>0</v>
      </c>
      <c r="G28" s="37"/>
      <c r="I28" s="36"/>
    </row>
    <row r="29" spans="1:9" x14ac:dyDescent="0.25">
      <c r="A29" s="39" t="s">
        <v>127</v>
      </c>
      <c r="B29" s="39"/>
      <c r="C29" s="37">
        <f>BalanceSheets!C29-BalanceSheets!B29</f>
        <v>0</v>
      </c>
      <c r="D29" s="37">
        <f>BalanceSheets!D29-BalanceSheets!C29</f>
        <v>0</v>
      </c>
      <c r="E29" s="37">
        <f>BalanceSheets!E29-BalanceSheets!D29</f>
        <v>0</v>
      </c>
      <c r="F29" s="37">
        <f>BalanceSheets!F29-BalanceSheets!E29</f>
        <v>0</v>
      </c>
      <c r="G29" s="37"/>
      <c r="I29" s="36"/>
    </row>
    <row r="30" spans="1:9" x14ac:dyDescent="0.25">
      <c r="A30" t="s">
        <v>128</v>
      </c>
      <c r="C30" s="101">
        <f>BalanceSheets!C30-BalanceSheets!B30</f>
        <v>0</v>
      </c>
      <c r="D30" s="101">
        <f>BalanceSheets!D30-BalanceSheets!C30</f>
        <v>0</v>
      </c>
      <c r="E30" s="101">
        <f>BalanceSheets!E30-BalanceSheets!D30</f>
        <v>0</v>
      </c>
      <c r="F30" s="37">
        <f>BalanceSheets!F30-BalanceSheets!E30</f>
        <v>0</v>
      </c>
      <c r="G30" s="37"/>
      <c r="I30" s="36"/>
    </row>
    <row r="31" spans="1:9" x14ac:dyDescent="0.25">
      <c r="C31" s="49"/>
      <c r="D31" s="41"/>
      <c r="E31" s="41"/>
      <c r="F31" s="41"/>
      <c r="G31" s="41"/>
      <c r="I31" s="36"/>
    </row>
    <row r="32" spans="1:9" x14ac:dyDescent="0.25">
      <c r="A32" t="s">
        <v>129</v>
      </c>
      <c r="C32" s="49">
        <f>C26+C27+C28+C29+C30</f>
        <v>0</v>
      </c>
      <c r="D32" s="37">
        <f>D26+D27+D28+D29+D30</f>
        <v>0</v>
      </c>
      <c r="E32" s="37">
        <f>E26+E27+E28+E29+E30</f>
        <v>0</v>
      </c>
      <c r="F32" s="37">
        <f>F26+F27+F28+F29+F30</f>
        <v>0</v>
      </c>
      <c r="G32" s="37"/>
      <c r="I32" s="36"/>
    </row>
    <row r="33" spans="1:9" x14ac:dyDescent="0.25">
      <c r="C33" s="49"/>
      <c r="D33" s="41"/>
      <c r="E33" s="41"/>
      <c r="F33" s="41"/>
      <c r="G33" s="41"/>
      <c r="I33" s="36"/>
    </row>
    <row r="34" spans="1:9" x14ac:dyDescent="0.25">
      <c r="A34" t="s">
        <v>130</v>
      </c>
      <c r="C34" s="37">
        <f>BalanceSheets!C34-BalanceSheets!B34</f>
        <v>0</v>
      </c>
      <c r="D34" s="37">
        <f>BalanceSheets!D34-BalanceSheets!C34</f>
        <v>0</v>
      </c>
      <c r="E34" s="37">
        <f>BalanceSheets!E34-BalanceSheets!D34</f>
        <v>0</v>
      </c>
      <c r="F34" s="37">
        <f>BalanceSheets!F34-BalanceSheets!E34</f>
        <v>0</v>
      </c>
      <c r="G34" s="37"/>
      <c r="I34" s="36"/>
    </row>
    <row r="35" spans="1:9" x14ac:dyDescent="0.25">
      <c r="A35" s="39" t="s">
        <v>131</v>
      </c>
      <c r="B35" s="39"/>
      <c r="C35" s="37">
        <f>BalanceSheets!C35-BalanceSheets!B35</f>
        <v>0</v>
      </c>
      <c r="D35" s="37">
        <f>BalanceSheets!D35-BalanceSheets!C35</f>
        <v>0</v>
      </c>
      <c r="E35" s="37">
        <f>BalanceSheets!E35-BalanceSheets!D35</f>
        <v>0</v>
      </c>
      <c r="F35" s="37">
        <f>BalanceSheets!F35-BalanceSheets!E35</f>
        <v>0</v>
      </c>
      <c r="G35" s="37"/>
      <c r="I35" s="36"/>
    </row>
    <row r="36" spans="1:9" x14ac:dyDescent="0.25">
      <c r="A36" s="39" t="s">
        <v>132</v>
      </c>
      <c r="B36" s="39"/>
      <c r="C36" s="37">
        <f>BalanceSheets!C36-BalanceSheets!B36</f>
        <v>0</v>
      </c>
      <c r="D36" s="37">
        <f>BalanceSheets!D36-BalanceSheets!C36</f>
        <v>0</v>
      </c>
      <c r="E36" s="37">
        <f>BalanceSheets!E36-BalanceSheets!D36</f>
        <v>0</v>
      </c>
      <c r="F36" s="37">
        <f>BalanceSheets!F36-BalanceSheets!E36</f>
        <v>0</v>
      </c>
      <c r="G36" s="37"/>
      <c r="I36" s="36"/>
    </row>
    <row r="37" spans="1:9" x14ac:dyDescent="0.25">
      <c r="A37" s="39" t="s">
        <v>133</v>
      </c>
      <c r="B37" s="39"/>
      <c r="C37" s="37">
        <f>BalanceSheets!C37-BalanceSheets!B37</f>
        <v>0</v>
      </c>
      <c r="D37" s="37">
        <f>BalanceSheets!D37-BalanceSheets!C37</f>
        <v>0</v>
      </c>
      <c r="E37" s="37">
        <f>BalanceSheets!E37-BalanceSheets!D37</f>
        <v>0</v>
      </c>
      <c r="F37" s="37">
        <f>BalanceSheets!F37-BalanceSheets!E37</f>
        <v>0</v>
      </c>
      <c r="G37" s="37"/>
      <c r="I37" s="36"/>
    </row>
    <row r="38" spans="1:9" x14ac:dyDescent="0.25">
      <c r="A38" s="39" t="s">
        <v>134</v>
      </c>
      <c r="B38" s="39"/>
      <c r="C38" s="101">
        <f>BalanceSheets!C38-BalanceSheets!B38</f>
        <v>0</v>
      </c>
      <c r="D38" s="101">
        <f>BalanceSheets!D38-BalanceSheets!C38</f>
        <v>0</v>
      </c>
      <c r="E38" s="101">
        <f>BalanceSheets!E38-BalanceSheets!D38</f>
        <v>0</v>
      </c>
      <c r="F38" s="37">
        <f>BalanceSheets!F38-BalanceSheets!E38</f>
        <v>0</v>
      </c>
      <c r="G38" s="37"/>
      <c r="I38" s="36"/>
    </row>
    <row r="39" spans="1:9" x14ac:dyDescent="0.25">
      <c r="C39" s="49"/>
      <c r="D39" s="41"/>
      <c r="E39" s="41"/>
      <c r="F39" s="41"/>
      <c r="G39" s="41"/>
      <c r="I39" s="36"/>
    </row>
    <row r="40" spans="1:9" x14ac:dyDescent="0.25">
      <c r="A40" t="s">
        <v>135</v>
      </c>
      <c r="C40" s="106">
        <f>C32+C34+C35+C36+C37+C38</f>
        <v>0</v>
      </c>
      <c r="D40" s="45">
        <f>D32+D34+D35+D36+D37+D38</f>
        <v>0</v>
      </c>
      <c r="E40" s="45">
        <f>E32+E34+E35+E36+E37+E38</f>
        <v>0</v>
      </c>
      <c r="F40" s="45">
        <f>F32+F34+F35+F36+F37+F38</f>
        <v>0</v>
      </c>
      <c r="G40" s="45"/>
      <c r="I40" s="36"/>
    </row>
    <row r="41" spans="1:9" x14ac:dyDescent="0.25">
      <c r="C41" s="49"/>
      <c r="D41" s="41"/>
      <c r="E41" s="41"/>
      <c r="F41" s="41"/>
      <c r="G41" s="41"/>
      <c r="I41" s="36"/>
    </row>
    <row r="42" spans="1:9" x14ac:dyDescent="0.25">
      <c r="A42" t="s">
        <v>136</v>
      </c>
      <c r="C42" s="37">
        <f>BalanceSheets!C42-BalanceSheets!B42</f>
        <v>0</v>
      </c>
      <c r="D42" s="37">
        <f>BalanceSheets!D42-BalanceSheets!C42</f>
        <v>0</v>
      </c>
      <c r="E42" s="37">
        <f>BalanceSheets!E42-BalanceSheets!D42</f>
        <v>0</v>
      </c>
      <c r="F42" s="37">
        <f>BalanceSheets!F42-BalanceSheets!E42</f>
        <v>0</v>
      </c>
      <c r="G42" s="37"/>
      <c r="I42" s="36"/>
    </row>
    <row r="43" spans="1:9" x14ac:dyDescent="0.25">
      <c r="A43" t="s">
        <v>137</v>
      </c>
      <c r="C43" s="101">
        <f>BalanceSheets!C43-BalanceSheets!B43</f>
        <v>0</v>
      </c>
      <c r="D43" s="101">
        <f>BalanceSheets!D43-BalanceSheets!C43</f>
        <v>0</v>
      </c>
      <c r="E43" s="101">
        <f>BalanceSheets!E43-BalanceSheets!D43</f>
        <v>0</v>
      </c>
      <c r="F43" s="37">
        <f>BalanceSheets!F43-BalanceSheets!E43</f>
        <v>0</v>
      </c>
      <c r="G43" s="46"/>
      <c r="I43" s="36"/>
    </row>
    <row r="44" spans="1:9" x14ac:dyDescent="0.25">
      <c r="A44" t="s">
        <v>138</v>
      </c>
      <c r="C44" s="101">
        <f>BalanceSheets!C44-BalanceSheets!B44</f>
        <v>0</v>
      </c>
      <c r="D44" s="101">
        <f>BalanceSheets!D44-BalanceSheets!C44</f>
        <v>0</v>
      </c>
      <c r="E44" s="101">
        <f>BalanceSheets!E44-BalanceSheets!D44</f>
        <v>0</v>
      </c>
      <c r="F44" s="37">
        <f>BalanceSheets!F44-BalanceSheets!E44</f>
        <v>0</v>
      </c>
      <c r="G44" s="37"/>
      <c r="I44" s="36"/>
    </row>
    <row r="45" spans="1:9" x14ac:dyDescent="0.25">
      <c r="C45" s="49"/>
      <c r="D45" s="41"/>
      <c r="E45" s="41"/>
      <c r="F45" s="41"/>
      <c r="G45" s="41"/>
      <c r="I45" s="36"/>
    </row>
    <row r="46" spans="1:9" x14ac:dyDescent="0.25">
      <c r="A46" t="s">
        <v>139</v>
      </c>
      <c r="C46" s="102">
        <f>C40+C44</f>
        <v>0</v>
      </c>
      <c r="D46" s="102">
        <f>D40+D44</f>
        <v>0</v>
      </c>
      <c r="E46" s="102">
        <f>E40+E44</f>
        <v>0</v>
      </c>
      <c r="F46" s="112">
        <f>F40+F44</f>
        <v>0</v>
      </c>
      <c r="G46" s="34"/>
      <c r="I46" s="36"/>
    </row>
    <row r="47" spans="1:9" x14ac:dyDescent="0.25">
      <c r="C47" s="49"/>
      <c r="D47" s="41"/>
      <c r="E47" s="41"/>
      <c r="F47" s="41"/>
      <c r="G47" s="41"/>
      <c r="I47" s="36"/>
    </row>
    <row r="48" spans="1:9" s="36" customFormat="1" x14ac:dyDescent="0.25">
      <c r="A48" s="115" t="s">
        <v>158</v>
      </c>
      <c r="B48" s="83"/>
      <c r="C48" s="34"/>
      <c r="D48" s="34"/>
      <c r="E48" s="34"/>
      <c r="F48" s="34"/>
      <c r="G48" s="34"/>
      <c r="H48" s="22"/>
    </row>
    <row r="49" spans="3:9" x14ac:dyDescent="0.25">
      <c r="C49" s="48"/>
      <c r="I49" s="36"/>
    </row>
    <row r="50" spans="3:9" x14ac:dyDescent="0.25">
      <c r="I50" s="36"/>
    </row>
    <row r="51" spans="3:9" x14ac:dyDescent="0.25">
      <c r="I51" s="36"/>
    </row>
    <row r="52" spans="3:9" x14ac:dyDescent="0.25">
      <c r="I52" s="36"/>
    </row>
    <row r="53" spans="3:9" x14ac:dyDescent="0.25">
      <c r="I53" s="36"/>
    </row>
    <row r="54" spans="3:9" x14ac:dyDescent="0.25">
      <c r="I54" s="36"/>
    </row>
    <row r="55" spans="3:9" x14ac:dyDescent="0.25">
      <c r="I55" s="36"/>
    </row>
    <row r="56" spans="3:9" x14ac:dyDescent="0.25">
      <c r="I56" s="36"/>
    </row>
    <row r="57" spans="3:9" x14ac:dyDescent="0.25">
      <c r="I57" s="36"/>
    </row>
    <row r="58" spans="3:9" x14ac:dyDescent="0.25">
      <c r="I58" s="36"/>
    </row>
    <row r="59" spans="3:9" x14ac:dyDescent="0.25">
      <c r="I59" s="36"/>
    </row>
  </sheetData>
  <pageMargins left="0.75" right="0.75" top="1" bottom="1" header="0.5" footer="0.5"/>
  <pageSetup orientation="portrait" r:id="rId1"/>
  <headerFooter alignWithMargins="0">
    <oddFooter>&amp;L&amp;D&amp;C&amp;9Analysis for Financial Management, 6th Ed.
by Robert C. Higgins&amp;R&amp;9Published by Irwin/McGraw-Hill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Button 1">
              <controlPr defaultSize="0" print="0" autoFill="0" autoLine="0" autoPict="0" macro="[0]!GoMai">
                <anchor moveWithCells="1" sizeWithCells="1">
                  <from>
                    <xdr:col>0</xdr:col>
                    <xdr:colOff>317500</xdr:colOff>
                    <xdr:row>3</xdr:row>
                    <xdr:rowOff>0</xdr:rowOff>
                  </from>
                  <to>
                    <xdr:col>0</xdr:col>
                    <xdr:colOff>1612900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9"/>
  <sheetViews>
    <sheetView showRowColHeaders="0" workbookViewId="0">
      <selection activeCell="C3" sqref="C3:E6"/>
    </sheetView>
  </sheetViews>
  <sheetFormatPr defaultRowHeight="12.5" x14ac:dyDescent="0.25"/>
  <cols>
    <col min="1" max="1" width="23.1796875" customWidth="1"/>
    <col min="2" max="2" width="8.7265625" style="21"/>
    <col min="3" max="3" width="8.7265625" style="22"/>
    <col min="4" max="4" width="11.453125" style="22" customWidth="1"/>
    <col min="5" max="6" width="8.7265625" style="22"/>
    <col min="7" max="7" width="13.453125" style="22" customWidth="1"/>
    <col min="9" max="9" width="13.453125" customWidth="1"/>
  </cols>
  <sheetData>
    <row r="1" spans="1:10" x14ac:dyDescent="0.25">
      <c r="A1" s="2" t="s">
        <v>159</v>
      </c>
    </row>
    <row r="2" spans="1:10" x14ac:dyDescent="0.25">
      <c r="I2" s="23" t="s">
        <v>105</v>
      </c>
      <c r="J2" s="24" t="e">
        <f>#REF!</f>
        <v>#REF!</v>
      </c>
    </row>
    <row r="3" spans="1:10" ht="13" x14ac:dyDescent="0.3">
      <c r="C3" s="25"/>
      <c r="D3" s="100" t="s">
        <v>106</v>
      </c>
      <c r="E3" s="25"/>
      <c r="I3" s="23" t="s">
        <v>107</v>
      </c>
      <c r="J3" s="24" t="e">
        <f>#REF!</f>
        <v>#REF!</v>
      </c>
    </row>
    <row r="4" spans="1:10" x14ac:dyDescent="0.25">
      <c r="C4" s="25"/>
      <c r="D4" s="25"/>
      <c r="E4" s="25"/>
      <c r="I4" s="26" t="s">
        <v>108</v>
      </c>
      <c r="J4" s="24" t="e">
        <f>#REF!</f>
        <v>#REF!</v>
      </c>
    </row>
    <row r="5" spans="1:10" x14ac:dyDescent="0.25">
      <c r="C5" s="25"/>
      <c r="D5" s="25" t="s">
        <v>109</v>
      </c>
      <c r="E5" s="25"/>
      <c r="I5" s="26" t="s">
        <v>110</v>
      </c>
      <c r="J5" s="24" t="e">
        <f>#REF!</f>
        <v>#REF!</v>
      </c>
    </row>
    <row r="6" spans="1:10" ht="13" x14ac:dyDescent="0.3">
      <c r="B6" s="88"/>
      <c r="C6" s="25"/>
      <c r="D6" s="25" t="s">
        <v>103</v>
      </c>
      <c r="E6" s="27">
        <v>31</v>
      </c>
      <c r="F6" s="33"/>
    </row>
    <row r="8" spans="1:10" x14ac:dyDescent="0.25">
      <c r="B8" s="28"/>
      <c r="C8" s="29"/>
      <c r="D8" s="29"/>
      <c r="E8" s="29"/>
      <c r="F8" s="29"/>
    </row>
    <row r="9" spans="1:10" ht="13" x14ac:dyDescent="0.3">
      <c r="A9" s="30" t="s">
        <v>111</v>
      </c>
      <c r="B9" s="31">
        <v>1994</v>
      </c>
      <c r="C9" s="31">
        <v>1995</v>
      </c>
      <c r="D9" s="31">
        <v>1996</v>
      </c>
      <c r="E9" s="31">
        <v>1997</v>
      </c>
      <c r="F9" s="33"/>
    </row>
    <row r="10" spans="1:10" x14ac:dyDescent="0.25">
      <c r="A10" t="s">
        <v>112</v>
      </c>
      <c r="B10" s="90">
        <f>BalanceSheets!B10/BalanceSheets!B$22</f>
        <v>8.2191780821917804E-2</v>
      </c>
      <c r="C10" s="90">
        <f>BalanceSheets!C10/BalanceSheets!C22</f>
        <v>1</v>
      </c>
      <c r="D10" s="90">
        <f>BalanceSheets!D10/BalanceSheets!D22</f>
        <v>1</v>
      </c>
      <c r="E10" s="90">
        <f>BalanceSheets!E10/BalanceSheets!E22</f>
        <v>1</v>
      </c>
      <c r="F10" s="103" t="e">
        <f>BalanceSheets!F10/BalanceSheets!F22</f>
        <v>#DIV/0!</v>
      </c>
      <c r="G10" s="35"/>
      <c r="H10" s="36"/>
    </row>
    <row r="11" spans="1:10" x14ac:dyDescent="0.25">
      <c r="A11" t="s">
        <v>113</v>
      </c>
      <c r="B11" s="91">
        <f>BalanceSheets!B11/BalanceSheets!B$22</f>
        <v>0</v>
      </c>
      <c r="C11" s="103">
        <f>BalanceSheets!C11/BalanceSheets!C$22</f>
        <v>0</v>
      </c>
      <c r="D11" s="103">
        <f>BalanceSheets!D11/BalanceSheets!D$22</f>
        <v>0</v>
      </c>
      <c r="E11" s="103">
        <f>BalanceSheets!E11/BalanceSheets!E$22</f>
        <v>0</v>
      </c>
      <c r="F11" s="103" t="e">
        <f>BalanceSheets!F11/BalanceSheets!F$22</f>
        <v>#DIV/0!</v>
      </c>
      <c r="H11" s="36"/>
    </row>
    <row r="12" spans="1:10" x14ac:dyDescent="0.25">
      <c r="A12" s="4" t="s">
        <v>114</v>
      </c>
      <c r="B12" s="91">
        <f>BalanceSheets!B12/BalanceSheets!B$22</f>
        <v>0.9178082191780822</v>
      </c>
      <c r="C12" s="103">
        <f>BalanceSheets!C12/BalanceSheets!C$22</f>
        <v>0</v>
      </c>
      <c r="D12" s="103">
        <f>BalanceSheets!D12/BalanceSheets!D$22</f>
        <v>0</v>
      </c>
      <c r="E12" s="103">
        <f>BalanceSheets!E12/BalanceSheets!E$22</f>
        <v>0</v>
      </c>
      <c r="F12" s="103" t="e">
        <f>BalanceSheets!F12/BalanceSheets!F$22</f>
        <v>#DIV/0!</v>
      </c>
      <c r="H12" s="36"/>
    </row>
    <row r="13" spans="1:10" x14ac:dyDescent="0.25">
      <c r="A13" t="s">
        <v>115</v>
      </c>
      <c r="B13" s="91">
        <f>BalanceSheets!B13/BalanceSheets!B$22</f>
        <v>0</v>
      </c>
      <c r="C13" s="103">
        <f>BalanceSheets!C13/BalanceSheets!C$22</f>
        <v>0</v>
      </c>
      <c r="D13" s="103">
        <f>BalanceSheets!D13/BalanceSheets!D$22</f>
        <v>0</v>
      </c>
      <c r="E13" s="103">
        <f>BalanceSheets!E13/BalanceSheets!E$22</f>
        <v>0</v>
      </c>
      <c r="F13" s="103" t="e">
        <f>BalanceSheets!F13/BalanceSheets!F$22</f>
        <v>#DIV/0!</v>
      </c>
      <c r="H13" s="36"/>
    </row>
    <row r="14" spans="1:10" x14ac:dyDescent="0.25">
      <c r="A14" s="39" t="s">
        <v>116</v>
      </c>
      <c r="B14" s="93">
        <f>BalanceSheets!B14/BalanceSheets!B$22</f>
        <v>0</v>
      </c>
      <c r="C14" s="93">
        <f>BalanceSheets!C14/BalanceSheets!C$22</f>
        <v>0</v>
      </c>
      <c r="D14" s="93">
        <f>BalanceSheets!D14/BalanceSheets!D$22</f>
        <v>0</v>
      </c>
      <c r="E14" s="93">
        <f>BalanceSheets!E14/BalanceSheets!E$22</f>
        <v>0</v>
      </c>
      <c r="F14" s="103" t="e">
        <f>BalanceSheets!F14/BalanceSheets!F$22</f>
        <v>#DIV/0!</v>
      </c>
      <c r="H14" s="36"/>
    </row>
    <row r="15" spans="1:10" x14ac:dyDescent="0.25">
      <c r="A15" s="40"/>
      <c r="B15" s="38"/>
      <c r="C15" s="41"/>
      <c r="D15" s="41"/>
      <c r="E15" s="41"/>
      <c r="F15" s="41"/>
      <c r="H15" s="36"/>
    </row>
    <row r="16" spans="1:10" x14ac:dyDescent="0.25">
      <c r="A16" t="s">
        <v>117</v>
      </c>
      <c r="B16" s="91">
        <f>BalanceSheets!B16/BalanceSheets!B$22</f>
        <v>1</v>
      </c>
      <c r="C16" s="103">
        <f>BalanceSheets!C16/BalanceSheets!C$22</f>
        <v>1</v>
      </c>
      <c r="D16" s="103">
        <f>BalanceSheets!D16/BalanceSheets!D$22</f>
        <v>1</v>
      </c>
      <c r="E16" s="103">
        <f>BalanceSheets!E16/BalanceSheets!E$22</f>
        <v>1</v>
      </c>
      <c r="F16" s="103" t="e">
        <f>BalanceSheets!F16/BalanceSheets!F$22</f>
        <v>#DIV/0!</v>
      </c>
      <c r="H16" s="36"/>
    </row>
    <row r="17" spans="1:8" x14ac:dyDescent="0.25">
      <c r="B17" s="38"/>
      <c r="C17" s="41"/>
      <c r="D17" s="41"/>
      <c r="E17" s="41"/>
      <c r="F17" s="41"/>
      <c r="H17" s="36"/>
    </row>
    <row r="18" spans="1:8" x14ac:dyDescent="0.25">
      <c r="A18" t="s">
        <v>118</v>
      </c>
      <c r="B18" s="91">
        <f>BalanceSheets!B18/BalanceSheets!B$22</f>
        <v>0</v>
      </c>
      <c r="C18" s="103">
        <f>BalanceSheets!C18/BalanceSheets!C$22</f>
        <v>0</v>
      </c>
      <c r="D18" s="103">
        <f>BalanceSheets!D18/BalanceSheets!D$22</f>
        <v>0</v>
      </c>
      <c r="E18" s="103">
        <f>BalanceSheets!E18/BalanceSheets!E$22</f>
        <v>0</v>
      </c>
      <c r="F18" s="103" t="e">
        <f>BalanceSheets!F18/BalanceSheets!F$22</f>
        <v>#DIV/0!</v>
      </c>
      <c r="H18" s="36"/>
    </row>
    <row r="19" spans="1:8" x14ac:dyDescent="0.25">
      <c r="A19" s="39" t="s">
        <v>119</v>
      </c>
      <c r="B19" s="91">
        <f>BalanceSheets!B19/BalanceSheets!B$22</f>
        <v>0</v>
      </c>
      <c r="C19" s="103">
        <f>BalanceSheets!C19/BalanceSheets!C$22</f>
        <v>0</v>
      </c>
      <c r="D19" s="103">
        <f>BalanceSheets!D19/BalanceSheets!D$22</f>
        <v>0</v>
      </c>
      <c r="E19" s="103">
        <f>BalanceSheets!E19/BalanceSheets!E$22</f>
        <v>0</v>
      </c>
      <c r="F19" s="103" t="e">
        <f>BalanceSheets!F19/BalanceSheets!F$22</f>
        <v>#DIV/0!</v>
      </c>
      <c r="H19" s="36"/>
    </row>
    <row r="20" spans="1:8" x14ac:dyDescent="0.25">
      <c r="A20" s="39" t="s">
        <v>120</v>
      </c>
      <c r="B20" s="91">
        <f>BalanceSheets!B20/BalanceSheets!B$22</f>
        <v>0</v>
      </c>
      <c r="C20" s="103">
        <f>BalanceSheets!C20/BalanceSheets!C$22</f>
        <v>0</v>
      </c>
      <c r="D20" s="103">
        <f>BalanceSheets!D20/BalanceSheets!D$22</f>
        <v>0</v>
      </c>
      <c r="E20" s="103">
        <f>BalanceSheets!E20/BalanceSheets!E$22</f>
        <v>0</v>
      </c>
      <c r="F20" s="103" t="e">
        <f>BalanceSheets!F20/BalanceSheets!F$22</f>
        <v>#DIV/0!</v>
      </c>
      <c r="H20" s="36"/>
    </row>
    <row r="21" spans="1:8" x14ac:dyDescent="0.25">
      <c r="B21" s="38"/>
      <c r="C21" s="41"/>
      <c r="D21" s="41"/>
      <c r="E21" s="41"/>
      <c r="F21" s="41"/>
      <c r="H21" s="36"/>
    </row>
    <row r="22" spans="1:8" x14ac:dyDescent="0.25">
      <c r="A22" t="s">
        <v>121</v>
      </c>
      <c r="B22" s="90">
        <f>BalanceSheets!B22/BalanceSheets!B$22</f>
        <v>1</v>
      </c>
      <c r="C22" s="90">
        <f>BalanceSheets!C22/BalanceSheets!C$22</f>
        <v>1</v>
      </c>
      <c r="D22" s="90">
        <f>BalanceSheets!D22/BalanceSheets!D$22</f>
        <v>1</v>
      </c>
      <c r="E22" s="90">
        <f>BalanceSheets!E22/BalanceSheets!E$22</f>
        <v>1</v>
      </c>
      <c r="F22" s="103" t="e">
        <f>BalanceSheets!F22/BalanceSheets!F$22</f>
        <v>#DIV/0!</v>
      </c>
      <c r="H22" s="36"/>
    </row>
    <row r="23" spans="1:8" x14ac:dyDescent="0.25">
      <c r="B23" s="38"/>
      <c r="C23" s="41"/>
      <c r="D23" s="41"/>
      <c r="E23" s="41"/>
      <c r="F23" s="41"/>
      <c r="H23" s="36"/>
    </row>
    <row r="24" spans="1:8" ht="13" x14ac:dyDescent="0.3">
      <c r="A24" s="43" t="s">
        <v>122</v>
      </c>
      <c r="B24" s="38"/>
      <c r="C24" s="41"/>
      <c r="D24" s="41"/>
      <c r="E24" s="41"/>
      <c r="F24" s="41"/>
      <c r="H24" s="36"/>
    </row>
    <row r="25" spans="1:8" x14ac:dyDescent="0.25">
      <c r="A25" t="s">
        <v>123</v>
      </c>
      <c r="B25" s="92" t="e">
        <f>BalanceSheets!B25/BalanceSheets!B$46</f>
        <v>#DIV/0!</v>
      </c>
      <c r="C25" s="103" t="e">
        <f>BalanceSheets!C25/BalanceSheets!C$46</f>
        <v>#DIV/0!</v>
      </c>
      <c r="D25" s="103" t="e">
        <f>BalanceSheets!D25/BalanceSheets!D$46</f>
        <v>#DIV/0!</v>
      </c>
      <c r="E25" s="103" t="e">
        <f>BalanceSheets!E25/BalanceSheets!E$46</f>
        <v>#DIV/0!</v>
      </c>
      <c r="F25" s="103" t="e">
        <f>BalanceSheets!F25/BalanceSheets!F$46</f>
        <v>#DIV/0!</v>
      </c>
      <c r="H25" s="36"/>
    </row>
    <row r="26" spans="1:8" x14ac:dyDescent="0.25">
      <c r="A26" s="39" t="s">
        <v>124</v>
      </c>
      <c r="B26" s="92" t="e">
        <f>BalanceSheets!B26/BalanceSheets!B$46</f>
        <v>#DIV/0!</v>
      </c>
      <c r="C26" s="103" t="e">
        <f>BalanceSheets!C26/BalanceSheets!C$46</f>
        <v>#DIV/0!</v>
      </c>
      <c r="D26" s="103" t="e">
        <f>BalanceSheets!D26/BalanceSheets!D$46</f>
        <v>#DIV/0!</v>
      </c>
      <c r="E26" s="103" t="e">
        <f>BalanceSheets!E26/BalanceSheets!E$46</f>
        <v>#DIV/0!</v>
      </c>
      <c r="F26" s="103" t="e">
        <f>BalanceSheets!F26/BalanceSheets!F$46</f>
        <v>#DIV/0!</v>
      </c>
      <c r="H26" s="36"/>
    </row>
    <row r="27" spans="1:8" x14ac:dyDescent="0.25">
      <c r="A27" t="s">
        <v>125</v>
      </c>
      <c r="B27" s="92" t="e">
        <f>BalanceSheets!B27/BalanceSheets!B$46</f>
        <v>#DIV/0!</v>
      </c>
      <c r="C27" s="103" t="e">
        <f>BalanceSheets!C27/BalanceSheets!C$46</f>
        <v>#DIV/0!</v>
      </c>
      <c r="D27" s="103" t="e">
        <f>BalanceSheets!D27/BalanceSheets!D$46</f>
        <v>#DIV/0!</v>
      </c>
      <c r="E27" s="103" t="e">
        <f>BalanceSheets!E27/BalanceSheets!E$46</f>
        <v>#DIV/0!</v>
      </c>
      <c r="F27" s="103" t="e">
        <f>BalanceSheets!F27/BalanceSheets!F$46</f>
        <v>#DIV/0!</v>
      </c>
      <c r="H27" s="36"/>
    </row>
    <row r="28" spans="1:8" x14ac:dyDescent="0.25">
      <c r="A28" s="39" t="s">
        <v>126</v>
      </c>
      <c r="B28" s="92" t="e">
        <f>BalanceSheets!B28/BalanceSheets!B$46</f>
        <v>#DIV/0!</v>
      </c>
      <c r="C28" s="103" t="e">
        <f>BalanceSheets!C28/BalanceSheets!C$46</f>
        <v>#DIV/0!</v>
      </c>
      <c r="D28" s="103" t="e">
        <f>BalanceSheets!D28/BalanceSheets!D$46</f>
        <v>#DIV/0!</v>
      </c>
      <c r="E28" s="103" t="e">
        <f>BalanceSheets!E28/BalanceSheets!E$46</f>
        <v>#DIV/0!</v>
      </c>
      <c r="F28" s="103" t="e">
        <f>BalanceSheets!F28/BalanceSheets!F$46</f>
        <v>#DIV/0!</v>
      </c>
      <c r="H28" s="36"/>
    </row>
    <row r="29" spans="1:8" x14ac:dyDescent="0.25">
      <c r="A29" s="39" t="s">
        <v>127</v>
      </c>
      <c r="B29" s="92" t="e">
        <f>BalanceSheets!B29/BalanceSheets!B$46</f>
        <v>#DIV/0!</v>
      </c>
      <c r="C29" s="103" t="e">
        <f>BalanceSheets!C29/BalanceSheets!C$46</f>
        <v>#DIV/0!</v>
      </c>
      <c r="D29" s="103" t="e">
        <f>BalanceSheets!D29/BalanceSheets!D$46</f>
        <v>#DIV/0!</v>
      </c>
      <c r="E29" s="103" t="e">
        <f>BalanceSheets!E29/BalanceSheets!E$46</f>
        <v>#DIV/0!</v>
      </c>
      <c r="F29" s="103" t="e">
        <f>BalanceSheets!F29/BalanceSheets!F$46</f>
        <v>#DIV/0!</v>
      </c>
      <c r="H29" s="36"/>
    </row>
    <row r="30" spans="1:8" x14ac:dyDescent="0.25">
      <c r="A30" t="s">
        <v>128</v>
      </c>
      <c r="B30" s="93" t="e">
        <f>BalanceSheets!B30/BalanceSheets!B$46</f>
        <v>#DIV/0!</v>
      </c>
      <c r="C30" s="93" t="e">
        <f>BalanceSheets!C30/BalanceSheets!C$46</f>
        <v>#DIV/0!</v>
      </c>
      <c r="D30" s="93" t="e">
        <f>BalanceSheets!D30/BalanceSheets!D$46</f>
        <v>#DIV/0!</v>
      </c>
      <c r="E30" s="93" t="e">
        <f>BalanceSheets!E30/BalanceSheets!E$46</f>
        <v>#DIV/0!</v>
      </c>
      <c r="F30" s="103" t="e">
        <f>BalanceSheets!F30/BalanceSheets!F$46</f>
        <v>#DIV/0!</v>
      </c>
      <c r="H30" s="36"/>
    </row>
    <row r="31" spans="1:8" x14ac:dyDescent="0.25">
      <c r="B31" s="38"/>
      <c r="C31" s="41"/>
      <c r="D31" s="41"/>
      <c r="E31" s="41"/>
      <c r="F31" s="41"/>
      <c r="H31" s="36"/>
    </row>
    <row r="32" spans="1:8" x14ac:dyDescent="0.25">
      <c r="A32" t="s">
        <v>129</v>
      </c>
      <c r="B32" s="92" t="e">
        <f>BalanceSheets!B32/BalanceSheets!B$46</f>
        <v>#DIV/0!</v>
      </c>
      <c r="C32" s="103" t="e">
        <f>BalanceSheets!C32/BalanceSheets!C$46</f>
        <v>#DIV/0!</v>
      </c>
      <c r="D32" s="103" t="e">
        <f>BalanceSheets!D32/BalanceSheets!D$46</f>
        <v>#DIV/0!</v>
      </c>
      <c r="E32" s="103" t="e">
        <f>BalanceSheets!E32/BalanceSheets!E$46</f>
        <v>#DIV/0!</v>
      </c>
      <c r="F32" s="103" t="e">
        <f>BalanceSheets!F32/BalanceSheets!F$46</f>
        <v>#DIV/0!</v>
      </c>
      <c r="H32" s="36"/>
    </row>
    <row r="33" spans="1:8" x14ac:dyDescent="0.25">
      <c r="B33" s="38"/>
      <c r="C33" s="41"/>
      <c r="D33" s="41"/>
      <c r="E33" s="41"/>
      <c r="F33" s="41"/>
      <c r="H33" s="36"/>
    </row>
    <row r="34" spans="1:8" x14ac:dyDescent="0.25">
      <c r="A34" t="s">
        <v>130</v>
      </c>
      <c r="B34" s="92" t="e">
        <f>BalanceSheets!B34/BalanceSheets!B$46</f>
        <v>#DIV/0!</v>
      </c>
      <c r="C34" s="103" t="e">
        <f>BalanceSheets!C34/BalanceSheets!C$46</f>
        <v>#DIV/0!</v>
      </c>
      <c r="D34" s="103" t="e">
        <f>BalanceSheets!D34/BalanceSheets!D$46</f>
        <v>#DIV/0!</v>
      </c>
      <c r="E34" s="103" t="e">
        <f>BalanceSheets!E34/BalanceSheets!E$46</f>
        <v>#DIV/0!</v>
      </c>
      <c r="F34" s="103" t="e">
        <f>BalanceSheets!F34/BalanceSheets!F$46</f>
        <v>#DIV/0!</v>
      </c>
      <c r="H34" s="36"/>
    </row>
    <row r="35" spans="1:8" x14ac:dyDescent="0.25">
      <c r="A35" s="39" t="s">
        <v>131</v>
      </c>
      <c r="B35" s="92" t="e">
        <f>BalanceSheets!B35/BalanceSheets!B$46</f>
        <v>#DIV/0!</v>
      </c>
      <c r="C35" s="103" t="e">
        <f>BalanceSheets!C35/BalanceSheets!C$46</f>
        <v>#DIV/0!</v>
      </c>
      <c r="D35" s="103" t="e">
        <f>BalanceSheets!D35/BalanceSheets!D$46</f>
        <v>#DIV/0!</v>
      </c>
      <c r="E35" s="103" t="e">
        <f>BalanceSheets!E35/BalanceSheets!E$46</f>
        <v>#DIV/0!</v>
      </c>
      <c r="F35" s="103" t="e">
        <f>BalanceSheets!F35/BalanceSheets!F$46</f>
        <v>#DIV/0!</v>
      </c>
      <c r="H35" s="36"/>
    </row>
    <row r="36" spans="1:8" x14ac:dyDescent="0.25">
      <c r="A36" s="39" t="s">
        <v>132</v>
      </c>
      <c r="B36" s="92" t="e">
        <f>BalanceSheets!B36/BalanceSheets!B$46</f>
        <v>#DIV/0!</v>
      </c>
      <c r="C36" s="103" t="e">
        <f>BalanceSheets!C36/BalanceSheets!C$46</f>
        <v>#DIV/0!</v>
      </c>
      <c r="D36" s="103" t="e">
        <f>BalanceSheets!D36/BalanceSheets!D$46</f>
        <v>#DIV/0!</v>
      </c>
      <c r="E36" s="103" t="e">
        <f>BalanceSheets!E36/BalanceSheets!E$46</f>
        <v>#DIV/0!</v>
      </c>
      <c r="F36" s="103" t="e">
        <f>BalanceSheets!F36/BalanceSheets!F$46</f>
        <v>#DIV/0!</v>
      </c>
      <c r="H36" s="36"/>
    </row>
    <row r="37" spans="1:8" x14ac:dyDescent="0.25">
      <c r="A37" s="39" t="s">
        <v>133</v>
      </c>
      <c r="B37" s="92" t="e">
        <f>BalanceSheets!B37/BalanceSheets!B$46</f>
        <v>#DIV/0!</v>
      </c>
      <c r="C37" s="103" t="e">
        <f>BalanceSheets!C37/BalanceSheets!C$46</f>
        <v>#DIV/0!</v>
      </c>
      <c r="D37" s="103" t="e">
        <f>BalanceSheets!D37/BalanceSheets!D$46</f>
        <v>#DIV/0!</v>
      </c>
      <c r="E37" s="103" t="e">
        <f>BalanceSheets!E37/BalanceSheets!E$46</f>
        <v>#DIV/0!</v>
      </c>
      <c r="F37" s="103" t="e">
        <f>BalanceSheets!F37/BalanceSheets!F$46</f>
        <v>#DIV/0!</v>
      </c>
      <c r="H37" s="36"/>
    </row>
    <row r="38" spans="1:8" x14ac:dyDescent="0.25">
      <c r="A38" s="39" t="s">
        <v>134</v>
      </c>
      <c r="B38" s="93" t="e">
        <f>BalanceSheets!B38/BalanceSheets!B$46</f>
        <v>#DIV/0!</v>
      </c>
      <c r="C38" s="93" t="e">
        <f>BalanceSheets!C38/BalanceSheets!C$46</f>
        <v>#DIV/0!</v>
      </c>
      <c r="D38" s="93" t="e">
        <f>BalanceSheets!D38/BalanceSheets!D$46</f>
        <v>#DIV/0!</v>
      </c>
      <c r="E38" s="93" t="e">
        <f>BalanceSheets!E38/BalanceSheets!E$46</f>
        <v>#DIV/0!</v>
      </c>
      <c r="F38" s="103" t="e">
        <f>BalanceSheets!F38/BalanceSheets!F$46</f>
        <v>#DIV/0!</v>
      </c>
      <c r="H38" s="36"/>
    </row>
    <row r="39" spans="1:8" x14ac:dyDescent="0.25">
      <c r="B39" s="38"/>
      <c r="C39" s="41"/>
      <c r="D39" s="41"/>
      <c r="E39" s="41"/>
      <c r="F39" s="41"/>
      <c r="H39" s="36"/>
    </row>
    <row r="40" spans="1:8" x14ac:dyDescent="0.25">
      <c r="A40" t="s">
        <v>135</v>
      </c>
      <c r="B40" s="92" t="e">
        <f>BalanceSheets!B40/BalanceSheets!B$46</f>
        <v>#DIV/0!</v>
      </c>
      <c r="C40" s="103" t="e">
        <f>BalanceSheets!C40/BalanceSheets!C$46</f>
        <v>#DIV/0!</v>
      </c>
      <c r="D40" s="103" t="e">
        <f>BalanceSheets!D40/BalanceSheets!D$46</f>
        <v>#DIV/0!</v>
      </c>
      <c r="E40" s="103" t="e">
        <f>BalanceSheets!E40/BalanceSheets!E$46</f>
        <v>#DIV/0!</v>
      </c>
      <c r="F40" s="103" t="e">
        <f>BalanceSheets!F40/BalanceSheets!F$46</f>
        <v>#DIV/0!</v>
      </c>
      <c r="H40" s="36"/>
    </row>
    <row r="41" spans="1:8" x14ac:dyDescent="0.25">
      <c r="B41" s="38"/>
      <c r="C41" s="41"/>
      <c r="D41" s="41"/>
      <c r="E41" s="41"/>
      <c r="F41" s="41"/>
      <c r="H41" s="36"/>
    </row>
    <row r="42" spans="1:8" x14ac:dyDescent="0.25">
      <c r="A42" t="s">
        <v>136</v>
      </c>
      <c r="B42" s="92" t="e">
        <f>BalanceSheets!B42/BalanceSheets!B$46</f>
        <v>#DIV/0!</v>
      </c>
      <c r="C42" s="103" t="e">
        <f>BalanceSheets!C42/BalanceSheets!C$46</f>
        <v>#DIV/0!</v>
      </c>
      <c r="D42" s="103" t="e">
        <f>BalanceSheets!D42/BalanceSheets!D$46</f>
        <v>#DIV/0!</v>
      </c>
      <c r="E42" s="103" t="e">
        <f>BalanceSheets!E42/BalanceSheets!E$46</f>
        <v>#DIV/0!</v>
      </c>
      <c r="F42" s="103" t="e">
        <f>BalanceSheets!F42/BalanceSheets!F$46</f>
        <v>#DIV/0!</v>
      </c>
      <c r="H42" s="36"/>
    </row>
    <row r="43" spans="1:8" x14ac:dyDescent="0.25">
      <c r="A43" t="s">
        <v>137</v>
      </c>
      <c r="B43" s="93" t="e">
        <f>BalanceSheets!B43/BalanceSheets!B$46</f>
        <v>#DIV/0!</v>
      </c>
      <c r="C43" s="93" t="e">
        <f>BalanceSheets!C43/BalanceSheets!C$46</f>
        <v>#DIV/0!</v>
      </c>
      <c r="D43" s="93" t="e">
        <f>BalanceSheets!D43/BalanceSheets!D$46</f>
        <v>#DIV/0!</v>
      </c>
      <c r="E43" s="93" t="e">
        <f>BalanceSheets!E43/BalanceSheets!E$46</f>
        <v>#DIV/0!</v>
      </c>
      <c r="F43" s="103" t="e">
        <f>BalanceSheets!F43/BalanceSheets!F$46</f>
        <v>#DIV/0!</v>
      </c>
      <c r="H43" s="36"/>
    </row>
    <row r="44" spans="1:8" x14ac:dyDescent="0.25">
      <c r="A44" t="s">
        <v>138</v>
      </c>
      <c r="B44" s="93" t="e">
        <f>BalanceSheets!B44/BalanceSheets!B$46</f>
        <v>#DIV/0!</v>
      </c>
      <c r="C44" s="93" t="e">
        <f>BalanceSheets!C44/BalanceSheets!C$46</f>
        <v>#DIV/0!</v>
      </c>
      <c r="D44" s="93" t="e">
        <f>BalanceSheets!D44/BalanceSheets!D$46</f>
        <v>#DIV/0!</v>
      </c>
      <c r="E44" s="93" t="e">
        <f>BalanceSheets!E44/BalanceSheets!E$46</f>
        <v>#DIV/0!</v>
      </c>
      <c r="F44" s="103" t="e">
        <f>BalanceSheets!F44/BalanceSheets!F$46</f>
        <v>#DIV/0!</v>
      </c>
      <c r="H44" s="36"/>
    </row>
    <row r="45" spans="1:8" x14ac:dyDescent="0.25">
      <c r="B45" s="38"/>
      <c r="C45" s="41"/>
      <c r="D45" s="41"/>
      <c r="E45" s="41"/>
      <c r="F45" s="41"/>
      <c r="H45" s="36"/>
    </row>
    <row r="46" spans="1:8" x14ac:dyDescent="0.25">
      <c r="A46" t="s">
        <v>139</v>
      </c>
      <c r="B46" s="93" t="e">
        <f>BalanceSheets!B46/BalanceSheets!B$46</f>
        <v>#DIV/0!</v>
      </c>
      <c r="C46" s="93" t="e">
        <f>BalanceSheets!C46/BalanceSheets!C$46</f>
        <v>#DIV/0!</v>
      </c>
      <c r="D46" s="93" t="e">
        <f>BalanceSheets!D46/BalanceSheets!D$46</f>
        <v>#DIV/0!</v>
      </c>
      <c r="E46" s="93" t="e">
        <f>BalanceSheets!E46/BalanceSheets!E$46</f>
        <v>#DIV/0!</v>
      </c>
      <c r="F46" s="103" t="e">
        <f>BalanceSheets!F46/BalanceSheets!F$46</f>
        <v>#DIV/0!</v>
      </c>
      <c r="H46" s="36"/>
    </row>
    <row r="47" spans="1:8" x14ac:dyDescent="0.25">
      <c r="B47" s="38"/>
      <c r="C47" s="41"/>
      <c r="D47" s="41"/>
      <c r="E47" s="41"/>
      <c r="F47" s="41"/>
      <c r="H47" s="36"/>
    </row>
    <row r="48" spans="1:8" s="36" customFormat="1" x14ac:dyDescent="0.25">
      <c r="A48" s="83"/>
      <c r="B48" s="84"/>
      <c r="C48" s="34"/>
      <c r="D48" s="34"/>
      <c r="E48" s="34"/>
      <c r="F48" s="34"/>
      <c r="G48" s="22"/>
    </row>
    <row r="49" spans="2:8" x14ac:dyDescent="0.25">
      <c r="B49"/>
      <c r="H49" s="36"/>
    </row>
    <row r="50" spans="2:8" x14ac:dyDescent="0.25">
      <c r="B50" s="47"/>
      <c r="H50" s="36"/>
    </row>
    <row r="51" spans="2:8" x14ac:dyDescent="0.25">
      <c r="B51" s="47"/>
      <c r="H51" s="36"/>
    </row>
    <row r="52" spans="2:8" x14ac:dyDescent="0.25">
      <c r="B52" s="47"/>
      <c r="H52" s="36"/>
    </row>
    <row r="53" spans="2:8" x14ac:dyDescent="0.25">
      <c r="B53" s="47"/>
      <c r="H53" s="36"/>
    </row>
    <row r="54" spans="2:8" x14ac:dyDescent="0.25">
      <c r="B54" s="47"/>
      <c r="H54" s="36"/>
    </row>
    <row r="55" spans="2:8" x14ac:dyDescent="0.25">
      <c r="B55" s="47"/>
      <c r="H55" s="36"/>
    </row>
    <row r="56" spans="2:8" x14ac:dyDescent="0.25">
      <c r="B56" s="47"/>
      <c r="H56" s="36"/>
    </row>
    <row r="57" spans="2:8" x14ac:dyDescent="0.25">
      <c r="B57" s="47"/>
      <c r="H57" s="36"/>
    </row>
    <row r="58" spans="2:8" x14ac:dyDescent="0.25">
      <c r="B58" s="47"/>
      <c r="H58" s="36"/>
    </row>
    <row r="59" spans="2:8" x14ac:dyDescent="0.25">
      <c r="B59" s="47"/>
      <c r="H59" s="36"/>
    </row>
  </sheetData>
  <pageMargins left="0.75" right="0.75" top="1" bottom="1" header="0.5" footer="0.5"/>
  <pageSetup orientation="portrait" r:id="rId1"/>
  <headerFooter alignWithMargins="0">
    <oddFooter>&amp;L&amp;D&amp;C&amp;9Analysis for Financial Management, 6th Ed.
by Robert C. Higgins&amp;R&amp;9Published by Irwin/McGraw-Hill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0]!GoMai">
                <anchor moveWithCells="1" sizeWithCells="1">
                  <from>
                    <xdr:col>0</xdr:col>
                    <xdr:colOff>317500</xdr:colOff>
                    <xdr:row>3</xdr:row>
                    <xdr:rowOff>0</xdr:rowOff>
                  </from>
                  <to>
                    <xdr:col>0</xdr:col>
                    <xdr:colOff>1612900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6"/>
  <sheetViews>
    <sheetView showRowColHeaders="0" workbookViewId="0">
      <selection activeCell="C3" sqref="C3:E6"/>
    </sheetView>
  </sheetViews>
  <sheetFormatPr defaultRowHeight="12.5" x14ac:dyDescent="0.25"/>
  <cols>
    <col min="1" max="1" width="23.453125" customWidth="1"/>
    <col min="2" max="2" width="8.7265625" style="21"/>
    <col min="3" max="3" width="8.7265625" style="48"/>
    <col min="4" max="4" width="10.1796875" style="48" customWidth="1"/>
    <col min="5" max="7" width="8.7265625" style="48"/>
    <col min="9" max="9" width="13.453125" customWidth="1"/>
  </cols>
  <sheetData>
    <row r="1" spans="1:10" x14ac:dyDescent="0.25">
      <c r="A1" s="2" t="s">
        <v>160</v>
      </c>
    </row>
    <row r="2" spans="1:10" x14ac:dyDescent="0.25">
      <c r="I2" s="23" t="s">
        <v>105</v>
      </c>
      <c r="J2" s="24" t="e">
        <f>#REF!</f>
        <v>#REF!</v>
      </c>
    </row>
    <row r="3" spans="1:10" ht="13" x14ac:dyDescent="0.3">
      <c r="C3" s="25"/>
      <c r="D3" s="100" t="s">
        <v>106</v>
      </c>
      <c r="E3" s="25"/>
      <c r="I3" s="23" t="s">
        <v>107</v>
      </c>
      <c r="J3" s="24" t="e">
        <f>#REF!</f>
        <v>#REF!</v>
      </c>
    </row>
    <row r="4" spans="1:10" x14ac:dyDescent="0.25">
      <c r="C4" s="25"/>
      <c r="D4" s="25"/>
      <c r="E4" s="25"/>
      <c r="I4" s="26" t="s">
        <v>108</v>
      </c>
      <c r="J4" s="24" t="e">
        <f>#REF!</f>
        <v>#REF!</v>
      </c>
    </row>
    <row r="5" spans="1:10" x14ac:dyDescent="0.25">
      <c r="C5" s="25"/>
      <c r="D5" s="25" t="s">
        <v>109</v>
      </c>
      <c r="E5" s="25"/>
      <c r="G5" s="22"/>
      <c r="I5" s="26" t="s">
        <v>110</v>
      </c>
      <c r="J5" s="24" t="e">
        <f>#REF!</f>
        <v>#REF!</v>
      </c>
    </row>
    <row r="6" spans="1:10" ht="13" x14ac:dyDescent="0.3">
      <c r="B6" s="88"/>
      <c r="C6" s="25"/>
      <c r="D6" s="25" t="s">
        <v>103</v>
      </c>
      <c r="E6" s="27">
        <v>31</v>
      </c>
      <c r="F6" s="33"/>
    </row>
    <row r="7" spans="1:10" x14ac:dyDescent="0.25">
      <c r="H7" s="6"/>
    </row>
    <row r="9" spans="1:10" ht="13" x14ac:dyDescent="0.3">
      <c r="B9" s="31">
        <v>1994</v>
      </c>
      <c r="C9" s="31">
        <v>1995</v>
      </c>
      <c r="D9" s="31">
        <v>1996</v>
      </c>
      <c r="E9" s="31">
        <v>1997</v>
      </c>
      <c r="F9" s="33"/>
    </row>
    <row r="10" spans="1:10" x14ac:dyDescent="0.25">
      <c r="A10" s="4" t="s">
        <v>105</v>
      </c>
      <c r="B10" s="94" t="e">
        <f>Income!B10/Income!B$10</f>
        <v>#DIV/0!</v>
      </c>
      <c r="C10" s="94" t="e">
        <f>Income!C10/Income!C$10</f>
        <v>#DIV/0!</v>
      </c>
      <c r="D10" s="94" t="e">
        <f>Income!D10/Income!D$10</f>
        <v>#DIV/0!</v>
      </c>
      <c r="E10" s="94" t="e">
        <f>Income!E10/Income!E$10</f>
        <v>#DIV/0!</v>
      </c>
      <c r="F10" s="70" t="e">
        <f>Income!F10/Income!F$10</f>
        <v>#DIV/0!</v>
      </c>
    </row>
    <row r="11" spans="1:10" x14ac:dyDescent="0.25">
      <c r="A11" t="s">
        <v>141</v>
      </c>
      <c r="B11" s="95" t="e">
        <f>Income!B11/Income!B$10</f>
        <v>#DIV/0!</v>
      </c>
      <c r="C11" s="95" t="e">
        <f>Income!C11/Income!C$10</f>
        <v>#DIV/0!</v>
      </c>
      <c r="D11" s="95" t="e">
        <f>Income!D11/Income!D$10</f>
        <v>#DIV/0!</v>
      </c>
      <c r="E11" s="95" t="e">
        <f>Income!E11/Income!E$10</f>
        <v>#DIV/0!</v>
      </c>
      <c r="F11" s="70" t="e">
        <f>Income!F11/Income!F$10</f>
        <v>#DIV/0!</v>
      </c>
    </row>
    <row r="12" spans="1:10" x14ac:dyDescent="0.25">
      <c r="B12" s="50"/>
      <c r="C12" s="49"/>
      <c r="D12" s="49"/>
      <c r="E12" s="49"/>
      <c r="F12" s="49"/>
    </row>
    <row r="13" spans="1:10" x14ac:dyDescent="0.25">
      <c r="A13" t="s">
        <v>142</v>
      </c>
      <c r="B13" s="96" t="e">
        <f>Income!B13/Income!B$10</f>
        <v>#DIV/0!</v>
      </c>
      <c r="C13" s="103" t="e">
        <f>Income!C13/Income!C$10</f>
        <v>#DIV/0!</v>
      </c>
      <c r="D13" s="103" t="e">
        <f>Income!D13/Income!D$10</f>
        <v>#DIV/0!</v>
      </c>
      <c r="E13" s="103" t="e">
        <f>Income!E13/Income!E$10</f>
        <v>#DIV/0!</v>
      </c>
      <c r="F13" s="103" t="e">
        <f>Income!F13/Income!F$10</f>
        <v>#DIV/0!</v>
      </c>
    </row>
    <row r="14" spans="1:10" x14ac:dyDescent="0.25">
      <c r="B14" s="50"/>
      <c r="C14" s="49"/>
      <c r="D14" s="49"/>
      <c r="E14" s="49"/>
      <c r="F14" s="49"/>
    </row>
    <row r="15" spans="1:10" x14ac:dyDescent="0.25">
      <c r="A15" t="s">
        <v>143</v>
      </c>
      <c r="B15" s="95" t="e">
        <f>Income!B15/Income!B$10</f>
        <v>#DIV/0!</v>
      </c>
      <c r="C15" s="95" t="e">
        <f>Income!C15/Income!C$10</f>
        <v>#DIV/0!</v>
      </c>
      <c r="D15" s="95" t="e">
        <f>Income!D15/Income!D$10</f>
        <v>#DIV/0!</v>
      </c>
      <c r="E15" s="95" t="e">
        <f>Income!E15/Income!E$10</f>
        <v>#DIV/0!</v>
      </c>
      <c r="F15" s="70" t="e">
        <f>Income!F15/Income!F$10</f>
        <v>#DIV/0!</v>
      </c>
    </row>
    <row r="16" spans="1:10" x14ac:dyDescent="0.25">
      <c r="B16" s="50"/>
      <c r="C16" s="49"/>
      <c r="D16" s="49"/>
      <c r="E16" s="49"/>
      <c r="F16" s="49"/>
    </row>
    <row r="17" spans="1:6" x14ac:dyDescent="0.25">
      <c r="A17" t="s">
        <v>144</v>
      </c>
      <c r="B17" s="96" t="e">
        <f>Income!B17/Income!B$10</f>
        <v>#DIV/0!</v>
      </c>
      <c r="C17" s="103" t="e">
        <f>Income!C17/Income!C$10</f>
        <v>#DIV/0!</v>
      </c>
      <c r="D17" s="103" t="e">
        <f>Income!D17/Income!D$10</f>
        <v>#DIV/0!</v>
      </c>
      <c r="E17" s="103" t="e">
        <f>Income!E17/Income!E$10</f>
        <v>#DIV/0!</v>
      </c>
      <c r="F17" s="103" t="e">
        <f>Income!F17/Income!F$10</f>
        <v>#DIV/0!</v>
      </c>
    </row>
    <row r="18" spans="1:6" x14ac:dyDescent="0.25">
      <c r="B18" s="50"/>
      <c r="C18" s="49"/>
      <c r="D18" s="49"/>
      <c r="E18" s="49"/>
      <c r="F18" s="49"/>
    </row>
    <row r="19" spans="1:6" x14ac:dyDescent="0.25">
      <c r="A19" s="111" t="s">
        <v>145</v>
      </c>
      <c r="B19" s="96" t="e">
        <f>Income!B19/Income!B$10</f>
        <v>#DIV/0!</v>
      </c>
      <c r="C19" s="103" t="e">
        <f>Income!C19/Income!C$10</f>
        <v>#DIV/0!</v>
      </c>
      <c r="D19" s="103" t="e">
        <f>Income!D19/Income!D$10</f>
        <v>#DIV/0!</v>
      </c>
      <c r="E19" s="103" t="e">
        <f>Income!E19/Income!E$10</f>
        <v>#DIV/0!</v>
      </c>
      <c r="F19" s="103" t="e">
        <f>Income!F19/Income!F$10</f>
        <v>#DIV/0!</v>
      </c>
    </row>
    <row r="20" spans="1:6" x14ac:dyDescent="0.25">
      <c r="A20" t="s">
        <v>146</v>
      </c>
      <c r="B20" s="96" t="e">
        <f>Income!B20/Income!B$10</f>
        <v>#DIV/0!</v>
      </c>
      <c r="C20" s="103" t="e">
        <f>Income!C20/Income!C$10</f>
        <v>#DIV/0!</v>
      </c>
      <c r="D20" s="103" t="e">
        <f>Income!D20/Income!D$10</f>
        <v>#DIV/0!</v>
      </c>
      <c r="E20" s="103" t="e">
        <f>Income!E20/Income!E$10</f>
        <v>#DIV/0!</v>
      </c>
      <c r="F20" s="103" t="e">
        <f>Income!F20/Income!F$10</f>
        <v>#DIV/0!</v>
      </c>
    </row>
    <row r="21" spans="1:6" x14ac:dyDescent="0.25">
      <c r="A21" t="s">
        <v>147</v>
      </c>
      <c r="B21" s="95" t="e">
        <f>Income!B21/Income!B$10</f>
        <v>#DIV/0!</v>
      </c>
      <c r="C21" s="95" t="e">
        <f>Income!C21/Income!C$10</f>
        <v>#DIV/0!</v>
      </c>
      <c r="D21" s="95" t="e">
        <f>Income!D21/Income!D$10</f>
        <v>#DIV/0!</v>
      </c>
      <c r="E21" s="95" t="e">
        <f>Income!E21/Income!E$10</f>
        <v>#DIV/0!</v>
      </c>
      <c r="F21" s="70" t="e">
        <f>Income!F21/Income!F$10</f>
        <v>#DIV/0!</v>
      </c>
    </row>
    <row r="22" spans="1:6" x14ac:dyDescent="0.25">
      <c r="B22" s="53"/>
      <c r="C22" s="49"/>
      <c r="D22" s="49"/>
      <c r="E22" s="49"/>
      <c r="F22" s="49"/>
    </row>
    <row r="23" spans="1:6" x14ac:dyDescent="0.25">
      <c r="A23" t="s">
        <v>148</v>
      </c>
      <c r="B23" s="96" t="e">
        <f>Income!B23/Income!B$10</f>
        <v>#DIV/0!</v>
      </c>
      <c r="C23" s="103" t="e">
        <f>Income!C23/Income!C$10</f>
        <v>#DIV/0!</v>
      </c>
      <c r="D23" s="103" t="e">
        <f>Income!D23/Income!D$10</f>
        <v>#DIV/0!</v>
      </c>
      <c r="E23" s="103" t="e">
        <f>Income!E23/Income!E$10</f>
        <v>#DIV/0!</v>
      </c>
      <c r="F23" s="103" t="e">
        <f>Income!F23/Income!F$10</f>
        <v>#DIV/0!</v>
      </c>
    </row>
    <row r="24" spans="1:6" x14ac:dyDescent="0.25">
      <c r="A24" t="s">
        <v>149</v>
      </c>
      <c r="B24" s="96" t="e">
        <f>Income!B24/Income!B$10</f>
        <v>#DIV/0!</v>
      </c>
      <c r="C24" s="103" t="e">
        <f>Income!C24/Income!C$10</f>
        <v>#DIV/0!</v>
      </c>
      <c r="D24" s="103" t="e">
        <f>Income!D24/Income!D$10</f>
        <v>#DIV/0!</v>
      </c>
      <c r="E24" s="103" t="e">
        <f>Income!E24/Income!E$10</f>
        <v>#DIV/0!</v>
      </c>
      <c r="F24" s="103" t="e">
        <f>Income!F24/Income!F$10</f>
        <v>#DIV/0!</v>
      </c>
    </row>
    <row r="25" spans="1:6" x14ac:dyDescent="0.25">
      <c r="B25" s="53"/>
      <c r="C25" s="49"/>
      <c r="D25" s="49"/>
      <c r="E25" s="49"/>
      <c r="F25" s="49"/>
    </row>
    <row r="26" spans="1:6" x14ac:dyDescent="0.25">
      <c r="A26" t="s">
        <v>150</v>
      </c>
      <c r="B26" s="95" t="e">
        <f>Income!B26/Income!B$10</f>
        <v>#DIV/0!</v>
      </c>
      <c r="C26" s="95" t="e">
        <f>Income!C26/Income!C$10</f>
        <v>#DIV/0!</v>
      </c>
      <c r="D26" s="95" t="e">
        <f>Income!D26/Income!D$10</f>
        <v>#DIV/0!</v>
      </c>
      <c r="E26" s="95" t="e">
        <f>Income!E26/Income!E$10</f>
        <v>#DIV/0!</v>
      </c>
      <c r="F26" s="70" t="e">
        <f>Income!F26/Income!F$10</f>
        <v>#DIV/0!</v>
      </c>
    </row>
    <row r="27" spans="1:6" x14ac:dyDescent="0.25">
      <c r="B27" s="50"/>
      <c r="C27" s="49"/>
      <c r="D27" s="49"/>
      <c r="E27" s="49"/>
      <c r="F27" s="49"/>
    </row>
    <row r="28" spans="1:6" x14ac:dyDescent="0.25">
      <c r="A28" s="52" t="s">
        <v>151</v>
      </c>
      <c r="B28" s="96" t="e">
        <f>Income!B28/Income!B$10</f>
        <v>#DIV/0!</v>
      </c>
      <c r="C28" s="103" t="e">
        <f>Income!C28/Income!C$10</f>
        <v>#DIV/0!</v>
      </c>
      <c r="D28" s="103" t="e">
        <f>Income!D28/Income!D$10</f>
        <v>#DIV/0!</v>
      </c>
      <c r="E28" s="103" t="e">
        <f>Income!E28/Income!E$10</f>
        <v>#DIV/0!</v>
      </c>
      <c r="F28" s="103" t="e">
        <f>Income!F28/Income!F$10</f>
        <v>#DIV/0!</v>
      </c>
    </row>
    <row r="29" spans="1:6" x14ac:dyDescent="0.25">
      <c r="A29" s="52" t="s">
        <v>152</v>
      </c>
      <c r="B29" s="96" t="e">
        <f>Income!B29/Income!B$10</f>
        <v>#DIV/0!</v>
      </c>
      <c r="C29" s="103" t="e">
        <f>Income!C29/Income!C$10</f>
        <v>#DIV/0!</v>
      </c>
      <c r="D29" s="103" t="e">
        <f>Income!D29/Income!D$10</f>
        <v>#DIV/0!</v>
      </c>
      <c r="E29" s="103" t="e">
        <f>Income!E29/Income!E$10</f>
        <v>#DIV/0!</v>
      </c>
      <c r="F29" s="103" t="e">
        <f>Income!F29/Income!F$10</f>
        <v>#DIV/0!</v>
      </c>
    </row>
    <row r="30" spans="1:6" x14ac:dyDescent="0.25">
      <c r="A30" t="s">
        <v>153</v>
      </c>
      <c r="B30" s="95" t="e">
        <f>Income!B30/Income!B$10</f>
        <v>#DIV/0!</v>
      </c>
      <c r="C30" s="95" t="e">
        <f>Income!C30/Income!C$10</f>
        <v>#DIV/0!</v>
      </c>
      <c r="D30" s="95" t="e">
        <f>Income!D30/Income!D$10</f>
        <v>#DIV/0!</v>
      </c>
      <c r="E30" s="95" t="e">
        <f>Income!E30/Income!E$10</f>
        <v>#DIV/0!</v>
      </c>
      <c r="F30" s="70" t="e">
        <f>Income!F30/Income!F$10</f>
        <v>#DIV/0!</v>
      </c>
    </row>
    <row r="31" spans="1:6" x14ac:dyDescent="0.25">
      <c r="B31" s="54"/>
      <c r="C31" s="49"/>
      <c r="D31" s="49"/>
      <c r="E31" s="49"/>
      <c r="F31" s="49"/>
    </row>
    <row r="32" spans="1:6" x14ac:dyDescent="0.25">
      <c r="A32" t="s">
        <v>154</v>
      </c>
      <c r="B32" s="95" t="e">
        <f>Income!B32/Income!B$10</f>
        <v>#DIV/0!</v>
      </c>
      <c r="C32" s="95" t="e">
        <f>Income!C32/Income!C$10</f>
        <v>#DIV/0!</v>
      </c>
      <c r="D32" s="95" t="e">
        <f>Income!D32/Income!D$10</f>
        <v>#DIV/0!</v>
      </c>
      <c r="E32" s="95" t="e">
        <f>Income!E32/Income!E$10</f>
        <v>#DIV/0!</v>
      </c>
      <c r="F32" s="70" t="e">
        <f>Income!F32/Income!F$10</f>
        <v>#DIV/0!</v>
      </c>
    </row>
    <row r="33" spans="1:6" x14ac:dyDescent="0.25">
      <c r="B33" s="54"/>
      <c r="C33" s="49"/>
      <c r="D33" s="49"/>
      <c r="E33" s="49"/>
      <c r="F33" s="49"/>
    </row>
    <row r="34" spans="1:6" x14ac:dyDescent="0.25">
      <c r="A34" t="s">
        <v>155</v>
      </c>
      <c r="B34" s="95" t="e">
        <f>Income!B34/Income!B$10</f>
        <v>#DIV/0!</v>
      </c>
      <c r="C34" s="95" t="e">
        <f>Income!C34/Income!C$10</f>
        <v>#DIV/0!</v>
      </c>
      <c r="D34" s="95" t="e">
        <f>Income!D34/Income!D$10</f>
        <v>#DIV/0!</v>
      </c>
      <c r="E34" s="95" t="e">
        <f>Income!E34/Income!E$10</f>
        <v>#DIV/0!</v>
      </c>
      <c r="F34" s="70" t="e">
        <f>Income!F34/Income!F$10</f>
        <v>#DIV/0!</v>
      </c>
    </row>
    <row r="35" spans="1:6" x14ac:dyDescent="0.25">
      <c r="B35" s="54"/>
      <c r="C35" s="49"/>
      <c r="D35" s="49"/>
      <c r="E35" s="49"/>
      <c r="F35" s="49"/>
    </row>
    <row r="36" spans="1:6" x14ac:dyDescent="0.25">
      <c r="A36" t="s">
        <v>156</v>
      </c>
      <c r="B36" s="95" t="e">
        <f>Income!B36/Income!B$10</f>
        <v>#DIV/0!</v>
      </c>
      <c r="C36" s="95" t="e">
        <f>Income!C36/Income!C$10</f>
        <v>#DIV/0!</v>
      </c>
      <c r="D36" s="95" t="e">
        <f>Income!D36/Income!D$10</f>
        <v>#DIV/0!</v>
      </c>
      <c r="E36" s="95" t="e">
        <f>Income!E36/Income!E$10</f>
        <v>#DIV/0!</v>
      </c>
      <c r="F36" s="70" t="e">
        <f>Income!F36/Income!F$10</f>
        <v>#DIV/0!</v>
      </c>
    </row>
  </sheetData>
  <pageMargins left="0.75" right="0.75" top="1" bottom="1" header="0.5" footer="0.5"/>
  <pageSetup orientation="portrait" r:id="rId1"/>
  <headerFooter alignWithMargins="0">
    <oddFooter>&amp;L&amp;D&amp;C&amp;9Analysis for Financial Management, 6th Ed.
by Robert C. Higgins&amp;R&amp;9Published by Irwin/McGraw-Hill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Button 1">
              <controlPr defaultSize="0" print="0" autoFill="0" autoLine="0" autoPict="0" macro="[0]!GoMai">
                <anchor moveWithCells="1" sizeWithCells="1">
                  <from>
                    <xdr:col>0</xdr:col>
                    <xdr:colOff>349250</xdr:colOff>
                    <xdr:row>3</xdr:row>
                    <xdr:rowOff>0</xdr:rowOff>
                  </from>
                  <to>
                    <xdr:col>1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44"/>
  <sheetViews>
    <sheetView showRowColHeaders="0" workbookViewId="0">
      <selection activeCell="C3" sqref="C3"/>
    </sheetView>
  </sheetViews>
  <sheetFormatPr defaultRowHeight="12.5" x14ac:dyDescent="0.25"/>
  <cols>
    <col min="1" max="1" width="30" customWidth="1"/>
    <col min="2" max="2" width="9.81640625" customWidth="1"/>
    <col min="3" max="3" width="9.81640625" style="48" customWidth="1"/>
    <col min="4" max="7" width="8.7265625" style="48"/>
  </cols>
  <sheetData>
    <row r="1" spans="1:10" x14ac:dyDescent="0.25">
      <c r="A1" s="2" t="s">
        <v>161</v>
      </c>
    </row>
    <row r="2" spans="1:10" x14ac:dyDescent="0.25">
      <c r="I2" s="55"/>
      <c r="J2" s="56"/>
    </row>
    <row r="3" spans="1:10" ht="13" x14ac:dyDescent="0.3">
      <c r="C3" s="57" t="s">
        <v>106</v>
      </c>
      <c r="I3" s="55"/>
      <c r="J3" s="56"/>
    </row>
    <row r="4" spans="1:10" x14ac:dyDescent="0.25">
      <c r="I4" s="58"/>
      <c r="J4" s="56"/>
    </row>
    <row r="5" spans="1:10" x14ac:dyDescent="0.25">
      <c r="I5" s="58"/>
      <c r="J5" s="56"/>
    </row>
    <row r="6" spans="1:10" ht="13" x14ac:dyDescent="0.3">
      <c r="B6" s="31">
        <v>1994</v>
      </c>
      <c r="C6" s="31">
        <v>1995</v>
      </c>
      <c r="D6" s="31">
        <v>1996</v>
      </c>
      <c r="E6" s="31">
        <v>1997</v>
      </c>
      <c r="F6" s="33"/>
      <c r="G6" s="59"/>
    </row>
    <row r="7" spans="1:10" ht="13" x14ac:dyDescent="0.3">
      <c r="A7" s="60" t="s">
        <v>162</v>
      </c>
    </row>
    <row r="8" spans="1:10" x14ac:dyDescent="0.25">
      <c r="A8" t="s">
        <v>163</v>
      </c>
      <c r="B8" s="61" t="e">
        <f>Income!B26/BalanceSheets!B44</f>
        <v>#DIV/0!</v>
      </c>
      <c r="C8" s="107" t="e">
        <f>Income!C26/BalanceSheets!C44</f>
        <v>#DIV/0!</v>
      </c>
      <c r="D8" s="107" t="e">
        <f>Income!D26/BalanceSheets!D44</f>
        <v>#DIV/0!</v>
      </c>
      <c r="E8" s="107" t="e">
        <f>Income!E26/BalanceSheets!E44</f>
        <v>#DIV/0!</v>
      </c>
      <c r="F8" s="107" t="e">
        <f>Income!F26/BalanceSheets!F44</f>
        <v>#DIV/0!</v>
      </c>
    </row>
    <row r="9" spans="1:10" x14ac:dyDescent="0.25">
      <c r="A9" t="s">
        <v>164</v>
      </c>
      <c r="B9" s="62">
        <f>Income!B26/BalanceSheets!B22</f>
        <v>0</v>
      </c>
      <c r="C9" s="107">
        <f>Income!C26/BalanceSheets!C22</f>
        <v>0</v>
      </c>
      <c r="D9" s="107">
        <f>Income!D26/BalanceSheets!D22</f>
        <v>0</v>
      </c>
      <c r="E9" s="107">
        <f>Income!E26/BalanceSheets!E22</f>
        <v>0</v>
      </c>
      <c r="F9" s="107" t="e">
        <f>Income!F26/BalanceSheets!F22</f>
        <v>#DIV/0!</v>
      </c>
      <c r="G9" s="22"/>
    </row>
    <row r="10" spans="1:10" x14ac:dyDescent="0.25">
      <c r="A10" t="s">
        <v>165</v>
      </c>
      <c r="B10" s="62" t="e">
        <f>((Income!B23+Income!B21)*(1-Income!B24/Income!B23))/(BalanceSheets!B25+BalanceSheets!B26+BalanceSheets!B30+BalanceSheets!B34+BalanceSheets!B37+BalanceSheets!B44)</f>
        <v>#DIV/0!</v>
      </c>
      <c r="C10" s="116" t="e">
        <f>((Income!C23+Income!C21)*(1-Income!C24/Income!C23))/(BalanceSheets!C25+BalanceSheets!C26+BalanceSheets!C30+BalanceSheets!C34+BalanceSheets!C37+BalanceSheets!C44)</f>
        <v>#DIV/0!</v>
      </c>
      <c r="D10" s="116" t="e">
        <f>((Income!D23+Income!D21)*(1-Income!D24/Income!D23))/(BalanceSheets!D25+BalanceSheets!D26+BalanceSheets!D30+BalanceSheets!D34+BalanceSheets!D37+BalanceSheets!D44)</f>
        <v>#DIV/0!</v>
      </c>
      <c r="E10" s="116" t="e">
        <f>((Income!E23+Income!E21)*(1-Income!E24/Income!E23))/(BalanceSheets!E25+BalanceSheets!E26+BalanceSheets!E30+BalanceSheets!E34+BalanceSheets!E37+BalanceSheets!E44)</f>
        <v>#DIV/0!</v>
      </c>
      <c r="F10" s="116" t="e">
        <f>((Income!F23+Income!F21)*(1-Income!F24/Income!F23))/(BalanceSheets!F25+BalanceSheets!F26+BalanceSheets!F30+BalanceSheets!F34+BalanceSheets!F37+BalanceSheets!F44)</f>
        <v>#DIV/0!</v>
      </c>
      <c r="G10" s="97"/>
    </row>
    <row r="11" spans="1:10" x14ac:dyDescent="0.25">
      <c r="A11" t="s">
        <v>166</v>
      </c>
      <c r="B11" s="61" t="e">
        <f>Income!B26/Income!B10</f>
        <v>#DIV/0!</v>
      </c>
      <c r="C11" s="107" t="e">
        <f>Income!C26/Income!C10</f>
        <v>#DIV/0!</v>
      </c>
      <c r="D11" s="107" t="e">
        <f>Income!D26/Income!D10</f>
        <v>#DIV/0!</v>
      </c>
      <c r="E11" s="107" t="e">
        <f>Income!E26/Income!E10</f>
        <v>#DIV/0!</v>
      </c>
      <c r="F11" s="107" t="e">
        <f>Income!F26/Income!F10</f>
        <v>#DIV/0!</v>
      </c>
    </row>
    <row r="12" spans="1:10" x14ac:dyDescent="0.25">
      <c r="A12" t="s">
        <v>167</v>
      </c>
      <c r="B12" s="61" t="e">
        <f>Income!B13/Income!B10</f>
        <v>#DIV/0!</v>
      </c>
      <c r="C12" s="107" t="e">
        <f>Income!C13/Income!C10</f>
        <v>#DIV/0!</v>
      </c>
      <c r="D12" s="107" t="e">
        <f>Income!D13/Income!D10</f>
        <v>#DIV/0!</v>
      </c>
      <c r="E12" s="107" t="e">
        <f>Income!E13/Income!E10</f>
        <v>#DIV/0!</v>
      </c>
      <c r="F12" s="107" t="e">
        <f>Income!F13/Income!F10</f>
        <v>#DIV/0!</v>
      </c>
    </row>
    <row r="14" spans="1:10" ht="13" x14ac:dyDescent="0.3">
      <c r="A14" s="60" t="s">
        <v>168</v>
      </c>
    </row>
    <row r="15" spans="1:10" x14ac:dyDescent="0.25">
      <c r="A15" t="s">
        <v>169</v>
      </c>
      <c r="B15" s="62" t="e">
        <f>BalanceSheets!B22/BalanceSheets!B44</f>
        <v>#DIV/0!</v>
      </c>
      <c r="C15" s="107" t="e">
        <f>BalanceSheets!C22/BalanceSheets!C44</f>
        <v>#DIV/0!</v>
      </c>
      <c r="D15" s="107" t="e">
        <f>BalanceSheets!D22/BalanceSheets!D44</f>
        <v>#DIV/0!</v>
      </c>
      <c r="E15" s="107" t="e">
        <f>BalanceSheets!E22/BalanceSheets!E44</f>
        <v>#DIV/0!</v>
      </c>
      <c r="F15" s="107" t="e">
        <f>BalanceSheets!F22/BalanceSheets!F44</f>
        <v>#DIV/0!</v>
      </c>
      <c r="G15" s="97"/>
    </row>
    <row r="16" spans="1:10" x14ac:dyDescent="0.25">
      <c r="A16" t="s">
        <v>170</v>
      </c>
      <c r="B16" s="62">
        <f>(BalanceSheets!B40/BalanceSheets!B22)</f>
        <v>0</v>
      </c>
      <c r="C16" s="107">
        <f>(BalanceSheets!C40/BalanceSheets!C22)</f>
        <v>0</v>
      </c>
      <c r="D16" s="107">
        <f>(BalanceSheets!D40/BalanceSheets!D22)</f>
        <v>0</v>
      </c>
      <c r="E16" s="107">
        <f>(BalanceSheets!E40/BalanceSheets!E22)</f>
        <v>0</v>
      </c>
      <c r="F16" s="107" t="e">
        <f>(BalanceSheets!F40/BalanceSheets!F22)</f>
        <v>#DIV/0!</v>
      </c>
      <c r="G16" s="97"/>
    </row>
    <row r="17" spans="1:7" x14ac:dyDescent="0.25">
      <c r="A17" s="4" t="s">
        <v>171</v>
      </c>
      <c r="B17" s="62" t="e">
        <f>(BalanceSheets!B40/BalanceSheets!B44)</f>
        <v>#DIV/0!</v>
      </c>
      <c r="C17" s="107" t="e">
        <f>(BalanceSheets!C40/BalanceSheets!C44)</f>
        <v>#DIV/0!</v>
      </c>
      <c r="D17" s="107" t="e">
        <f>(BalanceSheets!D40/BalanceSheets!D44)</f>
        <v>#DIV/0!</v>
      </c>
      <c r="E17" s="107" t="e">
        <f>(BalanceSheets!E40/BalanceSheets!E44)</f>
        <v>#DIV/0!</v>
      </c>
      <c r="F17" s="107" t="e">
        <f>(BalanceSheets!F40/BalanceSheets!F44)</f>
        <v>#DIV/0!</v>
      </c>
      <c r="G17" s="97"/>
    </row>
    <row r="18" spans="1:7" x14ac:dyDescent="0.25">
      <c r="A18" t="s">
        <v>172</v>
      </c>
      <c r="B18" s="61" t="e">
        <f>(BalanceSheets!B34+BalanceSheets!B30)/BalanceSheets!B44</f>
        <v>#DIV/0!</v>
      </c>
      <c r="C18" s="107" t="e">
        <f>(BalanceSheets!C34+BalanceSheets!C30)/BalanceSheets!C44</f>
        <v>#DIV/0!</v>
      </c>
      <c r="D18" s="107" t="e">
        <f>(BalanceSheets!D34+BalanceSheets!D30)/BalanceSheets!D44</f>
        <v>#DIV/0!</v>
      </c>
      <c r="E18" s="107" t="e">
        <f>(BalanceSheets!E34+BalanceSheets!E30)/BalanceSheets!E44</f>
        <v>#DIV/0!</v>
      </c>
      <c r="F18" s="107" t="e">
        <f>(BalanceSheets!F34+BalanceSheets!F30)/BalanceSheets!F44</f>
        <v>#DIV/0!</v>
      </c>
    </row>
    <row r="19" spans="1:7" x14ac:dyDescent="0.25">
      <c r="A19" t="s">
        <v>173</v>
      </c>
      <c r="B19" s="63" t="e">
        <f>(Income!B23+Income!B21)/Income!B21</f>
        <v>#DIV/0!</v>
      </c>
      <c r="C19" s="64" t="e">
        <f>(Income!C23+Income!C21)/Income!C21</f>
        <v>#DIV/0!</v>
      </c>
      <c r="D19" s="64" t="e">
        <f>(Income!D23+Income!D21)/Income!D21</f>
        <v>#DIV/0!</v>
      </c>
      <c r="E19" s="64" t="e">
        <f>(Income!E23+Income!E21)/Income!E21</f>
        <v>#DIV/0!</v>
      </c>
      <c r="F19" s="64" t="e">
        <f>(Income!F23+Income!F21)/Income!F21</f>
        <v>#DIV/0!</v>
      </c>
    </row>
    <row r="20" spans="1:7" s="5" customFormat="1" x14ac:dyDescent="0.25">
      <c r="A20" s="5" t="s">
        <v>174</v>
      </c>
      <c r="B20" s="65" t="e">
        <f>(Income!B23+Income!B21)/(Income!B21+BalanceSheets!B30/(1-Income!B24/Income!B23))</f>
        <v>#DIV/0!</v>
      </c>
      <c r="C20" s="108" t="e">
        <f>(Income!C23+Income!C21)/(Income!C21+BalanceSheets!C30/(1-Income!C24/Income!C23))</f>
        <v>#DIV/0!</v>
      </c>
      <c r="D20" s="108" t="e">
        <f>(Income!D23+Income!D21)/(Income!D21+BalanceSheets!D30/(1-Income!D24/Income!D23))</f>
        <v>#DIV/0!</v>
      </c>
      <c r="E20" s="108" t="e">
        <f>(Income!E23+Income!E21)/(Income!E21+BalanceSheets!E30/(1-Income!E24/Income!E23))</f>
        <v>#DIV/0!</v>
      </c>
      <c r="F20" s="108" t="e">
        <f>(Income!F23+Income!F21)/(Income!F21+BalanceSheets!F30/(1-Income!F24/Income!F23))</f>
        <v>#DIV/0!</v>
      </c>
      <c r="G20" s="22"/>
    </row>
    <row r="21" spans="1:7" s="5" customFormat="1" x14ac:dyDescent="0.25">
      <c r="A21" s="5" t="s">
        <v>175</v>
      </c>
      <c r="B21" s="66" t="e">
        <f>(BalanceSheets!B16/BalanceSheets!B32)</f>
        <v>#DIV/0!</v>
      </c>
      <c r="C21" s="108" t="e">
        <f>(BalanceSheets!C16/BalanceSheets!C32)</f>
        <v>#DIV/0!</v>
      </c>
      <c r="D21" s="108" t="e">
        <f>(BalanceSheets!D16/BalanceSheets!D32)</f>
        <v>#DIV/0!</v>
      </c>
      <c r="E21" s="108" t="e">
        <f>(BalanceSheets!E16/BalanceSheets!E32)</f>
        <v>#DIV/0!</v>
      </c>
      <c r="F21" s="108" t="e">
        <f>(BalanceSheets!F16/BalanceSheets!F32)</f>
        <v>#DIV/0!</v>
      </c>
      <c r="G21" s="97"/>
    </row>
    <row r="22" spans="1:7" s="5" customFormat="1" x14ac:dyDescent="0.25">
      <c r="A22" s="5" t="s">
        <v>176</v>
      </c>
      <c r="B22" s="66" t="e">
        <f>(BalanceSheets!B16-BalanceSheets!B13)/BalanceSheets!B32</f>
        <v>#DIV/0!</v>
      </c>
      <c r="C22" s="108" t="e">
        <f>(BalanceSheets!C16-BalanceSheets!C13)/BalanceSheets!C32</f>
        <v>#DIV/0!</v>
      </c>
      <c r="D22" s="108" t="e">
        <f>(BalanceSheets!D16-BalanceSheets!D13)/BalanceSheets!D32</f>
        <v>#DIV/0!</v>
      </c>
      <c r="E22" s="108" t="e">
        <f>(BalanceSheets!E16-BalanceSheets!E13)/BalanceSheets!E32</f>
        <v>#DIV/0!</v>
      </c>
      <c r="F22" s="108" t="e">
        <f>(BalanceSheets!F16-BalanceSheets!F13)/BalanceSheets!F32</f>
        <v>#DIV/0!</v>
      </c>
      <c r="G22" s="97"/>
    </row>
    <row r="23" spans="1:7" x14ac:dyDescent="0.25">
      <c r="B23" s="63"/>
      <c r="C23" s="64"/>
      <c r="D23" s="64"/>
      <c r="E23" s="64"/>
      <c r="F23" s="64"/>
    </row>
    <row r="24" spans="1:7" ht="13" x14ac:dyDescent="0.3">
      <c r="A24" s="60" t="s">
        <v>177</v>
      </c>
      <c r="B24" s="63"/>
      <c r="C24" s="64"/>
      <c r="D24" s="64"/>
      <c r="E24" s="64"/>
      <c r="F24" s="64"/>
    </row>
    <row r="25" spans="1:7" x14ac:dyDescent="0.25">
      <c r="A25" t="s">
        <v>178</v>
      </c>
      <c r="B25" s="67">
        <f>(Income!B10/BalanceSheets!B22)</f>
        <v>0</v>
      </c>
      <c r="C25" s="64">
        <f>(Income!C10/BalanceSheets!C22)</f>
        <v>0</v>
      </c>
      <c r="D25" s="64">
        <f>(Income!D10/BalanceSheets!D22)</f>
        <v>0</v>
      </c>
      <c r="E25" s="64">
        <f>(Income!E10/BalanceSheets!E22)</f>
        <v>0</v>
      </c>
      <c r="F25" s="64" t="e">
        <f>(Income!F10/BalanceSheets!F22)</f>
        <v>#DIV/0!</v>
      </c>
      <c r="G25" s="97"/>
    </row>
    <row r="26" spans="1:7" x14ac:dyDescent="0.25">
      <c r="A26" t="s">
        <v>179</v>
      </c>
      <c r="B26" s="63" t="e">
        <f>Income!B11/BalanceSheets!B13</f>
        <v>#DIV/0!</v>
      </c>
      <c r="C26" s="64" t="e">
        <f>Income!C11/BalanceSheets!C13</f>
        <v>#DIV/0!</v>
      </c>
      <c r="D26" s="64" t="e">
        <f>Income!D11/BalanceSheets!D13</f>
        <v>#DIV/0!</v>
      </c>
      <c r="E26" s="64" t="e">
        <f>Income!E11/BalanceSheets!E13</f>
        <v>#DIV/0!</v>
      </c>
      <c r="F26" s="64" t="e">
        <f>Income!F11/BalanceSheets!F13</f>
        <v>#DIV/0!</v>
      </c>
    </row>
    <row r="27" spans="1:7" x14ac:dyDescent="0.25">
      <c r="A27" t="s">
        <v>180</v>
      </c>
      <c r="B27" s="63" t="e">
        <f>BalanceSheets!B12/(Income!B10/365)</f>
        <v>#DIV/0!</v>
      </c>
      <c r="C27" s="64" t="e">
        <f>BalanceSheets!C12/(Income!C10/365)</f>
        <v>#DIV/0!</v>
      </c>
      <c r="D27" s="64" t="e">
        <f>BalanceSheets!D12/(Income!D10/365)</f>
        <v>#DIV/0!</v>
      </c>
      <c r="E27" s="64" t="e">
        <f>BalanceSheets!E12/(Income!E10/365)</f>
        <v>#DIV/0!</v>
      </c>
      <c r="F27" s="64" t="e">
        <f>BalanceSheets!F12/(Income!F10/365)</f>
        <v>#DIV/0!</v>
      </c>
    </row>
    <row r="28" spans="1:7" x14ac:dyDescent="0.25">
      <c r="A28" t="s">
        <v>181</v>
      </c>
      <c r="B28" s="63" t="e">
        <f>BalanceSheets!B10/(Income!B10/365)</f>
        <v>#DIV/0!</v>
      </c>
      <c r="C28" s="64" t="e">
        <f>BalanceSheets!C10/(Income!C10/365)</f>
        <v>#DIV/0!</v>
      </c>
      <c r="D28" s="64" t="e">
        <f>BalanceSheets!D10/(Income!D10/365)</f>
        <v>#DIV/0!</v>
      </c>
      <c r="E28" s="64" t="e">
        <f>BalanceSheets!E10/(Income!E10/365)</f>
        <v>#DIV/0!</v>
      </c>
      <c r="F28" s="64" t="e">
        <f>BalanceSheets!F10/(Income!F10/365)</f>
        <v>#DIV/0!</v>
      </c>
    </row>
    <row r="29" spans="1:7" x14ac:dyDescent="0.25">
      <c r="A29" t="s">
        <v>182</v>
      </c>
      <c r="B29" s="63" t="e">
        <f>BalanceSheets!B27/(Income!B11/365)</f>
        <v>#DIV/0!</v>
      </c>
      <c r="C29" s="64" t="e">
        <f>BalanceSheets!C27/(Income!C11/365)</f>
        <v>#DIV/0!</v>
      </c>
      <c r="D29" s="64" t="e">
        <f>BalanceSheets!D27/(Income!D11/365)</f>
        <v>#DIV/0!</v>
      </c>
      <c r="E29" s="64" t="e">
        <f>BalanceSheets!E27/(Income!E11/365)</f>
        <v>#DIV/0!</v>
      </c>
      <c r="F29" s="64" t="e">
        <f>BalanceSheets!F27/(Income!F11/365)</f>
        <v>#DIV/0!</v>
      </c>
    </row>
    <row r="30" spans="1:7" x14ac:dyDescent="0.25">
      <c r="A30" t="s">
        <v>183</v>
      </c>
      <c r="B30" s="63" t="e">
        <f>Income!B10/BalanceSheets!B18</f>
        <v>#DIV/0!</v>
      </c>
      <c r="C30" s="64" t="e">
        <f>Income!C10/BalanceSheets!C18</f>
        <v>#DIV/0!</v>
      </c>
      <c r="D30" s="64" t="e">
        <f>Income!D10/BalanceSheets!D18</f>
        <v>#DIV/0!</v>
      </c>
      <c r="E30" s="64" t="e">
        <f>Income!E10/BalanceSheets!E18</f>
        <v>#DIV/0!</v>
      </c>
      <c r="F30" s="64" t="e">
        <f>Income!F10/BalanceSheets!F18</f>
        <v>#DIV/0!</v>
      </c>
    </row>
    <row r="32" spans="1:7" x14ac:dyDescent="0.25">
      <c r="A32" s="10" t="s">
        <v>184</v>
      </c>
    </row>
    <row r="34" spans="1:7" ht="13" x14ac:dyDescent="0.3">
      <c r="B34" s="31">
        <v>1994</v>
      </c>
      <c r="C34" s="31">
        <v>1995</v>
      </c>
      <c r="D34" s="31">
        <v>1996</v>
      </c>
      <c r="E34" s="31">
        <v>1997</v>
      </c>
      <c r="F34" s="33"/>
    </row>
    <row r="35" spans="1:7" ht="13" x14ac:dyDescent="0.3">
      <c r="A35" s="60" t="s">
        <v>185</v>
      </c>
    </row>
    <row r="36" spans="1:7" x14ac:dyDescent="0.25">
      <c r="A36" t="s">
        <v>186</v>
      </c>
      <c r="B36" s="68" t="e">
        <f>B11</f>
        <v>#DIV/0!</v>
      </c>
      <c r="C36" s="69" t="e">
        <f>C11</f>
        <v>#DIV/0!</v>
      </c>
      <c r="D36" s="69" t="e">
        <f>D11</f>
        <v>#DIV/0!</v>
      </c>
      <c r="E36" s="69" t="e">
        <f>E11</f>
        <v>#DIV/0!</v>
      </c>
      <c r="F36" s="69" t="e">
        <f>F11</f>
        <v>#DIV/0!</v>
      </c>
    </row>
    <row r="37" spans="1:7" x14ac:dyDescent="0.25">
      <c r="A37" t="s">
        <v>187</v>
      </c>
      <c r="B37" s="98" t="e">
        <f>1-(Income!B34/Income!B32)</f>
        <v>#DIV/0!</v>
      </c>
      <c r="C37" s="109" t="e">
        <f>1-(Income!C34/Income!C32)</f>
        <v>#DIV/0!</v>
      </c>
      <c r="D37" s="109" t="e">
        <f>1-(Income!D34/Income!D32)</f>
        <v>#DIV/0!</v>
      </c>
      <c r="E37" s="109" t="e">
        <f>1-(Income!E34/Income!E32)</f>
        <v>#DIV/0!</v>
      </c>
      <c r="F37" s="109" t="e">
        <f>1-(Income!F34/Income!F32)</f>
        <v>#DIV/0!</v>
      </c>
      <c r="G37" s="22"/>
    </row>
    <row r="38" spans="1:7" x14ac:dyDescent="0.25">
      <c r="A38" t="s">
        <v>188</v>
      </c>
      <c r="B38" s="71">
        <f>B25</f>
        <v>0</v>
      </c>
      <c r="C38" s="70">
        <f>C25</f>
        <v>0</v>
      </c>
      <c r="D38" s="70">
        <f>D25</f>
        <v>0</v>
      </c>
      <c r="E38" s="70">
        <f>E25</f>
        <v>0</v>
      </c>
      <c r="F38" s="70" t="e">
        <f>F25</f>
        <v>#DIV/0!</v>
      </c>
    </row>
    <row r="39" spans="1:7" x14ac:dyDescent="0.25">
      <c r="A39" t="s">
        <v>189</v>
      </c>
      <c r="B39" s="69" t="s">
        <v>190</v>
      </c>
      <c r="C39" s="69" t="e">
        <f>(BalanceSheets!C22/BalanceSheets!B44)</f>
        <v>#DIV/0!</v>
      </c>
      <c r="D39" s="69" t="e">
        <f>(BalanceSheets!D22/BalanceSheets!C44)</f>
        <v>#DIV/0!</v>
      </c>
      <c r="E39" s="69" t="e">
        <f>(BalanceSheets!E22/BalanceSheets!D44)</f>
        <v>#DIV/0!</v>
      </c>
      <c r="F39" s="69" t="e">
        <f>(BalanceSheets!F22/BalanceSheets!E44)</f>
        <v>#DIV/0!</v>
      </c>
      <c r="G39" s="97"/>
    </row>
    <row r="40" spans="1:7" x14ac:dyDescent="0.25">
      <c r="B40" s="72"/>
      <c r="C40" s="73"/>
      <c r="D40" s="73"/>
      <c r="E40" s="73"/>
      <c r="F40" s="73"/>
    </row>
    <row r="41" spans="1:7" x14ac:dyDescent="0.25">
      <c r="A41" t="s">
        <v>191</v>
      </c>
      <c r="B41" s="71" t="s">
        <v>190</v>
      </c>
      <c r="C41" s="70" t="e">
        <f>C36*C37*C38*C39</f>
        <v>#DIV/0!</v>
      </c>
      <c r="D41" s="70" t="e">
        <f>D36*D37*D38*D39</f>
        <v>#DIV/0!</v>
      </c>
      <c r="E41" s="70" t="e">
        <f>E36*E37*E38*E39</f>
        <v>#DIV/0!</v>
      </c>
      <c r="F41" s="70" t="e">
        <f>F36*F37*F38*F39</f>
        <v>#DIV/0!</v>
      </c>
    </row>
    <row r="42" spans="1:7" x14ac:dyDescent="0.25">
      <c r="A42" t="s">
        <v>192</v>
      </c>
      <c r="B42" s="68" t="s">
        <v>190</v>
      </c>
      <c r="C42" s="69" t="e">
        <f>(Income!C10-Income!B10)/Income!B10</f>
        <v>#DIV/0!</v>
      </c>
      <c r="D42" s="69" t="e">
        <f>(Income!D10-Income!C10)/Income!C10</f>
        <v>#DIV/0!</v>
      </c>
      <c r="E42" s="69" t="e">
        <f>(Income!E10-Income!D10)/Income!D10</f>
        <v>#DIV/0!</v>
      </c>
      <c r="F42" s="69" t="e">
        <f>(Income!F10-Income!E10)/Income!E10</f>
        <v>#DIV/0!</v>
      </c>
      <c r="G42" s="22"/>
    </row>
    <row r="44" spans="1:7" ht="13" x14ac:dyDescent="0.3">
      <c r="A44" s="16" t="s">
        <v>193</v>
      </c>
    </row>
  </sheetData>
  <pageMargins left="0.75" right="0.75" top="1" bottom="1" header="0.5" footer="0.5"/>
  <pageSetup orientation="portrait" r:id="rId1"/>
  <headerFooter alignWithMargins="0">
    <oddFooter>&amp;L&amp;D&amp;C&amp;9Analysis for Financial Management, 6th Ed.
by Robert C. Higgins&amp;R&amp;9Published by Irwin/McGraw-Hill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Button 1">
              <controlPr defaultSize="0" print="0" autoFill="0" autoLine="0" autoPict="0" macro="[0]!GoMai">
                <anchor moveWithCells="1" sizeWithCells="1">
                  <from>
                    <xdr:col>0</xdr:col>
                    <xdr:colOff>800100</xdr:colOff>
                    <xdr:row>2</xdr:row>
                    <xdr:rowOff>0</xdr:rowOff>
                  </from>
                  <to>
                    <xdr:col>0</xdr:col>
                    <xdr:colOff>2082800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10</vt:i4>
      </vt:variant>
      <vt:variant>
        <vt:lpstr>Dialogs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Instructions</vt:lpstr>
      <vt:lpstr>Definitions</vt:lpstr>
      <vt:lpstr>MainMenu</vt:lpstr>
      <vt:lpstr>DData</vt:lpstr>
      <vt:lpstr>BalanceSheets</vt:lpstr>
      <vt:lpstr>Income</vt:lpstr>
      <vt:lpstr>BalChg</vt:lpstr>
      <vt:lpstr>CommBal</vt:lpstr>
      <vt:lpstr>CommInc</vt:lpstr>
      <vt:lpstr>Ratio</vt:lpstr>
      <vt:lpstr>HistoryDialog</vt:lpstr>
      <vt:lpstr>TableViewer</vt:lpstr>
      <vt:lpstr>BalanceSheets!Print_Area</vt:lpstr>
      <vt:lpstr>BalChg!Print_Area</vt:lpstr>
      <vt:lpstr>CommBal!Print_Area</vt:lpstr>
      <vt:lpstr>CommInc!Print_Area</vt:lpstr>
      <vt:lpstr>Income!Print_Area</vt:lpstr>
      <vt:lpstr>Ratio!Print_Area</vt:lpstr>
    </vt:vector>
  </TitlesOfParts>
  <Company>AMAT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AMAT</dc:creator>
  <cp:lastModifiedBy>Carina Negreanu</cp:lastModifiedBy>
  <cp:lastPrinted>1999-07-14T22:50:07Z</cp:lastPrinted>
  <dcterms:created xsi:type="dcterms:W3CDTF">1998-11-25T02:53:11Z</dcterms:created>
  <dcterms:modified xsi:type="dcterms:W3CDTF">2020-01-27T10:30:40Z</dcterms:modified>
</cp:coreProperties>
</file>