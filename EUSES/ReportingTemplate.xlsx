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CCAC576-4EC1-43BB-90DD-0F2B6A91B63B}" xr6:coauthVersionLast="45" xr6:coauthVersionMax="45" xr10:uidLastSave="{00000000-0000-0000-0000-000000000000}"/>
  <bookViews>
    <workbookView xWindow="1140" yWindow="1140" windowWidth="28800" windowHeight="15460"/>
  </bookViews>
  <sheets>
    <sheet name="Example of Reporting Template" sheetId="1" r:id="rId1"/>
  </sheets>
  <definedNames>
    <definedName name="_xlnm.Print_Area" localSheetId="0">'Example of Reporting Template'!$A$1:$P$57</definedName>
  </definedNames>
  <calcPr calcId="191029" calcMode="manual"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7" i="1" l="1"/>
  <c r="N7" i="1"/>
  <c r="P7" i="1"/>
  <c r="M8" i="1"/>
  <c r="N8" i="1"/>
  <c r="O8" i="1"/>
  <c r="P8" i="1"/>
  <c r="M9" i="1"/>
  <c r="N9" i="1"/>
  <c r="P9" i="1"/>
  <c r="M10" i="1"/>
  <c r="N10" i="1"/>
  <c r="P10" i="1"/>
  <c r="M11" i="1"/>
  <c r="N11" i="1"/>
  <c r="P11" i="1"/>
  <c r="M12" i="1"/>
  <c r="N12" i="1"/>
  <c r="P12" i="1" s="1"/>
  <c r="M13" i="1"/>
  <c r="N13" i="1" s="1"/>
  <c r="P13" i="1" s="1"/>
  <c r="M14" i="1"/>
  <c r="N14" i="1"/>
  <c r="P14" i="1" s="1"/>
  <c r="M15" i="1"/>
  <c r="N15" i="1"/>
  <c r="P15" i="1"/>
  <c r="M16" i="1"/>
  <c r="N16" i="1"/>
  <c r="P16" i="1"/>
  <c r="M17" i="1"/>
  <c r="N17" i="1"/>
  <c r="P17" i="1" s="1"/>
  <c r="M19" i="1"/>
  <c r="N19" i="1" s="1"/>
  <c r="P19" i="1" s="1"/>
  <c r="M20" i="1"/>
  <c r="N20" i="1" s="1"/>
  <c r="P20" i="1" s="1"/>
  <c r="M22" i="1"/>
  <c r="N22" i="1"/>
  <c r="P22" i="1"/>
  <c r="M23" i="1"/>
  <c r="N23" i="1"/>
  <c r="P23" i="1"/>
  <c r="M24" i="1"/>
  <c r="N24" i="1" s="1"/>
  <c r="P24" i="1" s="1"/>
  <c r="M26" i="1"/>
  <c r="M27" i="1"/>
  <c r="M28" i="1"/>
</calcChain>
</file>

<file path=xl/sharedStrings.xml><?xml version="1.0" encoding="utf-8"?>
<sst xmlns="http://schemas.openxmlformats.org/spreadsheetml/2006/main" count="129" uniqueCount="87">
  <si>
    <t>Course/Instructor</t>
  </si>
  <si>
    <t>Quarter</t>
  </si>
  <si>
    <t>Student Major:</t>
  </si>
  <si>
    <t xml:space="preserve">Criteria </t>
  </si>
  <si>
    <t>Levels       (L, M, H)</t>
  </si>
  <si>
    <t>Relevant Activities</t>
  </si>
  <si>
    <t>Assessment</t>
  </si>
  <si>
    <t>Projected Outcome Levels (POL)</t>
  </si>
  <si>
    <t>Post Evaluation Feedback</t>
  </si>
  <si>
    <t>Number of Student Outcome Level Responses</t>
  </si>
  <si>
    <t>ABET (3a-k, specific l-  )</t>
  </si>
  <si>
    <t>by Coordinator/Instructor</t>
  </si>
  <si>
    <t xml:space="preserve">*Numerical Value of Coordinator Expected Outcome Level </t>
  </si>
  <si>
    <t xml:space="preserve">*Numerical Value of Instructor Expected Outcome Level </t>
  </si>
  <si>
    <t>HIGH</t>
  </si>
  <si>
    <t>MEDIUM</t>
  </si>
  <si>
    <t>LOW</t>
  </si>
  <si>
    <t>NOT AT ALL</t>
  </si>
  <si>
    <t>Total</t>
  </si>
  <si>
    <t>Weighted Mean</t>
  </si>
  <si>
    <t>Standard Error of Estimate</t>
  </si>
  <si>
    <t>Difference of means between Students and Instructors</t>
  </si>
  <si>
    <t>(a)  Ability to apply knowledge of math, science, &amp; engineering</t>
  </si>
  <si>
    <t>H</t>
  </si>
  <si>
    <t>Lecture presentations, textbook reading and handouts accompanied by homework &amp; quizzes</t>
  </si>
  <si>
    <t>Graded Assignments: Class exercises and homework; Quizzes; Mid-term Exams; Final exam; Student Course Evaluation; Faculty Course Evaluation</t>
  </si>
  <si>
    <t>M</t>
  </si>
  <si>
    <t>(b)  Ability to design &amp; conduct experiments; analyze, interpret data</t>
  </si>
  <si>
    <t xml:space="preserve">L </t>
  </si>
  <si>
    <t>(c)  Ability to design system, component, or process to meet needs</t>
  </si>
  <si>
    <t>L</t>
  </si>
  <si>
    <t>Team-based design project - a conceptual design of an aircraft</t>
  </si>
  <si>
    <t>(d)  Ability to function on multi-disciplinary teams</t>
  </si>
  <si>
    <t>Team-building lecture and exercises - instruction on team roles and participation including NASA Moon Puzzle and videos</t>
  </si>
  <si>
    <t>(e)  Ability to identify, formulate, &amp; solve engineering problems</t>
  </si>
  <si>
    <t>Design project and application of analysis methods</t>
  </si>
  <si>
    <t>(f)  Understanding of professional &amp; ethical responsibility</t>
  </si>
  <si>
    <t>Plagiarism policy, professional code of ethics, case studies</t>
  </si>
  <si>
    <t>(g)  Ability to communicate effectively</t>
  </si>
  <si>
    <t>Team-based design project results in both written report and technical presentation.  Application of analysis presentation methods.</t>
  </si>
  <si>
    <t>(h)  Broad education necessary to understand impact of engineering solutions in a global &amp; societal context</t>
  </si>
  <si>
    <t>(i)  Recognize need for &amp; ability to engage in life-long learning</t>
  </si>
  <si>
    <t>Team-based design project includes basic plan and need for the product - addressing societal issues, environmental concerns, etc.</t>
  </si>
  <si>
    <t>(k)  Ability to use techniques, skills, &amp; modern engineering tools necessary for engineering practice</t>
  </si>
  <si>
    <t>Project uses various computer tools, including spreadsheets, analysis tools, and presentation software</t>
  </si>
  <si>
    <t xml:space="preserve">(l) Apply knowledge of: </t>
  </si>
  <si>
    <t>(l1) Aerodynamics?</t>
  </si>
  <si>
    <t>Lecture, textbook reading and handouts accompanied by discussion</t>
  </si>
  <si>
    <t>(l2) Aerospace materials and structures?</t>
  </si>
  <si>
    <t>(m)  Apply knowledge of:</t>
  </si>
  <si>
    <t>(m1) Aerospace propulsion?</t>
  </si>
  <si>
    <t>(m2) Flights mechanics and aerospace stability &amp; control?</t>
  </si>
  <si>
    <t>(n)  Integrate aerospace knowledge into design competence?</t>
  </si>
  <si>
    <t>Team-based design project resulting in the conceptual design of an aircraft.</t>
  </si>
  <si>
    <t>Program Educational Objectives</t>
  </si>
  <si>
    <t>(p)  Achieve high-quality education in both aeronautical and astronautical engineering by integrating  the systems view of engineering through course work and a group-based capstone design experience.</t>
  </si>
  <si>
    <t>(q)  Achieve expertise in aerodynamics, erothermodynamics, controls, structures, propulsion and their  integration into design.</t>
  </si>
  <si>
    <t>Lecture Presentation, Classroom Exercise/Handout, Homework/Other Problems</t>
  </si>
  <si>
    <t>*Same set of student responses applied to pre &amp; post outcome level evaluation</t>
  </si>
  <si>
    <t>Catalog Description (2001-2003):</t>
  </si>
  <si>
    <t>Course Prerequisites:</t>
  </si>
  <si>
    <t>Average</t>
  </si>
  <si>
    <t>St Dev</t>
  </si>
  <si>
    <t>1.  Do you believe that the catalog description (above) is accurate for this course?</t>
  </si>
  <si>
    <t>2a.  Do you believe that the course prerequisites (above) are appropriate for this course?</t>
  </si>
  <si>
    <t>2b.  If not, please list any prerequisites you believe are not appropriate for this course.</t>
  </si>
  <si>
    <t>Course</t>
  </si>
  <si>
    <t>Number of Response(s)</t>
  </si>
  <si>
    <t>Textbook(s) and/or Lab Manuals (if applicable):</t>
  </si>
  <si>
    <t>6a.  In general, do you believe this to be an appropriate textbook for this course?</t>
  </si>
  <si>
    <t>6b.  Was the organization of the textbook appropriate for this course?</t>
  </si>
  <si>
    <t>6c.  Was the level of the textbook appropriate for this course?</t>
  </si>
  <si>
    <t>Laboratory component (if applicable):</t>
  </si>
  <si>
    <t>7a.  Was the laboratory course well integrated with the associated lecture course?</t>
  </si>
  <si>
    <t>7b.  Was the lab manual and/or experiment text well written and organized?</t>
  </si>
  <si>
    <t>7c.  Was the equipment in good working order?</t>
  </si>
  <si>
    <t>7d.  Was adequate technical support available when needed?</t>
  </si>
  <si>
    <t>7e.  Were the lab groups of an appropriate size?</t>
  </si>
  <si>
    <r>
      <t>Survey Question:</t>
    </r>
    <r>
      <rPr>
        <sz val="10"/>
        <rFont val="Arial"/>
        <family val="2"/>
      </rPr>
      <t xml:space="preserve">  The course listed (below) is designed for students to achieve the following outcomes at a Low, Medium or High Level.  Please circle High (H), Medium (M), Low (L) or Not At All (N) indicating the level to which you believe you have achieved these outcomes in this course.</t>
    </r>
  </si>
  <si>
    <t>33 AERO</t>
  </si>
  <si>
    <t>3 ME</t>
  </si>
  <si>
    <t>For each of the following ABET outcomes, please assign a level (High, Medium, Low, or blank if not applicable) that reflects the degree to which the outcome is achieved by this course. Please describe the relevant course activities that you believe justify the number you have assigned. No course is expected to address all of these outcomes, and it would be rare to have more than two or three outcomes at a high level (except possibly in a capstone course). A course that devotes a large percentage of effort to a given outcome would typically be assigned a high level for that outcome.</t>
  </si>
  <si>
    <t>Instuctor Outcome Levels</t>
  </si>
  <si>
    <t>(j)  Knowledge of comtemporary issues</t>
  </si>
  <si>
    <t>(o)  Educate well-rounded engineers for positions of technical resposibility and leadership in a modern multi-disciplinary, system-oriented environment by using a laboratory-based, hands-on approach?</t>
  </si>
  <si>
    <t>CSC 231</t>
  </si>
  <si>
    <t>CSC 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</si>
</sst>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name val="Arial"/>
    </font>
    <font>
      <sz val="10"/>
      <name val="Arial"/>
    </font>
    <font>
      <sz val="10"/>
      <color indexed="8"/>
      <name val="Arial"/>
      <family val="2"/>
    </font>
    <font>
      <sz val="10"/>
      <name val="Arial"/>
      <family val="2"/>
    </font>
    <font>
      <b/>
      <sz val="10"/>
      <name val="Arial"/>
      <family val="2"/>
    </font>
    <font>
      <b/>
      <sz val="11"/>
      <name val="Arial"/>
      <family val="2"/>
    </font>
    <font>
      <b/>
      <sz val="8"/>
      <name val="Arial"/>
      <family val="2"/>
    </font>
    <font>
      <b/>
      <sz val="12"/>
      <name val="Arial"/>
      <family val="2"/>
    </font>
    <font>
      <sz val="10"/>
      <color indexed="8"/>
      <name val="Arial"/>
      <family val="2"/>
    </font>
    <font>
      <sz val="8"/>
      <name val="Arial"/>
      <family val="2"/>
    </font>
    <font>
      <sz val="10"/>
      <name val="MS Sans Serif"/>
      <family val="2"/>
    </font>
    <font>
      <b/>
      <i/>
      <sz val="9"/>
      <name val="Arial"/>
      <family val="2"/>
    </font>
    <font>
      <sz val="6"/>
      <name val="Arial"/>
      <family val="2"/>
    </font>
    <font>
      <b/>
      <sz val="7"/>
      <name val="Arial"/>
      <family val="2"/>
    </font>
  </fonts>
  <fills count="3">
    <fill>
      <patternFill patternType="none"/>
    </fill>
    <fill>
      <patternFill patternType="gray125"/>
    </fill>
    <fill>
      <patternFill patternType="solid">
        <fgColor indexed="2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0"/>
    <xf numFmtId="0" fontId="1" fillId="0" borderId="0"/>
    <xf numFmtId="0" fontId="1" fillId="0" borderId="0"/>
    <xf numFmtId="0" fontId="1" fillId="0" borderId="0"/>
  </cellStyleXfs>
  <cellXfs count="144">
    <xf numFmtId="0" fontId="0" fillId="0" borderId="0" xfId="0"/>
    <xf numFmtId="0" fontId="0" fillId="0" borderId="0" xfId="0"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left" vertical="center"/>
    </xf>
    <xf numFmtId="0" fontId="5" fillId="2" borderId="2" xfId="1" applyFont="1" applyFill="1" applyBorder="1" applyAlignment="1">
      <alignment horizontal="left" vertical="center" wrapText="1"/>
    </xf>
    <xf numFmtId="0" fontId="4" fillId="0" borderId="0" xfId="0" applyFont="1" applyAlignment="1">
      <alignment vertical="center"/>
    </xf>
    <xf numFmtId="0" fontId="5" fillId="2" borderId="1" xfId="0" applyFont="1" applyFill="1" applyBorder="1" applyAlignment="1">
      <alignment horizontal="center" vertical="center"/>
    </xf>
    <xf numFmtId="0" fontId="5" fillId="2" borderId="1" xfId="1" applyFont="1" applyFill="1" applyBorder="1" applyAlignment="1">
      <alignment horizontal="left" vertical="center"/>
    </xf>
    <xf numFmtId="0" fontId="5" fillId="2" borderId="1" xfId="1" applyFont="1" applyFill="1" applyBorder="1" applyAlignment="1">
      <alignment horizontal="left" vertical="center" wrapText="1"/>
    </xf>
    <xf numFmtId="0" fontId="6" fillId="2" borderId="7"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left" vertical="center" wrapText="1"/>
    </xf>
    <xf numFmtId="0" fontId="3" fillId="0" borderId="1" xfId="0" applyFont="1" applyBorder="1" applyAlignment="1">
      <alignment horizontal="left" vertical="center" wrapText="1"/>
    </xf>
    <xf numFmtId="0" fontId="7" fillId="2" borderId="10" xfId="0" applyFont="1" applyFill="1" applyBorder="1" applyAlignment="1">
      <alignment horizontal="center" vertical="center"/>
    </xf>
    <xf numFmtId="0" fontId="4" fillId="0" borderId="0" xfId="0" applyFont="1" applyFill="1" applyAlignment="1">
      <alignment horizontal="center" vertical="center"/>
    </xf>
    <xf numFmtId="0" fontId="4" fillId="0" borderId="15" xfId="0" applyFont="1" applyFill="1" applyBorder="1" applyAlignment="1">
      <alignment horizontal="center" vertical="center" textRotation="90" wrapText="1"/>
    </xf>
    <xf numFmtId="0" fontId="4" fillId="0" borderId="16" xfId="0" applyFont="1" applyBorder="1" applyAlignment="1">
      <alignment horizontal="center" vertical="center" textRotation="90" wrapText="1"/>
    </xf>
    <xf numFmtId="0" fontId="4" fillId="0" borderId="16" xfId="0" applyFont="1" applyFill="1" applyBorder="1" applyAlignment="1">
      <alignment horizontal="center" vertical="center" textRotation="90" wrapText="1"/>
    </xf>
    <xf numFmtId="0" fontId="4" fillId="0" borderId="17" xfId="0" applyFont="1" applyFill="1" applyBorder="1" applyAlignment="1">
      <alignment horizontal="center" vertical="center" textRotation="90" wrapText="1"/>
    </xf>
    <xf numFmtId="0" fontId="3" fillId="0" borderId="2"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2" applyFont="1" applyBorder="1" applyAlignment="1">
      <alignment horizontal="center" vertical="center" wrapText="1"/>
    </xf>
    <xf numFmtId="0" fontId="3" fillId="0" borderId="6" xfId="0" applyFont="1" applyBorder="1" applyAlignment="1">
      <alignment horizontal="right" vertical="center" wrapText="1"/>
    </xf>
    <xf numFmtId="0" fontId="4" fillId="0" borderId="18" xfId="0" applyFont="1" applyBorder="1" applyAlignment="1">
      <alignment horizontal="center" vertical="center" wrapText="1"/>
    </xf>
    <xf numFmtId="0" fontId="3" fillId="0" borderId="19"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9" fillId="0" borderId="0" xfId="0" applyFont="1" applyFill="1" applyAlignment="1">
      <alignment horizontal="right" vertical="center" wrapText="1"/>
    </xf>
    <xf numFmtId="0" fontId="3" fillId="0" borderId="1" xfId="0" applyFont="1" applyBorder="1" applyAlignment="1">
      <alignment horizontal="right" vertical="center" wrapText="1"/>
    </xf>
    <xf numFmtId="0" fontId="4"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1" xfId="0" applyFont="1" applyBorder="1" applyAlignment="1">
      <alignment horizontal="center" vertical="center" wrapText="1"/>
    </xf>
    <xf numFmtId="2" fontId="2" fillId="0" borderId="1" xfId="0" applyNumberFormat="1" applyFont="1" applyFill="1" applyBorder="1" applyAlignment="1">
      <alignment horizontal="center" vertical="center"/>
    </xf>
    <xf numFmtId="0" fontId="9" fillId="0" borderId="0" xfId="0" applyFont="1" applyAlignment="1">
      <alignment horizontal="right" vertical="center" wrapText="1"/>
    </xf>
    <xf numFmtId="2" fontId="8" fillId="0" borderId="1" xfId="0" applyNumberFormat="1" applyFont="1" applyFill="1" applyBorder="1" applyAlignment="1">
      <alignment horizontal="center" vertical="center"/>
    </xf>
    <xf numFmtId="0" fontId="10" fillId="2" borderId="1" xfId="3" applyFont="1" applyFill="1" applyBorder="1" applyAlignment="1">
      <alignment horizontal="left" vertical="center" wrapText="1"/>
    </xf>
    <xf numFmtId="0" fontId="1" fillId="0" borderId="1" xfId="0" applyFont="1" applyBorder="1" applyAlignment="1">
      <alignment vertical="center" wrapText="1"/>
    </xf>
    <xf numFmtId="0" fontId="1" fillId="2" borderId="1" xfId="0" applyFont="1" applyFill="1" applyBorder="1" applyAlignment="1">
      <alignment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3" fillId="2" borderId="1" xfId="0"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3" fillId="0" borderId="1" xfId="3" applyFont="1" applyBorder="1" applyAlignment="1">
      <alignment horizontal="left" vertical="center" wrapText="1" indent="2"/>
    </xf>
    <xf numFmtId="0" fontId="3" fillId="2" borderId="1" xfId="3" applyFont="1" applyFill="1" applyBorder="1" applyAlignment="1">
      <alignment horizontal="left" vertical="center" wrapText="1"/>
    </xf>
    <xf numFmtId="0" fontId="3" fillId="2" borderId="1" xfId="0" applyFont="1" applyFill="1" applyBorder="1" applyAlignment="1">
      <alignment horizontal="right" vertical="center" wrapText="1"/>
    </xf>
    <xf numFmtId="0" fontId="3" fillId="2" borderId="6" xfId="0" applyFont="1" applyFill="1" applyBorder="1" applyAlignment="1">
      <alignment horizontal="right" vertical="center" wrapText="1"/>
    </xf>
    <xf numFmtId="0" fontId="4"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4" xfId="0" applyFont="1" applyBorder="1" applyAlignment="1">
      <alignment horizontal="center" vertical="center" wrapText="1"/>
    </xf>
    <xf numFmtId="2" fontId="8" fillId="0" borderId="24" xfId="0" applyNumberFormat="1" applyFont="1" applyFill="1" applyBorder="1" applyAlignment="1">
      <alignment horizontal="center" vertical="center"/>
    </xf>
    <xf numFmtId="0" fontId="0" fillId="0" borderId="7" xfId="0" applyBorder="1" applyAlignment="1">
      <alignment vertical="center"/>
    </xf>
    <xf numFmtId="0" fontId="0" fillId="2" borderId="2" xfId="0" applyFill="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right" vertical="center" wrapText="1"/>
    </xf>
    <xf numFmtId="0" fontId="9" fillId="0"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2" fillId="0" borderId="1" xfId="0" applyFont="1" applyBorder="1" applyAlignment="1">
      <alignment horizontal="right" vertical="center" wrapText="1"/>
    </xf>
    <xf numFmtId="0" fontId="9" fillId="0" borderId="9" xfId="0" applyFont="1" applyBorder="1" applyAlignment="1">
      <alignment horizontal="center" vertical="center" wrapText="1"/>
    </xf>
    <xf numFmtId="0" fontId="9" fillId="0" borderId="9"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2" xfId="0" applyFont="1" applyBorder="1" applyAlignment="1">
      <alignment horizontal="center" vertical="center" wrapText="1"/>
    </xf>
    <xf numFmtId="0" fontId="12" fillId="0" borderId="1" xfId="0" applyFont="1" applyBorder="1" applyAlignment="1">
      <alignment horizontal="left" vertical="center"/>
    </xf>
    <xf numFmtId="0" fontId="9" fillId="0" borderId="0" xfId="0" applyFont="1" applyFill="1" applyBorder="1" applyAlignment="1">
      <alignment horizontal="right" vertical="center" wrapText="1"/>
    </xf>
    <xf numFmtId="0" fontId="3" fillId="0" borderId="6" xfId="0" applyFont="1" applyFill="1" applyBorder="1" applyAlignment="1">
      <alignment horizontal="right" vertical="center" wrapText="1"/>
    </xf>
    <xf numFmtId="0" fontId="3" fillId="0" borderId="7" xfId="0" applyFont="1" applyFill="1" applyBorder="1" applyAlignment="1">
      <alignment horizontal="right" vertical="center" wrapText="1"/>
    </xf>
    <xf numFmtId="0" fontId="3" fillId="0" borderId="11" xfId="0" applyFont="1" applyFill="1" applyBorder="1" applyAlignment="1">
      <alignment horizontal="right" vertical="center" wrapText="1"/>
    </xf>
    <xf numFmtId="0" fontId="4" fillId="0" borderId="2" xfId="0" applyFont="1" applyBorder="1" applyAlignment="1">
      <alignment horizontal="center" vertical="center"/>
    </xf>
    <xf numFmtId="0" fontId="3" fillId="0" borderId="0" xfId="0" applyFont="1" applyAlignment="1">
      <alignment vertical="center"/>
    </xf>
    <xf numFmtId="0" fontId="3" fillId="0" borderId="0" xfId="0" applyFont="1" applyFill="1" applyBorder="1" applyAlignment="1">
      <alignment horizontal="right" vertical="center" wrapText="1"/>
    </xf>
    <xf numFmtId="2" fontId="6" fillId="0"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0" xfId="0" applyFont="1" applyFill="1" applyBorder="1" applyAlignment="1">
      <alignment vertical="center"/>
    </xf>
    <xf numFmtId="0" fontId="0" fillId="0" borderId="0" xfId="0" applyFill="1" applyBorder="1" applyAlignment="1">
      <alignment vertical="center"/>
    </xf>
    <xf numFmtId="0" fontId="9" fillId="0" borderId="0" xfId="4" applyFont="1" applyAlignment="1">
      <alignment vertical="center"/>
    </xf>
    <xf numFmtId="0" fontId="0" fillId="0" borderId="0" xfId="0" applyBorder="1" applyAlignment="1">
      <alignment vertical="center"/>
    </xf>
    <xf numFmtId="0" fontId="6" fillId="2" borderId="1" xfId="1" applyFont="1" applyFill="1" applyBorder="1" applyAlignment="1">
      <alignment horizontal="center" vertical="center" wrapText="1"/>
    </xf>
    <xf numFmtId="0" fontId="4" fillId="0" borderId="15" xfId="0" applyFont="1" applyBorder="1" applyAlignment="1">
      <alignment horizontal="center" vertical="center" textRotation="90"/>
    </xf>
    <xf numFmtId="0" fontId="4" fillId="0" borderId="16" xfId="0" applyFont="1" applyBorder="1" applyAlignment="1">
      <alignment horizontal="center" vertical="center" textRotation="90"/>
    </xf>
    <xf numFmtId="0" fontId="4" fillId="0" borderId="17" xfId="0" applyFont="1" applyBorder="1" applyAlignment="1">
      <alignment horizontal="center" vertical="center" textRotation="90" wrapText="1"/>
    </xf>
    <xf numFmtId="2" fontId="3" fillId="0" borderId="25" xfId="0" applyNumberFormat="1" applyFont="1" applyFill="1" applyBorder="1" applyAlignment="1">
      <alignment horizontal="center" vertical="center" wrapText="1"/>
    </xf>
    <xf numFmtId="2" fontId="8" fillId="0" borderId="2" xfId="0" applyNumberFormat="1" applyFont="1" applyFill="1" applyBorder="1" applyAlignment="1">
      <alignment horizontal="center" vertical="center"/>
    </xf>
    <xf numFmtId="2" fontId="3" fillId="0" borderId="26" xfId="0" applyNumberFormat="1" applyFont="1" applyFill="1" applyBorder="1" applyAlignment="1">
      <alignment horizontal="center" vertical="center" wrapText="1"/>
    </xf>
    <xf numFmtId="0" fontId="3" fillId="0" borderId="21" xfId="0" applyFont="1" applyFill="1" applyBorder="1" applyAlignment="1">
      <alignment horizontal="center" vertical="center" wrapText="1"/>
    </xf>
    <xf numFmtId="2" fontId="3" fillId="0" borderId="27" xfId="0" applyNumberFormat="1" applyFont="1" applyFill="1" applyBorder="1" applyAlignment="1">
      <alignment horizontal="center" vertical="center" wrapText="1"/>
    </xf>
    <xf numFmtId="2" fontId="3" fillId="2" borderId="27" xfId="0" applyNumberFormat="1" applyFont="1" applyFill="1" applyBorder="1" applyAlignment="1">
      <alignment horizontal="center" vertical="center" wrapText="1"/>
    </xf>
    <xf numFmtId="2" fontId="3" fillId="2" borderId="28" xfId="0" applyNumberFormat="1" applyFont="1" applyFill="1" applyBorder="1" applyAlignment="1">
      <alignment horizontal="center" vertical="center" wrapText="1"/>
    </xf>
    <xf numFmtId="0" fontId="3" fillId="0" borderId="23" xfId="0" applyFont="1" applyFill="1" applyBorder="1" applyAlignment="1">
      <alignment horizontal="center" vertical="center" wrapText="1"/>
    </xf>
    <xf numFmtId="2" fontId="3" fillId="0" borderId="29" xfId="0" applyNumberFormat="1" applyFont="1" applyFill="1" applyBorder="1" applyAlignment="1">
      <alignment horizontal="center" vertical="center" wrapText="1"/>
    </xf>
    <xf numFmtId="2" fontId="3" fillId="0" borderId="30" xfId="0" applyNumberFormat="1" applyFont="1" applyFill="1" applyBorder="1" applyAlignment="1">
      <alignment horizontal="center" vertical="center" wrapText="1"/>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3" fillId="0" borderId="1" xfId="0" applyFont="1" applyBorder="1" applyAlignment="1">
      <alignment vertical="center"/>
    </xf>
    <xf numFmtId="0" fontId="3" fillId="0" borderId="1" xfId="0" applyFont="1" applyBorder="1" applyAlignment="1">
      <alignment horizontal="right"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Fill="1" applyBorder="1" applyAlignment="1">
      <alignment vertical="center"/>
    </xf>
    <xf numFmtId="0" fontId="7" fillId="2" borderId="2" xfId="0" applyFont="1" applyFill="1" applyBorder="1" applyAlignment="1">
      <alignment horizontal="center" vertical="center"/>
    </xf>
    <xf numFmtId="0" fontId="7" fillId="2" borderId="1" xfId="0" applyFont="1" applyFill="1" applyBorder="1" applyAlignment="1">
      <alignment horizontal="center" vertical="center"/>
    </xf>
    <xf numFmtId="0" fontId="4" fillId="2" borderId="6" xfId="3" applyFont="1" applyFill="1" applyBorder="1" applyAlignment="1">
      <alignment horizontal="right" vertical="center" wrapText="1"/>
    </xf>
    <xf numFmtId="0" fontId="4" fillId="2" borderId="8" xfId="3" applyFont="1" applyFill="1" applyBorder="1" applyAlignment="1">
      <alignment horizontal="right" vertical="center" wrapText="1"/>
    </xf>
    <xf numFmtId="0" fontId="3" fillId="0" borderId="1" xfId="0" applyFont="1" applyFill="1" applyBorder="1" applyAlignment="1">
      <alignment horizontal="left" vertical="center" wrapText="1"/>
    </xf>
    <xf numFmtId="0" fontId="4" fillId="2" borderId="6" xfId="0" applyFont="1" applyFill="1" applyBorder="1" applyAlignment="1">
      <alignment horizontal="right" vertical="center" wrapText="1"/>
    </xf>
    <xf numFmtId="0" fontId="4" fillId="2" borderId="8" xfId="0" applyFont="1" applyFill="1" applyBorder="1" applyAlignment="1">
      <alignment horizontal="right" vertical="center" wrapText="1"/>
    </xf>
    <xf numFmtId="0" fontId="4" fillId="2" borderId="3" xfId="0" applyFont="1" applyFill="1" applyBorder="1" applyAlignment="1">
      <alignment horizontal="center" vertical="center"/>
    </xf>
    <xf numFmtId="0" fontId="4" fillId="2" borderId="6" xfId="0" applyFont="1" applyFill="1" applyBorder="1" applyAlignment="1">
      <alignment horizontal="center" vertical="center"/>
    </xf>
    <xf numFmtId="0" fontId="4" fillId="0" borderId="12"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4" fillId="2" borderId="11"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3" fillId="0" borderId="6" xfId="0" applyFont="1" applyFill="1" applyBorder="1" applyAlignment="1">
      <alignment horizontal="left" vertical="center"/>
    </xf>
    <xf numFmtId="0" fontId="3" fillId="0" borderId="7" xfId="0" applyFont="1" applyFill="1" applyBorder="1" applyAlignment="1">
      <alignment horizontal="left" vertical="center"/>
    </xf>
    <xf numFmtId="0" fontId="3" fillId="0" borderId="8" xfId="0" applyFont="1" applyFill="1" applyBorder="1" applyAlignment="1">
      <alignment horizontal="left" vertical="center"/>
    </xf>
    <xf numFmtId="0" fontId="4" fillId="2" borderId="1" xfId="0" applyFont="1" applyFill="1" applyBorder="1" applyAlignment="1">
      <alignment horizontal="left" vertical="center" wrapText="1"/>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2" fontId="13" fillId="0"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3" fillId="0" borderId="9" xfId="0" applyFont="1" applyBorder="1" applyAlignment="1">
      <alignment horizontal="left" vertical="center" wrapText="1"/>
    </xf>
    <xf numFmtId="0" fontId="4" fillId="0" borderId="12" xfId="0" applyFont="1" applyFill="1" applyBorder="1" applyAlignment="1">
      <alignment horizontal="center" vertical="center"/>
    </xf>
    <xf numFmtId="0" fontId="4" fillId="0" borderId="14" xfId="0" applyFont="1" applyFill="1" applyBorder="1" applyAlignment="1">
      <alignment horizontal="center" vertical="center"/>
    </xf>
    <xf numFmtId="0" fontId="4" fillId="0" borderId="13" xfId="0" applyFont="1" applyFill="1" applyBorder="1" applyAlignment="1">
      <alignment horizontal="center" vertical="center"/>
    </xf>
    <xf numFmtId="0" fontId="9" fillId="0" borderId="1" xfId="0" applyFont="1" applyBorder="1" applyAlignment="1">
      <alignment horizontal="left" vertical="center" wrapText="1"/>
    </xf>
    <xf numFmtId="0" fontId="5" fillId="2" borderId="3" xfId="1" applyFont="1" applyFill="1" applyBorder="1" applyAlignment="1">
      <alignment horizontal="left" vertical="center" wrapText="1"/>
    </xf>
    <xf numFmtId="0" fontId="5" fillId="2" borderId="4" xfId="1" applyFont="1" applyFill="1" applyBorder="1" applyAlignment="1">
      <alignment horizontal="left" vertical="center" wrapText="1"/>
    </xf>
    <xf numFmtId="0" fontId="5" fillId="2" borderId="0" xfId="1" applyFont="1" applyFill="1" applyBorder="1" applyAlignment="1">
      <alignment horizontal="left" vertical="center" wrapText="1"/>
    </xf>
    <xf numFmtId="0" fontId="5" fillId="2" borderId="5" xfId="1" applyFont="1" applyFill="1" applyBorder="1" applyAlignment="1">
      <alignment horizontal="left" vertical="center" wrapText="1"/>
    </xf>
    <xf numFmtId="0" fontId="5" fillId="2" borderId="6" xfId="1" applyFont="1" applyFill="1" applyBorder="1" applyAlignment="1">
      <alignment horizontal="right" vertical="center" wrapText="1"/>
    </xf>
    <xf numFmtId="0" fontId="5" fillId="2" borderId="7" xfId="1" applyFont="1" applyFill="1" applyBorder="1" applyAlignment="1">
      <alignment horizontal="right" vertical="center" wrapText="1"/>
    </xf>
  </cellXfs>
  <cellStyles count="5">
    <cellStyle name="Normal" xfId="0" builtinId="0"/>
    <cellStyle name="Normal_BRAE 414 Template" xfId="1"/>
    <cellStyle name="Normal_NEW AERO COURSEs" xfId="2"/>
    <cellStyle name="Normal_SCEF AERO 001 - HML" xfId="3"/>
    <cellStyle name="Normal_winterAEROANALYSIS"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56"/>
  <sheetViews>
    <sheetView tabSelected="1" view="pageBreakPreview" topLeftCell="E23" zoomScaleNormal="100" zoomScaleSheetLayoutView="100" workbookViewId="0">
      <selection activeCell="C31" sqref="C31:P31"/>
    </sheetView>
  </sheetViews>
  <sheetFormatPr defaultColWidth="9.1796875" defaultRowHeight="12.5" x14ac:dyDescent="0.25"/>
  <cols>
    <col min="1" max="1" width="30.54296875" style="1" customWidth="1"/>
    <col min="2" max="2" width="6" style="1" hidden="1" customWidth="1"/>
    <col min="3" max="3" width="47.26953125" style="1" customWidth="1"/>
    <col min="4" max="4" width="7.453125" style="1" hidden="1" customWidth="1"/>
    <col min="5" max="5" width="9.1796875" style="1"/>
    <col min="6" max="6" width="10.81640625" style="1" customWidth="1"/>
    <col min="7" max="7" width="9.26953125" style="1" customWidth="1"/>
    <col min="8" max="8" width="7.81640625" style="1" customWidth="1"/>
    <col min="9" max="9" width="7.1796875" style="1" customWidth="1"/>
    <col min="10" max="10" width="6.453125" style="1" customWidth="1"/>
    <col min="11" max="11" width="6.7265625" style="1" customWidth="1"/>
    <col min="12" max="12" width="5.453125" style="1" customWidth="1"/>
    <col min="13" max="13" width="6.7265625" style="1" customWidth="1"/>
    <col min="14" max="14" width="10" style="1" bestFit="1" customWidth="1"/>
    <col min="15" max="16384" width="9.1796875" style="1"/>
  </cols>
  <sheetData>
    <row r="1" spans="1:16" ht="31.5" customHeight="1" x14ac:dyDescent="0.25">
      <c r="A1" s="132" t="s">
        <v>78</v>
      </c>
      <c r="B1" s="132"/>
      <c r="C1" s="132"/>
      <c r="D1" s="132"/>
      <c r="E1" s="132"/>
      <c r="F1" s="132"/>
      <c r="G1" s="132"/>
      <c r="H1" s="132"/>
      <c r="I1" s="132"/>
      <c r="J1" s="132"/>
      <c r="K1" s="132"/>
      <c r="L1" s="132"/>
      <c r="M1" s="132"/>
      <c r="N1" s="132"/>
      <c r="O1" s="132"/>
      <c r="P1" s="132"/>
    </row>
    <row r="2" spans="1:16" s="5" customFormat="1" ht="18.75" customHeight="1" x14ac:dyDescent="0.25">
      <c r="A2" s="2" t="s">
        <v>0</v>
      </c>
      <c r="B2" s="3"/>
      <c r="C2" s="4"/>
      <c r="D2" s="138"/>
      <c r="E2" s="139"/>
      <c r="F2" s="139"/>
      <c r="G2" s="140"/>
      <c r="H2" s="140"/>
      <c r="I2" s="140"/>
      <c r="J2" s="140"/>
      <c r="K2" s="140"/>
      <c r="L2" s="140"/>
      <c r="M2" s="140"/>
      <c r="N2" s="140"/>
      <c r="O2" s="140"/>
      <c r="P2" s="141"/>
    </row>
    <row r="3" spans="1:16" s="5" customFormat="1" ht="20.25" customHeight="1" x14ac:dyDescent="0.25">
      <c r="A3" s="6" t="s">
        <v>1</v>
      </c>
      <c r="B3" s="7"/>
      <c r="C3" s="8"/>
      <c r="D3" s="142" t="s">
        <v>2</v>
      </c>
      <c r="E3" s="143"/>
      <c r="F3" s="143"/>
      <c r="G3" s="80" t="s">
        <v>79</v>
      </c>
      <c r="H3" s="80" t="s">
        <v>80</v>
      </c>
      <c r="I3" s="9"/>
      <c r="J3" s="9"/>
      <c r="K3" s="10"/>
      <c r="L3" s="11"/>
      <c r="M3" s="11"/>
      <c r="N3" s="11"/>
      <c r="O3" s="11"/>
      <c r="P3" s="12"/>
    </row>
    <row r="4" spans="1:16" s="5" customFormat="1" ht="54" customHeight="1" thickBot="1" x14ac:dyDescent="0.3">
      <c r="A4" s="106" t="s">
        <v>81</v>
      </c>
      <c r="B4" s="106"/>
      <c r="C4" s="106"/>
      <c r="D4" s="106"/>
      <c r="E4" s="133"/>
      <c r="F4" s="133"/>
      <c r="G4" s="133"/>
      <c r="H4" s="133"/>
      <c r="I4" s="133"/>
      <c r="J4" s="133"/>
      <c r="K4" s="133"/>
      <c r="L4" s="133"/>
      <c r="M4" s="133"/>
      <c r="N4" s="133"/>
      <c r="O4" s="133"/>
      <c r="P4" s="133"/>
    </row>
    <row r="5" spans="1:16" s="15" customFormat="1" ht="40.5" customHeight="1" thickBot="1" x14ac:dyDescent="0.3">
      <c r="A5" s="14" t="s">
        <v>3</v>
      </c>
      <c r="B5" s="122" t="s">
        <v>4</v>
      </c>
      <c r="C5" s="108" t="s">
        <v>5</v>
      </c>
      <c r="D5" s="115" t="s">
        <v>6</v>
      </c>
      <c r="E5" s="117" t="s">
        <v>7</v>
      </c>
      <c r="F5" s="119"/>
      <c r="G5" s="117" t="s">
        <v>8</v>
      </c>
      <c r="H5" s="119"/>
      <c r="I5" s="117" t="s">
        <v>9</v>
      </c>
      <c r="J5" s="118"/>
      <c r="K5" s="118"/>
      <c r="L5" s="118"/>
      <c r="M5" s="119"/>
      <c r="N5" s="134"/>
      <c r="O5" s="135"/>
      <c r="P5" s="136"/>
    </row>
    <row r="6" spans="1:16" s="15" customFormat="1" ht="144.75" customHeight="1" thickBot="1" x14ac:dyDescent="0.3">
      <c r="A6" s="2" t="s">
        <v>10</v>
      </c>
      <c r="B6" s="123"/>
      <c r="C6" s="109"/>
      <c r="D6" s="116"/>
      <c r="E6" s="16" t="s">
        <v>11</v>
      </c>
      <c r="F6" s="17" t="s">
        <v>12</v>
      </c>
      <c r="G6" s="16" t="s">
        <v>82</v>
      </c>
      <c r="H6" s="17" t="s">
        <v>13</v>
      </c>
      <c r="I6" s="16" t="s">
        <v>14</v>
      </c>
      <c r="J6" s="18" t="s">
        <v>15</v>
      </c>
      <c r="K6" s="18" t="s">
        <v>16</v>
      </c>
      <c r="L6" s="18" t="s">
        <v>17</v>
      </c>
      <c r="M6" s="19" t="s">
        <v>18</v>
      </c>
      <c r="N6" s="81" t="s">
        <v>19</v>
      </c>
      <c r="O6" s="82" t="s">
        <v>20</v>
      </c>
      <c r="P6" s="83" t="s">
        <v>21</v>
      </c>
    </row>
    <row r="7" spans="1:16" s="29" customFormat="1" ht="27" customHeight="1" x14ac:dyDescent="0.25">
      <c r="A7" s="20" t="s">
        <v>22</v>
      </c>
      <c r="B7" s="21" t="s">
        <v>23</v>
      </c>
      <c r="C7" s="22" t="s">
        <v>24</v>
      </c>
      <c r="D7" s="23" t="s">
        <v>25</v>
      </c>
      <c r="E7" s="24" t="s">
        <v>26</v>
      </c>
      <c r="F7" s="25">
        <v>3</v>
      </c>
      <c r="G7" s="26" t="s">
        <v>23</v>
      </c>
      <c r="H7" s="25">
        <v>9</v>
      </c>
      <c r="I7" s="27">
        <v>22</v>
      </c>
      <c r="J7" s="28">
        <v>15</v>
      </c>
      <c r="K7" s="28">
        <v>4</v>
      </c>
      <c r="L7" s="28"/>
      <c r="M7" s="25">
        <f t="shared" ref="M7:M17" si="0">SUM(I7:L7)</f>
        <v>41</v>
      </c>
      <c r="N7" s="84">
        <f t="shared" ref="N7:N17" si="1">((I7*9)+(J7*3)+(K7*1))/M7</f>
        <v>6.024390243902439</v>
      </c>
      <c r="O7" s="85">
        <v>0.51381856539440252</v>
      </c>
      <c r="P7" s="86">
        <f t="shared" ref="P7:P17" si="2">N7-H7</f>
        <v>-2.975609756097561</v>
      </c>
    </row>
    <row r="8" spans="1:16" s="36" customFormat="1" ht="15.75" hidden="1" customHeight="1" x14ac:dyDescent="0.25">
      <c r="A8" s="13" t="s">
        <v>27</v>
      </c>
      <c r="B8" s="21" t="s">
        <v>28</v>
      </c>
      <c r="C8" s="30"/>
      <c r="D8" s="23"/>
      <c r="E8" s="31"/>
      <c r="F8" s="32"/>
      <c r="G8" s="31"/>
      <c r="H8" s="32"/>
      <c r="I8" s="33"/>
      <c r="J8" s="34"/>
      <c r="K8" s="34"/>
      <c r="L8" s="34"/>
      <c r="M8" s="87">
        <f t="shared" si="0"/>
        <v>0</v>
      </c>
      <c r="N8" s="88" t="e">
        <f t="shared" si="1"/>
        <v>#DIV/0!</v>
      </c>
      <c r="O8" s="35" t="e">
        <f>(STDEVP(I8:L8))/SQRT(M8)</f>
        <v>#DIV/0!</v>
      </c>
      <c r="P8" s="86" t="e">
        <f t="shared" si="2"/>
        <v>#DIV/0!</v>
      </c>
    </row>
    <row r="9" spans="1:16" s="36" customFormat="1" ht="24.75" customHeight="1" x14ac:dyDescent="0.25">
      <c r="A9" s="13" t="s">
        <v>29</v>
      </c>
      <c r="B9" s="21" t="s">
        <v>30</v>
      </c>
      <c r="C9" s="22" t="s">
        <v>31</v>
      </c>
      <c r="D9" s="23"/>
      <c r="E9" s="31" t="s">
        <v>23</v>
      </c>
      <c r="F9" s="32">
        <v>9</v>
      </c>
      <c r="G9" s="31" t="s">
        <v>23</v>
      </c>
      <c r="H9" s="32">
        <v>9</v>
      </c>
      <c r="I9" s="33">
        <v>23</v>
      </c>
      <c r="J9" s="34">
        <v>14</v>
      </c>
      <c r="K9" s="34">
        <v>3</v>
      </c>
      <c r="L9" s="34"/>
      <c r="M9" s="87">
        <f t="shared" si="0"/>
        <v>40</v>
      </c>
      <c r="N9" s="88">
        <f t="shared" si="1"/>
        <v>6.3</v>
      </c>
      <c r="O9" s="37">
        <v>0.50914709979608963</v>
      </c>
      <c r="P9" s="86">
        <f t="shared" si="2"/>
        <v>-2.7</v>
      </c>
    </row>
    <row r="10" spans="1:16" s="36" customFormat="1" ht="37.5" x14ac:dyDescent="0.25">
      <c r="A10" s="13" t="s">
        <v>32</v>
      </c>
      <c r="B10" s="21" t="s">
        <v>30</v>
      </c>
      <c r="C10" s="22" t="s">
        <v>33</v>
      </c>
      <c r="D10" s="23"/>
      <c r="E10" s="31" t="s">
        <v>23</v>
      </c>
      <c r="F10" s="32">
        <v>9</v>
      </c>
      <c r="G10" s="31" t="s">
        <v>23</v>
      </c>
      <c r="H10" s="32">
        <v>9</v>
      </c>
      <c r="I10" s="33">
        <v>26</v>
      </c>
      <c r="J10" s="34">
        <v>13</v>
      </c>
      <c r="K10" s="34">
        <v>2</v>
      </c>
      <c r="L10" s="34"/>
      <c r="M10" s="87">
        <f t="shared" si="0"/>
        <v>41</v>
      </c>
      <c r="N10" s="88">
        <f t="shared" si="1"/>
        <v>6.7073170731707314</v>
      </c>
      <c r="O10" s="37">
        <v>0.48166872336906097</v>
      </c>
      <c r="P10" s="86">
        <f t="shared" si="2"/>
        <v>-2.2926829268292686</v>
      </c>
    </row>
    <row r="11" spans="1:16" s="36" customFormat="1" ht="28.5" customHeight="1" x14ac:dyDescent="0.25">
      <c r="A11" s="13" t="s">
        <v>34</v>
      </c>
      <c r="B11" s="21" t="s">
        <v>23</v>
      </c>
      <c r="C11" s="22" t="s">
        <v>35</v>
      </c>
      <c r="D11" s="23" t="s">
        <v>25</v>
      </c>
      <c r="E11" s="31" t="s">
        <v>26</v>
      </c>
      <c r="F11" s="32">
        <v>3</v>
      </c>
      <c r="G11" s="31" t="s">
        <v>23</v>
      </c>
      <c r="H11" s="32">
        <v>9</v>
      </c>
      <c r="I11" s="33">
        <v>19</v>
      </c>
      <c r="J11" s="34">
        <v>18</v>
      </c>
      <c r="K11" s="34">
        <v>4</v>
      </c>
      <c r="L11" s="34"/>
      <c r="M11" s="87">
        <f t="shared" si="0"/>
        <v>41</v>
      </c>
      <c r="N11" s="88">
        <f t="shared" si="1"/>
        <v>5.5853658536585362</v>
      </c>
      <c r="O11" s="37">
        <v>0.50963354811187089</v>
      </c>
      <c r="P11" s="86">
        <f t="shared" si="2"/>
        <v>-3.4146341463414638</v>
      </c>
    </row>
    <row r="12" spans="1:16" s="36" customFormat="1" ht="25" x14ac:dyDescent="0.25">
      <c r="A12" s="13" t="s">
        <v>36</v>
      </c>
      <c r="B12" s="21"/>
      <c r="C12" s="22" t="s">
        <v>37</v>
      </c>
      <c r="D12" s="23"/>
      <c r="E12" s="31" t="s">
        <v>26</v>
      </c>
      <c r="F12" s="32">
        <v>3</v>
      </c>
      <c r="G12" s="31" t="s">
        <v>30</v>
      </c>
      <c r="H12" s="32">
        <v>1</v>
      </c>
      <c r="I12" s="33">
        <v>10</v>
      </c>
      <c r="J12" s="34">
        <v>18</v>
      </c>
      <c r="K12" s="34">
        <v>10</v>
      </c>
      <c r="L12" s="34">
        <v>3</v>
      </c>
      <c r="M12" s="87">
        <f t="shared" si="0"/>
        <v>41</v>
      </c>
      <c r="N12" s="88">
        <f t="shared" si="1"/>
        <v>3.7560975609756095</v>
      </c>
      <c r="O12" s="37">
        <v>0.49605822804959598</v>
      </c>
      <c r="P12" s="86">
        <f t="shared" si="2"/>
        <v>2.7560975609756095</v>
      </c>
    </row>
    <row r="13" spans="1:16" s="36" customFormat="1" ht="42.75" customHeight="1" x14ac:dyDescent="0.25">
      <c r="A13" s="13" t="s">
        <v>38</v>
      </c>
      <c r="B13" s="21"/>
      <c r="C13" s="22" t="s">
        <v>39</v>
      </c>
      <c r="D13" s="23"/>
      <c r="E13" s="31" t="s">
        <v>23</v>
      </c>
      <c r="F13" s="32">
        <v>9</v>
      </c>
      <c r="G13" s="31" t="s">
        <v>23</v>
      </c>
      <c r="H13" s="32">
        <v>9</v>
      </c>
      <c r="I13" s="33">
        <v>19</v>
      </c>
      <c r="J13" s="34">
        <v>18</v>
      </c>
      <c r="K13" s="34">
        <v>4</v>
      </c>
      <c r="L13" s="34"/>
      <c r="M13" s="87">
        <f t="shared" si="0"/>
        <v>41</v>
      </c>
      <c r="N13" s="88">
        <f t="shared" si="1"/>
        <v>5.5853658536585362</v>
      </c>
      <c r="O13" s="37">
        <v>0.50963354811187089</v>
      </c>
      <c r="P13" s="86">
        <f t="shared" si="2"/>
        <v>-3.4146341463414638</v>
      </c>
    </row>
    <row r="14" spans="1:16" s="36" customFormat="1" ht="50" hidden="1" x14ac:dyDescent="0.25">
      <c r="A14" s="13" t="s">
        <v>40</v>
      </c>
      <c r="B14" s="21" t="s">
        <v>30</v>
      </c>
      <c r="C14" s="30"/>
      <c r="D14" s="23"/>
      <c r="E14" s="31"/>
      <c r="F14" s="32"/>
      <c r="G14" s="31"/>
      <c r="H14" s="32"/>
      <c r="I14" s="33"/>
      <c r="J14" s="34"/>
      <c r="K14" s="34"/>
      <c r="L14" s="34"/>
      <c r="M14" s="87">
        <f t="shared" si="0"/>
        <v>0</v>
      </c>
      <c r="N14" s="88" t="e">
        <f t="shared" si="1"/>
        <v>#DIV/0!</v>
      </c>
      <c r="O14" s="37">
        <v>0.4472801006078429</v>
      </c>
      <c r="P14" s="86" t="e">
        <f t="shared" si="2"/>
        <v>#DIV/0!</v>
      </c>
    </row>
    <row r="15" spans="1:16" s="36" customFormat="1" ht="25" hidden="1" x14ac:dyDescent="0.25">
      <c r="A15" s="13" t="s">
        <v>41</v>
      </c>
      <c r="B15" s="21" t="s">
        <v>30</v>
      </c>
      <c r="C15" s="30"/>
      <c r="D15" s="23"/>
      <c r="E15" s="31"/>
      <c r="F15" s="32"/>
      <c r="G15" s="31"/>
      <c r="H15" s="32"/>
      <c r="I15" s="33"/>
      <c r="J15" s="34"/>
      <c r="K15" s="34"/>
      <c r="L15" s="34"/>
      <c r="M15" s="87">
        <f t="shared" si="0"/>
        <v>0</v>
      </c>
      <c r="N15" s="88" t="e">
        <f t="shared" si="1"/>
        <v>#DIV/0!</v>
      </c>
      <c r="O15" s="37">
        <v>0.48191566966745247</v>
      </c>
      <c r="P15" s="86" t="e">
        <f t="shared" si="2"/>
        <v>#DIV/0!</v>
      </c>
    </row>
    <row r="16" spans="1:16" s="36" customFormat="1" ht="37.5" x14ac:dyDescent="0.25">
      <c r="A16" s="13" t="s">
        <v>83</v>
      </c>
      <c r="B16" s="21" t="s">
        <v>30</v>
      </c>
      <c r="C16" s="22" t="s">
        <v>42</v>
      </c>
      <c r="D16" s="23"/>
      <c r="E16" s="31" t="s">
        <v>30</v>
      </c>
      <c r="F16" s="32">
        <v>1</v>
      </c>
      <c r="G16" s="31" t="s">
        <v>30</v>
      </c>
      <c r="H16" s="32">
        <v>1</v>
      </c>
      <c r="I16" s="33">
        <v>8</v>
      </c>
      <c r="J16" s="34">
        <v>21</v>
      </c>
      <c r="K16" s="34">
        <v>11</v>
      </c>
      <c r="L16" s="34">
        <v>1</v>
      </c>
      <c r="M16" s="87">
        <f t="shared" si="0"/>
        <v>41</v>
      </c>
      <c r="N16" s="88">
        <f t="shared" si="1"/>
        <v>3.5609756097560976</v>
      </c>
      <c r="O16" s="37">
        <v>0.4472801006078429</v>
      </c>
      <c r="P16" s="86">
        <f t="shared" si="2"/>
        <v>2.5609756097560976</v>
      </c>
    </row>
    <row r="17" spans="1:16" s="36" customFormat="1" ht="44.25" customHeight="1" x14ac:dyDescent="0.25">
      <c r="A17" s="13" t="s">
        <v>43</v>
      </c>
      <c r="B17" s="21" t="s">
        <v>23</v>
      </c>
      <c r="C17" s="22" t="s">
        <v>44</v>
      </c>
      <c r="D17" s="23" t="s">
        <v>25</v>
      </c>
      <c r="E17" s="31" t="s">
        <v>26</v>
      </c>
      <c r="F17" s="32">
        <v>3</v>
      </c>
      <c r="G17" s="31" t="s">
        <v>23</v>
      </c>
      <c r="H17" s="32">
        <v>9</v>
      </c>
      <c r="I17" s="33">
        <v>23</v>
      </c>
      <c r="J17" s="34">
        <v>17</v>
      </c>
      <c r="K17" s="34">
        <v>1</v>
      </c>
      <c r="L17" s="34"/>
      <c r="M17" s="87">
        <f t="shared" si="0"/>
        <v>41</v>
      </c>
      <c r="N17" s="88">
        <f t="shared" si="1"/>
        <v>6.3170731707317076</v>
      </c>
      <c r="O17" s="37">
        <v>0.48191566966745247</v>
      </c>
      <c r="P17" s="86">
        <f t="shared" si="2"/>
        <v>-2.6829268292682924</v>
      </c>
    </row>
    <row r="18" spans="1:16" s="36" customFormat="1" ht="18.75" customHeight="1" x14ac:dyDescent="0.25">
      <c r="A18" s="38" t="s">
        <v>45</v>
      </c>
      <c r="B18" s="39"/>
      <c r="C18" s="40"/>
      <c r="D18" s="23"/>
      <c r="E18" s="41"/>
      <c r="F18" s="42"/>
      <c r="G18" s="43"/>
      <c r="H18" s="42"/>
      <c r="I18" s="41"/>
      <c r="J18" s="44"/>
      <c r="K18" s="44"/>
      <c r="L18" s="44"/>
      <c r="M18" s="42"/>
      <c r="N18" s="89"/>
      <c r="O18" s="45"/>
      <c r="P18" s="90"/>
    </row>
    <row r="19" spans="1:16" s="36" customFormat="1" ht="25" x14ac:dyDescent="0.25">
      <c r="A19" s="46" t="s">
        <v>46</v>
      </c>
      <c r="B19" s="21"/>
      <c r="C19" s="34" t="s">
        <v>47</v>
      </c>
      <c r="D19" s="23"/>
      <c r="E19" s="31" t="s">
        <v>26</v>
      </c>
      <c r="F19" s="32">
        <v>3</v>
      </c>
      <c r="G19" s="31" t="s">
        <v>26</v>
      </c>
      <c r="H19" s="32">
        <v>3</v>
      </c>
      <c r="I19" s="33">
        <v>16</v>
      </c>
      <c r="J19" s="34">
        <v>21</v>
      </c>
      <c r="K19" s="34">
        <v>4</v>
      </c>
      <c r="L19" s="34"/>
      <c r="M19" s="87">
        <f>SUM(I19:L19)</f>
        <v>41</v>
      </c>
      <c r="N19" s="88">
        <f>((I19*9)+(J19*3)+(K19*1))/M19</f>
        <v>5.1463414634146343</v>
      </c>
      <c r="O19" s="37">
        <v>0.4957883296496356</v>
      </c>
      <c r="P19" s="86">
        <f>N19-H19</f>
        <v>2.1463414634146343</v>
      </c>
    </row>
    <row r="20" spans="1:16" s="36" customFormat="1" ht="25" x14ac:dyDescent="0.25">
      <c r="A20" s="46" t="s">
        <v>48</v>
      </c>
      <c r="B20" s="21"/>
      <c r="C20" s="34" t="s">
        <v>47</v>
      </c>
      <c r="D20" s="23"/>
      <c r="E20" s="31" t="s">
        <v>26</v>
      </c>
      <c r="F20" s="32">
        <v>3</v>
      </c>
      <c r="G20" s="31" t="s">
        <v>26</v>
      </c>
      <c r="H20" s="32">
        <v>3</v>
      </c>
      <c r="I20" s="33">
        <v>9</v>
      </c>
      <c r="J20" s="34">
        <v>20</v>
      </c>
      <c r="K20" s="34">
        <v>11</v>
      </c>
      <c r="L20" s="34">
        <v>1</v>
      </c>
      <c r="M20" s="87">
        <f>SUM(I20:L20)</f>
        <v>41</v>
      </c>
      <c r="N20" s="88">
        <f>((I20*9)+(J20*3)+(K20*1))/M20</f>
        <v>3.7073170731707319</v>
      </c>
      <c r="O20" s="37">
        <v>0.46623021430460465</v>
      </c>
      <c r="P20" s="86">
        <f>N20-H20</f>
        <v>0.70731707317073189</v>
      </c>
    </row>
    <row r="21" spans="1:16" s="36" customFormat="1" ht="13" x14ac:dyDescent="0.25">
      <c r="A21" s="47" t="s">
        <v>49</v>
      </c>
      <c r="B21" s="21"/>
      <c r="C21" s="48"/>
      <c r="D21" s="49"/>
      <c r="E21" s="41"/>
      <c r="F21" s="42"/>
      <c r="G21" s="43"/>
      <c r="H21" s="42"/>
      <c r="I21" s="41"/>
      <c r="J21" s="44"/>
      <c r="K21" s="44"/>
      <c r="L21" s="44"/>
      <c r="M21" s="42"/>
      <c r="N21" s="89"/>
      <c r="O21" s="45"/>
      <c r="P21" s="90"/>
    </row>
    <row r="22" spans="1:16" s="36" customFormat="1" ht="25" x14ac:dyDescent="0.25">
      <c r="A22" s="46" t="s">
        <v>50</v>
      </c>
      <c r="B22" s="21"/>
      <c r="C22" s="34" t="s">
        <v>47</v>
      </c>
      <c r="D22" s="23"/>
      <c r="E22" s="31" t="s">
        <v>30</v>
      </c>
      <c r="F22" s="32">
        <v>1</v>
      </c>
      <c r="G22" s="31" t="s">
        <v>26</v>
      </c>
      <c r="H22" s="32">
        <v>3</v>
      </c>
      <c r="I22" s="33">
        <v>4</v>
      </c>
      <c r="J22" s="34">
        <v>23</v>
      </c>
      <c r="K22" s="34">
        <v>13</v>
      </c>
      <c r="L22" s="34">
        <v>1</v>
      </c>
      <c r="M22" s="87">
        <f>SUM(I22:L22)</f>
        <v>41</v>
      </c>
      <c r="N22" s="88">
        <f>((I22*9)+(J22*3)+(K22*1))/M22</f>
        <v>2.8780487804878048</v>
      </c>
      <c r="O22" s="37">
        <v>0.35302719088122264</v>
      </c>
      <c r="P22" s="86">
        <f>N22-H22</f>
        <v>-0.12195121951219523</v>
      </c>
    </row>
    <row r="23" spans="1:16" s="36" customFormat="1" ht="25" x14ac:dyDescent="0.25">
      <c r="A23" s="46" t="s">
        <v>51</v>
      </c>
      <c r="B23" s="21"/>
      <c r="C23" s="34" t="s">
        <v>47</v>
      </c>
      <c r="D23" s="23"/>
      <c r="E23" s="31" t="s">
        <v>30</v>
      </c>
      <c r="F23" s="32">
        <v>1</v>
      </c>
      <c r="G23" s="31" t="s">
        <v>30</v>
      </c>
      <c r="H23" s="32">
        <v>1</v>
      </c>
      <c r="I23" s="33">
        <v>7</v>
      </c>
      <c r="J23" s="34">
        <v>22</v>
      </c>
      <c r="K23" s="34">
        <v>12</v>
      </c>
      <c r="L23" s="34"/>
      <c r="M23" s="87">
        <f>SUM(I23:L23)</f>
        <v>41</v>
      </c>
      <c r="N23" s="88">
        <f>((I23*9)+(J23*3)+(K23*1))/M23</f>
        <v>3.4390243902439024</v>
      </c>
      <c r="O23" s="37">
        <v>0.42202875362653541</v>
      </c>
      <c r="P23" s="86">
        <f>N23-H23</f>
        <v>2.4390243902439024</v>
      </c>
    </row>
    <row r="24" spans="1:16" s="36" customFormat="1" ht="30" customHeight="1" thickBot="1" x14ac:dyDescent="0.3">
      <c r="A24" s="13" t="s">
        <v>52</v>
      </c>
      <c r="B24" s="21" t="s">
        <v>30</v>
      </c>
      <c r="C24" s="22" t="s">
        <v>53</v>
      </c>
      <c r="D24" s="23"/>
      <c r="E24" s="50" t="s">
        <v>23</v>
      </c>
      <c r="F24" s="51">
        <v>9</v>
      </c>
      <c r="G24" s="50" t="s">
        <v>26</v>
      </c>
      <c r="H24" s="51">
        <v>3</v>
      </c>
      <c r="I24" s="52">
        <v>14</v>
      </c>
      <c r="J24" s="53">
        <v>24</v>
      </c>
      <c r="K24" s="53">
        <v>3</v>
      </c>
      <c r="L24" s="53"/>
      <c r="M24" s="91">
        <f>SUM(I24:L24)</f>
        <v>41</v>
      </c>
      <c r="N24" s="92">
        <f>((I24*9)+(J24*3)+(K24*1))/M24</f>
        <v>4.9024390243902438</v>
      </c>
      <c r="O24" s="54">
        <v>0.47344724130930449</v>
      </c>
      <c r="P24" s="93">
        <f>N24-H24</f>
        <v>1.9024390243902438</v>
      </c>
    </row>
    <row r="25" spans="1:16" s="36" customFormat="1" hidden="1" x14ac:dyDescent="0.25">
      <c r="A25" s="120" t="s">
        <v>54</v>
      </c>
      <c r="B25" s="121"/>
      <c r="C25" s="121"/>
      <c r="D25" s="55"/>
      <c r="E25" s="56"/>
      <c r="F25" s="56"/>
      <c r="G25" s="56"/>
      <c r="H25" s="56"/>
      <c r="I25" s="56"/>
      <c r="J25" s="56"/>
      <c r="K25" s="56"/>
      <c r="L25" s="56"/>
      <c r="M25" s="56"/>
    </row>
    <row r="26" spans="1:16" s="36" customFormat="1" ht="50" hidden="1" x14ac:dyDescent="0.25">
      <c r="A26" s="57" t="s">
        <v>84</v>
      </c>
      <c r="B26" s="21" t="s">
        <v>30</v>
      </c>
      <c r="C26" s="58"/>
      <c r="D26" s="58"/>
      <c r="E26" s="59"/>
      <c r="F26" s="60"/>
      <c r="G26" s="60"/>
      <c r="H26" s="60"/>
      <c r="I26" s="60"/>
      <c r="J26" s="60"/>
      <c r="K26" s="60"/>
      <c r="L26" s="60"/>
      <c r="M26" s="59">
        <f>SUM(I26:L26)</f>
        <v>0</v>
      </c>
    </row>
    <row r="27" spans="1:16" s="36" customFormat="1" ht="66" hidden="1" customHeight="1" x14ac:dyDescent="0.25">
      <c r="A27" s="57" t="s">
        <v>55</v>
      </c>
      <c r="B27" s="21" t="s">
        <v>30</v>
      </c>
      <c r="C27" s="58"/>
      <c r="D27" s="58"/>
      <c r="E27" s="59"/>
      <c r="F27" s="60"/>
      <c r="G27" s="60"/>
      <c r="H27" s="60"/>
      <c r="I27" s="60"/>
      <c r="J27" s="60"/>
      <c r="K27" s="60"/>
      <c r="L27" s="60"/>
      <c r="M27" s="59">
        <f>SUM(I27:L27)</f>
        <v>0</v>
      </c>
    </row>
    <row r="28" spans="1:16" s="36" customFormat="1" ht="63.75" hidden="1" customHeight="1" x14ac:dyDescent="0.25">
      <c r="A28" s="57" t="s">
        <v>56</v>
      </c>
      <c r="B28" s="21" t="s">
        <v>23</v>
      </c>
      <c r="C28" s="58" t="s">
        <v>57</v>
      </c>
      <c r="D28" s="61" t="s">
        <v>25</v>
      </c>
      <c r="E28" s="62"/>
      <c r="F28" s="62"/>
      <c r="G28" s="62"/>
      <c r="H28" s="62"/>
      <c r="I28" s="62"/>
      <c r="J28" s="62"/>
      <c r="K28" s="62"/>
      <c r="L28" s="62"/>
      <c r="M28" s="63">
        <f>SUM(I28:L28)</f>
        <v>0</v>
      </c>
    </row>
    <row r="29" spans="1:16" s="67" customFormat="1" ht="18.75" customHeight="1" x14ac:dyDescent="0.25">
      <c r="A29" s="64"/>
      <c r="B29" s="65"/>
      <c r="C29" s="58"/>
      <c r="D29" s="66" t="s">
        <v>58</v>
      </c>
      <c r="E29" s="137" t="s">
        <v>58</v>
      </c>
      <c r="F29" s="137"/>
      <c r="G29" s="137"/>
      <c r="H29" s="137"/>
      <c r="I29" s="137"/>
      <c r="J29" s="137"/>
      <c r="K29" s="137"/>
      <c r="L29" s="137"/>
      <c r="M29" s="137"/>
      <c r="N29" s="137"/>
      <c r="O29" s="137"/>
      <c r="P29" s="137"/>
    </row>
    <row r="30" spans="1:16" s="67" customFormat="1" ht="33.75" customHeight="1" x14ac:dyDescent="0.25">
      <c r="A30" s="110" t="s">
        <v>59</v>
      </c>
      <c r="B30" s="111"/>
      <c r="C30" s="112"/>
      <c r="D30" s="112"/>
      <c r="E30" s="112"/>
      <c r="F30" s="112"/>
      <c r="G30" s="112"/>
      <c r="H30" s="112"/>
      <c r="I30" s="112"/>
      <c r="J30" s="112"/>
      <c r="K30" s="112"/>
      <c r="L30" s="112"/>
      <c r="M30" s="112"/>
      <c r="N30" s="112"/>
      <c r="O30" s="112"/>
      <c r="P30" s="112"/>
    </row>
    <row r="31" spans="1:16" s="67" customFormat="1" ht="20.25" customHeight="1" x14ac:dyDescent="0.25">
      <c r="A31" s="113" t="s">
        <v>60</v>
      </c>
      <c r="B31" s="114"/>
      <c r="C31" s="112"/>
      <c r="D31" s="112"/>
      <c r="E31" s="112"/>
      <c r="F31" s="112"/>
      <c r="G31" s="112"/>
      <c r="H31" s="112"/>
      <c r="I31" s="112"/>
      <c r="J31" s="112"/>
      <c r="K31" s="112"/>
      <c r="L31" s="112"/>
      <c r="M31" s="112"/>
      <c r="N31" s="112"/>
      <c r="O31" s="112"/>
      <c r="P31" s="112"/>
    </row>
    <row r="32" spans="1:16" s="67" customFormat="1" ht="22.5" customHeight="1" x14ac:dyDescent="0.25">
      <c r="A32" s="68"/>
      <c r="B32" s="69"/>
      <c r="C32" s="70"/>
      <c r="D32" s="28"/>
      <c r="E32" s="71" t="s">
        <v>61</v>
      </c>
      <c r="F32" s="94" t="s">
        <v>62</v>
      </c>
      <c r="G32" s="95"/>
      <c r="H32" s="72"/>
      <c r="I32" s="72"/>
      <c r="J32" s="72"/>
      <c r="K32" s="72"/>
      <c r="L32" s="72"/>
      <c r="M32" s="73"/>
    </row>
    <row r="33" spans="1:13" s="67" customFormat="1" ht="13.5" customHeight="1" x14ac:dyDescent="0.25">
      <c r="A33" s="124" t="s">
        <v>63</v>
      </c>
      <c r="B33" s="125"/>
      <c r="C33" s="126"/>
      <c r="D33" s="34"/>
      <c r="E33" s="37">
        <v>3.4634146341463414</v>
      </c>
      <c r="F33" s="37">
        <v>1.0746525246704106</v>
      </c>
      <c r="G33" s="37">
        <v>1.1548780487804877</v>
      </c>
      <c r="H33" s="72"/>
      <c r="I33" s="72"/>
      <c r="J33" s="72"/>
      <c r="K33" s="72"/>
      <c r="L33" s="72"/>
      <c r="M33" s="73"/>
    </row>
    <row r="34" spans="1:13" s="67" customFormat="1" ht="13.5" customHeight="1" x14ac:dyDescent="0.25">
      <c r="A34" s="124" t="s">
        <v>64</v>
      </c>
      <c r="B34" s="125"/>
      <c r="C34" s="126"/>
      <c r="D34" s="34"/>
      <c r="E34" s="37">
        <v>3.05</v>
      </c>
      <c r="F34" s="37">
        <v>1.4667249405672664</v>
      </c>
      <c r="G34" s="37">
        <v>2.1512820512820512</v>
      </c>
      <c r="H34" s="72"/>
      <c r="I34" s="72"/>
      <c r="J34" s="72"/>
      <c r="K34" s="72"/>
      <c r="L34" s="72"/>
      <c r="M34" s="73"/>
    </row>
    <row r="35" spans="1:13" s="67" customFormat="1" ht="21.75" customHeight="1" x14ac:dyDescent="0.25">
      <c r="A35" s="107" t="s">
        <v>65</v>
      </c>
      <c r="B35" s="107"/>
      <c r="C35" s="107"/>
      <c r="D35" s="34"/>
      <c r="E35" s="74" t="s">
        <v>66</v>
      </c>
      <c r="F35" s="131" t="s">
        <v>67</v>
      </c>
      <c r="G35" s="131"/>
      <c r="H35" s="72"/>
      <c r="I35" s="72"/>
      <c r="J35" s="72"/>
      <c r="K35" s="72"/>
      <c r="L35" s="72"/>
      <c r="M35" s="73"/>
    </row>
    <row r="36" spans="1:13" s="67" customFormat="1" ht="12.75" customHeight="1" x14ac:dyDescent="0.25">
      <c r="A36" s="103"/>
      <c r="B36" s="104"/>
      <c r="C36" s="105"/>
      <c r="D36" s="34"/>
      <c r="E36" s="74" t="s">
        <v>85</v>
      </c>
      <c r="F36" s="101">
        <v>2</v>
      </c>
      <c r="G36" s="102"/>
      <c r="H36" s="72"/>
      <c r="I36" s="72"/>
      <c r="J36" s="72"/>
      <c r="K36" s="72"/>
      <c r="L36" s="72"/>
      <c r="M36" s="73"/>
    </row>
    <row r="37" spans="1:13" s="67" customFormat="1" ht="12.75" customHeight="1" x14ac:dyDescent="0.25">
      <c r="A37" s="103"/>
      <c r="B37" s="104"/>
      <c r="C37" s="105"/>
      <c r="D37" s="30"/>
      <c r="E37" s="75" t="s">
        <v>86</v>
      </c>
      <c r="F37" s="101">
        <v>3</v>
      </c>
      <c r="G37" s="102"/>
      <c r="H37" s="72"/>
      <c r="I37" s="72"/>
      <c r="J37" s="72"/>
      <c r="K37" s="72"/>
      <c r="L37" s="72"/>
      <c r="M37" s="73"/>
    </row>
    <row r="38" spans="1:13" s="67" customFormat="1" ht="13.5" customHeight="1" x14ac:dyDescent="0.25">
      <c r="A38" s="96" t="s">
        <v>68</v>
      </c>
      <c r="B38" s="97"/>
      <c r="C38" s="97"/>
      <c r="D38" s="97"/>
      <c r="E38" s="97"/>
      <c r="F38" s="97"/>
      <c r="G38" s="98"/>
      <c r="H38" s="72"/>
      <c r="I38" s="72"/>
      <c r="J38" s="72"/>
      <c r="K38" s="72"/>
      <c r="L38" s="72"/>
      <c r="M38" s="73"/>
    </row>
    <row r="39" spans="1:13" s="67" customFormat="1" ht="13.5" hidden="1" customHeight="1" x14ac:dyDescent="0.25">
      <c r="A39" s="128"/>
      <c r="B39" s="129"/>
      <c r="C39" s="129"/>
      <c r="D39" s="129"/>
      <c r="E39" s="129"/>
      <c r="F39" s="129"/>
      <c r="G39" s="130"/>
      <c r="H39" s="72"/>
      <c r="I39" s="72"/>
      <c r="J39" s="72"/>
      <c r="K39" s="72"/>
      <c r="L39" s="72"/>
      <c r="M39" s="73"/>
    </row>
    <row r="40" spans="1:13" s="77" customFormat="1" ht="13.5" customHeight="1" x14ac:dyDescent="0.25">
      <c r="A40" s="99" t="s">
        <v>69</v>
      </c>
      <c r="B40" s="99"/>
      <c r="C40" s="99"/>
      <c r="D40" s="34"/>
      <c r="E40" s="37">
        <v>3.4878048780487805</v>
      </c>
      <c r="F40" s="37">
        <v>1.2868945415128661</v>
      </c>
      <c r="G40" s="37">
        <v>1.6560975609756097</v>
      </c>
      <c r="H40" s="72"/>
      <c r="I40" s="72"/>
      <c r="J40" s="72"/>
      <c r="K40" s="72"/>
      <c r="L40" s="72"/>
      <c r="M40" s="76"/>
    </row>
    <row r="41" spans="1:13" s="77" customFormat="1" ht="13.5" customHeight="1" x14ac:dyDescent="0.25">
      <c r="A41" s="99" t="s">
        <v>70</v>
      </c>
      <c r="B41" s="99"/>
      <c r="C41" s="99"/>
      <c r="D41" s="34"/>
      <c r="E41" s="37">
        <v>3.4390243902439024</v>
      </c>
      <c r="F41" s="37">
        <v>1.0735171281308202</v>
      </c>
      <c r="G41" s="37">
        <v>1.1524390243902438</v>
      </c>
      <c r="H41" s="72"/>
      <c r="I41" s="72"/>
      <c r="J41" s="72"/>
      <c r="K41" s="72"/>
      <c r="L41" s="72"/>
      <c r="M41" s="76"/>
    </row>
    <row r="42" spans="1:13" s="77" customFormat="1" ht="12.75" customHeight="1" x14ac:dyDescent="0.25">
      <c r="A42" s="99" t="s">
        <v>71</v>
      </c>
      <c r="B42" s="99"/>
      <c r="C42" s="99"/>
      <c r="D42" s="34"/>
      <c r="E42" s="37">
        <v>3.3658536585365852</v>
      </c>
      <c r="F42" s="37">
        <v>1.0898646145502571</v>
      </c>
      <c r="G42" s="37">
        <v>1.1878048780487804</v>
      </c>
      <c r="H42" s="72"/>
      <c r="I42" s="72"/>
      <c r="J42" s="72"/>
      <c r="K42" s="72"/>
      <c r="L42" s="72"/>
      <c r="M42" s="76"/>
    </row>
    <row r="43" spans="1:13" s="77" customFormat="1" ht="13.5" hidden="1" customHeight="1" x14ac:dyDescent="0.25">
      <c r="A43" s="100"/>
      <c r="B43" s="100"/>
      <c r="C43" s="100"/>
      <c r="D43" s="100"/>
      <c r="E43" s="100"/>
      <c r="F43" s="100"/>
      <c r="G43" s="100"/>
      <c r="H43" s="72"/>
      <c r="I43" s="72"/>
      <c r="J43" s="72"/>
      <c r="K43" s="72"/>
      <c r="L43" s="72"/>
      <c r="M43" s="76"/>
    </row>
    <row r="44" spans="1:13" s="77" customFormat="1" ht="13.5" customHeight="1" x14ac:dyDescent="0.25">
      <c r="A44" s="127" t="s">
        <v>72</v>
      </c>
      <c r="B44" s="127"/>
      <c r="C44" s="127"/>
      <c r="D44" s="127"/>
      <c r="E44" s="127"/>
      <c r="F44" s="127"/>
      <c r="G44" s="127"/>
      <c r="H44" s="72"/>
      <c r="I44" s="72"/>
      <c r="J44" s="72"/>
      <c r="K44" s="72"/>
      <c r="L44" s="72"/>
      <c r="M44" s="76"/>
    </row>
    <row r="45" spans="1:13" s="77" customFormat="1" ht="13.5" hidden="1" customHeight="1" x14ac:dyDescent="0.25">
      <c r="A45" s="106"/>
      <c r="B45" s="106"/>
      <c r="C45" s="106"/>
      <c r="D45" s="106"/>
      <c r="E45" s="106"/>
      <c r="F45" s="106"/>
      <c r="G45" s="106"/>
      <c r="H45" s="72"/>
      <c r="I45" s="72"/>
      <c r="J45" s="72"/>
      <c r="K45" s="72"/>
      <c r="L45" s="72"/>
      <c r="M45" s="76"/>
    </row>
    <row r="46" spans="1:13" s="77" customFormat="1" ht="13.5" customHeight="1" x14ac:dyDescent="0.25">
      <c r="A46" s="107" t="s">
        <v>73</v>
      </c>
      <c r="B46" s="107"/>
      <c r="C46" s="107"/>
      <c r="D46" s="34"/>
      <c r="E46" s="37">
        <v>3.4324324324324325</v>
      </c>
      <c r="F46" s="37">
        <v>1.4247912233130966</v>
      </c>
      <c r="G46" s="37">
        <v>2.03003003003003</v>
      </c>
      <c r="H46" s="72"/>
      <c r="I46" s="72"/>
      <c r="J46" s="72"/>
      <c r="K46" s="72"/>
      <c r="L46" s="72"/>
      <c r="M46" s="76"/>
    </row>
    <row r="47" spans="1:13" s="77" customFormat="1" ht="13.5" customHeight="1" x14ac:dyDescent="0.25">
      <c r="A47" s="107" t="s">
        <v>74</v>
      </c>
      <c r="B47" s="107"/>
      <c r="C47" s="107"/>
      <c r="D47" s="34"/>
      <c r="E47" s="37">
        <v>2.4594594594594597</v>
      </c>
      <c r="F47" s="37">
        <v>1.7731734670201176</v>
      </c>
      <c r="G47" s="37">
        <v>3.144144144144144</v>
      </c>
      <c r="H47" s="72"/>
      <c r="I47" s="72"/>
      <c r="J47" s="72"/>
      <c r="K47" s="72"/>
      <c r="L47" s="72"/>
      <c r="M47" s="76"/>
    </row>
    <row r="48" spans="1:13" s="77" customFormat="1" ht="13.5" customHeight="1" x14ac:dyDescent="0.25">
      <c r="A48" s="107" t="s">
        <v>75</v>
      </c>
      <c r="B48" s="107"/>
      <c r="C48" s="107"/>
      <c r="D48" s="34"/>
      <c r="E48" s="37">
        <v>3.4736842105263159</v>
      </c>
      <c r="F48" s="37">
        <v>1.1794832149456596</v>
      </c>
      <c r="G48" s="37">
        <v>1.391180654338549</v>
      </c>
      <c r="H48" s="72"/>
      <c r="I48" s="72"/>
      <c r="J48" s="72"/>
      <c r="K48" s="72"/>
      <c r="L48" s="72"/>
      <c r="M48" s="76"/>
    </row>
    <row r="49" spans="1:13" s="77" customFormat="1" ht="13.5" customHeight="1" x14ac:dyDescent="0.25">
      <c r="A49" s="107" t="s">
        <v>76</v>
      </c>
      <c r="B49" s="107"/>
      <c r="C49" s="107"/>
      <c r="D49" s="34"/>
      <c r="E49" s="37">
        <v>3.2894736842105261</v>
      </c>
      <c r="F49" s="37">
        <v>1.3736496019795195</v>
      </c>
      <c r="G49" s="37">
        <v>1.8869132290184922</v>
      </c>
      <c r="H49" s="72"/>
      <c r="I49" s="72"/>
      <c r="J49" s="72"/>
      <c r="K49" s="72"/>
      <c r="L49" s="72"/>
      <c r="M49" s="76"/>
    </row>
    <row r="50" spans="1:13" s="77" customFormat="1" ht="13.5" customHeight="1" x14ac:dyDescent="0.25">
      <c r="A50" s="107" t="s">
        <v>77</v>
      </c>
      <c r="B50" s="107"/>
      <c r="C50" s="107"/>
      <c r="D50" s="60"/>
      <c r="E50" s="37">
        <v>4.1315789473684212</v>
      </c>
      <c r="F50" s="37">
        <v>1.0697575535272428</v>
      </c>
      <c r="G50" s="37">
        <v>1.1443812233285917</v>
      </c>
      <c r="H50" s="78"/>
      <c r="I50" s="78"/>
      <c r="J50" s="78"/>
      <c r="K50" s="78"/>
      <c r="L50" s="78"/>
    </row>
    <row r="51" spans="1:13" s="79" customFormat="1" x14ac:dyDescent="0.25"/>
    <row r="52" spans="1:13" s="79" customFormat="1" x14ac:dyDescent="0.25"/>
    <row r="53" spans="1:13" s="79" customFormat="1" x14ac:dyDescent="0.25"/>
    <row r="54" spans="1:13" s="79" customFormat="1" x14ac:dyDescent="0.25"/>
    <row r="55" spans="1:13" s="79" customFormat="1" x14ac:dyDescent="0.25"/>
    <row r="56" spans="1:13" s="79" customFormat="1" x14ac:dyDescent="0.25"/>
  </sheetData>
  <mergeCells count="39">
    <mergeCell ref="D3:F3"/>
    <mergeCell ref="G5:H5"/>
    <mergeCell ref="A49:C49"/>
    <mergeCell ref="A48:C48"/>
    <mergeCell ref="A47:C47"/>
    <mergeCell ref="A46:C46"/>
    <mergeCell ref="A41:C41"/>
    <mergeCell ref="A1:P1"/>
    <mergeCell ref="A4:P4"/>
    <mergeCell ref="N5:P5"/>
    <mergeCell ref="E29:P29"/>
    <mergeCell ref="D2:P2"/>
    <mergeCell ref="A25:C25"/>
    <mergeCell ref="B5:B6"/>
    <mergeCell ref="A33:C33"/>
    <mergeCell ref="A34:C34"/>
    <mergeCell ref="A35:C35"/>
    <mergeCell ref="A44:G44"/>
    <mergeCell ref="A39:G39"/>
    <mergeCell ref="A36:C36"/>
    <mergeCell ref="F35:G35"/>
    <mergeCell ref="F36:G36"/>
    <mergeCell ref="A45:G45"/>
    <mergeCell ref="A50:C50"/>
    <mergeCell ref="C5:C6"/>
    <mergeCell ref="A30:B30"/>
    <mergeCell ref="C30:P30"/>
    <mergeCell ref="C31:P31"/>
    <mergeCell ref="A31:B31"/>
    <mergeCell ref="D5:D6"/>
    <mergeCell ref="I5:M5"/>
    <mergeCell ref="E5:F5"/>
    <mergeCell ref="F32:G32"/>
    <mergeCell ref="A38:G38"/>
    <mergeCell ref="A40:C40"/>
    <mergeCell ref="A43:G43"/>
    <mergeCell ref="F37:G37"/>
    <mergeCell ref="A37:C37"/>
    <mergeCell ref="A42:C42"/>
  </mergeCells>
  <phoneticPr fontId="0" type="noConversion"/>
  <pageMargins left="0.59" right="0.3" top="1" bottom="0.44" header="0.5" footer="0.17"/>
  <pageSetup scale="68" fitToHeight="0" orientation="landscape" r:id="rId1"/>
  <headerFooter alignWithMargins="0">
    <oddHeader>&amp;C&amp;"Arial,Bold"&amp;12AERONAUTICAL ENGINEERING DEPARTMENT
&amp;"Arial,Bold Italic"&amp;11&amp;USTUDENT COURSE SURVEY RESULTS</oddHeader>
    <oddFooter>&amp;L&amp;D&amp;C&amp;P of &amp;N&amp;R&amp;F&amp;A</oddFooter>
  </headerFooter>
  <rowBreaks count="1" manualBreakCount="1">
    <brk id="29"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Example of Reporting Template</vt:lpstr>
      <vt:lpstr>'Example of Reporting Template'!Print_Area</vt:lpstr>
    </vt:vector>
  </TitlesOfParts>
  <Company>Cal Poly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kburke</dc:creator>
  <cp:lastModifiedBy>Carina Negreanu</cp:lastModifiedBy>
  <dcterms:created xsi:type="dcterms:W3CDTF">2003-06-09T01:59:25Z</dcterms:created>
  <dcterms:modified xsi:type="dcterms:W3CDTF">2020-01-27T12:01:56Z</dcterms:modified>
</cp:coreProperties>
</file>