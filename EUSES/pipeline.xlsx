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CBB9B8A-EAA0-470C-9425-4C9F1096DA61}" xr6:coauthVersionLast="45" xr6:coauthVersionMax="45" xr10:uidLastSave="{00000000-0000-0000-0000-000000000000}"/>
  <bookViews>
    <workbookView xWindow="760" yWindow="760" windowWidth="28800" windowHeight="15460" tabRatio="693"/>
  </bookViews>
  <sheets>
    <sheet name="Inventory" sheetId="9" r:id="rId1"/>
  </sheets>
  <definedNames>
    <definedName name="_xlnm._FilterDatabase" localSheetId="0" hidden="1">Inventory!$B$4:$N$177</definedName>
    <definedName name="_xlnm.Print_Area" localSheetId="0">Inventory!$A$1:$J$177</definedName>
    <definedName name="Z_8C6D4B80_A81C_11D3_997D_BC0D0FC14908_.wvu.FilterData" localSheetId="0" hidden="1">Inventory!$B$4:$N$177</definedName>
    <definedName name="Z_8C6D4B80_A81C_11D3_997D_BC0D0FC14908_.wvu.PrintArea" localSheetId="0" hidden="1">Inventory!$A$1:$J$177</definedName>
    <definedName name="Z_8C6D4B80_A81C_11D3_997D_BC0D0FC14908_.wvu.Rows" localSheetId="0" hidden="1">Inventory!$15:$15,Inventory!$23:$23,Inventory!$30:$30,Inventory!$39:$39,Inventory!$72:$72,Inventory!$89:$89,Inventory!$96:$96,Inventory!$105:$105,Inventory!$111:$111,Inventory!$117:$117,Inventory!$123:$123,Inventory!$133:$133,Inventory!$141:$141,Inventory!$149:$149,Inventory!$156:$156</definedName>
    <definedName name="Z_A3267BB5_AE19_11D3_B7CF_0020AF9B0CDA_.wvu.FilterData" localSheetId="0" hidden="1">Inventory!$B$4:$N$177</definedName>
    <definedName name="Z_A3267BB5_AE19_11D3_B7CF_0020AF9B0CDA_.wvu.PrintArea" localSheetId="0" hidden="1">Inventory!$A$1:$J$177</definedName>
    <definedName name="Z_A3267BB5_AE19_11D3_B7CF_0020AF9B0CDA_.wvu.Rows" localSheetId="0" hidden="1">Inventory!$15:$15,Inventory!$23:$23,Inventory!$30:$30,Inventory!$39:$39,Inventory!$72:$72,Inventory!$89:$89,Inventory!$96:$96,Inventory!$105:$105,Inventory!$111:$111,Inventory!$117:$117,Inventory!$123:$123,Inventory!$133:$133,Inventory!$141:$141,Inventory!$149:$149,Inventory!$156:$156</definedName>
  </definedNames>
  <calcPr calcId="191029" fullCalcOnLoad="1" iterate="1" iterateCount="1"/>
  <customWorkbookViews>
    <customWorkbookView name="Marlynne Hopper - Personal View" guid="{A3267BB5-AE19-11D3-B7CF-0020AF9B0CDA}" mergeInterval="0" personalView="1" maximized="1" windowWidth="796" windowHeight="412" tabRatio="693" activeSheetId="10"/>
    <customWorkbookView name="Servex - Personal View" guid="{8C6D4B80-A81C-11D3-997D-BC0D0FC14908}" mergeInterval="0" personalView="1" maximized="1" windowWidth="796" windowHeight="440" tabRatio="813" activeSheetId="9" showComments="commNone"/>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 i="9" l="1"/>
  <c r="A2" i="9"/>
  <c r="L15" i="9"/>
  <c r="A16" i="9"/>
  <c r="A17" i="9"/>
  <c r="L23" i="9"/>
  <c r="A24" i="9"/>
  <c r="A25" i="9"/>
  <c r="L30" i="9"/>
  <c r="A31" i="9"/>
  <c r="A32" i="9"/>
  <c r="L39" i="9"/>
  <c r="A40" i="9"/>
  <c r="A41" i="9"/>
  <c r="A52" i="9"/>
  <c r="A53" i="9"/>
  <c r="A60" i="9"/>
  <c r="A61" i="9"/>
  <c r="L72" i="9"/>
  <c r="L179" i="9" s="1"/>
  <c r="A73" i="9"/>
  <c r="A74" i="9"/>
  <c r="A82" i="9"/>
  <c r="A83" i="9"/>
  <c r="L89" i="9"/>
  <c r="A90" i="9"/>
  <c r="A91" i="9"/>
  <c r="L96" i="9"/>
  <c r="A99" i="9"/>
  <c r="A100" i="9"/>
  <c r="L105" i="9"/>
  <c r="A106" i="9"/>
  <c r="A107" i="9"/>
  <c r="L111" i="9"/>
  <c r="A112" i="9"/>
  <c r="A113" i="9"/>
  <c r="L117" i="9"/>
  <c r="A119" i="9"/>
  <c r="A120" i="9"/>
  <c r="L123" i="9"/>
  <c r="A124" i="9"/>
  <c r="A125" i="9"/>
  <c r="L133" i="9"/>
  <c r="A134" i="9"/>
  <c r="A135" i="9"/>
  <c r="L141" i="9"/>
  <c r="A142" i="9"/>
  <c r="A143" i="9"/>
  <c r="L149" i="9"/>
  <c r="A150" i="9"/>
  <c r="A151" i="9"/>
  <c r="L156" i="9"/>
  <c r="A157" i="9"/>
  <c r="A158" i="9"/>
  <c r="A167" i="9"/>
  <c r="A168" i="9"/>
  <c r="L178" i="9"/>
</calcChain>
</file>

<file path=xl/sharedStrings.xml><?xml version="1.0" encoding="utf-8"?>
<sst xmlns="http://schemas.openxmlformats.org/spreadsheetml/2006/main" count="1304" uniqueCount="445">
  <si>
    <r>
      <t>Thai Nguyen (</t>
    </r>
    <r>
      <rPr>
        <i/>
        <sz val="7"/>
        <rFont val="Arial"/>
        <family val="2"/>
      </rPr>
      <t>Vo Nhai District</t>
    </r>
    <r>
      <rPr>
        <sz val="7"/>
        <rFont val="Arial"/>
        <family val="2"/>
      </rPr>
      <t>); Bac Kan (</t>
    </r>
    <r>
      <rPr>
        <b/>
        <i/>
        <sz val="7"/>
        <rFont val="Arial"/>
        <family val="2"/>
      </rPr>
      <t>Cho Moi District</t>
    </r>
    <r>
      <rPr>
        <sz val="7"/>
        <rFont val="Arial"/>
        <family val="2"/>
      </rPr>
      <t>: Mai Lap, Thanh Van, Thanh Mai, Tan Son, Quang Chu, Nhu Co, Binh Van, Yen Han, Yen Cu)</t>
    </r>
  </si>
  <si>
    <r>
      <t>Bac Kan (</t>
    </r>
    <r>
      <rPr>
        <b/>
        <i/>
        <sz val="7"/>
        <rFont val="Arial"/>
        <family val="2"/>
      </rPr>
      <t>Bach Thon</t>
    </r>
    <r>
      <rPr>
        <sz val="7"/>
        <rFont val="Arial"/>
        <family val="2"/>
      </rPr>
      <t>g District: Tu Tri, Vi Huong and Nguyen Phuc Communes)</t>
    </r>
  </si>
  <si>
    <r>
      <t>Hoa Binh (Ky Son: Hop Thanh, Dan Ha and Tan Phong communes); Bac Kan (</t>
    </r>
    <r>
      <rPr>
        <b/>
        <i/>
        <sz val="7"/>
        <rFont val="Arial"/>
        <family val="2"/>
      </rPr>
      <t>Bach Thong</t>
    </r>
    <r>
      <rPr>
        <sz val="7"/>
        <rFont val="Arial"/>
        <family val="2"/>
      </rPr>
      <t>: Tu Tri, Nguyen Phuc and Vi Huong Districts)</t>
    </r>
  </si>
  <si>
    <r>
      <t>Bac Kan (</t>
    </r>
    <r>
      <rPr>
        <b/>
        <i/>
        <sz val="7"/>
        <rFont val="Arial"/>
        <family val="2"/>
      </rPr>
      <t>Cho Moi</t>
    </r>
    <r>
      <rPr>
        <i/>
        <sz val="7"/>
        <rFont val="Arial"/>
        <family val="2"/>
      </rPr>
      <t xml:space="preserve"> District</t>
    </r>
    <r>
      <rPr>
        <sz val="7"/>
        <rFont val="Arial"/>
        <family val="2"/>
      </rPr>
      <t>: Mai Lap, Thanh Van, Thanh Mai, Tan Son, Hoa Mua, Cao Ky, Nong Ha, Nong Thinh, Thanh Binh, Yen Dinh, Cho Moi, Quang Chu, Nhu Co, Binh Van, Yen Han, Yen Cu Communes)</t>
    </r>
  </si>
  <si>
    <r>
      <t>Thua Thien-Hue (</t>
    </r>
    <r>
      <rPr>
        <i/>
        <sz val="7"/>
        <rFont val="Arial"/>
        <family val="2"/>
      </rPr>
      <t>Huong Tra District</t>
    </r>
    <r>
      <rPr>
        <sz val="7"/>
        <rFont val="Arial"/>
        <family val="2"/>
      </rPr>
      <t>: Huong Van, Huong An, Huong Tho, Binh Thanh Communes)</t>
    </r>
  </si>
  <si>
    <t>1999-99</t>
  </si>
  <si>
    <t>1999-02</t>
  </si>
  <si>
    <t>1999-00</t>
  </si>
  <si>
    <t>2000-02</t>
  </si>
  <si>
    <t>1999-03</t>
  </si>
  <si>
    <t>1999-01</t>
  </si>
  <si>
    <t>2000-01</t>
  </si>
  <si>
    <t>2000-07</t>
  </si>
  <si>
    <t>2000-00</t>
  </si>
  <si>
    <t>1999-05</t>
  </si>
  <si>
    <t>Cross-sectoral</t>
  </si>
  <si>
    <t>Area development</t>
  </si>
  <si>
    <t>Central Region Poverty Reduction</t>
  </si>
  <si>
    <t xml:space="preserve"> </t>
  </si>
  <si>
    <t>ADB</t>
  </si>
  <si>
    <t>TBD</t>
  </si>
  <si>
    <t>Reduce the level of absolute poverty in project areas through increased incomes, access to improved small-scale infrastructure, agricultural and agro-industrial services. The project will be need oriented based on participatory processes, and will include substantial capacity building for local authorities</t>
  </si>
  <si>
    <t>AusAID</t>
  </si>
  <si>
    <t>MARD</t>
  </si>
  <si>
    <t>BADC</t>
  </si>
  <si>
    <t>DPC Quy Chau</t>
  </si>
  <si>
    <t>Quy Chau Technical Dpts</t>
  </si>
  <si>
    <t>Belgium Technical Cooper. BTC-CTB</t>
  </si>
  <si>
    <t>To develop socio-economic activities , improve infrastructure and strengthen the educational and health systems.</t>
  </si>
  <si>
    <t>Rural Development Poverty Reduction Programming</t>
  </si>
  <si>
    <t>CIDA</t>
  </si>
  <si>
    <t xml:space="preserve">To contribute to the reduction of rural poverty in Vietnam by enabling the poor to secure sustainable livelihoods and basic human needs. </t>
  </si>
  <si>
    <t>Thanh Hoa; Soc Trang</t>
  </si>
  <si>
    <t>Rural Development</t>
  </si>
  <si>
    <t>DFID</t>
  </si>
  <si>
    <t>NA</t>
  </si>
  <si>
    <t>To improve rural livelihoods in Viet Nam</t>
  </si>
  <si>
    <t>EC</t>
  </si>
  <si>
    <t xml:space="preserve">To improve living standards and environmental sustainability in Viet Nam's Northern Highlands </t>
  </si>
  <si>
    <t>Son La; Lai Chau</t>
  </si>
  <si>
    <t>Rural Development in Dac Lak Province</t>
  </si>
  <si>
    <t xml:space="preserve">PPC Dak Lak </t>
  </si>
  <si>
    <t>GTZ</t>
  </si>
  <si>
    <t>Contribute to an integrated and multisectoral rural development approach focusing on land use planning, land allocation and agro-forestry aspects.</t>
  </si>
  <si>
    <t>Dac Lac</t>
  </si>
  <si>
    <t>WB</t>
  </si>
  <si>
    <t>DARD; MPI</t>
  </si>
  <si>
    <t>To help the Government to address  the economic and social development issues of poor areas in several Northern Mountain provinces. Project concentrates on development of rural infrastructure, access to basic social services (basic education, health and nutrition), agriculture and institution building</t>
  </si>
  <si>
    <t>Proposed: Lao Cai; Son La; Yen Bai; Phu Tho; Bac Giang; Hoa Binh</t>
  </si>
  <si>
    <t>Capacity development</t>
  </si>
  <si>
    <t>Women and Rural Development</t>
  </si>
  <si>
    <t>Rosemont College</t>
  </si>
  <si>
    <t>WU</t>
  </si>
  <si>
    <t>Viet Nam-Canada Social Women's Initiative Fund: Phase II</t>
  </si>
  <si>
    <t>Canadian Embassy, Hanoi</t>
  </si>
  <si>
    <t xml:space="preserve">To strengthen the capacity of the VWU to plan and develop policies and deliver programmes that improve the capacity of the poor and women to participate in economic, social and political processes that heighten gender awareness. </t>
  </si>
  <si>
    <t>Nationwide</t>
  </si>
  <si>
    <t>UNDP</t>
  </si>
  <si>
    <t>To strengthen the capacity to support the National Target Programme for HEPR and the 1,715 Poor Communes Programme</t>
  </si>
  <si>
    <t>National level</t>
  </si>
  <si>
    <t>NETHGOV</t>
  </si>
  <si>
    <t>To strengthen the capacity to  support  the National Target Programme for HEPR and 1,715 Poor Commune Programme</t>
  </si>
  <si>
    <t>Natural resource management</t>
  </si>
  <si>
    <t>Hon Mun Marine Protected Area Pilot Project</t>
  </si>
  <si>
    <t xml:space="preserve">GEF        </t>
  </si>
  <si>
    <t>IUCN</t>
  </si>
  <si>
    <t>RIMP, MOFIS</t>
  </si>
  <si>
    <t>To enable local island communities to improve their livelihoods and in partnership with other stakeholders to effectively protect and manage the marine biodiversity at Hon Mun as a model for collaborative MPA management in Viet Nam.</t>
  </si>
  <si>
    <t>Khanh Hoa</t>
  </si>
  <si>
    <t>Danida</t>
  </si>
  <si>
    <t>Eco-tourism training for National Park and Protected Area Managers and Staff</t>
  </si>
  <si>
    <t>Poverty Alleviation in Upland Areas</t>
  </si>
  <si>
    <t>Sida</t>
  </si>
  <si>
    <t xml:space="preserve">Institution and capacity building. </t>
  </si>
  <si>
    <t>To be decided.</t>
  </si>
  <si>
    <t>EVN</t>
  </si>
  <si>
    <t>Improved energy supply for disadvantaged areas and groups.</t>
  </si>
  <si>
    <t>Creditline for Transformers</t>
  </si>
  <si>
    <t>To strengthen the capacity of the rural power system.</t>
  </si>
  <si>
    <t>GDLA</t>
  </si>
  <si>
    <t>GDLA; PDLA</t>
  </si>
  <si>
    <t>Improved land administration and management</t>
  </si>
  <si>
    <t>Flood Forecasting and Warning System</t>
  </si>
  <si>
    <t>To provide participants with principles and characteristics of eco-tourism, its tools for planing, management and implementation, as well as experiences from around the world. To promote awareness about eco-tourism and cooperation among stakeholders.</t>
  </si>
  <si>
    <t>Enterprise dev't and rural finance</t>
  </si>
  <si>
    <t>Business Development Centre Thai Nguyen</t>
  </si>
  <si>
    <t>SNV</t>
  </si>
  <si>
    <t>PPC</t>
  </si>
  <si>
    <t xml:space="preserve">Develop services for small and medium entreprises. </t>
  </si>
  <si>
    <t xml:space="preserve">Thai Nguyen </t>
  </si>
  <si>
    <t>Training and Management Support to VBARD in Quang Binh</t>
  </si>
  <si>
    <t>VBARD Quang Binh</t>
  </si>
  <si>
    <t>Support for improved banking services</t>
  </si>
  <si>
    <t>ICCO</t>
  </si>
  <si>
    <t>UNIDO</t>
  </si>
  <si>
    <t>WU Da Nang, WU Ha Tinh</t>
  </si>
  <si>
    <t>To create and develop economically and technically viable micro and small scale enterprises owned and managed by trained women entrepreneurs, thereby creating employment and raising income levels for women employees in food industries in rural areas.</t>
  </si>
  <si>
    <t>Agriculture</t>
  </si>
  <si>
    <t xml:space="preserve">MARD, MOF </t>
  </si>
  <si>
    <t>VBARD             MARD</t>
  </si>
  <si>
    <t>Increase farm incomes and enhance the environment by stabilizing long term land use through planting of tea and fruit</t>
  </si>
  <si>
    <t>Thai Nguyen; Phu Tho; Yen Bai; Lam Dong; Tuyen Quang; Ha Giang; Bac Giang; Thanh Hoa; Hoa Binh; Binh Dinh; Khanh Hoa; Tien Giang; Ben Tre</t>
  </si>
  <si>
    <t>ACIAR</t>
  </si>
  <si>
    <t>Cuu Ling Rice Research Inst. NIPP</t>
  </si>
  <si>
    <t>CSIRO</t>
  </si>
  <si>
    <t>To support on-farm production, storage and formulation technologies for helicoverpa biopesticides in Viet Nam.</t>
  </si>
  <si>
    <t>MARD, MOET</t>
  </si>
  <si>
    <t>NIPP, Can Tho University</t>
  </si>
  <si>
    <t>NSW Agriculture</t>
  </si>
  <si>
    <t>To develop fungi into bioherbicides for practical use and establish a blueprint for development of other bioherbicides. To produce an illustrated book on the weeds of North Vietnam</t>
  </si>
  <si>
    <t>MOET, MARD</t>
  </si>
  <si>
    <t xml:space="preserve">MARD, NIPP, Hue Uni., SFRI, IAS, Can Tho Uni. </t>
  </si>
  <si>
    <t>UK Biosciences International</t>
  </si>
  <si>
    <t>To increase plant pathology research skills and plant disease management skills of Vietnamese scientists.</t>
  </si>
  <si>
    <t>MARD, VNU HCMC</t>
  </si>
  <si>
    <t>Postharvest Tech Inst
University of Agriculture &amp; Forestry in HCM City</t>
  </si>
  <si>
    <t>CSIRO
Uni of Sydney</t>
  </si>
  <si>
    <t xml:space="preserve">To sample various commodities produced in Viet Nam to quantify the incidence and severity of contamination by mycotoxins. To develop sampling protocols and field-laboratory immunoassays for total aflatoxins and train Vietnamese researchers in provincial laboratories in their use. </t>
  </si>
  <si>
    <t>VNU HCMC</t>
  </si>
  <si>
    <t>UAF, Ho Chi Minh City</t>
  </si>
  <si>
    <t>Uni of NSW</t>
  </si>
  <si>
    <t xml:space="preserve">To develop a spouted bed-dryer for high moisture grain, mainly paddy and maize.  </t>
  </si>
  <si>
    <t>NISF</t>
  </si>
  <si>
    <t>CSIRO, Tropical Agriculture</t>
  </si>
  <si>
    <t>To be determined.</t>
  </si>
  <si>
    <t>NIVR
NAVETCO</t>
  </si>
  <si>
    <t>Uni of Queensland</t>
  </si>
  <si>
    <t>To define the most common causes of diarrhoea in young pigs in Vietnam (and in young pigs and calves in Australia), with emphasis on those of public health significance. To devise strategies to support disease control and improve the diagnostic capabilities of Vietnamese veterinary pathologists and microbiologists.</t>
  </si>
  <si>
    <t>National Institute of Animal Husbandry</t>
  </si>
  <si>
    <t>Uni of Melbourne</t>
  </si>
  <si>
    <t>To survey field-level extension staff and institutes to determine most commonly-sought information on pig management and obtain advice on CD-ROM presentation formats. To develop a database of available information, references and media, develop a working computer model, and enable this model's effectiveness to be assessed.</t>
  </si>
  <si>
    <t>Southern Fruit Research Inst</t>
  </si>
  <si>
    <t>NT University</t>
  </si>
  <si>
    <t xml:space="preserve">To survey mango pest populations in the presence and absence of green ants, conduct field observations and laboratory experiments on ants' interactions with mango insects, and conduct field experiments with transplanted ant colonies. </t>
  </si>
  <si>
    <t>MOET</t>
  </si>
  <si>
    <t>Can Tho Uni</t>
  </si>
  <si>
    <t>ANU</t>
  </si>
  <si>
    <t>To quantify impact of saline water intrusion floodgates on hydrology, acid production, neutralisation, storage and export of acidity in the lower Mekong Delta. To determine their influence on crop production and aquatic communities; improve floodgate and floodplain management to minimise impacts; and produce policy options for floodgate installation and management.</t>
  </si>
  <si>
    <t>Uni of Agriculture &amp; Forestry, HCM City</t>
  </si>
  <si>
    <t>To develop research capacity and laboratory facilities for the study of soil and crop contamination in Vietnam and devise amelioration strategies to minimise adverse impacts of contaminants in agricultural inputs to soils in peri-urban and intensive agricultural areas.</t>
  </si>
  <si>
    <t>DPP, PHTI</t>
  </si>
  <si>
    <t>DPI Queensalnd</t>
  </si>
  <si>
    <t>Food Security Information System</t>
  </si>
  <si>
    <t>To contribute to reduced food insecurity by strengthening the information system on production and marketing of major staple crops.</t>
  </si>
  <si>
    <t>To provide a basis for formulating national phosphine fumigation standards for control of stored grain insects in China, Vietnam and Australia, and develop strategies to improve adoption of desirable fumigation procedures.</t>
  </si>
  <si>
    <t>NIPP, SFRI</t>
  </si>
  <si>
    <t>Cooperative Research Centre</t>
  </si>
  <si>
    <t xml:space="preserve">To consolidate existing information on fungus, conduct a disease survey in Southeast Asia on practical Phytophthora problems in agriculture and forestry, identify local expertise and assess the facilities available in the collaborating countries. </t>
  </si>
  <si>
    <t>Agriculture Programme</t>
  </si>
  <si>
    <t>To strengthen the capacity of agricultural service providers to respond to market conditions and poor farmer needs. To strengthen the capacity of poor male and female farmers to determine, access and use appropriate technology and methods for farm and natural resource management (NRM). To contribute to development of an enabling environment (policy, organisational, administrative) that assists the program to respond flexibly to issues in agriculture and NRM as they arise.</t>
  </si>
  <si>
    <t>Irrigation Service Ba Thuoc Dist</t>
  </si>
  <si>
    <t>Irrigation Service Huong Tra Dist</t>
  </si>
  <si>
    <t>Rural dev't policy and reform</t>
  </si>
  <si>
    <t>Probably Quang Ngai and Binh Dinh (districts and communes to be identified)</t>
  </si>
  <si>
    <t>Capacity Building
for Agriculture and Rural Development</t>
  </si>
  <si>
    <t>To enhance Viet Nam's capacity for teaching and research in agriculture and rural development through the development of productive partnerships between education, research and training institutions in Vietnam and Australia.</t>
  </si>
  <si>
    <t>CRS</t>
  </si>
  <si>
    <t>Seed and nursery gardens</t>
  </si>
  <si>
    <t>Thanh Hoa (Nhu Thanh, Hau Loc, Thach Thanh)</t>
  </si>
  <si>
    <t xml:space="preserve">To support the agricultural sector with a focus on four components (IPM, improved post-harvest handling, seed and small livestock) in Thai Binh, Thanh Hoa, Nghe An, Ha Tinh, Can Tho and Soc Trang. </t>
  </si>
  <si>
    <t>Thai Binh, Thanh Hoa, Nghe An, Ha Tinh, Can Tho and Soc Trang (other provinces to be included later).</t>
  </si>
  <si>
    <t>Identification of Control Measures and Integrated Rat Management in Viet Nam</t>
  </si>
  <si>
    <t>FAO</t>
  </si>
  <si>
    <t>To undertake surveillance and collect data on rat infestation and related issues concerning the occurrence, damage and control of rats.</t>
  </si>
  <si>
    <t>Enhancing Research and Production Capacity for Edible Mushrooms</t>
  </si>
  <si>
    <t>To improve conservation of imported gene resources and improve breeding techniques for edible mushrooms using imported and national strains. To improve mushroom cultivation techniques and larger-scale processing among farmer households.</t>
  </si>
  <si>
    <t>Promotion of Potato Production</t>
  </si>
  <si>
    <t>To improve potato production by poor farmers in nine selected provinces.</t>
  </si>
  <si>
    <t>Bai Giang, Hung Yen, Lang Son, Nam Dinh, Ha Tay, Hai Duong, Hanoi, Thanh Hoa, Thai Binh</t>
  </si>
  <si>
    <t>Managers for Agricultural Cooperatives</t>
  </si>
  <si>
    <t>To improve capabilities for organization building as well as the management needed for the managers of agricultural cooperatives.</t>
  </si>
  <si>
    <t>Fisheries &amp; acquaculture</t>
  </si>
  <si>
    <t>Uni of Sydney and CSIRO</t>
  </si>
  <si>
    <t>This project aims to provide an economically viable alternative to wild monodon broodstock by enhancing the productive output of domesticated stocks and optimising the economic benefits of shrimp farms using PLs from domesticated broodstock.</t>
  </si>
  <si>
    <t>MFIS</t>
  </si>
  <si>
    <t>Institute of Fisheries Economics and Planning</t>
  </si>
  <si>
    <t>Uni of Sydney</t>
  </si>
  <si>
    <t xml:space="preserve">National level </t>
  </si>
  <si>
    <t>Provincial Fisheries Dept.</t>
  </si>
  <si>
    <t>Environmentally and socially sustainable growth in the fisheries sector in line with the international standards</t>
  </si>
  <si>
    <t>Coastal Aquaculture</t>
  </si>
  <si>
    <t>Environmentally sustainable coastal aquaculture development in the North-Central Coastal region of Vietnam</t>
  </si>
  <si>
    <t>Forestry</t>
  </si>
  <si>
    <t>Technical Support for the Five Million Hectare Reforestation Programme</t>
  </si>
  <si>
    <t>To further build Viet Nam's own technical capacity to implement the National Programme for Reforestation of Five Million Hectares</t>
  </si>
  <si>
    <t>Reforestation in the Coastal areas of 4 Provinces of South Central Viet Nam</t>
  </si>
  <si>
    <t>To establish 11,015 hectares of coastal protection forest in 4 provinces of South Central Viet Nam to reduce damage of shifting sands and winds from the seaside, to improve people's living environment and protect surrounding infrastructures.</t>
  </si>
  <si>
    <t>Quang Nam; Quang Ngai; Phu Yen; Khanh Hoa</t>
  </si>
  <si>
    <t>Forestry Hue</t>
  </si>
  <si>
    <t>MARD Hue</t>
  </si>
  <si>
    <t>Forestry Management Capacity Improved</t>
  </si>
  <si>
    <t>Thua Thien-Hue</t>
  </si>
  <si>
    <t>Ngoc Lac Natural Resources Conservation and Management Project: Phase II</t>
  </si>
  <si>
    <t>NORAD</t>
  </si>
  <si>
    <t>CARE</t>
  </si>
  <si>
    <t>DPC, DEC, WU, Plant Protection Unit</t>
  </si>
  <si>
    <t xml:space="preserve">To provide approx. 30,000 people in 8 communes of Ngoc Lac District with the skills and resources to enable them to significantly improve the quality of their environment and their standard of living. </t>
  </si>
  <si>
    <t>CGOP</t>
  </si>
  <si>
    <t>Can Tho PC</t>
  </si>
  <si>
    <t>BTC-CTB</t>
  </si>
  <si>
    <t>Project Title</t>
  </si>
  <si>
    <t>Project date</t>
  </si>
  <si>
    <t>Grant/
Loan</t>
  </si>
  <si>
    <t>Co-implementing</t>
  </si>
  <si>
    <t>To improve the capacity and skills of the provincial administration and enhance good governance.</t>
  </si>
  <si>
    <t>Can Tho</t>
  </si>
  <si>
    <t>CIDSE</t>
  </si>
  <si>
    <t>135 Programme Coordinators in Thai Nguyen and Bac Kan</t>
  </si>
  <si>
    <t>Provide training to cadre responsible for implementing the 135 Programme</t>
  </si>
  <si>
    <t>Regional and Development Planning in Ha Tinh Province</t>
  </si>
  <si>
    <t>PPC Ha Tinh, DPI</t>
  </si>
  <si>
    <t>Enable DPI to plan regional development structures effectively, including participatory planning procedures.</t>
  </si>
  <si>
    <t>Ha Tinh</t>
  </si>
  <si>
    <t>Rural education</t>
  </si>
  <si>
    <t>Primary education</t>
  </si>
  <si>
    <t>Bilance</t>
  </si>
  <si>
    <t>Improve primary education quality in Nhu Thanh District</t>
  </si>
  <si>
    <t>Thanh Hoa (Nhu Thanh)</t>
  </si>
  <si>
    <t>Primary Education Teacher Training</t>
  </si>
  <si>
    <t xml:space="preserve">DFID </t>
  </si>
  <si>
    <t>To improve the quality of teacher training  in Viet Nam at the primary level</t>
  </si>
  <si>
    <t>Vocational education</t>
  </si>
  <si>
    <t>Results Focus Agricultural Education</t>
  </si>
  <si>
    <t>Uni. College of Frazer Valley</t>
  </si>
  <si>
    <t>Hanoi Agric. Uni.</t>
  </si>
  <si>
    <t>To alleviate rural poverty by improving the standard of nutrition and living through agricultural production and improved land use.</t>
  </si>
  <si>
    <t>Vocational Training in Ha Tinh Province</t>
  </si>
  <si>
    <t>MOE</t>
  </si>
  <si>
    <t xml:space="preserve">To improve technical and teacher training </t>
  </si>
  <si>
    <t>Rural health</t>
  </si>
  <si>
    <t>Food security and nutrition</t>
  </si>
  <si>
    <t>Food Security in Ky Son District</t>
  </si>
  <si>
    <t xml:space="preserve">DPC Ky Son </t>
  </si>
  <si>
    <t>ARD - Ky Son</t>
  </si>
  <si>
    <t xml:space="preserve">CCF </t>
  </si>
  <si>
    <t xml:space="preserve">DPC Bach Thong </t>
  </si>
  <si>
    <t>Bach Thong ARD</t>
  </si>
  <si>
    <t xml:space="preserve">To be finalised. </t>
  </si>
  <si>
    <t>Hospitals and clinics</t>
  </si>
  <si>
    <t>Clinic and Health Services in Hop Thanh and Dan Ha Communes</t>
  </si>
  <si>
    <t>CCF</t>
  </si>
  <si>
    <t xml:space="preserve">DPC Ky Son, DPC Bach Thong </t>
  </si>
  <si>
    <t>DHC Ky Son</t>
  </si>
  <si>
    <t>Primary and community health</t>
  </si>
  <si>
    <t>MOH</t>
  </si>
  <si>
    <t>Promote equitable access to primary health care services, especially those used by women and children. Develop an efficient health financing system. Improve management capacity and community participation</t>
  </si>
  <si>
    <t>DPC Ky Son and Bach Thong</t>
  </si>
  <si>
    <t>DHC Ky Son and Bach Thong</t>
  </si>
  <si>
    <t>Under preparation</t>
  </si>
  <si>
    <t>DHS Cho Moi</t>
  </si>
  <si>
    <t>Train and re-train health workers in primary health care</t>
  </si>
  <si>
    <t>Support to Child and Maternal Health Care Development in Nghe An Province: Phase II (3 years)</t>
  </si>
  <si>
    <t>Finnida</t>
  </si>
  <si>
    <t xml:space="preserve">PPC Nghe An </t>
  </si>
  <si>
    <t xml:space="preserve">NgheAn Children Hospital </t>
  </si>
  <si>
    <t>HEDEC of Finland</t>
  </si>
  <si>
    <t>To enhance the quality and sustainability of child and maternal health care in Nghe An Province.</t>
  </si>
  <si>
    <t xml:space="preserve">Nghe An </t>
  </si>
  <si>
    <t>To increase the sustainable access by poor Vietnamese families to hospital care, appropriate to their needs, through a restructured system of provision and financing of health services that is characterized by increased equity, quality and cost-effectiveness</t>
  </si>
  <si>
    <t>3 provinces (recommended) Ha Giang, Dak Lak and Ben Tre</t>
  </si>
  <si>
    <t>Rural infrastructure</t>
  </si>
  <si>
    <t>Access</t>
  </si>
  <si>
    <t xml:space="preserve">Promote economic activities and facilitate trade between and among Lao PDR, Thailand and Viet Nam.  Support rural development and increase earnings of rural communities in project area. </t>
  </si>
  <si>
    <t>Quang Tri</t>
  </si>
  <si>
    <t>MOTAC</t>
  </si>
  <si>
    <t>Contribute to poverty alleviation in the provinces by improving access to markets and economic opportunity through improved provincial roads.</t>
  </si>
  <si>
    <t xml:space="preserve">Hanoi; Hai Phong; Hai Duong; Hung Yen; Thai Binh; Ha Tay; Nam Dinh; Ha Nam; Ninh Binh; Thanh Hoa; Nghe An; Ha Tinh; Quang Binh; Ha Giang; Tuyen Quang; Lai Chau; Son La; Lao Cai; Yen Bai; Bac Kan; Thai Nguyen; Phu Tho; Vinh Phuc; Quang Ninh; Hoa Binh; Cao Bang; Bac Giang; Bac Ninh; Lang Son </t>
  </si>
  <si>
    <t>(1) improve access of rural communities to markets; off-farm activities and services; (2) develop capacity to improve and sustain rural transport network; (3) encourage small-scale private contractors</t>
  </si>
  <si>
    <t>Quang Tri; Quang Nam; Ha Tinh; Quang Binh</t>
  </si>
  <si>
    <t xml:space="preserve">To: (i) to improve access of the rural communities to markets, off-farm economic opportunities, and social services; and (ii) develop the central and local capacity to improve and sustain the level of service of the rural transport network.  </t>
  </si>
  <si>
    <t>35 proposed  provinces: Tuyen Quang; Quang Ninh; Hai Duong; Hung Yen; Thai Binh; Ha Tay; Nam Dinh; Ha Nam; Ninh Binh; Quang Binh; Thua-Thien Hue; Lam Dong; Tay Ninh; Dong Nai; Baria-Vung Tau; Binh Duong; Long An; Tien Giang; Dong Thap; Vinh Long; An Giang; Can Tho; Kien Giang; Bac Ninh; Khanh Hoa; Gia Lai; Lai Chau; Binh Thuan; Ca Mau; TP Da Nang; Ninh Thuan; Binh Phuoc; Bac Lieu; Vinh Phuc; Thanh Hoa</t>
  </si>
  <si>
    <t>Energy</t>
  </si>
  <si>
    <t>Phu Quoc Diesel Power Plant</t>
  </si>
  <si>
    <t>PPC Kien Giang</t>
  </si>
  <si>
    <t>DPC Phu Quoc; Wartsila Diesel</t>
  </si>
  <si>
    <t>Improved energy supply for Phu Quoc Island</t>
  </si>
  <si>
    <t>Kien Giang (Phu Quoc Island)</t>
  </si>
  <si>
    <t xml:space="preserve">Rural Energy </t>
  </si>
  <si>
    <t>ENV</t>
  </si>
  <si>
    <t>EVN, PC-1, PC-2, PC-3</t>
  </si>
  <si>
    <t>Area development Total</t>
  </si>
  <si>
    <t>Capacity development Total</t>
  </si>
  <si>
    <t>Natural resource management Total</t>
  </si>
  <si>
    <t>Agriculture Total</t>
  </si>
  <si>
    <t>Forestry Total</t>
  </si>
  <si>
    <t>Primary education Total</t>
  </si>
  <si>
    <t>Vocational education Total</t>
  </si>
  <si>
    <t>Food security and nutrition Total</t>
  </si>
  <si>
    <t>Hospitals and clinics Total</t>
  </si>
  <si>
    <t>Primary and community health Total</t>
  </si>
  <si>
    <t>Access Total</t>
  </si>
  <si>
    <t>Energy Total</t>
  </si>
  <si>
    <t>Integrated Infrastructure Total</t>
  </si>
  <si>
    <t>Water supply &amp; sanitation Total</t>
  </si>
  <si>
    <t>To: i) expand rural access to electricity in about 690 communes located in 32 provinces of Vietnam through grid extension; ii) establish institutional mechanisms for rural electrification within EVN, the distribution companies and the provinces/communes that facilitate the long term viability of the power sector reforms in accordance with the 1995 Policy letter and strategy; and iii) promote the application of renewable energy sources in areas inaccessible to the national grid and to supplement grid power supply through implementation of some demonstration projects. The project is expected to provide energy to about 500,000 households in Vietnam and includes some of the poorest communes identified in the Government's special commune program.</t>
  </si>
  <si>
    <t>32 provinces proposed</t>
  </si>
  <si>
    <t>Integrated Infrastructure</t>
  </si>
  <si>
    <t>Quang Ngai Rural Infrastructure and Services Project</t>
  </si>
  <si>
    <t>MPI</t>
  </si>
  <si>
    <t>PDPI</t>
  </si>
  <si>
    <t>To construct and rehabilitate rural roads, electricity, water supply, irrigation and promote afforestation.</t>
  </si>
  <si>
    <t>Nationwide (61 provinces)</t>
  </si>
  <si>
    <t>To: (i) provide a range of small-scale infrastructure in poor communes in selected provinces in three regions (the North and Central Coast and Central Highland); (ii) strengthen local capacities for decentralized and participatory planning and management of development activities in these regions; and (iii) increase off-farm employment opportunities.</t>
  </si>
  <si>
    <t>Not yet decided. Up to 10 provinces in Central Vietnam. Possibly to include provinces in Mekong Delta.</t>
  </si>
  <si>
    <t>Water supply &amp; sanitation</t>
  </si>
  <si>
    <t>Hop Thanh Water Supply</t>
  </si>
  <si>
    <t>Ky Son Centre Water &amp; Sanitation</t>
  </si>
  <si>
    <t>Germany - BMZ</t>
  </si>
  <si>
    <t>1) Provide a sustainable and comprehensive gravity fed piped water supply system for the community that alleviates the suffering caused by water borne diseases and the arduous nature of long distance water collection.2) Raise the capacity of the community to manage and monitor the effective operation and maintenance of a commune-wide piped water supply system.3) Increase the awareness of community members to the proper handling of domestic water storage and usage, leading to a practical and positive change in personal hygiene behaviour.</t>
  </si>
  <si>
    <t>Mekong Delta Rural Water and Sanitation</t>
  </si>
  <si>
    <t>To facilitate the social and economic development of the rural population in the Mekong Delta; to improve health, reduce poverty and improve overall living standards.</t>
  </si>
  <si>
    <t>Water Resources 
Management Assistance Program</t>
  </si>
  <si>
    <t>To assist the Government in water resources management at both national and basin level. The project has three components: i) capacity building support for national coordination in water resources management; ii) national framework for integrated water resources information; iii) improvement of water resources management in the Mekong Delta.</t>
  </si>
  <si>
    <t>Poverty Elimination in Viet Nam (Main Phase) (VIE/97/017)</t>
  </si>
  <si>
    <t>To reinforce administrative and pedagogical ability of management personnel specifically VWU representative at provincial and district levels, especially targeting those in charge of rural areas.</t>
  </si>
  <si>
    <t>To develop rubber plantations covering 26 000 hectares in Kon Tum, Gia Lai and Dak Lak Provinces</t>
  </si>
  <si>
    <t>To investigate and identify an appropriate system of user rights in a multiple resource, multiple use environment that will enable maximum flexibility in resource use and complement or enhance traditional management systems. To identify an appropriate fisheries co-management system, including the use of licenses, use rights and institutional arrangements, that is integrated or co-ordinated with wider planning and management structures. To build capacity within IFEP and other collaborating agencies in establishing a process of research and development leading to the implementation of a locally appropriate system of user rights and a fisheries co-management system in Vietnam.</t>
  </si>
  <si>
    <t>1) To see improved farming techniques being practiced by women and men in 3 communes; 2) To raise the capacity of women and men in each community to practice, manage and monitor the effective implementation of an inter-commune-wide improved intensive farming system; 3) To rehabilitate the local environment and restore and expand local irrigation systems.</t>
  </si>
  <si>
    <t>To increase the capacity of the community to operate and manage activities through the formation of a Board of Clinic Management, to provide remote communities with satisfactory health services and equip clinics with necessary equipment.</t>
  </si>
  <si>
    <t>To strengthen water resource management in the Mekong Basin.</t>
  </si>
  <si>
    <t>Components (i) and (ii) are at the national level; (iii) involves the Mekong Delta.</t>
  </si>
  <si>
    <t xml:space="preserve">Repair, construct irrigation systems and train farmers in participatory management </t>
  </si>
  <si>
    <t>Support to Irrigation in Ba Thuoc</t>
  </si>
  <si>
    <t>Ca Mau Water Distribution System</t>
  </si>
  <si>
    <t>Italy</t>
  </si>
  <si>
    <t xml:space="preserve">WSC - Ca Mau </t>
  </si>
  <si>
    <t>To supply drinkable water to the growing population</t>
  </si>
  <si>
    <t>Ca Mau</t>
  </si>
  <si>
    <t>Quang Ngai Water Distribution System</t>
  </si>
  <si>
    <t xml:space="preserve">WSC - Quang Ngai </t>
  </si>
  <si>
    <t>Quang Ngai</t>
  </si>
  <si>
    <t>HMS</t>
  </si>
  <si>
    <t>To improve the reliability of the meteorological data acquisition system to obtain faster and more accurate weather forecast for flood control</t>
  </si>
  <si>
    <t>Mekong Basin Water Resources Management</t>
  </si>
  <si>
    <t>Mekong Basin</t>
  </si>
  <si>
    <t xml:space="preserve">Lagoon Hue </t>
  </si>
  <si>
    <t>MOSTE Hue</t>
  </si>
  <si>
    <t>Lagoon Management Capacity Strengthened</t>
  </si>
  <si>
    <t>Serial Number</t>
  </si>
  <si>
    <t>Title 1</t>
  </si>
  <si>
    <t>Title 2</t>
  </si>
  <si>
    <t>Donor</t>
  </si>
  <si>
    <t>Commitment (US$'000)</t>
  </si>
  <si>
    <t>Executing Agency (EA)</t>
  </si>
  <si>
    <t>Implementing Agency (IA)</t>
  </si>
  <si>
    <t>Project Objectives</t>
  </si>
  <si>
    <t>Geographic Coverage</t>
  </si>
  <si>
    <t>Hanoi</t>
  </si>
  <si>
    <t>Bac Lien Water Supply, Sanitation and Solid Waste Management</t>
  </si>
  <si>
    <t>To improve the water supply, sewerage, drainage and solid waste collection and disposal system of Bac Lieu Town and surrounding areas.</t>
  </si>
  <si>
    <t>MOC, PPC</t>
  </si>
  <si>
    <t>Japan (JBIC)</t>
  </si>
  <si>
    <t xml:space="preserve">Rural Health </t>
  </si>
  <si>
    <t>Provincial Roads Improvement B159</t>
  </si>
  <si>
    <t>Red River Basin Water Resource Management</t>
  </si>
  <si>
    <t>Develop integrated water management for the Red River Basin.</t>
  </si>
  <si>
    <t>Day River Water Resource Development and Flood Diversion Project</t>
  </si>
  <si>
    <t>Water resource development and flood diversion.</t>
  </si>
  <si>
    <t>Public Administration Reform Programme</t>
  </si>
  <si>
    <t xml:space="preserve">To support improved division of responsibilities between MARD and PPCs. Provide skills training for staff of MARD and provide improves instruments to manage the ongoing administration review within MARD. </t>
  </si>
  <si>
    <t>2001-03</t>
  </si>
  <si>
    <t>MPI; PPCs</t>
  </si>
  <si>
    <t>Land Administration Reform: Phase 2</t>
  </si>
  <si>
    <t>2002-05</t>
  </si>
  <si>
    <t>Agriculture, Forestry &amp; Fisheries</t>
  </si>
  <si>
    <t>*  Northern Mountains Poverty Reduction</t>
  </si>
  <si>
    <t>*  Training Programme for Women Entrepreneurs in the Food Processing Industry (VIE/98/005)</t>
  </si>
  <si>
    <t>*  Tea and Fruit Development ( )</t>
  </si>
  <si>
    <t>*  Training for Commune Level Cadre, Thai Nguyen and Bac Kan</t>
  </si>
  <si>
    <t>*  Food Security in Bach Thong District</t>
  </si>
  <si>
    <t>*  Integrated Management of Maternal and Child Health in two Districts</t>
  </si>
  <si>
    <t>*  Training of Health Workers in Cho Moi District, Bac Kan Province (V0711)</t>
  </si>
  <si>
    <t>*  Health Care for the Poor</t>
  </si>
  <si>
    <t>*  Rural Transport II</t>
  </si>
  <si>
    <t xml:space="preserve">*  Rural Energy </t>
  </si>
  <si>
    <t>*  Community Based Rural Infrastructure</t>
  </si>
  <si>
    <t>Bac Lieu</t>
  </si>
  <si>
    <t xml:space="preserve">Quang Binh </t>
  </si>
  <si>
    <t xml:space="preserve">Thanh Hoa; Nghe An; Thua Thien-Hue </t>
  </si>
  <si>
    <t>Hoa Binh (Ky Son District: Hop Thanh, Dan Ha, Tan Phong communes)</t>
  </si>
  <si>
    <t>Hoa Binh (Ky Son District: Hop Thanh, Dan Ha communes)</t>
  </si>
  <si>
    <t>Hoa Binh (Ky Son District: Hop Thanh commune)</t>
  </si>
  <si>
    <t>Thanh Hoa (Ba Thuoc District: Lam Xa, Ai Thuong, Dien Lu, Dien Quang, Thiet Ong Communes)</t>
  </si>
  <si>
    <t>National level - Northern and Central Provinces</t>
  </si>
  <si>
    <t xml:space="preserve">To involve communes and districts in Vinh Long, Ben Tre, Long An, An Giang and Bac Lieu </t>
  </si>
  <si>
    <t>Nghe An; Ha Tinh; Quang Tri; Thua Thien-Hue; Kon Tum; Quang Nam; Gia Lai</t>
  </si>
  <si>
    <t>Nghe An; Ha Tinh; Bac Kan; Khanh Hoa; Quang Ninh; Other provinces to identified during implementation</t>
  </si>
  <si>
    <t>Hanoi City; Ninh Binh; Nghe An; Quang Binh; Quang Nam; Tuyen Quang; Son La; Hai Duong; Thai Binh; Thanh Hoa; Ha Tinh; Quang Tri; Da Nang City; Quang Ngai; Cao Bang; Yen Bai</t>
  </si>
  <si>
    <t>Hoa Binh; Phu Tho; Vinh Phuc; Quang Ninh; Ninh Binh; Quang Binh; Quang Ngai; Khanh Hoa; Binh Phuoc; Long An; Tien Giang; Ben Tre; Can Tho</t>
  </si>
  <si>
    <t>Not available</t>
  </si>
  <si>
    <t>BIlance</t>
  </si>
  <si>
    <t>Non-Agricultural Productive Activities in Quang Binh - Second Phase</t>
  </si>
  <si>
    <t>Non-agricultural productive activities in Quang Binh</t>
  </si>
  <si>
    <t>Count</t>
  </si>
  <si>
    <t>Development of Rubber with 8 Rubber Companies</t>
  </si>
  <si>
    <t>France  - AFD</t>
  </si>
  <si>
    <t>Kon Tum; Gai Lai; Dak Lak</t>
  </si>
  <si>
    <t>General Rubber Co.</t>
  </si>
  <si>
    <t>2001-TBA</t>
  </si>
  <si>
    <t>2000-TBA</t>
  </si>
  <si>
    <t>1999-TBA</t>
  </si>
  <si>
    <t>TBA</t>
  </si>
  <si>
    <t>Loan</t>
  </si>
  <si>
    <t>Grant</t>
  </si>
  <si>
    <t>2000-03</t>
  </si>
  <si>
    <t>2000-05</t>
  </si>
  <si>
    <t>2000-04</t>
  </si>
  <si>
    <t>2001-06</t>
  </si>
  <si>
    <t>1999-04</t>
  </si>
  <si>
    <t>2000-06</t>
  </si>
  <si>
    <t>Grand Total</t>
  </si>
  <si>
    <t>Enterprise dev't and rural finance Total</t>
  </si>
  <si>
    <t>Japan (JICA)</t>
  </si>
  <si>
    <t>Integrated Rural Development Project in Quy Chau District of Nghe An Province (BADC/ BIL/18)</t>
  </si>
  <si>
    <t>Son La/Lai Chau Rural Development Project (ALA/97/18)</t>
  </si>
  <si>
    <t>On-farm Production, Storage and Formulation Technologies for Helicoverpa Biopesticides in Vietnam (CS2/1999/008)</t>
  </si>
  <si>
    <t>Bioherbicide Development for Cereals in Integrated Weed Management (MSA)  (CS2/1998/018)</t>
  </si>
  <si>
    <t>Development of Integrated Disease Management Technologies in Support of Crop Diversification in Vietnam: Phase I (CS2/1999/007)</t>
  </si>
  <si>
    <t>Monitoring Mycotoxin &amp; Pesticides in Grain and Food Production Systems for Risk Management in Vietnam (PHT/1996/004)</t>
  </si>
  <si>
    <t>Development of a Spouted Bed Dryer for Paddy  (PHT/1997/065)</t>
  </si>
  <si>
    <t>Integrated Nutrient Management in Tropical Cropping Systems: Phase 4 (LWR2/1999/003 -)</t>
  </si>
  <si>
    <t>Diagnosis and Control of Enteric Disease of Young Animals: Phase 1 (AS2/1998/071: )</t>
  </si>
  <si>
    <t>CD-ROM Development: Efficient Pig Management in Tropical Asia  (AS2/1998/090: )</t>
  </si>
  <si>
    <t>Integrated Control of Mango Insect Pests using Oecophylla Smaragdina as a Key Element: Phase 1 (CS2/1997/079: )</t>
  </si>
  <si>
    <t>Impacts &amp; Management of Saline Water Intrusion Floodgates in Coastal Areas with Acid Sulfate Soils: Phase 1 (LWR1/1996/204: )</t>
  </si>
  <si>
    <t>Sustainability of Fertilisation and Waste Recycling in Peri-urban and Intensive Agriculture in South East Asia: Phase 1 (LWR1/1998/119: )</t>
  </si>
  <si>
    <t>Enhancing the Efficiency of Phosphine Fumigated: Phase 1 (PHT/1998/137: )</t>
  </si>
  <si>
    <t>Survey of the Presence and Importance of Phytophthora in Southeast Asia  (PHT/1996/193: )</t>
  </si>
  <si>
    <t>Agricultural Seeds in Thanh Hoa Province (896-99-004)</t>
  </si>
  <si>
    <t>Danish Support to the Agricultural Sector (104.Vie.38)</t>
  </si>
  <si>
    <t>MARD, DPC</t>
  </si>
  <si>
    <t>Subject to individual proposals submitted by education and research institutes.</t>
  </si>
  <si>
    <t>To build and maintain rural infrastructure, and build capacity in relevant provincial agencies.</t>
  </si>
  <si>
    <t xml:space="preserve">Quang Ngai </t>
  </si>
  <si>
    <t>Improving the Technical and Economic Efficiency of Domesticated Monodon Shrimp Hatchery Production and Sustainable Shrimp Production in Viet Nam : Phase I (ADP/1998/065)</t>
  </si>
  <si>
    <t>Inshore Fisheries Management in Vietnam: Tenure, Livelihood and Management Alternatives in Ha Long Bay: Phase 1 (ADP/1998/116)</t>
  </si>
  <si>
    <t>Danish Support to the Fisheries Sector (Fisheries SPS) (104.Vie.41)</t>
  </si>
  <si>
    <t>Reinforcing the Institutional Capacity of the Vietnamese Civil Service in Can Tho Province (BADC/ BIL/19  )</t>
  </si>
  <si>
    <t>Education Improvement in Nhu Thanh District, Thanh Hoa Province (896-99-003)</t>
  </si>
  <si>
    <t>GMS:  East-West Economic Corridor ( )</t>
  </si>
  <si>
    <t>Rural Infrastructure Development and Living Standard Improvement Phase III (VN VI-8)</t>
  </si>
  <si>
    <t>Support to Irrigation in Huong Tra (V0190)</t>
  </si>
  <si>
    <r>
      <t>Nghe An (</t>
    </r>
    <r>
      <rPr>
        <i/>
        <sz val="7"/>
        <rFont val="Arial"/>
        <family val="2"/>
      </rPr>
      <t>Que Chau District</t>
    </r>
    <r>
      <rPr>
        <sz val="7"/>
        <rFont val="Arial"/>
        <family val="2"/>
      </rPr>
      <t>)</t>
    </r>
  </si>
  <si>
    <r>
      <t>Ha Tinh, Quang Binh, Quang Tri, Hue, Da Nang, Quang Nam (</t>
    </r>
    <r>
      <rPr>
        <b/>
        <i/>
        <sz val="7"/>
        <rFont val="Arial"/>
        <family val="2"/>
      </rPr>
      <t>Hien</t>
    </r>
    <r>
      <rPr>
        <i/>
        <sz val="7"/>
        <rFont val="Arial"/>
        <family val="2"/>
      </rPr>
      <t xml:space="preserve">, Dai Loc, Dien Ban, Duy Xuyen, </t>
    </r>
    <r>
      <rPr>
        <b/>
        <i/>
        <sz val="7"/>
        <rFont val="Arial"/>
        <family val="2"/>
      </rPr>
      <t>Giang</t>
    </r>
    <r>
      <rPr>
        <i/>
        <sz val="7"/>
        <rFont val="Arial"/>
        <family val="2"/>
      </rPr>
      <t xml:space="preserve">, Thanh Binh, Que Son, Hiep Duc, Tien Phuoc, </t>
    </r>
    <r>
      <rPr>
        <b/>
        <i/>
        <sz val="7"/>
        <rFont val="Arial"/>
        <family val="2"/>
      </rPr>
      <t>Phuoc Son</t>
    </r>
    <r>
      <rPr>
        <i/>
        <sz val="7"/>
        <rFont val="Arial"/>
        <family val="2"/>
      </rPr>
      <t>, Nui Thanh, Tra My Districts</t>
    </r>
    <r>
      <rPr>
        <sz val="7"/>
        <rFont val="Arial"/>
        <family val="2"/>
      </rPr>
      <t xml:space="preserve">) </t>
    </r>
  </si>
  <si>
    <r>
      <t>Thanh Hoa (</t>
    </r>
    <r>
      <rPr>
        <i/>
        <sz val="7"/>
        <rFont val="Arial"/>
        <family val="2"/>
      </rPr>
      <t>Ngoc Lac District</t>
    </r>
    <r>
      <rPr>
        <sz val="7"/>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</si>
</sst>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0" formatCode="_(&quot;$&quot;* #,##0.00_);_(&quot;$&quot;* \(#,##0.00\);_(&quot;$&quot;* &quot;-&quot;??_);_(@_)"/>
  </numFmts>
  <fonts count="16" x14ac:knownFonts="1">
    <font>
      <sz val="10"/>
      <name val="Arial"/>
    </font>
    <font>
      <sz val="10"/>
      <name val="Arial"/>
    </font>
    <font>
      <sz val="10"/>
      <color indexed="8"/>
      <name val="MS Sans Serif"/>
    </font>
    <font>
      <sz val="8"/>
      <name val="Arial"/>
      <family val="2"/>
    </font>
    <font>
      <b/>
      <sz val="8"/>
      <name val="Arial"/>
      <family val="2"/>
    </font>
    <font>
      <sz val="7"/>
      <name val="Arial"/>
      <family val="2"/>
    </font>
    <font>
      <sz val="7"/>
      <color indexed="8"/>
      <name val="Arial"/>
      <family val="2"/>
    </font>
    <font>
      <i/>
      <sz val="7"/>
      <name val="Arial"/>
      <family val="2"/>
    </font>
    <font>
      <sz val="7"/>
      <name val="Arial"/>
      <family val="2"/>
    </font>
    <font>
      <b/>
      <i/>
      <sz val="7"/>
      <name val="Arial"/>
      <family val="2"/>
    </font>
    <font>
      <sz val="7"/>
      <color indexed="8"/>
      <name val="Times New Roman"/>
      <family val="1"/>
    </font>
    <font>
      <b/>
      <sz val="7"/>
      <name val="Arial"/>
      <family val="2"/>
    </font>
    <font>
      <b/>
      <sz val="12"/>
      <name val="Arial"/>
      <family val="2"/>
    </font>
    <font>
      <i/>
      <sz val="11"/>
      <name val="Arial"/>
      <family val="2"/>
    </font>
    <font>
      <sz val="7"/>
      <color indexed="9"/>
      <name val="Arial"/>
      <family val="2"/>
    </font>
    <font>
      <b/>
      <sz val="7"/>
      <color indexed="9"/>
      <name val="Arial"/>
      <family val="2"/>
    </font>
  </fonts>
  <fills count="2">
    <fill>
      <patternFill patternType="none"/>
    </fill>
    <fill>
      <patternFill patternType="gray125"/>
    </fill>
  </fills>
  <borders count="10">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right/>
      <top style="hair">
        <color indexed="64"/>
      </top>
      <bottom style="hair">
        <color indexed="64"/>
      </bottom>
      <diagonal/>
    </border>
    <border>
      <left style="hair">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s>
  <cellStyleXfs count="3">
    <xf numFmtId="0" fontId="0" fillId="0" borderId="0"/>
    <xf numFmtId="170" fontId="1" fillId="0" borderId="0" applyFont="0" applyFill="0" applyBorder="0" applyAlignment="0" applyProtection="0"/>
    <xf numFmtId="0" fontId="2" fillId="0" borderId="0"/>
  </cellStyleXfs>
  <cellXfs count="87">
    <xf numFmtId="0" fontId="0" fillId="0" borderId="0" xfId="0"/>
    <xf numFmtId="0" fontId="3" fillId="0" borderId="0" xfId="0" applyFont="1"/>
    <xf numFmtId="0" fontId="0" fillId="0" borderId="0" xfId="0" applyAlignment="1">
      <alignment horizontal="right"/>
    </xf>
    <xf numFmtId="0" fontId="0" fillId="0" borderId="0" xfId="0" applyAlignment="1">
      <alignment horizontal="left"/>
    </xf>
    <xf numFmtId="0" fontId="5" fillId="0" borderId="0" xfId="0" applyFont="1"/>
    <xf numFmtId="0" fontId="5" fillId="0" borderId="1" xfId="0" applyFont="1" applyFill="1" applyBorder="1" applyAlignment="1">
      <alignment horizontal="left" vertical="top" wrapText="1"/>
    </xf>
    <xf numFmtId="0" fontId="5" fillId="0" borderId="1" xfId="0" applyFont="1" applyFill="1" applyBorder="1" applyAlignment="1">
      <alignment vertical="top" wrapText="1"/>
    </xf>
    <xf numFmtId="1" fontId="5" fillId="0" borderId="0" xfId="0" applyNumberFormat="1" applyFont="1" applyAlignment="1">
      <alignment horizontal="center" vertical="top" wrapText="1"/>
    </xf>
    <xf numFmtId="3" fontId="5" fillId="0" borderId="2" xfId="0" applyNumberFormat="1" applyFont="1" applyFill="1" applyBorder="1" applyAlignment="1">
      <alignment horizontal="left" vertical="top" wrapText="1"/>
    </xf>
    <xf numFmtId="3" fontId="5" fillId="0" borderId="1" xfId="0" applyNumberFormat="1" applyFont="1" applyFill="1" applyBorder="1" applyAlignment="1">
      <alignment vertical="top" wrapText="1"/>
    </xf>
    <xf numFmtId="0" fontId="6" fillId="0" borderId="1" xfId="0" applyFont="1" applyFill="1" applyBorder="1" applyAlignment="1">
      <alignment vertical="top" wrapText="1"/>
    </xf>
    <xf numFmtId="3" fontId="5" fillId="0" borderId="1" xfId="0" applyNumberFormat="1" applyFont="1" applyFill="1" applyBorder="1" applyAlignment="1">
      <alignment horizontal="right" vertical="top" wrapText="1"/>
    </xf>
    <xf numFmtId="0" fontId="8" fillId="0" borderId="0" xfId="0" applyFont="1"/>
    <xf numFmtId="0" fontId="5" fillId="0" borderId="0" xfId="0" applyFont="1" applyAlignment="1">
      <alignment vertical="top"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5" fillId="0" borderId="3" xfId="0" applyFont="1" applyFill="1" applyBorder="1" applyAlignment="1">
      <alignment horizontal="left" vertical="top" wrapText="1"/>
    </xf>
    <xf numFmtId="0" fontId="5" fillId="0" borderId="3" xfId="0" applyFont="1" applyFill="1" applyBorder="1" applyAlignment="1">
      <alignment vertical="top" wrapText="1"/>
    </xf>
    <xf numFmtId="3" fontId="5" fillId="0" borderId="3" xfId="0" applyNumberFormat="1" applyFont="1" applyFill="1" applyBorder="1" applyAlignment="1">
      <alignment horizontal="right" vertical="top" wrapText="1"/>
    </xf>
    <xf numFmtId="3" fontId="5" fillId="0" borderId="2" xfId="0" applyNumberFormat="1" applyFont="1" applyFill="1" applyBorder="1" applyAlignment="1">
      <alignment vertical="top" wrapText="1"/>
    </xf>
    <xf numFmtId="3" fontId="5" fillId="0" borderId="1" xfId="0" applyNumberFormat="1" applyFont="1" applyBorder="1" applyAlignment="1">
      <alignment horizontal="right" vertical="top" wrapText="1"/>
    </xf>
    <xf numFmtId="3" fontId="5" fillId="0" borderId="1" xfId="0" applyNumberFormat="1" applyFont="1" applyBorder="1" applyAlignment="1">
      <alignment vertical="top" wrapText="1"/>
    </xf>
    <xf numFmtId="0" fontId="5" fillId="0" borderId="2" xfId="0" applyFont="1" applyBorder="1" applyAlignment="1">
      <alignment vertical="top" wrapText="1"/>
    </xf>
    <xf numFmtId="3" fontId="5" fillId="0" borderId="4" xfId="0" applyNumberFormat="1" applyFont="1" applyFill="1" applyBorder="1" applyAlignment="1">
      <alignment vertical="top" wrapText="1"/>
    </xf>
    <xf numFmtId="3" fontId="5" fillId="0" borderId="1" xfId="0" applyNumberFormat="1" applyFont="1" applyFill="1" applyBorder="1" applyAlignment="1">
      <alignment horizontal="left" vertical="top" wrapText="1"/>
    </xf>
    <xf numFmtId="3" fontId="10" fillId="0" borderId="1" xfId="1" applyNumberFormat="1" applyFont="1" applyFill="1" applyBorder="1" applyAlignment="1">
      <alignment vertical="top" wrapText="1"/>
    </xf>
    <xf numFmtId="3" fontId="6" fillId="0" borderId="1" xfId="2" applyNumberFormat="1" applyFont="1" applyFill="1" applyBorder="1" applyAlignment="1">
      <alignment vertical="top" wrapText="1"/>
    </xf>
    <xf numFmtId="0" fontId="8" fillId="0" borderId="1" xfId="0" applyFont="1" applyBorder="1" applyAlignment="1">
      <alignment horizontal="left" vertical="top" wrapText="1"/>
    </xf>
    <xf numFmtId="0" fontId="6" fillId="0" borderId="1" xfId="0" applyFont="1" applyFill="1" applyBorder="1" applyAlignment="1">
      <alignment horizontal="left" vertical="top" wrapText="1"/>
    </xf>
    <xf numFmtId="3" fontId="6" fillId="0" borderId="1" xfId="0" applyNumberFormat="1" applyFont="1" applyFill="1" applyBorder="1" applyAlignment="1">
      <alignment horizontal="right" vertical="top" wrapText="1"/>
    </xf>
    <xf numFmtId="3" fontId="6" fillId="0" borderId="1" xfId="0" applyNumberFormat="1" applyFont="1" applyFill="1" applyBorder="1" applyAlignment="1">
      <alignment vertical="top" wrapText="1"/>
    </xf>
    <xf numFmtId="0" fontId="8" fillId="0" borderId="0" xfId="0" applyFont="1" applyAlignment="1">
      <alignment horizontal="right"/>
    </xf>
    <xf numFmtId="0" fontId="8" fillId="0" borderId="0" xfId="0" applyFont="1" applyAlignment="1">
      <alignment horizontal="left"/>
    </xf>
    <xf numFmtId="0" fontId="11" fillId="0" borderId="0" xfId="0" applyNumberFormat="1" applyFont="1" applyBorder="1" applyAlignment="1">
      <alignment vertical="top" wrapText="1"/>
    </xf>
    <xf numFmtId="0" fontId="11" fillId="0" borderId="0" xfId="0" applyFont="1" applyBorder="1" applyAlignment="1">
      <alignment vertical="top" wrapText="1"/>
    </xf>
    <xf numFmtId="3" fontId="11" fillId="0" borderId="4" xfId="0" applyNumberFormat="1" applyFont="1" applyFill="1" applyBorder="1" applyAlignment="1">
      <alignment vertical="top" wrapText="1"/>
    </xf>
    <xf numFmtId="3" fontId="11" fillId="0" borderId="1" xfId="0" applyNumberFormat="1" applyFont="1" applyFill="1" applyBorder="1" applyAlignment="1">
      <alignment vertical="top" wrapText="1"/>
    </xf>
    <xf numFmtId="0" fontId="11" fillId="0" borderId="1" xfId="0" applyFont="1" applyBorder="1" applyAlignment="1">
      <alignment vertical="top" wrapText="1"/>
    </xf>
    <xf numFmtId="0" fontId="5" fillId="0" borderId="2" xfId="0" applyFont="1" applyFill="1" applyBorder="1" applyAlignment="1">
      <alignment vertical="top" wrapText="1"/>
    </xf>
    <xf numFmtId="3" fontId="11" fillId="0" borderId="0" xfId="0" applyNumberFormat="1" applyFont="1" applyFill="1" applyBorder="1" applyAlignment="1">
      <alignment vertical="top" wrapText="1"/>
    </xf>
    <xf numFmtId="3" fontId="11" fillId="0" borderId="2" xfId="0" applyNumberFormat="1" applyFont="1" applyFill="1" applyBorder="1" applyAlignment="1">
      <alignment horizontal="left" vertical="top" wrapText="1"/>
    </xf>
    <xf numFmtId="0" fontId="3" fillId="0" borderId="0" xfId="0" applyFont="1" applyBorder="1" applyAlignment="1">
      <alignment horizontal="right" vertical="center" wrapText="1"/>
    </xf>
    <xf numFmtId="0" fontId="4" fillId="0" borderId="0" xfId="0" applyFont="1" applyBorder="1" applyAlignment="1">
      <alignment vertical="top" wrapText="1"/>
    </xf>
    <xf numFmtId="0" fontId="11" fillId="0" borderId="5" xfId="0" applyFont="1" applyFill="1" applyBorder="1" applyAlignment="1">
      <alignment vertical="top" wrapText="1"/>
    </xf>
    <xf numFmtId="0" fontId="11" fillId="0" borderId="5" xfId="0" applyFont="1" applyFill="1" applyBorder="1" applyAlignment="1">
      <alignment horizontal="center" vertical="top" wrapText="1"/>
    </xf>
    <xf numFmtId="3" fontId="11" fillId="0" borderId="5" xfId="0" applyNumberFormat="1" applyFont="1" applyFill="1" applyBorder="1" applyAlignment="1">
      <alignment horizontal="center" vertical="top" wrapText="1"/>
    </xf>
    <xf numFmtId="0" fontId="11" fillId="0" borderId="5" xfId="0" applyFont="1" applyFill="1" applyBorder="1" applyAlignment="1">
      <alignment horizontal="center" vertical="top" wrapText="1" shrinkToFit="1"/>
    </xf>
    <xf numFmtId="0" fontId="11" fillId="0" borderId="6" xfId="0" applyFont="1" applyBorder="1" applyAlignment="1">
      <alignment vertical="top" wrapText="1"/>
    </xf>
    <xf numFmtId="0" fontId="11" fillId="0" borderId="7" xfId="0" applyFont="1" applyBorder="1" applyAlignment="1">
      <alignment vertical="top" wrapText="1"/>
    </xf>
    <xf numFmtId="0" fontId="5" fillId="0" borderId="8" xfId="0" applyFont="1" applyFill="1" applyBorder="1" applyAlignment="1">
      <alignment vertical="top" wrapText="1"/>
    </xf>
    <xf numFmtId="0" fontId="5" fillId="0" borderId="8" xfId="0" applyFont="1" applyFill="1" applyBorder="1" applyAlignment="1">
      <alignment horizontal="left" vertical="top" wrapText="1"/>
    </xf>
    <xf numFmtId="1" fontId="5" fillId="0" borderId="8" xfId="0" applyNumberFormat="1" applyFont="1" applyBorder="1" applyAlignment="1">
      <alignment horizontal="center" vertical="top" wrapText="1"/>
    </xf>
    <xf numFmtId="0" fontId="5" fillId="0" borderId="8" xfId="0" applyFont="1" applyBorder="1" applyAlignment="1">
      <alignment vertical="top" wrapText="1"/>
    </xf>
    <xf numFmtId="1" fontId="5" fillId="0" borderId="1" xfId="0" applyNumberFormat="1" applyFont="1" applyBorder="1" applyAlignment="1">
      <alignment horizontal="center" vertical="top" wrapText="1"/>
    </xf>
    <xf numFmtId="0" fontId="5" fillId="0" borderId="1" xfId="0" applyFont="1" applyFill="1" applyBorder="1" applyAlignment="1">
      <alignment horizontal="center" vertical="top" wrapText="1"/>
    </xf>
    <xf numFmtId="3" fontId="5" fillId="0" borderId="1" xfId="0" applyNumberFormat="1" applyFont="1" applyFill="1" applyBorder="1" applyAlignment="1">
      <alignment horizontal="center" vertical="top" wrapText="1"/>
    </xf>
    <xf numFmtId="0" fontId="14" fillId="0" borderId="0" xfId="0" applyFont="1" applyFill="1" applyBorder="1" applyAlignment="1">
      <alignment horizontal="left" vertical="top" wrapText="1"/>
    </xf>
    <xf numFmtId="3" fontId="5" fillId="0" borderId="8" xfId="0" applyNumberFormat="1" applyFont="1" applyFill="1" applyBorder="1" applyAlignment="1">
      <alignment horizontal="right" vertical="top" wrapText="1"/>
    </xf>
    <xf numFmtId="3" fontId="5" fillId="0" borderId="8" xfId="0" applyNumberFormat="1" applyFont="1" applyFill="1" applyBorder="1" applyAlignment="1">
      <alignment vertical="top" wrapText="1"/>
    </xf>
    <xf numFmtId="0" fontId="14" fillId="0" borderId="0" xfId="0" applyFont="1" applyFill="1" applyBorder="1" applyAlignment="1">
      <alignment vertical="top" wrapText="1"/>
    </xf>
    <xf numFmtId="0" fontId="14" fillId="0" borderId="0" xfId="0" applyFont="1" applyFill="1"/>
    <xf numFmtId="3" fontId="14" fillId="0" borderId="0" xfId="0" applyNumberFormat="1" applyFont="1" applyFill="1" applyBorder="1" applyAlignment="1">
      <alignment horizontal="right" vertical="top" wrapText="1"/>
    </xf>
    <xf numFmtId="3" fontId="14" fillId="0" borderId="0" xfId="0" applyNumberFormat="1" applyFont="1" applyFill="1" applyBorder="1" applyAlignment="1">
      <alignment vertical="top" wrapText="1"/>
    </xf>
    <xf numFmtId="1" fontId="14" fillId="0" borderId="0" xfId="0" applyNumberFormat="1" applyFont="1" applyFill="1" applyAlignment="1">
      <alignment horizontal="center" vertical="top" wrapText="1"/>
    </xf>
    <xf numFmtId="3" fontId="15" fillId="0" borderId="0" xfId="0" applyNumberFormat="1" applyFont="1" applyFill="1" applyBorder="1" applyAlignment="1">
      <alignment vertical="top" wrapText="1"/>
    </xf>
    <xf numFmtId="0" fontId="8" fillId="0" borderId="1" xfId="0" applyFont="1" applyBorder="1" applyAlignment="1">
      <alignment vertical="top"/>
    </xf>
    <xf numFmtId="0" fontId="8" fillId="0" borderId="8" xfId="0" applyFont="1" applyBorder="1" applyAlignment="1">
      <alignment vertical="top"/>
    </xf>
    <xf numFmtId="0" fontId="8" fillId="0" borderId="1" xfId="0" applyFont="1" applyBorder="1" applyAlignment="1">
      <alignment horizontal="right" vertical="top"/>
    </xf>
    <xf numFmtId="0" fontId="5" fillId="0" borderId="8" xfId="0" applyFont="1" applyFill="1" applyBorder="1" applyAlignment="1">
      <alignment horizontal="center" vertical="top" wrapText="1"/>
    </xf>
    <xf numFmtId="3" fontId="5" fillId="0" borderId="8" xfId="0" applyNumberFormat="1" applyFont="1" applyFill="1" applyBorder="1" applyAlignment="1">
      <alignment horizontal="center" vertical="top" wrapText="1"/>
    </xf>
    <xf numFmtId="0" fontId="6" fillId="0" borderId="0" xfId="0" applyFont="1" applyFill="1" applyBorder="1" applyAlignment="1">
      <alignment vertical="top" wrapText="1"/>
    </xf>
    <xf numFmtId="0" fontId="5" fillId="0" borderId="0" xfId="0" applyFont="1" applyFill="1" applyBorder="1" applyAlignment="1">
      <alignment vertical="top" wrapText="1"/>
    </xf>
    <xf numFmtId="0" fontId="5" fillId="0" borderId="0" xfId="0" applyFont="1" applyFill="1" applyBorder="1" applyAlignment="1">
      <alignment horizontal="left" vertical="top" wrapText="1"/>
    </xf>
    <xf numFmtId="3" fontId="5" fillId="0" borderId="0" xfId="0" applyNumberFormat="1" applyFont="1" applyFill="1" applyBorder="1" applyAlignment="1">
      <alignment horizontal="right" vertical="top" wrapText="1"/>
    </xf>
    <xf numFmtId="0" fontId="5" fillId="0" borderId="0" xfId="0" applyFont="1" applyBorder="1" applyAlignment="1">
      <alignment vertical="top" wrapText="1"/>
    </xf>
    <xf numFmtId="0" fontId="5" fillId="0" borderId="9" xfId="0" applyFont="1" applyFill="1" applyBorder="1" applyAlignment="1">
      <alignment horizontal="left" vertical="top" wrapText="1"/>
    </xf>
    <xf numFmtId="3" fontId="5" fillId="0" borderId="0" xfId="0" applyNumberFormat="1" applyFont="1" applyFill="1" applyBorder="1" applyAlignment="1">
      <alignment vertical="top" wrapText="1"/>
    </xf>
    <xf numFmtId="0" fontId="5" fillId="0" borderId="1" xfId="0" applyFont="1" applyBorder="1" applyAlignment="1">
      <alignment vertical="top"/>
    </xf>
    <xf numFmtId="3" fontId="5" fillId="0" borderId="0" xfId="0" applyNumberFormat="1" applyFont="1" applyBorder="1" applyAlignment="1">
      <alignment horizontal="right" vertical="top" wrapText="1"/>
    </xf>
    <xf numFmtId="3" fontId="10" fillId="0" borderId="0" xfId="1" applyNumberFormat="1" applyFont="1" applyFill="1" applyBorder="1" applyAlignment="1">
      <alignment vertical="top" wrapText="1"/>
    </xf>
    <xf numFmtId="0" fontId="5" fillId="0" borderId="0" xfId="0" applyFont="1" applyBorder="1" applyAlignment="1">
      <alignment horizontal="left" vertical="top" wrapText="1"/>
    </xf>
    <xf numFmtId="3" fontId="12" fillId="0" borderId="0" xfId="0" applyNumberFormat="1" applyFont="1" applyFill="1" applyBorder="1" applyAlignment="1">
      <alignment vertical="top"/>
    </xf>
    <xf numFmtId="0" fontId="12" fillId="0" borderId="0" xfId="0" applyFont="1" applyAlignment="1">
      <alignment vertical="top"/>
    </xf>
    <xf numFmtId="0" fontId="13" fillId="0" borderId="0" xfId="0" applyFont="1" applyFill="1" applyBorder="1" applyAlignment="1">
      <alignment vertical="top"/>
    </xf>
    <xf numFmtId="0" fontId="13" fillId="0" borderId="0" xfId="0" applyFont="1" applyBorder="1" applyAlignment="1">
      <alignment vertical="top"/>
    </xf>
    <xf numFmtId="3" fontId="12" fillId="0" borderId="0" xfId="0" applyNumberFormat="1" applyFont="1" applyFill="1" applyBorder="1" applyAlignment="1"/>
    <xf numFmtId="0" fontId="12" fillId="0" borderId="0" xfId="0" applyFont="1" applyAlignment="1"/>
  </cellXfs>
  <cellStyles count="3">
    <cellStyle name="Currency" xfId="1" builtinId="4"/>
    <cellStyle name="Normal" xfId="0" builtinId="0"/>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tabSelected="1" topLeftCell="A163" workbookViewId="0">
      <selection activeCell="A170" sqref="A170"/>
    </sheetView>
  </sheetViews>
  <sheetFormatPr defaultRowHeight="12.5" outlineLevelRow="2" x14ac:dyDescent="0.25"/>
  <cols>
    <col min="1" max="1" width="9.453125" customWidth="1"/>
    <col min="2" max="2" width="20.81640625" customWidth="1"/>
    <col min="3" max="3" width="6" customWidth="1"/>
    <col min="4" max="4" width="9.81640625" style="2" customWidth="1"/>
    <col min="5" max="5" width="5.7265625" customWidth="1"/>
    <col min="6" max="6" width="10.54296875" style="3" customWidth="1"/>
    <col min="7" max="7" width="10.453125" customWidth="1"/>
    <col min="8" max="8" width="10.26953125" customWidth="1"/>
    <col min="9" max="9" width="27.1796875" customWidth="1"/>
    <col min="10" max="10" width="33.81640625" customWidth="1"/>
    <col min="13" max="13" width="7.1796875" customWidth="1"/>
    <col min="14" max="14" width="8" customWidth="1"/>
  </cols>
  <sheetData>
    <row r="1" spans="1:14" s="1" customFormat="1" ht="15.5" x14ac:dyDescent="0.2">
      <c r="A1" s="81" t="str">
        <f>M4</f>
        <v>Cross-sectoral</v>
      </c>
      <c r="B1" s="82"/>
      <c r="C1" s="82"/>
      <c r="D1" s="82"/>
      <c r="E1" s="82"/>
      <c r="F1" s="82"/>
      <c r="G1" s="82"/>
      <c r="H1" s="82"/>
      <c r="I1" s="82"/>
      <c r="J1" s="82"/>
      <c r="K1" s="41"/>
      <c r="L1" s="41"/>
      <c r="M1" s="42"/>
      <c r="N1" s="42"/>
    </row>
    <row r="2" spans="1:14" s="1" customFormat="1" ht="14.5" x14ac:dyDescent="0.2">
      <c r="A2" s="83" t="str">
        <f>N4</f>
        <v>Area development</v>
      </c>
      <c r="B2" s="84"/>
      <c r="C2" s="84"/>
      <c r="D2" s="84"/>
      <c r="E2" s="84"/>
      <c r="F2" s="84"/>
      <c r="G2" s="84"/>
      <c r="H2" s="84"/>
      <c r="I2" s="84"/>
      <c r="J2" s="84"/>
      <c r="K2" s="41"/>
      <c r="L2" s="41"/>
      <c r="M2" s="42"/>
      <c r="N2" s="42"/>
    </row>
    <row r="3" spans="1:14" s="48" customFormat="1" ht="18.75" customHeight="1" x14ac:dyDescent="0.25">
      <c r="A3" s="43" t="s">
        <v>341</v>
      </c>
      <c r="B3" s="43" t="s">
        <v>200</v>
      </c>
      <c r="C3" s="44" t="s">
        <v>201</v>
      </c>
      <c r="D3" s="45" t="s">
        <v>342</v>
      </c>
      <c r="E3" s="45" t="s">
        <v>202</v>
      </c>
      <c r="F3" s="44" t="s">
        <v>343</v>
      </c>
      <c r="G3" s="46" t="s">
        <v>344</v>
      </c>
      <c r="H3" s="44" t="s">
        <v>203</v>
      </c>
      <c r="I3" s="43" t="s">
        <v>345</v>
      </c>
      <c r="J3" s="43" t="s">
        <v>346</v>
      </c>
      <c r="K3" s="47" t="s">
        <v>338</v>
      </c>
      <c r="L3" s="48" t="s">
        <v>393</v>
      </c>
      <c r="M3" s="48" t="s">
        <v>339</v>
      </c>
      <c r="N3" s="48" t="s">
        <v>340</v>
      </c>
    </row>
    <row r="4" spans="1:14" s="65" customFormat="1" ht="72" outlineLevel="2" x14ac:dyDescent="0.25">
      <c r="A4" s="6" t="s">
        <v>19</v>
      </c>
      <c r="B4" s="14" t="s">
        <v>17</v>
      </c>
      <c r="C4" s="54" t="s">
        <v>398</v>
      </c>
      <c r="D4" s="11">
        <v>40000</v>
      </c>
      <c r="E4" s="55" t="s">
        <v>402</v>
      </c>
      <c r="F4" s="5" t="s">
        <v>20</v>
      </c>
      <c r="G4" s="6"/>
      <c r="H4" s="6"/>
      <c r="I4" s="6" t="s">
        <v>21</v>
      </c>
      <c r="J4" s="6" t="s">
        <v>385</v>
      </c>
      <c r="K4" s="53">
        <v>1</v>
      </c>
      <c r="L4" s="53">
        <v>1</v>
      </c>
      <c r="M4" s="9" t="s">
        <v>15</v>
      </c>
      <c r="N4" s="9" t="s">
        <v>16</v>
      </c>
    </row>
    <row r="5" spans="1:14" s="65" customFormat="1" ht="36" outlineLevel="2" x14ac:dyDescent="0.25">
      <c r="A5" s="6" t="s">
        <v>24</v>
      </c>
      <c r="B5" s="14" t="s">
        <v>413</v>
      </c>
      <c r="C5" s="54" t="s">
        <v>6</v>
      </c>
      <c r="D5" s="11">
        <v>4087</v>
      </c>
      <c r="E5" s="55" t="s">
        <v>403</v>
      </c>
      <c r="F5" s="5" t="s">
        <v>25</v>
      </c>
      <c r="G5" s="6" t="s">
        <v>26</v>
      </c>
      <c r="H5" s="6" t="s">
        <v>27</v>
      </c>
      <c r="I5" s="6" t="s">
        <v>28</v>
      </c>
      <c r="J5" s="6" t="s">
        <v>442</v>
      </c>
      <c r="K5" s="53">
        <v>3</v>
      </c>
      <c r="L5" s="53">
        <v>1</v>
      </c>
      <c r="M5" s="9" t="s">
        <v>15</v>
      </c>
      <c r="N5" s="9" t="s">
        <v>16</v>
      </c>
    </row>
    <row r="6" spans="1:14" s="65" customFormat="1" ht="36" outlineLevel="2" x14ac:dyDescent="0.25">
      <c r="A6" s="6" t="s">
        <v>30</v>
      </c>
      <c r="B6" s="14" t="s">
        <v>29</v>
      </c>
      <c r="C6" s="54" t="s">
        <v>405</v>
      </c>
      <c r="D6" s="11">
        <v>20000</v>
      </c>
      <c r="E6" s="55" t="s">
        <v>403</v>
      </c>
      <c r="F6" s="5"/>
      <c r="G6" s="6"/>
      <c r="H6" s="6"/>
      <c r="I6" s="6" t="s">
        <v>31</v>
      </c>
      <c r="J6" s="6" t="s">
        <v>32</v>
      </c>
      <c r="K6" s="53">
        <v>4</v>
      </c>
      <c r="L6" s="53">
        <v>1</v>
      </c>
      <c r="M6" s="9" t="s">
        <v>15</v>
      </c>
      <c r="N6" s="9" t="s">
        <v>16</v>
      </c>
    </row>
    <row r="7" spans="1:14" s="65" customFormat="1" ht="18" outlineLevel="2" x14ac:dyDescent="0.25">
      <c r="A7" s="6" t="s">
        <v>34</v>
      </c>
      <c r="B7" s="14" t="s">
        <v>33</v>
      </c>
      <c r="C7" s="54" t="s">
        <v>405</v>
      </c>
      <c r="D7" s="11" t="s">
        <v>35</v>
      </c>
      <c r="E7" s="55" t="s">
        <v>403</v>
      </c>
      <c r="F7" s="5" t="s">
        <v>35</v>
      </c>
      <c r="G7" s="6"/>
      <c r="H7" s="6"/>
      <c r="I7" s="6" t="s">
        <v>36</v>
      </c>
      <c r="J7" s="6" t="s">
        <v>389</v>
      </c>
      <c r="K7" s="53">
        <v>5</v>
      </c>
      <c r="L7" s="53">
        <v>1</v>
      </c>
      <c r="M7" s="9" t="s">
        <v>15</v>
      </c>
      <c r="N7" s="9" t="s">
        <v>16</v>
      </c>
    </row>
    <row r="8" spans="1:14" s="65" customFormat="1" ht="27" outlineLevel="2" x14ac:dyDescent="0.25">
      <c r="A8" s="6" t="s">
        <v>37</v>
      </c>
      <c r="B8" s="14" t="s">
        <v>414</v>
      </c>
      <c r="C8" s="54" t="s">
        <v>405</v>
      </c>
      <c r="D8" s="11">
        <v>22027</v>
      </c>
      <c r="E8" s="55" t="s">
        <v>403</v>
      </c>
      <c r="F8" s="5" t="s">
        <v>23</v>
      </c>
      <c r="G8" s="6"/>
      <c r="H8" s="6"/>
      <c r="I8" s="6" t="s">
        <v>38</v>
      </c>
      <c r="J8" s="6" t="s">
        <v>39</v>
      </c>
      <c r="K8" s="53">
        <v>6</v>
      </c>
      <c r="L8" s="53">
        <v>1</v>
      </c>
      <c r="M8" s="9" t="s">
        <v>15</v>
      </c>
      <c r="N8" s="9" t="s">
        <v>16</v>
      </c>
    </row>
    <row r="9" spans="1:14" s="65" customFormat="1" ht="36" outlineLevel="2" x14ac:dyDescent="0.25">
      <c r="A9" s="6" t="s">
        <v>307</v>
      </c>
      <c r="B9" s="14" t="s">
        <v>40</v>
      </c>
      <c r="C9" s="54" t="s">
        <v>7</v>
      </c>
      <c r="D9" s="11">
        <v>2800</v>
      </c>
      <c r="E9" s="55" t="s">
        <v>403</v>
      </c>
      <c r="F9" s="5" t="s">
        <v>41</v>
      </c>
      <c r="G9" s="6" t="s">
        <v>42</v>
      </c>
      <c r="H9" s="6"/>
      <c r="I9" s="6" t="s">
        <v>43</v>
      </c>
      <c r="J9" s="6" t="s">
        <v>44</v>
      </c>
      <c r="K9" s="53">
        <v>7</v>
      </c>
      <c r="L9" s="53">
        <v>1</v>
      </c>
      <c r="M9" s="9" t="s">
        <v>15</v>
      </c>
      <c r="N9" s="9" t="s">
        <v>16</v>
      </c>
    </row>
    <row r="10" spans="1:14" s="65" customFormat="1" ht="27" outlineLevel="2" x14ac:dyDescent="0.25">
      <c r="A10" s="6" t="s">
        <v>37</v>
      </c>
      <c r="B10" s="14" t="s">
        <v>391</v>
      </c>
      <c r="C10" s="54" t="s">
        <v>8</v>
      </c>
      <c r="D10" s="11">
        <v>500</v>
      </c>
      <c r="E10" s="55" t="s">
        <v>403</v>
      </c>
      <c r="F10" s="5"/>
      <c r="G10" s="6" t="s">
        <v>86</v>
      </c>
      <c r="H10" s="6"/>
      <c r="I10" s="6" t="s">
        <v>392</v>
      </c>
      <c r="J10" s="6" t="s">
        <v>377</v>
      </c>
      <c r="K10" s="53">
        <v>8</v>
      </c>
      <c r="L10" s="53">
        <v>0</v>
      </c>
      <c r="M10" s="9" t="s">
        <v>15</v>
      </c>
      <c r="N10" s="9" t="s">
        <v>16</v>
      </c>
    </row>
    <row r="11" spans="1:14" s="65" customFormat="1" ht="27" outlineLevel="2" x14ac:dyDescent="0.25">
      <c r="A11" s="6" t="s">
        <v>86</v>
      </c>
      <c r="B11" s="14" t="s">
        <v>391</v>
      </c>
      <c r="C11" s="54" t="s">
        <v>8</v>
      </c>
      <c r="D11" s="11">
        <v>360</v>
      </c>
      <c r="E11" s="55" t="s">
        <v>403</v>
      </c>
      <c r="F11" s="5"/>
      <c r="G11" s="6" t="s">
        <v>86</v>
      </c>
      <c r="H11" s="6"/>
      <c r="I11" s="6" t="s">
        <v>392</v>
      </c>
      <c r="J11" s="6" t="s">
        <v>377</v>
      </c>
      <c r="K11" s="53">
        <v>8</v>
      </c>
      <c r="L11" s="53">
        <v>0</v>
      </c>
      <c r="M11" s="9" t="s">
        <v>15</v>
      </c>
      <c r="N11" s="9" t="s">
        <v>16</v>
      </c>
    </row>
    <row r="12" spans="1:14" s="65" customFormat="1" ht="27" outlineLevel="2" x14ac:dyDescent="0.25">
      <c r="A12" s="6" t="s">
        <v>93</v>
      </c>
      <c r="B12" s="14" t="s">
        <v>391</v>
      </c>
      <c r="C12" s="54" t="s">
        <v>8</v>
      </c>
      <c r="D12" s="11">
        <v>150</v>
      </c>
      <c r="E12" s="55" t="s">
        <v>403</v>
      </c>
      <c r="F12" s="5"/>
      <c r="G12" s="6" t="s">
        <v>86</v>
      </c>
      <c r="H12" s="6"/>
      <c r="I12" s="6" t="s">
        <v>392</v>
      </c>
      <c r="J12" s="6" t="s">
        <v>377</v>
      </c>
      <c r="K12" s="53">
        <v>8</v>
      </c>
      <c r="L12" s="53">
        <v>1</v>
      </c>
      <c r="M12" s="9" t="s">
        <v>15</v>
      </c>
      <c r="N12" s="9" t="s">
        <v>16</v>
      </c>
    </row>
    <row r="13" spans="1:14" s="77" customFormat="1" ht="18" outlineLevel="2" x14ac:dyDescent="0.25">
      <c r="A13" s="6" t="s">
        <v>72</v>
      </c>
      <c r="B13" s="6" t="s">
        <v>71</v>
      </c>
      <c r="C13" s="54" t="s">
        <v>363</v>
      </c>
      <c r="D13" s="11">
        <v>6500</v>
      </c>
      <c r="E13" s="55" t="s">
        <v>403</v>
      </c>
      <c r="F13" s="5" t="s">
        <v>23</v>
      </c>
      <c r="G13" s="6"/>
      <c r="H13" s="6"/>
      <c r="I13" s="6" t="s">
        <v>73</v>
      </c>
      <c r="J13" s="6" t="s">
        <v>74</v>
      </c>
      <c r="K13" s="53"/>
      <c r="L13" s="53">
        <v>1</v>
      </c>
      <c r="M13" s="9" t="s">
        <v>15</v>
      </c>
      <c r="N13" s="9" t="s">
        <v>16</v>
      </c>
    </row>
    <row r="14" spans="1:14" s="65" customFormat="1" ht="72" outlineLevel="2" x14ac:dyDescent="0.25">
      <c r="A14" s="6" t="s">
        <v>45</v>
      </c>
      <c r="B14" s="14" t="s">
        <v>365</v>
      </c>
      <c r="C14" s="54" t="s">
        <v>405</v>
      </c>
      <c r="D14" s="11">
        <v>100000</v>
      </c>
      <c r="E14" s="55" t="s">
        <v>402</v>
      </c>
      <c r="F14" s="5" t="s">
        <v>46</v>
      </c>
      <c r="G14" s="6"/>
      <c r="H14" s="6"/>
      <c r="I14" s="6" t="s">
        <v>47</v>
      </c>
      <c r="J14" s="6" t="s">
        <v>48</v>
      </c>
      <c r="K14" s="53">
        <v>9</v>
      </c>
      <c r="L14" s="53">
        <v>1</v>
      </c>
      <c r="M14" s="9" t="s">
        <v>15</v>
      </c>
      <c r="N14" s="9" t="s">
        <v>16</v>
      </c>
    </row>
    <row r="15" spans="1:14" s="12" customFormat="1" ht="15" hidden="1" customHeight="1" outlineLevel="1" x14ac:dyDescent="0.2">
      <c r="A15" s="6"/>
      <c r="B15" s="4"/>
      <c r="C15" s="5"/>
      <c r="D15" s="11"/>
      <c r="E15" s="9"/>
      <c r="F15" s="5"/>
      <c r="G15" s="5"/>
      <c r="H15" s="5"/>
      <c r="I15" s="5"/>
      <c r="J15" s="6"/>
      <c r="K15" s="7"/>
      <c r="L15" s="7">
        <f>SUBTOTAL(9,L4:L14)</f>
        <v>9</v>
      </c>
      <c r="M15" s="8"/>
      <c r="N15" s="33" t="s">
        <v>280</v>
      </c>
    </row>
    <row r="16" spans="1:14" s="1" customFormat="1" ht="15.5" collapsed="1" x14ac:dyDescent="0.2">
      <c r="A16" s="81" t="str">
        <f>M19</f>
        <v>Cross-sectoral</v>
      </c>
      <c r="B16" s="82"/>
      <c r="C16" s="82"/>
      <c r="D16" s="82"/>
      <c r="E16" s="82"/>
      <c r="F16" s="82"/>
      <c r="G16" s="82"/>
      <c r="H16" s="82"/>
      <c r="I16" s="82"/>
      <c r="J16" s="82"/>
      <c r="K16" s="41"/>
      <c r="L16" s="41"/>
      <c r="M16" s="42"/>
      <c r="N16" s="42"/>
    </row>
    <row r="17" spans="1:14" s="1" customFormat="1" ht="14.5" x14ac:dyDescent="0.2">
      <c r="A17" s="83" t="str">
        <f>N19</f>
        <v>Capacity development</v>
      </c>
      <c r="B17" s="84"/>
      <c r="C17" s="84"/>
      <c r="D17" s="84"/>
      <c r="E17" s="84"/>
      <c r="F17" s="84"/>
      <c r="G17" s="84"/>
      <c r="H17" s="84"/>
      <c r="I17" s="84"/>
      <c r="J17" s="84"/>
      <c r="K17" s="41"/>
      <c r="L17" s="41"/>
      <c r="M17" s="42"/>
      <c r="N17" s="42"/>
    </row>
    <row r="18" spans="1:14" s="48" customFormat="1" ht="18.75" customHeight="1" x14ac:dyDescent="0.25">
      <c r="A18" s="43" t="s">
        <v>341</v>
      </c>
      <c r="B18" s="43" t="s">
        <v>200</v>
      </c>
      <c r="C18" s="44" t="s">
        <v>201</v>
      </c>
      <c r="D18" s="45" t="s">
        <v>342</v>
      </c>
      <c r="E18" s="45" t="s">
        <v>202</v>
      </c>
      <c r="F18" s="44" t="s">
        <v>343</v>
      </c>
      <c r="G18" s="46" t="s">
        <v>344</v>
      </c>
      <c r="H18" s="44" t="s">
        <v>203</v>
      </c>
      <c r="I18" s="43" t="s">
        <v>345</v>
      </c>
      <c r="J18" s="43" t="s">
        <v>346</v>
      </c>
      <c r="K18" s="47" t="s">
        <v>338</v>
      </c>
      <c r="L18" s="48" t="s">
        <v>393</v>
      </c>
      <c r="M18" s="48" t="s">
        <v>339</v>
      </c>
      <c r="N18" s="48" t="s">
        <v>340</v>
      </c>
    </row>
    <row r="19" spans="1:14" s="65" customFormat="1" ht="45" outlineLevel="2" x14ac:dyDescent="0.25">
      <c r="A19" s="6" t="s">
        <v>30</v>
      </c>
      <c r="B19" s="14" t="s">
        <v>50</v>
      </c>
      <c r="C19" s="54" t="s">
        <v>9</v>
      </c>
      <c r="D19" s="11">
        <v>286</v>
      </c>
      <c r="E19" s="55" t="s">
        <v>403</v>
      </c>
      <c r="F19" s="5" t="s">
        <v>51</v>
      </c>
      <c r="G19" s="6" t="s">
        <v>52</v>
      </c>
      <c r="H19" s="6"/>
      <c r="I19" s="6" t="s">
        <v>314</v>
      </c>
      <c r="J19" s="6" t="s">
        <v>387</v>
      </c>
      <c r="K19" s="53">
        <v>10</v>
      </c>
      <c r="L19" s="53">
        <v>1</v>
      </c>
      <c r="M19" s="9" t="s">
        <v>15</v>
      </c>
      <c r="N19" s="9" t="s">
        <v>49</v>
      </c>
    </row>
    <row r="20" spans="1:14" s="65" customFormat="1" ht="54" outlineLevel="2" x14ac:dyDescent="0.25">
      <c r="A20" s="6" t="s">
        <v>30</v>
      </c>
      <c r="B20" s="14" t="s">
        <v>53</v>
      </c>
      <c r="C20" s="54" t="s">
        <v>405</v>
      </c>
      <c r="D20" s="11">
        <v>666</v>
      </c>
      <c r="E20" s="55" t="s">
        <v>403</v>
      </c>
      <c r="F20" s="5" t="s">
        <v>54</v>
      </c>
      <c r="G20" s="6"/>
      <c r="H20" s="6"/>
      <c r="I20" s="6" t="s">
        <v>55</v>
      </c>
      <c r="J20" s="6" t="s">
        <v>56</v>
      </c>
      <c r="K20" s="53">
        <v>11</v>
      </c>
      <c r="L20" s="53">
        <v>1</v>
      </c>
      <c r="M20" s="9" t="s">
        <v>15</v>
      </c>
      <c r="N20" s="9" t="s">
        <v>49</v>
      </c>
    </row>
    <row r="21" spans="1:14" s="65" customFormat="1" ht="27" outlineLevel="2" x14ac:dyDescent="0.25">
      <c r="A21" s="6" t="s">
        <v>57</v>
      </c>
      <c r="B21" s="14" t="s">
        <v>313</v>
      </c>
      <c r="C21" s="54" t="s">
        <v>10</v>
      </c>
      <c r="D21" s="11" t="s">
        <v>35</v>
      </c>
      <c r="E21" s="55" t="s">
        <v>403</v>
      </c>
      <c r="F21" s="5"/>
      <c r="G21" s="6"/>
      <c r="H21" s="6"/>
      <c r="I21" s="6" t="s">
        <v>58</v>
      </c>
      <c r="J21" s="6" t="s">
        <v>59</v>
      </c>
      <c r="K21" s="53">
        <v>12</v>
      </c>
      <c r="L21" s="53">
        <v>0</v>
      </c>
      <c r="M21" s="9" t="s">
        <v>15</v>
      </c>
      <c r="N21" s="9" t="s">
        <v>49</v>
      </c>
    </row>
    <row r="22" spans="1:14" s="65" customFormat="1" ht="27" outlineLevel="2" x14ac:dyDescent="0.25">
      <c r="A22" s="6" t="s">
        <v>60</v>
      </c>
      <c r="B22" s="14" t="s">
        <v>313</v>
      </c>
      <c r="C22" s="54" t="s">
        <v>10</v>
      </c>
      <c r="D22" s="11">
        <v>500</v>
      </c>
      <c r="E22" s="55" t="s">
        <v>403</v>
      </c>
      <c r="F22" s="5"/>
      <c r="G22" s="6"/>
      <c r="H22" s="6"/>
      <c r="I22" s="6" t="s">
        <v>61</v>
      </c>
      <c r="J22" s="6" t="s">
        <v>59</v>
      </c>
      <c r="K22" s="53">
        <v>12</v>
      </c>
      <c r="L22" s="53">
        <v>1</v>
      </c>
      <c r="M22" s="9" t="s">
        <v>15</v>
      </c>
      <c r="N22" s="9" t="s">
        <v>49</v>
      </c>
    </row>
    <row r="23" spans="1:14" s="4" customFormat="1" ht="15" hidden="1" customHeight="1" outlineLevel="1" x14ac:dyDescent="0.2">
      <c r="A23" s="6"/>
      <c r="C23" s="5"/>
      <c r="D23" s="11"/>
      <c r="E23" s="9"/>
      <c r="F23" s="5"/>
      <c r="G23" s="6"/>
      <c r="H23" s="6"/>
      <c r="I23" s="6"/>
      <c r="J23" s="6"/>
      <c r="K23" s="7"/>
      <c r="L23" s="7">
        <f>SUBTOTAL(9,L19:L22)</f>
        <v>3</v>
      </c>
      <c r="M23" s="8"/>
      <c r="N23" s="34" t="s">
        <v>281</v>
      </c>
    </row>
    <row r="24" spans="1:14" s="1" customFormat="1" ht="30" customHeight="1" collapsed="1" x14ac:dyDescent="0.35">
      <c r="A24" s="85" t="str">
        <f>M27</f>
        <v>Cross-sectoral</v>
      </c>
      <c r="B24" s="86"/>
      <c r="C24" s="86"/>
      <c r="D24" s="86"/>
      <c r="E24" s="86"/>
      <c r="F24" s="86"/>
      <c r="G24" s="86"/>
      <c r="H24" s="86"/>
      <c r="I24" s="86"/>
      <c r="J24" s="86"/>
      <c r="K24" s="41"/>
      <c r="L24" s="41"/>
      <c r="M24" s="42"/>
      <c r="N24" s="42"/>
    </row>
    <row r="25" spans="1:14" s="1" customFormat="1" ht="14.5" x14ac:dyDescent="0.2">
      <c r="A25" s="83" t="str">
        <f>N27</f>
        <v>Natural resource management</v>
      </c>
      <c r="B25" s="84"/>
      <c r="C25" s="84"/>
      <c r="D25" s="84"/>
      <c r="E25" s="84"/>
      <c r="F25" s="84"/>
      <c r="G25" s="84"/>
      <c r="H25" s="84"/>
      <c r="I25" s="84"/>
      <c r="J25" s="84"/>
      <c r="K25" s="41"/>
      <c r="L25" s="41"/>
      <c r="M25" s="42"/>
      <c r="N25" s="42"/>
    </row>
    <row r="26" spans="1:14" s="48" customFormat="1" ht="18.75" customHeight="1" x14ac:dyDescent="0.25">
      <c r="A26" s="43" t="s">
        <v>341</v>
      </c>
      <c r="B26" s="43" t="s">
        <v>200</v>
      </c>
      <c r="C26" s="44" t="s">
        <v>201</v>
      </c>
      <c r="D26" s="45" t="s">
        <v>342</v>
      </c>
      <c r="E26" s="45" t="s">
        <v>202</v>
      </c>
      <c r="F26" s="44" t="s">
        <v>343</v>
      </c>
      <c r="G26" s="46" t="s">
        <v>344</v>
      </c>
      <c r="H26" s="44" t="s">
        <v>203</v>
      </c>
      <c r="I26" s="43" t="s">
        <v>345</v>
      </c>
      <c r="J26" s="43" t="s">
        <v>346</v>
      </c>
      <c r="K26" s="47" t="s">
        <v>338</v>
      </c>
      <c r="L26" s="48" t="s">
        <v>393</v>
      </c>
      <c r="M26" s="48" t="s">
        <v>339</v>
      </c>
      <c r="N26" s="48" t="s">
        <v>340</v>
      </c>
    </row>
    <row r="27" spans="1:14" s="65" customFormat="1" ht="54" outlineLevel="2" x14ac:dyDescent="0.25">
      <c r="A27" s="6" t="s">
        <v>64</v>
      </c>
      <c r="B27" s="14" t="s">
        <v>63</v>
      </c>
      <c r="C27" s="54" t="s">
        <v>8</v>
      </c>
      <c r="D27" s="11">
        <v>999</v>
      </c>
      <c r="E27" s="55" t="s">
        <v>403</v>
      </c>
      <c r="F27" s="5" t="s">
        <v>65</v>
      </c>
      <c r="G27" s="6" t="s">
        <v>66</v>
      </c>
      <c r="H27" s="6"/>
      <c r="I27" s="6" t="s">
        <v>67</v>
      </c>
      <c r="J27" s="6" t="s">
        <v>68</v>
      </c>
      <c r="K27" s="53">
        <v>13</v>
      </c>
      <c r="L27" s="53">
        <v>0</v>
      </c>
      <c r="M27" s="9" t="s">
        <v>15</v>
      </c>
      <c r="N27" s="9" t="s">
        <v>62</v>
      </c>
    </row>
    <row r="28" spans="1:14" s="65" customFormat="1" ht="54" outlineLevel="2" x14ac:dyDescent="0.25">
      <c r="A28" s="6" t="s">
        <v>69</v>
      </c>
      <c r="B28" s="14" t="s">
        <v>63</v>
      </c>
      <c r="C28" s="54" t="s">
        <v>8</v>
      </c>
      <c r="D28" s="11">
        <v>829</v>
      </c>
      <c r="E28" s="55" t="s">
        <v>403</v>
      </c>
      <c r="F28" s="5" t="s">
        <v>65</v>
      </c>
      <c r="G28" s="6" t="s">
        <v>66</v>
      </c>
      <c r="H28" s="6"/>
      <c r="I28" s="6" t="s">
        <v>67</v>
      </c>
      <c r="J28" s="6" t="s">
        <v>68</v>
      </c>
      <c r="K28" s="53">
        <v>13</v>
      </c>
      <c r="L28" s="53">
        <v>1</v>
      </c>
      <c r="M28" s="9" t="s">
        <v>15</v>
      </c>
      <c r="N28" s="9" t="s">
        <v>62</v>
      </c>
    </row>
    <row r="29" spans="1:14" s="65" customFormat="1" ht="54" outlineLevel="2" x14ac:dyDescent="0.25">
      <c r="A29" s="6" t="s">
        <v>60</v>
      </c>
      <c r="B29" s="14" t="s">
        <v>70</v>
      </c>
      <c r="C29" s="54" t="s">
        <v>399</v>
      </c>
      <c r="D29" s="11">
        <v>40</v>
      </c>
      <c r="E29" s="55" t="s">
        <v>403</v>
      </c>
      <c r="F29" s="5" t="s">
        <v>65</v>
      </c>
      <c r="G29" s="6" t="s">
        <v>65</v>
      </c>
      <c r="H29" s="6"/>
      <c r="I29" s="6" t="s">
        <v>83</v>
      </c>
      <c r="J29" s="6" t="s">
        <v>56</v>
      </c>
      <c r="K29" s="53">
        <v>14</v>
      </c>
      <c r="L29" s="53">
        <v>1</v>
      </c>
      <c r="M29" s="9" t="s">
        <v>15</v>
      </c>
      <c r="N29" s="9" t="s">
        <v>62</v>
      </c>
    </row>
    <row r="30" spans="1:14" s="12" customFormat="1" ht="15" hidden="1" customHeight="1" outlineLevel="1" x14ac:dyDescent="0.2">
      <c r="A30" s="6"/>
      <c r="B30" s="4"/>
      <c r="C30" s="5"/>
      <c r="D30" s="11"/>
      <c r="E30" s="9"/>
      <c r="F30" s="5"/>
      <c r="G30" s="5"/>
      <c r="H30" s="5"/>
      <c r="I30" s="5"/>
      <c r="J30" s="6"/>
      <c r="K30" s="7"/>
      <c r="L30" s="7">
        <f>SUBTOTAL(9,L27:L29)</f>
        <v>2</v>
      </c>
      <c r="M30" s="8"/>
      <c r="N30" s="34" t="s">
        <v>282</v>
      </c>
    </row>
    <row r="31" spans="1:14" s="1" customFormat="1" ht="15.5" collapsed="1" x14ac:dyDescent="0.2">
      <c r="A31" s="81" t="str">
        <f>M34</f>
        <v>Enterprise dev't and rural finance</v>
      </c>
      <c r="B31" s="82"/>
      <c r="C31" s="82"/>
      <c r="D31" s="82"/>
      <c r="E31" s="82"/>
      <c r="F31" s="82"/>
      <c r="G31" s="82"/>
      <c r="H31" s="82"/>
      <c r="I31" s="82"/>
      <c r="J31" s="82"/>
      <c r="K31" s="41"/>
      <c r="L31" s="41"/>
      <c r="M31" s="42"/>
      <c r="N31" s="42"/>
    </row>
    <row r="32" spans="1:14" s="1" customFormat="1" ht="14.5" x14ac:dyDescent="0.2">
      <c r="A32" s="83" t="str">
        <f>N34</f>
        <v>Enterprise dev't and rural finance</v>
      </c>
      <c r="B32" s="84"/>
      <c r="C32" s="84"/>
      <c r="D32" s="84"/>
      <c r="E32" s="84"/>
      <c r="F32" s="84"/>
      <c r="G32" s="84"/>
      <c r="H32" s="84"/>
      <c r="I32" s="84"/>
      <c r="J32" s="84"/>
      <c r="K32" s="41"/>
      <c r="L32" s="41"/>
      <c r="M32" s="42"/>
      <c r="N32" s="42"/>
    </row>
    <row r="33" spans="1:14" s="48" customFormat="1" ht="18.75" customHeight="1" x14ac:dyDescent="0.25">
      <c r="A33" s="43" t="s">
        <v>341</v>
      </c>
      <c r="B33" s="43" t="s">
        <v>200</v>
      </c>
      <c r="C33" s="44" t="s">
        <v>201</v>
      </c>
      <c r="D33" s="45" t="s">
        <v>342</v>
      </c>
      <c r="E33" s="45" t="s">
        <v>202</v>
      </c>
      <c r="F33" s="44" t="s">
        <v>343</v>
      </c>
      <c r="G33" s="46" t="s">
        <v>344</v>
      </c>
      <c r="H33" s="44" t="s">
        <v>203</v>
      </c>
      <c r="I33" s="43" t="s">
        <v>345</v>
      </c>
      <c r="J33" s="43" t="s">
        <v>346</v>
      </c>
      <c r="K33" s="47" t="s">
        <v>338</v>
      </c>
      <c r="L33" s="48" t="s">
        <v>393</v>
      </c>
      <c r="M33" s="48" t="s">
        <v>339</v>
      </c>
      <c r="N33" s="48" t="s">
        <v>340</v>
      </c>
    </row>
    <row r="34" spans="1:14" s="65" customFormat="1" ht="36" outlineLevel="2" x14ac:dyDescent="0.25">
      <c r="A34" s="6" t="s">
        <v>390</v>
      </c>
      <c r="B34" s="14" t="s">
        <v>85</v>
      </c>
      <c r="C34" s="54" t="s">
        <v>8</v>
      </c>
      <c r="D34" s="11">
        <v>260</v>
      </c>
      <c r="E34" s="55" t="s">
        <v>403</v>
      </c>
      <c r="F34" s="5" t="s">
        <v>87</v>
      </c>
      <c r="G34" s="6" t="s">
        <v>86</v>
      </c>
      <c r="H34" s="6"/>
      <c r="I34" s="6" t="s">
        <v>88</v>
      </c>
      <c r="J34" s="6" t="s">
        <v>89</v>
      </c>
      <c r="K34" s="53">
        <v>15</v>
      </c>
      <c r="L34" s="53">
        <v>0</v>
      </c>
      <c r="M34" s="9" t="s">
        <v>84</v>
      </c>
      <c r="N34" s="9" t="s">
        <v>84</v>
      </c>
    </row>
    <row r="35" spans="1:14" s="65" customFormat="1" ht="36" outlineLevel="2" x14ac:dyDescent="0.25">
      <c r="A35" s="6" t="s">
        <v>86</v>
      </c>
      <c r="B35" s="14" t="s">
        <v>85</v>
      </c>
      <c r="C35" s="54" t="s">
        <v>8</v>
      </c>
      <c r="D35" s="11">
        <v>200</v>
      </c>
      <c r="E35" s="55" t="s">
        <v>403</v>
      </c>
      <c r="F35" s="5" t="s">
        <v>87</v>
      </c>
      <c r="G35" s="6" t="s">
        <v>86</v>
      </c>
      <c r="H35" s="6"/>
      <c r="I35" s="6" t="s">
        <v>88</v>
      </c>
      <c r="J35" s="6" t="s">
        <v>89</v>
      </c>
      <c r="K35" s="53">
        <v>15</v>
      </c>
      <c r="L35" s="53">
        <v>1</v>
      </c>
      <c r="M35" s="9" t="s">
        <v>84</v>
      </c>
      <c r="N35" s="9" t="s">
        <v>84</v>
      </c>
    </row>
    <row r="36" spans="1:14" s="65" customFormat="1" ht="36" outlineLevel="2" x14ac:dyDescent="0.25">
      <c r="A36" s="6" t="s">
        <v>93</v>
      </c>
      <c r="B36" s="14" t="s">
        <v>90</v>
      </c>
      <c r="C36" s="54" t="s">
        <v>6</v>
      </c>
      <c r="D36" s="11">
        <v>220</v>
      </c>
      <c r="E36" s="55" t="s">
        <v>403</v>
      </c>
      <c r="F36" s="5" t="s">
        <v>91</v>
      </c>
      <c r="G36" s="6" t="s">
        <v>86</v>
      </c>
      <c r="H36" s="6"/>
      <c r="I36" s="6" t="s">
        <v>92</v>
      </c>
      <c r="J36" s="6" t="s">
        <v>377</v>
      </c>
      <c r="K36" s="53">
        <v>16</v>
      </c>
      <c r="L36" s="53">
        <v>0</v>
      </c>
      <c r="M36" s="9" t="s">
        <v>84</v>
      </c>
      <c r="N36" s="9" t="s">
        <v>84</v>
      </c>
    </row>
    <row r="37" spans="1:14" s="65" customFormat="1" ht="36" outlineLevel="2" x14ac:dyDescent="0.25">
      <c r="A37" s="6" t="s">
        <v>86</v>
      </c>
      <c r="B37" s="14" t="s">
        <v>90</v>
      </c>
      <c r="C37" s="54" t="s">
        <v>6</v>
      </c>
      <c r="D37" s="11">
        <v>200</v>
      </c>
      <c r="E37" s="55" t="s">
        <v>403</v>
      </c>
      <c r="F37" s="5" t="s">
        <v>91</v>
      </c>
      <c r="G37" s="6" t="s">
        <v>86</v>
      </c>
      <c r="H37" s="6"/>
      <c r="I37" s="6" t="s">
        <v>92</v>
      </c>
      <c r="J37" s="6" t="s">
        <v>377</v>
      </c>
      <c r="K37" s="53">
        <v>16</v>
      </c>
      <c r="L37" s="53">
        <v>1</v>
      </c>
      <c r="M37" s="9" t="s">
        <v>84</v>
      </c>
      <c r="N37" s="9" t="s">
        <v>84</v>
      </c>
    </row>
    <row r="38" spans="1:14" s="65" customFormat="1" ht="63" outlineLevel="2" x14ac:dyDescent="0.25">
      <c r="A38" s="6" t="s">
        <v>57</v>
      </c>
      <c r="B38" s="14" t="s">
        <v>366</v>
      </c>
      <c r="C38" s="54" t="s">
        <v>10</v>
      </c>
      <c r="D38" s="11">
        <v>1838</v>
      </c>
      <c r="E38" s="55" t="s">
        <v>403</v>
      </c>
      <c r="F38" s="5" t="s">
        <v>94</v>
      </c>
      <c r="G38" s="6" t="s">
        <v>95</v>
      </c>
      <c r="H38" s="6"/>
      <c r="I38" s="6" t="s">
        <v>96</v>
      </c>
      <c r="J38" s="6" t="s">
        <v>443</v>
      </c>
      <c r="K38" s="53">
        <v>17</v>
      </c>
      <c r="L38" s="53">
        <v>1</v>
      </c>
      <c r="M38" s="9" t="s">
        <v>84</v>
      </c>
      <c r="N38" s="9" t="s">
        <v>84</v>
      </c>
    </row>
    <row r="39" spans="1:14" s="12" customFormat="1" ht="15" hidden="1" customHeight="1" outlineLevel="1" x14ac:dyDescent="0.2">
      <c r="A39" s="17"/>
      <c r="B39" s="4"/>
      <c r="C39" s="5"/>
      <c r="D39" s="18"/>
      <c r="E39" s="9"/>
      <c r="F39" s="16"/>
      <c r="G39" s="17"/>
      <c r="H39" s="17"/>
      <c r="I39" s="17"/>
      <c r="J39" s="17"/>
      <c r="K39" s="7"/>
      <c r="L39" s="7">
        <f>SUBTOTAL(9,L34:L38)</f>
        <v>3</v>
      </c>
      <c r="M39" s="8"/>
      <c r="N39" s="34" t="s">
        <v>411</v>
      </c>
    </row>
    <row r="40" spans="1:14" s="1" customFormat="1" ht="15.5" collapsed="1" x14ac:dyDescent="0.2">
      <c r="A40" s="81" t="str">
        <f>M43</f>
        <v>Agriculture, Forestry &amp; Fisheries</v>
      </c>
      <c r="B40" s="82"/>
      <c r="C40" s="82"/>
      <c r="D40" s="82"/>
      <c r="E40" s="82"/>
      <c r="F40" s="82"/>
      <c r="G40" s="82"/>
      <c r="H40" s="82"/>
      <c r="I40" s="82"/>
      <c r="J40" s="82"/>
      <c r="K40" s="41"/>
      <c r="L40" s="41"/>
      <c r="M40" s="42"/>
      <c r="N40" s="42"/>
    </row>
    <row r="41" spans="1:14" s="1" customFormat="1" ht="14.5" x14ac:dyDescent="0.2">
      <c r="A41" s="83" t="str">
        <f>N43</f>
        <v>Agriculture</v>
      </c>
      <c r="B41" s="84"/>
      <c r="C41" s="84"/>
      <c r="D41" s="84"/>
      <c r="E41" s="84"/>
      <c r="F41" s="84"/>
      <c r="G41" s="84"/>
      <c r="H41" s="84"/>
      <c r="I41" s="84"/>
      <c r="J41" s="84"/>
      <c r="K41" s="41"/>
      <c r="L41" s="41"/>
      <c r="M41" s="42"/>
      <c r="N41" s="42"/>
    </row>
    <row r="42" spans="1:14" s="48" customFormat="1" ht="18.75" customHeight="1" x14ac:dyDescent="0.25">
      <c r="A42" s="43" t="s">
        <v>341</v>
      </c>
      <c r="B42" s="43" t="s">
        <v>200</v>
      </c>
      <c r="C42" s="44" t="s">
        <v>201</v>
      </c>
      <c r="D42" s="45" t="s">
        <v>342</v>
      </c>
      <c r="E42" s="45" t="s">
        <v>202</v>
      </c>
      <c r="F42" s="44" t="s">
        <v>343</v>
      </c>
      <c r="G42" s="46" t="s">
        <v>344</v>
      </c>
      <c r="H42" s="44" t="s">
        <v>203</v>
      </c>
      <c r="I42" s="43" t="s">
        <v>345</v>
      </c>
      <c r="J42" s="43" t="s">
        <v>346</v>
      </c>
      <c r="K42" s="47" t="s">
        <v>338</v>
      </c>
      <c r="L42" s="48" t="s">
        <v>393</v>
      </c>
      <c r="M42" s="48" t="s">
        <v>339</v>
      </c>
      <c r="N42" s="48" t="s">
        <v>340</v>
      </c>
    </row>
    <row r="43" spans="1:14" s="65" customFormat="1" ht="27" outlineLevel="2" x14ac:dyDescent="0.25">
      <c r="A43" s="6" t="s">
        <v>19</v>
      </c>
      <c r="B43" s="14" t="s">
        <v>367</v>
      </c>
      <c r="C43" s="54" t="s">
        <v>409</v>
      </c>
      <c r="D43" s="11">
        <v>40200</v>
      </c>
      <c r="E43" s="55" t="s">
        <v>402</v>
      </c>
      <c r="F43" s="5" t="s">
        <v>98</v>
      </c>
      <c r="G43" s="6" t="s">
        <v>99</v>
      </c>
      <c r="H43" s="6"/>
      <c r="I43" s="6" t="s">
        <v>100</v>
      </c>
      <c r="J43" s="6" t="s">
        <v>101</v>
      </c>
      <c r="K43" s="53">
        <v>18</v>
      </c>
      <c r="L43" s="53">
        <v>1</v>
      </c>
      <c r="M43" s="9" t="s">
        <v>364</v>
      </c>
      <c r="N43" s="9" t="s">
        <v>97</v>
      </c>
    </row>
    <row r="44" spans="1:14" s="65" customFormat="1" ht="36" outlineLevel="2" x14ac:dyDescent="0.25">
      <c r="A44" s="6" t="s">
        <v>102</v>
      </c>
      <c r="B44" s="14" t="s">
        <v>415</v>
      </c>
      <c r="C44" s="54" t="s">
        <v>404</v>
      </c>
      <c r="D44" s="11">
        <v>396.39299999999997</v>
      </c>
      <c r="E44" s="55" t="s">
        <v>403</v>
      </c>
      <c r="F44" s="5" t="s">
        <v>23</v>
      </c>
      <c r="G44" s="6" t="s">
        <v>103</v>
      </c>
      <c r="H44" s="6" t="s">
        <v>104</v>
      </c>
      <c r="I44" s="6" t="s">
        <v>105</v>
      </c>
      <c r="J44" s="6" t="s">
        <v>389</v>
      </c>
      <c r="K44" s="53">
        <v>19</v>
      </c>
      <c r="L44" s="53">
        <v>1</v>
      </c>
      <c r="M44" s="9" t="s">
        <v>364</v>
      </c>
      <c r="N44" s="9" t="s">
        <v>97</v>
      </c>
    </row>
    <row r="45" spans="1:14" s="65" customFormat="1" ht="45" outlineLevel="2" x14ac:dyDescent="0.25">
      <c r="A45" s="6" t="s">
        <v>102</v>
      </c>
      <c r="B45" s="14" t="s">
        <v>416</v>
      </c>
      <c r="C45" s="54" t="s">
        <v>6</v>
      </c>
      <c r="D45" s="11">
        <v>290.791</v>
      </c>
      <c r="E45" s="55" t="s">
        <v>403</v>
      </c>
      <c r="F45" s="5" t="s">
        <v>106</v>
      </c>
      <c r="G45" s="6" t="s">
        <v>107</v>
      </c>
      <c r="H45" s="6" t="s">
        <v>108</v>
      </c>
      <c r="I45" s="6" t="s">
        <v>109</v>
      </c>
      <c r="J45" s="6" t="s">
        <v>389</v>
      </c>
      <c r="K45" s="53">
        <v>20</v>
      </c>
      <c r="L45" s="53">
        <v>1</v>
      </c>
      <c r="M45" s="9" t="s">
        <v>364</v>
      </c>
      <c r="N45" s="9" t="s">
        <v>97</v>
      </c>
    </row>
    <row r="46" spans="1:14" s="65" customFormat="1" ht="45" outlineLevel="2" x14ac:dyDescent="0.25">
      <c r="A46" s="6" t="s">
        <v>102</v>
      </c>
      <c r="B46" s="14" t="s">
        <v>417</v>
      </c>
      <c r="C46" s="54" t="s">
        <v>6</v>
      </c>
      <c r="D46" s="11">
        <v>383.99799999999999</v>
      </c>
      <c r="E46" s="55" t="s">
        <v>403</v>
      </c>
      <c r="F46" s="5" t="s">
        <v>110</v>
      </c>
      <c r="G46" s="6" t="s">
        <v>111</v>
      </c>
      <c r="H46" s="6" t="s">
        <v>112</v>
      </c>
      <c r="I46" s="6" t="s">
        <v>113</v>
      </c>
      <c r="J46" s="6" t="s">
        <v>389</v>
      </c>
      <c r="K46" s="53">
        <v>21</v>
      </c>
      <c r="L46" s="53">
        <v>1</v>
      </c>
      <c r="M46" s="9" t="s">
        <v>364</v>
      </c>
      <c r="N46" s="9" t="s">
        <v>97</v>
      </c>
    </row>
    <row r="47" spans="1:14" s="65" customFormat="1" ht="63" outlineLevel="2" x14ac:dyDescent="0.25">
      <c r="A47" s="6" t="s">
        <v>102</v>
      </c>
      <c r="B47" s="14" t="s">
        <v>418</v>
      </c>
      <c r="C47" s="54" t="s">
        <v>6</v>
      </c>
      <c r="D47" s="11">
        <v>528.36599999999999</v>
      </c>
      <c r="E47" s="55" t="s">
        <v>403</v>
      </c>
      <c r="F47" s="5" t="s">
        <v>114</v>
      </c>
      <c r="G47" s="6" t="s">
        <v>115</v>
      </c>
      <c r="H47" s="6" t="s">
        <v>116</v>
      </c>
      <c r="I47" s="6" t="s">
        <v>117</v>
      </c>
      <c r="J47" s="6" t="s">
        <v>389</v>
      </c>
      <c r="K47" s="53">
        <v>22</v>
      </c>
      <c r="L47" s="53">
        <v>1</v>
      </c>
      <c r="M47" s="9" t="s">
        <v>364</v>
      </c>
      <c r="N47" s="9" t="s">
        <v>97</v>
      </c>
    </row>
    <row r="48" spans="1:14" s="65" customFormat="1" ht="27" outlineLevel="2" x14ac:dyDescent="0.25">
      <c r="A48" s="6" t="s">
        <v>102</v>
      </c>
      <c r="B48" s="14" t="s">
        <v>419</v>
      </c>
      <c r="C48" s="54" t="s">
        <v>10</v>
      </c>
      <c r="D48" s="11">
        <v>80.106999999999999</v>
      </c>
      <c r="E48" s="55" t="s">
        <v>403</v>
      </c>
      <c r="F48" s="5" t="s">
        <v>118</v>
      </c>
      <c r="G48" s="6" t="s">
        <v>119</v>
      </c>
      <c r="H48" s="6" t="s">
        <v>120</v>
      </c>
      <c r="I48" s="6" t="s">
        <v>121</v>
      </c>
      <c r="J48" s="6" t="s">
        <v>389</v>
      </c>
      <c r="K48" s="53">
        <v>23</v>
      </c>
      <c r="L48" s="53">
        <v>1</v>
      </c>
      <c r="M48" s="9" t="s">
        <v>364</v>
      </c>
      <c r="N48" s="9" t="s">
        <v>97</v>
      </c>
    </row>
    <row r="49" spans="1:14" s="65" customFormat="1" ht="27" outlineLevel="2" x14ac:dyDescent="0.25">
      <c r="A49" s="6" t="s">
        <v>102</v>
      </c>
      <c r="B49" s="14" t="s">
        <v>420</v>
      </c>
      <c r="C49" s="54" t="s">
        <v>6</v>
      </c>
      <c r="D49" s="11">
        <v>273.15199999999999</v>
      </c>
      <c r="E49" s="55" t="s">
        <v>403</v>
      </c>
      <c r="F49" s="5" t="s">
        <v>23</v>
      </c>
      <c r="G49" s="6" t="s">
        <v>122</v>
      </c>
      <c r="H49" s="6" t="s">
        <v>123</v>
      </c>
      <c r="I49" s="6" t="s">
        <v>124</v>
      </c>
      <c r="J49" s="6" t="s">
        <v>389</v>
      </c>
      <c r="K49" s="53">
        <v>24</v>
      </c>
      <c r="L49" s="53">
        <v>1</v>
      </c>
      <c r="M49" s="9" t="s">
        <v>364</v>
      </c>
      <c r="N49" s="9" t="s">
        <v>97</v>
      </c>
    </row>
    <row r="50" spans="1:14" s="65" customFormat="1" ht="72" outlineLevel="2" x14ac:dyDescent="0.25">
      <c r="A50" s="6" t="s">
        <v>102</v>
      </c>
      <c r="B50" s="14" t="s">
        <v>421</v>
      </c>
      <c r="C50" s="54" t="s">
        <v>6</v>
      </c>
      <c r="D50" s="11">
        <v>566.27599999999995</v>
      </c>
      <c r="E50" s="55" t="s">
        <v>403</v>
      </c>
      <c r="F50" s="5" t="s">
        <v>23</v>
      </c>
      <c r="G50" s="6" t="s">
        <v>125</v>
      </c>
      <c r="H50" s="6" t="s">
        <v>126</v>
      </c>
      <c r="I50" s="6" t="s">
        <v>127</v>
      </c>
      <c r="J50" s="6" t="s">
        <v>389</v>
      </c>
      <c r="K50" s="53">
        <v>25</v>
      </c>
      <c r="L50" s="53">
        <v>1</v>
      </c>
      <c r="M50" s="9" t="s">
        <v>364</v>
      </c>
      <c r="N50" s="9" t="s">
        <v>97</v>
      </c>
    </row>
    <row r="51" spans="1:14" s="65" customFormat="1" ht="72" outlineLevel="2" x14ac:dyDescent="0.25">
      <c r="A51" s="6" t="s">
        <v>102</v>
      </c>
      <c r="B51" s="14" t="s">
        <v>422</v>
      </c>
      <c r="C51" s="54" t="s">
        <v>7</v>
      </c>
      <c r="D51" s="11">
        <v>63.718000000000004</v>
      </c>
      <c r="E51" s="55" t="s">
        <v>403</v>
      </c>
      <c r="F51" s="5" t="s">
        <v>23</v>
      </c>
      <c r="G51" s="6" t="s">
        <v>128</v>
      </c>
      <c r="H51" s="6" t="s">
        <v>129</v>
      </c>
      <c r="I51" s="6" t="s">
        <v>130</v>
      </c>
      <c r="J51" s="6" t="s">
        <v>389</v>
      </c>
      <c r="K51" s="53">
        <v>26</v>
      </c>
      <c r="L51" s="53">
        <v>1</v>
      </c>
      <c r="M51" s="9" t="s">
        <v>364</v>
      </c>
      <c r="N51" s="9" t="s">
        <v>97</v>
      </c>
    </row>
    <row r="52" spans="1:14" s="1" customFormat="1" ht="15.5" x14ac:dyDescent="0.2">
      <c r="A52" s="81" t="str">
        <f>M55</f>
        <v>Agriculture, Forestry &amp; Fisheries</v>
      </c>
      <c r="B52" s="82"/>
      <c r="C52" s="82"/>
      <c r="D52" s="82"/>
      <c r="E52" s="82"/>
      <c r="F52" s="82"/>
      <c r="G52" s="82"/>
      <c r="H52" s="82"/>
      <c r="I52" s="82"/>
      <c r="J52" s="82"/>
      <c r="K52" s="41"/>
      <c r="L52" s="41"/>
      <c r="M52" s="42"/>
      <c r="N52" s="42"/>
    </row>
    <row r="53" spans="1:14" s="1" customFormat="1" ht="14.5" x14ac:dyDescent="0.2">
      <c r="A53" s="83" t="str">
        <f>N55</f>
        <v>Agriculture</v>
      </c>
      <c r="B53" s="84"/>
      <c r="C53" s="84"/>
      <c r="D53" s="84"/>
      <c r="E53" s="84"/>
      <c r="F53" s="84"/>
      <c r="G53" s="84"/>
      <c r="H53" s="84"/>
      <c r="I53" s="84"/>
      <c r="J53" s="84"/>
      <c r="K53" s="41"/>
      <c r="L53" s="41"/>
      <c r="M53" s="42"/>
      <c r="N53" s="42"/>
    </row>
    <row r="54" spans="1:14" s="48" customFormat="1" ht="18.75" customHeight="1" x14ac:dyDescent="0.25">
      <c r="A54" s="43" t="s">
        <v>341</v>
      </c>
      <c r="B54" s="43" t="s">
        <v>200</v>
      </c>
      <c r="C54" s="44" t="s">
        <v>201</v>
      </c>
      <c r="D54" s="45" t="s">
        <v>342</v>
      </c>
      <c r="E54" s="45" t="s">
        <v>202</v>
      </c>
      <c r="F54" s="44" t="s">
        <v>343</v>
      </c>
      <c r="G54" s="46" t="s">
        <v>344</v>
      </c>
      <c r="H54" s="44" t="s">
        <v>203</v>
      </c>
      <c r="I54" s="43" t="s">
        <v>345</v>
      </c>
      <c r="J54" s="43" t="s">
        <v>346</v>
      </c>
      <c r="K54" s="47" t="s">
        <v>338</v>
      </c>
      <c r="L54" s="48" t="s">
        <v>393</v>
      </c>
      <c r="M54" s="48" t="s">
        <v>339</v>
      </c>
      <c r="N54" s="48" t="s">
        <v>340</v>
      </c>
    </row>
    <row r="55" spans="1:14" s="65" customFormat="1" ht="54" outlineLevel="2" x14ac:dyDescent="0.25">
      <c r="A55" s="6" t="s">
        <v>102</v>
      </c>
      <c r="B55" s="14" t="s">
        <v>423</v>
      </c>
      <c r="C55" s="54" t="s">
        <v>404</v>
      </c>
      <c r="D55" s="11">
        <v>352.34899999999999</v>
      </c>
      <c r="E55" s="55" t="s">
        <v>403</v>
      </c>
      <c r="F55" s="5" t="s">
        <v>23</v>
      </c>
      <c r="G55" s="6" t="s">
        <v>131</v>
      </c>
      <c r="H55" s="6" t="s">
        <v>132</v>
      </c>
      <c r="I55" s="6" t="s">
        <v>133</v>
      </c>
      <c r="J55" s="6" t="s">
        <v>389</v>
      </c>
      <c r="K55" s="53">
        <v>27</v>
      </c>
      <c r="L55" s="53">
        <v>1</v>
      </c>
      <c r="M55" s="9" t="s">
        <v>364</v>
      </c>
      <c r="N55" s="9" t="s">
        <v>97</v>
      </c>
    </row>
    <row r="56" spans="1:14" s="65" customFormat="1" ht="81" outlineLevel="2" x14ac:dyDescent="0.25">
      <c r="A56" s="6" t="s">
        <v>102</v>
      </c>
      <c r="B56" s="14" t="s">
        <v>424</v>
      </c>
      <c r="C56" s="54" t="s">
        <v>401</v>
      </c>
      <c r="D56" s="11">
        <v>503.35599999999999</v>
      </c>
      <c r="E56" s="55" t="s">
        <v>403</v>
      </c>
      <c r="F56" s="5" t="s">
        <v>134</v>
      </c>
      <c r="G56" s="6" t="s">
        <v>135</v>
      </c>
      <c r="H56" s="6" t="s">
        <v>136</v>
      </c>
      <c r="I56" s="6" t="s">
        <v>137</v>
      </c>
      <c r="J56" s="6" t="s">
        <v>389</v>
      </c>
      <c r="K56" s="53">
        <v>28</v>
      </c>
      <c r="L56" s="53">
        <v>1</v>
      </c>
      <c r="M56" s="9" t="s">
        <v>364</v>
      </c>
      <c r="N56" s="9" t="s">
        <v>97</v>
      </c>
    </row>
    <row r="57" spans="1:14" s="65" customFormat="1" ht="63" outlineLevel="2" x14ac:dyDescent="0.25">
      <c r="A57" s="6" t="s">
        <v>102</v>
      </c>
      <c r="B57" s="14" t="s">
        <v>425</v>
      </c>
      <c r="C57" s="54" t="s">
        <v>404</v>
      </c>
      <c r="D57" s="11">
        <v>5376.4790000000003</v>
      </c>
      <c r="E57" s="55" t="s">
        <v>403</v>
      </c>
      <c r="F57" s="5" t="s">
        <v>118</v>
      </c>
      <c r="G57" s="6" t="s">
        <v>138</v>
      </c>
      <c r="H57" s="6" t="s">
        <v>104</v>
      </c>
      <c r="I57" s="6" t="s">
        <v>139</v>
      </c>
      <c r="J57" s="6" t="s">
        <v>389</v>
      </c>
      <c r="K57" s="53">
        <v>29</v>
      </c>
      <c r="L57" s="53">
        <v>1</v>
      </c>
      <c r="M57" s="9" t="s">
        <v>364</v>
      </c>
      <c r="N57" s="9" t="s">
        <v>97</v>
      </c>
    </row>
    <row r="58" spans="1:14" s="65" customFormat="1" ht="45" outlineLevel="2" x14ac:dyDescent="0.25">
      <c r="A58" s="6" t="s">
        <v>102</v>
      </c>
      <c r="B58" s="14" t="s">
        <v>426</v>
      </c>
      <c r="C58" s="54" t="s">
        <v>404</v>
      </c>
      <c r="D58" s="11">
        <v>528.524</v>
      </c>
      <c r="E58" s="55" t="s">
        <v>403</v>
      </c>
      <c r="F58" s="5" t="s">
        <v>23</v>
      </c>
      <c r="G58" s="6" t="s">
        <v>140</v>
      </c>
      <c r="H58" s="6" t="s">
        <v>141</v>
      </c>
      <c r="I58" s="6" t="s">
        <v>144</v>
      </c>
      <c r="J58" s="6" t="s">
        <v>389</v>
      </c>
      <c r="K58" s="53">
        <v>30</v>
      </c>
      <c r="L58" s="53">
        <v>1</v>
      </c>
      <c r="M58" s="9" t="s">
        <v>364</v>
      </c>
      <c r="N58" s="9" t="s">
        <v>97</v>
      </c>
    </row>
    <row r="59" spans="1:14" s="65" customFormat="1" ht="54" outlineLevel="2" x14ac:dyDescent="0.25">
      <c r="A59" s="6" t="s">
        <v>102</v>
      </c>
      <c r="B59" s="14" t="s">
        <v>427</v>
      </c>
      <c r="C59" s="54" t="s">
        <v>11</v>
      </c>
      <c r="D59" s="11">
        <v>91.055999999999997</v>
      </c>
      <c r="E59" s="55" t="s">
        <v>403</v>
      </c>
      <c r="F59" s="5" t="s">
        <v>23</v>
      </c>
      <c r="G59" s="6" t="s">
        <v>145</v>
      </c>
      <c r="H59" s="6" t="s">
        <v>146</v>
      </c>
      <c r="I59" s="6" t="s">
        <v>147</v>
      </c>
      <c r="J59" s="6" t="s">
        <v>389</v>
      </c>
      <c r="K59" s="53">
        <v>31</v>
      </c>
      <c r="L59" s="53">
        <v>1</v>
      </c>
      <c r="M59" s="9" t="s">
        <v>364</v>
      </c>
      <c r="N59" s="9" t="s">
        <v>97</v>
      </c>
    </row>
    <row r="60" spans="1:14" s="1" customFormat="1" ht="15.5" x14ac:dyDescent="0.2">
      <c r="A60" s="81" t="str">
        <f>M63</f>
        <v>Agriculture, Forestry &amp; Fisheries</v>
      </c>
      <c r="B60" s="82"/>
      <c r="C60" s="82"/>
      <c r="D60" s="82"/>
      <c r="E60" s="82"/>
      <c r="F60" s="82"/>
      <c r="G60" s="82"/>
      <c r="H60" s="82"/>
      <c r="I60" s="82"/>
      <c r="J60" s="82"/>
      <c r="K60" s="41"/>
      <c r="L60" s="41"/>
      <c r="M60" s="42"/>
      <c r="N60" s="42"/>
    </row>
    <row r="61" spans="1:14" s="1" customFormat="1" ht="14.5" x14ac:dyDescent="0.2">
      <c r="A61" s="83" t="str">
        <f>N63</f>
        <v>Agriculture</v>
      </c>
      <c r="B61" s="84"/>
      <c r="C61" s="84"/>
      <c r="D61" s="84"/>
      <c r="E61" s="84"/>
      <c r="F61" s="84"/>
      <c r="G61" s="84"/>
      <c r="H61" s="84"/>
      <c r="I61" s="84"/>
      <c r="J61" s="84"/>
      <c r="K61" s="41"/>
      <c r="L61" s="41"/>
      <c r="M61" s="42"/>
      <c r="N61" s="42"/>
    </row>
    <row r="62" spans="1:14" s="48" customFormat="1" ht="18.75" customHeight="1" x14ac:dyDescent="0.25">
      <c r="A62" s="43" t="s">
        <v>341</v>
      </c>
      <c r="B62" s="43" t="s">
        <v>200</v>
      </c>
      <c r="C62" s="44" t="s">
        <v>201</v>
      </c>
      <c r="D62" s="45" t="s">
        <v>342</v>
      </c>
      <c r="E62" s="45" t="s">
        <v>202</v>
      </c>
      <c r="F62" s="44" t="s">
        <v>343</v>
      </c>
      <c r="G62" s="46" t="s">
        <v>344</v>
      </c>
      <c r="H62" s="44" t="s">
        <v>203</v>
      </c>
      <c r="I62" s="43" t="s">
        <v>345</v>
      </c>
      <c r="J62" s="43" t="s">
        <v>346</v>
      </c>
      <c r="K62" s="47" t="s">
        <v>338</v>
      </c>
      <c r="L62" s="48" t="s">
        <v>393</v>
      </c>
      <c r="M62" s="48" t="s">
        <v>339</v>
      </c>
      <c r="N62" s="48" t="s">
        <v>340</v>
      </c>
    </row>
    <row r="63" spans="1:14" s="65" customFormat="1" ht="108" outlineLevel="2" x14ac:dyDescent="0.25">
      <c r="A63" s="6" t="s">
        <v>22</v>
      </c>
      <c r="B63" s="14" t="s">
        <v>148</v>
      </c>
      <c r="C63" s="54" t="s">
        <v>401</v>
      </c>
      <c r="D63" s="11">
        <v>11010</v>
      </c>
      <c r="E63" s="55" t="s">
        <v>403</v>
      </c>
      <c r="F63" s="5" t="s">
        <v>430</v>
      </c>
      <c r="G63" s="6" t="s">
        <v>22</v>
      </c>
      <c r="H63" s="6"/>
      <c r="I63" s="6" t="s">
        <v>149</v>
      </c>
      <c r="J63" s="6" t="s">
        <v>153</v>
      </c>
      <c r="K63" s="53">
        <v>32</v>
      </c>
      <c r="L63" s="53">
        <v>1</v>
      </c>
      <c r="M63" s="9" t="s">
        <v>364</v>
      </c>
      <c r="N63" s="9" t="s">
        <v>97</v>
      </c>
    </row>
    <row r="64" spans="1:14" s="65" customFormat="1" ht="54" outlineLevel="2" x14ac:dyDescent="0.25">
      <c r="A64" s="6" t="s">
        <v>22</v>
      </c>
      <c r="B64" s="14" t="s">
        <v>154</v>
      </c>
      <c r="C64" s="54" t="s">
        <v>10</v>
      </c>
      <c r="D64" s="11">
        <v>2560</v>
      </c>
      <c r="E64" s="55" t="s">
        <v>403</v>
      </c>
      <c r="F64" s="5" t="s">
        <v>23</v>
      </c>
      <c r="G64" s="6" t="s">
        <v>23</v>
      </c>
      <c r="H64" s="6"/>
      <c r="I64" s="6" t="s">
        <v>155</v>
      </c>
      <c r="J64" s="6" t="s">
        <v>431</v>
      </c>
      <c r="K64" s="53">
        <v>33</v>
      </c>
      <c r="L64" s="53">
        <v>1</v>
      </c>
      <c r="M64" s="9" t="s">
        <v>364</v>
      </c>
      <c r="N64" s="9" t="s">
        <v>97</v>
      </c>
    </row>
    <row r="65" spans="1:14" s="65" customFormat="1" ht="27" outlineLevel="2" x14ac:dyDescent="0.25">
      <c r="A65" s="6" t="s">
        <v>156</v>
      </c>
      <c r="B65" s="14" t="s">
        <v>428</v>
      </c>
      <c r="C65" s="54" t="s">
        <v>6</v>
      </c>
      <c r="D65" s="11">
        <v>75</v>
      </c>
      <c r="E65" s="55" t="s">
        <v>403</v>
      </c>
      <c r="F65" s="5" t="s">
        <v>156</v>
      </c>
      <c r="G65" s="6" t="s">
        <v>87</v>
      </c>
      <c r="H65" s="6"/>
      <c r="I65" s="6" t="s">
        <v>157</v>
      </c>
      <c r="J65" s="6" t="s">
        <v>158</v>
      </c>
      <c r="K65" s="53">
        <v>34</v>
      </c>
      <c r="L65" s="53">
        <v>1</v>
      </c>
      <c r="M65" s="9" t="s">
        <v>364</v>
      </c>
      <c r="N65" s="9" t="s">
        <v>97</v>
      </c>
    </row>
    <row r="66" spans="1:14" s="65" customFormat="1" ht="45" outlineLevel="2" x14ac:dyDescent="0.25">
      <c r="A66" s="6" t="s">
        <v>69</v>
      </c>
      <c r="B66" s="14" t="s">
        <v>429</v>
      </c>
      <c r="C66" s="54" t="s">
        <v>406</v>
      </c>
      <c r="D66" s="11">
        <v>60000</v>
      </c>
      <c r="E66" s="55" t="s">
        <v>403</v>
      </c>
      <c r="F66" s="5" t="s">
        <v>23</v>
      </c>
      <c r="G66" s="6"/>
      <c r="H66" s="6"/>
      <c r="I66" s="6" t="s">
        <v>159</v>
      </c>
      <c r="J66" s="6" t="s">
        <v>160</v>
      </c>
      <c r="K66" s="53">
        <v>35</v>
      </c>
      <c r="L66" s="53">
        <v>1</v>
      </c>
      <c r="M66" s="9" t="s">
        <v>364</v>
      </c>
      <c r="N66" s="9" t="s">
        <v>97</v>
      </c>
    </row>
    <row r="67" spans="1:14" s="65" customFormat="1" ht="27" outlineLevel="2" x14ac:dyDescent="0.25">
      <c r="A67" s="6" t="s">
        <v>162</v>
      </c>
      <c r="B67" s="14" t="s">
        <v>161</v>
      </c>
      <c r="C67" s="54" t="s">
        <v>7</v>
      </c>
      <c r="D67" s="11">
        <v>280</v>
      </c>
      <c r="E67" s="55" t="s">
        <v>403</v>
      </c>
      <c r="F67" s="5" t="s">
        <v>23</v>
      </c>
      <c r="G67" s="6"/>
      <c r="H67" s="6"/>
      <c r="I67" s="6" t="s">
        <v>163</v>
      </c>
      <c r="J67" s="6" t="s">
        <v>59</v>
      </c>
      <c r="K67" s="53">
        <v>37</v>
      </c>
      <c r="L67" s="53">
        <v>1</v>
      </c>
      <c r="M67" s="9" t="s">
        <v>364</v>
      </c>
      <c r="N67" s="9" t="s">
        <v>97</v>
      </c>
    </row>
    <row r="68" spans="1:14" s="65" customFormat="1" ht="54" outlineLevel="2" x14ac:dyDescent="0.25">
      <c r="A68" s="6" t="s">
        <v>162</v>
      </c>
      <c r="B68" s="14" t="s">
        <v>164</v>
      </c>
      <c r="C68" s="54" t="s">
        <v>7</v>
      </c>
      <c r="D68" s="11">
        <v>400</v>
      </c>
      <c r="E68" s="55" t="s">
        <v>403</v>
      </c>
      <c r="F68" s="5" t="s">
        <v>23</v>
      </c>
      <c r="G68" s="6"/>
      <c r="H68" s="6"/>
      <c r="I68" s="6" t="s">
        <v>165</v>
      </c>
      <c r="J68" s="6" t="s">
        <v>59</v>
      </c>
      <c r="K68" s="53">
        <v>38</v>
      </c>
      <c r="L68" s="53">
        <v>1</v>
      </c>
      <c r="M68" s="9" t="s">
        <v>364</v>
      </c>
      <c r="N68" s="9" t="s">
        <v>97</v>
      </c>
    </row>
    <row r="69" spans="1:14" s="65" customFormat="1" ht="29.25" customHeight="1" outlineLevel="2" x14ac:dyDescent="0.25">
      <c r="A69" s="6" t="s">
        <v>395</v>
      </c>
      <c r="B69" s="14" t="s">
        <v>394</v>
      </c>
      <c r="C69" s="54" t="s">
        <v>405</v>
      </c>
      <c r="D69" s="11" t="s">
        <v>35</v>
      </c>
      <c r="E69" s="55" t="s">
        <v>402</v>
      </c>
      <c r="F69" s="5" t="s">
        <v>87</v>
      </c>
      <c r="G69" s="6" t="s">
        <v>397</v>
      </c>
      <c r="H69" s="6"/>
      <c r="I69" s="6" t="s">
        <v>315</v>
      </c>
      <c r="J69" s="6" t="s">
        <v>396</v>
      </c>
      <c r="K69" s="53">
        <v>39</v>
      </c>
      <c r="L69" s="53">
        <v>1</v>
      </c>
      <c r="M69" s="9" t="s">
        <v>364</v>
      </c>
      <c r="N69" s="9" t="s">
        <v>97</v>
      </c>
    </row>
    <row r="70" spans="1:14" s="65" customFormat="1" ht="24" customHeight="1" outlineLevel="2" x14ac:dyDescent="0.25">
      <c r="A70" s="6" t="s">
        <v>307</v>
      </c>
      <c r="B70" s="14" t="s">
        <v>166</v>
      </c>
      <c r="C70" s="54" t="s">
        <v>7</v>
      </c>
      <c r="D70" s="11">
        <v>2040</v>
      </c>
      <c r="E70" s="55" t="s">
        <v>403</v>
      </c>
      <c r="F70" s="5" t="s">
        <v>23</v>
      </c>
      <c r="G70" s="6" t="s">
        <v>42</v>
      </c>
      <c r="H70" s="6"/>
      <c r="I70" s="6" t="s">
        <v>167</v>
      </c>
      <c r="J70" s="6" t="s">
        <v>168</v>
      </c>
      <c r="K70" s="53">
        <v>40</v>
      </c>
      <c r="L70" s="53">
        <v>1</v>
      </c>
      <c r="M70" s="9" t="s">
        <v>364</v>
      </c>
      <c r="N70" s="9" t="s">
        <v>97</v>
      </c>
    </row>
    <row r="71" spans="1:14" s="65" customFormat="1" ht="27" outlineLevel="2" x14ac:dyDescent="0.25">
      <c r="A71" s="6" t="s">
        <v>412</v>
      </c>
      <c r="B71" s="14" t="s">
        <v>169</v>
      </c>
      <c r="C71" s="54" t="s">
        <v>9</v>
      </c>
      <c r="D71" s="11" t="s">
        <v>35</v>
      </c>
      <c r="E71" s="55" t="s">
        <v>403</v>
      </c>
      <c r="F71" s="5" t="s">
        <v>23</v>
      </c>
      <c r="G71" s="6"/>
      <c r="H71" s="6"/>
      <c r="I71" s="6" t="s">
        <v>170</v>
      </c>
      <c r="J71" s="6" t="s">
        <v>389</v>
      </c>
      <c r="K71" s="53">
        <v>41</v>
      </c>
      <c r="L71" s="53">
        <v>1</v>
      </c>
      <c r="M71" s="9" t="s">
        <v>364</v>
      </c>
      <c r="N71" s="9" t="s">
        <v>97</v>
      </c>
    </row>
    <row r="72" spans="1:14" s="12" customFormat="1" ht="15" hidden="1" customHeight="1" outlineLevel="1" x14ac:dyDescent="0.2">
      <c r="A72" s="6"/>
      <c r="B72" s="4"/>
      <c r="C72" s="5"/>
      <c r="D72" s="11"/>
      <c r="E72" s="21"/>
      <c r="F72" s="5"/>
      <c r="G72" s="5"/>
      <c r="H72" s="5"/>
      <c r="I72" s="5"/>
      <c r="J72" s="6"/>
      <c r="K72" s="7"/>
      <c r="L72" s="7">
        <f>SUBTOTAL(9,L43:L71)</f>
        <v>23</v>
      </c>
      <c r="M72" s="23"/>
      <c r="N72" s="35" t="s">
        <v>283</v>
      </c>
    </row>
    <row r="73" spans="1:14" s="1" customFormat="1" ht="15.5" collapsed="1" x14ac:dyDescent="0.2">
      <c r="A73" s="81" t="str">
        <f>M76</f>
        <v>Agriculture, Forestry &amp; Fisheries</v>
      </c>
      <c r="B73" s="82"/>
      <c r="C73" s="82"/>
      <c r="D73" s="82"/>
      <c r="E73" s="82"/>
      <c r="F73" s="82"/>
      <c r="G73" s="82"/>
      <c r="H73" s="82"/>
      <c r="I73" s="82"/>
      <c r="J73" s="82"/>
      <c r="K73" s="41"/>
      <c r="L73" s="41"/>
      <c r="M73" s="42"/>
      <c r="N73" s="42"/>
    </row>
    <row r="74" spans="1:14" s="1" customFormat="1" ht="14.5" x14ac:dyDescent="0.2">
      <c r="A74" s="83" t="str">
        <f>N76</f>
        <v>Fisheries &amp; acquaculture</v>
      </c>
      <c r="B74" s="84"/>
      <c r="C74" s="84"/>
      <c r="D74" s="84"/>
      <c r="E74" s="84"/>
      <c r="F74" s="84"/>
      <c r="G74" s="84"/>
      <c r="H74" s="84"/>
      <c r="I74" s="84"/>
      <c r="J74" s="84"/>
      <c r="K74" s="41"/>
      <c r="L74" s="41"/>
      <c r="M74" s="42"/>
      <c r="N74" s="42"/>
    </row>
    <row r="75" spans="1:14" s="48" customFormat="1" ht="18.75" customHeight="1" x14ac:dyDescent="0.25">
      <c r="A75" s="43" t="s">
        <v>341</v>
      </c>
      <c r="B75" s="43" t="s">
        <v>200</v>
      </c>
      <c r="C75" s="44" t="s">
        <v>201</v>
      </c>
      <c r="D75" s="45" t="s">
        <v>342</v>
      </c>
      <c r="E75" s="45" t="s">
        <v>202</v>
      </c>
      <c r="F75" s="44" t="s">
        <v>343</v>
      </c>
      <c r="G75" s="46" t="s">
        <v>344</v>
      </c>
      <c r="H75" s="44" t="s">
        <v>203</v>
      </c>
      <c r="I75" s="43" t="s">
        <v>345</v>
      </c>
      <c r="J75" s="43" t="s">
        <v>346</v>
      </c>
      <c r="K75" s="47" t="s">
        <v>338</v>
      </c>
      <c r="L75" s="48" t="s">
        <v>393</v>
      </c>
      <c r="M75" s="48" t="s">
        <v>339</v>
      </c>
      <c r="N75" s="48" t="s">
        <v>340</v>
      </c>
    </row>
    <row r="76" spans="1:14" s="65" customFormat="1" ht="63" outlineLevel="2" x14ac:dyDescent="0.25">
      <c r="A76" s="6" t="s">
        <v>102</v>
      </c>
      <c r="B76" s="14" t="s">
        <v>434</v>
      </c>
      <c r="C76" s="54" t="s">
        <v>6</v>
      </c>
      <c r="D76" s="11">
        <v>471.89600000000002</v>
      </c>
      <c r="E76" s="55" t="s">
        <v>403</v>
      </c>
      <c r="F76" s="5" t="s">
        <v>134</v>
      </c>
      <c r="G76" s="6" t="s">
        <v>135</v>
      </c>
      <c r="H76" s="6" t="s">
        <v>172</v>
      </c>
      <c r="I76" s="6" t="s">
        <v>173</v>
      </c>
      <c r="J76" s="6" t="s">
        <v>389</v>
      </c>
      <c r="K76" s="53">
        <v>42</v>
      </c>
      <c r="L76" s="53">
        <v>1</v>
      </c>
      <c r="M76" s="9" t="s">
        <v>364</v>
      </c>
      <c r="N76" s="9" t="s">
        <v>171</v>
      </c>
    </row>
    <row r="77" spans="1:14" s="65" customFormat="1" ht="153" outlineLevel="2" x14ac:dyDescent="0.25">
      <c r="A77" s="6" t="s">
        <v>102</v>
      </c>
      <c r="B77" s="14" t="s">
        <v>435</v>
      </c>
      <c r="C77" s="54" t="s">
        <v>8</v>
      </c>
      <c r="D77" s="11">
        <v>377.517</v>
      </c>
      <c r="E77" s="55" t="s">
        <v>403</v>
      </c>
      <c r="F77" s="5" t="s">
        <v>174</v>
      </c>
      <c r="G77" s="6" t="s">
        <v>175</v>
      </c>
      <c r="H77" s="6" t="s">
        <v>176</v>
      </c>
      <c r="I77" s="6" t="s">
        <v>316</v>
      </c>
      <c r="J77" s="6" t="s">
        <v>177</v>
      </c>
      <c r="K77" s="53">
        <v>43</v>
      </c>
      <c r="L77" s="53">
        <v>1</v>
      </c>
      <c r="M77" s="9" t="s">
        <v>364</v>
      </c>
      <c r="N77" s="9" t="s">
        <v>171</v>
      </c>
    </row>
    <row r="78" spans="1:14" s="65" customFormat="1" ht="27" outlineLevel="2" x14ac:dyDescent="0.25">
      <c r="A78" s="6" t="s">
        <v>69</v>
      </c>
      <c r="B78" s="14" t="s">
        <v>436</v>
      </c>
      <c r="C78" s="54" t="s">
        <v>401</v>
      </c>
      <c r="D78" s="11">
        <v>40.5</v>
      </c>
      <c r="E78" s="55" t="s">
        <v>403</v>
      </c>
      <c r="F78" s="5" t="s">
        <v>174</v>
      </c>
      <c r="G78" s="6" t="s">
        <v>178</v>
      </c>
      <c r="H78" s="6"/>
      <c r="I78" s="6" t="s">
        <v>179</v>
      </c>
      <c r="J78" s="6" t="s">
        <v>386</v>
      </c>
      <c r="K78" s="53">
        <v>44</v>
      </c>
      <c r="L78" s="53">
        <v>1</v>
      </c>
      <c r="M78" s="9" t="s">
        <v>364</v>
      </c>
      <c r="N78" s="9" t="s">
        <v>171</v>
      </c>
    </row>
    <row r="79" spans="1:14" s="65" customFormat="1" ht="27" outlineLevel="2" x14ac:dyDescent="0.25">
      <c r="A79" s="6" t="s">
        <v>69</v>
      </c>
      <c r="B79" s="14" t="s">
        <v>180</v>
      </c>
      <c r="C79" s="54" t="s">
        <v>401</v>
      </c>
      <c r="D79" s="11">
        <v>1000</v>
      </c>
      <c r="E79" s="55" t="s">
        <v>403</v>
      </c>
      <c r="F79" s="5"/>
      <c r="G79" s="6"/>
      <c r="H79" s="6"/>
      <c r="I79" s="6" t="s">
        <v>181</v>
      </c>
      <c r="J79" s="6" t="s">
        <v>378</v>
      </c>
      <c r="K79" s="53">
        <v>45</v>
      </c>
      <c r="L79" s="53">
        <v>0</v>
      </c>
      <c r="M79" s="9" t="s">
        <v>364</v>
      </c>
      <c r="N79" s="9" t="s">
        <v>171</v>
      </c>
    </row>
    <row r="80" spans="1:14" s="65" customFormat="1" ht="27" outlineLevel="2" x14ac:dyDescent="0.25">
      <c r="A80" s="6" t="s">
        <v>57</v>
      </c>
      <c r="B80" s="14" t="s">
        <v>180</v>
      </c>
      <c r="C80" s="54" t="s">
        <v>401</v>
      </c>
      <c r="D80" s="11">
        <v>336</v>
      </c>
      <c r="E80" s="55" t="s">
        <v>403</v>
      </c>
      <c r="F80" s="5"/>
      <c r="G80" s="6"/>
      <c r="H80" s="6"/>
      <c r="I80" s="6" t="s">
        <v>181</v>
      </c>
      <c r="J80" s="6" t="s">
        <v>378</v>
      </c>
      <c r="K80" s="53">
        <v>45</v>
      </c>
      <c r="L80" s="53">
        <v>1</v>
      </c>
      <c r="M80" s="9" t="s">
        <v>364</v>
      </c>
      <c r="N80" s="9" t="s">
        <v>171</v>
      </c>
    </row>
    <row r="81" spans="1:14" s="65" customFormat="1" ht="36" outlineLevel="2" x14ac:dyDescent="0.25">
      <c r="A81" s="6" t="s">
        <v>162</v>
      </c>
      <c r="B81" s="14" t="s">
        <v>183</v>
      </c>
      <c r="C81" s="54" t="s">
        <v>10</v>
      </c>
      <c r="D81" s="11"/>
      <c r="E81" s="55" t="s">
        <v>403</v>
      </c>
      <c r="F81" s="5" t="s">
        <v>23</v>
      </c>
      <c r="G81" s="6"/>
      <c r="H81" s="6"/>
      <c r="I81" s="6" t="s">
        <v>184</v>
      </c>
      <c r="J81" s="6" t="s">
        <v>59</v>
      </c>
      <c r="K81" s="53">
        <v>47</v>
      </c>
      <c r="L81" s="53">
        <v>1</v>
      </c>
      <c r="M81" s="9" t="s">
        <v>364</v>
      </c>
      <c r="N81" s="9" t="s">
        <v>182</v>
      </c>
    </row>
    <row r="82" spans="1:14" s="1" customFormat="1" ht="15.5" x14ac:dyDescent="0.2">
      <c r="A82" s="81" t="str">
        <f>M85</f>
        <v>Agriculture, Forestry &amp; Fisheries</v>
      </c>
      <c r="B82" s="82"/>
      <c r="C82" s="82"/>
      <c r="D82" s="82"/>
      <c r="E82" s="82"/>
      <c r="F82" s="82"/>
      <c r="G82" s="82"/>
      <c r="H82" s="82"/>
      <c r="I82" s="82"/>
      <c r="J82" s="82"/>
      <c r="K82" s="41"/>
      <c r="L82" s="41"/>
      <c r="M82" s="42"/>
      <c r="N82" s="42"/>
    </row>
    <row r="83" spans="1:14" s="1" customFormat="1" ht="14.5" x14ac:dyDescent="0.2">
      <c r="A83" s="83" t="str">
        <f>N85</f>
        <v>Forestry</v>
      </c>
      <c r="B83" s="84"/>
      <c r="C83" s="84"/>
      <c r="D83" s="84"/>
      <c r="E83" s="84"/>
      <c r="F83" s="84"/>
      <c r="G83" s="84"/>
      <c r="H83" s="84"/>
      <c r="I83" s="84"/>
      <c r="J83" s="84"/>
      <c r="K83" s="41"/>
      <c r="L83" s="41"/>
      <c r="M83" s="42"/>
      <c r="N83" s="42"/>
    </row>
    <row r="84" spans="1:14" s="48" customFormat="1" ht="18.75" customHeight="1" x14ac:dyDescent="0.25">
      <c r="A84" s="43" t="s">
        <v>341</v>
      </c>
      <c r="B84" s="43" t="s">
        <v>200</v>
      </c>
      <c r="C84" s="44" t="s">
        <v>201</v>
      </c>
      <c r="D84" s="45" t="s">
        <v>342</v>
      </c>
      <c r="E84" s="45" t="s">
        <v>202</v>
      </c>
      <c r="F84" s="44" t="s">
        <v>343</v>
      </c>
      <c r="G84" s="46" t="s">
        <v>344</v>
      </c>
      <c r="H84" s="44" t="s">
        <v>203</v>
      </c>
      <c r="I84" s="43" t="s">
        <v>345</v>
      </c>
      <c r="J84" s="43" t="s">
        <v>346</v>
      </c>
      <c r="K84" s="47" t="s">
        <v>338</v>
      </c>
      <c r="L84" s="48" t="s">
        <v>393</v>
      </c>
      <c r="M84" s="48" t="s">
        <v>339</v>
      </c>
      <c r="N84" s="48" t="s">
        <v>340</v>
      </c>
    </row>
    <row r="85" spans="1:14" s="65" customFormat="1" ht="54" outlineLevel="2" x14ac:dyDescent="0.25">
      <c r="A85" s="6" t="s">
        <v>412</v>
      </c>
      <c r="B85" s="14" t="s">
        <v>185</v>
      </c>
      <c r="C85" s="54" t="s">
        <v>400</v>
      </c>
      <c r="D85" s="11"/>
      <c r="E85" s="55" t="s">
        <v>403</v>
      </c>
      <c r="F85" s="5" t="s">
        <v>23</v>
      </c>
      <c r="G85" s="6"/>
      <c r="H85" s="6"/>
      <c r="I85" s="6" t="s">
        <v>186</v>
      </c>
      <c r="J85" s="6" t="s">
        <v>187</v>
      </c>
      <c r="K85" s="53">
        <v>48</v>
      </c>
      <c r="L85" s="53">
        <v>1</v>
      </c>
      <c r="M85" s="9" t="s">
        <v>364</v>
      </c>
      <c r="N85" s="9" t="s">
        <v>182</v>
      </c>
    </row>
    <row r="86" spans="1:14" s="65" customFormat="1" ht="27" outlineLevel="2" x14ac:dyDescent="0.25">
      <c r="A86" s="6" t="s">
        <v>60</v>
      </c>
      <c r="B86" s="14" t="s">
        <v>188</v>
      </c>
      <c r="C86" s="54" t="s">
        <v>404</v>
      </c>
      <c r="D86" s="11">
        <v>500</v>
      </c>
      <c r="E86" s="55" t="s">
        <v>403</v>
      </c>
      <c r="F86" s="5" t="s">
        <v>189</v>
      </c>
      <c r="G86" s="6" t="s">
        <v>86</v>
      </c>
      <c r="H86" s="6"/>
      <c r="I86" s="6" t="s">
        <v>190</v>
      </c>
      <c r="J86" s="6" t="s">
        <v>191</v>
      </c>
      <c r="K86" s="53">
        <v>49</v>
      </c>
      <c r="L86" s="53">
        <v>0</v>
      </c>
      <c r="M86" s="9" t="s">
        <v>364</v>
      </c>
      <c r="N86" s="9" t="s">
        <v>182</v>
      </c>
    </row>
    <row r="87" spans="1:14" s="65" customFormat="1" ht="27" outlineLevel="2" x14ac:dyDescent="0.25">
      <c r="A87" s="6" t="s">
        <v>86</v>
      </c>
      <c r="B87" s="14" t="s">
        <v>188</v>
      </c>
      <c r="C87" s="54" t="s">
        <v>404</v>
      </c>
      <c r="D87" s="11">
        <v>200</v>
      </c>
      <c r="E87" s="55" t="s">
        <v>403</v>
      </c>
      <c r="F87" s="5" t="s">
        <v>189</v>
      </c>
      <c r="G87" s="6" t="s">
        <v>86</v>
      </c>
      <c r="H87" s="6"/>
      <c r="I87" s="6" t="s">
        <v>190</v>
      </c>
      <c r="J87" s="6" t="s">
        <v>191</v>
      </c>
      <c r="K87" s="53">
        <v>49</v>
      </c>
      <c r="L87" s="53">
        <v>1</v>
      </c>
      <c r="M87" s="9" t="s">
        <v>364</v>
      </c>
      <c r="N87" s="9" t="s">
        <v>182</v>
      </c>
    </row>
    <row r="88" spans="1:14" s="65" customFormat="1" ht="45" outlineLevel="2" x14ac:dyDescent="0.25">
      <c r="A88" s="6" t="s">
        <v>193</v>
      </c>
      <c r="B88" s="14" t="s">
        <v>192</v>
      </c>
      <c r="C88" s="54" t="s">
        <v>9</v>
      </c>
      <c r="D88" s="11">
        <v>2755</v>
      </c>
      <c r="E88" s="55" t="s">
        <v>403</v>
      </c>
      <c r="F88" s="5" t="s">
        <v>194</v>
      </c>
      <c r="G88" s="6" t="s">
        <v>195</v>
      </c>
      <c r="H88" s="6"/>
      <c r="I88" s="6" t="s">
        <v>196</v>
      </c>
      <c r="J88" s="6" t="s">
        <v>444</v>
      </c>
      <c r="K88" s="53">
        <v>50</v>
      </c>
      <c r="L88" s="53">
        <v>1</v>
      </c>
      <c r="M88" s="9" t="s">
        <v>364</v>
      </c>
      <c r="N88" s="9" t="s">
        <v>182</v>
      </c>
    </row>
    <row r="89" spans="1:14" s="12" customFormat="1" ht="18" hidden="1" outlineLevel="1" x14ac:dyDescent="0.2">
      <c r="A89" s="6"/>
      <c r="B89" s="13"/>
      <c r="C89" s="5"/>
      <c r="D89" s="11"/>
      <c r="E89" s="9"/>
      <c r="F89" s="5"/>
      <c r="G89" s="6"/>
      <c r="H89" s="5"/>
      <c r="I89" s="5"/>
      <c r="J89" s="6"/>
      <c r="K89" s="7"/>
      <c r="L89" s="7">
        <f>SUBTOTAL(9,L81:L88)</f>
        <v>4</v>
      </c>
      <c r="M89" s="9"/>
      <c r="N89" s="36" t="s">
        <v>284</v>
      </c>
    </row>
    <row r="90" spans="1:14" s="1" customFormat="1" ht="15.5" collapsed="1" x14ac:dyDescent="0.2">
      <c r="A90" s="81" t="str">
        <f>M93</f>
        <v>Rural dev't policy and reform</v>
      </c>
      <c r="B90" s="82"/>
      <c r="C90" s="82"/>
      <c r="D90" s="82"/>
      <c r="E90" s="82"/>
      <c r="F90" s="82"/>
      <c r="G90" s="82"/>
      <c r="H90" s="82"/>
      <c r="I90" s="82"/>
      <c r="J90" s="82"/>
      <c r="K90" s="41"/>
      <c r="L90" s="41"/>
      <c r="M90" s="42"/>
      <c r="N90" s="42"/>
    </row>
    <row r="91" spans="1:14" s="1" customFormat="1" ht="14.5" x14ac:dyDescent="0.2">
      <c r="A91" s="83" t="str">
        <f>N93</f>
        <v>Rural dev't policy and reform</v>
      </c>
      <c r="B91" s="84"/>
      <c r="C91" s="84"/>
      <c r="D91" s="84"/>
      <c r="E91" s="84"/>
      <c r="F91" s="84"/>
      <c r="G91" s="84"/>
      <c r="H91" s="84"/>
      <c r="I91" s="84"/>
      <c r="J91" s="84"/>
      <c r="K91" s="41"/>
      <c r="L91" s="41"/>
      <c r="M91" s="42"/>
      <c r="N91" s="42"/>
    </row>
    <row r="92" spans="1:14" s="48" customFormat="1" ht="18.75" customHeight="1" x14ac:dyDescent="0.25">
      <c r="A92" s="43" t="s">
        <v>341</v>
      </c>
      <c r="B92" s="43" t="s">
        <v>200</v>
      </c>
      <c r="C92" s="44" t="s">
        <v>201</v>
      </c>
      <c r="D92" s="45" t="s">
        <v>342</v>
      </c>
      <c r="E92" s="45" t="s">
        <v>202</v>
      </c>
      <c r="F92" s="44" t="s">
        <v>343</v>
      </c>
      <c r="G92" s="46" t="s">
        <v>344</v>
      </c>
      <c r="H92" s="44" t="s">
        <v>203</v>
      </c>
      <c r="I92" s="43" t="s">
        <v>345</v>
      </c>
      <c r="J92" s="43" t="s">
        <v>346</v>
      </c>
      <c r="K92" s="47" t="s">
        <v>338</v>
      </c>
      <c r="L92" s="48" t="s">
        <v>393</v>
      </c>
      <c r="M92" s="48" t="s">
        <v>339</v>
      </c>
      <c r="N92" s="48" t="s">
        <v>340</v>
      </c>
    </row>
    <row r="93" spans="1:14" s="65" customFormat="1" ht="36" outlineLevel="2" x14ac:dyDescent="0.25">
      <c r="A93" s="6" t="s">
        <v>24</v>
      </c>
      <c r="B93" s="14" t="s">
        <v>437</v>
      </c>
      <c r="C93" s="54" t="s">
        <v>10</v>
      </c>
      <c r="D93" s="11">
        <v>1111</v>
      </c>
      <c r="E93" s="55" t="s">
        <v>403</v>
      </c>
      <c r="F93" s="5" t="s">
        <v>197</v>
      </c>
      <c r="G93" s="6" t="s">
        <v>198</v>
      </c>
      <c r="H93" s="6" t="s">
        <v>199</v>
      </c>
      <c r="I93" s="6" t="s">
        <v>204</v>
      </c>
      <c r="J93" s="6" t="s">
        <v>205</v>
      </c>
      <c r="K93" s="53">
        <v>51</v>
      </c>
      <c r="L93" s="53">
        <v>1</v>
      </c>
      <c r="M93" s="9" t="s">
        <v>152</v>
      </c>
      <c r="N93" s="9" t="s">
        <v>152</v>
      </c>
    </row>
    <row r="94" spans="1:14" s="65" customFormat="1" ht="36" outlineLevel="2" x14ac:dyDescent="0.25">
      <c r="A94" s="6" t="s">
        <v>206</v>
      </c>
      <c r="B94" s="14" t="s">
        <v>368</v>
      </c>
      <c r="C94" s="54" t="s">
        <v>5</v>
      </c>
      <c r="D94" s="11">
        <v>5</v>
      </c>
      <c r="E94" s="55" t="s">
        <v>403</v>
      </c>
      <c r="F94" s="5" t="s">
        <v>207</v>
      </c>
      <c r="G94" s="6"/>
      <c r="H94" s="6"/>
      <c r="I94" s="6" t="s">
        <v>208</v>
      </c>
      <c r="J94" s="6" t="s">
        <v>0</v>
      </c>
      <c r="K94" s="53">
        <v>52</v>
      </c>
      <c r="L94" s="53">
        <v>1</v>
      </c>
      <c r="M94" s="9" t="s">
        <v>152</v>
      </c>
      <c r="N94" s="9" t="s">
        <v>152</v>
      </c>
    </row>
    <row r="95" spans="1:14" s="65" customFormat="1" ht="27" outlineLevel="2" x14ac:dyDescent="0.25">
      <c r="A95" s="6" t="s">
        <v>307</v>
      </c>
      <c r="B95" s="14" t="s">
        <v>209</v>
      </c>
      <c r="C95" s="54" t="s">
        <v>12</v>
      </c>
      <c r="D95" s="11">
        <v>2331</v>
      </c>
      <c r="E95" s="55" t="s">
        <v>403</v>
      </c>
      <c r="F95" s="5" t="s">
        <v>210</v>
      </c>
      <c r="G95" s="6" t="s">
        <v>42</v>
      </c>
      <c r="H95" s="6"/>
      <c r="I95" s="6" t="s">
        <v>211</v>
      </c>
      <c r="J95" s="6" t="s">
        <v>212</v>
      </c>
      <c r="K95" s="53">
        <v>53</v>
      </c>
      <c r="L95" s="53">
        <v>1</v>
      </c>
      <c r="M95" s="9" t="s">
        <v>152</v>
      </c>
      <c r="N95" s="9" t="s">
        <v>152</v>
      </c>
    </row>
    <row r="96" spans="1:14" s="12" customFormat="1" ht="27" hidden="1" outlineLevel="1" x14ac:dyDescent="0.2">
      <c r="A96" s="6"/>
      <c r="B96" s="13"/>
      <c r="C96" s="5"/>
      <c r="D96" s="11"/>
      <c r="E96" s="55" t="s">
        <v>403</v>
      </c>
      <c r="F96" s="5"/>
      <c r="G96" s="6"/>
      <c r="H96" s="6"/>
      <c r="I96" s="6"/>
      <c r="J96" s="6"/>
      <c r="K96" s="7"/>
      <c r="L96" s="7">
        <f>SUBTOTAL(9,L93:L95)</f>
        <v>3</v>
      </c>
      <c r="M96" s="9" t="s">
        <v>152</v>
      </c>
      <c r="N96" s="9" t="s">
        <v>152</v>
      </c>
    </row>
    <row r="97" spans="1:14" s="12" customFormat="1" ht="45" outlineLevel="1" x14ac:dyDescent="0.2">
      <c r="A97" s="71" t="s">
        <v>60</v>
      </c>
      <c r="B97" s="6" t="s">
        <v>358</v>
      </c>
      <c r="C97" s="72" t="s">
        <v>401</v>
      </c>
      <c r="D97" s="73">
        <v>1661.7</v>
      </c>
      <c r="E97" s="55" t="s">
        <v>403</v>
      </c>
      <c r="F97" s="72" t="s">
        <v>57</v>
      </c>
      <c r="G97" s="71" t="s">
        <v>23</v>
      </c>
      <c r="H97" s="71"/>
      <c r="I97" s="6" t="s">
        <v>359</v>
      </c>
      <c r="J97" s="71" t="s">
        <v>59</v>
      </c>
      <c r="K97" s="7"/>
      <c r="L97" s="7">
        <v>1</v>
      </c>
      <c r="M97" s="9" t="s">
        <v>152</v>
      </c>
      <c r="N97" s="9" t="s">
        <v>152</v>
      </c>
    </row>
    <row r="98" spans="1:14" s="4" customFormat="1" ht="27" outlineLevel="1" x14ac:dyDescent="0.2">
      <c r="A98" s="71" t="s">
        <v>72</v>
      </c>
      <c r="B98" s="6" t="s">
        <v>362</v>
      </c>
      <c r="C98" s="72" t="s">
        <v>360</v>
      </c>
      <c r="D98" s="11">
        <v>3800</v>
      </c>
      <c r="E98" s="14" t="s">
        <v>403</v>
      </c>
      <c r="F98" s="5" t="s">
        <v>79</v>
      </c>
      <c r="G98" s="6" t="s">
        <v>80</v>
      </c>
      <c r="H98" s="6"/>
      <c r="I98" s="6" t="s">
        <v>81</v>
      </c>
      <c r="J98" s="6" t="s">
        <v>74</v>
      </c>
      <c r="K98" s="7"/>
      <c r="L98" s="7">
        <v>1</v>
      </c>
      <c r="M98" s="9" t="s">
        <v>152</v>
      </c>
      <c r="N98" s="9" t="s">
        <v>152</v>
      </c>
    </row>
    <row r="99" spans="1:14" s="1" customFormat="1" ht="30" customHeight="1" x14ac:dyDescent="0.35">
      <c r="A99" s="85" t="str">
        <f>M102</f>
        <v>Rural education</v>
      </c>
      <c r="B99" s="86"/>
      <c r="C99" s="86"/>
      <c r="D99" s="86"/>
      <c r="E99" s="86"/>
      <c r="F99" s="86"/>
      <c r="G99" s="86"/>
      <c r="H99" s="86"/>
      <c r="I99" s="86"/>
      <c r="J99" s="86"/>
      <c r="K99" s="41"/>
      <c r="L99" s="41"/>
      <c r="M99" s="42"/>
      <c r="N99" s="42"/>
    </row>
    <row r="100" spans="1:14" s="1" customFormat="1" ht="14.5" x14ac:dyDescent="0.2">
      <c r="A100" s="83" t="str">
        <f>N102</f>
        <v>Primary education</v>
      </c>
      <c r="B100" s="84"/>
      <c r="C100" s="84"/>
      <c r="D100" s="84"/>
      <c r="E100" s="84"/>
      <c r="F100" s="84"/>
      <c r="G100" s="84"/>
      <c r="H100" s="84"/>
      <c r="I100" s="84"/>
      <c r="J100" s="84"/>
      <c r="K100" s="41"/>
      <c r="L100" s="41"/>
      <c r="M100" s="42"/>
      <c r="N100" s="42"/>
    </row>
    <row r="101" spans="1:14" s="48" customFormat="1" ht="18.75" customHeight="1" x14ac:dyDescent="0.25">
      <c r="A101" s="43" t="s">
        <v>341</v>
      </c>
      <c r="B101" s="43" t="s">
        <v>200</v>
      </c>
      <c r="C101" s="44" t="s">
        <v>201</v>
      </c>
      <c r="D101" s="45" t="s">
        <v>342</v>
      </c>
      <c r="E101" s="45" t="s">
        <v>202</v>
      </c>
      <c r="F101" s="44" t="s">
        <v>343</v>
      </c>
      <c r="G101" s="46" t="s">
        <v>344</v>
      </c>
      <c r="H101" s="44" t="s">
        <v>203</v>
      </c>
      <c r="I101" s="43" t="s">
        <v>345</v>
      </c>
      <c r="J101" s="43" t="s">
        <v>346</v>
      </c>
      <c r="K101" s="47" t="s">
        <v>338</v>
      </c>
      <c r="L101" s="48" t="s">
        <v>393</v>
      </c>
      <c r="M101" s="48" t="s">
        <v>339</v>
      </c>
      <c r="N101" s="48" t="s">
        <v>340</v>
      </c>
    </row>
    <row r="102" spans="1:14" s="65" customFormat="1" ht="27" outlineLevel="2" x14ac:dyDescent="0.25">
      <c r="A102" s="6" t="s">
        <v>215</v>
      </c>
      <c r="B102" s="14" t="s">
        <v>438</v>
      </c>
      <c r="C102" s="54" t="s">
        <v>404</v>
      </c>
      <c r="D102" s="11">
        <v>258</v>
      </c>
      <c r="E102" s="55" t="s">
        <v>403</v>
      </c>
      <c r="F102" s="5" t="s">
        <v>156</v>
      </c>
      <c r="G102" s="6"/>
      <c r="H102" s="6"/>
      <c r="I102" s="6" t="s">
        <v>216</v>
      </c>
      <c r="J102" s="6" t="s">
        <v>217</v>
      </c>
      <c r="K102" s="53">
        <v>54</v>
      </c>
      <c r="L102" s="53">
        <v>1</v>
      </c>
      <c r="M102" s="9" t="s">
        <v>213</v>
      </c>
      <c r="N102" s="9" t="s">
        <v>214</v>
      </c>
    </row>
    <row r="103" spans="1:14" s="65" customFormat="1" ht="18" outlineLevel="2" x14ac:dyDescent="0.25">
      <c r="A103" s="6" t="s">
        <v>219</v>
      </c>
      <c r="B103" s="14" t="s">
        <v>218</v>
      </c>
      <c r="C103" s="54" t="s">
        <v>406</v>
      </c>
      <c r="D103" s="11" t="s">
        <v>35</v>
      </c>
      <c r="E103" s="55" t="s">
        <v>403</v>
      </c>
      <c r="F103" s="5" t="s">
        <v>134</v>
      </c>
      <c r="G103" s="6"/>
      <c r="H103" s="6"/>
      <c r="I103" s="6" t="s">
        <v>220</v>
      </c>
      <c r="J103" s="6" t="s">
        <v>56</v>
      </c>
      <c r="K103" s="53">
        <v>55</v>
      </c>
      <c r="L103" s="53">
        <v>0</v>
      </c>
      <c r="M103" s="9" t="s">
        <v>213</v>
      </c>
      <c r="N103" s="9" t="s">
        <v>214</v>
      </c>
    </row>
    <row r="104" spans="1:14" s="65" customFormat="1" ht="18" outlineLevel="2" x14ac:dyDescent="0.25">
      <c r="A104" s="6" t="s">
        <v>45</v>
      </c>
      <c r="B104" s="14" t="s">
        <v>218</v>
      </c>
      <c r="C104" s="54" t="s">
        <v>406</v>
      </c>
      <c r="D104" s="11" t="s">
        <v>35</v>
      </c>
      <c r="E104" s="55" t="s">
        <v>403</v>
      </c>
      <c r="F104" s="5" t="s">
        <v>134</v>
      </c>
      <c r="G104" s="6"/>
      <c r="H104" s="6"/>
      <c r="I104" s="6" t="s">
        <v>220</v>
      </c>
      <c r="J104" s="6" t="s">
        <v>56</v>
      </c>
      <c r="K104" s="53">
        <v>55</v>
      </c>
      <c r="L104" s="53">
        <v>1</v>
      </c>
      <c r="M104" s="9" t="s">
        <v>213</v>
      </c>
      <c r="N104" s="9" t="s">
        <v>214</v>
      </c>
    </row>
    <row r="105" spans="1:14" s="12" customFormat="1" ht="27" hidden="1" outlineLevel="1" x14ac:dyDescent="0.2">
      <c r="A105" s="6"/>
      <c r="B105" s="13"/>
      <c r="C105" s="5"/>
      <c r="D105" s="11"/>
      <c r="E105" s="9"/>
      <c r="F105" s="5"/>
      <c r="G105" s="5"/>
      <c r="H105" s="5"/>
      <c r="I105" s="5"/>
      <c r="J105" s="6"/>
      <c r="K105" s="7"/>
      <c r="L105" s="7">
        <f>SUBTOTAL(9,L102:L104)</f>
        <v>2</v>
      </c>
      <c r="M105" s="8"/>
      <c r="N105" s="34" t="s">
        <v>285</v>
      </c>
    </row>
    <row r="106" spans="1:14" s="1" customFormat="1" ht="30" customHeight="1" collapsed="1" x14ac:dyDescent="0.35">
      <c r="A106" s="85" t="str">
        <f>M109</f>
        <v>Rural education</v>
      </c>
      <c r="B106" s="86"/>
      <c r="C106" s="86"/>
      <c r="D106" s="86"/>
      <c r="E106" s="86"/>
      <c r="F106" s="86"/>
      <c r="G106" s="86"/>
      <c r="H106" s="86"/>
      <c r="I106" s="86"/>
      <c r="J106" s="86"/>
      <c r="K106" s="41"/>
      <c r="L106" s="41"/>
      <c r="M106" s="42"/>
      <c r="N106" s="42"/>
    </row>
    <row r="107" spans="1:14" s="1" customFormat="1" ht="14.5" x14ac:dyDescent="0.2">
      <c r="A107" s="83" t="str">
        <f>N109</f>
        <v>Vocational education</v>
      </c>
      <c r="B107" s="84"/>
      <c r="C107" s="84"/>
      <c r="D107" s="84"/>
      <c r="E107" s="84"/>
      <c r="F107" s="84"/>
      <c r="G107" s="84"/>
      <c r="H107" s="84"/>
      <c r="I107" s="84"/>
      <c r="J107" s="84"/>
      <c r="K107" s="41"/>
      <c r="L107" s="41"/>
      <c r="M107" s="42"/>
      <c r="N107" s="42"/>
    </row>
    <row r="108" spans="1:14" s="48" customFormat="1" ht="18.75" customHeight="1" x14ac:dyDescent="0.25">
      <c r="A108" s="43" t="s">
        <v>341</v>
      </c>
      <c r="B108" s="43" t="s">
        <v>200</v>
      </c>
      <c r="C108" s="44" t="s">
        <v>201</v>
      </c>
      <c r="D108" s="45" t="s">
        <v>342</v>
      </c>
      <c r="E108" s="45" t="s">
        <v>202</v>
      </c>
      <c r="F108" s="44" t="s">
        <v>343</v>
      </c>
      <c r="G108" s="46" t="s">
        <v>344</v>
      </c>
      <c r="H108" s="44" t="s">
        <v>203</v>
      </c>
      <c r="I108" s="43" t="s">
        <v>345</v>
      </c>
      <c r="J108" s="43" t="s">
        <v>346</v>
      </c>
      <c r="K108" s="47" t="s">
        <v>338</v>
      </c>
      <c r="L108" s="48" t="s">
        <v>393</v>
      </c>
      <c r="M108" s="48" t="s">
        <v>339</v>
      </c>
      <c r="N108" s="48" t="s">
        <v>340</v>
      </c>
    </row>
    <row r="109" spans="1:14" s="65" customFormat="1" ht="36" outlineLevel="2" x14ac:dyDescent="0.25">
      <c r="A109" s="6" t="s">
        <v>30</v>
      </c>
      <c r="B109" s="14" t="s">
        <v>222</v>
      </c>
      <c r="C109" s="54" t="s">
        <v>9</v>
      </c>
      <c r="D109" s="11">
        <v>292</v>
      </c>
      <c r="E109" s="55" t="s">
        <v>403</v>
      </c>
      <c r="F109" s="5" t="s">
        <v>223</v>
      </c>
      <c r="G109" s="6" t="s">
        <v>224</v>
      </c>
      <c r="H109" s="6"/>
      <c r="I109" s="6" t="s">
        <v>225</v>
      </c>
      <c r="J109" s="6" t="s">
        <v>389</v>
      </c>
      <c r="K109" s="53">
        <v>56</v>
      </c>
      <c r="L109" s="53">
        <v>1</v>
      </c>
      <c r="M109" s="9" t="s">
        <v>213</v>
      </c>
      <c r="N109" s="9" t="s">
        <v>221</v>
      </c>
    </row>
    <row r="110" spans="1:14" s="65" customFormat="1" ht="18" outlineLevel="2" x14ac:dyDescent="0.25">
      <c r="A110" s="6" t="s">
        <v>307</v>
      </c>
      <c r="B110" s="14" t="s">
        <v>226</v>
      </c>
      <c r="C110" s="54" t="s">
        <v>405</v>
      </c>
      <c r="D110" s="11">
        <v>3400</v>
      </c>
      <c r="E110" s="55" t="s">
        <v>403</v>
      </c>
      <c r="F110" s="5" t="s">
        <v>227</v>
      </c>
      <c r="G110" s="6" t="s">
        <v>42</v>
      </c>
      <c r="H110" s="6"/>
      <c r="I110" s="6" t="s">
        <v>228</v>
      </c>
      <c r="J110" s="6" t="s">
        <v>212</v>
      </c>
      <c r="K110" s="53">
        <v>57</v>
      </c>
      <c r="L110" s="53">
        <v>1</v>
      </c>
      <c r="M110" s="9" t="s">
        <v>213</v>
      </c>
      <c r="N110" s="9" t="s">
        <v>221</v>
      </c>
    </row>
    <row r="111" spans="1:14" s="4" customFormat="1" ht="27" hidden="1" outlineLevel="1" x14ac:dyDescent="0.2">
      <c r="A111" s="6"/>
      <c r="B111" s="13"/>
      <c r="C111" s="5"/>
      <c r="D111" s="11"/>
      <c r="E111" s="9"/>
      <c r="F111" s="5"/>
      <c r="G111" s="6"/>
      <c r="H111" s="6"/>
      <c r="I111" s="6"/>
      <c r="J111" s="6"/>
      <c r="K111" s="7"/>
      <c r="L111" s="7">
        <f>SUBTOTAL(9,L109:L110)</f>
        <v>2</v>
      </c>
      <c r="M111" s="22"/>
      <c r="N111" s="34" t="s">
        <v>286</v>
      </c>
    </row>
    <row r="112" spans="1:14" s="1" customFormat="1" ht="30" customHeight="1" collapsed="1" x14ac:dyDescent="0.35">
      <c r="A112" s="85" t="str">
        <f>M115</f>
        <v>Rural health</v>
      </c>
      <c r="B112" s="86"/>
      <c r="C112" s="86"/>
      <c r="D112" s="86"/>
      <c r="E112" s="86"/>
      <c r="F112" s="86"/>
      <c r="G112" s="86"/>
      <c r="H112" s="86"/>
      <c r="I112" s="86"/>
      <c r="J112" s="86"/>
      <c r="K112" s="41"/>
      <c r="L112" s="41"/>
      <c r="M112" s="42"/>
      <c r="N112" s="42"/>
    </row>
    <row r="113" spans="1:14" s="1" customFormat="1" ht="14.5" x14ac:dyDescent="0.2">
      <c r="A113" s="83" t="str">
        <f>N115</f>
        <v>Food security and nutrition</v>
      </c>
      <c r="B113" s="84"/>
      <c r="C113" s="84"/>
      <c r="D113" s="84"/>
      <c r="E113" s="84"/>
      <c r="F113" s="84"/>
      <c r="G113" s="84"/>
      <c r="H113" s="84"/>
      <c r="I113" s="84"/>
      <c r="J113" s="84"/>
      <c r="K113" s="41"/>
      <c r="L113" s="41"/>
      <c r="M113" s="42"/>
      <c r="N113" s="42"/>
    </row>
    <row r="114" spans="1:14" s="48" customFormat="1" ht="18.75" customHeight="1" x14ac:dyDescent="0.25">
      <c r="A114" s="43" t="s">
        <v>341</v>
      </c>
      <c r="B114" s="43" t="s">
        <v>200</v>
      </c>
      <c r="C114" s="44" t="s">
        <v>201</v>
      </c>
      <c r="D114" s="45" t="s">
        <v>342</v>
      </c>
      <c r="E114" s="45" t="s">
        <v>202</v>
      </c>
      <c r="F114" s="44" t="s">
        <v>343</v>
      </c>
      <c r="G114" s="46" t="s">
        <v>344</v>
      </c>
      <c r="H114" s="44" t="s">
        <v>203</v>
      </c>
      <c r="I114" s="43" t="s">
        <v>345</v>
      </c>
      <c r="J114" s="43" t="s">
        <v>346</v>
      </c>
      <c r="K114" s="47" t="s">
        <v>338</v>
      </c>
      <c r="L114" s="48" t="s">
        <v>393</v>
      </c>
      <c r="M114" s="48" t="s">
        <v>339</v>
      </c>
      <c r="N114" s="48" t="s">
        <v>340</v>
      </c>
    </row>
    <row r="115" spans="1:14" s="65" customFormat="1" ht="81" outlineLevel="2" x14ac:dyDescent="0.25">
      <c r="A115" s="6" t="s">
        <v>22</v>
      </c>
      <c r="B115" s="14" t="s">
        <v>231</v>
      </c>
      <c r="C115" s="54" t="s">
        <v>8</v>
      </c>
      <c r="D115" s="11">
        <v>480</v>
      </c>
      <c r="E115" s="55" t="s">
        <v>403</v>
      </c>
      <c r="F115" s="5" t="s">
        <v>232</v>
      </c>
      <c r="G115" s="6" t="s">
        <v>233</v>
      </c>
      <c r="H115" s="6" t="s">
        <v>234</v>
      </c>
      <c r="I115" s="6" t="s">
        <v>317</v>
      </c>
      <c r="J115" s="6" t="s">
        <v>379</v>
      </c>
      <c r="K115" s="53">
        <v>58</v>
      </c>
      <c r="L115" s="53">
        <v>0</v>
      </c>
      <c r="M115" s="9" t="s">
        <v>229</v>
      </c>
      <c r="N115" s="9" t="s">
        <v>230</v>
      </c>
    </row>
    <row r="116" spans="1:14" s="65" customFormat="1" ht="27" outlineLevel="2" x14ac:dyDescent="0.25">
      <c r="A116" s="6" t="s">
        <v>22</v>
      </c>
      <c r="B116" s="14" t="s">
        <v>369</v>
      </c>
      <c r="C116" s="54" t="s">
        <v>8</v>
      </c>
      <c r="D116" s="11">
        <v>350</v>
      </c>
      <c r="E116" s="55" t="s">
        <v>403</v>
      </c>
      <c r="F116" s="5" t="s">
        <v>235</v>
      </c>
      <c r="G116" s="6" t="s">
        <v>236</v>
      </c>
      <c r="H116" s="6" t="s">
        <v>234</v>
      </c>
      <c r="I116" s="6" t="s">
        <v>237</v>
      </c>
      <c r="J116" s="6" t="s">
        <v>1</v>
      </c>
      <c r="K116" s="53">
        <v>58</v>
      </c>
      <c r="L116" s="53">
        <v>1</v>
      </c>
      <c r="M116" s="9" t="s">
        <v>229</v>
      </c>
      <c r="N116" s="9" t="s">
        <v>230</v>
      </c>
    </row>
    <row r="117" spans="1:14" s="12" customFormat="1" ht="45" hidden="1" outlineLevel="1" x14ac:dyDescent="0.2">
      <c r="A117" s="14"/>
      <c r="B117" s="13"/>
      <c r="C117" s="5"/>
      <c r="D117" s="20"/>
      <c r="E117" s="25"/>
      <c r="F117" s="15"/>
      <c r="G117" s="14"/>
      <c r="H117" s="14"/>
      <c r="I117" s="14"/>
      <c r="J117" s="14"/>
      <c r="K117" s="7"/>
      <c r="L117" s="7">
        <f>SUBTOTAL(9,L115:L116)</f>
        <v>1</v>
      </c>
      <c r="M117" s="9"/>
      <c r="N117" s="37" t="s">
        <v>287</v>
      </c>
    </row>
    <row r="118" spans="1:14" s="12" customFormat="1" ht="36" outlineLevel="1" x14ac:dyDescent="0.2">
      <c r="A118" s="74" t="s">
        <v>324</v>
      </c>
      <c r="B118" s="14" t="s">
        <v>142</v>
      </c>
      <c r="C118" s="72" t="s">
        <v>8</v>
      </c>
      <c r="D118" s="78">
        <v>1700</v>
      </c>
      <c r="E118" s="79" t="s">
        <v>403</v>
      </c>
      <c r="F118" s="80" t="s">
        <v>23</v>
      </c>
      <c r="G118" s="74" t="s">
        <v>162</v>
      </c>
      <c r="H118" s="74"/>
      <c r="I118" s="14" t="s">
        <v>143</v>
      </c>
      <c r="J118" s="14" t="s">
        <v>59</v>
      </c>
      <c r="K118" s="7"/>
      <c r="L118" s="7"/>
      <c r="M118" s="76"/>
      <c r="N118" s="34"/>
    </row>
    <row r="119" spans="1:14" s="1" customFormat="1" ht="30" customHeight="1" x14ac:dyDescent="0.35">
      <c r="A119" s="85" t="str">
        <f>M122</f>
        <v>Rural health</v>
      </c>
      <c r="B119" s="86"/>
      <c r="C119" s="86"/>
      <c r="D119" s="86"/>
      <c r="E119" s="86"/>
      <c r="F119" s="86"/>
      <c r="G119" s="86"/>
      <c r="H119" s="86"/>
      <c r="I119" s="86"/>
      <c r="J119" s="86"/>
      <c r="K119" s="41"/>
      <c r="L119" s="41"/>
      <c r="M119" s="42"/>
      <c r="N119" s="42"/>
    </row>
    <row r="120" spans="1:14" s="1" customFormat="1" ht="14.5" x14ac:dyDescent="0.2">
      <c r="A120" s="83" t="str">
        <f>N122</f>
        <v>Hospitals and clinics</v>
      </c>
      <c r="B120" s="84"/>
      <c r="C120" s="84"/>
      <c r="D120" s="84"/>
      <c r="E120" s="84"/>
      <c r="F120" s="84"/>
      <c r="G120" s="84"/>
      <c r="H120" s="84"/>
      <c r="I120" s="84"/>
      <c r="J120" s="84"/>
      <c r="K120" s="41"/>
      <c r="L120" s="41"/>
      <c r="M120" s="42"/>
      <c r="N120" s="42"/>
    </row>
    <row r="121" spans="1:14" s="48" customFormat="1" ht="18.75" customHeight="1" x14ac:dyDescent="0.25">
      <c r="A121" s="43" t="s">
        <v>341</v>
      </c>
      <c r="B121" s="43" t="s">
        <v>200</v>
      </c>
      <c r="C121" s="44" t="s">
        <v>201</v>
      </c>
      <c r="D121" s="45" t="s">
        <v>342</v>
      </c>
      <c r="E121" s="45" t="s">
        <v>202</v>
      </c>
      <c r="F121" s="44" t="s">
        <v>343</v>
      </c>
      <c r="G121" s="46" t="s">
        <v>344</v>
      </c>
      <c r="H121" s="44" t="s">
        <v>203</v>
      </c>
      <c r="I121" s="43" t="s">
        <v>345</v>
      </c>
      <c r="J121" s="43" t="s">
        <v>346</v>
      </c>
      <c r="K121" s="47" t="s">
        <v>338</v>
      </c>
      <c r="L121" s="48" t="s">
        <v>393</v>
      </c>
      <c r="M121" s="48" t="s">
        <v>339</v>
      </c>
      <c r="N121" s="48" t="s">
        <v>340</v>
      </c>
    </row>
    <row r="122" spans="1:14" s="65" customFormat="1" ht="54" outlineLevel="2" x14ac:dyDescent="0.25">
      <c r="A122" s="6" t="s">
        <v>240</v>
      </c>
      <c r="B122" s="14" t="s">
        <v>239</v>
      </c>
      <c r="C122" s="54" t="s">
        <v>13</v>
      </c>
      <c r="D122" s="11">
        <v>55</v>
      </c>
      <c r="E122" s="55" t="s">
        <v>403</v>
      </c>
      <c r="F122" s="5" t="s">
        <v>241</v>
      </c>
      <c r="G122" s="6" t="s">
        <v>242</v>
      </c>
      <c r="H122" s="6" t="s">
        <v>240</v>
      </c>
      <c r="I122" s="6" t="s">
        <v>318</v>
      </c>
      <c r="J122" s="6" t="s">
        <v>380</v>
      </c>
      <c r="K122" s="53">
        <v>59</v>
      </c>
      <c r="L122" s="53">
        <v>1</v>
      </c>
      <c r="M122" s="9" t="s">
        <v>229</v>
      </c>
      <c r="N122" s="9" t="s">
        <v>238</v>
      </c>
    </row>
    <row r="123" spans="1:14" s="12" customFormat="1" ht="27" hidden="1" outlineLevel="1" x14ac:dyDescent="0.2">
      <c r="A123" s="6"/>
      <c r="B123" s="13"/>
      <c r="C123" s="5"/>
      <c r="D123" s="11"/>
      <c r="E123" s="26"/>
      <c r="F123" s="27"/>
      <c r="G123" s="5"/>
      <c r="H123" s="5"/>
      <c r="I123" s="5"/>
      <c r="J123" s="6"/>
      <c r="K123" s="7"/>
      <c r="L123" s="7">
        <f>SUBTOTAL(9,L122:L122)</f>
        <v>1</v>
      </c>
      <c r="M123" s="14"/>
      <c r="N123" s="37" t="s">
        <v>288</v>
      </c>
    </row>
    <row r="124" spans="1:14" s="1" customFormat="1" ht="30" customHeight="1" collapsed="1" x14ac:dyDescent="0.35">
      <c r="A124" s="85" t="str">
        <f>M127</f>
        <v>Rural health</v>
      </c>
      <c r="B124" s="86"/>
      <c r="C124" s="86"/>
      <c r="D124" s="86"/>
      <c r="E124" s="86"/>
      <c r="F124" s="86"/>
      <c r="G124" s="86"/>
      <c r="H124" s="86"/>
      <c r="I124" s="86"/>
      <c r="J124" s="86"/>
      <c r="K124" s="41"/>
      <c r="L124" s="41"/>
      <c r="M124" s="42"/>
      <c r="N124" s="42"/>
    </row>
    <row r="125" spans="1:14" s="1" customFormat="1" ht="14.5" x14ac:dyDescent="0.2">
      <c r="A125" s="83" t="str">
        <f>N127</f>
        <v>Primary and community health</v>
      </c>
      <c r="B125" s="84"/>
      <c r="C125" s="84"/>
      <c r="D125" s="84"/>
      <c r="E125" s="84"/>
      <c r="F125" s="84"/>
      <c r="G125" s="84"/>
      <c r="H125" s="84"/>
      <c r="I125" s="84"/>
      <c r="J125" s="84"/>
      <c r="K125" s="41"/>
      <c r="L125" s="41"/>
      <c r="M125" s="42"/>
      <c r="N125" s="42"/>
    </row>
    <row r="126" spans="1:14" s="48" customFormat="1" ht="18.75" customHeight="1" x14ac:dyDescent="0.25">
      <c r="A126" s="43" t="s">
        <v>341</v>
      </c>
      <c r="B126" s="43" t="s">
        <v>200</v>
      </c>
      <c r="C126" s="44" t="s">
        <v>201</v>
      </c>
      <c r="D126" s="45" t="s">
        <v>342</v>
      </c>
      <c r="E126" s="45" t="s">
        <v>202</v>
      </c>
      <c r="F126" s="44" t="s">
        <v>343</v>
      </c>
      <c r="G126" s="46" t="s">
        <v>344</v>
      </c>
      <c r="H126" s="44" t="s">
        <v>203</v>
      </c>
      <c r="I126" s="43" t="s">
        <v>345</v>
      </c>
      <c r="J126" s="43" t="s">
        <v>346</v>
      </c>
      <c r="K126" s="47" t="s">
        <v>338</v>
      </c>
      <c r="L126" s="48" t="s">
        <v>393</v>
      </c>
      <c r="M126" s="48" t="s">
        <v>339</v>
      </c>
      <c r="N126" s="48" t="s">
        <v>340</v>
      </c>
    </row>
    <row r="127" spans="1:14" s="65" customFormat="1" ht="54" outlineLevel="2" x14ac:dyDescent="0.25">
      <c r="A127" s="6" t="s">
        <v>19</v>
      </c>
      <c r="B127" s="14" t="s">
        <v>352</v>
      </c>
      <c r="C127" s="54" t="s">
        <v>398</v>
      </c>
      <c r="D127" s="11">
        <v>50000</v>
      </c>
      <c r="E127" s="55" t="s">
        <v>402</v>
      </c>
      <c r="F127" s="5" t="s">
        <v>244</v>
      </c>
      <c r="G127" s="6"/>
      <c r="H127" s="6"/>
      <c r="I127" s="6" t="s">
        <v>245</v>
      </c>
      <c r="J127" s="6" t="s">
        <v>388</v>
      </c>
      <c r="K127" s="53">
        <v>60</v>
      </c>
      <c r="L127" s="53">
        <v>1</v>
      </c>
      <c r="M127" s="9" t="s">
        <v>229</v>
      </c>
      <c r="N127" s="9" t="s">
        <v>243</v>
      </c>
    </row>
    <row r="128" spans="1:14" s="65" customFormat="1" ht="27" outlineLevel="2" x14ac:dyDescent="0.25">
      <c r="A128" s="6" t="s">
        <v>22</v>
      </c>
      <c r="B128" s="14" t="s">
        <v>370</v>
      </c>
      <c r="C128" s="54" t="s">
        <v>10</v>
      </c>
      <c r="D128" s="11">
        <v>54</v>
      </c>
      <c r="E128" s="55" t="s">
        <v>403</v>
      </c>
      <c r="F128" s="5" t="s">
        <v>246</v>
      </c>
      <c r="G128" s="6" t="s">
        <v>247</v>
      </c>
      <c r="H128" s="6" t="s">
        <v>240</v>
      </c>
      <c r="I128" s="6" t="s">
        <v>248</v>
      </c>
      <c r="J128" s="6" t="s">
        <v>2</v>
      </c>
      <c r="K128" s="53">
        <v>61</v>
      </c>
      <c r="L128" s="53">
        <v>0</v>
      </c>
      <c r="M128" s="9" t="s">
        <v>229</v>
      </c>
      <c r="N128" s="9" t="s">
        <v>243</v>
      </c>
    </row>
    <row r="129" spans="1:14" s="65" customFormat="1" ht="27" outlineLevel="2" x14ac:dyDescent="0.25">
      <c r="A129" s="6" t="s">
        <v>240</v>
      </c>
      <c r="B129" s="14" t="s">
        <v>370</v>
      </c>
      <c r="C129" s="54" t="s">
        <v>10</v>
      </c>
      <c r="D129" s="11">
        <v>10</v>
      </c>
      <c r="E129" s="55" t="s">
        <v>403</v>
      </c>
      <c r="F129" s="5" t="s">
        <v>246</v>
      </c>
      <c r="G129" s="6" t="s">
        <v>247</v>
      </c>
      <c r="H129" s="6" t="s">
        <v>240</v>
      </c>
      <c r="I129" s="6" t="s">
        <v>248</v>
      </c>
      <c r="J129" s="6" t="s">
        <v>2</v>
      </c>
      <c r="K129" s="53">
        <v>61</v>
      </c>
      <c r="L129" s="53">
        <v>1</v>
      </c>
      <c r="M129" s="9" t="s">
        <v>229</v>
      </c>
      <c r="N129" s="9" t="s">
        <v>243</v>
      </c>
    </row>
    <row r="130" spans="1:14" s="65" customFormat="1" ht="36" outlineLevel="2" x14ac:dyDescent="0.25">
      <c r="A130" s="6" t="s">
        <v>206</v>
      </c>
      <c r="B130" s="14" t="s">
        <v>371</v>
      </c>
      <c r="C130" s="54" t="s">
        <v>13</v>
      </c>
      <c r="D130" s="11">
        <v>65</v>
      </c>
      <c r="E130" s="55" t="s">
        <v>403</v>
      </c>
      <c r="F130" s="5" t="s">
        <v>249</v>
      </c>
      <c r="G130" s="6"/>
      <c r="H130" s="6"/>
      <c r="I130" s="6" t="s">
        <v>250</v>
      </c>
      <c r="J130" s="6" t="s">
        <v>3</v>
      </c>
      <c r="K130" s="53">
        <v>62</v>
      </c>
      <c r="L130" s="53">
        <v>1</v>
      </c>
      <c r="M130" s="9" t="s">
        <v>229</v>
      </c>
      <c r="N130" s="9" t="s">
        <v>243</v>
      </c>
    </row>
    <row r="131" spans="1:14" s="65" customFormat="1" ht="27" outlineLevel="2" x14ac:dyDescent="0.25">
      <c r="A131" s="6" t="s">
        <v>252</v>
      </c>
      <c r="B131" s="14" t="s">
        <v>251</v>
      </c>
      <c r="C131" s="54" t="s">
        <v>401</v>
      </c>
      <c r="D131" s="11">
        <v>3510</v>
      </c>
      <c r="E131" s="55" t="s">
        <v>403</v>
      </c>
      <c r="F131" s="5" t="s">
        <v>253</v>
      </c>
      <c r="G131" s="6" t="s">
        <v>254</v>
      </c>
      <c r="H131" s="6" t="s">
        <v>255</v>
      </c>
      <c r="I131" s="6" t="s">
        <v>256</v>
      </c>
      <c r="J131" s="6" t="s">
        <v>257</v>
      </c>
      <c r="K131" s="53">
        <v>63</v>
      </c>
      <c r="L131" s="53">
        <v>1</v>
      </c>
      <c r="M131" s="9" t="s">
        <v>229</v>
      </c>
      <c r="N131" s="9" t="s">
        <v>243</v>
      </c>
    </row>
    <row r="132" spans="1:14" s="65" customFormat="1" ht="63" outlineLevel="2" x14ac:dyDescent="0.25">
      <c r="A132" s="6" t="s">
        <v>45</v>
      </c>
      <c r="B132" s="14" t="s">
        <v>372</v>
      </c>
      <c r="C132" s="54" t="s">
        <v>401</v>
      </c>
      <c r="D132" s="11">
        <v>230000</v>
      </c>
      <c r="E132" s="55" t="s">
        <v>402</v>
      </c>
      <c r="F132" s="5" t="s">
        <v>244</v>
      </c>
      <c r="G132" s="6"/>
      <c r="H132" s="6"/>
      <c r="I132" s="6" t="s">
        <v>258</v>
      </c>
      <c r="J132" s="6" t="s">
        <v>259</v>
      </c>
      <c r="K132" s="53">
        <v>64</v>
      </c>
      <c r="L132" s="53">
        <v>1</v>
      </c>
      <c r="M132" s="9" t="s">
        <v>229</v>
      </c>
      <c r="N132" s="9" t="s">
        <v>243</v>
      </c>
    </row>
    <row r="133" spans="1:14" s="12" customFormat="1" ht="45" hidden="1" outlineLevel="1" x14ac:dyDescent="0.2">
      <c r="A133" s="6"/>
      <c r="B133" s="13"/>
      <c r="C133" s="5"/>
      <c r="D133" s="11"/>
      <c r="E133" s="9"/>
      <c r="F133" s="5"/>
      <c r="G133" s="5"/>
      <c r="H133" s="5"/>
      <c r="I133" s="5"/>
      <c r="J133" s="38"/>
      <c r="K133" s="7"/>
      <c r="L133" s="7">
        <f>SUBTOTAL(9,L127:L132)</f>
        <v>5</v>
      </c>
      <c r="M133" s="14"/>
      <c r="N133" s="37" t="s">
        <v>289</v>
      </c>
    </row>
    <row r="134" spans="1:14" s="1" customFormat="1" ht="15.5" collapsed="1" x14ac:dyDescent="0.2">
      <c r="A134" s="81" t="str">
        <f>M137</f>
        <v>Rural infrastructure</v>
      </c>
      <c r="B134" s="82"/>
      <c r="C134" s="82"/>
      <c r="D134" s="82"/>
      <c r="E134" s="82"/>
      <c r="F134" s="82"/>
      <c r="G134" s="82"/>
      <c r="H134" s="82"/>
      <c r="I134" s="82"/>
      <c r="J134" s="82"/>
      <c r="K134" s="41"/>
      <c r="L134" s="41"/>
      <c r="M134" s="42"/>
      <c r="N134" s="42"/>
    </row>
    <row r="135" spans="1:14" s="1" customFormat="1" ht="14.5" x14ac:dyDescent="0.2">
      <c r="A135" s="83" t="str">
        <f>N137</f>
        <v>Access</v>
      </c>
      <c r="B135" s="84"/>
      <c r="C135" s="84"/>
      <c r="D135" s="84"/>
      <c r="E135" s="84"/>
      <c r="F135" s="84"/>
      <c r="G135" s="84"/>
      <c r="H135" s="84"/>
      <c r="I135" s="84"/>
      <c r="J135" s="84"/>
      <c r="K135" s="41"/>
      <c r="L135" s="41"/>
      <c r="M135" s="42"/>
      <c r="N135" s="42"/>
    </row>
    <row r="136" spans="1:14" s="48" customFormat="1" ht="18.75" customHeight="1" x14ac:dyDescent="0.25">
      <c r="A136" s="43" t="s">
        <v>341</v>
      </c>
      <c r="B136" s="43" t="s">
        <v>200</v>
      </c>
      <c r="C136" s="44" t="s">
        <v>201</v>
      </c>
      <c r="D136" s="45" t="s">
        <v>342</v>
      </c>
      <c r="E136" s="45" t="s">
        <v>202</v>
      </c>
      <c r="F136" s="44" t="s">
        <v>343</v>
      </c>
      <c r="G136" s="46" t="s">
        <v>344</v>
      </c>
      <c r="H136" s="44" t="s">
        <v>203</v>
      </c>
      <c r="I136" s="43" t="s">
        <v>345</v>
      </c>
      <c r="J136" s="43" t="s">
        <v>346</v>
      </c>
      <c r="K136" s="47" t="s">
        <v>338</v>
      </c>
      <c r="L136" s="48" t="s">
        <v>393</v>
      </c>
      <c r="M136" s="48" t="s">
        <v>339</v>
      </c>
      <c r="N136" s="48" t="s">
        <v>340</v>
      </c>
    </row>
    <row r="137" spans="1:14" s="65" customFormat="1" ht="45" outlineLevel="2" x14ac:dyDescent="0.25">
      <c r="A137" s="6" t="s">
        <v>19</v>
      </c>
      <c r="B137" s="14" t="s">
        <v>439</v>
      </c>
      <c r="C137" s="54" t="s">
        <v>400</v>
      </c>
      <c r="D137" s="11">
        <v>25000</v>
      </c>
      <c r="E137" s="55" t="s">
        <v>402</v>
      </c>
      <c r="F137" s="5" t="s">
        <v>35</v>
      </c>
      <c r="G137" s="6" t="s">
        <v>18</v>
      </c>
      <c r="H137" s="6"/>
      <c r="I137" s="6" t="s">
        <v>262</v>
      </c>
      <c r="J137" s="6" t="s">
        <v>263</v>
      </c>
      <c r="K137" s="53">
        <v>65</v>
      </c>
      <c r="L137" s="53">
        <v>1</v>
      </c>
      <c r="M137" s="9" t="s">
        <v>260</v>
      </c>
      <c r="N137" s="9" t="s">
        <v>261</v>
      </c>
    </row>
    <row r="138" spans="1:14" s="65" customFormat="1" ht="54" outlineLevel="2" x14ac:dyDescent="0.25">
      <c r="A138" s="6" t="s">
        <v>19</v>
      </c>
      <c r="B138" s="14" t="s">
        <v>353</v>
      </c>
      <c r="C138" s="54" t="s">
        <v>399</v>
      </c>
      <c r="D138" s="11">
        <v>50000</v>
      </c>
      <c r="E138" s="55" t="s">
        <v>402</v>
      </c>
      <c r="F138" s="5" t="s">
        <v>264</v>
      </c>
      <c r="G138" s="6"/>
      <c r="H138" s="6"/>
      <c r="I138" s="6" t="s">
        <v>265</v>
      </c>
      <c r="J138" s="6" t="s">
        <v>266</v>
      </c>
      <c r="K138" s="53">
        <v>66</v>
      </c>
      <c r="L138" s="53">
        <v>1</v>
      </c>
      <c r="M138" s="9" t="s">
        <v>260</v>
      </c>
      <c r="N138" s="9" t="s">
        <v>261</v>
      </c>
    </row>
    <row r="139" spans="1:14" s="65" customFormat="1" ht="45" outlineLevel="2" x14ac:dyDescent="0.25">
      <c r="A139" s="6" t="s">
        <v>34</v>
      </c>
      <c r="B139" s="14" t="s">
        <v>373</v>
      </c>
      <c r="C139" s="54" t="s">
        <v>406</v>
      </c>
      <c r="D139" s="11" t="s">
        <v>35</v>
      </c>
      <c r="E139" s="55" t="s">
        <v>403</v>
      </c>
      <c r="F139" s="5" t="s">
        <v>264</v>
      </c>
      <c r="G139" s="6"/>
      <c r="H139" s="6"/>
      <c r="I139" s="6" t="s">
        <v>267</v>
      </c>
      <c r="J139" s="6" t="s">
        <v>268</v>
      </c>
      <c r="K139" s="53">
        <v>67</v>
      </c>
      <c r="L139" s="53">
        <v>0</v>
      </c>
      <c r="M139" s="9" t="s">
        <v>260</v>
      </c>
      <c r="N139" s="9" t="s">
        <v>261</v>
      </c>
    </row>
    <row r="140" spans="1:14" s="65" customFormat="1" ht="72" outlineLevel="2" x14ac:dyDescent="0.25">
      <c r="A140" s="6" t="s">
        <v>45</v>
      </c>
      <c r="B140" s="14" t="s">
        <v>373</v>
      </c>
      <c r="C140" s="54" t="s">
        <v>406</v>
      </c>
      <c r="D140" s="11">
        <v>100000</v>
      </c>
      <c r="E140" s="55" t="s">
        <v>402</v>
      </c>
      <c r="F140" s="5" t="s">
        <v>264</v>
      </c>
      <c r="G140" s="6"/>
      <c r="H140" s="6"/>
      <c r="I140" s="6" t="s">
        <v>269</v>
      </c>
      <c r="J140" s="6" t="s">
        <v>270</v>
      </c>
      <c r="K140" s="53">
        <v>67</v>
      </c>
      <c r="L140" s="53">
        <v>1</v>
      </c>
      <c r="M140" s="9" t="s">
        <v>260</v>
      </c>
      <c r="N140" s="9" t="s">
        <v>261</v>
      </c>
    </row>
    <row r="141" spans="1:14" s="12" customFormat="1" ht="18" hidden="1" outlineLevel="1" x14ac:dyDescent="0.2">
      <c r="A141" s="6"/>
      <c r="B141" s="13"/>
      <c r="C141" s="5"/>
      <c r="D141" s="11"/>
      <c r="E141" s="9"/>
      <c r="F141" s="5"/>
      <c r="G141" s="5"/>
      <c r="H141" s="5"/>
      <c r="I141" s="5"/>
      <c r="J141" s="6"/>
      <c r="K141" s="7"/>
      <c r="L141" s="7">
        <f>SUBTOTAL(9,L137:L140)</f>
        <v>3</v>
      </c>
      <c r="M141" s="19"/>
      <c r="N141" s="39" t="s">
        <v>290</v>
      </c>
    </row>
    <row r="142" spans="1:14" s="1" customFormat="1" ht="15.5" collapsed="1" x14ac:dyDescent="0.2">
      <c r="A142" s="81" t="str">
        <f>M145</f>
        <v>Rural infrastructure</v>
      </c>
      <c r="B142" s="82"/>
      <c r="C142" s="82"/>
      <c r="D142" s="82"/>
      <c r="E142" s="82"/>
      <c r="F142" s="82"/>
      <c r="G142" s="82"/>
      <c r="H142" s="82"/>
      <c r="I142" s="82"/>
      <c r="J142" s="82"/>
      <c r="K142" s="41"/>
      <c r="L142" s="41"/>
      <c r="M142" s="42"/>
      <c r="N142" s="42"/>
    </row>
    <row r="143" spans="1:14" s="1" customFormat="1" ht="14.5" x14ac:dyDescent="0.2">
      <c r="A143" s="83" t="str">
        <f>N145</f>
        <v>Energy</v>
      </c>
      <c r="B143" s="84"/>
      <c r="C143" s="84"/>
      <c r="D143" s="84"/>
      <c r="E143" s="84"/>
      <c r="F143" s="84"/>
      <c r="G143" s="84"/>
      <c r="H143" s="84"/>
      <c r="I143" s="84"/>
      <c r="J143" s="84"/>
      <c r="K143" s="41"/>
      <c r="L143" s="41"/>
      <c r="M143" s="42"/>
      <c r="N143" s="42"/>
    </row>
    <row r="144" spans="1:14" s="48" customFormat="1" ht="18.75" customHeight="1" x14ac:dyDescent="0.25">
      <c r="A144" s="43" t="s">
        <v>341</v>
      </c>
      <c r="B144" s="43" t="s">
        <v>200</v>
      </c>
      <c r="C144" s="44" t="s">
        <v>201</v>
      </c>
      <c r="D144" s="45" t="s">
        <v>342</v>
      </c>
      <c r="E144" s="45" t="s">
        <v>202</v>
      </c>
      <c r="F144" s="44" t="s">
        <v>343</v>
      </c>
      <c r="G144" s="46" t="s">
        <v>344</v>
      </c>
      <c r="H144" s="44" t="s">
        <v>203</v>
      </c>
      <c r="I144" s="43" t="s">
        <v>345</v>
      </c>
      <c r="J144" s="43" t="s">
        <v>346</v>
      </c>
      <c r="K144" s="47" t="s">
        <v>338</v>
      </c>
      <c r="L144" s="48" t="s">
        <v>393</v>
      </c>
      <c r="M144" s="48" t="s">
        <v>339</v>
      </c>
      <c r="N144" s="48" t="s">
        <v>340</v>
      </c>
    </row>
    <row r="145" spans="1:14" s="65" customFormat="1" ht="27" outlineLevel="2" x14ac:dyDescent="0.25">
      <c r="A145" s="6" t="s">
        <v>252</v>
      </c>
      <c r="B145" s="14" t="s">
        <v>272</v>
      </c>
      <c r="C145" s="54" t="s">
        <v>401</v>
      </c>
      <c r="D145" s="11">
        <v>7600</v>
      </c>
      <c r="E145" s="55" t="s">
        <v>402</v>
      </c>
      <c r="F145" s="5" t="s">
        <v>273</v>
      </c>
      <c r="G145" s="6" t="s">
        <v>274</v>
      </c>
      <c r="H145" s="6"/>
      <c r="I145" s="6" t="s">
        <v>275</v>
      </c>
      <c r="J145" s="6" t="s">
        <v>276</v>
      </c>
      <c r="K145" s="53">
        <v>68</v>
      </c>
      <c r="L145" s="53">
        <v>1</v>
      </c>
      <c r="M145" s="9" t="s">
        <v>260</v>
      </c>
      <c r="N145" s="9" t="s">
        <v>271</v>
      </c>
    </row>
    <row r="146" spans="1:14" s="65" customFormat="1" ht="27" outlineLevel="2" x14ac:dyDescent="0.25">
      <c r="A146" s="6" t="s">
        <v>72</v>
      </c>
      <c r="B146" s="75" t="s">
        <v>277</v>
      </c>
      <c r="C146" s="54" t="s">
        <v>360</v>
      </c>
      <c r="D146" s="11">
        <v>6000</v>
      </c>
      <c r="E146" s="55" t="s">
        <v>403</v>
      </c>
      <c r="F146" s="5" t="s">
        <v>75</v>
      </c>
      <c r="G146" s="6" t="s">
        <v>75</v>
      </c>
      <c r="H146" s="6" t="s">
        <v>361</v>
      </c>
      <c r="I146" s="5" t="s">
        <v>76</v>
      </c>
      <c r="J146" s="6" t="s">
        <v>74</v>
      </c>
      <c r="K146" s="53"/>
      <c r="L146" s="53">
        <v>1</v>
      </c>
      <c r="M146" s="9" t="s">
        <v>260</v>
      </c>
      <c r="N146" s="9" t="s">
        <v>271</v>
      </c>
    </row>
    <row r="147" spans="1:14" s="65" customFormat="1" ht="27" outlineLevel="2" x14ac:dyDescent="0.25">
      <c r="A147" s="6" t="s">
        <v>72</v>
      </c>
      <c r="B147" s="75" t="s">
        <v>77</v>
      </c>
      <c r="C147" s="54" t="s">
        <v>404</v>
      </c>
      <c r="D147" s="11">
        <v>7600</v>
      </c>
      <c r="E147" s="55" t="s">
        <v>402</v>
      </c>
      <c r="F147" s="5" t="s">
        <v>75</v>
      </c>
      <c r="G147" s="6" t="s">
        <v>75</v>
      </c>
      <c r="H147" s="6"/>
      <c r="I147" s="5" t="s">
        <v>78</v>
      </c>
      <c r="J147" s="6" t="s">
        <v>74</v>
      </c>
      <c r="K147" s="53"/>
      <c r="L147" s="53">
        <v>1</v>
      </c>
      <c r="M147" s="9" t="s">
        <v>260</v>
      </c>
      <c r="N147" s="9" t="s">
        <v>271</v>
      </c>
    </row>
    <row r="148" spans="1:14" s="65" customFormat="1" ht="162" outlineLevel="2" x14ac:dyDescent="0.25">
      <c r="A148" s="6" t="s">
        <v>45</v>
      </c>
      <c r="B148" s="14" t="s">
        <v>374</v>
      </c>
      <c r="C148" s="54" t="s">
        <v>404</v>
      </c>
      <c r="D148" s="11">
        <v>150000</v>
      </c>
      <c r="E148" s="55" t="s">
        <v>402</v>
      </c>
      <c r="F148" s="5" t="s">
        <v>278</v>
      </c>
      <c r="G148" s="6" t="s">
        <v>279</v>
      </c>
      <c r="H148" s="6"/>
      <c r="I148" s="6" t="s">
        <v>294</v>
      </c>
      <c r="J148" s="6" t="s">
        <v>295</v>
      </c>
      <c r="K148" s="53">
        <v>69</v>
      </c>
      <c r="L148" s="53">
        <v>1</v>
      </c>
      <c r="M148" s="9" t="s">
        <v>260</v>
      </c>
      <c r="N148" s="9" t="s">
        <v>271</v>
      </c>
    </row>
    <row r="149" spans="1:14" s="12" customFormat="1" ht="18" hidden="1" outlineLevel="1" x14ac:dyDescent="0.2">
      <c r="A149" s="10"/>
      <c r="B149" s="13"/>
      <c r="C149" s="5"/>
      <c r="D149" s="29"/>
      <c r="E149" s="30"/>
      <c r="F149" s="28"/>
      <c r="G149" s="10"/>
      <c r="H149" s="10"/>
      <c r="I149" s="10"/>
      <c r="J149" s="10"/>
      <c r="K149" s="7"/>
      <c r="L149" s="7">
        <f>SUBTOTAL(9,L145:L148)</f>
        <v>4</v>
      </c>
      <c r="M149" s="19"/>
      <c r="N149" s="40" t="s">
        <v>291</v>
      </c>
    </row>
    <row r="150" spans="1:14" s="1" customFormat="1" ht="30" customHeight="1" collapsed="1" x14ac:dyDescent="0.35">
      <c r="A150" s="85" t="str">
        <f>M153</f>
        <v>Rural infrastructure</v>
      </c>
      <c r="B150" s="86"/>
      <c r="C150" s="86"/>
      <c r="D150" s="86"/>
      <c r="E150" s="86"/>
      <c r="F150" s="86"/>
      <c r="G150" s="86"/>
      <c r="H150" s="86"/>
      <c r="I150" s="86"/>
      <c r="J150" s="86"/>
      <c r="K150" s="41"/>
      <c r="L150" s="41"/>
      <c r="M150" s="42"/>
      <c r="N150" s="42"/>
    </row>
    <row r="151" spans="1:14" s="1" customFormat="1" ht="14.5" x14ac:dyDescent="0.2">
      <c r="A151" s="83" t="str">
        <f>N153</f>
        <v>Integrated Infrastructure</v>
      </c>
      <c r="B151" s="84"/>
      <c r="C151" s="84"/>
      <c r="D151" s="84"/>
      <c r="E151" s="84"/>
      <c r="F151" s="84"/>
      <c r="G151" s="84"/>
      <c r="H151" s="84"/>
      <c r="I151" s="84"/>
      <c r="J151" s="84"/>
      <c r="K151" s="41"/>
      <c r="L151" s="41"/>
      <c r="M151" s="42"/>
      <c r="N151" s="42"/>
    </row>
    <row r="152" spans="1:14" s="48" customFormat="1" ht="18.75" customHeight="1" x14ac:dyDescent="0.25">
      <c r="A152" s="43" t="s">
        <v>341</v>
      </c>
      <c r="B152" s="43" t="s">
        <v>200</v>
      </c>
      <c r="C152" s="44" t="s">
        <v>201</v>
      </c>
      <c r="D152" s="45" t="s">
        <v>342</v>
      </c>
      <c r="E152" s="45" t="s">
        <v>202</v>
      </c>
      <c r="F152" s="44" t="s">
        <v>343</v>
      </c>
      <c r="G152" s="46" t="s">
        <v>344</v>
      </c>
      <c r="H152" s="44" t="s">
        <v>203</v>
      </c>
      <c r="I152" s="43" t="s">
        <v>345</v>
      </c>
      <c r="J152" s="43" t="s">
        <v>346</v>
      </c>
      <c r="K152" s="47" t="s">
        <v>338</v>
      </c>
      <c r="L152" s="48" t="s">
        <v>393</v>
      </c>
      <c r="M152" s="48" t="s">
        <v>339</v>
      </c>
      <c r="N152" s="48" t="s">
        <v>340</v>
      </c>
    </row>
    <row r="153" spans="1:14" s="65" customFormat="1" ht="27" outlineLevel="2" x14ac:dyDescent="0.25">
      <c r="A153" s="6" t="s">
        <v>22</v>
      </c>
      <c r="B153" s="14" t="s">
        <v>297</v>
      </c>
      <c r="C153" s="54" t="s">
        <v>14</v>
      </c>
      <c r="D153" s="11">
        <v>12584</v>
      </c>
      <c r="E153" s="55" t="s">
        <v>403</v>
      </c>
      <c r="F153" s="5" t="s">
        <v>23</v>
      </c>
      <c r="G153" s="6" t="s">
        <v>23</v>
      </c>
      <c r="H153" s="6"/>
      <c r="I153" s="6" t="s">
        <v>432</v>
      </c>
      <c r="J153" s="6" t="s">
        <v>433</v>
      </c>
      <c r="K153" s="53">
        <v>70</v>
      </c>
      <c r="L153" s="53">
        <v>1</v>
      </c>
      <c r="M153" s="9" t="s">
        <v>260</v>
      </c>
      <c r="N153" s="9" t="s">
        <v>296</v>
      </c>
    </row>
    <row r="154" spans="1:14" s="65" customFormat="1" ht="27" outlineLevel="2" x14ac:dyDescent="0.25">
      <c r="A154" s="6" t="s">
        <v>351</v>
      </c>
      <c r="B154" s="14" t="s">
        <v>440</v>
      </c>
      <c r="C154" s="54" t="s">
        <v>408</v>
      </c>
      <c r="D154" s="11">
        <v>91521.55</v>
      </c>
      <c r="E154" s="55" t="s">
        <v>402</v>
      </c>
      <c r="F154" s="5" t="s">
        <v>298</v>
      </c>
      <c r="G154" s="6" t="s">
        <v>299</v>
      </c>
      <c r="H154" s="6"/>
      <c r="I154" s="6" t="s">
        <v>300</v>
      </c>
      <c r="J154" s="6" t="s">
        <v>301</v>
      </c>
      <c r="K154" s="53">
        <v>71</v>
      </c>
      <c r="L154" s="53">
        <v>1</v>
      </c>
      <c r="M154" s="9" t="s">
        <v>260</v>
      </c>
      <c r="N154" s="9" t="s">
        <v>296</v>
      </c>
    </row>
    <row r="155" spans="1:14" s="65" customFormat="1" ht="81" outlineLevel="2" x14ac:dyDescent="0.25">
      <c r="A155" s="6" t="s">
        <v>45</v>
      </c>
      <c r="B155" s="14" t="s">
        <v>375</v>
      </c>
      <c r="C155" s="54" t="s">
        <v>407</v>
      </c>
      <c r="D155" s="11">
        <v>100000</v>
      </c>
      <c r="E155" s="55" t="s">
        <v>402</v>
      </c>
      <c r="F155" s="5" t="s">
        <v>298</v>
      </c>
      <c r="G155" s="6"/>
      <c r="H155" s="6"/>
      <c r="I155" s="6" t="s">
        <v>302</v>
      </c>
      <c r="J155" s="6" t="s">
        <v>303</v>
      </c>
      <c r="K155" s="53">
        <v>72</v>
      </c>
      <c r="L155" s="53">
        <v>1</v>
      </c>
      <c r="M155" s="9" t="s">
        <v>260</v>
      </c>
      <c r="N155" s="9" t="s">
        <v>296</v>
      </c>
    </row>
    <row r="156" spans="1:14" s="12" customFormat="1" ht="27" hidden="1" outlineLevel="1" x14ac:dyDescent="0.2">
      <c r="A156" s="6"/>
      <c r="B156" s="13"/>
      <c r="C156" s="5"/>
      <c r="D156" s="11"/>
      <c r="E156" s="9"/>
      <c r="F156" s="5"/>
      <c r="G156" s="5"/>
      <c r="H156" s="5"/>
      <c r="I156" s="5"/>
      <c r="J156" s="6"/>
      <c r="K156" s="7"/>
      <c r="L156" s="7">
        <f>SUBTOTAL(9,L153:L155)</f>
        <v>3</v>
      </c>
      <c r="M156" s="9"/>
      <c r="N156" s="36" t="s">
        <v>292</v>
      </c>
    </row>
    <row r="157" spans="1:14" s="1" customFormat="1" ht="15.5" collapsed="1" x14ac:dyDescent="0.2">
      <c r="A157" s="81" t="str">
        <f>M160</f>
        <v>Rural infrastructure</v>
      </c>
      <c r="B157" s="82"/>
      <c r="C157" s="82"/>
      <c r="D157" s="82"/>
      <c r="E157" s="82"/>
      <c r="F157" s="82"/>
      <c r="G157" s="82"/>
      <c r="H157" s="82"/>
      <c r="I157" s="82"/>
      <c r="J157" s="82"/>
      <c r="K157" s="41"/>
      <c r="L157" s="41"/>
      <c r="M157" s="42"/>
      <c r="N157" s="42"/>
    </row>
    <row r="158" spans="1:14" s="1" customFormat="1" ht="14.5" x14ac:dyDescent="0.2">
      <c r="A158" s="83" t="str">
        <f>N160</f>
        <v>Water supply &amp; sanitation</v>
      </c>
      <c r="B158" s="84"/>
      <c r="C158" s="84"/>
      <c r="D158" s="84"/>
      <c r="E158" s="84"/>
      <c r="F158" s="84"/>
      <c r="G158" s="84"/>
      <c r="H158" s="84"/>
      <c r="I158" s="84"/>
      <c r="J158" s="84"/>
      <c r="K158" s="41"/>
      <c r="L158" s="41"/>
      <c r="M158" s="42"/>
      <c r="N158" s="42"/>
    </row>
    <row r="159" spans="1:14" s="48" customFormat="1" ht="18.75" customHeight="1" x14ac:dyDescent="0.25">
      <c r="A159" s="43" t="s">
        <v>341</v>
      </c>
      <c r="B159" s="43" t="s">
        <v>200</v>
      </c>
      <c r="C159" s="44" t="s">
        <v>201</v>
      </c>
      <c r="D159" s="45" t="s">
        <v>342</v>
      </c>
      <c r="E159" s="45" t="s">
        <v>202</v>
      </c>
      <c r="F159" s="44" t="s">
        <v>343</v>
      </c>
      <c r="G159" s="46" t="s">
        <v>344</v>
      </c>
      <c r="H159" s="44" t="s">
        <v>203</v>
      </c>
      <c r="I159" s="43" t="s">
        <v>345</v>
      </c>
      <c r="J159" s="43" t="s">
        <v>346</v>
      </c>
      <c r="K159" s="47" t="s">
        <v>338</v>
      </c>
      <c r="L159" s="48" t="s">
        <v>393</v>
      </c>
      <c r="M159" s="48" t="s">
        <v>339</v>
      </c>
      <c r="N159" s="48" t="s">
        <v>340</v>
      </c>
    </row>
    <row r="160" spans="1:14" s="65" customFormat="1" ht="126" outlineLevel="2" x14ac:dyDescent="0.25">
      <c r="A160" s="6" t="s">
        <v>22</v>
      </c>
      <c r="B160" s="14" t="s">
        <v>305</v>
      </c>
      <c r="C160" s="54" t="s">
        <v>8</v>
      </c>
      <c r="D160" s="11">
        <v>130</v>
      </c>
      <c r="E160" s="55" t="s">
        <v>403</v>
      </c>
      <c r="F160" s="5" t="s">
        <v>232</v>
      </c>
      <c r="G160" s="6" t="s">
        <v>306</v>
      </c>
      <c r="H160" s="6" t="s">
        <v>234</v>
      </c>
      <c r="I160" s="6" t="s">
        <v>308</v>
      </c>
      <c r="J160" s="6" t="s">
        <v>381</v>
      </c>
      <c r="K160" s="53">
        <v>73</v>
      </c>
      <c r="L160" s="53">
        <v>0</v>
      </c>
      <c r="M160" s="9" t="s">
        <v>260</v>
      </c>
      <c r="N160" s="9" t="s">
        <v>304</v>
      </c>
    </row>
    <row r="161" spans="1:14" s="65" customFormat="1" ht="126" outlineLevel="2" x14ac:dyDescent="0.25">
      <c r="A161" s="6" t="s">
        <v>240</v>
      </c>
      <c r="B161" s="14" t="s">
        <v>305</v>
      </c>
      <c r="C161" s="54" t="s">
        <v>8</v>
      </c>
      <c r="D161" s="11">
        <v>44</v>
      </c>
      <c r="E161" s="55" t="s">
        <v>403</v>
      </c>
      <c r="F161" s="5" t="s">
        <v>232</v>
      </c>
      <c r="G161" s="6" t="s">
        <v>306</v>
      </c>
      <c r="H161" s="6" t="s">
        <v>234</v>
      </c>
      <c r="I161" s="6" t="s">
        <v>308</v>
      </c>
      <c r="J161" s="6" t="s">
        <v>381</v>
      </c>
      <c r="K161" s="53">
        <v>73</v>
      </c>
      <c r="L161" s="53">
        <v>1</v>
      </c>
      <c r="M161" s="9" t="s">
        <v>260</v>
      </c>
      <c r="N161" s="9" t="s">
        <v>304</v>
      </c>
    </row>
    <row r="162" spans="1:14" s="65" customFormat="1" ht="36" outlineLevel="2" x14ac:dyDescent="0.25">
      <c r="A162" s="6" t="s">
        <v>22</v>
      </c>
      <c r="B162" s="14" t="s">
        <v>309</v>
      </c>
      <c r="C162" s="54" t="s">
        <v>405</v>
      </c>
      <c r="D162" s="11">
        <v>9438</v>
      </c>
      <c r="E162" s="55" t="s">
        <v>403</v>
      </c>
      <c r="F162" s="5"/>
      <c r="G162" s="6" t="s">
        <v>23</v>
      </c>
      <c r="H162" s="6"/>
      <c r="I162" s="6" t="s">
        <v>310</v>
      </c>
      <c r="J162" s="6" t="s">
        <v>384</v>
      </c>
      <c r="K162" s="53">
        <v>74</v>
      </c>
      <c r="L162" s="53">
        <v>1</v>
      </c>
      <c r="M162" s="9" t="s">
        <v>260</v>
      </c>
      <c r="N162" s="9" t="s">
        <v>304</v>
      </c>
    </row>
    <row r="163" spans="1:14" s="65" customFormat="1" ht="81" outlineLevel="2" x14ac:dyDescent="0.25">
      <c r="A163" s="6" t="s">
        <v>22</v>
      </c>
      <c r="B163" s="14" t="s">
        <v>311</v>
      </c>
      <c r="C163" s="54" t="s">
        <v>404</v>
      </c>
      <c r="D163" s="11">
        <v>3209</v>
      </c>
      <c r="E163" s="55" t="s">
        <v>403</v>
      </c>
      <c r="F163" s="5"/>
      <c r="G163" s="6" t="s">
        <v>23</v>
      </c>
      <c r="H163" s="6"/>
      <c r="I163" s="6" t="s">
        <v>312</v>
      </c>
      <c r="J163" s="6" t="s">
        <v>320</v>
      </c>
      <c r="K163" s="53">
        <v>75</v>
      </c>
      <c r="L163" s="53">
        <v>1</v>
      </c>
      <c r="M163" s="9" t="s">
        <v>260</v>
      </c>
      <c r="N163" s="9" t="s">
        <v>304</v>
      </c>
    </row>
    <row r="164" spans="1:14" s="65" customFormat="1" ht="36" outlineLevel="2" x14ac:dyDescent="0.25">
      <c r="A164" s="6" t="s">
        <v>22</v>
      </c>
      <c r="B164" s="70" t="s">
        <v>348</v>
      </c>
      <c r="C164" s="54" t="s">
        <v>406</v>
      </c>
      <c r="D164" s="11">
        <v>10224</v>
      </c>
      <c r="E164" s="55" t="s">
        <v>403</v>
      </c>
      <c r="F164" s="5" t="s">
        <v>350</v>
      </c>
      <c r="G164" s="6"/>
      <c r="H164" s="6"/>
      <c r="I164" s="10" t="s">
        <v>349</v>
      </c>
      <c r="J164" s="6" t="s">
        <v>376</v>
      </c>
      <c r="K164" s="53"/>
      <c r="L164" s="53"/>
      <c r="M164" s="9" t="s">
        <v>260</v>
      </c>
      <c r="N164" s="9" t="s">
        <v>304</v>
      </c>
    </row>
    <row r="165" spans="1:14" s="65" customFormat="1" ht="20.25" customHeight="1" outlineLevel="2" x14ac:dyDescent="0.25">
      <c r="A165" s="6" t="s">
        <v>206</v>
      </c>
      <c r="B165" s="14" t="s">
        <v>441</v>
      </c>
      <c r="C165" s="54" t="s">
        <v>8</v>
      </c>
      <c r="D165" s="11">
        <v>250</v>
      </c>
      <c r="E165" s="55" t="s">
        <v>403</v>
      </c>
      <c r="F165" s="5" t="s">
        <v>151</v>
      </c>
      <c r="G165" s="6"/>
      <c r="H165" s="6"/>
      <c r="I165" s="6" t="s">
        <v>321</v>
      </c>
      <c r="J165" s="6" t="s">
        <v>4</v>
      </c>
      <c r="K165" s="53">
        <v>76</v>
      </c>
      <c r="L165" s="53">
        <v>1</v>
      </c>
      <c r="M165" s="9" t="s">
        <v>260</v>
      </c>
      <c r="N165" s="9" t="s">
        <v>304</v>
      </c>
    </row>
    <row r="166" spans="1:14" s="65" customFormat="1" ht="20.25" customHeight="1" outlineLevel="2" x14ac:dyDescent="0.25">
      <c r="A166" s="6" t="s">
        <v>206</v>
      </c>
      <c r="B166" s="14" t="s">
        <v>322</v>
      </c>
      <c r="C166" s="54" t="s">
        <v>8</v>
      </c>
      <c r="D166" s="11">
        <v>250</v>
      </c>
      <c r="E166" s="55" t="s">
        <v>403</v>
      </c>
      <c r="F166" s="5" t="s">
        <v>150</v>
      </c>
      <c r="G166" s="6"/>
      <c r="H166" s="6"/>
      <c r="I166" s="6" t="s">
        <v>321</v>
      </c>
      <c r="J166" s="6" t="s">
        <v>382</v>
      </c>
      <c r="K166" s="53">
        <v>77</v>
      </c>
      <c r="L166" s="53">
        <v>1</v>
      </c>
      <c r="M166" s="9" t="s">
        <v>260</v>
      </c>
      <c r="N166" s="9" t="s">
        <v>304</v>
      </c>
    </row>
    <row r="167" spans="1:14" s="1" customFormat="1" ht="15.5" x14ac:dyDescent="0.2">
      <c r="A167" s="81" t="str">
        <f>M171</f>
        <v>Rural infrastructure</v>
      </c>
      <c r="B167" s="82"/>
      <c r="C167" s="82"/>
      <c r="D167" s="82"/>
      <c r="E167" s="82"/>
      <c r="F167" s="82"/>
      <c r="G167" s="82"/>
      <c r="H167" s="82"/>
      <c r="I167" s="82"/>
      <c r="J167" s="82"/>
      <c r="K167" s="41"/>
      <c r="L167" s="41"/>
      <c r="M167" s="42"/>
      <c r="N167" s="42"/>
    </row>
    <row r="168" spans="1:14" s="1" customFormat="1" ht="14.5" x14ac:dyDescent="0.2">
      <c r="A168" s="83" t="str">
        <f>N171</f>
        <v>Water supply &amp; sanitation</v>
      </c>
      <c r="B168" s="84"/>
      <c r="C168" s="84"/>
      <c r="D168" s="84"/>
      <c r="E168" s="84"/>
      <c r="F168" s="84"/>
      <c r="G168" s="84"/>
      <c r="H168" s="84"/>
      <c r="I168" s="84"/>
      <c r="J168" s="84"/>
      <c r="K168" s="41"/>
      <c r="L168" s="41"/>
      <c r="M168" s="42"/>
      <c r="N168" s="42"/>
    </row>
    <row r="169" spans="1:14" s="48" customFormat="1" ht="18.75" customHeight="1" x14ac:dyDescent="0.25">
      <c r="A169" s="43" t="s">
        <v>341</v>
      </c>
      <c r="B169" s="43" t="s">
        <v>200</v>
      </c>
      <c r="C169" s="44" t="s">
        <v>201</v>
      </c>
      <c r="D169" s="45" t="s">
        <v>342</v>
      </c>
      <c r="E169" s="45" t="s">
        <v>202</v>
      </c>
      <c r="F169" s="44" t="s">
        <v>343</v>
      </c>
      <c r="G169" s="46" t="s">
        <v>344</v>
      </c>
      <c r="H169" s="44" t="s">
        <v>203</v>
      </c>
      <c r="I169" s="43" t="s">
        <v>345</v>
      </c>
      <c r="J169" s="43" t="s">
        <v>346</v>
      </c>
      <c r="K169" s="47" t="s">
        <v>338</v>
      </c>
      <c r="L169" s="48" t="s">
        <v>393</v>
      </c>
      <c r="M169" s="48" t="s">
        <v>339</v>
      </c>
      <c r="N169" s="48" t="s">
        <v>340</v>
      </c>
    </row>
    <row r="170" spans="1:14" s="65" customFormat="1" ht="27" outlineLevel="2" x14ac:dyDescent="0.25">
      <c r="A170" s="6" t="s">
        <v>324</v>
      </c>
      <c r="B170" s="14" t="s">
        <v>323</v>
      </c>
      <c r="C170" s="54" t="s">
        <v>401</v>
      </c>
      <c r="D170" s="11">
        <v>3353</v>
      </c>
      <c r="E170" s="55" t="s">
        <v>402</v>
      </c>
      <c r="F170" s="5" t="s">
        <v>325</v>
      </c>
      <c r="G170" s="6"/>
      <c r="H170" s="6"/>
      <c r="I170" s="6" t="s">
        <v>326</v>
      </c>
      <c r="J170" s="6" t="s">
        <v>327</v>
      </c>
      <c r="K170" s="53">
        <v>78</v>
      </c>
      <c r="L170" s="53">
        <v>1</v>
      </c>
      <c r="M170" s="9" t="s">
        <v>260</v>
      </c>
      <c r="N170" s="9" t="s">
        <v>304</v>
      </c>
    </row>
    <row r="171" spans="1:14" s="66" customFormat="1" ht="27" outlineLevel="2" x14ac:dyDescent="0.25">
      <c r="A171" s="49" t="s">
        <v>324</v>
      </c>
      <c r="B171" s="52" t="s">
        <v>328</v>
      </c>
      <c r="C171" s="68" t="s">
        <v>401</v>
      </c>
      <c r="D171" s="57">
        <v>2353</v>
      </c>
      <c r="E171" s="69" t="s">
        <v>402</v>
      </c>
      <c r="F171" s="50" t="s">
        <v>329</v>
      </c>
      <c r="G171" s="49"/>
      <c r="H171" s="49"/>
      <c r="I171" s="49" t="s">
        <v>326</v>
      </c>
      <c r="J171" s="49" t="s">
        <v>330</v>
      </c>
      <c r="K171" s="51">
        <v>79</v>
      </c>
      <c r="L171" s="51">
        <v>1</v>
      </c>
      <c r="M171" s="58" t="s">
        <v>260</v>
      </c>
      <c r="N171" s="58" t="s">
        <v>304</v>
      </c>
    </row>
    <row r="172" spans="1:14" s="65" customFormat="1" ht="36" outlineLevel="2" x14ac:dyDescent="0.25">
      <c r="A172" s="6" t="s">
        <v>324</v>
      </c>
      <c r="B172" s="14" t="s">
        <v>82</v>
      </c>
      <c r="C172" s="54" t="s">
        <v>401</v>
      </c>
      <c r="D172" s="11">
        <v>2941</v>
      </c>
      <c r="E172" s="55" t="s">
        <v>402</v>
      </c>
      <c r="F172" s="5" t="s">
        <v>331</v>
      </c>
      <c r="G172" s="6"/>
      <c r="H172" s="6"/>
      <c r="I172" s="6" t="s">
        <v>332</v>
      </c>
      <c r="J172" s="6" t="s">
        <v>383</v>
      </c>
      <c r="K172" s="53">
        <v>80</v>
      </c>
      <c r="L172" s="53">
        <v>1</v>
      </c>
      <c r="M172" s="9" t="s">
        <v>260</v>
      </c>
      <c r="N172" s="9" t="s">
        <v>304</v>
      </c>
    </row>
    <row r="173" spans="1:14" s="65" customFormat="1" ht="27" outlineLevel="2" x14ac:dyDescent="0.25">
      <c r="A173" s="6" t="s">
        <v>60</v>
      </c>
      <c r="B173" s="14" t="s">
        <v>333</v>
      </c>
      <c r="C173" s="54" t="s">
        <v>6</v>
      </c>
      <c r="D173" s="11">
        <v>700</v>
      </c>
      <c r="E173" s="55" t="s">
        <v>403</v>
      </c>
      <c r="F173" s="24" t="s">
        <v>45</v>
      </c>
      <c r="G173" s="5"/>
      <c r="H173" s="5"/>
      <c r="I173" s="5" t="s">
        <v>319</v>
      </c>
      <c r="J173" s="6" t="s">
        <v>334</v>
      </c>
      <c r="K173" s="53">
        <v>81</v>
      </c>
      <c r="L173" s="53">
        <v>1</v>
      </c>
      <c r="M173" s="9" t="s">
        <v>260</v>
      </c>
      <c r="N173" s="9" t="s">
        <v>304</v>
      </c>
    </row>
    <row r="174" spans="1:14" s="65" customFormat="1" ht="27" outlineLevel="2" x14ac:dyDescent="0.25">
      <c r="A174" s="6" t="s">
        <v>60</v>
      </c>
      <c r="B174" s="5" t="s">
        <v>354</v>
      </c>
      <c r="C174" s="54" t="s">
        <v>7</v>
      </c>
      <c r="D174" s="11">
        <v>220</v>
      </c>
      <c r="E174" s="55" t="s">
        <v>403</v>
      </c>
      <c r="F174" s="24" t="s">
        <v>19</v>
      </c>
      <c r="G174" s="24" t="s">
        <v>23</v>
      </c>
      <c r="H174" s="5"/>
      <c r="I174" s="5" t="s">
        <v>355</v>
      </c>
      <c r="J174" s="6" t="s">
        <v>347</v>
      </c>
      <c r="K174" s="53">
        <v>82</v>
      </c>
      <c r="L174" s="53">
        <v>1</v>
      </c>
      <c r="M174" s="9" t="s">
        <v>260</v>
      </c>
      <c r="N174" s="9" t="s">
        <v>304</v>
      </c>
    </row>
    <row r="175" spans="1:14" s="65" customFormat="1" ht="27" outlineLevel="2" x14ac:dyDescent="0.25">
      <c r="A175" s="6" t="s">
        <v>60</v>
      </c>
      <c r="B175" s="5" t="s">
        <v>356</v>
      </c>
      <c r="C175" s="54" t="s">
        <v>401</v>
      </c>
      <c r="D175" s="11" t="s">
        <v>401</v>
      </c>
      <c r="E175" s="55" t="s">
        <v>403</v>
      </c>
      <c r="F175" s="24" t="s">
        <v>401</v>
      </c>
      <c r="G175" s="24" t="s">
        <v>23</v>
      </c>
      <c r="H175" s="5"/>
      <c r="I175" s="5" t="s">
        <v>357</v>
      </c>
      <c r="J175" s="6" t="s">
        <v>347</v>
      </c>
      <c r="K175" s="53"/>
      <c r="L175" s="53"/>
      <c r="M175" s="9"/>
      <c r="N175" s="9"/>
    </row>
    <row r="176" spans="1:14" s="65" customFormat="1" ht="27" outlineLevel="2" x14ac:dyDescent="0.25">
      <c r="A176" s="6" t="s">
        <v>60</v>
      </c>
      <c r="B176" s="14" t="s">
        <v>335</v>
      </c>
      <c r="C176" s="54" t="s">
        <v>404</v>
      </c>
      <c r="D176" s="67">
        <v>175</v>
      </c>
      <c r="E176" s="55" t="s">
        <v>403</v>
      </c>
      <c r="F176" s="5" t="s">
        <v>336</v>
      </c>
      <c r="G176" s="5" t="s">
        <v>86</v>
      </c>
      <c r="H176" s="5"/>
      <c r="I176" s="5" t="s">
        <v>337</v>
      </c>
      <c r="J176" s="6" t="s">
        <v>191</v>
      </c>
      <c r="K176" s="53">
        <v>83</v>
      </c>
      <c r="L176" s="53">
        <v>0</v>
      </c>
      <c r="M176" s="9" t="s">
        <v>260</v>
      </c>
      <c r="N176" s="9" t="s">
        <v>304</v>
      </c>
    </row>
    <row r="177" spans="1:14" s="65" customFormat="1" ht="27" outlineLevel="2" x14ac:dyDescent="0.25">
      <c r="A177" s="6" t="s">
        <v>86</v>
      </c>
      <c r="B177" s="14" t="s">
        <v>335</v>
      </c>
      <c r="C177" s="54" t="s">
        <v>404</v>
      </c>
      <c r="D177" s="67">
        <v>200</v>
      </c>
      <c r="E177" s="55" t="s">
        <v>403</v>
      </c>
      <c r="F177" s="5" t="s">
        <v>336</v>
      </c>
      <c r="G177" s="5" t="s">
        <v>86</v>
      </c>
      <c r="H177" s="5"/>
      <c r="I177" s="5" t="s">
        <v>337</v>
      </c>
      <c r="J177" s="6" t="s">
        <v>191</v>
      </c>
      <c r="K177" s="53">
        <v>83</v>
      </c>
      <c r="L177" s="53">
        <v>1</v>
      </c>
      <c r="M177" s="9" t="s">
        <v>260</v>
      </c>
      <c r="N177" s="9" t="s">
        <v>304</v>
      </c>
    </row>
    <row r="178" spans="1:14" s="60" customFormat="1" ht="15" customHeight="1" outlineLevel="1" x14ac:dyDescent="0.2">
      <c r="A178" s="59"/>
      <c r="C178" s="56"/>
      <c r="D178" s="61"/>
      <c r="E178" s="62"/>
      <c r="F178" s="56"/>
      <c r="G178" s="56"/>
      <c r="H178" s="56"/>
      <c r="I178" s="56"/>
      <c r="J178" s="59"/>
      <c r="K178" s="63"/>
      <c r="L178" s="63">
        <f>SUBTOTAL(9,L160:L177)</f>
        <v>11</v>
      </c>
      <c r="M178" s="62"/>
      <c r="N178" s="64" t="s">
        <v>293</v>
      </c>
    </row>
    <row r="179" spans="1:14" s="60" customFormat="1" ht="15" customHeight="1" x14ac:dyDescent="0.2">
      <c r="A179" s="59"/>
      <c r="C179" s="56"/>
      <c r="D179" s="61"/>
      <c r="E179" s="62"/>
      <c r="F179" s="56"/>
      <c r="G179" s="56"/>
      <c r="H179" s="56"/>
      <c r="I179" s="56"/>
      <c r="J179" s="59"/>
      <c r="K179" s="63"/>
      <c r="L179" s="63">
        <f>SUBTOTAL(9,L4:L177)</f>
        <v>85</v>
      </c>
      <c r="M179" s="62"/>
      <c r="N179" s="64" t="s">
        <v>410</v>
      </c>
    </row>
    <row r="180" spans="1:14" s="12" customFormat="1" ht="9" x14ac:dyDescent="0.2">
      <c r="D180" s="31"/>
      <c r="F180" s="32"/>
    </row>
    <row r="181" spans="1:14" s="12" customFormat="1" ht="9" x14ac:dyDescent="0.2">
      <c r="D181" s="31"/>
      <c r="F181" s="32"/>
    </row>
    <row r="182" spans="1:14" s="12" customFormat="1" ht="9" x14ac:dyDescent="0.2">
      <c r="D182" s="31"/>
      <c r="F182" s="32"/>
    </row>
    <row r="183" spans="1:14" s="12" customFormat="1" ht="9" x14ac:dyDescent="0.2">
      <c r="D183" s="31"/>
      <c r="F183" s="32"/>
    </row>
    <row r="184" spans="1:14" s="12" customFormat="1" ht="9" x14ac:dyDescent="0.2">
      <c r="D184" s="31"/>
      <c r="F184" s="32"/>
    </row>
    <row r="185" spans="1:14" s="12" customFormat="1" ht="9" x14ac:dyDescent="0.2">
      <c r="D185" s="31"/>
      <c r="F185" s="32"/>
    </row>
    <row r="186" spans="1:14" s="12" customFormat="1" ht="9" x14ac:dyDescent="0.2">
      <c r="D186" s="31"/>
      <c r="F186" s="32"/>
    </row>
    <row r="187" spans="1:14" s="12" customFormat="1" ht="9" x14ac:dyDescent="0.2">
      <c r="D187" s="31"/>
      <c r="F187" s="32"/>
    </row>
    <row r="188" spans="1:14" s="12" customFormat="1" ht="9" x14ac:dyDescent="0.2">
      <c r="D188" s="31"/>
      <c r="F188" s="32"/>
    </row>
    <row r="189" spans="1:14" s="12" customFormat="1" ht="9" x14ac:dyDescent="0.2">
      <c r="D189" s="31"/>
      <c r="F189" s="32"/>
    </row>
    <row r="190" spans="1:14" s="12" customFormat="1" ht="9" x14ac:dyDescent="0.2">
      <c r="D190" s="31"/>
      <c r="F190" s="32"/>
    </row>
    <row r="191" spans="1:14" s="12" customFormat="1" ht="9" x14ac:dyDescent="0.2">
      <c r="D191" s="31"/>
      <c r="F191" s="32"/>
    </row>
    <row r="192" spans="1:14" s="12" customFormat="1" ht="9" x14ac:dyDescent="0.2">
      <c r="D192" s="31"/>
      <c r="F192" s="32"/>
    </row>
    <row r="193" spans="4:6" s="12" customFormat="1" ht="9" x14ac:dyDescent="0.2">
      <c r="D193" s="31"/>
      <c r="F193" s="32"/>
    </row>
    <row r="194" spans="4:6" s="12" customFormat="1" ht="9" x14ac:dyDescent="0.2">
      <c r="D194" s="31"/>
      <c r="F194" s="32"/>
    </row>
    <row r="195" spans="4:6" s="12" customFormat="1" ht="9" x14ac:dyDescent="0.2">
      <c r="D195" s="31"/>
      <c r="F195" s="32"/>
    </row>
    <row r="196" spans="4:6" s="12" customFormat="1" ht="9" x14ac:dyDescent="0.2">
      <c r="D196" s="31"/>
      <c r="F196" s="32"/>
    </row>
    <row r="197" spans="4:6" s="12" customFormat="1" ht="9" x14ac:dyDescent="0.2">
      <c r="D197" s="31"/>
      <c r="F197" s="32"/>
    </row>
    <row r="198" spans="4:6" s="12" customFormat="1" ht="9" x14ac:dyDescent="0.2">
      <c r="D198" s="31"/>
      <c r="F198" s="32"/>
    </row>
    <row r="199" spans="4:6" s="12" customFormat="1" ht="9" x14ac:dyDescent="0.2">
      <c r="D199" s="31"/>
      <c r="F199" s="32"/>
    </row>
    <row r="200" spans="4:6" s="12" customFormat="1" ht="9" x14ac:dyDescent="0.2">
      <c r="D200" s="31"/>
      <c r="F200" s="32"/>
    </row>
    <row r="201" spans="4:6" s="12" customFormat="1" ht="9" x14ac:dyDescent="0.2">
      <c r="D201" s="31"/>
      <c r="F201" s="32"/>
    </row>
    <row r="202" spans="4:6" s="12" customFormat="1" ht="9" x14ac:dyDescent="0.2">
      <c r="D202" s="31"/>
      <c r="F202" s="32"/>
    </row>
    <row r="203" spans="4:6" s="12" customFormat="1" ht="9" x14ac:dyDescent="0.2">
      <c r="D203" s="31"/>
      <c r="F203" s="32"/>
    </row>
    <row r="204" spans="4:6" s="12" customFormat="1" ht="9" x14ac:dyDescent="0.2">
      <c r="D204" s="31"/>
      <c r="F204" s="32"/>
    </row>
    <row r="205" spans="4:6" s="12" customFormat="1" ht="9" x14ac:dyDescent="0.2">
      <c r="D205" s="31"/>
      <c r="F205" s="32"/>
    </row>
    <row r="206" spans="4:6" s="12" customFormat="1" ht="9" x14ac:dyDescent="0.2">
      <c r="D206" s="31"/>
      <c r="F206" s="32"/>
    </row>
  </sheetData>
  <customSheetViews>
    <customSheetView guid="{A3267BB5-AE19-11D3-B7CF-0020AF9B0CDA}" hiddenRows="1" showRuler="0" topLeftCell="A172">
      <selection sqref="A1:J1"/>
      <rowBreaks count="15" manualBreakCount="15">
        <brk id="15" max="16383" man="1"/>
        <brk id="30" max="16383" man="1"/>
        <brk id="39" max="16383" man="1"/>
        <brk id="51" max="16383" man="1"/>
        <brk id="59" max="16383" man="1"/>
        <brk id="68" max="16383" man="1"/>
        <brk id="76" max="16383" man="1"/>
        <brk id="87" max="16383" man="1"/>
        <brk id="95" max="16383" man="1"/>
        <brk id="115" max="16383" man="1"/>
        <brk id="126" max="16383" man="1"/>
        <brk id="136" max="16383" man="1"/>
        <brk id="144" max="16383" man="1"/>
        <brk id="157" max="16383" man="1"/>
        <brk id="167" max="16383" man="1"/>
      </rowBreaks>
      <colBreaks count="2" manualBreakCount="2">
        <brk id="9" max="175" man="1"/>
        <brk id="10" max="1048575" man="1"/>
      </colBreaks>
      <pageMargins left="0.25" right="0.2" top="0.62" bottom="0.73" header="0.5" footer="0.5"/>
      <pageSetup paperSize="9" orientation="landscape" r:id="rId1"/>
      <headerFooter alignWithMargins="0"/>
    </customSheetView>
    <customSheetView guid="{8C6D4B80-A81C-11D3-997D-BC0D0FC14908}" showPageBreaks="1" printArea="1" hiddenRows="1" showRuler="0" topLeftCell="A172">
      <selection sqref="A1:J1"/>
      <rowBreaks count="15" manualBreakCount="15">
        <brk id="15" max="16383" man="1"/>
        <brk id="30" max="16383" man="1"/>
        <brk id="39" max="16383" man="1"/>
        <brk id="51" max="16383" man="1"/>
        <brk id="59" max="16383" man="1"/>
        <brk id="68" max="16383" man="1"/>
        <brk id="76" max="16383" man="1"/>
        <brk id="87" max="16383" man="1"/>
        <brk id="95" max="16383" man="1"/>
        <brk id="115" max="16383" man="1"/>
        <brk id="126" max="16383" man="1"/>
        <brk id="136" max="16383" man="1"/>
        <brk id="144" max="16383" man="1"/>
        <brk id="157" max="16383" man="1"/>
        <brk id="167" max="16383" man="1"/>
      </rowBreaks>
      <colBreaks count="2" manualBreakCount="2">
        <brk id="9" max="175" man="1"/>
        <brk id="10" max="1048575" man="1"/>
      </colBreaks>
      <pageMargins left="0.25" right="0.2" top="0.62" bottom="0.73" header="0.5" footer="0.5"/>
      <pageSetup paperSize="9" orientation="landscape" r:id="rId2"/>
      <headerFooter alignWithMargins="0"/>
    </customSheetView>
  </customSheetViews>
  <mergeCells count="40">
    <mergeCell ref="A60:J60"/>
    <mergeCell ref="A61:J61"/>
    <mergeCell ref="A1:J1"/>
    <mergeCell ref="A2:J2"/>
    <mergeCell ref="A16:J16"/>
    <mergeCell ref="A24:J24"/>
    <mergeCell ref="A31:J31"/>
    <mergeCell ref="A40:J40"/>
    <mergeCell ref="A52:J52"/>
    <mergeCell ref="A53:J53"/>
    <mergeCell ref="A90:J90"/>
    <mergeCell ref="A91:J91"/>
    <mergeCell ref="A17:J17"/>
    <mergeCell ref="A25:J25"/>
    <mergeCell ref="A82:J82"/>
    <mergeCell ref="A83:J83"/>
    <mergeCell ref="A32:J32"/>
    <mergeCell ref="A41:J41"/>
    <mergeCell ref="A73:J73"/>
    <mergeCell ref="A74:J74"/>
    <mergeCell ref="A151:J151"/>
    <mergeCell ref="A125:J125"/>
    <mergeCell ref="A135:J135"/>
    <mergeCell ref="A113:J113"/>
    <mergeCell ref="A120:J120"/>
    <mergeCell ref="A124:J124"/>
    <mergeCell ref="A134:J134"/>
    <mergeCell ref="A150:J150"/>
    <mergeCell ref="A142:J142"/>
    <mergeCell ref="A143:J143"/>
    <mergeCell ref="A167:J167"/>
    <mergeCell ref="A168:J168"/>
    <mergeCell ref="A157:J157"/>
    <mergeCell ref="A158:J158"/>
    <mergeCell ref="A99:J99"/>
    <mergeCell ref="A106:J106"/>
    <mergeCell ref="A112:J112"/>
    <mergeCell ref="A119:J119"/>
    <mergeCell ref="A100:J100"/>
    <mergeCell ref="A107:J107"/>
  </mergeCells>
  <pageMargins left="0.25" right="0.25" top="0.62" bottom="0.48" header="0.5" footer="0.43"/>
  <pageSetup paperSize="9" orientation="landscape" r:id="rId3"/>
  <headerFooter alignWithMargins="0"/>
  <rowBreaks count="14" manualBreakCount="14">
    <brk id="15" max="16383" man="1"/>
    <brk id="30" max="16383" man="1"/>
    <brk id="39" max="16383" man="1"/>
    <brk id="51" max="16383" man="1"/>
    <brk id="59" max="16383" man="1"/>
    <brk id="72" max="16383" man="1"/>
    <brk id="81" max="16383" man="1"/>
    <brk id="89" max="16383" man="1"/>
    <brk id="111" max="16383" man="1"/>
    <brk id="123" max="16383" man="1"/>
    <brk id="133" max="16383" man="1"/>
    <brk id="141" max="16383" man="1"/>
    <brk id="156" max="16383" man="1"/>
    <brk id="166" max="16383" man="1"/>
  </rowBreaks>
  <colBreaks count="1" manualBreakCount="1">
    <brk id="10"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Inventory</vt:lpstr>
      <vt:lpstr>Inventory!Print_Area</vt:lpstr>
    </vt:vector>
  </TitlesOfParts>
  <Company>UNDP Hanoi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 Done</dc:creator>
  <cp:lastModifiedBy>Carina Negreanu</cp:lastModifiedBy>
  <cp:lastPrinted>1999-12-16T09:36:14Z</cp:lastPrinted>
  <dcterms:created xsi:type="dcterms:W3CDTF">1999-10-22T04:29:27Z</dcterms:created>
  <dcterms:modified xsi:type="dcterms:W3CDTF">2020-01-27T10:33:19Z</dcterms:modified>
</cp:coreProperties>
</file>