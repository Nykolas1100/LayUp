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2.xml" ContentType="application/vnd.openxmlformats-officedocument.spreadsheetml.chartsheet+xml"/>
  <Override PartName="/xl/worksheets/sheet9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E2E2B1-5580-4C20-AC6D-0D422BA1010D}" xr6:coauthVersionLast="45" xr6:coauthVersionMax="45" xr10:uidLastSave="{00000000-0000-0000-0000-000000000000}"/>
  <bookViews>
    <workbookView xWindow="3420" yWindow="3420" windowWidth="28800" windowHeight="15460"/>
  </bookViews>
  <sheets>
    <sheet name="Cash Flow" sheetId="4" r:id="rId1"/>
    <sheet name="Income Statement" sheetId="5" r:id="rId2"/>
    <sheet name="Balance Sheet" sheetId="6" r:id="rId3"/>
    <sheet name="Statement of Capital" sheetId="9" r:id="rId4"/>
    <sheet name="Breakeven" sheetId="12" r:id="rId5"/>
    <sheet name="Acual Rate" sheetId="1" r:id="rId6"/>
    <sheet name="Chart-Actual Rate" sheetId="10" r:id="rId7"/>
    <sheet name="Calculations" sheetId="7" r:id="rId8"/>
    <sheet name="Sustainable Rate" sheetId="2" r:id="rId9"/>
    <sheet name="Chart-Sustainable Rate" sheetId="11" r:id="rId10"/>
    <sheet name="AR vs SR" sheetId="3" r:id="rId11"/>
    <sheet name="Chart-AR vs SR" sheetId="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5" l="1"/>
  <c r="C5" i="1" s="1"/>
  <c r="B4" i="1"/>
  <c r="B6" i="1" s="1"/>
  <c r="B7" i="1" s="1"/>
  <c r="B9" i="1" s="1"/>
  <c r="B4" i="3" s="1"/>
  <c r="G9" i="5"/>
  <c r="G20" i="5" s="1"/>
  <c r="G40" i="5" s="1"/>
  <c r="G47" i="5" s="1"/>
  <c r="G49" i="5" s="1"/>
  <c r="F9" i="5"/>
  <c r="F5" i="1"/>
  <c r="E4" i="1"/>
  <c r="E9" i="5"/>
  <c r="E5" i="1"/>
  <c r="E6" i="1"/>
  <c r="E7" i="1" s="1"/>
  <c r="E9" i="1" s="1"/>
  <c r="E4" i="3" s="1"/>
  <c r="D4" i="1"/>
  <c r="D9" i="5"/>
  <c r="D5" i="1" s="1"/>
  <c r="D11" i="6"/>
  <c r="D19" i="6"/>
  <c r="D24" i="6" s="1"/>
  <c r="D16" i="5"/>
  <c r="D18" i="5"/>
  <c r="D26" i="5"/>
  <c r="D39" i="5" s="1"/>
  <c r="D38" i="5"/>
  <c r="D45" i="5"/>
  <c r="E11" i="6"/>
  <c r="E19" i="6"/>
  <c r="E24" i="6" s="1"/>
  <c r="E16" i="5"/>
  <c r="E18" i="5" s="1"/>
  <c r="E20" i="5" s="1"/>
  <c r="E40" i="5" s="1"/>
  <c r="E47" i="5" s="1"/>
  <c r="E49" i="5" s="1"/>
  <c r="E26" i="5"/>
  <c r="E38" i="5"/>
  <c r="E39" i="5"/>
  <c r="E45" i="5"/>
  <c r="E6" i="7"/>
  <c r="E12" i="7"/>
  <c r="F11" i="6"/>
  <c r="F24" i="6" s="1"/>
  <c r="F19" i="6"/>
  <c r="F16" i="5"/>
  <c r="F18" i="5" s="1"/>
  <c r="F20" i="5" s="1"/>
  <c r="F40" i="5" s="1"/>
  <c r="F47" i="5" s="1"/>
  <c r="F49" i="5" s="1"/>
  <c r="F26" i="5"/>
  <c r="F38" i="5"/>
  <c r="F39" i="5"/>
  <c r="F45" i="5"/>
  <c r="F6" i="7"/>
  <c r="F12" i="7"/>
  <c r="F4" i="2"/>
  <c r="G11" i="6"/>
  <c r="G19" i="6"/>
  <c r="G24" i="6"/>
  <c r="G16" i="7" s="1"/>
  <c r="G16" i="5"/>
  <c r="G18" i="5" s="1"/>
  <c r="G26" i="5"/>
  <c r="G38" i="5"/>
  <c r="G39" i="5"/>
  <c r="G45" i="5"/>
  <c r="G6" i="7"/>
  <c r="B4" i="2"/>
  <c r="C11" i="6"/>
  <c r="C24" i="6" s="1"/>
  <c r="C19" i="6"/>
  <c r="C16" i="5"/>
  <c r="C18" i="5"/>
  <c r="C20" i="5" s="1"/>
  <c r="C26" i="5"/>
  <c r="C39" i="5" s="1"/>
  <c r="C38" i="5"/>
  <c r="C45" i="5"/>
  <c r="C6" i="7"/>
  <c r="C12" i="7"/>
  <c r="D34" i="6"/>
  <c r="D39" i="6"/>
  <c r="E34" i="6"/>
  <c r="E39" i="6"/>
  <c r="F34" i="6"/>
  <c r="F39" i="6"/>
  <c r="G34" i="6"/>
  <c r="G39" i="6"/>
  <c r="C34" i="6"/>
  <c r="C39" i="6"/>
  <c r="H98" i="12"/>
  <c r="G98" i="12"/>
  <c r="F98" i="12"/>
  <c r="E98" i="12"/>
  <c r="D98" i="12"/>
  <c r="D91" i="12"/>
  <c r="E88" i="12"/>
  <c r="F88" i="12"/>
  <c r="G88" i="12"/>
  <c r="H88" i="12"/>
  <c r="E12" i="12"/>
  <c r="E17" i="12"/>
  <c r="E18" i="12" s="1"/>
  <c r="E72" i="12"/>
  <c r="F12" i="12"/>
  <c r="F19" i="12" s="1"/>
  <c r="F71" i="12" s="1"/>
  <c r="F74" i="12" s="1"/>
  <c r="F17" i="12"/>
  <c r="F18" i="12" s="1"/>
  <c r="F72" i="12"/>
  <c r="G12" i="12"/>
  <c r="G17" i="12"/>
  <c r="G18" i="12"/>
  <c r="G19" i="12"/>
  <c r="G71" i="12"/>
  <c r="G72" i="12"/>
  <c r="G74" i="12"/>
  <c r="H12" i="12"/>
  <c r="H17" i="12"/>
  <c r="H18" i="12" s="1"/>
  <c r="H19" i="12" s="1"/>
  <c r="H71" i="12" s="1"/>
  <c r="H74" i="12" s="1"/>
  <c r="H72" i="12"/>
  <c r="D72" i="12"/>
  <c r="E44" i="12"/>
  <c r="E46" i="12" s="1"/>
  <c r="E54" i="12" s="1"/>
  <c r="F44" i="12"/>
  <c r="F46" i="12" s="1"/>
  <c r="F54" i="12" s="1"/>
  <c r="G44" i="12"/>
  <c r="H44" i="12"/>
  <c r="H46" i="12" s="1"/>
  <c r="H54" i="12" s="1"/>
  <c r="D44" i="12"/>
  <c r="D46" i="12"/>
  <c r="G46" i="12"/>
  <c r="E52" i="12"/>
  <c r="F52" i="12"/>
  <c r="G52" i="12"/>
  <c r="H52" i="12"/>
  <c r="D52" i="12"/>
  <c r="D53" i="12" s="1"/>
  <c r="D54" i="12" s="1"/>
  <c r="E53" i="12"/>
  <c r="F53" i="12"/>
  <c r="G53" i="12"/>
  <c r="G54" i="12" s="1"/>
  <c r="H53" i="12"/>
  <c r="D88" i="12"/>
  <c r="D12" i="12"/>
  <c r="D17" i="12"/>
  <c r="D18" i="12"/>
  <c r="D19" i="12"/>
  <c r="D71" i="12"/>
  <c r="D74" i="12" s="1"/>
  <c r="D93" i="12"/>
  <c r="D94" i="12" s="1"/>
  <c r="H93" i="12"/>
  <c r="H94" i="12"/>
  <c r="G93" i="12"/>
  <c r="G94" i="12"/>
  <c r="F93" i="12"/>
  <c r="F94" i="12"/>
  <c r="E93" i="12"/>
  <c r="E94" i="12"/>
  <c r="C30" i="4"/>
  <c r="C38" i="4" s="1"/>
  <c r="C40" i="4" s="1"/>
  <c r="C35" i="4"/>
  <c r="D30" i="4"/>
  <c r="D35" i="4"/>
  <c r="D38" i="4"/>
  <c r="E30" i="4"/>
  <c r="E35" i="4"/>
  <c r="E38" i="4" s="1"/>
  <c r="E40" i="4" s="1"/>
  <c r="F30" i="4"/>
  <c r="F38" i="4" s="1"/>
  <c r="F40" i="4" s="1"/>
  <c r="F35" i="4"/>
  <c r="G30" i="4"/>
  <c r="G35" i="4"/>
  <c r="G38" i="4" s="1"/>
  <c r="G40" i="4" s="1"/>
  <c r="H30" i="4"/>
  <c r="H35" i="4"/>
  <c r="H38" i="4"/>
  <c r="I30" i="4"/>
  <c r="I38" i="4" s="1"/>
  <c r="I35" i="4"/>
  <c r="J30" i="4"/>
  <c r="J35" i="4"/>
  <c r="J38" i="4"/>
  <c r="K30" i="4"/>
  <c r="K35" i="4"/>
  <c r="K38" i="4"/>
  <c r="L30" i="4"/>
  <c r="L35" i="4"/>
  <c r="L38" i="4"/>
  <c r="M30" i="4"/>
  <c r="M38" i="4" s="1"/>
  <c r="M40" i="4" s="1"/>
  <c r="M35" i="4"/>
  <c r="N30" i="4"/>
  <c r="N35" i="4"/>
  <c r="N38" i="4"/>
  <c r="B30" i="4"/>
  <c r="B38" i="4" s="1"/>
  <c r="B40" i="4" s="1"/>
  <c r="B35" i="4"/>
  <c r="H10" i="4"/>
  <c r="H40" i="4" s="1"/>
  <c r="I10" i="4"/>
  <c r="J10" i="4"/>
  <c r="J40" i="4"/>
  <c r="K10" i="4"/>
  <c r="K40" i="4"/>
  <c r="L10" i="4"/>
  <c r="L40" i="4" s="1"/>
  <c r="M10" i="4"/>
  <c r="N10" i="4"/>
  <c r="N40" i="4" s="1"/>
  <c r="C10" i="4"/>
  <c r="D10" i="4"/>
  <c r="D40" i="4"/>
  <c r="E10" i="4"/>
  <c r="F10" i="4"/>
  <c r="G10" i="4"/>
  <c r="B10" i="4"/>
  <c r="E16" i="7" l="1"/>
  <c r="E13" i="7"/>
  <c r="E14" i="7" s="1"/>
  <c r="D9" i="2" s="1"/>
  <c r="I40" i="4"/>
  <c r="E19" i="12"/>
  <c r="E71" i="12" s="1"/>
  <c r="E74" i="12" s="1"/>
  <c r="D13" i="7"/>
  <c r="D16" i="7"/>
  <c r="C40" i="5"/>
  <c r="C47" i="5" s="1"/>
  <c r="C49" i="5" s="1"/>
  <c r="D6" i="1"/>
  <c r="D7" i="1" s="1"/>
  <c r="D9" i="1" s="1"/>
  <c r="D4" i="3" s="1"/>
  <c r="F13" i="7"/>
  <c r="F14" i="7" s="1"/>
  <c r="E9" i="2" s="1"/>
  <c r="F16" i="7"/>
  <c r="F5" i="7"/>
  <c r="F7" i="7" s="1"/>
  <c r="E8" i="2" s="1"/>
  <c r="E10" i="2" s="1"/>
  <c r="E9" i="9"/>
  <c r="E13" i="9" s="1"/>
  <c r="F42" i="6" s="1"/>
  <c r="F44" i="6" s="1"/>
  <c r="C16" i="7"/>
  <c r="C13" i="7"/>
  <c r="C14" i="7" s="1"/>
  <c r="B9" i="2" s="1"/>
  <c r="F9" i="9"/>
  <c r="F13" i="9" s="1"/>
  <c r="G42" i="6" s="1"/>
  <c r="G44" i="6" s="1"/>
  <c r="G5" i="7"/>
  <c r="G7" i="7" s="1"/>
  <c r="F8" i="2" s="1"/>
  <c r="F10" i="2" s="1"/>
  <c r="D9" i="9"/>
  <c r="D13" i="9" s="1"/>
  <c r="E42" i="6" s="1"/>
  <c r="E44" i="6" s="1"/>
  <c r="E5" i="7"/>
  <c r="E7" i="7" s="1"/>
  <c r="D8" i="2" s="1"/>
  <c r="D10" i="2" s="1"/>
  <c r="D6" i="7"/>
  <c r="F4" i="1"/>
  <c r="F6" i="1" s="1"/>
  <c r="F7" i="1" s="1"/>
  <c r="F9" i="1" s="1"/>
  <c r="F4" i="3" s="1"/>
  <c r="G13" i="7"/>
  <c r="C4" i="1"/>
  <c r="C6" i="1" s="1"/>
  <c r="C7" i="1" s="1"/>
  <c r="C9" i="1" s="1"/>
  <c r="C4" i="3" s="1"/>
  <c r="G12" i="7"/>
  <c r="G14" i="7" s="1"/>
  <c r="F9" i="2" s="1"/>
  <c r="D12" i="7"/>
  <c r="D14" i="7" s="1"/>
  <c r="C9" i="2" s="1"/>
  <c r="D20" i="5"/>
  <c r="D40" i="5" s="1"/>
  <c r="D47" i="5" s="1"/>
  <c r="D49" i="5" s="1"/>
  <c r="F17" i="7" l="1"/>
  <c r="F46" i="6"/>
  <c r="E17" i="7"/>
  <c r="E46" i="6"/>
  <c r="C9" i="9"/>
  <c r="C13" i="9" s="1"/>
  <c r="D42" i="6" s="1"/>
  <c r="D44" i="6" s="1"/>
  <c r="D5" i="7"/>
  <c r="D7" i="7" s="1"/>
  <c r="C8" i="2" s="1"/>
  <c r="C10" i="2" s="1"/>
  <c r="G46" i="6"/>
  <c r="G17" i="7"/>
  <c r="G18" i="7" s="1"/>
  <c r="F5" i="2" s="1"/>
  <c r="F6" i="2" s="1"/>
  <c r="F12" i="2" s="1"/>
  <c r="F13" i="2" s="1"/>
  <c r="F5" i="3" s="1"/>
  <c r="F18" i="7"/>
  <c r="E5" i="2" s="1"/>
  <c r="E6" i="2" s="1"/>
  <c r="E12" i="2" s="1"/>
  <c r="E13" i="2" s="1"/>
  <c r="E5" i="3" s="1"/>
  <c r="B9" i="9"/>
  <c r="B13" i="9" s="1"/>
  <c r="C42" i="6" s="1"/>
  <c r="C44" i="6" s="1"/>
  <c r="C5" i="7"/>
  <c r="C7" i="7" s="1"/>
  <c r="B8" i="2" s="1"/>
  <c r="B10" i="2" s="1"/>
  <c r="E18" i="7"/>
  <c r="D5" i="2" s="1"/>
  <c r="D6" i="2" s="1"/>
  <c r="D12" i="2" s="1"/>
  <c r="D13" i="2" s="1"/>
  <c r="D5" i="3" s="1"/>
  <c r="C17" i="7" l="1"/>
  <c r="C18" i="7" s="1"/>
  <c r="B5" i="2" s="1"/>
  <c r="B6" i="2" s="1"/>
  <c r="B12" i="2" s="1"/>
  <c r="B13" i="2" s="1"/>
  <c r="B5" i="3" s="1"/>
  <c r="C46" i="6"/>
  <c r="D17" i="7"/>
  <c r="D18" i="7" s="1"/>
  <c r="C5" i="2" s="1"/>
  <c r="C6" i="2" s="1"/>
  <c r="C12" i="2" s="1"/>
  <c r="C13" i="2" s="1"/>
  <c r="C5" i="3" s="1"/>
  <c r="D46" i="6"/>
</calcChain>
</file>

<file path=xl/sharedStrings.xml><?xml version="1.0" encoding="utf-8"?>
<sst xmlns="http://schemas.openxmlformats.org/spreadsheetml/2006/main" count="266" uniqueCount="207">
  <si>
    <t>Profit Margin</t>
  </si>
  <si>
    <t>Retention rate</t>
  </si>
  <si>
    <t>Asset Turnover Ratio</t>
  </si>
  <si>
    <t>Asset to equity Ratio</t>
  </si>
  <si>
    <t>Cash Flow Statement</t>
  </si>
  <si>
    <t>Cash on Hand</t>
  </si>
  <si>
    <t>Loan Proceeds</t>
  </si>
  <si>
    <t>Owner's Cash Injection</t>
  </si>
  <si>
    <t>Total Cash Available</t>
  </si>
  <si>
    <t xml:space="preserve">  Purchases (Merchandise)</t>
  </si>
  <si>
    <t xml:space="preserve">  Payroll Expenses (Taxes etc.)</t>
  </si>
  <si>
    <t xml:space="preserve">  Outside Services</t>
  </si>
  <si>
    <t xml:space="preserve">  Supplies</t>
  </si>
  <si>
    <t xml:space="preserve">  Repairs and Maintenance</t>
  </si>
  <si>
    <t xml:space="preserve">  Advertising</t>
  </si>
  <si>
    <t xml:space="preserve">  Car Delivery and Travel</t>
  </si>
  <si>
    <t xml:space="preserve">  Telephone</t>
  </si>
  <si>
    <t xml:space="preserve">  Utilities</t>
  </si>
  <si>
    <t xml:space="preserve">  Insurance</t>
  </si>
  <si>
    <t xml:space="preserve">  Taxes (Real Estate, etc)</t>
  </si>
  <si>
    <t xml:space="preserve">  Capital Purchases</t>
  </si>
  <si>
    <t xml:space="preserve">  Miscellaneous</t>
  </si>
  <si>
    <t xml:space="preserve">  Owner's Withdrawal</t>
  </si>
  <si>
    <t>Total Cash Paid Out</t>
  </si>
  <si>
    <t>Cash Position</t>
  </si>
  <si>
    <t>Start-Up</t>
  </si>
  <si>
    <t>Net Sales</t>
  </si>
  <si>
    <t>Cost of Goods Sold</t>
  </si>
  <si>
    <t>Beginning Inventory</t>
  </si>
  <si>
    <t>Cost of Goods Available</t>
  </si>
  <si>
    <t>Assets</t>
  </si>
  <si>
    <t>Cash and Cash equivalents</t>
  </si>
  <si>
    <t>Total Current Assets</t>
  </si>
  <si>
    <t>Total Property and Equipment</t>
  </si>
  <si>
    <t>Other Assets</t>
  </si>
  <si>
    <t>Total Assets</t>
  </si>
  <si>
    <t>Current liabilities:</t>
  </si>
  <si>
    <t>Accounts payable</t>
  </si>
  <si>
    <t>Total Current Liabilities</t>
  </si>
  <si>
    <t>Long-term debt</t>
  </si>
  <si>
    <t>Equity:</t>
  </si>
  <si>
    <t>Long-term Liabilities:</t>
  </si>
  <si>
    <t>Total Long-term Liabilities:</t>
  </si>
  <si>
    <t>Current Assets:</t>
  </si>
  <si>
    <t>Property and Equipment:</t>
  </si>
  <si>
    <t>Asset turnover Ratio</t>
  </si>
  <si>
    <t>Equity</t>
  </si>
  <si>
    <t xml:space="preserve">Asset-to-equity ratio </t>
  </si>
  <si>
    <t>Sustainable Growth Rate</t>
  </si>
  <si>
    <t>Income before taxes</t>
  </si>
  <si>
    <t>Income taxes</t>
  </si>
  <si>
    <t>Net Income</t>
  </si>
  <si>
    <t>Prepaid expenses</t>
  </si>
  <si>
    <t>Less Accumulated depreciation</t>
  </si>
  <si>
    <t>Investments</t>
  </si>
  <si>
    <t>Liabilities and Equity</t>
  </si>
  <si>
    <t>Average Total Assets</t>
  </si>
  <si>
    <t>Current Years Sales</t>
  </si>
  <si>
    <t>Prior Years Sales</t>
  </si>
  <si>
    <t>Subtract by 1</t>
  </si>
  <si>
    <t>Actual Growth Rate = Current Years Sales / Prior Years Sales - 1</t>
  </si>
  <si>
    <t>Sustainable Growth Rate = (Retention rate x Asset to equity ratio) x (Profit margin x Asset Turnover Ratio)</t>
  </si>
  <si>
    <t>Comparison of Actual Growth Rate and Sustainable Growth Rate</t>
  </si>
  <si>
    <t>Actual Growth Rate</t>
  </si>
  <si>
    <t>Retention rate*</t>
  </si>
  <si>
    <t>Retention rate = 100% with the expectation that 100% of the beginning retained earnings will be retained</t>
  </si>
  <si>
    <t xml:space="preserve">                         and carried over to the following year.</t>
  </si>
  <si>
    <t>Calculations for Sustainable Growth Rate</t>
  </si>
  <si>
    <t>Actual Growth Rate %</t>
  </si>
  <si>
    <t>Formula</t>
  </si>
  <si>
    <t>Formulas</t>
  </si>
  <si>
    <t>Add: Net Income of the Current Period</t>
  </si>
  <si>
    <t>Statement of Income</t>
  </si>
  <si>
    <t>Balance Sheet</t>
  </si>
  <si>
    <t>ABC Company</t>
  </si>
  <si>
    <t>Total Liabilities and Equity</t>
  </si>
  <si>
    <t>Inventory</t>
  </si>
  <si>
    <t>Revenues</t>
  </si>
  <si>
    <t>Sales-Cash</t>
  </si>
  <si>
    <t>Sales-Credit</t>
  </si>
  <si>
    <t>Less Returns and Allowances</t>
  </si>
  <si>
    <t>Add: Purchases</t>
  </si>
  <si>
    <t xml:space="preserve">        Direct Labor</t>
  </si>
  <si>
    <t xml:space="preserve">        Outside Services</t>
  </si>
  <si>
    <t>Less: Ending Inventory</t>
  </si>
  <si>
    <t>Total Cost of Goods Sold</t>
  </si>
  <si>
    <t>Operating Expenses</t>
  </si>
  <si>
    <t>Gross Profit</t>
  </si>
  <si>
    <t xml:space="preserve">     Advertising</t>
  </si>
  <si>
    <t xml:space="preserve">     Commissions</t>
  </si>
  <si>
    <t xml:space="preserve">     Insurance</t>
  </si>
  <si>
    <t xml:space="preserve">     Repairs and Maintenance</t>
  </si>
  <si>
    <t xml:space="preserve">     Utilities</t>
  </si>
  <si>
    <t>Total Selling Expenses</t>
  </si>
  <si>
    <t>Total General and Administrative expenses</t>
  </si>
  <si>
    <t>Total Operating Expenses</t>
  </si>
  <si>
    <t>Operating Income</t>
  </si>
  <si>
    <t>Total Other Income</t>
  </si>
  <si>
    <t>General and Administrative expenses:</t>
  </si>
  <si>
    <t>Selling expenses:</t>
  </si>
  <si>
    <t>Other</t>
  </si>
  <si>
    <t>Interest expense</t>
  </si>
  <si>
    <t>Interest income</t>
  </si>
  <si>
    <t>Period of      to</t>
  </si>
  <si>
    <t>Buildings</t>
  </si>
  <si>
    <t>Land</t>
  </si>
  <si>
    <t>Taxes Payable</t>
  </si>
  <si>
    <t>Salary and Wages Payable</t>
  </si>
  <si>
    <t>Breakeven Analysis</t>
  </si>
  <si>
    <t>Breakeven Point in Units</t>
  </si>
  <si>
    <t>Selling Price</t>
  </si>
  <si>
    <t xml:space="preserve">       </t>
  </si>
  <si>
    <t>Breakeven Point in Units = Monthly Fixed Costs/(Selling Price - Variable Costs)</t>
  </si>
  <si>
    <t>Rent</t>
  </si>
  <si>
    <t>Loan</t>
  </si>
  <si>
    <t>Advertising</t>
  </si>
  <si>
    <t>Total Fixed Costs</t>
  </si>
  <si>
    <t>Monthly Fixed Costs:</t>
  </si>
  <si>
    <t xml:space="preserve">      Less</t>
  </si>
  <si>
    <t>Variable Costs:</t>
  </si>
  <si>
    <t>Total Variable Costs</t>
  </si>
  <si>
    <t>Utilities</t>
  </si>
  <si>
    <t>Profit</t>
  </si>
  <si>
    <t xml:space="preserve">      Add</t>
  </si>
  <si>
    <t>Total Fixed Costs and Profit</t>
  </si>
  <si>
    <t>Breakeven Point in Sales Dollars = Breakeven point in unit sales x Selling price</t>
  </si>
  <si>
    <t>Breakeven point in Unit Sales</t>
  </si>
  <si>
    <t>Breakeven point in Total Sales Dollars</t>
  </si>
  <si>
    <t>Contribution margin ratio:</t>
  </si>
  <si>
    <t>Breakeven Point in Sales Dollars</t>
  </si>
  <si>
    <t xml:space="preserve">  Salaries &amp; wages (Excludes withdrawals)</t>
  </si>
  <si>
    <t xml:space="preserve">  Accounting and Legal Fees</t>
  </si>
  <si>
    <t>Other Income and Expenses</t>
  </si>
  <si>
    <t xml:space="preserve">     Supplies</t>
  </si>
  <si>
    <t xml:space="preserve">     Car Delivery and Travel</t>
  </si>
  <si>
    <t xml:space="preserve">     Accounting and Legal Fees</t>
  </si>
  <si>
    <t xml:space="preserve">     Telephone</t>
  </si>
  <si>
    <t>Current Portion of Long Term Debt</t>
  </si>
  <si>
    <t>Rent Payable</t>
  </si>
  <si>
    <t xml:space="preserve">  Rent</t>
  </si>
  <si>
    <t xml:space="preserve">     Rent</t>
  </si>
  <si>
    <t>Equipment</t>
  </si>
  <si>
    <t xml:space="preserve">    Capital Purchases:</t>
  </si>
  <si>
    <t>Total Equity</t>
  </si>
  <si>
    <t>Accounts receivable (less AFDA)*</t>
  </si>
  <si>
    <t xml:space="preserve">  Loan Principal, &amp; Interest*</t>
  </si>
  <si>
    <t>*Still need to calculate principal and interest</t>
  </si>
  <si>
    <t>Telephone</t>
  </si>
  <si>
    <t>as of</t>
  </si>
  <si>
    <t>for the period ending</t>
  </si>
  <si>
    <t>Restricted Capital</t>
  </si>
  <si>
    <t>Statement of Capital</t>
  </si>
  <si>
    <t>Beginning Capital</t>
  </si>
  <si>
    <t>Add: Owner's Injections</t>
  </si>
  <si>
    <t>Less: Owner's Withdrawals</t>
  </si>
  <si>
    <t>Ending Capital</t>
  </si>
  <si>
    <t>Restricted  Assets</t>
  </si>
  <si>
    <t>Other Sources of Cash:</t>
  </si>
  <si>
    <t>Total Other Start-up costs</t>
  </si>
  <si>
    <t>Other Start-up costs:</t>
  </si>
  <si>
    <t xml:space="preserve">  Other</t>
  </si>
  <si>
    <t xml:space="preserve">     Officers' Salaries</t>
  </si>
  <si>
    <t xml:space="preserve">     Employees' wages</t>
  </si>
  <si>
    <t>Owner's Capital**</t>
  </si>
  <si>
    <t>**Note:</t>
  </si>
  <si>
    <t>Owner's capital is computed on the Statement of Capital spreadsheet</t>
  </si>
  <si>
    <t xml:space="preserve"> AFDA stands for Allowance for Doubtful Accounts</t>
  </si>
  <si>
    <t>* Note:</t>
  </si>
  <si>
    <t>Retention rate, profit margin, and sustainable growth rate values are in decimal form where (1.00 = 100%)</t>
  </si>
  <si>
    <t>Retail</t>
  </si>
  <si>
    <t>Fixed Costs</t>
  </si>
  <si>
    <t>Variable Costs</t>
  </si>
  <si>
    <t>Manufacturing</t>
  </si>
  <si>
    <t>Service</t>
  </si>
  <si>
    <t xml:space="preserve">Loan </t>
  </si>
  <si>
    <t>Direct Materials</t>
  </si>
  <si>
    <t>Direct Labor</t>
  </si>
  <si>
    <t>Manufacturing Overhead</t>
  </si>
  <si>
    <t>Contribution Margin*</t>
  </si>
  <si>
    <t>*Contribution Margin :</t>
  </si>
  <si>
    <t>Sales</t>
  </si>
  <si>
    <t>Employees' Billable Hours</t>
  </si>
  <si>
    <t>Type of Business:</t>
  </si>
  <si>
    <t>In comparing the Actual Growth Rate to the Sustainable Growth Rate you can determine how your company</t>
  </si>
  <si>
    <t>is growing in comparision with the rate of how it should be growing</t>
  </si>
  <si>
    <t>than it should be.  This might be an indicator that you could run out of money if your company continues to grow too fast.</t>
  </si>
  <si>
    <t>at a faster rate then it is currently.</t>
  </si>
  <si>
    <t>Actual Growth Rate determines the rate of growth of your company</t>
  </si>
  <si>
    <t>Target Profit = Monthly Fixed Costs + Profit / (Selling Price - Variable Costs)</t>
  </si>
  <si>
    <t>Target Profit in Units</t>
  </si>
  <si>
    <t>Breakeven Point in Sales Dollars = Monthly Fixed Expenses / Contribution Margin Ratio</t>
  </si>
  <si>
    <t>Less: Variable Costs</t>
  </si>
  <si>
    <t>Price</t>
  </si>
  <si>
    <t>Less: Variable Cost per unit</t>
  </si>
  <si>
    <t>Statement of Capital is used for proprietorships and partnerships, corporations would use</t>
  </si>
  <si>
    <t>the Statement of Retained Earnings.</t>
  </si>
  <si>
    <t>Contribution margin</t>
  </si>
  <si>
    <t xml:space="preserve">      Per Unit:</t>
  </si>
  <si>
    <t>To determine if your growth rate is at a favorable percentage, compare your rate with the</t>
  </si>
  <si>
    <t>Growth Rate.</t>
  </si>
  <si>
    <r>
      <t>To determine if your growth rate can be sustained in the future, compare with the</t>
    </r>
    <r>
      <rPr>
        <b/>
        <sz val="12"/>
        <rFont val="Arial"/>
        <family val="2"/>
      </rPr>
      <t xml:space="preserve"> Sustainable</t>
    </r>
  </si>
  <si>
    <t>Industry Average.</t>
  </si>
  <si>
    <t>company is achieving its growth rate potential.</t>
  </si>
  <si>
    <r>
      <t xml:space="preserve">This growth rate can be compared with your </t>
    </r>
    <r>
      <rPr>
        <b/>
        <sz val="12"/>
        <rFont val="Arial"/>
        <family val="2"/>
      </rPr>
      <t>Acutal Growth Rate</t>
    </r>
    <r>
      <rPr>
        <sz val="12"/>
        <rFont val="Arial"/>
        <family val="2"/>
      </rPr>
      <t xml:space="preserve"> to determine if your</t>
    </r>
  </si>
  <si>
    <r>
      <t>Sustainable Growth Rate</t>
    </r>
    <r>
      <rPr>
        <sz val="12"/>
        <rFont val="Arial"/>
        <family val="2"/>
      </rPr>
      <t xml:space="preserve"> determines your company's growth rate potential.</t>
    </r>
  </si>
  <si>
    <r>
      <t xml:space="preserve">If your Actual Growth Rate is </t>
    </r>
    <r>
      <rPr>
        <b/>
        <sz val="12"/>
        <rFont val="Arial"/>
        <family val="2"/>
      </rPr>
      <t xml:space="preserve">higher </t>
    </r>
    <r>
      <rPr>
        <sz val="12"/>
        <rFont val="Arial"/>
        <family val="2"/>
      </rPr>
      <t>than your Sustainable Growth Rate, then your company could grow</t>
    </r>
  </si>
  <si>
    <r>
      <t xml:space="preserve">If your Actual Growth Rate is </t>
    </r>
    <r>
      <rPr>
        <b/>
        <sz val="12"/>
        <rFont val="Arial"/>
        <family val="2"/>
      </rPr>
      <t>lower</t>
    </r>
    <r>
      <rPr>
        <sz val="12"/>
        <rFont val="Arial"/>
        <family val="2"/>
      </rPr>
      <t xml:space="preserve"> than your Sustainable Growth Rate, then your company is growing at a faster 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</si>
</sst>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1" formatCode="_(* #,##0.00_);_(* \(#,##0.00\);_(* &quot;-&quot;??_);_(@_)"/>
  </numFmts>
  <fonts count="14" x14ac:knownFonts="1">
    <font>
      <sz val="10"/>
      <name val="Arial"/>
    </font>
    <font>
      <b/>
      <sz val="10"/>
      <name val="Arial"/>
      <family val="2"/>
    </font>
    <font>
      <sz val="11.5"/>
      <name val="Arial"/>
    </font>
    <font>
      <sz val="11.5"/>
      <name val="Arial"/>
    </font>
    <font>
      <b/>
      <sz val="12"/>
      <name val="Arial"/>
      <family val="2"/>
    </font>
    <font>
      <sz val="11.5"/>
      <name val="Arial"/>
    </font>
    <font>
      <sz val="11.5"/>
      <name val="Arial"/>
    </font>
    <font>
      <sz val="11.5"/>
      <name val="Arial"/>
    </font>
    <font>
      <sz val="11.5"/>
      <name val="Arial"/>
    </font>
    <font>
      <sz val="12"/>
      <name val="Arial"/>
      <family val="2"/>
    </font>
    <font>
      <u/>
      <sz val="12"/>
      <name val="Arial"/>
      <family val="2"/>
    </font>
    <font>
      <u val="singleAccounting"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71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/>
    </xf>
    <xf numFmtId="171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2" xfId="0" applyFont="1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171" fontId="0" fillId="0" borderId="7" xfId="0" applyNumberFormat="1" applyBorder="1"/>
    <xf numFmtId="0" fontId="0" fillId="0" borderId="8" xfId="0" applyBorder="1"/>
    <xf numFmtId="0" fontId="1" fillId="0" borderId="6" xfId="0" applyFont="1" applyBorder="1"/>
    <xf numFmtId="0" fontId="1" fillId="0" borderId="9" xfId="0" applyFont="1" applyBorder="1"/>
    <xf numFmtId="0" fontId="1" fillId="0" borderId="8" xfId="0" applyFont="1" applyBorder="1"/>
    <xf numFmtId="171" fontId="1" fillId="0" borderId="2" xfId="0" applyNumberFormat="1" applyFont="1" applyBorder="1"/>
    <xf numFmtId="171" fontId="1" fillId="0" borderId="7" xfId="0" applyNumberFormat="1" applyFont="1" applyBorder="1"/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0" fillId="0" borderId="4" xfId="0" applyBorder="1"/>
    <xf numFmtId="0" fontId="0" fillId="0" borderId="1" xfId="0" applyBorder="1"/>
    <xf numFmtId="0" fontId="1" fillId="0" borderId="12" xfId="0" applyFont="1" applyBorder="1"/>
    <xf numFmtId="0" fontId="0" fillId="0" borderId="11" xfId="0" applyBorder="1"/>
    <xf numFmtId="0" fontId="0" fillId="0" borderId="13" xfId="0" applyBorder="1"/>
    <xf numFmtId="0" fontId="0" fillId="0" borderId="7" xfId="0" applyBorder="1"/>
    <xf numFmtId="0" fontId="0" fillId="0" borderId="14" xfId="0" applyBorder="1"/>
    <xf numFmtId="0" fontId="4" fillId="0" borderId="0" xfId="0" applyFont="1"/>
    <xf numFmtId="170" fontId="0" fillId="0" borderId="3" xfId="0" applyNumberFormat="1" applyBorder="1"/>
    <xf numFmtId="170" fontId="0" fillId="0" borderId="2" xfId="0" applyNumberFormat="1" applyBorder="1"/>
    <xf numFmtId="170" fontId="1" fillId="0" borderId="4" xfId="0" applyNumberFormat="1" applyFont="1" applyBorder="1"/>
    <xf numFmtId="170" fontId="1" fillId="0" borderId="2" xfId="0" applyNumberFormat="1" applyFont="1" applyBorder="1"/>
    <xf numFmtId="170" fontId="0" fillId="0" borderId="13" xfId="0" applyNumberFormat="1" applyBorder="1"/>
    <xf numFmtId="170" fontId="0" fillId="0" borderId="7" xfId="0" applyNumberFormat="1" applyBorder="1"/>
    <xf numFmtId="170" fontId="1" fillId="0" borderId="14" xfId="0" applyNumberFormat="1" applyFont="1" applyBorder="1"/>
    <xf numFmtId="0" fontId="0" fillId="0" borderId="12" xfId="0" applyBorder="1"/>
    <xf numFmtId="0" fontId="1" fillId="0" borderId="14" xfId="0" applyFont="1" applyBorder="1"/>
    <xf numFmtId="0" fontId="0" fillId="0" borderId="15" xfId="0" applyBorder="1"/>
    <xf numFmtId="0" fontId="9" fillId="0" borderId="12" xfId="0" applyFont="1" applyBorder="1"/>
    <xf numFmtId="0" fontId="9" fillId="0" borderId="15" xfId="0" applyFont="1" applyBorder="1"/>
    <xf numFmtId="0" fontId="9" fillId="0" borderId="11" xfId="0" applyFont="1" applyBorder="1"/>
    <xf numFmtId="0" fontId="4" fillId="0" borderId="1" xfId="0" applyFont="1" applyBorder="1" applyAlignment="1">
      <alignment horizontal="center"/>
    </xf>
    <xf numFmtId="0" fontId="9" fillId="0" borderId="9" xfId="0" applyFont="1" applyBorder="1"/>
    <xf numFmtId="0" fontId="9" fillId="0" borderId="5" xfId="0" applyFont="1" applyBorder="1"/>
    <xf numFmtId="0" fontId="9" fillId="0" borderId="13" xfId="0" applyFont="1" applyBorder="1"/>
    <xf numFmtId="0" fontId="9" fillId="0" borderId="3" xfId="0" applyFont="1" applyBorder="1"/>
    <xf numFmtId="0" fontId="9" fillId="0" borderId="6" xfId="0" applyFont="1" applyBorder="1"/>
    <xf numFmtId="0" fontId="9" fillId="0" borderId="0" xfId="0" applyFont="1" applyBorder="1"/>
    <xf numFmtId="0" fontId="9" fillId="0" borderId="7" xfId="0" applyFont="1" applyBorder="1"/>
    <xf numFmtId="0" fontId="9" fillId="0" borderId="2" xfId="0" applyFont="1" applyBorder="1"/>
    <xf numFmtId="0" fontId="10" fillId="0" borderId="2" xfId="0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14" xfId="0" applyFont="1" applyBorder="1"/>
    <xf numFmtId="0" fontId="4" fillId="0" borderId="4" xfId="0" applyFont="1" applyBorder="1"/>
    <xf numFmtId="171" fontId="9" fillId="0" borderId="2" xfId="0" applyNumberFormat="1" applyFont="1" applyBorder="1"/>
    <xf numFmtId="171" fontId="11" fillId="0" borderId="2" xfId="0" applyNumberFormat="1" applyFont="1" applyBorder="1"/>
    <xf numFmtId="0" fontId="10" fillId="0" borderId="6" xfId="0" applyFont="1" applyBorder="1"/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2" fillId="0" borderId="0" xfId="0" applyFont="1"/>
    <xf numFmtId="0" fontId="12" fillId="0" borderId="9" xfId="0" applyFont="1" applyBorder="1"/>
    <xf numFmtId="0" fontId="12" fillId="0" borderId="13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2" xfId="0" applyFont="1" applyBorder="1"/>
    <xf numFmtId="0" fontId="12" fillId="0" borderId="8" xfId="0" applyFont="1" applyBorder="1"/>
    <xf numFmtId="0" fontId="12" fillId="0" borderId="14" xfId="0" applyFont="1" applyBorder="1"/>
    <xf numFmtId="0" fontId="12" fillId="0" borderId="4" xfId="0" applyFont="1" applyBorder="1"/>
    <xf numFmtId="0" fontId="13" fillId="0" borderId="0" xfId="0" applyFont="1"/>
    <xf numFmtId="0" fontId="12" fillId="0" borderId="11" xfId="0" applyFont="1" applyBorder="1"/>
    <xf numFmtId="0" fontId="13" fillId="0" borderId="12" xfId="0" applyFont="1" applyBorder="1"/>
    <xf numFmtId="0" fontId="13" fillId="0" borderId="1" xfId="0" applyFont="1" applyBorder="1"/>
    <xf numFmtId="0" fontId="9" fillId="0" borderId="1" xfId="0" applyFont="1" applyBorder="1"/>
    <xf numFmtId="9" fontId="9" fillId="0" borderId="3" xfId="0" applyNumberFormat="1" applyFont="1" applyBorder="1"/>
    <xf numFmtId="0" fontId="9" fillId="0" borderId="4" xfId="0" applyFont="1" applyBorder="1"/>
    <xf numFmtId="9" fontId="9" fillId="0" borderId="4" xfId="0" applyNumberFormat="1" applyFont="1" applyBorder="1"/>
    <xf numFmtId="0" fontId="10" fillId="0" borderId="3" xfId="0" applyFont="1" applyBorder="1"/>
    <xf numFmtId="171" fontId="11" fillId="0" borderId="3" xfId="0" applyNumberFormat="1" applyFont="1" applyBorder="1"/>
    <xf numFmtId="9" fontId="4" fillId="0" borderId="4" xfId="0" applyNumberFormat="1" applyFont="1" applyBorder="1"/>
    <xf numFmtId="171" fontId="9" fillId="0" borderId="3" xfId="0" applyNumberFormat="1" applyFont="1" applyBorder="1"/>
    <xf numFmtId="0" fontId="4" fillId="0" borderId="2" xfId="0" applyFont="1" applyBorder="1"/>
    <xf numFmtId="0" fontId="4" fillId="0" borderId="0" xfId="0" applyFont="1" applyBorder="1"/>
    <xf numFmtId="0" fontId="4" fillId="0" borderId="3" xfId="0" applyFont="1" applyBorder="1" applyAlignment="1">
      <alignment horizontal="center"/>
    </xf>
    <xf numFmtId="0" fontId="10" fillId="0" borderId="0" xfId="0" applyFont="1" applyBorder="1"/>
    <xf numFmtId="0" fontId="9" fillId="0" borderId="8" xfId="0" applyFont="1" applyBorder="1"/>
    <xf numFmtId="0" fontId="9" fillId="0" borderId="10" xfId="0" applyFont="1" applyBorder="1"/>
    <xf numFmtId="171" fontId="4" fillId="0" borderId="4" xfId="0" applyNumberFormat="1" applyFont="1" applyBorder="1"/>
    <xf numFmtId="0" fontId="4" fillId="0" borderId="6" xfId="0" applyFont="1" applyBorder="1"/>
    <xf numFmtId="171" fontId="4" fillId="0" borderId="2" xfId="0" applyNumberFormat="1" applyFont="1" applyBorder="1"/>
    <xf numFmtId="171" fontId="9" fillId="0" borderId="4" xfId="0" applyNumberFormat="1" applyFont="1" applyBorder="1"/>
    <xf numFmtId="0" fontId="4" fillId="0" borderId="9" xfId="0" applyFont="1" applyBorder="1"/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chartsheet" Target="chartsheets/sheet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Actual Growth Rate</a:t>
            </a:r>
          </a:p>
        </c:rich>
      </c:tx>
      <c:layout>
        <c:manualLayout>
          <c:xMode val="edge"/>
          <c:yMode val="edge"/>
          <c:x val="0.4148148148148148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59259259259255E-2"/>
          <c:y val="0.12200435729847495"/>
          <c:w val="0.89111111111111108"/>
          <c:h val="0.7625272331154684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'Acual Rate'!$B$3:$F$3</c:f>
              <c:numCache>
                <c:formatCode>General</c:formatCode>
                <c:ptCount val="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</c:numCache>
            </c:numRef>
          </c:cat>
          <c:val>
            <c:numRef>
              <c:f>'Acual Rate'!$B$9:$F$9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F-42DA-8400-0D8F5F252C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8886223"/>
        <c:axId val="1"/>
      </c:lineChart>
      <c:catAx>
        <c:axId val="2048886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2296296296296296"/>
              <c:y val="0.942265795206971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4302832244008714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888622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Sustainable Growth Rate</a:t>
            </a:r>
          </a:p>
        </c:rich>
      </c:tx>
      <c:layout>
        <c:manualLayout>
          <c:xMode val="edge"/>
          <c:yMode val="edge"/>
          <c:x val="0.39185185185185184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74074074074074"/>
          <c:y val="0.12200435729847495"/>
          <c:w val="0.88962962962962966"/>
          <c:h val="0.7625272331154684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'Sustainable Rate'!$B$3:$F$3</c:f>
              <c:numCache>
                <c:formatCode>General</c:formatCode>
                <c:ptCount val="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</c:numCache>
            </c:numRef>
          </c:cat>
          <c:val>
            <c:numRef>
              <c:f>'Sustainable Rate'!$B$13:$F$13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6-4461-A9E2-17828E89EC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8885023"/>
        <c:axId val="1"/>
      </c:lineChart>
      <c:catAx>
        <c:axId val="2048885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2370370370370367"/>
              <c:y val="0.942265795206971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43028322440087147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888502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Actual Growth Rate vs. Sustainable Growth Rate</a:t>
            </a:r>
          </a:p>
        </c:rich>
      </c:tx>
      <c:layout>
        <c:manualLayout>
          <c:xMode val="edge"/>
          <c:yMode val="edge"/>
          <c:x val="0.21925925925925926"/>
          <c:y val="4.03050108932461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1111111111111"/>
          <c:y val="0.144880174291939"/>
          <c:w val="0.58370370370370372"/>
          <c:h val="0.71895424836601307"/>
        </c:manualLayout>
      </c:layout>
      <c:lineChart>
        <c:grouping val="standard"/>
        <c:varyColors val="0"/>
        <c:ser>
          <c:idx val="0"/>
          <c:order val="0"/>
          <c:tx>
            <c:strRef>
              <c:f>'AR vs SR'!$A$4</c:f>
              <c:strCache>
                <c:ptCount val="1"/>
                <c:pt idx="0">
                  <c:v>Actual Growth Rate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'AR vs SR'!$B$3:$F$3</c:f>
              <c:numCache>
                <c:formatCode>General</c:formatCode>
                <c:ptCount val="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</c:numCache>
            </c:numRef>
          </c:cat>
          <c:val>
            <c:numRef>
              <c:f>'AR vs SR'!$B$4:$F$4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2-4170-95C7-941A2C9A6D0E}"/>
            </c:ext>
          </c:extLst>
        </c:ser>
        <c:ser>
          <c:idx val="1"/>
          <c:order val="1"/>
          <c:tx>
            <c:strRef>
              <c:f>'AR vs SR'!$A$5</c:f>
              <c:strCache>
                <c:ptCount val="1"/>
                <c:pt idx="0">
                  <c:v>Sustainable Growth Rate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'AR vs SR'!$B$3:$F$3</c:f>
              <c:numCache>
                <c:formatCode>General</c:formatCode>
                <c:ptCount val="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</c:numCache>
            </c:numRef>
          </c:cat>
          <c:val>
            <c:numRef>
              <c:f>'AR vs SR'!$B$5:$F$5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12-4170-95C7-941A2C9A6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8886623"/>
        <c:axId val="1"/>
      </c:lineChart>
      <c:catAx>
        <c:axId val="2048886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38148148148148148"/>
              <c:y val="0.921568627450980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3137254901960786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888662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518518518518519"/>
          <c:y val="0.4684095860566449"/>
          <c:w val="0.23037037037037036"/>
          <c:h val="7.298474945533768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FA3698-D75A-4D83-BD9A-6829B617620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92E37F-5893-4B9E-9BAB-343FE8C9C6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91DC7-8508-4DDE-969E-60B96D2413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abSelected="1" workbookViewId="0">
      <selection activeCell="B40" sqref="B40"/>
    </sheetView>
  </sheetViews>
  <sheetFormatPr defaultRowHeight="12.5" x14ac:dyDescent="0.25"/>
  <cols>
    <col min="1" max="1" width="35.1796875" customWidth="1"/>
  </cols>
  <sheetData>
    <row r="1" spans="1:18" ht="15.5" x14ac:dyDescent="0.35">
      <c r="A1" s="31" t="s">
        <v>4</v>
      </c>
    </row>
    <row r="2" spans="1:18" ht="13" x14ac:dyDescent="0.3">
      <c r="A2" s="25"/>
      <c r="B2" s="6" t="s">
        <v>25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2"/>
      <c r="P2" s="2"/>
      <c r="Q2" s="2"/>
      <c r="R2" s="2"/>
    </row>
    <row r="3" spans="1:18" x14ac:dyDescent="0.25">
      <c r="A3" s="9" t="s">
        <v>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8" x14ac:dyDescent="0.25">
      <c r="A4" s="8" t="s">
        <v>78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8" x14ac:dyDescent="0.25">
      <c r="A6" s="8" t="s">
        <v>157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8" x14ac:dyDescent="0.25">
      <c r="A7" s="8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8" x14ac:dyDescent="0.25">
      <c r="A8" s="8" t="s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8" x14ac:dyDescent="0.25">
      <c r="A10" s="8" t="s">
        <v>8</v>
      </c>
      <c r="B10" s="8">
        <f t="shared" ref="B10:N10" si="0">SUM(B3:B8)</f>
        <v>0</v>
      </c>
      <c r="C10" s="8">
        <f t="shared" si="0"/>
        <v>0</v>
      </c>
      <c r="D10" s="8">
        <f t="shared" si="0"/>
        <v>0</v>
      </c>
      <c r="E10" s="8">
        <f t="shared" si="0"/>
        <v>0</v>
      </c>
      <c r="F10" s="8">
        <f t="shared" si="0"/>
        <v>0</v>
      </c>
      <c r="G10" s="8">
        <f t="shared" si="0"/>
        <v>0</v>
      </c>
      <c r="H10" s="8">
        <f t="shared" si="0"/>
        <v>0</v>
      </c>
      <c r="I10" s="8">
        <f t="shared" si="0"/>
        <v>0</v>
      </c>
      <c r="J10" s="8">
        <f t="shared" si="0"/>
        <v>0</v>
      </c>
      <c r="K10" s="8">
        <f t="shared" si="0"/>
        <v>0</v>
      </c>
      <c r="L10" s="8">
        <f t="shared" si="0"/>
        <v>0</v>
      </c>
      <c r="M10" s="8">
        <f t="shared" si="0"/>
        <v>0</v>
      </c>
      <c r="N10" s="8">
        <f t="shared" si="0"/>
        <v>0</v>
      </c>
    </row>
    <row r="1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8" x14ac:dyDescent="0.25">
      <c r="A12" s="8" t="s">
        <v>86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8" x14ac:dyDescent="0.25">
      <c r="A13" s="8" t="s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8" x14ac:dyDescent="0.25">
      <c r="A14" s="8" t="s">
        <v>130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8" x14ac:dyDescent="0.25">
      <c r="A15" s="8" t="s">
        <v>10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8" x14ac:dyDescent="0.25">
      <c r="A16" s="8" t="s">
        <v>11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25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5">
      <c r="A18" s="8" t="s">
        <v>13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5">
      <c r="A19" s="8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8" t="s">
        <v>15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25">
      <c r="A21" s="8" t="s">
        <v>131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25">
      <c r="A24" s="8" t="s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25">
      <c r="A25" s="8" t="s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25">
      <c r="A26" s="8" t="s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x14ac:dyDescent="0.25">
      <c r="A27" s="8" t="s">
        <v>145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x14ac:dyDescent="0.25">
      <c r="A28" s="8" t="s">
        <v>20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x14ac:dyDescent="0.25">
      <c r="A29" s="8" t="s">
        <v>160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x14ac:dyDescent="0.25">
      <c r="A30" s="8" t="s">
        <v>95</v>
      </c>
      <c r="B30" s="8">
        <f>SUM(B13:B29)</f>
        <v>0</v>
      </c>
      <c r="C30" s="8">
        <f t="shared" ref="C30:N30" si="1">SUM(C13:C29)</f>
        <v>0</v>
      </c>
      <c r="D30" s="8">
        <f t="shared" si="1"/>
        <v>0</v>
      </c>
      <c r="E30" s="8">
        <f t="shared" si="1"/>
        <v>0</v>
      </c>
      <c r="F30" s="8">
        <f t="shared" si="1"/>
        <v>0</v>
      </c>
      <c r="G30" s="8">
        <f t="shared" si="1"/>
        <v>0</v>
      </c>
      <c r="H30" s="8">
        <f t="shared" si="1"/>
        <v>0</v>
      </c>
      <c r="I30" s="8">
        <f t="shared" si="1"/>
        <v>0</v>
      </c>
      <c r="J30" s="8">
        <f t="shared" si="1"/>
        <v>0</v>
      </c>
      <c r="K30" s="8">
        <f t="shared" si="1"/>
        <v>0</v>
      </c>
      <c r="L30" s="8">
        <f t="shared" si="1"/>
        <v>0</v>
      </c>
      <c r="M30" s="8">
        <f t="shared" si="1"/>
        <v>0</v>
      </c>
      <c r="N30" s="8">
        <f t="shared" si="1"/>
        <v>0</v>
      </c>
    </row>
    <row r="31" spans="1:14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x14ac:dyDescent="0.25">
      <c r="A32" s="8" t="s">
        <v>159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x14ac:dyDescent="0.25">
      <c r="A33" s="8" t="s">
        <v>21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x14ac:dyDescent="0.25">
      <c r="A34" s="8" t="s">
        <v>22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x14ac:dyDescent="0.25">
      <c r="A35" s="8" t="s">
        <v>158</v>
      </c>
      <c r="B35" s="8">
        <f>SUM(B33:B34)</f>
        <v>0</v>
      </c>
      <c r="C35" s="8">
        <f t="shared" ref="C35:N35" si="2">SUM(C33:C34)</f>
        <v>0</v>
      </c>
      <c r="D35" s="8">
        <f t="shared" si="2"/>
        <v>0</v>
      </c>
      <c r="E35" s="8">
        <f t="shared" si="2"/>
        <v>0</v>
      </c>
      <c r="F35" s="8">
        <f t="shared" si="2"/>
        <v>0</v>
      </c>
      <c r="G35" s="8">
        <f t="shared" si="2"/>
        <v>0</v>
      </c>
      <c r="H35" s="8">
        <f t="shared" si="2"/>
        <v>0</v>
      </c>
      <c r="I35" s="8">
        <f t="shared" si="2"/>
        <v>0</v>
      </c>
      <c r="J35" s="8">
        <f t="shared" si="2"/>
        <v>0</v>
      </c>
      <c r="K35" s="8">
        <f t="shared" si="2"/>
        <v>0</v>
      </c>
      <c r="L35" s="8">
        <f t="shared" si="2"/>
        <v>0</v>
      </c>
      <c r="M35" s="8">
        <f t="shared" si="2"/>
        <v>0</v>
      </c>
      <c r="N35" s="8">
        <f t="shared" si="2"/>
        <v>0</v>
      </c>
    </row>
    <row r="36" spans="1:14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ht="13" x14ac:dyDescent="0.3">
      <c r="A38" s="8" t="s">
        <v>23</v>
      </c>
      <c r="B38" s="11">
        <f>B30+B35</f>
        <v>0</v>
      </c>
      <c r="C38" s="11">
        <f t="shared" ref="C38:N38" si="3">C30+C35</f>
        <v>0</v>
      </c>
      <c r="D38" s="11">
        <f t="shared" si="3"/>
        <v>0</v>
      </c>
      <c r="E38" s="11">
        <f t="shared" si="3"/>
        <v>0</v>
      </c>
      <c r="F38" s="11">
        <f t="shared" si="3"/>
        <v>0</v>
      </c>
      <c r="G38" s="11">
        <f t="shared" si="3"/>
        <v>0</v>
      </c>
      <c r="H38" s="11">
        <f t="shared" si="3"/>
        <v>0</v>
      </c>
      <c r="I38" s="11">
        <f t="shared" si="3"/>
        <v>0</v>
      </c>
      <c r="J38" s="11">
        <f t="shared" si="3"/>
        <v>0</v>
      </c>
      <c r="K38" s="11">
        <f t="shared" si="3"/>
        <v>0</v>
      </c>
      <c r="L38" s="11">
        <f t="shared" si="3"/>
        <v>0</v>
      </c>
      <c r="M38" s="11">
        <f t="shared" si="3"/>
        <v>0</v>
      </c>
      <c r="N38" s="11">
        <f t="shared" si="3"/>
        <v>0</v>
      </c>
    </row>
    <row r="39" spans="1:14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13" x14ac:dyDescent="0.3">
      <c r="A40" s="24" t="s">
        <v>24</v>
      </c>
      <c r="B40" s="10">
        <f t="shared" ref="B40:N40" si="4">B10-B38</f>
        <v>0</v>
      </c>
      <c r="C40" s="10">
        <f t="shared" si="4"/>
        <v>0</v>
      </c>
      <c r="D40" s="10">
        <f t="shared" si="4"/>
        <v>0</v>
      </c>
      <c r="E40" s="10">
        <f t="shared" si="4"/>
        <v>0</v>
      </c>
      <c r="F40" s="10">
        <f t="shared" si="4"/>
        <v>0</v>
      </c>
      <c r="G40" s="10">
        <f t="shared" si="4"/>
        <v>0</v>
      </c>
      <c r="H40" s="10">
        <f t="shared" si="4"/>
        <v>0</v>
      </c>
      <c r="I40" s="10">
        <f t="shared" si="4"/>
        <v>0</v>
      </c>
      <c r="J40" s="10">
        <f t="shared" si="4"/>
        <v>0</v>
      </c>
      <c r="K40" s="10">
        <f t="shared" si="4"/>
        <v>0</v>
      </c>
      <c r="L40" s="10">
        <f t="shared" si="4"/>
        <v>0</v>
      </c>
      <c r="M40" s="10">
        <f t="shared" si="4"/>
        <v>0</v>
      </c>
      <c r="N40" s="10">
        <f t="shared" si="4"/>
        <v>0</v>
      </c>
    </row>
    <row r="42" spans="1:14" ht="13" x14ac:dyDescent="0.3">
      <c r="A42" s="3" t="s">
        <v>146</v>
      </c>
    </row>
  </sheetData>
  <phoneticPr fontId="0" type="noConversion"/>
  <pageMargins left="0.75" right="0.75" top="0.61" bottom="0.6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4" workbookViewId="0"/>
  </sheetViews>
  <sheetFormatPr defaultRowHeight="12.5" x14ac:dyDescent="0.25"/>
  <cols>
    <col min="1" max="1" width="4.453125" customWidth="1"/>
    <col min="2" max="2" width="38.453125" customWidth="1"/>
    <col min="3" max="3" width="11.26953125" bestFit="1" customWidth="1"/>
    <col min="4" max="6" width="11.26953125" customWidth="1"/>
    <col min="7" max="7" width="11.26953125" bestFit="1" customWidth="1"/>
  </cols>
  <sheetData>
    <row r="1" spans="1:7" ht="15.5" x14ac:dyDescent="0.35">
      <c r="B1" s="98" t="s">
        <v>74</v>
      </c>
      <c r="C1" s="98"/>
      <c r="D1" s="98"/>
      <c r="E1" s="98"/>
      <c r="F1" s="98"/>
      <c r="G1" s="98"/>
    </row>
    <row r="2" spans="1:7" ht="15.5" x14ac:dyDescent="0.35">
      <c r="B2" s="98" t="s">
        <v>72</v>
      </c>
      <c r="C2" s="98"/>
      <c r="D2" s="98"/>
      <c r="E2" s="98"/>
      <c r="F2" s="98"/>
      <c r="G2" s="98"/>
    </row>
    <row r="3" spans="1:7" ht="15.5" x14ac:dyDescent="0.35">
      <c r="B3" s="99" t="s">
        <v>103</v>
      </c>
      <c r="C3" s="100"/>
      <c r="D3" s="100"/>
      <c r="E3" s="100"/>
      <c r="F3" s="100"/>
      <c r="G3" s="100"/>
    </row>
    <row r="4" spans="1:7" ht="13" x14ac:dyDescent="0.3">
      <c r="A4" s="39"/>
      <c r="B4" s="27"/>
      <c r="C4" s="23">
        <v>2001</v>
      </c>
      <c r="D4" s="23">
        <v>2002</v>
      </c>
      <c r="E4" s="23">
        <v>2003</v>
      </c>
      <c r="F4" s="23">
        <v>2004</v>
      </c>
      <c r="G4" s="6">
        <v>2005</v>
      </c>
    </row>
    <row r="5" spans="1:7" ht="13" x14ac:dyDescent="0.3">
      <c r="A5" s="18" t="s">
        <v>77</v>
      </c>
      <c r="B5" s="28"/>
      <c r="C5" s="36"/>
      <c r="D5" s="36"/>
      <c r="E5" s="36"/>
      <c r="F5" s="36"/>
      <c r="G5" s="32"/>
    </row>
    <row r="6" spans="1:7" x14ac:dyDescent="0.25">
      <c r="A6" s="13"/>
      <c r="B6" s="29" t="s">
        <v>78</v>
      </c>
      <c r="C6" s="37"/>
      <c r="D6" s="37"/>
      <c r="E6" s="37"/>
      <c r="F6" s="37"/>
      <c r="G6" s="33"/>
    </row>
    <row r="7" spans="1:7" x14ac:dyDescent="0.25">
      <c r="A7" s="13"/>
      <c r="B7" s="29" t="s">
        <v>79</v>
      </c>
      <c r="C7" s="37"/>
      <c r="D7" s="37"/>
      <c r="E7" s="37"/>
      <c r="F7" s="37"/>
      <c r="G7" s="33"/>
    </row>
    <row r="8" spans="1:7" x14ac:dyDescent="0.25">
      <c r="A8" s="13"/>
      <c r="B8" s="29" t="s">
        <v>80</v>
      </c>
      <c r="C8" s="37"/>
      <c r="D8" s="37"/>
      <c r="E8" s="37"/>
      <c r="F8" s="37"/>
      <c r="G8" s="33"/>
    </row>
    <row r="9" spans="1:7" x14ac:dyDescent="0.25">
      <c r="A9" s="13"/>
      <c r="B9" s="29" t="s">
        <v>26</v>
      </c>
      <c r="C9" s="37">
        <f>C6+C7-C8</f>
        <v>0</v>
      </c>
      <c r="D9" s="37">
        <f>D6+D7-D8</f>
        <v>0</v>
      </c>
      <c r="E9" s="37">
        <f>E6+E7-E8</f>
        <v>0</v>
      </c>
      <c r="F9" s="37">
        <f>F6+F7-F8</f>
        <v>0</v>
      </c>
      <c r="G9" s="37">
        <f>G6+G7-G8</f>
        <v>0</v>
      </c>
    </row>
    <row r="10" spans="1:7" x14ac:dyDescent="0.25">
      <c r="A10" s="13"/>
      <c r="B10" s="29"/>
      <c r="C10" s="37"/>
      <c r="D10" s="37"/>
      <c r="E10" s="37"/>
      <c r="F10" s="37"/>
      <c r="G10" s="33"/>
    </row>
    <row r="11" spans="1:7" ht="13" x14ac:dyDescent="0.3">
      <c r="A11" s="17" t="s">
        <v>27</v>
      </c>
      <c r="B11" s="29"/>
      <c r="C11" s="15"/>
      <c r="D11" s="15"/>
      <c r="E11" s="15"/>
      <c r="F11" s="15"/>
      <c r="G11" s="7"/>
    </row>
    <row r="12" spans="1:7" x14ac:dyDescent="0.25">
      <c r="A12" s="13"/>
      <c r="B12" s="29" t="s">
        <v>28</v>
      </c>
      <c r="C12" s="15"/>
      <c r="D12" s="15"/>
      <c r="E12" s="15"/>
      <c r="F12" s="15"/>
      <c r="G12" s="7"/>
    </row>
    <row r="13" spans="1:7" x14ac:dyDescent="0.25">
      <c r="A13" s="13"/>
      <c r="B13" s="29" t="s">
        <v>81</v>
      </c>
      <c r="C13" s="15"/>
      <c r="D13" s="15"/>
      <c r="E13" s="15"/>
      <c r="F13" s="15"/>
      <c r="G13" s="7"/>
    </row>
    <row r="14" spans="1:7" x14ac:dyDescent="0.25">
      <c r="A14" s="13"/>
      <c r="B14" s="29" t="s">
        <v>82</v>
      </c>
      <c r="C14" s="15"/>
      <c r="D14" s="15"/>
      <c r="E14" s="15"/>
      <c r="F14" s="15"/>
      <c r="G14" s="7"/>
    </row>
    <row r="15" spans="1:7" x14ac:dyDescent="0.25">
      <c r="A15" s="13"/>
      <c r="B15" s="29" t="s">
        <v>83</v>
      </c>
      <c r="C15" s="15"/>
      <c r="D15" s="15"/>
      <c r="E15" s="15"/>
      <c r="F15" s="15"/>
      <c r="G15" s="7"/>
    </row>
    <row r="16" spans="1:7" x14ac:dyDescent="0.25">
      <c r="A16" s="13"/>
      <c r="B16" s="29" t="s">
        <v>29</v>
      </c>
      <c r="C16" s="15">
        <f>C12+SUM(C13:C15)</f>
        <v>0</v>
      </c>
      <c r="D16" s="15">
        <f>D12+SUM(D13:D15)</f>
        <v>0</v>
      </c>
      <c r="E16" s="15">
        <f>E12+SUM(E13:E15)</f>
        <v>0</v>
      </c>
      <c r="F16" s="15">
        <f>F12+SUM(F13:F15)</f>
        <v>0</v>
      </c>
      <c r="G16" s="15">
        <f>G12+SUM(G13:G15)</f>
        <v>0</v>
      </c>
    </row>
    <row r="17" spans="1:7" x14ac:dyDescent="0.25">
      <c r="A17" s="13"/>
      <c r="B17" s="29" t="s">
        <v>84</v>
      </c>
      <c r="C17" s="15"/>
      <c r="D17" s="15"/>
      <c r="E17" s="15"/>
      <c r="F17" s="15"/>
      <c r="G17" s="7"/>
    </row>
    <row r="18" spans="1:7" x14ac:dyDescent="0.25">
      <c r="A18" s="13"/>
      <c r="B18" s="29" t="s">
        <v>85</v>
      </c>
      <c r="C18" s="15">
        <f>C16-C17</f>
        <v>0</v>
      </c>
      <c r="D18" s="15">
        <f>D16-D17</f>
        <v>0</v>
      </c>
      <c r="E18" s="15">
        <f>E16-E17</f>
        <v>0</v>
      </c>
      <c r="F18" s="15">
        <f>F16-F17</f>
        <v>0</v>
      </c>
      <c r="G18" s="15">
        <f>G16-G17</f>
        <v>0</v>
      </c>
    </row>
    <row r="19" spans="1:7" x14ac:dyDescent="0.25">
      <c r="A19" s="13"/>
      <c r="B19" s="29"/>
      <c r="C19" s="15"/>
      <c r="D19" s="15"/>
      <c r="E19" s="15"/>
      <c r="F19" s="15"/>
      <c r="G19" s="7"/>
    </row>
    <row r="20" spans="1:7" ht="13" x14ac:dyDescent="0.3">
      <c r="A20" s="13" t="s">
        <v>87</v>
      </c>
      <c r="B20" s="29"/>
      <c r="C20" s="21">
        <f>C9-C18</f>
        <v>0</v>
      </c>
      <c r="D20" s="21">
        <f>D9-D18</f>
        <v>0</v>
      </c>
      <c r="E20" s="21">
        <f>E9-E18</f>
        <v>0</v>
      </c>
      <c r="F20" s="21">
        <f>F9-F18</f>
        <v>0</v>
      </c>
      <c r="G20" s="21">
        <f>G9-G18</f>
        <v>0</v>
      </c>
    </row>
    <row r="21" spans="1:7" ht="13" x14ac:dyDescent="0.3">
      <c r="A21" s="13"/>
      <c r="B21" s="29"/>
      <c r="C21" s="21"/>
      <c r="D21" s="21"/>
      <c r="E21" s="21"/>
      <c r="F21" s="21"/>
      <c r="G21" s="20"/>
    </row>
    <row r="22" spans="1:7" ht="13" x14ac:dyDescent="0.3">
      <c r="A22" s="17" t="s">
        <v>86</v>
      </c>
      <c r="B22" s="29"/>
      <c r="C22" s="21"/>
      <c r="D22" s="21"/>
      <c r="E22" s="21"/>
      <c r="F22" s="21"/>
      <c r="G22" s="20"/>
    </row>
    <row r="23" spans="1:7" x14ac:dyDescent="0.25">
      <c r="A23" s="13"/>
      <c r="B23" s="29" t="s">
        <v>99</v>
      </c>
      <c r="C23" s="15"/>
      <c r="D23" s="15"/>
      <c r="E23" s="15"/>
      <c r="F23" s="15"/>
      <c r="G23" s="7"/>
    </row>
    <row r="24" spans="1:7" x14ac:dyDescent="0.25">
      <c r="A24" s="13"/>
      <c r="B24" s="29" t="s">
        <v>88</v>
      </c>
      <c r="C24" s="15"/>
      <c r="D24" s="15"/>
      <c r="E24" s="15"/>
      <c r="F24" s="15"/>
      <c r="G24" s="7"/>
    </row>
    <row r="25" spans="1:7" x14ac:dyDescent="0.25">
      <c r="A25" s="13"/>
      <c r="B25" s="29" t="s">
        <v>89</v>
      </c>
      <c r="C25" s="15"/>
      <c r="D25" s="15"/>
      <c r="E25" s="15"/>
      <c r="F25" s="15"/>
      <c r="G25" s="7"/>
    </row>
    <row r="26" spans="1:7" x14ac:dyDescent="0.25">
      <c r="A26" s="13"/>
      <c r="B26" s="29" t="s">
        <v>93</v>
      </c>
      <c r="C26" s="15">
        <f>SUM(C24:C25)</f>
        <v>0</v>
      </c>
      <c r="D26" s="15">
        <f>SUM(D24:D25)</f>
        <v>0</v>
      </c>
      <c r="E26" s="15">
        <f>SUM(E24:E25)</f>
        <v>0</v>
      </c>
      <c r="F26" s="15">
        <f>SUM(F24:F25)</f>
        <v>0</v>
      </c>
      <c r="G26" s="15">
        <f>SUM(G24:G25)</f>
        <v>0</v>
      </c>
    </row>
    <row r="27" spans="1:7" x14ac:dyDescent="0.25">
      <c r="A27" s="13"/>
      <c r="B27" s="29" t="s">
        <v>98</v>
      </c>
      <c r="C27" s="15"/>
      <c r="D27" s="15"/>
      <c r="E27" s="15"/>
      <c r="F27" s="15"/>
      <c r="G27" s="7"/>
    </row>
    <row r="28" spans="1:7" x14ac:dyDescent="0.25">
      <c r="A28" s="13"/>
      <c r="B28" s="29" t="s">
        <v>161</v>
      </c>
      <c r="C28" s="15"/>
      <c r="D28" s="15"/>
      <c r="E28" s="15"/>
      <c r="F28" s="15"/>
      <c r="G28" s="7"/>
    </row>
    <row r="29" spans="1:7" x14ac:dyDescent="0.25">
      <c r="A29" s="13"/>
      <c r="B29" s="29" t="s">
        <v>162</v>
      </c>
      <c r="C29" s="15"/>
      <c r="D29" s="15"/>
      <c r="E29" s="15"/>
      <c r="F29" s="15"/>
      <c r="G29" s="7"/>
    </row>
    <row r="30" spans="1:7" x14ac:dyDescent="0.25">
      <c r="A30" s="13"/>
      <c r="B30" s="29" t="s">
        <v>133</v>
      </c>
      <c r="C30" s="15"/>
      <c r="D30" s="15"/>
      <c r="E30" s="15"/>
      <c r="F30" s="15"/>
      <c r="G30" s="7"/>
    </row>
    <row r="31" spans="1:7" x14ac:dyDescent="0.25">
      <c r="A31" s="13"/>
      <c r="B31" s="29" t="s">
        <v>91</v>
      </c>
      <c r="C31" s="15"/>
      <c r="D31" s="15"/>
      <c r="E31" s="15"/>
      <c r="F31" s="15"/>
      <c r="G31" s="7"/>
    </row>
    <row r="32" spans="1:7" x14ac:dyDescent="0.25">
      <c r="A32" s="13"/>
      <c r="B32" s="29" t="s">
        <v>134</v>
      </c>
      <c r="C32" s="15"/>
      <c r="D32" s="15"/>
      <c r="E32" s="15"/>
      <c r="F32" s="15"/>
      <c r="G32" s="7"/>
    </row>
    <row r="33" spans="1:7" x14ac:dyDescent="0.25">
      <c r="A33" s="13"/>
      <c r="B33" s="29" t="s">
        <v>135</v>
      </c>
      <c r="C33" s="15"/>
      <c r="D33" s="15"/>
      <c r="E33" s="15"/>
      <c r="F33" s="15"/>
      <c r="G33" s="7"/>
    </row>
    <row r="34" spans="1:7" x14ac:dyDescent="0.25">
      <c r="A34" s="13"/>
      <c r="B34" s="29" t="s">
        <v>140</v>
      </c>
      <c r="C34" s="15"/>
      <c r="D34" s="15"/>
      <c r="E34" s="15"/>
      <c r="F34" s="15"/>
      <c r="G34" s="15"/>
    </row>
    <row r="35" spans="1:7" x14ac:dyDescent="0.25">
      <c r="A35" s="13"/>
      <c r="B35" s="29" t="s">
        <v>136</v>
      </c>
      <c r="C35" s="15"/>
      <c r="D35" s="15"/>
      <c r="E35" s="15"/>
      <c r="F35" s="15"/>
      <c r="G35" s="15"/>
    </row>
    <row r="36" spans="1:7" x14ac:dyDescent="0.25">
      <c r="A36" s="13"/>
      <c r="B36" s="29" t="s">
        <v>92</v>
      </c>
      <c r="C36" s="15"/>
      <c r="D36" s="15"/>
      <c r="E36" s="15"/>
      <c r="F36" s="15"/>
      <c r="G36" s="15"/>
    </row>
    <row r="37" spans="1:7" x14ac:dyDescent="0.25">
      <c r="A37" s="13"/>
      <c r="B37" s="29" t="s">
        <v>90</v>
      </c>
      <c r="C37" s="15"/>
      <c r="D37" s="15"/>
      <c r="E37" s="15"/>
      <c r="F37" s="15"/>
      <c r="G37" s="15"/>
    </row>
    <row r="38" spans="1:7" x14ac:dyDescent="0.25">
      <c r="A38" s="13"/>
      <c r="B38" s="29" t="s">
        <v>94</v>
      </c>
      <c r="C38" s="15">
        <f>SUM(C28:C37)</f>
        <v>0</v>
      </c>
      <c r="D38" s="15">
        <f>SUM(D28:D37)</f>
        <v>0</v>
      </c>
      <c r="E38" s="15">
        <f>SUM(E28:E37)</f>
        <v>0</v>
      </c>
      <c r="F38" s="15">
        <f>SUM(F28:F37)</f>
        <v>0</v>
      </c>
      <c r="G38" s="15">
        <f>SUM(G28:G37)</f>
        <v>0</v>
      </c>
    </row>
    <row r="39" spans="1:7" ht="13" x14ac:dyDescent="0.3">
      <c r="A39" s="13"/>
      <c r="B39" s="29" t="s">
        <v>95</v>
      </c>
      <c r="C39" s="21">
        <f>C26+C38</f>
        <v>0</v>
      </c>
      <c r="D39" s="21">
        <f>D26+D38</f>
        <v>0</v>
      </c>
      <c r="E39" s="21">
        <f>E26+E38</f>
        <v>0</v>
      </c>
      <c r="F39" s="21">
        <f>F26+F38</f>
        <v>0</v>
      </c>
      <c r="G39" s="21">
        <f>G26+G38</f>
        <v>0</v>
      </c>
    </row>
    <row r="40" spans="1:7" ht="13" x14ac:dyDescent="0.3">
      <c r="A40" s="13"/>
      <c r="B40" s="29" t="s">
        <v>96</v>
      </c>
      <c r="C40" s="21">
        <f>C20-C39</f>
        <v>0</v>
      </c>
      <c r="D40" s="21">
        <f>D20-D39</f>
        <v>0</v>
      </c>
      <c r="E40" s="21">
        <f>E20-E39</f>
        <v>0</v>
      </c>
      <c r="F40" s="21">
        <f>F20-F39</f>
        <v>0</v>
      </c>
      <c r="G40" s="21">
        <f>G20-G39</f>
        <v>0</v>
      </c>
    </row>
    <row r="41" spans="1:7" x14ac:dyDescent="0.25">
      <c r="A41" s="13"/>
      <c r="B41" s="29"/>
      <c r="C41" s="15"/>
      <c r="D41" s="15"/>
      <c r="E41" s="15"/>
      <c r="F41" s="15"/>
      <c r="G41" s="7"/>
    </row>
    <row r="42" spans="1:7" ht="13" x14ac:dyDescent="0.3">
      <c r="A42" s="17" t="s">
        <v>132</v>
      </c>
      <c r="B42" s="29"/>
      <c r="C42" s="15"/>
      <c r="D42" s="15"/>
      <c r="E42" s="15"/>
      <c r="F42" s="15"/>
      <c r="G42" s="7"/>
    </row>
    <row r="43" spans="1:7" x14ac:dyDescent="0.25">
      <c r="A43" s="13"/>
      <c r="B43" s="29" t="s">
        <v>102</v>
      </c>
      <c r="C43" s="15"/>
      <c r="D43" s="15"/>
      <c r="E43" s="15"/>
      <c r="F43" s="15"/>
      <c r="G43" s="7"/>
    </row>
    <row r="44" spans="1:7" x14ac:dyDescent="0.25">
      <c r="A44" s="13"/>
      <c r="B44" s="29" t="s">
        <v>101</v>
      </c>
      <c r="C44" s="15"/>
      <c r="D44" s="15"/>
      <c r="E44" s="15"/>
      <c r="F44" s="15"/>
      <c r="G44" s="7"/>
    </row>
    <row r="45" spans="1:7" x14ac:dyDescent="0.25">
      <c r="A45" s="13"/>
      <c r="B45" s="29" t="s">
        <v>97</v>
      </c>
      <c r="C45" s="15">
        <f>C43-C44</f>
        <v>0</v>
      </c>
      <c r="D45" s="15">
        <f>D43-D44</f>
        <v>0</v>
      </c>
      <c r="E45" s="15">
        <f>E43-E44</f>
        <v>0</v>
      </c>
      <c r="F45" s="15">
        <f>F43-F44</f>
        <v>0</v>
      </c>
      <c r="G45" s="15">
        <f>G43-G44</f>
        <v>0</v>
      </c>
    </row>
    <row r="46" spans="1:7" x14ac:dyDescent="0.25">
      <c r="A46" s="13"/>
      <c r="B46" s="29"/>
      <c r="C46" s="29"/>
      <c r="D46" s="29"/>
      <c r="E46" s="29"/>
      <c r="F46" s="29"/>
      <c r="G46" s="8"/>
    </row>
    <row r="47" spans="1:7" x14ac:dyDescent="0.25">
      <c r="A47" s="13"/>
      <c r="B47" s="29" t="s">
        <v>49</v>
      </c>
      <c r="C47" s="15">
        <f>C40+C45</f>
        <v>0</v>
      </c>
      <c r="D47" s="15">
        <f>D40+D45</f>
        <v>0</v>
      </c>
      <c r="E47" s="15">
        <f>E40+E45</f>
        <v>0</v>
      </c>
      <c r="F47" s="15">
        <f>F40+F45</f>
        <v>0</v>
      </c>
      <c r="G47" s="15">
        <f>G40+G45</f>
        <v>0</v>
      </c>
    </row>
    <row r="48" spans="1:7" x14ac:dyDescent="0.25">
      <c r="A48" s="13"/>
      <c r="B48" s="29" t="s">
        <v>50</v>
      </c>
      <c r="C48" s="15"/>
      <c r="D48" s="15"/>
      <c r="E48" s="15"/>
      <c r="F48" s="15"/>
      <c r="G48" s="7"/>
    </row>
    <row r="49" spans="1:7" ht="13" x14ac:dyDescent="0.3">
      <c r="A49" s="16"/>
      <c r="B49" s="40" t="s">
        <v>51</v>
      </c>
      <c r="C49" s="38">
        <f>C47-C48</f>
        <v>0</v>
      </c>
      <c r="D49" s="38">
        <f>D47-D48</f>
        <v>0</v>
      </c>
      <c r="E49" s="38">
        <f>E47-E48</f>
        <v>0</v>
      </c>
      <c r="F49" s="38">
        <f>F47-F48</f>
        <v>0</v>
      </c>
      <c r="G49" s="34">
        <f>G47-G48</f>
        <v>0</v>
      </c>
    </row>
    <row r="51" spans="1:7" x14ac:dyDescent="0.25">
      <c r="G51" s="4"/>
    </row>
    <row r="52" spans="1:7" x14ac:dyDescent="0.25">
      <c r="C52" s="4"/>
      <c r="D52" s="4"/>
      <c r="E52" s="4"/>
      <c r="F52" s="4"/>
    </row>
  </sheetData>
  <mergeCells count="3">
    <mergeCell ref="B1:G1"/>
    <mergeCell ref="B2:G2"/>
    <mergeCell ref="B3:G3"/>
  </mergeCells>
  <phoneticPr fontId="0" type="noConversion"/>
  <pageMargins left="0.4" right="0.43" top="0.72" bottom="0.68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opLeftCell="A25" workbookViewId="0">
      <selection activeCell="A49" sqref="A49"/>
    </sheetView>
  </sheetViews>
  <sheetFormatPr defaultRowHeight="12.5" x14ac:dyDescent="0.25"/>
  <cols>
    <col min="2" max="2" width="33.26953125" customWidth="1"/>
    <col min="3" max="7" width="11" customWidth="1"/>
  </cols>
  <sheetData>
    <row r="1" spans="1:7" ht="15.5" x14ac:dyDescent="0.35">
      <c r="A1" s="98" t="s">
        <v>74</v>
      </c>
      <c r="B1" s="98"/>
      <c r="C1" s="98"/>
      <c r="D1" s="98"/>
      <c r="E1" s="98"/>
      <c r="F1" s="98"/>
      <c r="G1" s="98"/>
    </row>
    <row r="2" spans="1:7" ht="15.5" x14ac:dyDescent="0.35">
      <c r="A2" s="98" t="s">
        <v>73</v>
      </c>
      <c r="B2" s="98"/>
      <c r="C2" s="98"/>
      <c r="D2" s="98"/>
      <c r="E2" s="98"/>
      <c r="F2" s="98"/>
      <c r="G2" s="98"/>
    </row>
    <row r="3" spans="1:7" ht="15.5" x14ac:dyDescent="0.35">
      <c r="A3" s="100" t="s">
        <v>148</v>
      </c>
      <c r="B3" s="100"/>
      <c r="C3" s="100"/>
      <c r="D3" s="100"/>
      <c r="E3" s="100"/>
      <c r="F3" s="100"/>
      <c r="G3" s="100"/>
    </row>
    <row r="4" spans="1:7" ht="13" x14ac:dyDescent="0.3">
      <c r="A4" s="26"/>
      <c r="B4" s="27"/>
      <c r="C4" s="6">
        <v>2001</v>
      </c>
      <c r="D4" s="6">
        <v>2002</v>
      </c>
      <c r="E4" s="6">
        <v>2003</v>
      </c>
      <c r="F4" s="6">
        <v>2004</v>
      </c>
      <c r="G4" s="6">
        <v>2005</v>
      </c>
    </row>
    <row r="5" spans="1:7" ht="13" x14ac:dyDescent="0.3">
      <c r="A5" s="18" t="s">
        <v>30</v>
      </c>
      <c r="B5" s="28"/>
      <c r="C5" s="9"/>
      <c r="D5" s="9"/>
      <c r="E5" s="9"/>
      <c r="F5" s="9"/>
      <c r="G5" s="9"/>
    </row>
    <row r="6" spans="1:7" x14ac:dyDescent="0.25">
      <c r="A6" s="13" t="s">
        <v>43</v>
      </c>
      <c r="B6" s="29"/>
      <c r="C6" s="8"/>
      <c r="D6" s="8"/>
      <c r="E6" s="8"/>
      <c r="F6" s="8"/>
      <c r="G6" s="8"/>
    </row>
    <row r="7" spans="1:7" x14ac:dyDescent="0.25">
      <c r="A7" s="13"/>
      <c r="B7" s="29" t="s">
        <v>31</v>
      </c>
      <c r="C7" s="33"/>
      <c r="D7" s="33"/>
      <c r="E7" s="33"/>
      <c r="F7" s="33"/>
      <c r="G7" s="33"/>
    </row>
    <row r="8" spans="1:7" x14ac:dyDescent="0.25">
      <c r="A8" s="13"/>
      <c r="B8" s="29" t="s">
        <v>144</v>
      </c>
      <c r="C8" s="7"/>
      <c r="D8" s="7"/>
      <c r="E8" s="7"/>
      <c r="F8" s="7"/>
      <c r="G8" s="7"/>
    </row>
    <row r="9" spans="1:7" x14ac:dyDescent="0.25">
      <c r="A9" s="13"/>
      <c r="B9" s="29" t="s">
        <v>76</v>
      </c>
      <c r="C9" s="7"/>
      <c r="D9" s="7"/>
      <c r="E9" s="7"/>
      <c r="F9" s="7"/>
      <c r="G9" s="7"/>
    </row>
    <row r="10" spans="1:7" x14ac:dyDescent="0.25">
      <c r="A10" s="13"/>
      <c r="B10" s="29" t="s">
        <v>52</v>
      </c>
      <c r="C10" s="7"/>
      <c r="D10" s="7"/>
      <c r="E10" s="7"/>
      <c r="F10" s="7"/>
      <c r="G10" s="7"/>
    </row>
    <row r="11" spans="1:7" x14ac:dyDescent="0.25">
      <c r="A11" s="13" t="s">
        <v>32</v>
      </c>
      <c r="B11" s="29"/>
      <c r="C11" s="7">
        <f>SUM(C7:C10)</f>
        <v>0</v>
      </c>
      <c r="D11" s="7">
        <f>SUM(D7:D10)</f>
        <v>0</v>
      </c>
      <c r="E11" s="7">
        <f>SUM(E7:E10)</f>
        <v>0</v>
      </c>
      <c r="F11" s="7">
        <f>SUM(F7:F10)</f>
        <v>0</v>
      </c>
      <c r="G11" s="7">
        <f>SUM(G7:G10)</f>
        <v>0</v>
      </c>
    </row>
    <row r="12" spans="1:7" x14ac:dyDescent="0.25">
      <c r="A12" s="13"/>
      <c r="B12" s="29"/>
      <c r="C12" s="7"/>
      <c r="D12" s="7"/>
      <c r="E12" s="7"/>
      <c r="F12" s="7"/>
      <c r="G12" s="7"/>
    </row>
    <row r="13" spans="1:7" x14ac:dyDescent="0.25">
      <c r="A13" s="13" t="s">
        <v>44</v>
      </c>
      <c r="B13" s="29"/>
      <c r="C13" s="7"/>
      <c r="D13" s="7"/>
      <c r="E13" s="7"/>
      <c r="F13" s="7"/>
      <c r="G13" s="7"/>
    </row>
    <row r="14" spans="1:7" x14ac:dyDescent="0.25">
      <c r="A14" s="13"/>
      <c r="B14" s="29" t="s">
        <v>105</v>
      </c>
      <c r="C14" s="7"/>
      <c r="D14" s="7"/>
      <c r="E14" s="7"/>
      <c r="F14" s="7"/>
      <c r="G14" s="7"/>
    </row>
    <row r="15" spans="1:7" x14ac:dyDescent="0.25">
      <c r="A15" s="13" t="s">
        <v>142</v>
      </c>
      <c r="B15" s="29"/>
      <c r="C15" s="7"/>
      <c r="D15" s="7"/>
      <c r="E15" s="7"/>
      <c r="F15" s="7"/>
      <c r="G15" s="7"/>
    </row>
    <row r="16" spans="1:7" x14ac:dyDescent="0.25">
      <c r="A16" s="13"/>
      <c r="B16" s="29" t="s">
        <v>104</v>
      </c>
      <c r="C16" s="7"/>
      <c r="D16" s="7"/>
      <c r="E16" s="7"/>
      <c r="F16" s="7"/>
      <c r="G16" s="7"/>
    </row>
    <row r="17" spans="1:7" x14ac:dyDescent="0.25">
      <c r="A17" s="13"/>
      <c r="B17" s="29" t="s">
        <v>141</v>
      </c>
      <c r="C17" s="7"/>
      <c r="D17" s="7"/>
      <c r="E17" s="7"/>
      <c r="F17" s="7"/>
      <c r="G17" s="7"/>
    </row>
    <row r="18" spans="1:7" x14ac:dyDescent="0.25">
      <c r="A18" s="13"/>
      <c r="B18" s="29" t="s">
        <v>53</v>
      </c>
      <c r="C18" s="7"/>
      <c r="D18" s="7"/>
      <c r="E18" s="7"/>
      <c r="F18" s="7"/>
      <c r="G18" s="7"/>
    </row>
    <row r="19" spans="1:7" x14ac:dyDescent="0.25">
      <c r="A19" s="13" t="s">
        <v>33</v>
      </c>
      <c r="B19" s="29"/>
      <c r="C19" s="7">
        <f>SUM(C14:C17)-C18</f>
        <v>0</v>
      </c>
      <c r="D19" s="7">
        <f>SUM(D14:D17)-D18</f>
        <v>0</v>
      </c>
      <c r="E19" s="7">
        <f>SUM(E14:E17)-E18</f>
        <v>0</v>
      </c>
      <c r="F19" s="7">
        <f>SUM(F14:F17)-F18</f>
        <v>0</v>
      </c>
      <c r="G19" s="7">
        <f>SUM(G14:G17)-G18</f>
        <v>0</v>
      </c>
    </row>
    <row r="20" spans="1:7" x14ac:dyDescent="0.25">
      <c r="A20" s="13"/>
      <c r="B20" s="29"/>
      <c r="C20" s="7"/>
      <c r="D20" s="7"/>
      <c r="E20" s="7"/>
      <c r="F20" s="7"/>
      <c r="G20" s="7"/>
    </row>
    <row r="21" spans="1:7" x14ac:dyDescent="0.25">
      <c r="A21" s="13" t="s">
        <v>54</v>
      </c>
      <c r="B21" s="29"/>
      <c r="C21" s="7"/>
      <c r="D21" s="7"/>
      <c r="E21" s="7"/>
      <c r="F21" s="7"/>
      <c r="G21" s="7"/>
    </row>
    <row r="22" spans="1:7" x14ac:dyDescent="0.25">
      <c r="A22" s="13" t="s">
        <v>156</v>
      </c>
      <c r="B22" s="29"/>
      <c r="C22" s="7"/>
      <c r="D22" s="7"/>
      <c r="E22" s="7"/>
      <c r="F22" s="7"/>
      <c r="G22" s="7"/>
    </row>
    <row r="23" spans="1:7" x14ac:dyDescent="0.25">
      <c r="A23" s="13" t="s">
        <v>34</v>
      </c>
      <c r="B23" s="29"/>
      <c r="C23" s="7"/>
      <c r="D23" s="7"/>
      <c r="E23" s="7"/>
      <c r="F23" s="7"/>
      <c r="G23" s="7"/>
    </row>
    <row r="24" spans="1:7" ht="13" x14ac:dyDescent="0.3">
      <c r="A24" s="17" t="s">
        <v>35</v>
      </c>
      <c r="B24" s="29"/>
      <c r="C24" s="35">
        <f>C11+C19+C21+C23</f>
        <v>0</v>
      </c>
      <c r="D24" s="35">
        <f>D11+D19+D21+D23</f>
        <v>0</v>
      </c>
      <c r="E24" s="35">
        <f>E11+E19+E21+E23</f>
        <v>0</v>
      </c>
      <c r="F24" s="35">
        <f>F11+F19+F21+F23</f>
        <v>0</v>
      </c>
      <c r="G24" s="35">
        <f>G11+G19+G21+G23</f>
        <v>0</v>
      </c>
    </row>
    <row r="25" spans="1:7" x14ac:dyDescent="0.25">
      <c r="A25" s="13"/>
      <c r="B25" s="29"/>
      <c r="C25" s="7"/>
      <c r="D25" s="7"/>
      <c r="E25" s="7"/>
      <c r="F25" s="7"/>
      <c r="G25" s="7"/>
    </row>
    <row r="26" spans="1:7" x14ac:dyDescent="0.25">
      <c r="A26" s="13"/>
      <c r="B26" s="29"/>
      <c r="C26" s="7"/>
      <c r="D26" s="7"/>
      <c r="E26" s="7"/>
      <c r="F26" s="7"/>
      <c r="G26" s="7"/>
    </row>
    <row r="27" spans="1:7" ht="13" x14ac:dyDescent="0.3">
      <c r="A27" s="17" t="s">
        <v>55</v>
      </c>
      <c r="B27" s="29"/>
      <c r="C27" s="7"/>
      <c r="D27" s="7"/>
      <c r="E27" s="7"/>
      <c r="F27" s="7"/>
      <c r="G27" s="7"/>
    </row>
    <row r="28" spans="1:7" x14ac:dyDescent="0.25">
      <c r="A28" s="13" t="s">
        <v>36</v>
      </c>
      <c r="B28" s="29"/>
      <c r="C28" s="7"/>
      <c r="D28" s="7"/>
      <c r="E28" s="7"/>
      <c r="F28" s="7"/>
      <c r="G28" s="7"/>
    </row>
    <row r="29" spans="1:7" x14ac:dyDescent="0.25">
      <c r="A29" s="13"/>
      <c r="B29" s="29" t="s">
        <v>37</v>
      </c>
      <c r="C29" s="33"/>
      <c r="D29" s="33"/>
      <c r="E29" s="33"/>
      <c r="F29" s="33"/>
      <c r="G29" s="33"/>
    </row>
    <row r="30" spans="1:7" x14ac:dyDescent="0.25">
      <c r="A30" s="13"/>
      <c r="B30" s="29" t="s">
        <v>137</v>
      </c>
      <c r="C30" s="7"/>
      <c r="D30" s="7"/>
      <c r="E30" s="7"/>
      <c r="F30" s="7"/>
      <c r="G30" s="7"/>
    </row>
    <row r="31" spans="1:7" x14ac:dyDescent="0.25">
      <c r="A31" s="13"/>
      <c r="B31" s="29" t="s">
        <v>107</v>
      </c>
      <c r="C31" s="7"/>
      <c r="D31" s="7"/>
      <c r="E31" s="7"/>
      <c r="F31" s="7"/>
      <c r="G31" s="7"/>
    </row>
    <row r="32" spans="1:7" x14ac:dyDescent="0.25">
      <c r="A32" s="13"/>
      <c r="B32" s="29" t="s">
        <v>138</v>
      </c>
      <c r="C32" s="7"/>
      <c r="D32" s="7"/>
      <c r="E32" s="7"/>
      <c r="F32" s="7"/>
      <c r="G32" s="7"/>
    </row>
    <row r="33" spans="1:7" x14ac:dyDescent="0.25">
      <c r="A33" s="13"/>
      <c r="B33" s="29" t="s">
        <v>106</v>
      </c>
      <c r="C33" s="7"/>
      <c r="D33" s="7"/>
      <c r="E33" s="7"/>
      <c r="F33" s="7"/>
      <c r="G33" s="7"/>
    </row>
    <row r="34" spans="1:7" x14ac:dyDescent="0.25">
      <c r="A34" s="13" t="s">
        <v>38</v>
      </c>
      <c r="B34" s="29"/>
      <c r="C34" s="7">
        <f>SUM(C29:C33)</f>
        <v>0</v>
      </c>
      <c r="D34" s="7">
        <f>SUM(D29:D33)</f>
        <v>0</v>
      </c>
      <c r="E34" s="7">
        <f>SUM(E29:E33)</f>
        <v>0</v>
      </c>
      <c r="F34" s="7">
        <f>SUM(F29:F33)</f>
        <v>0</v>
      </c>
      <c r="G34" s="7">
        <f>SUM(G29:G33)</f>
        <v>0</v>
      </c>
    </row>
    <row r="35" spans="1:7" x14ac:dyDescent="0.25">
      <c r="A35" s="13"/>
      <c r="B35" s="29"/>
      <c r="C35" s="7"/>
      <c r="D35" s="7"/>
      <c r="E35" s="7"/>
      <c r="F35" s="7"/>
      <c r="G35" s="7"/>
    </row>
    <row r="36" spans="1:7" x14ac:dyDescent="0.25">
      <c r="A36" s="13" t="s">
        <v>41</v>
      </c>
      <c r="B36" s="29"/>
      <c r="C36" s="7"/>
      <c r="D36" s="7"/>
      <c r="E36" s="7"/>
      <c r="F36" s="7"/>
      <c r="G36" s="7"/>
    </row>
    <row r="37" spans="1:7" x14ac:dyDescent="0.25">
      <c r="A37" s="13"/>
      <c r="B37" s="29" t="s">
        <v>39</v>
      </c>
      <c r="C37" s="7"/>
      <c r="D37" s="7"/>
      <c r="E37" s="7"/>
      <c r="F37" s="7"/>
      <c r="G37" s="7"/>
    </row>
    <row r="38" spans="1:7" x14ac:dyDescent="0.25">
      <c r="A38" s="13"/>
      <c r="B38" s="29" t="s">
        <v>100</v>
      </c>
      <c r="C38" s="7"/>
      <c r="D38" s="7"/>
      <c r="E38" s="7"/>
      <c r="F38" s="7"/>
      <c r="G38" s="7"/>
    </row>
    <row r="39" spans="1:7" x14ac:dyDescent="0.25">
      <c r="A39" s="13" t="s">
        <v>42</v>
      </c>
      <c r="B39" s="29"/>
      <c r="C39" s="7">
        <f>C37+C38</f>
        <v>0</v>
      </c>
      <c r="D39" s="7">
        <f>D37+D38</f>
        <v>0</v>
      </c>
      <c r="E39" s="7">
        <f>E37+E38</f>
        <v>0</v>
      </c>
      <c r="F39" s="7">
        <f>F37+F38</f>
        <v>0</v>
      </c>
      <c r="G39" s="7">
        <f>G37+G38</f>
        <v>0</v>
      </c>
    </row>
    <row r="40" spans="1:7" x14ac:dyDescent="0.25">
      <c r="A40" s="13"/>
      <c r="B40" s="29"/>
      <c r="C40" s="7"/>
      <c r="D40" s="7"/>
      <c r="E40" s="7"/>
      <c r="F40" s="7"/>
      <c r="G40" s="7"/>
    </row>
    <row r="41" spans="1:7" x14ac:dyDescent="0.25">
      <c r="A41" s="13" t="s">
        <v>40</v>
      </c>
      <c r="B41" s="29"/>
      <c r="C41" s="7"/>
      <c r="D41" s="7"/>
      <c r="E41" s="7"/>
      <c r="F41" s="7"/>
      <c r="G41" s="7"/>
    </row>
    <row r="42" spans="1:7" x14ac:dyDescent="0.25">
      <c r="A42" s="13"/>
      <c r="B42" s="29" t="s">
        <v>163</v>
      </c>
      <c r="C42" s="7">
        <f>'Statement of Capital'!B13</f>
        <v>0</v>
      </c>
      <c r="D42" s="7">
        <f>'Statement of Capital'!C13</f>
        <v>0</v>
      </c>
      <c r="E42" s="7">
        <f>'Statement of Capital'!D13</f>
        <v>0</v>
      </c>
      <c r="F42" s="7">
        <f>'Statement of Capital'!E13</f>
        <v>0</v>
      </c>
      <c r="G42" s="7">
        <f>'Statement of Capital'!F13</f>
        <v>0</v>
      </c>
    </row>
    <row r="43" spans="1:7" x14ac:dyDescent="0.25">
      <c r="A43" s="13"/>
      <c r="B43" s="29" t="s">
        <v>150</v>
      </c>
      <c r="C43" s="7"/>
      <c r="D43" s="7"/>
      <c r="E43" s="7"/>
      <c r="F43" s="7"/>
      <c r="G43" s="7"/>
    </row>
    <row r="44" spans="1:7" x14ac:dyDescent="0.25">
      <c r="A44" s="13" t="s">
        <v>143</v>
      </c>
      <c r="B44" s="29"/>
      <c r="C44" s="7">
        <f>SUM(C42:C43)</f>
        <v>0</v>
      </c>
      <c r="D44" s="7">
        <f>SUM(D42:D43)</f>
        <v>0</v>
      </c>
      <c r="E44" s="7">
        <f>SUM(E42:E43)</f>
        <v>0</v>
      </c>
      <c r="F44" s="7">
        <f>SUM(F42:F43)</f>
        <v>0</v>
      </c>
      <c r="G44" s="7">
        <f>SUM(G42:G43)</f>
        <v>0</v>
      </c>
    </row>
    <row r="45" spans="1:7" x14ac:dyDescent="0.25">
      <c r="A45" s="13"/>
      <c r="B45" s="29"/>
      <c r="C45" s="7"/>
      <c r="D45" s="7"/>
      <c r="E45" s="7"/>
      <c r="F45" s="7"/>
      <c r="G45" s="7"/>
    </row>
    <row r="46" spans="1:7" ht="13" x14ac:dyDescent="0.3">
      <c r="A46" s="19" t="s">
        <v>75</v>
      </c>
      <c r="B46" s="30"/>
      <c r="C46" s="34">
        <f>C34+C39+C44</f>
        <v>0</v>
      </c>
      <c r="D46" s="34">
        <f>D34+D39+D44</f>
        <v>0</v>
      </c>
      <c r="E46" s="34">
        <f>E34+E39+E44</f>
        <v>0</v>
      </c>
      <c r="F46" s="34">
        <f>F34+F39+F44</f>
        <v>0</v>
      </c>
      <c r="G46" s="34">
        <f>G34+G39+G44</f>
        <v>0</v>
      </c>
    </row>
    <row r="47" spans="1:7" x14ac:dyDescent="0.25">
      <c r="C47" s="4"/>
      <c r="D47" s="4"/>
      <c r="E47" s="4"/>
      <c r="F47" s="4"/>
      <c r="G47" s="4"/>
    </row>
    <row r="48" spans="1:7" x14ac:dyDescent="0.25">
      <c r="A48" t="s">
        <v>167</v>
      </c>
      <c r="B48" t="s">
        <v>166</v>
      </c>
      <c r="C48" s="4"/>
      <c r="D48" s="4"/>
      <c r="E48" s="4"/>
      <c r="F48" s="4"/>
      <c r="G48" s="4"/>
    </row>
    <row r="49" spans="1:2" x14ac:dyDescent="0.25">
      <c r="A49" t="s">
        <v>164</v>
      </c>
      <c r="B49" t="s">
        <v>165</v>
      </c>
    </row>
  </sheetData>
  <mergeCells count="3">
    <mergeCell ref="A1:G1"/>
    <mergeCell ref="A2:G2"/>
    <mergeCell ref="A3:G3"/>
  </mergeCells>
  <phoneticPr fontId="0" type="noConversion"/>
  <pageMargins left="0.44" right="0.43" top="0.7" bottom="0.67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17" sqref="A17"/>
    </sheetView>
  </sheetViews>
  <sheetFormatPr defaultRowHeight="12.5" x14ac:dyDescent="0.25"/>
  <cols>
    <col min="1" max="1" width="37.7265625" customWidth="1"/>
    <col min="2" max="2" width="11.26953125" bestFit="1" customWidth="1"/>
    <col min="3" max="5" width="11.26953125" customWidth="1"/>
    <col min="6" max="6" width="11.7265625" customWidth="1"/>
  </cols>
  <sheetData>
    <row r="1" spans="1:6" ht="15.5" x14ac:dyDescent="0.35">
      <c r="A1" s="98" t="s">
        <v>74</v>
      </c>
      <c r="B1" s="98"/>
      <c r="C1" s="98"/>
      <c r="D1" s="98"/>
      <c r="E1" s="98"/>
      <c r="F1" s="98"/>
    </row>
    <row r="2" spans="1:6" ht="15.5" x14ac:dyDescent="0.35">
      <c r="A2" s="98" t="s">
        <v>151</v>
      </c>
      <c r="B2" s="98"/>
      <c r="C2" s="98"/>
      <c r="D2" s="98"/>
      <c r="E2" s="98"/>
      <c r="F2" s="98"/>
    </row>
    <row r="3" spans="1:6" ht="15.5" x14ac:dyDescent="0.35">
      <c r="A3" s="99" t="s">
        <v>149</v>
      </c>
      <c r="B3" s="99"/>
      <c r="C3" s="99"/>
      <c r="D3" s="99"/>
      <c r="E3" s="99"/>
      <c r="F3" s="99"/>
    </row>
    <row r="4" spans="1:6" ht="15.5" x14ac:dyDescent="0.35">
      <c r="A4" s="98"/>
      <c r="B4" s="98"/>
      <c r="C4" s="98"/>
      <c r="D4" s="98"/>
      <c r="E4" s="98"/>
      <c r="F4" s="98"/>
    </row>
    <row r="5" spans="1:6" ht="15.5" x14ac:dyDescent="0.35">
      <c r="A5" s="100"/>
      <c r="B5" s="100"/>
      <c r="C5" s="100"/>
      <c r="D5" s="100"/>
      <c r="E5" s="100"/>
      <c r="F5" s="100"/>
    </row>
    <row r="6" spans="1:6" ht="13" x14ac:dyDescent="0.3">
      <c r="A6" s="25"/>
      <c r="B6" s="6">
        <v>2001</v>
      </c>
      <c r="C6" s="6">
        <v>2002</v>
      </c>
      <c r="D6" s="6">
        <v>2003</v>
      </c>
      <c r="E6" s="6">
        <v>2004</v>
      </c>
      <c r="F6" s="6">
        <v>2005</v>
      </c>
    </row>
    <row r="7" spans="1:6" x14ac:dyDescent="0.25">
      <c r="A7" s="9" t="s">
        <v>152</v>
      </c>
      <c r="B7" s="32"/>
      <c r="C7" s="32"/>
      <c r="D7" s="32"/>
      <c r="E7" s="32"/>
      <c r="F7" s="32"/>
    </row>
    <row r="8" spans="1:6" x14ac:dyDescent="0.25">
      <c r="A8" s="8"/>
      <c r="B8" s="33"/>
      <c r="C8" s="33"/>
      <c r="D8" s="33"/>
      <c r="E8" s="33"/>
      <c r="F8" s="33"/>
    </row>
    <row r="9" spans="1:6" x14ac:dyDescent="0.25">
      <c r="A9" s="8" t="s">
        <v>71</v>
      </c>
      <c r="B9" s="7">
        <f>'Income Statement'!C49</f>
        <v>0</v>
      </c>
      <c r="C9" s="7">
        <f>'Income Statement'!D49</f>
        <v>0</v>
      </c>
      <c r="D9" s="7">
        <f>'Income Statement'!E49</f>
        <v>0</v>
      </c>
      <c r="E9" s="7">
        <f>'Income Statement'!F49</f>
        <v>0</v>
      </c>
      <c r="F9" s="7">
        <f>'Income Statement'!G49</f>
        <v>0</v>
      </c>
    </row>
    <row r="10" spans="1:6" x14ac:dyDescent="0.25">
      <c r="A10" s="8" t="s">
        <v>153</v>
      </c>
      <c r="B10" s="7"/>
      <c r="C10" s="7"/>
      <c r="D10" s="7"/>
      <c r="E10" s="7"/>
      <c r="F10" s="7"/>
    </row>
    <row r="11" spans="1:6" x14ac:dyDescent="0.25">
      <c r="A11" s="8" t="s">
        <v>154</v>
      </c>
      <c r="B11" s="7"/>
      <c r="C11" s="7"/>
      <c r="D11" s="7"/>
      <c r="E11" s="7"/>
      <c r="F11" s="7"/>
    </row>
    <row r="12" spans="1:6" x14ac:dyDescent="0.25">
      <c r="A12" s="8"/>
      <c r="B12" s="8"/>
      <c r="C12" s="8"/>
      <c r="D12" s="8"/>
      <c r="E12" s="8"/>
      <c r="F12" s="8"/>
    </row>
    <row r="13" spans="1:6" ht="13" x14ac:dyDescent="0.3">
      <c r="A13" s="24" t="s">
        <v>155</v>
      </c>
      <c r="B13" s="34">
        <f>B7+B9+B10-B11</f>
        <v>0</v>
      </c>
      <c r="C13" s="34">
        <f>C7+C9+C10-C11</f>
        <v>0</v>
      </c>
      <c r="D13" s="34">
        <f>D7+D9+D10-D11</f>
        <v>0</v>
      </c>
      <c r="E13" s="34">
        <f>E7+E9+E10-E11</f>
        <v>0</v>
      </c>
      <c r="F13" s="34">
        <f>F7+F9+F10-F11</f>
        <v>0</v>
      </c>
    </row>
    <row r="15" spans="1:6" ht="15.5" x14ac:dyDescent="0.35">
      <c r="A15" s="62" t="s">
        <v>194</v>
      </c>
    </row>
    <row r="16" spans="1:6" ht="15.5" x14ac:dyDescent="0.35">
      <c r="A16" s="62" t="s">
        <v>195</v>
      </c>
    </row>
  </sheetData>
  <mergeCells count="5">
    <mergeCell ref="A1:F1"/>
    <mergeCell ref="A4:F4"/>
    <mergeCell ref="A5:F5"/>
    <mergeCell ref="A2:F2"/>
    <mergeCell ref="A3:F3"/>
  </mergeCells>
  <phoneticPr fontId="0" type="noConversion"/>
  <pageMargins left="0.59" right="0.52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opLeftCell="A54" workbookViewId="0">
      <selection activeCell="D71" sqref="D71"/>
    </sheetView>
  </sheetViews>
  <sheetFormatPr defaultRowHeight="12.5" x14ac:dyDescent="0.25"/>
  <cols>
    <col min="2" max="2" width="13.26953125" customWidth="1"/>
    <col min="3" max="3" width="24.81640625" customWidth="1"/>
    <col min="4" max="4" width="14.81640625" customWidth="1"/>
    <col min="5" max="5" width="19.7265625" customWidth="1"/>
    <col min="6" max="6" width="18.7265625" customWidth="1"/>
    <col min="7" max="7" width="15.453125" customWidth="1"/>
    <col min="8" max="8" width="16.26953125" customWidth="1"/>
  </cols>
  <sheetData>
    <row r="1" spans="1:8" ht="15.5" x14ac:dyDescent="0.35">
      <c r="A1" s="31" t="s">
        <v>108</v>
      </c>
    </row>
    <row r="3" spans="1:8" ht="15.5" x14ac:dyDescent="0.35">
      <c r="A3" s="31" t="s">
        <v>112</v>
      </c>
    </row>
    <row r="4" spans="1:8" ht="15.5" x14ac:dyDescent="0.35">
      <c r="A4" s="42"/>
      <c r="B4" s="43"/>
      <c r="C4" s="44"/>
      <c r="D4" s="45">
        <v>2001</v>
      </c>
      <c r="E4" s="45">
        <v>2002</v>
      </c>
      <c r="F4" s="45">
        <v>2003</v>
      </c>
      <c r="G4" s="45">
        <v>2004</v>
      </c>
      <c r="H4" s="45">
        <v>2005</v>
      </c>
    </row>
    <row r="5" spans="1:8" ht="15.5" x14ac:dyDescent="0.35">
      <c r="A5" s="46" t="s">
        <v>117</v>
      </c>
      <c r="B5" s="47"/>
      <c r="C5" s="48"/>
      <c r="D5" s="49"/>
      <c r="E5" s="49"/>
      <c r="F5" s="49"/>
      <c r="G5" s="49"/>
      <c r="H5" s="49"/>
    </row>
    <row r="6" spans="1:8" ht="15.5" x14ac:dyDescent="0.35">
      <c r="A6" s="50"/>
      <c r="B6" s="51" t="s">
        <v>113</v>
      </c>
      <c r="C6" s="52"/>
      <c r="D6" s="53"/>
      <c r="E6" s="53"/>
      <c r="F6" s="53"/>
      <c r="G6" s="53"/>
      <c r="H6" s="53"/>
    </row>
    <row r="7" spans="1:8" ht="15.5" x14ac:dyDescent="0.35">
      <c r="A7" s="50"/>
      <c r="B7" s="51" t="s">
        <v>147</v>
      </c>
      <c r="C7" s="52"/>
      <c r="D7" s="53"/>
      <c r="E7" s="53"/>
      <c r="F7" s="53"/>
      <c r="G7" s="53"/>
      <c r="H7" s="53"/>
    </row>
    <row r="8" spans="1:8" ht="15.5" x14ac:dyDescent="0.35">
      <c r="A8" s="50"/>
      <c r="B8" s="51" t="s">
        <v>121</v>
      </c>
      <c r="C8" s="52"/>
      <c r="D8" s="53"/>
      <c r="E8" s="53"/>
      <c r="F8" s="53"/>
      <c r="G8" s="53"/>
      <c r="H8" s="53"/>
    </row>
    <row r="9" spans="1:8" ht="15.5" x14ac:dyDescent="0.35">
      <c r="A9" s="50"/>
      <c r="B9" s="51" t="s">
        <v>114</v>
      </c>
      <c r="C9" s="52"/>
      <c r="D9" s="53"/>
      <c r="E9" s="53"/>
      <c r="F9" s="53"/>
      <c r="G9" s="53"/>
      <c r="H9" s="53"/>
    </row>
    <row r="10" spans="1:8" ht="15.5" x14ac:dyDescent="0.35">
      <c r="A10" s="50"/>
      <c r="B10" s="51" t="s">
        <v>115</v>
      </c>
      <c r="C10" s="52"/>
      <c r="D10" s="53"/>
      <c r="E10" s="53"/>
      <c r="F10" s="53"/>
      <c r="G10" s="53"/>
      <c r="H10" s="53"/>
    </row>
    <row r="11" spans="1:8" ht="15.5" x14ac:dyDescent="0.35">
      <c r="A11" s="50"/>
      <c r="B11" s="51" t="s">
        <v>100</v>
      </c>
      <c r="C11" s="52"/>
      <c r="D11" s="54"/>
      <c r="E11" s="54"/>
      <c r="F11" s="54"/>
      <c r="G11" s="54"/>
      <c r="H11" s="54"/>
    </row>
    <row r="12" spans="1:8" ht="15.5" x14ac:dyDescent="0.35">
      <c r="A12" s="50" t="s">
        <v>116</v>
      </c>
      <c r="B12" s="51"/>
      <c r="C12" s="52"/>
      <c r="D12" s="53">
        <f>SUM(D6:D11)</f>
        <v>0</v>
      </c>
      <c r="E12" s="53">
        <f>SUM(E6:E11)</f>
        <v>0</v>
      </c>
      <c r="F12" s="53">
        <f>SUM(F6:F11)</f>
        <v>0</v>
      </c>
      <c r="G12" s="53">
        <f>SUM(G6:G11)</f>
        <v>0</v>
      </c>
      <c r="H12" s="53">
        <f>SUM(H6:H11)</f>
        <v>0</v>
      </c>
    </row>
    <row r="13" spans="1:8" ht="15.5" x14ac:dyDescent="0.35">
      <c r="A13" s="50" t="s">
        <v>111</v>
      </c>
      <c r="B13" s="51" t="s">
        <v>110</v>
      </c>
      <c r="C13" s="52"/>
      <c r="D13" s="53"/>
      <c r="E13" s="53"/>
      <c r="F13" s="53"/>
      <c r="G13" s="53"/>
      <c r="H13" s="53"/>
    </row>
    <row r="14" spans="1:8" ht="15.5" x14ac:dyDescent="0.35">
      <c r="A14" s="50" t="s">
        <v>118</v>
      </c>
      <c r="B14" s="51" t="s">
        <v>119</v>
      </c>
      <c r="C14" s="52"/>
      <c r="D14" s="54"/>
      <c r="E14" s="54"/>
      <c r="F14" s="54"/>
      <c r="G14" s="54"/>
      <c r="H14" s="54"/>
    </row>
    <row r="15" spans="1:8" ht="15.5" x14ac:dyDescent="0.35">
      <c r="A15" s="50"/>
      <c r="B15" s="51"/>
      <c r="C15" s="52"/>
      <c r="D15" s="54"/>
      <c r="E15" s="54"/>
      <c r="F15" s="54"/>
      <c r="G15" s="54"/>
      <c r="H15" s="54"/>
    </row>
    <row r="16" spans="1:8" ht="15.5" x14ac:dyDescent="0.35">
      <c r="A16" s="50"/>
      <c r="B16" s="51"/>
      <c r="C16" s="52"/>
      <c r="D16" s="54"/>
      <c r="E16" s="54"/>
      <c r="F16" s="54"/>
      <c r="G16" s="54"/>
      <c r="H16" s="54"/>
    </row>
    <row r="17" spans="1:8" ht="15.5" x14ac:dyDescent="0.35">
      <c r="A17" s="50"/>
      <c r="B17" s="51" t="s">
        <v>120</v>
      </c>
      <c r="C17" s="52"/>
      <c r="D17" s="54">
        <f>SUM(D15:D16)</f>
        <v>0</v>
      </c>
      <c r="E17" s="54">
        <f>SUM(E15:E16)</f>
        <v>0</v>
      </c>
      <c r="F17" s="54">
        <f>SUM(F15:F16)</f>
        <v>0</v>
      </c>
      <c r="G17" s="54">
        <f>SUM(G15:G16)</f>
        <v>0</v>
      </c>
      <c r="H17" s="54">
        <f>SUM(H15:H16)</f>
        <v>0</v>
      </c>
    </row>
    <row r="18" spans="1:8" ht="15.5" x14ac:dyDescent="0.35">
      <c r="A18" s="50"/>
      <c r="B18" s="51"/>
      <c r="C18" s="52"/>
      <c r="D18" s="53">
        <f>D13-D17</f>
        <v>0</v>
      </c>
      <c r="E18" s="53">
        <f>E13-E17</f>
        <v>0</v>
      </c>
      <c r="F18" s="53">
        <f>F13-F17</f>
        <v>0</v>
      </c>
      <c r="G18" s="53">
        <f>G13-G17</f>
        <v>0</v>
      </c>
      <c r="H18" s="53">
        <f>H13-H17</f>
        <v>0</v>
      </c>
    </row>
    <row r="19" spans="1:8" ht="15.5" x14ac:dyDescent="0.35">
      <c r="A19" s="55" t="s">
        <v>109</v>
      </c>
      <c r="B19" s="56"/>
      <c r="C19" s="57"/>
      <c r="D19" s="58" t="e">
        <f>D12/D18</f>
        <v>#DIV/0!</v>
      </c>
      <c r="E19" s="58" t="e">
        <f>E12/E18</f>
        <v>#DIV/0!</v>
      </c>
      <c r="F19" s="58" t="e">
        <f>F12/F18</f>
        <v>#DIV/0!</v>
      </c>
      <c r="G19" s="58" t="e">
        <f>G12/G18</f>
        <v>#DIV/0!</v>
      </c>
      <c r="H19" s="58" t="e">
        <f>H12/H18</f>
        <v>#DIV/0!</v>
      </c>
    </row>
    <row r="21" spans="1:8" ht="14" x14ac:dyDescent="0.3">
      <c r="A21" s="75" t="s">
        <v>182</v>
      </c>
      <c r="B21" s="66"/>
      <c r="C21" s="66"/>
      <c r="D21" s="66"/>
      <c r="E21" s="66"/>
      <c r="F21" s="66"/>
      <c r="G21" s="66"/>
      <c r="H21" s="66"/>
    </row>
    <row r="22" spans="1:8" ht="14" x14ac:dyDescent="0.3">
      <c r="A22" s="75" t="s">
        <v>172</v>
      </c>
      <c r="B22" s="66"/>
      <c r="C22" s="66"/>
      <c r="D22" s="75" t="s">
        <v>169</v>
      </c>
      <c r="E22" s="66"/>
      <c r="F22" s="75" t="s">
        <v>173</v>
      </c>
      <c r="G22" s="66"/>
      <c r="H22" s="66"/>
    </row>
    <row r="23" spans="1:8" ht="14" x14ac:dyDescent="0.3">
      <c r="A23" s="77" t="s">
        <v>170</v>
      </c>
      <c r="B23" s="76"/>
      <c r="C23" s="78" t="s">
        <v>171</v>
      </c>
      <c r="D23" s="78" t="s">
        <v>170</v>
      </c>
      <c r="E23" s="78" t="s">
        <v>171</v>
      </c>
      <c r="F23" s="77" t="s">
        <v>170</v>
      </c>
      <c r="G23" s="77" t="s">
        <v>171</v>
      </c>
      <c r="H23" s="76"/>
    </row>
    <row r="24" spans="1:8" ht="14" x14ac:dyDescent="0.3">
      <c r="A24" s="69" t="s">
        <v>113</v>
      </c>
      <c r="B24" s="70"/>
      <c r="C24" s="71" t="s">
        <v>175</v>
      </c>
      <c r="D24" s="71" t="s">
        <v>113</v>
      </c>
      <c r="E24" s="71" t="s">
        <v>27</v>
      </c>
      <c r="F24" s="71" t="s">
        <v>113</v>
      </c>
      <c r="G24" s="67" t="s">
        <v>181</v>
      </c>
      <c r="H24" s="68"/>
    </row>
    <row r="25" spans="1:8" ht="14" x14ac:dyDescent="0.3">
      <c r="A25" s="69" t="s">
        <v>147</v>
      </c>
      <c r="B25" s="70"/>
      <c r="C25" s="71" t="s">
        <v>176</v>
      </c>
      <c r="D25" s="71" t="s">
        <v>147</v>
      </c>
      <c r="E25" s="71"/>
      <c r="F25" s="71" t="s">
        <v>147</v>
      </c>
      <c r="G25" s="69"/>
      <c r="H25" s="70"/>
    </row>
    <row r="26" spans="1:8" ht="14" x14ac:dyDescent="0.3">
      <c r="A26" s="69" t="s">
        <v>121</v>
      </c>
      <c r="B26" s="70"/>
      <c r="C26" s="71" t="s">
        <v>177</v>
      </c>
      <c r="D26" s="71" t="s">
        <v>121</v>
      </c>
      <c r="E26" s="71"/>
      <c r="F26" s="71" t="s">
        <v>121</v>
      </c>
      <c r="G26" s="69"/>
      <c r="H26" s="70"/>
    </row>
    <row r="27" spans="1:8" ht="14" x14ac:dyDescent="0.3">
      <c r="A27" s="69" t="s">
        <v>174</v>
      </c>
      <c r="B27" s="70"/>
      <c r="C27" s="71"/>
      <c r="D27" s="71" t="s">
        <v>174</v>
      </c>
      <c r="E27" s="71"/>
      <c r="F27" s="71" t="s">
        <v>174</v>
      </c>
      <c r="G27" s="69"/>
      <c r="H27" s="70"/>
    </row>
    <row r="28" spans="1:8" ht="14" x14ac:dyDescent="0.3">
      <c r="A28" s="69" t="s">
        <v>115</v>
      </c>
      <c r="B28" s="70"/>
      <c r="C28" s="71"/>
      <c r="D28" s="71" t="s">
        <v>115</v>
      </c>
      <c r="E28" s="71"/>
      <c r="F28" s="71" t="s">
        <v>115</v>
      </c>
      <c r="G28" s="69"/>
      <c r="H28" s="70"/>
    </row>
    <row r="29" spans="1:8" ht="14" x14ac:dyDescent="0.3">
      <c r="A29" s="72" t="s">
        <v>100</v>
      </c>
      <c r="B29" s="73"/>
      <c r="C29" s="74"/>
      <c r="D29" s="74" t="s">
        <v>100</v>
      </c>
      <c r="E29" s="74"/>
      <c r="F29" s="74" t="s">
        <v>100</v>
      </c>
      <c r="G29" s="72"/>
      <c r="H29" s="73"/>
    </row>
    <row r="30" spans="1:8" ht="14" x14ac:dyDescent="0.3">
      <c r="A30" s="66"/>
      <c r="B30" s="66"/>
      <c r="C30" s="66"/>
      <c r="D30" s="66"/>
      <c r="E30" s="66"/>
      <c r="F30" s="66"/>
      <c r="G30" s="66"/>
      <c r="H30" s="66"/>
    </row>
    <row r="35" spans="1:8" ht="15.5" x14ac:dyDescent="0.35">
      <c r="A35" s="31" t="s">
        <v>188</v>
      </c>
    </row>
    <row r="36" spans="1:8" ht="15.5" x14ac:dyDescent="0.35">
      <c r="A36" s="42"/>
      <c r="B36" s="43"/>
      <c r="C36" s="44"/>
      <c r="D36" s="45">
        <v>2001</v>
      </c>
      <c r="E36" s="45">
        <v>2002</v>
      </c>
      <c r="F36" s="45">
        <v>2003</v>
      </c>
      <c r="G36" s="45">
        <v>2004</v>
      </c>
      <c r="H36" s="45">
        <v>2005</v>
      </c>
    </row>
    <row r="37" spans="1:8" ht="15.5" x14ac:dyDescent="0.35">
      <c r="A37" s="46" t="s">
        <v>117</v>
      </c>
      <c r="B37" s="47"/>
      <c r="C37" s="48"/>
      <c r="D37" s="49"/>
      <c r="E37" s="49"/>
      <c r="F37" s="49"/>
      <c r="G37" s="49"/>
      <c r="H37" s="49"/>
    </row>
    <row r="38" spans="1:8" ht="15.5" x14ac:dyDescent="0.35">
      <c r="A38" s="50"/>
      <c r="B38" s="51" t="s">
        <v>113</v>
      </c>
      <c r="C38" s="52"/>
      <c r="D38" s="53"/>
      <c r="E38" s="53"/>
      <c r="F38" s="53"/>
      <c r="G38" s="53"/>
      <c r="H38" s="53"/>
    </row>
    <row r="39" spans="1:8" ht="15.5" x14ac:dyDescent="0.35">
      <c r="A39" s="50"/>
      <c r="B39" s="51" t="s">
        <v>147</v>
      </c>
      <c r="C39" s="52"/>
      <c r="D39" s="53"/>
      <c r="E39" s="53"/>
      <c r="F39" s="53"/>
      <c r="G39" s="53"/>
      <c r="H39" s="53"/>
    </row>
    <row r="40" spans="1:8" ht="15.5" x14ac:dyDescent="0.35">
      <c r="A40" s="50"/>
      <c r="B40" s="51" t="s">
        <v>121</v>
      </c>
      <c r="C40" s="52"/>
      <c r="D40" s="53"/>
      <c r="E40" s="53"/>
      <c r="F40" s="53"/>
      <c r="G40" s="53"/>
      <c r="H40" s="53"/>
    </row>
    <row r="41" spans="1:8" ht="15.5" x14ac:dyDescent="0.35">
      <c r="A41" s="50"/>
      <c r="B41" s="51" t="s">
        <v>114</v>
      </c>
      <c r="C41" s="52"/>
      <c r="D41" s="53"/>
      <c r="E41" s="53"/>
      <c r="F41" s="53"/>
      <c r="G41" s="53"/>
      <c r="H41" s="53"/>
    </row>
    <row r="42" spans="1:8" ht="15.5" x14ac:dyDescent="0.35">
      <c r="A42" s="50"/>
      <c r="B42" s="51" t="s">
        <v>115</v>
      </c>
      <c r="C42" s="52"/>
      <c r="D42" s="53"/>
      <c r="E42" s="53"/>
      <c r="F42" s="53"/>
      <c r="G42" s="53"/>
      <c r="H42" s="53"/>
    </row>
    <row r="43" spans="1:8" ht="15.5" x14ac:dyDescent="0.35">
      <c r="A43" s="50"/>
      <c r="B43" s="51" t="s">
        <v>100</v>
      </c>
      <c r="C43" s="52"/>
      <c r="D43" s="54"/>
      <c r="E43" s="54"/>
      <c r="F43" s="54"/>
      <c r="G43" s="54"/>
      <c r="H43" s="54"/>
    </row>
    <row r="44" spans="1:8" ht="15.5" x14ac:dyDescent="0.35">
      <c r="A44" s="50" t="s">
        <v>116</v>
      </c>
      <c r="B44" s="51"/>
      <c r="C44" s="52"/>
      <c r="D44" s="53">
        <f>SUM(D38:D43)</f>
        <v>0</v>
      </c>
      <c r="E44" s="53">
        <f>SUM(E38:E43)</f>
        <v>0</v>
      </c>
      <c r="F44" s="53">
        <f>SUM(F38:F43)</f>
        <v>0</v>
      </c>
      <c r="G44" s="53">
        <f>SUM(G38:G43)</f>
        <v>0</v>
      </c>
      <c r="H44" s="53">
        <f>SUM(H38:H43)</f>
        <v>0</v>
      </c>
    </row>
    <row r="45" spans="1:8" ht="15.5" x14ac:dyDescent="0.35">
      <c r="A45" s="50" t="s">
        <v>123</v>
      </c>
      <c r="B45" s="51" t="s">
        <v>122</v>
      </c>
      <c r="C45" s="52"/>
      <c r="D45" s="53"/>
      <c r="E45" s="53"/>
      <c r="F45" s="53"/>
      <c r="G45" s="53"/>
      <c r="H45" s="53"/>
    </row>
    <row r="46" spans="1:8" ht="15.5" x14ac:dyDescent="0.35">
      <c r="A46" s="50" t="s">
        <v>124</v>
      </c>
      <c r="B46" s="51"/>
      <c r="C46" s="52"/>
      <c r="D46" s="53">
        <f>D44+D45</f>
        <v>0</v>
      </c>
      <c r="E46" s="53">
        <f>E44+E45</f>
        <v>0</v>
      </c>
      <c r="F46" s="53">
        <f>F44+F45</f>
        <v>0</v>
      </c>
      <c r="G46" s="53">
        <f>G44+G45</f>
        <v>0</v>
      </c>
      <c r="H46" s="53">
        <f>H44+H45</f>
        <v>0</v>
      </c>
    </row>
    <row r="47" spans="1:8" ht="15.5" x14ac:dyDescent="0.35">
      <c r="A47" s="50"/>
      <c r="B47" s="51"/>
      <c r="C47" s="52"/>
      <c r="D47" s="53"/>
      <c r="E47" s="53"/>
      <c r="F47" s="53"/>
      <c r="G47" s="53"/>
      <c r="H47" s="53"/>
    </row>
    <row r="48" spans="1:8" ht="15.5" x14ac:dyDescent="0.35">
      <c r="A48" s="50" t="s">
        <v>111</v>
      </c>
      <c r="B48" s="51" t="s">
        <v>110</v>
      </c>
      <c r="C48" s="52"/>
      <c r="D48" s="53"/>
      <c r="E48" s="53"/>
      <c r="F48" s="53"/>
      <c r="G48" s="53"/>
      <c r="H48" s="53"/>
    </row>
    <row r="49" spans="1:8" ht="15.5" x14ac:dyDescent="0.35">
      <c r="A49" s="50" t="s">
        <v>118</v>
      </c>
      <c r="B49" s="51" t="s">
        <v>119</v>
      </c>
      <c r="C49" s="52"/>
      <c r="D49" s="54"/>
      <c r="E49" s="54"/>
      <c r="F49" s="54"/>
      <c r="G49" s="54"/>
      <c r="H49" s="54"/>
    </row>
    <row r="50" spans="1:8" ht="15.5" x14ac:dyDescent="0.35">
      <c r="A50" s="50"/>
      <c r="B50" s="51"/>
      <c r="C50" s="52"/>
      <c r="D50" s="54"/>
      <c r="E50" s="54"/>
      <c r="F50" s="54"/>
      <c r="G50" s="54"/>
      <c r="H50" s="54"/>
    </row>
    <row r="51" spans="1:8" ht="15.5" x14ac:dyDescent="0.35">
      <c r="A51" s="50"/>
      <c r="B51" s="51"/>
      <c r="C51" s="52"/>
      <c r="D51" s="54"/>
      <c r="E51" s="54"/>
      <c r="F51" s="54"/>
      <c r="G51" s="54"/>
      <c r="H51" s="54"/>
    </row>
    <row r="52" spans="1:8" ht="15.5" x14ac:dyDescent="0.35">
      <c r="A52" s="50"/>
      <c r="B52" s="51" t="s">
        <v>120</v>
      </c>
      <c r="C52" s="52"/>
      <c r="D52" s="54">
        <f>SUM(D50:D51)</f>
        <v>0</v>
      </c>
      <c r="E52" s="54">
        <f>SUM(E50:E51)</f>
        <v>0</v>
      </c>
      <c r="F52" s="54">
        <f>SUM(F50:F51)</f>
        <v>0</v>
      </c>
      <c r="G52" s="54">
        <f>SUM(G50:G51)</f>
        <v>0</v>
      </c>
      <c r="H52" s="54">
        <f>SUM(H50:H51)</f>
        <v>0</v>
      </c>
    </row>
    <row r="53" spans="1:8" ht="15.5" x14ac:dyDescent="0.35">
      <c r="A53" s="50"/>
      <c r="B53" s="51"/>
      <c r="C53" s="52"/>
      <c r="D53" s="53">
        <f>D48-D52</f>
        <v>0</v>
      </c>
      <c r="E53" s="53">
        <f>E48-E52</f>
        <v>0</v>
      </c>
      <c r="F53" s="53">
        <f>F48-F52</f>
        <v>0</v>
      </c>
      <c r="G53" s="53">
        <f>G48-G52</f>
        <v>0</v>
      </c>
      <c r="H53" s="53">
        <f>H48-H52</f>
        <v>0</v>
      </c>
    </row>
    <row r="54" spans="1:8" ht="15.5" x14ac:dyDescent="0.35">
      <c r="A54" s="55" t="s">
        <v>189</v>
      </c>
      <c r="B54" s="56"/>
      <c r="C54" s="57"/>
      <c r="D54" s="58" t="e">
        <f>D46/D53</f>
        <v>#DIV/0!</v>
      </c>
      <c r="E54" s="58" t="e">
        <f>E46/E53</f>
        <v>#DIV/0!</v>
      </c>
      <c r="F54" s="58" t="e">
        <f>F46/F53</f>
        <v>#DIV/0!</v>
      </c>
      <c r="G54" s="58" t="e">
        <f>G46/G53</f>
        <v>#DIV/0!</v>
      </c>
      <c r="H54" s="58" t="e">
        <f>H46/H53</f>
        <v>#DIV/0!</v>
      </c>
    </row>
    <row r="69" spans="1:8" ht="15.5" x14ac:dyDescent="0.35">
      <c r="A69" s="31" t="s">
        <v>125</v>
      </c>
    </row>
    <row r="70" spans="1:8" ht="15.5" x14ac:dyDescent="0.35">
      <c r="A70" s="39"/>
      <c r="B70" s="41"/>
      <c r="C70" s="27"/>
      <c r="D70" s="45">
        <v>2001</v>
      </c>
      <c r="E70" s="45">
        <v>2002</v>
      </c>
      <c r="F70" s="45">
        <v>2003</v>
      </c>
      <c r="G70" s="45">
        <v>2004</v>
      </c>
      <c r="H70" s="45">
        <v>2005</v>
      </c>
    </row>
    <row r="71" spans="1:8" ht="15.5" x14ac:dyDescent="0.35">
      <c r="A71" s="46" t="s">
        <v>126</v>
      </c>
      <c r="B71" s="12"/>
      <c r="C71" s="28"/>
      <c r="D71" s="9" t="e">
        <f>D19</f>
        <v>#DIV/0!</v>
      </c>
      <c r="E71" s="9" t="e">
        <f>E19</f>
        <v>#DIV/0!</v>
      </c>
      <c r="F71" s="9" t="e">
        <f>F19</f>
        <v>#DIV/0!</v>
      </c>
      <c r="G71" s="9" t="e">
        <f>G19</f>
        <v>#DIV/0!</v>
      </c>
      <c r="H71" s="9" t="e">
        <f>H19</f>
        <v>#DIV/0!</v>
      </c>
    </row>
    <row r="72" spans="1:8" ht="15.5" x14ac:dyDescent="0.35">
      <c r="A72" s="50" t="s">
        <v>110</v>
      </c>
      <c r="B72" s="14"/>
      <c r="C72" s="29"/>
      <c r="D72" s="8">
        <f>D48</f>
        <v>0</v>
      </c>
      <c r="E72" s="8">
        <f>E48</f>
        <v>0</v>
      </c>
      <c r="F72" s="8">
        <f>F48</f>
        <v>0</v>
      </c>
      <c r="G72" s="8">
        <f>G48</f>
        <v>0</v>
      </c>
      <c r="H72" s="8">
        <f>H48</f>
        <v>0</v>
      </c>
    </row>
    <row r="73" spans="1:8" x14ac:dyDescent="0.25">
      <c r="A73" s="13"/>
      <c r="B73" s="14"/>
      <c r="C73" s="29"/>
      <c r="D73" s="8"/>
      <c r="E73" s="8"/>
      <c r="F73" s="8"/>
      <c r="G73" s="8"/>
      <c r="H73" s="8"/>
    </row>
    <row r="74" spans="1:8" ht="15.5" x14ac:dyDescent="0.35">
      <c r="A74" s="55" t="s">
        <v>127</v>
      </c>
      <c r="B74" s="22"/>
      <c r="C74" s="40"/>
      <c r="D74" s="10" t="e">
        <f>D71*D72</f>
        <v>#DIV/0!</v>
      </c>
      <c r="E74" s="10" t="e">
        <f>E71*E72</f>
        <v>#DIV/0!</v>
      </c>
      <c r="F74" s="10" t="e">
        <f>F71*F72</f>
        <v>#DIV/0!</v>
      </c>
      <c r="G74" s="10" t="e">
        <f>G71*G72</f>
        <v>#DIV/0!</v>
      </c>
      <c r="H74" s="10" t="e">
        <f>H71*H72</f>
        <v>#DIV/0!</v>
      </c>
    </row>
    <row r="79" spans="1:8" ht="15.5" x14ac:dyDescent="0.35">
      <c r="A79" s="31" t="s">
        <v>190</v>
      </c>
    </row>
    <row r="80" spans="1:8" ht="15.5" x14ac:dyDescent="0.35">
      <c r="A80" s="42"/>
      <c r="B80" s="43"/>
      <c r="C80" s="44"/>
      <c r="D80" s="45">
        <v>2001</v>
      </c>
      <c r="E80" s="45">
        <v>2002</v>
      </c>
      <c r="F80" s="45">
        <v>2003</v>
      </c>
      <c r="G80" s="45">
        <v>2004</v>
      </c>
      <c r="H80" s="45">
        <v>2005</v>
      </c>
    </row>
    <row r="81" spans="1:8" ht="15.5" x14ac:dyDescent="0.35">
      <c r="A81" s="46" t="s">
        <v>117</v>
      </c>
      <c r="B81" s="47"/>
      <c r="C81" s="48"/>
      <c r="D81" s="49"/>
      <c r="E81" s="49"/>
      <c r="F81" s="49"/>
      <c r="G81" s="49"/>
      <c r="H81" s="49"/>
    </row>
    <row r="82" spans="1:8" ht="15.5" x14ac:dyDescent="0.35">
      <c r="A82" s="50"/>
      <c r="B82" s="51" t="s">
        <v>113</v>
      </c>
      <c r="C82" s="52"/>
      <c r="D82" s="53"/>
      <c r="E82" s="53"/>
      <c r="F82" s="53"/>
      <c r="G82" s="53"/>
      <c r="H82" s="53"/>
    </row>
    <row r="83" spans="1:8" ht="15.5" x14ac:dyDescent="0.35">
      <c r="A83" s="50"/>
      <c r="B83" s="51" t="s">
        <v>147</v>
      </c>
      <c r="C83" s="52"/>
      <c r="D83" s="53"/>
      <c r="E83" s="53"/>
      <c r="F83" s="53"/>
      <c r="G83" s="53"/>
      <c r="H83" s="53"/>
    </row>
    <row r="84" spans="1:8" ht="15.5" x14ac:dyDescent="0.35">
      <c r="A84" s="50"/>
      <c r="B84" s="51" t="s">
        <v>121</v>
      </c>
      <c r="C84" s="52"/>
      <c r="D84" s="53"/>
      <c r="E84" s="53"/>
      <c r="F84" s="53"/>
      <c r="G84" s="53"/>
      <c r="H84" s="53"/>
    </row>
    <row r="85" spans="1:8" ht="15.5" x14ac:dyDescent="0.35">
      <c r="A85" s="50"/>
      <c r="B85" s="51" t="s">
        <v>114</v>
      </c>
      <c r="C85" s="52"/>
      <c r="D85" s="53"/>
      <c r="E85" s="53"/>
      <c r="F85" s="53"/>
      <c r="G85" s="53"/>
      <c r="H85" s="53"/>
    </row>
    <row r="86" spans="1:8" ht="15.5" x14ac:dyDescent="0.35">
      <c r="A86" s="50"/>
      <c r="B86" s="51" t="s">
        <v>115</v>
      </c>
      <c r="C86" s="52"/>
      <c r="D86" s="53"/>
      <c r="E86" s="53"/>
      <c r="F86" s="53"/>
      <c r="G86" s="53"/>
      <c r="H86" s="53"/>
    </row>
    <row r="87" spans="1:8" ht="15.5" x14ac:dyDescent="0.35">
      <c r="A87" s="50"/>
      <c r="B87" s="51" t="s">
        <v>100</v>
      </c>
      <c r="C87" s="52"/>
      <c r="D87" s="54"/>
      <c r="E87" s="54"/>
      <c r="F87" s="54"/>
      <c r="G87" s="54"/>
      <c r="H87" s="54"/>
    </row>
    <row r="88" spans="1:8" ht="15.5" x14ac:dyDescent="0.35">
      <c r="A88" s="50" t="s">
        <v>116</v>
      </c>
      <c r="B88" s="51"/>
      <c r="C88" s="52"/>
      <c r="D88" s="53">
        <f>SUM(D82:D87)</f>
        <v>0</v>
      </c>
      <c r="E88" s="53">
        <f>SUM(E82:E87)</f>
        <v>0</v>
      </c>
      <c r="F88" s="53">
        <f>SUM(F82:F87)</f>
        <v>0</v>
      </c>
      <c r="G88" s="53">
        <f>SUM(G82:G87)</f>
        <v>0</v>
      </c>
      <c r="H88" s="53">
        <f>SUM(H82:H87)</f>
        <v>0</v>
      </c>
    </row>
    <row r="89" spans="1:8" ht="15.5" x14ac:dyDescent="0.35">
      <c r="A89" s="50" t="s">
        <v>111</v>
      </c>
      <c r="B89" s="51"/>
      <c r="C89" s="52"/>
      <c r="D89" s="53"/>
      <c r="E89" s="53"/>
      <c r="F89" s="53"/>
      <c r="G89" s="53"/>
      <c r="H89" s="53"/>
    </row>
    <row r="90" spans="1:8" ht="15.5" x14ac:dyDescent="0.35">
      <c r="A90" s="50" t="s">
        <v>128</v>
      </c>
      <c r="B90" s="51"/>
      <c r="C90" s="52"/>
      <c r="D90" s="54"/>
      <c r="E90" s="54"/>
      <c r="F90" s="54"/>
      <c r="G90" s="54"/>
      <c r="H90" s="54"/>
    </row>
    <row r="91" spans="1:8" ht="15.5" x14ac:dyDescent="0.35">
      <c r="A91" s="61" t="s">
        <v>178</v>
      </c>
      <c r="B91" s="51"/>
      <c r="C91" s="52"/>
      <c r="D91" s="59">
        <f>D98</f>
        <v>0</v>
      </c>
      <c r="E91" s="59"/>
      <c r="F91" s="59"/>
      <c r="G91" s="59"/>
      <c r="H91" s="59"/>
    </row>
    <row r="92" spans="1:8" ht="18.5" x14ac:dyDescent="0.65">
      <c r="A92" s="50" t="s">
        <v>26</v>
      </c>
      <c r="B92" s="51"/>
      <c r="C92" s="52"/>
      <c r="D92" s="60"/>
      <c r="E92" s="60"/>
      <c r="F92" s="60"/>
      <c r="G92" s="60"/>
      <c r="H92" s="60"/>
    </row>
    <row r="93" spans="1:8" ht="15.5" x14ac:dyDescent="0.35">
      <c r="A93" s="50"/>
      <c r="B93" s="51"/>
      <c r="C93" s="52"/>
      <c r="D93" s="54" t="e">
        <f>D91/D92</f>
        <v>#DIV/0!</v>
      </c>
      <c r="E93" s="54" t="e">
        <f>E91/E92</f>
        <v>#DIV/0!</v>
      </c>
      <c r="F93" s="54" t="e">
        <f>F91/F92</f>
        <v>#DIV/0!</v>
      </c>
      <c r="G93" s="54" t="e">
        <f>G91/G92</f>
        <v>#DIV/0!</v>
      </c>
      <c r="H93" s="54" t="e">
        <f>H91/H92</f>
        <v>#DIV/0!</v>
      </c>
    </row>
    <row r="94" spans="1:8" ht="15.5" x14ac:dyDescent="0.35">
      <c r="A94" s="55" t="s">
        <v>129</v>
      </c>
      <c r="B94" s="56"/>
      <c r="C94" s="57"/>
      <c r="D94" s="58" t="e">
        <f>D88/D93</f>
        <v>#DIV/0!</v>
      </c>
      <c r="E94" s="58" t="e">
        <f>E88/E93</f>
        <v>#DIV/0!</v>
      </c>
      <c r="F94" s="58" t="e">
        <f>F88/F93</f>
        <v>#DIV/0!</v>
      </c>
      <c r="G94" s="58" t="e">
        <f>G88/G93</f>
        <v>#DIV/0!</v>
      </c>
      <c r="H94" s="58" t="e">
        <f>H88/H93</f>
        <v>#DIV/0!</v>
      </c>
    </row>
    <row r="96" spans="1:8" ht="15.5" x14ac:dyDescent="0.35">
      <c r="A96" s="62" t="s">
        <v>179</v>
      </c>
      <c r="B96" s="62"/>
      <c r="C96" s="62" t="s">
        <v>180</v>
      </c>
      <c r="D96" s="62"/>
      <c r="E96" s="62"/>
      <c r="F96" s="62"/>
      <c r="G96" s="62"/>
      <c r="H96" s="62"/>
    </row>
    <row r="97" spans="1:8" ht="15.5" x14ac:dyDescent="0.35">
      <c r="A97" s="62"/>
      <c r="B97" s="63"/>
      <c r="C97" s="64" t="s">
        <v>191</v>
      </c>
      <c r="D97" s="65"/>
      <c r="E97" s="65"/>
      <c r="F97" s="65"/>
      <c r="G97" s="65"/>
      <c r="H97" s="65"/>
    </row>
    <row r="98" spans="1:8" ht="15.5" x14ac:dyDescent="0.35">
      <c r="A98" s="62"/>
      <c r="B98" s="62"/>
      <c r="C98" s="62"/>
      <c r="D98" s="62">
        <f>D96-D97</f>
        <v>0</v>
      </c>
      <c r="E98" s="62">
        <f>E96-E97</f>
        <v>0</v>
      </c>
      <c r="F98" s="62">
        <f>F96-F97</f>
        <v>0</v>
      </c>
      <c r="G98" s="62">
        <f>G96-G97</f>
        <v>0</v>
      </c>
      <c r="H98" s="62">
        <f>H96-H97</f>
        <v>0</v>
      </c>
    </row>
    <row r="100" spans="1:8" ht="15.5" x14ac:dyDescent="0.35">
      <c r="A100" s="62" t="s">
        <v>196</v>
      </c>
      <c r="C100" s="62" t="s">
        <v>192</v>
      </c>
    </row>
    <row r="101" spans="1:8" ht="15.5" x14ac:dyDescent="0.35">
      <c r="A101" s="62" t="s">
        <v>197</v>
      </c>
      <c r="C101" s="64" t="s">
        <v>193</v>
      </c>
    </row>
  </sheetData>
  <phoneticPr fontId="0" type="noConversion"/>
  <pageMargins left="0.51" right="0.32" top="1" bottom="0.8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A11" sqref="A11"/>
    </sheetView>
  </sheetViews>
  <sheetFormatPr defaultRowHeight="12.5" x14ac:dyDescent="0.25"/>
  <cols>
    <col min="1" max="1" width="29.26953125" customWidth="1"/>
    <col min="2" max="3" width="13.26953125" customWidth="1"/>
    <col min="4" max="4" width="12.1796875" customWidth="1"/>
    <col min="5" max="5" width="12.81640625" customWidth="1"/>
    <col min="6" max="6" width="12.453125" customWidth="1"/>
  </cols>
  <sheetData>
    <row r="1" spans="1:6" ht="15.5" x14ac:dyDescent="0.35">
      <c r="A1" s="31" t="s">
        <v>60</v>
      </c>
    </row>
    <row r="3" spans="1:6" ht="15.5" x14ac:dyDescent="0.35">
      <c r="A3" s="45" t="s">
        <v>69</v>
      </c>
      <c r="B3" s="45">
        <v>2001</v>
      </c>
      <c r="C3" s="45">
        <v>2002</v>
      </c>
      <c r="D3" s="45">
        <v>2003</v>
      </c>
      <c r="E3" s="45">
        <v>2004</v>
      </c>
      <c r="F3" s="45">
        <v>2005</v>
      </c>
    </row>
    <row r="4" spans="1:6" ht="18.5" x14ac:dyDescent="0.65">
      <c r="A4" s="83" t="s">
        <v>57</v>
      </c>
      <c r="B4" s="84">
        <f>'Income Statement'!C9</f>
        <v>0</v>
      </c>
      <c r="C4" s="84">
        <f>'Income Statement'!D9</f>
        <v>0</v>
      </c>
      <c r="D4" s="84">
        <f>'Income Statement'!E9</f>
        <v>0</v>
      </c>
      <c r="E4" s="84">
        <f>'Income Statement'!F9</f>
        <v>0</v>
      </c>
      <c r="F4" s="84">
        <f>'Income Statement'!G9</f>
        <v>0</v>
      </c>
    </row>
    <row r="5" spans="1:6" ht="15.5" x14ac:dyDescent="0.35">
      <c r="A5" s="53" t="s">
        <v>58</v>
      </c>
      <c r="B5" s="59"/>
      <c r="C5" s="59">
        <f>'Income Statement'!C9</f>
        <v>0</v>
      </c>
      <c r="D5" s="59">
        <f>'Income Statement'!D9</f>
        <v>0</v>
      </c>
      <c r="E5" s="59">
        <f>'Income Statement'!E9</f>
        <v>0</v>
      </c>
      <c r="F5" s="59">
        <f>'Income Statement'!F9</f>
        <v>0</v>
      </c>
    </row>
    <row r="6" spans="1:6" ht="15.5" x14ac:dyDescent="0.35">
      <c r="A6" s="53"/>
      <c r="B6" s="59" t="e">
        <f>B4/B5</f>
        <v>#DIV/0!</v>
      </c>
      <c r="C6" s="59" t="e">
        <f>C4/C5</f>
        <v>#DIV/0!</v>
      </c>
      <c r="D6" s="59" t="e">
        <f>D4/D5</f>
        <v>#DIV/0!</v>
      </c>
      <c r="E6" s="59" t="e">
        <f>E4/E5</f>
        <v>#DIV/0!</v>
      </c>
      <c r="F6" s="59" t="e">
        <f>F4/F5</f>
        <v>#DIV/0!</v>
      </c>
    </row>
    <row r="7" spans="1:6" ht="15.5" x14ac:dyDescent="0.35">
      <c r="A7" s="53" t="s">
        <v>59</v>
      </c>
      <c r="B7" s="59" t="e">
        <f>B6-1</f>
        <v>#DIV/0!</v>
      </c>
      <c r="C7" s="59" t="e">
        <f>C6-1</f>
        <v>#DIV/0!</v>
      </c>
      <c r="D7" s="59" t="e">
        <f>D6-1</f>
        <v>#DIV/0!</v>
      </c>
      <c r="E7" s="59" t="e">
        <f>E6-1</f>
        <v>#DIV/0!</v>
      </c>
      <c r="F7" s="59" t="e">
        <f>F6-1</f>
        <v>#DIV/0!</v>
      </c>
    </row>
    <row r="8" spans="1:6" ht="15.5" x14ac:dyDescent="0.35">
      <c r="A8" s="53"/>
      <c r="B8" s="53"/>
      <c r="C8" s="53"/>
      <c r="D8" s="53"/>
      <c r="E8" s="53"/>
      <c r="F8" s="53"/>
    </row>
    <row r="9" spans="1:6" ht="15.5" x14ac:dyDescent="0.35">
      <c r="A9" s="58" t="s">
        <v>68</v>
      </c>
      <c r="B9" s="85" t="e">
        <f>B7</f>
        <v>#DIV/0!</v>
      </c>
      <c r="C9" s="85" t="e">
        <f>C7</f>
        <v>#DIV/0!</v>
      </c>
      <c r="D9" s="85" t="e">
        <f>D7</f>
        <v>#DIV/0!</v>
      </c>
      <c r="E9" s="85" t="e">
        <f>E7</f>
        <v>#DIV/0!</v>
      </c>
      <c r="F9" s="85" t="e">
        <f>F7</f>
        <v>#DIV/0!</v>
      </c>
    </row>
    <row r="11" spans="1:6" ht="15.5" x14ac:dyDescent="0.35">
      <c r="A11" s="62" t="s">
        <v>187</v>
      </c>
    </row>
    <row r="12" spans="1:6" ht="15.5" x14ac:dyDescent="0.35">
      <c r="A12" s="62"/>
    </row>
    <row r="13" spans="1:6" ht="15.5" x14ac:dyDescent="0.35">
      <c r="A13" s="62" t="s">
        <v>198</v>
      </c>
    </row>
    <row r="14" spans="1:6" ht="15.5" x14ac:dyDescent="0.35">
      <c r="A14" s="31" t="s">
        <v>201</v>
      </c>
    </row>
    <row r="15" spans="1:6" ht="15.5" x14ac:dyDescent="0.35">
      <c r="A15" s="62"/>
    </row>
    <row r="16" spans="1:6" ht="15.5" x14ac:dyDescent="0.35">
      <c r="A16" s="62" t="s">
        <v>200</v>
      </c>
    </row>
    <row r="17" spans="1:1" ht="15.5" x14ac:dyDescent="0.35">
      <c r="A17" s="31" t="s">
        <v>199</v>
      </c>
    </row>
  </sheetData>
  <phoneticPr fontId="0" type="noConversion"/>
  <pageMargins left="0.55000000000000004" right="0.6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opLeftCell="A9" workbookViewId="0">
      <selection activeCell="A23" sqref="A23"/>
    </sheetView>
  </sheetViews>
  <sheetFormatPr defaultRowHeight="12.5" x14ac:dyDescent="0.25"/>
  <cols>
    <col min="2" max="2" width="22.54296875" customWidth="1"/>
    <col min="3" max="3" width="12" customWidth="1"/>
    <col min="4" max="5" width="11.7265625" customWidth="1"/>
    <col min="6" max="6" width="11.26953125" customWidth="1"/>
    <col min="7" max="7" width="12.1796875" customWidth="1"/>
  </cols>
  <sheetData>
    <row r="1" spans="1:7" ht="15.5" x14ac:dyDescent="0.35">
      <c r="A1" s="31" t="s">
        <v>67</v>
      </c>
    </row>
    <row r="2" spans="1:7" ht="13" x14ac:dyDescent="0.3">
      <c r="A2" s="3"/>
    </row>
    <row r="3" spans="1:7" ht="15.5" x14ac:dyDescent="0.35">
      <c r="A3" s="101" t="s">
        <v>70</v>
      </c>
      <c r="B3" s="102"/>
      <c r="C3" s="45">
        <v>2001</v>
      </c>
      <c r="D3" s="45">
        <v>2002</v>
      </c>
      <c r="E3" s="45">
        <v>2003</v>
      </c>
      <c r="F3" s="45">
        <v>2004</v>
      </c>
      <c r="G3" s="45">
        <v>2005</v>
      </c>
    </row>
    <row r="4" spans="1:7" ht="15.5" x14ac:dyDescent="0.35">
      <c r="A4" s="88" t="s">
        <v>0</v>
      </c>
      <c r="B4" s="88"/>
      <c r="C4" s="89"/>
      <c r="D4" s="89"/>
      <c r="E4" s="89"/>
      <c r="F4" s="89"/>
      <c r="G4" s="89"/>
    </row>
    <row r="5" spans="1:7" ht="15.5" x14ac:dyDescent="0.35">
      <c r="A5" s="50"/>
      <c r="B5" s="90" t="s">
        <v>51</v>
      </c>
      <c r="C5" s="59">
        <f>'Income Statement'!C49</f>
        <v>0</v>
      </c>
      <c r="D5" s="59">
        <f>'Income Statement'!D49</f>
        <v>0</v>
      </c>
      <c r="E5" s="59">
        <f>'Income Statement'!E49</f>
        <v>0</v>
      </c>
      <c r="F5" s="59">
        <f>'Income Statement'!F49</f>
        <v>0</v>
      </c>
      <c r="G5" s="59">
        <f>'Income Statement'!G49</f>
        <v>0</v>
      </c>
    </row>
    <row r="6" spans="1:7" ht="15.5" x14ac:dyDescent="0.35">
      <c r="A6" s="50"/>
      <c r="B6" s="51" t="s">
        <v>26</v>
      </c>
      <c r="C6" s="59">
        <f>'Income Statement'!C9</f>
        <v>0</v>
      </c>
      <c r="D6" s="59">
        <f>'Income Statement'!D9</f>
        <v>0</v>
      </c>
      <c r="E6" s="59">
        <f>'Income Statement'!E9</f>
        <v>0</v>
      </c>
      <c r="F6" s="59">
        <f>'Income Statement'!F9</f>
        <v>0</v>
      </c>
      <c r="G6" s="59">
        <f>'Income Statement'!G9</f>
        <v>0</v>
      </c>
    </row>
    <row r="7" spans="1:7" ht="15.5" x14ac:dyDescent="0.35">
      <c r="A7" s="91"/>
      <c r="B7" s="92"/>
      <c r="C7" s="93" t="e">
        <f>C5/C6</f>
        <v>#DIV/0!</v>
      </c>
      <c r="D7" s="93" t="e">
        <f>D5/D6</f>
        <v>#DIV/0!</v>
      </c>
      <c r="E7" s="93" t="e">
        <f>E5/E6</f>
        <v>#DIV/0!</v>
      </c>
      <c r="F7" s="93" t="e">
        <f>F5/F6</f>
        <v>#DIV/0!</v>
      </c>
      <c r="G7" s="93" t="e">
        <f>G5/G6</f>
        <v>#DIV/0!</v>
      </c>
    </row>
    <row r="8" spans="1:7" ht="15.5" x14ac:dyDescent="0.35">
      <c r="A8" s="46"/>
      <c r="B8" s="47"/>
      <c r="C8" s="86"/>
      <c r="D8" s="86"/>
      <c r="E8" s="86"/>
      <c r="F8" s="86"/>
      <c r="G8" s="86"/>
    </row>
    <row r="9" spans="1:7" ht="15.5" x14ac:dyDescent="0.35">
      <c r="A9" s="94" t="s">
        <v>1</v>
      </c>
      <c r="B9" s="51"/>
      <c r="C9" s="95">
        <v>1</v>
      </c>
      <c r="D9" s="95">
        <v>1</v>
      </c>
      <c r="E9" s="95">
        <v>1</v>
      </c>
      <c r="F9" s="95">
        <v>1</v>
      </c>
      <c r="G9" s="95">
        <v>1</v>
      </c>
    </row>
    <row r="10" spans="1:7" ht="15.5" x14ac:dyDescent="0.35">
      <c r="A10" s="91"/>
      <c r="B10" s="92"/>
      <c r="C10" s="96"/>
      <c r="D10" s="96"/>
      <c r="E10" s="96"/>
      <c r="F10" s="96"/>
      <c r="G10" s="96"/>
    </row>
    <row r="11" spans="1:7" ht="15.5" x14ac:dyDescent="0.35">
      <c r="A11" s="97" t="s">
        <v>45</v>
      </c>
      <c r="B11" s="47"/>
      <c r="C11" s="86"/>
      <c r="D11" s="86"/>
      <c r="E11" s="86"/>
      <c r="F11" s="86"/>
      <c r="G11" s="86"/>
    </row>
    <row r="12" spans="1:7" ht="18.5" x14ac:dyDescent="0.65">
      <c r="A12" s="50"/>
      <c r="B12" s="90" t="s">
        <v>26</v>
      </c>
      <c r="C12" s="60">
        <f>'Income Statement'!C9</f>
        <v>0</v>
      </c>
      <c r="D12" s="60">
        <f>'Income Statement'!D9</f>
        <v>0</v>
      </c>
      <c r="E12" s="60">
        <f>'Income Statement'!E9</f>
        <v>0</v>
      </c>
      <c r="F12" s="60">
        <f>'Income Statement'!F9</f>
        <v>0</v>
      </c>
      <c r="G12" s="60">
        <f>'Income Statement'!G9</f>
        <v>0</v>
      </c>
    </row>
    <row r="13" spans="1:7" ht="15.5" x14ac:dyDescent="0.35">
      <c r="A13" s="50"/>
      <c r="B13" s="51" t="s">
        <v>56</v>
      </c>
      <c r="C13" s="59">
        <f>'Balance Sheet'!C24</f>
        <v>0</v>
      </c>
      <c r="D13" s="59">
        <f>'Balance Sheet'!D24</f>
        <v>0</v>
      </c>
      <c r="E13" s="59">
        <f>'Balance Sheet'!E24</f>
        <v>0</v>
      </c>
      <c r="F13" s="59">
        <f>'Balance Sheet'!F24</f>
        <v>0</v>
      </c>
      <c r="G13" s="59">
        <f>'Balance Sheet'!G24</f>
        <v>0</v>
      </c>
    </row>
    <row r="14" spans="1:7" ht="15.5" x14ac:dyDescent="0.35">
      <c r="A14" s="55"/>
      <c r="B14" s="56"/>
      <c r="C14" s="93" t="e">
        <f>C12/C13</f>
        <v>#DIV/0!</v>
      </c>
      <c r="D14" s="93" t="e">
        <f>D12/D13</f>
        <v>#DIV/0!</v>
      </c>
      <c r="E14" s="93" t="e">
        <f>E12/E13</f>
        <v>#DIV/0!</v>
      </c>
      <c r="F14" s="93" t="e">
        <f>F12/F13</f>
        <v>#DIV/0!</v>
      </c>
      <c r="G14" s="93" t="e">
        <f>G12/G13</f>
        <v>#DIV/0!</v>
      </c>
    </row>
    <row r="15" spans="1:7" ht="15.5" x14ac:dyDescent="0.35">
      <c r="A15" s="94" t="s">
        <v>47</v>
      </c>
      <c r="B15" s="51"/>
      <c r="C15" s="59"/>
      <c r="D15" s="59"/>
      <c r="E15" s="59"/>
      <c r="F15" s="59"/>
      <c r="G15" s="59"/>
    </row>
    <row r="16" spans="1:7" ht="18.5" x14ac:dyDescent="0.65">
      <c r="A16" s="50"/>
      <c r="B16" s="90" t="s">
        <v>35</v>
      </c>
      <c r="C16" s="60">
        <f>'Balance Sheet'!C24</f>
        <v>0</v>
      </c>
      <c r="D16" s="60">
        <f>'Balance Sheet'!D24</f>
        <v>0</v>
      </c>
      <c r="E16" s="60">
        <f>'Balance Sheet'!E24</f>
        <v>0</v>
      </c>
      <c r="F16" s="60">
        <f>'Balance Sheet'!F24</f>
        <v>0</v>
      </c>
      <c r="G16" s="60">
        <f>'Balance Sheet'!G24</f>
        <v>0</v>
      </c>
    </row>
    <row r="17" spans="1:7" ht="15.5" x14ac:dyDescent="0.35">
      <c r="A17" s="50"/>
      <c r="B17" s="51" t="s">
        <v>46</v>
      </c>
      <c r="C17" s="59">
        <f>'Balance Sheet'!C44</f>
        <v>0</v>
      </c>
      <c r="D17" s="59">
        <f>'Balance Sheet'!D44</f>
        <v>0</v>
      </c>
      <c r="E17" s="59">
        <f>'Balance Sheet'!E44</f>
        <v>0</v>
      </c>
      <c r="F17" s="59">
        <f>'Balance Sheet'!F44</f>
        <v>0</v>
      </c>
      <c r="G17" s="59">
        <f>'Balance Sheet'!G44</f>
        <v>0</v>
      </c>
    </row>
    <row r="18" spans="1:7" ht="15.5" x14ac:dyDescent="0.35">
      <c r="A18" s="55"/>
      <c r="B18" s="56"/>
      <c r="C18" s="93" t="e">
        <f>C16/C17</f>
        <v>#DIV/0!</v>
      </c>
      <c r="D18" s="93" t="e">
        <f>D16/D17</f>
        <v>#DIV/0!</v>
      </c>
      <c r="E18" s="93" t="e">
        <f>E16/E17</f>
        <v>#DIV/0!</v>
      </c>
      <c r="F18" s="93" t="e">
        <f>F16/F17</f>
        <v>#DIV/0!</v>
      </c>
      <c r="G18" s="93" t="e">
        <f>G16/G17</f>
        <v>#DIV/0!</v>
      </c>
    </row>
    <row r="19" spans="1:7" ht="15.5" x14ac:dyDescent="0.35">
      <c r="A19" s="62"/>
      <c r="B19" s="62"/>
      <c r="C19" s="62"/>
      <c r="D19" s="62"/>
      <c r="E19" s="62"/>
      <c r="F19" s="62"/>
      <c r="G19" s="62"/>
    </row>
    <row r="20" spans="1:7" ht="15.5" x14ac:dyDescent="0.35">
      <c r="A20" s="31" t="s">
        <v>204</v>
      </c>
      <c r="B20" s="62"/>
      <c r="C20" s="62"/>
      <c r="D20" s="62"/>
      <c r="E20" s="62"/>
      <c r="F20" s="62"/>
      <c r="G20" s="62"/>
    </row>
    <row r="21" spans="1:7" ht="15.5" x14ac:dyDescent="0.35">
      <c r="A21" s="62"/>
      <c r="B21" s="62"/>
      <c r="C21" s="62"/>
      <c r="D21" s="62"/>
      <c r="E21" s="62"/>
      <c r="F21" s="62"/>
      <c r="G21" s="62"/>
    </row>
    <row r="22" spans="1:7" ht="15.5" x14ac:dyDescent="0.35">
      <c r="A22" s="62" t="s">
        <v>203</v>
      </c>
    </row>
    <row r="23" spans="1:7" ht="15.5" x14ac:dyDescent="0.35">
      <c r="A23" s="62" t="s">
        <v>202</v>
      </c>
    </row>
  </sheetData>
  <mergeCells count="1">
    <mergeCell ref="A3:B3"/>
  </mergeCells>
  <phoneticPr fontId="0" type="noConversion"/>
  <pageMargins left="0.74" right="0.56000000000000005" top="1" bottom="1" header="0.55000000000000004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D20" sqref="D20"/>
    </sheetView>
  </sheetViews>
  <sheetFormatPr defaultRowHeight="12.5" x14ac:dyDescent="0.25"/>
  <cols>
    <col min="1" max="1" width="28.453125" customWidth="1"/>
    <col min="2" max="6" width="10.7265625" customWidth="1"/>
  </cols>
  <sheetData>
    <row r="1" spans="1:9" ht="15.5" x14ac:dyDescent="0.35">
      <c r="A1" s="31" t="s">
        <v>61</v>
      </c>
    </row>
    <row r="3" spans="1:9" ht="15.5" x14ac:dyDescent="0.35">
      <c r="A3" s="45" t="s">
        <v>69</v>
      </c>
      <c r="B3" s="45">
        <v>2001</v>
      </c>
      <c r="C3" s="45">
        <v>2002</v>
      </c>
      <c r="D3" s="45">
        <v>2003</v>
      </c>
      <c r="E3" s="45">
        <v>2004</v>
      </c>
      <c r="F3" s="45">
        <v>2005</v>
      </c>
      <c r="G3" s="62"/>
      <c r="H3" s="62"/>
      <c r="I3" s="62"/>
    </row>
    <row r="4" spans="1:9" ht="15.5" x14ac:dyDescent="0.35">
      <c r="A4" s="49" t="s">
        <v>64</v>
      </c>
      <c r="B4" s="86">
        <f>Calculations!C9</f>
        <v>1</v>
      </c>
      <c r="C4" s="86">
        <v>1</v>
      </c>
      <c r="D4" s="86">
        <v>1</v>
      </c>
      <c r="E4" s="86">
        <v>1</v>
      </c>
      <c r="F4" s="86">
        <f>Calculations!G9</f>
        <v>1</v>
      </c>
      <c r="G4" s="62"/>
      <c r="H4" s="62"/>
      <c r="I4" s="62"/>
    </row>
    <row r="5" spans="1:9" ht="18.5" x14ac:dyDescent="0.65">
      <c r="A5" s="53" t="s">
        <v>3</v>
      </c>
      <c r="B5" s="60" t="e">
        <f>Calculations!C18</f>
        <v>#DIV/0!</v>
      </c>
      <c r="C5" s="60" t="e">
        <f>Calculations!D18</f>
        <v>#DIV/0!</v>
      </c>
      <c r="D5" s="60" t="e">
        <f>Calculations!E18</f>
        <v>#DIV/0!</v>
      </c>
      <c r="E5" s="60" t="e">
        <f>Calculations!F18</f>
        <v>#DIV/0!</v>
      </c>
      <c r="F5" s="60" t="e">
        <f>Calculations!G18</f>
        <v>#DIV/0!</v>
      </c>
      <c r="G5" s="62"/>
      <c r="H5" s="62"/>
      <c r="I5" s="62"/>
    </row>
    <row r="6" spans="1:9" ht="15.5" x14ac:dyDescent="0.35">
      <c r="A6" s="53"/>
      <c r="B6" s="59" t="e">
        <f>B4*B5</f>
        <v>#DIV/0!</v>
      </c>
      <c r="C6" s="59" t="e">
        <f>C4*C5</f>
        <v>#DIV/0!</v>
      </c>
      <c r="D6" s="59" t="e">
        <f>D4*D5</f>
        <v>#DIV/0!</v>
      </c>
      <c r="E6" s="59" t="e">
        <f>E4*E5</f>
        <v>#DIV/0!</v>
      </c>
      <c r="F6" s="59" t="e">
        <f>F4*F5</f>
        <v>#DIV/0!</v>
      </c>
      <c r="G6" s="62"/>
      <c r="H6" s="62"/>
      <c r="I6" s="62"/>
    </row>
    <row r="7" spans="1:9" ht="15.5" x14ac:dyDescent="0.35">
      <c r="A7" s="53"/>
      <c r="B7" s="59"/>
      <c r="C7" s="59"/>
      <c r="D7" s="59"/>
      <c r="E7" s="59"/>
      <c r="F7" s="59"/>
      <c r="G7" s="62"/>
      <c r="H7" s="62"/>
      <c r="I7" s="62"/>
    </row>
    <row r="8" spans="1:9" ht="15.5" x14ac:dyDescent="0.35">
      <c r="A8" s="53" t="s">
        <v>0</v>
      </c>
      <c r="B8" s="59" t="e">
        <f>Calculations!C7</f>
        <v>#DIV/0!</v>
      </c>
      <c r="C8" s="59" t="e">
        <f>Calculations!D7</f>
        <v>#DIV/0!</v>
      </c>
      <c r="D8" s="59" t="e">
        <f>Calculations!E7</f>
        <v>#DIV/0!</v>
      </c>
      <c r="E8" s="59" t="e">
        <f>Calculations!F7</f>
        <v>#DIV/0!</v>
      </c>
      <c r="F8" s="59" t="e">
        <f>Calculations!G7</f>
        <v>#DIV/0!</v>
      </c>
      <c r="G8" s="62"/>
      <c r="H8" s="62"/>
      <c r="I8" s="62"/>
    </row>
    <row r="9" spans="1:9" ht="18.5" x14ac:dyDescent="0.65">
      <c r="A9" s="53" t="s">
        <v>2</v>
      </c>
      <c r="B9" s="60" t="e">
        <f>Calculations!C14</f>
        <v>#DIV/0!</v>
      </c>
      <c r="C9" s="60" t="e">
        <f>Calculations!D14</f>
        <v>#DIV/0!</v>
      </c>
      <c r="D9" s="60" t="e">
        <f>Calculations!E14</f>
        <v>#DIV/0!</v>
      </c>
      <c r="E9" s="60" t="e">
        <f>Calculations!F14</f>
        <v>#DIV/0!</v>
      </c>
      <c r="F9" s="60" t="e">
        <f>Calculations!G14</f>
        <v>#DIV/0!</v>
      </c>
      <c r="G9" s="62"/>
      <c r="H9" s="62"/>
      <c r="I9" s="62"/>
    </row>
    <row r="10" spans="1:9" ht="15.5" x14ac:dyDescent="0.35">
      <c r="A10" s="53"/>
      <c r="B10" s="59" t="e">
        <f>B8*B9</f>
        <v>#DIV/0!</v>
      </c>
      <c r="C10" s="59" t="e">
        <f>C8*C9</f>
        <v>#DIV/0!</v>
      </c>
      <c r="D10" s="59" t="e">
        <f>D8*D9</f>
        <v>#DIV/0!</v>
      </c>
      <c r="E10" s="59" t="e">
        <f>E8*E9</f>
        <v>#DIV/0!</v>
      </c>
      <c r="F10" s="59" t="e">
        <f>F8*F9</f>
        <v>#DIV/0!</v>
      </c>
      <c r="G10" s="62"/>
      <c r="H10" s="62"/>
      <c r="I10" s="62"/>
    </row>
    <row r="11" spans="1:9" ht="15.5" x14ac:dyDescent="0.35">
      <c r="A11" s="53"/>
      <c r="B11" s="59"/>
      <c r="C11" s="59"/>
      <c r="D11" s="59"/>
      <c r="E11" s="59"/>
      <c r="F11" s="59"/>
      <c r="G11" s="62"/>
      <c r="H11" s="62"/>
      <c r="I11" s="62"/>
    </row>
    <row r="12" spans="1:9" ht="15.5" x14ac:dyDescent="0.35">
      <c r="A12" s="87" t="s">
        <v>48</v>
      </c>
      <c r="B12" s="59" t="e">
        <f>B6*B10</f>
        <v>#DIV/0!</v>
      </c>
      <c r="C12" s="59" t="e">
        <f>C6*C10</f>
        <v>#DIV/0!</v>
      </c>
      <c r="D12" s="59" t="e">
        <f>D6*D10</f>
        <v>#DIV/0!</v>
      </c>
      <c r="E12" s="59" t="e">
        <f>E6*E10</f>
        <v>#DIV/0!</v>
      </c>
      <c r="F12" s="59" t="e">
        <f>F6*F10</f>
        <v>#DIV/0!</v>
      </c>
      <c r="G12" s="62"/>
      <c r="H12" s="62"/>
      <c r="I12" s="62"/>
    </row>
    <row r="13" spans="1:9" ht="15.5" x14ac:dyDescent="0.35">
      <c r="A13" s="58"/>
      <c r="B13" s="93" t="e">
        <f>B12</f>
        <v>#DIV/0!</v>
      </c>
      <c r="C13" s="93" t="e">
        <f>C12</f>
        <v>#DIV/0!</v>
      </c>
      <c r="D13" s="93" t="e">
        <f>D12</f>
        <v>#DIV/0!</v>
      </c>
      <c r="E13" s="93" t="e">
        <f>E12</f>
        <v>#DIV/0!</v>
      </c>
      <c r="F13" s="93" t="e">
        <f>F12</f>
        <v>#DIV/0!</v>
      </c>
      <c r="G13" s="62"/>
      <c r="H13" s="62"/>
      <c r="I13" s="62"/>
    </row>
    <row r="14" spans="1:9" ht="15.5" x14ac:dyDescent="0.35">
      <c r="A14" s="62"/>
      <c r="B14" s="62"/>
      <c r="C14" s="62"/>
      <c r="D14" s="62"/>
      <c r="E14" s="62"/>
      <c r="F14" s="62"/>
      <c r="G14" s="62"/>
      <c r="H14" s="62"/>
      <c r="I14" s="62"/>
    </row>
    <row r="15" spans="1:9" ht="15.5" x14ac:dyDescent="0.35">
      <c r="A15" s="62" t="s">
        <v>65</v>
      </c>
      <c r="B15" s="62"/>
      <c r="C15" s="62"/>
      <c r="D15" s="62"/>
      <c r="E15" s="62"/>
      <c r="F15" s="62"/>
      <c r="G15" s="62"/>
      <c r="H15" s="62"/>
      <c r="I15" s="62"/>
    </row>
    <row r="16" spans="1:9" ht="15.5" x14ac:dyDescent="0.35">
      <c r="A16" s="62" t="s">
        <v>66</v>
      </c>
      <c r="B16" s="62"/>
      <c r="C16" s="62"/>
      <c r="D16" s="62"/>
      <c r="E16" s="62"/>
      <c r="F16" s="62"/>
      <c r="G16" s="62"/>
      <c r="H16" s="62"/>
      <c r="I16" s="62"/>
    </row>
    <row r="17" spans="1:9" ht="15.5" x14ac:dyDescent="0.35">
      <c r="A17" s="62" t="s">
        <v>168</v>
      </c>
      <c r="B17" s="62"/>
      <c r="C17" s="62"/>
      <c r="D17" s="62"/>
      <c r="E17" s="62"/>
      <c r="F17" s="62"/>
      <c r="G17" s="62"/>
      <c r="H17" s="62"/>
      <c r="I17" s="62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opLeftCell="A2" workbookViewId="0">
      <selection activeCell="B21" sqref="B21"/>
    </sheetView>
  </sheetViews>
  <sheetFormatPr defaultRowHeight="12.5" x14ac:dyDescent="0.25"/>
  <cols>
    <col min="1" max="1" width="28.1796875" customWidth="1"/>
  </cols>
  <sheetData>
    <row r="1" spans="1:7" ht="15.5" x14ac:dyDescent="0.35">
      <c r="A1" s="31" t="s">
        <v>62</v>
      </c>
    </row>
    <row r="2" spans="1:7" ht="13" x14ac:dyDescent="0.3">
      <c r="A2" s="3"/>
    </row>
    <row r="3" spans="1:7" ht="15.5" x14ac:dyDescent="0.35">
      <c r="A3" s="79"/>
      <c r="B3" s="45">
        <v>2001</v>
      </c>
      <c r="C3" s="45">
        <v>2002</v>
      </c>
      <c r="D3" s="45">
        <v>2003</v>
      </c>
      <c r="E3" s="45">
        <v>2004</v>
      </c>
      <c r="F3" s="45">
        <v>2005</v>
      </c>
      <c r="G3" s="1"/>
    </row>
    <row r="4" spans="1:7" ht="15.5" x14ac:dyDescent="0.35">
      <c r="A4" s="49" t="s">
        <v>63</v>
      </c>
      <c r="B4" s="80" t="e">
        <f>'Acual Rate'!B9</f>
        <v>#DIV/0!</v>
      </c>
      <c r="C4" s="80" t="e">
        <f>'Acual Rate'!C9</f>
        <v>#DIV/0!</v>
      </c>
      <c r="D4" s="80" t="e">
        <f>'Acual Rate'!D9</f>
        <v>#DIV/0!</v>
      </c>
      <c r="E4" s="80" t="e">
        <f>'Acual Rate'!E9</f>
        <v>#DIV/0!</v>
      </c>
      <c r="F4" s="80" t="e">
        <f>'Acual Rate'!F9</f>
        <v>#DIV/0!</v>
      </c>
      <c r="G4" s="5"/>
    </row>
    <row r="5" spans="1:7" ht="15.5" x14ac:dyDescent="0.35">
      <c r="A5" s="81" t="s">
        <v>48</v>
      </c>
      <c r="B5" s="82" t="e">
        <f>'Sustainable Rate'!B13</f>
        <v>#DIV/0!</v>
      </c>
      <c r="C5" s="82" t="e">
        <f>'Sustainable Rate'!C13</f>
        <v>#DIV/0!</v>
      </c>
      <c r="D5" s="82" t="e">
        <f>'Sustainable Rate'!D13</f>
        <v>#DIV/0!</v>
      </c>
      <c r="E5" s="82" t="e">
        <f>'Sustainable Rate'!E13</f>
        <v>#DIV/0!</v>
      </c>
      <c r="F5" s="82" t="e">
        <f>'Sustainable Rate'!F13</f>
        <v>#DIV/0!</v>
      </c>
    </row>
    <row r="7" spans="1:7" ht="15.5" x14ac:dyDescent="0.35">
      <c r="A7" s="62" t="s">
        <v>183</v>
      </c>
    </row>
    <row r="8" spans="1:7" ht="15.5" x14ac:dyDescent="0.35">
      <c r="A8" s="62" t="s">
        <v>184</v>
      </c>
    </row>
    <row r="11" spans="1:7" ht="15.5" x14ac:dyDescent="0.35">
      <c r="A11" s="62" t="s">
        <v>205</v>
      </c>
    </row>
    <row r="12" spans="1:7" ht="15.5" x14ac:dyDescent="0.35">
      <c r="A12" s="62" t="s">
        <v>186</v>
      </c>
    </row>
    <row r="14" spans="1:7" ht="15.5" x14ac:dyDescent="0.35">
      <c r="A14" s="62" t="s">
        <v>206</v>
      </c>
    </row>
    <row r="15" spans="1:7" ht="15.5" x14ac:dyDescent="0.35">
      <c r="A15" s="62" t="s">
        <v>185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3</vt:i4>
      </vt:variant>
    </vt:vector>
  </HeadingPairs>
  <TitlesOfParts>
    <vt:vector size="12" baseType="lpstr">
      <vt:lpstr>Cash Flow</vt:lpstr>
      <vt:lpstr>Income Statement</vt:lpstr>
      <vt:lpstr>Balance Sheet</vt:lpstr>
      <vt:lpstr>Statement of Capital</vt:lpstr>
      <vt:lpstr>Breakeven</vt:lpstr>
      <vt:lpstr>Acual Rate</vt:lpstr>
      <vt:lpstr>Calculations</vt:lpstr>
      <vt:lpstr>Sustainable Rate</vt:lpstr>
      <vt:lpstr>AR vs SR</vt:lpstr>
      <vt:lpstr>Chart-Actual Rate</vt:lpstr>
      <vt:lpstr>Chart-Sustainable Rate</vt:lpstr>
      <vt:lpstr>Chart-AR vs SR</vt:lpstr>
    </vt:vector>
  </TitlesOfParts>
  <Company>Duquesne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Renee Cunko</dc:creator>
  <cp:lastModifiedBy>Carina Negreanu</cp:lastModifiedBy>
  <cp:lastPrinted>2002-09-07T20:10:44Z</cp:lastPrinted>
  <dcterms:created xsi:type="dcterms:W3CDTF">2002-06-27T20:33:03Z</dcterms:created>
  <dcterms:modified xsi:type="dcterms:W3CDTF">2020-01-27T10:25:04Z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-1738554202</vt:i4>
  </property>
  <property fmtid="{D5CDD505-2E9C-101B-9397-08002B2CF9AE}" pid="3" name="_EmailSubject">
    <vt:lpwstr/>
  </property>
  <property fmtid="{D5CDD505-2E9C-101B-9397-08002B2CF9AE}" pid="4" name="_AuthorEmail">
    <vt:lpwstr>hollera884@duq.edu</vt:lpwstr>
  </property>
  <property fmtid="{D5CDD505-2E9C-101B-9397-08002B2CF9AE}" pid="5" name="_AuthorEmailDisplayName">
    <vt:lpwstr>Matt Holleran</vt:lpwstr>
  </property>
  <property fmtid="{D5CDD505-2E9C-101B-9397-08002B2CF9AE}" pid="6" name="_ReviewingToolsShownOnce">
    <vt:lpwstr/>
  </property>
</Properties>
</file>