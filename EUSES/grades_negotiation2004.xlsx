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B153E46-F4AD-484E-B9E3-65106EB93085}" xr6:coauthVersionLast="45" xr6:coauthVersionMax="45" xr10:uidLastSave="{00000000-0000-0000-0000-000000000000}"/>
  <bookViews>
    <workbookView xWindow="380" yWindow="380" windowWidth="28800" windowHeight="15460" tabRatio="292"/>
  </bookViews>
  <sheets>
    <sheet name="Sheet1" sheetId="1" r:id="rId1"/>
    <sheet name="Sheet2" sheetId="2" r:id="rId2"/>
    <sheet name="Sheet3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4" i="1" l="1"/>
  <c r="P33" i="1"/>
  <c r="P32" i="1"/>
  <c r="P31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30" i="1"/>
  <c r="P2" i="1"/>
</calcChain>
</file>

<file path=xl/sharedStrings.xml><?xml version="1.0" encoding="utf-8"?>
<sst xmlns="http://schemas.openxmlformats.org/spreadsheetml/2006/main" count="176" uniqueCount="30">
  <si>
    <t>Appleton-Baker</t>
  </si>
  <si>
    <t>Baker</t>
  </si>
  <si>
    <t>BATNA exercise</t>
  </si>
  <si>
    <t>+</t>
  </si>
  <si>
    <t>++</t>
  </si>
  <si>
    <t>Biopharm-Seltek</t>
  </si>
  <si>
    <t>Biopharm</t>
  </si>
  <si>
    <t>New Car</t>
  </si>
  <si>
    <t>Buyer</t>
  </si>
  <si>
    <t>Pareto Exercise</t>
  </si>
  <si>
    <t>Union vs. City</t>
  </si>
  <si>
    <t>Orange</t>
  </si>
  <si>
    <t>(Union)</t>
  </si>
  <si>
    <t>Alvin</t>
  </si>
  <si>
    <t>Coalition</t>
  </si>
  <si>
    <t>5-party Exercise</t>
  </si>
  <si>
    <t>-</t>
  </si>
  <si>
    <t>A</t>
  </si>
  <si>
    <t>B</t>
  </si>
  <si>
    <t>C</t>
  </si>
  <si>
    <t>Towers Market</t>
  </si>
  <si>
    <t>Create Case</t>
  </si>
  <si>
    <t>Harborco</t>
  </si>
  <si>
    <t>ba</t>
  </si>
  <si>
    <t>kh</t>
  </si>
  <si>
    <t>mt</t>
  </si>
  <si>
    <t>pu</t>
  </si>
  <si>
    <t>Perm # or initials</t>
  </si>
  <si>
    <t>Avg., dropping 2 lowest grades</t>
  </si>
  <si>
    <t>Ranked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</si>
</sst>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00"/>
  </numFmts>
  <fonts count="4" x14ac:knownFonts="1">
    <font>
      <sz val="10"/>
      <name val="Verdana"/>
    </font>
    <font>
      <b/>
      <sz val="10"/>
      <name val="Verdana"/>
    </font>
    <font>
      <i/>
      <sz val="10"/>
      <name val="Verdana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73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73" fontId="0" fillId="0" borderId="0" xfId="0" quotePrefix="1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3" fontId="3" fillId="0" borderId="0" xfId="0" applyNumberFormat="1" applyFont="1" applyAlignment="1">
      <alignment horizontal="center"/>
    </xf>
    <xf numFmtId="173" fontId="2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abSelected="1" topLeftCell="L1" workbookViewId="0">
      <selection activeCell="U13" sqref="U13"/>
    </sheetView>
  </sheetViews>
  <sheetFormatPr defaultRowHeight="13.5" x14ac:dyDescent="0.3"/>
  <cols>
    <col min="1" max="1" width="15.15234375" style="2" customWidth="1"/>
    <col min="2" max="2" width="11.84375" style="2" customWidth="1"/>
    <col min="3" max="3" width="9.3046875" style="2" customWidth="1"/>
    <col min="4" max="4" width="12.69140625" style="2" customWidth="1"/>
    <col min="5" max="6" width="7.15234375" style="2" customWidth="1"/>
    <col min="7" max="7" width="11.3828125" style="2" customWidth="1"/>
    <col min="8" max="8" width="4.53515625" style="2" customWidth="1"/>
    <col min="9" max="9" width="6.69140625" style="2" customWidth="1"/>
    <col min="10" max="10" width="8.15234375" style="2" customWidth="1"/>
    <col min="11" max="11" width="11.3828125" style="2" customWidth="1"/>
    <col min="12" max="12" width="5.3828125" style="2" customWidth="1"/>
    <col min="13" max="13" width="8.3046875" style="2" customWidth="1"/>
    <col min="14" max="14" width="4" customWidth="1"/>
    <col min="15" max="15" width="5.84375" customWidth="1"/>
    <col min="16" max="16" width="7.69140625" style="2" customWidth="1"/>
    <col min="17" max="256" width="11.07421875" customWidth="1"/>
  </cols>
  <sheetData>
    <row r="1" spans="1:18" x14ac:dyDescent="0.3">
      <c r="A1" s="2" t="s">
        <v>27</v>
      </c>
      <c r="B1" s="6" t="s">
        <v>0</v>
      </c>
      <c r="C1" s="6" t="s">
        <v>2</v>
      </c>
      <c r="D1" s="6" t="s">
        <v>5</v>
      </c>
      <c r="E1" s="6" t="s">
        <v>7</v>
      </c>
      <c r="F1" s="6" t="s">
        <v>9</v>
      </c>
      <c r="G1" s="6" t="s">
        <v>10</v>
      </c>
      <c r="H1" s="6" t="s">
        <v>13</v>
      </c>
      <c r="I1" s="6" t="s">
        <v>15</v>
      </c>
      <c r="J1" s="6" t="s">
        <v>14</v>
      </c>
      <c r="K1" s="6" t="s">
        <v>20</v>
      </c>
      <c r="L1" s="6" t="s">
        <v>21</v>
      </c>
      <c r="M1" s="6" t="s">
        <v>22</v>
      </c>
      <c r="N1" s="10"/>
      <c r="O1" s="11" t="s">
        <v>28</v>
      </c>
      <c r="R1" t="s">
        <v>29</v>
      </c>
    </row>
    <row r="2" spans="1:18" x14ac:dyDescent="0.3">
      <c r="A2" s="2">
        <v>6130223</v>
      </c>
      <c r="B2" s="1">
        <v>1</v>
      </c>
      <c r="C2" s="3" t="s">
        <v>3</v>
      </c>
      <c r="D2" s="3">
        <v>0.22500000000000001</v>
      </c>
      <c r="E2" s="3">
        <v>0.21199999999999999</v>
      </c>
      <c r="F2" s="3" t="s">
        <v>3</v>
      </c>
      <c r="G2" s="3">
        <v>1</v>
      </c>
      <c r="H2" s="3" t="s">
        <v>3</v>
      </c>
      <c r="I2" s="3" t="s">
        <v>16</v>
      </c>
      <c r="J2" s="6">
        <v>0.44400000000000001</v>
      </c>
      <c r="K2" s="3">
        <v>0.69199999999999995</v>
      </c>
      <c r="L2" s="2" t="s">
        <v>3</v>
      </c>
      <c r="M2" s="3">
        <v>0</v>
      </c>
      <c r="P2" s="3">
        <f>(B2+D2+E2+G2+J2+K2+M2-M2-E2)/5</f>
        <v>0.67220000000000002</v>
      </c>
      <c r="R2" s="3">
        <v>0.95599999999999985</v>
      </c>
    </row>
    <row r="3" spans="1:18" x14ac:dyDescent="0.3">
      <c r="A3" s="2">
        <v>5146188</v>
      </c>
      <c r="B3" s="3">
        <v>0.432</v>
      </c>
      <c r="C3" s="3" t="s">
        <v>3</v>
      </c>
      <c r="D3" s="3">
        <v>0.104</v>
      </c>
      <c r="E3" s="3">
        <v>0.40899999999999997</v>
      </c>
      <c r="F3" s="3" t="s">
        <v>3</v>
      </c>
      <c r="G3" s="3">
        <v>0.57099999999999995</v>
      </c>
      <c r="H3" s="3" t="s">
        <v>3</v>
      </c>
      <c r="I3" s="3"/>
      <c r="J3" s="9">
        <v>0.222</v>
      </c>
      <c r="K3" s="3">
        <v>1</v>
      </c>
      <c r="L3" s="2" t="s">
        <v>3</v>
      </c>
      <c r="M3" s="3">
        <v>0</v>
      </c>
      <c r="P3" s="3">
        <f>(B3+D3+E3+G3+J3+K3+M3-M3-D3)/5</f>
        <v>0.52679999999999993</v>
      </c>
      <c r="R3" s="3">
        <v>0.875</v>
      </c>
    </row>
    <row r="4" spans="1:18" x14ac:dyDescent="0.3">
      <c r="A4" s="2">
        <v>5860432</v>
      </c>
      <c r="B4" s="1">
        <v>0.22</v>
      </c>
      <c r="C4" s="4" t="s">
        <v>3</v>
      </c>
      <c r="D4" s="1">
        <v>0.11600000000000001</v>
      </c>
      <c r="E4" s="1">
        <v>0.11799999999999999</v>
      </c>
      <c r="F4" s="3" t="s">
        <v>3</v>
      </c>
      <c r="G4" s="1">
        <v>0</v>
      </c>
      <c r="H4" s="3" t="s">
        <v>3</v>
      </c>
      <c r="I4" s="3" t="s">
        <v>3</v>
      </c>
      <c r="J4" s="3">
        <v>0.96899999999999997</v>
      </c>
      <c r="K4" s="3">
        <v>0</v>
      </c>
      <c r="L4" s="2" t="s">
        <v>3</v>
      </c>
      <c r="M4" s="3">
        <v>6.7000000000000004E-2</v>
      </c>
      <c r="P4" s="3">
        <f>(B4+D4+E4+G4+J4+K4+M4-K4-G4)/5</f>
        <v>0.29799999999999999</v>
      </c>
      <c r="R4" s="3">
        <v>0.86119999999999997</v>
      </c>
    </row>
    <row r="5" spans="1:18" x14ac:dyDescent="0.3">
      <c r="A5" s="2">
        <v>5829122</v>
      </c>
      <c r="B5" s="1">
        <v>0.8</v>
      </c>
      <c r="C5" s="3" t="s">
        <v>3</v>
      </c>
      <c r="D5" s="3">
        <v>1.7000000000000001E-2</v>
      </c>
      <c r="E5" s="1">
        <v>0.90200000000000002</v>
      </c>
      <c r="F5" s="3" t="s">
        <v>3</v>
      </c>
      <c r="G5" s="3">
        <v>0.42899999999999999</v>
      </c>
      <c r="H5" s="3" t="s">
        <v>3</v>
      </c>
      <c r="I5" s="3"/>
      <c r="J5" s="9">
        <v>0</v>
      </c>
      <c r="K5" s="3">
        <v>0.42899999999999999</v>
      </c>
      <c r="L5" s="2" t="s">
        <v>3</v>
      </c>
      <c r="M5" s="3">
        <v>0.45</v>
      </c>
      <c r="P5" s="3">
        <f>(B5+D5+E5+G5+J5+K5+M5-J5-D5)/5</f>
        <v>0.60200000000000009</v>
      </c>
      <c r="R5" s="3">
        <v>0.84420000000000006</v>
      </c>
    </row>
    <row r="6" spans="1:18" x14ac:dyDescent="0.3">
      <c r="A6" s="2">
        <v>5642954</v>
      </c>
      <c r="B6" s="1">
        <v>0.28000000000000003</v>
      </c>
      <c r="C6" s="3" t="s">
        <v>3</v>
      </c>
      <c r="D6" s="1">
        <v>0.90800000000000003</v>
      </c>
      <c r="E6" s="1">
        <v>0.72499999999999998</v>
      </c>
      <c r="F6" s="3" t="s">
        <v>3</v>
      </c>
      <c r="G6" s="3">
        <v>0.65700000000000003</v>
      </c>
      <c r="H6" s="3" t="s">
        <v>3</v>
      </c>
      <c r="I6" s="3" t="s">
        <v>3</v>
      </c>
      <c r="J6" s="3">
        <v>3.1E-2</v>
      </c>
      <c r="K6" s="3">
        <v>0.4</v>
      </c>
      <c r="L6" s="2" t="s">
        <v>3</v>
      </c>
      <c r="M6" s="3">
        <v>1</v>
      </c>
      <c r="P6" s="3">
        <f>(B6+D6+E6+G6+J6+K6+M6-J6-B6)/5</f>
        <v>0.7380000000000001</v>
      </c>
      <c r="R6" s="3">
        <v>0.81440000000000001</v>
      </c>
    </row>
    <row r="7" spans="1:18" x14ac:dyDescent="0.3">
      <c r="A7" s="2" t="s">
        <v>23</v>
      </c>
      <c r="B7" s="1"/>
      <c r="C7" s="3" t="s">
        <v>3</v>
      </c>
      <c r="D7" s="1">
        <v>1</v>
      </c>
      <c r="E7" s="1">
        <v>0.49</v>
      </c>
      <c r="F7" s="3" t="s">
        <v>3</v>
      </c>
      <c r="G7" s="1">
        <v>0.28599999999999998</v>
      </c>
      <c r="H7" s="3" t="s">
        <v>3</v>
      </c>
      <c r="I7" s="3" t="s">
        <v>3</v>
      </c>
      <c r="J7" s="1">
        <v>0.56499999999999995</v>
      </c>
      <c r="K7" s="3">
        <v>0.38500000000000001</v>
      </c>
      <c r="L7" s="2" t="s">
        <v>3</v>
      </c>
      <c r="M7" s="3">
        <v>0</v>
      </c>
      <c r="P7" s="3">
        <f>(B7+D7+E7+G7+J7+K7+M7-M7-B7)/5</f>
        <v>0.54520000000000002</v>
      </c>
      <c r="R7" s="3">
        <v>0.76159999999999994</v>
      </c>
    </row>
    <row r="8" spans="1:18" x14ac:dyDescent="0.3">
      <c r="A8" s="2">
        <v>6903355</v>
      </c>
      <c r="B8" s="1">
        <v>0.56799999999999995</v>
      </c>
      <c r="C8" s="3" t="s">
        <v>3</v>
      </c>
      <c r="D8" s="1">
        <v>0.92500000000000004</v>
      </c>
      <c r="E8" s="3">
        <v>0.54500000000000004</v>
      </c>
      <c r="F8" s="3"/>
      <c r="G8" s="8">
        <v>0.57099999999999995</v>
      </c>
      <c r="H8" s="3" t="s">
        <v>3</v>
      </c>
      <c r="I8" s="3" t="s">
        <v>3</v>
      </c>
      <c r="J8" s="1">
        <v>0.5</v>
      </c>
      <c r="K8" s="3">
        <v>0.28599999999999998</v>
      </c>
      <c r="M8" s="3">
        <v>0.84599999999999997</v>
      </c>
      <c r="P8" s="3">
        <f>(B8+D8+E8+G8+J8+K8+M8-K8-J8)/5</f>
        <v>0.69099999999999995</v>
      </c>
      <c r="R8" s="3">
        <v>0.7380000000000001</v>
      </c>
    </row>
    <row r="9" spans="1:18" x14ac:dyDescent="0.3">
      <c r="A9" s="2">
        <v>6113013</v>
      </c>
      <c r="B9" s="1">
        <v>0.5</v>
      </c>
      <c r="C9" s="3" t="s">
        <v>3</v>
      </c>
      <c r="D9" s="1">
        <v>0.5</v>
      </c>
      <c r="E9" s="3">
        <v>0.28799999999999998</v>
      </c>
      <c r="F9" s="3" t="s">
        <v>3</v>
      </c>
      <c r="G9" s="3">
        <v>0.42899999999999999</v>
      </c>
      <c r="H9" s="3"/>
      <c r="I9" s="3" t="s">
        <v>3</v>
      </c>
      <c r="J9" s="3">
        <v>0.156</v>
      </c>
      <c r="K9" s="3">
        <v>1</v>
      </c>
      <c r="L9" s="12" t="s">
        <v>4</v>
      </c>
      <c r="M9" s="3">
        <v>1</v>
      </c>
      <c r="P9" s="3">
        <f>(B9+D9+E9+G9+J9+K9+M9-J9-E9)/5</f>
        <v>0.68580000000000008</v>
      </c>
      <c r="R9" s="3">
        <v>0.72239999999999993</v>
      </c>
    </row>
    <row r="10" spans="1:18" x14ac:dyDescent="0.3">
      <c r="A10" s="2">
        <v>4653291</v>
      </c>
      <c r="B10" s="3">
        <v>0.72</v>
      </c>
      <c r="C10" s="3" t="s">
        <v>3</v>
      </c>
      <c r="D10" s="3">
        <v>0.22500000000000001</v>
      </c>
      <c r="E10" s="1">
        <v>0.51</v>
      </c>
      <c r="F10" s="3" t="s">
        <v>3</v>
      </c>
      <c r="G10" s="3">
        <v>0.28599999999999998</v>
      </c>
      <c r="H10" s="3" t="s">
        <v>3</v>
      </c>
      <c r="I10" s="3" t="s">
        <v>3</v>
      </c>
      <c r="J10" s="9">
        <v>0.222</v>
      </c>
      <c r="K10" s="3">
        <v>0.42899999999999999</v>
      </c>
      <c r="M10" s="3">
        <v>0.61099999999999999</v>
      </c>
      <c r="P10" s="3">
        <f>(B10+D10+E10+G10+J10+K10+M10-J10-D10)/5</f>
        <v>0.51119999999999999</v>
      </c>
      <c r="R10" s="3">
        <v>0.72020000000000006</v>
      </c>
    </row>
    <row r="11" spans="1:18" x14ac:dyDescent="0.3">
      <c r="A11" s="2">
        <v>5082060</v>
      </c>
      <c r="B11" s="3">
        <v>0.22</v>
      </c>
      <c r="C11" s="3" t="s">
        <v>3</v>
      </c>
      <c r="D11" s="1">
        <v>0.33500000000000002</v>
      </c>
      <c r="E11" s="1">
        <v>5.8999999999999997E-2</v>
      </c>
      <c r="F11" s="3"/>
      <c r="G11" s="3">
        <v>0</v>
      </c>
      <c r="H11" s="3" t="s">
        <v>3</v>
      </c>
      <c r="I11" s="3"/>
      <c r="J11" s="3">
        <v>0</v>
      </c>
      <c r="K11" s="3">
        <v>0.71399999999999997</v>
      </c>
      <c r="L11" s="2" t="s">
        <v>3</v>
      </c>
      <c r="M11" s="3"/>
      <c r="P11" s="3">
        <f>(B11+D11+E11+G11+J11+K11+M11-G11-J11)/5</f>
        <v>0.2656</v>
      </c>
      <c r="R11" s="3">
        <v>0.71460000000000012</v>
      </c>
    </row>
    <row r="12" spans="1:18" x14ac:dyDescent="0.3">
      <c r="A12" s="2">
        <v>6068019</v>
      </c>
      <c r="B12" s="3">
        <v>0.48</v>
      </c>
      <c r="C12" s="3" t="s">
        <v>3</v>
      </c>
      <c r="D12" s="1">
        <v>1</v>
      </c>
      <c r="E12" s="3">
        <v>0.30299999999999999</v>
      </c>
      <c r="F12" s="3" t="s">
        <v>3</v>
      </c>
      <c r="G12" s="3">
        <v>0.371</v>
      </c>
      <c r="H12" s="3" t="s">
        <v>3</v>
      </c>
      <c r="I12" s="3" t="s">
        <v>3</v>
      </c>
      <c r="J12" s="1">
        <v>0.56499999999999995</v>
      </c>
      <c r="K12" s="3">
        <v>1</v>
      </c>
      <c r="L12" s="12" t="s">
        <v>4</v>
      </c>
      <c r="M12" s="3">
        <v>0.55600000000000005</v>
      </c>
      <c r="P12" s="3">
        <f>(B12+D12+E12+G12+J12+K12+M12-G12-E12)/5</f>
        <v>0.72020000000000006</v>
      </c>
      <c r="R12" s="3">
        <v>0.69099999999999995</v>
      </c>
    </row>
    <row r="13" spans="1:18" x14ac:dyDescent="0.3">
      <c r="A13" s="2">
        <v>4993069</v>
      </c>
      <c r="B13" s="1">
        <v>0.4</v>
      </c>
      <c r="C13" s="3" t="s">
        <v>3</v>
      </c>
      <c r="D13" s="1">
        <v>0.68200000000000005</v>
      </c>
      <c r="E13" s="3">
        <v>0.68200000000000005</v>
      </c>
      <c r="F13" s="3" t="s">
        <v>3</v>
      </c>
      <c r="G13" s="3"/>
      <c r="H13" s="3"/>
      <c r="I13" s="3"/>
      <c r="J13" s="9">
        <v>0.222</v>
      </c>
      <c r="K13" s="3">
        <v>0.14299999999999999</v>
      </c>
      <c r="L13" s="2" t="s">
        <v>3</v>
      </c>
      <c r="M13" s="3">
        <v>0.76500000000000001</v>
      </c>
      <c r="P13" s="3">
        <f>(B13+D13+E13+G13+J13+K13+M13-G13-K13)/5</f>
        <v>0.55020000000000002</v>
      </c>
      <c r="R13" s="3">
        <v>0.68759999999999999</v>
      </c>
    </row>
    <row r="14" spans="1:18" x14ac:dyDescent="0.3">
      <c r="A14" s="2">
        <v>6903363</v>
      </c>
      <c r="B14" s="3">
        <v>1</v>
      </c>
      <c r="C14" s="3" t="s">
        <v>3</v>
      </c>
      <c r="D14" s="3">
        <v>0</v>
      </c>
      <c r="E14" s="3">
        <v>0.36399999999999999</v>
      </c>
      <c r="F14" s="5" t="s">
        <v>4</v>
      </c>
      <c r="G14" s="3">
        <v>0.42899999999999999</v>
      </c>
      <c r="H14" s="3" t="s">
        <v>3</v>
      </c>
      <c r="I14" s="3" t="s">
        <v>3</v>
      </c>
      <c r="J14" s="1">
        <v>1</v>
      </c>
      <c r="K14" s="3">
        <v>0.64300000000000002</v>
      </c>
      <c r="L14" s="2" t="s">
        <v>3</v>
      </c>
      <c r="M14" s="3">
        <v>1</v>
      </c>
      <c r="P14" s="3">
        <f>(B14+D14+E14+G14+J14+K14+M14-D14-E14)/5</f>
        <v>0.81440000000000001</v>
      </c>
      <c r="R14" s="3">
        <v>0.68580000000000008</v>
      </c>
    </row>
    <row r="15" spans="1:18" x14ac:dyDescent="0.3">
      <c r="A15" s="7">
        <v>5610605</v>
      </c>
      <c r="B15" s="1">
        <v>0</v>
      </c>
      <c r="C15" s="3" t="s">
        <v>3</v>
      </c>
      <c r="D15" s="3">
        <v>0.33500000000000002</v>
      </c>
      <c r="E15" s="3">
        <v>0.39400000000000002</v>
      </c>
      <c r="F15" s="3" t="s">
        <v>3</v>
      </c>
      <c r="G15" s="1">
        <v>0.85699999999999998</v>
      </c>
      <c r="H15" s="3" t="s">
        <v>3</v>
      </c>
      <c r="I15" s="3" t="s">
        <v>3</v>
      </c>
      <c r="J15" s="9">
        <v>0</v>
      </c>
      <c r="K15" s="3">
        <v>0.71399999999999997</v>
      </c>
      <c r="L15" s="2" t="s">
        <v>3</v>
      </c>
      <c r="M15" s="3">
        <v>0</v>
      </c>
      <c r="P15" s="3">
        <f>(B15+D15+E15+G15+J15+K15+M15-M15-J15)/5</f>
        <v>0.45999999999999996</v>
      </c>
      <c r="R15" s="3">
        <v>0.67619999999999991</v>
      </c>
    </row>
    <row r="16" spans="1:18" x14ac:dyDescent="0.3">
      <c r="A16" s="7">
        <v>5200639</v>
      </c>
      <c r="B16" s="3">
        <v>0.57999999999999996</v>
      </c>
      <c r="C16" s="3" t="s">
        <v>3</v>
      </c>
      <c r="D16" s="1">
        <v>0.66500000000000004</v>
      </c>
      <c r="E16" s="1">
        <v>0.49</v>
      </c>
      <c r="F16" s="3" t="s">
        <v>3</v>
      </c>
      <c r="G16" s="3"/>
      <c r="H16" s="3" t="s">
        <v>3</v>
      </c>
      <c r="I16" s="3" t="s">
        <v>3</v>
      </c>
      <c r="J16" s="1">
        <v>1</v>
      </c>
      <c r="K16" s="3">
        <v>0</v>
      </c>
      <c r="L16" s="2" t="s">
        <v>3</v>
      </c>
      <c r="M16" s="3">
        <v>0</v>
      </c>
      <c r="P16" s="3">
        <f>(B16+D16+E16+G16+J16+K16+M16-M16-K16)/5</f>
        <v>0.54700000000000004</v>
      </c>
      <c r="R16" s="3">
        <v>0.67220000000000002</v>
      </c>
    </row>
    <row r="17" spans="1:18" x14ac:dyDescent="0.3">
      <c r="A17" s="7">
        <v>5144381</v>
      </c>
      <c r="B17" s="3">
        <v>0.6</v>
      </c>
      <c r="C17" s="3" t="s">
        <v>3</v>
      </c>
      <c r="D17" s="3">
        <v>0.66500000000000004</v>
      </c>
      <c r="E17" s="3">
        <v>0.59099999999999997</v>
      </c>
      <c r="F17" s="3"/>
      <c r="G17" s="1">
        <v>0.64300000000000002</v>
      </c>
      <c r="H17" s="3"/>
      <c r="I17" s="3"/>
      <c r="J17" s="9">
        <v>5.6000000000000001E-2</v>
      </c>
      <c r="K17" s="3">
        <v>0.9</v>
      </c>
      <c r="M17" s="3">
        <v>1</v>
      </c>
      <c r="P17" s="3">
        <f>(B17+D17+E17+G17+J17+K17+M17-J17-E17)/5</f>
        <v>0.76159999999999994</v>
      </c>
      <c r="R17" s="3">
        <v>0.64060000000000006</v>
      </c>
    </row>
    <row r="18" spans="1:18" x14ac:dyDescent="0.3">
      <c r="A18" s="7">
        <v>5620927</v>
      </c>
      <c r="B18" s="3">
        <v>0.78</v>
      </c>
      <c r="C18" s="3" t="s">
        <v>3</v>
      </c>
      <c r="D18" s="1">
        <v>0.98299999999999998</v>
      </c>
      <c r="E18" s="1">
        <v>0.58799999999999997</v>
      </c>
      <c r="F18" s="3" t="s">
        <v>3</v>
      </c>
      <c r="G18" s="3">
        <v>0.28599999999999998</v>
      </c>
      <c r="H18" s="3" t="s">
        <v>3</v>
      </c>
      <c r="I18" s="3" t="s">
        <v>3</v>
      </c>
      <c r="J18" s="1">
        <v>0.87</v>
      </c>
      <c r="K18" s="3">
        <v>0</v>
      </c>
      <c r="L18" s="2" t="s">
        <v>3</v>
      </c>
      <c r="M18" s="3">
        <v>1</v>
      </c>
      <c r="P18" s="3">
        <f>(B18+D18+E18+G18+J18+K18+M18-K18-G18)/5</f>
        <v>0.84420000000000006</v>
      </c>
      <c r="R18" s="3">
        <v>0.60820000000000007</v>
      </c>
    </row>
    <row r="19" spans="1:18" x14ac:dyDescent="0.3">
      <c r="A19" s="7">
        <v>5470026</v>
      </c>
      <c r="B19" s="3">
        <v>0</v>
      </c>
      <c r="C19" s="3" t="s">
        <v>3</v>
      </c>
      <c r="D19" s="1">
        <v>0.66500000000000004</v>
      </c>
      <c r="E19" s="1">
        <v>0.65400000000000003</v>
      </c>
      <c r="F19" s="3" t="s">
        <v>3</v>
      </c>
      <c r="G19" s="1">
        <v>0.28599999999999998</v>
      </c>
      <c r="H19" s="3" t="s">
        <v>3</v>
      </c>
      <c r="I19" s="3" t="s">
        <v>3</v>
      </c>
      <c r="J19" s="3">
        <v>0.39100000000000001</v>
      </c>
      <c r="K19" s="3">
        <v>0</v>
      </c>
      <c r="L19" s="2" t="s">
        <v>3</v>
      </c>
      <c r="M19" s="3">
        <v>0.35299999999999998</v>
      </c>
      <c r="P19" s="3">
        <f>(B19+D19+E19+G19+J19+K19+M19-B19-K19)/5</f>
        <v>0.46980000000000005</v>
      </c>
      <c r="R19" s="3">
        <v>0.60200000000000009</v>
      </c>
    </row>
    <row r="20" spans="1:18" x14ac:dyDescent="0.3">
      <c r="A20" s="7" t="s">
        <v>24</v>
      </c>
      <c r="B20" s="3"/>
      <c r="C20" s="3" t="s">
        <v>3</v>
      </c>
      <c r="D20" s="1">
        <v>0.46200000000000002</v>
      </c>
      <c r="E20" s="3">
        <v>0.379</v>
      </c>
      <c r="F20" s="3" t="s">
        <v>3</v>
      </c>
      <c r="G20" s="1">
        <v>1</v>
      </c>
      <c r="H20" s="3" t="s">
        <v>3</v>
      </c>
      <c r="I20" s="3" t="s">
        <v>3</v>
      </c>
      <c r="J20" s="3">
        <v>1</v>
      </c>
      <c r="K20" s="3">
        <v>0.2</v>
      </c>
      <c r="L20" s="2" t="s">
        <v>3</v>
      </c>
      <c r="M20" s="3">
        <v>0</v>
      </c>
      <c r="P20" s="3">
        <f>(B20+D20+E20+G20+J20+K20+M20-M20-B20)/5</f>
        <v>0.60820000000000007</v>
      </c>
      <c r="R20" s="3">
        <v>0.59299999999999997</v>
      </c>
    </row>
    <row r="21" spans="1:18" x14ac:dyDescent="0.3">
      <c r="A21" s="7">
        <v>5602875</v>
      </c>
      <c r="B21" s="3">
        <v>0.08</v>
      </c>
      <c r="C21" s="3" t="s">
        <v>3</v>
      </c>
      <c r="D21" s="8">
        <v>0.88400000000000001</v>
      </c>
      <c r="E21" s="3">
        <v>0.57599999999999996</v>
      </c>
      <c r="F21" s="3" t="s">
        <v>3</v>
      </c>
      <c r="G21" s="3">
        <v>0.42899999999999999</v>
      </c>
      <c r="H21" s="3" t="s">
        <v>3</v>
      </c>
      <c r="I21" s="3" t="s">
        <v>3</v>
      </c>
      <c r="J21" s="3">
        <v>3.1E-2</v>
      </c>
      <c r="K21" s="3">
        <v>0.69199999999999995</v>
      </c>
      <c r="L21" s="12" t="s">
        <v>4</v>
      </c>
      <c r="M21" s="3">
        <v>0</v>
      </c>
      <c r="P21" s="3">
        <f>(B21+D21+E21+G21+J21+K21+M21-M21-J21)/5</f>
        <v>0.53220000000000001</v>
      </c>
      <c r="R21" s="3">
        <v>0.55020000000000002</v>
      </c>
    </row>
    <row r="22" spans="1:18" x14ac:dyDescent="0.3">
      <c r="A22" s="7">
        <v>6903330</v>
      </c>
      <c r="B22" s="3">
        <v>0.36</v>
      </c>
      <c r="C22" s="3" t="s">
        <v>3</v>
      </c>
      <c r="D22" s="1">
        <v>0.78</v>
      </c>
      <c r="E22" s="1">
        <v>0.27500000000000002</v>
      </c>
      <c r="F22" s="3" t="s">
        <v>3</v>
      </c>
      <c r="G22" s="1">
        <v>0.42899999999999999</v>
      </c>
      <c r="H22" s="3" t="s">
        <v>3</v>
      </c>
      <c r="I22" s="3" t="s">
        <v>3</v>
      </c>
      <c r="J22" s="3">
        <v>0.59399999999999997</v>
      </c>
      <c r="K22" s="3">
        <v>0.4</v>
      </c>
      <c r="L22" s="2" t="s">
        <v>3</v>
      </c>
      <c r="M22" s="3">
        <v>1</v>
      </c>
      <c r="P22" s="3">
        <f>(B22+D22+E22+G22+J22+K22+M22-B22-E22)/5</f>
        <v>0.64060000000000006</v>
      </c>
      <c r="R22" s="3">
        <v>0.54700000000000004</v>
      </c>
    </row>
    <row r="23" spans="1:18" x14ac:dyDescent="0.3">
      <c r="A23" s="7">
        <v>5983879</v>
      </c>
      <c r="B23" s="3">
        <v>0.5</v>
      </c>
      <c r="C23" s="3" t="s">
        <v>3</v>
      </c>
      <c r="D23" s="1">
        <v>0.89600000000000002</v>
      </c>
      <c r="E23" s="1">
        <v>1</v>
      </c>
      <c r="F23" s="3" t="s">
        <v>3</v>
      </c>
      <c r="G23" s="1">
        <v>0.42899999999999999</v>
      </c>
      <c r="H23" s="3" t="s">
        <v>3</v>
      </c>
      <c r="I23" s="3" t="s">
        <v>3</v>
      </c>
      <c r="J23" s="3">
        <v>0.25</v>
      </c>
      <c r="K23" s="3">
        <v>0.42899999999999999</v>
      </c>
      <c r="L23" s="12" t="s">
        <v>4</v>
      </c>
      <c r="M23" s="3">
        <v>0.55600000000000005</v>
      </c>
      <c r="P23" s="3">
        <f>(B23+D23+E23+G23+J23+K23+M23-J23-K23)/5</f>
        <v>0.67619999999999991</v>
      </c>
      <c r="R23" s="3">
        <v>0.54520000000000002</v>
      </c>
    </row>
    <row r="24" spans="1:18" x14ac:dyDescent="0.3">
      <c r="A24" s="7">
        <v>4729240</v>
      </c>
      <c r="B24" s="3">
        <v>0.32</v>
      </c>
      <c r="C24" s="3" t="s">
        <v>3</v>
      </c>
      <c r="D24" s="8">
        <v>9.1999999999999998E-2</v>
      </c>
      <c r="E24" s="3">
        <v>0.78800000000000003</v>
      </c>
      <c r="F24" s="3" t="s">
        <v>3</v>
      </c>
      <c r="G24" s="1">
        <v>0.53600000000000003</v>
      </c>
      <c r="H24" s="3" t="s">
        <v>3</v>
      </c>
      <c r="I24" s="3" t="s">
        <v>3</v>
      </c>
      <c r="J24" s="3">
        <v>0.313</v>
      </c>
      <c r="K24" s="3">
        <v>0.92900000000000005</v>
      </c>
      <c r="L24" s="2" t="s">
        <v>3</v>
      </c>
      <c r="M24" s="3">
        <v>1</v>
      </c>
      <c r="P24" s="3">
        <f>(B24+D24+E24+G24+J24+K24+M24-D24-J24)/5</f>
        <v>0.71460000000000012</v>
      </c>
      <c r="R24" s="3">
        <v>0.53220000000000001</v>
      </c>
    </row>
    <row r="25" spans="1:18" x14ac:dyDescent="0.3">
      <c r="A25" s="7" t="s">
        <v>25</v>
      </c>
      <c r="B25" s="3"/>
      <c r="C25" s="3" t="s">
        <v>3</v>
      </c>
      <c r="D25" s="1">
        <v>0.77500000000000002</v>
      </c>
      <c r="E25" s="1">
        <v>0.72499999999999998</v>
      </c>
      <c r="F25" s="3" t="s">
        <v>3</v>
      </c>
      <c r="G25" s="1">
        <v>0.71399999999999997</v>
      </c>
      <c r="H25" s="3" t="s">
        <v>3</v>
      </c>
      <c r="I25" s="3" t="s">
        <v>3</v>
      </c>
      <c r="J25" s="9">
        <v>0.5</v>
      </c>
      <c r="K25" s="3">
        <v>1</v>
      </c>
      <c r="L25" s="2" t="s">
        <v>3</v>
      </c>
      <c r="M25" s="3">
        <v>1</v>
      </c>
      <c r="P25" s="3">
        <f>(B25+D25+E25+G25+J25+K25+M25-G25-J25)/4</f>
        <v>0.875</v>
      </c>
      <c r="R25" s="3">
        <v>0.52679999999999993</v>
      </c>
    </row>
    <row r="26" spans="1:18" x14ac:dyDescent="0.3">
      <c r="A26" s="7">
        <v>5787486</v>
      </c>
      <c r="B26" s="1">
        <v>0.92</v>
      </c>
      <c r="C26" s="3" t="s">
        <v>3</v>
      </c>
      <c r="D26" s="1">
        <v>0.69399999999999995</v>
      </c>
      <c r="E26" s="1">
        <v>0.56899999999999995</v>
      </c>
      <c r="F26" s="3" t="s">
        <v>3</v>
      </c>
      <c r="G26" s="1">
        <v>0.5</v>
      </c>
      <c r="H26" s="3" t="s">
        <v>3</v>
      </c>
      <c r="I26" s="3" t="s">
        <v>3</v>
      </c>
      <c r="J26" s="9">
        <v>1</v>
      </c>
      <c r="K26" s="3">
        <v>0.69199999999999995</v>
      </c>
      <c r="L26" s="2" t="s">
        <v>3</v>
      </c>
      <c r="M26" s="3">
        <v>1</v>
      </c>
      <c r="P26" s="3">
        <f>(B26+D26+E26+G26+J26+K26+M26-E26-G26)/5</f>
        <v>0.86119999999999997</v>
      </c>
      <c r="R26" s="3">
        <v>0.51119999999999999</v>
      </c>
    </row>
    <row r="27" spans="1:18" x14ac:dyDescent="0.3">
      <c r="A27" s="7">
        <v>6149207</v>
      </c>
      <c r="B27" s="1">
        <v>0.68</v>
      </c>
      <c r="C27" s="3" t="s">
        <v>3</v>
      </c>
      <c r="D27" s="3">
        <v>0.30599999999999999</v>
      </c>
      <c r="E27" s="3">
        <v>0.16700000000000001</v>
      </c>
      <c r="F27" s="3" t="s">
        <v>3</v>
      </c>
      <c r="G27" s="1">
        <v>0.71399999999999997</v>
      </c>
      <c r="H27" s="3" t="s">
        <v>3</v>
      </c>
      <c r="I27" s="3" t="s">
        <v>3</v>
      </c>
      <c r="J27" s="9">
        <v>0.16700000000000001</v>
      </c>
      <c r="K27" s="3">
        <v>0.214</v>
      </c>
      <c r="L27" s="2" t="s">
        <v>3</v>
      </c>
      <c r="M27" s="3">
        <v>0</v>
      </c>
      <c r="P27" s="3">
        <f>(B27+D27+E27+G27+J27+K27+M27-M27-J27)/5</f>
        <v>0.41620000000000001</v>
      </c>
      <c r="R27" s="3">
        <v>0.505</v>
      </c>
    </row>
    <row r="28" spans="1:18" x14ac:dyDescent="0.3">
      <c r="A28" s="7">
        <v>6015911</v>
      </c>
      <c r="B28" s="1">
        <v>0.78</v>
      </c>
      <c r="C28" s="3" t="s">
        <v>3</v>
      </c>
      <c r="D28" s="3">
        <v>0.318</v>
      </c>
      <c r="E28" s="3">
        <v>1</v>
      </c>
      <c r="F28" s="3" t="s">
        <v>3</v>
      </c>
      <c r="G28" s="3">
        <v>0.71399999999999997</v>
      </c>
      <c r="H28" s="3" t="s">
        <v>3</v>
      </c>
      <c r="I28" s="3" t="s">
        <v>3</v>
      </c>
      <c r="J28" s="9">
        <v>1</v>
      </c>
      <c r="K28" s="3">
        <v>1</v>
      </c>
      <c r="L28" s="2" t="s">
        <v>3</v>
      </c>
      <c r="M28" s="3">
        <v>1</v>
      </c>
      <c r="P28" s="3">
        <f>(B28+D28+E28+G28+J28+K28+M28-D28-G28)/5</f>
        <v>0.95599999999999985</v>
      </c>
      <c r="R28" s="3">
        <v>0.48049999999999998</v>
      </c>
    </row>
    <row r="29" spans="1:18" x14ac:dyDescent="0.3">
      <c r="A29" s="7" t="s">
        <v>26</v>
      </c>
      <c r="B29" s="1"/>
      <c r="C29" s="3"/>
      <c r="D29" s="3">
        <v>0.66500000000000004</v>
      </c>
      <c r="E29" s="3">
        <v>0.33300000000000002</v>
      </c>
      <c r="F29" s="3" t="s">
        <v>3</v>
      </c>
      <c r="G29" s="1">
        <v>0.57099999999999995</v>
      </c>
      <c r="H29" s="3" t="s">
        <v>3</v>
      </c>
      <c r="I29" s="3" t="s">
        <v>3</v>
      </c>
      <c r="J29" s="1">
        <v>0</v>
      </c>
      <c r="K29" s="3">
        <v>0</v>
      </c>
      <c r="L29" s="2" t="s">
        <v>3</v>
      </c>
      <c r="M29" s="3">
        <v>0.35299999999999998</v>
      </c>
      <c r="P29" s="3">
        <f>(D29+E29+G29+J29+K29+M29-J29-K29)/4</f>
        <v>0.48049999999999998</v>
      </c>
      <c r="R29" s="3">
        <v>0.46980000000000005</v>
      </c>
    </row>
    <row r="30" spans="1:18" x14ac:dyDescent="0.3">
      <c r="A30" s="7">
        <v>6883813</v>
      </c>
      <c r="B30" s="1">
        <v>0.52</v>
      </c>
      <c r="C30" s="5" t="s">
        <v>4</v>
      </c>
      <c r="D30" s="3">
        <v>0.77500000000000002</v>
      </c>
      <c r="E30" s="1">
        <v>0</v>
      </c>
      <c r="F30" s="5" t="s">
        <v>4</v>
      </c>
      <c r="G30" s="3">
        <v>0.42899999999999999</v>
      </c>
      <c r="H30" s="3" t="s">
        <v>3</v>
      </c>
      <c r="I30" s="3" t="s">
        <v>3</v>
      </c>
      <c r="J30" s="1">
        <v>1</v>
      </c>
      <c r="K30" s="3">
        <v>0.71399999999999997</v>
      </c>
      <c r="L30" s="2" t="s">
        <v>3</v>
      </c>
      <c r="M30" s="3">
        <v>0.13300000000000001</v>
      </c>
      <c r="P30" s="3">
        <f>(B30+D30+E30+G30+J30+K30+M30-M30-E30)/5</f>
        <v>0.68759999999999999</v>
      </c>
      <c r="R30" s="3">
        <v>0.46</v>
      </c>
    </row>
    <row r="31" spans="1:18" x14ac:dyDescent="0.3">
      <c r="A31" s="7">
        <v>5849203</v>
      </c>
      <c r="B31" s="3">
        <v>0.2</v>
      </c>
      <c r="C31" s="3" t="s">
        <v>3</v>
      </c>
      <c r="D31" s="3">
        <v>0.22</v>
      </c>
      <c r="E31" s="1">
        <v>0.216</v>
      </c>
      <c r="F31" s="3" t="s">
        <v>3</v>
      </c>
      <c r="G31" s="1">
        <v>0.85699999999999998</v>
      </c>
      <c r="H31" s="3" t="s">
        <v>3</v>
      </c>
      <c r="I31" s="3" t="s">
        <v>3</v>
      </c>
      <c r="J31" s="1">
        <v>0.82599999999999996</v>
      </c>
      <c r="K31" s="3">
        <v>0</v>
      </c>
      <c r="L31" s="12" t="s">
        <v>4</v>
      </c>
      <c r="M31" s="3">
        <v>0.84599999999999997</v>
      </c>
      <c r="P31" s="3">
        <f>(B31+D31+E31+G31+J31+K31+M31-K31-B31)/5</f>
        <v>0.59299999999999997</v>
      </c>
      <c r="R31" s="3">
        <v>0.42719999999999991</v>
      </c>
    </row>
    <row r="32" spans="1:18" x14ac:dyDescent="0.3">
      <c r="A32" s="7">
        <v>5273305</v>
      </c>
      <c r="B32" s="1">
        <v>0.42</v>
      </c>
      <c r="C32" s="3" t="s">
        <v>3</v>
      </c>
      <c r="D32" s="3">
        <v>0.33500000000000002</v>
      </c>
      <c r="E32" s="1">
        <v>0.41199999999999998</v>
      </c>
      <c r="F32" s="3"/>
      <c r="G32" s="3">
        <v>0.42899999999999999</v>
      </c>
      <c r="H32" s="3" t="s">
        <v>3</v>
      </c>
      <c r="I32" s="3" t="s">
        <v>3</v>
      </c>
      <c r="J32" s="3">
        <v>0.28100000000000003</v>
      </c>
      <c r="K32" s="3">
        <v>0.92900000000000005</v>
      </c>
      <c r="L32" s="2" t="s">
        <v>3</v>
      </c>
      <c r="M32" s="3">
        <v>0.28000000000000003</v>
      </c>
      <c r="P32" s="3">
        <f>(B32+D32+E32+G32+J32+K32+M32-M32-J32)/5</f>
        <v>0.505</v>
      </c>
      <c r="R32" s="3">
        <v>0.41620000000000001</v>
      </c>
    </row>
    <row r="33" spans="1:18" x14ac:dyDescent="0.3">
      <c r="A33" s="7">
        <v>5095591</v>
      </c>
      <c r="B33" s="1">
        <v>0.64</v>
      </c>
      <c r="C33" s="3" t="s">
        <v>3</v>
      </c>
      <c r="D33" s="3">
        <v>7.4999999999999997E-2</v>
      </c>
      <c r="E33" s="3">
        <v>0</v>
      </c>
      <c r="F33" s="3" t="s">
        <v>3</v>
      </c>
      <c r="G33" s="3">
        <v>7.0999999999999994E-2</v>
      </c>
      <c r="H33" s="3" t="s">
        <v>3</v>
      </c>
      <c r="I33" s="3" t="s">
        <v>3</v>
      </c>
      <c r="J33" s="1">
        <v>0.91300000000000003</v>
      </c>
      <c r="K33" s="3">
        <v>0.308</v>
      </c>
      <c r="L33" s="12" t="s">
        <v>4</v>
      </c>
      <c r="M33" s="3">
        <v>0.2</v>
      </c>
      <c r="P33" s="3">
        <f>(B33+D33+E33+G33+J33+K33+M33-G33-E33)/5</f>
        <v>0.42719999999999991</v>
      </c>
      <c r="R33" s="3">
        <v>0.29799999999999999</v>
      </c>
    </row>
    <row r="34" spans="1:18" x14ac:dyDescent="0.3">
      <c r="A34" s="7">
        <v>5179007</v>
      </c>
      <c r="B34" s="3">
        <v>0.58399999999999996</v>
      </c>
      <c r="C34" s="3" t="s">
        <v>3</v>
      </c>
      <c r="D34" s="3">
        <v>0.53800000000000003</v>
      </c>
      <c r="E34" s="1">
        <v>0.49</v>
      </c>
      <c r="F34" s="3" t="s">
        <v>3</v>
      </c>
      <c r="G34" s="1">
        <v>0.28599999999999998</v>
      </c>
      <c r="H34" s="3" t="s">
        <v>3</v>
      </c>
      <c r="I34" s="3" t="s">
        <v>3</v>
      </c>
      <c r="J34" s="1">
        <v>0</v>
      </c>
      <c r="K34" s="3">
        <v>1</v>
      </c>
      <c r="L34" s="2" t="s">
        <v>3</v>
      </c>
      <c r="M34" s="3">
        <v>1</v>
      </c>
      <c r="P34" s="3">
        <f>(B34+D34+E34+G34+J34+K34+M34-G34-J34)/5</f>
        <v>0.72239999999999993</v>
      </c>
      <c r="R34" s="3">
        <v>0.2656</v>
      </c>
    </row>
    <row r="35" spans="1:18" x14ac:dyDescent="0.3">
      <c r="B35" s="3"/>
      <c r="C35" s="3"/>
      <c r="D35" s="3"/>
      <c r="E35" s="3"/>
      <c r="F35" s="3"/>
      <c r="G35" s="3"/>
      <c r="H35" s="3"/>
      <c r="I35" s="3"/>
      <c r="J35" s="3"/>
    </row>
    <row r="36" spans="1:18" x14ac:dyDescent="0.3">
      <c r="B36" s="1" t="s">
        <v>1</v>
      </c>
      <c r="C36" s="3"/>
      <c r="D36" s="1" t="s">
        <v>6</v>
      </c>
      <c r="E36" s="1" t="s">
        <v>8</v>
      </c>
      <c r="F36" s="3"/>
      <c r="G36" s="1" t="s">
        <v>11</v>
      </c>
      <c r="H36" s="3"/>
      <c r="I36" s="3"/>
      <c r="J36" s="1" t="s">
        <v>17</v>
      </c>
    </row>
    <row r="37" spans="1:18" x14ac:dyDescent="0.3">
      <c r="B37" s="3"/>
      <c r="C37" s="3"/>
      <c r="D37" s="3"/>
      <c r="E37" s="3"/>
      <c r="F37" s="3"/>
      <c r="G37" s="1" t="s">
        <v>12</v>
      </c>
      <c r="H37" s="3"/>
      <c r="I37" s="3"/>
      <c r="J37" s="9" t="s">
        <v>18</v>
      </c>
    </row>
    <row r="38" spans="1:18" x14ac:dyDescent="0.3">
      <c r="B38" s="3"/>
      <c r="C38" s="3"/>
      <c r="D38" s="3"/>
      <c r="E38" s="3"/>
      <c r="F38" s="3"/>
      <c r="G38" s="3"/>
      <c r="H38" s="3"/>
      <c r="I38" s="3"/>
      <c r="J38" s="3" t="s">
        <v>19</v>
      </c>
    </row>
    <row r="39" spans="1:18" x14ac:dyDescent="0.3">
      <c r="B39" s="3"/>
      <c r="C39" s="3"/>
      <c r="D39" s="3"/>
      <c r="E39" s="3"/>
      <c r="F39" s="3"/>
      <c r="G39" s="3"/>
      <c r="H39" s="3"/>
      <c r="I39" s="3"/>
      <c r="J39" s="3"/>
    </row>
    <row r="40" spans="1:18" x14ac:dyDescent="0.3">
      <c r="B40" s="3"/>
      <c r="C40" s="3"/>
      <c r="D40" s="3"/>
      <c r="E40" s="3"/>
      <c r="F40" s="3"/>
      <c r="G40" s="3"/>
      <c r="H40" s="3"/>
      <c r="I40" s="3"/>
      <c r="J40" s="3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3"/>
  <cols>
    <col min="1" max="256" width="11.074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3"/>
  <cols>
    <col min="1" max="256" width="11.074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UCSB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Trial User</dc:creator>
  <cp:lastModifiedBy>Carina Negreanu</cp:lastModifiedBy>
  <dcterms:created xsi:type="dcterms:W3CDTF">2004-01-10T05:07:52Z</dcterms:created>
  <dcterms:modified xsi:type="dcterms:W3CDTF">2020-01-27T11:40:07Z</dcterms:modified>
</cp:coreProperties>
</file>