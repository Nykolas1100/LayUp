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AEC69C2-1531-4B5E-89F8-DE010D9E7402}" xr6:coauthVersionLast="45" xr6:coauthVersionMax="45" xr10:uidLastSave="{00000000-0000-0000-0000-000000000000}"/>
  <bookViews>
    <workbookView xWindow="380" yWindow="380" windowWidth="28800" windowHeight="15460"/>
  </bookViews>
  <sheets>
    <sheet name="BS" sheetId="1" r:id="rId1"/>
    <sheet name="PL" sheetId="2" r:id="rId2"/>
    <sheet name="EQUITAS" sheetId="3" r:id="rId3"/>
    <sheet name="CF" sheetId="4" r:id="rId4"/>
  </sheets>
  <definedNames>
    <definedName name="_xlnm.Print_Area" localSheetId="0">BS!$B$1:$H$165</definedName>
    <definedName name="_xlnm.Print_Area" localSheetId="3">CF!$A$1:$G$61</definedName>
    <definedName name="_xlnm.Print_Area" localSheetId="2">EQUITAS!$A$1:$I$28</definedName>
    <definedName name="_xlnm.Print_Area" localSheetId="1">PL!$B$1:$H$72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1" i="4" l="1"/>
  <c r="G40" i="4"/>
</calcChain>
</file>

<file path=xl/sharedStrings.xml><?xml version="1.0" encoding="utf-8"?>
<sst xmlns="http://schemas.openxmlformats.org/spreadsheetml/2006/main" count="288" uniqueCount="194">
  <si>
    <t>PT INDONEXCHANGE Tbk.</t>
  </si>
  <si>
    <t>PT INDONEXCHANGE  Tbk.</t>
  </si>
  <si>
    <t>DAN PERUSAHAAN ANAK</t>
  </si>
  <si>
    <t>AND SUBSIDIARIES</t>
  </si>
  <si>
    <t>NERACA KONSOLODASI</t>
  </si>
  <si>
    <t>CONSOLIDATED BALANCE SHEETS</t>
  </si>
  <si>
    <t>PER 31 DESEMBER 2002 DAN 2001</t>
  </si>
  <si>
    <t>AS OF DECEMBER 31,2002 AND 2001</t>
  </si>
  <si>
    <t>(Dalam Rupiah)</t>
  </si>
  <si>
    <t>(In Rupiah )</t>
  </si>
  <si>
    <t>2001</t>
  </si>
  <si>
    <t>Notes</t>
  </si>
  <si>
    <t>ASSETS</t>
  </si>
  <si>
    <t>Current Assets</t>
  </si>
  <si>
    <t>2c, 2d, 3</t>
  </si>
  <si>
    <t>Cash and equivalents</t>
  </si>
  <si>
    <t>Short term investment</t>
  </si>
  <si>
    <t>Account receivable</t>
  </si>
  <si>
    <t>2d, 2e, 5</t>
  </si>
  <si>
    <t>Third parties</t>
  </si>
  <si>
    <t>Other receivables</t>
  </si>
  <si>
    <t>2e, 6</t>
  </si>
  <si>
    <t>Advances</t>
  </si>
  <si>
    <t>8a</t>
  </si>
  <si>
    <t>Prepaid taxes</t>
  </si>
  <si>
    <t>Prepaid expenses</t>
  </si>
  <si>
    <t>Total Current Assets</t>
  </si>
  <si>
    <t>Non Current Assets</t>
  </si>
  <si>
    <t>2m, 8d</t>
  </si>
  <si>
    <t>Deffered tax assets</t>
  </si>
  <si>
    <t>10a</t>
  </si>
  <si>
    <t>Due from relalated parties</t>
  </si>
  <si>
    <t>2f , 11</t>
  </si>
  <si>
    <t>Long term investment</t>
  </si>
  <si>
    <t>Fixed assets</t>
  </si>
  <si>
    <t>( Net accumulated depreciation amounting to</t>
  </si>
  <si>
    <t>Rp  3.289.848.820  and  Rp  2.105.758.741</t>
  </si>
  <si>
    <t>2g,12</t>
  </si>
  <si>
    <t>as of December 31,2002 and 2001 )</t>
  </si>
  <si>
    <t>Goodwill</t>
  </si>
  <si>
    <t>2h , 13</t>
  </si>
  <si>
    <t>Other  assets :</t>
  </si>
  <si>
    <t>2i, 14</t>
  </si>
  <si>
    <t>Website development cost</t>
  </si>
  <si>
    <t>Refundable deposit</t>
  </si>
  <si>
    <t>Others</t>
  </si>
  <si>
    <t>Total Non Currents Assets</t>
  </si>
  <si>
    <t>TOTAL ASSETS</t>
  </si>
  <si>
    <t>Lihat Catatan atas Laporan Keuangan Konsolidasi yang merupakan</t>
  </si>
  <si>
    <t>See accompanying Notes to Consolidated Financial Statements</t>
  </si>
  <si>
    <t>bagian yang tidak terpisahkan dari laporan keuangan konsolidasi</t>
  </si>
  <si>
    <t>which are an integral part of the consolidated</t>
  </si>
  <si>
    <t>secara keseluruhan</t>
  </si>
  <si>
    <t>financial statements</t>
  </si>
  <si>
    <t>( In Rupiah )</t>
  </si>
  <si>
    <t>LIABILITIES, MINORITY INTEREST AND SHAREHOLDERS EQUTY</t>
  </si>
  <si>
    <t>Current Liabilities</t>
  </si>
  <si>
    <t>Trade payables</t>
  </si>
  <si>
    <t>2d, 17</t>
  </si>
  <si>
    <t>8b</t>
  </si>
  <si>
    <t>Taxes payable</t>
  </si>
  <si>
    <t>Unearned income</t>
  </si>
  <si>
    <t>Accrued expenses</t>
  </si>
  <si>
    <t>Total Current Liabilities</t>
  </si>
  <si>
    <t>Non Current Liabilities</t>
  </si>
  <si>
    <t>Deffered tax liabilities</t>
  </si>
  <si>
    <t>Due to related parties</t>
  </si>
  <si>
    <t>Total Non Current Liabilities</t>
  </si>
  <si>
    <t>2b , 20</t>
  </si>
  <si>
    <t>Minority Interest</t>
  </si>
  <si>
    <t>Shareholders'Equity</t>
  </si>
  <si>
    <t>Share Capital</t>
  </si>
  <si>
    <t>Authorized capital consist of 4,000,000,000 shares</t>
  </si>
  <si>
    <t>as of December 31,2002 and 2001</t>
  </si>
  <si>
    <t>with nominal value of Rp 25 per share as of December 31,2002 and 2001</t>
  </si>
  <si>
    <t>Issued and fully paid amounted to 1,226,650,000 sharess</t>
  </si>
  <si>
    <t>Additional paid in capital</t>
  </si>
  <si>
    <t>Accumulated losses</t>
  </si>
  <si>
    <t>Total Shareholders'Equity</t>
  </si>
  <si>
    <t xml:space="preserve">TOTAL LIABILITIES,MINORITY INTEREST </t>
  </si>
  <si>
    <t>AND SHAREHOLDERS' EQUITY</t>
  </si>
  <si>
    <t>LAPORAN  LABA RUGI  KONSOLIDASI</t>
  </si>
  <si>
    <t>CONSOLIDATED STATEMENT OF INCOME</t>
  </si>
  <si>
    <t>UNTUK TAHUN-TAHUN YANG BERAKHIR 31 DESEMBER 2002 DAN 2001</t>
  </si>
  <si>
    <t>FOR THE YEARS ENDED DECEMBER 31,2002 AND 2001</t>
  </si>
  <si>
    <t>Rp</t>
  </si>
  <si>
    <t>PENDAPATAN</t>
  </si>
  <si>
    <t>REVENUE</t>
  </si>
  <si>
    <t>Network to network</t>
  </si>
  <si>
    <t>2l , 23</t>
  </si>
  <si>
    <t>Financial  Portal</t>
  </si>
  <si>
    <t>Total revenue</t>
  </si>
  <si>
    <t>BEBAN POKOK PENJUALAN</t>
  </si>
  <si>
    <t>2l, 24</t>
  </si>
  <si>
    <t>COST OF SALES</t>
  </si>
  <si>
    <t>LABA KOTOR</t>
  </si>
  <si>
    <t>GROSS PROFIT</t>
  </si>
  <si>
    <t>BEBAN USAHA</t>
  </si>
  <si>
    <t>OPERATING EXPENSES</t>
  </si>
  <si>
    <t>2l, 25</t>
  </si>
  <si>
    <t>General and administration Expenses</t>
  </si>
  <si>
    <t>2l, 26</t>
  </si>
  <si>
    <t>Selling expenses</t>
  </si>
  <si>
    <t>Jumlah Beban Usaha</t>
  </si>
  <si>
    <t>Total Operating Expenses</t>
  </si>
  <si>
    <t>RUGI USAHA</t>
  </si>
  <si>
    <t>OPERATING LOSS</t>
  </si>
  <si>
    <t>PENDAPATAN (BEBAN) LAIN-LAIN</t>
  </si>
  <si>
    <t>OTHER INCOME (EXPENSES)</t>
  </si>
  <si>
    <t>RUGI SEBELUM PAJAK PENGHASILAN</t>
  </si>
  <si>
    <t>LOSS BEFORE INCOME TAX</t>
  </si>
  <si>
    <t>PAJAK PENGHASILAN</t>
  </si>
  <si>
    <t>INCOME TAX</t>
  </si>
  <si>
    <t>Current</t>
  </si>
  <si>
    <t>2m, 7d</t>
  </si>
  <si>
    <t>Deffred</t>
  </si>
  <si>
    <t>Total Deffered Tax Benefit (expenses)</t>
  </si>
  <si>
    <t>RUGI DARI AKTIVITAS NORMAL</t>
  </si>
  <si>
    <t>LOSS FROM NORMAL ACTIVITIES</t>
  </si>
  <si>
    <t>POS LUAR BIASA - bersih setelah pajak</t>
  </si>
  <si>
    <t>EXTRADIONARY ITEM - Net after tax</t>
  </si>
  <si>
    <t>RUGI  SEBELUM HAK MINORITAS ATAS</t>
  </si>
  <si>
    <t>INCOME  (LOSS)  BEFORE MINORITY</t>
  </si>
  <si>
    <t>INTEREST IN NET INCOME OF THE SUBSIDIARIES</t>
  </si>
  <si>
    <t>HAK MINORITAS ATAS LABA BERSIH</t>
  </si>
  <si>
    <t>MINORITY INTEREST IN NET INCOME OF THE</t>
  </si>
  <si>
    <t>2b,19</t>
  </si>
  <si>
    <t>SUBSIDIARIES</t>
  </si>
  <si>
    <t>RUGI BERSIH</t>
  </si>
  <si>
    <t>NET LOSS</t>
  </si>
  <si>
    <t>Laba  (Rugi) per Saham Dasar</t>
  </si>
  <si>
    <t>2o, 28</t>
  </si>
  <si>
    <t>Primary Income (loss)per share</t>
  </si>
  <si>
    <t>Operating loss per share</t>
  </si>
  <si>
    <t>Net loss per share  before extradionary item</t>
  </si>
  <si>
    <t xml:space="preserve">Net loss per share  </t>
  </si>
  <si>
    <t>Laba  (Rugi) per Saham Dilusian</t>
  </si>
  <si>
    <t>Diluted Income (loss)per share</t>
  </si>
  <si>
    <t>Operating loss per diluted share</t>
  </si>
  <si>
    <t>Net loss per diluted share  before extradionary item</t>
  </si>
  <si>
    <t xml:space="preserve">Net loss per diluted share  </t>
  </si>
  <si>
    <t>2.l , 23</t>
  </si>
  <si>
    <t>2.l, 24</t>
  </si>
  <si>
    <t>2.l, 25</t>
  </si>
  <si>
    <t>2.l, 26</t>
  </si>
  <si>
    <t>2m,7.d</t>
  </si>
  <si>
    <t>2.b ,19</t>
  </si>
  <si>
    <t>2.o , 28</t>
  </si>
  <si>
    <t>Net loss per diluted share before extradionary item</t>
  </si>
  <si>
    <t>CONSOLIDATED STATEMENT OF CHANGE IN SHAREHOLDERS' EQUITY</t>
  </si>
  <si>
    <t>Accumulated</t>
  </si>
  <si>
    <t>Fully Paid Capital</t>
  </si>
  <si>
    <t>Additional</t>
  </si>
  <si>
    <t>Loss</t>
  </si>
  <si>
    <t>Total</t>
  </si>
  <si>
    <t>Paid in Capital</t>
  </si>
  <si>
    <t>Shareholders,</t>
  </si>
  <si>
    <t>Balance as of December 31,2000</t>
  </si>
  <si>
    <t>Issued and Fully paid of shares</t>
  </si>
  <si>
    <t>Prior Period Adjustment</t>
  </si>
  <si>
    <t>Net Loss</t>
  </si>
  <si>
    <t>Balance as of December 31,2001</t>
  </si>
  <si>
    <t>Balance as of December 31,2002</t>
  </si>
  <si>
    <t>(Rp)</t>
  </si>
  <si>
    <t>CONSOLIDATED STATEMENTS OF CASH FLOWS</t>
  </si>
  <si>
    <t>2002</t>
  </si>
  <si>
    <t>CASH FLOWS PROVIDED FROM (USED IN)</t>
  </si>
  <si>
    <t>OPERATING ACTIVITIES</t>
  </si>
  <si>
    <t>Receipt from customer</t>
  </si>
  <si>
    <t>Payment to third parties</t>
  </si>
  <si>
    <t>Payment to employees</t>
  </si>
  <si>
    <t>Receipt from (payment to) tax authorities -net</t>
  </si>
  <si>
    <t>Interest income</t>
  </si>
  <si>
    <t>Other payment</t>
  </si>
  <si>
    <t>Net cash flows used in operating activities</t>
  </si>
  <si>
    <t>INVESTING ACTIVITIES</t>
  </si>
  <si>
    <t>Investment in reksadana</t>
  </si>
  <si>
    <t>Investment in convertible notes</t>
  </si>
  <si>
    <t>Purchase from fixed asset and other asset</t>
  </si>
  <si>
    <t>Net cash flows used in investing activities</t>
  </si>
  <si>
    <t>FINANCING ACTIVITIES</t>
  </si>
  <si>
    <t>Additional Paid in Capital</t>
  </si>
  <si>
    <t>Receipt from (Payment to) related parties</t>
  </si>
  <si>
    <t>Net cash flows provided from financing activities</t>
  </si>
  <si>
    <t xml:space="preserve">NET INCREASE (DECREASE) IN CASH AND </t>
  </si>
  <si>
    <t>CASH EQUIVALENTS</t>
  </si>
  <si>
    <t>CASH AND CASH EQUIVALENTS -</t>
  </si>
  <si>
    <t>BEGINNING OF THE YEAR</t>
  </si>
  <si>
    <t>ENDING OF THE YEAR</t>
  </si>
  <si>
    <t>Cash and cash equivalents consist of :</t>
  </si>
  <si>
    <t>Cash on hand</t>
  </si>
  <si>
    <t>Cash in bank</t>
  </si>
  <si>
    <t>Certificate of Bank Indonesia</t>
  </si>
  <si>
    <t>Time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</si>
</sst>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9" formatCode="_(* #,##0_);_(* \(#,##0\);_(* &quot;-&quot;_);_(@_)"/>
    <numFmt numFmtId="171" formatCode="_(* #,##0.00_);_(* \(#,##0.00\);_(* &quot;-&quot;??_);_(@_)"/>
    <numFmt numFmtId="180" formatCode="_(* #,##0.00_);_(* \(#,##0.00\);_(* &quot;-&quot;_);_(@_)"/>
    <numFmt numFmtId="185" formatCode="_(* #,##0_);_(* \(#,##0\);_(* &quot;-&quot;??_);_(@_)"/>
  </numFmts>
  <fonts count="12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u val="singleAccounting"/>
      <sz val="10"/>
      <name val="Arial"/>
      <family val="2"/>
    </font>
    <font>
      <sz val="10"/>
      <color indexed="8"/>
      <name val="Arial"/>
      <family val="2"/>
    </font>
    <font>
      <u/>
      <sz val="10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9"/>
      <color indexed="8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69" fontId="1" fillId="0" borderId="0" applyFont="0" applyFill="0" applyBorder="0" applyAlignment="0" applyProtection="0"/>
  </cellStyleXfs>
  <cellXfs count="116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3" fillId="2" borderId="0" xfId="0" applyFont="1" applyFill="1"/>
    <xf numFmtId="185" fontId="3" fillId="2" borderId="0" xfId="1" applyNumberFormat="1" applyFont="1" applyFill="1"/>
    <xf numFmtId="169" fontId="3" fillId="2" borderId="0" xfId="2" applyFont="1" applyFill="1"/>
    <xf numFmtId="0" fontId="3" fillId="2" borderId="0" xfId="0" applyFont="1" applyFill="1" applyAlignment="1">
      <alignment horizontal="left"/>
    </xf>
    <xf numFmtId="169" fontId="2" fillId="2" borderId="0" xfId="2" applyFont="1" applyFill="1" applyAlignment="1">
      <alignment horizontal="left"/>
    </xf>
    <xf numFmtId="169" fontId="2" fillId="2" borderId="1" xfId="2" applyFont="1" applyFill="1" applyBorder="1" applyAlignment="1">
      <alignment horizontal="left"/>
    </xf>
    <xf numFmtId="0" fontId="3" fillId="2" borderId="1" xfId="0" applyFont="1" applyFill="1" applyBorder="1"/>
    <xf numFmtId="185" fontId="3" fillId="2" borderId="1" xfId="1" applyNumberFormat="1" applyFont="1" applyFill="1" applyBorder="1"/>
    <xf numFmtId="169" fontId="3" fillId="2" borderId="1" xfId="2" applyFont="1" applyFill="1" applyBorder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1" applyNumberFormat="1" applyFont="1" applyFill="1" applyAlignment="1">
      <alignment horizontal="center"/>
    </xf>
    <xf numFmtId="169" fontId="2" fillId="2" borderId="0" xfId="2" quotePrefix="1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185" fontId="3" fillId="2" borderId="2" xfId="1" applyNumberFormat="1" applyFont="1" applyFill="1" applyBorder="1" applyAlignment="1">
      <alignment horizontal="center"/>
    </xf>
    <xf numFmtId="169" fontId="3" fillId="2" borderId="2" xfId="2" applyFont="1" applyFill="1" applyBorder="1" applyAlignment="1">
      <alignment horizontal="center"/>
    </xf>
    <xf numFmtId="169" fontId="3" fillId="2" borderId="0" xfId="2" applyFont="1" applyFill="1" applyAlignment="1">
      <alignment horizontal="left"/>
    </xf>
    <xf numFmtId="0" fontId="3" fillId="2" borderId="0" xfId="0" quotePrefix="1" applyFont="1" applyFill="1" applyAlignment="1">
      <alignment horizontal="center"/>
    </xf>
    <xf numFmtId="185" fontId="3" fillId="2" borderId="2" xfId="1" applyNumberFormat="1" applyFont="1" applyFill="1" applyBorder="1"/>
    <xf numFmtId="169" fontId="3" fillId="2" borderId="2" xfId="2" applyFont="1" applyFill="1" applyBorder="1"/>
    <xf numFmtId="169" fontId="3" fillId="2" borderId="0" xfId="0" applyNumberFormat="1" applyFont="1" applyFill="1"/>
    <xf numFmtId="169" fontId="2" fillId="2" borderId="0" xfId="2" applyFont="1" applyFill="1" applyBorder="1"/>
    <xf numFmtId="0" fontId="3" fillId="2" borderId="0" xfId="0" applyFont="1" applyFill="1" applyBorder="1"/>
    <xf numFmtId="169" fontId="2" fillId="2" borderId="2" xfId="2" applyFont="1" applyFill="1" applyBorder="1"/>
    <xf numFmtId="185" fontId="3" fillId="2" borderId="0" xfId="0" applyNumberFormat="1" applyFont="1" applyFill="1" applyAlignment="1">
      <alignment horizontal="center"/>
    </xf>
    <xf numFmtId="185" fontId="4" fillId="2" borderId="0" xfId="1" applyNumberFormat="1" applyFont="1" applyFill="1"/>
    <xf numFmtId="169" fontId="4" fillId="2" borderId="0" xfId="2" applyFont="1" applyFill="1"/>
    <xf numFmtId="0" fontId="2" fillId="2" borderId="0" xfId="0" applyFont="1" applyFill="1" applyBorder="1"/>
    <xf numFmtId="169" fontId="2" fillId="2" borderId="3" xfId="2" applyFont="1" applyFill="1" applyBorder="1"/>
    <xf numFmtId="0" fontId="5" fillId="2" borderId="0" xfId="0" applyNumberFormat="1" applyFont="1" applyFill="1" applyAlignment="1"/>
    <xf numFmtId="37" fontId="5" fillId="2" borderId="0" xfId="0" applyNumberFormat="1" applyFont="1" applyFill="1" applyAlignment="1">
      <alignment horizontal="left"/>
    </xf>
    <xf numFmtId="185" fontId="5" fillId="2" borderId="0" xfId="1" applyNumberFormat="1" applyFont="1" applyFill="1" applyAlignment="1"/>
    <xf numFmtId="169" fontId="3" fillId="2" borderId="0" xfId="1" applyNumberFormat="1" applyFont="1" applyFill="1"/>
    <xf numFmtId="169" fontId="3" fillId="2" borderId="0" xfId="2" applyNumberFormat="1" applyFont="1" applyFill="1"/>
    <xf numFmtId="169" fontId="3" fillId="2" borderId="2" xfId="2" applyNumberFormat="1" applyFont="1" applyFill="1" applyBorder="1"/>
    <xf numFmtId="37" fontId="5" fillId="2" borderId="1" xfId="0" applyNumberFormat="1" applyFont="1" applyFill="1" applyBorder="1" applyAlignment="1"/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5" fillId="2" borderId="0" xfId="0" applyNumberFormat="1" applyFont="1" applyFill="1" applyAlignment="1">
      <alignment horizontal="left"/>
    </xf>
    <xf numFmtId="185" fontId="5" fillId="2" borderId="1" xfId="1" applyNumberFormat="1" applyFont="1" applyFill="1" applyBorder="1"/>
    <xf numFmtId="169" fontId="5" fillId="2" borderId="1" xfId="0" applyNumberFormat="1" applyFont="1" applyFill="1" applyBorder="1"/>
    <xf numFmtId="169" fontId="2" fillId="2" borderId="0" xfId="2" applyFont="1" applyFill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169" fontId="3" fillId="2" borderId="0" xfId="2" quotePrefix="1" applyFont="1" applyFill="1" applyAlignment="1">
      <alignment horizontal="center"/>
    </xf>
    <xf numFmtId="185" fontId="3" fillId="2" borderId="0" xfId="1" quotePrefix="1" applyNumberFormat="1" applyFont="1" applyFill="1" applyAlignment="1">
      <alignment horizontal="center"/>
    </xf>
    <xf numFmtId="169" fontId="3" fillId="2" borderId="0" xfId="2" applyFont="1" applyFill="1" applyAlignment="1">
      <alignment horizontal="center"/>
    </xf>
    <xf numFmtId="185" fontId="3" fillId="2" borderId="0" xfId="1" applyNumberFormat="1" applyFont="1" applyFill="1" applyAlignment="1">
      <alignment horizontal="center"/>
    </xf>
    <xf numFmtId="0" fontId="3" fillId="2" borderId="2" xfId="0" applyFont="1" applyFill="1" applyBorder="1"/>
    <xf numFmtId="169" fontId="4" fillId="2" borderId="0" xfId="2" applyFont="1" applyFill="1" applyBorder="1"/>
    <xf numFmtId="185" fontId="4" fillId="2" borderId="0" xfId="1" applyNumberFormat="1" applyFont="1" applyFill="1" applyBorder="1"/>
    <xf numFmtId="169" fontId="6" fillId="2" borderId="0" xfId="2" applyFont="1" applyFill="1"/>
    <xf numFmtId="169" fontId="3" fillId="2" borderId="0" xfId="2" applyFont="1" applyFill="1" applyBorder="1"/>
    <xf numFmtId="185" fontId="3" fillId="2" borderId="0" xfId="1" applyNumberFormat="1" applyFont="1" applyFill="1" applyBorder="1"/>
    <xf numFmtId="185" fontId="2" fillId="2" borderId="0" xfId="1" applyNumberFormat="1" applyFont="1" applyFill="1"/>
    <xf numFmtId="180" fontId="3" fillId="2" borderId="0" xfId="2" applyNumberFormat="1" applyFont="1" applyFill="1"/>
    <xf numFmtId="171" fontId="3" fillId="2" borderId="0" xfId="1" applyFont="1" applyFill="1"/>
    <xf numFmtId="169" fontId="3" fillId="2" borderId="1" xfId="2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180" fontId="3" fillId="2" borderId="1" xfId="2" applyNumberFormat="1" applyFont="1" applyFill="1" applyBorder="1"/>
    <xf numFmtId="171" fontId="3" fillId="2" borderId="1" xfId="1" applyFont="1" applyFill="1" applyBorder="1"/>
    <xf numFmtId="0" fontId="3" fillId="2" borderId="0" xfId="0" applyFont="1" applyFill="1" applyBorder="1" applyAlignment="1">
      <alignment horizontal="left"/>
    </xf>
    <xf numFmtId="185" fontId="2" fillId="2" borderId="3" xfId="1" applyNumberFormat="1" applyFont="1" applyFill="1" applyBorder="1"/>
    <xf numFmtId="0" fontId="7" fillId="2" borderId="0" xfId="0" applyFont="1" applyFill="1" applyAlignment="1">
      <alignment horizontal="left"/>
    </xf>
    <xf numFmtId="0" fontId="7" fillId="2" borderId="0" xfId="0" applyFont="1" applyFill="1"/>
    <xf numFmtId="169" fontId="7" fillId="2" borderId="0" xfId="2" applyFont="1" applyFill="1" applyAlignment="1">
      <alignment horizontal="left"/>
    </xf>
    <xf numFmtId="169" fontId="7" fillId="2" borderId="1" xfId="2" applyFont="1" applyFill="1" applyBorder="1" applyAlignment="1">
      <alignment horizontal="left"/>
    </xf>
    <xf numFmtId="0" fontId="7" fillId="2" borderId="1" xfId="0" applyFont="1" applyFill="1" applyBorder="1"/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169" fontId="3" fillId="2" borderId="3" xfId="2" applyFont="1" applyFill="1" applyBorder="1"/>
    <xf numFmtId="169" fontId="3" fillId="2" borderId="4" xfId="2" applyFont="1" applyFill="1" applyBorder="1"/>
    <xf numFmtId="37" fontId="9" fillId="2" borderId="0" xfId="0" applyNumberFormat="1" applyFont="1" applyFill="1" applyAlignment="1">
      <alignment horizontal="left"/>
    </xf>
    <xf numFmtId="0" fontId="10" fillId="2" borderId="0" xfId="0" applyFont="1" applyFill="1"/>
    <xf numFmtId="0" fontId="9" fillId="2" borderId="0" xfId="0" applyNumberFormat="1" applyFont="1" applyFill="1" applyAlignment="1"/>
    <xf numFmtId="0" fontId="3" fillId="0" borderId="0" xfId="0" applyFont="1"/>
    <xf numFmtId="169" fontId="3" fillId="0" borderId="0" xfId="2" applyFont="1"/>
    <xf numFmtId="185" fontId="3" fillId="0" borderId="0" xfId="1" applyNumberFormat="1" applyFont="1"/>
    <xf numFmtId="0" fontId="2" fillId="0" borderId="0" xfId="0" applyFont="1"/>
    <xf numFmtId="0" fontId="5" fillId="2" borderId="0" xfId="0" applyFont="1" applyFill="1"/>
    <xf numFmtId="185" fontId="5" fillId="2" borderId="0" xfId="1" applyNumberFormat="1" applyFont="1" applyFill="1"/>
    <xf numFmtId="0" fontId="11" fillId="2" borderId="0" xfId="0" applyFont="1" applyFill="1"/>
    <xf numFmtId="185" fontId="11" fillId="2" borderId="0" xfId="1" applyNumberFormat="1" applyFont="1" applyFill="1"/>
    <xf numFmtId="0" fontId="3" fillId="0" borderId="0" xfId="0" applyFont="1" applyAlignment="1">
      <alignment horizontal="left"/>
    </xf>
    <xf numFmtId="0" fontId="2" fillId="0" borderId="1" xfId="0" applyFont="1" applyBorder="1"/>
    <xf numFmtId="0" fontId="11" fillId="2" borderId="1" xfId="0" applyFont="1" applyFill="1" applyBorder="1"/>
    <xf numFmtId="185" fontId="11" fillId="2" borderId="1" xfId="1" applyNumberFormat="1" applyFont="1" applyFill="1" applyBorder="1"/>
    <xf numFmtId="0" fontId="2" fillId="0" borderId="0" xfId="0" applyFont="1" applyAlignment="1">
      <alignment horizontal="center"/>
    </xf>
    <xf numFmtId="185" fontId="11" fillId="2" borderId="0" xfId="1" quotePrefix="1" applyNumberFormat="1" applyFont="1" applyFill="1" applyAlignment="1">
      <alignment horizontal="center"/>
    </xf>
    <xf numFmtId="0" fontId="11" fillId="2" borderId="0" xfId="0" quotePrefix="1" applyFont="1" applyFill="1" applyAlignment="1">
      <alignment horizontal="center"/>
    </xf>
    <xf numFmtId="185" fontId="11" fillId="2" borderId="2" xfId="1" applyNumberFormat="1" applyFont="1" applyFill="1" applyBorder="1" applyAlignment="1">
      <alignment horizontal="center"/>
    </xf>
    <xf numFmtId="185" fontId="11" fillId="2" borderId="0" xfId="1" applyNumberFormat="1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5" fillId="2" borderId="0" xfId="0" applyFont="1" applyFill="1" applyAlignment="1"/>
    <xf numFmtId="37" fontId="11" fillId="2" borderId="0" xfId="0" applyNumberFormat="1" applyFont="1" applyFill="1"/>
    <xf numFmtId="169" fontId="2" fillId="0" borderId="3" xfId="0" applyNumberFormat="1" applyFont="1" applyBorder="1"/>
    <xf numFmtId="169" fontId="2" fillId="0" borderId="0" xfId="0" applyNumberFormat="1" applyFont="1" applyBorder="1"/>
    <xf numFmtId="0" fontId="3" fillId="0" borderId="0" xfId="0" applyFont="1" applyAlignment="1">
      <alignment horizontal="center"/>
    </xf>
    <xf numFmtId="169" fontId="2" fillId="0" borderId="3" xfId="2" applyFont="1" applyBorder="1"/>
    <xf numFmtId="169" fontId="2" fillId="0" borderId="0" xfId="2" applyFont="1" applyBorder="1"/>
    <xf numFmtId="0" fontId="3" fillId="0" borderId="1" xfId="0" applyFont="1" applyBorder="1"/>
    <xf numFmtId="185" fontId="3" fillId="0" borderId="1" xfId="1" applyNumberFormat="1" applyFont="1" applyFill="1" applyBorder="1"/>
    <xf numFmtId="169" fontId="3" fillId="0" borderId="1" xfId="2" applyFont="1" applyBorder="1"/>
    <xf numFmtId="171" fontId="3" fillId="0" borderId="0" xfId="1" applyFont="1"/>
    <xf numFmtId="0" fontId="2" fillId="0" borderId="0" xfId="0" applyFont="1" applyAlignment="1">
      <alignment horizontal="left"/>
    </xf>
    <xf numFmtId="169" fontId="2" fillId="0" borderId="0" xfId="2" applyFont="1" applyAlignment="1">
      <alignment horizontal="left"/>
    </xf>
    <xf numFmtId="0" fontId="11" fillId="2" borderId="0" xfId="0" applyFont="1" applyFill="1" applyAlignment="1">
      <alignment horizontal="left"/>
    </xf>
    <xf numFmtId="169" fontId="11" fillId="2" borderId="0" xfId="0" applyNumberFormat="1" applyFont="1" applyFill="1" applyAlignment="1">
      <alignment horizontal="left"/>
    </xf>
    <xf numFmtId="169" fontId="11" fillId="2" borderId="1" xfId="0" applyNumberFormat="1" applyFont="1" applyFill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0"/>
  <sheetViews>
    <sheetView tabSelected="1" topLeftCell="A169" zoomScaleNormal="100" zoomScaleSheetLayoutView="75" workbookViewId="0">
      <selection activeCell="B1" sqref="B1"/>
    </sheetView>
  </sheetViews>
  <sheetFormatPr defaultColWidth="9.1796875" defaultRowHeight="12.5" x14ac:dyDescent="0.25"/>
  <cols>
    <col min="1" max="1" width="0.1796875" style="3" customWidth="1"/>
    <col min="2" max="2" width="3.54296875" style="3" customWidth="1"/>
    <col min="3" max="3" width="44.54296875" style="3" customWidth="1"/>
    <col min="4" max="4" width="9.54296875" style="3" customWidth="1"/>
    <col min="5" max="5" width="1.453125" style="3" customWidth="1"/>
    <col min="6" max="6" width="18.453125" style="4" customWidth="1"/>
    <col min="7" max="7" width="1.1796875" style="3" customWidth="1"/>
    <col min="8" max="8" width="17.81640625" style="5" bestFit="1" customWidth="1"/>
    <col min="9" max="16" width="9.1796875" style="6"/>
    <col min="17" max="16384" width="9.1796875" style="3"/>
  </cols>
  <sheetData>
    <row r="1" spans="1:8" ht="13" x14ac:dyDescent="0.3">
      <c r="A1" s="1" t="s">
        <v>0</v>
      </c>
      <c r="B1" s="2" t="s">
        <v>1</v>
      </c>
    </row>
    <row r="2" spans="1:8" ht="13" x14ac:dyDescent="0.3">
      <c r="A2" s="1" t="s">
        <v>2</v>
      </c>
      <c r="B2" s="7" t="s">
        <v>3</v>
      </c>
    </row>
    <row r="3" spans="1:8" ht="13" x14ac:dyDescent="0.3">
      <c r="A3" s="1" t="s">
        <v>4</v>
      </c>
      <c r="B3" s="7" t="s">
        <v>5</v>
      </c>
    </row>
    <row r="4" spans="1:8" ht="13" x14ac:dyDescent="0.3">
      <c r="A4" s="1" t="s">
        <v>6</v>
      </c>
      <c r="B4" s="7" t="s">
        <v>7</v>
      </c>
    </row>
    <row r="5" spans="1:8" ht="13" x14ac:dyDescent="0.3">
      <c r="B5" s="7"/>
    </row>
    <row r="6" spans="1:8" ht="13.5" thickBot="1" x14ac:dyDescent="0.35">
      <c r="A6" s="1" t="s">
        <v>8</v>
      </c>
      <c r="B6" s="8" t="s">
        <v>9</v>
      </c>
      <c r="C6" s="9"/>
      <c r="D6" s="9"/>
      <c r="E6" s="9"/>
      <c r="F6" s="10"/>
      <c r="G6" s="9"/>
      <c r="H6" s="11"/>
    </row>
    <row r="7" spans="1:8" ht="13" x14ac:dyDescent="0.3">
      <c r="D7" s="12" t="s">
        <v>11</v>
      </c>
      <c r="E7" s="13"/>
      <c r="F7" s="14">
        <v>2002</v>
      </c>
      <c r="G7" s="13"/>
      <c r="H7" s="15" t="s">
        <v>10</v>
      </c>
    </row>
    <row r="8" spans="1:8" ht="4.5" customHeight="1" x14ac:dyDescent="0.25">
      <c r="D8" s="16"/>
      <c r="E8" s="13"/>
      <c r="F8" s="17"/>
      <c r="G8" s="13"/>
      <c r="H8" s="18"/>
    </row>
    <row r="9" spans="1:8" ht="13" x14ac:dyDescent="0.3">
      <c r="A9" s="1"/>
      <c r="B9" s="7" t="s">
        <v>12</v>
      </c>
    </row>
    <row r="10" spans="1:8" ht="13" x14ac:dyDescent="0.3">
      <c r="A10" s="1"/>
      <c r="B10" s="7" t="s">
        <v>13</v>
      </c>
    </row>
    <row r="11" spans="1:8" x14ac:dyDescent="0.25">
      <c r="B11" s="19" t="s">
        <v>15</v>
      </c>
      <c r="D11" s="13" t="s">
        <v>14</v>
      </c>
      <c r="F11" s="4">
        <v>3087840313.6900001</v>
      </c>
      <c r="H11" s="5">
        <v>16181344953</v>
      </c>
    </row>
    <row r="12" spans="1:8" x14ac:dyDescent="0.25">
      <c r="B12" s="19" t="s">
        <v>16</v>
      </c>
      <c r="D12" s="13">
        <v>4</v>
      </c>
      <c r="F12" s="4">
        <v>9268032301.9000015</v>
      </c>
      <c r="H12" s="5">
        <v>0</v>
      </c>
    </row>
    <row r="13" spans="1:8" x14ac:dyDescent="0.25">
      <c r="B13" s="19" t="s">
        <v>17</v>
      </c>
      <c r="D13" s="13"/>
    </row>
    <row r="14" spans="1:8" x14ac:dyDescent="0.25">
      <c r="B14" s="19"/>
      <c r="C14" s="6" t="s">
        <v>19</v>
      </c>
      <c r="D14" s="13" t="s">
        <v>18</v>
      </c>
      <c r="F14" s="4">
        <v>81030555.099999994</v>
      </c>
      <c r="H14" s="5">
        <v>2284463131</v>
      </c>
    </row>
    <row r="15" spans="1:8" x14ac:dyDescent="0.25">
      <c r="B15" s="19" t="s">
        <v>20</v>
      </c>
      <c r="D15" s="13"/>
    </row>
    <row r="16" spans="1:8" x14ac:dyDescent="0.25">
      <c r="B16" s="19"/>
      <c r="C16" s="6" t="s">
        <v>19</v>
      </c>
      <c r="D16" s="13" t="s">
        <v>21</v>
      </c>
      <c r="F16" s="4">
        <v>163859276.28</v>
      </c>
      <c r="H16" s="5">
        <v>462918644</v>
      </c>
    </row>
    <row r="17" spans="1:8" x14ac:dyDescent="0.25">
      <c r="B17" s="6" t="s">
        <v>22</v>
      </c>
      <c r="D17" s="20">
        <v>7</v>
      </c>
      <c r="F17" s="4">
        <v>242203900</v>
      </c>
      <c r="H17" s="5">
        <v>142543256</v>
      </c>
    </row>
    <row r="18" spans="1:8" x14ac:dyDescent="0.25">
      <c r="B18" s="19" t="s">
        <v>24</v>
      </c>
      <c r="D18" s="13" t="s">
        <v>23</v>
      </c>
      <c r="F18" s="4">
        <v>1042357225.38</v>
      </c>
      <c r="H18" s="5">
        <v>839132004</v>
      </c>
    </row>
    <row r="19" spans="1:8" x14ac:dyDescent="0.25">
      <c r="B19" s="19" t="s">
        <v>25</v>
      </c>
      <c r="D19" s="20">
        <v>9</v>
      </c>
      <c r="F19" s="21">
        <v>203845955.34999999</v>
      </c>
      <c r="H19" s="22">
        <v>195952832</v>
      </c>
    </row>
    <row r="20" spans="1:8" ht="5.25" customHeight="1" x14ac:dyDescent="0.25">
      <c r="B20" s="19"/>
    </row>
    <row r="21" spans="1:8" ht="13" x14ac:dyDescent="0.3">
      <c r="B21" s="7" t="s">
        <v>26</v>
      </c>
      <c r="D21" s="23"/>
      <c r="F21" s="24">
        <v>14089169527.700003</v>
      </c>
      <c r="G21" s="25"/>
      <c r="H21" s="24">
        <v>20106354820</v>
      </c>
    </row>
    <row r="22" spans="1:8" ht="6" customHeight="1" x14ac:dyDescent="0.3">
      <c r="B22" s="7"/>
      <c r="D22" s="23"/>
      <c r="F22" s="26"/>
      <c r="H22" s="26"/>
    </row>
    <row r="23" spans="1:8" x14ac:dyDescent="0.25">
      <c r="B23" s="19"/>
    </row>
    <row r="24" spans="1:8" ht="13" x14ac:dyDescent="0.3">
      <c r="A24" s="1"/>
      <c r="B24" s="7" t="s">
        <v>27</v>
      </c>
    </row>
    <row r="25" spans="1:8" x14ac:dyDescent="0.25">
      <c r="B25" s="19" t="s">
        <v>29</v>
      </c>
      <c r="D25" s="27" t="s">
        <v>28</v>
      </c>
      <c r="F25" s="4">
        <v>5188888300.494235</v>
      </c>
      <c r="H25" s="5">
        <v>3305714548</v>
      </c>
    </row>
    <row r="26" spans="1:8" x14ac:dyDescent="0.25">
      <c r="B26" s="19" t="s">
        <v>31</v>
      </c>
      <c r="D26" s="13" t="s">
        <v>30</v>
      </c>
      <c r="F26" s="4">
        <v>4523640</v>
      </c>
      <c r="H26" s="5">
        <v>0</v>
      </c>
    </row>
    <row r="27" spans="1:8" x14ac:dyDescent="0.25">
      <c r="B27" s="19" t="s">
        <v>33</v>
      </c>
      <c r="D27" s="13" t="s">
        <v>32</v>
      </c>
      <c r="F27" s="4">
        <v>4702288956.8000002</v>
      </c>
      <c r="H27" s="5">
        <v>4617272457</v>
      </c>
    </row>
    <row r="28" spans="1:8" x14ac:dyDescent="0.25">
      <c r="B28" s="19" t="s">
        <v>34</v>
      </c>
      <c r="D28" s="13"/>
    </row>
    <row r="29" spans="1:8" x14ac:dyDescent="0.25">
      <c r="B29" s="19"/>
      <c r="C29" s="19" t="s">
        <v>35</v>
      </c>
      <c r="D29" s="13"/>
    </row>
    <row r="30" spans="1:8" x14ac:dyDescent="0.25">
      <c r="B30" s="19"/>
      <c r="C30" s="19" t="s">
        <v>36</v>
      </c>
    </row>
    <row r="31" spans="1:8" x14ac:dyDescent="0.25">
      <c r="B31" s="19"/>
      <c r="C31" s="19" t="s">
        <v>38</v>
      </c>
      <c r="D31" s="13" t="s">
        <v>37</v>
      </c>
      <c r="F31" s="4">
        <v>2743695784.0924997</v>
      </c>
      <c r="H31" s="5">
        <v>2824899600</v>
      </c>
    </row>
    <row r="32" spans="1:8" x14ac:dyDescent="0.25">
      <c r="B32" s="6" t="s">
        <v>39</v>
      </c>
      <c r="D32" s="13" t="s">
        <v>40</v>
      </c>
      <c r="F32" s="4">
        <v>474798093.00333333</v>
      </c>
      <c r="H32" s="5">
        <v>644505557</v>
      </c>
    </row>
    <row r="33" spans="1:16" x14ac:dyDescent="0.25">
      <c r="B33" s="19" t="s">
        <v>41</v>
      </c>
      <c r="D33" s="13"/>
    </row>
    <row r="34" spans="1:16" x14ac:dyDescent="0.25">
      <c r="B34" s="19"/>
      <c r="C34" s="19" t="s">
        <v>43</v>
      </c>
      <c r="D34" s="13" t="s">
        <v>42</v>
      </c>
      <c r="F34" s="4">
        <v>2274571383.48</v>
      </c>
      <c r="H34" s="5">
        <v>2679083057</v>
      </c>
    </row>
    <row r="35" spans="1:16" x14ac:dyDescent="0.25">
      <c r="B35" s="19"/>
      <c r="C35" s="19" t="s">
        <v>44</v>
      </c>
      <c r="D35" s="13">
        <v>15</v>
      </c>
      <c r="F35" s="4">
        <v>153000000</v>
      </c>
      <c r="H35" s="5">
        <v>223459200</v>
      </c>
    </row>
    <row r="36" spans="1:16" x14ac:dyDescent="0.25">
      <c r="B36" s="19"/>
      <c r="C36" s="19" t="s">
        <v>45</v>
      </c>
      <c r="D36" s="13">
        <v>16</v>
      </c>
      <c r="F36" s="21">
        <v>419616512</v>
      </c>
      <c r="H36" s="22">
        <v>560257597</v>
      </c>
    </row>
    <row r="37" spans="1:16" ht="6" customHeight="1" x14ac:dyDescent="0.4">
      <c r="B37" s="19"/>
      <c r="F37" s="28"/>
      <c r="H37" s="29"/>
    </row>
    <row r="38" spans="1:16" s="1" customFormat="1" ht="13" x14ac:dyDescent="0.3">
      <c r="B38" s="7" t="s">
        <v>46</v>
      </c>
      <c r="F38" s="24">
        <v>15961382669.870068</v>
      </c>
      <c r="H38" s="24">
        <v>14855192016</v>
      </c>
      <c r="I38" s="2"/>
      <c r="J38" s="2"/>
      <c r="K38" s="2"/>
      <c r="L38" s="2"/>
      <c r="M38" s="2"/>
      <c r="N38" s="2"/>
      <c r="O38" s="2"/>
      <c r="P38" s="2"/>
    </row>
    <row r="39" spans="1:16" s="1" customFormat="1" ht="6" customHeight="1" x14ac:dyDescent="0.3">
      <c r="B39" s="7"/>
      <c r="F39" s="26"/>
      <c r="G39" s="30"/>
      <c r="H39" s="26"/>
      <c r="I39" s="2"/>
      <c r="J39" s="2"/>
      <c r="K39" s="2"/>
      <c r="L39" s="2"/>
      <c r="M39" s="2"/>
      <c r="N39" s="2"/>
      <c r="O39" s="2"/>
      <c r="P39" s="2"/>
    </row>
    <row r="40" spans="1:16" ht="6.75" customHeight="1" x14ac:dyDescent="0.25">
      <c r="B40" s="19"/>
    </row>
    <row r="41" spans="1:16" ht="13.5" thickBot="1" x14ac:dyDescent="0.35">
      <c r="A41" s="1"/>
      <c r="B41" s="7" t="s">
        <v>47</v>
      </c>
      <c r="F41" s="31">
        <v>30050552197.570068</v>
      </c>
      <c r="H41" s="31">
        <v>34961546836</v>
      </c>
    </row>
    <row r="42" spans="1:16" ht="13" thickTop="1" x14ac:dyDescent="0.25">
      <c r="B42" s="19"/>
    </row>
    <row r="43" spans="1:16" x14ac:dyDescent="0.25">
      <c r="A43" s="32"/>
      <c r="B43" s="33" t="s">
        <v>49</v>
      </c>
    </row>
    <row r="44" spans="1:16" x14ac:dyDescent="0.25">
      <c r="A44" s="32"/>
      <c r="B44" s="33" t="s">
        <v>51</v>
      </c>
      <c r="C44" s="32"/>
      <c r="D44" s="32"/>
      <c r="E44" s="32"/>
      <c r="F44" s="34"/>
      <c r="G44" s="32"/>
      <c r="H44" s="32"/>
    </row>
    <row r="45" spans="1:16" x14ac:dyDescent="0.25">
      <c r="A45" s="32"/>
      <c r="B45" s="33" t="s">
        <v>53</v>
      </c>
      <c r="C45" s="32"/>
      <c r="D45" s="32"/>
      <c r="E45" s="32"/>
      <c r="F45" s="34"/>
      <c r="G45" s="32"/>
      <c r="H45" s="32"/>
    </row>
    <row r="46" spans="1:16" x14ac:dyDescent="0.25">
      <c r="A46" s="32"/>
      <c r="B46" s="33"/>
      <c r="C46" s="32"/>
      <c r="D46" s="32"/>
      <c r="E46" s="32"/>
      <c r="F46" s="34"/>
      <c r="G46" s="32"/>
      <c r="H46" s="32"/>
    </row>
    <row r="47" spans="1:16" ht="13" x14ac:dyDescent="0.3">
      <c r="A47" s="1"/>
      <c r="B47" s="2" t="s">
        <v>1</v>
      </c>
    </row>
    <row r="48" spans="1:16" ht="13" x14ac:dyDescent="0.3">
      <c r="A48" s="1"/>
      <c r="B48" s="7" t="s">
        <v>3</v>
      </c>
    </row>
    <row r="49" spans="1:16" ht="13" x14ac:dyDescent="0.3">
      <c r="A49" s="1"/>
      <c r="B49" s="7" t="s">
        <v>5</v>
      </c>
    </row>
    <row r="50" spans="1:16" ht="13" x14ac:dyDescent="0.3">
      <c r="A50" s="1"/>
      <c r="B50" s="7" t="s">
        <v>7</v>
      </c>
    </row>
    <row r="51" spans="1:16" ht="13" x14ac:dyDescent="0.3">
      <c r="A51" s="1"/>
      <c r="B51" s="19"/>
    </row>
    <row r="52" spans="1:16" ht="13.5" thickBot="1" x14ac:dyDescent="0.35">
      <c r="A52" s="1"/>
      <c r="B52" s="8" t="s">
        <v>54</v>
      </c>
      <c r="C52" s="9"/>
      <c r="D52" s="9"/>
      <c r="E52" s="9"/>
      <c r="F52" s="10"/>
      <c r="G52" s="9"/>
      <c r="H52" s="11"/>
    </row>
    <row r="53" spans="1:16" ht="13" x14ac:dyDescent="0.3">
      <c r="B53" s="19"/>
      <c r="D53" s="12" t="s">
        <v>11</v>
      </c>
      <c r="E53" s="13"/>
      <c r="F53" s="14">
        <v>2002</v>
      </c>
      <c r="G53" s="13"/>
      <c r="H53" s="15" t="s">
        <v>10</v>
      </c>
    </row>
    <row r="54" spans="1:16" ht="4.5" customHeight="1" x14ac:dyDescent="0.25">
      <c r="B54" s="19"/>
      <c r="D54" s="16"/>
      <c r="E54" s="13"/>
      <c r="F54" s="17"/>
      <c r="G54" s="13"/>
      <c r="H54" s="18"/>
    </row>
    <row r="55" spans="1:16" ht="13" x14ac:dyDescent="0.3">
      <c r="A55" s="1"/>
      <c r="B55" s="19" t="s">
        <v>55</v>
      </c>
    </row>
    <row r="56" spans="1:16" ht="13" x14ac:dyDescent="0.3">
      <c r="A56" s="1"/>
      <c r="B56" s="7" t="s">
        <v>56</v>
      </c>
    </row>
    <row r="57" spans="1:16" x14ac:dyDescent="0.25">
      <c r="B57" s="19" t="s">
        <v>57</v>
      </c>
      <c r="F57" s="3"/>
      <c r="H57" s="3"/>
    </row>
    <row r="58" spans="1:16" x14ac:dyDescent="0.25">
      <c r="B58" s="19"/>
      <c r="C58" s="19" t="s">
        <v>19</v>
      </c>
      <c r="D58" s="13" t="s">
        <v>58</v>
      </c>
      <c r="F58" s="4">
        <v>81571541.5</v>
      </c>
      <c r="H58" s="5">
        <v>226291226</v>
      </c>
    </row>
    <row r="59" spans="1:16" x14ac:dyDescent="0.25">
      <c r="B59" s="19" t="s">
        <v>60</v>
      </c>
      <c r="D59" s="13" t="s">
        <v>59</v>
      </c>
      <c r="F59" s="4">
        <v>231548820.94</v>
      </c>
      <c r="H59" s="5">
        <v>770650527</v>
      </c>
    </row>
    <row r="60" spans="1:16" x14ac:dyDescent="0.25">
      <c r="B60" s="19" t="s">
        <v>61</v>
      </c>
      <c r="D60" s="13">
        <v>18</v>
      </c>
      <c r="F60" s="4">
        <v>49267804.850000001</v>
      </c>
      <c r="H60" s="5">
        <v>174647922</v>
      </c>
    </row>
    <row r="61" spans="1:16" x14ac:dyDescent="0.25">
      <c r="B61" s="19" t="s">
        <v>62</v>
      </c>
      <c r="D61" s="13">
        <v>19</v>
      </c>
      <c r="F61" s="21">
        <v>416402722</v>
      </c>
      <c r="H61" s="22">
        <v>492279113</v>
      </c>
    </row>
    <row r="62" spans="1:16" ht="4.5" customHeight="1" x14ac:dyDescent="0.25">
      <c r="B62" s="19"/>
    </row>
    <row r="63" spans="1:16" s="1" customFormat="1" ht="13" x14ac:dyDescent="0.3">
      <c r="B63" s="7" t="s">
        <v>63</v>
      </c>
      <c r="F63" s="24">
        <v>778790889.28999996</v>
      </c>
      <c r="H63" s="24">
        <v>1663868788</v>
      </c>
      <c r="I63" s="2"/>
      <c r="J63" s="2"/>
      <c r="K63" s="2"/>
      <c r="L63" s="2"/>
      <c r="M63" s="2"/>
      <c r="N63" s="2"/>
      <c r="O63" s="2"/>
      <c r="P63" s="2"/>
    </row>
    <row r="64" spans="1:16" s="1" customFormat="1" ht="5.25" customHeight="1" x14ac:dyDescent="0.3">
      <c r="B64" s="7"/>
      <c r="F64" s="26"/>
      <c r="G64" s="30"/>
      <c r="H64" s="26"/>
      <c r="I64" s="2"/>
      <c r="J64" s="2"/>
      <c r="K64" s="2"/>
      <c r="L64" s="2"/>
      <c r="M64" s="2"/>
      <c r="N64" s="2"/>
      <c r="O64" s="2"/>
      <c r="P64" s="2"/>
    </row>
    <row r="65" spans="1:16" x14ac:dyDescent="0.25">
      <c r="B65" s="19"/>
    </row>
    <row r="66" spans="1:16" ht="13" x14ac:dyDescent="0.3">
      <c r="A66" s="1"/>
      <c r="B66" s="7" t="s">
        <v>64</v>
      </c>
    </row>
    <row r="67" spans="1:16" x14ac:dyDescent="0.25">
      <c r="B67" s="19" t="s">
        <v>65</v>
      </c>
      <c r="F67" s="35">
        <v>0</v>
      </c>
      <c r="G67" s="23"/>
      <c r="H67" s="36">
        <v>0</v>
      </c>
    </row>
    <row r="68" spans="1:16" x14ac:dyDescent="0.25">
      <c r="B68" s="19" t="s">
        <v>66</v>
      </c>
      <c r="F68" s="37">
        <v>0</v>
      </c>
      <c r="G68" s="23"/>
      <c r="H68" s="37">
        <v>0</v>
      </c>
    </row>
    <row r="69" spans="1:16" ht="4.5" customHeight="1" x14ac:dyDescent="0.25">
      <c r="B69" s="19"/>
    </row>
    <row r="70" spans="1:16" ht="13" x14ac:dyDescent="0.3">
      <c r="B70" s="7" t="s">
        <v>67</v>
      </c>
      <c r="F70" s="22">
        <v>0</v>
      </c>
      <c r="H70" s="22">
        <v>0</v>
      </c>
    </row>
    <row r="71" spans="1:16" x14ac:dyDescent="0.25">
      <c r="B71" s="19"/>
    </row>
    <row r="72" spans="1:16" s="1" customFormat="1" ht="13" x14ac:dyDescent="0.3">
      <c r="B72" s="7" t="s">
        <v>69</v>
      </c>
      <c r="D72" s="13" t="s">
        <v>68</v>
      </c>
      <c r="F72" s="24">
        <v>-33795371.457010001</v>
      </c>
      <c r="G72" s="30"/>
      <c r="H72" s="24">
        <v>134061442.90000001</v>
      </c>
      <c r="I72" s="2"/>
      <c r="J72" s="2"/>
      <c r="K72" s="2"/>
      <c r="L72" s="2"/>
      <c r="M72" s="2"/>
      <c r="N72" s="2"/>
      <c r="O72" s="2"/>
      <c r="P72" s="2"/>
    </row>
    <row r="73" spans="1:16" s="1" customFormat="1" ht="5.25" customHeight="1" x14ac:dyDescent="0.3">
      <c r="B73" s="7"/>
      <c r="D73" s="12"/>
      <c r="F73" s="26"/>
      <c r="H73" s="26"/>
      <c r="I73" s="2"/>
      <c r="J73" s="2"/>
      <c r="K73" s="2"/>
      <c r="L73" s="2"/>
      <c r="M73" s="2"/>
      <c r="N73" s="2"/>
      <c r="O73" s="2"/>
      <c r="P73" s="2"/>
    </row>
    <row r="74" spans="1:16" x14ac:dyDescent="0.25">
      <c r="B74" s="19"/>
    </row>
    <row r="75" spans="1:16" ht="13" x14ac:dyDescent="0.3">
      <c r="A75" s="1"/>
      <c r="B75" s="7" t="s">
        <v>70</v>
      </c>
    </row>
    <row r="76" spans="1:16" x14ac:dyDescent="0.25">
      <c r="B76" s="19" t="s">
        <v>71</v>
      </c>
    </row>
    <row r="77" spans="1:16" x14ac:dyDescent="0.25">
      <c r="B77" s="19" t="s">
        <v>72</v>
      </c>
    </row>
    <row r="78" spans="1:16" x14ac:dyDescent="0.25">
      <c r="B78" s="19" t="s">
        <v>73</v>
      </c>
    </row>
    <row r="79" spans="1:16" x14ac:dyDescent="0.25">
      <c r="B79" s="19" t="s">
        <v>74</v>
      </c>
    </row>
    <row r="80" spans="1:16" x14ac:dyDescent="0.25">
      <c r="B80" s="19" t="s">
        <v>75</v>
      </c>
    </row>
    <row r="81" spans="1:16" x14ac:dyDescent="0.25">
      <c r="B81" s="19" t="s">
        <v>73</v>
      </c>
      <c r="D81" s="13">
        <v>21</v>
      </c>
      <c r="F81" s="4">
        <v>30666250000</v>
      </c>
      <c r="H81" s="5">
        <v>30666250000</v>
      </c>
    </row>
    <row r="82" spans="1:16" x14ac:dyDescent="0.25">
      <c r="B82" s="19" t="s">
        <v>76</v>
      </c>
      <c r="D82" s="13">
        <v>22</v>
      </c>
      <c r="F82" s="4">
        <v>8802562068.5</v>
      </c>
      <c r="H82" s="5">
        <v>8802562068</v>
      </c>
    </row>
    <row r="83" spans="1:16" x14ac:dyDescent="0.25">
      <c r="B83" s="19" t="s">
        <v>77</v>
      </c>
      <c r="F83" s="22">
        <v>-10163255388.976208</v>
      </c>
      <c r="H83" s="22">
        <v>-6305195463</v>
      </c>
    </row>
    <row r="84" spans="1:16" ht="7.5" customHeight="1" x14ac:dyDescent="0.25">
      <c r="B84" s="19"/>
    </row>
    <row r="85" spans="1:16" s="1" customFormat="1" ht="13" x14ac:dyDescent="0.3">
      <c r="B85" s="7" t="s">
        <v>78</v>
      </c>
      <c r="F85" s="26">
        <v>29305556679.523792</v>
      </c>
      <c r="H85" s="26">
        <v>33163616605</v>
      </c>
      <c r="I85" s="2"/>
      <c r="J85" s="2"/>
      <c r="K85" s="2"/>
      <c r="L85" s="2"/>
      <c r="M85" s="2"/>
      <c r="N85" s="2"/>
      <c r="O85" s="2"/>
      <c r="P85" s="2"/>
    </row>
    <row r="86" spans="1:16" x14ac:dyDescent="0.25">
      <c r="B86" s="19"/>
    </row>
    <row r="87" spans="1:16" ht="13" x14ac:dyDescent="0.3">
      <c r="A87" s="1"/>
      <c r="B87" s="7" t="s">
        <v>79</v>
      </c>
    </row>
    <row r="88" spans="1:16" s="1" customFormat="1" ht="13.5" thickBot="1" x14ac:dyDescent="0.35">
      <c r="B88" s="7" t="s">
        <v>80</v>
      </c>
      <c r="F88" s="31">
        <v>30050552197.356781</v>
      </c>
      <c r="H88" s="31">
        <v>34961546835.900002</v>
      </c>
      <c r="I88" s="2"/>
      <c r="J88" s="2"/>
      <c r="K88" s="2"/>
      <c r="L88" s="2"/>
      <c r="M88" s="2"/>
      <c r="N88" s="2"/>
      <c r="O88" s="2"/>
      <c r="P88" s="2"/>
    </row>
    <row r="89" spans="1:16" ht="13.5" thickTop="1" thickBot="1" x14ac:dyDescent="0.3">
      <c r="A89" s="38"/>
      <c r="B89" s="39"/>
      <c r="C89" s="40"/>
      <c r="D89" s="40"/>
      <c r="E89" s="40"/>
      <c r="F89" s="10"/>
      <c r="G89" s="9"/>
      <c r="H89" s="11"/>
    </row>
    <row r="90" spans="1:16" x14ac:dyDescent="0.25">
      <c r="A90" s="32"/>
      <c r="B90" s="33" t="s">
        <v>49</v>
      </c>
    </row>
    <row r="91" spans="1:16" x14ac:dyDescent="0.25">
      <c r="A91" s="32"/>
      <c r="B91" s="33" t="s">
        <v>51</v>
      </c>
      <c r="C91" s="32"/>
      <c r="D91" s="32"/>
      <c r="E91" s="32"/>
      <c r="F91" s="34"/>
      <c r="G91" s="32"/>
      <c r="H91" s="32"/>
    </row>
    <row r="92" spans="1:16" x14ac:dyDescent="0.25">
      <c r="A92" s="32"/>
      <c r="B92" s="33" t="s">
        <v>53</v>
      </c>
      <c r="C92" s="32"/>
      <c r="D92" s="32"/>
      <c r="E92" s="32"/>
      <c r="F92" s="34"/>
      <c r="G92" s="32"/>
      <c r="H92" s="32"/>
    </row>
    <row r="93" spans="1:16" hidden="1" x14ac:dyDescent="0.25">
      <c r="B93" s="41"/>
      <c r="C93" s="32"/>
      <c r="D93" s="32"/>
      <c r="E93" s="32"/>
      <c r="F93" s="34"/>
      <c r="G93" s="32"/>
      <c r="H93" s="32"/>
    </row>
    <row r="94" spans="1:16" hidden="1" x14ac:dyDescent="0.25">
      <c r="B94" s="19"/>
    </row>
    <row r="95" spans="1:16" hidden="1" x14ac:dyDescent="0.25">
      <c r="B95" s="19"/>
    </row>
    <row r="96" spans="1:16" ht="13" hidden="1" thickBot="1" x14ac:dyDescent="0.3">
      <c r="B96" s="19"/>
      <c r="F96" s="42">
        <v>0.213287353515625</v>
      </c>
      <c r="G96" s="43"/>
      <c r="H96" s="43">
        <v>9.999847412109375E-2</v>
      </c>
    </row>
    <row r="97" spans="1:8" hidden="1" x14ac:dyDescent="0.25">
      <c r="B97" s="19"/>
    </row>
    <row r="98" spans="1:8" hidden="1" x14ac:dyDescent="0.25">
      <c r="B98" s="19"/>
    </row>
    <row r="99" spans="1:8" hidden="1" x14ac:dyDescent="0.25">
      <c r="B99" s="19"/>
    </row>
    <row r="100" spans="1:8" hidden="1" x14ac:dyDescent="0.25">
      <c r="B100" s="19"/>
    </row>
    <row r="101" spans="1:8" ht="13" hidden="1" x14ac:dyDescent="0.3">
      <c r="B101" s="7"/>
    </row>
    <row r="102" spans="1:8" hidden="1" x14ac:dyDescent="0.25">
      <c r="B102" s="19"/>
    </row>
    <row r="103" spans="1:8" ht="13" x14ac:dyDescent="0.3">
      <c r="A103" s="1"/>
      <c r="B103" s="2" t="s">
        <v>1</v>
      </c>
    </row>
    <row r="104" spans="1:8" ht="13" x14ac:dyDescent="0.3">
      <c r="A104" s="1"/>
      <c r="B104" s="7" t="s">
        <v>3</v>
      </c>
      <c r="H104" s="44"/>
    </row>
    <row r="105" spans="1:8" ht="13" x14ac:dyDescent="0.3">
      <c r="A105" s="1"/>
      <c r="B105" s="7" t="s">
        <v>82</v>
      </c>
      <c r="H105" s="44"/>
    </row>
    <row r="106" spans="1:8" ht="13" x14ac:dyDescent="0.3">
      <c r="A106" s="1"/>
      <c r="B106" s="7" t="s">
        <v>84</v>
      </c>
      <c r="H106" s="44"/>
    </row>
    <row r="107" spans="1:8" ht="13" x14ac:dyDescent="0.3">
      <c r="A107" s="1"/>
      <c r="B107" s="7"/>
      <c r="H107" s="44"/>
    </row>
    <row r="108" spans="1:8" ht="13.5" thickBot="1" x14ac:dyDescent="0.35">
      <c r="A108" s="45"/>
      <c r="B108" s="46" t="s">
        <v>54</v>
      </c>
      <c r="C108" s="9"/>
      <c r="D108" s="9"/>
      <c r="E108" s="9"/>
      <c r="F108" s="10"/>
      <c r="G108" s="9"/>
      <c r="H108" s="9"/>
    </row>
    <row r="109" spans="1:8" x14ac:dyDescent="0.25">
      <c r="B109" s="6"/>
      <c r="C109" s="13"/>
      <c r="D109" s="13" t="s">
        <v>11</v>
      </c>
      <c r="E109" s="13"/>
      <c r="F109" s="13">
        <v>2002</v>
      </c>
      <c r="G109" s="47"/>
      <c r="H109" s="48" t="s">
        <v>10</v>
      </c>
    </row>
    <row r="110" spans="1:8" x14ac:dyDescent="0.25">
      <c r="B110" s="6"/>
      <c r="C110" s="13"/>
      <c r="D110" s="13" t="s">
        <v>11</v>
      </c>
      <c r="E110" s="13"/>
      <c r="F110" s="13" t="s">
        <v>85</v>
      </c>
      <c r="G110" s="49"/>
      <c r="H110" s="50" t="s">
        <v>85</v>
      </c>
    </row>
    <row r="111" spans="1:8" x14ac:dyDescent="0.25">
      <c r="B111" s="6"/>
      <c r="D111" s="51"/>
      <c r="F111" s="51"/>
      <c r="H111" s="21"/>
    </row>
    <row r="112" spans="1:8" x14ac:dyDescent="0.25">
      <c r="B112" s="6" t="s">
        <v>87</v>
      </c>
      <c r="F112" s="3"/>
      <c r="H112" s="4"/>
    </row>
    <row r="113" spans="2:8" x14ac:dyDescent="0.25">
      <c r="B113" s="6"/>
      <c r="C113" s="6" t="s">
        <v>88</v>
      </c>
      <c r="D113" s="13" t="s">
        <v>89</v>
      </c>
      <c r="E113" s="5"/>
      <c r="F113" s="5">
        <v>1297375606.8299999</v>
      </c>
      <c r="G113" s="5"/>
      <c r="H113" s="4">
        <v>5515986288</v>
      </c>
    </row>
    <row r="114" spans="2:8" x14ac:dyDescent="0.25">
      <c r="B114" s="6"/>
      <c r="C114" s="6" t="s">
        <v>90</v>
      </c>
      <c r="D114" s="13"/>
      <c r="E114" s="5"/>
      <c r="F114" s="5">
        <v>313810062.15999997</v>
      </c>
      <c r="G114" s="5"/>
      <c r="H114" s="4">
        <v>540075441</v>
      </c>
    </row>
    <row r="115" spans="2:8" ht="14" x14ac:dyDescent="0.4">
      <c r="B115" s="6"/>
      <c r="C115" s="6" t="s">
        <v>45</v>
      </c>
      <c r="D115" s="13"/>
      <c r="E115" s="5"/>
      <c r="F115" s="52">
        <v>52239602.549999997</v>
      </c>
      <c r="G115" s="5"/>
      <c r="H115" s="53">
        <v>105765745</v>
      </c>
    </row>
    <row r="116" spans="2:8" x14ac:dyDescent="0.25">
      <c r="B116" s="6"/>
      <c r="C116" s="6"/>
      <c r="D116" s="13"/>
      <c r="E116" s="5"/>
      <c r="F116" s="5"/>
      <c r="G116" s="5"/>
      <c r="H116" s="4"/>
    </row>
    <row r="117" spans="2:8" x14ac:dyDescent="0.25">
      <c r="B117" s="6"/>
      <c r="C117" s="6" t="s">
        <v>91</v>
      </c>
      <c r="D117" s="13"/>
      <c r="E117" s="54"/>
      <c r="F117" s="55">
        <v>1663425271.5399997</v>
      </c>
      <c r="G117" s="54"/>
      <c r="H117" s="56">
        <v>6161827474</v>
      </c>
    </row>
    <row r="118" spans="2:8" x14ac:dyDescent="0.25">
      <c r="B118" s="6"/>
      <c r="D118" s="13"/>
      <c r="E118" s="5"/>
      <c r="F118" s="5"/>
      <c r="G118" s="5"/>
      <c r="H118" s="4"/>
    </row>
    <row r="119" spans="2:8" ht="14" x14ac:dyDescent="0.4">
      <c r="B119" s="6" t="s">
        <v>94</v>
      </c>
      <c r="D119" s="13" t="s">
        <v>93</v>
      </c>
      <c r="E119" s="5"/>
      <c r="F119" s="29">
        <v>663141842.75</v>
      </c>
      <c r="G119" s="5"/>
      <c r="H119" s="28">
        <v>389810359</v>
      </c>
    </row>
    <row r="120" spans="2:8" x14ac:dyDescent="0.25">
      <c r="B120" s="6"/>
      <c r="D120" s="13"/>
      <c r="E120" s="5"/>
      <c r="F120" s="5"/>
      <c r="G120" s="5"/>
      <c r="H120" s="4"/>
    </row>
    <row r="121" spans="2:8" ht="14" x14ac:dyDescent="0.4">
      <c r="B121" s="6" t="s">
        <v>96</v>
      </c>
      <c r="D121" s="13"/>
      <c r="E121" s="29"/>
      <c r="F121" s="5">
        <v>1000283428.7899997</v>
      </c>
      <c r="G121" s="29"/>
      <c r="H121" s="4">
        <v>5772017115</v>
      </c>
    </row>
    <row r="122" spans="2:8" x14ac:dyDescent="0.25">
      <c r="B122" s="6"/>
      <c r="D122" s="13"/>
      <c r="E122" s="5"/>
      <c r="F122" s="5"/>
      <c r="G122" s="5"/>
      <c r="H122" s="4"/>
    </row>
    <row r="123" spans="2:8" x14ac:dyDescent="0.25">
      <c r="B123" s="6" t="s">
        <v>98</v>
      </c>
      <c r="D123" s="13"/>
      <c r="E123" s="5"/>
      <c r="F123" s="5"/>
      <c r="G123" s="5"/>
      <c r="H123" s="4"/>
    </row>
    <row r="124" spans="2:8" x14ac:dyDescent="0.25">
      <c r="B124" s="6"/>
      <c r="C124" s="6" t="s">
        <v>100</v>
      </c>
      <c r="D124" s="13" t="s">
        <v>99</v>
      </c>
      <c r="E124" s="5"/>
      <c r="F124" s="5">
        <v>8233099618.1774511</v>
      </c>
      <c r="G124" s="5"/>
      <c r="H124" s="4">
        <v>12672971017</v>
      </c>
    </row>
    <row r="125" spans="2:8" ht="14" x14ac:dyDescent="0.4">
      <c r="B125" s="6"/>
      <c r="C125" s="6" t="s">
        <v>102</v>
      </c>
      <c r="D125" s="13" t="s">
        <v>101</v>
      </c>
      <c r="E125" s="5"/>
      <c r="F125" s="29">
        <v>123425409.33</v>
      </c>
      <c r="G125" s="5"/>
      <c r="H125" s="28">
        <v>904295184</v>
      </c>
    </row>
    <row r="126" spans="2:8" x14ac:dyDescent="0.25">
      <c r="B126" s="6"/>
      <c r="C126" s="6"/>
      <c r="D126" s="13"/>
      <c r="E126" s="5"/>
      <c r="F126" s="5"/>
      <c r="G126" s="5"/>
      <c r="H126" s="4"/>
    </row>
    <row r="127" spans="2:8" ht="14" x14ac:dyDescent="0.4">
      <c r="B127" s="6"/>
      <c r="C127" s="6" t="s">
        <v>104</v>
      </c>
      <c r="D127" s="13"/>
      <c r="E127" s="54"/>
      <c r="F127" s="29">
        <v>8356525027.5074511</v>
      </c>
      <c r="G127" s="54"/>
      <c r="H127" s="28">
        <v>13577266201</v>
      </c>
    </row>
    <row r="128" spans="2:8" x14ac:dyDescent="0.25">
      <c r="B128" s="6"/>
      <c r="D128" s="13"/>
      <c r="E128" s="5"/>
      <c r="F128" s="5"/>
      <c r="G128" s="5"/>
      <c r="H128" s="4"/>
    </row>
    <row r="129" spans="2:8" x14ac:dyDescent="0.25">
      <c r="B129" s="6" t="s">
        <v>106</v>
      </c>
      <c r="D129" s="13"/>
      <c r="E129" s="5"/>
      <c r="F129" s="5">
        <v>-7356241598.7174511</v>
      </c>
      <c r="G129" s="5"/>
      <c r="H129" s="4">
        <v>-7805249086</v>
      </c>
    </row>
    <row r="130" spans="2:8" x14ac:dyDescent="0.25">
      <c r="B130" s="6"/>
      <c r="D130" s="13"/>
      <c r="E130" s="5"/>
      <c r="F130" s="5"/>
      <c r="G130" s="5"/>
      <c r="H130" s="4"/>
    </row>
    <row r="131" spans="2:8" ht="14" x14ac:dyDescent="0.4">
      <c r="B131" s="6" t="s">
        <v>108</v>
      </c>
      <c r="D131" s="13">
        <v>27</v>
      </c>
      <c r="E131" s="5"/>
      <c r="F131" s="29">
        <v>1447151103.7999997</v>
      </c>
      <c r="G131" s="5"/>
      <c r="H131" s="28">
        <v>888939440</v>
      </c>
    </row>
    <row r="132" spans="2:8" x14ac:dyDescent="0.25">
      <c r="B132" s="6"/>
      <c r="D132" s="13"/>
      <c r="E132" s="5"/>
      <c r="F132" s="5"/>
      <c r="G132" s="5"/>
      <c r="H132" s="4"/>
    </row>
    <row r="133" spans="2:8" x14ac:dyDescent="0.25">
      <c r="B133" s="6" t="s">
        <v>110</v>
      </c>
      <c r="D133" s="13"/>
      <c r="E133" s="5"/>
      <c r="F133" s="5">
        <v>-5909090494.9174519</v>
      </c>
      <c r="G133" s="5"/>
      <c r="H133" s="4">
        <v>-6916309646</v>
      </c>
    </row>
    <row r="134" spans="2:8" x14ac:dyDescent="0.25">
      <c r="B134" s="6"/>
      <c r="D134" s="13"/>
      <c r="E134" s="5"/>
      <c r="F134" s="5"/>
      <c r="G134" s="5"/>
      <c r="H134" s="4"/>
    </row>
    <row r="135" spans="2:8" x14ac:dyDescent="0.25">
      <c r="B135" s="6" t="s">
        <v>112</v>
      </c>
      <c r="D135" s="13"/>
      <c r="E135" s="5"/>
      <c r="F135" s="5"/>
      <c r="G135" s="5"/>
      <c r="H135" s="4"/>
    </row>
    <row r="136" spans="2:8" x14ac:dyDescent="0.25">
      <c r="B136" s="6"/>
      <c r="C136" s="6" t="s">
        <v>113</v>
      </c>
      <c r="D136" s="13"/>
      <c r="E136" s="5"/>
      <c r="F136" s="5">
        <v>0</v>
      </c>
      <c r="G136" s="5"/>
      <c r="H136" s="4">
        <v>0</v>
      </c>
    </row>
    <row r="137" spans="2:8" ht="14" x14ac:dyDescent="0.4">
      <c r="B137" s="6"/>
      <c r="C137" s="6" t="s">
        <v>115</v>
      </c>
      <c r="D137" s="13" t="s">
        <v>114</v>
      </c>
      <c r="E137" s="5"/>
      <c r="F137" s="29">
        <v>1883173752.494235</v>
      </c>
      <c r="G137" s="5"/>
      <c r="H137" s="28">
        <v>2422673171</v>
      </c>
    </row>
    <row r="138" spans="2:8" x14ac:dyDescent="0.25">
      <c r="B138" s="6"/>
      <c r="C138" s="6"/>
      <c r="D138" s="13"/>
      <c r="E138" s="5"/>
      <c r="F138" s="5"/>
      <c r="G138" s="5"/>
      <c r="H138" s="4"/>
    </row>
    <row r="139" spans="2:8" ht="14" x14ac:dyDescent="0.4">
      <c r="B139" s="6"/>
      <c r="C139" s="6" t="s">
        <v>116</v>
      </c>
      <c r="D139" s="13"/>
      <c r="E139" s="5"/>
      <c r="F139" s="29">
        <v>1883173752.494235</v>
      </c>
      <c r="G139" s="5"/>
      <c r="H139" s="28">
        <v>2422673171</v>
      </c>
    </row>
    <row r="140" spans="2:8" x14ac:dyDescent="0.25">
      <c r="B140" s="6"/>
      <c r="D140" s="13"/>
      <c r="E140" s="5"/>
      <c r="F140" s="5"/>
      <c r="G140" s="5"/>
      <c r="H140" s="4"/>
    </row>
    <row r="141" spans="2:8" x14ac:dyDescent="0.25">
      <c r="B141" s="6" t="s">
        <v>118</v>
      </c>
      <c r="D141" s="13"/>
      <c r="E141" s="5"/>
      <c r="F141" s="5">
        <v>-4025916742.4232168</v>
      </c>
      <c r="G141" s="5"/>
      <c r="H141" s="4">
        <v>-4493636475</v>
      </c>
    </row>
    <row r="142" spans="2:8" x14ac:dyDescent="0.25">
      <c r="B142" s="6"/>
      <c r="D142" s="13"/>
      <c r="E142" s="5"/>
      <c r="F142" s="5"/>
      <c r="G142" s="5"/>
      <c r="H142" s="4"/>
    </row>
    <row r="143" spans="2:8" ht="14" x14ac:dyDescent="0.4">
      <c r="B143" s="6" t="s">
        <v>120</v>
      </c>
      <c r="D143" s="13"/>
      <c r="E143" s="5"/>
      <c r="F143" s="29">
        <v>0</v>
      </c>
      <c r="G143" s="5"/>
      <c r="H143" s="28">
        <v>0</v>
      </c>
    </row>
    <row r="144" spans="2:8" x14ac:dyDescent="0.25">
      <c r="B144" s="6"/>
      <c r="D144" s="13"/>
      <c r="E144" s="5"/>
      <c r="F144" s="5"/>
      <c r="G144" s="5"/>
      <c r="H144" s="4"/>
    </row>
    <row r="145" spans="2:8" x14ac:dyDescent="0.25">
      <c r="B145" s="6" t="s">
        <v>122</v>
      </c>
      <c r="D145" s="13"/>
      <c r="E145" s="5"/>
      <c r="F145" s="4">
        <v>-4025916742.4232168</v>
      </c>
      <c r="G145" s="5"/>
      <c r="H145" s="4">
        <v>-4493636475</v>
      </c>
    </row>
    <row r="146" spans="2:8" x14ac:dyDescent="0.25">
      <c r="B146" s="6" t="s">
        <v>123</v>
      </c>
      <c r="D146" s="13"/>
      <c r="E146" s="5"/>
      <c r="F146" s="5"/>
      <c r="G146" s="5"/>
      <c r="H146" s="4"/>
    </row>
    <row r="147" spans="2:8" x14ac:dyDescent="0.25">
      <c r="B147" s="6"/>
      <c r="D147" s="13"/>
      <c r="E147" s="5"/>
      <c r="F147" s="5"/>
      <c r="G147" s="5"/>
      <c r="H147" s="4"/>
    </row>
    <row r="148" spans="2:8" x14ac:dyDescent="0.25">
      <c r="B148" s="6" t="s">
        <v>125</v>
      </c>
      <c r="D148" s="13"/>
      <c r="E148" s="5"/>
      <c r="F148" s="5"/>
      <c r="G148" s="5"/>
      <c r="H148" s="4"/>
    </row>
    <row r="149" spans="2:8" ht="14" x14ac:dyDescent="0.4">
      <c r="B149" s="6" t="s">
        <v>127</v>
      </c>
      <c r="D149" s="13" t="s">
        <v>126</v>
      </c>
      <c r="E149" s="5"/>
      <c r="F149" s="29">
        <v>167856815.45701</v>
      </c>
      <c r="G149" s="5"/>
      <c r="H149" s="28">
        <v>63037852</v>
      </c>
    </row>
    <row r="150" spans="2:8" x14ac:dyDescent="0.25">
      <c r="B150" s="6"/>
      <c r="D150" s="13"/>
      <c r="E150" s="5"/>
      <c r="F150" s="5"/>
      <c r="G150" s="5"/>
      <c r="H150" s="4"/>
    </row>
    <row r="151" spans="2:8" ht="13" x14ac:dyDescent="0.3">
      <c r="B151" s="6" t="s">
        <v>129</v>
      </c>
      <c r="D151" s="13"/>
      <c r="E151" s="5"/>
      <c r="F151" s="57">
        <v>-3858059926.966207</v>
      </c>
      <c r="G151" s="5"/>
      <c r="H151" s="57">
        <v>-4430598623</v>
      </c>
    </row>
    <row r="152" spans="2:8" x14ac:dyDescent="0.25">
      <c r="B152" s="6"/>
      <c r="D152" s="13"/>
      <c r="E152" s="5"/>
      <c r="F152" s="5"/>
      <c r="G152" s="5"/>
      <c r="H152" s="4"/>
    </row>
    <row r="153" spans="2:8" x14ac:dyDescent="0.25">
      <c r="B153" s="6" t="s">
        <v>132</v>
      </c>
      <c r="D153" s="13" t="s">
        <v>131</v>
      </c>
      <c r="E153" s="5"/>
      <c r="F153" s="5"/>
      <c r="G153" s="5"/>
      <c r="H153" s="4"/>
    </row>
    <row r="154" spans="2:8" x14ac:dyDescent="0.25">
      <c r="B154" s="6"/>
      <c r="C154" s="6" t="s">
        <v>133</v>
      </c>
      <c r="D154" s="13"/>
      <c r="E154" s="5"/>
      <c r="F154" s="58">
        <v>-3.282041937327858</v>
      </c>
      <c r="G154" s="58"/>
      <c r="H154" s="59">
        <v>-6.6</v>
      </c>
    </row>
    <row r="155" spans="2:8" x14ac:dyDescent="0.25">
      <c r="B155" s="6"/>
      <c r="C155" s="6" t="s">
        <v>134</v>
      </c>
      <c r="D155" s="13"/>
      <c r="E155" s="5"/>
      <c r="F155" s="58">
        <v>-3.282041937327858</v>
      </c>
      <c r="G155" s="58"/>
      <c r="H155" s="59">
        <v>-3.8</v>
      </c>
    </row>
    <row r="156" spans="2:8" x14ac:dyDescent="0.25">
      <c r="B156" s="6"/>
      <c r="C156" s="6" t="s">
        <v>135</v>
      </c>
      <c r="D156" s="13"/>
      <c r="E156" s="5"/>
      <c r="F156" s="58">
        <v>-3.1452002828567291</v>
      </c>
      <c r="G156" s="58"/>
      <c r="H156" s="59">
        <v>-3.75</v>
      </c>
    </row>
    <row r="157" spans="2:8" x14ac:dyDescent="0.25">
      <c r="B157" s="6"/>
      <c r="D157" s="13"/>
      <c r="E157" s="5"/>
      <c r="F157" s="58"/>
      <c r="G157" s="58"/>
      <c r="H157" s="59"/>
    </row>
    <row r="158" spans="2:8" x14ac:dyDescent="0.25">
      <c r="B158" s="6" t="s">
        <v>137</v>
      </c>
      <c r="D158" s="13" t="s">
        <v>131</v>
      </c>
      <c r="E158" s="5"/>
      <c r="F158" s="58"/>
      <c r="G158" s="58"/>
      <c r="H158" s="59"/>
    </row>
    <row r="159" spans="2:8" x14ac:dyDescent="0.25">
      <c r="B159" s="6"/>
      <c r="C159" s="6" t="s">
        <v>138</v>
      </c>
      <c r="D159" s="13"/>
      <c r="E159" s="5"/>
      <c r="F159" s="58">
        <v>-5.7096570627384127</v>
      </c>
      <c r="G159" s="58"/>
      <c r="H159" s="59">
        <v>-6.11</v>
      </c>
    </row>
    <row r="160" spans="2:8" x14ac:dyDescent="0.25">
      <c r="B160" s="6"/>
      <c r="C160" s="6" t="s">
        <v>139</v>
      </c>
      <c r="D160" s="13"/>
      <c r="E160" s="5"/>
      <c r="F160" s="58">
        <v>-3.1247755601693701</v>
      </c>
      <c r="G160" s="58"/>
      <c r="H160" s="59">
        <v>-3.52</v>
      </c>
    </row>
    <row r="161" spans="1:8" x14ac:dyDescent="0.25">
      <c r="B161" s="19"/>
      <c r="C161" s="6" t="s">
        <v>140</v>
      </c>
      <c r="D161" s="13"/>
      <c r="E161" s="5"/>
      <c r="F161" s="58">
        <v>-2.994490979512042</v>
      </c>
      <c r="G161" s="58"/>
      <c r="H161" s="59">
        <v>-3.47</v>
      </c>
    </row>
    <row r="162" spans="1:8" ht="13" thickBot="1" x14ac:dyDescent="0.3">
      <c r="A162" s="9"/>
      <c r="B162" s="60"/>
      <c r="C162" s="9"/>
      <c r="D162" s="61"/>
      <c r="E162" s="11"/>
      <c r="F162" s="11"/>
      <c r="G162" s="62"/>
      <c r="H162" s="63"/>
    </row>
    <row r="163" spans="1:8" x14ac:dyDescent="0.25">
      <c r="A163" s="32"/>
      <c r="B163" s="33" t="s">
        <v>49</v>
      </c>
      <c r="D163" s="13"/>
      <c r="E163" s="5"/>
      <c r="F163" s="5"/>
      <c r="G163" s="5"/>
      <c r="H163" s="59"/>
    </row>
    <row r="164" spans="1:8" x14ac:dyDescent="0.25">
      <c r="A164" s="32"/>
      <c r="B164" s="33" t="s">
        <v>51</v>
      </c>
      <c r="D164" s="13"/>
      <c r="E164" s="5"/>
      <c r="F164" s="5"/>
      <c r="G164" s="5"/>
      <c r="H164" s="59"/>
    </row>
    <row r="165" spans="1:8" x14ac:dyDescent="0.25">
      <c r="A165" s="32"/>
      <c r="B165" s="33" t="s">
        <v>53</v>
      </c>
      <c r="D165" s="13"/>
      <c r="E165" s="5"/>
      <c r="F165" s="5"/>
      <c r="G165" s="5"/>
      <c r="H165" s="59"/>
    </row>
    <row r="166" spans="1:8" x14ac:dyDescent="0.25">
      <c r="B166" s="19"/>
      <c r="D166" s="49"/>
      <c r="E166" s="5"/>
      <c r="G166" s="5"/>
      <c r="H166" s="59"/>
    </row>
    <row r="167" spans="1:8" x14ac:dyDescent="0.25">
      <c r="B167" s="19"/>
      <c r="D167" s="49"/>
      <c r="E167" s="5"/>
      <c r="G167" s="5"/>
      <c r="H167" s="59"/>
    </row>
    <row r="168" spans="1:8" x14ac:dyDescent="0.25">
      <c r="B168" s="19"/>
      <c r="D168" s="49"/>
      <c r="E168" s="5"/>
      <c r="G168" s="5"/>
      <c r="H168" s="59"/>
    </row>
    <row r="169" spans="1:8" x14ac:dyDescent="0.25">
      <c r="B169" s="19"/>
      <c r="D169" s="49"/>
      <c r="E169" s="5"/>
      <c r="G169" s="5"/>
      <c r="H169" s="59"/>
    </row>
    <row r="170" spans="1:8" x14ac:dyDescent="0.25">
      <c r="B170" s="19"/>
      <c r="D170" s="13"/>
    </row>
    <row r="171" spans="1:8" x14ac:dyDescent="0.25">
      <c r="B171" s="19"/>
      <c r="D171" s="13"/>
    </row>
    <row r="172" spans="1:8" x14ac:dyDescent="0.25">
      <c r="B172" s="19"/>
      <c r="D172" s="13"/>
    </row>
    <row r="173" spans="1:8" x14ac:dyDescent="0.25">
      <c r="B173" s="19"/>
      <c r="D173" s="13"/>
    </row>
    <row r="174" spans="1:8" x14ac:dyDescent="0.25">
      <c r="B174" s="19"/>
      <c r="D174" s="13"/>
    </row>
    <row r="175" spans="1:8" x14ac:dyDescent="0.25">
      <c r="B175" s="19"/>
      <c r="D175" s="13"/>
    </row>
    <row r="176" spans="1:8" x14ac:dyDescent="0.25">
      <c r="B176" s="19"/>
      <c r="D176" s="13"/>
    </row>
    <row r="177" spans="2:4" x14ac:dyDescent="0.25">
      <c r="B177" s="19"/>
      <c r="D177" s="13"/>
    </row>
    <row r="178" spans="2:4" x14ac:dyDescent="0.25">
      <c r="B178" s="19"/>
      <c r="D178" s="13"/>
    </row>
    <row r="179" spans="2:4" x14ac:dyDescent="0.25">
      <c r="B179" s="19"/>
      <c r="D179" s="13"/>
    </row>
    <row r="180" spans="2:4" x14ac:dyDescent="0.25">
      <c r="B180" s="19"/>
      <c r="D180" s="13"/>
    </row>
    <row r="181" spans="2:4" x14ac:dyDescent="0.25">
      <c r="B181" s="19"/>
      <c r="D181" s="13"/>
    </row>
    <row r="182" spans="2:4" x14ac:dyDescent="0.25">
      <c r="B182" s="19"/>
      <c r="D182" s="13"/>
    </row>
    <row r="183" spans="2:4" x14ac:dyDescent="0.25">
      <c r="B183" s="19"/>
      <c r="D183" s="13"/>
    </row>
    <row r="184" spans="2:4" x14ac:dyDescent="0.25">
      <c r="B184" s="19"/>
      <c r="D184" s="13"/>
    </row>
    <row r="185" spans="2:4" x14ac:dyDescent="0.25">
      <c r="B185" s="19"/>
      <c r="D185" s="13"/>
    </row>
    <row r="186" spans="2:4" x14ac:dyDescent="0.25">
      <c r="D186" s="13"/>
    </row>
    <row r="187" spans="2:4" x14ac:dyDescent="0.25">
      <c r="D187" s="13"/>
    </row>
    <row r="188" spans="2:4" x14ac:dyDescent="0.25">
      <c r="D188" s="13"/>
    </row>
    <row r="189" spans="2:4" x14ac:dyDescent="0.25">
      <c r="D189" s="13"/>
    </row>
    <row r="190" spans="2:4" x14ac:dyDescent="0.25">
      <c r="D190" s="13"/>
    </row>
    <row r="191" spans="2:4" x14ac:dyDescent="0.25">
      <c r="D191" s="13"/>
    </row>
    <row r="192" spans="2:4" x14ac:dyDescent="0.25">
      <c r="D192" s="13"/>
    </row>
    <row r="193" spans="4:4" x14ac:dyDescent="0.25">
      <c r="D193" s="13"/>
    </row>
    <row r="194" spans="4:4" x14ac:dyDescent="0.25">
      <c r="D194" s="13"/>
    </row>
    <row r="195" spans="4:4" x14ac:dyDescent="0.25">
      <c r="D195" s="13"/>
    </row>
    <row r="196" spans="4:4" x14ac:dyDescent="0.25">
      <c r="D196" s="13"/>
    </row>
    <row r="197" spans="4:4" x14ac:dyDescent="0.25">
      <c r="D197" s="13"/>
    </row>
    <row r="198" spans="4:4" x14ac:dyDescent="0.25">
      <c r="D198" s="13"/>
    </row>
    <row r="199" spans="4:4" x14ac:dyDescent="0.25">
      <c r="D199" s="13"/>
    </row>
    <row r="200" spans="4:4" x14ac:dyDescent="0.25">
      <c r="D200" s="13"/>
    </row>
  </sheetData>
  <sheetProtection password="889E" sheet="1" objects="1" scenarios="1"/>
  <phoneticPr fontId="0" type="noConversion"/>
  <printOptions horizontalCentered="1"/>
  <pageMargins left="0.39370078740157483" right="0.39370078740157483" top="0.47244094488188981" bottom="0.70866141732283472" header="0.51181102362204722" footer="0.51181102362204722"/>
  <pageSetup paperSize="9" orientation="portrait" r:id="rId1"/>
  <headerFooter alignWithMargins="0">
    <oddFooter>&amp;C&amp;P</oddFooter>
  </headerFooter>
  <rowBreaks count="3" manualBreakCount="3">
    <brk id="46" min="1" max="9" man="1"/>
    <brk id="92" max="16383" man="1"/>
    <brk id="102" min="1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5"/>
  <sheetViews>
    <sheetView tabSelected="1" zoomScaleNormal="100" zoomScaleSheetLayoutView="75" workbookViewId="0">
      <selection activeCell="B1" sqref="B1"/>
    </sheetView>
  </sheetViews>
  <sheetFormatPr defaultColWidth="9.1796875" defaultRowHeight="12.5" x14ac:dyDescent="0.25"/>
  <cols>
    <col min="1" max="1" width="0.1796875" style="3" customWidth="1"/>
    <col min="2" max="2" width="2" style="3" customWidth="1"/>
    <col min="3" max="3" width="35.1796875" style="3" customWidth="1"/>
    <col min="4" max="4" width="8.7265625" style="3" customWidth="1"/>
    <col min="5" max="5" width="0.81640625" style="3" customWidth="1"/>
    <col min="6" max="6" width="14.54296875" style="4" bestFit="1" customWidth="1"/>
    <col min="7" max="7" width="0.7265625" style="3" customWidth="1"/>
    <col min="8" max="8" width="15" style="5" bestFit="1" customWidth="1"/>
    <col min="9" max="9" width="3.453125" style="19" customWidth="1"/>
    <col min="10" max="16384" width="9.1796875" style="3"/>
  </cols>
  <sheetData>
    <row r="1" spans="1:8" ht="13" x14ac:dyDescent="0.3">
      <c r="A1" s="1" t="s">
        <v>1</v>
      </c>
      <c r="B1" s="2" t="s">
        <v>1</v>
      </c>
    </row>
    <row r="2" spans="1:8" ht="13" x14ac:dyDescent="0.3">
      <c r="A2" s="1" t="s">
        <v>2</v>
      </c>
      <c r="B2" s="7" t="s">
        <v>3</v>
      </c>
      <c r="H2" s="44"/>
    </row>
    <row r="3" spans="1:8" ht="13" x14ac:dyDescent="0.3">
      <c r="A3" s="1" t="s">
        <v>81</v>
      </c>
      <c r="B3" s="7" t="s">
        <v>82</v>
      </c>
      <c r="H3" s="44"/>
    </row>
    <row r="4" spans="1:8" ht="13" x14ac:dyDescent="0.3">
      <c r="A4" s="1" t="s">
        <v>83</v>
      </c>
      <c r="B4" s="7" t="s">
        <v>84</v>
      </c>
      <c r="H4" s="44"/>
    </row>
    <row r="5" spans="1:8" ht="13.5" thickBot="1" x14ac:dyDescent="0.35">
      <c r="A5" s="45"/>
      <c r="B5" s="64"/>
      <c r="C5" s="25"/>
      <c r="D5" s="25"/>
      <c r="E5" s="25"/>
      <c r="F5" s="56"/>
      <c r="G5" s="25"/>
      <c r="H5" s="25"/>
    </row>
    <row r="6" spans="1:8" ht="13.5" thickBot="1" x14ac:dyDescent="0.35">
      <c r="A6" s="45" t="s">
        <v>8</v>
      </c>
      <c r="B6" s="46" t="s">
        <v>54</v>
      </c>
      <c r="C6" s="9"/>
      <c r="D6" s="9"/>
      <c r="E6" s="9"/>
      <c r="F6" s="10"/>
      <c r="G6" s="9"/>
      <c r="H6" s="9"/>
    </row>
    <row r="7" spans="1:8" x14ac:dyDescent="0.25">
      <c r="B7" s="6"/>
      <c r="C7" s="13"/>
      <c r="D7" s="13" t="s">
        <v>11</v>
      </c>
      <c r="E7" s="13"/>
      <c r="F7" s="13">
        <v>2002</v>
      </c>
      <c r="G7" s="47"/>
      <c r="H7" s="48" t="s">
        <v>10</v>
      </c>
    </row>
    <row r="8" spans="1:8" x14ac:dyDescent="0.25">
      <c r="B8" s="6"/>
      <c r="C8" s="13"/>
      <c r="D8" s="13"/>
      <c r="E8" s="13"/>
      <c r="F8" s="13" t="s">
        <v>85</v>
      </c>
      <c r="G8" s="49"/>
      <c r="H8" s="50" t="s">
        <v>85</v>
      </c>
    </row>
    <row r="9" spans="1:8" x14ac:dyDescent="0.25">
      <c r="B9" s="6"/>
      <c r="D9" s="51"/>
      <c r="F9" s="51"/>
      <c r="H9" s="21"/>
    </row>
    <row r="10" spans="1:8" x14ac:dyDescent="0.25">
      <c r="A10" s="3" t="s">
        <v>86</v>
      </c>
      <c r="B10" s="6" t="s">
        <v>87</v>
      </c>
      <c r="F10" s="3"/>
      <c r="H10" s="4"/>
    </row>
    <row r="11" spans="1:8" x14ac:dyDescent="0.25">
      <c r="B11" s="6"/>
      <c r="C11" s="6" t="s">
        <v>88</v>
      </c>
      <c r="D11" s="13" t="s">
        <v>141</v>
      </c>
      <c r="E11" s="5"/>
      <c r="F11" s="5">
        <v>1297375606.8299999</v>
      </c>
      <c r="G11" s="5"/>
      <c r="H11" s="4">
        <v>5515986288</v>
      </c>
    </row>
    <row r="12" spans="1:8" x14ac:dyDescent="0.25">
      <c r="B12" s="6"/>
      <c r="C12" s="6" t="s">
        <v>90</v>
      </c>
      <c r="D12" s="13"/>
      <c r="E12" s="5"/>
      <c r="F12" s="5">
        <v>313810062.15999997</v>
      </c>
      <c r="G12" s="5"/>
      <c r="H12" s="4">
        <v>540075441</v>
      </c>
    </row>
    <row r="13" spans="1:8" x14ac:dyDescent="0.25">
      <c r="B13" s="6"/>
      <c r="C13" s="6" t="s">
        <v>45</v>
      </c>
      <c r="D13" s="13"/>
      <c r="E13" s="5"/>
      <c r="F13" s="55">
        <v>52239602.549999997</v>
      </c>
      <c r="G13" s="55"/>
      <c r="H13" s="56">
        <v>105765745</v>
      </c>
    </row>
    <row r="14" spans="1:8" ht="6" customHeight="1" x14ac:dyDescent="0.25">
      <c r="B14" s="6"/>
      <c r="D14" s="13"/>
      <c r="E14" s="5"/>
      <c r="F14" s="22"/>
      <c r="G14" s="55"/>
      <c r="H14" s="21"/>
    </row>
    <row r="15" spans="1:8" ht="6" customHeight="1" x14ac:dyDescent="0.25">
      <c r="B15" s="6"/>
      <c r="D15" s="13"/>
      <c r="E15" s="5"/>
      <c r="F15" s="55"/>
      <c r="G15" s="55"/>
      <c r="H15" s="56"/>
    </row>
    <row r="16" spans="1:8" x14ac:dyDescent="0.25">
      <c r="B16" s="6"/>
      <c r="C16" s="6" t="s">
        <v>91</v>
      </c>
      <c r="D16" s="13"/>
      <c r="E16" s="54"/>
      <c r="F16" s="55">
        <v>1663425271.5399997</v>
      </c>
      <c r="G16" s="54"/>
      <c r="H16" s="56">
        <v>6161827474</v>
      </c>
    </row>
    <row r="17" spans="1:8" x14ac:dyDescent="0.25">
      <c r="B17" s="6"/>
      <c r="D17" s="13"/>
      <c r="E17" s="5"/>
      <c r="F17" s="5"/>
      <c r="G17" s="5"/>
      <c r="H17" s="4"/>
    </row>
    <row r="18" spans="1:8" x14ac:dyDescent="0.25">
      <c r="A18" s="3" t="s">
        <v>92</v>
      </c>
      <c r="B18" s="6" t="s">
        <v>94</v>
      </c>
      <c r="D18" s="13" t="s">
        <v>142</v>
      </c>
      <c r="E18" s="5"/>
      <c r="F18" s="5">
        <v>663141842.75</v>
      </c>
      <c r="G18" s="5"/>
      <c r="H18" s="4">
        <v>389810359</v>
      </c>
    </row>
    <row r="19" spans="1:8" ht="6" customHeight="1" x14ac:dyDescent="0.25">
      <c r="B19" s="6"/>
      <c r="D19" s="13"/>
      <c r="E19" s="5"/>
      <c r="F19" s="22"/>
      <c r="G19" s="5"/>
      <c r="H19" s="21"/>
    </row>
    <row r="20" spans="1:8" ht="6.75" customHeight="1" x14ac:dyDescent="0.25">
      <c r="B20" s="6"/>
      <c r="D20" s="13"/>
      <c r="E20" s="5"/>
      <c r="F20" s="5"/>
      <c r="G20" s="5"/>
      <c r="H20" s="4"/>
    </row>
    <row r="21" spans="1:8" ht="14" x14ac:dyDescent="0.4">
      <c r="A21" s="3" t="s">
        <v>95</v>
      </c>
      <c r="B21" s="6" t="s">
        <v>96</v>
      </c>
      <c r="D21" s="13"/>
      <c r="E21" s="29"/>
      <c r="F21" s="5">
        <v>1000283428.7899997</v>
      </c>
      <c r="G21" s="29"/>
      <c r="H21" s="4">
        <v>5772017115</v>
      </c>
    </row>
    <row r="22" spans="1:8" x14ac:dyDescent="0.25">
      <c r="B22" s="6"/>
      <c r="D22" s="13"/>
      <c r="E22" s="5"/>
      <c r="F22" s="5"/>
      <c r="G22" s="5"/>
      <c r="H22" s="4"/>
    </row>
    <row r="23" spans="1:8" x14ac:dyDescent="0.25">
      <c r="A23" s="3" t="s">
        <v>97</v>
      </c>
      <c r="B23" s="6" t="s">
        <v>98</v>
      </c>
      <c r="D23" s="13"/>
      <c r="E23" s="5"/>
      <c r="F23" s="5"/>
      <c r="G23" s="5"/>
      <c r="H23" s="4"/>
    </row>
    <row r="24" spans="1:8" x14ac:dyDescent="0.25">
      <c r="B24" s="6"/>
      <c r="C24" s="6" t="s">
        <v>100</v>
      </c>
      <c r="D24" s="13" t="s">
        <v>143</v>
      </c>
      <c r="E24" s="5"/>
      <c r="F24" s="5">
        <v>8233099618.1774511</v>
      </c>
      <c r="G24" s="5"/>
      <c r="H24" s="4">
        <v>12672971017</v>
      </c>
    </row>
    <row r="25" spans="1:8" x14ac:dyDescent="0.25">
      <c r="B25" s="6"/>
      <c r="C25" s="6" t="s">
        <v>102</v>
      </c>
      <c r="D25" s="13" t="s">
        <v>144</v>
      </c>
      <c r="E25" s="5"/>
      <c r="F25" s="55">
        <v>123425409.33</v>
      </c>
      <c r="G25" s="55"/>
      <c r="H25" s="56">
        <v>904295184</v>
      </c>
    </row>
    <row r="26" spans="1:8" ht="6" customHeight="1" x14ac:dyDescent="0.25">
      <c r="B26" s="6"/>
      <c r="D26" s="13"/>
      <c r="E26" s="5"/>
      <c r="F26" s="22"/>
      <c r="G26" s="55"/>
      <c r="H26" s="21"/>
    </row>
    <row r="27" spans="1:8" ht="6" customHeight="1" x14ac:dyDescent="0.25">
      <c r="B27" s="6"/>
      <c r="D27" s="13"/>
      <c r="E27" s="5"/>
      <c r="F27" s="55"/>
      <c r="G27" s="55"/>
      <c r="H27" s="56"/>
    </row>
    <row r="28" spans="1:8" x14ac:dyDescent="0.25">
      <c r="A28" s="3" t="s">
        <v>103</v>
      </c>
      <c r="B28" s="6"/>
      <c r="C28" s="6" t="s">
        <v>104</v>
      </c>
      <c r="D28" s="13"/>
      <c r="E28" s="54"/>
      <c r="F28" s="5">
        <v>8356525027.5074511</v>
      </c>
      <c r="G28" s="5"/>
      <c r="H28" s="4">
        <v>13577266201</v>
      </c>
    </row>
    <row r="29" spans="1:8" x14ac:dyDescent="0.25">
      <c r="B29" s="6"/>
      <c r="D29" s="13"/>
      <c r="E29" s="5"/>
      <c r="F29" s="5"/>
      <c r="G29" s="5"/>
      <c r="H29" s="4"/>
    </row>
    <row r="30" spans="1:8" x14ac:dyDescent="0.25">
      <c r="A30" s="3" t="s">
        <v>105</v>
      </c>
      <c r="B30" s="6" t="s">
        <v>106</v>
      </c>
      <c r="D30" s="13"/>
      <c r="E30" s="5"/>
      <c r="F30" s="5">
        <v>-7356241598.7174511</v>
      </c>
      <c r="G30" s="5"/>
      <c r="H30" s="4">
        <v>-7805249086</v>
      </c>
    </row>
    <row r="31" spans="1:8" x14ac:dyDescent="0.25">
      <c r="B31" s="6"/>
      <c r="D31" s="13"/>
      <c r="E31" s="5"/>
      <c r="F31" s="5"/>
      <c r="G31" s="5"/>
      <c r="H31" s="4"/>
    </row>
    <row r="32" spans="1:8" x14ac:dyDescent="0.25">
      <c r="A32" s="3" t="s">
        <v>107</v>
      </c>
      <c r="B32" s="6" t="s">
        <v>108</v>
      </c>
      <c r="D32" s="13">
        <v>27</v>
      </c>
      <c r="E32" s="5"/>
      <c r="F32" s="5">
        <v>1447151103.7999997</v>
      </c>
      <c r="G32" s="5"/>
      <c r="H32" s="4">
        <v>888939440</v>
      </c>
    </row>
    <row r="33" spans="1:8" ht="6" customHeight="1" x14ac:dyDescent="0.25">
      <c r="B33" s="6"/>
      <c r="D33" s="13"/>
      <c r="E33" s="5"/>
      <c r="F33" s="22"/>
      <c r="G33" s="55"/>
      <c r="H33" s="21"/>
    </row>
    <row r="34" spans="1:8" ht="6" customHeight="1" x14ac:dyDescent="0.25">
      <c r="B34" s="6"/>
      <c r="D34" s="13"/>
      <c r="E34" s="5"/>
      <c r="F34" s="5"/>
      <c r="G34" s="5"/>
      <c r="H34" s="4"/>
    </row>
    <row r="35" spans="1:8" x14ac:dyDescent="0.25">
      <c r="A35" s="3" t="s">
        <v>109</v>
      </c>
      <c r="B35" s="6" t="s">
        <v>110</v>
      </c>
      <c r="D35" s="13"/>
      <c r="E35" s="5"/>
      <c r="F35" s="5">
        <v>-5909090494.9174519</v>
      </c>
      <c r="G35" s="5"/>
      <c r="H35" s="4">
        <v>-6916309646</v>
      </c>
    </row>
    <row r="36" spans="1:8" x14ac:dyDescent="0.25">
      <c r="B36" s="6"/>
      <c r="D36" s="13"/>
      <c r="E36" s="5"/>
      <c r="F36" s="5"/>
      <c r="G36" s="5"/>
      <c r="H36" s="4"/>
    </row>
    <row r="37" spans="1:8" x14ac:dyDescent="0.25">
      <c r="A37" s="3" t="s">
        <v>111</v>
      </c>
      <c r="B37" s="6" t="s">
        <v>112</v>
      </c>
      <c r="D37" s="13"/>
      <c r="E37" s="5"/>
      <c r="F37" s="5"/>
      <c r="G37" s="5"/>
      <c r="H37" s="4"/>
    </row>
    <row r="38" spans="1:8" x14ac:dyDescent="0.25">
      <c r="B38" s="6"/>
      <c r="C38" s="6" t="s">
        <v>113</v>
      </c>
      <c r="D38" s="13"/>
      <c r="E38" s="5"/>
      <c r="F38" s="5">
        <v>0</v>
      </c>
      <c r="G38" s="5"/>
      <c r="H38" s="4">
        <v>0</v>
      </c>
    </row>
    <row r="39" spans="1:8" x14ac:dyDescent="0.25">
      <c r="B39" s="6"/>
      <c r="C39" s="6" t="s">
        <v>115</v>
      </c>
      <c r="D39" s="13" t="s">
        <v>145</v>
      </c>
      <c r="E39" s="5"/>
      <c r="F39" s="5">
        <v>1883173752.494235</v>
      </c>
      <c r="G39" s="5"/>
      <c r="H39" s="4">
        <v>2422673171</v>
      </c>
    </row>
    <row r="40" spans="1:8" ht="6" customHeight="1" x14ac:dyDescent="0.25">
      <c r="B40" s="6"/>
      <c r="D40" s="13"/>
      <c r="E40" s="5"/>
      <c r="F40" s="22"/>
      <c r="G40" s="55"/>
      <c r="H40" s="21"/>
    </row>
    <row r="41" spans="1:8" ht="6" customHeight="1" x14ac:dyDescent="0.25">
      <c r="B41" s="6"/>
      <c r="D41" s="13"/>
      <c r="E41" s="5"/>
      <c r="F41" s="5"/>
      <c r="G41" s="55"/>
      <c r="H41" s="4"/>
    </row>
    <row r="42" spans="1:8" x14ac:dyDescent="0.25">
      <c r="B42" s="6"/>
      <c r="C42" s="6" t="s">
        <v>116</v>
      </c>
      <c r="D42" s="13"/>
      <c r="E42" s="5"/>
      <c r="F42" s="5">
        <v>1883173752.494235</v>
      </c>
      <c r="G42" s="5"/>
      <c r="H42" s="4">
        <v>2422673171</v>
      </c>
    </row>
    <row r="43" spans="1:8" ht="6" customHeight="1" x14ac:dyDescent="0.25">
      <c r="B43" s="6"/>
      <c r="D43" s="13"/>
      <c r="E43" s="5"/>
      <c r="F43" s="22"/>
      <c r="G43" s="55"/>
      <c r="H43" s="21"/>
    </row>
    <row r="44" spans="1:8" ht="6" customHeight="1" x14ac:dyDescent="0.25">
      <c r="B44" s="6"/>
      <c r="D44" s="13"/>
      <c r="E44" s="5"/>
      <c r="F44" s="5"/>
      <c r="G44" s="55"/>
      <c r="H44" s="4"/>
    </row>
    <row r="45" spans="1:8" x14ac:dyDescent="0.25">
      <c r="A45" s="3" t="s">
        <v>117</v>
      </c>
      <c r="B45" s="6" t="s">
        <v>118</v>
      </c>
      <c r="D45" s="13"/>
      <c r="E45" s="5"/>
      <c r="F45" s="5">
        <v>-4025916742.4232168</v>
      </c>
      <c r="G45" s="55"/>
      <c r="H45" s="4">
        <v>-4493636475</v>
      </c>
    </row>
    <row r="46" spans="1:8" x14ac:dyDescent="0.25">
      <c r="B46" s="6"/>
      <c r="D46" s="13"/>
      <c r="E46" s="5"/>
      <c r="F46" s="5"/>
      <c r="G46" s="55"/>
      <c r="H46" s="4"/>
    </row>
    <row r="47" spans="1:8" x14ac:dyDescent="0.25">
      <c r="A47" s="3" t="s">
        <v>119</v>
      </c>
      <c r="B47" s="6" t="s">
        <v>120</v>
      </c>
      <c r="D47" s="13"/>
      <c r="E47" s="5"/>
      <c r="F47" s="5">
        <v>0</v>
      </c>
      <c r="G47" s="55"/>
      <c r="H47" s="4">
        <v>0</v>
      </c>
    </row>
    <row r="48" spans="1:8" ht="6" customHeight="1" x14ac:dyDescent="0.25">
      <c r="B48" s="6"/>
      <c r="D48" s="13"/>
      <c r="E48" s="5"/>
      <c r="F48" s="22"/>
      <c r="G48" s="55"/>
      <c r="H48" s="21"/>
    </row>
    <row r="49" spans="1:8" ht="6" customHeight="1" x14ac:dyDescent="0.25">
      <c r="B49" s="6"/>
      <c r="D49" s="13"/>
      <c r="E49" s="5"/>
      <c r="F49" s="5"/>
      <c r="G49" s="55"/>
      <c r="H49" s="4"/>
    </row>
    <row r="50" spans="1:8" x14ac:dyDescent="0.25">
      <c r="A50" s="3" t="s">
        <v>121</v>
      </c>
      <c r="B50" s="6" t="s">
        <v>122</v>
      </c>
      <c r="D50" s="13"/>
      <c r="E50" s="5"/>
      <c r="F50" s="4">
        <v>-4025916742.4232168</v>
      </c>
      <c r="G50" s="5"/>
      <c r="H50" s="4">
        <v>-4493636475</v>
      </c>
    </row>
    <row r="51" spans="1:8" x14ac:dyDescent="0.25">
      <c r="B51" s="6" t="s">
        <v>123</v>
      </c>
      <c r="D51" s="13"/>
      <c r="E51" s="5"/>
      <c r="F51" s="5"/>
      <c r="G51" s="5"/>
      <c r="H51" s="4"/>
    </row>
    <row r="52" spans="1:8" x14ac:dyDescent="0.25">
      <c r="B52" s="6"/>
      <c r="D52" s="13"/>
      <c r="E52" s="5"/>
      <c r="F52" s="5"/>
      <c r="G52" s="5"/>
      <c r="H52" s="4"/>
    </row>
    <row r="53" spans="1:8" x14ac:dyDescent="0.25">
      <c r="A53" s="3" t="s">
        <v>124</v>
      </c>
      <c r="B53" s="6" t="s">
        <v>125</v>
      </c>
      <c r="D53" s="13"/>
      <c r="E53" s="5"/>
      <c r="F53" s="5"/>
      <c r="G53" s="5"/>
      <c r="H53" s="4"/>
    </row>
    <row r="54" spans="1:8" x14ac:dyDescent="0.25">
      <c r="B54" s="6" t="s">
        <v>127</v>
      </c>
      <c r="D54" s="13" t="s">
        <v>146</v>
      </c>
      <c r="E54" s="5"/>
      <c r="F54" s="5">
        <v>167856815.45701</v>
      </c>
      <c r="G54" s="5"/>
      <c r="H54" s="4">
        <v>63037852</v>
      </c>
    </row>
    <row r="55" spans="1:8" ht="6" customHeight="1" x14ac:dyDescent="0.25">
      <c r="B55" s="6"/>
      <c r="D55" s="13"/>
      <c r="E55" s="5"/>
      <c r="F55" s="22"/>
      <c r="G55" s="55"/>
      <c r="H55" s="21"/>
    </row>
    <row r="56" spans="1:8" ht="6" customHeight="1" x14ac:dyDescent="0.25">
      <c r="B56" s="6"/>
      <c r="D56" s="13"/>
      <c r="E56" s="5"/>
      <c r="F56" s="5"/>
      <c r="G56" s="55"/>
      <c r="H56" s="4"/>
    </row>
    <row r="57" spans="1:8" ht="13" x14ac:dyDescent="0.3">
      <c r="A57" s="3" t="s">
        <v>128</v>
      </c>
      <c r="B57" s="6" t="s">
        <v>129</v>
      </c>
      <c r="D57" s="13"/>
      <c r="E57" s="5"/>
      <c r="F57" s="57">
        <v>-3858059926.966207</v>
      </c>
      <c r="G57" s="55"/>
      <c r="H57" s="57">
        <v>-4430598623</v>
      </c>
    </row>
    <row r="58" spans="1:8" ht="6" customHeight="1" thickBot="1" x14ac:dyDescent="0.35">
      <c r="B58" s="6"/>
      <c r="D58" s="13"/>
      <c r="E58" s="5"/>
      <c r="F58" s="65"/>
      <c r="G58" s="55"/>
      <c r="H58" s="65"/>
    </row>
    <row r="59" spans="1:8" ht="6" customHeight="1" thickTop="1" x14ac:dyDescent="0.25">
      <c r="B59" s="6"/>
      <c r="D59" s="13"/>
      <c r="E59" s="5"/>
      <c r="F59" s="5"/>
      <c r="G59" s="55"/>
      <c r="H59" s="4"/>
    </row>
    <row r="60" spans="1:8" x14ac:dyDescent="0.25">
      <c r="A60" s="3" t="s">
        <v>130</v>
      </c>
      <c r="B60" s="6" t="s">
        <v>132</v>
      </c>
      <c r="D60" s="13" t="s">
        <v>147</v>
      </c>
      <c r="E60" s="5"/>
      <c r="F60" s="5"/>
      <c r="G60" s="5"/>
      <c r="H60" s="4"/>
    </row>
    <row r="61" spans="1:8" x14ac:dyDescent="0.25">
      <c r="B61" s="6"/>
      <c r="D61" s="13"/>
      <c r="E61" s="5"/>
      <c r="F61" s="58">
        <v>-3.282041937327858</v>
      </c>
      <c r="G61" s="58"/>
      <c r="H61" s="59">
        <v>-6.6</v>
      </c>
    </row>
    <row r="62" spans="1:8" x14ac:dyDescent="0.25">
      <c r="B62" s="6"/>
      <c r="C62" s="6" t="s">
        <v>133</v>
      </c>
      <c r="D62" s="13"/>
      <c r="E62" s="5"/>
      <c r="F62" s="58">
        <v>-3.282041937327858</v>
      </c>
      <c r="G62" s="58"/>
      <c r="H62" s="59">
        <v>-3.8</v>
      </c>
    </row>
    <row r="63" spans="1:8" x14ac:dyDescent="0.25">
      <c r="B63" s="6"/>
      <c r="C63" s="6" t="s">
        <v>134</v>
      </c>
      <c r="D63" s="13"/>
      <c r="E63" s="5"/>
      <c r="F63" s="58">
        <v>-3.1452002828567291</v>
      </c>
      <c r="G63" s="58"/>
      <c r="H63" s="59">
        <v>-3.75</v>
      </c>
    </row>
    <row r="64" spans="1:8" x14ac:dyDescent="0.25">
      <c r="B64" s="6"/>
      <c r="C64" s="6" t="s">
        <v>135</v>
      </c>
      <c r="D64" s="13"/>
      <c r="E64" s="5"/>
      <c r="F64" s="58"/>
      <c r="G64" s="58"/>
      <c r="H64" s="59"/>
    </row>
    <row r="65" spans="1:8" x14ac:dyDescent="0.25">
      <c r="A65" s="3" t="s">
        <v>136</v>
      </c>
      <c r="B65" s="6" t="s">
        <v>137</v>
      </c>
      <c r="D65" s="13" t="s">
        <v>147</v>
      </c>
      <c r="E65" s="5"/>
      <c r="F65" s="58"/>
      <c r="G65" s="58"/>
      <c r="H65" s="59"/>
    </row>
    <row r="66" spans="1:8" x14ac:dyDescent="0.25">
      <c r="B66" s="6"/>
      <c r="C66" s="6" t="s">
        <v>138</v>
      </c>
      <c r="D66" s="13"/>
      <c r="E66" s="5"/>
      <c r="F66" s="58">
        <v>-5.7096570627384127</v>
      </c>
      <c r="G66" s="58"/>
      <c r="H66" s="59">
        <v>-6.11</v>
      </c>
    </row>
    <row r="67" spans="1:8" x14ac:dyDescent="0.25">
      <c r="B67" s="6"/>
      <c r="C67" s="6" t="s">
        <v>148</v>
      </c>
      <c r="D67" s="13"/>
      <c r="E67" s="5"/>
      <c r="F67" s="58">
        <v>-3.1247755601693701</v>
      </c>
      <c r="G67" s="58"/>
      <c r="H67" s="59">
        <v>-3.52</v>
      </c>
    </row>
    <row r="68" spans="1:8" x14ac:dyDescent="0.25">
      <c r="B68" s="19"/>
      <c r="C68" s="6" t="s">
        <v>140</v>
      </c>
      <c r="D68" s="13"/>
      <c r="E68" s="5"/>
      <c r="F68" s="58">
        <v>-2.994490979512042</v>
      </c>
      <c r="G68" s="58"/>
      <c r="H68" s="59">
        <v>-3.47</v>
      </c>
    </row>
    <row r="69" spans="1:8" ht="13" thickBot="1" x14ac:dyDescent="0.3">
      <c r="A69" s="9"/>
      <c r="B69" s="60"/>
      <c r="C69" s="9"/>
      <c r="D69" s="61"/>
      <c r="E69" s="11"/>
      <c r="F69" s="11"/>
      <c r="G69" s="62"/>
      <c r="H69" s="63"/>
    </row>
    <row r="70" spans="1:8" x14ac:dyDescent="0.25">
      <c r="A70" s="32" t="s">
        <v>48</v>
      </c>
      <c r="B70" s="33" t="s">
        <v>49</v>
      </c>
      <c r="D70" s="13"/>
      <c r="E70" s="5"/>
      <c r="F70" s="5"/>
      <c r="G70" s="5"/>
      <c r="H70" s="59"/>
    </row>
    <row r="71" spans="1:8" x14ac:dyDescent="0.25">
      <c r="A71" s="32" t="s">
        <v>50</v>
      </c>
      <c r="B71" s="33" t="s">
        <v>51</v>
      </c>
      <c r="D71" s="13"/>
      <c r="E71" s="5"/>
      <c r="F71" s="5"/>
      <c r="G71" s="5"/>
      <c r="H71" s="59"/>
    </row>
    <row r="72" spans="1:8" x14ac:dyDescent="0.25">
      <c r="A72" s="32" t="s">
        <v>52</v>
      </c>
      <c r="B72" s="33" t="s">
        <v>53</v>
      </c>
      <c r="D72" s="13"/>
      <c r="E72" s="5"/>
      <c r="F72" s="5"/>
      <c r="G72" s="5"/>
      <c r="H72" s="59"/>
    </row>
    <row r="73" spans="1:8" x14ac:dyDescent="0.25">
      <c r="B73" s="19"/>
      <c r="D73" s="49"/>
      <c r="E73" s="5"/>
      <c r="G73" s="5"/>
      <c r="H73" s="59"/>
    </row>
    <row r="74" spans="1:8" x14ac:dyDescent="0.25">
      <c r="B74" s="19"/>
      <c r="D74" s="49"/>
      <c r="E74" s="5"/>
      <c r="G74" s="5"/>
      <c r="H74" s="59"/>
    </row>
    <row r="75" spans="1:8" x14ac:dyDescent="0.25">
      <c r="B75" s="19"/>
      <c r="D75" s="49"/>
      <c r="E75" s="5"/>
      <c r="G75" s="5"/>
      <c r="H75" s="59"/>
    </row>
    <row r="76" spans="1:8" x14ac:dyDescent="0.25">
      <c r="B76" s="19"/>
      <c r="D76" s="49"/>
      <c r="E76" s="5"/>
      <c r="G76" s="5"/>
      <c r="H76" s="59"/>
    </row>
    <row r="77" spans="1:8" x14ac:dyDescent="0.25">
      <c r="B77" s="19"/>
      <c r="D77" s="13"/>
    </row>
    <row r="78" spans="1:8" x14ac:dyDescent="0.25">
      <c r="B78" s="19"/>
      <c r="D78" s="13"/>
    </row>
    <row r="79" spans="1:8" x14ac:dyDescent="0.25">
      <c r="B79" s="19"/>
      <c r="D79" s="13"/>
    </row>
    <row r="80" spans="1:8" x14ac:dyDescent="0.25">
      <c r="B80" s="19"/>
      <c r="D80" s="13"/>
    </row>
    <row r="81" spans="2:4" x14ac:dyDescent="0.25">
      <c r="B81" s="19"/>
      <c r="D81" s="13"/>
    </row>
    <row r="82" spans="2:4" x14ac:dyDescent="0.25">
      <c r="B82" s="19"/>
      <c r="D82" s="13"/>
    </row>
    <row r="83" spans="2:4" x14ac:dyDescent="0.25">
      <c r="B83" s="19"/>
      <c r="D83" s="13"/>
    </row>
    <row r="84" spans="2:4" x14ac:dyDescent="0.25">
      <c r="B84" s="19"/>
      <c r="D84" s="13"/>
    </row>
    <row r="85" spans="2:4" x14ac:dyDescent="0.25">
      <c r="B85" s="19"/>
      <c r="D85" s="13"/>
    </row>
    <row r="86" spans="2:4" x14ac:dyDescent="0.25">
      <c r="B86" s="19"/>
      <c r="D86" s="13"/>
    </row>
    <row r="87" spans="2:4" x14ac:dyDescent="0.25">
      <c r="B87" s="19"/>
      <c r="D87" s="13"/>
    </row>
    <row r="88" spans="2:4" x14ac:dyDescent="0.25">
      <c r="B88" s="19"/>
      <c r="D88" s="13"/>
    </row>
    <row r="89" spans="2:4" x14ac:dyDescent="0.25">
      <c r="B89" s="19"/>
      <c r="D89" s="13"/>
    </row>
    <row r="90" spans="2:4" x14ac:dyDescent="0.25">
      <c r="B90" s="19"/>
      <c r="D90" s="13"/>
    </row>
    <row r="91" spans="2:4" x14ac:dyDescent="0.25">
      <c r="B91" s="19"/>
      <c r="D91" s="13"/>
    </row>
    <row r="92" spans="2:4" x14ac:dyDescent="0.25">
      <c r="B92" s="19"/>
      <c r="D92" s="13"/>
    </row>
    <row r="93" spans="2:4" x14ac:dyDescent="0.25">
      <c r="B93" s="19"/>
      <c r="D93" s="13"/>
    </row>
    <row r="94" spans="2:4" x14ac:dyDescent="0.25">
      <c r="B94" s="19"/>
      <c r="D94" s="13"/>
    </row>
    <row r="95" spans="2:4" x14ac:dyDescent="0.25">
      <c r="B95" s="19"/>
      <c r="D95" s="13"/>
    </row>
    <row r="96" spans="2:4" x14ac:dyDescent="0.25">
      <c r="B96" s="19"/>
      <c r="D96" s="13"/>
    </row>
    <row r="97" spans="2:4" x14ac:dyDescent="0.25">
      <c r="B97" s="19"/>
      <c r="D97" s="13"/>
    </row>
    <row r="98" spans="2:4" x14ac:dyDescent="0.25">
      <c r="B98" s="19"/>
      <c r="D98" s="13"/>
    </row>
    <row r="99" spans="2:4" x14ac:dyDescent="0.25">
      <c r="B99" s="19"/>
      <c r="D99" s="13"/>
    </row>
    <row r="100" spans="2:4" x14ac:dyDescent="0.25">
      <c r="B100" s="19"/>
      <c r="D100" s="13"/>
    </row>
    <row r="101" spans="2:4" x14ac:dyDescent="0.25">
      <c r="B101" s="19"/>
      <c r="D101" s="13"/>
    </row>
    <row r="102" spans="2:4" x14ac:dyDescent="0.25">
      <c r="B102" s="19"/>
      <c r="D102" s="13"/>
    </row>
    <row r="103" spans="2:4" x14ac:dyDescent="0.25">
      <c r="B103" s="19"/>
      <c r="D103" s="13"/>
    </row>
    <row r="104" spans="2:4" x14ac:dyDescent="0.25">
      <c r="B104" s="19"/>
      <c r="D104" s="13"/>
    </row>
    <row r="105" spans="2:4" x14ac:dyDescent="0.25">
      <c r="B105" s="19"/>
      <c r="D105" s="13"/>
    </row>
    <row r="106" spans="2:4" x14ac:dyDescent="0.25">
      <c r="B106" s="19"/>
      <c r="D106" s="13"/>
    </row>
    <row r="107" spans="2:4" x14ac:dyDescent="0.25">
      <c r="B107" s="19"/>
      <c r="D107" s="13"/>
    </row>
    <row r="108" spans="2:4" x14ac:dyDescent="0.25">
      <c r="B108" s="19"/>
    </row>
    <row r="109" spans="2:4" x14ac:dyDescent="0.25">
      <c r="B109" s="19"/>
    </row>
    <row r="110" spans="2:4" x14ac:dyDescent="0.25">
      <c r="B110" s="19"/>
    </row>
    <row r="111" spans="2:4" x14ac:dyDescent="0.25">
      <c r="B111" s="19"/>
    </row>
    <row r="112" spans="2:4" x14ac:dyDescent="0.25">
      <c r="B112" s="19"/>
    </row>
    <row r="113" spans="2:2" x14ac:dyDescent="0.25">
      <c r="B113" s="19"/>
    </row>
    <row r="114" spans="2:2" x14ac:dyDescent="0.25">
      <c r="B114" s="19"/>
    </row>
    <row r="115" spans="2:2" x14ac:dyDescent="0.25">
      <c r="B115" s="19"/>
    </row>
    <row r="116" spans="2:2" x14ac:dyDescent="0.25">
      <c r="B116" s="19"/>
    </row>
    <row r="117" spans="2:2" x14ac:dyDescent="0.25">
      <c r="B117" s="19"/>
    </row>
    <row r="118" spans="2:2" x14ac:dyDescent="0.25">
      <c r="B118" s="19"/>
    </row>
    <row r="119" spans="2:2" x14ac:dyDescent="0.25">
      <c r="B119" s="19"/>
    </row>
    <row r="120" spans="2:2" x14ac:dyDescent="0.25">
      <c r="B120" s="19"/>
    </row>
    <row r="121" spans="2:2" x14ac:dyDescent="0.25">
      <c r="B121" s="19"/>
    </row>
    <row r="122" spans="2:2" x14ac:dyDescent="0.25">
      <c r="B122" s="19"/>
    </row>
    <row r="123" spans="2:2" x14ac:dyDescent="0.25">
      <c r="B123" s="19"/>
    </row>
    <row r="124" spans="2:2" x14ac:dyDescent="0.25">
      <c r="B124" s="19"/>
    </row>
    <row r="125" spans="2:2" x14ac:dyDescent="0.25">
      <c r="B125" s="19"/>
    </row>
    <row r="126" spans="2:2" x14ac:dyDescent="0.25">
      <c r="B126" s="19"/>
    </row>
    <row r="127" spans="2:2" x14ac:dyDescent="0.25">
      <c r="B127" s="19"/>
    </row>
    <row r="128" spans="2:2" x14ac:dyDescent="0.25">
      <c r="B128" s="19"/>
    </row>
    <row r="129" spans="2:2" x14ac:dyDescent="0.25">
      <c r="B129" s="19"/>
    </row>
    <row r="130" spans="2:2" x14ac:dyDescent="0.25">
      <c r="B130" s="19"/>
    </row>
    <row r="131" spans="2:2" x14ac:dyDescent="0.25">
      <c r="B131" s="19"/>
    </row>
    <row r="132" spans="2:2" x14ac:dyDescent="0.25">
      <c r="B132" s="19"/>
    </row>
    <row r="133" spans="2:2" x14ac:dyDescent="0.25">
      <c r="B133" s="19"/>
    </row>
    <row r="134" spans="2:2" x14ac:dyDescent="0.25">
      <c r="B134" s="19"/>
    </row>
    <row r="135" spans="2:2" x14ac:dyDescent="0.25">
      <c r="B135" s="19"/>
    </row>
    <row r="136" spans="2:2" x14ac:dyDescent="0.25">
      <c r="B136" s="19"/>
    </row>
    <row r="137" spans="2:2" x14ac:dyDescent="0.25">
      <c r="B137" s="19"/>
    </row>
    <row r="138" spans="2:2" x14ac:dyDescent="0.25">
      <c r="B138" s="19"/>
    </row>
    <row r="139" spans="2:2" x14ac:dyDescent="0.25">
      <c r="B139" s="19"/>
    </row>
    <row r="140" spans="2:2" x14ac:dyDescent="0.25">
      <c r="B140" s="19"/>
    </row>
    <row r="141" spans="2:2" x14ac:dyDescent="0.25">
      <c r="B141" s="19"/>
    </row>
    <row r="142" spans="2:2" x14ac:dyDescent="0.25">
      <c r="B142" s="19"/>
    </row>
    <row r="143" spans="2:2" x14ac:dyDescent="0.25">
      <c r="B143" s="19"/>
    </row>
    <row r="144" spans="2:2" x14ac:dyDescent="0.25">
      <c r="B144" s="19"/>
    </row>
    <row r="145" spans="2:2" x14ac:dyDescent="0.25">
      <c r="B145" s="19"/>
    </row>
    <row r="146" spans="2:2" x14ac:dyDescent="0.25">
      <c r="B146" s="19"/>
    </row>
    <row r="147" spans="2:2" x14ac:dyDescent="0.25">
      <c r="B147" s="19"/>
    </row>
    <row r="148" spans="2:2" x14ac:dyDescent="0.25">
      <c r="B148" s="19"/>
    </row>
    <row r="149" spans="2:2" x14ac:dyDescent="0.25">
      <c r="B149" s="19"/>
    </row>
    <row r="150" spans="2:2" x14ac:dyDescent="0.25">
      <c r="B150" s="19"/>
    </row>
    <row r="151" spans="2:2" x14ac:dyDescent="0.25">
      <c r="B151" s="19"/>
    </row>
    <row r="152" spans="2:2" x14ac:dyDescent="0.25">
      <c r="B152" s="19"/>
    </row>
    <row r="153" spans="2:2" x14ac:dyDescent="0.25">
      <c r="B153" s="19"/>
    </row>
    <row r="154" spans="2:2" x14ac:dyDescent="0.25">
      <c r="B154" s="19"/>
    </row>
    <row r="155" spans="2:2" x14ac:dyDescent="0.25">
      <c r="B155" s="19"/>
    </row>
    <row r="156" spans="2:2" x14ac:dyDescent="0.25">
      <c r="B156" s="19"/>
    </row>
    <row r="157" spans="2:2" x14ac:dyDescent="0.25">
      <c r="B157" s="19"/>
    </row>
    <row r="158" spans="2:2" x14ac:dyDescent="0.25">
      <c r="B158" s="19"/>
    </row>
    <row r="159" spans="2:2" x14ac:dyDescent="0.25">
      <c r="B159" s="19"/>
    </row>
    <row r="160" spans="2:2" x14ac:dyDescent="0.25">
      <c r="B160" s="19"/>
    </row>
    <row r="161" spans="2:2" x14ac:dyDescent="0.25">
      <c r="B161" s="19"/>
    </row>
    <row r="162" spans="2:2" x14ac:dyDescent="0.25">
      <c r="B162" s="19"/>
    </row>
    <row r="163" spans="2:2" x14ac:dyDescent="0.25">
      <c r="B163" s="19"/>
    </row>
    <row r="164" spans="2:2" x14ac:dyDescent="0.25">
      <c r="B164" s="19"/>
    </row>
    <row r="165" spans="2:2" x14ac:dyDescent="0.25">
      <c r="B165" s="19"/>
    </row>
    <row r="166" spans="2:2" x14ac:dyDescent="0.25">
      <c r="B166" s="19"/>
    </row>
    <row r="167" spans="2:2" x14ac:dyDescent="0.25">
      <c r="B167" s="19"/>
    </row>
    <row r="168" spans="2:2" x14ac:dyDescent="0.25">
      <c r="B168" s="19"/>
    </row>
    <row r="169" spans="2:2" x14ac:dyDescent="0.25">
      <c r="B169" s="19"/>
    </row>
    <row r="170" spans="2:2" x14ac:dyDescent="0.25">
      <c r="B170" s="19"/>
    </row>
    <row r="171" spans="2:2" x14ac:dyDescent="0.25">
      <c r="B171" s="19"/>
    </row>
    <row r="172" spans="2:2" x14ac:dyDescent="0.25">
      <c r="B172" s="19"/>
    </row>
    <row r="173" spans="2:2" x14ac:dyDescent="0.25">
      <c r="B173" s="19"/>
    </row>
    <row r="174" spans="2:2" x14ac:dyDescent="0.25">
      <c r="B174" s="19"/>
    </row>
    <row r="175" spans="2:2" x14ac:dyDescent="0.25">
      <c r="B175" s="19"/>
    </row>
    <row r="176" spans="2:2" x14ac:dyDescent="0.25">
      <c r="B176" s="19"/>
    </row>
    <row r="177" spans="2:2" x14ac:dyDescent="0.25">
      <c r="B177" s="19"/>
    </row>
    <row r="178" spans="2:2" x14ac:dyDescent="0.25">
      <c r="B178" s="19"/>
    </row>
    <row r="179" spans="2:2" x14ac:dyDescent="0.25">
      <c r="B179" s="19"/>
    </row>
    <row r="180" spans="2:2" x14ac:dyDescent="0.25">
      <c r="B180" s="19"/>
    </row>
    <row r="181" spans="2:2" x14ac:dyDescent="0.25">
      <c r="B181" s="19"/>
    </row>
    <row r="182" spans="2:2" x14ac:dyDescent="0.25">
      <c r="B182" s="19"/>
    </row>
    <row r="183" spans="2:2" x14ac:dyDescent="0.25">
      <c r="B183" s="19"/>
    </row>
    <row r="184" spans="2:2" x14ac:dyDescent="0.25">
      <c r="B184" s="19"/>
    </row>
    <row r="185" spans="2:2" x14ac:dyDescent="0.25">
      <c r="B185" s="19"/>
    </row>
    <row r="186" spans="2:2" x14ac:dyDescent="0.25">
      <c r="B186" s="19"/>
    </row>
    <row r="187" spans="2:2" x14ac:dyDescent="0.25">
      <c r="B187" s="19"/>
    </row>
    <row r="188" spans="2:2" x14ac:dyDescent="0.25">
      <c r="B188" s="19"/>
    </row>
    <row r="189" spans="2:2" x14ac:dyDescent="0.25">
      <c r="B189" s="19"/>
    </row>
    <row r="190" spans="2:2" x14ac:dyDescent="0.25">
      <c r="B190" s="19"/>
    </row>
    <row r="191" spans="2:2" x14ac:dyDescent="0.25">
      <c r="B191" s="19"/>
    </row>
    <row r="192" spans="2:2" x14ac:dyDescent="0.25">
      <c r="B192" s="19"/>
    </row>
    <row r="193" spans="2:2" x14ac:dyDescent="0.25">
      <c r="B193" s="19"/>
    </row>
    <row r="194" spans="2:2" x14ac:dyDescent="0.25">
      <c r="B194" s="19"/>
    </row>
    <row r="195" spans="2:2" x14ac:dyDescent="0.25">
      <c r="B195" s="19"/>
    </row>
    <row r="196" spans="2:2" x14ac:dyDescent="0.25">
      <c r="B196" s="19"/>
    </row>
    <row r="197" spans="2:2" x14ac:dyDescent="0.25">
      <c r="B197" s="19"/>
    </row>
    <row r="198" spans="2:2" x14ac:dyDescent="0.25">
      <c r="B198" s="19"/>
    </row>
    <row r="199" spans="2:2" x14ac:dyDescent="0.25">
      <c r="B199" s="19"/>
    </row>
    <row r="200" spans="2:2" x14ac:dyDescent="0.25">
      <c r="B200" s="19"/>
    </row>
    <row r="201" spans="2:2" x14ac:dyDescent="0.25">
      <c r="B201" s="19"/>
    </row>
    <row r="202" spans="2:2" x14ac:dyDescent="0.25">
      <c r="B202" s="19"/>
    </row>
    <row r="203" spans="2:2" x14ac:dyDescent="0.25">
      <c r="B203" s="19"/>
    </row>
    <row r="204" spans="2:2" x14ac:dyDescent="0.25">
      <c r="B204" s="19"/>
    </row>
    <row r="205" spans="2:2" x14ac:dyDescent="0.25">
      <c r="B205" s="19"/>
    </row>
    <row r="206" spans="2:2" x14ac:dyDescent="0.25">
      <c r="B206" s="19"/>
    </row>
    <row r="207" spans="2:2" x14ac:dyDescent="0.25">
      <c r="B207" s="19"/>
    </row>
    <row r="208" spans="2:2" x14ac:dyDescent="0.25">
      <c r="B208" s="19"/>
    </row>
    <row r="209" spans="2:2" x14ac:dyDescent="0.25">
      <c r="B209" s="19"/>
    </row>
    <row r="210" spans="2:2" x14ac:dyDescent="0.25">
      <c r="B210" s="19"/>
    </row>
    <row r="211" spans="2:2" x14ac:dyDescent="0.25">
      <c r="B211" s="19"/>
    </row>
    <row r="212" spans="2:2" x14ac:dyDescent="0.25">
      <c r="B212" s="19"/>
    </row>
    <row r="213" spans="2:2" x14ac:dyDescent="0.25">
      <c r="B213" s="19"/>
    </row>
    <row r="214" spans="2:2" x14ac:dyDescent="0.25">
      <c r="B214" s="19"/>
    </row>
    <row r="215" spans="2:2" x14ac:dyDescent="0.25">
      <c r="B215" s="19"/>
    </row>
    <row r="216" spans="2:2" x14ac:dyDescent="0.25">
      <c r="B216" s="19"/>
    </row>
    <row r="217" spans="2:2" x14ac:dyDescent="0.25">
      <c r="B217" s="19"/>
    </row>
    <row r="218" spans="2:2" x14ac:dyDescent="0.25">
      <c r="B218" s="19"/>
    </row>
    <row r="219" spans="2:2" x14ac:dyDescent="0.25">
      <c r="B219" s="19"/>
    </row>
    <row r="220" spans="2:2" x14ac:dyDescent="0.25">
      <c r="B220" s="19"/>
    </row>
    <row r="221" spans="2:2" x14ac:dyDescent="0.25">
      <c r="B221" s="19"/>
    </row>
    <row r="222" spans="2:2" x14ac:dyDescent="0.25">
      <c r="B222" s="19"/>
    </row>
    <row r="223" spans="2:2" x14ac:dyDescent="0.25">
      <c r="B223" s="19"/>
    </row>
    <row r="224" spans="2:2" x14ac:dyDescent="0.25">
      <c r="B224" s="19"/>
    </row>
    <row r="225" spans="2:2" x14ac:dyDescent="0.25">
      <c r="B225" s="19"/>
    </row>
    <row r="226" spans="2:2" x14ac:dyDescent="0.25">
      <c r="B226" s="19"/>
    </row>
    <row r="227" spans="2:2" x14ac:dyDescent="0.25">
      <c r="B227" s="19"/>
    </row>
    <row r="228" spans="2:2" x14ac:dyDescent="0.25">
      <c r="B228" s="19"/>
    </row>
    <row r="229" spans="2:2" x14ac:dyDescent="0.25">
      <c r="B229" s="19"/>
    </row>
    <row r="230" spans="2:2" x14ac:dyDescent="0.25">
      <c r="B230" s="19"/>
    </row>
    <row r="231" spans="2:2" x14ac:dyDescent="0.25">
      <c r="B231" s="19"/>
    </row>
    <row r="232" spans="2:2" x14ac:dyDescent="0.25">
      <c r="B232" s="19"/>
    </row>
    <row r="233" spans="2:2" x14ac:dyDescent="0.25">
      <c r="B233" s="19"/>
    </row>
    <row r="234" spans="2:2" x14ac:dyDescent="0.25">
      <c r="B234" s="19"/>
    </row>
    <row r="235" spans="2:2" x14ac:dyDescent="0.25">
      <c r="B235" s="19"/>
    </row>
    <row r="236" spans="2:2" x14ac:dyDescent="0.25">
      <c r="B236" s="19"/>
    </row>
    <row r="237" spans="2:2" x14ac:dyDescent="0.25">
      <c r="B237" s="19"/>
    </row>
    <row r="238" spans="2:2" x14ac:dyDescent="0.25">
      <c r="B238" s="19"/>
    </row>
    <row r="239" spans="2:2" x14ac:dyDescent="0.25">
      <c r="B239" s="19"/>
    </row>
    <row r="240" spans="2:2" x14ac:dyDescent="0.25">
      <c r="B240" s="19"/>
    </row>
    <row r="241" spans="2:2" x14ac:dyDescent="0.25">
      <c r="B241" s="19"/>
    </row>
    <row r="242" spans="2:2" x14ac:dyDescent="0.25">
      <c r="B242" s="19"/>
    </row>
    <row r="243" spans="2:2" x14ac:dyDescent="0.25">
      <c r="B243" s="19"/>
    </row>
    <row r="244" spans="2:2" x14ac:dyDescent="0.25">
      <c r="B244" s="19"/>
    </row>
    <row r="245" spans="2:2" x14ac:dyDescent="0.25">
      <c r="B245" s="19"/>
    </row>
    <row r="246" spans="2:2" x14ac:dyDescent="0.25">
      <c r="B246" s="19"/>
    </row>
    <row r="247" spans="2:2" x14ac:dyDescent="0.25">
      <c r="B247" s="19"/>
    </row>
    <row r="248" spans="2:2" x14ac:dyDescent="0.25">
      <c r="B248" s="19"/>
    </row>
    <row r="249" spans="2:2" x14ac:dyDescent="0.25">
      <c r="B249" s="19"/>
    </row>
    <row r="250" spans="2:2" x14ac:dyDescent="0.25">
      <c r="B250" s="19"/>
    </row>
    <row r="251" spans="2:2" x14ac:dyDescent="0.25">
      <c r="B251" s="19"/>
    </row>
    <row r="252" spans="2:2" x14ac:dyDescent="0.25">
      <c r="B252" s="19"/>
    </row>
    <row r="253" spans="2:2" x14ac:dyDescent="0.25">
      <c r="B253" s="19"/>
    </row>
    <row r="254" spans="2:2" x14ac:dyDescent="0.25">
      <c r="B254" s="19"/>
    </row>
    <row r="255" spans="2:2" x14ac:dyDescent="0.25">
      <c r="B255" s="19"/>
    </row>
    <row r="256" spans="2:2" x14ac:dyDescent="0.25">
      <c r="B256" s="19"/>
    </row>
    <row r="257" spans="2:2" x14ac:dyDescent="0.25">
      <c r="B257" s="19"/>
    </row>
    <row r="258" spans="2:2" x14ac:dyDescent="0.25">
      <c r="B258" s="19"/>
    </row>
    <row r="259" spans="2:2" x14ac:dyDescent="0.25">
      <c r="B259" s="19"/>
    </row>
    <row r="260" spans="2:2" x14ac:dyDescent="0.25">
      <c r="B260" s="19"/>
    </row>
    <row r="261" spans="2:2" x14ac:dyDescent="0.25">
      <c r="B261" s="19"/>
    </row>
    <row r="262" spans="2:2" x14ac:dyDescent="0.25">
      <c r="B262" s="19"/>
    </row>
    <row r="263" spans="2:2" x14ac:dyDescent="0.25">
      <c r="B263" s="19"/>
    </row>
    <row r="264" spans="2:2" x14ac:dyDescent="0.25">
      <c r="B264" s="19"/>
    </row>
    <row r="265" spans="2:2" x14ac:dyDescent="0.25">
      <c r="B265" s="19"/>
    </row>
    <row r="266" spans="2:2" x14ac:dyDescent="0.25">
      <c r="B266" s="19"/>
    </row>
    <row r="267" spans="2:2" x14ac:dyDescent="0.25">
      <c r="B267" s="19"/>
    </row>
    <row r="268" spans="2:2" x14ac:dyDescent="0.25">
      <c r="B268" s="19"/>
    </row>
    <row r="269" spans="2:2" x14ac:dyDescent="0.25">
      <c r="B269" s="19"/>
    </row>
    <row r="270" spans="2:2" x14ac:dyDescent="0.25">
      <c r="B270" s="19"/>
    </row>
    <row r="271" spans="2:2" x14ac:dyDescent="0.25">
      <c r="B271" s="19"/>
    </row>
    <row r="272" spans="2:2" x14ac:dyDescent="0.25">
      <c r="B272" s="19"/>
    </row>
    <row r="273" spans="2:2" x14ac:dyDescent="0.25">
      <c r="B273" s="19"/>
    </row>
    <row r="274" spans="2:2" x14ac:dyDescent="0.25">
      <c r="B274" s="19"/>
    </row>
    <row r="275" spans="2:2" x14ac:dyDescent="0.25">
      <c r="B275" s="19"/>
    </row>
    <row r="276" spans="2:2" x14ac:dyDescent="0.25">
      <c r="B276" s="19"/>
    </row>
    <row r="277" spans="2:2" x14ac:dyDescent="0.25">
      <c r="B277" s="19"/>
    </row>
    <row r="278" spans="2:2" x14ac:dyDescent="0.25">
      <c r="B278" s="19"/>
    </row>
    <row r="279" spans="2:2" x14ac:dyDescent="0.25">
      <c r="B279" s="19"/>
    </row>
    <row r="280" spans="2:2" x14ac:dyDescent="0.25">
      <c r="B280" s="19"/>
    </row>
    <row r="281" spans="2:2" x14ac:dyDescent="0.25">
      <c r="B281" s="19"/>
    </row>
    <row r="282" spans="2:2" x14ac:dyDescent="0.25">
      <c r="B282" s="19"/>
    </row>
    <row r="283" spans="2:2" x14ac:dyDescent="0.25">
      <c r="B283" s="19"/>
    </row>
    <row r="284" spans="2:2" x14ac:dyDescent="0.25">
      <c r="B284" s="19"/>
    </row>
    <row r="285" spans="2:2" x14ac:dyDescent="0.25">
      <c r="B285" s="19"/>
    </row>
    <row r="286" spans="2:2" x14ac:dyDescent="0.25">
      <c r="B286" s="19"/>
    </row>
    <row r="287" spans="2:2" x14ac:dyDescent="0.25">
      <c r="B287" s="19"/>
    </row>
    <row r="288" spans="2:2" x14ac:dyDescent="0.25">
      <c r="B288" s="19"/>
    </row>
    <row r="289" spans="2:2" x14ac:dyDescent="0.25">
      <c r="B289" s="19"/>
    </row>
    <row r="290" spans="2:2" x14ac:dyDescent="0.25">
      <c r="B290" s="19"/>
    </row>
    <row r="291" spans="2:2" x14ac:dyDescent="0.25">
      <c r="B291" s="19"/>
    </row>
    <row r="292" spans="2:2" x14ac:dyDescent="0.25">
      <c r="B292" s="19"/>
    </row>
    <row r="293" spans="2:2" x14ac:dyDescent="0.25">
      <c r="B293" s="19"/>
    </row>
    <row r="294" spans="2:2" x14ac:dyDescent="0.25">
      <c r="B294" s="19"/>
    </row>
    <row r="295" spans="2:2" x14ac:dyDescent="0.25">
      <c r="B295" s="19"/>
    </row>
    <row r="296" spans="2:2" x14ac:dyDescent="0.25">
      <c r="B296" s="19"/>
    </row>
    <row r="297" spans="2:2" x14ac:dyDescent="0.25">
      <c r="B297" s="19"/>
    </row>
    <row r="298" spans="2:2" x14ac:dyDescent="0.25">
      <c r="B298" s="19"/>
    </row>
    <row r="299" spans="2:2" x14ac:dyDescent="0.25">
      <c r="B299" s="19"/>
    </row>
    <row r="300" spans="2:2" x14ac:dyDescent="0.25">
      <c r="B300" s="19"/>
    </row>
    <row r="301" spans="2:2" x14ac:dyDescent="0.25">
      <c r="B301" s="19"/>
    </row>
    <row r="302" spans="2:2" x14ac:dyDescent="0.25">
      <c r="B302" s="19"/>
    </row>
    <row r="303" spans="2:2" x14ac:dyDescent="0.25">
      <c r="B303" s="19"/>
    </row>
    <row r="304" spans="2:2" x14ac:dyDescent="0.25">
      <c r="B304" s="19"/>
    </row>
    <row r="305" spans="2:2" x14ac:dyDescent="0.25">
      <c r="B305" s="19"/>
    </row>
    <row r="306" spans="2:2" x14ac:dyDescent="0.25">
      <c r="B306" s="19"/>
    </row>
    <row r="307" spans="2:2" x14ac:dyDescent="0.25">
      <c r="B307" s="19"/>
    </row>
    <row r="308" spans="2:2" x14ac:dyDescent="0.25">
      <c r="B308" s="19"/>
    </row>
    <row r="309" spans="2:2" x14ac:dyDescent="0.25">
      <c r="B309" s="19"/>
    </row>
    <row r="310" spans="2:2" x14ac:dyDescent="0.25">
      <c r="B310" s="19"/>
    </row>
    <row r="311" spans="2:2" x14ac:dyDescent="0.25">
      <c r="B311" s="19"/>
    </row>
    <row r="312" spans="2:2" x14ac:dyDescent="0.25">
      <c r="B312" s="19"/>
    </row>
    <row r="313" spans="2:2" x14ac:dyDescent="0.25">
      <c r="B313" s="19"/>
    </row>
    <row r="314" spans="2:2" x14ac:dyDescent="0.25">
      <c r="B314" s="19"/>
    </row>
    <row r="315" spans="2:2" x14ac:dyDescent="0.25">
      <c r="B315" s="19"/>
    </row>
    <row r="316" spans="2:2" x14ac:dyDescent="0.25">
      <c r="B316" s="19"/>
    </row>
    <row r="317" spans="2:2" x14ac:dyDescent="0.25">
      <c r="B317" s="19"/>
    </row>
    <row r="318" spans="2:2" x14ac:dyDescent="0.25">
      <c r="B318" s="19"/>
    </row>
    <row r="319" spans="2:2" x14ac:dyDescent="0.25">
      <c r="B319" s="19"/>
    </row>
    <row r="320" spans="2:2" x14ac:dyDescent="0.25">
      <c r="B320" s="19"/>
    </row>
    <row r="321" spans="2:2" x14ac:dyDescent="0.25">
      <c r="B321" s="19"/>
    </row>
    <row r="322" spans="2:2" x14ac:dyDescent="0.25">
      <c r="B322" s="19"/>
    </row>
    <row r="323" spans="2:2" x14ac:dyDescent="0.25">
      <c r="B323" s="19"/>
    </row>
    <row r="324" spans="2:2" x14ac:dyDescent="0.25">
      <c r="B324" s="19"/>
    </row>
    <row r="325" spans="2:2" x14ac:dyDescent="0.25">
      <c r="B325" s="19"/>
    </row>
    <row r="326" spans="2:2" x14ac:dyDescent="0.25">
      <c r="B326" s="19"/>
    </row>
    <row r="327" spans="2:2" x14ac:dyDescent="0.25">
      <c r="B327" s="19"/>
    </row>
    <row r="328" spans="2:2" x14ac:dyDescent="0.25">
      <c r="B328" s="19"/>
    </row>
    <row r="329" spans="2:2" x14ac:dyDescent="0.25">
      <c r="B329" s="19"/>
    </row>
    <row r="330" spans="2:2" x14ac:dyDescent="0.25">
      <c r="B330" s="19"/>
    </row>
    <row r="331" spans="2:2" x14ac:dyDescent="0.25">
      <c r="B331" s="19"/>
    </row>
    <row r="332" spans="2:2" x14ac:dyDescent="0.25">
      <c r="B332" s="19"/>
    </row>
    <row r="333" spans="2:2" x14ac:dyDescent="0.25">
      <c r="B333" s="19"/>
    </row>
    <row r="334" spans="2:2" x14ac:dyDescent="0.25">
      <c r="B334" s="19"/>
    </row>
    <row r="335" spans="2:2" x14ac:dyDescent="0.25">
      <c r="B335" s="19"/>
    </row>
    <row r="336" spans="2:2" x14ac:dyDescent="0.25">
      <c r="B336" s="19"/>
    </row>
    <row r="337" spans="2:2" x14ac:dyDescent="0.25">
      <c r="B337" s="19"/>
    </row>
    <row r="338" spans="2:2" x14ac:dyDescent="0.25">
      <c r="B338" s="19"/>
    </row>
    <row r="339" spans="2:2" x14ac:dyDescent="0.25">
      <c r="B339" s="19"/>
    </row>
    <row r="340" spans="2:2" x14ac:dyDescent="0.25">
      <c r="B340" s="19"/>
    </row>
    <row r="341" spans="2:2" x14ac:dyDescent="0.25">
      <c r="B341" s="19"/>
    </row>
    <row r="342" spans="2:2" x14ac:dyDescent="0.25">
      <c r="B342" s="19"/>
    </row>
    <row r="343" spans="2:2" x14ac:dyDescent="0.25">
      <c r="B343" s="19"/>
    </row>
    <row r="344" spans="2:2" x14ac:dyDescent="0.25">
      <c r="B344" s="19"/>
    </row>
    <row r="345" spans="2:2" x14ac:dyDescent="0.25">
      <c r="B345" s="19"/>
    </row>
    <row r="346" spans="2:2" x14ac:dyDescent="0.25">
      <c r="B346" s="19"/>
    </row>
    <row r="347" spans="2:2" x14ac:dyDescent="0.25">
      <c r="B347" s="19"/>
    </row>
    <row r="348" spans="2:2" x14ac:dyDescent="0.25">
      <c r="B348" s="19"/>
    </row>
    <row r="349" spans="2:2" x14ac:dyDescent="0.25">
      <c r="B349" s="19"/>
    </row>
    <row r="350" spans="2:2" x14ac:dyDescent="0.25">
      <c r="B350" s="19"/>
    </row>
    <row r="351" spans="2:2" x14ac:dyDescent="0.25">
      <c r="B351" s="19"/>
    </row>
    <row r="352" spans="2:2" x14ac:dyDescent="0.25">
      <c r="B352" s="19"/>
    </row>
    <row r="353" spans="2:2" x14ac:dyDescent="0.25">
      <c r="B353" s="19"/>
    </row>
    <row r="354" spans="2:2" x14ac:dyDescent="0.25">
      <c r="B354" s="19"/>
    </row>
    <row r="355" spans="2:2" x14ac:dyDescent="0.25">
      <c r="B355" s="19"/>
    </row>
    <row r="356" spans="2:2" x14ac:dyDescent="0.25">
      <c r="B356" s="19"/>
    </row>
    <row r="357" spans="2:2" x14ac:dyDescent="0.25">
      <c r="B357" s="19"/>
    </row>
    <row r="358" spans="2:2" x14ac:dyDescent="0.25">
      <c r="B358" s="19"/>
    </row>
    <row r="359" spans="2:2" x14ac:dyDescent="0.25">
      <c r="B359" s="19"/>
    </row>
    <row r="360" spans="2:2" x14ac:dyDescent="0.25">
      <c r="B360" s="19"/>
    </row>
    <row r="361" spans="2:2" x14ac:dyDescent="0.25">
      <c r="B361" s="19"/>
    </row>
    <row r="362" spans="2:2" x14ac:dyDescent="0.25">
      <c r="B362" s="19"/>
    </row>
    <row r="363" spans="2:2" x14ac:dyDescent="0.25">
      <c r="B363" s="19"/>
    </row>
    <row r="364" spans="2:2" x14ac:dyDescent="0.25">
      <c r="B364" s="19"/>
    </row>
    <row r="365" spans="2:2" x14ac:dyDescent="0.25">
      <c r="B365" s="19"/>
    </row>
    <row r="366" spans="2:2" x14ac:dyDescent="0.25">
      <c r="B366" s="19"/>
    </row>
    <row r="367" spans="2:2" x14ac:dyDescent="0.25">
      <c r="B367" s="19"/>
    </row>
    <row r="368" spans="2:2" x14ac:dyDescent="0.25">
      <c r="B368" s="19"/>
    </row>
    <row r="369" spans="2:2" x14ac:dyDescent="0.25">
      <c r="B369" s="19"/>
    </row>
    <row r="370" spans="2:2" x14ac:dyDescent="0.25">
      <c r="B370" s="19"/>
    </row>
    <row r="371" spans="2:2" x14ac:dyDescent="0.25">
      <c r="B371" s="19"/>
    </row>
    <row r="372" spans="2:2" x14ac:dyDescent="0.25">
      <c r="B372" s="19"/>
    </row>
    <row r="373" spans="2:2" x14ac:dyDescent="0.25">
      <c r="B373" s="19"/>
    </row>
    <row r="374" spans="2:2" x14ac:dyDescent="0.25">
      <c r="B374" s="19"/>
    </row>
    <row r="375" spans="2:2" x14ac:dyDescent="0.25">
      <c r="B375" s="19"/>
    </row>
    <row r="376" spans="2:2" x14ac:dyDescent="0.25">
      <c r="B376" s="19"/>
    </row>
    <row r="377" spans="2:2" x14ac:dyDescent="0.25">
      <c r="B377" s="19"/>
    </row>
    <row r="378" spans="2:2" x14ac:dyDescent="0.25">
      <c r="B378" s="19"/>
    </row>
    <row r="379" spans="2:2" x14ac:dyDescent="0.25">
      <c r="B379" s="19"/>
    </row>
    <row r="380" spans="2:2" x14ac:dyDescent="0.25">
      <c r="B380" s="19"/>
    </row>
    <row r="381" spans="2:2" x14ac:dyDescent="0.25">
      <c r="B381" s="19"/>
    </row>
    <row r="382" spans="2:2" x14ac:dyDescent="0.25">
      <c r="B382" s="19"/>
    </row>
    <row r="383" spans="2:2" x14ac:dyDescent="0.25">
      <c r="B383" s="19"/>
    </row>
    <row r="384" spans="2:2" x14ac:dyDescent="0.25">
      <c r="B384" s="19"/>
    </row>
    <row r="385" spans="2:2" x14ac:dyDescent="0.25">
      <c r="B385" s="19"/>
    </row>
    <row r="386" spans="2:2" x14ac:dyDescent="0.25">
      <c r="B386" s="19"/>
    </row>
    <row r="387" spans="2:2" x14ac:dyDescent="0.25">
      <c r="B387" s="19"/>
    </row>
    <row r="388" spans="2:2" x14ac:dyDescent="0.25">
      <c r="B388" s="19"/>
    </row>
    <row r="389" spans="2:2" x14ac:dyDescent="0.25">
      <c r="B389" s="19"/>
    </row>
    <row r="390" spans="2:2" x14ac:dyDescent="0.25">
      <c r="B390" s="19"/>
    </row>
    <row r="391" spans="2:2" x14ac:dyDescent="0.25">
      <c r="B391" s="19"/>
    </row>
    <row r="392" spans="2:2" x14ac:dyDescent="0.25">
      <c r="B392" s="19"/>
    </row>
    <row r="393" spans="2:2" x14ac:dyDescent="0.25">
      <c r="B393" s="19"/>
    </row>
    <row r="394" spans="2:2" x14ac:dyDescent="0.25">
      <c r="B394" s="19"/>
    </row>
    <row r="395" spans="2:2" x14ac:dyDescent="0.25">
      <c r="B395" s="19"/>
    </row>
    <row r="396" spans="2:2" x14ac:dyDescent="0.25">
      <c r="B396" s="19"/>
    </row>
    <row r="397" spans="2:2" x14ac:dyDescent="0.25">
      <c r="B397" s="19"/>
    </row>
    <row r="398" spans="2:2" x14ac:dyDescent="0.25">
      <c r="B398" s="19"/>
    </row>
    <row r="399" spans="2:2" x14ac:dyDescent="0.25">
      <c r="B399" s="19"/>
    </row>
    <row r="400" spans="2:2" x14ac:dyDescent="0.25">
      <c r="B400" s="19"/>
    </row>
    <row r="401" spans="2:2" x14ac:dyDescent="0.25">
      <c r="B401" s="19"/>
    </row>
    <row r="402" spans="2:2" x14ac:dyDescent="0.25">
      <c r="B402" s="19"/>
    </row>
    <row r="403" spans="2:2" x14ac:dyDescent="0.25">
      <c r="B403" s="19"/>
    </row>
    <row r="404" spans="2:2" x14ac:dyDescent="0.25">
      <c r="B404" s="19"/>
    </row>
    <row r="405" spans="2:2" x14ac:dyDescent="0.25">
      <c r="B405" s="19"/>
    </row>
    <row r="406" spans="2:2" x14ac:dyDescent="0.25">
      <c r="B406" s="19"/>
    </row>
    <row r="407" spans="2:2" x14ac:dyDescent="0.25">
      <c r="B407" s="19"/>
    </row>
    <row r="408" spans="2:2" x14ac:dyDescent="0.25">
      <c r="B408" s="19"/>
    </row>
    <row r="409" spans="2:2" x14ac:dyDescent="0.25">
      <c r="B409" s="19"/>
    </row>
    <row r="410" spans="2:2" x14ac:dyDescent="0.25">
      <c r="B410" s="19"/>
    </row>
    <row r="411" spans="2:2" x14ac:dyDescent="0.25">
      <c r="B411" s="19"/>
    </row>
    <row r="412" spans="2:2" x14ac:dyDescent="0.25">
      <c r="B412" s="19"/>
    </row>
    <row r="413" spans="2:2" x14ac:dyDescent="0.25">
      <c r="B413" s="19"/>
    </row>
    <row r="414" spans="2:2" x14ac:dyDescent="0.25">
      <c r="B414" s="19"/>
    </row>
    <row r="415" spans="2:2" x14ac:dyDescent="0.25">
      <c r="B415" s="19"/>
    </row>
    <row r="416" spans="2:2" x14ac:dyDescent="0.25">
      <c r="B416" s="19"/>
    </row>
    <row r="417" spans="2:2" x14ac:dyDescent="0.25">
      <c r="B417" s="19"/>
    </row>
    <row r="418" spans="2:2" x14ac:dyDescent="0.25">
      <c r="B418" s="19"/>
    </row>
    <row r="419" spans="2:2" x14ac:dyDescent="0.25">
      <c r="B419" s="19"/>
    </row>
    <row r="420" spans="2:2" x14ac:dyDescent="0.25">
      <c r="B420" s="19"/>
    </row>
    <row r="421" spans="2:2" x14ac:dyDescent="0.25">
      <c r="B421" s="19"/>
    </row>
    <row r="422" spans="2:2" x14ac:dyDescent="0.25">
      <c r="B422" s="19"/>
    </row>
    <row r="423" spans="2:2" x14ac:dyDescent="0.25">
      <c r="B423" s="19"/>
    </row>
    <row r="424" spans="2:2" x14ac:dyDescent="0.25">
      <c r="B424" s="19"/>
    </row>
    <row r="425" spans="2:2" x14ac:dyDescent="0.25">
      <c r="B425" s="19"/>
    </row>
  </sheetData>
  <sheetProtection password="889E" sheet="1" objects="1" scenarios="1"/>
  <phoneticPr fontId="0" type="noConversion"/>
  <printOptions horizontalCentered="1"/>
  <pageMargins left="0.59055118110236227" right="0.31496062992125984" top="0.47244094488188981" bottom="0.17" header="0.51181102362204722" footer="0.21"/>
  <pageSetup paperSize="9" firstPageNumber="3" orientation="portrait" useFirstPageNumber="1" r:id="rId1"/>
  <headerFooter alignWithMargins="0">
    <oddFooter>&amp;C3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workbookViewId="0">
      <selection activeCell="B1" sqref="B1"/>
    </sheetView>
  </sheetViews>
  <sheetFormatPr defaultColWidth="9.1796875" defaultRowHeight="12.5" x14ac:dyDescent="0.25"/>
  <cols>
    <col min="1" max="1" width="25.26953125" style="3" customWidth="1"/>
    <col min="2" max="2" width="9.1796875" style="3"/>
    <col min="3" max="3" width="15" style="3" bestFit="1" customWidth="1"/>
    <col min="4" max="4" width="2.7265625" style="3" customWidth="1"/>
    <col min="5" max="5" width="14" style="3" bestFit="1" customWidth="1"/>
    <col min="6" max="6" width="1.81640625" style="3" customWidth="1"/>
    <col min="7" max="7" width="15.54296875" style="3" bestFit="1" customWidth="1"/>
    <col min="8" max="8" width="2.453125" style="3" customWidth="1"/>
    <col min="9" max="9" width="15" style="3" bestFit="1" customWidth="1"/>
    <col min="10" max="10" width="34.81640625" style="6" customWidth="1"/>
    <col min="11" max="16384" width="9.1796875" style="3"/>
  </cols>
  <sheetData>
    <row r="1" spans="1:10" s="1" customFormat="1" ht="13" x14ac:dyDescent="0.3">
      <c r="A1" s="66" t="s">
        <v>0</v>
      </c>
      <c r="B1" s="67"/>
      <c r="C1" s="67"/>
      <c r="D1" s="67"/>
    </row>
    <row r="2" spans="1:10" s="1" customFormat="1" ht="13" x14ac:dyDescent="0.3">
      <c r="A2" s="68" t="s">
        <v>3</v>
      </c>
      <c r="B2" s="67"/>
      <c r="C2" s="67"/>
      <c r="D2" s="67"/>
    </row>
    <row r="3" spans="1:10" s="1" customFormat="1" ht="13" x14ac:dyDescent="0.3">
      <c r="A3" s="68" t="s">
        <v>149</v>
      </c>
      <c r="B3" s="67"/>
      <c r="C3" s="67"/>
      <c r="D3" s="67"/>
    </row>
    <row r="4" spans="1:10" s="1" customFormat="1" ht="13" x14ac:dyDescent="0.3">
      <c r="A4" s="68" t="s">
        <v>84</v>
      </c>
      <c r="B4" s="67"/>
      <c r="C4" s="67"/>
      <c r="D4" s="67"/>
    </row>
    <row r="5" spans="1:10" s="1" customFormat="1" ht="13" x14ac:dyDescent="0.3">
      <c r="B5" s="67"/>
      <c r="C5" s="67"/>
      <c r="D5" s="67"/>
      <c r="J5" s="2"/>
    </row>
    <row r="6" spans="1:10" s="1" customFormat="1" ht="13.5" thickBot="1" x14ac:dyDescent="0.35">
      <c r="A6" s="69" t="s">
        <v>54</v>
      </c>
      <c r="B6" s="70"/>
      <c r="C6" s="70"/>
      <c r="D6" s="70"/>
      <c r="E6" s="45"/>
      <c r="F6" s="45"/>
      <c r="G6" s="45"/>
      <c r="H6" s="45"/>
      <c r="I6" s="45"/>
    </row>
    <row r="7" spans="1:10" s="71" customFormat="1" ht="9" x14ac:dyDescent="0.2">
      <c r="B7" s="71" t="s">
        <v>11</v>
      </c>
      <c r="C7" s="71" t="s">
        <v>151</v>
      </c>
      <c r="E7" s="71" t="s">
        <v>152</v>
      </c>
      <c r="G7" s="71" t="s">
        <v>150</v>
      </c>
      <c r="I7" s="71" t="s">
        <v>154</v>
      </c>
      <c r="J7" s="72"/>
    </row>
    <row r="8" spans="1:10" s="71" customFormat="1" ht="9" x14ac:dyDescent="0.2">
      <c r="E8" s="71" t="s">
        <v>155</v>
      </c>
      <c r="G8" s="71" t="s">
        <v>153</v>
      </c>
      <c r="I8" s="71" t="s">
        <v>156</v>
      </c>
      <c r="J8" s="72"/>
    </row>
    <row r="9" spans="1:10" s="71" customFormat="1" ht="9" x14ac:dyDescent="0.2">
      <c r="J9" s="72"/>
    </row>
    <row r="12" spans="1:10" ht="13" thickBot="1" x14ac:dyDescent="0.3">
      <c r="A12" s="6" t="s">
        <v>157</v>
      </c>
      <c r="C12" s="73">
        <v>27666250000</v>
      </c>
      <c r="D12" s="5"/>
      <c r="E12" s="73">
        <v>0</v>
      </c>
      <c r="F12" s="5"/>
      <c r="G12" s="73">
        <v>-1802615031</v>
      </c>
      <c r="H12" s="5"/>
      <c r="I12" s="73">
        <v>25863634969</v>
      </c>
      <c r="J12" s="3"/>
    </row>
    <row r="13" spans="1:10" ht="13" thickTop="1" x14ac:dyDescent="0.25">
      <c r="A13" s="6"/>
      <c r="C13" s="5"/>
      <c r="D13" s="5"/>
      <c r="E13" s="5"/>
      <c r="F13" s="5"/>
      <c r="G13" s="5"/>
      <c r="H13" s="5"/>
      <c r="I13" s="5"/>
      <c r="J13" s="3"/>
    </row>
    <row r="14" spans="1:10" x14ac:dyDescent="0.25">
      <c r="A14" s="6" t="s">
        <v>158</v>
      </c>
      <c r="C14" s="5">
        <v>3000000000</v>
      </c>
      <c r="D14" s="5"/>
      <c r="E14" s="5">
        <v>8802562068</v>
      </c>
      <c r="F14" s="5"/>
      <c r="G14" s="5"/>
      <c r="H14" s="5"/>
      <c r="I14" s="5">
        <v>11802562068</v>
      </c>
      <c r="J14" s="3"/>
    </row>
    <row r="15" spans="1:10" x14ac:dyDescent="0.25">
      <c r="A15" s="6"/>
      <c r="C15" s="5"/>
      <c r="D15" s="5"/>
      <c r="E15" s="5"/>
      <c r="F15" s="5"/>
      <c r="G15" s="5"/>
      <c r="H15" s="5"/>
      <c r="I15" s="5"/>
      <c r="J15" s="3"/>
    </row>
    <row r="16" spans="1:10" x14ac:dyDescent="0.25">
      <c r="A16" s="6" t="s">
        <v>159</v>
      </c>
      <c r="C16" s="5"/>
      <c r="D16" s="5"/>
      <c r="E16" s="5"/>
      <c r="F16" s="5"/>
      <c r="G16" s="5">
        <v>-71981809</v>
      </c>
      <c r="H16" s="5"/>
      <c r="I16" s="5">
        <v>-71981809</v>
      </c>
      <c r="J16" s="3"/>
    </row>
    <row r="17" spans="1:10" x14ac:dyDescent="0.25">
      <c r="A17" s="6"/>
      <c r="C17" s="5"/>
      <c r="D17" s="5"/>
      <c r="E17" s="5"/>
      <c r="F17" s="5"/>
      <c r="G17" s="5"/>
      <c r="H17" s="5"/>
      <c r="I17" s="5"/>
      <c r="J17" s="3"/>
    </row>
    <row r="18" spans="1:10" x14ac:dyDescent="0.25">
      <c r="A18" s="6" t="s">
        <v>160</v>
      </c>
      <c r="C18" s="5"/>
      <c r="D18" s="5"/>
      <c r="E18" s="5"/>
      <c r="F18" s="5"/>
      <c r="G18" s="5">
        <v>-4430598623</v>
      </c>
      <c r="H18" s="5"/>
      <c r="I18" s="5">
        <v>-4430598623</v>
      </c>
      <c r="J18" s="3"/>
    </row>
    <row r="19" spans="1:10" x14ac:dyDescent="0.25">
      <c r="A19" s="6"/>
      <c r="C19" s="5"/>
      <c r="D19" s="5"/>
      <c r="E19" s="5"/>
      <c r="F19" s="5"/>
      <c r="G19" s="5"/>
      <c r="H19" s="5"/>
      <c r="I19" s="5"/>
      <c r="J19" s="3"/>
    </row>
    <row r="20" spans="1:10" ht="13" thickBot="1" x14ac:dyDescent="0.3">
      <c r="A20" s="6" t="s">
        <v>161</v>
      </c>
      <c r="C20" s="74">
        <v>30666250000</v>
      </c>
      <c r="D20" s="5"/>
      <c r="E20" s="74">
        <v>8802562068</v>
      </c>
      <c r="F20" s="55">
        <v>0</v>
      </c>
      <c r="G20" s="74">
        <v>-6305195463</v>
      </c>
      <c r="H20" s="55"/>
      <c r="I20" s="74">
        <v>33163616605</v>
      </c>
      <c r="J20" s="3"/>
    </row>
    <row r="21" spans="1:10" ht="13" thickTop="1" x14ac:dyDescent="0.25">
      <c r="A21" s="6"/>
      <c r="C21" s="5"/>
      <c r="D21" s="5"/>
      <c r="E21" s="5"/>
      <c r="F21" s="55"/>
      <c r="G21" s="5"/>
      <c r="H21" s="55"/>
      <c r="I21" s="5"/>
      <c r="J21" s="3"/>
    </row>
    <row r="22" spans="1:10" x14ac:dyDescent="0.25">
      <c r="A22" s="6" t="s">
        <v>160</v>
      </c>
      <c r="C22" s="5"/>
      <c r="D22" s="5"/>
      <c r="E22" s="5"/>
      <c r="F22" s="5"/>
      <c r="G22" s="5">
        <v>-3858059926.966207</v>
      </c>
      <c r="H22" s="5"/>
      <c r="I22" s="5">
        <v>-3858059926.966207</v>
      </c>
      <c r="J22" s="3"/>
    </row>
    <row r="23" spans="1:10" x14ac:dyDescent="0.25">
      <c r="C23" s="5"/>
      <c r="D23" s="5"/>
      <c r="E23" s="5"/>
      <c r="F23" s="5"/>
      <c r="G23" s="5"/>
      <c r="H23" s="5"/>
      <c r="I23" s="5"/>
    </row>
    <row r="24" spans="1:10" ht="13" thickBot="1" x14ac:dyDescent="0.3">
      <c r="A24" s="6" t="s">
        <v>162</v>
      </c>
      <c r="C24" s="74">
        <v>30666250000</v>
      </c>
      <c r="D24" s="5"/>
      <c r="E24" s="74">
        <v>8802562068</v>
      </c>
      <c r="F24" s="55">
        <v>0</v>
      </c>
      <c r="G24" s="74">
        <v>-10163255389.966208</v>
      </c>
      <c r="H24" s="5"/>
      <c r="I24" s="74">
        <v>29305556678.033794</v>
      </c>
      <c r="J24" s="3"/>
    </row>
    <row r="25" spans="1:10" ht="13" thickTop="1" x14ac:dyDescent="0.25">
      <c r="C25" s="5"/>
      <c r="D25" s="5"/>
      <c r="E25" s="5"/>
      <c r="F25" s="5"/>
      <c r="G25" s="5"/>
      <c r="H25" s="5"/>
      <c r="I25" s="5"/>
    </row>
    <row r="26" spans="1:10" x14ac:dyDescent="0.25">
      <c r="A26" s="75" t="s">
        <v>49</v>
      </c>
      <c r="B26" s="76"/>
      <c r="C26" s="76"/>
      <c r="D26" s="5"/>
      <c r="E26" s="5"/>
      <c r="F26" s="5"/>
      <c r="G26" s="5"/>
      <c r="H26" s="5"/>
      <c r="I26" s="5"/>
      <c r="J26" s="3"/>
    </row>
    <row r="27" spans="1:10" x14ac:dyDescent="0.25">
      <c r="A27" s="75" t="s">
        <v>51</v>
      </c>
      <c r="B27" s="77"/>
      <c r="C27" s="77"/>
      <c r="D27" s="5"/>
      <c r="E27" s="5"/>
      <c r="F27" s="5"/>
      <c r="G27" s="5"/>
      <c r="H27" s="5"/>
      <c r="I27" s="5"/>
      <c r="J27" s="3"/>
    </row>
    <row r="28" spans="1:10" x14ac:dyDescent="0.25">
      <c r="A28" s="75" t="s">
        <v>53</v>
      </c>
      <c r="B28" s="77"/>
      <c r="C28" s="77"/>
      <c r="F28" s="5"/>
      <c r="G28" s="5"/>
      <c r="H28" s="5"/>
      <c r="I28" s="5"/>
      <c r="J28" s="3"/>
    </row>
    <row r="29" spans="1:10" x14ac:dyDescent="0.25">
      <c r="F29" s="5"/>
      <c r="G29" s="5"/>
      <c r="H29" s="5"/>
      <c r="I29" s="5"/>
    </row>
    <row r="30" spans="1:10" x14ac:dyDescent="0.25">
      <c r="F30" s="5"/>
      <c r="G30" s="5"/>
      <c r="H30" s="5"/>
      <c r="I30" s="5"/>
    </row>
    <row r="31" spans="1:10" x14ac:dyDescent="0.25">
      <c r="F31" s="5"/>
      <c r="G31" s="5"/>
      <c r="H31" s="5"/>
      <c r="I31" s="5"/>
    </row>
    <row r="32" spans="1:10" x14ac:dyDescent="0.25">
      <c r="F32" s="5"/>
      <c r="G32" s="5"/>
      <c r="H32" s="5"/>
      <c r="I32" s="5"/>
    </row>
    <row r="33" spans="6:9" x14ac:dyDescent="0.25">
      <c r="F33" s="5"/>
      <c r="G33" s="5"/>
      <c r="H33" s="5"/>
      <c r="I33" s="5"/>
    </row>
    <row r="34" spans="6:9" x14ac:dyDescent="0.25">
      <c r="F34" s="5"/>
      <c r="G34" s="5"/>
      <c r="H34" s="5"/>
      <c r="I34" s="5"/>
    </row>
  </sheetData>
  <sheetProtection password="889E" sheet="1" objects="1" scenarios="1"/>
  <phoneticPr fontId="0" type="noConversion"/>
  <pageMargins left="0.74803149606299202" right="0.23" top="0.98425196850393704" bottom="0.98425196850393704" header="0.511811023622047" footer="0.511811023622047"/>
  <pageSetup paperSize="9" firstPageNumber="4" orientation="landscape" useFirstPageNumber="1" r:id="rId1"/>
  <headerFooter alignWithMargins="0">
    <oddFooter>&amp;C4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showGridLines="0" tabSelected="1" zoomScaleNormal="100" workbookViewId="0">
      <selection activeCell="B1" sqref="B1"/>
    </sheetView>
  </sheetViews>
  <sheetFormatPr defaultColWidth="9.1796875" defaultRowHeight="12.5" x14ac:dyDescent="0.25"/>
  <cols>
    <col min="1" max="1" width="2.1796875" style="78" customWidth="1"/>
    <col min="2" max="2" width="39" style="78" customWidth="1"/>
    <col min="3" max="3" width="7.54296875" style="78" bestFit="1" customWidth="1"/>
    <col min="4" max="4" width="0.7265625" style="78" customWidth="1"/>
    <col min="5" max="5" width="15.54296875" style="80" bestFit="1" customWidth="1"/>
    <col min="6" max="6" width="1" style="80" customWidth="1"/>
    <col min="7" max="7" width="15" style="78" bestFit="1" customWidth="1"/>
    <col min="8" max="16384" width="9.1796875" style="78"/>
  </cols>
  <sheetData>
    <row r="1" spans="1:7" x14ac:dyDescent="0.25">
      <c r="C1" s="79"/>
      <c r="D1" s="79"/>
      <c r="G1" s="79"/>
    </row>
    <row r="2" spans="1:7" ht="13" x14ac:dyDescent="0.3">
      <c r="A2" s="109" t="s">
        <v>1</v>
      </c>
      <c r="B2" s="81"/>
      <c r="C2" s="79"/>
      <c r="D2" s="79"/>
      <c r="G2" s="79"/>
    </row>
    <row r="3" spans="1:7" ht="13" x14ac:dyDescent="0.3">
      <c r="A3" s="110" t="s">
        <v>3</v>
      </c>
      <c r="B3" s="81"/>
      <c r="C3" s="79"/>
      <c r="D3" s="79"/>
      <c r="G3" s="79"/>
    </row>
    <row r="4" spans="1:7" ht="13" x14ac:dyDescent="0.3">
      <c r="A4" s="111" t="s">
        <v>164</v>
      </c>
      <c r="C4" s="82"/>
      <c r="D4" s="82"/>
      <c r="E4" s="83"/>
      <c r="F4" s="83"/>
      <c r="G4" s="82"/>
    </row>
    <row r="5" spans="1:7" s="81" customFormat="1" ht="13" x14ac:dyDescent="0.3">
      <c r="A5" s="112" t="s">
        <v>84</v>
      </c>
      <c r="C5" s="84"/>
      <c r="D5" s="84"/>
      <c r="E5" s="85"/>
      <c r="F5" s="85"/>
      <c r="G5" s="84"/>
    </row>
    <row r="6" spans="1:7" x14ac:dyDescent="0.25">
      <c r="A6" s="86"/>
      <c r="B6" s="86"/>
    </row>
    <row r="7" spans="1:7" s="81" customFormat="1" ht="13.5" thickBot="1" x14ac:dyDescent="0.35">
      <c r="A7" s="113" t="s">
        <v>54</v>
      </c>
      <c r="B7" s="87"/>
      <c r="C7" s="88"/>
      <c r="D7" s="88"/>
      <c r="E7" s="89"/>
      <c r="F7" s="89"/>
      <c r="G7" s="88"/>
    </row>
    <row r="8" spans="1:7" x14ac:dyDescent="0.25">
      <c r="C8" s="79"/>
      <c r="D8" s="79"/>
      <c r="G8" s="79"/>
    </row>
    <row r="9" spans="1:7" ht="13" x14ac:dyDescent="0.3">
      <c r="C9" s="114" t="s">
        <v>11</v>
      </c>
      <c r="D9" s="90"/>
      <c r="E9" s="91" t="s">
        <v>165</v>
      </c>
      <c r="F9" s="91"/>
      <c r="G9" s="92">
        <v>2001</v>
      </c>
    </row>
    <row r="10" spans="1:7" ht="13" x14ac:dyDescent="0.3">
      <c r="C10" s="115"/>
      <c r="D10" s="114"/>
      <c r="E10" s="93" t="s">
        <v>163</v>
      </c>
      <c r="F10" s="94"/>
      <c r="G10" s="95" t="s">
        <v>163</v>
      </c>
    </row>
    <row r="11" spans="1:7" ht="13" x14ac:dyDescent="0.3">
      <c r="B11" s="96"/>
      <c r="C11" s="97"/>
      <c r="D11" s="97"/>
      <c r="E11" s="94"/>
      <c r="F11" s="94"/>
      <c r="G11" s="96"/>
    </row>
    <row r="12" spans="1:7" ht="13" x14ac:dyDescent="0.3">
      <c r="A12" s="109" t="s">
        <v>166</v>
      </c>
      <c r="B12" s="98"/>
      <c r="C12" s="98"/>
      <c r="D12" s="98"/>
      <c r="E12" s="34"/>
      <c r="F12" s="34"/>
      <c r="G12" s="98"/>
    </row>
    <row r="13" spans="1:7" ht="13" x14ac:dyDescent="0.3">
      <c r="A13" s="109" t="s">
        <v>167</v>
      </c>
      <c r="B13" s="98"/>
      <c r="C13" s="98"/>
      <c r="D13" s="98"/>
      <c r="E13" s="34"/>
      <c r="F13" s="34"/>
      <c r="G13" s="98"/>
    </row>
    <row r="14" spans="1:7" x14ac:dyDescent="0.25">
      <c r="B14" s="86" t="s">
        <v>168</v>
      </c>
      <c r="E14" s="80">
        <v>3790624826.29</v>
      </c>
      <c r="G14" s="79">
        <v>4119731040</v>
      </c>
    </row>
    <row r="15" spans="1:7" x14ac:dyDescent="0.25">
      <c r="B15" s="86" t="s">
        <v>169</v>
      </c>
      <c r="E15" s="80">
        <v>-3465991368.5699496</v>
      </c>
      <c r="G15" s="79">
        <v>-3702761733</v>
      </c>
    </row>
    <row r="16" spans="1:7" x14ac:dyDescent="0.25">
      <c r="B16" s="86" t="s">
        <v>170</v>
      </c>
      <c r="E16" s="80">
        <v>-3809470963.48</v>
      </c>
      <c r="G16" s="79">
        <v>-6963600820</v>
      </c>
    </row>
    <row r="17" spans="1:7" x14ac:dyDescent="0.25">
      <c r="B17" s="86" t="s">
        <v>171</v>
      </c>
      <c r="E17" s="80">
        <v>-742326927.44000006</v>
      </c>
      <c r="G17" s="79">
        <v>-523838422</v>
      </c>
    </row>
    <row r="18" spans="1:7" x14ac:dyDescent="0.25">
      <c r="B18" s="86" t="s">
        <v>172</v>
      </c>
      <c r="E18" s="80">
        <v>1543695432.8499999</v>
      </c>
      <c r="G18" s="79">
        <v>1666886275</v>
      </c>
    </row>
    <row r="19" spans="1:7" x14ac:dyDescent="0.25">
      <c r="B19" s="86" t="s">
        <v>173</v>
      </c>
      <c r="E19" s="80">
        <v>372179608.46999991</v>
      </c>
      <c r="G19" s="79">
        <v>-608239371</v>
      </c>
    </row>
    <row r="20" spans="1:7" x14ac:dyDescent="0.25">
      <c r="B20" s="86"/>
      <c r="G20" s="79"/>
    </row>
    <row r="21" spans="1:7" x14ac:dyDescent="0.25">
      <c r="B21" s="86" t="s">
        <v>174</v>
      </c>
      <c r="E21" s="80">
        <v>-2311289391.87995</v>
      </c>
      <c r="G21" s="79">
        <f>SUM(G14:G20)</f>
        <v>-6011823031</v>
      </c>
    </row>
    <row r="22" spans="1:7" ht="13" x14ac:dyDescent="0.3">
      <c r="B22" s="99"/>
      <c r="G22" s="79"/>
    </row>
    <row r="23" spans="1:7" ht="13" x14ac:dyDescent="0.3">
      <c r="A23" s="109" t="s">
        <v>166</v>
      </c>
      <c r="G23" s="79"/>
    </row>
    <row r="24" spans="1:7" ht="13" x14ac:dyDescent="0.3">
      <c r="A24" s="109" t="s">
        <v>175</v>
      </c>
      <c r="G24" s="79"/>
    </row>
    <row r="25" spans="1:7" ht="13" x14ac:dyDescent="0.3">
      <c r="A25" s="99"/>
      <c r="B25" s="86" t="s">
        <v>176</v>
      </c>
      <c r="E25" s="80">
        <v>-9268032301.9000015</v>
      </c>
      <c r="G25" s="79"/>
    </row>
    <row r="26" spans="1:7" x14ac:dyDescent="0.25">
      <c r="B26" s="86" t="s">
        <v>177</v>
      </c>
      <c r="E26" s="80">
        <v>-85016500</v>
      </c>
      <c r="G26" s="79">
        <v>-3380000000</v>
      </c>
    </row>
    <row r="27" spans="1:7" x14ac:dyDescent="0.25">
      <c r="B27" s="86" t="s">
        <v>178</v>
      </c>
      <c r="E27" s="80">
        <v>-1424642806.9733331</v>
      </c>
      <c r="G27" s="79">
        <v>-2798483676</v>
      </c>
    </row>
    <row r="28" spans="1:7" x14ac:dyDescent="0.25">
      <c r="B28" s="86"/>
      <c r="G28" s="79"/>
    </row>
    <row r="29" spans="1:7" x14ac:dyDescent="0.25">
      <c r="B29" s="86" t="s">
        <v>179</v>
      </c>
      <c r="E29" s="79">
        <v>-10777691609</v>
      </c>
      <c r="F29" s="79"/>
      <c r="G29" s="79">
        <v>-6178483676</v>
      </c>
    </row>
    <row r="30" spans="1:7" x14ac:dyDescent="0.25">
      <c r="G30" s="79"/>
    </row>
    <row r="31" spans="1:7" ht="13" x14ac:dyDescent="0.3">
      <c r="A31" s="109" t="s">
        <v>166</v>
      </c>
      <c r="G31" s="79"/>
    </row>
    <row r="32" spans="1:7" ht="13" x14ac:dyDescent="0.3">
      <c r="A32" s="109" t="s">
        <v>180</v>
      </c>
      <c r="G32" s="79"/>
    </row>
    <row r="33" spans="1:7" x14ac:dyDescent="0.25">
      <c r="B33" s="86" t="s">
        <v>181</v>
      </c>
      <c r="G33" s="79">
        <v>11802562069</v>
      </c>
    </row>
    <row r="34" spans="1:7" x14ac:dyDescent="0.25">
      <c r="B34" s="86"/>
      <c r="G34" s="79"/>
    </row>
    <row r="35" spans="1:7" x14ac:dyDescent="0.25">
      <c r="B35" s="86" t="s">
        <v>182</v>
      </c>
      <c r="E35" s="80">
        <v>-4523639</v>
      </c>
      <c r="G35" s="79">
        <v>-94587428</v>
      </c>
    </row>
    <row r="36" spans="1:7" x14ac:dyDescent="0.25">
      <c r="B36" s="86"/>
      <c r="G36" s="79"/>
    </row>
    <row r="37" spans="1:7" x14ac:dyDescent="0.25">
      <c r="B37" s="86" t="s">
        <v>183</v>
      </c>
      <c r="E37" s="79">
        <v>-4523639</v>
      </c>
      <c r="F37" s="79"/>
      <c r="G37" s="79">
        <v>11707974641</v>
      </c>
    </row>
    <row r="38" spans="1:7" x14ac:dyDescent="0.25">
      <c r="G38" s="79"/>
    </row>
    <row r="39" spans="1:7" x14ac:dyDescent="0.25">
      <c r="A39" s="86" t="s">
        <v>184</v>
      </c>
      <c r="G39" s="79"/>
    </row>
    <row r="40" spans="1:7" x14ac:dyDescent="0.25">
      <c r="A40" s="86" t="s">
        <v>185</v>
      </c>
      <c r="E40" s="80">
        <v>-13093504639.063284</v>
      </c>
      <c r="G40" s="79">
        <f>+G37+G29+G21</f>
        <v>-482332066</v>
      </c>
    </row>
    <row r="41" spans="1:7" x14ac:dyDescent="0.25">
      <c r="G41" s="79"/>
    </row>
    <row r="42" spans="1:7" x14ac:dyDescent="0.25">
      <c r="A42" s="86" t="s">
        <v>186</v>
      </c>
      <c r="G42" s="79"/>
    </row>
    <row r="43" spans="1:7" x14ac:dyDescent="0.25">
      <c r="B43" s="86" t="s">
        <v>187</v>
      </c>
      <c r="E43" s="80">
        <v>16181344953</v>
      </c>
      <c r="G43" s="79">
        <v>16663677019</v>
      </c>
    </row>
    <row r="44" spans="1:7" x14ac:dyDescent="0.25">
      <c r="G44" s="79"/>
    </row>
    <row r="45" spans="1:7" x14ac:dyDescent="0.25">
      <c r="A45" s="86" t="s">
        <v>186</v>
      </c>
    </row>
    <row r="46" spans="1:7" ht="13.5" thickBot="1" x14ac:dyDescent="0.35">
      <c r="B46" s="86" t="s">
        <v>188</v>
      </c>
      <c r="E46" s="100">
        <v>3087840313.9367161</v>
      </c>
      <c r="F46" s="101"/>
      <c r="G46" s="100">
        <v>16181344953</v>
      </c>
    </row>
    <row r="47" spans="1:7" ht="13" thickTop="1" x14ac:dyDescent="0.25"/>
    <row r="48" spans="1:7" x14ac:dyDescent="0.25">
      <c r="A48" s="86" t="s">
        <v>189</v>
      </c>
      <c r="C48" s="102">
        <v>3</v>
      </c>
    </row>
    <row r="49" spans="1:7" x14ac:dyDescent="0.25">
      <c r="B49" s="86" t="s">
        <v>190</v>
      </c>
      <c r="E49" s="80">
        <v>55604643.57</v>
      </c>
      <c r="G49" s="79">
        <v>67857417</v>
      </c>
    </row>
    <row r="50" spans="1:7" x14ac:dyDescent="0.25">
      <c r="B50" s="86" t="s">
        <v>191</v>
      </c>
      <c r="E50" s="80">
        <v>1244239451.72</v>
      </c>
      <c r="G50" s="79">
        <v>1185487536</v>
      </c>
    </row>
    <row r="51" spans="1:7" x14ac:dyDescent="0.25">
      <c r="B51" s="86" t="s">
        <v>192</v>
      </c>
      <c r="E51" s="80">
        <v>0</v>
      </c>
      <c r="G51" s="79">
        <v>12500000000</v>
      </c>
    </row>
    <row r="52" spans="1:7" x14ac:dyDescent="0.25">
      <c r="B52" s="86" t="s">
        <v>193</v>
      </c>
      <c r="E52" s="80">
        <v>1787996218.4000001</v>
      </c>
      <c r="G52" s="79">
        <v>2428000000</v>
      </c>
    </row>
    <row r="53" spans="1:7" x14ac:dyDescent="0.25">
      <c r="E53" s="80">
        <v>0</v>
      </c>
      <c r="G53" s="79"/>
    </row>
    <row r="54" spans="1:7" x14ac:dyDescent="0.25">
      <c r="G54" s="79"/>
    </row>
    <row r="55" spans="1:7" ht="13.5" thickBot="1" x14ac:dyDescent="0.35">
      <c r="B55" s="86" t="s">
        <v>154</v>
      </c>
      <c r="E55" s="103">
        <v>3087840313.6900001</v>
      </c>
      <c r="F55" s="104"/>
      <c r="G55" s="103">
        <v>16181344953</v>
      </c>
    </row>
    <row r="56" spans="1:7" ht="13" thickTop="1" x14ac:dyDescent="0.25">
      <c r="G56" s="79"/>
    </row>
    <row r="57" spans="1:7" ht="13" thickBot="1" x14ac:dyDescent="0.3">
      <c r="A57" s="105"/>
      <c r="B57" s="105"/>
      <c r="C57" s="105"/>
      <c r="D57" s="105"/>
      <c r="E57" s="106"/>
      <c r="F57" s="106"/>
      <c r="G57" s="107"/>
    </row>
    <row r="58" spans="1:7" x14ac:dyDescent="0.25">
      <c r="A58" s="33" t="s">
        <v>49</v>
      </c>
      <c r="C58" s="102"/>
      <c r="D58" s="79"/>
      <c r="E58" s="79"/>
      <c r="F58" s="79"/>
      <c r="G58" s="108"/>
    </row>
    <row r="59" spans="1:7" x14ac:dyDescent="0.25">
      <c r="A59" s="33" t="s">
        <v>51</v>
      </c>
      <c r="C59" s="102"/>
      <c r="D59" s="79"/>
      <c r="E59" s="79"/>
      <c r="F59" s="79"/>
      <c r="G59" s="108"/>
    </row>
    <row r="60" spans="1:7" x14ac:dyDescent="0.25">
      <c r="A60" s="33" t="s">
        <v>53</v>
      </c>
      <c r="C60" s="102"/>
      <c r="D60" s="79"/>
      <c r="E60" s="79"/>
      <c r="F60" s="79"/>
      <c r="G60" s="108"/>
    </row>
    <row r="61" spans="1:7" x14ac:dyDescent="0.25">
      <c r="G61" s="79"/>
    </row>
    <row r="62" spans="1:7" x14ac:dyDescent="0.25">
      <c r="G62" s="79"/>
    </row>
    <row r="63" spans="1:7" x14ac:dyDescent="0.25">
      <c r="E63" s="80">
        <v>0.24671602249145508</v>
      </c>
      <c r="G63" s="79"/>
    </row>
    <row r="64" spans="1:7" x14ac:dyDescent="0.25">
      <c r="G64" s="79"/>
    </row>
    <row r="65" spans="7:7" x14ac:dyDescent="0.25">
      <c r="G65" s="79"/>
    </row>
    <row r="66" spans="7:7" x14ac:dyDescent="0.25">
      <c r="G66" s="79"/>
    </row>
    <row r="67" spans="7:7" x14ac:dyDescent="0.25">
      <c r="G67" s="79"/>
    </row>
    <row r="68" spans="7:7" x14ac:dyDescent="0.25">
      <c r="G68" s="79"/>
    </row>
    <row r="69" spans="7:7" x14ac:dyDescent="0.25">
      <c r="G69" s="79"/>
    </row>
    <row r="70" spans="7:7" x14ac:dyDescent="0.25">
      <c r="G70" s="79"/>
    </row>
    <row r="71" spans="7:7" x14ac:dyDescent="0.25">
      <c r="G71" s="79"/>
    </row>
    <row r="72" spans="7:7" x14ac:dyDescent="0.25">
      <c r="G72" s="79"/>
    </row>
    <row r="73" spans="7:7" x14ac:dyDescent="0.25">
      <c r="G73" s="79"/>
    </row>
    <row r="74" spans="7:7" x14ac:dyDescent="0.25">
      <c r="G74" s="79"/>
    </row>
    <row r="75" spans="7:7" x14ac:dyDescent="0.25">
      <c r="G75" s="79"/>
    </row>
  </sheetData>
  <sheetProtection password="889E" sheet="1" objects="1" scenarios="1"/>
  <phoneticPr fontId="0" type="noConversion"/>
  <pageMargins left="0.64" right="0.31" top="0.52" bottom="0.37" header="0.71" footer="0.5"/>
  <pageSetup paperSize="9" orientation="portrait" r:id="rId1"/>
  <headerFooter alignWithMargins="0">
    <oddFooter>&amp;C5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BS</vt:lpstr>
      <vt:lpstr>PL</vt:lpstr>
      <vt:lpstr>EQUITAS</vt:lpstr>
      <vt:lpstr>CF</vt:lpstr>
      <vt:lpstr>BS!Print_Area</vt:lpstr>
      <vt:lpstr>CF!Print_Area</vt:lpstr>
      <vt:lpstr>EQUITAS!Print_Area</vt:lpstr>
      <vt:lpstr>PL!Print_Area</vt:lpstr>
    </vt:vector>
  </TitlesOfParts>
  <Company>DBS Morison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Bambang Sulistiyanto</dc:creator>
  <cp:lastModifiedBy>Carina Negreanu</cp:lastModifiedBy>
  <cp:lastPrinted>2003-03-28T09:32:02Z</cp:lastPrinted>
  <dcterms:created xsi:type="dcterms:W3CDTF">2003-03-26T07:04:02Z</dcterms:created>
  <dcterms:modified xsi:type="dcterms:W3CDTF">2020-01-27T11:44:42Z</dcterms:modified>
</cp:coreProperties>
</file>