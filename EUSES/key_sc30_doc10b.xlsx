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defaultThemeVersion="166925"/>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F21879A2-A42D-43A0-BFD3-75FE76E1FAEE}" xr6:coauthVersionLast="45" xr6:coauthVersionMax="45" xr10:uidLastSave="{00000000-0000-0000-0000-000000000000}"/>
  <bookViews>
    <workbookView xWindow="380" yWindow="380" windowWidth="28800" windowHeight="15460"/>
  </bookViews>
  <sheets>
    <sheet name="2003" sheetId="2" r:id="rId1"/>
  </sheets>
  <definedNames>
    <definedName name="_xlnm.Print_Area" localSheetId="0">'2003'!$A$1:$I$368</definedName>
    <definedName name="_xlnm.Print_Titles" localSheetId="0">'2003'!$6:$8</definedName>
  </definedNames>
  <calcPr calcId="191029" fullCalcOnLoad="1"/>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H101" i="2" l="1"/>
  <c r="I273" i="2"/>
  <c r="F236" i="2"/>
  <c r="H206" i="2"/>
  <c r="H191" i="2"/>
  <c r="F182" i="2"/>
  <c r="H146" i="2"/>
  <c r="H129" i="2"/>
  <c r="H50" i="2"/>
  <c r="H43" i="2"/>
  <c r="H37" i="2"/>
  <c r="H33" i="2"/>
  <c r="H29" i="2"/>
  <c r="I19" i="2"/>
  <c r="H19" i="2"/>
  <c r="H10" i="2"/>
  <c r="H223" i="2"/>
  <c r="H233" i="2"/>
  <c r="H241" i="2"/>
  <c r="H245" i="2"/>
  <c r="H249" i="2"/>
  <c r="H256" i="2"/>
  <c r="F283" i="2"/>
  <c r="H280" i="2"/>
  <c r="F304" i="2"/>
  <c r="H299" i="2"/>
  <c r="H314" i="2"/>
  <c r="H321" i="2"/>
  <c r="H327" i="2"/>
  <c r="H347" i="2"/>
  <c r="F367" i="2"/>
  <c r="I357" i="2" s="1"/>
  <c r="F214" i="2"/>
</calcChain>
</file>

<file path=xl/sharedStrings.xml><?xml version="1.0" encoding="utf-8"?>
<sst xmlns="http://schemas.openxmlformats.org/spreadsheetml/2006/main" count="399" uniqueCount="350">
  <si>
    <t xml:space="preserve"> Country Report.  Eight participants were sponsored.  A second workshop will be held before the end of the year.</t>
  </si>
  <si>
    <t xml:space="preserve">Assistance for wetland conservation and wise use initiatives in developing countries and countries with economies in transition.  The Fund's resources are being directed to small-scale projects not traditionally covered by larger funding agencies.  Some of the funds in the project reflect 25th Anniversary Pledges.  </t>
  </si>
  <si>
    <t>Balance Carried Foward</t>
  </si>
  <si>
    <t>Americas Regional Mission to non-CP States   15-22 September 2002</t>
  </si>
  <si>
    <t>USA - Dep't of State - 2002</t>
  </si>
  <si>
    <t>7056-041</t>
  </si>
  <si>
    <t>Conservacion Altoandinos - Chile</t>
  </si>
  <si>
    <t>Minera Escondida Ltda</t>
  </si>
  <si>
    <t>In 2002, Minera Escondida Ltda generously gave US$30,800 towards a project in Chile entitled:</t>
  </si>
  <si>
    <t>Belgium, Wallonne Region</t>
  </si>
  <si>
    <t>The fund helped pay for the printing of the WCMC Seagrass Atlas.</t>
  </si>
  <si>
    <t xml:space="preserve">200 Video copies were made for EcoCienca in Ecuador.  </t>
  </si>
  <si>
    <t>Belgium provided funding for the airfare of a participant from Senegal to the RIZA course in the Netherlands.</t>
  </si>
  <si>
    <t>Angola, Mozambique, Djibouti, Rwanda, the Seychelles, and Lesotho.  Technical assistance for implementation of</t>
  </si>
  <si>
    <t>Djibouti - promoting understanding of the Convention, &amp; establishment of a National Wetland Committee;</t>
  </si>
  <si>
    <t>Inventory of the Lake Chad Basin wetlands using remote sensing &amp; GIS techniques; Support for the accession</t>
  </si>
  <si>
    <t>of Ethiopia; Setting up institutional mechanism for implementation of the Convention in Equatorial Guinea;</t>
  </si>
  <si>
    <t>For Kenya, as host of NEPAD, to facilitate the implementation of the NEPAD wetland Strategy &amp; Action Plan.</t>
  </si>
  <si>
    <t>Five activities were supported in 2003 :</t>
  </si>
  <si>
    <t>Switzerland - OFEFP</t>
  </si>
  <si>
    <t xml:space="preserve">Joint Swiss/WWF Living Waters Programme Grant </t>
  </si>
  <si>
    <t xml:space="preserve">Joint Swiss /WWF Living Waters Programme Grant </t>
  </si>
  <si>
    <t xml:space="preserve">10% admin fees </t>
  </si>
  <si>
    <t>Small Grants Fund, Wetlands for the Future, Swiss Grant, Evian Initiative and some other projects that</t>
  </si>
  <si>
    <t>require financial reporting; as well as the financial reporting for any meetings held during the year.</t>
  </si>
  <si>
    <t>The funds in this project are designed to be made available at short notice to governments, NGOs, and other bodies (normally within Ramsar Contracting Party States, though exceptionally in non-Party countries) for activities related to the Convention and Strategic Plan which only require limited funds.  Expenditure to date has funded sixteen projects.</t>
  </si>
  <si>
    <t>7100-010</t>
  </si>
  <si>
    <t>Swiss Grant for Africa 2002</t>
  </si>
  <si>
    <t>7500-800</t>
  </si>
  <si>
    <t>2002 Small Grants Fund</t>
  </si>
  <si>
    <t>Austria - Min. Land, Forestry, Env.</t>
  </si>
  <si>
    <t>USA - Dept of State &amp; Dept of Int.</t>
  </si>
  <si>
    <t>Funded by Switzerland and Spain, this book depicts significant Ramsar sites around the world.</t>
  </si>
  <si>
    <t>global PMC website in English and SIMP in Spanish.</t>
  </si>
  <si>
    <t>"Action plan for the conservation and development of the High Andean wetlands".</t>
  </si>
  <si>
    <t xml:space="preserve">Ninety participants attended the meeting, of which the following Contracting Parties were represented:  </t>
  </si>
  <si>
    <t>22 from the Neotropics, three from North America and 3 European observers.  Five non-Contracting Parties participated.</t>
  </si>
  <si>
    <t>Five Partner organizations and 13 NGOs were represented.  A total of 41 delegates were sponsored to attend.</t>
  </si>
  <si>
    <t xml:space="preserve">A delegation of representatives from the Bahamas, Trinidad &amp; Tobago and the US Fish &amp; Wildlife Service visited </t>
  </si>
  <si>
    <t>the status of preparation for adherence to the Convention.</t>
  </si>
  <si>
    <t>7103-000</t>
  </si>
  <si>
    <t>Transboundary Management of Ramsar &amp; World Heritage Site</t>
  </si>
  <si>
    <t>African countries surrounding the "W" area of the Niger River Basin.  It comprises a wetland complex covering over</t>
  </si>
  <si>
    <t>7104-000</t>
  </si>
  <si>
    <t>Iran</t>
  </si>
  <si>
    <t>Balance carried forward was transferred</t>
  </si>
  <si>
    <t>Transferred to 7094-100</t>
  </si>
  <si>
    <t>Japan, Voluntary Asian Project</t>
  </si>
  <si>
    <t>Surplus from previous years</t>
  </si>
  <si>
    <t xml:space="preserve">MKI Algonquin </t>
  </si>
  <si>
    <t>7072-100</t>
  </si>
  <si>
    <t>Denmark, Dancee</t>
  </si>
  <si>
    <t>Netherlands - 2nd pmt</t>
  </si>
  <si>
    <t>Australia re Oceania delegates</t>
  </si>
  <si>
    <t>Switzerland - 2nd pmt</t>
  </si>
  <si>
    <t>Wetlands Int'l - 2nd pmt</t>
  </si>
  <si>
    <t>7095-050</t>
  </si>
  <si>
    <t>7100-020</t>
  </si>
  <si>
    <t>Swiss Grant for Africa 2003</t>
  </si>
  <si>
    <t>Switzerland, BUWAL</t>
  </si>
  <si>
    <t>UNESCO - World Heritage</t>
  </si>
  <si>
    <t>7107-000</t>
  </si>
  <si>
    <t>7108-000</t>
  </si>
  <si>
    <t>Parliamentarians Meeting - Cotonou, Benin  27-28 November 2003</t>
  </si>
  <si>
    <t>Belgium, Walloon Region</t>
  </si>
  <si>
    <t xml:space="preserve">UNESCO </t>
  </si>
  <si>
    <t>Project Administrator</t>
  </si>
  <si>
    <t>7105-100</t>
  </si>
  <si>
    <t>7109-000</t>
  </si>
  <si>
    <t>7111-000</t>
  </si>
  <si>
    <t>7110-000</t>
  </si>
  <si>
    <t>Wetlands International/DGIS</t>
  </si>
  <si>
    <t>DGIS/WI Fiji Information Base</t>
  </si>
  <si>
    <t>Core allocation 2003</t>
  </si>
  <si>
    <t>Switzerland, DEZA</t>
  </si>
  <si>
    <t>7112-000</t>
  </si>
  <si>
    <t>Andorra Secondee</t>
  </si>
  <si>
    <t>Surplus</t>
  </si>
  <si>
    <t xml:space="preserve">Balance Carried Forward </t>
  </si>
  <si>
    <t>Pledged UNESCO</t>
  </si>
  <si>
    <t xml:space="preserve">35 countries submitted a total of 48 proposals, of which 38 have been submitted to the Standing Committee </t>
  </si>
  <si>
    <t xml:space="preserve">for approval. In order of priority for funding, 22 projects in the amount of CHF 835,647 have been submitted, </t>
  </si>
  <si>
    <t>from all regions.</t>
  </si>
  <si>
    <t>and 8 were initially approved.  With a further donation from Sida, an additional five were funded.</t>
  </si>
  <si>
    <t xml:space="preserve">Out of 57 proposals received, 43 in the amount of CHF 1,630,832 were presented to the Standing Committee </t>
  </si>
  <si>
    <t xml:space="preserve">With some additional funding, a total of 17 projects were funded in the amount of CHF 628,304.  </t>
  </si>
  <si>
    <t>High Altitude Wetlands/Lakes Workshop in Urumqi, China</t>
  </si>
  <si>
    <t>A workshop was held in Urumqi in mid August 2002, to support the preparation, printing and publication of the</t>
  </si>
  <si>
    <t xml:space="preserve">It is a joint service of IUCN, Ramsar and WWF.  Its aim is to improve the flow of information and knowledge and </t>
  </si>
  <si>
    <t>TOTAL</t>
  </si>
  <si>
    <t>Seven initiatives were undertaken for 2002 :</t>
  </si>
  <si>
    <t>Implementation of recommendations for a joint initiative on invasive species in Africa.</t>
  </si>
  <si>
    <t xml:space="preserve">Establishing the National Committee for the Niger Basin in Guinea.  Encouraging non-pollutant energy through </t>
  </si>
  <si>
    <t>the Center for African Wetlands.  Setting up the institutional mechanism for the implementation of the Convention in</t>
  </si>
  <si>
    <t>the Convention in the above six African countries.  Strengthening communication for Nigeria.  Designation of Lake</t>
  </si>
  <si>
    <t>Malawi/Niassa/Nyasa as a Ramsar site.</t>
  </si>
  <si>
    <t>7099-010</t>
  </si>
  <si>
    <t>7099-020</t>
  </si>
  <si>
    <t>Spain</t>
  </si>
  <si>
    <t xml:space="preserve">Japan - Asia Vol. Donation Project </t>
  </si>
  <si>
    <t>Status of Projects Managed by the Convention Bureau</t>
  </si>
  <si>
    <t>Project Number</t>
  </si>
  <si>
    <t>Project Title / Description</t>
  </si>
  <si>
    <t>25th Anniversary Pledges</t>
  </si>
  <si>
    <t>Special Requests Project</t>
  </si>
  <si>
    <t>MedWet 2 Co-ordination</t>
  </si>
  <si>
    <t>2003</t>
  </si>
  <si>
    <t>In 2002, in the first cycle 34 proposals were submitted and 21 were approved; and for the second phase 21</t>
  </si>
  <si>
    <t>were submitted and 16 were approved.</t>
  </si>
  <si>
    <t xml:space="preserve">In 2003, in the first phase 16 proposals were submitted, of which 7 were approved.  </t>
  </si>
  <si>
    <t>In the second cycle 12 proposals have so far been submitted.</t>
  </si>
  <si>
    <t>The remaining funds will be used for a site visit in 2004.</t>
  </si>
  <si>
    <t>RAM No. 52 Mare d'Oursi, Burkina Faso in March 2003.</t>
  </si>
  <si>
    <t>Balance is committed for on-going projects</t>
  </si>
  <si>
    <t>Support for wetland training and education in the Neotropics in the context of the agreement between the Government of the United States and the Bureau concerning the partnership for effective implementation of the Convention in the Western Hemisphere in honour of the Convention's 25th Anniversary. Projects are jointly approved by the US Department of State, US Fish and Wildlife Service, and the Bureau.
Expenditures up to 2001 funded 171 projects in the Neotropics in the field of training and capacity building.</t>
  </si>
  <si>
    <t>Danone Evian - 2003</t>
  </si>
  <si>
    <t>7094-100</t>
  </si>
  <si>
    <t xml:space="preserve">STRP Work Plan Implementation </t>
  </si>
  <si>
    <t>Sweden, Sida pledged</t>
  </si>
  <si>
    <t>COP8 Resolution VIII.28 established eleven topics of high priority tasks in the STRP Work Plan 2003-2005,</t>
  </si>
  <si>
    <t>7095-120</t>
  </si>
  <si>
    <t>7100-021</t>
  </si>
  <si>
    <t>7100-022</t>
  </si>
  <si>
    <t>Balance carried forward</t>
  </si>
  <si>
    <t>7106-000</t>
  </si>
  <si>
    <t>7500-900</t>
  </si>
  <si>
    <t>2003 Small Grants Fund</t>
  </si>
  <si>
    <t>The 1997 grant for work in Africa was used for the assessment of potential Ramsar sites in The Gambia; for initial studies on populations of water birds in a Ramsar site in Gabon; for the preparation of a management plan for a national park in Niger; for an emergency rehabilitation plan in a biosphere reserve in Senegal; for Wetlands International's 1997 African Waterfowl Census Report; and for seed funding for a project to evaluate wetland systems in the Southern African Development Community (SADC).</t>
  </si>
  <si>
    <t xml:space="preserve">Total Expenditures  </t>
  </si>
  <si>
    <t>Ramsar Advisory Missions  (RAMs)</t>
  </si>
  <si>
    <t>Convention Outreach Programme</t>
  </si>
  <si>
    <t>Botswana:  Development of a management plan for the Okavango Delta.</t>
  </si>
  <si>
    <t>Six projects were funded in Botswana, Burkina Faso, Cameroon and Nigeria.</t>
  </si>
  <si>
    <t>STRP Working Groups</t>
  </si>
  <si>
    <t>7002-000</t>
  </si>
  <si>
    <t>7066-000</t>
  </si>
  <si>
    <t>7070-000</t>
  </si>
  <si>
    <t>7071-000</t>
  </si>
  <si>
    <t>7072-000</t>
  </si>
  <si>
    <t>7079-</t>
  </si>
  <si>
    <t>010 to 080</t>
  </si>
  <si>
    <t>Evian Project  2001 - 2002</t>
  </si>
  <si>
    <t>7081-000</t>
  </si>
  <si>
    <t>Ramsar Promotional Book</t>
  </si>
  <si>
    <t>7086-000</t>
  </si>
  <si>
    <t>7087-000</t>
  </si>
  <si>
    <t>7088-000</t>
  </si>
  <si>
    <t>7090-000</t>
  </si>
  <si>
    <t>7093-000</t>
  </si>
  <si>
    <t>7094-000</t>
  </si>
  <si>
    <t>CHF</t>
  </si>
  <si>
    <t>7500 - 700</t>
  </si>
  <si>
    <t>Austria, Denmark, Iceland, Ireland, Japan, Sweden-SIDA, United Kindom, USA and the 1999 Core budget surplus.</t>
  </si>
  <si>
    <t xml:space="preserve">100,000 hectares, including two existing Ramsar sites (Burkina Faso &amp; Niger) and one potential site in Benin. </t>
  </si>
  <si>
    <t>A total of 196 delegates from developing countries and countries whose economy is in transition were funded</t>
  </si>
  <si>
    <t>Sponsored delegates included 185 from Contracting Parties, and 11 from non-Contracting Parties</t>
  </si>
  <si>
    <t>to attend the Conference of the Parties in Valencia, Spain on 18-26 November 2002.</t>
  </si>
  <si>
    <t>Support from the Austrian Federal Ministry for Environment for Ramsar to coordinate with the Ministry of Tourism and Wildlife of the Kenya Wildlife Service to start on Phase II of the project on the European White Stork in their wintering grounds. Sub-projects include a mini-poster on the distribution and ecology of the White Stork, a twinning programme between schools, communities &amp; national park administrators and providing equipment for site managers.</t>
  </si>
  <si>
    <t>7095-010</t>
  </si>
  <si>
    <t>7095-020</t>
  </si>
  <si>
    <t>7095-030</t>
  </si>
  <si>
    <t>7099-000</t>
  </si>
  <si>
    <t>7500-000</t>
  </si>
  <si>
    <t>7056-000</t>
  </si>
  <si>
    <t>7056-030</t>
  </si>
  <si>
    <t>SC 30-10</t>
  </si>
  <si>
    <t>Austrian-Kenyan Twinning Project on Studies on White Stork in their Wintering Grounds</t>
  </si>
  <si>
    <t>Closed</t>
  </si>
  <si>
    <t>Sweden, Sida</t>
  </si>
  <si>
    <t>Switzerland</t>
  </si>
  <si>
    <t>USA</t>
  </si>
  <si>
    <t>Austria</t>
  </si>
  <si>
    <t>Germany</t>
  </si>
  <si>
    <t xml:space="preserve">The Mediterranean Programme was originally funded in 1997-1999 by WWF, and subsequently </t>
  </si>
  <si>
    <t xml:space="preserve">the MAVA Foundation in 1999 and 2000 supported the MedWet activities.  </t>
  </si>
  <si>
    <t>The Greek Government has helped to establish and support the MedWet Unit.</t>
  </si>
  <si>
    <t xml:space="preserve">Voluntary contributions from Japan in the years 1997, 1998 and 1999 specifically targetted for projects </t>
  </si>
  <si>
    <t xml:space="preserve">in the Asian region.  </t>
  </si>
  <si>
    <t>WWF - Living Waters Programme</t>
  </si>
  <si>
    <t>Sweden - SIDA 2002</t>
  </si>
  <si>
    <t>to</t>
  </si>
  <si>
    <t>Sweden - SIDA 2002 additional</t>
  </si>
  <si>
    <t>*  Funds from previous years (starting in 1996) are all committed for second payments to contracts.</t>
  </si>
  <si>
    <t>Spain, Ministry of Environment</t>
  </si>
  <si>
    <t>Canada</t>
  </si>
  <si>
    <t>2000 Small Grants Fund</t>
  </si>
  <si>
    <t>Eight projects were funded through the Grant, and OMPO co-funded a project in Niger-Togo.</t>
  </si>
  <si>
    <t>7056-040</t>
  </si>
  <si>
    <t xml:space="preserve">The 2002 programme included:  </t>
  </si>
  <si>
    <t>A report on the 2001 symposium on Mountain Living Waters; various Communications projects;</t>
  </si>
  <si>
    <t xml:space="preserve">a Workshop through EACN Japan; The Evian Award 2002 (presented at COP8 Valencia); </t>
  </si>
  <si>
    <t>and an Evaluation Report of the whole project prepared by a consultant.</t>
  </si>
  <si>
    <t xml:space="preserve">printing of the book.  The book was distributed at COP8, and copies will be given to dignitaries on special </t>
  </si>
  <si>
    <t>occasions.</t>
  </si>
  <si>
    <t>MedWet 2003</t>
  </si>
  <si>
    <t>Mountain range to be held in 2004, and a project for clean water in Cambodia.</t>
  </si>
  <si>
    <t>The 1998 grant for work in Africa covered the balance of seed funding for a project to evaluate wetland systems in the Southern African Development Community (SADC); development of an integrated management plan at a Ramsar site in Botswana; support for the development of a common approach to shared water catchment areas in Benin, Burkina Faso, Niger, and Togo; support for a public awareness campaign on invasive species in wetlands; completion of the national wetland policy in Zambia; and Wetland International's 1998 African Waterfowl Census Report.</t>
  </si>
  <si>
    <t>Supported by:</t>
  </si>
  <si>
    <t>Spain - towards Mexico project</t>
  </si>
  <si>
    <t>SGF 2002</t>
  </si>
  <si>
    <t>SGF 2003</t>
  </si>
  <si>
    <t xml:space="preserve">Italy </t>
  </si>
  <si>
    <r>
      <t xml:space="preserve">UK - DEFRA - </t>
    </r>
    <r>
      <rPr>
        <i/>
        <sz val="10"/>
        <rFont val="Arial"/>
        <family val="2"/>
      </rPr>
      <t>pledged</t>
    </r>
  </si>
  <si>
    <r>
      <t xml:space="preserve">Belgium - </t>
    </r>
    <r>
      <rPr>
        <i/>
        <sz val="10"/>
        <rFont val="Arial"/>
        <family val="2"/>
      </rPr>
      <t>pledged</t>
    </r>
  </si>
  <si>
    <t>In 2002 a consultant prepared additional text on wetland management planning concerning the relationship</t>
  </si>
  <si>
    <t>between site-based management planning and wider basin scale planning and mosaic wetland systems.</t>
  </si>
  <si>
    <t>7095-040</t>
  </si>
  <si>
    <t>Sustainable Trade Workshop</t>
  </si>
  <si>
    <t>WWF International took over two projects in Morocco and Algeria.</t>
  </si>
  <si>
    <t>7500-701</t>
  </si>
  <si>
    <t>The USA provided separate funding to promote projects specifically involved in protecting Coral Reefs.</t>
  </si>
  <si>
    <t>USA, Dept of State</t>
  </si>
  <si>
    <t>7500-710</t>
  </si>
  <si>
    <t>The Belgian Wallonne District is continuing to support a long-term study which tracks the flyways of the</t>
  </si>
  <si>
    <t>Black Stork between Europe and Africa.</t>
  </si>
  <si>
    <t>Belgium, Wallonne District</t>
  </si>
  <si>
    <t>7056-050</t>
  </si>
  <si>
    <t>USA - Dep't of State - 2003</t>
  </si>
  <si>
    <t>15 November 2003</t>
  </si>
  <si>
    <t>Balance Carried Forward at 31.12.02</t>
  </si>
  <si>
    <t>Report for the year 2003</t>
  </si>
  <si>
    <t>Activities in 2003:</t>
  </si>
  <si>
    <t>As well, a public awareness &amp; education programme has been started in Ghana and Kenya, an emergency plan</t>
  </si>
  <si>
    <t xml:space="preserve">Belgium supports a separate project which tracks the Black Stork Flyways.  </t>
  </si>
  <si>
    <t>WWF - Living Waters Programme is supporting a project in Mongolia.</t>
  </si>
  <si>
    <t xml:space="preserve">A combined implementation of environment-related conventions in CAR, Benin, Cameroon and Tanzania </t>
  </si>
  <si>
    <t xml:space="preserve">Technical missions, at the request of the countries concerned, to Ramsar sites included in the Montreux Record in order to prepare recommendations on how to address the problems involved.  </t>
  </si>
  <si>
    <t>Guinea: Implementing the Convention.  Sierra Leone: Assistance to ratify Ramsar sites.</t>
  </si>
  <si>
    <t>Madagascar: Management plan for Manambolomaty site.</t>
  </si>
  <si>
    <t>* Tne Balance is committed</t>
  </si>
  <si>
    <t xml:space="preserve">A consultant co-ordinated the call for photographs to all Parties, the production of a Screen Saver and the final </t>
  </si>
  <si>
    <t>Pan American Meeting - Guayaquil, Ecuador   1-5 July 2002</t>
  </si>
  <si>
    <t>The Swiss Grant has provided funding for six projects in:</t>
  </si>
  <si>
    <t>was established.  A wetlands Inventory Training program was initiated in Cameroon and Kenya.</t>
  </si>
  <si>
    <t>Funds are being sought to continue the project.</t>
  </si>
  <si>
    <t>to 2003 Evian - Communications</t>
  </si>
  <si>
    <t>In 2003 CHF 50,000 was approved for the Small Grants Fund.</t>
  </si>
  <si>
    <t>In 2003 a sites leaflet was produced in three languages, along with a poster and an exhibition panel.</t>
  </si>
  <si>
    <t>* Remaining funds have been committed</t>
  </si>
  <si>
    <t>which encompasses substantive work on preparation of guidelines and other reports to be considered by COP9.</t>
  </si>
  <si>
    <t>Expenditures relating to the Conference of the Parties held 18-26 November 2002.</t>
  </si>
  <si>
    <t>The funding covered the translation of documents before and during the COP; hiring of consultants and experts;</t>
  </si>
  <si>
    <t>reproduction and distribution of documents; interpreters and translators; and per diems and travel for Bureau staff.</t>
  </si>
  <si>
    <t>Switzerland supported NEPAD delegates</t>
  </si>
  <si>
    <t>December 2003.  Part of Mr Villalba's time was devoted to working with the MedWet Coordination Unit.</t>
  </si>
  <si>
    <t>369 CDs were produced entitled "Mobilizing Funding for Biodiversity Conservation Training Guide".</t>
  </si>
  <si>
    <r>
      <t xml:space="preserve">Pan American Meeting - Guayaquil, Ecuador   1-5 July 2002  </t>
    </r>
    <r>
      <rPr>
        <sz val="10"/>
        <rFont val="Arial"/>
        <family val="2"/>
      </rPr>
      <t>(balance to be approved for transfer)</t>
    </r>
  </si>
  <si>
    <r>
      <t>Americas Regional Mission to non-CP States   15-22 September 2002</t>
    </r>
    <r>
      <rPr>
        <b/>
        <sz val="9"/>
        <rFont val="Arial"/>
        <family val="2"/>
      </rPr>
      <t xml:space="preserve"> </t>
    </r>
    <r>
      <rPr>
        <sz val="9"/>
        <rFont val="Arial"/>
        <family val="2"/>
      </rPr>
      <t>(balance to be approved for transfer).</t>
    </r>
  </si>
  <si>
    <t>Argentina (bal. to be returned)</t>
  </si>
  <si>
    <r>
      <t xml:space="preserve">Switzerland, BUWAL </t>
    </r>
    <r>
      <rPr>
        <i/>
        <sz val="11"/>
        <rFont val="Arial"/>
        <family val="2"/>
      </rPr>
      <t>to be pd</t>
    </r>
    <r>
      <rPr>
        <sz val="11"/>
        <rFont val="Arial"/>
        <family val="2"/>
      </rPr>
      <t xml:space="preserve"> in 2004</t>
    </r>
  </si>
  <si>
    <t>Total Grant 2003</t>
  </si>
  <si>
    <t>Separate project for Sudan, Congo and Burundi to support the designation of new Ramsar sites.</t>
  </si>
  <si>
    <t>Joint initiative for the designation of Lake Malawi/Niassa/Nyasa in Tanzania, Malawi and Mozambique.</t>
  </si>
  <si>
    <t>Ramsar is supporting training for this five-year, € 30 million European Commission funded project involving 8</t>
  </si>
  <si>
    <t>Projected fee income:</t>
  </si>
  <si>
    <t xml:space="preserve">US Dept of State </t>
  </si>
  <si>
    <t>(balance to be transferred)</t>
  </si>
  <si>
    <t>Due to inacessability to the sites, the meeting has been postponed until 2004.</t>
  </si>
  <si>
    <t>Participatory Management Clearinghouse - PMC - 2003</t>
  </si>
  <si>
    <t xml:space="preserve">SIDA has provided support since 2000 for the Participatory Management Clearinghouse on natural resources.  </t>
  </si>
  <si>
    <t xml:space="preserve">to share lessons on participatory management of natural resources.  The present project is to consolidate the </t>
  </si>
  <si>
    <t xml:space="preserve">36 delegates &amp; speakers were sponsored to attend the workshop, which aimed at encouraging, developing and </t>
  </si>
  <si>
    <t>promoting the CEPA programme.</t>
  </si>
  <si>
    <r>
      <t xml:space="preserve">Spain </t>
    </r>
    <r>
      <rPr>
        <i/>
        <sz val="11"/>
        <rFont val="Arial"/>
        <family val="2"/>
      </rPr>
      <t>pledged</t>
    </r>
  </si>
  <si>
    <t>Administration fees are charged to cover the salary and overhead of the Project Administrator, plus</t>
  </si>
  <si>
    <t>courier &amp; other administrative charges for the major projects :</t>
  </si>
  <si>
    <t>Fiji has been invoiced</t>
  </si>
  <si>
    <t>A Director has been appointed by the Board, and their first task is to prepare a budget for 2004, and</t>
  </si>
  <si>
    <t>to create a project and work plan.</t>
  </si>
  <si>
    <t>Ugandan government representatives will be undertaken by the Secretary General in 2004.</t>
  </si>
  <si>
    <t>General Secretariat expenses for the preparation of the Meeting.  Several site visits and meetings with</t>
  </si>
  <si>
    <t>develop a press and media communications strategy for the Convention.  For the Evian Project, he will build on the</t>
  </si>
  <si>
    <t xml:space="preserve">WWD core activites and work with UNESCO on highlighting the importance of the cultural aspects of wetlands.  </t>
  </si>
  <si>
    <t>12 classed as 'B' and 4 classed as 'C'.  A total of CHF 1,430,544 was requested for technically sound projects</t>
  </si>
  <si>
    <t>Production of Manuals and Proceedings of the 8th Conference of the Parties in Valencia, Spain.</t>
  </si>
  <si>
    <t>The Swiss government sponsored 61 delegates from African countries to attend this one-day meeting entitled:</t>
  </si>
  <si>
    <t>“Developing Further the Plan of Action to Implement Africa’s Wetland Management Strategy under the</t>
  </si>
  <si>
    <t>Environmental Initiative of NEPAD”.</t>
  </si>
  <si>
    <t xml:space="preserve">Austria, Japan, Spain, Swedish Sida, </t>
  </si>
  <si>
    <t>United Kingdom and US Department of</t>
  </si>
  <si>
    <t>State and Dep't of Fish and Wildlife.</t>
  </si>
  <si>
    <t>released from previous years.</t>
  </si>
  <si>
    <t>Additional funds created from funds</t>
  </si>
  <si>
    <t>"Voluntary Fund for the Convention's Outreach Programme".  A consultant has prepared a report on implementing</t>
  </si>
  <si>
    <t>the Convention's Outreach Programme 1999-2002:  Reviewing and Action Plannning for Wetland Communication,</t>
  </si>
  <si>
    <t>Education and Public Awareness.  The report has been translated into French and Spanish.</t>
  </si>
  <si>
    <t xml:space="preserve">A consultant was engaged to prepare an information document entitled 'Agenda 21 and the Ramsar Convention' </t>
  </si>
  <si>
    <t>in the preparation of the 2002 World Summit on Sustainable Development.</t>
  </si>
  <si>
    <t>on Ramsar's activities, for the UN Department of Economic and Social Affairs, for the information of those involved</t>
  </si>
  <si>
    <t>in Latin America and the Caribbean</t>
  </si>
  <si>
    <t>South American Regional Meeting - Buenos Aires, Argentina, 10-12 September 2001</t>
  </si>
  <si>
    <t>Danone has committed to continuing the Evian project and has provided funding for a total of FFR 2,000,000 over a period of two years.</t>
  </si>
  <si>
    <t>Forty good quality proposals were submitted in response to the 2001 call for proposals.  There were nine submitted from the African Region, 6 from the Americas, 8 from the Asian regional, 16 from the European region and one from Oceania.  In total these projects amounted to CHF 1,325,121.  The Standing Committee approved nine projects for a total of CHF 327,890 of available funds.</t>
  </si>
  <si>
    <t>(SGF)  Small Grants Fund for Wetland Conservation and Wise Use</t>
  </si>
  <si>
    <t>against Salvinia molesta was funded in Senegal, and a workshop was held in Mauritius.</t>
  </si>
  <si>
    <t xml:space="preserve">Income </t>
  </si>
  <si>
    <t>Balance Carried Forward</t>
  </si>
  <si>
    <t>attended this meeting.  The significant developments and progress in projects and activities of MedWet included:</t>
  </si>
  <si>
    <t xml:space="preserve">development of the North African Wetland Network, the establishment of the Portugese Wetland Centre, </t>
  </si>
  <si>
    <t>Wetlands for the Future.  An initiative to promote training in the management of wetlands</t>
  </si>
  <si>
    <t>CoP8 - Valencia, Spain 2002 -  Administration</t>
  </si>
  <si>
    <t>CoP8 - Sponsored Delegates</t>
  </si>
  <si>
    <t>CoP8 - Secondee</t>
  </si>
  <si>
    <t>CoP8 Proceedings</t>
  </si>
  <si>
    <t>NEPAD Meeting prior to CoP8 - 17 November</t>
  </si>
  <si>
    <t xml:space="preserve">A workshop held during the CoP for "Side event and publication of awareness material for COP8 and beyond". </t>
  </si>
  <si>
    <t>Mr Carlos Villalba was seconded from Spain as the Bureau's "CoP8 Technical Support Officer" until</t>
  </si>
  <si>
    <t>CEPA Workshop - prior to CoP8 Valencia, Spain</t>
  </si>
  <si>
    <t>CoP9 - Kampala, Uganda    November 2005</t>
  </si>
  <si>
    <t xml:space="preserve">In honour of the Convention's 25th Anniversary, pledges from a number of Contracting Parties have been earmarked for support of goals listed in the Ramsar Strategic Plan 1997-2002.  Certain Contracting Parties pledged funds to be used in their own countries.  A donation of non-earmarked funds from Switzerland (CHF 500,000) continues to sustain this project.  </t>
  </si>
  <si>
    <t>Carried forward for previous years*</t>
  </si>
  <si>
    <t xml:space="preserve">2001 Small Grants Fund </t>
  </si>
  <si>
    <t>7500-500</t>
  </si>
  <si>
    <t>7500-600</t>
  </si>
  <si>
    <t>SGF - Coral Reefs</t>
  </si>
  <si>
    <t>SGF - Black Storks - Flyways Project</t>
  </si>
  <si>
    <t>DGIS and Wetlands International took over three projects in Bulgaria, Belarus and the Slovak Republic.</t>
  </si>
  <si>
    <t>7076-000</t>
  </si>
  <si>
    <t>Project Balance</t>
  </si>
  <si>
    <t>Examples:</t>
  </si>
  <si>
    <t>Swiss Grant for Africa 1997</t>
  </si>
  <si>
    <t>Swiss Grant for Africa 1998</t>
  </si>
  <si>
    <t>Japan Voluntary Additional Contribution</t>
  </si>
  <si>
    <t>RAM No. 53 Kyliiske Mouth [Danube Delta] (joint mission with UNESCO MAB), Ukraine in October 2003.</t>
  </si>
  <si>
    <t>Nine sponsored delegates from Bulgaria, Cyprus, Israel, Libya, Morocco, Palestine, Tunisia and Sri Lanka</t>
  </si>
  <si>
    <t xml:space="preserve">Inventory, Prespa Park, The Neretva River Delta, the MedWet/Regions network &amp; related project; the </t>
  </si>
  <si>
    <t>the collaboration with the Mediterranean Action Plan and the MedWet/Coast project.</t>
  </si>
  <si>
    <t>5th MedWet Committee, Izmir, Turkey on 12-15 June 2003</t>
  </si>
  <si>
    <t>100-170</t>
  </si>
  <si>
    <t>Evian Project  2003</t>
  </si>
  <si>
    <t>Danone will be supporting the Evian project for a four-year period, with a donation of EUR 250,000 per year.</t>
  </si>
  <si>
    <t>Ramsar site managers in North-East Asia; a meeting of Eurosite/Ramsar site managers of the Carpathian</t>
  </si>
  <si>
    <t>The programme for 2003 includes the World Wetland Days, and the Prize for Education; a meeting of Crossboundary/</t>
  </si>
  <si>
    <t xml:space="preserve">The Andorran government is contributing to the salary, and lending the Secretariat the services of, Sebastià Semene </t>
  </si>
  <si>
    <t>Transfer from closed projects</t>
  </si>
  <si>
    <t>USA - Dep't of State 2003</t>
  </si>
  <si>
    <t xml:space="preserve">Guitart.  Dr Guitart will help develop a broad promotion and outreach strategy for the Convention.  He will as well </t>
  </si>
  <si>
    <t>Theme of the meeting is "Parliamentary consideration on Water, Wetlands and the Ramsar Convention".</t>
  </si>
  <si>
    <t>Approximately 30 parliamentarians from West and Central Africa have been invited to discuss issues relevant to</t>
  </si>
  <si>
    <t>Ramsar sites.  The meeting is being organized by the Benin Gov't, the Ramsar Secretariat and the</t>
  </si>
  <si>
    <t>Network for Environment and Sustainable Development (NESDA).  A leaflet will be printed showcasing several sites.</t>
  </si>
  <si>
    <t>An urgent project to help the Fijian government prepare a site designation and prepare for Fiji's accession to the</t>
  </si>
  <si>
    <t>Convention.  Wetlands International Oceania, WWF South Pacific and BirdLife Fiji have all contracted to prepare</t>
  </si>
  <si>
    <t>separate modules.  As well a consultant is helping to coordinate all these activites and a project officer from the</t>
  </si>
  <si>
    <t>Fijian government is engaged in preparing the accession papers.</t>
  </si>
  <si>
    <t>Panama Centre</t>
  </si>
  <si>
    <t>The 24th Standing Committee approved the use of the excess in the Reserve fund to initiate the</t>
  </si>
  <si>
    <t>Swiss Grant for Africa 2000</t>
  </si>
  <si>
    <t>Swiss Grant for Africa 1999</t>
  </si>
  <si>
    <t>Antigua &amp; Barbuda, Barbados, Guyana, Grenada, St Vincent &amp; the Grenadines, and Saint Lucia (CP) to ascertain.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</si>
</sst>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71" formatCode="_(* #,##0.00_);_(* \(#,##0.00\);_(* &quot;-&quot;??_);_(@_)"/>
    <numFmt numFmtId="188" formatCode="_(* #,##0_);_(* \(#,##0\);_(* &quot;-&quot;??_);_(@_)"/>
  </numFmts>
  <fonts count="21" x14ac:knownFonts="1">
    <font>
      <sz val="10"/>
      <name val="Arial"/>
    </font>
    <font>
      <b/>
      <sz val="10"/>
      <name val="Arial"/>
    </font>
    <font>
      <sz val="10"/>
      <name val="Arial"/>
      <family val="2"/>
    </font>
    <font>
      <b/>
      <sz val="16"/>
      <name val="Arial"/>
      <family val="2"/>
    </font>
    <font>
      <b/>
      <sz val="12"/>
      <name val="Arial"/>
      <family val="2"/>
    </font>
    <font>
      <b/>
      <sz val="12"/>
      <name val="Arial"/>
      <family val="2"/>
    </font>
    <font>
      <b/>
      <sz val="11"/>
      <name val="Arial"/>
      <family val="2"/>
    </font>
    <font>
      <sz val="8"/>
      <name val="Arial"/>
      <family val="2"/>
    </font>
    <font>
      <sz val="11"/>
      <name val="Arial"/>
      <family val="2"/>
    </font>
    <font>
      <b/>
      <sz val="10"/>
      <name val="Arial"/>
      <family val="2"/>
    </font>
    <font>
      <sz val="10"/>
      <name val="Arial"/>
      <family val="2"/>
    </font>
    <font>
      <sz val="9"/>
      <name val="Arial"/>
      <family val="2"/>
    </font>
    <font>
      <i/>
      <sz val="11"/>
      <name val="Arial"/>
      <family val="2"/>
    </font>
    <font>
      <b/>
      <sz val="9"/>
      <name val="Arial"/>
      <family val="2"/>
    </font>
    <font>
      <b/>
      <sz val="16"/>
      <name val="Garamond"/>
      <family val="1"/>
    </font>
    <font>
      <i/>
      <sz val="10"/>
      <name val="Arial"/>
      <family val="2"/>
    </font>
    <font>
      <sz val="14"/>
      <name val="Arial"/>
      <family val="2"/>
    </font>
    <font>
      <i/>
      <sz val="8"/>
      <name val="Arial"/>
      <family val="2"/>
    </font>
    <font>
      <b/>
      <sz val="14"/>
      <name val="Arial"/>
      <family val="2"/>
    </font>
    <font>
      <sz val="11"/>
      <name val="Arial"/>
      <family val="2"/>
    </font>
    <font>
      <i/>
      <sz val="9"/>
      <name val="Arial"/>
      <family val="2"/>
    </font>
  </fonts>
  <fills count="5">
    <fill>
      <patternFill patternType="none"/>
    </fill>
    <fill>
      <patternFill patternType="gray125"/>
    </fill>
    <fill>
      <patternFill patternType="solid">
        <fgColor indexed="22"/>
        <bgColor indexed="64"/>
      </patternFill>
    </fill>
    <fill>
      <patternFill patternType="solid">
        <fgColor indexed="42"/>
        <bgColor indexed="64"/>
      </patternFill>
    </fill>
    <fill>
      <patternFill patternType="solid">
        <fgColor indexed="13"/>
        <bgColor indexed="64"/>
      </patternFill>
    </fill>
  </fills>
  <borders count="42">
    <border>
      <left/>
      <right/>
      <top/>
      <bottom/>
      <diagonal/>
    </border>
    <border>
      <left/>
      <right/>
      <top style="medium">
        <color indexed="64"/>
      </top>
      <bottom/>
      <diagonal/>
    </border>
    <border>
      <left style="thin">
        <color indexed="64"/>
      </left>
      <right style="thin">
        <color indexed="64"/>
      </right>
      <top/>
      <bottom/>
      <diagonal/>
    </border>
    <border>
      <left/>
      <right/>
      <top/>
      <bottom style="thin">
        <color indexed="64"/>
      </bottom>
      <diagonal/>
    </border>
    <border>
      <left style="thin">
        <color indexed="64"/>
      </left>
      <right style="thin">
        <color indexed="64"/>
      </right>
      <top/>
      <bottom style="thin">
        <color indexed="64"/>
      </bottom>
      <diagonal/>
    </border>
    <border>
      <left/>
      <right style="thin">
        <color indexed="64"/>
      </right>
      <top/>
      <bottom/>
      <diagonal/>
    </border>
    <border>
      <left/>
      <right style="medium">
        <color indexed="64"/>
      </right>
      <top/>
      <bottom/>
      <diagonal/>
    </border>
    <border>
      <left/>
      <right style="medium">
        <color indexed="64"/>
      </right>
      <top/>
      <bottom style="thin">
        <color indexed="64"/>
      </bottom>
      <diagonal/>
    </border>
    <border>
      <left style="thin">
        <color indexed="64"/>
      </left>
      <right style="medium">
        <color indexed="64"/>
      </right>
      <top/>
      <bottom/>
      <diagonal/>
    </border>
    <border>
      <left/>
      <right style="thin">
        <color indexed="64"/>
      </right>
      <top/>
      <bottom style="thin">
        <color indexed="64"/>
      </bottom>
      <diagonal/>
    </border>
    <border>
      <left style="thin">
        <color indexed="64"/>
      </left>
      <right/>
      <top/>
      <bottom/>
      <diagonal/>
    </border>
    <border>
      <left style="medium">
        <color indexed="64"/>
      </left>
      <right style="thin">
        <color indexed="64"/>
      </right>
      <top/>
      <bottom/>
      <diagonal/>
    </border>
    <border>
      <left/>
      <right style="medium">
        <color indexed="64"/>
      </right>
      <top style="medium">
        <color indexed="64"/>
      </top>
      <bottom/>
      <diagonal/>
    </border>
    <border>
      <left style="medium">
        <color indexed="64"/>
      </left>
      <right/>
      <top style="medium">
        <color indexed="64"/>
      </top>
      <bottom/>
      <diagonal/>
    </border>
    <border>
      <left style="medium">
        <color indexed="64"/>
      </left>
      <right/>
      <top/>
      <bottom/>
      <diagonal/>
    </border>
    <border>
      <left style="thin">
        <color indexed="64"/>
      </left>
      <right style="medium">
        <color indexed="64"/>
      </right>
      <top/>
      <bottom style="thin">
        <color indexed="64"/>
      </bottom>
      <diagonal/>
    </border>
    <border>
      <left/>
      <right style="thin">
        <color indexed="64"/>
      </right>
      <top style="thin">
        <color indexed="64"/>
      </top>
      <bottom/>
      <diagonal/>
    </border>
    <border>
      <left/>
      <right/>
      <top style="thin">
        <color indexed="64"/>
      </top>
      <bottom/>
      <diagonal/>
    </border>
    <border>
      <left style="thin">
        <color indexed="64"/>
      </left>
      <right style="thin">
        <color indexed="64"/>
      </right>
      <top style="thin">
        <color indexed="64"/>
      </top>
      <bottom/>
      <diagonal/>
    </border>
    <border>
      <left/>
      <right style="thin">
        <color indexed="64"/>
      </right>
      <top/>
      <bottom style="double">
        <color indexed="64"/>
      </bottom>
      <diagonal/>
    </border>
    <border>
      <left/>
      <right/>
      <top/>
      <bottom style="double">
        <color indexed="64"/>
      </bottom>
      <diagonal/>
    </border>
    <border>
      <left style="medium">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bottom style="hair">
        <color indexed="64"/>
      </bottom>
      <diagonal/>
    </border>
    <border>
      <left/>
      <right/>
      <top/>
      <bottom style="hair">
        <color indexed="64"/>
      </bottom>
      <diagonal/>
    </border>
    <border>
      <left style="thin">
        <color indexed="64"/>
      </left>
      <right style="thin">
        <color indexed="64"/>
      </right>
      <top/>
      <bottom style="hair">
        <color indexed="64"/>
      </bottom>
      <diagonal/>
    </border>
    <border>
      <left/>
      <right style="medium">
        <color indexed="64"/>
      </right>
      <top/>
      <bottom style="hair">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style="hair">
        <color indexed="64"/>
      </bottom>
      <diagonal/>
    </border>
    <border>
      <left style="thin">
        <color indexed="64"/>
      </left>
      <right style="thin">
        <color indexed="64"/>
      </right>
      <top style="thin">
        <color indexed="64"/>
      </top>
      <bottom style="thin">
        <color indexed="64"/>
      </bottom>
      <diagonal/>
    </border>
    <border>
      <left/>
      <right style="medium">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style="thin">
        <color indexed="64"/>
      </top>
      <bottom/>
      <diagonal/>
    </border>
    <border>
      <left/>
      <right/>
      <top/>
      <bottom style="medium">
        <color indexed="64"/>
      </bottom>
      <diagonal/>
    </border>
    <border>
      <left/>
      <right style="medium">
        <color indexed="64"/>
      </right>
      <top style="thin">
        <color indexed="64"/>
      </top>
      <bottom/>
      <diagonal/>
    </border>
    <border>
      <left style="thin">
        <color indexed="64"/>
      </left>
      <right/>
      <top/>
      <bottom style="medium">
        <color indexed="64"/>
      </bottom>
      <diagonal/>
    </border>
    <border>
      <left style="thin">
        <color indexed="64"/>
      </left>
      <right style="thin">
        <color indexed="64"/>
      </right>
      <top/>
      <bottom style="double">
        <color indexed="64"/>
      </bottom>
      <diagonal/>
    </border>
    <border>
      <left style="thin">
        <color indexed="64"/>
      </left>
      <right style="medium">
        <color indexed="64"/>
      </right>
      <top/>
      <bottom style="double">
        <color indexed="64"/>
      </bottom>
      <diagonal/>
    </border>
    <border>
      <left style="medium">
        <color indexed="64"/>
      </left>
      <right style="thin">
        <color indexed="64"/>
      </right>
      <top style="thin">
        <color indexed="64"/>
      </top>
      <bottom/>
      <diagonal/>
    </border>
    <border>
      <left style="medium">
        <color indexed="64"/>
      </left>
      <right style="thin">
        <color indexed="64"/>
      </right>
      <top/>
      <bottom style="double">
        <color indexed="64"/>
      </bottom>
      <diagonal/>
    </border>
    <border>
      <left style="medium">
        <color indexed="64"/>
      </left>
      <right style="thin">
        <color indexed="64"/>
      </right>
      <top/>
      <bottom style="medium">
        <color indexed="64"/>
      </bottom>
      <diagonal/>
    </border>
    <border>
      <left style="medium">
        <color indexed="64"/>
      </left>
      <right/>
      <top/>
      <bottom style="thin">
        <color indexed="64"/>
      </bottom>
      <diagonal/>
    </border>
  </borders>
  <cellStyleXfs count="2">
    <xf numFmtId="0" fontId="0" fillId="0" borderId="0"/>
    <xf numFmtId="171" fontId="2" fillId="0" borderId="0" applyFont="0" applyFill="0" applyBorder="0" applyAlignment="0" applyProtection="0"/>
  </cellStyleXfs>
  <cellXfs count="235">
    <xf numFmtId="0" fontId="0" fillId="0" borderId="0" xfId="0"/>
    <xf numFmtId="3" fontId="0" fillId="2" borderId="1" xfId="0" applyNumberFormat="1" applyFill="1" applyBorder="1"/>
    <xf numFmtId="3" fontId="2" fillId="2" borderId="1" xfId="1" applyNumberFormat="1" applyFill="1" applyBorder="1"/>
    <xf numFmtId="3" fontId="2" fillId="2" borderId="1" xfId="1" applyNumberFormat="1" applyFill="1" applyBorder="1" applyAlignment="1">
      <alignment horizontal="right"/>
    </xf>
    <xf numFmtId="3" fontId="0" fillId="2" borderId="1" xfId="0" applyNumberFormat="1" applyFill="1" applyBorder="1" applyAlignment="1">
      <alignment horizontal="right"/>
    </xf>
    <xf numFmtId="3" fontId="0" fillId="0" borderId="0" xfId="0" applyNumberFormat="1"/>
    <xf numFmtId="3" fontId="5" fillId="0" borderId="0" xfId="0" applyNumberFormat="1" applyFont="1" applyAlignment="1">
      <alignment wrapText="1"/>
    </xf>
    <xf numFmtId="3" fontId="0" fillId="0" borderId="0" xfId="0" applyNumberFormat="1" applyBorder="1"/>
    <xf numFmtId="3" fontId="7" fillId="0" borderId="0" xfId="1" applyNumberFormat="1" applyFont="1" applyBorder="1" applyAlignment="1">
      <alignment horizontal="right"/>
    </xf>
    <xf numFmtId="3" fontId="7" fillId="0" borderId="0" xfId="0" applyNumberFormat="1" applyFont="1" applyBorder="1" applyAlignment="1">
      <alignment horizontal="right"/>
    </xf>
    <xf numFmtId="3" fontId="8" fillId="0" borderId="0" xfId="0" applyNumberFormat="1" applyFont="1" applyBorder="1"/>
    <xf numFmtId="3" fontId="8" fillId="0" borderId="0" xfId="1" applyNumberFormat="1" applyFont="1" applyBorder="1" applyAlignment="1">
      <alignment horizontal="right"/>
    </xf>
    <xf numFmtId="3" fontId="8" fillId="0" borderId="0" xfId="0" applyNumberFormat="1" applyFont="1" applyBorder="1" applyAlignment="1">
      <alignment horizontal="right"/>
    </xf>
    <xf numFmtId="3" fontId="8" fillId="0" borderId="2" xfId="1" applyNumberFormat="1" applyFont="1" applyBorder="1"/>
    <xf numFmtId="3" fontId="8" fillId="0" borderId="0" xfId="0" applyNumberFormat="1" applyFont="1"/>
    <xf numFmtId="3" fontId="8" fillId="0" borderId="3" xfId="0" applyNumberFormat="1" applyFont="1" applyBorder="1"/>
    <xf numFmtId="3" fontId="8" fillId="0" borderId="3" xfId="1" applyNumberFormat="1" applyFont="1" applyBorder="1" applyAlignment="1">
      <alignment horizontal="right"/>
    </xf>
    <xf numFmtId="3" fontId="8" fillId="0" borderId="3" xfId="0" applyNumberFormat="1" applyFont="1" applyBorder="1" applyAlignment="1">
      <alignment horizontal="right"/>
    </xf>
    <xf numFmtId="3" fontId="8" fillId="0" borderId="4" xfId="1" applyNumberFormat="1" applyFont="1" applyBorder="1"/>
    <xf numFmtId="3" fontId="8" fillId="0" borderId="0" xfId="0" applyNumberFormat="1" applyFont="1" applyBorder="1" applyAlignment="1">
      <alignment horizontal="center"/>
    </xf>
    <xf numFmtId="3" fontId="8" fillId="0" borderId="3" xfId="0" applyNumberFormat="1" applyFont="1" applyBorder="1" applyAlignment="1">
      <alignment horizontal="center"/>
    </xf>
    <xf numFmtId="3" fontId="8" fillId="0" borderId="5" xfId="0" applyNumberFormat="1" applyFont="1" applyBorder="1" applyAlignment="1">
      <alignment horizontal="right"/>
    </xf>
    <xf numFmtId="3" fontId="7" fillId="0" borderId="2" xfId="1" applyNumberFormat="1" applyFont="1" applyBorder="1" applyAlignment="1">
      <alignment horizontal="right"/>
    </xf>
    <xf numFmtId="3" fontId="2" fillId="0" borderId="0" xfId="1" applyNumberFormat="1"/>
    <xf numFmtId="3" fontId="2" fillId="0" borderId="0" xfId="1" applyNumberFormat="1" applyAlignment="1">
      <alignment horizontal="right"/>
    </xf>
    <xf numFmtId="3" fontId="0" fillId="0" borderId="0" xfId="0" applyNumberFormat="1" applyBorder="1" applyAlignment="1">
      <alignment horizontal="right"/>
    </xf>
    <xf numFmtId="3" fontId="8" fillId="0" borderId="2" xfId="0" applyNumberFormat="1" applyFont="1" applyBorder="1"/>
    <xf numFmtId="3" fontId="8" fillId="0" borderId="0" xfId="0" applyNumberFormat="1" applyFont="1" applyBorder="1" applyAlignment="1">
      <alignment horizontal="left"/>
    </xf>
    <xf numFmtId="3" fontId="7" fillId="0" borderId="0" xfId="0" applyNumberFormat="1" applyFont="1"/>
    <xf numFmtId="3" fontId="8" fillId="0" borderId="6" xfId="0" applyNumberFormat="1" applyFont="1" applyBorder="1"/>
    <xf numFmtId="3" fontId="0" fillId="0" borderId="6" xfId="0" applyNumberFormat="1" applyBorder="1" applyAlignment="1">
      <alignment horizontal="right"/>
    </xf>
    <xf numFmtId="3" fontId="8" fillId="0" borderId="7" xfId="0" applyNumberFormat="1" applyFont="1" applyBorder="1"/>
    <xf numFmtId="3" fontId="7" fillId="0" borderId="0" xfId="0" applyNumberFormat="1" applyFont="1" applyBorder="1" applyAlignment="1">
      <alignment horizontal="left"/>
    </xf>
    <xf numFmtId="3" fontId="8" fillId="0" borderId="0" xfId="0" applyNumberFormat="1" applyFont="1" applyAlignment="1">
      <alignment horizontal="right"/>
    </xf>
    <xf numFmtId="3" fontId="8" fillId="0" borderId="8" xfId="0" applyNumberFormat="1" applyFont="1" applyBorder="1"/>
    <xf numFmtId="3" fontId="0" fillId="2" borderId="1" xfId="0" applyNumberFormat="1" applyFill="1" applyBorder="1" applyAlignment="1">
      <alignment horizontal="left" indent="1"/>
    </xf>
    <xf numFmtId="3" fontId="0" fillId="0" borderId="0" xfId="0" applyNumberFormat="1" applyAlignment="1">
      <alignment horizontal="left" indent="1"/>
    </xf>
    <xf numFmtId="3" fontId="4" fillId="2" borderId="0" xfId="0" applyNumberFormat="1" applyFont="1" applyFill="1" applyBorder="1" applyAlignment="1">
      <alignment horizontal="left" indent="1"/>
    </xf>
    <xf numFmtId="3" fontId="0" fillId="2" borderId="6" xfId="0" applyNumberFormat="1" applyFill="1" applyBorder="1" applyAlignment="1"/>
    <xf numFmtId="3" fontId="0" fillId="0" borderId="0" xfId="0" applyNumberFormat="1" applyBorder="1" applyAlignment="1">
      <alignment horizontal="left" indent="1"/>
    </xf>
    <xf numFmtId="3" fontId="7" fillId="0" borderId="0" xfId="0" applyNumberFormat="1" applyFont="1" applyBorder="1"/>
    <xf numFmtId="3" fontId="7" fillId="0" borderId="5" xfId="0" applyNumberFormat="1" applyFont="1" applyBorder="1" applyAlignment="1">
      <alignment horizontal="left" indent="1"/>
    </xf>
    <xf numFmtId="3" fontId="0" fillId="0" borderId="5" xfId="0" applyNumberFormat="1" applyBorder="1" applyAlignment="1">
      <alignment horizontal="left" indent="1"/>
    </xf>
    <xf numFmtId="3" fontId="9" fillId="0" borderId="5" xfId="0" applyNumberFormat="1" applyFont="1" applyBorder="1" applyAlignment="1">
      <alignment horizontal="left" indent="1"/>
    </xf>
    <xf numFmtId="3" fontId="10" fillId="0" borderId="5" xfId="0" applyNumberFormat="1" applyFont="1" applyBorder="1" applyAlignment="1">
      <alignment horizontal="left" vertical="top" wrapText="1" indent="1"/>
    </xf>
    <xf numFmtId="3" fontId="10" fillId="0" borderId="5" xfId="0" applyNumberFormat="1" applyFont="1" applyBorder="1" applyAlignment="1">
      <alignment horizontal="left" indent="1"/>
    </xf>
    <xf numFmtId="3" fontId="10" fillId="0" borderId="9" xfId="0" applyNumberFormat="1" applyFont="1" applyBorder="1" applyAlignment="1">
      <alignment horizontal="left" indent="1"/>
    </xf>
    <xf numFmtId="3" fontId="1" fillId="0" borderId="5" xfId="0" applyNumberFormat="1" applyFont="1" applyBorder="1" applyAlignment="1">
      <alignment horizontal="left" indent="1"/>
    </xf>
    <xf numFmtId="3" fontId="10" fillId="0" borderId="9" xfId="0" applyNumberFormat="1" applyFont="1" applyBorder="1" applyAlignment="1">
      <alignment horizontal="left" vertical="top" wrapText="1" indent="1"/>
    </xf>
    <xf numFmtId="3" fontId="2" fillId="0" borderId="5" xfId="0" applyNumberFormat="1" applyFont="1" applyBorder="1" applyAlignment="1">
      <alignment horizontal="left" vertical="top" wrapText="1" indent="1"/>
    </xf>
    <xf numFmtId="3" fontId="10" fillId="0" borderId="5" xfId="0" applyNumberFormat="1" applyFont="1" applyBorder="1" applyAlignment="1">
      <alignment horizontal="left" wrapText="1" indent="1"/>
    </xf>
    <xf numFmtId="3" fontId="8" fillId="0" borderId="10" xfId="0" applyNumberFormat="1" applyFont="1" applyBorder="1"/>
    <xf numFmtId="3" fontId="8" fillId="0" borderId="6" xfId="0" applyNumberFormat="1" applyFont="1" applyBorder="1" applyAlignment="1">
      <alignment horizontal="right"/>
    </xf>
    <xf numFmtId="3" fontId="8" fillId="0" borderId="11" xfId="0" applyNumberFormat="1" applyFont="1" applyBorder="1"/>
    <xf numFmtId="3" fontId="9" fillId="0" borderId="9" xfId="0" applyNumberFormat="1" applyFont="1" applyBorder="1" applyAlignment="1">
      <alignment horizontal="left" indent="1"/>
    </xf>
    <xf numFmtId="3" fontId="8" fillId="0" borderId="0" xfId="0" quotePrefix="1" applyNumberFormat="1" applyFont="1" applyBorder="1" applyAlignment="1">
      <alignment horizontal="center"/>
    </xf>
    <xf numFmtId="3" fontId="10" fillId="0" borderId="0" xfId="0" applyNumberFormat="1" applyFont="1" applyBorder="1" applyAlignment="1">
      <alignment horizontal="right"/>
    </xf>
    <xf numFmtId="3" fontId="14" fillId="2" borderId="12" xfId="0" applyNumberFormat="1" applyFont="1" applyFill="1" applyBorder="1" applyAlignment="1">
      <alignment horizontal="right"/>
    </xf>
    <xf numFmtId="3" fontId="6" fillId="0" borderId="0" xfId="0" applyNumberFormat="1" applyFont="1" applyBorder="1" applyAlignment="1">
      <alignment horizontal="center"/>
    </xf>
    <xf numFmtId="3" fontId="8" fillId="0" borderId="2" xfId="1" applyNumberFormat="1" applyFont="1" applyBorder="1" applyAlignment="1">
      <alignment horizontal="right"/>
    </xf>
    <xf numFmtId="3" fontId="10" fillId="0" borderId="0" xfId="0" applyNumberFormat="1" applyFont="1" applyBorder="1"/>
    <xf numFmtId="3" fontId="10" fillId="0" borderId="0" xfId="1" applyNumberFormat="1" applyFont="1" applyBorder="1" applyAlignment="1">
      <alignment horizontal="right"/>
    </xf>
    <xf numFmtId="3" fontId="10" fillId="0" borderId="0" xfId="0" applyNumberFormat="1" applyFont="1"/>
    <xf numFmtId="3" fontId="10" fillId="0" borderId="0" xfId="0" applyNumberFormat="1" applyFont="1" applyAlignment="1">
      <alignment horizontal="left"/>
    </xf>
    <xf numFmtId="3" fontId="2" fillId="2" borderId="13" xfId="1" applyNumberFormat="1" applyFill="1" applyBorder="1"/>
    <xf numFmtId="3" fontId="4" fillId="2" borderId="14" xfId="1" applyNumberFormat="1" applyFont="1" applyFill="1" applyBorder="1" applyAlignment="1">
      <alignment horizontal="centerContinuous"/>
    </xf>
    <xf numFmtId="3" fontId="0" fillId="0" borderId="5" xfId="0" applyNumberFormat="1" applyBorder="1" applyAlignment="1">
      <alignment horizontal="left" vertical="top" wrapText="1" indent="1"/>
    </xf>
    <xf numFmtId="3" fontId="8" fillId="0" borderId="11" xfId="1" applyNumberFormat="1" applyFont="1" applyBorder="1" applyAlignment="1">
      <alignment horizontal="center"/>
    </xf>
    <xf numFmtId="3" fontId="8" fillId="0" borderId="0" xfId="0" applyNumberFormat="1" applyFont="1" applyAlignment="1">
      <alignment vertical="top"/>
    </xf>
    <xf numFmtId="188" fontId="8" fillId="0" borderId="2" xfId="1" applyNumberFormat="1" applyFont="1" applyBorder="1" applyAlignment="1">
      <alignment horizontal="right"/>
    </xf>
    <xf numFmtId="3" fontId="8" fillId="0" borderId="15" xfId="0" applyNumberFormat="1" applyFont="1" applyBorder="1"/>
    <xf numFmtId="3" fontId="5" fillId="3" borderId="16" xfId="0" applyNumberFormat="1" applyFont="1" applyFill="1" applyBorder="1" applyAlignment="1">
      <alignment horizontal="left" wrapText="1" indent="1"/>
    </xf>
    <xf numFmtId="3" fontId="5" fillId="3" borderId="17" xfId="0" applyNumberFormat="1" applyFont="1" applyFill="1" applyBorder="1" applyAlignment="1">
      <alignment horizontal="centerContinuous" wrapText="1"/>
    </xf>
    <xf numFmtId="3" fontId="5" fillId="3" borderId="18" xfId="1" applyNumberFormat="1" applyFont="1" applyFill="1" applyBorder="1" applyAlignment="1">
      <alignment horizontal="centerContinuous" wrapText="1"/>
    </xf>
    <xf numFmtId="3" fontId="6" fillId="3" borderId="18" xfId="1" applyNumberFormat="1" applyFont="1" applyFill="1" applyBorder="1" applyAlignment="1">
      <alignment horizontal="center" wrapText="1"/>
    </xf>
    <xf numFmtId="3" fontId="5" fillId="3" borderId="19" xfId="0" applyNumberFormat="1" applyFont="1" applyFill="1" applyBorder="1" applyAlignment="1">
      <alignment horizontal="left" wrapText="1" indent="1"/>
    </xf>
    <xf numFmtId="3" fontId="5" fillId="3" borderId="20" xfId="0" applyNumberFormat="1" applyFont="1" applyFill="1" applyBorder="1" applyAlignment="1">
      <alignment horizontal="centerContinuous" wrapText="1"/>
    </xf>
    <xf numFmtId="3" fontId="10" fillId="0" borderId="0" xfId="0" applyNumberFormat="1" applyFont="1" applyBorder="1" applyAlignment="1">
      <alignment horizontal="right" wrapText="1"/>
    </xf>
    <xf numFmtId="49" fontId="8" fillId="0" borderId="0" xfId="0" applyNumberFormat="1" applyFont="1" applyBorder="1" applyAlignment="1">
      <alignment horizontal="right"/>
    </xf>
    <xf numFmtId="3" fontId="7" fillId="0" borderId="0" xfId="1" applyNumberFormat="1" applyFont="1" applyBorder="1" applyAlignment="1">
      <alignment horizontal="center"/>
    </xf>
    <xf numFmtId="3" fontId="7" fillId="0" borderId="0" xfId="0" applyNumberFormat="1" applyFont="1" applyBorder="1" applyAlignment="1">
      <alignment horizontal="center"/>
    </xf>
    <xf numFmtId="3" fontId="7" fillId="0" borderId="2" xfId="1" applyNumberFormat="1" applyFont="1" applyBorder="1" applyAlignment="1">
      <alignment horizontal="center"/>
    </xf>
    <xf numFmtId="3" fontId="7" fillId="0" borderId="6" xfId="0" applyNumberFormat="1" applyFont="1" applyBorder="1" applyAlignment="1">
      <alignment horizontal="center"/>
    </xf>
    <xf numFmtId="3" fontId="10" fillId="0" borderId="0" xfId="0" applyNumberFormat="1" applyFont="1" applyBorder="1" applyAlignment="1">
      <alignment horizontal="left"/>
    </xf>
    <xf numFmtId="3" fontId="8" fillId="0" borderId="0" xfId="0" applyNumberFormat="1" applyFont="1" applyBorder="1" applyAlignment="1"/>
    <xf numFmtId="3" fontId="8" fillId="0" borderId="6" xfId="0" applyNumberFormat="1" applyFont="1" applyBorder="1" applyAlignment="1">
      <alignment horizontal="center"/>
    </xf>
    <xf numFmtId="3" fontId="11" fillId="0" borderId="0" xfId="0" applyNumberFormat="1" applyFont="1" applyBorder="1"/>
    <xf numFmtId="3" fontId="8" fillId="0" borderId="21" xfId="1" applyNumberFormat="1" applyFont="1" applyBorder="1" applyAlignment="1">
      <alignment horizontal="center"/>
    </xf>
    <xf numFmtId="3" fontId="0" fillId="0" borderId="0" xfId="0" applyNumberFormat="1" applyAlignment="1"/>
    <xf numFmtId="3" fontId="8" fillId="0" borderId="22" xfId="0" applyNumberFormat="1" applyFont="1" applyBorder="1" applyAlignment="1">
      <alignment horizontal="center"/>
    </xf>
    <xf numFmtId="3" fontId="10" fillId="0" borderId="23" xfId="0" applyNumberFormat="1" applyFont="1" applyBorder="1" applyAlignment="1">
      <alignment horizontal="left" indent="1"/>
    </xf>
    <xf numFmtId="3" fontId="8" fillId="0" borderId="24" xfId="0" applyNumberFormat="1" applyFont="1" applyBorder="1" applyAlignment="1">
      <alignment horizontal="center"/>
    </xf>
    <xf numFmtId="3" fontId="8" fillId="0" borderId="24" xfId="0" applyNumberFormat="1" applyFont="1" applyBorder="1"/>
    <xf numFmtId="3" fontId="8" fillId="0" borderId="24" xfId="0" applyNumberFormat="1" applyFont="1" applyBorder="1" applyAlignment="1">
      <alignment horizontal="right"/>
    </xf>
    <xf numFmtId="3" fontId="8" fillId="0" borderId="25" xfId="1" applyNumberFormat="1" applyFont="1" applyBorder="1"/>
    <xf numFmtId="3" fontId="8" fillId="0" borderId="26" xfId="0" applyNumberFormat="1" applyFont="1" applyBorder="1"/>
    <xf numFmtId="3" fontId="9" fillId="0" borderId="0" xfId="0" applyNumberFormat="1" applyFont="1" applyBorder="1" applyAlignment="1">
      <alignment horizontal="left" indent="1"/>
    </xf>
    <xf numFmtId="3" fontId="0" fillId="0" borderId="3" xfId="0" applyNumberFormat="1" applyBorder="1" applyAlignment="1">
      <alignment horizontal="left" indent="1"/>
    </xf>
    <xf numFmtId="3" fontId="10" fillId="0" borderId="3" xfId="0" applyNumberFormat="1" applyFont="1" applyBorder="1" applyAlignment="1">
      <alignment horizontal="left"/>
    </xf>
    <xf numFmtId="3" fontId="8" fillId="0" borderId="3" xfId="0" applyNumberFormat="1" applyFont="1" applyBorder="1" applyAlignment="1"/>
    <xf numFmtId="3" fontId="5" fillId="3" borderId="27" xfId="0" applyNumberFormat="1" applyFont="1" applyFill="1" applyBorder="1" applyAlignment="1">
      <alignment horizontal="center" wrapText="1"/>
    </xf>
    <xf numFmtId="3" fontId="8" fillId="0" borderId="28" xfId="1" applyNumberFormat="1" applyFont="1" applyBorder="1" applyAlignment="1">
      <alignment horizontal="center"/>
    </xf>
    <xf numFmtId="3" fontId="0" fillId="0" borderId="24" xfId="0" applyNumberFormat="1" applyBorder="1" applyAlignment="1">
      <alignment horizontal="left" indent="1"/>
    </xf>
    <xf numFmtId="3" fontId="10" fillId="0" borderId="24" xfId="0" applyNumberFormat="1" applyFont="1" applyBorder="1" applyAlignment="1">
      <alignment horizontal="left"/>
    </xf>
    <xf numFmtId="3" fontId="8" fillId="0" borderId="24" xfId="0" applyNumberFormat="1" applyFont="1" applyBorder="1" applyAlignment="1"/>
    <xf numFmtId="3" fontId="7" fillId="0" borderId="5" xfId="0" applyNumberFormat="1" applyFont="1" applyBorder="1" applyAlignment="1">
      <alignment horizontal="left" vertical="top" wrapText="1" indent="1"/>
    </xf>
    <xf numFmtId="3" fontId="7" fillId="0" borderId="2" xfId="1" applyNumberFormat="1" applyFont="1" applyBorder="1"/>
    <xf numFmtId="3" fontId="7" fillId="0" borderId="6" xfId="0" applyNumberFormat="1" applyFont="1" applyBorder="1"/>
    <xf numFmtId="3" fontId="8" fillId="0" borderId="29" xfId="1" applyNumberFormat="1" applyFont="1" applyBorder="1" applyAlignment="1">
      <alignment horizontal="right"/>
    </xf>
    <xf numFmtId="3" fontId="16" fillId="0" borderId="0" xfId="1" applyNumberFormat="1" applyFont="1"/>
    <xf numFmtId="3" fontId="16" fillId="0" borderId="0" xfId="0" applyNumberFormat="1" applyFont="1" applyBorder="1" applyAlignment="1">
      <alignment horizontal="left" indent="1"/>
    </xf>
    <xf numFmtId="3" fontId="16" fillId="0" borderId="0" xfId="0" applyNumberFormat="1" applyFont="1" applyAlignment="1">
      <alignment horizontal="left" indent="1"/>
    </xf>
    <xf numFmtId="3" fontId="16" fillId="0" borderId="0" xfId="0" applyNumberFormat="1" applyFont="1"/>
    <xf numFmtId="3" fontId="16" fillId="0" borderId="0" xfId="1" applyNumberFormat="1" applyFont="1" applyAlignment="1">
      <alignment horizontal="right"/>
    </xf>
    <xf numFmtId="3" fontId="16" fillId="0" borderId="0" xfId="0" applyNumberFormat="1" applyFont="1" applyBorder="1" applyAlignment="1">
      <alignment horizontal="right"/>
    </xf>
    <xf numFmtId="3" fontId="18" fillId="0" borderId="0" xfId="0" applyNumberFormat="1" applyFont="1" applyAlignment="1">
      <alignment horizontal="right"/>
    </xf>
    <xf numFmtId="3" fontId="10" fillId="0" borderId="3" xfId="0" applyNumberFormat="1" applyFont="1" applyBorder="1"/>
    <xf numFmtId="3" fontId="8" fillId="0" borderId="0" xfId="0" applyNumberFormat="1" applyFont="1" applyFill="1"/>
    <xf numFmtId="3" fontId="7" fillId="0" borderId="0" xfId="0" applyNumberFormat="1" applyFont="1" applyBorder="1" applyAlignment="1">
      <alignment horizontal="left" wrapText="1"/>
    </xf>
    <xf numFmtId="3" fontId="8" fillId="0" borderId="11" xfId="0" applyNumberFormat="1" applyFont="1" applyBorder="1" applyAlignment="1">
      <alignment horizontal="center"/>
    </xf>
    <xf numFmtId="3" fontId="7" fillId="0" borderId="9" xfId="0" applyNumberFormat="1" applyFont="1" applyBorder="1" applyAlignment="1">
      <alignment horizontal="left" wrapText="1" indent="1"/>
    </xf>
    <xf numFmtId="3" fontId="7" fillId="0" borderId="22" xfId="0" applyNumberFormat="1" applyFont="1" applyBorder="1"/>
    <xf numFmtId="3" fontId="7" fillId="0" borderId="15" xfId="0" applyNumberFormat="1" applyFont="1" applyBorder="1"/>
    <xf numFmtId="3" fontId="7" fillId="0" borderId="9" xfId="0" applyNumberFormat="1" applyFont="1" applyBorder="1" applyAlignment="1">
      <alignment horizontal="left" indent="1"/>
    </xf>
    <xf numFmtId="3" fontId="7" fillId="0" borderId="3" xfId="0" applyNumberFormat="1" applyFont="1" applyBorder="1" applyAlignment="1">
      <alignment horizontal="center"/>
    </xf>
    <xf numFmtId="3" fontId="7" fillId="0" borderId="3" xfId="0" applyNumberFormat="1" applyFont="1" applyBorder="1"/>
    <xf numFmtId="3" fontId="7" fillId="0" borderId="3" xfId="1" applyNumberFormat="1" applyFont="1" applyBorder="1" applyAlignment="1">
      <alignment horizontal="right"/>
    </xf>
    <xf numFmtId="3" fontId="7" fillId="0" borderId="3" xfId="0" applyNumberFormat="1" applyFont="1" applyBorder="1" applyAlignment="1">
      <alignment horizontal="right"/>
    </xf>
    <xf numFmtId="3" fontId="7" fillId="0" borderId="4" xfId="1" applyNumberFormat="1" applyFont="1" applyBorder="1"/>
    <xf numFmtId="3" fontId="7" fillId="0" borderId="7" xfId="0" applyNumberFormat="1" applyFont="1" applyBorder="1"/>
    <xf numFmtId="3" fontId="7" fillId="0" borderId="21" xfId="0" applyNumberFormat="1" applyFont="1" applyBorder="1"/>
    <xf numFmtId="3" fontId="7" fillId="0" borderId="7" xfId="0" applyNumberFormat="1" applyFont="1" applyBorder="1" applyAlignment="1">
      <alignment horizontal="center"/>
    </xf>
    <xf numFmtId="3" fontId="17" fillId="0" borderId="0" xfId="0" applyNumberFormat="1" applyFont="1" applyBorder="1"/>
    <xf numFmtId="3" fontId="9" fillId="0" borderId="0" xfId="1" applyNumberFormat="1" applyFont="1" applyBorder="1"/>
    <xf numFmtId="0" fontId="0" fillId="0" borderId="24" xfId="0" applyFill="1" applyBorder="1"/>
    <xf numFmtId="3" fontId="9" fillId="0" borderId="24" xfId="1" applyNumberFormat="1" applyFont="1" applyBorder="1"/>
    <xf numFmtId="0" fontId="0" fillId="0" borderId="0" xfId="0" applyFill="1" applyBorder="1"/>
    <xf numFmtId="3" fontId="0" fillId="0" borderId="30" xfId="0" applyNumberFormat="1" applyBorder="1"/>
    <xf numFmtId="3" fontId="2" fillId="0" borderId="18" xfId="1" applyNumberFormat="1" applyBorder="1"/>
    <xf numFmtId="3" fontId="2" fillId="0" borderId="2" xfId="1" applyNumberFormat="1" applyBorder="1"/>
    <xf numFmtId="3" fontId="2" fillId="0" borderId="31" xfId="1" applyNumberFormat="1" applyBorder="1"/>
    <xf numFmtId="3" fontId="0" fillId="0" borderId="32" xfId="0" applyNumberFormat="1" applyBorder="1"/>
    <xf numFmtId="3" fontId="0" fillId="0" borderId="10" xfId="0" applyNumberFormat="1" applyBorder="1"/>
    <xf numFmtId="3" fontId="0" fillId="0" borderId="33" xfId="0" applyNumberFormat="1" applyBorder="1" applyAlignment="1">
      <alignment horizontal="left" indent="1"/>
    </xf>
    <xf numFmtId="3" fontId="0" fillId="0" borderId="33" xfId="0" applyNumberFormat="1" applyBorder="1"/>
    <xf numFmtId="3" fontId="2" fillId="0" borderId="33" xfId="1" applyNumberFormat="1" applyBorder="1" applyAlignment="1">
      <alignment horizontal="right"/>
    </xf>
    <xf numFmtId="3" fontId="0" fillId="0" borderId="33" xfId="0" applyNumberFormat="1" applyBorder="1" applyAlignment="1">
      <alignment horizontal="right"/>
    </xf>
    <xf numFmtId="3" fontId="0" fillId="0" borderId="34" xfId="0" applyNumberFormat="1" applyBorder="1"/>
    <xf numFmtId="3" fontId="0" fillId="0" borderId="6" xfId="0" applyNumberFormat="1" applyBorder="1"/>
    <xf numFmtId="3" fontId="0" fillId="0" borderId="35" xfId="0" applyNumberFormat="1" applyBorder="1"/>
    <xf numFmtId="3" fontId="2" fillId="0" borderId="29" xfId="1" applyNumberFormat="1" applyBorder="1" applyAlignment="1">
      <alignment horizontal="right"/>
    </xf>
    <xf numFmtId="3" fontId="7" fillId="0" borderId="0" xfId="0" applyNumberFormat="1" applyFont="1" applyAlignment="1">
      <alignment horizontal="right"/>
    </xf>
    <xf numFmtId="3" fontId="10" fillId="0" borderId="0" xfId="0" applyNumberFormat="1" applyFont="1" applyAlignment="1">
      <alignment horizontal="left" indent="1"/>
    </xf>
    <xf numFmtId="3" fontId="8" fillId="0" borderId="10" xfId="0" applyNumberFormat="1" applyFont="1" applyBorder="1" applyAlignment="1">
      <alignment horizontal="center"/>
    </xf>
    <xf numFmtId="49" fontId="13" fillId="3" borderId="36" xfId="1" applyNumberFormat="1" applyFont="1" applyFill="1" applyBorder="1" applyAlignment="1">
      <alignment horizontal="center" wrapText="1"/>
    </xf>
    <xf numFmtId="188" fontId="8" fillId="0" borderId="0" xfId="1" applyNumberFormat="1" applyFont="1" applyBorder="1" applyAlignment="1">
      <alignment horizontal="right"/>
    </xf>
    <xf numFmtId="49" fontId="7" fillId="3" borderId="37" xfId="0" applyNumberFormat="1" applyFont="1" applyFill="1" applyBorder="1" applyAlignment="1">
      <alignment horizontal="center" wrapText="1"/>
    </xf>
    <xf numFmtId="3" fontId="8" fillId="4" borderId="0" xfId="0" applyNumberFormat="1" applyFont="1" applyFill="1"/>
    <xf numFmtId="3" fontId="7" fillId="0" borderId="11" xfId="1" applyNumberFormat="1" applyFont="1" applyBorder="1" applyAlignment="1">
      <alignment horizontal="center"/>
    </xf>
    <xf numFmtId="3" fontId="10" fillId="0" borderId="3" xfId="0" applyNumberFormat="1" applyFont="1" applyBorder="1" applyAlignment="1">
      <alignment horizontal="left" vertical="top" wrapText="1" indent="1"/>
    </xf>
    <xf numFmtId="3" fontId="6" fillId="0" borderId="0" xfId="0" applyNumberFormat="1" applyFont="1"/>
    <xf numFmtId="3" fontId="2" fillId="0" borderId="0" xfId="1" applyNumberFormat="1" applyFill="1" applyAlignment="1">
      <alignment horizontal="right"/>
    </xf>
    <xf numFmtId="3" fontId="2" fillId="0" borderId="11" xfId="1" applyNumberFormat="1" applyBorder="1"/>
    <xf numFmtId="3" fontId="10" fillId="0" borderId="0" xfId="0" applyNumberFormat="1" applyFont="1" applyBorder="1" applyAlignment="1">
      <alignment horizontal="left" indent="1"/>
    </xf>
    <xf numFmtId="3" fontId="7" fillId="0" borderId="3" xfId="0" applyNumberFormat="1" applyFont="1" applyBorder="1" applyAlignment="1">
      <alignment horizontal="left" indent="1"/>
    </xf>
    <xf numFmtId="3" fontId="8" fillId="0" borderId="8" xfId="0" applyNumberFormat="1" applyFont="1" applyFill="1" applyBorder="1"/>
    <xf numFmtId="3" fontId="10" fillId="0" borderId="3" xfId="0" applyNumberFormat="1" applyFont="1" applyBorder="1" applyAlignment="1">
      <alignment horizontal="left" indent="1"/>
    </xf>
    <xf numFmtId="3" fontId="2" fillId="0" borderId="0" xfId="1" applyNumberFormat="1" applyBorder="1" applyAlignment="1">
      <alignment horizontal="right"/>
    </xf>
    <xf numFmtId="0" fontId="7" fillId="0" borderId="0" xfId="0" applyFont="1" applyBorder="1" applyAlignment="1">
      <alignment horizontal="right"/>
    </xf>
    <xf numFmtId="3" fontId="8" fillId="0" borderId="29" xfId="0" applyNumberFormat="1" applyFont="1" applyBorder="1"/>
    <xf numFmtId="3" fontId="6" fillId="0" borderId="0" xfId="1" applyNumberFormat="1" applyFont="1" applyFill="1" applyBorder="1" applyAlignment="1">
      <alignment horizontal="right"/>
    </xf>
    <xf numFmtId="0" fontId="10" fillId="0" borderId="0" xfId="0" applyFont="1" applyBorder="1"/>
    <xf numFmtId="0" fontId="10" fillId="0" borderId="0" xfId="0" applyFont="1" applyFill="1" applyBorder="1"/>
    <xf numFmtId="3" fontId="0" fillId="0" borderId="22" xfId="0" applyNumberFormat="1" applyBorder="1"/>
    <xf numFmtId="3" fontId="2" fillId="0" borderId="3" xfId="1" applyNumberFormat="1" applyBorder="1" applyAlignment="1">
      <alignment horizontal="right"/>
    </xf>
    <xf numFmtId="3" fontId="0" fillId="0" borderId="3" xfId="0" applyNumberFormat="1" applyBorder="1" applyAlignment="1">
      <alignment horizontal="right"/>
    </xf>
    <xf numFmtId="3" fontId="2" fillId="0" borderId="4" xfId="1" applyNumberFormat="1" applyBorder="1"/>
    <xf numFmtId="3" fontId="0" fillId="0" borderId="7" xfId="0" applyNumberFormat="1" applyBorder="1"/>
    <xf numFmtId="3" fontId="8" fillId="0" borderId="2" xfId="1" applyNumberFormat="1" applyFont="1" applyFill="1" applyBorder="1"/>
    <xf numFmtId="3" fontId="8" fillId="0" borderId="0" xfId="1" applyNumberFormat="1" applyFont="1" applyBorder="1"/>
    <xf numFmtId="0" fontId="10" fillId="0" borderId="0" xfId="0" applyFont="1" applyAlignment="1">
      <alignment horizontal="left" indent="1"/>
    </xf>
    <xf numFmtId="3" fontId="8" fillId="0" borderId="38" xfId="1" applyNumberFormat="1" applyFont="1" applyBorder="1" applyAlignment="1">
      <alignment horizontal="center"/>
    </xf>
    <xf numFmtId="3" fontId="5" fillId="3" borderId="17" xfId="0" applyNumberFormat="1" applyFont="1" applyFill="1" applyBorder="1" applyAlignment="1">
      <alignment horizontal="left" wrapText="1" indent="1"/>
    </xf>
    <xf numFmtId="3" fontId="5" fillId="3" borderId="20" xfId="0" applyNumberFormat="1" applyFont="1" applyFill="1" applyBorder="1" applyAlignment="1">
      <alignment horizontal="left" wrapText="1" indent="1"/>
    </xf>
    <xf numFmtId="3" fontId="7" fillId="0" borderId="0" xfId="0" applyNumberFormat="1" applyFont="1" applyBorder="1" applyAlignment="1">
      <alignment horizontal="left" indent="1"/>
    </xf>
    <xf numFmtId="3" fontId="10" fillId="0" borderId="0" xfId="0" applyNumberFormat="1" applyFont="1" applyBorder="1" applyAlignment="1">
      <alignment horizontal="left" vertical="top" wrapText="1" indent="1"/>
    </xf>
    <xf numFmtId="3" fontId="7" fillId="0" borderId="0" xfId="0" applyNumberFormat="1" applyFont="1" applyBorder="1" applyAlignment="1">
      <alignment horizontal="left" vertical="top" wrapText="1" indent="1"/>
    </xf>
    <xf numFmtId="3" fontId="15" fillId="0" borderId="0" xfId="0" applyNumberFormat="1" applyFont="1" applyBorder="1" applyAlignment="1">
      <alignment horizontal="left" vertical="top" wrapText="1" indent="1"/>
    </xf>
    <xf numFmtId="3" fontId="1" fillId="0" borderId="0" xfId="0" applyNumberFormat="1" applyFont="1" applyBorder="1" applyAlignment="1">
      <alignment horizontal="left" indent="1"/>
    </xf>
    <xf numFmtId="3" fontId="9" fillId="0" borderId="0" xfId="0" applyNumberFormat="1" applyFont="1" applyBorder="1" applyAlignment="1">
      <alignment horizontal="left" vertical="top" indent="1"/>
    </xf>
    <xf numFmtId="0" fontId="15" fillId="0" borderId="0" xfId="0" applyFont="1" applyBorder="1" applyAlignment="1">
      <alignment horizontal="left" vertical="top" wrapText="1" indent="1"/>
    </xf>
    <xf numFmtId="3" fontId="0" fillId="0" borderId="0" xfId="0" applyNumberFormat="1" applyBorder="1" applyAlignment="1">
      <alignment horizontal="left" vertical="top" wrapText="1" indent="1"/>
    </xf>
    <xf numFmtId="3" fontId="10" fillId="0" borderId="0" xfId="0" applyNumberFormat="1" applyFont="1" applyBorder="1" applyAlignment="1">
      <alignment horizontal="left" vertical="top" indent="1"/>
    </xf>
    <xf numFmtId="3" fontId="10" fillId="0" borderId="0" xfId="0" applyNumberFormat="1" applyFont="1" applyBorder="1" applyAlignment="1">
      <alignment horizontal="left" wrapText="1" indent="1"/>
    </xf>
    <xf numFmtId="0" fontId="0" fillId="0" borderId="0" xfId="0" applyBorder="1" applyAlignment="1">
      <alignment horizontal="left" vertical="top" indent="1"/>
    </xf>
    <xf numFmtId="3" fontId="9" fillId="0" borderId="3" xfId="0" applyNumberFormat="1" applyFont="1" applyBorder="1" applyAlignment="1">
      <alignment horizontal="left" indent="1"/>
    </xf>
    <xf numFmtId="3" fontId="10" fillId="0" borderId="24" xfId="0" applyNumberFormat="1" applyFont="1" applyBorder="1" applyAlignment="1">
      <alignment horizontal="left" indent="1"/>
    </xf>
    <xf numFmtId="3" fontId="9" fillId="0" borderId="0" xfId="0" applyNumberFormat="1" applyFont="1" applyBorder="1" applyAlignment="1">
      <alignment horizontal="left" vertical="top" wrapText="1" indent="1"/>
    </xf>
    <xf numFmtId="0" fontId="0" fillId="0" borderId="0" xfId="0" applyBorder="1" applyAlignment="1">
      <alignment horizontal="left" wrapText="1" indent="1"/>
    </xf>
    <xf numFmtId="3" fontId="0" fillId="0" borderId="0" xfId="0" applyNumberFormat="1" applyBorder="1" applyAlignment="1">
      <alignment horizontal="left" wrapText="1" indent="1"/>
    </xf>
    <xf numFmtId="3" fontId="8" fillId="0" borderId="3" xfId="0" applyNumberFormat="1" applyFont="1" applyBorder="1" applyAlignment="1">
      <alignment horizontal="left" vertical="center" wrapText="1" indent="1"/>
    </xf>
    <xf numFmtId="3" fontId="0" fillId="0" borderId="17" xfId="0" applyNumberFormat="1" applyBorder="1" applyAlignment="1">
      <alignment horizontal="left" indent="1"/>
    </xf>
    <xf numFmtId="3" fontId="5" fillId="3" borderId="38" xfId="1" applyNumberFormat="1" applyFont="1" applyFill="1" applyBorder="1" applyAlignment="1">
      <alignment horizontal="center" wrapText="1"/>
    </xf>
    <xf numFmtId="3" fontId="5" fillId="3" borderId="39" xfId="1" applyNumberFormat="1" applyFont="1" applyFill="1" applyBorder="1" applyAlignment="1">
      <alignment horizontal="left" wrapText="1"/>
    </xf>
    <xf numFmtId="3" fontId="7" fillId="0" borderId="11" xfId="1" applyNumberFormat="1" applyFont="1" applyBorder="1"/>
    <xf numFmtId="3" fontId="8" fillId="0" borderId="11" xfId="1" applyNumberFormat="1" applyFont="1" applyBorder="1"/>
    <xf numFmtId="3" fontId="7" fillId="0" borderId="21" xfId="1" applyNumberFormat="1" applyFont="1" applyBorder="1" applyAlignment="1">
      <alignment horizontal="center"/>
    </xf>
    <xf numFmtId="3" fontId="0" fillId="0" borderId="11" xfId="0" applyNumberFormat="1" applyBorder="1"/>
    <xf numFmtId="3" fontId="2" fillId="0" borderId="21" xfId="1" applyNumberFormat="1" applyBorder="1"/>
    <xf numFmtId="3" fontId="19" fillId="0" borderId="11" xfId="1" applyNumberFormat="1" applyFont="1" applyBorder="1" applyAlignment="1">
      <alignment horizontal="center"/>
    </xf>
    <xf numFmtId="3" fontId="2" fillId="0" borderId="40" xfId="1" applyNumberFormat="1" applyBorder="1"/>
    <xf numFmtId="3" fontId="20" fillId="0" borderId="0" xfId="0" applyNumberFormat="1" applyFont="1" applyBorder="1"/>
    <xf numFmtId="3" fontId="8" fillId="0" borderId="17" xfId="0" applyNumberFormat="1" applyFont="1" applyBorder="1"/>
    <xf numFmtId="0" fontId="10" fillId="0" borderId="0" xfId="0" applyFont="1" applyAlignment="1"/>
    <xf numFmtId="0" fontId="10" fillId="0" borderId="3" xfId="0" applyFont="1" applyBorder="1" applyAlignment="1">
      <alignment horizontal="left"/>
    </xf>
    <xf numFmtId="3" fontId="16" fillId="0" borderId="0" xfId="1" applyNumberFormat="1" applyFont="1" applyBorder="1"/>
    <xf numFmtId="3" fontId="2" fillId="0" borderId="0" xfId="1" applyNumberFormat="1" applyBorder="1"/>
    <xf numFmtId="3" fontId="15" fillId="0" borderId="0" xfId="0" applyNumberFormat="1" applyFont="1" applyBorder="1"/>
    <xf numFmtId="188" fontId="8" fillId="0" borderId="0" xfId="1" applyNumberFormat="1" applyFont="1" applyBorder="1"/>
    <xf numFmtId="188" fontId="8" fillId="0" borderId="29" xfId="1" applyNumberFormat="1" applyFont="1" applyBorder="1"/>
    <xf numFmtId="3" fontId="10" fillId="0" borderId="0" xfId="0" applyNumberFormat="1" applyFont="1" applyBorder="1" applyAlignment="1">
      <alignment horizontal="left" vertical="top" wrapText="1"/>
    </xf>
    <xf numFmtId="0" fontId="0" fillId="0" borderId="0" xfId="0" applyAlignment="1">
      <alignment wrapText="1"/>
    </xf>
    <xf numFmtId="3" fontId="10" fillId="0" borderId="0" xfId="0" applyNumberFormat="1" applyFont="1" applyBorder="1" applyAlignment="1">
      <alignment horizontal="left" vertical="top" wrapText="1" indent="1"/>
    </xf>
    <xf numFmtId="0" fontId="0" fillId="0" borderId="0" xfId="0" applyBorder="1" applyAlignment="1">
      <alignment horizontal="left" wrapText="1" indent="1"/>
    </xf>
    <xf numFmtId="0" fontId="0" fillId="0" borderId="0" xfId="0" applyBorder="1" applyAlignment="1">
      <alignment horizontal="left" vertical="top" wrapText="1" indent="1"/>
    </xf>
    <xf numFmtId="3" fontId="3" fillId="2" borderId="14" xfId="1" applyNumberFormat="1" applyFont="1" applyFill="1" applyBorder="1" applyAlignment="1">
      <alignment horizontal="center"/>
    </xf>
    <xf numFmtId="3" fontId="3" fillId="2" borderId="0" xfId="1" applyNumberFormat="1" applyFont="1" applyFill="1" applyBorder="1" applyAlignment="1">
      <alignment horizontal="center"/>
    </xf>
    <xf numFmtId="3" fontId="3" fillId="2" borderId="6" xfId="1" applyNumberFormat="1" applyFont="1" applyFill="1" applyBorder="1" applyAlignment="1">
      <alignment horizontal="center"/>
    </xf>
    <xf numFmtId="3" fontId="8" fillId="2" borderId="41" xfId="1" applyNumberFormat="1" applyFont="1" applyFill="1" applyBorder="1" applyAlignment="1">
      <alignment horizontal="center"/>
    </xf>
    <xf numFmtId="3" fontId="8" fillId="2" borderId="3" xfId="1" applyNumberFormat="1" applyFont="1" applyFill="1" applyBorder="1" applyAlignment="1">
      <alignment horizontal="center"/>
    </xf>
    <xf numFmtId="3" fontId="8" fillId="2" borderId="7" xfId="1" applyNumberFormat="1" applyFont="1" applyFill="1" applyBorder="1" applyAlignment="1">
      <alignment horizontal="center"/>
    </xf>
    <xf numFmtId="3" fontId="13" fillId="3" borderId="20" xfId="0" applyNumberFormat="1" applyFont="1" applyFill="1" applyBorder="1" applyAlignment="1">
      <alignment horizontal="center" wrapText="1"/>
    </xf>
    <xf numFmtId="3" fontId="11" fillId="3" borderId="20" xfId="0" applyNumberFormat="1" applyFont="1" applyFill="1" applyBorder="1" applyAlignment="1">
      <alignment horizontal="center" wrapText="1"/>
    </xf>
    <xf numFmtId="3" fontId="2" fillId="0" borderId="0" xfId="0" applyNumberFormat="1" applyFont="1" applyBorder="1" applyAlignment="1">
      <alignment horizontal="left" vertical="top" wrapText="1" indent="1"/>
    </xf>
    <xf numFmtId="3" fontId="0" fillId="0" borderId="0" xfId="0" applyNumberFormat="1" applyBorder="1" applyAlignment="1">
      <alignment horizontal="left" vertical="top" wrapText="1" indent="1"/>
    </xf>
  </cellXfs>
  <cellStyles count="2">
    <cellStyle name="Comma" xfId="1" builtinId="3"/>
    <cellStyle name="Normal" xfId="0" builtinId="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68"/>
  <sheetViews>
    <sheetView tabSelected="1" zoomScaleNormal="100" zoomScaleSheetLayoutView="75" workbookViewId="0">
      <selection activeCell="E6" sqref="E6"/>
    </sheetView>
  </sheetViews>
  <sheetFormatPr defaultColWidth="16.54296875" defaultRowHeight="12.5" x14ac:dyDescent="0.25"/>
  <cols>
    <col min="1" max="1" width="13.453125" style="216" customWidth="1"/>
    <col min="2" max="2" width="97.54296875" style="39" customWidth="1"/>
    <col min="3" max="3" width="3.1796875" style="36" customWidth="1"/>
    <col min="4" max="4" width="2.7265625" style="5" customWidth="1"/>
    <col min="5" max="5" width="35.54296875" style="5" customWidth="1"/>
    <col min="6" max="6" width="11.81640625" style="24" customWidth="1"/>
    <col min="7" max="7" width="3.26953125" style="25" customWidth="1"/>
    <col min="8" max="8" width="17.54296875" style="23" customWidth="1"/>
    <col min="9" max="9" width="16.54296875" style="5" customWidth="1"/>
    <col min="10" max="10" width="28.453125" style="5" customWidth="1"/>
    <col min="11" max="11" width="9.26953125" style="5" customWidth="1"/>
    <col min="12" max="12" width="10" style="5" customWidth="1"/>
    <col min="13" max="16384" width="16.54296875" style="5"/>
  </cols>
  <sheetData>
    <row r="1" spans="1:9" s="112" customFormat="1" ht="18.5" thickBot="1" x14ac:dyDescent="0.45">
      <c r="A1" s="215"/>
      <c r="B1" s="110"/>
      <c r="C1" s="111"/>
      <c r="F1" s="113"/>
      <c r="G1" s="114"/>
      <c r="H1" s="109"/>
      <c r="I1" s="115" t="s">
        <v>165</v>
      </c>
    </row>
    <row r="2" spans="1:9" ht="20.5" x14ac:dyDescent="0.45">
      <c r="A2" s="64"/>
      <c r="B2" s="35"/>
      <c r="C2" s="35"/>
      <c r="D2" s="1"/>
      <c r="E2" s="1"/>
      <c r="F2" s="3"/>
      <c r="G2" s="4"/>
      <c r="H2" s="2"/>
      <c r="I2" s="57"/>
    </row>
    <row r="3" spans="1:9" ht="21" customHeight="1" x14ac:dyDescent="0.4">
      <c r="A3" s="225" t="s">
        <v>100</v>
      </c>
      <c r="B3" s="226"/>
      <c r="C3" s="226"/>
      <c r="D3" s="226"/>
      <c r="E3" s="226"/>
      <c r="F3" s="226"/>
      <c r="G3" s="226"/>
      <c r="H3" s="226"/>
      <c r="I3" s="227"/>
    </row>
    <row r="4" spans="1:9" ht="15.65" customHeight="1" x14ac:dyDescent="0.35">
      <c r="A4" s="65"/>
      <c r="B4" s="37"/>
      <c r="C4" s="37"/>
      <c r="D4" s="37"/>
      <c r="E4" s="37"/>
      <c r="F4" s="37"/>
      <c r="G4" s="37"/>
      <c r="H4" s="37"/>
      <c r="I4" s="38"/>
    </row>
    <row r="5" spans="1:9" ht="13.15" customHeight="1" x14ac:dyDescent="0.3">
      <c r="A5" s="228" t="s">
        <v>220</v>
      </c>
      <c r="B5" s="229"/>
      <c r="C5" s="229"/>
      <c r="D5" s="229"/>
      <c r="E5" s="229"/>
      <c r="F5" s="229"/>
      <c r="G5" s="229"/>
      <c r="H5" s="229"/>
      <c r="I5" s="230"/>
    </row>
    <row r="6" spans="1:9" s="6" customFormat="1" ht="45" customHeight="1" x14ac:dyDescent="0.35">
      <c r="A6" s="202" t="s">
        <v>101</v>
      </c>
      <c r="B6" s="182" t="s">
        <v>102</v>
      </c>
      <c r="C6" s="71"/>
      <c r="D6" s="72"/>
      <c r="E6" s="72" t="s">
        <v>295</v>
      </c>
      <c r="F6" s="73"/>
      <c r="G6" s="72"/>
      <c r="H6" s="74" t="s">
        <v>128</v>
      </c>
      <c r="I6" s="100" t="s">
        <v>318</v>
      </c>
    </row>
    <row r="7" spans="1:9" s="6" customFormat="1" ht="27.75" customHeight="1" thickBot="1" x14ac:dyDescent="0.4">
      <c r="A7" s="203"/>
      <c r="B7" s="183"/>
      <c r="C7" s="75"/>
      <c r="D7" s="76"/>
      <c r="E7" s="231"/>
      <c r="F7" s="232"/>
      <c r="G7" s="76"/>
      <c r="H7" s="154" t="s">
        <v>106</v>
      </c>
      <c r="I7" s="156" t="s">
        <v>218</v>
      </c>
    </row>
    <row r="8" spans="1:9" s="28" customFormat="1" ht="13.9" customHeight="1" thickTop="1" x14ac:dyDescent="0.2">
      <c r="A8" s="204"/>
      <c r="B8" s="184"/>
      <c r="C8" s="41"/>
      <c r="D8" s="40"/>
      <c r="E8" s="32" t="s">
        <v>219</v>
      </c>
      <c r="F8" s="79" t="s">
        <v>150</v>
      </c>
      <c r="G8" s="80"/>
      <c r="H8" s="81" t="s">
        <v>150</v>
      </c>
      <c r="I8" s="82" t="s">
        <v>150</v>
      </c>
    </row>
    <row r="9" spans="1:9" ht="13.9" customHeight="1" x14ac:dyDescent="0.25">
      <c r="A9" s="162"/>
      <c r="C9" s="42"/>
      <c r="D9" s="7"/>
      <c r="E9" s="32"/>
      <c r="F9" s="79"/>
      <c r="G9" s="9"/>
      <c r="H9" s="22"/>
      <c r="I9" s="30"/>
    </row>
    <row r="10" spans="1:9" s="14" customFormat="1" ht="13.9" customHeight="1" x14ac:dyDescent="0.3">
      <c r="A10" s="67" t="s">
        <v>134</v>
      </c>
      <c r="B10" s="96" t="s">
        <v>129</v>
      </c>
      <c r="C10" s="43"/>
      <c r="D10" s="10"/>
      <c r="E10" s="40" t="s">
        <v>123</v>
      </c>
      <c r="F10" s="11">
        <v>44351</v>
      </c>
      <c r="G10" s="12"/>
      <c r="H10" s="13">
        <f>F10-I10</f>
        <v>9681.8099999999977</v>
      </c>
      <c r="I10" s="29">
        <v>34669.19</v>
      </c>
    </row>
    <row r="11" spans="1:9" s="14" customFormat="1" ht="13.9" customHeight="1" x14ac:dyDescent="0.3">
      <c r="A11" s="67"/>
      <c r="B11" s="222" t="s">
        <v>226</v>
      </c>
      <c r="C11" s="44"/>
      <c r="D11" s="10"/>
      <c r="E11" s="7"/>
      <c r="F11" s="8"/>
      <c r="G11" s="12"/>
      <c r="H11" s="13"/>
      <c r="I11" s="29"/>
    </row>
    <row r="12" spans="1:9" s="14" customFormat="1" ht="13.9" customHeight="1" x14ac:dyDescent="0.3">
      <c r="A12" s="67"/>
      <c r="B12" s="222"/>
      <c r="C12" s="44"/>
      <c r="D12" s="19"/>
      <c r="E12" s="10"/>
      <c r="F12" s="11"/>
      <c r="G12" s="12"/>
      <c r="H12" s="13"/>
      <c r="I12" s="29"/>
    </row>
    <row r="13" spans="1:9" s="28" customFormat="1" ht="13.9" customHeight="1" x14ac:dyDescent="0.3">
      <c r="A13" s="158"/>
      <c r="B13" s="186"/>
      <c r="C13" s="105"/>
      <c r="D13" s="80"/>
      <c r="E13" s="10"/>
      <c r="F13" s="11"/>
      <c r="G13" s="9"/>
      <c r="H13" s="106"/>
      <c r="I13" s="107"/>
    </row>
    <row r="14" spans="1:9" s="14" customFormat="1" ht="13.9" customHeight="1" x14ac:dyDescent="0.3">
      <c r="A14" s="67"/>
      <c r="B14" s="187" t="s">
        <v>221</v>
      </c>
      <c r="C14" s="44"/>
      <c r="D14" s="19"/>
      <c r="E14" s="10"/>
      <c r="F14" s="11"/>
      <c r="G14" s="12"/>
      <c r="H14" s="13"/>
      <c r="I14" s="29"/>
    </row>
    <row r="15" spans="1:9" s="14" customFormat="1" ht="13.9" customHeight="1" x14ac:dyDescent="0.3">
      <c r="A15" s="67"/>
      <c r="B15" s="185" t="s">
        <v>112</v>
      </c>
      <c r="C15" s="44"/>
      <c r="D15" s="19"/>
      <c r="E15" s="10"/>
      <c r="F15" s="11"/>
      <c r="G15" s="12"/>
      <c r="H15" s="13"/>
      <c r="I15" s="29"/>
    </row>
    <row r="16" spans="1:9" s="14" customFormat="1" ht="13.9" customHeight="1" x14ac:dyDescent="0.3">
      <c r="A16" s="67"/>
      <c r="B16" s="185" t="s">
        <v>323</v>
      </c>
      <c r="C16" s="44"/>
      <c r="D16" s="19"/>
      <c r="E16" s="10"/>
      <c r="F16" s="11"/>
      <c r="G16" s="12"/>
      <c r="H16" s="13"/>
      <c r="I16" s="29"/>
    </row>
    <row r="17" spans="1:9" s="14" customFormat="1" ht="13.5" customHeight="1" x14ac:dyDescent="0.3">
      <c r="A17" s="87"/>
      <c r="B17" s="166"/>
      <c r="C17" s="46"/>
      <c r="D17" s="20"/>
      <c r="E17" s="15"/>
      <c r="F17" s="16"/>
      <c r="G17" s="17"/>
      <c r="H17" s="18"/>
      <c r="I17" s="31"/>
    </row>
    <row r="18" spans="1:9" s="14" customFormat="1" ht="13.9" customHeight="1" x14ac:dyDescent="0.3">
      <c r="A18" s="67"/>
      <c r="B18" s="163"/>
      <c r="C18" s="45"/>
      <c r="D18" s="19"/>
      <c r="E18" s="10"/>
      <c r="F18" s="11"/>
      <c r="G18" s="21"/>
      <c r="H18" s="13"/>
      <c r="I18" s="29"/>
    </row>
    <row r="19" spans="1:9" s="14" customFormat="1" ht="13.9" customHeight="1" x14ac:dyDescent="0.3">
      <c r="A19" s="67" t="s">
        <v>163</v>
      </c>
      <c r="B19" s="188" t="s">
        <v>299</v>
      </c>
      <c r="C19" s="47"/>
      <c r="D19" s="19"/>
      <c r="E19" s="40" t="s">
        <v>123</v>
      </c>
      <c r="F19" s="14">
        <v>313345</v>
      </c>
      <c r="G19" s="12"/>
      <c r="H19" s="13">
        <f>F19-I19</f>
        <v>26162.190000000002</v>
      </c>
      <c r="I19" s="29">
        <f>128310.72+158872.09</f>
        <v>287182.81</v>
      </c>
    </row>
    <row r="20" spans="1:9" s="14" customFormat="1" ht="13.9" customHeight="1" x14ac:dyDescent="0.3">
      <c r="A20" s="67" t="s">
        <v>164</v>
      </c>
      <c r="B20" s="189" t="s">
        <v>289</v>
      </c>
      <c r="C20" s="44"/>
      <c r="D20" s="19"/>
      <c r="G20" s="12"/>
      <c r="H20" s="26"/>
      <c r="I20" s="34"/>
    </row>
    <row r="21" spans="1:9" s="14" customFormat="1" ht="13.9" customHeight="1" x14ac:dyDescent="0.3">
      <c r="A21" s="67"/>
      <c r="B21" s="222" t="s">
        <v>114</v>
      </c>
      <c r="C21" s="44"/>
      <c r="D21" s="19"/>
      <c r="G21" s="12"/>
      <c r="H21" s="13"/>
      <c r="I21" s="29"/>
    </row>
    <row r="22" spans="1:9" s="14" customFormat="1" ht="13.9" customHeight="1" x14ac:dyDescent="0.3">
      <c r="A22" s="67"/>
      <c r="B22" s="222"/>
      <c r="C22" s="44"/>
      <c r="D22" s="19"/>
      <c r="E22" s="7"/>
      <c r="F22" s="33"/>
      <c r="G22" s="12"/>
      <c r="H22" s="13"/>
      <c r="I22" s="29"/>
    </row>
    <row r="23" spans="1:9" s="14" customFormat="1" ht="13.9" customHeight="1" x14ac:dyDescent="0.3">
      <c r="A23" s="67"/>
      <c r="B23" s="222"/>
      <c r="C23" s="44"/>
      <c r="D23" s="55"/>
      <c r="E23" s="7"/>
      <c r="F23" s="11"/>
      <c r="G23" s="12"/>
      <c r="H23" s="13"/>
      <c r="I23" s="29"/>
    </row>
    <row r="24" spans="1:9" s="14" customFormat="1" ht="13.9" customHeight="1" x14ac:dyDescent="0.3">
      <c r="A24" s="67"/>
      <c r="B24" s="222"/>
      <c r="C24" s="44"/>
      <c r="D24" s="19"/>
      <c r="G24" s="12"/>
      <c r="H24" s="26"/>
      <c r="I24" s="34"/>
    </row>
    <row r="25" spans="1:9" s="14" customFormat="1" ht="13.9" customHeight="1" x14ac:dyDescent="0.3">
      <c r="A25" s="67"/>
      <c r="B25" s="222"/>
      <c r="C25" s="44"/>
      <c r="D25" s="19"/>
      <c r="E25" s="10"/>
      <c r="F25" s="11"/>
      <c r="G25" s="12"/>
      <c r="H25" s="13"/>
      <c r="I25" s="29"/>
    </row>
    <row r="26" spans="1:9" s="10" customFormat="1" ht="13.5" customHeight="1" x14ac:dyDescent="0.3">
      <c r="A26" s="67"/>
      <c r="B26" s="185" t="s">
        <v>113</v>
      </c>
      <c r="C26" s="44"/>
      <c r="D26" s="19"/>
      <c r="F26" s="11"/>
      <c r="G26" s="12"/>
      <c r="H26" s="13"/>
      <c r="I26" s="29"/>
    </row>
    <row r="27" spans="1:9" s="10" customFormat="1" ht="13.5" customHeight="1" x14ac:dyDescent="0.3">
      <c r="A27" s="87"/>
      <c r="B27" s="159"/>
      <c r="C27" s="48"/>
      <c r="D27" s="20"/>
      <c r="E27" s="15"/>
      <c r="F27" s="16"/>
      <c r="G27" s="17"/>
      <c r="H27" s="18"/>
      <c r="I27" s="31"/>
    </row>
    <row r="28" spans="1:9" s="14" customFormat="1" ht="13.9" customHeight="1" x14ac:dyDescent="0.3">
      <c r="A28" s="67"/>
      <c r="B28" s="39"/>
      <c r="C28" s="44"/>
      <c r="D28" s="19"/>
      <c r="E28" s="10"/>
      <c r="F28" s="11"/>
      <c r="G28" s="12"/>
      <c r="H28" s="13"/>
      <c r="I28" s="29"/>
    </row>
    <row r="29" spans="1:9" s="14" customFormat="1" ht="13.9" customHeight="1" x14ac:dyDescent="0.3">
      <c r="A29" s="67" t="s">
        <v>187</v>
      </c>
      <c r="B29" s="39" t="s">
        <v>107</v>
      </c>
      <c r="C29" s="44"/>
      <c r="D29" s="19"/>
      <c r="E29" s="7" t="s">
        <v>4</v>
      </c>
      <c r="F29" s="14">
        <v>218751</v>
      </c>
      <c r="G29" s="12"/>
      <c r="H29" s="13">
        <f>F29-I29</f>
        <v>181030.85</v>
      </c>
      <c r="I29" s="29">
        <v>37720.15</v>
      </c>
    </row>
    <row r="30" spans="1:9" s="14" customFormat="1" ht="13.9" customHeight="1" x14ac:dyDescent="0.3">
      <c r="A30" s="67"/>
      <c r="B30" s="39" t="s">
        <v>108</v>
      </c>
      <c r="C30" s="44"/>
      <c r="D30" s="19"/>
      <c r="E30" s="7"/>
      <c r="G30" s="12"/>
      <c r="H30" s="13"/>
      <c r="I30" s="29"/>
    </row>
    <row r="31" spans="1:9" s="14" customFormat="1" ht="13.9" customHeight="1" x14ac:dyDescent="0.3">
      <c r="A31" s="87"/>
      <c r="B31" s="159"/>
      <c r="C31" s="48"/>
      <c r="D31" s="20"/>
      <c r="E31" s="15"/>
      <c r="F31" s="16"/>
      <c r="G31" s="17"/>
      <c r="H31" s="18"/>
      <c r="I31" s="31"/>
    </row>
    <row r="32" spans="1:9" s="14" customFormat="1" ht="13.9" customHeight="1" x14ac:dyDescent="0.3">
      <c r="A32" s="67"/>
      <c r="B32" s="185"/>
      <c r="C32" s="44"/>
      <c r="D32" s="19"/>
      <c r="E32" s="10"/>
      <c r="F32" s="11"/>
      <c r="G32" s="12"/>
      <c r="H32" s="13"/>
      <c r="I32" s="29"/>
    </row>
    <row r="33" spans="1:9" s="14" customFormat="1" ht="13.9" customHeight="1" x14ac:dyDescent="0.3">
      <c r="A33" s="67" t="s">
        <v>216</v>
      </c>
      <c r="B33" s="185" t="s">
        <v>109</v>
      </c>
      <c r="C33" s="44"/>
      <c r="D33" s="19"/>
      <c r="E33" s="10" t="s">
        <v>217</v>
      </c>
      <c r="F33" s="11">
        <v>290301</v>
      </c>
      <c r="G33" s="12"/>
      <c r="H33" s="13">
        <f>F33-I33</f>
        <v>26812.549999999988</v>
      </c>
      <c r="I33" s="29">
        <v>263488.45</v>
      </c>
    </row>
    <row r="34" spans="1:9" s="14" customFormat="1" ht="13.9" customHeight="1" x14ac:dyDescent="0.3">
      <c r="A34" s="67"/>
      <c r="B34" s="185" t="s">
        <v>110</v>
      </c>
      <c r="C34" s="44"/>
      <c r="D34" s="19"/>
      <c r="E34" s="10"/>
      <c r="F34" s="11"/>
      <c r="G34" s="12"/>
      <c r="H34" s="13"/>
      <c r="I34" s="29"/>
    </row>
    <row r="35" spans="1:9" s="14" customFormat="1" ht="13.9" customHeight="1" x14ac:dyDescent="0.3">
      <c r="A35" s="87"/>
      <c r="B35" s="159"/>
      <c r="C35" s="48"/>
      <c r="D35" s="20"/>
      <c r="E35" s="15"/>
      <c r="F35" s="16"/>
      <c r="G35" s="17"/>
      <c r="H35" s="18"/>
      <c r="I35" s="31"/>
    </row>
    <row r="36" spans="1:9" s="14" customFormat="1" ht="13.5" customHeight="1" x14ac:dyDescent="0.3">
      <c r="A36" s="67"/>
      <c r="B36" s="185"/>
      <c r="C36" s="44"/>
      <c r="D36" s="19"/>
      <c r="E36" s="10"/>
      <c r="F36" s="11"/>
      <c r="G36" s="12"/>
      <c r="H36" s="13"/>
      <c r="I36" s="29"/>
    </row>
    <row r="37" spans="1:9" s="14" customFormat="1" ht="13.5" customHeight="1" x14ac:dyDescent="0.3">
      <c r="A37" s="67" t="s">
        <v>5</v>
      </c>
      <c r="B37" s="96" t="s">
        <v>6</v>
      </c>
      <c r="C37" s="44"/>
      <c r="D37" s="19"/>
      <c r="E37" s="60" t="s">
        <v>7</v>
      </c>
      <c r="F37" s="11">
        <v>11426.75</v>
      </c>
      <c r="G37" s="12"/>
      <c r="H37" s="13">
        <f>F37-I37</f>
        <v>7525.43</v>
      </c>
      <c r="I37" s="52">
        <v>3901.32</v>
      </c>
    </row>
    <row r="38" spans="1:9" s="14" customFormat="1" ht="13.5" customHeight="1" x14ac:dyDescent="0.3">
      <c r="A38" s="67"/>
      <c r="B38" s="163" t="s">
        <v>8</v>
      </c>
      <c r="C38" s="44"/>
      <c r="D38" s="19"/>
      <c r="E38" s="60"/>
      <c r="F38" s="11"/>
      <c r="G38" s="12"/>
      <c r="H38" s="13"/>
      <c r="I38" s="85"/>
    </row>
    <row r="39" spans="1:9" s="14" customFormat="1" ht="13.5" customHeight="1" x14ac:dyDescent="0.3">
      <c r="A39" s="67"/>
      <c r="B39" s="163" t="s">
        <v>34</v>
      </c>
      <c r="C39" s="44"/>
      <c r="D39" s="19"/>
      <c r="E39" s="60"/>
      <c r="F39" s="11"/>
      <c r="G39" s="12"/>
      <c r="H39" s="13"/>
      <c r="I39" s="85"/>
    </row>
    <row r="40" spans="1:9" s="14" customFormat="1" ht="13.5" customHeight="1" x14ac:dyDescent="0.3">
      <c r="A40" s="67"/>
      <c r="B40" s="163" t="s">
        <v>111</v>
      </c>
      <c r="C40" s="44"/>
      <c r="D40" s="19"/>
      <c r="E40" s="60"/>
      <c r="F40" s="11"/>
      <c r="G40" s="12"/>
      <c r="H40" s="13"/>
      <c r="I40" s="85"/>
    </row>
    <row r="41" spans="1:9" s="14" customFormat="1" ht="13.5" customHeight="1" x14ac:dyDescent="0.3">
      <c r="A41" s="87"/>
      <c r="B41" s="166"/>
      <c r="C41" s="48"/>
      <c r="D41" s="20"/>
      <c r="E41" s="116"/>
      <c r="F41" s="16"/>
      <c r="G41" s="17"/>
      <c r="H41" s="18"/>
      <c r="I41" s="131"/>
    </row>
    <row r="42" spans="1:9" s="14" customFormat="1" ht="13.9" customHeight="1" x14ac:dyDescent="0.3">
      <c r="A42" s="67"/>
      <c r="B42" s="188"/>
      <c r="C42" s="47"/>
      <c r="D42" s="19"/>
      <c r="E42" s="10"/>
      <c r="F42" s="11"/>
      <c r="G42" s="12"/>
      <c r="H42" s="13"/>
      <c r="I42" s="29"/>
    </row>
    <row r="43" spans="1:9" s="14" customFormat="1" ht="13.9" customHeight="1" x14ac:dyDescent="0.3">
      <c r="A43" s="67" t="s">
        <v>135</v>
      </c>
      <c r="B43" s="188" t="s">
        <v>103</v>
      </c>
      <c r="C43" s="47"/>
      <c r="D43" s="19"/>
      <c r="E43" s="40" t="s">
        <v>123</v>
      </c>
      <c r="F43" s="11">
        <v>17285.36</v>
      </c>
      <c r="G43" s="12"/>
      <c r="H43" s="13">
        <f>F43-I43</f>
        <v>10000.01</v>
      </c>
      <c r="I43" s="29">
        <v>7285.35</v>
      </c>
    </row>
    <row r="44" spans="1:9" s="14" customFormat="1" ht="13.9" customHeight="1" x14ac:dyDescent="0.3">
      <c r="A44" s="53"/>
      <c r="B44" s="222" t="s">
        <v>309</v>
      </c>
      <c r="C44" s="47"/>
      <c r="D44" s="19"/>
      <c r="E44" s="10"/>
      <c r="F44" s="11"/>
      <c r="G44" s="12"/>
      <c r="H44" s="13"/>
      <c r="I44" s="29"/>
    </row>
    <row r="45" spans="1:9" s="14" customFormat="1" ht="13.9" customHeight="1" x14ac:dyDescent="0.3">
      <c r="A45" s="67"/>
      <c r="B45" s="224"/>
      <c r="C45" s="44"/>
      <c r="D45" s="19"/>
      <c r="E45" s="7"/>
      <c r="F45" s="11"/>
      <c r="G45" s="12"/>
      <c r="H45" s="26"/>
      <c r="I45" s="34"/>
    </row>
    <row r="46" spans="1:9" s="14" customFormat="1" ht="13.9" customHeight="1" x14ac:dyDescent="0.3">
      <c r="A46" s="67"/>
      <c r="B46" s="224"/>
      <c r="C46" s="66"/>
      <c r="D46" s="19"/>
      <c r="E46" s="10"/>
      <c r="F46" s="11"/>
      <c r="G46" s="12"/>
      <c r="H46" s="13"/>
      <c r="I46" s="29"/>
    </row>
    <row r="47" spans="1:9" s="14" customFormat="1" ht="13.9" customHeight="1" x14ac:dyDescent="0.3">
      <c r="A47" s="67"/>
      <c r="B47" s="224"/>
      <c r="C47" s="66"/>
      <c r="D47" s="19"/>
      <c r="E47" s="10"/>
      <c r="F47" s="11"/>
      <c r="G47" s="12"/>
      <c r="H47" s="13"/>
      <c r="I47" s="29"/>
    </row>
    <row r="48" spans="1:9" s="14" customFormat="1" ht="13.9" customHeight="1" x14ac:dyDescent="0.3">
      <c r="A48" s="87"/>
      <c r="B48" s="166"/>
      <c r="C48" s="46"/>
      <c r="D48" s="20"/>
      <c r="E48" s="15"/>
      <c r="F48" s="16"/>
      <c r="G48" s="17"/>
      <c r="H48" s="18"/>
      <c r="I48" s="31"/>
    </row>
    <row r="49" spans="1:11" s="14" customFormat="1" ht="13.9" customHeight="1" x14ac:dyDescent="0.3">
      <c r="A49" s="67"/>
      <c r="B49" s="163"/>
      <c r="C49" s="45"/>
      <c r="D49" s="19"/>
      <c r="E49" s="10"/>
      <c r="F49" s="11"/>
      <c r="G49" s="12"/>
      <c r="H49" s="13"/>
      <c r="I49" s="29"/>
    </row>
    <row r="50" spans="1:11" s="14" customFormat="1" ht="13.9" customHeight="1" x14ac:dyDescent="0.3">
      <c r="A50" s="67" t="s">
        <v>136</v>
      </c>
      <c r="B50" s="188" t="s">
        <v>104</v>
      </c>
      <c r="C50" s="47"/>
      <c r="D50" s="19"/>
      <c r="E50" s="40" t="s">
        <v>123</v>
      </c>
      <c r="F50" s="14">
        <v>9521.89</v>
      </c>
      <c r="G50" s="12"/>
      <c r="H50" s="13">
        <f>F50+F52-I50</f>
        <v>13897.529999999999</v>
      </c>
      <c r="I50" s="29">
        <v>2955.55</v>
      </c>
      <c r="J50" s="117"/>
    </row>
    <row r="51" spans="1:11" s="14" customFormat="1" ht="13.9" customHeight="1" x14ac:dyDescent="0.3">
      <c r="A51" s="67"/>
      <c r="B51" s="222" t="s">
        <v>25</v>
      </c>
      <c r="C51" s="44"/>
      <c r="D51" s="19"/>
      <c r="G51" s="12"/>
      <c r="H51" s="13"/>
      <c r="I51" s="29"/>
    </row>
    <row r="52" spans="1:11" s="14" customFormat="1" ht="13.9" customHeight="1" x14ac:dyDescent="0.3">
      <c r="A52" s="67"/>
      <c r="B52" s="224"/>
      <c r="C52" s="66"/>
      <c r="D52" s="19"/>
      <c r="E52" s="14" t="s">
        <v>49</v>
      </c>
      <c r="F52" s="11">
        <v>7331.19</v>
      </c>
      <c r="G52" s="12"/>
      <c r="H52" s="13"/>
      <c r="I52" s="29"/>
    </row>
    <row r="53" spans="1:11" s="14" customFormat="1" ht="13.9" customHeight="1" x14ac:dyDescent="0.3">
      <c r="A53" s="67"/>
      <c r="B53" s="224"/>
      <c r="C53" s="66"/>
      <c r="D53" s="19"/>
      <c r="G53" s="12"/>
      <c r="H53" s="13"/>
      <c r="I53" s="29"/>
    </row>
    <row r="54" spans="1:11" s="14" customFormat="1" ht="13.9" customHeight="1" x14ac:dyDescent="0.3">
      <c r="A54" s="67"/>
      <c r="B54" s="224"/>
      <c r="C54" s="66"/>
      <c r="D54" s="19"/>
      <c r="F54" s="11"/>
      <c r="G54" s="12"/>
      <c r="H54" s="13"/>
      <c r="I54" s="29"/>
    </row>
    <row r="55" spans="1:11" s="14" customFormat="1" ht="13.9" customHeight="1" x14ac:dyDescent="0.3">
      <c r="A55" s="67"/>
      <c r="B55" s="190" t="s">
        <v>319</v>
      </c>
      <c r="C55" s="66"/>
      <c r="D55" s="19"/>
      <c r="F55" s="11"/>
      <c r="G55" s="12"/>
      <c r="H55" s="13"/>
      <c r="I55" s="29"/>
    </row>
    <row r="56" spans="1:11" s="14" customFormat="1" ht="13.9" customHeight="1" x14ac:dyDescent="0.3">
      <c r="A56" s="67"/>
      <c r="B56" s="191" t="s">
        <v>10</v>
      </c>
      <c r="C56" s="66"/>
      <c r="D56" s="19"/>
      <c r="E56" s="10"/>
      <c r="F56" s="11"/>
      <c r="G56" s="12"/>
      <c r="H56" s="13"/>
      <c r="I56" s="29"/>
    </row>
    <row r="57" spans="1:11" s="14" customFormat="1" ht="13.9" customHeight="1" x14ac:dyDescent="0.3">
      <c r="A57" s="67"/>
      <c r="B57" s="191" t="s">
        <v>11</v>
      </c>
      <c r="C57" s="66"/>
      <c r="D57" s="19"/>
      <c r="E57" s="10"/>
      <c r="F57" s="11"/>
      <c r="G57" s="12"/>
      <c r="H57" s="13"/>
      <c r="I57" s="29"/>
    </row>
    <row r="58" spans="1:11" s="14" customFormat="1" ht="13.9" customHeight="1" x14ac:dyDescent="0.3">
      <c r="A58" s="67"/>
      <c r="B58" s="191" t="s">
        <v>12</v>
      </c>
      <c r="C58" s="66"/>
      <c r="D58" s="19"/>
      <c r="E58" s="10"/>
      <c r="F58" s="11"/>
      <c r="G58" s="12"/>
      <c r="H58" s="13"/>
      <c r="I58" s="29"/>
    </row>
    <row r="59" spans="1:11" s="14" customFormat="1" ht="13.9" customHeight="1" x14ac:dyDescent="0.3">
      <c r="A59" s="87"/>
      <c r="B59" s="166"/>
      <c r="C59" s="46"/>
      <c r="D59" s="20"/>
      <c r="E59" s="15"/>
      <c r="F59" s="16"/>
      <c r="G59" s="17"/>
      <c r="H59" s="18"/>
      <c r="I59" s="31"/>
    </row>
    <row r="60" spans="1:11" s="14" customFormat="1" ht="13.9" customHeight="1" x14ac:dyDescent="0.3">
      <c r="A60" s="67"/>
      <c r="B60" s="163"/>
      <c r="C60" s="45"/>
      <c r="D60" s="19"/>
      <c r="E60" s="10"/>
      <c r="F60" s="11"/>
      <c r="G60" s="12"/>
      <c r="H60" s="13"/>
      <c r="I60" s="29"/>
    </row>
    <row r="61" spans="1:11" s="14" customFormat="1" ht="13.9" customHeight="1" x14ac:dyDescent="0.3">
      <c r="A61" s="67" t="s">
        <v>137</v>
      </c>
      <c r="B61" s="188" t="s">
        <v>320</v>
      </c>
      <c r="C61" s="47"/>
      <c r="D61" s="19"/>
      <c r="E61" s="40" t="s">
        <v>123</v>
      </c>
      <c r="F61" s="11">
        <v>8000</v>
      </c>
      <c r="G61" s="12"/>
      <c r="H61" s="13">
        <v>0</v>
      </c>
      <c r="I61" s="29">
        <v>8000</v>
      </c>
      <c r="K61" s="117"/>
    </row>
    <row r="62" spans="1:11" s="14" customFormat="1" ht="13.9" customHeight="1" x14ac:dyDescent="0.3">
      <c r="A62" s="67"/>
      <c r="B62" s="233" t="s">
        <v>127</v>
      </c>
      <c r="C62" s="49"/>
      <c r="D62" s="19"/>
      <c r="E62" s="10"/>
      <c r="F62" s="11"/>
      <c r="G62" s="12"/>
      <c r="H62" s="13"/>
      <c r="I62" s="52"/>
    </row>
    <row r="63" spans="1:11" s="14" customFormat="1" ht="13.9" customHeight="1" x14ac:dyDescent="0.3">
      <c r="A63" s="67"/>
      <c r="B63" s="234"/>
      <c r="C63" s="66"/>
      <c r="D63" s="19"/>
      <c r="E63" s="10" t="s">
        <v>169</v>
      </c>
      <c r="F63" s="11"/>
      <c r="G63" s="12"/>
      <c r="H63" s="13"/>
      <c r="I63" s="29"/>
    </row>
    <row r="64" spans="1:11" s="14" customFormat="1" ht="13.9" customHeight="1" x14ac:dyDescent="0.3">
      <c r="A64" s="67"/>
      <c r="B64" s="234"/>
      <c r="C64" s="66"/>
      <c r="D64" s="19"/>
      <c r="E64" s="10"/>
      <c r="F64" s="11"/>
      <c r="G64" s="12"/>
      <c r="H64" s="13"/>
      <c r="I64" s="29"/>
    </row>
    <row r="65" spans="1:9" s="14" customFormat="1" ht="13.9" customHeight="1" x14ac:dyDescent="0.3">
      <c r="A65" s="67"/>
      <c r="B65" s="234"/>
      <c r="C65" s="66"/>
      <c r="D65" s="19"/>
      <c r="E65" s="10"/>
      <c r="F65" s="11"/>
      <c r="G65" s="12"/>
      <c r="H65" s="13"/>
      <c r="I65" s="29"/>
    </row>
    <row r="66" spans="1:9" s="14" customFormat="1" ht="13.9" customHeight="1" x14ac:dyDescent="0.3">
      <c r="A66" s="205"/>
      <c r="B66" s="234"/>
      <c r="C66" s="66"/>
      <c r="D66" s="19"/>
      <c r="E66" s="10"/>
      <c r="F66" s="11"/>
      <c r="G66" s="12"/>
      <c r="H66" s="13"/>
      <c r="I66" s="29"/>
    </row>
    <row r="67" spans="1:9" s="14" customFormat="1" ht="13.9" customHeight="1" x14ac:dyDescent="0.3">
      <c r="A67" s="205"/>
      <c r="B67" s="191" t="s">
        <v>229</v>
      </c>
      <c r="C67" s="66"/>
      <c r="D67" s="19"/>
      <c r="E67" s="10"/>
      <c r="F67" s="11"/>
      <c r="G67" s="12"/>
      <c r="H67" s="13"/>
      <c r="I67" s="29"/>
    </row>
    <row r="68" spans="1:9" s="14" customFormat="1" ht="13.9" customHeight="1" x14ac:dyDescent="0.3">
      <c r="A68" s="87"/>
      <c r="B68" s="166"/>
      <c r="C68" s="46"/>
      <c r="D68" s="20"/>
      <c r="E68" s="15"/>
      <c r="F68" s="16"/>
      <c r="G68" s="17"/>
      <c r="H68" s="18"/>
      <c r="I68" s="31"/>
    </row>
    <row r="69" spans="1:9" s="14" customFormat="1" ht="13.9" customHeight="1" x14ac:dyDescent="0.3">
      <c r="A69" s="67"/>
      <c r="B69" s="163"/>
      <c r="C69" s="45"/>
      <c r="D69" s="19"/>
      <c r="E69" s="10"/>
      <c r="F69" s="11"/>
      <c r="G69" s="12"/>
      <c r="H69" s="13"/>
      <c r="I69" s="29"/>
    </row>
    <row r="70" spans="1:9" s="14" customFormat="1" ht="13.9" customHeight="1" x14ac:dyDescent="0.3">
      <c r="A70" s="67" t="s">
        <v>138</v>
      </c>
      <c r="B70" s="188" t="s">
        <v>105</v>
      </c>
      <c r="C70" s="47"/>
      <c r="D70" s="19"/>
      <c r="E70" s="40" t="s">
        <v>123</v>
      </c>
      <c r="F70" s="14">
        <v>-65.08</v>
      </c>
      <c r="G70" s="12"/>
      <c r="H70" s="13">
        <v>50000</v>
      </c>
      <c r="I70" s="29">
        <v>55099.92</v>
      </c>
    </row>
    <row r="71" spans="1:9" s="14" customFormat="1" ht="13.9" customHeight="1" x14ac:dyDescent="0.3">
      <c r="A71" s="67"/>
      <c r="B71" s="192" t="s">
        <v>173</v>
      </c>
      <c r="C71" s="44"/>
      <c r="D71" s="19"/>
      <c r="E71" s="10"/>
      <c r="F71" s="11"/>
      <c r="G71" s="12"/>
      <c r="H71" s="13"/>
      <c r="I71" s="29"/>
    </row>
    <row r="72" spans="1:9" s="14" customFormat="1" ht="13.9" customHeight="1" x14ac:dyDescent="0.3">
      <c r="A72" s="67"/>
      <c r="B72" s="192" t="s">
        <v>174</v>
      </c>
      <c r="C72" s="44"/>
      <c r="D72" s="58"/>
      <c r="E72" s="27" t="s">
        <v>194</v>
      </c>
      <c r="F72" s="14">
        <v>105165</v>
      </c>
      <c r="G72" s="19"/>
      <c r="H72" s="13"/>
      <c r="I72" s="29"/>
    </row>
    <row r="73" spans="1:9" s="14" customFormat="1" ht="13.5" customHeight="1" x14ac:dyDescent="0.3">
      <c r="A73" s="67"/>
      <c r="B73" s="152" t="s">
        <v>175</v>
      </c>
      <c r="C73" s="44"/>
      <c r="D73" s="19"/>
      <c r="E73" s="27"/>
      <c r="G73" s="19"/>
      <c r="H73" s="13"/>
      <c r="I73" s="29"/>
    </row>
    <row r="74" spans="1:9" s="14" customFormat="1" ht="13.9" customHeight="1" x14ac:dyDescent="0.3">
      <c r="A74" s="87"/>
      <c r="B74" s="166"/>
      <c r="C74" s="46"/>
      <c r="D74" s="20"/>
      <c r="E74" s="15"/>
      <c r="F74" s="16"/>
      <c r="G74" s="20"/>
      <c r="H74" s="18"/>
      <c r="I74" s="31"/>
    </row>
    <row r="75" spans="1:9" s="14" customFormat="1" ht="13.9" customHeight="1" x14ac:dyDescent="0.3">
      <c r="A75" s="67"/>
      <c r="B75" s="163"/>
      <c r="C75" s="45"/>
      <c r="D75" s="19"/>
      <c r="E75" s="10"/>
      <c r="F75" s="11"/>
      <c r="G75" s="19"/>
      <c r="H75" s="13"/>
      <c r="I75" s="29"/>
    </row>
    <row r="76" spans="1:9" s="14" customFormat="1" ht="13.9" customHeight="1" x14ac:dyDescent="0.3">
      <c r="A76" s="67" t="s">
        <v>50</v>
      </c>
      <c r="B76" s="188" t="s">
        <v>327</v>
      </c>
      <c r="C76" s="45"/>
      <c r="D76" s="19"/>
      <c r="E76" s="10" t="s">
        <v>168</v>
      </c>
      <c r="F76" s="11">
        <v>33786.6</v>
      </c>
      <c r="G76" s="19"/>
      <c r="H76" s="13">
        <v>33787</v>
      </c>
      <c r="I76" s="29">
        <v>0</v>
      </c>
    </row>
    <row r="77" spans="1:9" s="14" customFormat="1" ht="13.9" customHeight="1" x14ac:dyDescent="0.3">
      <c r="A77" s="67"/>
      <c r="B77" s="180" t="s">
        <v>324</v>
      </c>
      <c r="C77" s="45"/>
      <c r="D77" s="19"/>
      <c r="E77" s="10"/>
      <c r="F77" s="11"/>
      <c r="G77" s="19"/>
      <c r="H77" s="13"/>
      <c r="I77" s="29"/>
    </row>
    <row r="78" spans="1:9" s="14" customFormat="1" ht="13.9" customHeight="1" x14ac:dyDescent="0.3">
      <c r="A78" s="67"/>
      <c r="B78" s="180" t="s">
        <v>297</v>
      </c>
      <c r="C78" s="45"/>
      <c r="D78" s="19"/>
      <c r="E78" s="10"/>
      <c r="F78" s="11"/>
      <c r="G78" s="19"/>
      <c r="H78" s="13"/>
      <c r="I78" s="82" t="s">
        <v>167</v>
      </c>
    </row>
    <row r="79" spans="1:9" s="14" customFormat="1" ht="13.9" customHeight="1" x14ac:dyDescent="0.3">
      <c r="A79" s="67"/>
      <c r="B79" s="180" t="s">
        <v>325</v>
      </c>
      <c r="C79" s="45"/>
      <c r="D79" s="19"/>
      <c r="E79" s="10"/>
      <c r="F79" s="11"/>
      <c r="G79" s="19"/>
      <c r="H79" s="13"/>
      <c r="I79" s="29"/>
    </row>
    <row r="80" spans="1:9" s="14" customFormat="1" ht="13.9" customHeight="1" x14ac:dyDescent="0.3">
      <c r="A80" s="67"/>
      <c r="B80" s="180" t="s">
        <v>298</v>
      </c>
      <c r="C80" s="45"/>
      <c r="D80" s="19"/>
      <c r="E80" s="10"/>
      <c r="F80" s="11"/>
      <c r="G80" s="19"/>
      <c r="H80" s="13"/>
      <c r="I80" s="29"/>
    </row>
    <row r="81" spans="1:9" s="14" customFormat="1" ht="13.9" customHeight="1" x14ac:dyDescent="0.3">
      <c r="A81" s="67"/>
      <c r="B81" s="163" t="s">
        <v>326</v>
      </c>
      <c r="C81" s="45"/>
      <c r="D81" s="19"/>
      <c r="E81" s="10"/>
      <c r="F81" s="11"/>
      <c r="G81" s="19"/>
      <c r="H81" s="13"/>
      <c r="I81" s="29"/>
    </row>
    <row r="82" spans="1:9" s="14" customFormat="1" ht="13.9" customHeight="1" x14ac:dyDescent="0.3">
      <c r="A82" s="87"/>
      <c r="B82" s="166"/>
      <c r="C82" s="46"/>
      <c r="D82" s="20"/>
      <c r="E82" s="15"/>
      <c r="F82" s="16"/>
      <c r="G82" s="20"/>
      <c r="H82" s="18"/>
      <c r="I82" s="31"/>
    </row>
    <row r="83" spans="1:9" s="14" customFormat="1" ht="13.5" customHeight="1" x14ac:dyDescent="0.3">
      <c r="A83" s="67"/>
      <c r="B83" s="163"/>
      <c r="C83" s="45"/>
      <c r="D83" s="19"/>
      <c r="E83" s="10"/>
      <c r="F83" s="11"/>
      <c r="G83" s="12"/>
      <c r="H83" s="13"/>
      <c r="I83" s="29"/>
    </row>
    <row r="84" spans="1:9" s="14" customFormat="1" ht="13.9" customHeight="1" x14ac:dyDescent="0.3">
      <c r="A84" s="67" t="s">
        <v>317</v>
      </c>
      <c r="B84" s="188" t="s">
        <v>166</v>
      </c>
      <c r="C84" s="47"/>
      <c r="D84" s="19"/>
      <c r="E84" s="40" t="s">
        <v>123</v>
      </c>
      <c r="F84" s="11">
        <v>3175.72</v>
      </c>
      <c r="G84" s="12"/>
      <c r="H84" s="13">
        <v>3176</v>
      </c>
      <c r="I84" s="29">
        <v>0</v>
      </c>
    </row>
    <row r="85" spans="1:9" s="14" customFormat="1" ht="13.9" customHeight="1" x14ac:dyDescent="0.3">
      <c r="A85" s="67"/>
      <c r="B85" s="222" t="s">
        <v>157</v>
      </c>
      <c r="C85" s="44"/>
      <c r="D85" s="19"/>
      <c r="E85" s="10"/>
      <c r="F85" s="11"/>
      <c r="G85" s="12"/>
      <c r="H85" s="13"/>
      <c r="I85" s="29"/>
    </row>
    <row r="86" spans="1:9" s="14" customFormat="1" ht="13.9" customHeight="1" x14ac:dyDescent="0.3">
      <c r="A86" s="67"/>
      <c r="B86" s="222"/>
      <c r="C86" s="44"/>
      <c r="D86" s="19"/>
      <c r="E86" s="10"/>
      <c r="F86" s="11"/>
      <c r="G86" s="12"/>
      <c r="H86" s="13"/>
      <c r="I86" s="82" t="s">
        <v>167</v>
      </c>
    </row>
    <row r="87" spans="1:9" s="14" customFormat="1" ht="13.9" customHeight="1" x14ac:dyDescent="0.3">
      <c r="A87" s="67"/>
      <c r="B87" s="222"/>
      <c r="C87" s="44"/>
      <c r="D87" s="19"/>
      <c r="G87" s="12"/>
      <c r="H87" s="13"/>
      <c r="I87" s="29"/>
    </row>
    <row r="88" spans="1:9" s="14" customFormat="1" ht="13.9" customHeight="1" x14ac:dyDescent="0.3">
      <c r="A88" s="67"/>
      <c r="B88" s="222"/>
      <c r="C88" s="44"/>
      <c r="D88" s="19"/>
      <c r="G88" s="12"/>
      <c r="H88" s="13"/>
      <c r="I88" s="29"/>
    </row>
    <row r="89" spans="1:9" s="14" customFormat="1" ht="13.9" customHeight="1" x14ac:dyDescent="0.3">
      <c r="A89" s="67"/>
      <c r="B89" s="185" t="s">
        <v>234</v>
      </c>
      <c r="C89" s="44"/>
      <c r="D89" s="19"/>
      <c r="G89" s="12"/>
      <c r="H89" s="13"/>
      <c r="I89" s="29"/>
    </row>
    <row r="90" spans="1:9" s="14" customFormat="1" ht="13.9" customHeight="1" x14ac:dyDescent="0.3">
      <c r="A90" s="87"/>
      <c r="B90" s="166"/>
      <c r="C90" s="46"/>
      <c r="D90" s="20"/>
      <c r="E90" s="15"/>
      <c r="F90" s="16"/>
      <c r="G90" s="17"/>
      <c r="H90" s="18"/>
      <c r="I90" s="31"/>
    </row>
    <row r="91" spans="1:9" s="14" customFormat="1" ht="15.65" customHeight="1" x14ac:dyDescent="0.3">
      <c r="A91" s="67"/>
      <c r="B91" s="163"/>
      <c r="C91" s="45"/>
      <c r="D91" s="19"/>
      <c r="E91" s="10"/>
      <c r="F91" s="11"/>
      <c r="G91" s="12"/>
      <c r="H91" s="13"/>
      <c r="I91" s="29"/>
    </row>
    <row r="92" spans="1:9" s="14" customFormat="1" ht="15.65" customHeight="1" x14ac:dyDescent="0.3">
      <c r="A92" s="67" t="s">
        <v>139</v>
      </c>
      <c r="B92" s="96" t="s">
        <v>141</v>
      </c>
      <c r="C92" s="45"/>
      <c r="D92" s="19"/>
      <c r="E92" s="62" t="s">
        <v>45</v>
      </c>
      <c r="F92" s="11">
        <v>-186053.29</v>
      </c>
      <c r="G92" s="12"/>
      <c r="H92" s="26">
        <v>186053</v>
      </c>
      <c r="I92" s="29">
        <v>0</v>
      </c>
    </row>
    <row r="93" spans="1:9" s="14" customFormat="1" ht="15.65" customHeight="1" x14ac:dyDescent="0.3">
      <c r="A93" s="67" t="s">
        <v>140</v>
      </c>
      <c r="B93" s="222" t="s">
        <v>291</v>
      </c>
      <c r="C93" s="45"/>
      <c r="D93" s="19"/>
      <c r="E93" s="14" t="s">
        <v>235</v>
      </c>
      <c r="G93" s="12"/>
      <c r="H93" s="13"/>
      <c r="I93" s="29"/>
    </row>
    <row r="94" spans="1:9" s="14" customFormat="1" ht="15.65" customHeight="1" x14ac:dyDescent="0.3">
      <c r="A94" s="67"/>
      <c r="B94" s="222"/>
      <c r="C94" s="45"/>
      <c r="D94" s="19"/>
      <c r="G94" s="12"/>
      <c r="H94" s="13"/>
      <c r="I94" s="82" t="s">
        <v>167</v>
      </c>
    </row>
    <row r="95" spans="1:9" s="14" customFormat="1" ht="15.65" customHeight="1" x14ac:dyDescent="0.3">
      <c r="A95" s="67"/>
      <c r="B95" s="163" t="s">
        <v>188</v>
      </c>
      <c r="C95" s="45"/>
      <c r="D95" s="19"/>
      <c r="E95" s="10"/>
      <c r="F95" s="179"/>
      <c r="G95" s="12"/>
      <c r="H95" s="13"/>
      <c r="I95" s="29"/>
    </row>
    <row r="96" spans="1:9" s="14" customFormat="1" ht="15.65" customHeight="1" x14ac:dyDescent="0.3">
      <c r="A96" s="67"/>
      <c r="B96" s="163" t="s">
        <v>189</v>
      </c>
      <c r="C96" s="45"/>
      <c r="D96" s="19"/>
      <c r="E96" s="10"/>
      <c r="F96" s="11"/>
      <c r="G96" s="12"/>
      <c r="H96" s="13"/>
      <c r="I96" s="29"/>
    </row>
    <row r="97" spans="1:12" s="14" customFormat="1" ht="15.65" customHeight="1" x14ac:dyDescent="0.3">
      <c r="A97" s="67"/>
      <c r="B97" s="193" t="s">
        <v>190</v>
      </c>
      <c r="C97" s="45"/>
      <c r="D97" s="19"/>
      <c r="E97" s="10"/>
      <c r="F97" s="11"/>
      <c r="G97" s="12"/>
      <c r="H97" s="13"/>
      <c r="I97" s="29"/>
    </row>
    <row r="98" spans="1:12" s="14" customFormat="1" ht="15.65" customHeight="1" x14ac:dyDescent="0.3">
      <c r="A98" s="67"/>
      <c r="B98" s="193" t="s">
        <v>191</v>
      </c>
      <c r="C98" s="45"/>
      <c r="D98" s="19"/>
      <c r="E98" s="10"/>
      <c r="F98" s="11"/>
      <c r="G98" s="12"/>
      <c r="H98" s="13"/>
      <c r="I98" s="29"/>
      <c r="L98" s="157"/>
    </row>
    <row r="99" spans="1:12" s="14" customFormat="1" ht="15.65" customHeight="1" x14ac:dyDescent="0.3">
      <c r="A99" s="87"/>
      <c r="B99" s="166"/>
      <c r="C99" s="46"/>
      <c r="D99" s="20"/>
      <c r="E99" s="15"/>
      <c r="F99" s="16"/>
      <c r="G99" s="17"/>
      <c r="H99" s="18"/>
      <c r="I99" s="31"/>
    </row>
    <row r="100" spans="1:12" s="14" customFormat="1" ht="15.65" customHeight="1" x14ac:dyDescent="0.3">
      <c r="A100" s="67"/>
      <c r="B100" s="163"/>
      <c r="C100" s="45"/>
      <c r="D100" s="19"/>
      <c r="E100" s="10"/>
      <c r="F100" s="11"/>
      <c r="G100" s="12"/>
      <c r="H100" s="13"/>
      <c r="I100" s="29"/>
    </row>
    <row r="101" spans="1:12" s="14" customFormat="1" ht="15.65" customHeight="1" x14ac:dyDescent="0.3">
      <c r="A101" s="67" t="s">
        <v>139</v>
      </c>
      <c r="B101" s="96" t="s">
        <v>329</v>
      </c>
      <c r="C101" s="45"/>
      <c r="D101" s="19"/>
      <c r="E101" s="10" t="s">
        <v>115</v>
      </c>
      <c r="F101" s="11">
        <v>384650</v>
      </c>
      <c r="G101" s="12"/>
      <c r="H101" s="13">
        <f>F101-I101</f>
        <v>280909.33999999997</v>
      </c>
      <c r="I101" s="29">
        <v>103740.66</v>
      </c>
    </row>
    <row r="102" spans="1:12" s="14" customFormat="1" ht="15.65" customHeight="1" x14ac:dyDescent="0.3">
      <c r="A102" s="67" t="s">
        <v>328</v>
      </c>
      <c r="B102" s="163" t="s">
        <v>330</v>
      </c>
      <c r="C102" s="45"/>
      <c r="D102" s="19"/>
      <c r="E102" s="10"/>
      <c r="F102" s="11"/>
      <c r="G102" s="12"/>
      <c r="H102" s="13"/>
      <c r="I102" s="29"/>
    </row>
    <row r="103" spans="1:12" s="14" customFormat="1" ht="15.65" customHeight="1" x14ac:dyDescent="0.3">
      <c r="A103" s="67"/>
      <c r="B103" s="163" t="s">
        <v>332</v>
      </c>
      <c r="C103" s="45"/>
      <c r="D103" s="19"/>
      <c r="E103" s="10"/>
      <c r="F103" s="11"/>
      <c r="G103" s="12"/>
      <c r="H103" s="13"/>
      <c r="I103" s="29"/>
    </row>
    <row r="104" spans="1:12" s="14" customFormat="1" ht="15.65" customHeight="1" x14ac:dyDescent="0.3">
      <c r="A104" s="67"/>
      <c r="B104" s="163" t="s">
        <v>331</v>
      </c>
      <c r="C104" s="45"/>
      <c r="D104" s="19"/>
      <c r="E104" s="10"/>
      <c r="F104" s="11"/>
      <c r="G104" s="12"/>
      <c r="H104" s="13"/>
      <c r="I104" s="29"/>
    </row>
    <row r="105" spans="1:12" s="14" customFormat="1" ht="15.65" customHeight="1" x14ac:dyDescent="0.3">
      <c r="A105" s="67"/>
      <c r="B105" s="163" t="s">
        <v>195</v>
      </c>
      <c r="C105" s="45"/>
      <c r="D105" s="19"/>
      <c r="E105" s="10"/>
      <c r="F105" s="11"/>
      <c r="G105" s="12"/>
      <c r="H105" s="13"/>
      <c r="I105" s="29"/>
    </row>
    <row r="106" spans="1:12" s="14" customFormat="1" ht="15.65" customHeight="1" x14ac:dyDescent="0.3">
      <c r="A106" s="87"/>
      <c r="B106" s="166"/>
      <c r="C106" s="46"/>
      <c r="D106" s="20"/>
      <c r="E106" s="15"/>
      <c r="F106" s="16"/>
      <c r="G106" s="17"/>
      <c r="H106" s="18"/>
      <c r="I106" s="31"/>
    </row>
    <row r="107" spans="1:12" s="14" customFormat="1" ht="13.9" customHeight="1" x14ac:dyDescent="0.3">
      <c r="A107" s="67"/>
      <c r="B107" s="163"/>
      <c r="C107" s="45"/>
      <c r="D107" s="19"/>
      <c r="E107" s="10"/>
      <c r="F107" s="11"/>
      <c r="G107" s="12"/>
      <c r="H107" s="13"/>
      <c r="I107" s="29"/>
    </row>
    <row r="108" spans="1:12" s="14" customFormat="1" ht="13.9" customHeight="1" x14ac:dyDescent="0.3">
      <c r="A108" s="67" t="s">
        <v>142</v>
      </c>
      <c r="B108" s="188" t="s">
        <v>321</v>
      </c>
      <c r="C108" s="47"/>
      <c r="D108" s="19"/>
      <c r="E108" s="40" t="s">
        <v>123</v>
      </c>
      <c r="F108" s="14">
        <v>7900.01</v>
      </c>
      <c r="G108" s="12"/>
      <c r="H108" s="13">
        <v>0</v>
      </c>
      <c r="I108" s="29">
        <v>7900.01</v>
      </c>
    </row>
    <row r="109" spans="1:12" s="14" customFormat="1" ht="13.9" customHeight="1" x14ac:dyDescent="0.3">
      <c r="A109" s="67"/>
      <c r="B109" s="222" t="s">
        <v>196</v>
      </c>
      <c r="C109" s="44"/>
      <c r="D109" s="19"/>
      <c r="E109" s="10"/>
      <c r="F109" s="11"/>
      <c r="G109" s="12"/>
      <c r="H109" s="13"/>
      <c r="I109" s="29"/>
    </row>
    <row r="110" spans="1:12" s="14" customFormat="1" ht="13.9" customHeight="1" x14ac:dyDescent="0.3">
      <c r="A110" s="67"/>
      <c r="B110" s="222"/>
      <c r="C110" s="44"/>
      <c r="D110" s="19"/>
      <c r="E110" s="10"/>
      <c r="F110" s="11"/>
      <c r="G110" s="12"/>
      <c r="H110" s="13"/>
      <c r="I110" s="29"/>
    </row>
    <row r="111" spans="1:12" s="14" customFormat="1" ht="13.9" customHeight="1" x14ac:dyDescent="0.3">
      <c r="A111" s="67"/>
      <c r="B111" s="222"/>
      <c r="C111" s="44"/>
      <c r="D111" s="19"/>
      <c r="E111" s="10"/>
      <c r="F111" s="11"/>
      <c r="G111" s="12"/>
      <c r="H111" s="13"/>
      <c r="I111" s="29"/>
    </row>
    <row r="112" spans="1:12" s="14" customFormat="1" ht="13.9" customHeight="1" x14ac:dyDescent="0.3">
      <c r="A112" s="67"/>
      <c r="B112" s="222"/>
      <c r="C112" s="44"/>
      <c r="D112" s="19"/>
      <c r="E112" s="10"/>
      <c r="F112" s="11"/>
      <c r="G112" s="12"/>
      <c r="H112" s="13"/>
      <c r="I112" s="29"/>
    </row>
    <row r="113" spans="1:9" s="14" customFormat="1" ht="14" x14ac:dyDescent="0.3">
      <c r="A113" s="67"/>
      <c r="B113" s="222"/>
      <c r="C113" s="44"/>
      <c r="D113" s="19"/>
      <c r="E113" s="10"/>
      <c r="F113" s="11"/>
      <c r="G113" s="12"/>
      <c r="H113" s="13"/>
      <c r="I113" s="29"/>
    </row>
    <row r="114" spans="1:9" s="14" customFormat="1" ht="13.9" customHeight="1" x14ac:dyDescent="0.3">
      <c r="A114" s="87"/>
      <c r="B114" s="166"/>
      <c r="C114" s="46"/>
      <c r="D114" s="20"/>
      <c r="E114" s="15"/>
      <c r="F114" s="16"/>
      <c r="G114" s="17"/>
      <c r="H114" s="18"/>
      <c r="I114" s="31"/>
    </row>
    <row r="115" spans="1:9" s="14" customFormat="1" ht="13.9" customHeight="1" x14ac:dyDescent="0.3">
      <c r="A115" s="67"/>
      <c r="B115" s="163"/>
      <c r="C115" s="45"/>
      <c r="D115" s="19"/>
      <c r="E115" s="10"/>
      <c r="F115" s="11"/>
      <c r="G115" s="12"/>
      <c r="H115" s="13"/>
      <c r="I115" s="29"/>
    </row>
    <row r="116" spans="1:9" s="14" customFormat="1" ht="13.9" customHeight="1" x14ac:dyDescent="0.3">
      <c r="A116" s="67" t="s">
        <v>144</v>
      </c>
      <c r="B116" s="96" t="s">
        <v>143</v>
      </c>
      <c r="C116" s="43"/>
      <c r="D116" s="19"/>
      <c r="E116" s="40" t="s">
        <v>123</v>
      </c>
      <c r="F116" s="11">
        <v>10611.99</v>
      </c>
      <c r="G116" s="12"/>
      <c r="H116" s="13">
        <v>10612</v>
      </c>
      <c r="I116" s="29">
        <v>0</v>
      </c>
    </row>
    <row r="117" spans="1:9" s="14" customFormat="1" ht="13.9" customHeight="1" x14ac:dyDescent="0.3">
      <c r="A117" s="67"/>
      <c r="B117" s="185" t="s">
        <v>32</v>
      </c>
      <c r="C117" s="43"/>
      <c r="D117" s="19"/>
      <c r="E117" s="10"/>
      <c r="F117" s="11"/>
      <c r="G117" s="12"/>
      <c r="H117" s="13"/>
      <c r="I117" s="29"/>
    </row>
    <row r="118" spans="1:9" s="14" customFormat="1" ht="13.9" customHeight="1" x14ac:dyDescent="0.3">
      <c r="A118" s="67"/>
      <c r="B118" s="185" t="s">
        <v>230</v>
      </c>
      <c r="C118" s="43"/>
      <c r="D118" s="19"/>
      <c r="G118" s="12"/>
      <c r="H118" s="13"/>
      <c r="I118" s="82" t="s">
        <v>167</v>
      </c>
    </row>
    <row r="119" spans="1:9" s="14" customFormat="1" ht="13.9" customHeight="1" x14ac:dyDescent="0.3">
      <c r="A119" s="67"/>
      <c r="B119" s="185" t="s">
        <v>192</v>
      </c>
      <c r="C119" s="43"/>
      <c r="D119" s="19"/>
      <c r="G119" s="12"/>
      <c r="H119" s="13"/>
      <c r="I119" s="29"/>
    </row>
    <row r="120" spans="1:9" s="14" customFormat="1" ht="13.9" customHeight="1" x14ac:dyDescent="0.3">
      <c r="A120" s="67"/>
      <c r="B120" s="185" t="s">
        <v>193</v>
      </c>
      <c r="C120" s="43"/>
      <c r="D120" s="19"/>
      <c r="G120" s="12"/>
      <c r="H120" s="13"/>
      <c r="I120" s="29"/>
    </row>
    <row r="121" spans="1:9" s="14" customFormat="1" ht="13.9" customHeight="1" x14ac:dyDescent="0.3">
      <c r="A121" s="87"/>
      <c r="B121" s="166"/>
      <c r="C121" s="46"/>
      <c r="D121" s="20"/>
      <c r="E121" s="15"/>
      <c r="F121" s="16"/>
      <c r="G121" s="17"/>
      <c r="H121" s="18"/>
      <c r="I121" s="31"/>
    </row>
    <row r="122" spans="1:9" s="14" customFormat="1" ht="14.5" customHeight="1" x14ac:dyDescent="0.3">
      <c r="A122" s="67"/>
      <c r="B122" s="163"/>
      <c r="C122" s="45"/>
      <c r="D122" s="19"/>
      <c r="E122" s="10"/>
      <c r="F122" s="11"/>
      <c r="G122" s="12"/>
      <c r="H122" s="13"/>
      <c r="I122" s="29"/>
    </row>
    <row r="123" spans="1:9" s="14" customFormat="1" ht="13.9" customHeight="1" x14ac:dyDescent="0.3">
      <c r="A123" s="67" t="s">
        <v>145</v>
      </c>
      <c r="B123" s="188" t="s">
        <v>322</v>
      </c>
      <c r="C123" s="47"/>
      <c r="D123" s="19"/>
      <c r="E123" s="40" t="s">
        <v>123</v>
      </c>
      <c r="F123" s="14">
        <v>146144.01</v>
      </c>
      <c r="G123" s="12"/>
      <c r="H123" s="69">
        <v>50000</v>
      </c>
      <c r="I123" s="29">
        <v>96144</v>
      </c>
    </row>
    <row r="124" spans="1:9" s="14" customFormat="1" ht="13.9" customHeight="1" x14ac:dyDescent="0.3">
      <c r="A124" s="67"/>
      <c r="B124" s="192" t="s">
        <v>176</v>
      </c>
      <c r="C124" s="44"/>
      <c r="D124" s="19"/>
      <c r="E124" s="10"/>
      <c r="F124" s="11"/>
      <c r="G124" s="12"/>
      <c r="H124" s="13"/>
      <c r="I124" s="29"/>
    </row>
    <row r="125" spans="1:9" s="14" customFormat="1" ht="13.9" customHeight="1" x14ac:dyDescent="0.3">
      <c r="A125" s="67"/>
      <c r="B125" s="194" t="s">
        <v>177</v>
      </c>
      <c r="C125" s="44"/>
      <c r="D125" s="19"/>
      <c r="E125" s="10"/>
      <c r="F125" s="11"/>
      <c r="G125" s="12"/>
      <c r="H125" s="13"/>
      <c r="I125" s="29"/>
    </row>
    <row r="126" spans="1:9" s="14" customFormat="1" ht="13.9" customHeight="1" x14ac:dyDescent="0.3">
      <c r="A126" s="67"/>
      <c r="B126" s="152" t="s">
        <v>236</v>
      </c>
      <c r="C126" s="45"/>
      <c r="D126" s="19"/>
      <c r="G126" s="12"/>
      <c r="H126" s="13"/>
      <c r="I126" s="29"/>
    </row>
    <row r="127" spans="1:9" s="14" customFormat="1" ht="13.9" customHeight="1" x14ac:dyDescent="0.3">
      <c r="A127" s="87"/>
      <c r="B127" s="166"/>
      <c r="C127" s="46"/>
      <c r="D127" s="20"/>
      <c r="E127" s="15"/>
      <c r="F127" s="16"/>
      <c r="G127" s="17"/>
      <c r="H127" s="18"/>
      <c r="I127" s="31"/>
    </row>
    <row r="128" spans="1:9" s="14" customFormat="1" ht="13.9" customHeight="1" x14ac:dyDescent="0.3">
      <c r="A128" s="67"/>
      <c r="B128" s="163"/>
      <c r="C128" s="45"/>
      <c r="D128" s="19"/>
      <c r="E128" s="10"/>
      <c r="F128" s="11"/>
      <c r="G128" s="12"/>
      <c r="H128" s="13"/>
      <c r="I128" s="29"/>
    </row>
    <row r="129" spans="1:9" s="14" customFormat="1" ht="13.9" customHeight="1" x14ac:dyDescent="0.3">
      <c r="A129" s="67" t="s">
        <v>146</v>
      </c>
      <c r="B129" s="96" t="s">
        <v>348</v>
      </c>
      <c r="C129" s="43"/>
      <c r="D129" s="19"/>
      <c r="E129" s="40" t="s">
        <v>123</v>
      </c>
      <c r="F129" s="11">
        <v>6007.62</v>
      </c>
      <c r="G129" s="12"/>
      <c r="H129" s="13">
        <f>F129-I129</f>
        <v>5316.15</v>
      </c>
      <c r="I129" s="29">
        <v>691.47</v>
      </c>
    </row>
    <row r="130" spans="1:9" s="14" customFormat="1" ht="13.9" customHeight="1" x14ac:dyDescent="0.3">
      <c r="A130" s="67"/>
      <c r="B130" s="163" t="s">
        <v>132</v>
      </c>
      <c r="C130" s="45"/>
      <c r="D130" s="19"/>
      <c r="E130" s="10"/>
      <c r="F130" s="11"/>
      <c r="G130" s="12"/>
      <c r="H130" s="13"/>
      <c r="I130" s="29"/>
    </row>
    <row r="131" spans="1:9" s="14" customFormat="1" ht="13.9" customHeight="1" x14ac:dyDescent="0.3">
      <c r="A131" s="67"/>
      <c r="B131" s="163" t="s">
        <v>225</v>
      </c>
      <c r="C131" s="45"/>
      <c r="D131" s="19"/>
      <c r="G131" s="12"/>
      <c r="H131" s="13"/>
      <c r="I131" s="29"/>
    </row>
    <row r="132" spans="1:9" s="14" customFormat="1" ht="13.9" customHeight="1" x14ac:dyDescent="0.3">
      <c r="A132" s="67"/>
      <c r="B132" s="163" t="s">
        <v>233</v>
      </c>
      <c r="C132" s="45"/>
      <c r="D132" s="19"/>
      <c r="E132" s="10"/>
      <c r="F132" s="11"/>
      <c r="G132" s="12"/>
      <c r="H132" s="13"/>
      <c r="I132" s="29"/>
    </row>
    <row r="133" spans="1:9" s="14" customFormat="1" ht="13.9" customHeight="1" x14ac:dyDescent="0.3">
      <c r="A133" s="87"/>
      <c r="B133" s="166"/>
      <c r="C133" s="46"/>
      <c r="D133" s="20"/>
      <c r="E133" s="15"/>
      <c r="F133" s="16"/>
      <c r="G133" s="17"/>
      <c r="H133" s="18"/>
      <c r="I133" s="31"/>
    </row>
    <row r="134" spans="1:9" s="14" customFormat="1" ht="13.9" customHeight="1" x14ac:dyDescent="0.3">
      <c r="A134" s="67"/>
      <c r="B134" s="163"/>
      <c r="C134" s="45"/>
      <c r="D134" s="19"/>
      <c r="E134" s="10"/>
      <c r="F134" s="11"/>
      <c r="G134" s="12"/>
      <c r="H134" s="13"/>
      <c r="I134" s="29"/>
    </row>
    <row r="135" spans="1:9" s="14" customFormat="1" ht="13.9" customHeight="1" x14ac:dyDescent="0.3">
      <c r="A135" s="67" t="s">
        <v>147</v>
      </c>
      <c r="B135" s="96" t="s">
        <v>130</v>
      </c>
      <c r="C135" s="43"/>
      <c r="D135" s="19"/>
      <c r="E135" s="40" t="s">
        <v>123</v>
      </c>
      <c r="F135" s="11">
        <v>26976</v>
      </c>
      <c r="G135" s="12"/>
      <c r="H135" s="13">
        <v>29262.98</v>
      </c>
      <c r="I135" s="29">
        <v>-2287</v>
      </c>
    </row>
    <row r="136" spans="1:9" s="14" customFormat="1" ht="13.9" customHeight="1" x14ac:dyDescent="0.3">
      <c r="A136" s="67"/>
      <c r="B136" s="163" t="s">
        <v>346</v>
      </c>
      <c r="C136" s="43"/>
      <c r="D136" s="19"/>
      <c r="E136" s="10"/>
      <c r="F136" s="11"/>
      <c r="G136" s="12"/>
      <c r="H136" s="13"/>
      <c r="I136" s="29"/>
    </row>
    <row r="137" spans="1:9" s="14" customFormat="1" ht="13.9" customHeight="1" x14ac:dyDescent="0.3">
      <c r="A137" s="67"/>
      <c r="B137" s="163" t="s">
        <v>283</v>
      </c>
      <c r="C137" s="43"/>
      <c r="D137" s="19"/>
      <c r="E137" s="62"/>
      <c r="G137" s="12"/>
      <c r="H137" s="13"/>
      <c r="I137" s="29"/>
    </row>
    <row r="138" spans="1:9" s="14" customFormat="1" ht="13.9" customHeight="1" x14ac:dyDescent="0.3">
      <c r="A138" s="67"/>
      <c r="B138" s="163" t="s">
        <v>284</v>
      </c>
      <c r="C138" s="43"/>
      <c r="D138" s="19"/>
      <c r="G138" s="12"/>
      <c r="H138" s="13"/>
      <c r="I138" s="29"/>
    </row>
    <row r="139" spans="1:9" s="14" customFormat="1" ht="13.9" customHeight="1" x14ac:dyDescent="0.3">
      <c r="A139" s="67"/>
      <c r="B139" s="163" t="s">
        <v>285</v>
      </c>
      <c r="C139" s="43"/>
      <c r="D139" s="19"/>
      <c r="E139" s="10"/>
      <c r="F139" s="11"/>
      <c r="G139" s="12"/>
      <c r="H139" s="13"/>
      <c r="I139" s="29"/>
    </row>
    <row r="140" spans="1:9" s="14" customFormat="1" ht="13.9" customHeight="1" x14ac:dyDescent="0.3">
      <c r="A140" s="67"/>
      <c r="B140" s="163" t="s">
        <v>286</v>
      </c>
      <c r="C140" s="43"/>
      <c r="D140" s="19"/>
      <c r="E140" s="10"/>
      <c r="F140" s="11"/>
      <c r="G140" s="12"/>
      <c r="H140" s="13"/>
      <c r="I140" s="29"/>
    </row>
    <row r="141" spans="1:9" s="14" customFormat="1" ht="13.9" customHeight="1" x14ac:dyDescent="0.3">
      <c r="A141" s="67"/>
      <c r="B141" s="163" t="s">
        <v>288</v>
      </c>
      <c r="C141" s="43"/>
      <c r="D141" s="19"/>
      <c r="E141" s="10"/>
      <c r="F141" s="11"/>
      <c r="G141" s="12"/>
      <c r="H141" s="13"/>
      <c r="I141" s="29"/>
    </row>
    <row r="142" spans="1:9" s="14" customFormat="1" ht="13.9" customHeight="1" x14ac:dyDescent="0.3">
      <c r="A142" s="67"/>
      <c r="B142" s="163" t="s">
        <v>287</v>
      </c>
      <c r="C142" s="43"/>
      <c r="D142" s="19"/>
      <c r="E142" s="10"/>
      <c r="F142" s="11"/>
      <c r="G142" s="12"/>
      <c r="H142" s="13"/>
      <c r="I142" s="29"/>
    </row>
    <row r="143" spans="1:9" s="14" customFormat="1" ht="13.9" customHeight="1" x14ac:dyDescent="0.3">
      <c r="A143" s="67"/>
      <c r="B143" s="163" t="s">
        <v>237</v>
      </c>
      <c r="C143" s="43"/>
      <c r="D143" s="19"/>
      <c r="E143" s="10"/>
      <c r="F143" s="11"/>
      <c r="G143" s="12"/>
      <c r="H143" s="13"/>
      <c r="I143" s="29"/>
    </row>
    <row r="144" spans="1:9" s="14" customFormat="1" ht="13.9" customHeight="1" x14ac:dyDescent="0.3">
      <c r="A144" s="87"/>
      <c r="B144" s="195"/>
      <c r="C144" s="54"/>
      <c r="D144" s="20"/>
      <c r="E144" s="15"/>
      <c r="F144" s="16"/>
      <c r="G144" s="17"/>
      <c r="H144" s="18"/>
      <c r="I144" s="31"/>
    </row>
    <row r="145" spans="1:9" s="14" customFormat="1" ht="13.9" customHeight="1" x14ac:dyDescent="0.3">
      <c r="A145" s="67"/>
      <c r="B145" s="96"/>
      <c r="C145" s="43"/>
      <c r="D145" s="19"/>
      <c r="E145" s="10"/>
      <c r="F145" s="11"/>
      <c r="G145" s="12"/>
      <c r="H145" s="13"/>
      <c r="I145" s="29"/>
    </row>
    <row r="146" spans="1:9" s="14" customFormat="1" ht="13.9" customHeight="1" x14ac:dyDescent="0.3">
      <c r="A146" s="67" t="s">
        <v>148</v>
      </c>
      <c r="B146" s="96" t="s">
        <v>347</v>
      </c>
      <c r="C146" s="45"/>
      <c r="D146" s="19"/>
      <c r="E146" s="10" t="s">
        <v>169</v>
      </c>
      <c r="F146" s="11">
        <v>10742.4</v>
      </c>
      <c r="G146" s="12"/>
      <c r="H146" s="13">
        <f>F146-I146</f>
        <v>3084.7799999999997</v>
      </c>
      <c r="I146" s="29">
        <v>7657.62</v>
      </c>
    </row>
    <row r="147" spans="1:9" s="14" customFormat="1" ht="13.9" customHeight="1" x14ac:dyDescent="0.3">
      <c r="A147" s="67"/>
      <c r="B147" s="163" t="s">
        <v>232</v>
      </c>
      <c r="C147" s="45"/>
      <c r="D147" s="19"/>
      <c r="E147" s="10"/>
      <c r="F147" s="11"/>
      <c r="G147" s="12"/>
      <c r="H147" s="13"/>
      <c r="I147" s="29"/>
    </row>
    <row r="148" spans="1:9" s="14" customFormat="1" ht="13.9" customHeight="1" x14ac:dyDescent="0.3">
      <c r="A148" s="67"/>
      <c r="B148" s="163" t="s">
        <v>131</v>
      </c>
      <c r="C148" s="45"/>
      <c r="D148" s="19"/>
      <c r="G148" s="12"/>
      <c r="H148" s="13"/>
      <c r="I148" s="29"/>
    </row>
    <row r="149" spans="1:9" s="14" customFormat="1" ht="13.9" customHeight="1" x14ac:dyDescent="0.3">
      <c r="A149" s="67"/>
      <c r="B149" s="163" t="s">
        <v>227</v>
      </c>
      <c r="C149" s="45"/>
      <c r="D149" s="19"/>
      <c r="E149" s="10"/>
      <c r="F149" s="11"/>
      <c r="G149" s="12"/>
      <c r="H149" s="13"/>
      <c r="I149" s="29"/>
    </row>
    <row r="150" spans="1:9" s="14" customFormat="1" ht="13.9" customHeight="1" x14ac:dyDescent="0.3">
      <c r="A150" s="67"/>
      <c r="B150" s="163" t="s">
        <v>228</v>
      </c>
      <c r="C150" s="45"/>
      <c r="D150" s="19"/>
      <c r="E150" s="10"/>
      <c r="F150" s="11"/>
      <c r="G150" s="12"/>
      <c r="H150" s="13"/>
      <c r="I150" s="29"/>
    </row>
    <row r="151" spans="1:9" s="14" customFormat="1" ht="13.9" customHeight="1" x14ac:dyDescent="0.3">
      <c r="A151" s="67"/>
      <c r="B151" s="163" t="s">
        <v>222</v>
      </c>
      <c r="C151" s="45"/>
      <c r="D151" s="19"/>
      <c r="E151" s="10"/>
      <c r="F151" s="11"/>
      <c r="G151" s="12"/>
      <c r="H151" s="13"/>
      <c r="I151" s="29"/>
    </row>
    <row r="152" spans="1:9" s="14" customFormat="1" ht="13.9" customHeight="1" x14ac:dyDescent="0.3">
      <c r="A152" s="67"/>
      <c r="B152" s="163" t="s">
        <v>294</v>
      </c>
      <c r="C152" s="45"/>
      <c r="D152" s="19"/>
      <c r="E152" s="10"/>
      <c r="F152" s="11"/>
      <c r="G152" s="12"/>
      <c r="H152" s="13"/>
      <c r="I152" s="29"/>
    </row>
    <row r="153" spans="1:9" s="14" customFormat="1" ht="13.9" customHeight="1" x14ac:dyDescent="0.3">
      <c r="A153" s="67"/>
      <c r="B153" s="163" t="s">
        <v>238</v>
      </c>
      <c r="C153" s="45"/>
      <c r="D153" s="19"/>
      <c r="E153" s="10"/>
      <c r="F153" s="11"/>
      <c r="G153" s="12"/>
      <c r="H153" s="13"/>
      <c r="I153" s="29"/>
    </row>
    <row r="154" spans="1:9" s="14" customFormat="1" ht="13.9" customHeight="1" x14ac:dyDescent="0.3">
      <c r="A154" s="87"/>
      <c r="B154" s="166"/>
      <c r="C154" s="46"/>
      <c r="D154" s="20"/>
      <c r="E154" s="15"/>
      <c r="F154" s="16"/>
      <c r="G154" s="17"/>
      <c r="H154" s="18"/>
      <c r="I154" s="31"/>
    </row>
    <row r="155" spans="1:9" s="14" customFormat="1" ht="13.9" customHeight="1" x14ac:dyDescent="0.3">
      <c r="A155" s="67"/>
      <c r="B155" s="163"/>
      <c r="C155" s="45"/>
      <c r="D155" s="19"/>
      <c r="E155" s="10"/>
      <c r="F155" s="11"/>
      <c r="G155" s="12"/>
      <c r="H155" s="13"/>
      <c r="I155" s="29"/>
    </row>
    <row r="156" spans="1:9" s="14" customFormat="1" ht="13.9" customHeight="1" x14ac:dyDescent="0.3">
      <c r="A156" s="67" t="s">
        <v>149</v>
      </c>
      <c r="B156" s="96" t="s">
        <v>133</v>
      </c>
      <c r="C156" s="45"/>
      <c r="D156" s="19"/>
      <c r="E156" s="40" t="s">
        <v>123</v>
      </c>
      <c r="F156" s="11">
        <v>18267.3</v>
      </c>
      <c r="G156" s="12"/>
      <c r="H156" s="13">
        <v>18267</v>
      </c>
      <c r="I156" s="29">
        <v>0</v>
      </c>
    </row>
    <row r="157" spans="1:9" s="14" customFormat="1" ht="13.9" customHeight="1" x14ac:dyDescent="0.3">
      <c r="A157" s="67"/>
      <c r="B157" s="163"/>
      <c r="C157" s="45"/>
      <c r="D157" s="19"/>
      <c r="E157" s="10"/>
      <c r="F157" s="11"/>
      <c r="G157" s="12"/>
      <c r="H157" s="13"/>
      <c r="I157" s="29"/>
    </row>
    <row r="158" spans="1:9" s="14" customFormat="1" ht="13.9" customHeight="1" x14ac:dyDescent="0.3">
      <c r="A158" s="67"/>
      <c r="B158" s="163" t="s">
        <v>204</v>
      </c>
      <c r="C158" s="45"/>
      <c r="D158" s="19"/>
      <c r="E158" s="86" t="s">
        <v>46</v>
      </c>
      <c r="F158" s="11"/>
      <c r="G158" s="12"/>
      <c r="H158" s="13"/>
      <c r="I158" s="82" t="s">
        <v>167</v>
      </c>
    </row>
    <row r="159" spans="1:9" s="14" customFormat="1" ht="13.5" customHeight="1" x14ac:dyDescent="0.3">
      <c r="A159" s="67"/>
      <c r="B159" s="163" t="s">
        <v>205</v>
      </c>
      <c r="C159" s="45"/>
      <c r="D159" s="19"/>
      <c r="G159" s="12"/>
      <c r="H159" s="13"/>
      <c r="I159" s="29"/>
    </row>
    <row r="160" spans="1:9" s="14" customFormat="1" ht="13.9" customHeight="1" x14ac:dyDescent="0.3">
      <c r="A160" s="87"/>
      <c r="B160" s="166"/>
      <c r="C160" s="46"/>
      <c r="D160" s="20"/>
      <c r="E160" s="15"/>
      <c r="F160" s="16"/>
      <c r="G160" s="17"/>
      <c r="H160" s="18"/>
      <c r="I160" s="31"/>
    </row>
    <row r="161" spans="1:9" s="14" customFormat="1" ht="13.9" customHeight="1" x14ac:dyDescent="0.3">
      <c r="A161" s="67"/>
      <c r="B161" s="163"/>
      <c r="C161" s="45"/>
      <c r="D161" s="19"/>
      <c r="E161" s="10"/>
      <c r="F161" s="11"/>
      <c r="G161" s="12"/>
      <c r="H161" s="13"/>
      <c r="I161" s="29"/>
    </row>
    <row r="162" spans="1:9" s="14" customFormat="1" ht="13.9" customHeight="1" x14ac:dyDescent="0.3">
      <c r="A162" s="67" t="s">
        <v>116</v>
      </c>
      <c r="B162" s="96" t="s">
        <v>117</v>
      </c>
      <c r="C162" s="45"/>
      <c r="D162" s="19"/>
      <c r="E162" s="40" t="s">
        <v>123</v>
      </c>
      <c r="F162" s="14">
        <v>18267</v>
      </c>
      <c r="G162" s="12"/>
      <c r="H162" s="13"/>
      <c r="I162" s="29">
        <v>18267</v>
      </c>
    </row>
    <row r="163" spans="1:9" s="14" customFormat="1" ht="13.9" customHeight="1" x14ac:dyDescent="0.3">
      <c r="A163" s="67"/>
      <c r="B163" s="163"/>
      <c r="C163" s="45"/>
      <c r="D163" s="19"/>
      <c r="E163" s="10"/>
      <c r="F163" s="11"/>
      <c r="G163" s="12"/>
      <c r="H163" s="13"/>
      <c r="I163" s="29"/>
    </row>
    <row r="164" spans="1:9" s="14" customFormat="1" ht="13.9" customHeight="1" x14ac:dyDescent="0.3">
      <c r="A164" s="67"/>
      <c r="B164" s="163" t="s">
        <v>119</v>
      </c>
      <c r="C164" s="45"/>
      <c r="D164" s="19"/>
      <c r="E164" s="10" t="s">
        <v>118</v>
      </c>
      <c r="F164" s="11">
        <v>85800</v>
      </c>
      <c r="G164" s="12"/>
      <c r="H164" s="13"/>
      <c r="I164" s="29"/>
    </row>
    <row r="165" spans="1:9" s="14" customFormat="1" ht="13.9" customHeight="1" x14ac:dyDescent="0.3">
      <c r="A165" s="67"/>
      <c r="B165" s="163" t="s">
        <v>239</v>
      </c>
      <c r="C165" s="45"/>
      <c r="D165" s="19"/>
      <c r="E165" s="10"/>
      <c r="F165" s="11"/>
      <c r="G165" s="12"/>
      <c r="H165" s="13"/>
      <c r="I165" s="29"/>
    </row>
    <row r="166" spans="1:9" s="14" customFormat="1" ht="13.9" customHeight="1" x14ac:dyDescent="0.3">
      <c r="A166" s="87"/>
      <c r="B166" s="166"/>
      <c r="C166" s="46"/>
      <c r="D166" s="20"/>
      <c r="E166" s="15"/>
      <c r="F166" s="16"/>
      <c r="G166" s="17"/>
      <c r="H166" s="18"/>
      <c r="I166" s="31"/>
    </row>
    <row r="167" spans="1:9" s="14" customFormat="1" ht="13.9" customHeight="1" x14ac:dyDescent="0.3">
      <c r="A167" s="67"/>
      <c r="B167" s="163"/>
      <c r="C167" s="45"/>
      <c r="D167" s="19"/>
      <c r="E167" s="10"/>
      <c r="F167" s="11"/>
      <c r="G167" s="12"/>
      <c r="H167" s="13"/>
      <c r="I167" s="29"/>
    </row>
    <row r="168" spans="1:9" s="14" customFormat="1" ht="13.9" customHeight="1" x14ac:dyDescent="0.3">
      <c r="A168" s="67" t="s">
        <v>158</v>
      </c>
      <c r="B168" s="96" t="s">
        <v>300</v>
      </c>
      <c r="C168" s="45"/>
      <c r="D168" s="19"/>
      <c r="E168" s="40" t="s">
        <v>123</v>
      </c>
      <c r="F168" s="11">
        <v>561.4</v>
      </c>
      <c r="G168" s="12"/>
      <c r="H168" s="13">
        <v>5707</v>
      </c>
      <c r="I168" s="29">
        <v>-5145.74</v>
      </c>
    </row>
    <row r="169" spans="1:9" s="14" customFormat="1" ht="13.9" customHeight="1" x14ac:dyDescent="0.3">
      <c r="A169" s="67"/>
      <c r="B169" s="163" t="s">
        <v>240</v>
      </c>
      <c r="C169" s="45"/>
      <c r="D169" s="19"/>
      <c r="E169" s="84"/>
      <c r="F169" s="11"/>
      <c r="G169" s="12"/>
      <c r="H169" s="13"/>
      <c r="I169" s="29"/>
    </row>
    <row r="170" spans="1:9" s="14" customFormat="1" ht="13.9" customHeight="1" x14ac:dyDescent="0.3">
      <c r="A170" s="67"/>
      <c r="B170" s="163" t="s">
        <v>241</v>
      </c>
      <c r="C170" s="45"/>
      <c r="D170" s="19"/>
      <c r="E170" s="10"/>
      <c r="F170" s="11"/>
      <c r="G170" s="12"/>
      <c r="H170" s="13"/>
      <c r="I170" s="29"/>
    </row>
    <row r="171" spans="1:9" s="14" customFormat="1" ht="13.9" customHeight="1" x14ac:dyDescent="0.3">
      <c r="A171" s="67"/>
      <c r="B171" s="163" t="s">
        <v>242</v>
      </c>
      <c r="C171" s="45"/>
      <c r="D171" s="19"/>
      <c r="E171" s="10"/>
      <c r="F171" s="11"/>
      <c r="G171" s="12"/>
      <c r="H171" s="13"/>
      <c r="I171" s="29"/>
    </row>
    <row r="172" spans="1:9" s="14" customFormat="1" ht="13.9" customHeight="1" x14ac:dyDescent="0.3">
      <c r="A172" s="101"/>
      <c r="B172" s="92"/>
      <c r="C172" s="90"/>
      <c r="D172" s="91"/>
      <c r="E172" s="92"/>
      <c r="F172" s="92"/>
      <c r="G172" s="93"/>
      <c r="H172" s="94"/>
      <c r="I172" s="95"/>
    </row>
    <row r="173" spans="1:9" s="14" customFormat="1" ht="13.9" customHeight="1" x14ac:dyDescent="0.3">
      <c r="A173" s="67"/>
      <c r="B173" s="163"/>
      <c r="C173" s="45"/>
      <c r="D173" s="19"/>
      <c r="E173" s="132"/>
      <c r="F173" s="11"/>
      <c r="G173" s="12"/>
      <c r="H173" s="13"/>
      <c r="I173" s="52"/>
    </row>
    <row r="174" spans="1:9" s="14" customFormat="1" ht="13.9" customHeight="1" x14ac:dyDescent="0.3">
      <c r="A174" s="67" t="s">
        <v>159</v>
      </c>
      <c r="B174" s="96" t="s">
        <v>301</v>
      </c>
      <c r="C174" s="45"/>
      <c r="D174" s="19"/>
      <c r="E174" s="40" t="s">
        <v>123</v>
      </c>
      <c r="F174" s="155">
        <v>-98437.23</v>
      </c>
      <c r="G174" s="12"/>
      <c r="H174" s="13">
        <v>11446.75</v>
      </c>
      <c r="I174" s="29">
        <v>-27695.57</v>
      </c>
    </row>
    <row r="175" spans="1:9" s="14" customFormat="1" ht="13.9" customHeight="1" x14ac:dyDescent="0.3">
      <c r="A175" s="67"/>
      <c r="B175" s="163" t="s">
        <v>154</v>
      </c>
      <c r="C175" s="45"/>
      <c r="D175" s="19"/>
      <c r="E175" s="171"/>
      <c r="F175" s="218"/>
      <c r="G175" s="12"/>
      <c r="H175" s="13"/>
      <c r="I175" s="29"/>
    </row>
    <row r="176" spans="1:9" s="14" customFormat="1" ht="13.9" customHeight="1" x14ac:dyDescent="0.3">
      <c r="A176" s="67"/>
      <c r="B176" s="163" t="s">
        <v>156</v>
      </c>
      <c r="C176" s="45"/>
      <c r="D176" s="19"/>
      <c r="E176" s="171" t="s">
        <v>53</v>
      </c>
      <c r="F176" s="218">
        <v>13954</v>
      </c>
      <c r="G176" s="12"/>
      <c r="H176" s="13"/>
      <c r="I176" s="29"/>
    </row>
    <row r="177" spans="1:9" s="14" customFormat="1" ht="13.9" customHeight="1" x14ac:dyDescent="0.3">
      <c r="A177" s="67"/>
      <c r="B177" s="163" t="s">
        <v>155</v>
      </c>
      <c r="C177" s="45"/>
      <c r="D177" s="19"/>
      <c r="E177" s="172" t="s">
        <v>51</v>
      </c>
      <c r="F177" s="218">
        <v>30074.45</v>
      </c>
      <c r="G177" s="12"/>
      <c r="H177" s="13"/>
      <c r="I177" s="29"/>
    </row>
    <row r="178" spans="1:9" s="14" customFormat="1" ht="13.9" customHeight="1" x14ac:dyDescent="0.3">
      <c r="A178" s="67"/>
      <c r="B178" s="163"/>
      <c r="C178" s="45"/>
      <c r="D178" s="19"/>
      <c r="E178" s="172" t="s">
        <v>52</v>
      </c>
      <c r="F178" s="155">
        <v>6160</v>
      </c>
      <c r="G178" s="12"/>
      <c r="H178" s="13"/>
      <c r="I178" s="29"/>
    </row>
    <row r="179" spans="1:9" s="14" customFormat="1" ht="13.9" customHeight="1" x14ac:dyDescent="0.3">
      <c r="A179" s="67"/>
      <c r="B179" s="163"/>
      <c r="C179" s="45"/>
      <c r="D179" s="19"/>
      <c r="E179" s="172" t="s">
        <v>54</v>
      </c>
      <c r="F179" s="218">
        <v>12000</v>
      </c>
      <c r="G179" s="12"/>
      <c r="H179" s="13"/>
      <c r="I179" s="29"/>
    </row>
    <row r="180" spans="1:9" s="14" customFormat="1" ht="13.9" customHeight="1" x14ac:dyDescent="0.3">
      <c r="A180" s="67"/>
      <c r="C180" s="45"/>
      <c r="D180" s="19"/>
      <c r="E180" s="172" t="s">
        <v>243</v>
      </c>
      <c r="F180" s="218">
        <v>20000</v>
      </c>
      <c r="G180" s="12"/>
      <c r="H180" s="13"/>
      <c r="I180" s="29"/>
    </row>
    <row r="181" spans="1:9" s="14" customFormat="1" ht="13.9" customHeight="1" x14ac:dyDescent="0.3">
      <c r="A181" s="67"/>
      <c r="B181" s="163"/>
      <c r="C181" s="45"/>
      <c r="D181" s="19"/>
      <c r="E181" s="171"/>
      <c r="F181" s="218"/>
      <c r="G181" s="12"/>
      <c r="H181" s="13"/>
      <c r="I181" s="29"/>
    </row>
    <row r="182" spans="1:9" s="14" customFormat="1" ht="13.9" customHeight="1" x14ac:dyDescent="0.3">
      <c r="A182" s="67"/>
      <c r="B182" s="163"/>
      <c r="C182" s="45"/>
      <c r="D182" s="19"/>
      <c r="E182" s="168" t="s">
        <v>89</v>
      </c>
      <c r="F182" s="219">
        <f>SUM(F176:F181)</f>
        <v>82188.45</v>
      </c>
      <c r="G182" s="12"/>
      <c r="H182" s="13"/>
      <c r="I182" s="29"/>
    </row>
    <row r="183" spans="1:9" s="14" customFormat="1" ht="13.9" customHeight="1" x14ac:dyDescent="0.3">
      <c r="A183" s="67"/>
      <c r="B183" s="163"/>
      <c r="C183" s="45"/>
      <c r="D183" s="19"/>
      <c r="E183" s="172" t="s">
        <v>79</v>
      </c>
      <c r="F183" s="218">
        <v>29900</v>
      </c>
      <c r="G183" s="12"/>
      <c r="H183" s="13"/>
      <c r="I183" s="29"/>
    </row>
    <row r="184" spans="1:9" s="68" customFormat="1" ht="14" x14ac:dyDescent="0.3">
      <c r="A184" s="101"/>
      <c r="B184" s="196"/>
      <c r="C184" s="90"/>
      <c r="D184" s="91"/>
      <c r="E184" s="134"/>
      <c r="F184" s="135"/>
      <c r="G184" s="93"/>
      <c r="H184" s="94"/>
      <c r="I184" s="95"/>
    </row>
    <row r="185" spans="1:9" s="68" customFormat="1" ht="14" x14ac:dyDescent="0.3">
      <c r="A185" s="67"/>
      <c r="B185" s="163"/>
      <c r="C185" s="45"/>
      <c r="D185" s="19"/>
      <c r="E185" s="136"/>
      <c r="F185" s="133"/>
      <c r="G185" s="12"/>
      <c r="H185" s="13"/>
      <c r="I185" s="29"/>
    </row>
    <row r="186" spans="1:9" s="68" customFormat="1" ht="14" x14ac:dyDescent="0.3">
      <c r="A186" s="67" t="s">
        <v>160</v>
      </c>
      <c r="B186" s="96" t="s">
        <v>302</v>
      </c>
      <c r="C186" s="45"/>
      <c r="D186" s="19"/>
      <c r="E186" s="40" t="s">
        <v>123</v>
      </c>
      <c r="F186" s="11">
        <v>4401.87</v>
      </c>
      <c r="G186" s="12"/>
      <c r="H186" s="13">
        <v>137034</v>
      </c>
      <c r="I186" s="29">
        <v>-132631.69</v>
      </c>
    </row>
    <row r="187" spans="1:9" s="14" customFormat="1" ht="13.9" customHeight="1" x14ac:dyDescent="0.3">
      <c r="A187" s="67"/>
      <c r="B187" s="163" t="s">
        <v>306</v>
      </c>
      <c r="C187" s="45"/>
      <c r="D187" s="19"/>
      <c r="E187" s="211" t="s">
        <v>197</v>
      </c>
      <c r="F187" s="11"/>
      <c r="G187" s="12"/>
      <c r="H187" s="13"/>
      <c r="I187" s="29"/>
    </row>
    <row r="188" spans="1:9" s="14" customFormat="1" ht="13.9" customHeight="1" x14ac:dyDescent="0.3">
      <c r="A188" s="67"/>
      <c r="B188" s="163" t="s">
        <v>244</v>
      </c>
      <c r="C188" s="45"/>
      <c r="D188" s="19"/>
      <c r="E188" s="10" t="s">
        <v>183</v>
      </c>
      <c r="F188" s="11"/>
      <c r="G188" s="12"/>
      <c r="H188" s="13"/>
      <c r="I188" s="29"/>
    </row>
    <row r="189" spans="1:9" s="14" customFormat="1" ht="13.9" customHeight="1" x14ac:dyDescent="0.3">
      <c r="A189" s="87"/>
      <c r="B189" s="166"/>
      <c r="C189" s="46"/>
      <c r="D189" s="20"/>
      <c r="E189" s="15"/>
      <c r="F189" s="126"/>
      <c r="G189" s="17"/>
      <c r="H189" s="18"/>
      <c r="I189" s="31"/>
    </row>
    <row r="190" spans="1:9" s="14" customFormat="1" ht="13.9" customHeight="1" x14ac:dyDescent="0.3">
      <c r="A190" s="67"/>
      <c r="B190" s="163"/>
      <c r="C190" s="45"/>
      <c r="D190" s="19"/>
      <c r="E190" s="10"/>
      <c r="F190" s="8"/>
      <c r="G190" s="12"/>
      <c r="H190" s="13"/>
      <c r="I190" s="29"/>
    </row>
    <row r="191" spans="1:9" s="14" customFormat="1" ht="13.9" customHeight="1" x14ac:dyDescent="0.3">
      <c r="A191" s="67" t="s">
        <v>206</v>
      </c>
      <c r="B191" s="96" t="s">
        <v>207</v>
      </c>
      <c r="C191" s="45"/>
      <c r="D191" s="19"/>
      <c r="E191" s="40" t="s">
        <v>123</v>
      </c>
      <c r="F191" s="11">
        <v>6865.79</v>
      </c>
      <c r="G191" s="12"/>
      <c r="H191" s="13">
        <f>F191+F193</f>
        <v>20439.91</v>
      </c>
      <c r="I191" s="29">
        <v>0</v>
      </c>
    </row>
    <row r="192" spans="1:9" s="14" customFormat="1" ht="13.9" customHeight="1" x14ac:dyDescent="0.3">
      <c r="A192" s="67"/>
      <c r="B192" s="163" t="s">
        <v>305</v>
      </c>
      <c r="C192" s="45"/>
      <c r="D192" s="19"/>
      <c r="E192" s="10"/>
      <c r="F192" s="61"/>
      <c r="G192" s="12"/>
      <c r="H192" s="13"/>
      <c r="I192" s="82" t="s">
        <v>167</v>
      </c>
    </row>
    <row r="193" spans="1:9" s="14" customFormat="1" ht="13.9" customHeight="1" x14ac:dyDescent="0.3">
      <c r="A193" s="67"/>
      <c r="B193" s="163" t="s">
        <v>245</v>
      </c>
      <c r="C193" s="45"/>
      <c r="D193" s="19"/>
      <c r="E193" s="10" t="s">
        <v>55</v>
      </c>
      <c r="F193" s="11">
        <v>13574.12</v>
      </c>
      <c r="G193" s="12"/>
      <c r="H193" s="13"/>
      <c r="I193" s="29"/>
    </row>
    <row r="194" spans="1:9" s="28" customFormat="1" ht="13.9" customHeight="1" x14ac:dyDescent="0.3">
      <c r="A194" s="87"/>
      <c r="B194" s="166"/>
      <c r="C194" s="46"/>
      <c r="D194" s="20"/>
      <c r="E194" s="15"/>
      <c r="F194" s="126"/>
      <c r="G194" s="17"/>
      <c r="H194" s="18"/>
      <c r="I194" s="31"/>
    </row>
    <row r="195" spans="1:9" s="14" customFormat="1" ht="13.9" customHeight="1" x14ac:dyDescent="0.3">
      <c r="A195" s="67"/>
      <c r="B195" s="163"/>
      <c r="C195" s="45"/>
      <c r="D195" s="19"/>
      <c r="E195" s="10"/>
      <c r="F195" s="8"/>
      <c r="G195" s="12"/>
      <c r="H195" s="13"/>
      <c r="I195" s="29"/>
    </row>
    <row r="196" spans="1:9" s="14" customFormat="1" ht="13.9" customHeight="1" x14ac:dyDescent="0.3">
      <c r="A196" s="67" t="s">
        <v>56</v>
      </c>
      <c r="B196" s="96" t="s">
        <v>303</v>
      </c>
      <c r="C196" s="45"/>
      <c r="D196" s="19"/>
      <c r="E196" s="10" t="s">
        <v>183</v>
      </c>
      <c r="F196" s="11">
        <v>20702</v>
      </c>
      <c r="G196" s="12"/>
      <c r="H196" s="13">
        <v>20702</v>
      </c>
      <c r="I196" s="29">
        <v>0</v>
      </c>
    </row>
    <row r="197" spans="1:9" s="14" customFormat="1" ht="13.9" customHeight="1" x14ac:dyDescent="0.3">
      <c r="A197" s="67"/>
      <c r="B197" s="163" t="s">
        <v>274</v>
      </c>
      <c r="C197" s="45"/>
      <c r="D197" s="19"/>
      <c r="E197" s="10"/>
      <c r="F197" s="61"/>
      <c r="G197" s="12"/>
      <c r="H197" s="13"/>
      <c r="I197" s="82" t="s">
        <v>167</v>
      </c>
    </row>
    <row r="198" spans="1:9" s="28" customFormat="1" ht="13.9" customHeight="1" x14ac:dyDescent="0.3">
      <c r="A198" s="87"/>
      <c r="B198" s="166"/>
      <c r="C198" s="46"/>
      <c r="D198" s="20"/>
      <c r="E198" s="15"/>
      <c r="F198" s="126"/>
      <c r="G198" s="17"/>
      <c r="H198" s="18"/>
      <c r="I198" s="31"/>
    </row>
    <row r="199" spans="1:9" s="14" customFormat="1" ht="13.9" customHeight="1" x14ac:dyDescent="0.3">
      <c r="A199" s="158"/>
      <c r="B199" s="184"/>
      <c r="C199" s="41"/>
      <c r="D199" s="80"/>
      <c r="E199" s="40"/>
      <c r="F199" s="11"/>
      <c r="G199" s="9"/>
      <c r="H199" s="106"/>
      <c r="I199" s="107"/>
    </row>
    <row r="200" spans="1:9" s="14" customFormat="1" ht="13.9" customHeight="1" x14ac:dyDescent="0.3">
      <c r="A200" s="67" t="s">
        <v>120</v>
      </c>
      <c r="B200" s="96" t="s">
        <v>304</v>
      </c>
      <c r="C200" s="41"/>
      <c r="D200" s="80"/>
      <c r="E200" s="40" t="s">
        <v>123</v>
      </c>
      <c r="F200" s="11">
        <v>7317</v>
      </c>
      <c r="G200" s="9"/>
      <c r="H200" s="13">
        <v>7317</v>
      </c>
      <c r="I200" s="29">
        <v>0</v>
      </c>
    </row>
    <row r="201" spans="1:9" s="14" customFormat="1" ht="13.9" customHeight="1" x14ac:dyDescent="0.3">
      <c r="A201" s="158"/>
      <c r="B201" s="163" t="s">
        <v>275</v>
      </c>
      <c r="C201" s="41"/>
      <c r="D201" s="80"/>
      <c r="E201" s="40"/>
      <c r="F201" s="11"/>
      <c r="G201" s="9"/>
      <c r="H201" s="106"/>
      <c r="I201" s="107"/>
    </row>
    <row r="202" spans="1:9" s="14" customFormat="1" ht="13.9" customHeight="1" x14ac:dyDescent="0.3">
      <c r="A202" s="158"/>
      <c r="B202" s="180" t="s">
        <v>276</v>
      </c>
      <c r="C202" s="41"/>
      <c r="D202" s="80"/>
      <c r="E202" s="40"/>
      <c r="F202" s="11"/>
      <c r="G202" s="9"/>
      <c r="H202" s="106"/>
      <c r="I202" s="82" t="s">
        <v>167</v>
      </c>
    </row>
    <row r="203" spans="1:9" s="14" customFormat="1" ht="13.9" customHeight="1" x14ac:dyDescent="0.3">
      <c r="A203" s="158"/>
      <c r="B203" s="180" t="s">
        <v>277</v>
      </c>
      <c r="C203" s="41"/>
      <c r="D203" s="80"/>
      <c r="E203" s="40"/>
      <c r="F203" s="11"/>
      <c r="G203" s="9"/>
      <c r="H203" s="106"/>
      <c r="I203" s="107"/>
    </row>
    <row r="204" spans="1:9" s="14" customFormat="1" ht="13.9" customHeight="1" x14ac:dyDescent="0.3">
      <c r="A204" s="206"/>
      <c r="B204" s="214"/>
      <c r="C204" s="123"/>
      <c r="D204" s="124"/>
      <c r="E204" s="125"/>
      <c r="F204" s="16"/>
      <c r="G204" s="127"/>
      <c r="H204" s="128"/>
      <c r="I204" s="129"/>
    </row>
    <row r="205" spans="1:9" s="14" customFormat="1" ht="13.9" customHeight="1" x14ac:dyDescent="0.3">
      <c r="A205" s="67"/>
      <c r="B205" s="213"/>
      <c r="C205" s="45"/>
      <c r="D205" s="19"/>
      <c r="E205" s="10"/>
      <c r="F205" s="11"/>
      <c r="G205" s="12"/>
      <c r="H205" s="13"/>
      <c r="I205" s="29"/>
    </row>
    <row r="206" spans="1:9" s="14" customFormat="1" ht="13.9" customHeight="1" x14ac:dyDescent="0.3">
      <c r="A206" s="67" t="s">
        <v>161</v>
      </c>
      <c r="B206" s="96" t="s">
        <v>290</v>
      </c>
      <c r="C206" s="45"/>
      <c r="D206" s="19"/>
      <c r="E206" s="10" t="s">
        <v>248</v>
      </c>
      <c r="F206" s="11">
        <v>1912.37</v>
      </c>
      <c r="G206" s="12"/>
      <c r="H206" s="178">
        <f>F206-I206</f>
        <v>688.33999999999992</v>
      </c>
      <c r="I206" s="29">
        <v>1224.03</v>
      </c>
    </row>
    <row r="207" spans="1:9" s="14" customFormat="1" ht="13.9" customHeight="1" x14ac:dyDescent="0.3">
      <c r="A207" s="67" t="s">
        <v>96</v>
      </c>
      <c r="B207" s="96" t="s">
        <v>246</v>
      </c>
      <c r="C207" s="45"/>
      <c r="D207" s="19"/>
      <c r="E207" s="10" t="s">
        <v>255</v>
      </c>
      <c r="G207" s="12"/>
      <c r="H207" s="13"/>
      <c r="I207" s="107"/>
    </row>
    <row r="208" spans="1:9" s="14" customFormat="1" ht="13.9" customHeight="1" x14ac:dyDescent="0.3">
      <c r="A208" s="67" t="s">
        <v>97</v>
      </c>
      <c r="B208" s="96" t="s">
        <v>247</v>
      </c>
      <c r="C208" s="45"/>
      <c r="D208" s="19"/>
      <c r="E208" s="12" t="s">
        <v>256</v>
      </c>
      <c r="F208" s="11">
        <v>73834.77</v>
      </c>
      <c r="G208" s="12"/>
      <c r="H208" s="13"/>
      <c r="I208" s="29">
        <v>73834.77</v>
      </c>
    </row>
    <row r="209" spans="1:9" s="14" customFormat="1" ht="13.9" customHeight="1" x14ac:dyDescent="0.3">
      <c r="A209" s="87"/>
      <c r="B209" s="166"/>
      <c r="C209" s="46"/>
      <c r="D209" s="20"/>
      <c r="E209" s="15"/>
      <c r="F209" s="16"/>
      <c r="G209" s="17"/>
      <c r="H209" s="18"/>
      <c r="I209" s="31"/>
    </row>
    <row r="210" spans="1:9" s="14" customFormat="1" ht="13.5" hidden="1" customHeight="1" x14ac:dyDescent="0.3">
      <c r="A210" s="67"/>
      <c r="B210" s="96"/>
      <c r="C210" s="45"/>
      <c r="D210" s="19"/>
      <c r="E210" s="10"/>
      <c r="F210" s="11"/>
      <c r="G210" s="12"/>
      <c r="H210" s="13"/>
      <c r="I210" s="29"/>
    </row>
    <row r="211" spans="1:9" s="14" customFormat="1" ht="13.5" hidden="1" customHeight="1" x14ac:dyDescent="0.3">
      <c r="A211" s="67" t="s">
        <v>96</v>
      </c>
      <c r="B211" s="96" t="s">
        <v>231</v>
      </c>
      <c r="C211" s="45"/>
      <c r="D211" s="19"/>
      <c r="E211" s="10" t="s">
        <v>184</v>
      </c>
      <c r="F211" s="11">
        <v>9612.1200000000008</v>
      </c>
      <c r="G211" s="11"/>
      <c r="H211" s="13"/>
      <c r="I211" s="52">
        <v>35327.1</v>
      </c>
    </row>
    <row r="212" spans="1:9" s="14" customFormat="1" ht="13.5" hidden="1" customHeight="1" x14ac:dyDescent="0.3">
      <c r="A212" s="67"/>
      <c r="B212" s="152" t="s">
        <v>35</v>
      </c>
      <c r="C212" s="45"/>
      <c r="D212" s="19"/>
      <c r="E212" s="10" t="s">
        <v>98</v>
      </c>
      <c r="F212" s="11">
        <v>43551.47</v>
      </c>
      <c r="G212" s="11"/>
      <c r="H212" s="13"/>
      <c r="I212" s="82"/>
    </row>
    <row r="213" spans="1:9" s="14" customFormat="1" ht="13.5" hidden="1" customHeight="1" x14ac:dyDescent="0.3">
      <c r="A213" s="67"/>
      <c r="B213" s="163" t="s">
        <v>36</v>
      </c>
      <c r="C213" s="45"/>
      <c r="D213" s="19"/>
      <c r="E213" s="10" t="s">
        <v>170</v>
      </c>
      <c r="F213" s="11">
        <v>158520</v>
      </c>
      <c r="G213" s="11"/>
      <c r="H213" s="13"/>
      <c r="I213" s="29"/>
    </row>
    <row r="214" spans="1:9" s="28" customFormat="1" ht="13.5" hidden="1" customHeight="1" x14ac:dyDescent="0.3">
      <c r="A214" s="67"/>
      <c r="B214" s="163" t="s">
        <v>37</v>
      </c>
      <c r="C214" s="45"/>
      <c r="D214" s="19"/>
      <c r="E214" s="14"/>
      <c r="F214" s="108">
        <f>SUM(F211:F213)</f>
        <v>211683.59</v>
      </c>
      <c r="G214" s="11"/>
      <c r="H214" s="13"/>
      <c r="I214" s="29"/>
    </row>
    <row r="215" spans="1:9" s="14" customFormat="1" ht="13.9" hidden="1" customHeight="1" x14ac:dyDescent="0.3">
      <c r="A215" s="206"/>
      <c r="B215" s="164"/>
      <c r="C215" s="123"/>
      <c r="D215" s="124"/>
      <c r="E215" s="125"/>
      <c r="F215" s="16"/>
      <c r="G215" s="127"/>
      <c r="H215" s="128"/>
      <c r="I215" s="129"/>
    </row>
    <row r="216" spans="1:9" s="14" customFormat="1" ht="13.5" hidden="1" customHeight="1" x14ac:dyDescent="0.3">
      <c r="A216" s="67"/>
      <c r="B216" s="96"/>
      <c r="C216" s="45"/>
      <c r="D216" s="19"/>
      <c r="E216" s="10"/>
      <c r="F216" s="11"/>
      <c r="G216" s="12"/>
      <c r="H216" s="13"/>
      <c r="I216" s="29"/>
    </row>
    <row r="217" spans="1:9" s="14" customFormat="1" ht="13.5" hidden="1" customHeight="1" x14ac:dyDescent="0.3">
      <c r="A217" s="67" t="s">
        <v>97</v>
      </c>
      <c r="B217" s="96" t="s">
        <v>3</v>
      </c>
      <c r="C217" s="45"/>
      <c r="D217" s="19"/>
      <c r="E217" s="10" t="s">
        <v>170</v>
      </c>
      <c r="F217" s="11">
        <v>72247</v>
      </c>
      <c r="G217" s="11"/>
      <c r="H217" s="13"/>
      <c r="I217" s="52">
        <v>58467</v>
      </c>
    </row>
    <row r="218" spans="1:9" s="14" customFormat="1" ht="13.5" hidden="1" customHeight="1" x14ac:dyDescent="0.3">
      <c r="A218" s="67"/>
      <c r="B218" s="163" t="s">
        <v>38</v>
      </c>
      <c r="C218" s="45"/>
      <c r="D218" s="19"/>
      <c r="E218" s="10"/>
      <c r="F218" s="11"/>
      <c r="G218" s="11"/>
      <c r="H218" s="13"/>
      <c r="I218" s="85"/>
    </row>
    <row r="219" spans="1:9" s="14" customFormat="1" ht="13.5" hidden="1" customHeight="1" x14ac:dyDescent="0.3">
      <c r="A219" s="67"/>
      <c r="B219" s="163" t="s">
        <v>349</v>
      </c>
      <c r="C219" s="45"/>
      <c r="D219" s="19"/>
      <c r="E219" s="10"/>
      <c r="F219" s="11"/>
      <c r="G219" s="11"/>
      <c r="H219" s="13"/>
      <c r="I219" s="85"/>
    </row>
    <row r="220" spans="1:9" s="14" customFormat="1" ht="13.5" hidden="1" customHeight="1" x14ac:dyDescent="0.3">
      <c r="A220" s="67"/>
      <c r="B220" s="163" t="s">
        <v>39</v>
      </c>
      <c r="C220" s="45"/>
      <c r="D220" s="19"/>
      <c r="E220" s="10"/>
      <c r="F220" s="11"/>
      <c r="G220" s="11"/>
      <c r="H220" s="13"/>
      <c r="I220" s="85"/>
    </row>
    <row r="221" spans="1:9" s="14" customFormat="1" ht="13.5" hidden="1" customHeight="1" x14ac:dyDescent="0.3">
      <c r="A221" s="206"/>
      <c r="B221" s="164"/>
      <c r="C221" s="123"/>
      <c r="D221" s="124"/>
      <c r="E221" s="125"/>
      <c r="F221" s="16"/>
      <c r="G221" s="127"/>
      <c r="H221" s="128"/>
      <c r="I221" s="129"/>
    </row>
    <row r="222" spans="1:9" s="14" customFormat="1" ht="13.9" customHeight="1" x14ac:dyDescent="0.3">
      <c r="A222" s="67"/>
      <c r="B222" s="163"/>
      <c r="C222" s="45"/>
      <c r="D222" s="19"/>
      <c r="E222" s="10"/>
      <c r="F222" s="11"/>
      <c r="G222" s="12"/>
      <c r="H222" s="13"/>
      <c r="I222" s="29"/>
    </row>
    <row r="223" spans="1:9" s="14" customFormat="1" ht="13.9" customHeight="1" x14ac:dyDescent="0.3">
      <c r="A223" s="67" t="s">
        <v>26</v>
      </c>
      <c r="B223" s="96" t="s">
        <v>27</v>
      </c>
      <c r="C223" s="45"/>
      <c r="D223" s="19"/>
      <c r="E223" s="40" t="s">
        <v>123</v>
      </c>
      <c r="F223" s="11">
        <v>81079.05</v>
      </c>
      <c r="G223" s="12"/>
      <c r="H223" s="59">
        <f>F223+F225-I223</f>
        <v>39909.65</v>
      </c>
      <c r="I223" s="52">
        <v>41169.4</v>
      </c>
    </row>
    <row r="224" spans="1:9" s="14" customFormat="1" ht="13.9" customHeight="1" x14ac:dyDescent="0.3">
      <c r="A224" s="67"/>
      <c r="B224" s="163" t="s">
        <v>90</v>
      </c>
      <c r="C224" s="45"/>
      <c r="D224" s="19"/>
      <c r="E224" s="10"/>
      <c r="F224" s="11"/>
      <c r="G224" s="12"/>
      <c r="H224" s="13"/>
      <c r="I224" s="82"/>
    </row>
    <row r="225" spans="1:9" s="14" customFormat="1" ht="13.9" customHeight="1" x14ac:dyDescent="0.3">
      <c r="A225" s="67"/>
      <c r="B225" s="163" t="s">
        <v>91</v>
      </c>
      <c r="C225" s="45"/>
      <c r="D225" s="19"/>
      <c r="E225" s="10"/>
      <c r="F225" s="11"/>
      <c r="G225" s="12"/>
      <c r="H225" s="13"/>
      <c r="I225" s="29"/>
    </row>
    <row r="226" spans="1:9" s="14" customFormat="1" ht="13.9" customHeight="1" x14ac:dyDescent="0.3">
      <c r="A226" s="67"/>
      <c r="B226" s="163" t="s">
        <v>92</v>
      </c>
      <c r="C226" s="45"/>
      <c r="D226" s="19"/>
      <c r="E226" s="10"/>
      <c r="F226" s="11"/>
      <c r="G226" s="12"/>
      <c r="H226" s="13"/>
      <c r="I226" s="29"/>
    </row>
    <row r="227" spans="1:9" s="14" customFormat="1" ht="13.9" customHeight="1" x14ac:dyDescent="0.3">
      <c r="A227" s="67"/>
      <c r="B227" s="163" t="s">
        <v>93</v>
      </c>
      <c r="C227" s="45"/>
      <c r="D227" s="19"/>
      <c r="E227" s="10"/>
      <c r="F227" s="11"/>
      <c r="G227" s="12"/>
      <c r="H227" s="13"/>
      <c r="I227" s="29"/>
    </row>
    <row r="228" spans="1:9" s="14" customFormat="1" ht="13.9" customHeight="1" x14ac:dyDescent="0.3">
      <c r="A228" s="67"/>
      <c r="B228" s="163" t="s">
        <v>13</v>
      </c>
      <c r="C228" s="45"/>
      <c r="D228" s="19"/>
      <c r="G228" s="12"/>
      <c r="H228" s="13"/>
      <c r="I228" s="29"/>
    </row>
    <row r="229" spans="1:9" s="14" customFormat="1" ht="13.9" customHeight="1" x14ac:dyDescent="0.3">
      <c r="A229" s="67"/>
      <c r="B229" s="163" t="s">
        <v>94</v>
      </c>
      <c r="C229" s="45"/>
      <c r="D229" s="19"/>
      <c r="G229" s="12"/>
      <c r="H229" s="13"/>
      <c r="I229" s="29"/>
    </row>
    <row r="230" spans="1:9" s="14" customFormat="1" ht="13.9" customHeight="1" x14ac:dyDescent="0.3">
      <c r="A230" s="67"/>
      <c r="B230" s="163" t="s">
        <v>95</v>
      </c>
      <c r="C230" s="45"/>
      <c r="D230" s="19"/>
      <c r="E230" s="10"/>
      <c r="F230" s="11"/>
      <c r="G230" s="12"/>
      <c r="H230" s="13"/>
      <c r="I230" s="29"/>
    </row>
    <row r="231" spans="1:9" s="14" customFormat="1" ht="13.9" customHeight="1" x14ac:dyDescent="0.3">
      <c r="A231" s="87"/>
      <c r="B231" s="166"/>
      <c r="C231" s="46"/>
      <c r="D231" s="20"/>
      <c r="E231" s="15"/>
      <c r="F231" s="16"/>
      <c r="G231" s="17"/>
      <c r="H231" s="18"/>
      <c r="I231" s="31"/>
    </row>
    <row r="232" spans="1:9" s="14" customFormat="1" ht="12.75" customHeight="1" x14ac:dyDescent="0.3">
      <c r="A232" s="67"/>
      <c r="B232" s="163"/>
      <c r="C232" s="45"/>
      <c r="D232" s="19"/>
      <c r="E232" s="10"/>
      <c r="F232" s="11"/>
      <c r="G232" s="12"/>
      <c r="H232" s="13"/>
      <c r="I232" s="29"/>
    </row>
    <row r="233" spans="1:9" s="14" customFormat="1" ht="12.75" customHeight="1" x14ac:dyDescent="0.3">
      <c r="A233" s="67" t="s">
        <v>57</v>
      </c>
      <c r="B233" s="96" t="s">
        <v>58</v>
      </c>
      <c r="C233" s="45"/>
      <c r="D233" s="19"/>
      <c r="E233" s="10" t="s">
        <v>59</v>
      </c>
      <c r="F233" s="11">
        <v>117000</v>
      </c>
      <c r="G233" s="12"/>
      <c r="H233" s="13">
        <f>F233-I233</f>
        <v>66800</v>
      </c>
      <c r="I233" s="29">
        <v>50200</v>
      </c>
    </row>
    <row r="234" spans="1:9" s="14" customFormat="1" ht="12.75" customHeight="1" x14ac:dyDescent="0.35">
      <c r="A234" s="67"/>
      <c r="B234" s="163" t="s">
        <v>18</v>
      </c>
      <c r="C234" s="45"/>
      <c r="D234" s="19"/>
      <c r="E234" s="10" t="s">
        <v>249</v>
      </c>
      <c r="F234" s="11">
        <v>23000</v>
      </c>
      <c r="G234" s="12"/>
      <c r="H234" s="13"/>
      <c r="I234" s="29"/>
    </row>
    <row r="235" spans="1:9" s="14" customFormat="1" ht="12.75" customHeight="1" x14ac:dyDescent="0.3">
      <c r="A235" s="67"/>
      <c r="B235" s="163" t="s">
        <v>14</v>
      </c>
      <c r="C235" s="45"/>
      <c r="D235" s="19"/>
      <c r="E235" s="10"/>
      <c r="F235" s="11"/>
      <c r="G235" s="12"/>
      <c r="H235" s="13"/>
      <c r="I235" s="29"/>
    </row>
    <row r="236" spans="1:9" s="14" customFormat="1" ht="12.75" customHeight="1" x14ac:dyDescent="0.3">
      <c r="A236" s="67"/>
      <c r="B236" s="163" t="s">
        <v>15</v>
      </c>
      <c r="C236" s="45"/>
      <c r="D236" s="19"/>
      <c r="E236" s="10" t="s">
        <v>250</v>
      </c>
      <c r="F236" s="108">
        <f>SUM(F233:F235)</f>
        <v>140000</v>
      </c>
      <c r="G236" s="12"/>
      <c r="H236" s="13"/>
      <c r="I236" s="29"/>
    </row>
    <row r="237" spans="1:9" s="14" customFormat="1" ht="12.75" customHeight="1" x14ac:dyDescent="0.3">
      <c r="A237" s="67"/>
      <c r="B237" s="163" t="s">
        <v>16</v>
      </c>
      <c r="C237" s="45"/>
      <c r="D237" s="19"/>
      <c r="E237" s="10"/>
      <c r="F237" s="11"/>
      <c r="G237" s="12"/>
      <c r="H237" s="13"/>
      <c r="I237" s="29"/>
    </row>
    <row r="238" spans="1:9" s="14" customFormat="1" ht="12.75" customHeight="1" x14ac:dyDescent="0.3">
      <c r="A238" s="67"/>
      <c r="B238" s="163" t="s">
        <v>17</v>
      </c>
      <c r="C238" s="45"/>
      <c r="D238" s="19"/>
      <c r="E238" s="10"/>
      <c r="F238" s="11"/>
      <c r="G238" s="12"/>
      <c r="H238" s="13"/>
      <c r="I238" s="29"/>
    </row>
    <row r="239" spans="1:9" s="14" customFormat="1" ht="12.75" customHeight="1" x14ac:dyDescent="0.3">
      <c r="A239" s="87"/>
      <c r="B239" s="166"/>
      <c r="C239" s="46"/>
      <c r="D239" s="20"/>
      <c r="E239" s="15"/>
      <c r="F239" s="16"/>
      <c r="G239" s="17"/>
      <c r="H239" s="18"/>
      <c r="I239" s="31"/>
    </row>
    <row r="240" spans="1:9" s="14" customFormat="1" ht="12.75" customHeight="1" x14ac:dyDescent="0.3">
      <c r="A240" s="67"/>
      <c r="B240" s="163"/>
      <c r="C240" s="45"/>
      <c r="D240" s="19"/>
      <c r="E240" s="10"/>
      <c r="F240" s="11"/>
      <c r="G240" s="12"/>
      <c r="H240" s="13"/>
      <c r="I240" s="29"/>
    </row>
    <row r="241" spans="1:9" s="14" customFormat="1" ht="12.75" customHeight="1" x14ac:dyDescent="0.3">
      <c r="A241" s="67" t="s">
        <v>121</v>
      </c>
      <c r="B241" s="96" t="s">
        <v>20</v>
      </c>
      <c r="C241" s="45"/>
      <c r="D241" s="19"/>
      <c r="E241" s="10" t="s">
        <v>19</v>
      </c>
      <c r="F241" s="11">
        <v>40000</v>
      </c>
      <c r="G241" s="12"/>
      <c r="H241" s="13">
        <f>F241-I241</f>
        <v>32000</v>
      </c>
      <c r="I241" s="29">
        <v>8000</v>
      </c>
    </row>
    <row r="242" spans="1:9" s="14" customFormat="1" ht="12.75" customHeight="1" x14ac:dyDescent="0.3">
      <c r="A242" s="67"/>
      <c r="B242" s="163" t="s">
        <v>251</v>
      </c>
      <c r="C242" s="45"/>
      <c r="D242" s="19"/>
      <c r="E242" s="10"/>
      <c r="F242" s="11"/>
      <c r="G242" s="12"/>
      <c r="H242" s="13"/>
      <c r="I242" s="29"/>
    </row>
    <row r="243" spans="1:9" s="14" customFormat="1" ht="12.75" customHeight="1" x14ac:dyDescent="0.3">
      <c r="A243" s="87"/>
      <c r="B243" s="166"/>
      <c r="C243" s="46"/>
      <c r="D243" s="20"/>
      <c r="E243" s="15"/>
      <c r="F243" s="16"/>
      <c r="G243" s="17"/>
      <c r="H243" s="18"/>
      <c r="I243" s="31"/>
    </row>
    <row r="244" spans="1:9" s="14" customFormat="1" ht="12.75" customHeight="1" x14ac:dyDescent="0.3">
      <c r="A244" s="67"/>
      <c r="B244" s="163"/>
      <c r="C244" s="45"/>
      <c r="D244" s="19"/>
      <c r="E244" s="10"/>
      <c r="F244" s="11"/>
      <c r="G244" s="12"/>
      <c r="H244" s="13"/>
      <c r="I244" s="29"/>
    </row>
    <row r="245" spans="1:9" s="14" customFormat="1" ht="12.75" customHeight="1" x14ac:dyDescent="0.3">
      <c r="A245" s="67" t="s">
        <v>122</v>
      </c>
      <c r="B245" s="96" t="s">
        <v>21</v>
      </c>
      <c r="C245" s="45"/>
      <c r="D245" s="19"/>
      <c r="E245" s="10" t="s">
        <v>59</v>
      </c>
      <c r="F245" s="11">
        <v>40000</v>
      </c>
      <c r="G245" s="12"/>
      <c r="H245" s="13">
        <f>F245-I245</f>
        <v>28000</v>
      </c>
      <c r="I245" s="29">
        <v>12000</v>
      </c>
    </row>
    <row r="246" spans="1:9" s="14" customFormat="1" ht="12.75" customHeight="1" x14ac:dyDescent="0.3">
      <c r="A246" s="67"/>
      <c r="B246" s="163" t="s">
        <v>252</v>
      </c>
      <c r="C246" s="45"/>
      <c r="D246" s="19"/>
      <c r="E246" s="10"/>
      <c r="F246" s="11"/>
      <c r="G246" s="12"/>
      <c r="H246" s="13"/>
      <c r="I246" s="29"/>
    </row>
    <row r="247" spans="1:9" s="14" customFormat="1" ht="12.75" customHeight="1" x14ac:dyDescent="0.3">
      <c r="A247" s="87"/>
      <c r="B247" s="166"/>
      <c r="C247" s="46"/>
      <c r="D247" s="20"/>
      <c r="E247" s="15"/>
      <c r="F247" s="16"/>
      <c r="G247" s="17"/>
      <c r="H247" s="18"/>
      <c r="I247" s="31"/>
    </row>
    <row r="248" spans="1:9" s="14" customFormat="1" ht="12.75" customHeight="1" x14ac:dyDescent="0.3">
      <c r="A248" s="67"/>
      <c r="B248" s="163"/>
      <c r="C248" s="45"/>
      <c r="D248" s="19"/>
      <c r="E248" s="10"/>
      <c r="F248" s="11"/>
      <c r="G248" s="12"/>
      <c r="H248" s="13"/>
      <c r="I248" s="29"/>
    </row>
    <row r="249" spans="1:9" s="14" customFormat="1" ht="13.9" customHeight="1" x14ac:dyDescent="0.3">
      <c r="A249" s="67" t="s">
        <v>40</v>
      </c>
      <c r="B249" s="96" t="s">
        <v>41</v>
      </c>
      <c r="C249" s="45"/>
      <c r="D249" s="19"/>
      <c r="E249" s="10" t="s">
        <v>9</v>
      </c>
      <c r="F249" s="11">
        <v>10000</v>
      </c>
      <c r="G249" s="12"/>
      <c r="H249" s="13">
        <f>F250+F249-I249</f>
        <v>9999.9999999999964</v>
      </c>
      <c r="I249" s="29">
        <v>23356.12</v>
      </c>
    </row>
    <row r="250" spans="1:9" s="14" customFormat="1" ht="13.9" customHeight="1" x14ac:dyDescent="0.3">
      <c r="A250" s="67"/>
      <c r="B250" s="163" t="s">
        <v>253</v>
      </c>
      <c r="C250" s="45"/>
      <c r="D250" s="19"/>
      <c r="E250" s="10" t="s">
        <v>60</v>
      </c>
      <c r="F250" s="11">
        <v>23356.12</v>
      </c>
      <c r="G250" s="12"/>
      <c r="H250" s="13"/>
      <c r="I250" s="29"/>
    </row>
    <row r="251" spans="1:9" s="14" customFormat="1" ht="13.9" customHeight="1" x14ac:dyDescent="0.3">
      <c r="A251" s="67"/>
      <c r="B251" s="163" t="s">
        <v>42</v>
      </c>
      <c r="C251" s="45"/>
      <c r="D251" s="19"/>
      <c r="E251" s="10"/>
      <c r="F251" s="11"/>
      <c r="G251" s="12"/>
      <c r="H251" s="13"/>
      <c r="I251" s="29"/>
    </row>
    <row r="252" spans="1:9" s="14" customFormat="1" ht="13.9" customHeight="1" x14ac:dyDescent="0.3">
      <c r="A252" s="67"/>
      <c r="B252" s="163" t="s">
        <v>153</v>
      </c>
      <c r="C252" s="45"/>
      <c r="D252" s="19"/>
      <c r="E252" s="10"/>
      <c r="F252" s="11"/>
      <c r="G252" s="12"/>
      <c r="H252" s="13"/>
      <c r="I252" s="29"/>
    </row>
    <row r="253" spans="1:9" s="14" customFormat="1" ht="13.9" customHeight="1" x14ac:dyDescent="0.3">
      <c r="A253" s="67"/>
      <c r="B253" s="163" t="s">
        <v>257</v>
      </c>
      <c r="C253" s="45"/>
      <c r="D253" s="19"/>
      <c r="E253" s="10"/>
      <c r="F253" s="11"/>
      <c r="G253" s="12"/>
      <c r="H253" s="13"/>
      <c r="I253" s="29"/>
    </row>
    <row r="254" spans="1:9" s="14" customFormat="1" ht="13.9" customHeight="1" x14ac:dyDescent="0.3">
      <c r="A254" s="87"/>
      <c r="B254" s="166"/>
      <c r="C254" s="46"/>
      <c r="D254" s="20"/>
      <c r="E254" s="15"/>
      <c r="F254" s="16"/>
      <c r="G254" s="17"/>
      <c r="H254" s="18"/>
      <c r="I254" s="31"/>
    </row>
    <row r="255" spans="1:9" s="14" customFormat="1" ht="13.9" customHeight="1" x14ac:dyDescent="0.3">
      <c r="A255" s="67"/>
      <c r="B255" s="163"/>
      <c r="C255" s="45"/>
      <c r="D255" s="19"/>
      <c r="E255" s="10"/>
      <c r="F255" s="11"/>
      <c r="G255" s="12"/>
      <c r="H255" s="13"/>
      <c r="I255" s="29"/>
    </row>
    <row r="256" spans="1:9" s="14" customFormat="1" ht="13.9" customHeight="1" x14ac:dyDescent="0.3">
      <c r="A256" s="67" t="s">
        <v>43</v>
      </c>
      <c r="B256" s="96" t="s">
        <v>86</v>
      </c>
      <c r="C256" s="45"/>
      <c r="D256" s="19"/>
      <c r="E256" s="40" t="s">
        <v>123</v>
      </c>
      <c r="F256" s="14">
        <v>20985.15</v>
      </c>
      <c r="G256" s="12"/>
      <c r="H256" s="13">
        <f>F256-I256</f>
        <v>14092.780000000002</v>
      </c>
      <c r="I256" s="29">
        <v>6892.37</v>
      </c>
    </row>
    <row r="257" spans="1:9" s="14" customFormat="1" ht="13.9" customHeight="1" x14ac:dyDescent="0.3">
      <c r="A257" s="67"/>
      <c r="B257" s="163" t="s">
        <v>87</v>
      </c>
      <c r="C257" s="45"/>
      <c r="D257" s="19"/>
      <c r="E257" s="10"/>
      <c r="F257" s="11"/>
      <c r="G257" s="12"/>
      <c r="H257" s="13"/>
      <c r="I257" s="29"/>
    </row>
    <row r="258" spans="1:9" s="14" customFormat="1" ht="13.9" customHeight="1" x14ac:dyDescent="0.3">
      <c r="A258" s="67"/>
      <c r="B258" s="163" t="s">
        <v>0</v>
      </c>
      <c r="C258" s="45"/>
      <c r="D258" s="19"/>
      <c r="E258" s="10" t="s">
        <v>178</v>
      </c>
      <c r="F258" s="11"/>
      <c r="G258" s="12"/>
      <c r="H258" s="13"/>
      <c r="I258" s="29"/>
    </row>
    <row r="259" spans="1:9" s="14" customFormat="1" ht="13.9" customHeight="1" x14ac:dyDescent="0.3">
      <c r="A259" s="87"/>
      <c r="B259" s="166"/>
      <c r="C259" s="46"/>
      <c r="D259" s="20"/>
      <c r="E259" s="15"/>
      <c r="F259" s="16"/>
      <c r="G259" s="17"/>
      <c r="H259" s="18"/>
      <c r="I259" s="31"/>
    </row>
    <row r="260" spans="1:9" s="14" customFormat="1" ht="13.9" customHeight="1" x14ac:dyDescent="0.3">
      <c r="A260" s="67"/>
      <c r="B260" s="163"/>
      <c r="C260" s="45"/>
      <c r="D260" s="19"/>
      <c r="E260" s="10"/>
      <c r="F260" s="11"/>
      <c r="G260" s="12"/>
      <c r="H260" s="13"/>
      <c r="I260" s="29"/>
    </row>
    <row r="261" spans="1:9" s="14" customFormat="1" ht="13.9" customHeight="1" x14ac:dyDescent="0.3">
      <c r="A261" s="67" t="s">
        <v>67</v>
      </c>
      <c r="B261" s="96" t="s">
        <v>258</v>
      </c>
      <c r="C261" s="45"/>
      <c r="D261" s="19"/>
      <c r="E261" s="40" t="s">
        <v>123</v>
      </c>
      <c r="F261" s="11">
        <v>206.55</v>
      </c>
      <c r="G261" s="12"/>
      <c r="H261" s="13">
        <v>76227</v>
      </c>
      <c r="I261" s="29">
        <v>0</v>
      </c>
    </row>
    <row r="262" spans="1:9" s="14" customFormat="1" ht="13.9" customHeight="1" x14ac:dyDescent="0.3">
      <c r="A262" s="67"/>
      <c r="B262" s="163" t="s">
        <v>259</v>
      </c>
      <c r="C262" s="45"/>
      <c r="D262" s="19"/>
      <c r="E262" s="10"/>
      <c r="F262" s="11"/>
      <c r="G262" s="12"/>
      <c r="H262" s="13"/>
      <c r="I262" s="29"/>
    </row>
    <row r="263" spans="1:9" s="14" customFormat="1" ht="13.9" customHeight="1" x14ac:dyDescent="0.3">
      <c r="A263" s="67"/>
      <c r="B263" s="163" t="s">
        <v>88</v>
      </c>
      <c r="C263" s="45"/>
      <c r="D263" s="19"/>
      <c r="E263" s="10" t="s">
        <v>168</v>
      </c>
      <c r="F263" s="11">
        <v>76019.850000000006</v>
      </c>
      <c r="G263" s="12"/>
      <c r="H263" s="13"/>
      <c r="I263" s="82" t="s">
        <v>167</v>
      </c>
    </row>
    <row r="264" spans="1:9" s="14" customFormat="1" ht="13.9" customHeight="1" x14ac:dyDescent="0.3">
      <c r="A264" s="67"/>
      <c r="B264" s="163" t="s">
        <v>260</v>
      </c>
      <c r="C264" s="45"/>
      <c r="D264" s="19"/>
      <c r="E264" s="10"/>
      <c r="F264" s="11"/>
      <c r="G264" s="12"/>
      <c r="H264" s="13"/>
      <c r="I264" s="29"/>
    </row>
    <row r="265" spans="1:9" s="14" customFormat="1" ht="13.9" customHeight="1" x14ac:dyDescent="0.3">
      <c r="A265" s="67"/>
      <c r="B265" s="163" t="s">
        <v>33</v>
      </c>
      <c r="C265" s="45"/>
      <c r="D265" s="19"/>
      <c r="E265" s="10"/>
      <c r="F265" s="11"/>
      <c r="G265" s="12"/>
      <c r="H265" s="13"/>
      <c r="I265" s="29"/>
    </row>
    <row r="266" spans="1:9" s="14" customFormat="1" ht="13.9" customHeight="1" x14ac:dyDescent="0.3">
      <c r="A266" s="87"/>
      <c r="B266" s="166"/>
      <c r="C266" s="46"/>
      <c r="D266" s="20"/>
      <c r="E266" s="15"/>
      <c r="F266" s="16"/>
      <c r="G266" s="17"/>
      <c r="H266" s="18"/>
      <c r="I266" s="31"/>
    </row>
    <row r="267" spans="1:9" s="14" customFormat="1" ht="13.9" customHeight="1" x14ac:dyDescent="0.3">
      <c r="A267" s="67"/>
      <c r="B267" s="163"/>
      <c r="C267" s="45"/>
      <c r="D267" s="19"/>
      <c r="E267" s="10"/>
      <c r="F267" s="11"/>
      <c r="G267" s="12"/>
      <c r="H267" s="13"/>
      <c r="I267" s="29"/>
    </row>
    <row r="268" spans="1:9" s="14" customFormat="1" ht="13.9" customHeight="1" x14ac:dyDescent="0.3">
      <c r="A268" s="67" t="s">
        <v>124</v>
      </c>
      <c r="B268" s="96" t="s">
        <v>307</v>
      </c>
      <c r="C268" s="45"/>
      <c r="D268" s="19"/>
      <c r="E268" s="40" t="s">
        <v>123</v>
      </c>
      <c r="F268" s="11">
        <v>-35814.14</v>
      </c>
      <c r="G268" s="12"/>
      <c r="H268" s="13">
        <v>1559</v>
      </c>
      <c r="I268" s="29">
        <v>-37373.22</v>
      </c>
    </row>
    <row r="269" spans="1:9" s="14" customFormat="1" ht="13.9" customHeight="1" x14ac:dyDescent="0.3">
      <c r="A269" s="67"/>
      <c r="B269" s="163" t="s">
        <v>261</v>
      </c>
      <c r="C269" s="45"/>
      <c r="D269" s="19"/>
      <c r="E269" s="10"/>
      <c r="F269" s="11"/>
      <c r="G269" s="12"/>
      <c r="H269" s="13"/>
      <c r="I269" s="29"/>
    </row>
    <row r="270" spans="1:9" s="14" customFormat="1" ht="13.9" customHeight="1" x14ac:dyDescent="0.35">
      <c r="A270" s="67"/>
      <c r="B270" s="163" t="s">
        <v>262</v>
      </c>
      <c r="C270" s="45"/>
      <c r="D270" s="19"/>
      <c r="E270" s="10" t="s">
        <v>263</v>
      </c>
      <c r="F270" s="11"/>
      <c r="G270" s="12"/>
      <c r="H270" s="13"/>
      <c r="I270" s="29"/>
    </row>
    <row r="271" spans="1:9" s="14" customFormat="1" ht="13.9" customHeight="1" x14ac:dyDescent="0.3">
      <c r="A271" s="87"/>
      <c r="B271" s="166"/>
      <c r="C271" s="46"/>
      <c r="D271" s="20"/>
      <c r="E271" s="15"/>
      <c r="F271" s="16"/>
      <c r="G271" s="17"/>
      <c r="H271" s="18"/>
      <c r="I271" s="31"/>
    </row>
    <row r="272" spans="1:9" s="14" customFormat="1" ht="13.9" customHeight="1" x14ac:dyDescent="0.3">
      <c r="A272" s="67"/>
      <c r="B272" s="163"/>
      <c r="C272" s="45"/>
      <c r="D272" s="19"/>
      <c r="E272" s="10"/>
      <c r="F272" s="11"/>
      <c r="G272" s="12"/>
      <c r="H272" s="13"/>
      <c r="I272" s="29"/>
    </row>
    <row r="273" spans="1:9" s="14" customFormat="1" ht="13.9" customHeight="1" x14ac:dyDescent="0.3">
      <c r="A273" s="67" t="s">
        <v>61</v>
      </c>
      <c r="B273" s="96" t="s">
        <v>66</v>
      </c>
      <c r="C273" s="45"/>
      <c r="D273" s="19"/>
      <c r="E273" s="10" t="s">
        <v>22</v>
      </c>
      <c r="F273" s="11">
        <v>92282.6</v>
      </c>
      <c r="G273" s="12"/>
      <c r="H273" s="13">
        <v>94928</v>
      </c>
      <c r="I273" s="29">
        <f>F273-H273</f>
        <v>-2645.3999999999942</v>
      </c>
    </row>
    <row r="274" spans="1:9" s="14" customFormat="1" ht="13.9" customHeight="1" x14ac:dyDescent="0.3">
      <c r="A274" s="67"/>
      <c r="B274" s="163" t="s">
        <v>264</v>
      </c>
      <c r="C274" s="45"/>
      <c r="D274" s="19"/>
      <c r="E274" s="40"/>
      <c r="F274" s="11"/>
      <c r="G274" s="12"/>
      <c r="H274" s="13"/>
      <c r="I274" s="29"/>
    </row>
    <row r="275" spans="1:9" s="14" customFormat="1" ht="13.9" customHeight="1" x14ac:dyDescent="0.3">
      <c r="A275" s="67"/>
      <c r="B275" s="163" t="s">
        <v>265</v>
      </c>
      <c r="C275" s="45"/>
      <c r="D275" s="19"/>
      <c r="E275" s="217" t="s">
        <v>254</v>
      </c>
      <c r="F275" s="11"/>
      <c r="G275" s="12"/>
      <c r="H275" s="13"/>
      <c r="I275" s="29"/>
    </row>
    <row r="276" spans="1:9" s="14" customFormat="1" ht="13.9" customHeight="1" x14ac:dyDescent="0.3">
      <c r="A276" s="67"/>
      <c r="B276" s="163" t="s">
        <v>23</v>
      </c>
      <c r="C276" s="45"/>
      <c r="D276" s="19"/>
      <c r="E276" s="10" t="s">
        <v>199</v>
      </c>
      <c r="F276" s="11">
        <v>3093</v>
      </c>
      <c r="G276" s="12"/>
      <c r="H276" s="13"/>
      <c r="I276" s="29"/>
    </row>
    <row r="277" spans="1:9" s="14" customFormat="1" ht="13.9" customHeight="1" x14ac:dyDescent="0.3">
      <c r="A277" s="67"/>
      <c r="B277" s="163" t="s">
        <v>24</v>
      </c>
      <c r="C277" s="45"/>
      <c r="D277" s="19"/>
      <c r="E277" s="10" t="s">
        <v>200</v>
      </c>
      <c r="F277" s="11">
        <v>8365</v>
      </c>
      <c r="G277" s="12"/>
      <c r="H277" s="13"/>
      <c r="I277" s="29"/>
    </row>
    <row r="278" spans="1:9" s="14" customFormat="1" ht="13.9" customHeight="1" x14ac:dyDescent="0.3">
      <c r="A278" s="87"/>
      <c r="B278" s="166"/>
      <c r="C278" s="46"/>
      <c r="D278" s="20"/>
      <c r="E278" s="15"/>
      <c r="F278" s="16"/>
      <c r="G278" s="17"/>
      <c r="H278" s="18"/>
      <c r="I278" s="31"/>
    </row>
    <row r="279" spans="1:9" s="14" customFormat="1" ht="13.9" customHeight="1" x14ac:dyDescent="0.3">
      <c r="A279" s="181"/>
      <c r="B279" s="163"/>
      <c r="C279" s="45"/>
      <c r="D279" s="19"/>
      <c r="E279" s="10"/>
      <c r="F279" s="11"/>
      <c r="G279" s="12"/>
      <c r="H279" s="13"/>
      <c r="I279" s="29"/>
    </row>
    <row r="280" spans="1:9" s="14" customFormat="1" ht="13.9" customHeight="1" x14ac:dyDescent="0.3">
      <c r="A280" s="67" t="s">
        <v>62</v>
      </c>
      <c r="B280" s="96" t="s">
        <v>63</v>
      </c>
      <c r="C280" s="45"/>
      <c r="D280" s="19"/>
      <c r="E280" s="10" t="s">
        <v>64</v>
      </c>
      <c r="F280" s="11">
        <v>10000</v>
      </c>
      <c r="G280" s="12"/>
      <c r="H280" s="13">
        <f>F283-I280</f>
        <v>94777.540000000008</v>
      </c>
      <c r="I280" s="29">
        <v>22802.31</v>
      </c>
    </row>
    <row r="281" spans="1:9" s="14" customFormat="1" ht="13.9" customHeight="1" x14ac:dyDescent="0.3">
      <c r="A281" s="67"/>
      <c r="B281" s="163" t="s">
        <v>337</v>
      </c>
      <c r="C281" s="45"/>
      <c r="D281" s="19"/>
      <c r="E281" s="10" t="s">
        <v>168</v>
      </c>
      <c r="F281" s="11">
        <v>76019.850000000006</v>
      </c>
      <c r="G281" s="12"/>
      <c r="H281" s="13"/>
      <c r="I281" s="29"/>
    </row>
    <row r="282" spans="1:9" s="14" customFormat="1" ht="13.9" customHeight="1" x14ac:dyDescent="0.3">
      <c r="A282" s="67"/>
      <c r="B282" s="163" t="s">
        <v>338</v>
      </c>
      <c r="C282" s="45"/>
      <c r="D282" s="19"/>
      <c r="E282" s="10" t="s">
        <v>65</v>
      </c>
      <c r="F282" s="11">
        <v>31560</v>
      </c>
      <c r="G282" s="12"/>
      <c r="H282" s="13"/>
      <c r="I282" s="29"/>
    </row>
    <row r="283" spans="1:9" s="14" customFormat="1" ht="13.9" customHeight="1" x14ac:dyDescent="0.3">
      <c r="A283" s="67"/>
      <c r="B283" s="163" t="s">
        <v>339</v>
      </c>
      <c r="C283" s="45"/>
      <c r="D283" s="19"/>
      <c r="E283" s="151" t="s">
        <v>89</v>
      </c>
      <c r="F283" s="169">
        <f>SUM(F280:F282)</f>
        <v>117579.85</v>
      </c>
      <c r="G283" s="12"/>
      <c r="H283" s="13"/>
      <c r="I283" s="29"/>
    </row>
    <row r="284" spans="1:9" s="14" customFormat="1" ht="13.9" customHeight="1" x14ac:dyDescent="0.3">
      <c r="A284" s="67"/>
      <c r="B284" s="180" t="s">
        <v>340</v>
      </c>
      <c r="C284" s="45"/>
      <c r="D284" s="19"/>
      <c r="E284" s="151"/>
      <c r="F284" s="212"/>
      <c r="G284" s="12"/>
      <c r="H284" s="13"/>
      <c r="I284" s="29"/>
    </row>
    <row r="285" spans="1:9" s="14" customFormat="1" ht="13.9" customHeight="1" x14ac:dyDescent="0.3">
      <c r="A285" s="87"/>
      <c r="B285" s="166"/>
      <c r="C285" s="46"/>
      <c r="D285" s="20"/>
      <c r="E285" s="15"/>
      <c r="F285" s="16"/>
      <c r="G285" s="17"/>
      <c r="H285" s="18"/>
      <c r="I285" s="31"/>
    </row>
    <row r="286" spans="1:9" s="14" customFormat="1" ht="13.9" customHeight="1" x14ac:dyDescent="0.3">
      <c r="A286" s="67"/>
      <c r="B286" s="163"/>
      <c r="C286" s="45"/>
      <c r="D286" s="19"/>
      <c r="E286" s="10"/>
      <c r="F286" s="11"/>
      <c r="G286" s="12"/>
      <c r="H286" s="13"/>
      <c r="I286" s="29"/>
    </row>
    <row r="287" spans="1:9" s="14" customFormat="1" ht="13.9" customHeight="1" x14ac:dyDescent="0.3">
      <c r="A287" s="67" t="s">
        <v>68</v>
      </c>
      <c r="B287" s="96" t="s">
        <v>72</v>
      </c>
      <c r="C287" s="45"/>
      <c r="D287" s="19"/>
      <c r="E287" s="10" t="s">
        <v>71</v>
      </c>
      <c r="F287" s="11">
        <v>38828</v>
      </c>
      <c r="G287" s="12"/>
      <c r="H287" s="13">
        <v>44789</v>
      </c>
      <c r="I287" s="29">
        <v>-5961.13</v>
      </c>
    </row>
    <row r="288" spans="1:9" s="14" customFormat="1" ht="13.9" customHeight="1" x14ac:dyDescent="0.3">
      <c r="A288" s="67"/>
      <c r="B288" s="163" t="s">
        <v>341</v>
      </c>
      <c r="C288" s="45"/>
      <c r="D288" s="19"/>
      <c r="E288" s="10"/>
      <c r="F288" s="11"/>
      <c r="G288" s="12"/>
      <c r="H288" s="13"/>
      <c r="I288" s="29"/>
    </row>
    <row r="289" spans="1:9" s="14" customFormat="1" ht="13.9" customHeight="1" x14ac:dyDescent="0.3">
      <c r="A289" s="67"/>
      <c r="B289" s="163" t="s">
        <v>342</v>
      </c>
      <c r="C289" s="45"/>
      <c r="D289" s="19"/>
      <c r="E289" s="10" t="s">
        <v>266</v>
      </c>
      <c r="F289" s="11">
        <v>24200</v>
      </c>
      <c r="G289" s="12"/>
      <c r="H289" s="13"/>
      <c r="I289" s="29"/>
    </row>
    <row r="290" spans="1:9" s="14" customFormat="1" ht="13.9" customHeight="1" x14ac:dyDescent="0.3">
      <c r="A290" s="67"/>
      <c r="B290" s="163" t="s">
        <v>343</v>
      </c>
      <c r="C290" s="45"/>
      <c r="D290" s="19"/>
      <c r="E290" s="10"/>
      <c r="F290" s="11"/>
      <c r="G290" s="12"/>
      <c r="H290" s="13"/>
      <c r="I290" s="29"/>
    </row>
    <row r="291" spans="1:9" s="14" customFormat="1" ht="13.9" customHeight="1" x14ac:dyDescent="0.3">
      <c r="A291" s="67"/>
      <c r="B291" s="163" t="s">
        <v>344</v>
      </c>
      <c r="C291" s="45"/>
      <c r="D291" s="19"/>
      <c r="E291" s="10"/>
      <c r="F291" s="11"/>
      <c r="G291" s="12"/>
      <c r="H291" s="13"/>
      <c r="I291" s="29"/>
    </row>
    <row r="292" spans="1:9" s="14" customFormat="1" ht="13.9" customHeight="1" x14ac:dyDescent="0.3">
      <c r="A292" s="87"/>
      <c r="B292" s="166"/>
      <c r="C292" s="46"/>
      <c r="D292" s="20"/>
      <c r="E292" s="15"/>
      <c r="F292" s="16"/>
      <c r="G292" s="17"/>
      <c r="H292" s="18"/>
      <c r="I292" s="31"/>
    </row>
    <row r="293" spans="1:9" s="14" customFormat="1" ht="13.9" customHeight="1" x14ac:dyDescent="0.3">
      <c r="A293" s="67"/>
      <c r="B293" s="163"/>
      <c r="C293" s="45"/>
      <c r="D293" s="19"/>
      <c r="E293" s="10"/>
      <c r="F293" s="11"/>
      <c r="G293" s="12"/>
      <c r="H293" s="13"/>
      <c r="I293" s="29"/>
    </row>
    <row r="294" spans="1:9" s="14" customFormat="1" ht="13.9" customHeight="1" x14ac:dyDescent="0.3">
      <c r="A294" s="67" t="s">
        <v>70</v>
      </c>
      <c r="B294" s="96" t="s">
        <v>345</v>
      </c>
      <c r="C294" s="45"/>
      <c r="D294" s="19"/>
      <c r="E294" s="10" t="s">
        <v>184</v>
      </c>
      <c r="F294" s="11">
        <v>9625.94</v>
      </c>
      <c r="G294" s="12"/>
      <c r="H294" s="13"/>
      <c r="I294" s="29">
        <v>9625.94</v>
      </c>
    </row>
    <row r="295" spans="1:9" s="14" customFormat="1" ht="13.9" customHeight="1" x14ac:dyDescent="0.3">
      <c r="A295" s="67"/>
      <c r="B295" s="163" t="s">
        <v>267</v>
      </c>
      <c r="C295" s="45"/>
      <c r="D295" s="19"/>
      <c r="E295" s="10"/>
      <c r="F295" s="11"/>
      <c r="G295" s="12"/>
      <c r="H295" s="13"/>
      <c r="I295" s="29"/>
    </row>
    <row r="296" spans="1:9" s="14" customFormat="1" ht="13.9" customHeight="1" x14ac:dyDescent="0.3">
      <c r="A296" s="67"/>
      <c r="B296" s="163" t="s">
        <v>268</v>
      </c>
      <c r="C296" s="45"/>
      <c r="D296" s="19"/>
      <c r="E296" s="10"/>
      <c r="F296" s="11"/>
      <c r="G296" s="12"/>
      <c r="H296" s="13"/>
      <c r="I296" s="29"/>
    </row>
    <row r="297" spans="1:9" s="14" customFormat="1" ht="13.9" customHeight="1" x14ac:dyDescent="0.3">
      <c r="A297" s="87"/>
      <c r="B297" s="166"/>
      <c r="C297" s="46"/>
      <c r="D297" s="20"/>
      <c r="E297" s="127"/>
      <c r="F297" s="15"/>
      <c r="G297" s="17"/>
      <c r="H297" s="18"/>
      <c r="I297" s="31"/>
    </row>
    <row r="298" spans="1:9" s="14" customFormat="1" ht="13.9" customHeight="1" x14ac:dyDescent="0.3">
      <c r="A298" s="67"/>
      <c r="B298" s="163"/>
      <c r="C298" s="45"/>
      <c r="D298" s="19"/>
      <c r="E298" s="10"/>
      <c r="F298" s="11"/>
      <c r="G298" s="12"/>
      <c r="H298" s="13"/>
      <c r="I298" s="29"/>
    </row>
    <row r="299" spans="1:9" s="14" customFormat="1" ht="13.9" customHeight="1" x14ac:dyDescent="0.3">
      <c r="A299" s="67" t="s">
        <v>69</v>
      </c>
      <c r="B299" s="96" t="s">
        <v>308</v>
      </c>
      <c r="C299" s="45"/>
      <c r="D299" s="19"/>
      <c r="E299" s="14" t="s">
        <v>73</v>
      </c>
      <c r="F299" s="14">
        <v>43399</v>
      </c>
      <c r="G299" s="12"/>
      <c r="H299" s="13">
        <f>F304-I299</f>
        <v>5664.4499999999971</v>
      </c>
      <c r="I299" s="29">
        <v>85365.440000000002</v>
      </c>
    </row>
    <row r="300" spans="1:9" s="14" customFormat="1" ht="13.9" customHeight="1" x14ac:dyDescent="0.3">
      <c r="A300" s="67"/>
      <c r="B300" s="163" t="s">
        <v>270</v>
      </c>
      <c r="C300" s="45"/>
      <c r="E300" s="10" t="s">
        <v>334</v>
      </c>
      <c r="F300" s="11">
        <v>4140.8900000000003</v>
      </c>
      <c r="G300" s="12"/>
      <c r="H300" s="13"/>
      <c r="I300" s="29"/>
    </row>
    <row r="301" spans="1:9" s="14" customFormat="1" ht="13.9" customHeight="1" x14ac:dyDescent="0.3">
      <c r="A301" s="67"/>
      <c r="B301" s="163" t="s">
        <v>269</v>
      </c>
      <c r="C301" s="45"/>
      <c r="D301" s="19"/>
      <c r="E301" s="10" t="s">
        <v>74</v>
      </c>
      <c r="F301" s="11">
        <v>4000</v>
      </c>
      <c r="G301" s="12"/>
      <c r="H301" s="13"/>
      <c r="I301" s="29"/>
    </row>
    <row r="302" spans="1:9" s="14" customFormat="1" ht="13.9" customHeight="1" x14ac:dyDescent="0.3">
      <c r="A302" s="67"/>
      <c r="B302" s="163"/>
      <c r="C302" s="45"/>
      <c r="D302" s="19"/>
      <c r="E302" s="10" t="s">
        <v>335</v>
      </c>
      <c r="F302" s="11">
        <v>39490</v>
      </c>
      <c r="G302" s="12"/>
      <c r="H302" s="13"/>
      <c r="I302" s="29"/>
    </row>
    <row r="303" spans="1:9" s="14" customFormat="1" ht="13.9" customHeight="1" x14ac:dyDescent="0.3">
      <c r="A303" s="67"/>
      <c r="B303" s="163"/>
      <c r="C303" s="45"/>
      <c r="D303" s="19"/>
      <c r="E303" s="10"/>
      <c r="F303" s="11"/>
      <c r="G303" s="12"/>
      <c r="H303" s="13"/>
      <c r="I303" s="29"/>
    </row>
    <row r="304" spans="1:9" s="14" customFormat="1" ht="13.9" customHeight="1" x14ac:dyDescent="0.3">
      <c r="A304" s="67"/>
      <c r="B304" s="163"/>
      <c r="C304" s="45"/>
      <c r="D304" s="19"/>
      <c r="E304" s="9" t="s">
        <v>89</v>
      </c>
      <c r="F304" s="108">
        <f>SUM(F299:F303)</f>
        <v>91029.89</v>
      </c>
      <c r="G304" s="12"/>
      <c r="H304" s="13"/>
      <c r="I304" s="29"/>
    </row>
    <row r="305" spans="1:11" s="14" customFormat="1" ht="13.9" customHeight="1" x14ac:dyDescent="0.3">
      <c r="A305" s="87"/>
      <c r="B305" s="166"/>
      <c r="C305" s="46"/>
      <c r="D305" s="20"/>
      <c r="E305" s="127"/>
      <c r="F305" s="15"/>
      <c r="G305" s="17"/>
      <c r="H305" s="18"/>
      <c r="I305" s="31"/>
    </row>
    <row r="306" spans="1:11" s="14" customFormat="1" ht="13.9" customHeight="1" x14ac:dyDescent="0.3">
      <c r="A306" s="67"/>
      <c r="B306" s="163"/>
      <c r="C306" s="45"/>
      <c r="D306" s="19"/>
      <c r="E306" s="9"/>
      <c r="F306" s="10"/>
      <c r="G306" s="12"/>
      <c r="H306" s="13"/>
      <c r="I306" s="29"/>
    </row>
    <row r="307" spans="1:11" s="14" customFormat="1" ht="13.9" customHeight="1" x14ac:dyDescent="0.3">
      <c r="A307" s="67" t="s">
        <v>75</v>
      </c>
      <c r="B307" s="96" t="s">
        <v>76</v>
      </c>
      <c r="C307" s="45"/>
      <c r="D307" s="19"/>
      <c r="E307" s="27" t="s">
        <v>77</v>
      </c>
      <c r="F307" s="10">
        <v>22532.959999999999</v>
      </c>
      <c r="G307" s="12"/>
      <c r="H307" s="13"/>
      <c r="I307" s="29">
        <v>22532.959999999999</v>
      </c>
    </row>
    <row r="308" spans="1:11" s="14" customFormat="1" ht="13.9" customHeight="1" x14ac:dyDescent="0.3">
      <c r="A308" s="67"/>
      <c r="B308" s="163" t="s">
        <v>333</v>
      </c>
      <c r="C308" s="45"/>
      <c r="D308" s="19"/>
      <c r="E308" s="9"/>
      <c r="F308" s="10"/>
      <c r="G308" s="12"/>
      <c r="H308" s="13"/>
      <c r="I308" s="29"/>
    </row>
    <row r="309" spans="1:11" s="14" customFormat="1" ht="13.9" customHeight="1" x14ac:dyDescent="0.3">
      <c r="A309" s="67"/>
      <c r="B309" s="163" t="s">
        <v>336</v>
      </c>
      <c r="C309" s="45"/>
      <c r="D309" s="19"/>
      <c r="E309" s="9"/>
      <c r="F309" s="10"/>
      <c r="G309" s="12"/>
      <c r="H309" s="13"/>
      <c r="I309" s="29"/>
    </row>
    <row r="310" spans="1:11" s="14" customFormat="1" ht="13.9" customHeight="1" x14ac:dyDescent="0.3">
      <c r="A310" s="67"/>
      <c r="B310" s="163" t="s">
        <v>271</v>
      </c>
      <c r="C310" s="45"/>
      <c r="D310" s="19"/>
      <c r="E310" s="9"/>
      <c r="F310" s="10"/>
      <c r="G310" s="12"/>
      <c r="H310" s="13"/>
      <c r="I310" s="29"/>
    </row>
    <row r="311" spans="1:11" s="14" customFormat="1" ht="13.9" customHeight="1" x14ac:dyDescent="0.3">
      <c r="A311" s="67"/>
      <c r="B311" s="163" t="s">
        <v>272</v>
      </c>
      <c r="C311" s="45"/>
      <c r="D311" s="19"/>
      <c r="E311" s="9"/>
      <c r="F311" s="10"/>
      <c r="G311" s="12"/>
      <c r="H311" s="13"/>
      <c r="I311" s="29"/>
    </row>
    <row r="312" spans="1:11" s="14" customFormat="1" ht="13.9" customHeight="1" x14ac:dyDescent="0.3">
      <c r="A312" s="87"/>
      <c r="B312" s="166"/>
      <c r="C312" s="46"/>
      <c r="D312" s="20"/>
      <c r="E312" s="127"/>
      <c r="F312" s="15"/>
      <c r="G312" s="17"/>
      <c r="H312" s="18"/>
      <c r="I312" s="31"/>
    </row>
    <row r="313" spans="1:11" s="14" customFormat="1" ht="13.9" customHeight="1" x14ac:dyDescent="0.3">
      <c r="A313" s="67"/>
      <c r="B313" s="163"/>
      <c r="C313" s="45"/>
      <c r="D313" s="19"/>
      <c r="E313" s="10"/>
      <c r="F313" s="11"/>
      <c r="G313" s="12"/>
      <c r="H313" s="13"/>
      <c r="I313" s="29"/>
    </row>
    <row r="314" spans="1:11" s="14" customFormat="1" ht="13.9" customHeight="1" x14ac:dyDescent="0.3">
      <c r="A314" s="67" t="s">
        <v>162</v>
      </c>
      <c r="B314" s="96" t="s">
        <v>293</v>
      </c>
      <c r="C314" s="47"/>
      <c r="D314" s="153"/>
      <c r="E314" s="118" t="s">
        <v>310</v>
      </c>
      <c r="F314" s="11">
        <v>173507.64</v>
      </c>
      <c r="G314" s="12"/>
      <c r="H314" s="26">
        <f>F314-I314</f>
        <v>34338</v>
      </c>
      <c r="I314" s="165">
        <v>139169.64000000001</v>
      </c>
    </row>
    <row r="315" spans="1:11" s="14" customFormat="1" ht="13.9" customHeight="1" x14ac:dyDescent="0.3">
      <c r="A315" s="158" t="s">
        <v>180</v>
      </c>
      <c r="B315" s="222" t="s">
        <v>1</v>
      </c>
      <c r="C315" s="44"/>
      <c r="D315" s="19"/>
      <c r="E315" s="118"/>
      <c r="F315" s="11"/>
      <c r="G315" s="12"/>
      <c r="H315" s="26"/>
      <c r="I315" s="34"/>
    </row>
    <row r="316" spans="1:11" s="14" customFormat="1" ht="13.9" customHeight="1" x14ac:dyDescent="0.3">
      <c r="A316" s="67" t="s">
        <v>312</v>
      </c>
      <c r="B316" s="224"/>
      <c r="C316" s="44"/>
      <c r="D316" s="19"/>
      <c r="E316" s="77"/>
      <c r="F316" s="11"/>
      <c r="G316" s="12"/>
      <c r="H316" s="13"/>
      <c r="I316" s="34"/>
    </row>
    <row r="317" spans="1:11" s="14" customFormat="1" ht="13.9" customHeight="1" x14ac:dyDescent="0.3">
      <c r="A317" s="67"/>
      <c r="B317" s="224"/>
      <c r="C317" s="44"/>
      <c r="D317" s="153"/>
      <c r="E317" s="83"/>
      <c r="F317" s="10"/>
      <c r="G317" s="12"/>
      <c r="H317" s="13"/>
      <c r="I317" s="34"/>
    </row>
    <row r="318" spans="1:11" s="14" customFormat="1" ht="13.9" customHeight="1" x14ac:dyDescent="0.3">
      <c r="A318" s="67"/>
      <c r="B318" s="185" t="s">
        <v>182</v>
      </c>
      <c r="C318" s="44"/>
      <c r="D318" s="153"/>
      <c r="E318" s="83"/>
      <c r="F318" s="10"/>
      <c r="G318" s="12"/>
      <c r="H318" s="13"/>
      <c r="I318" s="34"/>
      <c r="K318" s="160"/>
    </row>
    <row r="319" spans="1:11" s="14" customFormat="1" ht="13.9" customHeight="1" x14ac:dyDescent="0.3">
      <c r="A319" s="87"/>
      <c r="B319" s="159"/>
      <c r="C319" s="48"/>
      <c r="D319" s="89"/>
      <c r="E319" s="98"/>
      <c r="F319" s="15"/>
      <c r="G319" s="17"/>
      <c r="H319" s="18"/>
      <c r="I319" s="70"/>
    </row>
    <row r="320" spans="1:11" s="14" customFormat="1" ht="13.9" customHeight="1" x14ac:dyDescent="0.3">
      <c r="A320" s="67"/>
      <c r="C320" s="44"/>
      <c r="D320" s="153"/>
      <c r="E320" s="83"/>
      <c r="F320" s="11"/>
      <c r="G320" s="12"/>
      <c r="H320" s="13"/>
      <c r="I320" s="34"/>
    </row>
    <row r="321" spans="1:9" s="14" customFormat="1" ht="13.9" customHeight="1" x14ac:dyDescent="0.3">
      <c r="A321" s="119" t="s">
        <v>313</v>
      </c>
      <c r="B321" s="96" t="s">
        <v>185</v>
      </c>
      <c r="C321" s="44"/>
      <c r="D321" s="19"/>
      <c r="E321" s="56" t="s">
        <v>2</v>
      </c>
      <c r="F321" s="11">
        <v>28719.57</v>
      </c>
      <c r="G321" s="78"/>
      <c r="H321" s="13">
        <f>F321-I321</f>
        <v>13000</v>
      </c>
      <c r="I321" s="34">
        <v>15719.57</v>
      </c>
    </row>
    <row r="322" spans="1:9" s="14" customFormat="1" ht="13.9" customHeight="1" x14ac:dyDescent="0.3">
      <c r="A322" s="53"/>
      <c r="B322" s="163" t="s">
        <v>186</v>
      </c>
      <c r="C322" s="66"/>
      <c r="D322" s="19"/>
      <c r="E322" s="220" t="s">
        <v>152</v>
      </c>
      <c r="G322" s="78"/>
      <c r="H322" s="13"/>
      <c r="I322" s="34"/>
    </row>
    <row r="323" spans="1:9" s="14" customFormat="1" ht="14" x14ac:dyDescent="0.3">
      <c r="A323" s="53"/>
      <c r="C323" s="42"/>
      <c r="D323" s="19"/>
      <c r="E323" s="221"/>
      <c r="G323" s="12"/>
      <c r="H323" s="13"/>
      <c r="I323" s="34"/>
    </row>
    <row r="324" spans="1:9" s="14" customFormat="1" ht="14" x14ac:dyDescent="0.3">
      <c r="A324" s="53"/>
      <c r="C324" s="42"/>
      <c r="D324" s="19"/>
      <c r="E324" s="221"/>
      <c r="G324" s="12"/>
      <c r="H324" s="13"/>
      <c r="I324" s="34"/>
    </row>
    <row r="325" spans="1:9" s="14" customFormat="1" ht="13.9" customHeight="1" x14ac:dyDescent="0.3">
      <c r="A325" s="130"/>
      <c r="B325" s="164"/>
      <c r="C325" s="120"/>
      <c r="D325" s="124"/>
      <c r="E325" s="127"/>
      <c r="F325" s="126"/>
      <c r="G325" s="127"/>
      <c r="H325" s="121"/>
      <c r="I325" s="122"/>
    </row>
    <row r="326" spans="1:9" ht="14" x14ac:dyDescent="0.3">
      <c r="A326" s="53"/>
      <c r="B326" s="10"/>
      <c r="C326" s="50"/>
      <c r="D326" s="19"/>
      <c r="E326" s="56"/>
      <c r="F326" s="61"/>
      <c r="G326" s="12"/>
      <c r="H326" s="51"/>
      <c r="I326" s="34"/>
    </row>
    <row r="327" spans="1:9" ht="14" x14ac:dyDescent="0.3">
      <c r="A327" s="67" t="s">
        <v>151</v>
      </c>
      <c r="B327" s="197" t="s">
        <v>311</v>
      </c>
      <c r="C327" s="50"/>
      <c r="D327" s="19"/>
      <c r="E327" s="83" t="s">
        <v>296</v>
      </c>
      <c r="F327" s="61">
        <v>61978.5</v>
      </c>
      <c r="G327" s="12"/>
      <c r="H327" s="51">
        <f>F327-I327</f>
        <v>7953</v>
      </c>
      <c r="I327" s="34">
        <v>54025.5</v>
      </c>
    </row>
    <row r="328" spans="1:9" ht="14" x14ac:dyDescent="0.3">
      <c r="A328" s="67"/>
      <c r="B328" s="222" t="s">
        <v>292</v>
      </c>
      <c r="C328" s="50"/>
      <c r="D328" s="19"/>
      <c r="E328" s="83"/>
      <c r="F328" s="62"/>
      <c r="G328" s="12"/>
      <c r="H328" s="51"/>
      <c r="I328" s="34"/>
    </row>
    <row r="329" spans="1:9" ht="16.5" customHeight="1" x14ac:dyDescent="0.3">
      <c r="A329" s="67"/>
      <c r="B329" s="223"/>
      <c r="C329" s="50"/>
      <c r="D329" s="58"/>
      <c r="E329" s="63" t="s">
        <v>278</v>
      </c>
      <c r="F329" s="61"/>
      <c r="G329" s="12"/>
      <c r="H329" s="51"/>
      <c r="I329" s="34"/>
    </row>
    <row r="330" spans="1:9" ht="14" x14ac:dyDescent="0.3">
      <c r="A330" s="67"/>
      <c r="B330" s="223"/>
      <c r="C330" s="50"/>
      <c r="D330" s="58"/>
      <c r="E330" s="5" t="s">
        <v>279</v>
      </c>
      <c r="G330" s="12"/>
      <c r="H330" s="51"/>
      <c r="I330" s="34"/>
    </row>
    <row r="331" spans="1:9" ht="14" x14ac:dyDescent="0.3">
      <c r="A331" s="67"/>
      <c r="B331" s="223"/>
      <c r="C331" s="50"/>
      <c r="D331" s="19"/>
      <c r="E331" s="63" t="s">
        <v>280</v>
      </c>
      <c r="F331" s="11"/>
      <c r="G331" s="12"/>
      <c r="H331" s="26"/>
      <c r="I331" s="34"/>
    </row>
    <row r="332" spans="1:9" ht="14" x14ac:dyDescent="0.3">
      <c r="A332" s="67"/>
      <c r="B332" s="199" t="s">
        <v>223</v>
      </c>
      <c r="C332" s="50"/>
      <c r="D332" s="19"/>
      <c r="E332" s="63" t="s">
        <v>282</v>
      </c>
      <c r="F332" s="11"/>
      <c r="G332" s="12"/>
      <c r="H332" s="26"/>
      <c r="I332" s="34"/>
    </row>
    <row r="333" spans="1:9" ht="14.25" customHeight="1" x14ac:dyDescent="0.3">
      <c r="A333" s="67"/>
      <c r="B333" s="198" t="s">
        <v>224</v>
      </c>
      <c r="C333" s="50"/>
      <c r="D333" s="19"/>
      <c r="E333" s="88" t="s">
        <v>281</v>
      </c>
      <c r="F333" s="14"/>
      <c r="G333" s="12"/>
      <c r="H333" s="51"/>
      <c r="I333" s="34"/>
    </row>
    <row r="334" spans="1:9" ht="14" x14ac:dyDescent="0.3">
      <c r="A334" s="67"/>
      <c r="B334" s="39" t="s">
        <v>208</v>
      </c>
      <c r="C334" s="45"/>
      <c r="D334" s="19"/>
      <c r="E334" s="63"/>
      <c r="F334" s="11"/>
      <c r="G334" s="12"/>
      <c r="H334" s="13"/>
      <c r="I334" s="29"/>
    </row>
    <row r="335" spans="1:9" ht="14" x14ac:dyDescent="0.3">
      <c r="A335" s="67"/>
      <c r="B335" s="39" t="s">
        <v>316</v>
      </c>
      <c r="C335" s="45"/>
      <c r="D335" s="19"/>
      <c r="E335" s="63"/>
      <c r="F335" s="170"/>
      <c r="G335" s="12"/>
      <c r="H335" s="13"/>
      <c r="I335" s="29"/>
    </row>
    <row r="336" spans="1:9" ht="14" x14ac:dyDescent="0.3">
      <c r="A336" s="101"/>
      <c r="B336" s="102"/>
      <c r="C336" s="90"/>
      <c r="D336" s="91"/>
      <c r="E336" s="103"/>
      <c r="F336" s="104"/>
      <c r="G336" s="93"/>
      <c r="H336" s="94"/>
      <c r="I336" s="95"/>
    </row>
    <row r="337" spans="1:9" ht="14" x14ac:dyDescent="0.3">
      <c r="A337" s="67"/>
      <c r="C337" s="45"/>
      <c r="D337" s="19"/>
      <c r="E337" s="83"/>
      <c r="F337" s="84"/>
      <c r="G337" s="12"/>
      <c r="H337" s="13"/>
      <c r="I337" s="29"/>
    </row>
    <row r="338" spans="1:9" ht="14" x14ac:dyDescent="0.3">
      <c r="A338" s="67" t="s">
        <v>209</v>
      </c>
      <c r="B338" s="96" t="s">
        <v>314</v>
      </c>
      <c r="C338" s="45"/>
      <c r="D338" s="19"/>
      <c r="E338" s="83" t="s">
        <v>78</v>
      </c>
      <c r="F338" s="84">
        <v>8000</v>
      </c>
      <c r="G338" s="12"/>
      <c r="H338" s="13">
        <v>8000</v>
      </c>
      <c r="I338" s="29">
        <v>0</v>
      </c>
    </row>
    <row r="339" spans="1:9" s="7" customFormat="1" ht="14" x14ac:dyDescent="0.3">
      <c r="A339" s="67"/>
      <c r="B339" s="39" t="s">
        <v>210</v>
      </c>
      <c r="C339" s="45"/>
      <c r="D339" s="19"/>
      <c r="E339" s="83" t="s">
        <v>211</v>
      </c>
      <c r="F339" s="84"/>
      <c r="G339" s="12"/>
      <c r="H339" s="13"/>
      <c r="I339" s="82" t="s">
        <v>167</v>
      </c>
    </row>
    <row r="340" spans="1:9" ht="14" x14ac:dyDescent="0.3">
      <c r="A340" s="87"/>
      <c r="B340" s="97"/>
      <c r="C340" s="46"/>
      <c r="D340" s="20"/>
      <c r="E340" s="98"/>
      <c r="F340" s="99"/>
      <c r="G340" s="17"/>
      <c r="H340" s="18"/>
      <c r="I340" s="31"/>
    </row>
    <row r="341" spans="1:9" ht="14" x14ac:dyDescent="0.3">
      <c r="A341" s="67"/>
      <c r="C341" s="45"/>
      <c r="D341" s="19"/>
      <c r="E341" s="83"/>
      <c r="F341" s="84"/>
      <c r="G341" s="12"/>
      <c r="H341" s="13"/>
      <c r="I341" s="29"/>
    </row>
    <row r="342" spans="1:9" ht="14" x14ac:dyDescent="0.3">
      <c r="A342" s="67" t="s">
        <v>212</v>
      </c>
      <c r="B342" s="96" t="s">
        <v>315</v>
      </c>
      <c r="C342" s="45"/>
      <c r="D342" s="19"/>
      <c r="E342" s="40" t="s">
        <v>123</v>
      </c>
      <c r="F342" s="84">
        <v>4000</v>
      </c>
      <c r="G342" s="12"/>
      <c r="H342" s="13"/>
      <c r="I342" s="29">
        <v>4000</v>
      </c>
    </row>
    <row r="343" spans="1:9" ht="14" x14ac:dyDescent="0.3">
      <c r="A343" s="162"/>
      <c r="B343" s="39" t="s">
        <v>213</v>
      </c>
      <c r="C343" s="45"/>
      <c r="D343" s="19"/>
      <c r="E343" s="83" t="s">
        <v>215</v>
      </c>
      <c r="F343" s="84"/>
      <c r="G343" s="12"/>
      <c r="H343" s="13"/>
      <c r="I343" s="29"/>
    </row>
    <row r="344" spans="1:9" ht="14" x14ac:dyDescent="0.3">
      <c r="A344" s="67"/>
      <c r="B344" s="39" t="s">
        <v>214</v>
      </c>
      <c r="C344" s="45"/>
      <c r="D344" s="19"/>
      <c r="E344" s="83"/>
      <c r="F344" s="84"/>
      <c r="G344" s="12"/>
      <c r="H344" s="13"/>
      <c r="I344" s="29"/>
    </row>
    <row r="345" spans="1:9" ht="14" x14ac:dyDescent="0.3">
      <c r="A345" s="87"/>
      <c r="B345" s="200"/>
      <c r="C345" s="46"/>
      <c r="D345" s="20"/>
      <c r="E345" s="116"/>
      <c r="F345" s="116"/>
      <c r="G345" s="17"/>
      <c r="H345" s="18"/>
      <c r="I345" s="31"/>
    </row>
    <row r="346" spans="1:9" x14ac:dyDescent="0.25">
      <c r="A346" s="162"/>
      <c r="B346" s="201"/>
      <c r="D346" s="141"/>
      <c r="H346" s="138"/>
      <c r="I346" s="147"/>
    </row>
    <row r="347" spans="1:9" ht="14" x14ac:dyDescent="0.3">
      <c r="A347" s="67" t="s">
        <v>28</v>
      </c>
      <c r="B347" s="96" t="s">
        <v>29</v>
      </c>
      <c r="D347" s="142"/>
      <c r="E347" s="40" t="s">
        <v>123</v>
      </c>
      <c r="F347" s="161">
        <v>581211.32999999996</v>
      </c>
      <c r="H347" s="139">
        <f>F347-I347</f>
        <v>487501.08999999997</v>
      </c>
      <c r="I347" s="148">
        <v>93710.24</v>
      </c>
    </row>
    <row r="348" spans="1:9" ht="14" x14ac:dyDescent="0.3">
      <c r="A348" s="67"/>
      <c r="B348" s="96"/>
      <c r="D348" s="142"/>
      <c r="E348" s="83"/>
      <c r="F348" s="161"/>
      <c r="H348" s="139"/>
      <c r="I348" s="148"/>
    </row>
    <row r="349" spans="1:9" x14ac:dyDescent="0.25">
      <c r="A349" s="162"/>
      <c r="B349" s="36" t="s">
        <v>84</v>
      </c>
      <c r="D349" s="142"/>
      <c r="E349" s="5" t="s">
        <v>30</v>
      </c>
      <c r="H349" s="139"/>
      <c r="I349" s="148"/>
    </row>
    <row r="350" spans="1:9" x14ac:dyDescent="0.25">
      <c r="A350" s="207"/>
      <c r="B350" s="39" t="s">
        <v>83</v>
      </c>
      <c r="D350" s="142"/>
      <c r="E350" s="5" t="s">
        <v>99</v>
      </c>
      <c r="F350" s="5"/>
      <c r="H350" s="139"/>
      <c r="I350" s="148"/>
    </row>
    <row r="351" spans="1:9" x14ac:dyDescent="0.25">
      <c r="A351" s="207"/>
      <c r="B351" s="39" t="s">
        <v>85</v>
      </c>
      <c r="D351" s="142"/>
      <c r="E351" s="5" t="s">
        <v>179</v>
      </c>
      <c r="H351" s="139"/>
      <c r="I351" s="148"/>
    </row>
    <row r="352" spans="1:9" x14ac:dyDescent="0.25">
      <c r="A352" s="162"/>
      <c r="D352" s="142"/>
      <c r="E352" s="5" t="s">
        <v>181</v>
      </c>
      <c r="H352" s="139"/>
      <c r="I352" s="148"/>
    </row>
    <row r="353" spans="1:9" x14ac:dyDescent="0.25">
      <c r="A353" s="162"/>
      <c r="D353" s="142"/>
      <c r="E353" s="5" t="s">
        <v>198</v>
      </c>
      <c r="H353" s="139"/>
      <c r="I353" s="148"/>
    </row>
    <row r="354" spans="1:9" x14ac:dyDescent="0.25">
      <c r="A354" s="162"/>
      <c r="D354" s="142"/>
      <c r="E354" s="5" t="s">
        <v>31</v>
      </c>
      <c r="H354" s="139"/>
      <c r="I354" s="148"/>
    </row>
    <row r="355" spans="1:9" x14ac:dyDescent="0.25">
      <c r="A355" s="208"/>
      <c r="B355" s="97"/>
      <c r="C355" s="97"/>
      <c r="D355" s="173"/>
      <c r="E355" s="127"/>
      <c r="F355" s="174"/>
      <c r="G355" s="175"/>
      <c r="H355" s="176"/>
      <c r="I355" s="177"/>
    </row>
    <row r="356" spans="1:9" x14ac:dyDescent="0.25">
      <c r="A356" s="162"/>
      <c r="D356" s="142"/>
      <c r="E356" s="151"/>
      <c r="F356" s="167"/>
      <c r="H356" s="139"/>
      <c r="I356" s="148"/>
    </row>
    <row r="357" spans="1:9" ht="14" x14ac:dyDescent="0.3">
      <c r="A357" s="209" t="s">
        <v>125</v>
      </c>
      <c r="B357" s="96" t="s">
        <v>126</v>
      </c>
      <c r="D357" s="142"/>
      <c r="E357" s="63" t="s">
        <v>171</v>
      </c>
      <c r="F357" s="167">
        <v>15448</v>
      </c>
      <c r="H357" s="139">
        <v>32464</v>
      </c>
      <c r="I357" s="148">
        <f>F367-H357</f>
        <v>336339</v>
      </c>
    </row>
    <row r="358" spans="1:9" ht="13" x14ac:dyDescent="0.3">
      <c r="A358" s="162"/>
      <c r="D358" s="142"/>
      <c r="E358" s="63" t="s">
        <v>203</v>
      </c>
      <c r="F358" s="167">
        <v>11500</v>
      </c>
      <c r="H358" s="139"/>
      <c r="I358" s="148"/>
    </row>
    <row r="359" spans="1:9" x14ac:dyDescent="0.25">
      <c r="A359" s="162"/>
      <c r="B359" s="39" t="s">
        <v>80</v>
      </c>
      <c r="D359" s="142"/>
      <c r="E359" s="63" t="s">
        <v>172</v>
      </c>
      <c r="F359" s="167">
        <v>46986</v>
      </c>
      <c r="H359" s="139"/>
      <c r="I359" s="148"/>
    </row>
    <row r="360" spans="1:9" x14ac:dyDescent="0.25">
      <c r="A360" s="162"/>
      <c r="B360" s="39" t="s">
        <v>81</v>
      </c>
      <c r="D360" s="142"/>
      <c r="E360" s="63" t="s">
        <v>44</v>
      </c>
      <c r="F360" s="167">
        <v>10000</v>
      </c>
      <c r="H360" s="139"/>
      <c r="I360" s="148"/>
    </row>
    <row r="361" spans="1:9" x14ac:dyDescent="0.25">
      <c r="A361" s="162"/>
      <c r="B361" s="39" t="s">
        <v>273</v>
      </c>
      <c r="D361" s="142"/>
      <c r="E361" s="63" t="s">
        <v>201</v>
      </c>
      <c r="F361" s="167">
        <v>30932</v>
      </c>
      <c r="H361" s="139"/>
      <c r="I361" s="148"/>
    </row>
    <row r="362" spans="1:9" x14ac:dyDescent="0.25">
      <c r="A362" s="162"/>
      <c r="B362" s="39" t="s">
        <v>82</v>
      </c>
      <c r="D362" s="142"/>
      <c r="E362" s="63" t="s">
        <v>47</v>
      </c>
      <c r="F362" s="167">
        <v>50000</v>
      </c>
      <c r="H362" s="139"/>
      <c r="I362" s="148"/>
    </row>
    <row r="363" spans="1:9" x14ac:dyDescent="0.25">
      <c r="A363" s="162"/>
      <c r="D363" s="142"/>
      <c r="E363" s="63" t="s">
        <v>168</v>
      </c>
      <c r="F363" s="167">
        <v>159937</v>
      </c>
      <c r="H363" s="139"/>
      <c r="I363" s="148"/>
    </row>
    <row r="364" spans="1:9" ht="13" x14ac:dyDescent="0.3">
      <c r="A364" s="162"/>
      <c r="D364" s="142"/>
      <c r="E364" s="63" t="s">
        <v>202</v>
      </c>
      <c r="F364" s="167">
        <v>33550</v>
      </c>
      <c r="H364" s="139"/>
      <c r="I364" s="148"/>
    </row>
    <row r="365" spans="1:9" x14ac:dyDescent="0.25">
      <c r="A365" s="162"/>
      <c r="D365" s="142"/>
      <c r="E365" s="63" t="s">
        <v>48</v>
      </c>
      <c r="F365" s="167">
        <v>10450</v>
      </c>
      <c r="H365" s="139"/>
      <c r="I365" s="148"/>
    </row>
    <row r="366" spans="1:9" x14ac:dyDescent="0.25">
      <c r="A366" s="162"/>
      <c r="D366" s="142"/>
      <c r="E366" s="63"/>
      <c r="F366" s="167"/>
      <c r="H366" s="139"/>
      <c r="I366" s="148"/>
    </row>
    <row r="367" spans="1:9" x14ac:dyDescent="0.25">
      <c r="A367" s="162"/>
      <c r="D367" s="142"/>
      <c r="E367" s="151" t="s">
        <v>89</v>
      </c>
      <c r="F367" s="150">
        <f>SUM(F357:F366)</f>
        <v>368803</v>
      </c>
      <c r="H367" s="139"/>
      <c r="I367" s="148"/>
    </row>
    <row r="368" spans="1:9" ht="13" thickBot="1" x14ac:dyDescent="0.3">
      <c r="A368" s="210"/>
      <c r="B368" s="143"/>
      <c r="C368" s="143"/>
      <c r="D368" s="149"/>
      <c r="E368" s="144"/>
      <c r="F368" s="145"/>
      <c r="G368" s="146"/>
      <c r="H368" s="140"/>
      <c r="I368" s="137"/>
    </row>
  </sheetData>
  <mergeCells count="14">
    <mergeCell ref="B11:B12"/>
    <mergeCell ref="B51:B54"/>
    <mergeCell ref="B21:B25"/>
    <mergeCell ref="B44:B47"/>
    <mergeCell ref="E322:E324"/>
    <mergeCell ref="B328:B331"/>
    <mergeCell ref="B93:B94"/>
    <mergeCell ref="B315:B317"/>
    <mergeCell ref="A3:I3"/>
    <mergeCell ref="A5:I5"/>
    <mergeCell ref="E7:F7"/>
    <mergeCell ref="B62:B66"/>
    <mergeCell ref="B85:B88"/>
    <mergeCell ref="B109:B113"/>
  </mergeCells>
  <phoneticPr fontId="0" type="noConversion"/>
  <printOptions horizontalCentered="1" verticalCentered="1"/>
  <pageMargins left="0.27559055118110237" right="0.27559055118110237" top="0.47244094488188981" bottom="0.35433070866141736" header="0" footer="0.39370078740157483"/>
  <pageSetup paperSize="9" scale="58" fitToHeight="8" orientation="landscape" r:id="rId1"/>
  <headerFooter alignWithMargins="0">
    <oddFooter>&amp;CPage &amp;P&amp;R &amp;D</oddFooter>
  </headerFooter>
  <rowBreaks count="6" manualBreakCount="6">
    <brk id="59" max="8" man="1"/>
    <brk id="114" max="8" man="1"/>
    <brk id="166" max="8" man="1"/>
    <brk id="221" max="8" man="1"/>
    <brk id="271" max="8" man="1"/>
    <brk id="312" max="8" man="1"/>
  </rowBreaks>
  <ignoredErrors>
    <ignoredError sqref="H7"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2003</vt:lpstr>
      <vt:lpstr>'2003'!Print_Area</vt:lpstr>
      <vt:lpstr>'2003'!Print_Titles</vt:lpstr>
    </vt:vector>
  </TitlesOfParts>
  <Company>The World Conservation Union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IUCN</dc:creator>
  <cp:lastModifiedBy>Carina Negreanu</cp:lastModifiedBy>
  <cp:lastPrinted>2003-12-02T15:27:28Z</cp:lastPrinted>
  <dcterms:created xsi:type="dcterms:W3CDTF">1999-03-18T15:46:27Z</dcterms:created>
  <dcterms:modified xsi:type="dcterms:W3CDTF">2020-01-27T11:47:46Z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AdHocReviewCycleID">
    <vt:i4>-892265886</vt:i4>
  </property>
  <property fmtid="{D5CDD505-2E9C-101B-9397-08002B2CF9AE}" pid="3" name="_EmailSubject">
    <vt:lpwstr>Status of Projects</vt:lpwstr>
  </property>
  <property fmtid="{D5CDD505-2E9C-101B-9397-08002B2CF9AE}" pid="4" name="_AuthorEmail">
    <vt:lpwstr>kennedy@ramsar.org</vt:lpwstr>
  </property>
  <property fmtid="{D5CDD505-2E9C-101B-9397-08002B2CF9AE}" pid="5" name="_AuthorEmailDisplayName">
    <vt:lpwstr>KENNEDY Paulette - Ramsar</vt:lpwstr>
  </property>
  <property fmtid="{D5CDD505-2E9C-101B-9397-08002B2CF9AE}" pid="6" name="_PreviousAdHocReviewCycleID">
    <vt:i4>42132591</vt:i4>
  </property>
  <property fmtid="{D5CDD505-2E9C-101B-9397-08002B2CF9AE}" pid="7" name="_ReviewingToolsShownOnce">
    <vt:lpwstr/>
  </property>
</Properties>
</file>