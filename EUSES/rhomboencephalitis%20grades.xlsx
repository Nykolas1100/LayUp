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F30770-1833-4A64-99BA-5EE628DBAC59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="1"/>
</workbook>
</file>

<file path=xl/calcChain.xml><?xml version="1.0" encoding="utf-8"?>
<calcChain xmlns="http://schemas.openxmlformats.org/spreadsheetml/2006/main">
  <c r="C4" i="1" l="1"/>
  <c r="C6" i="1"/>
  <c r="H6" i="1"/>
  <c r="C7" i="1"/>
  <c r="H7" i="1"/>
  <c r="C8" i="1"/>
  <c r="H8" i="1"/>
  <c r="C9" i="1"/>
  <c r="H9" i="1"/>
  <c r="C10" i="1"/>
  <c r="H10" i="1"/>
  <c r="G14" i="1"/>
  <c r="H14" i="1"/>
  <c r="G16" i="1"/>
  <c r="H16" i="1"/>
  <c r="G18" i="1"/>
  <c r="H18" i="1"/>
  <c r="G20" i="1"/>
  <c r="H20" i="1"/>
  <c r="G22" i="1"/>
  <c r="H22" i="1"/>
  <c r="B25" i="1"/>
  <c r="B26" i="1"/>
  <c r="C26" i="1"/>
  <c r="B27" i="1"/>
  <c r="A28" i="1"/>
  <c r="B28" i="1"/>
</calcChain>
</file>

<file path=xl/sharedStrings.xml><?xml version="1.0" encoding="utf-8"?>
<sst xmlns="http://schemas.openxmlformats.org/spreadsheetml/2006/main" count="55" uniqueCount="43">
  <si>
    <t>Purpose: To grade the severity of rhomboencephalitis based on clinical findings.</t>
  </si>
  <si>
    <t>Citations with documentation. 23.40.02</t>
  </si>
  <si>
    <t>Sriram &amp; Svirbely 2000</t>
  </si>
  <si>
    <t>data</t>
  </si>
  <si>
    <t>enter</t>
  </si>
  <si>
    <t>Are you evaluating a patient with possible encephalitis? (Y or N)</t>
  </si>
  <si>
    <t>Y</t>
  </si>
  <si>
    <t>Does the patient show?</t>
  </si>
  <si>
    <t>• tremor? (Y or N)</t>
  </si>
  <si>
    <t>• ataxia? (Y or N)</t>
  </si>
  <si>
    <t>N</t>
  </si>
  <si>
    <t>• coma? (Y or N)</t>
  </si>
  <si>
    <t>• loss of doll's eye reflex? (Y or N)</t>
  </si>
  <si>
    <t>• apnea? (Y or N)</t>
  </si>
  <si>
    <t>enter an "x" in the appropriate column(s) for each clinical finding [one or more answer(s) per row]</t>
  </si>
  <si>
    <t>none</t>
  </si>
  <si>
    <t>transient</t>
  </si>
  <si>
    <t>intermittent</t>
  </si>
  <si>
    <t>generalized</t>
  </si>
  <si>
    <t>myoclonus</t>
  </si>
  <si>
    <t>x</t>
  </si>
  <si>
    <t>nystagmus</t>
  </si>
  <si>
    <t>strabismus</t>
  </si>
  <si>
    <t>gaze paresis</t>
  </si>
  <si>
    <t>ocular signs</t>
  </si>
  <si>
    <t>dysphagia</t>
  </si>
  <si>
    <t>dysarthria</t>
  </si>
  <si>
    <t>dysphonia</t>
  </si>
  <si>
    <t>facial weakness</t>
  </si>
  <si>
    <t>bulbar signs</t>
  </si>
  <si>
    <t>respiratory distress</t>
  </si>
  <si>
    <t>cyanosis</t>
  </si>
  <si>
    <t>pulmonary edema</t>
  </si>
  <si>
    <t>respiratory findings</t>
  </si>
  <si>
    <t>moderate-to-severe hypotension</t>
  </si>
  <si>
    <t>poor perfusion</t>
  </si>
  <si>
    <t>shock</t>
  </si>
  <si>
    <t>circulatory findings</t>
  </si>
  <si>
    <t>calculate</t>
  </si>
  <si>
    <t>result</t>
  </si>
  <si>
    <t>data complete?</t>
  </si>
  <si>
    <t>evaluation appropriate?</t>
  </si>
  <si>
    <t>Is there evidence for rhomboencephalitis?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</si>
</sst>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Geneva"/>
    </font>
    <font>
      <b/>
      <sz val="10"/>
      <name val="Geneva"/>
    </font>
    <font>
      <sz val="9"/>
      <name val="Geneva"/>
    </font>
    <font>
      <b/>
      <sz val="10"/>
      <color indexed="10"/>
      <name val="Geneva"/>
    </font>
    <font>
      <b/>
      <sz val="10"/>
      <color indexed="8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Continuous" vertical="top" wrapText="1"/>
    </xf>
    <xf numFmtId="0" fontId="0" fillId="2" borderId="0" xfId="0" applyFill="1"/>
    <xf numFmtId="0" fontId="0" fillId="0" borderId="0" xfId="0" applyAlignment="1">
      <alignment horizontal="centerContinuous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 applyProtection="1">
      <alignment horizontal="center"/>
      <protection locked="0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1" xfId="0" applyBorder="1" applyAlignment="1" applyProtection="1">
      <alignment horizontal="right"/>
      <protection locked="0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right"/>
    </xf>
    <xf numFmtId="0" fontId="0" fillId="3" borderId="0" xfId="0" applyFill="1" applyBorder="1" applyAlignment="1" applyProtection="1">
      <alignment vertical="top" wrapText="1"/>
    </xf>
    <xf numFmtId="0" fontId="0" fillId="3" borderId="0" xfId="0" applyFill="1" applyBorder="1" applyAlignment="1" applyProtection="1">
      <alignment horizontal="right"/>
    </xf>
    <xf numFmtId="0" fontId="0" fillId="3" borderId="0" xfId="0" applyFill="1" applyProtection="1"/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 applyProtection="1">
      <alignment horizontal="center"/>
    </xf>
    <xf numFmtId="0" fontId="0" fillId="3" borderId="1" xfId="0" applyFill="1" applyBorder="1" applyAlignment="1">
      <alignment wrapText="1"/>
    </xf>
    <xf numFmtId="0" fontId="2" fillId="0" borderId="0" xfId="0" applyFont="1" applyAlignment="1">
      <alignment horizontal="centerContinuous" vertical="top" wrapText="1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1" fillId="7" borderId="4" xfId="0" applyFont="1" applyFill="1" applyBorder="1" applyAlignment="1" applyProtection="1">
      <alignment wrapText="1"/>
    </xf>
    <xf numFmtId="0" fontId="1" fillId="7" borderId="5" xfId="0" applyFont="1" applyFill="1" applyBorder="1" applyAlignment="1" applyProtection="1">
      <alignment horizontal="right"/>
    </xf>
    <xf numFmtId="0" fontId="3" fillId="3" borderId="0" xfId="0" applyFont="1" applyFill="1" applyAlignment="1">
      <alignment horizontal="left"/>
    </xf>
    <xf numFmtId="0" fontId="4" fillId="7" borderId="4" xfId="0" applyFont="1" applyFill="1" applyBorder="1" applyAlignment="1">
      <alignment horizontal="centerContinuous" wrapText="1"/>
    </xf>
    <xf numFmtId="0" fontId="0" fillId="7" borderId="6" xfId="0" applyFill="1" applyBorder="1" applyAlignment="1">
      <alignment horizontal="centerContinuous" wrapText="1"/>
    </xf>
    <xf numFmtId="0" fontId="4" fillId="7" borderId="6" xfId="0" applyFont="1" applyFill="1" applyBorder="1" applyAlignment="1">
      <alignment horizontal="centerContinuous" wrapText="1"/>
    </xf>
    <xf numFmtId="0" fontId="4" fillId="7" borderId="5" xfId="0" applyFont="1" applyFill="1" applyBorder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F2" sqref="F2"/>
    </sheetView>
  </sheetViews>
  <sheetFormatPr defaultRowHeight="12.5"/>
  <cols>
    <col min="1" max="1" width="30.7265625" customWidth="1"/>
    <col min="2" max="5" width="10.7265625" customWidth="1"/>
    <col min="6" max="6" width="10.90625" customWidth="1"/>
    <col min="7" max="8" width="6.7265625" customWidth="1"/>
    <col min="9" max="256" width="10.90625" customWidth="1"/>
  </cols>
  <sheetData>
    <row r="1" spans="1:8" ht="39" customHeight="1">
      <c r="A1" s="1" t="s">
        <v>0</v>
      </c>
      <c r="B1" s="1"/>
      <c r="C1" s="27"/>
      <c r="F1" s="26" t="s">
        <v>1</v>
      </c>
      <c r="G1" s="25" t="s">
        <v>2</v>
      </c>
      <c r="H1" s="3"/>
    </row>
    <row r="2" spans="1:8">
      <c r="A2" s="2"/>
      <c r="B2" s="2"/>
      <c r="C2" s="2"/>
      <c r="D2" s="2"/>
      <c r="E2" s="2"/>
      <c r="F2" s="2"/>
      <c r="G2" s="2"/>
      <c r="H2" s="2"/>
    </row>
    <row r="3" spans="1:8" ht="13">
      <c r="A3" s="8" t="s">
        <v>3</v>
      </c>
      <c r="B3" s="9" t="s">
        <v>4</v>
      </c>
      <c r="C3" s="4"/>
      <c r="D3" s="4"/>
      <c r="E3" s="4"/>
      <c r="F3" s="4"/>
      <c r="G3" s="4"/>
      <c r="H3" s="4"/>
    </row>
    <row r="4" spans="1:8" ht="26" customHeight="1">
      <c r="A4" s="24" t="s">
        <v>5</v>
      </c>
      <c r="B4" s="10" t="s">
        <v>6</v>
      </c>
      <c r="C4" s="4" t="str">
        <f t="shared" ref="C4:C10" si="0">IF(ISBLANK(B4),"enter Y or N",IF(AND(NOT(B4="Y"),NOT(B4="N")),"enter Y or N",":-):-):-)"))</f>
        <v>:-):-):-)</v>
      </c>
      <c r="D4" s="4"/>
      <c r="E4" s="4"/>
      <c r="F4" s="4"/>
      <c r="G4" s="4"/>
      <c r="H4" s="4"/>
    </row>
    <row r="5" spans="1:8" ht="13" customHeight="1">
      <c r="A5" s="28" t="s">
        <v>7</v>
      </c>
      <c r="B5" s="29"/>
      <c r="C5" s="4"/>
      <c r="D5" s="4"/>
      <c r="E5" s="4"/>
      <c r="F5" s="4"/>
      <c r="G5" s="4"/>
      <c r="H5" s="4"/>
    </row>
    <row r="6" spans="1:8" ht="13" customHeight="1">
      <c r="A6" s="24" t="s">
        <v>8</v>
      </c>
      <c r="B6" s="10" t="s">
        <v>6</v>
      </c>
      <c r="C6" s="4" t="str">
        <f t="shared" si="0"/>
        <v>:-):-):-)</v>
      </c>
      <c r="D6" s="4"/>
      <c r="E6" s="4"/>
      <c r="F6" s="4"/>
      <c r="G6" s="4"/>
      <c r="H6" s="18">
        <f>IF(B6="Y",1,0)</f>
        <v>1</v>
      </c>
    </row>
    <row r="7" spans="1:8" ht="13" customHeight="1">
      <c r="A7" s="24" t="s">
        <v>9</v>
      </c>
      <c r="B7" s="10" t="s">
        <v>10</v>
      </c>
      <c r="C7" s="4" t="str">
        <f t="shared" si="0"/>
        <v>:-):-):-)</v>
      </c>
      <c r="D7" s="4"/>
      <c r="E7" s="4"/>
      <c r="F7" s="4"/>
      <c r="G7" s="4"/>
      <c r="H7" s="18">
        <f>IF(B7="Y",1,0)</f>
        <v>0</v>
      </c>
    </row>
    <row r="8" spans="1:8" ht="13" customHeight="1">
      <c r="A8" s="24" t="s">
        <v>11</v>
      </c>
      <c r="B8" s="10" t="s">
        <v>10</v>
      </c>
      <c r="C8" s="4" t="str">
        <f t="shared" si="0"/>
        <v>:-):-):-)</v>
      </c>
      <c r="D8" s="4"/>
      <c r="E8" s="4"/>
      <c r="F8" s="4"/>
      <c r="G8" s="4"/>
      <c r="H8" s="18">
        <f>IF(B8="Y",3,0)</f>
        <v>0</v>
      </c>
    </row>
    <row r="9" spans="1:8" ht="13" customHeight="1">
      <c r="A9" s="24" t="s">
        <v>12</v>
      </c>
      <c r="B9" s="10" t="s">
        <v>10</v>
      </c>
      <c r="C9" s="4" t="str">
        <f t="shared" si="0"/>
        <v>:-):-):-)</v>
      </c>
      <c r="D9" s="4"/>
      <c r="E9" s="4"/>
      <c r="F9" s="4"/>
      <c r="G9" s="4"/>
      <c r="H9" s="18">
        <f>IF(B9="Y",3,0)</f>
        <v>0</v>
      </c>
    </row>
    <row r="10" spans="1:8" ht="13" customHeight="1">
      <c r="A10" s="24" t="s">
        <v>13</v>
      </c>
      <c r="B10" s="10" t="s">
        <v>10</v>
      </c>
      <c r="C10" s="4" t="str">
        <f t="shared" si="0"/>
        <v>:-):-):-)</v>
      </c>
      <c r="D10" s="4"/>
      <c r="E10" s="4"/>
      <c r="F10" s="4"/>
      <c r="G10" s="4"/>
      <c r="H10" s="18">
        <f>IF(B10="Y",3,0)</f>
        <v>0</v>
      </c>
    </row>
    <row r="11" spans="1:8" ht="13" customHeight="1">
      <c r="A11" s="15"/>
      <c r="B11" s="16"/>
      <c r="C11" s="17"/>
      <c r="D11" s="17"/>
      <c r="E11" s="17"/>
      <c r="F11" s="4"/>
      <c r="G11" s="4"/>
      <c r="H11" s="18"/>
    </row>
    <row r="12" spans="1:8" ht="26" customHeight="1">
      <c r="A12" s="31" t="s">
        <v>14</v>
      </c>
      <c r="B12" s="32"/>
      <c r="C12" s="33"/>
      <c r="D12" s="33"/>
      <c r="E12" s="34"/>
      <c r="F12" s="30"/>
      <c r="G12" s="5"/>
      <c r="H12" s="18"/>
    </row>
    <row r="13" spans="1:8">
      <c r="A13" s="21"/>
      <c r="B13" s="19" t="s">
        <v>15</v>
      </c>
      <c r="C13" s="19" t="s">
        <v>16</v>
      </c>
      <c r="D13" s="19" t="s">
        <v>17</v>
      </c>
      <c r="E13" s="19" t="s">
        <v>18</v>
      </c>
      <c r="F13" s="22"/>
      <c r="G13" s="5"/>
      <c r="H13" s="18"/>
    </row>
    <row r="14" spans="1:8">
      <c r="A14" s="20" t="s">
        <v>19</v>
      </c>
      <c r="B14" s="7"/>
      <c r="C14" s="7"/>
      <c r="D14" s="7" t="s">
        <v>20</v>
      </c>
      <c r="E14" s="7"/>
      <c r="F14" s="23"/>
      <c r="G14" s="5" t="str">
        <f>IF(AND(NOT(ISBLANK(B14)),IF(NOT(ISBLANK(C14)),1,0)+IF(NOT(ISBLANK(D14)),1,0)+IF(NOT(ISBLANK(E14)),1,0)=0),"Yes", IF(AND(ISBLANK(B14),IF(NOT(ISBLANK(C14)),1,0)+IF(NOT(ISBLANK(D14)),1,0)+IF(NOT(ISBLANK(E14)),1,0)&gt;=1),"Yes","No"))</f>
        <v>Yes</v>
      </c>
      <c r="H14" s="18">
        <f>IF(G14="No","check data",IF(OR(NOT(ISBLANK(C14)),NOT(ISBLANK(D14)),NOT(ISBLANK(E14))),1,0))</f>
        <v>1</v>
      </c>
    </row>
    <row r="15" spans="1:8" ht="25">
      <c r="A15" s="21"/>
      <c r="B15" s="19" t="s">
        <v>15</v>
      </c>
      <c r="C15" s="19" t="s">
        <v>21</v>
      </c>
      <c r="D15" s="19" t="s">
        <v>22</v>
      </c>
      <c r="E15" s="19" t="s">
        <v>23</v>
      </c>
      <c r="F15" s="22"/>
      <c r="G15" s="5"/>
      <c r="H15" s="18"/>
    </row>
    <row r="16" spans="1:8">
      <c r="A16" s="20" t="s">
        <v>24</v>
      </c>
      <c r="B16" s="7"/>
      <c r="C16" s="7"/>
      <c r="D16" s="7" t="s">
        <v>20</v>
      </c>
      <c r="E16" s="7"/>
      <c r="F16" s="23"/>
      <c r="G16" s="5" t="str">
        <f>IF(AND(NOT(ISBLANK(B16)),IF(NOT(ISBLANK(C16)),1,0)+IF(NOT(ISBLANK(D16)),1,0)+IF(NOT(ISBLANK(E16)),1,0)=0),"Yes", IF(AND(ISBLANK(B16),IF(NOT(ISBLANK(C16)),1,0)+IF(NOT(ISBLANK(D16)),1,0)+IF(NOT(ISBLANK(E16)),1,0)&gt;=1),"Yes","No"))</f>
        <v>Yes</v>
      </c>
      <c r="H16" s="18">
        <f>IF(G16="No","check data",IF(OR(NOT(ISBLANK(C16)),NOT(ISBLANK(D16)),NOT(ISBLANK(E16))),2,0))</f>
        <v>2</v>
      </c>
    </row>
    <row r="17" spans="1:8" ht="25">
      <c r="A17" s="21"/>
      <c r="B17" s="19" t="s">
        <v>15</v>
      </c>
      <c r="C17" s="19" t="s">
        <v>25</v>
      </c>
      <c r="D17" s="19" t="s">
        <v>26</v>
      </c>
      <c r="E17" s="19" t="s">
        <v>27</v>
      </c>
      <c r="F17" s="19" t="s">
        <v>28</v>
      </c>
      <c r="G17" s="5"/>
      <c r="H17" s="18"/>
    </row>
    <row r="18" spans="1:8">
      <c r="A18" s="20" t="s">
        <v>29</v>
      </c>
      <c r="B18" s="7" t="s">
        <v>20</v>
      </c>
      <c r="C18" s="7"/>
      <c r="D18" s="7"/>
      <c r="E18" s="7"/>
      <c r="F18" s="7"/>
      <c r="G18" s="5" t="str">
        <f>IF(AND(NOT(ISBLANK(B18)),IF(NOT(ISBLANK(C18)),1,0)+IF(NOT(ISBLANK(D18)),1,0)+IF(NOT(ISBLANK(E18)),1,0)+IF(NOT(ISBLANK(F18)),1,0)=0),"Yes", IF(AND(ISBLANK(B18),IF(NOT(ISBLANK(C18)),1,0)+IF(NOT(ISBLANK(D18)),1,0)+IF(NOT(ISBLANK(E18)),1,0)+IF(NOT(ISBLANK(F18)),1,0)&gt;=1),"Yes","No"))</f>
        <v>Yes</v>
      </c>
      <c r="H18" s="18">
        <f>IF(G18="No","check data",IF(OR(NOT(ISBLANK(C18)),NOT(ISBLANK(D18)),NOT(ISBLANK(E18)),NOT(ISBLANK(F18))),2,0))</f>
        <v>0</v>
      </c>
    </row>
    <row r="19" spans="1:8" ht="25">
      <c r="A19" s="21"/>
      <c r="B19" s="19" t="s">
        <v>15</v>
      </c>
      <c r="C19" s="19" t="s">
        <v>30</v>
      </c>
      <c r="D19" s="19" t="s">
        <v>31</v>
      </c>
      <c r="E19" s="19" t="s">
        <v>32</v>
      </c>
      <c r="F19" s="22"/>
      <c r="G19" s="5"/>
      <c r="H19" s="18"/>
    </row>
    <row r="20" spans="1:8">
      <c r="A20" s="20" t="s">
        <v>33</v>
      </c>
      <c r="B20" s="7" t="s">
        <v>20</v>
      </c>
      <c r="C20" s="7"/>
      <c r="D20" s="7"/>
      <c r="E20" s="7"/>
      <c r="F20" s="23"/>
      <c r="G20" s="5" t="str">
        <f>IF(AND(NOT(ISBLANK(B20)),IF(NOT(ISBLANK(C20)),1,0)+IF(NOT(ISBLANK(D20)),1,0)+IF(NOT(ISBLANK(E20)),1,0)=0),"Yes", IF(AND(ISBLANK(B20),IF(NOT(ISBLANK(C20)),1,0)+IF(NOT(ISBLANK(D20)),1,0)+IF(NOT(ISBLANK(E20)),1,0)&gt;=1),"Yes","No"))</f>
        <v>Yes</v>
      </c>
      <c r="H20" s="18">
        <f>IF(G20="No","check data",IF(OR(NOT(ISBLANK(C20)),NOT(ISBLANK(D20)),NOT(ISBLANK(E20))),3,0))</f>
        <v>0</v>
      </c>
    </row>
    <row r="21" spans="1:8" ht="37.5">
      <c r="A21" s="21"/>
      <c r="B21" s="19" t="s">
        <v>15</v>
      </c>
      <c r="C21" s="19" t="s">
        <v>34</v>
      </c>
      <c r="D21" s="19" t="s">
        <v>35</v>
      </c>
      <c r="E21" s="19" t="s">
        <v>36</v>
      </c>
      <c r="F21" s="22"/>
      <c r="G21" s="5"/>
      <c r="H21" s="18"/>
    </row>
    <row r="22" spans="1:8">
      <c r="A22" s="20" t="s">
        <v>37</v>
      </c>
      <c r="B22" s="7" t="s">
        <v>20</v>
      </c>
      <c r="C22" s="7"/>
      <c r="D22" s="7"/>
      <c r="E22" s="7"/>
      <c r="F22" s="23"/>
      <c r="G22" s="5" t="str">
        <f>IF(AND(NOT(ISBLANK(B22)),IF(NOT(ISBLANK(C22)),1,0)+IF(NOT(ISBLANK(D22)),1,0)+IF(NOT(ISBLANK(E22)),1,0)=0),"Yes", IF(AND(ISBLANK(B22),IF(NOT(ISBLANK(C22)),1,0)+IF(NOT(ISBLANK(D22)),1,0)+IF(NOT(ISBLANK(E22)),1,0)&gt;=1),"Yes","No"))</f>
        <v>Yes</v>
      </c>
      <c r="H22" s="18">
        <f>IF(G22="No","check data",IF(OR(NOT(ISBLANK(C22)),NOT(ISBLANK(D22)),NOT(ISBLANK(E22))),3,0))</f>
        <v>0</v>
      </c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 ht="13">
      <c r="A24" s="11" t="s">
        <v>38</v>
      </c>
      <c r="B24" s="12" t="s">
        <v>39</v>
      </c>
      <c r="C24" s="6"/>
      <c r="D24" s="6"/>
      <c r="E24" s="6"/>
      <c r="F24" s="6"/>
      <c r="G24" s="6"/>
      <c r="H24" s="6"/>
    </row>
    <row r="25" spans="1:8">
      <c r="A25" s="13" t="s">
        <v>40</v>
      </c>
      <c r="B25" s="14" t="str">
        <f>IF(OR(ISBLANK(B4),ISBLANK(B6),ISBLANK(B7),ISBLANK(B8),ISBLANK(B9),ISBLANK(B10),G14="No",G16="No",G18="No",G20="No",G22="No"),"No","Yes")</f>
        <v>Yes</v>
      </c>
      <c r="C25" s="6"/>
      <c r="D25" s="6"/>
      <c r="E25" s="6"/>
      <c r="F25" s="6"/>
      <c r="G25" s="6"/>
      <c r="H25" s="6"/>
    </row>
    <row r="26" spans="1:8">
      <c r="A26" s="13" t="s">
        <v>41</v>
      </c>
      <c r="B26" s="14" t="str">
        <f>IF(B25="No","complete data",IF(B4="Y","Yes","No"))</f>
        <v>Yes</v>
      </c>
      <c r="C26" s="6" t="str">
        <f>IF(B26="No"," Applies to a patient with possible encephalitis."," :-):-):-)")</f>
        <v xml:space="preserve"> :-):-):-)</v>
      </c>
      <c r="D26" s="6"/>
      <c r="E26" s="6"/>
      <c r="F26" s="6"/>
      <c r="G26" s="6"/>
      <c r="H26" s="6"/>
    </row>
    <row r="27" spans="1:8">
      <c r="A27" s="13" t="s">
        <v>42</v>
      </c>
      <c r="B27" s="14" t="str">
        <f>IF(B25="No","complete data",IF(H14=1,"Yes","No"))</f>
        <v>Yes</v>
      </c>
      <c r="C27" s="6"/>
      <c r="D27" s="6"/>
      <c r="E27" s="6"/>
      <c r="F27" s="6"/>
      <c r="G27" s="6"/>
      <c r="H27" s="6"/>
    </row>
    <row r="28" spans="1:8">
      <c r="A28" s="13" t="str">
        <f>IF(H14=1,"grade of rhomboencephalitis",":-):-):-)")</f>
        <v>grade of rhomboencephalitis</v>
      </c>
      <c r="B28" s="14" t="str">
        <f>IF(B25="No","complete data",IF(H14=1,IF(MAX(H6:H10,H16:H22)=3,"III",IF(MAX(H6:H10,H16:H22)=2,"II",IF(MAX(H6:H10,H16:H22)=1,"I",0))),":-):-):-)"))</f>
        <v>II</v>
      </c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</sheetData>
  <sheetProtection sheet="1" objects="1" scenarios="1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&amp;C&amp;"Helvetica,Regular"&amp;12&amp;F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Svirbely</dc:creator>
  <cp:lastModifiedBy>Carina Negreanu</cp:lastModifiedBy>
  <dcterms:created xsi:type="dcterms:W3CDTF">2020-01-27T12:02:30Z</dcterms:created>
  <dcterms:modified xsi:type="dcterms:W3CDTF">2020-01-27T12:02:31Z</dcterms:modified>
</cp:coreProperties>
</file>