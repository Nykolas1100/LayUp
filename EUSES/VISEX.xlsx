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F8179F0-F95F-483F-A656-1E1988ED5166}" xr6:coauthVersionLast="45" xr6:coauthVersionMax="45" xr10:uidLastSave="{00000000-0000-0000-0000-000000000000}"/>
  <bookViews>
    <workbookView xWindow="760" yWindow="760" windowWidth="28800" windowHeight="15460"/>
  </bookViews>
  <sheets>
    <sheet name="VisMW" sheetId="1" r:id="rId1"/>
  </sheets>
  <definedNames>
    <definedName name="Results">VisMW!$B$18:$B$20</definedName>
  </definedNames>
  <calcPr calcId="0" iterate="1"/>
</workbook>
</file>

<file path=xl/calcChain.xml><?xml version="1.0" encoding="utf-8"?>
<calcChain xmlns="http://schemas.openxmlformats.org/spreadsheetml/2006/main">
  <c r="I5" i="1" l="1"/>
  <c r="I6" i="1"/>
  <c r="E14" i="1"/>
  <c r="F14" i="1"/>
  <c r="H14" i="1"/>
  <c r="C15" i="1"/>
  <c r="D15" i="1"/>
  <c r="E15" i="1"/>
  <c r="F15" i="1"/>
  <c r="C16" i="1"/>
  <c r="D16" i="1"/>
  <c r="E16" i="1"/>
  <c r="F16" i="1"/>
  <c r="C17" i="1"/>
  <c r="D17" i="1"/>
  <c r="E17" i="1"/>
  <c r="F17" i="1"/>
  <c r="C18" i="1"/>
  <c r="D18" i="1"/>
  <c r="E18" i="1"/>
  <c r="F18" i="1"/>
  <c r="H18" i="1"/>
  <c r="C19" i="1"/>
  <c r="D19" i="1"/>
  <c r="E19" i="1"/>
  <c r="F19" i="1"/>
  <c r="C20" i="1"/>
  <c r="D20" i="1"/>
  <c r="E20" i="1"/>
  <c r="F20" i="1"/>
</calcChain>
</file>

<file path=xl/sharedStrings.xml><?xml version="1.0" encoding="utf-8"?>
<sst xmlns="http://schemas.openxmlformats.org/spreadsheetml/2006/main" count="29" uniqueCount="24">
  <si>
    <t>Viscosity-average Molecular Weight</t>
  </si>
  <si>
    <t>Sample Identification:</t>
  </si>
  <si>
    <t>Polymer</t>
  </si>
  <si>
    <t>PMMA</t>
  </si>
  <si>
    <t>Solvent</t>
  </si>
  <si>
    <t>Ketone</t>
  </si>
  <si>
    <t>Standard Efflux Time, [s]</t>
  </si>
  <si>
    <t>Temperature,</t>
  </si>
  <si>
    <r>
      <t xml:space="preserve"> [</t>
    </r>
    <r>
      <rPr>
        <b/>
        <vertAlign val="superscript"/>
        <sz val="9"/>
        <rFont val="Arial"/>
        <family val="2"/>
      </rPr>
      <t>o</t>
    </r>
    <r>
      <rPr>
        <b/>
        <sz val="9"/>
        <rFont val="Arial"/>
        <family val="2"/>
      </rPr>
      <t>C]</t>
    </r>
  </si>
  <si>
    <t>Temperature Precision, [%]</t>
  </si>
  <si>
    <t>±0,02</t>
  </si>
  <si>
    <t>Concentration</t>
  </si>
  <si>
    <t>Efflux Time</t>
  </si>
  <si>
    <t xml:space="preserve">Relative </t>
  </si>
  <si>
    <t>Specific</t>
  </si>
  <si>
    <t>Reduced</t>
  </si>
  <si>
    <t>Inherent</t>
  </si>
  <si>
    <t>Intrinsic</t>
  </si>
  <si>
    <t>[g/100 ml]</t>
  </si>
  <si>
    <t>[s]</t>
  </si>
  <si>
    <t>Viscosity</t>
  </si>
  <si>
    <t>Molecular</t>
  </si>
  <si>
    <t>Weight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</si>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</sst>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83" formatCode="0.0"/>
    <numFmt numFmtId="186" formatCode="0.000"/>
    <numFmt numFmtId="187" formatCode="#0.00"/>
    <numFmt numFmtId="188" formatCode="0,000,000"/>
    <numFmt numFmtId="189" formatCode="h:mm"/>
  </numFmts>
  <fonts count="12" x14ac:knownFonts="1">
    <font>
      <sz val="10"/>
      <name val="Arial"/>
    </font>
    <font>
      <sz val="10"/>
      <name val="Arial"/>
      <family val="2"/>
    </font>
    <font>
      <b/>
      <sz val="20"/>
      <color indexed="8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vertAlign val="superscript"/>
      <sz val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gray0625">
        <fgColor indexed="8"/>
        <bgColor indexed="9"/>
      </patternFill>
    </fill>
    <fill>
      <patternFill patternType="gray0625"/>
    </fill>
  </fills>
  <borders count="2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0" fillId="2" borderId="0" xfId="0" applyFill="1" applyBorder="1"/>
    <xf numFmtId="183" fontId="0" fillId="0" borderId="0" xfId="0" applyNumberFormat="1"/>
    <xf numFmtId="1" fontId="0" fillId="0" borderId="0" xfId="0" applyNumberFormat="1"/>
    <xf numFmtId="0" fontId="2" fillId="3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0" fillId="4" borderId="2" xfId="0" applyFill="1" applyBorder="1"/>
    <xf numFmtId="0" fontId="0" fillId="4" borderId="3" xfId="0" applyFill="1" applyBorder="1"/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/>
    <xf numFmtId="0" fontId="6" fillId="0" borderId="0" xfId="0" applyFont="1"/>
    <xf numFmtId="0" fontId="3" fillId="0" borderId="8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86" fontId="8" fillId="0" borderId="9" xfId="0" applyNumberFormat="1" applyFont="1" applyBorder="1" applyAlignment="1">
      <alignment horizontal="center"/>
    </xf>
    <xf numFmtId="186" fontId="8" fillId="0" borderId="10" xfId="0" applyNumberFormat="1" applyFont="1" applyBorder="1" applyAlignment="1">
      <alignment horizontal="center"/>
    </xf>
    <xf numFmtId="183" fontId="0" fillId="0" borderId="9" xfId="0" applyNumberFormat="1" applyBorder="1" applyAlignment="1">
      <alignment horizontal="center"/>
    </xf>
    <xf numFmtId="183" fontId="0" fillId="0" borderId="10" xfId="0" applyNumberFormat="1" applyBorder="1" applyAlignment="1">
      <alignment horizontal="center"/>
    </xf>
    <xf numFmtId="0" fontId="10" fillId="0" borderId="11" xfId="0" applyFont="1" applyBorder="1"/>
    <xf numFmtId="0" fontId="9" fillId="0" borderId="12" xfId="0" applyFont="1" applyBorder="1" applyAlignment="1">
      <alignment horizontal="center"/>
    </xf>
    <xf numFmtId="0" fontId="10" fillId="0" borderId="7" xfId="0" applyFont="1" applyBorder="1"/>
    <xf numFmtId="0" fontId="4" fillId="0" borderId="13" xfId="0" applyFont="1" applyBorder="1"/>
    <xf numFmtId="0" fontId="0" fillId="0" borderId="7" xfId="0" applyBorder="1"/>
    <xf numFmtId="0" fontId="4" fillId="0" borderId="14" xfId="0" applyFont="1" applyBorder="1" applyAlignment="1">
      <alignment horizontal="left"/>
    </xf>
    <xf numFmtId="186" fontId="0" fillId="0" borderId="9" xfId="0" applyNumberFormat="1" applyBorder="1" applyAlignment="1">
      <alignment horizontal="center"/>
    </xf>
    <xf numFmtId="186" fontId="0" fillId="0" borderId="10" xfId="0" applyNumberForma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left"/>
    </xf>
    <xf numFmtId="0" fontId="9" fillId="0" borderId="16" xfId="0" applyFont="1" applyBorder="1"/>
    <xf numFmtId="0" fontId="9" fillId="0" borderId="12" xfId="0" applyFont="1" applyBorder="1"/>
    <xf numFmtId="0" fontId="9" fillId="0" borderId="17" xfId="0" applyFont="1" applyBorder="1"/>
    <xf numFmtId="187" fontId="9" fillId="0" borderId="18" xfId="0" applyNumberFormat="1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186" fontId="0" fillId="0" borderId="20" xfId="0" applyNumberFormat="1" applyBorder="1" applyAlignment="1">
      <alignment horizontal="center"/>
    </xf>
    <xf numFmtId="188" fontId="1" fillId="0" borderId="20" xfId="0" applyNumberFormat="1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186" fontId="11" fillId="0" borderId="10" xfId="0" applyNumberFormat="1" applyFont="1" applyBorder="1" applyAlignment="1">
      <alignment horizontal="center"/>
    </xf>
    <xf numFmtId="186" fontId="3" fillId="0" borderId="10" xfId="0" applyNumberFormat="1" applyFont="1" applyBorder="1" applyAlignment="1">
      <alignment horizontal="center"/>
    </xf>
    <xf numFmtId="183" fontId="11" fillId="0" borderId="10" xfId="1" applyNumberFormat="1" applyFont="1" applyBorder="1" applyAlignment="1">
      <alignment horizontal="center"/>
    </xf>
    <xf numFmtId="14" fontId="0" fillId="0" borderId="21" xfId="0" applyNumberFormat="1" applyBorder="1" applyAlignment="1">
      <alignment horizontal="center"/>
    </xf>
    <xf numFmtId="189" fontId="0" fillId="0" borderId="10" xfId="0" applyNumberForma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658973249408302"/>
          <c:y val="0.11111516143115704"/>
          <c:w val="0.61099514267442501"/>
          <c:h val="0.60804685560938709"/>
        </c:manualLayout>
      </c:layout>
      <c:scatterChart>
        <c:scatterStyle val="lineMarker"/>
        <c:varyColors val="0"/>
        <c:ser>
          <c:idx val="0"/>
          <c:order val="0"/>
          <c:tx>
            <c:strRef>
              <c:f>VisMW!$E$12:$E$13</c:f>
              <c:strCache>
                <c:ptCount val="2"/>
                <c:pt idx="0">
                  <c:v>Reduced</c:v>
                </c:pt>
                <c:pt idx="1">
                  <c:v>Viscosity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VisMW!$A$14:$A$20</c:f>
              <c:numCache>
                <c:formatCode>0.000</c:formatCode>
                <c:ptCount val="7"/>
                <c:pt idx="0">
                  <c:v>0</c:v>
                </c:pt>
                <c:pt idx="1">
                  <c:v>0.27500000000000002</c:v>
                </c:pt>
                <c:pt idx="2">
                  <c:v>0.34399999999999997</c:v>
                </c:pt>
                <c:pt idx="3">
                  <c:v>0.89600000000000002</c:v>
                </c:pt>
                <c:pt idx="4">
                  <c:v>1.1990000000000001</c:v>
                </c:pt>
                <c:pt idx="5">
                  <c:v>1.6040000000000001</c:v>
                </c:pt>
                <c:pt idx="6">
                  <c:v>2.1080000000000001</c:v>
                </c:pt>
              </c:numCache>
            </c:numRef>
          </c:xVal>
          <c:yVal>
            <c:numRef>
              <c:f>VisMW!$E$14:$E$20</c:f>
              <c:numCache>
                <c:formatCode>0.000</c:formatCode>
                <c:ptCount val="7"/>
                <c:pt idx="0">
                  <c:v>0.55678507162927382</c:v>
                </c:pt>
                <c:pt idx="1">
                  <c:v>0.61818181818181817</c:v>
                </c:pt>
                <c:pt idx="2">
                  <c:v>0.625</c:v>
                </c:pt>
                <c:pt idx="3">
                  <c:v>0.7020089285714286</c:v>
                </c:pt>
                <c:pt idx="4">
                  <c:v>0.74395329441200986</c:v>
                </c:pt>
                <c:pt idx="5">
                  <c:v>0.82917705735660852</c:v>
                </c:pt>
                <c:pt idx="6">
                  <c:v>0.94639468690702089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CB-4B06-9B95-4FB84DFECF7A}"/>
            </c:ext>
          </c:extLst>
        </c:ser>
        <c:ser>
          <c:idx val="1"/>
          <c:order val="1"/>
          <c:tx>
            <c:strRef>
              <c:f>VisMW!$F$12:$F$13</c:f>
              <c:strCache>
                <c:ptCount val="2"/>
                <c:pt idx="0">
                  <c:v>Inherent</c:v>
                </c:pt>
                <c:pt idx="1">
                  <c:v>Viscosity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VisMW!$A$14:$A$20</c:f>
              <c:numCache>
                <c:formatCode>0.000</c:formatCode>
                <c:ptCount val="7"/>
                <c:pt idx="0">
                  <c:v>0</c:v>
                </c:pt>
                <c:pt idx="1">
                  <c:v>0.27500000000000002</c:v>
                </c:pt>
                <c:pt idx="2">
                  <c:v>0.34399999999999997</c:v>
                </c:pt>
                <c:pt idx="3">
                  <c:v>0.89600000000000002</c:v>
                </c:pt>
                <c:pt idx="4">
                  <c:v>1.1990000000000001</c:v>
                </c:pt>
                <c:pt idx="5">
                  <c:v>1.6040000000000001</c:v>
                </c:pt>
                <c:pt idx="6">
                  <c:v>2.1080000000000001</c:v>
                </c:pt>
              </c:numCache>
            </c:numRef>
          </c:xVal>
          <c:yVal>
            <c:numRef>
              <c:f>VisMW!$F$14:$F$20</c:f>
              <c:numCache>
                <c:formatCode>0.000</c:formatCode>
                <c:ptCount val="7"/>
                <c:pt idx="0">
                  <c:v>0.5737799997720574</c:v>
                </c:pt>
                <c:pt idx="1">
                  <c:v>0.57092272294423518</c:v>
                </c:pt>
                <c:pt idx="2">
                  <c:v>0.56611650230381361</c:v>
                </c:pt>
                <c:pt idx="3">
                  <c:v>0.54460527859364738</c:v>
                </c:pt>
                <c:pt idx="4">
                  <c:v>0.53180522988297452</c:v>
                </c:pt>
                <c:pt idx="5">
                  <c:v>0.52734929400100328</c:v>
                </c:pt>
                <c:pt idx="6">
                  <c:v>0.5203720263602527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5CB-4B06-9B95-4FB84DFEC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172575"/>
        <c:axId val="1"/>
      </c:scatterChart>
      <c:valAx>
        <c:axId val="995172575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Polymer Concentration [g/100 ml]</a:t>
                </a:r>
              </a:p>
            </c:rich>
          </c:tx>
          <c:layout>
            <c:manualLayout>
              <c:xMode val="edge"/>
              <c:yMode val="edge"/>
              <c:x val="0.284155425635012"/>
              <c:y val="0.83027717847170124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Viscosity</a:t>
                </a:r>
              </a:p>
            </c:rich>
          </c:tx>
          <c:layout>
            <c:manualLayout>
              <c:xMode val="edge"/>
              <c:yMode val="edge"/>
              <c:x val="3.2927881940537876E-2"/>
              <c:y val="0.29630709714975212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95172575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7914887177558918"/>
          <c:y val="0.33334548429347111"/>
          <c:w val="0.19268908691129571"/>
          <c:h val="0.1574131453608058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Página &amp;P</c:oddFooter>
    </c:headerFooter>
    <c:pageMargins b="1" l="0.75" r="0.75" t="1" header="0.49212598499999999" footer="0.49212598499999999"/>
    <c:pageSetup/>
  </c:printSettings>
</c:chartSpac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25400</xdr:colOff>
          <xdr:row>2</xdr:row>
          <xdr:rowOff>38100</xdr:rowOff>
        </xdr:from>
        <xdr:to>
          <xdr:col>1</xdr:col>
          <xdr:colOff>25400</xdr:colOff>
          <xdr:row>4</xdr:row>
          <xdr:rowOff>38100</xdr:rowOff>
        </xdr:to>
        <xdr:sp macro="" textlink="">
          <xdr:nvSpPr>
            <xdr:cNvPr id="1120" name="Button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EFB23B1A-C315-4DC8-BDA7-F3BA6CECD2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Calculation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25400</xdr:colOff>
          <xdr:row>2</xdr:row>
          <xdr:rowOff>38100</xdr:rowOff>
        </xdr:from>
        <xdr:to>
          <xdr:col>3</xdr:col>
          <xdr:colOff>25400</xdr:colOff>
          <xdr:row>4</xdr:row>
          <xdr:rowOff>38100</xdr:rowOff>
        </xdr:to>
        <xdr:sp macro="" textlink="">
          <xdr:nvSpPr>
            <xdr:cNvPr id="1121" name="Button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323093E4-214B-4969-AB86-E298CA208C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Clear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25400</xdr:colOff>
          <xdr:row>2</xdr:row>
          <xdr:rowOff>38100</xdr:rowOff>
        </xdr:from>
        <xdr:to>
          <xdr:col>5</xdr:col>
          <xdr:colOff>25400</xdr:colOff>
          <xdr:row>4</xdr:row>
          <xdr:rowOff>38100</xdr:rowOff>
        </xdr:to>
        <xdr:sp macro="" textlink="">
          <xdr:nvSpPr>
            <xdr:cNvPr id="1123" name="Button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22F89D5-1880-438F-8742-7EF9F016B4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View</a:t>
              </a:r>
            </a:p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Graphic</a:t>
              </a:r>
            </a:p>
          </xdr:txBody>
        </xdr:sp>
        <xdr:clientData fPrintsWithSheet="0"/>
      </xdr:twoCellAnchor>
    </mc:Choice>
    <mc:Fallback/>
  </mc:AlternateContent>
  <xdr:twoCellAnchor>
    <xdr:from>
      <xdr:col>11</xdr:col>
      <xdr:colOff>508000</xdr:colOff>
      <xdr:row>6</xdr:row>
      <xdr:rowOff>44450</xdr:rowOff>
    </xdr:from>
    <xdr:to>
      <xdr:col>18</xdr:col>
      <xdr:colOff>381000</xdr:colOff>
      <xdr:row>18</xdr:row>
      <xdr:rowOff>69850</xdr:rowOff>
    </xdr:to>
    <xdr:graphicFrame macro="">
      <xdr:nvGraphicFramePr>
        <xdr:cNvPr id="1124" name="Chart 100">
          <a:extLst>
            <a:ext uri="{FF2B5EF4-FFF2-40B4-BE49-F238E27FC236}">
              <a16:creationId xmlns:a16="http://schemas.microsoft.com/office/drawing/2014/main" id="{BE8D53C3-D06F-4D09-AE9B-BDAF3F7340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56"/>
  <sheetViews>
    <sheetView showGridLines="0" tabSelected="1" workbookViewId="0"/>
  </sheetViews>
  <sheetFormatPr defaultRowHeight="12.5" x14ac:dyDescent="0.25"/>
  <cols>
    <col min="1" max="256" width="10.90625" customWidth="1"/>
  </cols>
  <sheetData>
    <row r="1" spans="1:9" ht="26" thickTop="1" thickBot="1" x14ac:dyDescent="0.55000000000000004">
      <c r="A1" s="4" t="s">
        <v>0</v>
      </c>
      <c r="B1" s="5"/>
      <c r="C1" s="6"/>
      <c r="D1" s="6"/>
      <c r="E1" s="6"/>
      <c r="F1" s="7"/>
    </row>
    <row r="2" spans="1:9" ht="13" thickTop="1" x14ac:dyDescent="0.25"/>
    <row r="4" spans="1:9" ht="13" thickBot="1" x14ac:dyDescent="0.3"/>
    <row r="5" spans="1:9" ht="13.5" thickTop="1" thickBot="1" x14ac:dyDescent="0.3">
      <c r="I5" s="40">
        <f ca="1">TODAY()</f>
        <v>43857</v>
      </c>
    </row>
    <row r="6" spans="1:9" ht="13.5" thickTop="1" thickBot="1" x14ac:dyDescent="0.3">
      <c r="A6" s="10" t="s">
        <v>1</v>
      </c>
      <c r="B6" s="11"/>
      <c r="C6" s="10" t="s">
        <v>2</v>
      </c>
      <c r="D6" s="28" t="s">
        <v>3</v>
      </c>
      <c r="E6" s="29"/>
      <c r="F6" s="29"/>
      <c r="G6" s="30"/>
      <c r="I6" s="41">
        <f ca="1">NOW()</f>
        <v>43857.534422685188</v>
      </c>
    </row>
    <row r="7" spans="1:9" ht="13.5" thickTop="1" thickBot="1" x14ac:dyDescent="0.3">
      <c r="A7" s="12"/>
      <c r="B7" s="12"/>
      <c r="C7" s="10" t="s">
        <v>4</v>
      </c>
      <c r="D7" s="31" t="s">
        <v>5</v>
      </c>
      <c r="E7" s="29"/>
      <c r="F7" s="29"/>
      <c r="G7" s="30"/>
    </row>
    <row r="8" spans="1:9" ht="13.5" thickTop="1" thickBot="1" x14ac:dyDescent="0.3">
      <c r="A8" s="12"/>
      <c r="B8" s="12"/>
      <c r="C8" s="19" t="s">
        <v>6</v>
      </c>
      <c r="D8" s="21"/>
      <c r="E8" s="20">
        <v>100</v>
      </c>
      <c r="G8" s="12"/>
    </row>
    <row r="9" spans="1:9" ht="14.5" thickTop="1" thickBot="1" x14ac:dyDescent="0.3">
      <c r="A9" s="12"/>
      <c r="B9" s="12"/>
      <c r="C9" s="22" t="s">
        <v>7</v>
      </c>
      <c r="D9" s="24" t="s">
        <v>8</v>
      </c>
      <c r="E9" s="27">
        <v>30</v>
      </c>
      <c r="G9" s="12"/>
    </row>
    <row r="10" spans="1:9" ht="13.5" thickTop="1" thickBot="1" x14ac:dyDescent="0.3">
      <c r="C10" s="10" t="s">
        <v>9</v>
      </c>
      <c r="D10" s="23"/>
      <c r="E10" s="32" t="s">
        <v>10</v>
      </c>
    </row>
    <row r="11" spans="1:9" ht="13.5" thickTop="1" thickBot="1" x14ac:dyDescent="0.3">
      <c r="G11" s="1"/>
    </row>
    <row r="12" spans="1:9" ht="13" thickTop="1" x14ac:dyDescent="0.25">
      <c r="A12" s="8" t="s">
        <v>11</v>
      </c>
      <c r="B12" s="9" t="s">
        <v>12</v>
      </c>
      <c r="C12" s="14" t="s">
        <v>13</v>
      </c>
      <c r="D12" s="13" t="s">
        <v>14</v>
      </c>
      <c r="E12" s="13" t="s">
        <v>15</v>
      </c>
      <c r="F12" s="13" t="s">
        <v>16</v>
      </c>
      <c r="H12" s="14" t="s">
        <v>17</v>
      </c>
    </row>
    <row r="13" spans="1:9" ht="13" thickBot="1" x14ac:dyDescent="0.3">
      <c r="A13" s="37" t="s">
        <v>18</v>
      </c>
      <c r="B13" s="39" t="s">
        <v>19</v>
      </c>
      <c r="C13" s="38" t="s">
        <v>20</v>
      </c>
      <c r="D13" s="38" t="s">
        <v>20</v>
      </c>
      <c r="E13" s="38" t="s">
        <v>20</v>
      </c>
      <c r="F13" s="38" t="s">
        <v>20</v>
      </c>
      <c r="H13" s="33" t="s">
        <v>20</v>
      </c>
    </row>
    <row r="14" spans="1:9" ht="13.5" thickTop="1" thickBot="1" x14ac:dyDescent="0.3">
      <c r="A14" s="15">
        <v>0</v>
      </c>
      <c r="B14" s="17">
        <v>100</v>
      </c>
      <c r="C14" s="25"/>
      <c r="D14" s="25"/>
      <c r="E14" s="25">
        <f>INTERCEPT(E15:E20, A15:A20)</f>
        <v>0.55678507162927382</v>
      </c>
      <c r="F14" s="25">
        <f>INTERCEPT(F15:F20, A15:A20)</f>
        <v>0.5737799997720574</v>
      </c>
      <c r="H14" s="34">
        <f>(INTERCEPT(E15:E20, A15:A20) + INTERCEPT(F15:F20, A15:A20))/2</f>
        <v>0.56528253570066567</v>
      </c>
    </row>
    <row r="15" spans="1:9" ht="13.5" thickTop="1" thickBot="1" x14ac:dyDescent="0.3">
      <c r="A15" s="15">
        <v>0.27500000000000002</v>
      </c>
      <c r="B15" s="17">
        <v>117</v>
      </c>
      <c r="C15" s="25">
        <f t="shared" ref="C15:C20" si="0">B15/$E$8</f>
        <v>1.17</v>
      </c>
      <c r="D15" s="25">
        <f t="shared" ref="D15:D20" si="1">(B15-$E$8)/$E$8</f>
        <v>0.17</v>
      </c>
      <c r="E15" s="25">
        <f t="shared" ref="E15:E20" si="2">D15/A15</f>
        <v>0.61818181818181817</v>
      </c>
      <c r="F15" s="25">
        <f t="shared" ref="F15:F20" si="3">LN(C15)/A15</f>
        <v>0.57092272294423518</v>
      </c>
    </row>
    <row r="16" spans="1:9" ht="13" thickTop="1" x14ac:dyDescent="0.25">
      <c r="A16" s="15">
        <v>0.34399999999999997</v>
      </c>
      <c r="B16" s="17">
        <v>121.5</v>
      </c>
      <c r="C16" s="25">
        <f t="shared" si="0"/>
        <v>1.2150000000000001</v>
      </c>
      <c r="D16" s="25">
        <f t="shared" si="1"/>
        <v>0.215</v>
      </c>
      <c r="E16" s="25">
        <f t="shared" si="2"/>
        <v>0.625</v>
      </c>
      <c r="F16" s="25">
        <f t="shared" si="3"/>
        <v>0.56611650230381361</v>
      </c>
      <c r="H16" s="9" t="s">
        <v>21</v>
      </c>
    </row>
    <row r="17" spans="1:8" x14ac:dyDescent="0.25">
      <c r="A17" s="15">
        <v>0.89600000000000002</v>
      </c>
      <c r="B17" s="17">
        <v>162.9</v>
      </c>
      <c r="C17" s="25">
        <f t="shared" si="0"/>
        <v>1.629</v>
      </c>
      <c r="D17" s="25">
        <f t="shared" si="1"/>
        <v>0.629</v>
      </c>
      <c r="E17" s="25">
        <f t="shared" si="2"/>
        <v>0.7020089285714286</v>
      </c>
      <c r="F17" s="25">
        <f t="shared" si="3"/>
        <v>0.54460527859364738</v>
      </c>
      <c r="H17" s="36" t="s">
        <v>22</v>
      </c>
    </row>
    <row r="18" spans="1:8" ht="13" thickBot="1" x14ac:dyDescent="0.3">
      <c r="A18" s="15">
        <v>1.1990000000000001</v>
      </c>
      <c r="B18" s="17">
        <v>189.2</v>
      </c>
      <c r="C18" s="25">
        <f t="shared" si="0"/>
        <v>1.8919999999999999</v>
      </c>
      <c r="D18" s="25">
        <f t="shared" si="1"/>
        <v>0.8919999999999999</v>
      </c>
      <c r="E18" s="25">
        <f t="shared" si="2"/>
        <v>0.74395329441200986</v>
      </c>
      <c r="F18" s="25">
        <f t="shared" si="3"/>
        <v>0.53180522988297452</v>
      </c>
      <c r="G18" s="2"/>
      <c r="H18" s="35">
        <f>(H14/0.00048)^2</f>
        <v>1386911.2203479786</v>
      </c>
    </row>
    <row r="19" spans="1:8" ht="13" thickTop="1" x14ac:dyDescent="0.25">
      <c r="A19" s="15">
        <v>1.6040000000000001</v>
      </c>
      <c r="B19" s="17">
        <v>233</v>
      </c>
      <c r="C19" s="25">
        <f t="shared" si="0"/>
        <v>2.33</v>
      </c>
      <c r="D19" s="25">
        <f t="shared" si="1"/>
        <v>1.33</v>
      </c>
      <c r="E19" s="25">
        <f t="shared" si="2"/>
        <v>0.82917705735660852</v>
      </c>
      <c r="F19" s="25">
        <f t="shared" si="3"/>
        <v>0.52734929400100328</v>
      </c>
      <c r="G19" s="3"/>
    </row>
    <row r="20" spans="1:8" ht="13" thickBot="1" x14ac:dyDescent="0.3">
      <c r="A20" s="16">
        <v>2.1080000000000001</v>
      </c>
      <c r="B20" s="18">
        <v>299.5</v>
      </c>
      <c r="C20" s="26">
        <f t="shared" si="0"/>
        <v>2.9950000000000001</v>
      </c>
      <c r="D20" s="26">
        <f t="shared" si="1"/>
        <v>1.9950000000000001</v>
      </c>
      <c r="E20" s="26">
        <f t="shared" si="2"/>
        <v>0.94639468690702089</v>
      </c>
      <c r="F20" s="26">
        <f t="shared" si="3"/>
        <v>0.5203720263602527</v>
      </c>
      <c r="G20" s="3"/>
    </row>
    <row r="21" spans="1:8" ht="13" thickTop="1" x14ac:dyDescent="0.25"/>
    <row r="56" spans="4:6" x14ac:dyDescent="0.25">
      <c r="D56" t="s">
        <v>23</v>
      </c>
      <c r="F56" t="s">
        <v>23</v>
      </c>
    </row>
  </sheetData>
  <scenarios current="0" show="0">
    <scenario name="Best Precision" locked="1" count="1" user="Antonio Augusto Gorni" comment="This precision of Volumetric Fraction is best, but the_x000a_number of fields to be counted may be excessive due_x000a_to the statistical variation of the microstructure._x000a_">
      <inputCells r="G18" val="1" numFmtId="1"/>
    </scenario>
    <scenario name="Optimum Case" locked="1" count="1" user="Antonio Augusto Gorni" comment="In this case precision is not so high, but it is generally_x000a_adequate. The number of fields to be counted lowers_x000a_significantly.">
      <inputCells r="G18" val="5" numFmtId="1"/>
    </scenario>
    <scenario name="Non-recommended case" locked="1" count="1" user="Antonio Augusto Gorni" comment="Precision is not high, and this can affect conclusions_x000a_to be drawn from this data. However, the number of_x000a_fields to be counted is low.">
      <inputCells r="G18" val="10" numFmtId="1"/>
    </scenario>
  </scenarios>
  <pageMargins left="0.75" right="0.75" top="1" bottom="1" header="0.49212598499999999" footer="0.49212598499999999"/>
  <pageSetup paperSize="9" orientation="landscape" horizontalDpi="300" verticalDpi="300" r:id="rId1"/>
  <headerFooter alignWithMargins="0">
    <oddHeader>&amp;A</oddHeader>
    <oddFooter>Página 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0" r:id="rId4" name="Button 96">
              <controlPr defaultSize="0" print="0" autoFill="0" autoLine="0" autoPict="0" macro="[0]!visCalc.visCalc">
                <anchor moveWithCells="1" sizeWithCells="1">
                  <from>
                    <xdr:col>0</xdr:col>
                    <xdr:colOff>25400</xdr:colOff>
                    <xdr:row>2</xdr:row>
                    <xdr:rowOff>38100</xdr:rowOff>
                  </from>
                  <to>
                    <xdr:col>1</xdr:col>
                    <xdr:colOff>25400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5" name="Button 97">
              <controlPr defaultSize="0" print="0" autoFill="0" autoLine="0" autoPict="0" macro="[0]!_xludf.clear">
                <anchor moveWithCells="1" sizeWithCells="1">
                  <from>
                    <xdr:col>2</xdr:col>
                    <xdr:colOff>25400</xdr:colOff>
                    <xdr:row>2</xdr:row>
                    <xdr:rowOff>38100</xdr:rowOff>
                  </from>
                  <to>
                    <xdr:col>3</xdr:col>
                    <xdr:colOff>25400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6" name="Button 99">
              <controlPr defaultSize="0" print="0" autoFill="0" autoLine="0" autoPict="0" macro="[0]!view">
                <anchor moveWithCells="1" sizeWithCells="1">
                  <from>
                    <xdr:col>4</xdr:col>
                    <xdr:colOff>25400</xdr:colOff>
                    <xdr:row>2</xdr:row>
                    <xdr:rowOff>38100</xdr:rowOff>
                  </from>
                  <to>
                    <xdr:col>5</xdr:col>
                    <xdr:colOff>25400</xdr:colOff>
                    <xdr:row>4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VisMW</vt:lpstr>
      <vt:lpstr>Results</vt:lpstr>
    </vt:vector>
  </TitlesOfParts>
  <Company>Tarkus VI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Volumetric Fraction</dc:title>
  <dc:creator>Antonio Augusto Gorni</dc:creator>
  <cp:lastModifiedBy>Carina Negreanu</cp:lastModifiedBy>
  <cp:lastPrinted>1997-01-29T01:16:21Z</cp:lastPrinted>
  <dcterms:created xsi:type="dcterms:W3CDTF">1996-12-23T23:13:19Z</dcterms:created>
  <dcterms:modified xsi:type="dcterms:W3CDTF">2020-01-27T12:49:34Z</dcterms:modified>
</cp:coreProperties>
</file>