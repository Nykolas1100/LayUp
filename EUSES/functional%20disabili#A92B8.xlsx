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C8A352-F511-4202-B9D2-99B9B798B1CB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C4" i="1" l="1"/>
  <c r="G8" i="1"/>
  <c r="H8" i="1"/>
  <c r="G10" i="1"/>
  <c r="H10" i="1"/>
  <c r="G12" i="1"/>
  <c r="H12" i="1"/>
  <c r="G14" i="1"/>
  <c r="H14" i="1"/>
  <c r="G16" i="1"/>
  <c r="H16" i="1"/>
  <c r="G18" i="1"/>
  <c r="H18" i="1"/>
  <c r="G20" i="1"/>
  <c r="H20" i="1"/>
  <c r="G22" i="1"/>
  <c r="H22" i="1"/>
  <c r="G24" i="1"/>
  <c r="H24" i="1"/>
  <c r="G26" i="1"/>
  <c r="H26" i="1"/>
  <c r="G28" i="1"/>
  <c r="H28" i="1"/>
  <c r="G30" i="1"/>
  <c r="H30" i="1"/>
  <c r="G32" i="1"/>
  <c r="H32" i="1"/>
  <c r="G34" i="1"/>
  <c r="H34" i="1"/>
  <c r="G36" i="1"/>
  <c r="H36" i="1"/>
  <c r="B39" i="1"/>
  <c r="B40" i="1"/>
  <c r="C40" i="1"/>
  <c r="B41" i="1"/>
  <c r="D41" i="1"/>
  <c r="B42" i="1"/>
  <c r="B43" i="1"/>
  <c r="B44" i="1"/>
  <c r="B45" i="1"/>
  <c r="B46" i="1"/>
</calcChain>
</file>

<file path=xl/sharedStrings.xml><?xml version="1.0" encoding="utf-8"?>
<sst xmlns="http://schemas.openxmlformats.org/spreadsheetml/2006/main" count="130" uniqueCount="42">
  <si>
    <t>Purpose: To evaluate the functional ability of a child using the Functional Disability Index (FDI).</t>
  </si>
  <si>
    <t>Citations with documentation. 37.25.04</t>
  </si>
  <si>
    <t>Medal Project 2003. See disclaimer.</t>
  </si>
  <si>
    <t>data</t>
  </si>
  <si>
    <t>enter</t>
  </si>
  <si>
    <t>Are you evaluating a child's functional abilities? (Y or N)</t>
  </si>
  <si>
    <t>Y</t>
  </si>
  <si>
    <t>enter an "x" in the appropriate column for the difficulty for performing each activity (give only 1 answer per row)</t>
  </si>
  <si>
    <t>no trouble</t>
  </si>
  <si>
    <t>a little trouble</t>
  </si>
  <si>
    <t>some trouble</t>
  </si>
  <si>
    <t>a lot of trouble</t>
  </si>
  <si>
    <t>impossible</t>
  </si>
  <si>
    <t>walking to the bathroom</t>
  </si>
  <si>
    <t>x</t>
  </si>
  <si>
    <t>walking up stairs</t>
  </si>
  <si>
    <t>doing something with a friend</t>
  </si>
  <si>
    <t>doing chores at home</t>
  </si>
  <si>
    <t>eating regular meals</t>
  </si>
  <si>
    <t>being up all day without a nap or rest</t>
  </si>
  <si>
    <t>riding the school bus or in the car</t>
  </si>
  <si>
    <t>being at school all day</t>
  </si>
  <si>
    <t>doing gym class or playing sports</t>
  </si>
  <si>
    <t>reading or doing homework</t>
  </si>
  <si>
    <t>watching TV</t>
  </si>
  <si>
    <t>walking the length of a football field</t>
  </si>
  <si>
    <t>running the length of a football field</t>
  </si>
  <si>
    <t>going shopping</t>
  </si>
  <si>
    <t>getting to sleep at night and staying asleep</t>
  </si>
  <si>
    <t>calculate</t>
  </si>
  <si>
    <t>result</t>
  </si>
  <si>
    <t>data complete?</t>
  </si>
  <si>
    <t>evaluation appropriate?</t>
  </si>
  <si>
    <t>total score</t>
  </si>
  <si>
    <t xml:space="preserve"> out of 60 or</t>
  </si>
  <si>
    <t xml:space="preserve"> of maximal disability</t>
  </si>
  <si>
    <t>number of activities not a problem</t>
  </si>
  <si>
    <t xml:space="preserve"> out of 15</t>
  </si>
  <si>
    <t>number of activities with minor problems</t>
  </si>
  <si>
    <t>number of activities with some problems</t>
  </si>
  <si>
    <t>number of activities hard to do</t>
  </si>
  <si>
    <t>number of activities impossible 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</si>
</sst>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Geneva"/>
    </font>
    <font>
      <b/>
      <sz val="10"/>
      <name val="Geneva"/>
    </font>
    <font>
      <sz val="9"/>
      <name val="Geneva"/>
    </font>
    <font>
      <b/>
      <sz val="10"/>
      <color indexed="10"/>
      <name val="Geneva"/>
    </font>
    <font>
      <b/>
      <sz val="10"/>
      <color indexed="8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3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Continuous" vertical="top" wrapText="1"/>
    </xf>
    <xf numFmtId="0" fontId="0" fillId="2" borderId="0" xfId="0" applyFill="1"/>
    <xf numFmtId="0" fontId="0" fillId="0" borderId="0" xfId="0" applyAlignment="1">
      <alignment horizontal="centerContinuous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1" xfId="0" applyBorder="1" applyAlignment="1" applyProtection="1">
      <alignment horizontal="center"/>
      <protection locked="0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1" xfId="0" applyBorder="1" applyAlignment="1" applyProtection="1">
      <alignment horizontal="right"/>
      <protection locked="0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right"/>
    </xf>
    <xf numFmtId="0" fontId="0" fillId="3" borderId="0" xfId="0" applyFill="1" applyBorder="1" applyAlignment="1" applyProtection="1">
      <alignment vertical="top" wrapText="1"/>
    </xf>
    <xf numFmtId="0" fontId="0" fillId="3" borderId="0" xfId="0" applyFill="1" applyBorder="1" applyAlignment="1" applyProtection="1">
      <alignment horizontal="right"/>
    </xf>
    <xf numFmtId="0" fontId="0" fillId="3" borderId="0" xfId="0" applyFill="1" applyProtection="1"/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horizontal="center" wrapText="1"/>
    </xf>
    <xf numFmtId="0" fontId="0" fillId="6" borderId="2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0" borderId="0" xfId="0" applyFont="1" applyAlignment="1">
      <alignment horizontal="centerContinuous" vertical="top" wrapText="1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0" fontId="4" fillId="7" borderId="4" xfId="0" applyFont="1" applyFill="1" applyBorder="1" applyAlignment="1">
      <alignment horizontal="centerContinuous" wrapText="1"/>
    </xf>
    <xf numFmtId="0" fontId="0" fillId="7" borderId="5" xfId="0" applyFill="1" applyBorder="1" applyAlignment="1">
      <alignment horizontal="centerContinuous" wrapText="1"/>
    </xf>
    <xf numFmtId="0" fontId="4" fillId="7" borderId="5" xfId="0" applyFont="1" applyFill="1" applyBorder="1" applyAlignment="1">
      <alignment horizontal="centerContinuous" wrapText="1"/>
    </xf>
    <xf numFmtId="0" fontId="3" fillId="7" borderId="6" xfId="0" applyFont="1" applyFill="1" applyBorder="1" applyAlignment="1">
      <alignment horizontal="centerContinuous" wrapText="1"/>
    </xf>
    <xf numFmtId="9" fontId="0" fillId="0" borderId="1" xfId="0" applyNumberFormat="1" applyFill="1" applyBorder="1" applyAlignment="1">
      <alignment horizontal="center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>
      <selection activeCell="D4" sqref="D4"/>
    </sheetView>
  </sheetViews>
  <sheetFormatPr defaultRowHeight="12.5"/>
  <cols>
    <col min="1" max="1" width="30.7265625" customWidth="1"/>
    <col min="2" max="5" width="10.7265625" customWidth="1"/>
    <col min="6" max="6" width="10.90625" customWidth="1"/>
    <col min="7" max="8" width="6.7265625" customWidth="1"/>
    <col min="9" max="256" width="10.90625" customWidth="1"/>
  </cols>
  <sheetData>
    <row r="1" spans="1:8" ht="39" customHeight="1">
      <c r="A1" s="1" t="s">
        <v>0</v>
      </c>
      <c r="B1" s="1"/>
      <c r="C1" s="25"/>
      <c r="F1" s="24" t="s">
        <v>1</v>
      </c>
      <c r="G1" s="23" t="s">
        <v>2</v>
      </c>
      <c r="H1" s="3"/>
    </row>
    <row r="2" spans="1:8">
      <c r="A2" s="2"/>
      <c r="B2" s="2"/>
      <c r="C2" s="2"/>
      <c r="D2" s="2"/>
      <c r="E2" s="2"/>
      <c r="F2" s="2"/>
      <c r="G2" s="2"/>
      <c r="H2" s="2"/>
    </row>
    <row r="3" spans="1:8" ht="13">
      <c r="A3" s="8" t="s">
        <v>3</v>
      </c>
      <c r="B3" s="9" t="s">
        <v>4</v>
      </c>
      <c r="C3" s="4"/>
      <c r="D3" s="4"/>
      <c r="E3" s="4"/>
      <c r="F3" s="4"/>
      <c r="G3" s="4"/>
      <c r="H3" s="4"/>
    </row>
    <row r="4" spans="1:8" ht="26" customHeight="1">
      <c r="A4" s="22" t="s">
        <v>5</v>
      </c>
      <c r="B4" s="10" t="s">
        <v>6</v>
      </c>
      <c r="C4" s="4" t="str">
        <f>IF(ISBLANK(B4),"enter Y or N",IF(AND(NOT(B4="Y"),NOT(B4="N")),"enter Y or N",":-):-):-)"))</f>
        <v>:-):-):-)</v>
      </c>
      <c r="D4" s="4"/>
      <c r="E4" s="4"/>
      <c r="F4" s="4"/>
      <c r="G4" s="4"/>
      <c r="H4" s="4"/>
    </row>
    <row r="5" spans="1:8" ht="13" customHeight="1">
      <c r="A5" s="15"/>
      <c r="B5" s="16"/>
      <c r="C5" s="17"/>
      <c r="D5" s="17"/>
      <c r="E5" s="17"/>
      <c r="F5" s="4"/>
      <c r="G5" s="4"/>
      <c r="H5" s="4"/>
    </row>
    <row r="6" spans="1:8" ht="26" customHeight="1">
      <c r="A6" s="26" t="s">
        <v>7</v>
      </c>
      <c r="B6" s="27"/>
      <c r="C6" s="28"/>
      <c r="D6" s="28"/>
      <c r="E6" s="28"/>
      <c r="F6" s="29"/>
      <c r="G6" s="5"/>
      <c r="H6" s="18"/>
    </row>
    <row r="7" spans="1:8" ht="25">
      <c r="A7" s="21"/>
      <c r="B7" s="19" t="s">
        <v>8</v>
      </c>
      <c r="C7" s="19" t="s">
        <v>9</v>
      </c>
      <c r="D7" s="19" t="s">
        <v>10</v>
      </c>
      <c r="E7" s="19" t="s">
        <v>11</v>
      </c>
      <c r="F7" s="19" t="s">
        <v>12</v>
      </c>
      <c r="G7" s="5"/>
      <c r="H7" s="18"/>
    </row>
    <row r="8" spans="1:8">
      <c r="A8" s="20" t="s">
        <v>13</v>
      </c>
      <c r="B8" s="7"/>
      <c r="C8" s="7"/>
      <c r="D8" s="7" t="s">
        <v>14</v>
      </c>
      <c r="E8" s="7"/>
      <c r="F8" s="7"/>
      <c r="G8" s="5" t="str">
        <f>IF(IF(NOT(ISBLANK(B8)),1,0)+IF(NOT(ISBLANK(C8)),1,0)+IF(NOT(ISBLANK(D8)),1,0)+IF(NOT(ISBLANK(E8)),1,0)+IF(NOT(ISBLANK(F8)),1,0)=1,"Yes","No")</f>
        <v>Yes</v>
      </c>
      <c r="H8" s="18">
        <f>IF(G8="No","check data",IF(NOT(ISBLANK(B8)),0,0)+IF(NOT(ISBLANK(C8)),1,0)+IF(NOT(ISBLANK(D8)),2,0)+IF(NOT(ISBLANK(E8)),3,0)+IF(NOT(ISBLANK(F8)),4,0))</f>
        <v>2</v>
      </c>
    </row>
    <row r="9" spans="1:8" ht="25">
      <c r="A9" s="21"/>
      <c r="B9" s="19" t="s">
        <v>8</v>
      </c>
      <c r="C9" s="19" t="s">
        <v>9</v>
      </c>
      <c r="D9" s="19" t="s">
        <v>10</v>
      </c>
      <c r="E9" s="19" t="s">
        <v>11</v>
      </c>
      <c r="F9" s="19" t="s">
        <v>12</v>
      </c>
      <c r="G9" s="5"/>
      <c r="H9" s="18"/>
    </row>
    <row r="10" spans="1:8">
      <c r="A10" s="20" t="s">
        <v>15</v>
      </c>
      <c r="B10" s="7"/>
      <c r="C10" s="7"/>
      <c r="D10" s="7" t="s">
        <v>14</v>
      </c>
      <c r="E10" s="7"/>
      <c r="F10" s="7"/>
      <c r="G10" s="5" t="str">
        <f>IF(IF(NOT(ISBLANK(B10)),1,0)+IF(NOT(ISBLANK(C10)),1,0)+IF(NOT(ISBLANK(D10)),1,0)+IF(NOT(ISBLANK(E10)),1,0)+IF(NOT(ISBLANK(F10)),1,0)=1,"Yes","No")</f>
        <v>Yes</v>
      </c>
      <c r="H10" s="18">
        <f>IF(G10="No","check data",IF(NOT(ISBLANK(B10)),0,0)+IF(NOT(ISBLANK(C10)),1,0)+IF(NOT(ISBLANK(D10)),2,0)+IF(NOT(ISBLANK(E10)),3,0)+IF(NOT(ISBLANK(F10)),4,0))</f>
        <v>2</v>
      </c>
    </row>
    <row r="11" spans="1:8" ht="25">
      <c r="A11" s="21"/>
      <c r="B11" s="19" t="s">
        <v>8</v>
      </c>
      <c r="C11" s="19" t="s">
        <v>9</v>
      </c>
      <c r="D11" s="19" t="s">
        <v>10</v>
      </c>
      <c r="E11" s="19" t="s">
        <v>11</v>
      </c>
      <c r="F11" s="19" t="s">
        <v>12</v>
      </c>
      <c r="G11" s="5"/>
      <c r="H11" s="18"/>
    </row>
    <row r="12" spans="1:8">
      <c r="A12" s="20" t="s">
        <v>16</v>
      </c>
      <c r="B12" s="7"/>
      <c r="C12" s="7"/>
      <c r="D12" s="7" t="s">
        <v>14</v>
      </c>
      <c r="E12" s="7"/>
      <c r="F12" s="7"/>
      <c r="G12" s="5" t="str">
        <f>IF(IF(NOT(ISBLANK(B12)),1,0)+IF(NOT(ISBLANK(C12)),1,0)+IF(NOT(ISBLANK(D12)),1,0)+IF(NOT(ISBLANK(E12)),1,0)+IF(NOT(ISBLANK(F12)),1,0)=1,"Yes","No")</f>
        <v>Yes</v>
      </c>
      <c r="H12" s="18">
        <f>IF(G12="No","check data",IF(NOT(ISBLANK(B12)),0,0)+IF(NOT(ISBLANK(C12)),1,0)+IF(NOT(ISBLANK(D12)),2,0)+IF(NOT(ISBLANK(E12)),3,0)+IF(NOT(ISBLANK(F12)),4,0))</f>
        <v>2</v>
      </c>
    </row>
    <row r="13" spans="1:8" ht="26" customHeight="1">
      <c r="A13" s="21"/>
      <c r="B13" s="19" t="s">
        <v>8</v>
      </c>
      <c r="C13" s="19" t="s">
        <v>9</v>
      </c>
      <c r="D13" s="19" t="s">
        <v>10</v>
      </c>
      <c r="E13" s="19" t="s">
        <v>11</v>
      </c>
      <c r="F13" s="19" t="s">
        <v>12</v>
      </c>
      <c r="G13" s="5"/>
      <c r="H13" s="18"/>
    </row>
    <row r="14" spans="1:8">
      <c r="A14" s="20" t="s">
        <v>17</v>
      </c>
      <c r="B14" s="7"/>
      <c r="C14" s="7"/>
      <c r="D14" s="7" t="s">
        <v>14</v>
      </c>
      <c r="E14" s="7"/>
      <c r="F14" s="7"/>
      <c r="G14" s="5" t="str">
        <f>IF(IF(NOT(ISBLANK(B14)),1,0)+IF(NOT(ISBLANK(C14)),1,0)+IF(NOT(ISBLANK(D14)),1,0)+IF(NOT(ISBLANK(E14)),1,0)+IF(NOT(ISBLANK(F14)),1,0)=1,"Yes","No")</f>
        <v>Yes</v>
      </c>
      <c r="H14" s="18">
        <f>IF(G14="No","check data",IF(NOT(ISBLANK(B14)),0,0)+IF(NOT(ISBLANK(C14)),1,0)+IF(NOT(ISBLANK(D14)),2,0)+IF(NOT(ISBLANK(E14)),3,0)+IF(NOT(ISBLANK(F14)),4,0))</f>
        <v>2</v>
      </c>
    </row>
    <row r="15" spans="1:8" ht="26" customHeight="1">
      <c r="A15" s="21"/>
      <c r="B15" s="19" t="s">
        <v>8</v>
      </c>
      <c r="C15" s="19" t="s">
        <v>9</v>
      </c>
      <c r="D15" s="19" t="s">
        <v>10</v>
      </c>
      <c r="E15" s="19" t="s">
        <v>11</v>
      </c>
      <c r="F15" s="19" t="s">
        <v>12</v>
      </c>
      <c r="G15" s="5"/>
      <c r="H15" s="18"/>
    </row>
    <row r="16" spans="1:8">
      <c r="A16" s="20" t="s">
        <v>18</v>
      </c>
      <c r="B16" s="7"/>
      <c r="C16" s="7"/>
      <c r="D16" s="7" t="s">
        <v>14</v>
      </c>
      <c r="E16" s="7"/>
      <c r="F16" s="7"/>
      <c r="G16" s="5" t="str">
        <f>IF(IF(NOT(ISBLANK(B16)),1,0)+IF(NOT(ISBLANK(C16)),1,0)+IF(NOT(ISBLANK(D16)),1,0)+IF(NOT(ISBLANK(E16)),1,0)+IF(NOT(ISBLANK(F16)),1,0)=1,"Yes","No")</f>
        <v>Yes</v>
      </c>
      <c r="H16" s="18">
        <f>IF(G16="No","check data",IF(NOT(ISBLANK(B16)),0,0)+IF(NOT(ISBLANK(C16)),1,0)+IF(NOT(ISBLANK(D16)),2,0)+IF(NOT(ISBLANK(E16)),3,0)+IF(NOT(ISBLANK(F16)),4,0))</f>
        <v>2</v>
      </c>
    </row>
    <row r="17" spans="1:8" ht="25">
      <c r="A17" s="21"/>
      <c r="B17" s="19" t="s">
        <v>8</v>
      </c>
      <c r="C17" s="19" t="s">
        <v>9</v>
      </c>
      <c r="D17" s="19" t="s">
        <v>10</v>
      </c>
      <c r="E17" s="19" t="s">
        <v>11</v>
      </c>
      <c r="F17" s="19" t="s">
        <v>12</v>
      </c>
      <c r="G17" s="5"/>
      <c r="H17" s="18"/>
    </row>
    <row r="18" spans="1:8">
      <c r="A18" s="20" t="s">
        <v>19</v>
      </c>
      <c r="B18" s="7"/>
      <c r="C18" s="7"/>
      <c r="D18" s="7" t="s">
        <v>14</v>
      </c>
      <c r="E18" s="7"/>
      <c r="F18" s="7"/>
      <c r="G18" s="5" t="str">
        <f>IF(IF(NOT(ISBLANK(B18)),1,0)+IF(NOT(ISBLANK(C18)),1,0)+IF(NOT(ISBLANK(D18)),1,0)+IF(NOT(ISBLANK(E18)),1,0)+IF(NOT(ISBLANK(F18)),1,0)=1,"Yes","No")</f>
        <v>Yes</v>
      </c>
      <c r="H18" s="18">
        <f>IF(G18="No","check data",IF(NOT(ISBLANK(B18)),0,0)+IF(NOT(ISBLANK(C18)),1,0)+IF(NOT(ISBLANK(D18)),2,0)+IF(NOT(ISBLANK(E18)),3,0)+IF(NOT(ISBLANK(F18)),4,0))</f>
        <v>2</v>
      </c>
    </row>
    <row r="19" spans="1:8" ht="25">
      <c r="A19" s="21"/>
      <c r="B19" s="19" t="s">
        <v>8</v>
      </c>
      <c r="C19" s="19" t="s">
        <v>9</v>
      </c>
      <c r="D19" s="19" t="s">
        <v>10</v>
      </c>
      <c r="E19" s="19" t="s">
        <v>11</v>
      </c>
      <c r="F19" s="19" t="s">
        <v>12</v>
      </c>
      <c r="G19" s="5"/>
      <c r="H19" s="18"/>
    </row>
    <row r="20" spans="1:8">
      <c r="A20" s="20" t="s">
        <v>20</v>
      </c>
      <c r="B20" s="7"/>
      <c r="C20" s="7"/>
      <c r="D20" s="7" t="s">
        <v>14</v>
      </c>
      <c r="E20" s="7"/>
      <c r="F20" s="7"/>
      <c r="G20" s="5" t="str">
        <f>IF(IF(NOT(ISBLANK(B20)),1,0)+IF(NOT(ISBLANK(C20)),1,0)+IF(NOT(ISBLANK(D20)),1,0)+IF(NOT(ISBLANK(E20)),1,0)+IF(NOT(ISBLANK(F20)),1,0)=1,"Yes","No")</f>
        <v>Yes</v>
      </c>
      <c r="H20" s="18">
        <f>IF(G20="No","check data",IF(NOT(ISBLANK(B20)),0,0)+IF(NOT(ISBLANK(C20)),1,0)+IF(NOT(ISBLANK(D20)),2,0)+IF(NOT(ISBLANK(E20)),3,0)+IF(NOT(ISBLANK(F20)),4,0))</f>
        <v>2</v>
      </c>
    </row>
    <row r="21" spans="1:8" ht="25">
      <c r="A21" s="21"/>
      <c r="B21" s="19" t="s">
        <v>8</v>
      </c>
      <c r="C21" s="19" t="s">
        <v>9</v>
      </c>
      <c r="D21" s="19" t="s">
        <v>10</v>
      </c>
      <c r="E21" s="19" t="s">
        <v>11</v>
      </c>
      <c r="F21" s="19" t="s">
        <v>12</v>
      </c>
      <c r="G21" s="5"/>
      <c r="H21" s="18"/>
    </row>
    <row r="22" spans="1:8">
      <c r="A22" s="20" t="s">
        <v>21</v>
      </c>
      <c r="B22" s="7"/>
      <c r="C22" s="7"/>
      <c r="D22" s="7" t="s">
        <v>14</v>
      </c>
      <c r="E22" s="7"/>
      <c r="F22" s="7"/>
      <c r="G22" s="5" t="str">
        <f>IF(IF(NOT(ISBLANK(B22)),1,0)+IF(NOT(ISBLANK(C22)),1,0)+IF(NOT(ISBLANK(D22)),1,0)+IF(NOT(ISBLANK(E22)),1,0)+IF(NOT(ISBLANK(F22)),1,0)=1,"Yes","No")</f>
        <v>Yes</v>
      </c>
      <c r="H22" s="18">
        <f>IF(G22="No","check data",IF(NOT(ISBLANK(B22)),0,0)+IF(NOT(ISBLANK(C22)),1,0)+IF(NOT(ISBLANK(D22)),2,0)+IF(NOT(ISBLANK(E22)),3,0)+IF(NOT(ISBLANK(F22)),4,0))</f>
        <v>2</v>
      </c>
    </row>
    <row r="23" spans="1:8" ht="25">
      <c r="A23" s="21"/>
      <c r="B23" s="19" t="s">
        <v>8</v>
      </c>
      <c r="C23" s="19" t="s">
        <v>9</v>
      </c>
      <c r="D23" s="19" t="s">
        <v>10</v>
      </c>
      <c r="E23" s="19" t="s">
        <v>11</v>
      </c>
      <c r="F23" s="19" t="s">
        <v>12</v>
      </c>
      <c r="G23" s="5"/>
      <c r="H23" s="18"/>
    </row>
    <row r="24" spans="1:8">
      <c r="A24" s="20" t="s">
        <v>22</v>
      </c>
      <c r="B24" s="7"/>
      <c r="C24" s="7"/>
      <c r="D24" s="7" t="s">
        <v>14</v>
      </c>
      <c r="E24" s="7"/>
      <c r="F24" s="7"/>
      <c r="G24" s="5" t="str">
        <f>IF(IF(NOT(ISBLANK(B24)),1,0)+IF(NOT(ISBLANK(C24)),1,0)+IF(NOT(ISBLANK(D24)),1,0)+IF(NOT(ISBLANK(E24)),1,0)+IF(NOT(ISBLANK(F24)),1,0)=1,"Yes","No")</f>
        <v>Yes</v>
      </c>
      <c r="H24" s="18">
        <f>IF(G24="No","check data",IF(NOT(ISBLANK(B24)),0,0)+IF(NOT(ISBLANK(C24)),1,0)+IF(NOT(ISBLANK(D24)),2,0)+IF(NOT(ISBLANK(E24)),3,0)+IF(NOT(ISBLANK(F24)),4,0))</f>
        <v>2</v>
      </c>
    </row>
    <row r="25" spans="1:8" ht="25">
      <c r="A25" s="21"/>
      <c r="B25" s="19" t="s">
        <v>8</v>
      </c>
      <c r="C25" s="19" t="s">
        <v>9</v>
      </c>
      <c r="D25" s="19" t="s">
        <v>10</v>
      </c>
      <c r="E25" s="19" t="s">
        <v>11</v>
      </c>
      <c r="F25" s="19" t="s">
        <v>12</v>
      </c>
      <c r="G25" s="5"/>
      <c r="H25" s="18"/>
    </row>
    <row r="26" spans="1:8">
      <c r="A26" s="20" t="s">
        <v>23</v>
      </c>
      <c r="B26" s="7"/>
      <c r="C26" s="7"/>
      <c r="D26" s="7" t="s">
        <v>14</v>
      </c>
      <c r="E26" s="7"/>
      <c r="F26" s="7"/>
      <c r="G26" s="5" t="str">
        <f>IF(IF(NOT(ISBLANK(B26)),1,0)+IF(NOT(ISBLANK(C26)),1,0)+IF(NOT(ISBLANK(D26)),1,0)+IF(NOT(ISBLANK(E26)),1,0)+IF(NOT(ISBLANK(F26)),1,0)=1,"Yes","No")</f>
        <v>Yes</v>
      </c>
      <c r="H26" s="18">
        <f>IF(G26="No","check data",IF(NOT(ISBLANK(B26)),0,0)+IF(NOT(ISBLANK(C26)),1,0)+IF(NOT(ISBLANK(D26)),2,0)+IF(NOT(ISBLANK(E26)),3,0)+IF(NOT(ISBLANK(F26)),4,0))</f>
        <v>2</v>
      </c>
    </row>
    <row r="27" spans="1:8" ht="25">
      <c r="A27" s="21"/>
      <c r="B27" s="19" t="s">
        <v>8</v>
      </c>
      <c r="C27" s="19" t="s">
        <v>9</v>
      </c>
      <c r="D27" s="19" t="s">
        <v>10</v>
      </c>
      <c r="E27" s="19" t="s">
        <v>11</v>
      </c>
      <c r="F27" s="19" t="s">
        <v>12</v>
      </c>
      <c r="G27" s="5"/>
      <c r="H27" s="18"/>
    </row>
    <row r="28" spans="1:8">
      <c r="A28" s="20" t="s">
        <v>24</v>
      </c>
      <c r="B28" s="7"/>
      <c r="C28" s="7"/>
      <c r="D28" s="7" t="s">
        <v>14</v>
      </c>
      <c r="E28" s="7"/>
      <c r="F28" s="7"/>
      <c r="G28" s="5" t="str">
        <f>IF(IF(NOT(ISBLANK(B28)),1,0)+IF(NOT(ISBLANK(C28)),1,0)+IF(NOT(ISBLANK(D28)),1,0)+IF(NOT(ISBLANK(E28)),1,0)+IF(NOT(ISBLANK(F28)),1,0)=1,"Yes","No")</f>
        <v>Yes</v>
      </c>
      <c r="H28" s="18">
        <f>IF(G28="No","check data",IF(NOT(ISBLANK(B28)),0,0)+IF(NOT(ISBLANK(C28)),1,0)+IF(NOT(ISBLANK(D28)),2,0)+IF(NOT(ISBLANK(E28)),3,0)+IF(NOT(ISBLANK(F28)),4,0))</f>
        <v>2</v>
      </c>
    </row>
    <row r="29" spans="1:8" ht="25">
      <c r="A29" s="21"/>
      <c r="B29" s="19" t="s">
        <v>8</v>
      </c>
      <c r="C29" s="19" t="s">
        <v>9</v>
      </c>
      <c r="D29" s="19" t="s">
        <v>10</v>
      </c>
      <c r="E29" s="19" t="s">
        <v>11</v>
      </c>
      <c r="F29" s="19" t="s">
        <v>12</v>
      </c>
      <c r="G29" s="5"/>
      <c r="H29" s="18"/>
    </row>
    <row r="30" spans="1:8">
      <c r="A30" s="20" t="s">
        <v>25</v>
      </c>
      <c r="B30" s="7"/>
      <c r="C30" s="7"/>
      <c r="D30" s="7" t="s">
        <v>14</v>
      </c>
      <c r="E30" s="7"/>
      <c r="F30" s="7"/>
      <c r="G30" s="5" t="str">
        <f>IF(IF(NOT(ISBLANK(B30)),1,0)+IF(NOT(ISBLANK(C30)),1,0)+IF(NOT(ISBLANK(D30)),1,0)+IF(NOT(ISBLANK(E30)),1,0)+IF(NOT(ISBLANK(F30)),1,0)=1,"Yes","No")</f>
        <v>Yes</v>
      </c>
      <c r="H30" s="18">
        <f>IF(G30="No","check data",IF(NOT(ISBLANK(B30)),0,0)+IF(NOT(ISBLANK(C30)),1,0)+IF(NOT(ISBLANK(D30)),2,0)+IF(NOT(ISBLANK(E30)),3,0)+IF(NOT(ISBLANK(F30)),4,0))</f>
        <v>2</v>
      </c>
    </row>
    <row r="31" spans="1:8" ht="25">
      <c r="A31" s="21"/>
      <c r="B31" s="19" t="s">
        <v>8</v>
      </c>
      <c r="C31" s="19" t="s">
        <v>9</v>
      </c>
      <c r="D31" s="19" t="s">
        <v>10</v>
      </c>
      <c r="E31" s="19" t="s">
        <v>11</v>
      </c>
      <c r="F31" s="19" t="s">
        <v>12</v>
      </c>
      <c r="G31" s="5"/>
      <c r="H31" s="18"/>
    </row>
    <row r="32" spans="1:8">
      <c r="A32" s="20" t="s">
        <v>26</v>
      </c>
      <c r="B32" s="7"/>
      <c r="C32" s="7"/>
      <c r="D32" s="7" t="s">
        <v>14</v>
      </c>
      <c r="E32" s="7"/>
      <c r="F32" s="7"/>
      <c r="G32" s="5" t="str">
        <f>IF(IF(NOT(ISBLANK(B32)),1,0)+IF(NOT(ISBLANK(C32)),1,0)+IF(NOT(ISBLANK(D32)),1,0)+IF(NOT(ISBLANK(E32)),1,0)+IF(NOT(ISBLANK(F32)),1,0)=1,"Yes","No")</f>
        <v>Yes</v>
      </c>
      <c r="H32" s="18">
        <f>IF(G32="No","check data",IF(NOT(ISBLANK(B32)),0,0)+IF(NOT(ISBLANK(C32)),1,0)+IF(NOT(ISBLANK(D32)),2,0)+IF(NOT(ISBLANK(E32)),3,0)+IF(NOT(ISBLANK(F32)),4,0))</f>
        <v>2</v>
      </c>
    </row>
    <row r="33" spans="1:8" ht="25">
      <c r="A33" s="21"/>
      <c r="B33" s="19" t="s">
        <v>8</v>
      </c>
      <c r="C33" s="19" t="s">
        <v>9</v>
      </c>
      <c r="D33" s="19" t="s">
        <v>10</v>
      </c>
      <c r="E33" s="19" t="s">
        <v>11</v>
      </c>
      <c r="F33" s="19" t="s">
        <v>12</v>
      </c>
      <c r="G33" s="5"/>
      <c r="H33" s="18"/>
    </row>
    <row r="34" spans="1:8">
      <c r="A34" s="20" t="s">
        <v>27</v>
      </c>
      <c r="B34" s="7"/>
      <c r="C34" s="7"/>
      <c r="D34" s="7" t="s">
        <v>14</v>
      </c>
      <c r="E34" s="7"/>
      <c r="F34" s="7"/>
      <c r="G34" s="5" t="str">
        <f>IF(IF(NOT(ISBLANK(B34)),1,0)+IF(NOT(ISBLANK(C34)),1,0)+IF(NOT(ISBLANK(D34)),1,0)+IF(NOT(ISBLANK(E34)),1,0)+IF(NOT(ISBLANK(F34)),1,0)=1,"Yes","No")</f>
        <v>Yes</v>
      </c>
      <c r="H34" s="18">
        <f>IF(G34="No","check data",IF(NOT(ISBLANK(B34)),0,0)+IF(NOT(ISBLANK(C34)),1,0)+IF(NOT(ISBLANK(D34)),2,0)+IF(NOT(ISBLANK(E34)),3,0)+IF(NOT(ISBLANK(F34)),4,0))</f>
        <v>2</v>
      </c>
    </row>
    <row r="35" spans="1:8" ht="25">
      <c r="A35" s="21"/>
      <c r="B35" s="19" t="s">
        <v>8</v>
      </c>
      <c r="C35" s="19" t="s">
        <v>9</v>
      </c>
      <c r="D35" s="19" t="s">
        <v>10</v>
      </c>
      <c r="E35" s="19" t="s">
        <v>11</v>
      </c>
      <c r="F35" s="19" t="s">
        <v>12</v>
      </c>
      <c r="G35" s="5"/>
      <c r="H35" s="18"/>
    </row>
    <row r="36" spans="1:8" ht="25">
      <c r="A36" s="20" t="s">
        <v>28</v>
      </c>
      <c r="B36" s="7"/>
      <c r="C36" s="7"/>
      <c r="D36" s="7" t="s">
        <v>14</v>
      </c>
      <c r="E36" s="7"/>
      <c r="F36" s="7"/>
      <c r="G36" s="5" t="str">
        <f>IF(IF(NOT(ISBLANK(B36)),1,0)+IF(NOT(ISBLANK(C36)),1,0)+IF(NOT(ISBLANK(D36)),1,0)+IF(NOT(ISBLANK(E36)),1,0)+IF(NOT(ISBLANK(F36)),1,0)=1,"Yes","No")</f>
        <v>Yes</v>
      </c>
      <c r="H36" s="18">
        <f>IF(G36="No","check data",IF(NOT(ISBLANK(B36)),0,0)+IF(NOT(ISBLANK(C36)),1,0)+IF(NOT(ISBLANK(D36)),2,0)+IF(NOT(ISBLANK(E36)),3,0)+IF(NOT(ISBLANK(F36)),4,0))</f>
        <v>2</v>
      </c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 ht="13">
      <c r="A38" s="11" t="s">
        <v>29</v>
      </c>
      <c r="B38" s="12" t="s">
        <v>30</v>
      </c>
      <c r="C38" s="6"/>
      <c r="D38" s="6"/>
      <c r="E38" s="6"/>
      <c r="F38" s="6"/>
      <c r="G38" s="6"/>
      <c r="H38" s="6"/>
    </row>
    <row r="39" spans="1:8">
      <c r="A39" s="13" t="s">
        <v>31</v>
      </c>
      <c r="B39" s="14" t="str">
        <f>IF(OR(ISBLANK(B4),G8="No",G10="No",G12="No",G14="No",G16="No",G18="No",G20="No",G22="No",G24="No",G26="No",G28="No",G30="No",G32="No",G34="No",G36="No"),"No","Yes")</f>
        <v>Yes</v>
      </c>
      <c r="C39" s="6"/>
      <c r="D39" s="6"/>
      <c r="E39" s="6"/>
      <c r="F39" s="6"/>
      <c r="G39" s="6"/>
      <c r="H39" s="6"/>
    </row>
    <row r="40" spans="1:8">
      <c r="A40" s="13" t="s">
        <v>32</v>
      </c>
      <c r="B40" s="14" t="str">
        <f>IF(B39="No","complete data",IF(B4="Y","Yes","No"))</f>
        <v>Yes</v>
      </c>
      <c r="C40" s="6" t="str">
        <f>IF(B40="No"," Applies to a child's functional abilities."," :-):-):-)")</f>
        <v xml:space="preserve"> :-):-):-)</v>
      </c>
      <c r="D40" s="6"/>
      <c r="E40" s="6"/>
      <c r="F40" s="6"/>
      <c r="G40" s="6"/>
      <c r="H40" s="6"/>
    </row>
    <row r="41" spans="1:8">
      <c r="A41" s="13" t="s">
        <v>33</v>
      </c>
      <c r="B41" s="14">
        <f>IF(B39="No","complete data",SUM(H8:H36))</f>
        <v>30</v>
      </c>
      <c r="C41" s="31" t="s">
        <v>34</v>
      </c>
      <c r="D41" s="30">
        <f>B41/60</f>
        <v>0.5</v>
      </c>
      <c r="E41" s="6" t="s">
        <v>35</v>
      </c>
      <c r="F41" s="6"/>
      <c r="G41" s="6"/>
      <c r="H41" s="6"/>
    </row>
    <row r="42" spans="1:8">
      <c r="A42" s="13" t="s">
        <v>36</v>
      </c>
      <c r="B42" s="14">
        <f>IF(B39="No","complete data",IF(H8=0,1,0)+IF(H10=0,1,0)+IF(H12=0,1,0)+IF(H14=0,1,0)+IF(H16=0,1,0)+IF(H18=0,1,0)+IF(H20=0,1,0)+IF(H22=0,1,0)+IF(H24=0,1,0)+IF(H26=0,1,0)+IF(H28=0,1,0)+IF(H30=0,1,0)+IF(H32=0,1,0)+IF(H34=0,1,0)+IF(H36=0,1,0))</f>
        <v>0</v>
      </c>
      <c r="C42" s="6" t="s">
        <v>37</v>
      </c>
      <c r="D42" s="6"/>
      <c r="E42" s="6"/>
      <c r="F42" s="6"/>
      <c r="G42" s="6"/>
      <c r="H42" s="6"/>
    </row>
    <row r="43" spans="1:8">
      <c r="A43" s="13" t="s">
        <v>38</v>
      </c>
      <c r="B43" s="14">
        <f>IF(B39="No","complete data",IF(H8=1,1,0)+IF(H10=1,1,0)+IF(H12=1,1,0)+IF(H14=1,1,0)+IF(H16=1,1,0)+IF(H18=1,1,0)+IF(H20=1,1,0)+IF(H22=1,1,0)+IF(H24=1,1,0)+IF(H26=1,1,0)+IF(H28=1,1,0)+IF(H30=1,1,0)+IF(H32=1,1,0)+IF(H34=1,1,0)+IF(H36=1,1,0))</f>
        <v>0</v>
      </c>
      <c r="C43" s="6" t="s">
        <v>37</v>
      </c>
      <c r="D43" s="6"/>
      <c r="E43" s="6"/>
      <c r="F43" s="6"/>
      <c r="G43" s="6"/>
      <c r="H43" s="6"/>
    </row>
    <row r="44" spans="1:8">
      <c r="A44" s="13" t="s">
        <v>39</v>
      </c>
      <c r="B44" s="14">
        <f>IF(B39="No","complete data",IF(H8=2,1,0)+IF(H10=2,1,0)+IF(H12=2,1,0)+IF(H14=2,1,0)+IF(H16=2,1,0)+IF(H18=2,1,0)+IF(H20=2,1,0)+IF(H22=2,1,0)+IF(H24=2,1,0)+IF(H26=2,1,0)+IF(H28=2,1,0)+IF(H30=2,1,0)+IF(H32=2,1,0)+IF(H34=2,1,0)+IF(H36=2,1,0))</f>
        <v>15</v>
      </c>
      <c r="C44" s="6" t="s">
        <v>37</v>
      </c>
      <c r="D44" s="6"/>
      <c r="E44" s="6"/>
      <c r="F44" s="6"/>
      <c r="G44" s="6"/>
      <c r="H44" s="6"/>
    </row>
    <row r="45" spans="1:8">
      <c r="A45" s="13" t="s">
        <v>40</v>
      </c>
      <c r="B45" s="14">
        <f>IF(B39="No","complete data",IF(H8=3,1,0)+IF(H10=3,1,0)+IF(H12=3,1,0)+IF(H14=3,1,0)+IF(H16=3,1,0)+IF(H18=3,1,0)+IF(H20=3,1,0)+IF(H22=3,1,0)+IF(H24=3,1,0)+IF(H26=3,1,0)+IF(H28=3,1,0)+IF(H30=3,1,0)+IF(H32=3,1,0)+IF(H34=3,1,0)+IF(H36=3,1,0))</f>
        <v>0</v>
      </c>
      <c r="C45" s="6" t="s">
        <v>37</v>
      </c>
      <c r="D45" s="6"/>
      <c r="E45" s="6"/>
      <c r="F45" s="6"/>
      <c r="G45" s="6"/>
      <c r="H45" s="6"/>
    </row>
    <row r="46" spans="1:8">
      <c r="A46" s="13" t="s">
        <v>41</v>
      </c>
      <c r="B46" s="14">
        <f>IF(B39="No","complete data",IF(H8=4,1,0)+IF(H10=4,1,0)+IF(H12=4,1,0)+IF(H14=4,1,0)+IF(H16=4,1,0)+IF(H18=4,1,0)+IF(H20=4,1,0)+IF(H22=4,1,0)+IF(H24=4,1,0)+IF(H26=4,1,0)+IF(H28=4,1,0)+IF(H30=4,1,0)+IF(H32=4,1,0)+IF(H34=4,1,0)+IF(H36=4,1,0))</f>
        <v>0</v>
      </c>
      <c r="C46" s="6" t="s">
        <v>37</v>
      </c>
      <c r="D46" s="6"/>
      <c r="E46" s="6"/>
      <c r="F46" s="6"/>
      <c r="G46" s="6"/>
      <c r="H46" s="6"/>
    </row>
    <row r="47" spans="1:8">
      <c r="A47" s="6"/>
      <c r="B47" s="6"/>
      <c r="C47" s="6"/>
      <c r="D47" s="6"/>
      <c r="E47" s="6"/>
      <c r="F47" s="6"/>
      <c r="G47" s="6"/>
      <c r="H47" s="6"/>
    </row>
  </sheetData>
  <sheetProtection sheet="1" objects="1" scenarios="1"/>
  <printOptions gridLines="1" gridLinesSet="0"/>
  <pageMargins left="0.75" right="0.75" top="1" bottom="1" header="0.5" footer="0.5"/>
  <pageSetup paperSize="0" orientation="portrait" horizontalDpi="4294967292" verticalDpi="4294967292"/>
  <headerFooter alignWithMargins="0">
    <oddHeader>&amp;C&amp;"Helvetica,Regular"&amp;12&amp;F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Svirbely</dc:creator>
  <cp:lastModifiedBy>Carina Negreanu</cp:lastModifiedBy>
  <dcterms:created xsi:type="dcterms:W3CDTF">2020-01-27T11:37:33Z</dcterms:created>
  <dcterms:modified xsi:type="dcterms:W3CDTF">2020-01-27T11:37:34Z</dcterms:modified>
</cp:coreProperties>
</file>