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E4452F0-03C3-4E05-96C1-B3EE1D75419D}" xr6:coauthVersionLast="45" xr6:coauthVersionMax="45" xr10:uidLastSave="{00000000-0000-0000-0000-000000000000}"/>
  <bookViews>
    <workbookView xWindow="1140" yWindow="1140" windowWidth="28800" windowHeight="15460" tabRatio="493"/>
  </bookViews>
  <sheets>
    <sheet name="Timeline Information" sheetId="1" r:id="rId1"/>
    <sheet name="Material Calculator" sheetId="2" r:id="rId2"/>
    <sheet name="TimelineWizardData" sheetId="4" state="hidden" r:id="rId3"/>
  </sheets>
  <definedNames>
    <definedName name="Dependency">'Timeline Information'!$F:$F</definedName>
    <definedName name="Drainage_Layer_Depth">'Material Calculator'!$B$7</definedName>
    <definedName name="Duration">'Timeline Information'!$C:$C</definedName>
    <definedName name="End_Date">'Timeline Information'!$E:$E</definedName>
    <definedName name="Intermediate_Layer_Depth">'Material Calculator'!$B$8</definedName>
    <definedName name="Resource">'Timeline Information'!$G:$G</definedName>
    <definedName name="Start_Date">'Timeline Information'!$D:$D</definedName>
    <definedName name="Subgrade_Layer_Depth">'Material Calculator'!$B$6</definedName>
    <definedName name="Task_Name">'Timeline Information'!$B:$B</definedName>
    <definedName name="Task_Number">'Timeline Information'!$A:$A</definedName>
    <definedName name="Total_Area__sqft">'Material Calculator'!$B$2</definedName>
  </definedNames>
  <calcPr calcId="0" fullCalcOnLoad="1" iterate="1"/>
</workbook>
</file>

<file path=xl/calcChain.xml><?xml version="1.0" encoding="utf-8"?>
<calcChain xmlns="http://schemas.openxmlformats.org/spreadsheetml/2006/main">
  <c r="D6" i="2" l="1"/>
  <c r="F6" i="2"/>
  <c r="D7" i="2"/>
  <c r="F7" i="2"/>
  <c r="D8" i="2"/>
  <c r="F8" i="2"/>
  <c r="D9" i="2"/>
  <c r="F9" i="2"/>
  <c r="D11" i="2"/>
  <c r="F11" i="2"/>
  <c r="D12" i="2"/>
  <c r="F12" i="2"/>
  <c r="F16" i="2"/>
  <c r="F19" i="2"/>
  <c r="E3" i="1"/>
  <c r="E8" i="1"/>
  <c r="H8" i="1"/>
  <c r="E16" i="1"/>
  <c r="H16" i="1"/>
  <c r="E20" i="1"/>
  <c r="H20" i="1"/>
  <c r="E24" i="1"/>
  <c r="H26" i="1"/>
  <c r="H28" i="1"/>
</calcChain>
</file>

<file path=xl/sharedStrings.xml><?xml version="1.0" encoding="utf-8"?>
<sst xmlns="http://schemas.openxmlformats.org/spreadsheetml/2006/main" count="70" uniqueCount="69">
  <si>
    <t>Project Plan for Putting Green Construction</t>
  </si>
  <si>
    <t>Task #</t>
  </si>
  <si>
    <t>Task Name</t>
  </si>
  <si>
    <t>Duration</t>
  </si>
  <si>
    <t>Start Date</t>
  </si>
  <si>
    <t>End Date</t>
  </si>
  <si>
    <t>Dependency</t>
  </si>
  <si>
    <t xml:space="preserve">Resource </t>
  </si>
  <si>
    <t>Estimated Expense</t>
  </si>
  <si>
    <t>Construct Subgrade</t>
  </si>
  <si>
    <t>Remove Grass</t>
  </si>
  <si>
    <t>Sod Cutter</t>
  </si>
  <si>
    <t>Remove Soil to 16" Depth</t>
  </si>
  <si>
    <t>Shape and Contour</t>
  </si>
  <si>
    <t>Water and Compact</t>
  </si>
  <si>
    <t>Turf Roller</t>
  </si>
  <si>
    <t>Set Drainage Layer - 4"</t>
  </si>
  <si>
    <t>Survey transit?</t>
  </si>
  <si>
    <t>establish grid pattern</t>
  </si>
  <si>
    <t>groove drainage channels</t>
  </si>
  <si>
    <t>Lay 1" Gravel layer</t>
  </si>
  <si>
    <t>1" of 1/4" pea gravel (4" layer)</t>
  </si>
  <si>
    <t>Lay drainage pipe</t>
  </si>
  <si>
    <t>4" perforated PVC</t>
  </si>
  <si>
    <t>Cover with remaining Gravel</t>
  </si>
  <si>
    <t>3" of 1/4" gravel</t>
  </si>
  <si>
    <t>Establish grade stakes</t>
  </si>
  <si>
    <t>3 Grade stakes</t>
  </si>
  <si>
    <t>Line level stakes for future layers</t>
  </si>
  <si>
    <t>Coarse Sand Layer - 2"</t>
  </si>
  <si>
    <t>2" pure coarse sand</t>
  </si>
  <si>
    <t>Spread sand</t>
  </si>
  <si>
    <t>rake sand to line level of 2"</t>
  </si>
  <si>
    <t>roll smooth</t>
  </si>
  <si>
    <t>Root Zone Layer - 12"</t>
  </si>
  <si>
    <t>Medium/fine sand</t>
  </si>
  <si>
    <t>Mix 75% Sand / 25% Peat</t>
  </si>
  <si>
    <t>Organic Peat</t>
  </si>
  <si>
    <t>Spread root zone layer to 12"</t>
  </si>
  <si>
    <t>Mixer</t>
  </si>
  <si>
    <t>smooth, wet and roll to perfection</t>
  </si>
  <si>
    <t>Planting</t>
  </si>
  <si>
    <t>Apply Starter fertilizer</t>
  </si>
  <si>
    <t>10-20-20 mix</t>
  </si>
  <si>
    <t>Rake into top 3" layer of root zone and surrounding area</t>
  </si>
  <si>
    <t>Seed</t>
  </si>
  <si>
    <t>Estimated total cost</t>
  </si>
  <si>
    <t>Total Putting Area (sqft)</t>
  </si>
  <si>
    <t>Layer</t>
  </si>
  <si>
    <t>Depth ("'s)</t>
  </si>
  <si>
    <t>Mixture</t>
  </si>
  <si>
    <t>Yards Required</t>
  </si>
  <si>
    <t>Cost Per Yard</t>
  </si>
  <si>
    <t>Total Cost</t>
  </si>
  <si>
    <t>Subgrade</t>
  </si>
  <si>
    <t>Drainage</t>
  </si>
  <si>
    <t>Intermediate</t>
  </si>
  <si>
    <t>Coarse Sand</t>
  </si>
  <si>
    <t>Root Zone</t>
  </si>
  <si>
    <t xml:space="preserve">   Medium/Fine Sand</t>
  </si>
  <si>
    <t xml:space="preserve">   Organic Pete Moss</t>
  </si>
  <si>
    <t>4" Drainage Pipe (Lin ft)</t>
  </si>
  <si>
    <t>n/a</t>
  </si>
  <si>
    <t>Seed (lbs)</t>
  </si>
  <si>
    <t>1lb per 1000 sqft</t>
  </si>
  <si>
    <t>Instructions:</t>
  </si>
  <si>
    <t>Fill in the required information in the blue cells, the worksheet will calcuate the rest for you</t>
  </si>
  <si>
    <t>4" PVC Drainage pipe will run about $2 per 10ft</t>
  </si>
  <si>
    <t>C:\PROGRAM FILES\VISIO\SOLUTIONS\BUSINESS DIAGRAM\Project Timeline Wizard.exe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</si>
</sst>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0" formatCode="_(&quot;$&quot;* #,##0.00_);_(&quot;$&quot;* \(#,##0.00\);_(&quot;$&quot;* &quot;-&quot;??_);_(@_)"/>
    <numFmt numFmtId="186" formatCode="0.0"/>
  </numFmts>
  <fonts count="4" x14ac:knownFonts="1">
    <font>
      <sz val="10"/>
      <name val="Arial"/>
    </font>
    <font>
      <sz val="10"/>
      <name val="Arial"/>
      <family val="2"/>
    </font>
    <font>
      <b/>
      <sz val="10"/>
      <name val="Arial"/>
      <family val="2"/>
    </font>
    <font>
      <b/>
      <i/>
      <sz val="10"/>
      <name val="Arial"/>
      <family val="2"/>
    </font>
  </fonts>
  <fills count="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1"/>
        <bgColor indexed="64"/>
      </patternFill>
    </fill>
  </fills>
  <borders count="6">
    <border>
      <left/>
      <right/>
      <top/>
      <bottom/>
      <diagonal/>
    </border>
    <border>
      <left/>
      <right style="thin">
        <color indexed="64"/>
      </right>
      <top/>
      <bottom style="thin">
        <color indexed="64"/>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s>
  <cellStyleXfs count="3">
    <xf numFmtId="0" fontId="0" fillId="0" borderId="0"/>
    <xf numFmtId="170" fontId="1" fillId="0" borderId="0" applyFont="0" applyFill="0" applyBorder="0" applyAlignment="0" applyProtection="0"/>
    <xf numFmtId="9" fontId="1" fillId="0" borderId="0" applyFont="0" applyFill="0" applyBorder="0" applyAlignment="0" applyProtection="0"/>
  </cellStyleXfs>
  <cellXfs count="30">
    <xf numFmtId="0" fontId="0" fillId="0" borderId="0" xfId="0"/>
    <xf numFmtId="0" fontId="2" fillId="2" borderId="1" xfId="0" applyFont="1" applyFill="1" applyBorder="1" applyAlignment="1">
      <alignment horizontal="center" vertical="center"/>
    </xf>
    <xf numFmtId="14" fontId="0" fillId="0" borderId="0" xfId="0" applyNumberFormat="1"/>
    <xf numFmtId="1" fontId="2" fillId="2" borderId="1" xfId="0" applyNumberFormat="1" applyFont="1" applyFill="1" applyBorder="1" applyAlignment="1">
      <alignment horizontal="center" vertical="center"/>
    </xf>
    <xf numFmtId="1" fontId="0" fillId="0" borderId="0" xfId="0" applyNumberFormat="1"/>
    <xf numFmtId="14" fontId="2" fillId="2" borderId="1" xfId="0" applyNumberFormat="1" applyFont="1" applyFill="1" applyBorder="1" applyAlignment="1">
      <alignment horizontal="center" vertical="center"/>
    </xf>
    <xf numFmtId="186" fontId="0" fillId="0" borderId="0" xfId="0" applyNumberFormat="1"/>
    <xf numFmtId="0" fontId="0" fillId="3" borderId="0" xfId="0" applyFill="1"/>
    <xf numFmtId="9" fontId="0" fillId="0" borderId="0" xfId="0" applyNumberFormat="1"/>
    <xf numFmtId="170" fontId="0" fillId="0" borderId="0" xfId="1" applyFont="1"/>
    <xf numFmtId="0" fontId="3" fillId="0" borderId="0" xfId="0" applyFont="1"/>
    <xf numFmtId="0" fontId="3" fillId="3" borderId="0" xfId="0" applyFont="1" applyFill="1" applyAlignment="1">
      <alignment horizontal="center"/>
    </xf>
    <xf numFmtId="0" fontId="2" fillId="3" borderId="0" xfId="0" applyFont="1" applyFill="1"/>
    <xf numFmtId="170" fontId="0" fillId="0" borderId="0" xfId="0" applyNumberFormat="1"/>
    <xf numFmtId="0" fontId="0" fillId="0" borderId="0" xfId="0" applyAlignment="1">
      <alignment horizontal="right"/>
    </xf>
    <xf numFmtId="170" fontId="3" fillId="0" borderId="2" xfId="0" applyNumberFormat="1" applyFont="1" applyBorder="1"/>
    <xf numFmtId="170" fontId="0" fillId="4" borderId="0" xfId="1" applyFont="1" applyFill="1" applyProtection="1">
      <protection locked="0"/>
    </xf>
    <xf numFmtId="0" fontId="0" fillId="4" borderId="3" xfId="0" applyFill="1" applyBorder="1" applyProtection="1">
      <protection locked="0"/>
    </xf>
    <xf numFmtId="170" fontId="0" fillId="4" borderId="3" xfId="1" applyFont="1" applyFill="1" applyBorder="1" applyProtection="1">
      <protection locked="0"/>
    </xf>
    <xf numFmtId="9" fontId="0" fillId="4" borderId="4" xfId="2" applyFont="1" applyFill="1" applyBorder="1" applyProtection="1">
      <protection locked="0"/>
    </xf>
    <xf numFmtId="0" fontId="0" fillId="0" borderId="0" xfId="0" applyBorder="1"/>
    <xf numFmtId="170" fontId="0" fillId="4" borderId="5" xfId="1" applyFont="1" applyFill="1" applyBorder="1" applyProtection="1">
      <protection locked="0"/>
    </xf>
    <xf numFmtId="170" fontId="0" fillId="0" borderId="0" xfId="0" applyNumberFormat="1" applyBorder="1"/>
    <xf numFmtId="170" fontId="0" fillId="0" borderId="0" xfId="1" applyFont="1" applyBorder="1"/>
    <xf numFmtId="186" fontId="0" fillId="0" borderId="0" xfId="0" applyNumberFormat="1" applyProtection="1">
      <protection locked="0"/>
    </xf>
    <xf numFmtId="14" fontId="0" fillId="0" borderId="0" xfId="0" applyNumberFormat="1" applyProtection="1">
      <protection locked="0"/>
    </xf>
    <xf numFmtId="0" fontId="0" fillId="0" borderId="0" xfId="0" applyProtection="1">
      <protection locked="0"/>
    </xf>
    <xf numFmtId="186" fontId="0" fillId="4" borderId="0" xfId="0" applyNumberFormat="1" applyFill="1" applyProtection="1">
      <protection locked="0"/>
    </xf>
    <xf numFmtId="14" fontId="0" fillId="4" borderId="0" xfId="0" applyNumberFormat="1" applyFill="1" applyProtection="1">
      <protection locked="0"/>
    </xf>
    <xf numFmtId="0" fontId="2" fillId="0" borderId="0" xfId="0" applyFont="1" applyAlignment="1">
      <alignment horizontal="center"/>
    </xf>
  </cellXfs>
  <cellStyles count="3">
    <cellStyle name="Currency" xfId="1" builtinId="4"/>
    <cellStyle name="Normal" xfId="0" builtinId="0"/>
    <cellStyle name="Percent" xfId="2"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146050</xdr:colOff>
      <xdr:row>2</xdr:row>
      <xdr:rowOff>38100</xdr:rowOff>
    </xdr:from>
    <xdr:to>
      <xdr:col>0</xdr:col>
      <xdr:colOff>279400</xdr:colOff>
      <xdr:row>3</xdr:row>
      <xdr:rowOff>0</xdr:rowOff>
    </xdr:to>
    <xdr:pic>
      <xdr:nvPicPr>
        <xdr:cNvPr id="1031" name="Picture 7">
          <a:extLst>
            <a:ext uri="{FF2B5EF4-FFF2-40B4-BE49-F238E27FC236}">
              <a16:creationId xmlns:a16="http://schemas.microsoft.com/office/drawing/2014/main" id="{E997D097-AB5A-49AF-B778-75D39598D8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050" y="355600"/>
          <a:ext cx="133350" cy="1206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twoCellAnchor editAs="oneCell">
    <xdr:from>
      <xdr:col>0</xdr:col>
      <xdr:colOff>133350</xdr:colOff>
      <xdr:row>3</xdr:row>
      <xdr:rowOff>19050</xdr:rowOff>
    </xdr:from>
    <xdr:to>
      <xdr:col>0</xdr:col>
      <xdr:colOff>292100</xdr:colOff>
      <xdr:row>4</xdr:row>
      <xdr:rowOff>6350</xdr:rowOff>
    </xdr:to>
    <xdr:pic>
      <xdr:nvPicPr>
        <xdr:cNvPr id="1034" name="Picture 10">
          <a:extLst>
            <a:ext uri="{FF2B5EF4-FFF2-40B4-BE49-F238E27FC236}">
              <a16:creationId xmlns:a16="http://schemas.microsoft.com/office/drawing/2014/main" id="{661DFAB5-0EAA-4FDD-97D1-512B06BF74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495300"/>
          <a:ext cx="158750" cy="1460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abSelected="1" workbookViewId="0">
      <pane xSplit="2" ySplit="2" topLeftCell="C3" activePane="bottomRight" state="frozen"/>
      <selection pane="topRight" activeCell="C1" sqref="C1"/>
      <selection pane="bottomLeft" activeCell="A2" sqref="A2"/>
      <selection pane="bottomRight" activeCell="C4" sqref="C4"/>
    </sheetView>
  </sheetViews>
  <sheetFormatPr defaultRowHeight="12.5" x14ac:dyDescent="0.25"/>
  <cols>
    <col min="1" max="1" width="7.1796875" style="4" customWidth="1"/>
    <col min="2" max="2" width="47.453125" customWidth="1"/>
    <col min="3" max="3" width="9.26953125" style="4" customWidth="1"/>
    <col min="4" max="5" width="10.453125" style="2" customWidth="1"/>
    <col min="6" max="6" width="11" style="4" customWidth="1"/>
    <col min="7" max="7" width="30.26953125" customWidth="1"/>
    <col min="8" max="8" width="20" customWidth="1"/>
  </cols>
  <sheetData>
    <row r="1" spans="1:8" ht="15.75" customHeight="1" x14ac:dyDescent="0.3">
      <c r="B1" s="29"/>
      <c r="C1" s="29" t="s">
        <v>0</v>
      </c>
      <c r="D1" s="29"/>
      <c r="E1" s="29"/>
      <c r="F1" s="29"/>
      <c r="G1" s="29"/>
      <c r="H1" s="29"/>
    </row>
    <row r="2" spans="1:8" s="1" customFormat="1" ht="18" customHeight="1" x14ac:dyDescent="0.25">
      <c r="A2" s="3" t="s">
        <v>1</v>
      </c>
      <c r="B2" s="1" t="s">
        <v>2</v>
      </c>
      <c r="C2" s="3" t="s">
        <v>3</v>
      </c>
      <c r="D2" s="5" t="s">
        <v>4</v>
      </c>
      <c r="E2" s="5" t="s">
        <v>5</v>
      </c>
      <c r="F2" s="3" t="s">
        <v>6</v>
      </c>
      <c r="G2" s="1" t="s">
        <v>7</v>
      </c>
      <c r="H2" s="1" t="s">
        <v>8</v>
      </c>
    </row>
    <row r="3" spans="1:8" x14ac:dyDescent="0.25">
      <c r="A3" s="6">
        <v>1</v>
      </c>
      <c r="B3" s="7" t="s">
        <v>9</v>
      </c>
      <c r="C3" s="27">
        <v>4</v>
      </c>
      <c r="D3" s="28">
        <v>37104</v>
      </c>
      <c r="E3" s="25">
        <f>+D3+C3</f>
        <v>37108</v>
      </c>
      <c r="F3" s="6"/>
      <c r="G3" s="26"/>
      <c r="H3" s="9"/>
    </row>
    <row r="4" spans="1:8" x14ac:dyDescent="0.25">
      <c r="A4" s="6">
        <v>1.1000000000000001</v>
      </c>
      <c r="B4" t="s">
        <v>10</v>
      </c>
      <c r="C4" s="24"/>
      <c r="D4" s="25"/>
      <c r="E4" s="25"/>
      <c r="F4" s="6">
        <v>1</v>
      </c>
      <c r="G4" s="26" t="s">
        <v>11</v>
      </c>
      <c r="H4" s="16">
        <v>70</v>
      </c>
    </row>
    <row r="5" spans="1:8" x14ac:dyDescent="0.25">
      <c r="A5" s="6">
        <v>1.2</v>
      </c>
      <c r="B5" t="s">
        <v>12</v>
      </c>
      <c r="C5" s="24"/>
      <c r="D5" s="25"/>
      <c r="E5" s="25"/>
      <c r="F5" s="6">
        <v>1.1000000000000001</v>
      </c>
      <c r="G5" s="26"/>
      <c r="H5" s="9"/>
    </row>
    <row r="6" spans="1:8" x14ac:dyDescent="0.25">
      <c r="A6" s="6">
        <v>1.3</v>
      </c>
      <c r="B6" t="s">
        <v>13</v>
      </c>
      <c r="C6" s="24"/>
      <c r="D6" s="25"/>
      <c r="E6" s="25"/>
      <c r="F6" s="6">
        <v>1.2</v>
      </c>
      <c r="G6" s="26"/>
      <c r="H6" s="9"/>
    </row>
    <row r="7" spans="1:8" x14ac:dyDescent="0.25">
      <c r="A7" s="6">
        <v>1.4</v>
      </c>
      <c r="B7" t="s">
        <v>14</v>
      </c>
      <c r="C7" s="24"/>
      <c r="D7" s="25"/>
      <c r="E7" s="25"/>
      <c r="F7" s="6">
        <v>1.3</v>
      </c>
      <c r="G7" s="26" t="s">
        <v>15</v>
      </c>
      <c r="H7" s="16">
        <v>15</v>
      </c>
    </row>
    <row r="8" spans="1:8" x14ac:dyDescent="0.25">
      <c r="A8" s="6">
        <v>2</v>
      </c>
      <c r="B8" s="7" t="s">
        <v>16</v>
      </c>
      <c r="C8" s="27">
        <v>1</v>
      </c>
      <c r="D8" s="28">
        <v>37109</v>
      </c>
      <c r="E8" s="25">
        <f>+D8+C8</f>
        <v>37110</v>
      </c>
      <c r="F8" s="6">
        <v>1.4</v>
      </c>
      <c r="G8" s="26" t="s">
        <v>17</v>
      </c>
      <c r="H8" s="9">
        <f>+'Material Calculator'!F7+'Material Calculator'!F16</f>
        <v>192.18518518518519</v>
      </c>
    </row>
    <row r="9" spans="1:8" x14ac:dyDescent="0.25">
      <c r="A9" s="6">
        <v>2.1</v>
      </c>
      <c r="B9" t="s">
        <v>18</v>
      </c>
      <c r="C9" s="24"/>
      <c r="D9" s="25"/>
      <c r="E9" s="25"/>
      <c r="F9" s="6">
        <v>1</v>
      </c>
      <c r="G9" s="26"/>
      <c r="H9" s="9"/>
    </row>
    <row r="10" spans="1:8" x14ac:dyDescent="0.25">
      <c r="A10" s="6">
        <v>2.2000000000000002</v>
      </c>
      <c r="B10" t="s">
        <v>19</v>
      </c>
      <c r="C10" s="24"/>
      <c r="D10" s="25"/>
      <c r="E10" s="25"/>
      <c r="F10" s="6">
        <v>2.1</v>
      </c>
      <c r="G10" s="26"/>
      <c r="H10" s="9"/>
    </row>
    <row r="11" spans="1:8" x14ac:dyDescent="0.25">
      <c r="A11" s="6">
        <v>2.2999999999999998</v>
      </c>
      <c r="B11" t="s">
        <v>20</v>
      </c>
      <c r="C11" s="24"/>
      <c r="D11" s="25"/>
      <c r="E11" s="25"/>
      <c r="F11" s="6">
        <v>2.2000000000000002</v>
      </c>
      <c r="G11" s="26" t="s">
        <v>21</v>
      </c>
      <c r="H11" s="9"/>
    </row>
    <row r="12" spans="1:8" x14ac:dyDescent="0.25">
      <c r="A12" s="6">
        <v>2.4</v>
      </c>
      <c r="B12" t="s">
        <v>22</v>
      </c>
      <c r="C12" s="24"/>
      <c r="D12" s="25"/>
      <c r="E12" s="25"/>
      <c r="F12" s="6">
        <v>2.2999999999999998</v>
      </c>
      <c r="G12" s="26" t="s">
        <v>23</v>
      </c>
      <c r="H12" s="9"/>
    </row>
    <row r="13" spans="1:8" x14ac:dyDescent="0.25">
      <c r="A13" s="6">
        <v>2.5</v>
      </c>
      <c r="B13" t="s">
        <v>24</v>
      </c>
      <c r="C13" s="24"/>
      <c r="D13" s="25"/>
      <c r="E13" s="25"/>
      <c r="F13" s="6">
        <v>2.4</v>
      </c>
      <c r="G13" s="26" t="s">
        <v>25</v>
      </c>
      <c r="H13" s="9"/>
    </row>
    <row r="14" spans="1:8" x14ac:dyDescent="0.25">
      <c r="A14" s="6">
        <v>2.6</v>
      </c>
      <c r="B14" t="s">
        <v>26</v>
      </c>
      <c r="C14" s="24"/>
      <c r="D14" s="25"/>
      <c r="E14" s="25"/>
      <c r="F14" s="6">
        <v>2.5</v>
      </c>
      <c r="G14" s="26" t="s">
        <v>27</v>
      </c>
      <c r="H14" s="9"/>
    </row>
    <row r="15" spans="1:8" x14ac:dyDescent="0.25">
      <c r="A15" s="6">
        <v>2.7</v>
      </c>
      <c r="B15" t="s">
        <v>28</v>
      </c>
      <c r="C15" s="24"/>
      <c r="D15" s="25"/>
      <c r="E15" s="25"/>
      <c r="F15" s="6">
        <v>2.5</v>
      </c>
      <c r="G15" s="26"/>
      <c r="H15" s="9"/>
    </row>
    <row r="16" spans="1:8" x14ac:dyDescent="0.25">
      <c r="A16" s="6">
        <v>3</v>
      </c>
      <c r="B16" s="7" t="s">
        <v>29</v>
      </c>
      <c r="C16" s="27">
        <v>0.5</v>
      </c>
      <c r="D16" s="28">
        <v>37111</v>
      </c>
      <c r="E16" s="25">
        <f>+D16+C16</f>
        <v>37111.5</v>
      </c>
      <c r="F16" s="6">
        <v>2.7</v>
      </c>
      <c r="G16" s="26" t="s">
        <v>30</v>
      </c>
      <c r="H16" s="9">
        <f>+'Material Calculator'!F9</f>
        <v>92.592592592592595</v>
      </c>
    </row>
    <row r="17" spans="1:9" x14ac:dyDescent="0.25">
      <c r="A17" s="6">
        <v>3.1</v>
      </c>
      <c r="B17" t="s">
        <v>31</v>
      </c>
      <c r="C17" s="24"/>
      <c r="D17" s="25"/>
      <c r="E17" s="25"/>
      <c r="F17" s="6">
        <v>2.7</v>
      </c>
      <c r="G17" s="26"/>
      <c r="H17" s="9"/>
    </row>
    <row r="18" spans="1:9" x14ac:dyDescent="0.25">
      <c r="A18" s="6">
        <v>3.2</v>
      </c>
      <c r="B18" t="s">
        <v>32</v>
      </c>
      <c r="C18" s="24"/>
      <c r="D18" s="25"/>
      <c r="E18" s="25"/>
      <c r="F18" s="6">
        <v>3.1</v>
      </c>
      <c r="G18" s="26"/>
      <c r="H18" s="9"/>
    </row>
    <row r="19" spans="1:9" x14ac:dyDescent="0.25">
      <c r="A19" s="6">
        <v>3.3</v>
      </c>
      <c r="B19" t="s">
        <v>33</v>
      </c>
      <c r="C19" s="24"/>
      <c r="D19" s="25"/>
      <c r="E19" s="25"/>
      <c r="F19" s="6">
        <v>3.2</v>
      </c>
      <c r="G19" s="26" t="s">
        <v>15</v>
      </c>
      <c r="H19" s="16">
        <v>15</v>
      </c>
    </row>
    <row r="20" spans="1:9" x14ac:dyDescent="0.25">
      <c r="A20" s="6">
        <v>4</v>
      </c>
      <c r="B20" s="7" t="s">
        <v>34</v>
      </c>
      <c r="C20" s="27">
        <v>1</v>
      </c>
      <c r="D20" s="28">
        <v>37112</v>
      </c>
      <c r="E20" s="25">
        <f>+D20+C20</f>
        <v>37113</v>
      </c>
      <c r="F20" s="6">
        <v>3.3</v>
      </c>
      <c r="G20" s="26" t="s">
        <v>35</v>
      </c>
      <c r="H20" s="9">
        <f>+'Material Calculator'!F11+'Material Calculator'!F12</f>
        <v>222.22222222222217</v>
      </c>
      <c r="I20" s="8"/>
    </row>
    <row r="21" spans="1:9" x14ac:dyDescent="0.25">
      <c r="A21" s="6">
        <v>4.0999999999999996</v>
      </c>
      <c r="B21" t="s">
        <v>36</v>
      </c>
      <c r="C21" s="24"/>
      <c r="D21" s="25"/>
      <c r="E21" s="25"/>
      <c r="F21" s="6">
        <v>3.3</v>
      </c>
      <c r="G21" s="26" t="s">
        <v>37</v>
      </c>
      <c r="H21" s="9"/>
      <c r="I21" s="8"/>
    </row>
    <row r="22" spans="1:9" x14ac:dyDescent="0.25">
      <c r="A22" s="6">
        <v>4.2</v>
      </c>
      <c r="B22" t="s">
        <v>38</v>
      </c>
      <c r="C22" s="24"/>
      <c r="D22" s="25"/>
      <c r="E22" s="25"/>
      <c r="F22" s="6">
        <v>4.0999999999999996</v>
      </c>
      <c r="G22" s="26" t="s">
        <v>39</v>
      </c>
      <c r="H22" s="16">
        <v>70</v>
      </c>
    </row>
    <row r="23" spans="1:9" x14ac:dyDescent="0.25">
      <c r="A23" s="6">
        <v>4.3</v>
      </c>
      <c r="B23" t="s">
        <v>40</v>
      </c>
      <c r="C23" s="24"/>
      <c r="D23" s="25"/>
      <c r="E23" s="25"/>
      <c r="F23" s="6">
        <v>4.2</v>
      </c>
      <c r="G23" s="26"/>
      <c r="H23" s="9"/>
    </row>
    <row r="24" spans="1:9" x14ac:dyDescent="0.25">
      <c r="A24" s="6">
        <v>5</v>
      </c>
      <c r="B24" s="7" t="s">
        <v>41</v>
      </c>
      <c r="C24" s="27">
        <v>1</v>
      </c>
      <c r="D24" s="28">
        <v>37113</v>
      </c>
      <c r="E24" s="25">
        <f>+D24+C24</f>
        <v>37114</v>
      </c>
      <c r="F24" s="6">
        <v>4.3</v>
      </c>
      <c r="G24" s="26"/>
      <c r="H24" s="9"/>
    </row>
    <row r="25" spans="1:9" x14ac:dyDescent="0.25">
      <c r="A25" s="6">
        <v>5.0999999999999996</v>
      </c>
      <c r="B25" t="s">
        <v>42</v>
      </c>
      <c r="C25" s="24"/>
      <c r="D25" s="25"/>
      <c r="E25" s="25"/>
      <c r="F25" s="6">
        <v>4.3</v>
      </c>
      <c r="G25" s="26" t="s">
        <v>43</v>
      </c>
      <c r="H25" s="16"/>
    </row>
    <row r="26" spans="1:9" x14ac:dyDescent="0.25">
      <c r="A26" s="6">
        <v>5.3</v>
      </c>
      <c r="B26" t="s">
        <v>44</v>
      </c>
      <c r="C26" s="24"/>
      <c r="D26" s="25"/>
      <c r="E26" s="25"/>
      <c r="F26" s="6">
        <v>5.0999999999999996</v>
      </c>
      <c r="G26" s="26" t="s">
        <v>45</v>
      </c>
      <c r="H26" s="9">
        <f>+'Material Calculator'!F18</f>
        <v>25</v>
      </c>
    </row>
    <row r="27" spans="1:9" x14ac:dyDescent="0.25">
      <c r="A27" s="6"/>
    </row>
    <row r="28" spans="1:9" ht="13.5" thickBot="1" x14ac:dyDescent="0.35">
      <c r="A28" s="6"/>
      <c r="G28" s="10" t="s">
        <v>46</v>
      </c>
      <c r="H28" s="15">
        <f>SUM(H3:H27)</f>
        <v>702</v>
      </c>
    </row>
    <row r="29" spans="1:9" ht="13" thickTop="1" x14ac:dyDescent="0.25">
      <c r="A29" s="6"/>
    </row>
    <row r="30" spans="1:9" x14ac:dyDescent="0.25">
      <c r="A30" s="6"/>
    </row>
    <row r="31" spans="1:9" x14ac:dyDescent="0.25">
      <c r="A31" s="6"/>
    </row>
    <row r="32" spans="1:9" x14ac:dyDescent="0.25">
      <c r="A32" s="6"/>
    </row>
    <row r="33" spans="1:1" x14ac:dyDescent="0.25">
      <c r="A33" s="6"/>
    </row>
    <row r="34" spans="1:1" x14ac:dyDescent="0.25">
      <c r="A34" s="6"/>
    </row>
    <row r="35" spans="1:1" x14ac:dyDescent="0.25">
      <c r="A35" s="6"/>
    </row>
  </sheetData>
  <printOptions gridLines="1" gridLinesSet="0"/>
  <pageMargins left="0.75" right="0.75" top="1" bottom="1" header="0.5" footer="0.5"/>
  <pageSetup orientation="portrait" horizontalDpi="300" verticalDpi="300"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workbookViewId="0">
      <selection activeCell="A23" sqref="A23"/>
    </sheetView>
  </sheetViews>
  <sheetFormatPr defaultRowHeight="12.5" x14ac:dyDescent="0.25"/>
  <cols>
    <col min="1" max="1" width="25.54296875" customWidth="1"/>
    <col min="2" max="2" width="11.7265625" customWidth="1"/>
    <col min="4" max="4" width="16.453125" customWidth="1"/>
    <col min="5" max="5" width="13.453125" customWidth="1"/>
    <col min="6" max="6" width="12.54296875" customWidth="1"/>
  </cols>
  <sheetData>
    <row r="1" spans="1:6" ht="13" thickBot="1" x14ac:dyDescent="0.3"/>
    <row r="2" spans="1:6" ht="15.75" customHeight="1" thickBot="1" x14ac:dyDescent="0.35">
      <c r="A2" s="12" t="s">
        <v>47</v>
      </c>
      <c r="B2" s="17">
        <v>600</v>
      </c>
    </row>
    <row r="5" spans="1:6" ht="13.5" thickBot="1" x14ac:dyDescent="0.35">
      <c r="A5" s="11" t="s">
        <v>48</v>
      </c>
      <c r="B5" s="11" t="s">
        <v>49</v>
      </c>
      <c r="C5" s="11" t="s">
        <v>50</v>
      </c>
      <c r="D5" s="11" t="s">
        <v>51</v>
      </c>
      <c r="E5" s="11" t="s">
        <v>52</v>
      </c>
      <c r="F5" s="11" t="s">
        <v>53</v>
      </c>
    </row>
    <row r="6" spans="1:6" ht="13" thickBot="1" x14ac:dyDescent="0.3">
      <c r="A6" t="s">
        <v>54</v>
      </c>
      <c r="B6" s="17">
        <v>0</v>
      </c>
      <c r="C6" s="8">
        <v>1</v>
      </c>
      <c r="D6" s="6">
        <f>IF(B6=0,0,($B$2/(12/B6))/27)</f>
        <v>0</v>
      </c>
      <c r="E6" s="18">
        <v>20</v>
      </c>
      <c r="F6" s="9">
        <f>+E6*D6</f>
        <v>0</v>
      </c>
    </row>
    <row r="7" spans="1:6" ht="13" thickBot="1" x14ac:dyDescent="0.3">
      <c r="A7" t="s">
        <v>55</v>
      </c>
      <c r="B7" s="17">
        <v>4</v>
      </c>
      <c r="C7" s="8">
        <v>1</v>
      </c>
      <c r="D7" s="6">
        <f>IF(B7=0,0,($B$2/(12/B7))/27)</f>
        <v>7.4074074074074074</v>
      </c>
      <c r="E7" s="18">
        <v>25</v>
      </c>
      <c r="F7" s="9">
        <f>+E7*D7</f>
        <v>185.18518518518519</v>
      </c>
    </row>
    <row r="8" spans="1:6" ht="13" thickBot="1" x14ac:dyDescent="0.3">
      <c r="A8" t="s">
        <v>56</v>
      </c>
      <c r="B8" s="17">
        <v>0</v>
      </c>
      <c r="C8" s="8">
        <v>1</v>
      </c>
      <c r="D8" s="6">
        <f>IF(B8=0,0,($B$2/(12/B8))/27)</f>
        <v>0</v>
      </c>
      <c r="E8" s="18">
        <v>25</v>
      </c>
      <c r="F8" s="9">
        <f>+E8*D8</f>
        <v>0</v>
      </c>
    </row>
    <row r="9" spans="1:6" ht="13" thickBot="1" x14ac:dyDescent="0.3">
      <c r="A9" t="s">
        <v>57</v>
      </c>
      <c r="B9" s="17">
        <v>2</v>
      </c>
      <c r="C9" s="8">
        <v>1</v>
      </c>
      <c r="D9" s="6">
        <f>IF(B9=0,0,($B$2/(12/B9))/27)</f>
        <v>3.7037037037037037</v>
      </c>
      <c r="E9" s="18">
        <v>25</v>
      </c>
      <c r="F9" s="9">
        <f>+E9*D9</f>
        <v>92.592592592592595</v>
      </c>
    </row>
    <row r="10" spans="1:6" ht="13" thickBot="1" x14ac:dyDescent="0.3">
      <c r="A10" t="s">
        <v>58</v>
      </c>
      <c r="D10" s="6"/>
      <c r="E10" s="9"/>
    </row>
    <row r="11" spans="1:6" ht="13" thickBot="1" x14ac:dyDescent="0.3">
      <c r="A11" t="s">
        <v>59</v>
      </c>
      <c r="B11" s="17">
        <v>12</v>
      </c>
      <c r="C11" s="19">
        <v>0.75</v>
      </c>
      <c r="D11" s="6">
        <f>IF(B11=0,0,($B$2/(12/B11))/27)*C11</f>
        <v>16.666666666666664</v>
      </c>
      <c r="E11" s="18">
        <v>10</v>
      </c>
      <c r="F11" s="9">
        <f>+E11*D11</f>
        <v>166.66666666666663</v>
      </c>
    </row>
    <row r="12" spans="1:6" ht="13" thickBot="1" x14ac:dyDescent="0.3">
      <c r="A12" t="s">
        <v>60</v>
      </c>
      <c r="B12" s="17">
        <v>12</v>
      </c>
      <c r="C12" s="19">
        <v>0.25</v>
      </c>
      <c r="D12" s="6">
        <f>IF(B12=0,0,($B$2/(12/B12))/27)*C12</f>
        <v>5.5555555555555554</v>
      </c>
      <c r="E12" s="21">
        <v>10</v>
      </c>
      <c r="F12" s="23">
        <f>+E12*D12</f>
        <v>55.555555555555557</v>
      </c>
    </row>
    <row r="13" spans="1:6" x14ac:dyDescent="0.25">
      <c r="F13" s="22"/>
    </row>
    <row r="14" spans="1:6" x14ac:dyDescent="0.25">
      <c r="F14" s="20"/>
    </row>
    <row r="15" spans="1:6" ht="13" thickBot="1" x14ac:dyDescent="0.3"/>
    <row r="16" spans="1:6" ht="13" thickBot="1" x14ac:dyDescent="0.3">
      <c r="A16" t="s">
        <v>61</v>
      </c>
      <c r="B16" s="17">
        <v>100</v>
      </c>
      <c r="D16" s="14" t="s">
        <v>62</v>
      </c>
      <c r="E16" s="17">
        <v>7.0000000000000007E-2</v>
      </c>
      <c r="F16" s="9">
        <f>+E16*B16</f>
        <v>7.0000000000000009</v>
      </c>
    </row>
    <row r="17" spans="1:6" ht="13" thickBot="1" x14ac:dyDescent="0.3"/>
    <row r="18" spans="1:6" ht="13" thickBot="1" x14ac:dyDescent="0.3">
      <c r="A18" t="s">
        <v>63</v>
      </c>
      <c r="B18" t="s">
        <v>64</v>
      </c>
      <c r="F18" s="18">
        <v>25</v>
      </c>
    </row>
    <row r="19" spans="1:6" x14ac:dyDescent="0.25">
      <c r="F19" s="13">
        <f>SUM(F6:F18)</f>
        <v>532</v>
      </c>
    </row>
    <row r="22" spans="1:6" x14ac:dyDescent="0.25">
      <c r="A22" t="s">
        <v>65</v>
      </c>
    </row>
    <row r="23" spans="1:6" x14ac:dyDescent="0.25">
      <c r="A23" t="s">
        <v>66</v>
      </c>
    </row>
    <row r="24" spans="1:6" x14ac:dyDescent="0.25">
      <c r="A24" t="s">
        <v>67</v>
      </c>
    </row>
  </sheetData>
  <pageMargins left="0.75" right="0.75" top="1" bottom="1" header="0.5" footer="0.5"/>
  <pageSetup orientation="portrait" horizontalDpi="4294967293"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2.5" x14ac:dyDescent="0.25"/>
  <sheetData>
    <row r="1" spans="1:1" x14ac:dyDescent="0.25">
      <c r="A1" t="s">
        <v>68</v>
      </c>
    </row>
  </sheetData>
  <printOptions gridLines="1" gridLinesSet="0"/>
  <pageMargins left="0.75" right="0.75" top="1" bottom="1" header="0.5" footer="0.5"/>
  <pageSetup orientation="portrait" horizontalDpi="4294967292" verticalDpi="0" r:id="rId1"/>
  <headerFooter alignWithMargins="0">
    <oddHeader>&amp;A</oddHeader>
    <oddFooter>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11</vt:i4>
      </vt:variant>
    </vt:vector>
  </HeadingPairs>
  <TitlesOfParts>
    <vt:vector size="14" baseType="lpstr">
      <vt:lpstr>Timeline Information</vt:lpstr>
      <vt:lpstr>Material Calculator</vt:lpstr>
      <vt:lpstr>TimelineWizardData</vt:lpstr>
      <vt:lpstr>Dependency</vt:lpstr>
      <vt:lpstr>Drainage_Layer_Depth</vt:lpstr>
      <vt:lpstr>Duration</vt:lpstr>
      <vt:lpstr>End_Date</vt:lpstr>
      <vt:lpstr>Intermediate_Layer_Depth</vt:lpstr>
      <vt:lpstr>Resource</vt:lpstr>
      <vt:lpstr>Start_Date</vt:lpstr>
      <vt:lpstr>Subgrade_Layer_Depth</vt:lpstr>
      <vt:lpstr>Task_Name</vt:lpstr>
      <vt:lpstr>Task_Number</vt:lpstr>
      <vt:lpstr>Total_Area__sqft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Employee Database</dc:title>
  <dc:subject>Visio Org Charting Wizard</dc:subject>
  <dc:creator>Visio Corporation</dc:creator>
  <cp:keywords>Visio 4.0</cp:keywords>
  <dc:description>This template is designed to work with the Visio 4.0 Org Charting Wizard.  Enter your employee data and click the 'Visio Org Chart Wizard' button on the toolbar or selete 'Visio Org Chart Wizard' from the 'Tools' menu.</dc:description>
  <cp:lastModifiedBy>Carina Negreanu</cp:lastModifiedBy>
  <dcterms:created xsi:type="dcterms:W3CDTF">2001-07-31T15:22:05Z</dcterms:created>
  <dcterms:modified xsi:type="dcterms:W3CDTF">2020-01-27T12:00:19Z</dcterms:modified>
</cp:coreProperties>
</file>