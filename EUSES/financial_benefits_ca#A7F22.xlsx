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5867466-816A-4F54-95A8-0FB5AF28E2E0}" xr6:coauthVersionLast="45" xr6:coauthVersionMax="45" xr10:uidLastSave="{00000000-0000-0000-0000-000000000000}"/>
  <bookViews>
    <workbookView xWindow="1900" yWindow="1900" windowWidth="28800" windowHeight="15460"/>
  </bookViews>
  <sheets>
    <sheet name="Financial Benefits" sheetId="1" r:id="rId1"/>
  </sheets>
  <definedNames>
    <definedName name="_xlnm.Print_Area" localSheetId="0">'Financial Benefits'!$B$2:$M$68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53" i="1" l="1"/>
  <c r="L53" i="1"/>
  <c r="K52" i="1"/>
  <c r="L52" i="1"/>
  <c r="D16" i="1"/>
  <c r="I39" i="1" s="1"/>
  <c r="L39" i="1" s="1"/>
  <c r="F21" i="1"/>
  <c r="I21" i="1"/>
  <c r="F20" i="1"/>
  <c r="I20" i="1"/>
  <c r="I22" i="1" s="1"/>
  <c r="I27" i="1" s="1"/>
  <c r="L27" i="1" s="1"/>
  <c r="I45" i="1"/>
  <c r="L45" i="1" s="1"/>
  <c r="K45" i="1"/>
  <c r="I46" i="1"/>
  <c r="L46" i="1" s="1"/>
  <c r="K46" i="1"/>
  <c r="I44" i="1"/>
  <c r="K44" i="1"/>
  <c r="L44" i="1"/>
  <c r="I26" i="1"/>
  <c r="L26" i="1" s="1"/>
  <c r="K26" i="1"/>
  <c r="K27" i="1"/>
  <c r="I28" i="1"/>
  <c r="L28" i="1" s="1"/>
  <c r="K28" i="1"/>
  <c r="K29" i="1"/>
  <c r="L29" i="1"/>
  <c r="K30" i="1"/>
  <c r="L30" i="1"/>
  <c r="K31" i="1"/>
  <c r="L31" i="1"/>
  <c r="K32" i="1"/>
  <c r="L32" i="1"/>
  <c r="I37" i="1"/>
  <c r="K37" i="1"/>
  <c r="L37" i="1"/>
  <c r="L41" i="1" s="1"/>
  <c r="K38" i="1"/>
  <c r="L38" i="1"/>
  <c r="K39" i="1"/>
  <c r="L40" i="1"/>
  <c r="K59" i="1"/>
  <c r="L59" i="1"/>
  <c r="K60" i="1"/>
  <c r="L60" i="1"/>
  <c r="L61" i="1"/>
  <c r="K51" i="1"/>
  <c r="L51" i="1"/>
  <c r="K54" i="1"/>
  <c r="L54" i="1"/>
  <c r="L55" i="1"/>
  <c r="K40" i="1"/>
  <c r="L33" i="1" l="1"/>
  <c r="L47" i="1"/>
  <c r="L65" i="1" l="1"/>
  <c r="L63" i="1"/>
</calcChain>
</file>

<file path=xl/sharedStrings.xml><?xml version="1.0" encoding="utf-8"?>
<sst xmlns="http://schemas.openxmlformats.org/spreadsheetml/2006/main" count="116" uniqueCount="92">
  <si>
    <t>Medical Office Online’s</t>
  </si>
  <si>
    <t>Total Practice Management @ $250/month/Provider</t>
  </si>
  <si>
    <t>Expense</t>
  </si>
  <si>
    <t>Count</t>
  </si>
  <si>
    <t>$/yr</t>
  </si>
  <si>
    <t>Total</t>
  </si>
  <si>
    <t>Revenue</t>
  </si>
  <si>
    <t>Better coding</t>
  </si>
  <si>
    <t>Charge capture at remote POS</t>
  </si>
  <si>
    <t>Better practice analysis</t>
  </si>
  <si>
    <t>Totals</t>
  </si>
  <si>
    <t>+</t>
  </si>
  <si>
    <t>Computers</t>
  </si>
  <si>
    <t>Pulling &amp; filing</t>
  </si>
  <si>
    <t>($/sq ft)</t>
  </si>
  <si>
    <t xml:space="preserve">Reduced transcription cost </t>
  </si>
  <si>
    <t xml:space="preserve">Reduced staffing needs </t>
  </si>
  <si>
    <t>($10/h at 2000 hr/yr)</t>
  </si>
  <si>
    <t>reduction</t>
  </si>
  <si>
    <t>hosp visits</t>
  </si>
  <si>
    <t>days</t>
  </si>
  <si>
    <t>months</t>
  </si>
  <si>
    <t>(sq ft)</t>
  </si>
  <si>
    <t>($/yr)</t>
  </si>
  <si>
    <t>(per month)</t>
  </si>
  <si>
    <t>(1hr/d at $15/hr)</t>
  </si>
  <si>
    <t>Providers</t>
  </si>
  <si>
    <t>Number of Providers:</t>
  </si>
  <si>
    <t>Number of Managers:</t>
  </si>
  <si>
    <t>Number of Staff Members:</t>
  </si>
  <si>
    <t>Paper chart materials (new pt.)</t>
  </si>
  <si>
    <t>Paper chart materials (est pt.)</t>
  </si>
  <si>
    <t>Days worked per week:</t>
  </si>
  <si>
    <t>Weeks worked per year:</t>
  </si>
  <si>
    <t>X</t>
  </si>
  <si>
    <t xml:space="preserve">Days worked per year = </t>
  </si>
  <si>
    <t>=</t>
  </si>
  <si>
    <t>patients seen per year</t>
  </si>
  <si>
    <t>new patients seen per year</t>
  </si>
  <si>
    <t>established patients seen per year</t>
  </si>
  <si>
    <t>▬</t>
  </si>
  <si>
    <t>per new pt</t>
  </si>
  <si>
    <t>per est pt per visit</t>
  </si>
  <si>
    <t>Reduced office space (exm rm)</t>
  </si>
  <si>
    <t>Reduced office space (rcrd rm)</t>
  </si>
  <si>
    <t>description</t>
  </si>
  <si>
    <t>Number of Office Locations:</t>
  </si>
  <si>
    <t>(per visit; 1 visit per day)</t>
  </si>
  <si>
    <t>(per hosp visit; 2 visits per m)</t>
  </si>
  <si>
    <t>new patients</t>
  </si>
  <si>
    <t>est. patients</t>
  </si>
  <si>
    <t>work days</t>
  </si>
  <si>
    <t>Group Data Input Time (hrs)</t>
  </si>
  <si>
    <t>EMR Transition (hrs)</t>
  </si>
  <si>
    <t>Decreased Expenses (A)</t>
  </si>
  <si>
    <t>Increased Revenues (B)</t>
  </si>
  <si>
    <t>Managers</t>
  </si>
  <si>
    <t>Staff</t>
  </si>
  <si>
    <t>Cost</t>
  </si>
  <si>
    <t>Total Time (per person)</t>
  </si>
  <si>
    <t>Value of time ($/hr)</t>
  </si>
  <si>
    <t>Time Configuring System (hrs)</t>
  </si>
  <si>
    <t>References AMA News, Dec 2002; Int Med News, Nov 2002.</t>
  </si>
  <si>
    <t>use fractions for part time employees (ex 2.5 providers)</t>
  </si>
  <si>
    <r>
      <t xml:space="preserve">Setup and Hardware Costs (D)  </t>
    </r>
    <r>
      <rPr>
        <b/>
        <sz val="11"/>
        <rFont val="Arial"/>
        <family val="2"/>
      </rPr>
      <t>(year 1 only)</t>
    </r>
  </si>
  <si>
    <t>Subscription Costs (E)</t>
  </si>
  <si>
    <t>Medical Office Online Setup Fee</t>
  </si>
  <si>
    <t>YEAR 1 INCREASE IN PROFITS (A + B - C - D - E)</t>
  </si>
  <si>
    <t>YEAR 2 INCREASE IN PROFITS (A + B - E)</t>
  </si>
  <si>
    <t></t>
  </si>
  <si>
    <t>Total Number of workstations:</t>
  </si>
  <si>
    <t>Time Training Staff (hrs)</t>
  </si>
  <si>
    <t>High-Speed Internet Subscription ($50/m)</t>
  </si>
  <si>
    <t>Medical Office Online Subscription/Hosting ($250/m)</t>
  </si>
  <si>
    <t xml:space="preserve">Number of People </t>
  </si>
  <si>
    <t>Networking Equipment</t>
  </si>
  <si>
    <r>
      <t xml:space="preserve">Contractor Fees for Networking/Setup/Training </t>
    </r>
    <r>
      <rPr>
        <b/>
        <sz val="10"/>
        <rFont val="Arial"/>
        <family val="2"/>
      </rPr>
      <t>(16hrs @ $50/hr)</t>
    </r>
  </si>
  <si>
    <t>Financial Benefits Calculator</t>
  </si>
  <si>
    <t>New patients seen per provider per day:</t>
  </si>
  <si>
    <t>Patients seen per provider per day:</t>
  </si>
  <si>
    <t xml:space="preserve">   (all desks and exm rms across all locations)</t>
  </si>
  <si>
    <t xml:space="preserve"> </t>
  </si>
  <si>
    <t>Multiplier</t>
  </si>
  <si>
    <t>Practice Configuration (Multipliers)</t>
  </si>
  <si>
    <t>Patient Volume Calculator</t>
  </si>
  <si>
    <t>Days Worked Per Year Calculator</t>
  </si>
  <si>
    <t>Change These Values to Match Your Practice (double click to edit)</t>
  </si>
  <si>
    <r>
      <t>Description/Instructions:</t>
    </r>
    <r>
      <rPr>
        <sz val="9"/>
        <rFont val="Arial"/>
        <family val="2"/>
      </rPr>
      <t xml:space="preserve"> The Medical Office Online Financial Benefits Calculator calculates the the increase in net profit levels that your practice can potentially realize in both the first and second years of using Medical Office Online.  This is compared to using a paper system.  The top portion in yellow allows you to put in the details of your practice.  Change the values in the white cells to adjust the calculator to the specifics of your practice.  The color coding in the yellow section allows you to track the origin of the numbers when viewing the sections further down on the page.  Below the yellow section are sections labeled A, B, C, D, and E.  A and B represent the additional money that your practice can earn due to decreased expenses and increased revenues.  C, D, and E represent the additional costs involved in implementing Medical Office Online.  At the bottom you can see the additional potential profits for both year 1 and year 2.</t>
    </r>
  </si>
  <si>
    <r>
      <t xml:space="preserve">Learning Time Cost (C)              </t>
    </r>
    <r>
      <rPr>
        <b/>
        <sz val="8"/>
        <rFont val="Arial"/>
        <family val="2"/>
      </rPr>
      <t>(opportunity cost of office personel's time - year 1 only)</t>
    </r>
  </si>
  <si>
    <r>
      <t>Advanced Options:</t>
    </r>
    <r>
      <rPr>
        <sz val="9"/>
        <rFont val="Arial"/>
        <family val="2"/>
      </rPr>
      <t xml:space="preserve">  All values on the page that are in cells with a double border when double clicked can be edited.  These values have been gathered from research and/or medical publications and are usually conservative estimates but you are free to change them and see how it effects the results.</t>
    </r>
  </si>
  <si>
    <t>Increased Patient Volume</t>
  </si>
  <si>
    <t>(per visit; 1 more visit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</si>
</sst>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5" formatCode="&quot;$&quot;#,##0_);[Red]\(&quot;$&quot;#,##0\)"/>
    <numFmt numFmtId="168" formatCode="_(&quot;$&quot;* #,##0_);_(&quot;$&quot;* \(#,##0\);_(&quot;$&quot;* &quot;-&quot;_);_(@_)"/>
    <numFmt numFmtId="170" formatCode="_(&quot;$&quot;* #,##0.00_);_(&quot;$&quot;* \(#,##0.00\);_(&quot;$&quot;* &quot;-&quot;??_);_(@_)"/>
    <numFmt numFmtId="171" formatCode="_(* #,##0.00_);_(* \(#,##0.00\);_(* &quot;-&quot;??_);_(@_)"/>
  </numFmts>
  <fonts count="38" x14ac:knownFonts="1">
    <font>
      <sz val="10"/>
      <name val="Arial"/>
    </font>
    <font>
      <sz val="8"/>
      <name val="Arial"/>
      <family val="2"/>
    </font>
    <font>
      <b/>
      <sz val="10"/>
      <name val="Times New Roman"/>
      <family val="1"/>
    </font>
    <font>
      <sz val="10"/>
      <name val="Times New Roman"/>
      <family val="1"/>
    </font>
    <font>
      <b/>
      <sz val="14"/>
      <name val="Times New Roman"/>
      <family val="1"/>
    </font>
    <font>
      <sz val="10"/>
      <name val="Arial"/>
      <family val="2"/>
    </font>
    <font>
      <b/>
      <sz val="14"/>
      <name val="Arial"/>
      <family val="2"/>
    </font>
    <font>
      <b/>
      <sz val="11"/>
      <color indexed="9"/>
      <name val="Arial"/>
      <family val="2"/>
    </font>
    <font>
      <sz val="11"/>
      <color indexed="9"/>
      <name val="Arial"/>
      <family val="2"/>
    </font>
    <font>
      <b/>
      <sz val="11"/>
      <name val="Arial"/>
      <family val="2"/>
    </font>
    <font>
      <sz val="11"/>
      <name val="Arial"/>
      <family val="2"/>
    </font>
    <font>
      <sz val="11"/>
      <name val="Arial"/>
      <family val="2"/>
    </font>
    <font>
      <b/>
      <sz val="11"/>
      <color indexed="9"/>
      <name val="Arial"/>
      <family val="2"/>
    </font>
    <font>
      <b/>
      <sz val="9"/>
      <name val="Times New Roman"/>
      <family val="1"/>
    </font>
    <font>
      <b/>
      <sz val="10"/>
      <name val="Arial"/>
      <family val="2"/>
    </font>
    <font>
      <b/>
      <sz val="10"/>
      <color indexed="48"/>
      <name val="Arial"/>
      <family val="2"/>
    </font>
    <font>
      <b/>
      <sz val="10"/>
      <color indexed="20"/>
      <name val="Arial"/>
      <family val="2"/>
    </font>
    <font>
      <b/>
      <sz val="10"/>
      <color indexed="52"/>
      <name val="Arial"/>
      <family val="2"/>
    </font>
    <font>
      <sz val="8"/>
      <name val="Arial"/>
      <family val="2"/>
    </font>
    <font>
      <b/>
      <sz val="10"/>
      <color indexed="17"/>
      <name val="Arial"/>
      <family val="2"/>
    </font>
    <font>
      <b/>
      <sz val="11"/>
      <color indexed="20"/>
      <name val="Arial"/>
      <family val="2"/>
    </font>
    <font>
      <b/>
      <sz val="11"/>
      <color indexed="52"/>
      <name val="Arial"/>
      <family val="2"/>
    </font>
    <font>
      <b/>
      <sz val="11"/>
      <color indexed="17"/>
      <name val="Arial"/>
      <family val="2"/>
    </font>
    <font>
      <b/>
      <sz val="10"/>
      <color indexed="14"/>
      <name val="Arial"/>
      <family val="2"/>
    </font>
    <font>
      <b/>
      <sz val="11"/>
      <color indexed="14"/>
      <name val="Arial"/>
      <family val="2"/>
    </font>
    <font>
      <b/>
      <sz val="8"/>
      <name val="Arial"/>
      <family val="2"/>
    </font>
    <font>
      <b/>
      <sz val="10"/>
      <color indexed="19"/>
      <name val="Arial"/>
      <family val="2"/>
    </font>
    <font>
      <b/>
      <sz val="11"/>
      <color indexed="19"/>
      <name val="Arial"/>
      <family val="2"/>
    </font>
    <font>
      <sz val="9"/>
      <name val="Arial"/>
      <family val="2"/>
    </font>
    <font>
      <b/>
      <sz val="10"/>
      <color indexed="16"/>
      <name val="Arial"/>
      <family val="2"/>
    </font>
    <font>
      <b/>
      <sz val="10"/>
      <color indexed="49"/>
      <name val="Arial"/>
      <family val="2"/>
    </font>
    <font>
      <b/>
      <sz val="11"/>
      <color indexed="16"/>
      <name val="Arial"/>
      <family val="2"/>
    </font>
    <font>
      <sz val="9"/>
      <name val="Arial"/>
      <family val="2"/>
    </font>
    <font>
      <b/>
      <sz val="10"/>
      <color indexed="54"/>
      <name val="Arial"/>
      <family val="2"/>
    </font>
    <font>
      <b/>
      <sz val="11"/>
      <color indexed="54"/>
      <name val="Arial"/>
      <family val="2"/>
    </font>
    <font>
      <b/>
      <sz val="11"/>
      <color indexed="49"/>
      <name val="Arial"/>
      <family val="2"/>
    </font>
    <font>
      <b/>
      <sz val="9"/>
      <name val="Arial"/>
      <family val="2"/>
    </font>
    <font>
      <b/>
      <u/>
      <sz val="9"/>
      <name val="Arial"/>
      <family val="2"/>
    </font>
  </fonts>
  <fills count="7">
    <fill>
      <patternFill patternType="none"/>
    </fill>
    <fill>
      <patternFill patternType="gray125"/>
    </fill>
    <fill>
      <patternFill patternType="solid">
        <fgColor indexed="9"/>
        <bgColor indexed="64"/>
      </patternFill>
    </fill>
    <fill>
      <patternFill patternType="solid">
        <fgColor indexed="8"/>
        <bgColor indexed="64"/>
      </patternFill>
    </fill>
    <fill>
      <patternFill patternType="solid">
        <fgColor indexed="22"/>
        <bgColor indexed="64"/>
      </patternFill>
    </fill>
    <fill>
      <patternFill patternType="solid">
        <fgColor indexed="26"/>
        <bgColor indexed="64"/>
      </patternFill>
    </fill>
    <fill>
      <patternFill patternType="solid">
        <fgColor indexed="41"/>
        <bgColor indexed="64"/>
      </patternFill>
    </fill>
  </fills>
  <borders count="85">
    <border>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23"/>
      </left>
      <right style="medium">
        <color indexed="64"/>
      </right>
      <top/>
      <bottom style="thin">
        <color indexed="23"/>
      </bottom>
      <diagonal/>
    </border>
    <border>
      <left style="thin">
        <color indexed="23"/>
      </left>
      <right style="medium">
        <color indexed="64"/>
      </right>
      <top style="thin">
        <color indexed="23"/>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style="thin">
        <color indexed="23"/>
      </left>
      <right/>
      <top style="thin">
        <color indexed="23"/>
      </top>
      <bottom/>
      <diagonal/>
    </border>
    <border>
      <left/>
      <right/>
      <top style="medium">
        <color indexed="64"/>
      </top>
      <bottom/>
      <diagonal/>
    </border>
    <border>
      <left/>
      <right/>
      <top/>
      <bottom style="thin">
        <color indexed="64"/>
      </bottom>
      <diagonal/>
    </border>
    <border>
      <left style="thin">
        <color indexed="23"/>
      </left>
      <right/>
      <top/>
      <bottom style="thin">
        <color indexed="23"/>
      </bottom>
      <diagonal/>
    </border>
    <border>
      <left style="thin">
        <color indexed="23"/>
      </left>
      <right/>
      <top style="thin">
        <color indexed="23"/>
      </top>
      <bottom style="thin">
        <color indexed="23"/>
      </bottom>
      <diagonal/>
    </border>
    <border>
      <left/>
      <right/>
      <top/>
      <bottom style="thin">
        <color indexed="23"/>
      </bottom>
      <diagonal/>
    </border>
    <border>
      <left style="thin">
        <color indexed="9"/>
      </left>
      <right style="medium">
        <color indexed="64"/>
      </right>
      <top style="medium">
        <color indexed="64"/>
      </top>
      <bottom/>
      <diagonal/>
    </border>
    <border>
      <left/>
      <right style="thin">
        <color indexed="23"/>
      </right>
      <top/>
      <bottom style="thin">
        <color indexed="23"/>
      </bottom>
      <diagonal/>
    </border>
    <border>
      <left/>
      <right style="thin">
        <color indexed="23"/>
      </right>
      <top style="thin">
        <color indexed="23"/>
      </top>
      <bottom style="thin">
        <color indexed="23"/>
      </bottom>
      <diagonal/>
    </border>
    <border>
      <left/>
      <right style="thin">
        <color indexed="23"/>
      </right>
      <top style="thin">
        <color indexed="23"/>
      </top>
      <bottom style="thin">
        <color indexed="64"/>
      </bottom>
      <diagonal/>
    </border>
    <border>
      <left/>
      <right style="thin">
        <color indexed="23"/>
      </right>
      <top style="thin">
        <color indexed="23"/>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3"/>
      </left>
      <right style="thin">
        <color indexed="23"/>
      </right>
      <top style="medium">
        <color indexed="64"/>
      </top>
      <bottom style="thin">
        <color indexed="23"/>
      </bottom>
      <diagonal/>
    </border>
    <border>
      <left style="thin">
        <color indexed="9"/>
      </left>
      <right/>
      <top style="medium">
        <color indexed="64"/>
      </top>
      <bottom/>
      <diagonal/>
    </border>
    <border>
      <left style="thin">
        <color indexed="23"/>
      </left>
      <right style="thin">
        <color indexed="23"/>
      </right>
      <top style="thin">
        <color indexed="23"/>
      </top>
      <bottom style="thin">
        <color indexed="23"/>
      </bottom>
      <diagonal/>
    </border>
    <border>
      <left style="thin">
        <color indexed="23"/>
      </left>
      <right style="medium">
        <color indexed="64"/>
      </right>
      <top style="thin">
        <color indexed="54"/>
      </top>
      <bottom style="thin">
        <color indexed="23"/>
      </bottom>
      <diagonal/>
    </border>
    <border>
      <left style="thin">
        <color indexed="23"/>
      </left>
      <right style="medium">
        <color indexed="64"/>
      </right>
      <top style="thin">
        <color indexed="23"/>
      </top>
      <bottom style="thin">
        <color indexed="23"/>
      </bottom>
      <diagonal/>
    </border>
    <border>
      <left/>
      <right style="medium">
        <color indexed="64"/>
      </right>
      <top style="medium">
        <color indexed="64"/>
      </top>
      <bottom style="thin">
        <color indexed="64"/>
      </bottom>
      <diagonal/>
    </border>
    <border>
      <left style="thin">
        <color indexed="9"/>
      </left>
      <right style="thin">
        <color indexed="9"/>
      </right>
      <top style="medium">
        <color indexed="64"/>
      </top>
      <bottom style="medium">
        <color indexed="64"/>
      </bottom>
      <diagonal/>
    </border>
    <border>
      <left style="thin">
        <color indexed="9"/>
      </left>
      <right style="thin">
        <color indexed="9"/>
      </right>
      <top style="medium">
        <color indexed="64"/>
      </top>
      <bottom/>
      <diagonal/>
    </border>
    <border>
      <left style="thin">
        <color indexed="64"/>
      </left>
      <right style="thin">
        <color indexed="64"/>
      </right>
      <top style="thin">
        <color indexed="64"/>
      </top>
      <bottom style="medium">
        <color indexed="64"/>
      </bottom>
      <diagonal/>
    </border>
    <border>
      <left style="thin">
        <color indexed="23"/>
      </left>
      <right style="medium">
        <color indexed="64"/>
      </right>
      <top style="medium">
        <color indexed="64"/>
      </top>
      <bottom style="thin">
        <color indexed="23"/>
      </bottom>
      <diagonal/>
    </border>
    <border>
      <left/>
      <right style="medium">
        <color indexed="64"/>
      </right>
      <top/>
      <bottom style="thin">
        <color indexed="64"/>
      </bottom>
      <diagonal/>
    </border>
    <border>
      <left style="thin">
        <color indexed="23"/>
      </left>
      <right style="thin">
        <color indexed="23"/>
      </right>
      <top style="medium">
        <color indexed="64"/>
      </top>
      <bottom style="medium">
        <color indexed="64"/>
      </bottom>
      <diagonal/>
    </border>
    <border>
      <left style="thin">
        <color indexed="23"/>
      </left>
      <right style="medium">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top/>
      <bottom style="thin">
        <color indexed="64"/>
      </bottom>
      <diagonal/>
    </border>
    <border>
      <left style="thin">
        <color indexed="64"/>
      </left>
      <right/>
      <top style="medium">
        <color indexed="64"/>
      </top>
      <bottom/>
      <diagonal/>
    </border>
    <border>
      <left/>
      <right/>
      <top style="thin">
        <color indexed="23"/>
      </top>
      <bottom style="thin">
        <color indexed="23"/>
      </bottom>
      <diagonal/>
    </border>
    <border>
      <left/>
      <right/>
      <top style="thin">
        <color indexed="23"/>
      </top>
      <bottom style="thin">
        <color indexed="64"/>
      </bottom>
      <diagonal/>
    </border>
    <border>
      <left/>
      <right/>
      <top style="thin">
        <color indexed="23"/>
      </top>
      <bottom/>
      <diagonal/>
    </border>
    <border>
      <left style="thin">
        <color indexed="64"/>
      </left>
      <right style="thin">
        <color indexed="64"/>
      </right>
      <top/>
      <bottom style="medium">
        <color indexed="64"/>
      </bottom>
      <diagonal/>
    </border>
    <border>
      <left style="medium">
        <color indexed="64"/>
      </left>
      <right/>
      <top style="thin">
        <color indexed="55"/>
      </top>
      <bottom style="thin">
        <color indexed="64"/>
      </bottom>
      <diagonal/>
    </border>
    <border>
      <left style="medium">
        <color indexed="64"/>
      </left>
      <right/>
      <top style="thin">
        <color indexed="23"/>
      </top>
      <bottom style="thin">
        <color indexed="23"/>
      </bottom>
      <diagonal/>
    </border>
    <border>
      <left style="medium">
        <color indexed="64"/>
      </left>
      <right/>
      <top style="medium">
        <color indexed="64"/>
      </top>
      <bottom style="thin">
        <color indexed="55"/>
      </bottom>
      <diagonal/>
    </border>
    <border>
      <left style="medium">
        <color indexed="64"/>
      </left>
      <right/>
      <top style="thin">
        <color indexed="55"/>
      </top>
      <bottom style="thin">
        <color indexed="55"/>
      </bottom>
      <diagonal/>
    </border>
    <border>
      <left style="thin">
        <color indexed="9"/>
      </left>
      <right style="thin">
        <color indexed="64"/>
      </right>
      <top style="medium">
        <color indexed="64"/>
      </top>
      <bottom style="thin">
        <color indexed="64"/>
      </bottom>
      <diagonal/>
    </border>
    <border>
      <left style="thin">
        <color indexed="64"/>
      </left>
      <right style="thin">
        <color indexed="9"/>
      </right>
      <top style="medium">
        <color indexed="64"/>
      </top>
      <bottom style="thin">
        <color indexed="64"/>
      </bottom>
      <diagonal/>
    </border>
    <border>
      <left/>
      <right style="thin">
        <color indexed="9"/>
      </right>
      <top style="medium">
        <color indexed="64"/>
      </top>
      <bottom/>
      <diagonal/>
    </border>
    <border>
      <left/>
      <right style="thin">
        <color indexed="64"/>
      </right>
      <top/>
      <bottom style="medium">
        <color indexed="64"/>
      </bottom>
      <diagonal/>
    </border>
    <border>
      <left style="thin">
        <color indexed="9"/>
      </left>
      <right style="thin">
        <color indexed="64"/>
      </right>
      <top style="medium">
        <color indexed="64"/>
      </top>
      <bottom/>
      <diagonal/>
    </border>
    <border>
      <left style="thin">
        <color indexed="64"/>
      </left>
      <right style="thin">
        <color indexed="9"/>
      </right>
      <top style="medium">
        <color indexed="64"/>
      </top>
      <bottom/>
      <diagonal/>
    </border>
    <border>
      <left style="medium">
        <color indexed="64"/>
      </left>
      <right style="thin">
        <color indexed="23"/>
      </right>
      <top style="thin">
        <color indexed="64"/>
      </top>
      <bottom style="thin">
        <color indexed="23"/>
      </bottom>
      <diagonal/>
    </border>
    <border>
      <left style="thin">
        <color indexed="23"/>
      </left>
      <right style="thin">
        <color indexed="23"/>
      </right>
      <top style="thin">
        <color indexed="64"/>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thin">
        <color indexed="64"/>
      </bottom>
      <diagonal/>
    </border>
    <border>
      <left style="thin">
        <color indexed="23"/>
      </left>
      <right style="thin">
        <color indexed="23"/>
      </right>
      <top style="thin">
        <color indexed="23"/>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thin">
        <color indexed="23"/>
      </bottom>
      <diagonal/>
    </border>
    <border>
      <left style="medium">
        <color indexed="64"/>
      </left>
      <right/>
      <top style="thin">
        <color indexed="23"/>
      </top>
      <bottom style="thin">
        <color indexed="64"/>
      </bottom>
      <diagonal/>
    </border>
    <border>
      <left style="medium">
        <color indexed="64"/>
      </left>
      <right/>
      <top style="thin">
        <color indexed="23"/>
      </top>
      <bottom/>
      <diagonal/>
    </border>
    <border>
      <left/>
      <right/>
      <top style="medium">
        <color indexed="64"/>
      </top>
      <bottom style="thin">
        <color indexed="55"/>
      </bottom>
      <diagonal/>
    </border>
    <border>
      <left style="medium">
        <color indexed="64"/>
      </left>
      <right style="thin">
        <color indexed="23"/>
      </right>
      <top style="medium">
        <color indexed="64"/>
      </top>
      <bottom/>
      <diagonal/>
    </border>
    <border>
      <left style="thin">
        <color indexed="23"/>
      </left>
      <right style="thin">
        <color indexed="23"/>
      </right>
      <top style="medium">
        <color indexed="64"/>
      </top>
      <bottom/>
      <diagonal/>
    </border>
    <border>
      <left/>
      <right/>
      <top style="thin">
        <color indexed="55"/>
      </top>
      <bottom style="thin">
        <color indexed="55"/>
      </bottom>
      <diagonal/>
    </border>
    <border>
      <left/>
      <right/>
      <top style="thin">
        <color indexed="55"/>
      </top>
      <bottom style="thin">
        <color indexed="64"/>
      </bottom>
      <diagonal/>
    </border>
    <border>
      <left style="thin">
        <color indexed="64"/>
      </left>
      <right/>
      <top/>
      <bottom style="medium">
        <color indexed="64"/>
      </bottom>
      <diagonal/>
    </border>
    <border>
      <left style="thin">
        <color indexed="23"/>
      </left>
      <right style="medium">
        <color indexed="64"/>
      </right>
      <top style="medium">
        <color indexed="64"/>
      </top>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thin">
        <color indexed="23"/>
      </left>
      <right/>
      <top style="thin">
        <color indexed="23"/>
      </top>
      <bottom style="thin">
        <color indexed="64"/>
      </bottom>
      <diagonal/>
    </border>
    <border>
      <left style="thin">
        <color indexed="23"/>
      </left>
      <right style="thin">
        <color indexed="23"/>
      </right>
      <top style="thin">
        <color indexed="64"/>
      </top>
      <bottom/>
      <diagonal/>
    </border>
    <border>
      <left style="thin">
        <color indexed="23"/>
      </left>
      <right style="thin">
        <color indexed="23"/>
      </right>
      <top style="thin">
        <color indexed="23"/>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s>
  <cellStyleXfs count="1">
    <xf numFmtId="0" fontId="0" fillId="0" borderId="0"/>
  </cellStyleXfs>
  <cellXfs count="224">
    <xf numFmtId="0" fontId="0" fillId="0" borderId="0" xfId="0"/>
    <xf numFmtId="0" fontId="0" fillId="0" borderId="1" xfId="0" applyBorder="1"/>
    <xf numFmtId="0" fontId="0" fillId="2" borderId="0" xfId="0" applyFill="1"/>
    <xf numFmtId="0" fontId="7" fillId="3" borderId="2" xfId="0" applyFont="1" applyFill="1" applyBorder="1" applyAlignment="1">
      <alignment vertical="top" wrapText="1"/>
    </xf>
    <xf numFmtId="0" fontId="7" fillId="3" borderId="3" xfId="0" applyFont="1" applyFill="1" applyBorder="1" applyAlignment="1">
      <alignment horizontal="center" vertical="top" wrapText="1"/>
    </xf>
    <xf numFmtId="0" fontId="7" fillId="3" borderId="4" xfId="0" applyFont="1" applyFill="1" applyBorder="1" applyAlignment="1">
      <alignment vertical="top" wrapText="1"/>
    </xf>
    <xf numFmtId="168" fontId="7" fillId="3" borderId="5" xfId="0" applyNumberFormat="1" applyFont="1" applyFill="1" applyBorder="1" applyAlignment="1">
      <alignment horizontal="center" vertical="top" wrapText="1"/>
    </xf>
    <xf numFmtId="168" fontId="10" fillId="0" borderId="6" xfId="0" applyNumberFormat="1" applyFont="1" applyBorder="1" applyAlignment="1">
      <alignment horizontal="center" wrapText="1"/>
    </xf>
    <xf numFmtId="168" fontId="10" fillId="0" borderId="7" xfId="0" applyNumberFormat="1" applyFont="1" applyBorder="1" applyAlignment="1">
      <alignment horizontal="center" wrapText="1"/>
    </xf>
    <xf numFmtId="170" fontId="11" fillId="4" borderId="6" xfId="0" applyNumberFormat="1" applyFont="1" applyFill="1" applyBorder="1"/>
    <xf numFmtId="0" fontId="12" fillId="3" borderId="8" xfId="0" applyFont="1" applyFill="1" applyBorder="1"/>
    <xf numFmtId="0" fontId="12" fillId="3" borderId="9" xfId="0" applyFont="1" applyFill="1" applyBorder="1"/>
    <xf numFmtId="0" fontId="12" fillId="3" borderId="10" xfId="0" applyFont="1" applyFill="1" applyBorder="1"/>
    <xf numFmtId="170" fontId="12" fillId="3" borderId="11" xfId="0" applyNumberFormat="1" applyFont="1" applyFill="1" applyBorder="1"/>
    <xf numFmtId="0" fontId="7" fillId="3" borderId="9" xfId="0" applyFont="1" applyFill="1" applyBorder="1" applyAlignment="1">
      <alignment vertical="top" wrapText="1"/>
    </xf>
    <xf numFmtId="170" fontId="7" fillId="3" borderId="12" xfId="0" applyNumberFormat="1" applyFont="1" applyFill="1" applyBorder="1" applyAlignment="1">
      <alignment horizontal="center" vertical="top" wrapText="1"/>
    </xf>
    <xf numFmtId="0" fontId="12" fillId="3" borderId="0" xfId="0" applyFont="1" applyFill="1" applyBorder="1"/>
    <xf numFmtId="0" fontId="12" fillId="3" borderId="0" xfId="0" applyFont="1" applyFill="1" applyBorder="1" applyAlignment="1"/>
    <xf numFmtId="0" fontId="12" fillId="3" borderId="0" xfId="0" applyFont="1" applyFill="1" applyBorder="1" applyAlignment="1">
      <alignment horizontal="right"/>
    </xf>
    <xf numFmtId="0" fontId="7" fillId="3" borderId="13" xfId="0" applyFont="1" applyFill="1" applyBorder="1" applyAlignment="1">
      <alignment vertical="top" wrapText="1"/>
    </xf>
    <xf numFmtId="0" fontId="7" fillId="3" borderId="14" xfId="0" applyFont="1" applyFill="1" applyBorder="1" applyAlignment="1">
      <alignment horizontal="right" vertical="top" wrapText="1"/>
    </xf>
    <xf numFmtId="0" fontId="10" fillId="0" borderId="15" xfId="0" applyFont="1" applyBorder="1" applyAlignment="1">
      <alignment horizontal="right" wrapText="1"/>
    </xf>
    <xf numFmtId="0" fontId="7" fillId="3" borderId="16" xfId="0" applyFont="1" applyFill="1" applyBorder="1" applyAlignment="1">
      <alignment horizontal="center" vertical="top" wrapText="1"/>
    </xf>
    <xf numFmtId="0" fontId="0" fillId="5" borderId="0" xfId="0" applyFill="1" applyBorder="1" applyAlignment="1">
      <alignment horizontal="center" vertical="top"/>
    </xf>
    <xf numFmtId="0" fontId="0" fillId="5" borderId="0" xfId="0" applyFill="1" applyBorder="1" applyAlignment="1">
      <alignment horizontal="left"/>
    </xf>
    <xf numFmtId="0" fontId="0" fillId="5" borderId="0" xfId="0" applyFill="1" applyBorder="1" applyAlignment="1">
      <alignment horizontal="right"/>
    </xf>
    <xf numFmtId="0" fontId="14" fillId="5" borderId="0" xfId="0" applyFont="1" applyFill="1" applyBorder="1" applyAlignment="1">
      <alignment horizontal="left"/>
    </xf>
    <xf numFmtId="0" fontId="0" fillId="5" borderId="0" xfId="0" applyFill="1" applyBorder="1"/>
    <xf numFmtId="0" fontId="14" fillId="5" borderId="0" xfId="0" applyFont="1" applyFill="1" applyBorder="1" applyAlignment="1">
      <alignment horizontal="center"/>
    </xf>
    <xf numFmtId="0" fontId="0" fillId="5" borderId="17" xfId="0" applyFill="1" applyBorder="1"/>
    <xf numFmtId="0" fontId="0" fillId="5" borderId="17" xfId="0" applyFill="1" applyBorder="1" applyAlignment="1">
      <alignment horizontal="left"/>
    </xf>
    <xf numFmtId="0" fontId="15" fillId="5" borderId="0" xfId="0" applyFont="1" applyFill="1" applyBorder="1"/>
    <xf numFmtId="0" fontId="16" fillId="5" borderId="17" xfId="0" applyFont="1" applyFill="1" applyBorder="1" applyAlignment="1">
      <alignment horizontal="right"/>
    </xf>
    <xf numFmtId="0" fontId="0" fillId="5" borderId="0" xfId="0" quotePrefix="1" applyFill="1" applyBorder="1" applyAlignment="1">
      <alignment horizontal="center"/>
    </xf>
    <xf numFmtId="0" fontId="19" fillId="5" borderId="0" xfId="0" applyFont="1" applyFill="1" applyBorder="1" applyAlignment="1">
      <alignment horizontal="left"/>
    </xf>
    <xf numFmtId="0" fontId="20" fillId="0" borderId="18" xfId="0" applyFont="1" applyBorder="1" applyAlignment="1">
      <alignment horizontal="right" wrapText="1"/>
    </xf>
    <xf numFmtId="0" fontId="21" fillId="0" borderId="19" xfId="0" applyFont="1" applyBorder="1" applyAlignment="1">
      <alignment horizontal="right" wrapText="1"/>
    </xf>
    <xf numFmtId="0" fontId="24" fillId="0" borderId="20" xfId="0" applyFont="1" applyBorder="1" applyAlignment="1">
      <alignment horizontal="center" wrapText="1"/>
    </xf>
    <xf numFmtId="0" fontId="7" fillId="3" borderId="21" xfId="0" applyFont="1" applyFill="1" applyBorder="1" applyAlignment="1">
      <alignment horizontal="center" vertical="top" wrapText="1"/>
    </xf>
    <xf numFmtId="0" fontId="0" fillId="5" borderId="0" xfId="0" applyFill="1" applyBorder="1" applyAlignment="1">
      <alignment horizontal="right" vertical="top"/>
    </xf>
    <xf numFmtId="0" fontId="27" fillId="0" borderId="20" xfId="0" applyFont="1" applyBorder="1" applyAlignment="1">
      <alignment horizontal="center" wrapText="1"/>
    </xf>
    <xf numFmtId="0" fontId="28" fillId="0" borderId="22" xfId="0" applyFont="1" applyBorder="1" applyAlignment="1">
      <alignment horizontal="left" wrapText="1"/>
    </xf>
    <xf numFmtId="0" fontId="28" fillId="0" borderId="23" xfId="0" applyFont="1" applyBorder="1" applyAlignment="1">
      <alignment horizontal="left" wrapText="1"/>
    </xf>
    <xf numFmtId="0" fontId="28" fillId="0" borderId="24" xfId="0" applyFont="1" applyBorder="1" applyAlignment="1">
      <alignment horizontal="left" wrapText="1"/>
    </xf>
    <xf numFmtId="0" fontId="18" fillId="0" borderId="22" xfId="0" applyFont="1" applyBorder="1" applyAlignment="1">
      <alignment horizontal="left" wrapText="1"/>
    </xf>
    <xf numFmtId="0" fontId="18" fillId="0" borderId="23" xfId="0" applyFont="1" applyBorder="1" applyAlignment="1">
      <alignment horizontal="left" wrapText="1"/>
    </xf>
    <xf numFmtId="0" fontId="18" fillId="0" borderId="25" xfId="0" applyFont="1" applyBorder="1" applyAlignment="1">
      <alignment horizontal="left" wrapText="1"/>
    </xf>
    <xf numFmtId="0" fontId="0" fillId="2" borderId="26" xfId="0" applyFill="1" applyBorder="1"/>
    <xf numFmtId="0" fontId="0" fillId="2" borderId="0" xfId="0" applyFill="1" applyBorder="1"/>
    <xf numFmtId="0" fontId="0" fillId="2" borderId="0" xfId="0" applyFill="1" applyBorder="1" applyAlignment="1"/>
    <xf numFmtId="0" fontId="0" fillId="2" borderId="1" xfId="0" applyFill="1" applyBorder="1"/>
    <xf numFmtId="0" fontId="13" fillId="2" borderId="0" xfId="0" applyFont="1" applyFill="1"/>
    <xf numFmtId="0" fontId="0" fillId="2" borderId="27" xfId="0" applyFill="1" applyBorder="1"/>
    <xf numFmtId="0" fontId="0" fillId="2" borderId="14" xfId="0" applyFill="1" applyBorder="1"/>
    <xf numFmtId="0" fontId="0" fillId="2" borderId="28" xfId="0" applyFill="1" applyBorder="1"/>
    <xf numFmtId="0" fontId="3" fillId="2" borderId="0" xfId="0" applyFont="1" applyFill="1" applyBorder="1" applyAlignment="1">
      <alignment wrapText="1"/>
    </xf>
    <xf numFmtId="0" fontId="0" fillId="2" borderId="3" xfId="0" applyFill="1" applyBorder="1"/>
    <xf numFmtId="0" fontId="0" fillId="2" borderId="1" xfId="0" applyFill="1" applyBorder="1" applyAlignment="1"/>
    <xf numFmtId="0" fontId="0" fillId="2" borderId="0" xfId="0" applyFill="1" applyBorder="1" applyAlignment="1">
      <alignment horizontal="center" vertical="top"/>
    </xf>
    <xf numFmtId="0" fontId="0" fillId="2" borderId="2" xfId="0" applyFill="1" applyBorder="1"/>
    <xf numFmtId="0" fontId="4" fillId="2" borderId="16" xfId="0" applyFont="1" applyFill="1" applyBorder="1" applyAlignment="1">
      <alignment horizontal="center"/>
    </xf>
    <xf numFmtId="0" fontId="0" fillId="2" borderId="16" xfId="0" applyFill="1" applyBorder="1" applyAlignment="1"/>
    <xf numFmtId="0" fontId="2" fillId="2" borderId="0" xfId="0" applyFont="1" applyFill="1" applyBorder="1" applyAlignment="1">
      <alignment horizontal="center"/>
    </xf>
    <xf numFmtId="0" fontId="5" fillId="2" borderId="0" xfId="0" applyFont="1" applyFill="1" applyBorder="1"/>
    <xf numFmtId="0" fontId="0" fillId="3" borderId="0" xfId="0" applyFill="1"/>
    <xf numFmtId="0" fontId="24" fillId="0" borderId="29" xfId="0" applyFont="1" applyFill="1" applyBorder="1" applyAlignment="1">
      <alignment horizontal="center" wrapText="1"/>
    </xf>
    <xf numFmtId="0" fontId="7" fillId="3" borderId="30" xfId="0" applyFont="1" applyFill="1" applyBorder="1" applyAlignment="1">
      <alignment horizontal="center" vertical="top" wrapText="1"/>
    </xf>
    <xf numFmtId="0" fontId="24" fillId="0" borderId="31" xfId="0" applyFont="1" applyFill="1" applyBorder="1" applyAlignment="1">
      <alignment horizontal="center" wrapText="1"/>
    </xf>
    <xf numFmtId="170" fontId="11" fillId="0" borderId="32" xfId="0" applyNumberFormat="1" applyFont="1" applyBorder="1"/>
    <xf numFmtId="170" fontId="11" fillId="0" borderId="33" xfId="0" applyNumberFormat="1" applyFont="1" applyBorder="1"/>
    <xf numFmtId="170" fontId="11" fillId="0" borderId="7" xfId="0" applyNumberFormat="1" applyFont="1" applyBorder="1"/>
    <xf numFmtId="0" fontId="7" fillId="3" borderId="34" xfId="0" applyFont="1" applyFill="1" applyBorder="1" applyAlignment="1">
      <alignment horizontal="center" vertical="top" wrapText="1"/>
    </xf>
    <xf numFmtId="0" fontId="7" fillId="3" borderId="35" xfId="0" applyFont="1" applyFill="1" applyBorder="1" applyAlignment="1">
      <alignment horizontal="center" vertical="top" wrapText="1"/>
    </xf>
    <xf numFmtId="0" fontId="7" fillId="3" borderId="36" xfId="0" applyFont="1" applyFill="1" applyBorder="1" applyAlignment="1">
      <alignment horizontal="center" vertical="top" wrapText="1"/>
    </xf>
    <xf numFmtId="0" fontId="7" fillId="3" borderId="37" xfId="0" applyFont="1" applyFill="1" applyBorder="1" applyAlignment="1">
      <alignment horizontal="right"/>
    </xf>
    <xf numFmtId="0" fontId="0" fillId="5" borderId="0" xfId="0" applyFill="1" applyBorder="1" applyAlignment="1"/>
    <xf numFmtId="0" fontId="0" fillId="0" borderId="0" xfId="0" applyFill="1"/>
    <xf numFmtId="170" fontId="11" fillId="0" borderId="6" xfId="0" applyNumberFormat="1" applyFont="1" applyBorder="1"/>
    <xf numFmtId="0" fontId="14" fillId="6" borderId="2" xfId="0" applyFont="1" applyFill="1" applyBorder="1" applyAlignment="1">
      <alignment horizontal="center" textRotation="45"/>
    </xf>
    <xf numFmtId="170" fontId="11" fillId="4" borderId="38" xfId="0" applyNumberFormat="1" applyFont="1" applyFill="1" applyBorder="1"/>
    <xf numFmtId="0" fontId="0" fillId="5" borderId="1" xfId="0" applyFill="1" applyBorder="1" applyAlignment="1">
      <alignment horizontal="center" vertical="top"/>
    </xf>
    <xf numFmtId="0" fontId="0" fillId="5" borderId="26" xfId="0" applyFill="1" applyBorder="1" applyAlignment="1">
      <alignment horizontal="right"/>
    </xf>
    <xf numFmtId="0" fontId="0" fillId="5" borderId="26" xfId="0" applyFill="1" applyBorder="1"/>
    <xf numFmtId="0" fontId="32" fillId="5" borderId="26" xfId="0" applyFont="1" applyFill="1" applyBorder="1" applyAlignment="1">
      <alignment horizontal="right" wrapText="1"/>
    </xf>
    <xf numFmtId="0" fontId="0" fillId="5" borderId="26" xfId="0" applyFill="1" applyBorder="1" applyAlignment="1">
      <alignment horizontal="right" wrapText="1"/>
    </xf>
    <xf numFmtId="0" fontId="5" fillId="5" borderId="39" xfId="0" applyFont="1" applyFill="1" applyBorder="1" applyAlignment="1">
      <alignment horizontal="center"/>
    </xf>
    <xf numFmtId="0" fontId="0" fillId="5" borderId="14" xfId="0" applyFill="1" applyBorder="1" applyAlignment="1">
      <alignment horizontal="center" vertical="top"/>
    </xf>
    <xf numFmtId="0" fontId="0" fillId="5" borderId="28" xfId="0" applyFill="1" applyBorder="1" applyAlignment="1">
      <alignment horizontal="center" vertical="top"/>
    </xf>
    <xf numFmtId="170" fontId="12" fillId="3" borderId="0" xfId="0" applyNumberFormat="1" applyFont="1" applyFill="1" applyBorder="1"/>
    <xf numFmtId="0" fontId="1" fillId="5" borderId="1" xfId="0" applyFont="1" applyFill="1" applyBorder="1" applyAlignment="1">
      <alignment horizontal="center" vertical="top" wrapText="1"/>
    </xf>
    <xf numFmtId="0" fontId="14" fillId="6" borderId="40" xfId="0" applyFont="1" applyFill="1" applyBorder="1" applyAlignment="1">
      <alignment horizontal="center" textRotation="45"/>
    </xf>
    <xf numFmtId="0" fontId="14" fillId="4" borderId="41" xfId="0" applyFont="1" applyFill="1" applyBorder="1" applyAlignment="1">
      <alignment horizontal="center" textRotation="45"/>
    </xf>
    <xf numFmtId="0" fontId="0" fillId="5" borderId="1" xfId="0" applyFill="1" applyBorder="1"/>
    <xf numFmtId="0" fontId="18" fillId="5" borderId="1" xfId="0" applyFont="1" applyFill="1" applyBorder="1" applyAlignment="1">
      <alignment horizontal="left" textRotation="45" wrapText="1"/>
    </xf>
    <xf numFmtId="0" fontId="0" fillId="5" borderId="1" xfId="0" applyFill="1" applyBorder="1" applyAlignment="1"/>
    <xf numFmtId="0" fontId="0" fillId="5" borderId="14" xfId="0" applyFill="1" applyBorder="1" applyAlignment="1"/>
    <xf numFmtId="0" fontId="0" fillId="5" borderId="28" xfId="0" applyFill="1" applyBorder="1" applyAlignment="1"/>
    <xf numFmtId="0" fontId="1" fillId="5" borderId="0" xfId="0" applyFont="1" applyFill="1" applyBorder="1" applyAlignment="1">
      <alignment vertical="top"/>
    </xf>
    <xf numFmtId="0" fontId="14" fillId="2" borderId="42" xfId="0" applyFont="1" applyFill="1" applyBorder="1" applyAlignment="1" applyProtection="1">
      <alignment horizontal="center"/>
      <protection locked="0"/>
    </xf>
    <xf numFmtId="0" fontId="23" fillId="2" borderId="42" xfId="0" applyFont="1" applyFill="1" applyBorder="1" applyAlignment="1" applyProtection="1">
      <alignment horizontal="center"/>
      <protection locked="0"/>
    </xf>
    <xf numFmtId="0" fontId="29" fillId="2" borderId="42" xfId="0" applyFont="1" applyFill="1" applyBorder="1" applyAlignment="1" applyProtection="1">
      <alignment horizontal="center"/>
      <protection locked="0"/>
    </xf>
    <xf numFmtId="0" fontId="33" fillId="2" borderId="42" xfId="0" applyFont="1" applyFill="1" applyBorder="1" applyAlignment="1" applyProtection="1">
      <alignment horizontal="center"/>
      <protection locked="0"/>
    </xf>
    <xf numFmtId="0" fontId="26" fillId="2" borderId="42" xfId="0" applyFont="1" applyFill="1" applyBorder="1" applyAlignment="1" applyProtection="1">
      <alignment horizontal="center"/>
      <protection locked="0"/>
    </xf>
    <xf numFmtId="0" fontId="30" fillId="2" borderId="42" xfId="0" applyFont="1" applyFill="1" applyBorder="1" applyAlignment="1" applyProtection="1">
      <alignment horizontal="center"/>
      <protection locked="0"/>
    </xf>
    <xf numFmtId="0" fontId="0" fillId="5" borderId="43" xfId="0" applyFill="1" applyBorder="1" applyAlignment="1">
      <alignment horizontal="right"/>
    </xf>
    <xf numFmtId="0" fontId="0" fillId="5" borderId="27" xfId="0" applyFill="1" applyBorder="1" applyAlignment="1">
      <alignment horizontal="right" wrapText="1"/>
    </xf>
    <xf numFmtId="0" fontId="14" fillId="5" borderId="14" xfId="0" applyFont="1" applyFill="1" applyBorder="1" applyAlignment="1">
      <alignment horizontal="center"/>
    </xf>
    <xf numFmtId="0" fontId="14" fillId="5" borderId="14" xfId="0" applyFont="1" applyFill="1" applyBorder="1" applyAlignment="1">
      <alignment horizontal="left"/>
    </xf>
    <xf numFmtId="0" fontId="0" fillId="5" borderId="14" xfId="0" quotePrefix="1" applyFill="1" applyBorder="1"/>
    <xf numFmtId="0" fontId="17" fillId="5" borderId="14" xfId="0" applyFont="1" applyFill="1" applyBorder="1" applyAlignment="1">
      <alignment horizontal="right"/>
    </xf>
    <xf numFmtId="0" fontId="0" fillId="5" borderId="14" xfId="0" applyFill="1" applyBorder="1" applyAlignment="1">
      <alignment horizontal="left"/>
    </xf>
    <xf numFmtId="0" fontId="19" fillId="5" borderId="0" xfId="0" applyFont="1" applyFill="1" applyBorder="1" applyAlignment="1">
      <alignment horizontal="center"/>
    </xf>
    <xf numFmtId="0" fontId="14" fillId="2" borderId="44" xfId="0" applyFont="1" applyFill="1" applyBorder="1" applyAlignment="1" applyProtection="1">
      <alignment horizontal="center"/>
      <protection locked="0"/>
    </xf>
    <xf numFmtId="0" fontId="25" fillId="5" borderId="45" xfId="0" applyFont="1" applyFill="1" applyBorder="1" applyAlignment="1">
      <alignment horizontal="center" wrapText="1"/>
    </xf>
    <xf numFmtId="0" fontId="0" fillId="5" borderId="27" xfId="0" applyFill="1" applyBorder="1" applyAlignment="1">
      <alignment horizontal="right"/>
    </xf>
    <xf numFmtId="0" fontId="18" fillId="5" borderId="26" xfId="0" applyFont="1" applyFill="1" applyBorder="1" applyAlignment="1">
      <alignment horizontal="left" textRotation="45" wrapText="1"/>
    </xf>
    <xf numFmtId="0" fontId="0" fillId="5" borderId="26" xfId="0" applyFill="1" applyBorder="1" applyAlignment="1"/>
    <xf numFmtId="0" fontId="0" fillId="5" borderId="27" xfId="0" applyFill="1" applyBorder="1" applyAlignment="1"/>
    <xf numFmtId="0" fontId="14" fillId="5" borderId="0" xfId="0" applyFont="1" applyFill="1" applyBorder="1" applyAlignment="1">
      <alignment horizontal="center" vertical="center"/>
    </xf>
    <xf numFmtId="0" fontId="9" fillId="0" borderId="68" xfId="0" applyFont="1" applyBorder="1" applyAlignment="1">
      <alignment wrapText="1"/>
    </xf>
    <xf numFmtId="0" fontId="9" fillId="0" borderId="52" xfId="0" applyFont="1" applyBorder="1" applyAlignment="1">
      <alignment wrapText="1"/>
    </xf>
    <xf numFmtId="0" fontId="9" fillId="0" borderId="69" xfId="0" applyFont="1" applyBorder="1" applyAlignment="1">
      <alignment wrapText="1"/>
    </xf>
    <xf numFmtId="0" fontId="22" fillId="0" borderId="15" xfId="0" applyFont="1" applyBorder="1" applyAlignment="1">
      <alignment horizontal="right" wrapText="1"/>
    </xf>
    <xf numFmtId="0" fontId="9" fillId="0" borderId="70" xfId="0" applyFont="1" applyBorder="1" applyAlignment="1">
      <alignment wrapText="1"/>
    </xf>
    <xf numFmtId="0" fontId="36" fillId="0" borderId="72" xfId="0" applyFont="1" applyBorder="1" applyAlignment="1">
      <alignment horizontal="center" textRotation="45"/>
    </xf>
    <xf numFmtId="0" fontId="14" fillId="0" borderId="73" xfId="0" applyFont="1" applyBorder="1" applyAlignment="1">
      <alignment horizontal="center" textRotation="45"/>
    </xf>
    <xf numFmtId="0" fontId="12" fillId="3" borderId="76" xfId="0" applyFont="1" applyFill="1" applyBorder="1"/>
    <xf numFmtId="0" fontId="14" fillId="0" borderId="77" xfId="0" applyFont="1" applyBorder="1" applyAlignment="1">
      <alignment horizontal="center" textRotation="45"/>
    </xf>
    <xf numFmtId="0" fontId="12" fillId="3" borderId="5" xfId="0" applyFont="1" applyFill="1" applyBorder="1"/>
    <xf numFmtId="0" fontId="0" fillId="6" borderId="78" xfId="0" applyFill="1" applyBorder="1"/>
    <xf numFmtId="0" fontId="24" fillId="6" borderId="79" xfId="0" applyFont="1" applyFill="1" applyBorder="1" applyAlignment="1">
      <alignment horizontal="center" wrapText="1"/>
    </xf>
    <xf numFmtId="0" fontId="14" fillId="4" borderId="73" xfId="0" applyFont="1" applyFill="1" applyBorder="1" applyAlignment="1">
      <alignment horizontal="center" textRotation="45"/>
    </xf>
    <xf numFmtId="0" fontId="0" fillId="6" borderId="47" xfId="0" applyFill="1" applyBorder="1"/>
    <xf numFmtId="0" fontId="31" fillId="6" borderId="23" xfId="0" applyFont="1" applyFill="1" applyBorder="1" applyAlignment="1">
      <alignment horizontal="center"/>
    </xf>
    <xf numFmtId="0" fontId="0" fillId="6" borderId="48" xfId="0" applyFill="1" applyBorder="1"/>
    <xf numFmtId="0" fontId="34" fillId="6" borderId="24" xfId="0" applyFont="1" applyFill="1" applyBorder="1" applyAlignment="1">
      <alignment horizontal="center"/>
    </xf>
    <xf numFmtId="0" fontId="12" fillId="3" borderId="50" xfId="0" applyFont="1" applyFill="1" applyBorder="1" applyAlignment="1">
      <alignment horizontal="right"/>
    </xf>
    <xf numFmtId="0" fontId="27" fillId="0" borderId="23" xfId="0" applyFont="1" applyBorder="1" applyAlignment="1">
      <alignment horizontal="center"/>
    </xf>
    <xf numFmtId="0" fontId="35" fillId="0" borderId="22" xfId="0" applyFont="1" applyBorder="1" applyAlignment="1">
      <alignment horizontal="center"/>
    </xf>
    <xf numFmtId="0" fontId="27" fillId="0" borderId="24" xfId="0" applyFont="1" applyBorder="1" applyAlignment="1">
      <alignment horizontal="center"/>
    </xf>
    <xf numFmtId="170" fontId="10" fillId="0" borderId="42" xfId="0" applyNumberFormat="1" applyFont="1" applyBorder="1" applyAlignment="1" applyProtection="1">
      <alignment horizontal="center" wrapText="1"/>
      <protection locked="0"/>
    </xf>
    <xf numFmtId="0" fontId="10" fillId="0" borderId="42" xfId="0" applyFont="1" applyBorder="1" applyAlignment="1" applyProtection="1">
      <alignment horizontal="right" wrapText="1"/>
      <protection locked="0"/>
    </xf>
    <xf numFmtId="9" fontId="10" fillId="0" borderId="42" xfId="0" applyNumberFormat="1" applyFont="1" applyBorder="1" applyAlignment="1" applyProtection="1">
      <alignment horizontal="right" wrapText="1"/>
      <protection locked="0"/>
    </xf>
    <xf numFmtId="168" fontId="10" fillId="0" borderId="42" xfId="0" applyNumberFormat="1" applyFont="1" applyBorder="1" applyAlignment="1" applyProtection="1">
      <alignment horizontal="center" wrapText="1"/>
      <protection locked="0"/>
    </xf>
    <xf numFmtId="0" fontId="11" fillId="0" borderId="42" xfId="0" applyFont="1" applyBorder="1" applyProtection="1">
      <protection locked="0"/>
    </xf>
    <xf numFmtId="170" fontId="11" fillId="4" borderId="42" xfId="0" applyNumberFormat="1" applyFont="1" applyFill="1" applyBorder="1" applyProtection="1">
      <protection locked="0"/>
    </xf>
    <xf numFmtId="0" fontId="22" fillId="0" borderId="18" xfId="0" applyFont="1" applyBorder="1" applyAlignment="1">
      <alignment horizontal="right" wrapText="1"/>
    </xf>
    <xf numFmtId="0" fontId="7" fillId="3" borderId="37" xfId="0" applyFont="1" applyFill="1" applyBorder="1" applyAlignment="1">
      <alignment horizontal="center" vertical="top" wrapText="1"/>
    </xf>
    <xf numFmtId="0" fontId="8" fillId="3" borderId="14" xfId="0" applyFont="1" applyFill="1" applyBorder="1" applyAlignment="1">
      <alignment horizontal="right" vertical="top" wrapText="1"/>
    </xf>
    <xf numFmtId="0" fontId="8" fillId="3" borderId="58" xfId="0" applyFont="1" applyFill="1" applyBorder="1" applyAlignment="1">
      <alignment horizontal="right" vertical="top" wrapText="1"/>
    </xf>
    <xf numFmtId="0" fontId="9" fillId="0" borderId="52" xfId="0" applyFont="1" applyBorder="1" applyAlignment="1"/>
    <xf numFmtId="0" fontId="9" fillId="0" borderId="47" xfId="0" applyFont="1" applyBorder="1" applyAlignment="1"/>
    <xf numFmtId="170" fontId="11" fillId="0" borderId="83" xfId="0" applyNumberFormat="1" applyFont="1" applyBorder="1" applyAlignment="1" applyProtection="1">
      <protection locked="0"/>
    </xf>
    <xf numFmtId="170" fontId="11" fillId="0" borderId="84" xfId="0" applyNumberFormat="1" applyFont="1" applyBorder="1" applyAlignment="1" applyProtection="1">
      <protection locked="0"/>
    </xf>
    <xf numFmtId="0" fontId="7" fillId="3" borderId="66" xfId="0" applyFont="1" applyFill="1" applyBorder="1" applyAlignment="1">
      <alignment horizontal="center" vertical="top" wrapText="1"/>
    </xf>
    <xf numFmtId="0" fontId="7" fillId="3" borderId="67" xfId="0" applyFont="1" applyFill="1" applyBorder="1" applyAlignment="1">
      <alignment horizontal="center" vertical="top" wrapText="1"/>
    </xf>
    <xf numFmtId="0" fontId="7" fillId="3" borderId="55" xfId="0" applyFont="1" applyFill="1" applyBorder="1" applyAlignment="1">
      <alignment horizontal="center" vertical="top" wrapText="1"/>
    </xf>
    <xf numFmtId="0" fontId="8" fillId="3" borderId="56" xfId="0" applyFont="1" applyFill="1" applyBorder="1" applyAlignment="1">
      <alignment horizontal="center" vertical="top" wrapText="1"/>
    </xf>
    <xf numFmtId="0" fontId="9" fillId="0" borderId="63" xfId="0" applyFont="1" applyBorder="1" applyAlignment="1"/>
    <xf numFmtId="0" fontId="0" fillId="0" borderId="31" xfId="0" applyBorder="1" applyAlignment="1"/>
    <xf numFmtId="170" fontId="11" fillId="0" borderId="82" xfId="0" applyNumberFormat="1" applyFont="1" applyBorder="1" applyAlignment="1"/>
    <xf numFmtId="0" fontId="0" fillId="0" borderId="82" xfId="0" applyBorder="1" applyAlignment="1"/>
    <xf numFmtId="0" fontId="0" fillId="0" borderId="84" xfId="0" applyBorder="1" applyAlignment="1" applyProtection="1">
      <protection locked="0"/>
    </xf>
    <xf numFmtId="0" fontId="6" fillId="2" borderId="0" xfId="0" applyFont="1" applyFill="1" applyBorder="1" applyAlignment="1"/>
    <xf numFmtId="0" fontId="0" fillId="2" borderId="0" xfId="0" applyFill="1" applyAlignment="1"/>
    <xf numFmtId="0" fontId="7" fillId="3" borderId="59" xfId="0" applyFont="1" applyFill="1" applyBorder="1" applyAlignment="1">
      <alignment horizontal="center" vertical="top" wrapText="1"/>
    </xf>
    <xf numFmtId="0" fontId="7" fillId="3" borderId="46" xfId="0" applyFont="1" applyFill="1" applyBorder="1" applyAlignment="1">
      <alignment horizontal="center" vertical="top" wrapText="1"/>
    </xf>
    <xf numFmtId="0" fontId="7" fillId="3" borderId="60" xfId="0" applyFont="1" applyFill="1" applyBorder="1" applyAlignment="1">
      <alignment horizontal="center" vertical="top" wrapText="1"/>
    </xf>
    <xf numFmtId="0" fontId="18" fillId="0" borderId="47" xfId="0" applyFont="1" applyBorder="1" applyAlignment="1">
      <alignment horizontal="left" wrapText="1"/>
    </xf>
    <xf numFmtId="0" fontId="0" fillId="0" borderId="47" xfId="0" applyBorder="1" applyAlignment="1">
      <alignment wrapText="1"/>
    </xf>
    <xf numFmtId="0" fontId="7" fillId="3" borderId="16" xfId="0" applyFont="1" applyFill="1" applyBorder="1" applyAlignment="1">
      <alignment horizontal="center" vertical="top" wrapText="1"/>
    </xf>
    <xf numFmtId="0" fontId="0" fillId="0" borderId="57" xfId="0" applyBorder="1" applyAlignment="1">
      <alignment horizontal="center" wrapText="1"/>
    </xf>
    <xf numFmtId="0" fontId="9" fillId="0" borderId="61" xfId="0" applyFont="1" applyBorder="1" applyAlignment="1"/>
    <xf numFmtId="0" fontId="0" fillId="0" borderId="62" xfId="0" applyBorder="1" applyAlignment="1"/>
    <xf numFmtId="0" fontId="0" fillId="0" borderId="19" xfId="0" applyBorder="1" applyAlignment="1"/>
    <xf numFmtId="0" fontId="9" fillId="0" borderId="64" xfId="0" applyFont="1" applyBorder="1" applyAlignment="1"/>
    <xf numFmtId="0" fontId="0" fillId="0" borderId="65" xfId="0" applyBorder="1" applyAlignment="1"/>
    <xf numFmtId="0" fontId="0" fillId="0" borderId="80" xfId="0" applyBorder="1" applyAlignment="1"/>
    <xf numFmtId="170" fontId="11" fillId="0" borderId="81" xfId="0" applyNumberFormat="1" applyFont="1" applyBorder="1" applyAlignment="1"/>
    <xf numFmtId="0" fontId="0" fillId="0" borderId="81" xfId="0" applyBorder="1" applyAlignment="1"/>
    <xf numFmtId="171" fontId="18" fillId="0" borderId="47" xfId="0" applyNumberFormat="1" applyFont="1" applyBorder="1" applyAlignment="1">
      <alignment horizontal="left" wrapText="1"/>
    </xf>
    <xf numFmtId="0" fontId="0" fillId="0" borderId="23" xfId="0" applyBorder="1" applyAlignment="1">
      <alignment wrapText="1"/>
    </xf>
    <xf numFmtId="0" fontId="18" fillId="0" borderId="20" xfId="0" applyFont="1" applyBorder="1" applyAlignment="1">
      <alignment horizontal="left" wrapText="1"/>
    </xf>
    <xf numFmtId="0" fontId="0" fillId="0" borderId="22" xfId="0" applyBorder="1" applyAlignment="1">
      <alignment wrapText="1"/>
    </xf>
    <xf numFmtId="0" fontId="4" fillId="2" borderId="0" xfId="0" applyFont="1" applyFill="1" applyBorder="1" applyAlignment="1">
      <alignment horizontal="center"/>
    </xf>
    <xf numFmtId="0" fontId="0" fillId="2" borderId="0" xfId="0" applyFill="1" applyBorder="1" applyAlignment="1"/>
    <xf numFmtId="0" fontId="4" fillId="2" borderId="0" xfId="0" applyFont="1" applyFill="1" applyBorder="1" applyAlignment="1">
      <alignment horizontal="center" vertical="center"/>
    </xf>
    <xf numFmtId="0" fontId="0" fillId="2" borderId="0" xfId="0" applyFill="1" applyBorder="1" applyAlignment="1">
      <alignment vertical="center"/>
    </xf>
    <xf numFmtId="0" fontId="0" fillId="2" borderId="0" xfId="0" applyFill="1" applyBorder="1" applyAlignment="1">
      <alignment horizontal="center" vertical="top"/>
    </xf>
    <xf numFmtId="0" fontId="0" fillId="2" borderId="0" xfId="0" applyFill="1" applyAlignment="1">
      <alignment horizontal="center" vertical="top"/>
    </xf>
    <xf numFmtId="0" fontId="7" fillId="3" borderId="14" xfId="0" applyFont="1" applyFill="1" applyBorder="1" applyAlignment="1">
      <alignment horizontal="right" vertical="top" wrapText="1"/>
    </xf>
    <xf numFmtId="0" fontId="7" fillId="3" borderId="58" xfId="0" applyFont="1" applyFill="1" applyBorder="1" applyAlignment="1">
      <alignment horizontal="right" vertical="top" wrapText="1"/>
    </xf>
    <xf numFmtId="0" fontId="9" fillId="0" borderId="14" xfId="0" applyFont="1" applyFill="1" applyBorder="1" applyAlignment="1">
      <alignment horizontal="center" vertical="center"/>
    </xf>
    <xf numFmtId="0" fontId="10" fillId="0" borderId="14" xfId="0" applyFont="1" applyFill="1" applyBorder="1" applyAlignment="1">
      <alignment horizontal="center" vertical="center"/>
    </xf>
    <xf numFmtId="0" fontId="6" fillId="2" borderId="14" xfId="0" applyFont="1" applyFill="1" applyBorder="1" applyAlignment="1">
      <alignment vertical="top" wrapText="1"/>
    </xf>
    <xf numFmtId="0" fontId="37" fillId="0" borderId="0" xfId="0" applyFont="1" applyAlignment="1">
      <alignment vertical="top" wrapText="1"/>
    </xf>
    <xf numFmtId="0" fontId="28" fillId="0" borderId="0" xfId="0" applyFont="1" applyAlignment="1">
      <alignment vertical="top" wrapText="1"/>
    </xf>
    <xf numFmtId="0" fontId="1" fillId="5" borderId="14" xfId="0" applyFont="1" applyFill="1" applyBorder="1" applyAlignment="1">
      <alignment vertical="top"/>
    </xf>
    <xf numFmtId="0" fontId="0" fillId="5" borderId="14" xfId="0" applyFill="1" applyBorder="1" applyAlignment="1"/>
    <xf numFmtId="171" fontId="18" fillId="0" borderId="20" xfId="0" applyNumberFormat="1" applyFont="1" applyBorder="1" applyAlignment="1">
      <alignment horizontal="left" wrapText="1"/>
    </xf>
    <xf numFmtId="0" fontId="7" fillId="3" borderId="46" xfId="0" applyFont="1" applyFill="1" applyBorder="1" applyAlignment="1">
      <alignment horizontal="center" wrapText="1"/>
    </xf>
    <xf numFmtId="0" fontId="7" fillId="3" borderId="16" xfId="0" applyFont="1" applyFill="1" applyBorder="1" applyAlignment="1">
      <alignment horizontal="center" wrapText="1"/>
    </xf>
    <xf numFmtId="0" fontId="1" fillId="5" borderId="1" xfId="0" applyFont="1" applyFill="1" applyBorder="1" applyAlignment="1">
      <alignment horizontal="center" vertical="top" wrapText="1"/>
    </xf>
    <xf numFmtId="0" fontId="1" fillId="5" borderId="28" xfId="0" applyFont="1" applyFill="1" applyBorder="1" applyAlignment="1">
      <alignment horizontal="center" vertical="top" wrapText="1"/>
    </xf>
    <xf numFmtId="0" fontId="7" fillId="3" borderId="30" xfId="0" applyFont="1" applyFill="1" applyBorder="1" applyAlignment="1">
      <alignment horizontal="center" vertical="top" wrapText="1"/>
    </xf>
    <xf numFmtId="0" fontId="14" fillId="5" borderId="2" xfId="0" applyFont="1" applyFill="1"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7" fillId="2" borderId="0" xfId="0" applyFont="1" applyFill="1" applyAlignment="1">
      <alignment vertical="top" wrapText="1"/>
    </xf>
    <xf numFmtId="0" fontId="0" fillId="0" borderId="0" xfId="0" applyAlignment="1">
      <alignment vertical="top" wrapText="1"/>
    </xf>
    <xf numFmtId="0" fontId="9" fillId="0" borderId="51" xfId="0" applyFont="1" applyBorder="1" applyAlignment="1"/>
    <xf numFmtId="0" fontId="0" fillId="0" borderId="75" xfId="0" applyBorder="1" applyAlignment="1"/>
    <xf numFmtId="0" fontId="0" fillId="0" borderId="47" xfId="0" applyBorder="1" applyAlignment="1"/>
    <xf numFmtId="0" fontId="9" fillId="0" borderId="53" xfId="0" applyFont="1" applyBorder="1" applyAlignment="1"/>
    <xf numFmtId="0" fontId="0" fillId="0" borderId="71" xfId="0" applyBorder="1" applyAlignment="1"/>
    <xf numFmtId="0" fontId="9" fillId="0" borderId="54" xfId="0" applyFont="1" applyBorder="1" applyAlignment="1"/>
    <xf numFmtId="0" fontId="0" fillId="0" borderId="74" xfId="0" applyBorder="1" applyAlignment="1"/>
    <xf numFmtId="0" fontId="6" fillId="0" borderId="14" xfId="0" applyFont="1" applyBorder="1" applyAlignment="1">
      <alignment wrapText="1"/>
    </xf>
    <xf numFmtId="0" fontId="0" fillId="0" borderId="28" xfId="0" applyBorder="1" applyAlignment="1"/>
    <xf numFmtId="171" fontId="18" fillId="0" borderId="48" xfId="0" applyNumberFormat="1" applyFont="1" applyBorder="1" applyAlignment="1">
      <alignment horizontal="left" wrapText="1"/>
    </xf>
    <xf numFmtId="0" fontId="0" fillId="0" borderId="48" xfId="0" applyBorder="1" applyAlignment="1">
      <alignment wrapText="1"/>
    </xf>
    <xf numFmtId="165" fontId="18" fillId="0" borderId="49" xfId="0" applyNumberFormat="1" applyFont="1" applyBorder="1" applyAlignment="1">
      <alignment horizontal="left" wrapText="1"/>
    </xf>
    <xf numFmtId="0" fontId="0" fillId="0" borderId="25" xfId="0" applyBorder="1" applyAlignment="1">
      <alignment wrapText="1"/>
    </xf>
    <xf numFmtId="0" fontId="7" fillId="3" borderId="5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1"/>
  <sheetViews>
    <sheetView tabSelected="1" workbookViewId="0">
      <selection activeCell="D37" sqref="D37"/>
    </sheetView>
  </sheetViews>
  <sheetFormatPr defaultRowHeight="12.5" x14ac:dyDescent="0.25"/>
  <cols>
    <col min="1" max="1" width="3" customWidth="1"/>
    <col min="2" max="2" width="3.54296875" customWidth="1"/>
    <col min="3" max="3" width="33.7265625" customWidth="1"/>
    <col min="4" max="4" width="13.453125" customWidth="1"/>
    <col min="5" max="7" width="5.1796875" customWidth="1"/>
    <col min="8" max="8" width="7.54296875" customWidth="1"/>
    <col min="9" max="9" width="6.81640625" customWidth="1"/>
    <col min="10" max="10" width="11.26953125" customWidth="1"/>
    <col min="11" max="11" width="10.54296875" customWidth="1"/>
    <col min="12" max="12" width="14.1796875" customWidth="1"/>
    <col min="13" max="13" width="20.54296875" customWidth="1"/>
    <col min="14" max="14" width="4.54296875" customWidth="1"/>
  </cols>
  <sheetData>
    <row r="1" spans="1:14" ht="9.75" customHeight="1" thickBot="1" x14ac:dyDescent="0.3">
      <c r="A1" s="2"/>
      <c r="B1" s="2"/>
      <c r="C1" s="2"/>
      <c r="D1" s="2"/>
      <c r="E1" s="2"/>
      <c r="F1" s="2"/>
      <c r="G1" s="2"/>
      <c r="H1" s="2"/>
      <c r="I1" s="2"/>
      <c r="J1" s="2"/>
      <c r="K1" s="2"/>
      <c r="L1" s="2"/>
      <c r="M1" s="2"/>
      <c r="N1" s="2"/>
    </row>
    <row r="2" spans="1:14" ht="11.25" customHeight="1" x14ac:dyDescent="0.35">
      <c r="A2" s="2"/>
      <c r="B2" s="59"/>
      <c r="C2" s="60"/>
      <c r="D2" s="61"/>
      <c r="E2" s="61"/>
      <c r="F2" s="61"/>
      <c r="G2" s="61"/>
      <c r="H2" s="61"/>
      <c r="I2" s="61"/>
      <c r="J2" s="61"/>
      <c r="K2" s="61"/>
      <c r="L2" s="61"/>
      <c r="M2" s="56"/>
      <c r="N2" s="2"/>
    </row>
    <row r="3" spans="1:14" ht="17.5" x14ac:dyDescent="0.35">
      <c r="A3" s="2"/>
      <c r="B3" s="47"/>
      <c r="C3" s="184" t="s">
        <v>0</v>
      </c>
      <c r="D3" s="164"/>
      <c r="E3" s="164"/>
      <c r="F3" s="164"/>
      <c r="G3" s="164"/>
      <c r="H3" s="164"/>
      <c r="I3" s="164"/>
      <c r="J3" s="164"/>
      <c r="K3" s="164"/>
      <c r="L3" s="164"/>
      <c r="M3" s="57"/>
      <c r="N3" s="2"/>
    </row>
    <row r="4" spans="1:14" ht="17.5" x14ac:dyDescent="0.35">
      <c r="A4" s="2"/>
      <c r="B4" s="47"/>
      <c r="C4" s="184" t="s">
        <v>1</v>
      </c>
      <c r="D4" s="185"/>
      <c r="E4" s="185"/>
      <c r="F4" s="185"/>
      <c r="G4" s="185"/>
      <c r="H4" s="185"/>
      <c r="I4" s="185"/>
      <c r="J4" s="185"/>
      <c r="K4" s="185"/>
      <c r="L4" s="185"/>
      <c r="M4" s="50"/>
      <c r="N4" s="2"/>
    </row>
    <row r="5" spans="1:14" ht="9.75" customHeight="1" x14ac:dyDescent="0.3">
      <c r="A5" s="2"/>
      <c r="B5" s="47"/>
      <c r="C5" s="62"/>
      <c r="D5" s="48"/>
      <c r="E5" s="48"/>
      <c r="F5" s="48"/>
      <c r="G5" s="48"/>
      <c r="H5" s="48"/>
      <c r="I5" s="48"/>
      <c r="J5" s="48"/>
      <c r="K5" s="48"/>
      <c r="L5" s="48"/>
      <c r="M5" s="50"/>
      <c r="N5" s="2"/>
    </row>
    <row r="6" spans="1:14" ht="18.75" customHeight="1" x14ac:dyDescent="0.25">
      <c r="A6" s="2"/>
      <c r="B6" s="47"/>
      <c r="C6" s="186" t="s">
        <v>77</v>
      </c>
      <c r="D6" s="187"/>
      <c r="E6" s="187"/>
      <c r="F6" s="187"/>
      <c r="G6" s="187"/>
      <c r="H6" s="187"/>
      <c r="I6" s="187"/>
      <c r="J6" s="187"/>
      <c r="K6" s="187"/>
      <c r="L6" s="187"/>
      <c r="M6" s="50"/>
      <c r="N6" s="2"/>
    </row>
    <row r="7" spans="1:14" ht="18.75" customHeight="1" x14ac:dyDescent="0.25">
      <c r="A7" s="2"/>
      <c r="B7" s="47"/>
      <c r="C7" s="188" t="s">
        <v>81</v>
      </c>
      <c r="D7" s="189"/>
      <c r="E7" s="189"/>
      <c r="F7" s="189"/>
      <c r="G7" s="189"/>
      <c r="H7" s="189"/>
      <c r="I7" s="189"/>
      <c r="J7" s="189"/>
      <c r="K7" s="189"/>
      <c r="L7" s="189"/>
      <c r="M7" s="50"/>
      <c r="N7" s="2"/>
    </row>
    <row r="8" spans="1:14" ht="88.5" customHeight="1" x14ac:dyDescent="0.25">
      <c r="A8" s="2"/>
      <c r="B8" s="47"/>
      <c r="C8" s="195" t="s">
        <v>87</v>
      </c>
      <c r="D8" s="196"/>
      <c r="E8" s="196"/>
      <c r="F8" s="196"/>
      <c r="G8" s="196"/>
      <c r="H8" s="196"/>
      <c r="I8" s="196"/>
      <c r="J8" s="196"/>
      <c r="K8" s="196"/>
      <c r="L8" s="196"/>
      <c r="M8" s="50"/>
      <c r="N8" s="2"/>
    </row>
    <row r="9" spans="1:14" ht="36.75" customHeight="1" x14ac:dyDescent="0.25">
      <c r="A9" s="2"/>
      <c r="B9" s="47"/>
      <c r="C9" s="208" t="s">
        <v>89</v>
      </c>
      <c r="D9" s="209"/>
      <c r="E9" s="209"/>
      <c r="F9" s="209"/>
      <c r="G9" s="209"/>
      <c r="H9" s="209"/>
      <c r="I9" s="209"/>
      <c r="J9" s="209"/>
      <c r="K9" s="209"/>
      <c r="L9" s="209"/>
      <c r="M9" s="50"/>
      <c r="N9" s="2"/>
    </row>
    <row r="10" spans="1:14" ht="6" customHeight="1" x14ac:dyDescent="0.25">
      <c r="A10" s="2"/>
      <c r="B10" s="47"/>
      <c r="C10" s="2"/>
      <c r="D10" s="2"/>
      <c r="E10" s="2"/>
      <c r="F10" s="2"/>
      <c r="G10" s="2"/>
      <c r="H10" s="2"/>
      <c r="I10" s="2"/>
      <c r="J10" s="2"/>
      <c r="K10" s="2"/>
      <c r="L10" s="2"/>
      <c r="M10" s="50"/>
      <c r="N10" s="2"/>
    </row>
    <row r="11" spans="1:14" ht="14.25" customHeight="1" thickBot="1" x14ac:dyDescent="0.3">
      <c r="A11" s="2"/>
      <c r="B11" s="47"/>
      <c r="C11" s="192" t="s">
        <v>86</v>
      </c>
      <c r="D11" s="193"/>
      <c r="E11" s="193"/>
      <c r="F11" s="193"/>
      <c r="G11" s="193"/>
      <c r="H11" s="193"/>
      <c r="I11" s="193"/>
      <c r="J11" s="193"/>
      <c r="K11" s="193"/>
      <c r="L11" s="193"/>
      <c r="M11" s="50"/>
      <c r="N11" s="2"/>
    </row>
    <row r="12" spans="1:14" ht="19.5" customHeight="1" thickBot="1" x14ac:dyDescent="0.3">
      <c r="A12" s="2"/>
      <c r="B12" s="47"/>
      <c r="C12" s="205" t="s">
        <v>85</v>
      </c>
      <c r="D12" s="206"/>
      <c r="E12" s="206"/>
      <c r="F12" s="207"/>
      <c r="G12" s="23"/>
      <c r="H12" s="24"/>
      <c r="I12" s="23"/>
      <c r="J12" s="23"/>
      <c r="K12" s="118" t="s">
        <v>83</v>
      </c>
      <c r="L12" s="80"/>
      <c r="M12" s="50"/>
      <c r="N12" s="2"/>
    </row>
    <row r="13" spans="1:14" ht="15" customHeight="1" thickTop="1" thickBot="1" x14ac:dyDescent="0.35">
      <c r="A13" s="2"/>
      <c r="B13" s="47"/>
      <c r="C13" s="82"/>
      <c r="D13" s="27"/>
      <c r="E13" s="27"/>
      <c r="F13" s="92"/>
      <c r="G13" s="82"/>
      <c r="H13" s="75"/>
      <c r="I13" s="23"/>
      <c r="J13" s="25" t="s">
        <v>27</v>
      </c>
      <c r="K13" s="99">
        <v>2</v>
      </c>
      <c r="L13" s="202" t="s">
        <v>63</v>
      </c>
      <c r="M13" s="50"/>
      <c r="N13" s="2"/>
    </row>
    <row r="14" spans="1:14" ht="14.25" customHeight="1" thickTop="1" thickBot="1" x14ac:dyDescent="0.35">
      <c r="A14" s="2"/>
      <c r="B14" s="47"/>
      <c r="C14" s="81" t="s">
        <v>32</v>
      </c>
      <c r="D14" s="98">
        <v>5</v>
      </c>
      <c r="E14" s="27"/>
      <c r="F14" s="93"/>
      <c r="G14" s="115"/>
      <c r="H14" s="75"/>
      <c r="I14" s="23"/>
      <c r="J14" s="25" t="s">
        <v>28</v>
      </c>
      <c r="K14" s="100">
        <v>1</v>
      </c>
      <c r="L14" s="202"/>
      <c r="M14" s="50"/>
      <c r="N14" s="2"/>
    </row>
    <row r="15" spans="1:14" ht="13.5" customHeight="1" thickTop="1" thickBot="1" x14ac:dyDescent="0.35">
      <c r="A15" s="2"/>
      <c r="B15" s="47"/>
      <c r="C15" s="104" t="s">
        <v>33</v>
      </c>
      <c r="D15" s="112">
        <v>48</v>
      </c>
      <c r="E15" s="113" t="s">
        <v>34</v>
      </c>
      <c r="F15" s="94"/>
      <c r="G15" s="116"/>
      <c r="H15" s="75"/>
      <c r="I15" s="23"/>
      <c r="J15" s="25" t="s">
        <v>29</v>
      </c>
      <c r="K15" s="101">
        <v>3</v>
      </c>
      <c r="L15" s="202"/>
      <c r="M15" s="50"/>
      <c r="N15" s="2"/>
    </row>
    <row r="16" spans="1:14" ht="14.25" customHeight="1" thickTop="1" thickBot="1" x14ac:dyDescent="0.35">
      <c r="A16" s="2"/>
      <c r="B16" s="47"/>
      <c r="C16" s="81" t="s">
        <v>35</v>
      </c>
      <c r="D16" s="111">
        <f>D14*D15</f>
        <v>240</v>
      </c>
      <c r="E16" s="75"/>
      <c r="F16" s="94"/>
      <c r="G16" s="116"/>
      <c r="H16" s="75"/>
      <c r="I16" s="27"/>
      <c r="J16" s="39" t="s">
        <v>46</v>
      </c>
      <c r="K16" s="102">
        <v>1</v>
      </c>
      <c r="L16" s="202"/>
      <c r="M16" s="50"/>
      <c r="N16" s="2"/>
    </row>
    <row r="17" spans="1:14" ht="15" customHeight="1" thickTop="1" thickBot="1" x14ac:dyDescent="0.35">
      <c r="A17" s="2"/>
      <c r="B17" s="47"/>
      <c r="C17" s="82"/>
      <c r="D17" s="27"/>
      <c r="E17" s="75"/>
      <c r="F17" s="94"/>
      <c r="G17" s="116"/>
      <c r="H17" s="75"/>
      <c r="I17" s="27"/>
      <c r="J17" s="39" t="s">
        <v>70</v>
      </c>
      <c r="K17" s="103">
        <v>5</v>
      </c>
      <c r="L17" s="202"/>
      <c r="M17" s="50"/>
      <c r="N17" s="2"/>
    </row>
    <row r="18" spans="1:14" ht="13.5" customHeight="1" thickTop="1" thickBot="1" x14ac:dyDescent="0.35">
      <c r="A18" s="2"/>
      <c r="B18" s="47"/>
      <c r="C18" s="114"/>
      <c r="D18" s="107"/>
      <c r="E18" s="95"/>
      <c r="F18" s="96"/>
      <c r="G18" s="117"/>
      <c r="H18" s="197" t="s">
        <v>80</v>
      </c>
      <c r="I18" s="198"/>
      <c r="J18" s="198"/>
      <c r="K18" s="198"/>
      <c r="L18" s="203"/>
      <c r="M18" s="50"/>
      <c r="N18" s="2"/>
    </row>
    <row r="19" spans="1:14" ht="17.25" customHeight="1" thickBot="1" x14ac:dyDescent="0.35">
      <c r="A19" s="2"/>
      <c r="B19" s="47"/>
      <c r="C19" s="81"/>
      <c r="D19" s="26"/>
      <c r="E19" s="75"/>
      <c r="F19" s="75"/>
      <c r="G19" s="28" t="s">
        <v>84</v>
      </c>
      <c r="H19" s="97"/>
      <c r="I19" s="75"/>
      <c r="J19" s="75"/>
      <c r="K19" s="75"/>
      <c r="L19" s="89"/>
      <c r="M19" s="50"/>
      <c r="N19" s="2"/>
    </row>
    <row r="20" spans="1:14" ht="17.25" customHeight="1" thickTop="1" thickBot="1" x14ac:dyDescent="0.35">
      <c r="A20" s="2"/>
      <c r="B20" s="47"/>
      <c r="C20" s="83" t="s">
        <v>79</v>
      </c>
      <c r="D20" s="98">
        <v>20</v>
      </c>
      <c r="E20" s="28" t="s">
        <v>34</v>
      </c>
      <c r="F20" s="34">
        <f>$D$16</f>
        <v>240</v>
      </c>
      <c r="G20" s="34"/>
      <c r="H20" s="33" t="s">
        <v>36</v>
      </c>
      <c r="I20" s="31">
        <f>D20*F20</f>
        <v>4800</v>
      </c>
      <c r="J20" s="27" t="s">
        <v>37</v>
      </c>
      <c r="K20" s="23"/>
      <c r="L20" s="80"/>
      <c r="M20" s="50"/>
      <c r="N20" s="2"/>
    </row>
    <row r="21" spans="1:14" ht="15.75" customHeight="1" thickTop="1" thickBot="1" x14ac:dyDescent="0.35">
      <c r="A21" s="2"/>
      <c r="B21" s="47"/>
      <c r="C21" s="84" t="s">
        <v>78</v>
      </c>
      <c r="D21" s="98">
        <v>5</v>
      </c>
      <c r="E21" s="28" t="s">
        <v>34</v>
      </c>
      <c r="F21" s="34">
        <f>$D$16</f>
        <v>240</v>
      </c>
      <c r="G21" s="34"/>
      <c r="H21" s="33" t="s">
        <v>36</v>
      </c>
      <c r="I21" s="32">
        <f>D21*F21</f>
        <v>1200</v>
      </c>
      <c r="J21" s="30" t="s">
        <v>38</v>
      </c>
      <c r="K21" s="29"/>
      <c r="L21" s="85" t="s">
        <v>40</v>
      </c>
      <c r="M21" s="50"/>
      <c r="N21" s="2"/>
    </row>
    <row r="22" spans="1:14" ht="15" customHeight="1" thickTop="1" thickBot="1" x14ac:dyDescent="0.35">
      <c r="A22" s="2"/>
      <c r="B22" s="47"/>
      <c r="C22" s="105"/>
      <c r="D22" s="106"/>
      <c r="E22" s="107"/>
      <c r="F22" s="107"/>
      <c r="G22" s="107"/>
      <c r="H22" s="108"/>
      <c r="I22" s="109">
        <f>I20-I21</f>
        <v>3600</v>
      </c>
      <c r="J22" s="110" t="s">
        <v>39</v>
      </c>
      <c r="K22" s="86"/>
      <c r="L22" s="87"/>
      <c r="M22" s="50"/>
      <c r="N22" s="2"/>
    </row>
    <row r="23" spans="1:14" ht="19.5" customHeight="1" x14ac:dyDescent="0.25">
      <c r="A23" s="2"/>
      <c r="B23" s="47"/>
      <c r="C23" s="58"/>
      <c r="D23" s="58"/>
      <c r="E23" s="58"/>
      <c r="F23" s="58"/>
      <c r="G23" s="58"/>
      <c r="H23" s="58"/>
      <c r="I23" s="58"/>
      <c r="J23" s="58"/>
      <c r="K23" s="58"/>
      <c r="L23" s="58"/>
      <c r="M23" s="50"/>
      <c r="N23" s="2"/>
    </row>
    <row r="24" spans="1:14" ht="18.5" thickBot="1" x14ac:dyDescent="0.3">
      <c r="A24" s="2"/>
      <c r="B24" s="47"/>
      <c r="C24" s="194" t="s">
        <v>54</v>
      </c>
      <c r="D24" s="194"/>
      <c r="E24" s="194"/>
      <c r="F24" s="194"/>
      <c r="G24" s="194"/>
      <c r="H24" s="194"/>
      <c r="I24" s="194"/>
      <c r="J24" s="194"/>
      <c r="K24" s="194"/>
      <c r="L24" s="194"/>
      <c r="M24" s="50"/>
      <c r="N24" s="2"/>
    </row>
    <row r="25" spans="1:14" ht="15" customHeight="1" thickBot="1" x14ac:dyDescent="0.35">
      <c r="A25" s="2"/>
      <c r="B25" s="47"/>
      <c r="C25" s="3"/>
      <c r="D25" s="66" t="s">
        <v>2</v>
      </c>
      <c r="E25" s="200" t="s">
        <v>45</v>
      </c>
      <c r="F25" s="201"/>
      <c r="G25" s="201"/>
      <c r="H25" s="171"/>
      <c r="I25" s="204" t="s">
        <v>3</v>
      </c>
      <c r="J25" s="171"/>
      <c r="K25" s="22" t="s">
        <v>82</v>
      </c>
      <c r="L25" s="38" t="s">
        <v>4</v>
      </c>
      <c r="M25" s="50"/>
      <c r="N25" s="2"/>
    </row>
    <row r="26" spans="1:14" ht="16.5" customHeight="1" thickTop="1" thickBot="1" x14ac:dyDescent="0.35">
      <c r="A26" s="2"/>
      <c r="B26" s="47"/>
      <c r="C26" s="119" t="s">
        <v>30</v>
      </c>
      <c r="D26" s="140">
        <v>2</v>
      </c>
      <c r="E26" s="199" t="s">
        <v>41</v>
      </c>
      <c r="F26" s="199"/>
      <c r="G26" s="199"/>
      <c r="H26" s="183"/>
      <c r="I26" s="35">
        <f>I21</f>
        <v>1200</v>
      </c>
      <c r="J26" s="41" t="s">
        <v>49</v>
      </c>
      <c r="K26" s="37">
        <f>$K$13</f>
        <v>2</v>
      </c>
      <c r="L26" s="7">
        <f t="shared" ref="L26:L32" si="0">D26*I26*K26</f>
        <v>4800</v>
      </c>
      <c r="M26" s="50"/>
      <c r="N26" s="2"/>
    </row>
    <row r="27" spans="1:14" ht="16.5" customHeight="1" thickTop="1" thickBot="1" x14ac:dyDescent="0.35">
      <c r="A27" s="2"/>
      <c r="B27" s="47"/>
      <c r="C27" s="119" t="s">
        <v>31</v>
      </c>
      <c r="D27" s="140">
        <v>0.75</v>
      </c>
      <c r="E27" s="180" t="s">
        <v>42</v>
      </c>
      <c r="F27" s="180"/>
      <c r="G27" s="180"/>
      <c r="H27" s="181"/>
      <c r="I27" s="36">
        <f>I22</f>
        <v>3600</v>
      </c>
      <c r="J27" s="41" t="s">
        <v>50</v>
      </c>
      <c r="K27" s="37">
        <f>$K$13</f>
        <v>2</v>
      </c>
      <c r="L27" s="7">
        <f t="shared" si="0"/>
        <v>5400</v>
      </c>
      <c r="M27" s="50"/>
      <c r="N27" s="2"/>
    </row>
    <row r="28" spans="1:14" ht="15.75" customHeight="1" thickTop="1" thickBot="1" x14ac:dyDescent="0.35">
      <c r="A28" s="2"/>
      <c r="B28" s="47"/>
      <c r="C28" s="120" t="s">
        <v>13</v>
      </c>
      <c r="D28" s="140">
        <v>15</v>
      </c>
      <c r="E28" s="180" t="s">
        <v>25</v>
      </c>
      <c r="F28" s="180"/>
      <c r="G28" s="180"/>
      <c r="H28" s="181"/>
      <c r="I28" s="122">
        <f>$D$16</f>
        <v>240</v>
      </c>
      <c r="J28" s="42" t="s">
        <v>51</v>
      </c>
      <c r="K28" s="37">
        <f>$K$13</f>
        <v>2</v>
      </c>
      <c r="L28" s="7">
        <f t="shared" si="0"/>
        <v>7200</v>
      </c>
      <c r="M28" s="50"/>
      <c r="N28" s="2"/>
    </row>
    <row r="29" spans="1:14" ht="16.5" customHeight="1" thickTop="1" thickBot="1" x14ac:dyDescent="0.35">
      <c r="A29" s="2"/>
      <c r="B29" s="47"/>
      <c r="C29" s="120" t="s">
        <v>43</v>
      </c>
      <c r="D29" s="140">
        <v>20</v>
      </c>
      <c r="E29" s="180" t="s">
        <v>14</v>
      </c>
      <c r="F29" s="180"/>
      <c r="G29" s="180"/>
      <c r="H29" s="169"/>
      <c r="I29" s="141">
        <v>100</v>
      </c>
      <c r="J29" s="42" t="s">
        <v>22</v>
      </c>
      <c r="K29" s="40">
        <f>$K$16</f>
        <v>1</v>
      </c>
      <c r="L29" s="7">
        <f t="shared" si="0"/>
        <v>2000</v>
      </c>
      <c r="M29" s="50"/>
      <c r="N29" s="2"/>
    </row>
    <row r="30" spans="1:14" ht="16.5" customHeight="1" thickTop="1" thickBot="1" x14ac:dyDescent="0.35">
      <c r="A30" s="2"/>
      <c r="B30" s="47"/>
      <c r="C30" s="120" t="s">
        <v>44</v>
      </c>
      <c r="D30" s="140">
        <v>20</v>
      </c>
      <c r="E30" s="180" t="s">
        <v>14</v>
      </c>
      <c r="F30" s="180"/>
      <c r="G30" s="180"/>
      <c r="H30" s="169"/>
      <c r="I30" s="141">
        <v>25</v>
      </c>
      <c r="J30" s="42" t="s">
        <v>22</v>
      </c>
      <c r="K30" s="40">
        <f>$K$16</f>
        <v>1</v>
      </c>
      <c r="L30" s="7">
        <f t="shared" si="0"/>
        <v>500</v>
      </c>
      <c r="M30" s="50"/>
      <c r="N30" s="2"/>
    </row>
    <row r="31" spans="1:14" ht="16.5" customHeight="1" thickTop="1" thickBot="1" x14ac:dyDescent="0.35">
      <c r="A31" s="2"/>
      <c r="B31" s="47"/>
      <c r="C31" s="120" t="s">
        <v>15</v>
      </c>
      <c r="D31" s="140">
        <v>10000</v>
      </c>
      <c r="E31" s="180" t="s">
        <v>23</v>
      </c>
      <c r="F31" s="180"/>
      <c r="G31" s="180"/>
      <c r="H31" s="169"/>
      <c r="I31" s="142">
        <v>0.7</v>
      </c>
      <c r="J31" s="42" t="s">
        <v>18</v>
      </c>
      <c r="K31" s="37">
        <f>$K$13</f>
        <v>2</v>
      </c>
      <c r="L31" s="7">
        <f t="shared" si="0"/>
        <v>14000</v>
      </c>
      <c r="M31" s="50"/>
      <c r="N31" s="2"/>
    </row>
    <row r="32" spans="1:14" ht="17.25" customHeight="1" thickTop="1" thickBot="1" x14ac:dyDescent="0.35">
      <c r="A32" s="2"/>
      <c r="B32" s="47"/>
      <c r="C32" s="121" t="s">
        <v>16</v>
      </c>
      <c r="D32" s="140">
        <v>20000</v>
      </c>
      <c r="E32" s="219" t="s">
        <v>17</v>
      </c>
      <c r="F32" s="219"/>
      <c r="G32" s="219"/>
      <c r="H32" s="220"/>
      <c r="I32" s="142">
        <v>0.25</v>
      </c>
      <c r="J32" s="43" t="s">
        <v>18</v>
      </c>
      <c r="K32" s="37">
        <f>$K$13</f>
        <v>2</v>
      </c>
      <c r="L32" s="8">
        <f t="shared" si="0"/>
        <v>10000</v>
      </c>
      <c r="M32" s="50"/>
      <c r="N32" s="2"/>
    </row>
    <row r="33" spans="1:14" ht="15" thickTop="1" thickBot="1" x14ac:dyDescent="0.3">
      <c r="A33" s="2"/>
      <c r="B33" s="47"/>
      <c r="C33" s="5" t="s">
        <v>5</v>
      </c>
      <c r="D33" s="223"/>
      <c r="E33" s="223"/>
      <c r="F33" s="223"/>
      <c r="G33" s="223"/>
      <c r="H33" s="223"/>
      <c r="I33" s="190"/>
      <c r="J33" s="191"/>
      <c r="K33" s="20" t="s">
        <v>11</v>
      </c>
      <c r="L33" s="6">
        <f>SUM(L26:L32)</f>
        <v>43900</v>
      </c>
      <c r="M33" s="50"/>
      <c r="N33" s="2"/>
    </row>
    <row r="34" spans="1:14" ht="11.25" customHeight="1" x14ac:dyDescent="0.25">
      <c r="A34" s="2"/>
      <c r="B34" s="47"/>
      <c r="C34" s="63"/>
      <c r="D34" s="63"/>
      <c r="E34" s="63"/>
      <c r="F34" s="63"/>
      <c r="G34" s="63"/>
      <c r="H34" s="63"/>
      <c r="I34" s="63"/>
      <c r="J34" s="63"/>
      <c r="K34" s="63"/>
      <c r="L34" s="63"/>
      <c r="M34" s="50"/>
      <c r="N34" s="2"/>
    </row>
    <row r="35" spans="1:14" ht="18.5" thickBot="1" x14ac:dyDescent="0.3">
      <c r="A35" s="2"/>
      <c r="B35" s="47"/>
      <c r="C35" s="194" t="s">
        <v>55</v>
      </c>
      <c r="D35" s="194"/>
      <c r="E35" s="194"/>
      <c r="F35" s="194"/>
      <c r="G35" s="194"/>
      <c r="H35" s="194"/>
      <c r="I35" s="194"/>
      <c r="J35" s="194"/>
      <c r="K35" s="194"/>
      <c r="L35" s="194"/>
      <c r="M35" s="50"/>
      <c r="N35" s="2"/>
    </row>
    <row r="36" spans="1:14" ht="15.75" customHeight="1" thickBot="1" x14ac:dyDescent="0.3">
      <c r="A36" s="2"/>
      <c r="B36" s="47"/>
      <c r="C36" s="3"/>
      <c r="D36" s="165" t="s">
        <v>6</v>
      </c>
      <c r="E36" s="166"/>
      <c r="F36" s="166"/>
      <c r="G36" s="166"/>
      <c r="H36" s="167"/>
      <c r="I36" s="170" t="s">
        <v>3</v>
      </c>
      <c r="J36" s="171"/>
      <c r="K36" s="73" t="s">
        <v>82</v>
      </c>
      <c r="L36" s="4" t="s">
        <v>4</v>
      </c>
      <c r="M36" s="50"/>
      <c r="N36" s="2"/>
    </row>
    <row r="37" spans="1:14" ht="17.25" customHeight="1" thickTop="1" thickBot="1" x14ac:dyDescent="0.35">
      <c r="A37" s="2"/>
      <c r="B37" s="47"/>
      <c r="C37" s="119" t="s">
        <v>7</v>
      </c>
      <c r="D37" s="143">
        <v>10</v>
      </c>
      <c r="E37" s="182" t="s">
        <v>47</v>
      </c>
      <c r="F37" s="182"/>
      <c r="G37" s="182"/>
      <c r="H37" s="183"/>
      <c r="I37" s="122">
        <f>$D$16</f>
        <v>240</v>
      </c>
      <c r="J37" s="44" t="s">
        <v>20</v>
      </c>
      <c r="K37" s="37">
        <f>$K$13</f>
        <v>2</v>
      </c>
      <c r="L37" s="7">
        <f>D37*I37*K37</f>
        <v>4800</v>
      </c>
      <c r="M37" s="50"/>
      <c r="N37" s="2"/>
    </row>
    <row r="38" spans="1:14" ht="16.5" customHeight="1" thickTop="1" thickBot="1" x14ac:dyDescent="0.35">
      <c r="A38" s="2"/>
      <c r="B38" s="47"/>
      <c r="C38" s="120" t="s">
        <v>8</v>
      </c>
      <c r="D38" s="143">
        <v>40</v>
      </c>
      <c r="E38" s="168" t="s">
        <v>48</v>
      </c>
      <c r="F38" s="168"/>
      <c r="G38" s="168"/>
      <c r="H38" s="169"/>
      <c r="I38" s="141">
        <v>24</v>
      </c>
      <c r="J38" s="45" t="s">
        <v>19</v>
      </c>
      <c r="K38" s="37">
        <f>$K$13</f>
        <v>2</v>
      </c>
      <c r="L38" s="7">
        <f>D38*I38*K38</f>
        <v>1920</v>
      </c>
      <c r="M38" s="50"/>
      <c r="N38" s="2"/>
    </row>
    <row r="39" spans="1:14" ht="15.75" customHeight="1" thickTop="1" thickBot="1" x14ac:dyDescent="0.35">
      <c r="A39" s="2"/>
      <c r="B39" s="47"/>
      <c r="C39" s="120" t="s">
        <v>90</v>
      </c>
      <c r="D39" s="143">
        <v>40</v>
      </c>
      <c r="E39" s="168" t="s">
        <v>91</v>
      </c>
      <c r="F39" s="168"/>
      <c r="G39" s="168"/>
      <c r="H39" s="181"/>
      <c r="I39" s="146">
        <f>$D$16</f>
        <v>240</v>
      </c>
      <c r="J39" s="45" t="s">
        <v>20</v>
      </c>
      <c r="K39" s="37">
        <f>$K$13</f>
        <v>2</v>
      </c>
      <c r="L39" s="7">
        <f>D39*I39*K39</f>
        <v>19200</v>
      </c>
      <c r="M39" s="50"/>
      <c r="N39" s="2"/>
    </row>
    <row r="40" spans="1:14" ht="17.25" customHeight="1" thickTop="1" thickBot="1" x14ac:dyDescent="0.35">
      <c r="A40" s="2"/>
      <c r="B40" s="47"/>
      <c r="C40" s="123" t="s">
        <v>9</v>
      </c>
      <c r="D40" s="143">
        <v>100</v>
      </c>
      <c r="E40" s="221" t="s">
        <v>24</v>
      </c>
      <c r="F40" s="221"/>
      <c r="G40" s="221"/>
      <c r="H40" s="222"/>
      <c r="I40" s="21">
        <v>12</v>
      </c>
      <c r="J40" s="46" t="s">
        <v>21</v>
      </c>
      <c r="K40" s="37">
        <f>$K$13</f>
        <v>2</v>
      </c>
      <c r="L40" s="7">
        <f>D40*I40</f>
        <v>1200</v>
      </c>
      <c r="M40" s="50"/>
      <c r="N40" s="2"/>
    </row>
    <row r="41" spans="1:14" ht="13.5" customHeight="1" thickTop="1" thickBot="1" x14ac:dyDescent="0.3">
      <c r="A41" s="2"/>
      <c r="B41" s="47"/>
      <c r="C41" s="5" t="s">
        <v>5</v>
      </c>
      <c r="D41" s="223"/>
      <c r="E41" s="223"/>
      <c r="F41" s="223"/>
      <c r="G41" s="223"/>
      <c r="H41" s="223"/>
      <c r="I41" s="148"/>
      <c r="J41" s="149"/>
      <c r="K41" s="20" t="s">
        <v>11</v>
      </c>
      <c r="L41" s="6">
        <f>SUM(L37:L40)</f>
        <v>27120</v>
      </c>
      <c r="M41" s="50"/>
      <c r="N41" s="2"/>
    </row>
    <row r="42" spans="1:14" ht="11.25" customHeight="1" thickBot="1" x14ac:dyDescent="0.35">
      <c r="A42" s="2"/>
      <c r="B42" s="47"/>
      <c r="C42" s="55"/>
      <c r="D42" s="55"/>
      <c r="E42" s="55"/>
      <c r="F42" s="55"/>
      <c r="G42" s="55"/>
      <c r="H42" s="55"/>
      <c r="I42" s="55"/>
      <c r="J42" s="55"/>
      <c r="K42" s="55"/>
      <c r="L42" s="55"/>
      <c r="M42" s="50"/>
      <c r="N42" s="2"/>
    </row>
    <row r="43" spans="1:14" ht="99" customHeight="1" thickBot="1" x14ac:dyDescent="0.3">
      <c r="B43" s="47"/>
      <c r="C43" s="217" t="s">
        <v>88</v>
      </c>
      <c r="D43" s="218"/>
      <c r="E43" s="124" t="s">
        <v>61</v>
      </c>
      <c r="F43" s="125" t="s">
        <v>71</v>
      </c>
      <c r="G43" s="125" t="s">
        <v>52</v>
      </c>
      <c r="H43" s="127" t="s">
        <v>53</v>
      </c>
      <c r="I43" s="78" t="s">
        <v>59</v>
      </c>
      <c r="J43" s="131" t="s">
        <v>60</v>
      </c>
      <c r="K43" s="90" t="s">
        <v>74</v>
      </c>
      <c r="L43" s="91" t="s">
        <v>10</v>
      </c>
      <c r="M43" s="1"/>
      <c r="N43" s="2"/>
    </row>
    <row r="44" spans="1:14" ht="16.5" customHeight="1" thickTop="1" thickBot="1" x14ac:dyDescent="0.35">
      <c r="A44" s="2"/>
      <c r="B44" s="47"/>
      <c r="C44" s="213" t="s">
        <v>26</v>
      </c>
      <c r="D44" s="214"/>
      <c r="E44" s="144">
        <v>10</v>
      </c>
      <c r="F44" s="144">
        <v>0</v>
      </c>
      <c r="G44" s="144">
        <v>2</v>
      </c>
      <c r="H44" s="144">
        <v>0</v>
      </c>
      <c r="I44" s="129">
        <f>SUM(E44:H44)</f>
        <v>12</v>
      </c>
      <c r="J44" s="145">
        <v>200</v>
      </c>
      <c r="K44" s="130">
        <f>$K$13</f>
        <v>2</v>
      </c>
      <c r="L44" s="79">
        <f>I44*J44*K44</f>
        <v>4800</v>
      </c>
      <c r="M44" s="50"/>
      <c r="N44" s="2"/>
    </row>
    <row r="45" spans="1:14" ht="14.25" customHeight="1" thickTop="1" thickBot="1" x14ac:dyDescent="0.35">
      <c r="A45" s="2"/>
      <c r="B45" s="47"/>
      <c r="C45" s="215" t="s">
        <v>56</v>
      </c>
      <c r="D45" s="216"/>
      <c r="E45" s="144">
        <v>40</v>
      </c>
      <c r="F45" s="144">
        <v>20</v>
      </c>
      <c r="G45" s="144">
        <v>2</v>
      </c>
      <c r="H45" s="144">
        <v>2</v>
      </c>
      <c r="I45" s="132">
        <f>SUM(E45:H45)</f>
        <v>64</v>
      </c>
      <c r="J45" s="145">
        <v>25</v>
      </c>
      <c r="K45" s="133">
        <f>$K$14</f>
        <v>1</v>
      </c>
      <c r="L45" s="9">
        <f>I45*J45*K45</f>
        <v>1600</v>
      </c>
      <c r="M45" s="50"/>
      <c r="N45" s="2"/>
    </row>
    <row r="46" spans="1:14" ht="14.25" customHeight="1" thickTop="1" thickBot="1" x14ac:dyDescent="0.35">
      <c r="A46" s="2"/>
      <c r="B46" s="47"/>
      <c r="C46" s="210" t="s">
        <v>57</v>
      </c>
      <c r="D46" s="211"/>
      <c r="E46" s="144">
        <v>0</v>
      </c>
      <c r="F46" s="144">
        <v>5</v>
      </c>
      <c r="G46" s="144">
        <v>10</v>
      </c>
      <c r="H46" s="144">
        <v>10</v>
      </c>
      <c r="I46" s="134">
        <f>SUM(E46:H46)</f>
        <v>25</v>
      </c>
      <c r="J46" s="145">
        <v>15</v>
      </c>
      <c r="K46" s="135">
        <f>$K$15</f>
        <v>3</v>
      </c>
      <c r="L46" s="9">
        <f>I46*J46*K46</f>
        <v>1125</v>
      </c>
      <c r="M46" s="50"/>
      <c r="N46" s="2"/>
    </row>
    <row r="47" spans="1:14" ht="15" thickTop="1" thickBot="1" x14ac:dyDescent="0.35">
      <c r="A47" s="2"/>
      <c r="B47" s="47"/>
      <c r="C47" s="10" t="s">
        <v>5</v>
      </c>
      <c r="D47" s="11"/>
      <c r="E47" s="126"/>
      <c r="F47" s="126"/>
      <c r="G47" s="126"/>
      <c r="H47" s="128"/>
      <c r="I47" s="12"/>
      <c r="J47" s="136"/>
      <c r="K47" s="74" t="s">
        <v>69</v>
      </c>
      <c r="L47" s="13">
        <f>SUM(L44:L46)</f>
        <v>7525</v>
      </c>
      <c r="M47" s="50"/>
      <c r="N47" s="2"/>
    </row>
    <row r="48" spans="1:14" ht="12.75" customHeight="1" x14ac:dyDescent="0.25">
      <c r="A48" s="2"/>
      <c r="B48" s="47"/>
      <c r="C48" s="48"/>
      <c r="D48" s="48"/>
      <c r="E48" s="48"/>
      <c r="F48" s="48"/>
      <c r="G48" s="48"/>
      <c r="H48" s="48"/>
      <c r="I48" s="48"/>
      <c r="J48" s="48"/>
      <c r="K48" s="48"/>
      <c r="L48" s="48"/>
      <c r="M48" s="50"/>
      <c r="N48" s="2"/>
    </row>
    <row r="49" spans="1:14" ht="18" customHeight="1" thickBot="1" x14ac:dyDescent="0.45">
      <c r="A49" s="2"/>
      <c r="B49" s="47"/>
      <c r="C49" s="163" t="s">
        <v>64</v>
      </c>
      <c r="D49" s="164"/>
      <c r="E49" s="164"/>
      <c r="F49" s="164"/>
      <c r="G49" s="164"/>
      <c r="H49" s="164"/>
      <c r="I49" s="164"/>
      <c r="J49" s="164"/>
      <c r="K49" s="164"/>
      <c r="L49" s="164"/>
      <c r="M49" s="50"/>
      <c r="N49" s="2"/>
    </row>
    <row r="50" spans="1:14" ht="14.5" thickBot="1" x14ac:dyDescent="0.3">
      <c r="A50" s="2"/>
      <c r="B50" s="47"/>
      <c r="C50" s="19"/>
      <c r="D50" s="154"/>
      <c r="E50" s="155"/>
      <c r="F50" s="155"/>
      <c r="G50" s="155"/>
      <c r="H50" s="155"/>
      <c r="I50" s="156" t="s">
        <v>58</v>
      </c>
      <c r="J50" s="157"/>
      <c r="K50" s="72" t="s">
        <v>82</v>
      </c>
      <c r="L50" s="71" t="s">
        <v>4</v>
      </c>
      <c r="M50" s="50"/>
      <c r="N50" s="2"/>
    </row>
    <row r="51" spans="1:14" ht="17.25" customHeight="1" thickBot="1" x14ac:dyDescent="0.35">
      <c r="A51" s="2"/>
      <c r="B51" s="47"/>
      <c r="C51" s="172" t="s">
        <v>66</v>
      </c>
      <c r="D51" s="173"/>
      <c r="E51" s="173"/>
      <c r="F51" s="173"/>
      <c r="G51" s="173"/>
      <c r="H51" s="173"/>
      <c r="I51" s="178">
        <v>350</v>
      </c>
      <c r="J51" s="179"/>
      <c r="K51" s="65">
        <f>$K$13</f>
        <v>2</v>
      </c>
      <c r="L51" s="68">
        <f>I51*K51</f>
        <v>700</v>
      </c>
      <c r="M51" s="50"/>
      <c r="N51" s="2"/>
    </row>
    <row r="52" spans="1:14" ht="16.5" customHeight="1" thickTop="1" thickBot="1" x14ac:dyDescent="0.35">
      <c r="A52" s="2"/>
      <c r="B52" s="47"/>
      <c r="C52" s="150" t="s">
        <v>76</v>
      </c>
      <c r="D52" s="212"/>
      <c r="E52" s="212"/>
      <c r="F52" s="212"/>
      <c r="G52" s="212"/>
      <c r="H52" s="212"/>
      <c r="I52" s="152">
        <v>800</v>
      </c>
      <c r="J52" s="162"/>
      <c r="K52" s="137">
        <f>$K$16</f>
        <v>1</v>
      </c>
      <c r="L52" s="77">
        <f>I52*K52</f>
        <v>800</v>
      </c>
      <c r="M52" s="50"/>
      <c r="N52" s="2"/>
    </row>
    <row r="53" spans="1:14" ht="15" customHeight="1" thickTop="1" thickBot="1" x14ac:dyDescent="0.35">
      <c r="A53" s="2"/>
      <c r="B53" s="47"/>
      <c r="C53" s="158" t="s">
        <v>12</v>
      </c>
      <c r="D53" s="159"/>
      <c r="E53" s="159"/>
      <c r="F53" s="159"/>
      <c r="G53" s="159"/>
      <c r="H53" s="174"/>
      <c r="I53" s="152">
        <v>1100</v>
      </c>
      <c r="J53" s="162"/>
      <c r="K53" s="138">
        <f>$K$17</f>
        <v>5</v>
      </c>
      <c r="L53" s="69">
        <f>I53*K53</f>
        <v>5500</v>
      </c>
      <c r="M53" s="50"/>
      <c r="N53" s="2"/>
    </row>
    <row r="54" spans="1:14" ht="15.75" customHeight="1" thickTop="1" thickBot="1" x14ac:dyDescent="0.35">
      <c r="A54" s="2"/>
      <c r="B54" s="47"/>
      <c r="C54" s="175" t="s">
        <v>75</v>
      </c>
      <c r="D54" s="176"/>
      <c r="E54" s="176"/>
      <c r="F54" s="176"/>
      <c r="G54" s="176"/>
      <c r="H54" s="177"/>
      <c r="I54" s="152">
        <v>110</v>
      </c>
      <c r="J54" s="162"/>
      <c r="K54" s="139">
        <f>$K$16</f>
        <v>1</v>
      </c>
      <c r="L54" s="70">
        <f>I54*K54</f>
        <v>110</v>
      </c>
      <c r="M54" s="50"/>
      <c r="N54" s="2"/>
    </row>
    <row r="55" spans="1:14" ht="15" thickTop="1" thickBot="1" x14ac:dyDescent="0.35">
      <c r="A55" s="2"/>
      <c r="B55" s="47"/>
      <c r="C55" s="14" t="s">
        <v>5</v>
      </c>
      <c r="D55" s="147"/>
      <c r="E55" s="147"/>
      <c r="F55" s="147"/>
      <c r="G55" s="147"/>
      <c r="H55" s="147"/>
      <c r="I55" s="148"/>
      <c r="J55" s="149"/>
      <c r="K55" s="74" t="s">
        <v>69</v>
      </c>
      <c r="L55" s="15">
        <f>SUM(L51:L54)</f>
        <v>7110</v>
      </c>
      <c r="M55" s="50"/>
      <c r="N55" s="2"/>
    </row>
    <row r="56" spans="1:14" ht="10.5" customHeight="1" x14ac:dyDescent="0.25">
      <c r="A56" s="2"/>
      <c r="B56" s="47"/>
      <c r="C56" s="48"/>
      <c r="D56" s="49"/>
      <c r="E56" s="49"/>
      <c r="F56" s="49"/>
      <c r="G56" s="49"/>
      <c r="H56" s="49"/>
      <c r="I56" s="49"/>
      <c r="J56" s="49"/>
      <c r="K56" s="49"/>
      <c r="L56" s="48"/>
      <c r="M56" s="50"/>
      <c r="N56" s="2"/>
    </row>
    <row r="57" spans="1:14" ht="18.5" thickBot="1" x14ac:dyDescent="0.45">
      <c r="A57" s="2"/>
      <c r="B57" s="47"/>
      <c r="C57" s="163" t="s">
        <v>65</v>
      </c>
      <c r="D57" s="164"/>
      <c r="E57" s="164"/>
      <c r="F57" s="164"/>
      <c r="G57" s="164"/>
      <c r="H57" s="164"/>
      <c r="I57" s="164"/>
      <c r="J57" s="164"/>
      <c r="K57" s="164"/>
      <c r="L57" s="164"/>
      <c r="M57" s="50"/>
      <c r="N57" s="2"/>
    </row>
    <row r="58" spans="1:14" ht="14.5" thickBot="1" x14ac:dyDescent="0.3">
      <c r="A58" s="2"/>
      <c r="B58" s="47"/>
      <c r="C58" s="19"/>
      <c r="D58" s="154"/>
      <c r="E58" s="155"/>
      <c r="F58" s="155"/>
      <c r="G58" s="155"/>
      <c r="H58" s="155"/>
      <c r="I58" s="156" t="s">
        <v>58</v>
      </c>
      <c r="J58" s="157"/>
      <c r="K58" s="72" t="s">
        <v>82</v>
      </c>
      <c r="L58" s="71" t="s">
        <v>4</v>
      </c>
      <c r="M58" s="50"/>
      <c r="N58" s="2"/>
    </row>
    <row r="59" spans="1:14" ht="16.5" customHeight="1" thickBot="1" x14ac:dyDescent="0.35">
      <c r="A59" s="2"/>
      <c r="B59" s="47"/>
      <c r="C59" s="158" t="s">
        <v>73</v>
      </c>
      <c r="D59" s="159"/>
      <c r="E59" s="159"/>
      <c r="F59" s="159"/>
      <c r="G59" s="159"/>
      <c r="H59" s="159"/>
      <c r="I59" s="160">
        <v>3000</v>
      </c>
      <c r="J59" s="161"/>
      <c r="K59" s="67">
        <f>$K$13</f>
        <v>2</v>
      </c>
      <c r="L59" s="69">
        <f>I59*K59</f>
        <v>6000</v>
      </c>
      <c r="M59" s="50"/>
      <c r="N59" s="2"/>
    </row>
    <row r="60" spans="1:14" ht="16.5" customHeight="1" thickTop="1" thickBot="1" x14ac:dyDescent="0.35">
      <c r="A60" s="2"/>
      <c r="B60" s="47"/>
      <c r="C60" s="150" t="s">
        <v>72</v>
      </c>
      <c r="D60" s="151"/>
      <c r="E60" s="151"/>
      <c r="F60" s="151"/>
      <c r="G60" s="151"/>
      <c r="H60" s="151"/>
      <c r="I60" s="152">
        <v>600</v>
      </c>
      <c r="J60" s="153"/>
      <c r="K60" s="139">
        <f>$K$16</f>
        <v>1</v>
      </c>
      <c r="L60" s="69">
        <f>I60*K60</f>
        <v>600</v>
      </c>
      <c r="M60" s="50"/>
      <c r="N60" s="2"/>
    </row>
    <row r="61" spans="1:14" ht="15" customHeight="1" thickTop="1" thickBot="1" x14ac:dyDescent="0.35">
      <c r="A61" s="2"/>
      <c r="B61" s="47"/>
      <c r="C61" s="14" t="s">
        <v>5</v>
      </c>
      <c r="D61" s="147"/>
      <c r="E61" s="147"/>
      <c r="F61" s="147"/>
      <c r="G61" s="147"/>
      <c r="H61" s="147"/>
      <c r="I61" s="148"/>
      <c r="J61" s="149"/>
      <c r="K61" s="74" t="s">
        <v>69</v>
      </c>
      <c r="L61" s="15">
        <f>SUM(L59:L60)</f>
        <v>6600</v>
      </c>
      <c r="M61" s="50"/>
      <c r="N61" s="2"/>
    </row>
    <row r="62" spans="1:14" ht="22.5" customHeight="1" x14ac:dyDescent="0.25">
      <c r="A62" s="2"/>
      <c r="B62" s="47"/>
      <c r="C62" s="48"/>
      <c r="D62" s="49"/>
      <c r="E62" s="49"/>
      <c r="F62" s="49"/>
      <c r="G62" s="49"/>
      <c r="H62" s="49"/>
      <c r="I62" s="49"/>
      <c r="J62" s="49"/>
      <c r="K62" s="49"/>
      <c r="L62" s="48"/>
      <c r="M62" s="50"/>
      <c r="N62" s="2"/>
    </row>
    <row r="63" spans="1:14" ht="14" x14ac:dyDescent="0.3">
      <c r="A63" s="2"/>
      <c r="B63" s="47"/>
      <c r="C63" s="16" t="s">
        <v>67</v>
      </c>
      <c r="D63" s="17"/>
      <c r="E63" s="17"/>
      <c r="F63" s="17"/>
      <c r="G63" s="17"/>
      <c r="H63" s="17"/>
      <c r="I63" s="17"/>
      <c r="J63" s="64"/>
      <c r="K63" s="18" t="s">
        <v>11</v>
      </c>
      <c r="L63" s="88">
        <f>L33+L41-L47-L55-L61</f>
        <v>49785</v>
      </c>
      <c r="M63" s="50"/>
      <c r="N63" s="2"/>
    </row>
    <row r="64" spans="1:14" ht="20.25" customHeight="1" x14ac:dyDescent="0.25">
      <c r="A64" s="2"/>
      <c r="B64" s="47"/>
      <c r="C64" s="48"/>
      <c r="D64" s="49"/>
      <c r="E64" s="49"/>
      <c r="F64" s="49"/>
      <c r="G64" s="49"/>
      <c r="H64" s="49"/>
      <c r="I64" s="49"/>
      <c r="J64" s="49"/>
      <c r="K64" s="49"/>
      <c r="L64" s="48"/>
      <c r="M64" s="50"/>
      <c r="N64" s="2"/>
    </row>
    <row r="65" spans="1:14" ht="14" x14ac:dyDescent="0.3">
      <c r="A65" s="2"/>
      <c r="B65" s="47"/>
      <c r="C65" s="16" t="s">
        <v>68</v>
      </c>
      <c r="D65" s="17"/>
      <c r="E65" s="17"/>
      <c r="F65" s="17"/>
      <c r="G65" s="17"/>
      <c r="H65" s="17"/>
      <c r="I65" s="17"/>
      <c r="J65" s="64"/>
      <c r="K65" s="18" t="s">
        <v>11</v>
      </c>
      <c r="L65" s="88">
        <f>L33+L41-L61</f>
        <v>64420</v>
      </c>
      <c r="M65" s="50"/>
      <c r="N65" s="2"/>
    </row>
    <row r="66" spans="1:14" x14ac:dyDescent="0.25">
      <c r="A66" s="2"/>
      <c r="B66" s="47"/>
      <c r="C66" s="48"/>
      <c r="D66" s="49"/>
      <c r="E66" s="49"/>
      <c r="F66" s="49"/>
      <c r="G66" s="49"/>
      <c r="H66" s="49"/>
      <c r="I66" s="49"/>
      <c r="J66" s="49"/>
      <c r="K66" s="49"/>
      <c r="L66" s="48"/>
      <c r="M66" s="50"/>
      <c r="N66" s="2"/>
    </row>
    <row r="67" spans="1:14" x14ac:dyDescent="0.25">
      <c r="A67" s="2"/>
      <c r="B67" s="47"/>
      <c r="C67" s="51" t="s">
        <v>62</v>
      </c>
      <c r="D67" s="49"/>
      <c r="E67" s="49"/>
      <c r="F67" s="49"/>
      <c r="G67" s="49"/>
      <c r="H67" s="49"/>
      <c r="I67" s="49"/>
      <c r="J67" s="49"/>
      <c r="K67" s="49"/>
      <c r="L67" s="48"/>
      <c r="M67" s="50"/>
      <c r="N67" s="2"/>
    </row>
    <row r="68" spans="1:14" ht="13" thickBot="1" x14ac:dyDescent="0.3">
      <c r="A68" s="2"/>
      <c r="B68" s="52"/>
      <c r="C68" s="53"/>
      <c r="D68" s="53"/>
      <c r="E68" s="53"/>
      <c r="F68" s="53"/>
      <c r="G68" s="53"/>
      <c r="H68" s="53"/>
      <c r="I68" s="53"/>
      <c r="J68" s="53"/>
      <c r="K68" s="53"/>
      <c r="L68" s="53"/>
      <c r="M68" s="54"/>
      <c r="N68" s="2"/>
    </row>
    <row r="69" spans="1:14" x14ac:dyDescent="0.25">
      <c r="A69" s="2"/>
      <c r="B69" s="2"/>
      <c r="C69" s="2"/>
      <c r="D69" s="2"/>
      <c r="E69" s="2"/>
      <c r="F69" s="2"/>
      <c r="G69" s="2"/>
      <c r="H69" s="2"/>
      <c r="I69" s="2"/>
      <c r="J69" s="2"/>
      <c r="K69" s="2"/>
      <c r="L69" s="2"/>
      <c r="M69" s="2"/>
      <c r="N69" s="2"/>
    </row>
    <row r="70" spans="1:14" x14ac:dyDescent="0.25">
      <c r="A70" s="76"/>
      <c r="B70" s="76"/>
    </row>
    <row r="71" spans="1:14" x14ac:dyDescent="0.25">
      <c r="A71" s="76"/>
    </row>
  </sheetData>
  <sheetProtection password="E175" sheet="1" objects="1" scenarios="1" selectLockedCells="1"/>
  <mergeCells count="57">
    <mergeCell ref="C49:L49"/>
    <mergeCell ref="C43:D43"/>
    <mergeCell ref="E31:H31"/>
    <mergeCell ref="E30:H30"/>
    <mergeCell ref="E29:H29"/>
    <mergeCell ref="E32:H32"/>
    <mergeCell ref="E40:H40"/>
    <mergeCell ref="E39:H39"/>
    <mergeCell ref="D33:H33"/>
    <mergeCell ref="C35:L35"/>
    <mergeCell ref="E25:H25"/>
    <mergeCell ref="L13:L18"/>
    <mergeCell ref="I25:J25"/>
    <mergeCell ref="C12:F12"/>
    <mergeCell ref="C9:L9"/>
    <mergeCell ref="C46:D46"/>
    <mergeCell ref="C44:D44"/>
    <mergeCell ref="C45:D45"/>
    <mergeCell ref="D41:H41"/>
    <mergeCell ref="C3:L3"/>
    <mergeCell ref="C4:L4"/>
    <mergeCell ref="C6:L6"/>
    <mergeCell ref="C7:L7"/>
    <mergeCell ref="I33:J33"/>
    <mergeCell ref="C11:L11"/>
    <mergeCell ref="C24:L24"/>
    <mergeCell ref="C8:L8"/>
    <mergeCell ref="H18:K18"/>
    <mergeCell ref="E26:H26"/>
    <mergeCell ref="C53:H53"/>
    <mergeCell ref="C54:H54"/>
    <mergeCell ref="I51:J51"/>
    <mergeCell ref="I53:J53"/>
    <mergeCell ref="E28:H28"/>
    <mergeCell ref="E27:H27"/>
    <mergeCell ref="E37:H37"/>
    <mergeCell ref="C52:H52"/>
    <mergeCell ref="I52:J52"/>
    <mergeCell ref="I50:J50"/>
    <mergeCell ref="I54:J54"/>
    <mergeCell ref="D55:H55"/>
    <mergeCell ref="D50:H50"/>
    <mergeCell ref="C57:L57"/>
    <mergeCell ref="D36:H36"/>
    <mergeCell ref="I41:J41"/>
    <mergeCell ref="E38:H38"/>
    <mergeCell ref="I55:J55"/>
    <mergeCell ref="I36:J36"/>
    <mergeCell ref="C51:H51"/>
    <mergeCell ref="D61:H61"/>
    <mergeCell ref="I61:J61"/>
    <mergeCell ref="C60:H60"/>
    <mergeCell ref="I60:J60"/>
    <mergeCell ref="D58:H58"/>
    <mergeCell ref="I58:J58"/>
    <mergeCell ref="C59:H59"/>
    <mergeCell ref="I59:J59"/>
  </mergeCells>
  <phoneticPr fontId="1" type="noConversion"/>
  <pageMargins left="0.5" right="0.39" top="0.62" bottom="0.56000000000000005" header="0.5" footer="0.5"/>
  <pageSetup scale="61" orientation="portrait" r:id="rId1"/>
  <headerFooter alignWithMargins="0"/>
  <ignoredErrors>
    <ignoredError sqref="K53"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Financial Benefits</vt:lpstr>
      <vt:lpstr>'Financial Benefits'!Print_Area</vt:lpstr>
    </vt:vector>
  </TitlesOfParts>
  <Company>Medical Office Online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Medical Office Online Financial Benefits Calculator</dc:title>
  <dc:creator> </dc:creator>
  <cp:lastModifiedBy>Carina Negreanu</cp:lastModifiedBy>
  <cp:lastPrinted>2003-08-20T17:50:50Z</cp:lastPrinted>
  <dcterms:created xsi:type="dcterms:W3CDTF">2003-06-16T21:37:20Z</dcterms:created>
  <dcterms:modified xsi:type="dcterms:W3CDTF">2020-01-27T11:35:34Z</dcterms:modified>
</cp:coreProperties>
</file>