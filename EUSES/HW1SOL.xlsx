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6640FCC-AFAE-4E33-8E88-1B7D7AC52B74}" xr6:coauthVersionLast="45" xr6:coauthVersionMax="45" xr10:uidLastSave="{00000000-0000-0000-0000-000000000000}"/>
  <bookViews>
    <workbookView xWindow="380" yWindow="380" windowWidth="28800" windowHeight="15460"/>
  </bookViews>
  <sheets>
    <sheet name="Homework 1" sheetId="1" r:id="rId1"/>
    <sheet name="Markowitz" sheetId="2" r:id="rId2"/>
    <sheet name="Sheet3" sheetId="3" r:id="rId3"/>
  </sheets>
  <definedNames>
    <definedName name="solver_adj" localSheetId="0" hidden="1">'Homework 1'!$B$74:$B$75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'Homework 1'!$D$74</definedName>
    <definedName name="solver_lin" localSheetId="0" hidden="1">2</definedName>
    <definedName name="solver_neg" localSheetId="0" hidden="1">2</definedName>
    <definedName name="solver_num" localSheetId="0" hidden="1">1</definedName>
    <definedName name="solver_nwt" localSheetId="0" hidden="1">1</definedName>
    <definedName name="solver_opt" localSheetId="0" hidden="1">'Homework 1'!$B$76</definedName>
    <definedName name="solver_pre" localSheetId="0" hidden="1">0.000001</definedName>
    <definedName name="solver_rel1" localSheetId="0" hidden="1">2</definedName>
    <definedName name="solver_rhs1" localSheetId="0" hidden="1">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C11" i="1"/>
  <c r="D11" i="1"/>
  <c r="E11" i="1"/>
  <c r="F11" i="1"/>
  <c r="G11" i="1"/>
  <c r="G13" i="1" s="1"/>
  <c r="G14" i="1" s="1"/>
  <c r="H11" i="1"/>
  <c r="H13" i="1" s="1"/>
  <c r="H14" i="1" s="1"/>
  <c r="I11" i="1"/>
  <c r="I13" i="1" s="1"/>
  <c r="I14" i="1" s="1"/>
  <c r="J11" i="1"/>
  <c r="J13" i="1" s="1"/>
  <c r="J14" i="1" s="1"/>
  <c r="C13" i="1"/>
  <c r="C14" i="1" s="1"/>
  <c r="D13" i="1"/>
  <c r="D14" i="1" s="1"/>
  <c r="E13" i="1"/>
  <c r="E14" i="1" s="1"/>
  <c r="F13" i="1"/>
  <c r="F14" i="1" s="1"/>
  <c r="C21" i="1"/>
  <c r="C22" i="1" s="1"/>
  <c r="C23" i="1" s="1"/>
  <c r="C25" i="1" s="1"/>
  <c r="C26" i="1" s="1"/>
  <c r="D21" i="1"/>
  <c r="D22" i="1" s="1"/>
  <c r="D23" i="1" s="1"/>
  <c r="D25" i="1" s="1"/>
  <c r="D26" i="1" s="1"/>
  <c r="E21" i="1"/>
  <c r="E22" i="1" s="1"/>
  <c r="E23" i="1" s="1"/>
  <c r="E25" i="1" s="1"/>
  <c r="E26" i="1" s="1"/>
  <c r="F21" i="1"/>
  <c r="F22" i="1" s="1"/>
  <c r="F23" i="1" s="1"/>
  <c r="F25" i="1" s="1"/>
  <c r="F26" i="1" s="1"/>
  <c r="G21" i="1"/>
  <c r="G22" i="1" s="1"/>
  <c r="G23" i="1" s="1"/>
  <c r="G25" i="1" s="1"/>
  <c r="G26" i="1" s="1"/>
  <c r="H21" i="1"/>
  <c r="H22" i="1" s="1"/>
  <c r="H23" i="1" s="1"/>
  <c r="H25" i="1" s="1"/>
  <c r="H26" i="1" s="1"/>
  <c r="I21" i="1"/>
  <c r="I22" i="1" s="1"/>
  <c r="I23" i="1" s="1"/>
  <c r="I25" i="1" s="1"/>
  <c r="I26" i="1" s="1"/>
  <c r="J21" i="1"/>
  <c r="J22" i="1"/>
  <c r="J23" i="1"/>
  <c r="J25" i="1" s="1"/>
  <c r="J26" i="1" s="1"/>
  <c r="B25" i="1"/>
  <c r="B26" i="1" s="1"/>
  <c r="B28" i="1" s="1"/>
  <c r="B46" i="1"/>
  <c r="C54" i="1" s="1"/>
  <c r="C46" i="1"/>
  <c r="B47" i="1"/>
  <c r="G55" i="1" s="1"/>
  <c r="G56" i="1" s="1"/>
  <c r="C47" i="1"/>
  <c r="E55" i="1" s="1"/>
  <c r="E56" i="1" s="1"/>
  <c r="B48" i="1"/>
  <c r="B53" i="1"/>
  <c r="C53" i="1"/>
  <c r="D53" i="1"/>
  <c r="E53" i="1"/>
  <c r="F53" i="1"/>
  <c r="G53" i="1"/>
  <c r="H53" i="1"/>
  <c r="D74" i="1"/>
  <c r="D81" i="1"/>
  <c r="D86" i="1" s="1"/>
  <c r="D82" i="1"/>
  <c r="B84" i="1"/>
  <c r="B90" i="1" s="1"/>
  <c r="C84" i="1"/>
  <c r="D84" i="1"/>
  <c r="B85" i="1"/>
  <c r="C85" i="1"/>
  <c r="D85" i="1"/>
  <c r="B86" i="1"/>
  <c r="C86" i="1"/>
  <c r="B87" i="1"/>
  <c r="C87" i="1"/>
  <c r="B88" i="1"/>
  <c r="C88" i="1"/>
  <c r="B106" i="1"/>
  <c r="B107" i="1"/>
  <c r="B108" i="1"/>
  <c r="B109" i="1"/>
  <c r="B110" i="1"/>
  <c r="B111" i="1"/>
  <c r="B121" i="1"/>
  <c r="C121" i="1"/>
  <c r="C123" i="1" s="1"/>
  <c r="D121" i="1"/>
  <c r="E121" i="1"/>
  <c r="F121" i="1"/>
  <c r="G121" i="1"/>
  <c r="H121" i="1"/>
  <c r="I121" i="1"/>
  <c r="J121" i="1"/>
  <c r="J123" i="1" s="1"/>
  <c r="K121" i="1"/>
  <c r="B122" i="1"/>
  <c r="C122" i="1"/>
  <c r="D122" i="1"/>
  <c r="D123" i="1" s="1"/>
  <c r="E122" i="1"/>
  <c r="E123" i="1" s="1"/>
  <c r="F122" i="1"/>
  <c r="F123" i="1" s="1"/>
  <c r="G122" i="1"/>
  <c r="G123" i="1" s="1"/>
  <c r="H122" i="1"/>
  <c r="H123" i="1" s="1"/>
  <c r="I122" i="1"/>
  <c r="I123" i="1" s="1"/>
  <c r="J122" i="1"/>
  <c r="K122" i="1"/>
  <c r="K123" i="1" s="1"/>
  <c r="B123" i="1"/>
  <c r="B129" i="1"/>
  <c r="C129" i="1"/>
  <c r="D129" i="1"/>
  <c r="E129" i="1"/>
  <c r="E131" i="1" s="1"/>
  <c r="F129" i="1"/>
  <c r="G129" i="1"/>
  <c r="G131" i="1" s="1"/>
  <c r="H129" i="1"/>
  <c r="H131" i="1" s="1"/>
  <c r="I129" i="1"/>
  <c r="I131" i="1" s="1"/>
  <c r="J129" i="1"/>
  <c r="K129" i="1"/>
  <c r="B130" i="1"/>
  <c r="B131" i="1" s="1"/>
  <c r="B132" i="1" s="1"/>
  <c r="C130" i="1"/>
  <c r="D130" i="1"/>
  <c r="E130" i="1"/>
  <c r="F130" i="1"/>
  <c r="G130" i="1"/>
  <c r="H130" i="1"/>
  <c r="I130" i="1"/>
  <c r="J130" i="1"/>
  <c r="K130" i="1"/>
  <c r="C131" i="1"/>
  <c r="D131" i="1"/>
  <c r="F131" i="1"/>
  <c r="J131" i="1"/>
  <c r="K131" i="1"/>
  <c r="B136" i="1"/>
  <c r="B137" i="1" s="1"/>
  <c r="B138" i="1" s="1"/>
  <c r="F152" i="1"/>
  <c r="B168" i="1" s="1"/>
  <c r="G152" i="1"/>
  <c r="F153" i="1"/>
  <c r="B169" i="1" s="1"/>
  <c r="G153" i="1"/>
  <c r="F154" i="1"/>
  <c r="G154" i="1"/>
  <c r="F155" i="1"/>
  <c r="G155" i="1"/>
  <c r="B160" i="1"/>
  <c r="B161" i="1"/>
  <c r="B164" i="1"/>
  <c r="C164" i="1"/>
  <c r="D164" i="1"/>
  <c r="B165" i="1"/>
  <c r="D165" i="1" s="1"/>
  <c r="C165" i="1"/>
  <c r="E2" i="2"/>
  <c r="F2" i="2"/>
  <c r="K18" i="2" s="1"/>
  <c r="G2" i="2"/>
  <c r="E3" i="2"/>
  <c r="J18" i="2" s="1"/>
  <c r="K17" i="2" s="1"/>
  <c r="F3" i="2"/>
  <c r="G3" i="2"/>
  <c r="E4" i="2"/>
  <c r="F4" i="2"/>
  <c r="G4" i="2"/>
  <c r="E5" i="2"/>
  <c r="F5" i="2"/>
  <c r="G5" i="2"/>
  <c r="J5" i="2"/>
  <c r="J7" i="2" s="1"/>
  <c r="E6" i="2"/>
  <c r="J17" i="2" s="1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B15" i="1" l="1"/>
  <c r="A143" i="1"/>
  <c r="A146" i="1" s="1"/>
  <c r="B124" i="1"/>
  <c r="A141" i="1" s="1"/>
  <c r="C55" i="1"/>
  <c r="C56" i="1" s="1"/>
  <c r="B55" i="1"/>
  <c r="B56" i="1" s="1"/>
  <c r="F55" i="1"/>
  <c r="F56" i="1" s="1"/>
  <c r="G54" i="1"/>
  <c r="F54" i="1"/>
  <c r="B77" i="1"/>
  <c r="E54" i="1"/>
  <c r="L19" i="2"/>
  <c r="B76" i="1"/>
  <c r="D54" i="1"/>
  <c r="J19" i="2"/>
  <c r="L17" i="2" s="1"/>
  <c r="J8" i="2" s="1"/>
  <c r="J9" i="2" s="1"/>
  <c r="D88" i="1"/>
  <c r="B96" i="1" s="1"/>
  <c r="B54" i="1"/>
  <c r="H54" i="1"/>
  <c r="D87" i="1"/>
  <c r="B95" i="1" s="1"/>
  <c r="D55" i="1"/>
  <c r="D56" i="1" s="1"/>
  <c r="K19" i="2"/>
  <c r="L18" i="2" s="1"/>
  <c r="H55" i="1"/>
  <c r="H56" i="1" s="1"/>
</calcChain>
</file>

<file path=xl/sharedStrings.xml><?xml version="1.0" encoding="utf-8"?>
<sst xmlns="http://schemas.openxmlformats.org/spreadsheetml/2006/main" count="129" uniqueCount="92">
  <si>
    <t>Period</t>
  </si>
  <si>
    <t>Earnings</t>
  </si>
  <si>
    <t>Depreciation</t>
  </si>
  <si>
    <t>Tax</t>
  </si>
  <si>
    <t>Tax Rate</t>
  </si>
  <si>
    <t>Cost of Capital</t>
  </si>
  <si>
    <t>Initial Cost of New Machine</t>
  </si>
  <si>
    <t>Earnings after tax</t>
  </si>
  <si>
    <t>Capital investment</t>
  </si>
  <si>
    <t>Net cash flow</t>
  </si>
  <si>
    <t>NPV</t>
  </si>
  <si>
    <t>Old Machine</t>
  </si>
  <si>
    <t>New Machine</t>
  </si>
  <si>
    <t>Discounted Cash Flow</t>
  </si>
  <si>
    <t>Discounted cash flow</t>
  </si>
  <si>
    <t>Yes, the old machine should be replaced</t>
  </si>
  <si>
    <t>prob of each state</t>
  </si>
  <si>
    <t>state</t>
  </si>
  <si>
    <t>x</t>
  </si>
  <si>
    <t>y</t>
  </si>
  <si>
    <t>a.</t>
  </si>
  <si>
    <t>mean</t>
  </si>
  <si>
    <t>variance</t>
  </si>
  <si>
    <t>b.</t>
  </si>
  <si>
    <t>%x</t>
  </si>
  <si>
    <t>%y</t>
  </si>
  <si>
    <t>State</t>
  </si>
  <si>
    <t>volatility</t>
  </si>
  <si>
    <t>c.</t>
  </si>
  <si>
    <t>%inx</t>
  </si>
  <si>
    <t>%iny</t>
  </si>
  <si>
    <t>covariance</t>
  </si>
  <si>
    <t>d.</t>
  </si>
  <si>
    <t>e.</t>
  </si>
  <si>
    <t>min with A</t>
  </si>
  <si>
    <t>min with B</t>
  </si>
  <si>
    <t>sum</t>
  </si>
  <si>
    <t>f.</t>
  </si>
  <si>
    <t xml:space="preserve">future price </t>
  </si>
  <si>
    <t>old current price</t>
  </si>
  <si>
    <t>old beta</t>
  </si>
  <si>
    <t>new beta</t>
  </si>
  <si>
    <t>new rate of return</t>
  </si>
  <si>
    <t>new current price</t>
  </si>
  <si>
    <t>the same</t>
  </si>
  <si>
    <t>Date</t>
  </si>
  <si>
    <t>MSFT</t>
  </si>
  <si>
    <t>CSCO</t>
  </si>
  <si>
    <t>PFE</t>
  </si>
  <si>
    <t>MSFT Returns</t>
  </si>
  <si>
    <t>CSCO Returns</t>
  </si>
  <si>
    <t>PFE Returns</t>
  </si>
  <si>
    <t>Variance-Covariance Matrix</t>
  </si>
  <si>
    <t>Portfolio Makeup:</t>
  </si>
  <si>
    <t>Mean Return</t>
  </si>
  <si>
    <t>Variance</t>
  </si>
  <si>
    <t>Volatility</t>
  </si>
  <si>
    <t>Old Facility Tax Shield</t>
  </si>
  <si>
    <t>Tax Shield</t>
  </si>
  <si>
    <t>Discount Factor</t>
  </si>
  <si>
    <t>Discounted Tax Shield</t>
  </si>
  <si>
    <t>PV of Tax Shield</t>
  </si>
  <si>
    <t>(Depreciation lost on old facility)</t>
  </si>
  <si>
    <t>New Facility Tax Shield</t>
  </si>
  <si>
    <t>(Depreciation gained on new facility)</t>
  </si>
  <si>
    <t>Cost of New Facility</t>
  </si>
  <si>
    <t>Price of Old Facility</t>
  </si>
  <si>
    <t>Tax on Selling Old Facility</t>
  </si>
  <si>
    <t>Net Profit from Selling Old Facility</t>
  </si>
  <si>
    <t>Profit from getting New Facility and Selling Old One</t>
  </si>
  <si>
    <t>Value of Old Facility</t>
  </si>
  <si>
    <t>Value of New Facility</t>
  </si>
  <si>
    <t>Opportunity Cost</t>
  </si>
  <si>
    <t>4b</t>
  </si>
  <si>
    <t>Share A</t>
  </si>
  <si>
    <t>State 1</t>
  </si>
  <si>
    <t>State 2</t>
  </si>
  <si>
    <t>State 3</t>
  </si>
  <si>
    <t>Share B</t>
  </si>
  <si>
    <t>Market</t>
  </si>
  <si>
    <t>Gilts (Safe Bond)</t>
  </si>
  <si>
    <t>a)</t>
  </si>
  <si>
    <t>r=r_f+sigma(r_s-r_f)/sigma_s</t>
  </si>
  <si>
    <t>b)</t>
  </si>
  <si>
    <t>sigma</t>
  </si>
  <si>
    <t>Return</t>
  </si>
  <si>
    <t>Beta_A=</t>
  </si>
  <si>
    <t>Beta_B=</t>
  </si>
  <si>
    <t>Covar with market</t>
  </si>
  <si>
    <t>Var of market</t>
  </si>
  <si>
    <t>Beta</t>
  </si>
  <si>
    <t>Based on SML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</si>
</sst>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5" fontId="0" fillId="0" borderId="0" xfId="0" applyNumberFormat="1"/>
    <xf numFmtId="10" fontId="0" fillId="0" borderId="0" xfId="0" applyNumberFormat="1"/>
    <xf numFmtId="0" fontId="5" fillId="2" borderId="0" xfId="0" applyFont="1" applyFill="1"/>
    <xf numFmtId="171" fontId="0" fillId="0" borderId="0" xfId="1" applyFont="1"/>
    <xf numFmtId="0" fontId="6" fillId="0" borderId="0" xfId="0" applyFont="1"/>
    <xf numFmtId="0" fontId="3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474545191546041"/>
          <c:y val="4.666821904577921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67607897978726E-2"/>
          <c:y val="0.27000898162200831"/>
          <c:w val="0.61396771629022151"/>
          <c:h val="0.51335040950357136"/>
        </c:manualLayout>
      </c:layout>
      <c:scatterChart>
        <c:scatterStyle val="smoothMarker"/>
        <c:varyColors val="0"/>
        <c:ser>
          <c:idx val="0"/>
          <c:order val="0"/>
          <c:tx>
            <c:v>mean vs volatility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'Homework 1'!$B$56:$H$56</c:f>
              <c:numCache>
                <c:formatCode>General</c:formatCode>
                <c:ptCount val="7"/>
                <c:pt idx="0">
                  <c:v>6.904708538381616</c:v>
                </c:pt>
                <c:pt idx="1">
                  <c:v>5.2915026221291814</c:v>
                </c:pt>
                <c:pt idx="2">
                  <c:v>4.2982554600674909</c:v>
                </c:pt>
                <c:pt idx="3">
                  <c:v>4.3703546766824308</c:v>
                </c:pt>
                <c:pt idx="4">
                  <c:v>5.4658027772688618</c:v>
                </c:pt>
                <c:pt idx="5">
                  <c:v>7.1274118724821847</c:v>
                </c:pt>
                <c:pt idx="6">
                  <c:v>9.0484805354269291</c:v>
                </c:pt>
              </c:numCache>
            </c:numRef>
          </c:xVal>
          <c:yVal>
            <c:numRef>
              <c:f>'Homework 1'!$B$54:$H$54</c:f>
              <c:numCache>
                <c:formatCode>General</c:formatCode>
                <c:ptCount val="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89-4742-A325-F0FA0DDA4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325903"/>
        <c:axId val="1"/>
      </c:scatterChart>
      <c:valAx>
        <c:axId val="944325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432590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729644282655048"/>
          <c:y val="0.47668252311045911"/>
          <c:w val="0.25903708922589469"/>
          <c:h val="0.1000033265266697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678035323377187"/>
          <c:y val="3.78262489441162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85238355688151"/>
          <c:y val="0.20095194751561785"/>
          <c:w val="0.6602873984034684"/>
          <c:h val="0.56975787472075179"/>
        </c:manualLayout>
      </c:layout>
      <c:scatterChart>
        <c:scatterStyle val="lineMarker"/>
        <c:varyColors val="0"/>
        <c:ser>
          <c:idx val="0"/>
          <c:order val="0"/>
          <c:tx>
            <c:v>CML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'Homework 1'!$A$160:$A$161</c:f>
              <c:numCache>
                <c:formatCode>General</c:formatCode>
                <c:ptCount val="2"/>
                <c:pt idx="0">
                  <c:v>35</c:v>
                </c:pt>
                <c:pt idx="1">
                  <c:v>0</c:v>
                </c:pt>
              </c:numCache>
            </c:numRef>
          </c:xVal>
          <c:yVal>
            <c:numRef>
              <c:f>'Homework 1'!$B$160:$B$161</c:f>
              <c:numCache>
                <c:formatCode>General</c:formatCode>
                <c:ptCount val="2"/>
                <c:pt idx="0">
                  <c:v>44.320323649182207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8-48F6-9959-53F32FAE0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574751"/>
        <c:axId val="1"/>
      </c:scatterChart>
      <c:valAx>
        <c:axId val="76357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Volatility</a:t>
                </a:r>
              </a:p>
            </c:rich>
          </c:tx>
          <c:layout>
            <c:manualLayout>
              <c:xMode val="edge"/>
              <c:yMode val="edge"/>
              <c:x val="0.40621707955470654"/>
              <c:y val="0.874732006832689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Return</a:t>
                </a:r>
              </a:p>
            </c:rich>
          </c:tx>
          <c:layout>
            <c:manualLayout>
              <c:xMode val="edge"/>
              <c:yMode val="edge"/>
              <c:x val="3.2497366364376522E-2"/>
              <c:y val="0.404268035590242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35747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345437245722699"/>
          <c:y val="0.45155084677038831"/>
          <c:w val="0.14032953657344407"/>
          <c:h val="6.856007621121079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501650</xdr:colOff>
      <xdr:row>56</xdr:row>
      <xdr:rowOff>152400</xdr:rowOff>
    </xdr:from>
    <xdr:to>
      <xdr:col>6</xdr:col>
      <xdr:colOff>57150</xdr:colOff>
      <xdr:row>68</xdr:row>
      <xdr:rowOff>152400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DD61FA5-10E6-48F9-BF51-1952BF09F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222250</xdr:colOff>
      <xdr:row>161</xdr:row>
      <xdr:rowOff>114300</xdr:rowOff>
    </xdr:from>
    <xdr:to>
      <xdr:col>10</xdr:col>
      <xdr:colOff>584200</xdr:colOff>
      <xdr:row>178</xdr:row>
      <xdr:rowOff>101600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926EB55D-051E-4F5F-B62A-20096BDC6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Views>
    <sheetView tabSelected="1" topLeftCell="A150" workbookViewId="0">
      <selection activeCell="B168" sqref="B168"/>
    </sheetView>
  </sheetViews>
  <sheetFormatPr defaultRowHeight="12.5" x14ac:dyDescent="0.25"/>
  <cols>
    <col min="1" max="1" width="19.81640625" bestFit="1" customWidth="1"/>
    <col min="2" max="2" width="25.1796875" bestFit="1" customWidth="1"/>
    <col min="3" max="3" width="15.1796875" customWidth="1"/>
    <col min="4" max="4" width="17.54296875" customWidth="1"/>
    <col min="6" max="6" width="12.7265625" bestFit="1" customWidth="1"/>
  </cols>
  <sheetData>
    <row r="1" spans="1:10" ht="20" x14ac:dyDescent="0.4">
      <c r="A1" s="2">
        <v>1</v>
      </c>
    </row>
    <row r="3" spans="1:10" x14ac:dyDescent="0.25">
      <c r="A3" t="s">
        <v>4</v>
      </c>
      <c r="B3">
        <v>0.4</v>
      </c>
      <c r="D3" t="s">
        <v>6</v>
      </c>
      <c r="E3">
        <v>100000</v>
      </c>
    </row>
    <row r="4" spans="1:10" x14ac:dyDescent="0.25">
      <c r="A4" t="s">
        <v>5</v>
      </c>
      <c r="B4">
        <v>0.12</v>
      </c>
    </row>
    <row r="6" spans="1:10" ht="13" x14ac:dyDescent="0.3">
      <c r="A6" s="1" t="s">
        <v>11</v>
      </c>
    </row>
    <row r="7" spans="1:10" x14ac:dyDescent="0.25">
      <c r="A7" t="s">
        <v>0</v>
      </c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</row>
    <row r="8" spans="1:10" x14ac:dyDescent="0.25">
      <c r="A8" t="s">
        <v>1</v>
      </c>
      <c r="C8">
        <v>2000</v>
      </c>
      <c r="D8">
        <v>2000</v>
      </c>
      <c r="E8">
        <v>2000</v>
      </c>
      <c r="F8">
        <v>2000</v>
      </c>
      <c r="G8">
        <v>2000</v>
      </c>
      <c r="H8">
        <v>2000</v>
      </c>
      <c r="I8">
        <v>2000</v>
      </c>
      <c r="J8">
        <v>2000</v>
      </c>
    </row>
    <row r="9" spans="1:10" x14ac:dyDescent="0.25">
      <c r="A9" t="s">
        <v>2</v>
      </c>
    </row>
    <row r="10" spans="1:10" x14ac:dyDescent="0.25">
      <c r="A10" t="s">
        <v>3</v>
      </c>
      <c r="C10">
        <f>$B3*C8</f>
        <v>800</v>
      </c>
      <c r="D10">
        <f t="shared" ref="D10:J10" si="0">$B3*D8</f>
        <v>800</v>
      </c>
      <c r="E10">
        <f t="shared" si="0"/>
        <v>800</v>
      </c>
      <c r="F10">
        <f t="shared" si="0"/>
        <v>800</v>
      </c>
      <c r="G10">
        <f t="shared" si="0"/>
        <v>800</v>
      </c>
      <c r="H10">
        <f t="shared" si="0"/>
        <v>800</v>
      </c>
      <c r="I10">
        <f t="shared" si="0"/>
        <v>800</v>
      </c>
      <c r="J10">
        <f t="shared" si="0"/>
        <v>800</v>
      </c>
    </row>
    <row r="11" spans="1:10" x14ac:dyDescent="0.25">
      <c r="A11" t="s">
        <v>7</v>
      </c>
      <c r="C11">
        <f>C8-C10</f>
        <v>1200</v>
      </c>
      <c r="D11">
        <f t="shared" ref="D11:J11" si="1">D8-D10</f>
        <v>1200</v>
      </c>
      <c r="E11">
        <f t="shared" si="1"/>
        <v>1200</v>
      </c>
      <c r="F11">
        <f t="shared" si="1"/>
        <v>1200</v>
      </c>
      <c r="G11">
        <f t="shared" si="1"/>
        <v>1200</v>
      </c>
      <c r="H11">
        <f t="shared" si="1"/>
        <v>1200</v>
      </c>
      <c r="I11">
        <f t="shared" si="1"/>
        <v>1200</v>
      </c>
      <c r="J11">
        <f t="shared" si="1"/>
        <v>1200</v>
      </c>
    </row>
    <row r="12" spans="1:10" x14ac:dyDescent="0.25">
      <c r="A12" t="s">
        <v>8</v>
      </c>
    </row>
    <row r="13" spans="1:10" x14ac:dyDescent="0.25">
      <c r="A13" t="s">
        <v>9</v>
      </c>
      <c r="C13">
        <f>C11</f>
        <v>1200</v>
      </c>
      <c r="D13">
        <f t="shared" ref="D13:J13" si="2">D11</f>
        <v>1200</v>
      </c>
      <c r="E13">
        <f t="shared" si="2"/>
        <v>1200</v>
      </c>
      <c r="F13">
        <f t="shared" si="2"/>
        <v>1200</v>
      </c>
      <c r="G13">
        <f t="shared" si="2"/>
        <v>1200</v>
      </c>
      <c r="H13">
        <f t="shared" si="2"/>
        <v>1200</v>
      </c>
      <c r="I13">
        <f t="shared" si="2"/>
        <v>1200</v>
      </c>
      <c r="J13">
        <f t="shared" si="2"/>
        <v>1200</v>
      </c>
    </row>
    <row r="14" spans="1:10" x14ac:dyDescent="0.25">
      <c r="A14" t="s">
        <v>13</v>
      </c>
      <c r="C14">
        <f>C13/(1+$B4)^C7</f>
        <v>1071.4285714285713</v>
      </c>
      <c r="D14">
        <f t="shared" ref="D14:J14" si="3">D13/(1+$B4)^D7</f>
        <v>956.63265306122435</v>
      </c>
      <c r="E14">
        <f t="shared" si="3"/>
        <v>854.13629737609301</v>
      </c>
      <c r="F14">
        <f t="shared" si="3"/>
        <v>762.62169408579746</v>
      </c>
      <c r="G14">
        <f t="shared" si="3"/>
        <v>680.91222686231913</v>
      </c>
      <c r="H14">
        <f t="shared" si="3"/>
        <v>607.95734541278478</v>
      </c>
      <c r="I14">
        <f t="shared" si="3"/>
        <v>542.81905840427214</v>
      </c>
      <c r="J14">
        <f t="shared" si="3"/>
        <v>484.65987357524295</v>
      </c>
    </row>
    <row r="15" spans="1:10" x14ac:dyDescent="0.25">
      <c r="A15" t="s">
        <v>10</v>
      </c>
      <c r="B15">
        <f>SUM(C14:J14)</f>
        <v>5961.1677202063056</v>
      </c>
    </row>
    <row r="18" spans="1:10" ht="13" x14ac:dyDescent="0.3">
      <c r="A18" s="1" t="s">
        <v>12</v>
      </c>
    </row>
    <row r="19" spans="1:10" x14ac:dyDescent="0.25">
      <c r="A19" t="s">
        <v>0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</row>
    <row r="20" spans="1:10" x14ac:dyDescent="0.25">
      <c r="A20" t="s">
        <v>1</v>
      </c>
      <c r="C20">
        <v>51000</v>
      </c>
      <c r="D20">
        <v>51000</v>
      </c>
      <c r="E20">
        <v>51000</v>
      </c>
      <c r="F20">
        <v>51000</v>
      </c>
      <c r="G20">
        <v>51000</v>
      </c>
      <c r="H20">
        <v>51000</v>
      </c>
      <c r="I20">
        <v>51000</v>
      </c>
      <c r="J20">
        <v>51000</v>
      </c>
    </row>
    <row r="21" spans="1:10" x14ac:dyDescent="0.25">
      <c r="A21" t="s">
        <v>2</v>
      </c>
      <c r="C21">
        <f>$E3/8</f>
        <v>12500</v>
      </c>
      <c r="D21">
        <f t="shared" ref="D21:J21" si="4">$E3/8</f>
        <v>12500</v>
      </c>
      <c r="E21">
        <f t="shared" si="4"/>
        <v>12500</v>
      </c>
      <c r="F21">
        <f t="shared" si="4"/>
        <v>12500</v>
      </c>
      <c r="G21">
        <f t="shared" si="4"/>
        <v>12500</v>
      </c>
      <c r="H21">
        <f t="shared" si="4"/>
        <v>12500</v>
      </c>
      <c r="I21">
        <f t="shared" si="4"/>
        <v>12500</v>
      </c>
      <c r="J21">
        <f t="shared" si="4"/>
        <v>12500</v>
      </c>
    </row>
    <row r="22" spans="1:10" x14ac:dyDescent="0.25">
      <c r="A22" t="s">
        <v>3</v>
      </c>
      <c r="C22">
        <f>(C20-C21)*$B3</f>
        <v>15400</v>
      </c>
      <c r="D22">
        <f t="shared" ref="D22:J22" si="5">(D20-D21)*$B3</f>
        <v>15400</v>
      </c>
      <c r="E22">
        <f t="shared" si="5"/>
        <v>15400</v>
      </c>
      <c r="F22">
        <f t="shared" si="5"/>
        <v>15400</v>
      </c>
      <c r="G22">
        <f t="shared" si="5"/>
        <v>15400</v>
      </c>
      <c r="H22">
        <f t="shared" si="5"/>
        <v>15400</v>
      </c>
      <c r="I22">
        <f t="shared" si="5"/>
        <v>15400</v>
      </c>
      <c r="J22">
        <f t="shared" si="5"/>
        <v>15400</v>
      </c>
    </row>
    <row r="23" spans="1:10" x14ac:dyDescent="0.25">
      <c r="A23" t="s">
        <v>7</v>
      </c>
      <c r="C23">
        <f>C20-C22</f>
        <v>35600</v>
      </c>
      <c r="D23">
        <f t="shared" ref="D23:J23" si="6">D20-D22</f>
        <v>35600</v>
      </c>
      <c r="E23">
        <f t="shared" si="6"/>
        <v>35600</v>
      </c>
      <c r="F23">
        <f t="shared" si="6"/>
        <v>35600</v>
      </c>
      <c r="G23">
        <f t="shared" si="6"/>
        <v>35600</v>
      </c>
      <c r="H23">
        <f t="shared" si="6"/>
        <v>35600</v>
      </c>
      <c r="I23">
        <f t="shared" si="6"/>
        <v>35600</v>
      </c>
      <c r="J23">
        <f t="shared" si="6"/>
        <v>35600</v>
      </c>
    </row>
    <row r="24" spans="1:10" x14ac:dyDescent="0.25">
      <c r="A24" t="s">
        <v>8</v>
      </c>
      <c r="B24">
        <v>100000</v>
      </c>
    </row>
    <row r="25" spans="1:10" x14ac:dyDescent="0.25">
      <c r="A25" t="s">
        <v>9</v>
      </c>
      <c r="B25">
        <f>-B24</f>
        <v>-100000</v>
      </c>
      <c r="C25">
        <f>C23</f>
        <v>35600</v>
      </c>
      <c r="D25">
        <f t="shared" ref="D25:J25" si="7">D23</f>
        <v>35600</v>
      </c>
      <c r="E25">
        <f t="shared" si="7"/>
        <v>35600</v>
      </c>
      <c r="F25">
        <f t="shared" si="7"/>
        <v>35600</v>
      </c>
      <c r="G25">
        <f t="shared" si="7"/>
        <v>35600</v>
      </c>
      <c r="H25">
        <f t="shared" si="7"/>
        <v>35600</v>
      </c>
      <c r="I25">
        <f t="shared" si="7"/>
        <v>35600</v>
      </c>
      <c r="J25">
        <f t="shared" si="7"/>
        <v>35600</v>
      </c>
    </row>
    <row r="26" spans="1:10" x14ac:dyDescent="0.25">
      <c r="A26" t="s">
        <v>14</v>
      </c>
      <c r="B26">
        <f>B25</f>
        <v>-100000</v>
      </c>
      <c r="C26">
        <f>C25/(1+$B4)^C19</f>
        <v>31785.714285714283</v>
      </c>
      <c r="D26">
        <f t="shared" ref="D26:J26" si="8">D25/(1+$B4)^D19</f>
        <v>28380.102040816324</v>
      </c>
      <c r="E26">
        <f t="shared" si="8"/>
        <v>25339.376822157428</v>
      </c>
      <c r="F26">
        <f t="shared" si="8"/>
        <v>22624.443591211988</v>
      </c>
      <c r="G26">
        <f t="shared" si="8"/>
        <v>20200.396063582131</v>
      </c>
      <c r="H26">
        <f t="shared" si="8"/>
        <v>18036.067913912615</v>
      </c>
      <c r="I26">
        <f t="shared" si="8"/>
        <v>16103.632065993406</v>
      </c>
      <c r="J26">
        <f t="shared" si="8"/>
        <v>14378.242916065541</v>
      </c>
    </row>
    <row r="28" spans="1:10" x14ac:dyDescent="0.25">
      <c r="A28" t="s">
        <v>10</v>
      </c>
      <c r="B28">
        <f>SUM(B26:J26)</f>
        <v>76847.975699453717</v>
      </c>
    </row>
    <row r="30" spans="1:10" x14ac:dyDescent="0.25">
      <c r="A30" t="s">
        <v>15</v>
      </c>
    </row>
    <row r="33" spans="1:3" ht="20" x14ac:dyDescent="0.4">
      <c r="A33" s="2">
        <v>2</v>
      </c>
    </row>
    <row r="35" spans="1:3" x14ac:dyDescent="0.25">
      <c r="A35" t="s">
        <v>16</v>
      </c>
      <c r="B35">
        <v>0.2</v>
      </c>
    </row>
    <row r="37" spans="1:3" x14ac:dyDescent="0.25">
      <c r="A37" t="s">
        <v>17</v>
      </c>
      <c r="B37" t="s">
        <v>18</v>
      </c>
      <c r="C37" t="s">
        <v>19</v>
      </c>
    </row>
    <row r="38" spans="1:3" x14ac:dyDescent="0.25">
      <c r="A38">
        <v>1</v>
      </c>
      <c r="B38">
        <v>18</v>
      </c>
      <c r="C38">
        <v>0</v>
      </c>
    </row>
    <row r="39" spans="1:3" x14ac:dyDescent="0.25">
      <c r="A39">
        <v>2</v>
      </c>
      <c r="B39">
        <v>5</v>
      </c>
      <c r="C39">
        <v>-3</v>
      </c>
    </row>
    <row r="40" spans="1:3" x14ac:dyDescent="0.25">
      <c r="A40">
        <v>3</v>
      </c>
      <c r="B40">
        <v>12</v>
      </c>
      <c r="C40">
        <v>15</v>
      </c>
    </row>
    <row r="41" spans="1:3" x14ac:dyDescent="0.25">
      <c r="A41">
        <v>4</v>
      </c>
      <c r="B41">
        <v>4</v>
      </c>
      <c r="C41">
        <v>12</v>
      </c>
    </row>
    <row r="42" spans="1:3" x14ac:dyDescent="0.25">
      <c r="A42">
        <v>5</v>
      </c>
      <c r="B42">
        <v>6</v>
      </c>
      <c r="C42">
        <v>1</v>
      </c>
    </row>
    <row r="44" spans="1:3" ht="13" x14ac:dyDescent="0.3">
      <c r="A44" s="1" t="s">
        <v>20</v>
      </c>
    </row>
    <row r="45" spans="1:3" x14ac:dyDescent="0.25">
      <c r="B45" t="s">
        <v>18</v>
      </c>
      <c r="C45" t="s">
        <v>19</v>
      </c>
    </row>
    <row r="46" spans="1:3" x14ac:dyDescent="0.25">
      <c r="A46" t="s">
        <v>21</v>
      </c>
      <c r="B46">
        <f>AVERAGE(B38:B42)</f>
        <v>9</v>
      </c>
      <c r="C46">
        <f>AVERAGE(C38:C42)</f>
        <v>5</v>
      </c>
    </row>
    <row r="47" spans="1:3" x14ac:dyDescent="0.25">
      <c r="A47" t="s">
        <v>22</v>
      </c>
      <c r="B47">
        <f>VARP(B38:B42)</f>
        <v>28</v>
      </c>
      <c r="C47">
        <f>VARP(C38:C42)</f>
        <v>50.8</v>
      </c>
    </row>
    <row r="48" spans="1:3" x14ac:dyDescent="0.25">
      <c r="A48" t="s">
        <v>31</v>
      </c>
      <c r="B48">
        <f>COVAR(B38:B42,C38:C42)</f>
        <v>-1.2</v>
      </c>
    </row>
    <row r="50" spans="1:8" ht="13" x14ac:dyDescent="0.3">
      <c r="A50" s="1" t="s">
        <v>23</v>
      </c>
    </row>
    <row r="52" spans="1:8" x14ac:dyDescent="0.25">
      <c r="A52" t="s">
        <v>24</v>
      </c>
      <c r="B52">
        <v>1.25</v>
      </c>
      <c r="C52">
        <v>1</v>
      </c>
      <c r="D52">
        <v>0.75</v>
      </c>
      <c r="E52">
        <v>0.5</v>
      </c>
      <c r="F52">
        <v>0.25</v>
      </c>
      <c r="G52">
        <v>0</v>
      </c>
      <c r="H52">
        <v>-0.25</v>
      </c>
    </row>
    <row r="53" spans="1:8" x14ac:dyDescent="0.25">
      <c r="A53" t="s">
        <v>25</v>
      </c>
      <c r="B53">
        <f t="shared" ref="B53:H53" si="9">1-B52</f>
        <v>-0.25</v>
      </c>
      <c r="C53">
        <f t="shared" si="9"/>
        <v>0</v>
      </c>
      <c r="D53">
        <f t="shared" si="9"/>
        <v>0.25</v>
      </c>
      <c r="E53">
        <f t="shared" si="9"/>
        <v>0.5</v>
      </c>
      <c r="F53">
        <f t="shared" si="9"/>
        <v>0.75</v>
      </c>
      <c r="G53">
        <f t="shared" si="9"/>
        <v>1</v>
      </c>
      <c r="H53">
        <f t="shared" si="9"/>
        <v>1.25</v>
      </c>
    </row>
    <row r="54" spans="1:8" x14ac:dyDescent="0.25">
      <c r="A54" t="s">
        <v>21</v>
      </c>
      <c r="B54">
        <f>B52*$B46+B53*$C46</f>
        <v>10</v>
      </c>
      <c r="C54">
        <f t="shared" ref="C54:H54" si="10">C52*$B46+C53*$C46</f>
        <v>9</v>
      </c>
      <c r="D54">
        <f t="shared" si="10"/>
        <v>8</v>
      </c>
      <c r="E54">
        <f t="shared" si="10"/>
        <v>7</v>
      </c>
      <c r="F54">
        <f t="shared" si="10"/>
        <v>6</v>
      </c>
      <c r="G54">
        <f t="shared" si="10"/>
        <v>5</v>
      </c>
      <c r="H54">
        <f t="shared" si="10"/>
        <v>4</v>
      </c>
    </row>
    <row r="55" spans="1:8" x14ac:dyDescent="0.25">
      <c r="A55" t="s">
        <v>22</v>
      </c>
      <c r="B55">
        <f>(B52^2)*$B47+(B53^2)*$C47+2*B52*B53*$B48</f>
        <v>47.674999999999997</v>
      </c>
      <c r="C55">
        <f t="shared" ref="C55:H55" si="11">(C52^2)*$B47+(C53^2)*$C47+2*C52*C53*$B48</f>
        <v>28</v>
      </c>
      <c r="D55">
        <f t="shared" si="11"/>
        <v>18.475000000000001</v>
      </c>
      <c r="E55">
        <f t="shared" si="11"/>
        <v>19.099999999999998</v>
      </c>
      <c r="F55">
        <f t="shared" si="11"/>
        <v>29.875</v>
      </c>
      <c r="G55">
        <f t="shared" si="11"/>
        <v>50.8</v>
      </c>
      <c r="H55">
        <f t="shared" si="11"/>
        <v>81.875</v>
      </c>
    </row>
    <row r="56" spans="1:8" x14ac:dyDescent="0.25">
      <c r="A56" t="s">
        <v>27</v>
      </c>
      <c r="B56">
        <f>SQRT(B55)</f>
        <v>6.904708538381616</v>
      </c>
      <c r="C56">
        <f t="shared" ref="C56:H56" si="12">SQRT(C55)</f>
        <v>5.2915026221291814</v>
      </c>
      <c r="D56">
        <f t="shared" si="12"/>
        <v>4.2982554600674909</v>
      </c>
      <c r="E56">
        <f t="shared" si="12"/>
        <v>4.3703546766824308</v>
      </c>
      <c r="F56">
        <f t="shared" si="12"/>
        <v>5.4658027772688618</v>
      </c>
      <c r="G56">
        <f t="shared" si="12"/>
        <v>7.1274118724821847</v>
      </c>
      <c r="H56">
        <f t="shared" si="12"/>
        <v>9.0484805354269291</v>
      </c>
    </row>
    <row r="72" spans="1:4" ht="13" x14ac:dyDescent="0.3">
      <c r="A72" s="1" t="s">
        <v>28</v>
      </c>
    </row>
    <row r="74" spans="1:4" x14ac:dyDescent="0.25">
      <c r="A74" t="s">
        <v>29</v>
      </c>
      <c r="B74">
        <v>0.64122893954410332</v>
      </c>
      <c r="C74" t="s">
        <v>36</v>
      </c>
      <c r="D74">
        <f>B74+B75</f>
        <v>1</v>
      </c>
    </row>
    <row r="75" spans="1:4" x14ac:dyDescent="0.25">
      <c r="A75" t="s">
        <v>30</v>
      </c>
      <c r="B75">
        <v>0.35877106045589674</v>
      </c>
    </row>
    <row r="76" spans="1:4" x14ac:dyDescent="0.25">
      <c r="A76" t="s">
        <v>22</v>
      </c>
      <c r="B76">
        <f>((B74)^2)*B47+(B75)^2*C47+2*B48*B74*B75</f>
        <v>17.499563983612305</v>
      </c>
    </row>
    <row r="77" spans="1:4" x14ac:dyDescent="0.25">
      <c r="A77" t="s">
        <v>21</v>
      </c>
      <c r="B77">
        <f>B74*B46+B75*C46</f>
        <v>7.5649157581764133</v>
      </c>
    </row>
    <row r="79" spans="1:4" ht="13" x14ac:dyDescent="0.3">
      <c r="A79" s="1" t="s">
        <v>32</v>
      </c>
    </row>
    <row r="81" spans="1:4" x14ac:dyDescent="0.25">
      <c r="A81" t="s">
        <v>24</v>
      </c>
      <c r="B81">
        <v>0.75</v>
      </c>
      <c r="C81">
        <v>0.25</v>
      </c>
      <c r="D81">
        <f>B74</f>
        <v>0.64122893954410332</v>
      </c>
    </row>
    <row r="82" spans="1:4" x14ac:dyDescent="0.25">
      <c r="A82" t="s">
        <v>25</v>
      </c>
      <c r="B82">
        <v>0.25</v>
      </c>
      <c r="C82">
        <v>0.75</v>
      </c>
      <c r="D82">
        <f>B75</f>
        <v>0.35877106045589674</v>
      </c>
    </row>
    <row r="83" spans="1:4" x14ac:dyDescent="0.25">
      <c r="A83" s="3" t="s">
        <v>26</v>
      </c>
    </row>
    <row r="84" spans="1:4" x14ac:dyDescent="0.25">
      <c r="A84">
        <v>1</v>
      </c>
      <c r="B84">
        <f>B$81*$B38+B$82*$C38</f>
        <v>13.5</v>
      </c>
      <c r="C84">
        <f>C$81*$B38+C$82*$C38</f>
        <v>4.5</v>
      </c>
      <c r="D84">
        <f>D$81*$B38+D$82*$C38</f>
        <v>11.542120911793859</v>
      </c>
    </row>
    <row r="85" spans="1:4" x14ac:dyDescent="0.25">
      <c r="A85">
        <v>2</v>
      </c>
      <c r="B85">
        <f t="shared" ref="B85:D88" si="13">B$81*$B39+B$82*$C39</f>
        <v>3</v>
      </c>
      <c r="C85">
        <f t="shared" si="13"/>
        <v>-1</v>
      </c>
      <c r="D85">
        <f t="shared" si="13"/>
        <v>2.1298315163528265</v>
      </c>
    </row>
    <row r="86" spans="1:4" x14ac:dyDescent="0.25">
      <c r="A86">
        <v>3</v>
      </c>
      <c r="B86">
        <f t="shared" si="13"/>
        <v>12.75</v>
      </c>
      <c r="C86">
        <f t="shared" si="13"/>
        <v>14.25</v>
      </c>
      <c r="D86">
        <f t="shared" si="13"/>
        <v>13.076313181367691</v>
      </c>
    </row>
    <row r="87" spans="1:4" x14ac:dyDescent="0.25">
      <c r="A87">
        <v>4</v>
      </c>
      <c r="B87">
        <f t="shared" si="13"/>
        <v>6</v>
      </c>
      <c r="C87">
        <f t="shared" si="13"/>
        <v>10</v>
      </c>
      <c r="D87">
        <f t="shared" si="13"/>
        <v>6.8701684836471744</v>
      </c>
    </row>
    <row r="88" spans="1:4" x14ac:dyDescent="0.25">
      <c r="A88">
        <v>5</v>
      </c>
      <c r="B88">
        <f t="shared" si="13"/>
        <v>4.75</v>
      </c>
      <c r="C88">
        <f t="shared" si="13"/>
        <v>2.25</v>
      </c>
      <c r="D88">
        <f t="shared" si="13"/>
        <v>4.206144697720517</v>
      </c>
    </row>
    <row r="90" spans="1:4" x14ac:dyDescent="0.25">
      <c r="A90" t="s">
        <v>31</v>
      </c>
      <c r="B90">
        <f>COVAR(B84:B88,C84:C88)</f>
        <v>14.025</v>
      </c>
    </row>
    <row r="93" spans="1:4" ht="13" x14ac:dyDescent="0.3">
      <c r="A93" s="1" t="s">
        <v>33</v>
      </c>
    </row>
    <row r="95" spans="1:4" x14ac:dyDescent="0.25">
      <c r="A95" t="s">
        <v>34</v>
      </c>
      <c r="B95">
        <f>COVAR(B84:B88,D84:D88)</f>
        <v>17.506937561942518</v>
      </c>
    </row>
    <row r="96" spans="1:4" x14ac:dyDescent="0.25">
      <c r="A96" t="s">
        <v>35</v>
      </c>
      <c r="B96">
        <f>COVAR(C84:C88,D84:D88)</f>
        <v>17.473042616451927</v>
      </c>
    </row>
    <row r="98" spans="1:2" ht="13" x14ac:dyDescent="0.3">
      <c r="A98" s="1" t="s">
        <v>37</v>
      </c>
    </row>
    <row r="100" spans="1:2" x14ac:dyDescent="0.25">
      <c r="A100" t="s">
        <v>44</v>
      </c>
    </row>
    <row r="103" spans="1:2" ht="20" x14ac:dyDescent="0.4">
      <c r="A103" s="2">
        <v>3</v>
      </c>
    </row>
    <row r="105" spans="1:2" x14ac:dyDescent="0.25">
      <c r="A105" t="s">
        <v>39</v>
      </c>
      <c r="B105">
        <v>40</v>
      </c>
    </row>
    <row r="106" spans="1:2" x14ac:dyDescent="0.25">
      <c r="A106" t="s">
        <v>38</v>
      </c>
      <c r="B106">
        <f>B105*(1+0.13)</f>
        <v>45.199999999999996</v>
      </c>
    </row>
    <row r="107" spans="1:2" x14ac:dyDescent="0.25">
      <c r="A107" t="s">
        <v>40</v>
      </c>
      <c r="B107">
        <f>(0.13-0.07)/0.08</f>
        <v>0.75</v>
      </c>
    </row>
    <row r="108" spans="1:2" x14ac:dyDescent="0.25">
      <c r="A108" t="s">
        <v>41</v>
      </c>
      <c r="B108">
        <f>B107*2</f>
        <v>1.5</v>
      </c>
    </row>
    <row r="109" spans="1:2" x14ac:dyDescent="0.25">
      <c r="A109" t="s">
        <v>42</v>
      </c>
      <c r="B109">
        <f>0.07+B108*0.08</f>
        <v>0.19</v>
      </c>
    </row>
    <row r="110" spans="1:2" x14ac:dyDescent="0.25">
      <c r="A110" t="s">
        <v>43</v>
      </c>
      <c r="B110">
        <f>45.2/1.19</f>
        <v>37.983193277310932</v>
      </c>
    </row>
    <row r="111" spans="1:2" x14ac:dyDescent="0.25">
      <c r="B111">
        <f>40*1.13</f>
        <v>45.199999999999996</v>
      </c>
    </row>
    <row r="116" spans="1:11" ht="20" x14ac:dyDescent="0.4">
      <c r="A116" s="9" t="s">
        <v>73</v>
      </c>
    </row>
    <row r="117" spans="1:11" ht="13" x14ac:dyDescent="0.3">
      <c r="A117" s="1"/>
    </row>
    <row r="118" spans="1:11" x14ac:dyDescent="0.25">
      <c r="A118" s="8" t="s">
        <v>57</v>
      </c>
    </row>
    <row r="119" spans="1:11" x14ac:dyDescent="0.25">
      <c r="B119">
        <v>1</v>
      </c>
      <c r="C119">
        <v>2</v>
      </c>
      <c r="D119">
        <v>3</v>
      </c>
      <c r="E119">
        <v>4</v>
      </c>
      <c r="F119">
        <v>5</v>
      </c>
      <c r="G119">
        <v>6</v>
      </c>
      <c r="H119">
        <v>7</v>
      </c>
      <c r="I119">
        <v>8</v>
      </c>
      <c r="J119">
        <v>9</v>
      </c>
      <c r="K119">
        <v>10</v>
      </c>
    </row>
    <row r="120" spans="1:11" x14ac:dyDescent="0.25">
      <c r="A120" t="s">
        <v>2</v>
      </c>
      <c r="B120">
        <v>6000</v>
      </c>
      <c r="C120">
        <v>6000</v>
      </c>
      <c r="D120">
        <v>6000</v>
      </c>
      <c r="E120">
        <v>6000</v>
      </c>
      <c r="F120">
        <v>6000</v>
      </c>
      <c r="G120">
        <v>6000</v>
      </c>
      <c r="H120">
        <v>6000</v>
      </c>
      <c r="I120">
        <v>6000</v>
      </c>
      <c r="J120">
        <v>6000</v>
      </c>
      <c r="K120">
        <v>6000</v>
      </c>
    </row>
    <row r="121" spans="1:11" x14ac:dyDescent="0.25">
      <c r="A121" t="s">
        <v>58</v>
      </c>
      <c r="B121">
        <f>B120*0.4</f>
        <v>2400</v>
      </c>
      <c r="C121">
        <f t="shared" ref="C121:K121" si="14">C120*0.4</f>
        <v>2400</v>
      </c>
      <c r="D121">
        <f t="shared" si="14"/>
        <v>2400</v>
      </c>
      <c r="E121">
        <f t="shared" si="14"/>
        <v>2400</v>
      </c>
      <c r="F121">
        <f t="shared" si="14"/>
        <v>2400</v>
      </c>
      <c r="G121">
        <f t="shared" si="14"/>
        <v>2400</v>
      </c>
      <c r="H121">
        <f t="shared" si="14"/>
        <v>2400</v>
      </c>
      <c r="I121">
        <f t="shared" si="14"/>
        <v>2400</v>
      </c>
      <c r="J121">
        <f t="shared" si="14"/>
        <v>2400</v>
      </c>
      <c r="K121">
        <f t="shared" si="14"/>
        <v>2400</v>
      </c>
    </row>
    <row r="122" spans="1:11" x14ac:dyDescent="0.25">
      <c r="A122" t="s">
        <v>59</v>
      </c>
      <c r="B122">
        <f>(1/1.1)^B119</f>
        <v>0.90909090909090906</v>
      </c>
      <c r="C122">
        <f t="shared" ref="C122:K122" si="15">(1/1.1)^C119</f>
        <v>0.82644628099173545</v>
      </c>
      <c r="D122">
        <f t="shared" si="15"/>
        <v>0.75131480090157765</v>
      </c>
      <c r="E122">
        <f t="shared" si="15"/>
        <v>0.68301345536507052</v>
      </c>
      <c r="F122">
        <f t="shared" si="15"/>
        <v>0.62092132305915504</v>
      </c>
      <c r="G122">
        <f t="shared" si="15"/>
        <v>0.56447393005377722</v>
      </c>
      <c r="H122">
        <f t="shared" si="15"/>
        <v>0.51315811823070656</v>
      </c>
      <c r="I122">
        <f t="shared" si="15"/>
        <v>0.4665073802097332</v>
      </c>
      <c r="J122">
        <f t="shared" si="15"/>
        <v>0.42409761837248472</v>
      </c>
      <c r="K122">
        <f t="shared" si="15"/>
        <v>0.38554328942953153</v>
      </c>
    </row>
    <row r="123" spans="1:11" x14ac:dyDescent="0.25">
      <c r="A123" t="s">
        <v>60</v>
      </c>
      <c r="B123">
        <f>B121*B122</f>
        <v>2181.8181818181815</v>
      </c>
      <c r="C123">
        <f t="shared" ref="C123:K123" si="16">C121*C122</f>
        <v>1983.4710743801652</v>
      </c>
      <c r="D123">
        <f t="shared" si="16"/>
        <v>1803.1555221637864</v>
      </c>
      <c r="E123">
        <f t="shared" si="16"/>
        <v>1639.2322928761691</v>
      </c>
      <c r="F123">
        <f t="shared" si="16"/>
        <v>1490.2111753419722</v>
      </c>
      <c r="G123">
        <f t="shared" si="16"/>
        <v>1354.7374321290654</v>
      </c>
      <c r="H123">
        <f t="shared" si="16"/>
        <v>1231.5794837536957</v>
      </c>
      <c r="I123">
        <f t="shared" si="16"/>
        <v>1119.6177125033596</v>
      </c>
      <c r="J123">
        <f t="shared" si="16"/>
        <v>1017.8342840939633</v>
      </c>
      <c r="K123">
        <f t="shared" si="16"/>
        <v>925.30389463087567</v>
      </c>
    </row>
    <row r="124" spans="1:11" x14ac:dyDescent="0.25">
      <c r="A124" t="s">
        <v>61</v>
      </c>
      <c r="B124">
        <f>SUM(B123:K123)</f>
        <v>14746.961053691235</v>
      </c>
      <c r="C124" t="s">
        <v>62</v>
      </c>
    </row>
    <row r="126" spans="1:11" x14ac:dyDescent="0.25">
      <c r="A126" s="8" t="s">
        <v>63</v>
      </c>
    </row>
    <row r="127" spans="1:11" x14ac:dyDescent="0.25">
      <c r="B127">
        <v>1</v>
      </c>
      <c r="C127">
        <v>2</v>
      </c>
      <c r="D127">
        <v>3</v>
      </c>
      <c r="E127">
        <v>4</v>
      </c>
      <c r="F127">
        <v>5</v>
      </c>
      <c r="G127">
        <v>6</v>
      </c>
      <c r="H127">
        <v>7</v>
      </c>
      <c r="I127">
        <v>8</v>
      </c>
      <c r="J127">
        <v>9</v>
      </c>
      <c r="K127">
        <v>10</v>
      </c>
    </row>
    <row r="128" spans="1:11" x14ac:dyDescent="0.25">
      <c r="A128" t="s">
        <v>2</v>
      </c>
      <c r="B128">
        <v>4000</v>
      </c>
      <c r="C128">
        <v>4000</v>
      </c>
      <c r="D128">
        <v>4000</v>
      </c>
      <c r="E128">
        <v>4000</v>
      </c>
      <c r="F128">
        <v>4000</v>
      </c>
      <c r="G128">
        <v>4000</v>
      </c>
      <c r="H128">
        <v>4000</v>
      </c>
      <c r="I128">
        <v>4000</v>
      </c>
      <c r="J128">
        <v>4000</v>
      </c>
      <c r="K128">
        <v>4000</v>
      </c>
    </row>
    <row r="129" spans="1:11" x14ac:dyDescent="0.25">
      <c r="A129" t="s">
        <v>58</v>
      </c>
      <c r="B129">
        <f t="shared" ref="B129:K129" si="17">B128*0.4</f>
        <v>1600</v>
      </c>
      <c r="C129">
        <f t="shared" si="17"/>
        <v>1600</v>
      </c>
      <c r="D129">
        <f t="shared" si="17"/>
        <v>1600</v>
      </c>
      <c r="E129">
        <f t="shared" si="17"/>
        <v>1600</v>
      </c>
      <c r="F129">
        <f t="shared" si="17"/>
        <v>1600</v>
      </c>
      <c r="G129">
        <f t="shared" si="17"/>
        <v>1600</v>
      </c>
      <c r="H129">
        <f t="shared" si="17"/>
        <v>1600</v>
      </c>
      <c r="I129">
        <f t="shared" si="17"/>
        <v>1600</v>
      </c>
      <c r="J129">
        <f t="shared" si="17"/>
        <v>1600</v>
      </c>
      <c r="K129">
        <f t="shared" si="17"/>
        <v>1600</v>
      </c>
    </row>
    <row r="130" spans="1:11" x14ac:dyDescent="0.25">
      <c r="A130" t="s">
        <v>59</v>
      </c>
      <c r="B130">
        <f>(1/1.1)^B127</f>
        <v>0.90909090909090906</v>
      </c>
      <c r="C130">
        <f t="shared" ref="C130:K130" si="18">(1/1.1)^C127</f>
        <v>0.82644628099173545</v>
      </c>
      <c r="D130">
        <f t="shared" si="18"/>
        <v>0.75131480090157765</v>
      </c>
      <c r="E130">
        <f t="shared" si="18"/>
        <v>0.68301345536507052</v>
      </c>
      <c r="F130">
        <f t="shared" si="18"/>
        <v>0.62092132305915504</v>
      </c>
      <c r="G130">
        <f t="shared" si="18"/>
        <v>0.56447393005377722</v>
      </c>
      <c r="H130">
        <f t="shared" si="18"/>
        <v>0.51315811823070656</v>
      </c>
      <c r="I130">
        <f t="shared" si="18"/>
        <v>0.4665073802097332</v>
      </c>
      <c r="J130">
        <f t="shared" si="18"/>
        <v>0.42409761837248472</v>
      </c>
      <c r="K130">
        <f t="shared" si="18"/>
        <v>0.38554328942953153</v>
      </c>
    </row>
    <row r="131" spans="1:11" x14ac:dyDescent="0.25">
      <c r="A131" t="s">
        <v>60</v>
      </c>
      <c r="B131">
        <f t="shared" ref="B131:K131" si="19">B129*B130</f>
        <v>1454.5454545454545</v>
      </c>
      <c r="C131">
        <f t="shared" si="19"/>
        <v>1322.3140495867767</v>
      </c>
      <c r="D131">
        <f t="shared" si="19"/>
        <v>1202.1036814425242</v>
      </c>
      <c r="E131">
        <f t="shared" si="19"/>
        <v>1092.8215285841129</v>
      </c>
      <c r="F131">
        <f t="shared" si="19"/>
        <v>993.47411689464809</v>
      </c>
      <c r="G131">
        <f t="shared" si="19"/>
        <v>903.15828808604351</v>
      </c>
      <c r="H131">
        <f t="shared" si="19"/>
        <v>821.05298916913046</v>
      </c>
      <c r="I131">
        <f t="shared" si="19"/>
        <v>746.41180833557314</v>
      </c>
      <c r="J131">
        <f t="shared" si="19"/>
        <v>678.55618939597559</v>
      </c>
      <c r="K131">
        <f t="shared" si="19"/>
        <v>616.86926308725049</v>
      </c>
    </row>
    <row r="132" spans="1:11" x14ac:dyDescent="0.25">
      <c r="A132" t="s">
        <v>61</v>
      </c>
      <c r="B132">
        <f>SUM(B131:K131)</f>
        <v>9831.3073691274876</v>
      </c>
      <c r="C132" t="s">
        <v>64</v>
      </c>
    </row>
    <row r="134" spans="1:11" x14ac:dyDescent="0.25">
      <c r="A134" t="s">
        <v>65</v>
      </c>
      <c r="B134">
        <v>40000</v>
      </c>
    </row>
    <row r="135" spans="1:11" x14ac:dyDescent="0.25">
      <c r="A135" t="s">
        <v>66</v>
      </c>
      <c r="B135">
        <v>100000</v>
      </c>
    </row>
    <row r="136" spans="1:11" x14ac:dyDescent="0.25">
      <c r="A136" t="s">
        <v>67</v>
      </c>
      <c r="B136">
        <f>(B135-60000)*0.25</f>
        <v>10000</v>
      </c>
    </row>
    <row r="137" spans="1:11" x14ac:dyDescent="0.25">
      <c r="A137" t="s">
        <v>68</v>
      </c>
      <c r="B137">
        <f>B135-B136</f>
        <v>90000</v>
      </c>
    </row>
    <row r="138" spans="1:11" x14ac:dyDescent="0.25">
      <c r="A138" t="s">
        <v>69</v>
      </c>
      <c r="B138">
        <f>B137-B134</f>
        <v>50000</v>
      </c>
    </row>
    <row r="140" spans="1:11" x14ac:dyDescent="0.25">
      <c r="A140" t="s">
        <v>70</v>
      </c>
    </row>
    <row r="141" spans="1:11" x14ac:dyDescent="0.25">
      <c r="A141">
        <f>B124</f>
        <v>14746.961053691235</v>
      </c>
    </row>
    <row r="142" spans="1:11" x14ac:dyDescent="0.25">
      <c r="A142" t="s">
        <v>71</v>
      </c>
    </row>
    <row r="143" spans="1:11" x14ac:dyDescent="0.25">
      <c r="A143">
        <f>B138+B132</f>
        <v>59831.307369127491</v>
      </c>
    </row>
    <row r="145" spans="1:7" x14ac:dyDescent="0.25">
      <c r="A145" t="s">
        <v>72</v>
      </c>
    </row>
    <row r="146" spans="1:7" x14ac:dyDescent="0.25">
      <c r="A146">
        <f>A143-A141</f>
        <v>45084.346315436254</v>
      </c>
    </row>
    <row r="150" spans="1:7" ht="20" x14ac:dyDescent="0.4">
      <c r="A150" s="9">
        <v>5</v>
      </c>
    </row>
    <row r="151" spans="1:7" x14ac:dyDescent="0.25">
      <c r="B151" t="s">
        <v>75</v>
      </c>
      <c r="C151" t="s">
        <v>76</v>
      </c>
      <c r="D151" t="s">
        <v>77</v>
      </c>
      <c r="F151" t="s">
        <v>85</v>
      </c>
      <c r="G151" t="s">
        <v>56</v>
      </c>
    </row>
    <row r="152" spans="1:7" x14ac:dyDescent="0.25">
      <c r="A152" t="s">
        <v>74</v>
      </c>
      <c r="B152">
        <v>6</v>
      </c>
      <c r="C152">
        <v>18</v>
      </c>
      <c r="D152">
        <v>60</v>
      </c>
      <c r="F152">
        <f>AVERAGE(B152:D152)</f>
        <v>28</v>
      </c>
      <c r="G152">
        <f>SQRT(VARP(B152:D152))</f>
        <v>23.151673805580451</v>
      </c>
    </row>
    <row r="153" spans="1:7" x14ac:dyDescent="0.25">
      <c r="A153" t="s">
        <v>78</v>
      </c>
      <c r="B153">
        <v>32</v>
      </c>
      <c r="C153">
        <v>22</v>
      </c>
      <c r="D153">
        <v>35</v>
      </c>
      <c r="F153">
        <f>AVERAGE(B153:D153)</f>
        <v>29.666666666666668</v>
      </c>
      <c r="G153">
        <f>SQRT(VARP(B153:D153))</f>
        <v>5.5577773335110221</v>
      </c>
    </row>
    <row r="154" spans="1:7" x14ac:dyDescent="0.25">
      <c r="A154" t="s">
        <v>79</v>
      </c>
      <c r="B154">
        <v>50</v>
      </c>
      <c r="C154">
        <v>10</v>
      </c>
      <c r="D154">
        <v>20</v>
      </c>
      <c r="F154">
        <f>AVERAGE(B154:D154)</f>
        <v>26.666666666666668</v>
      </c>
      <c r="G154">
        <f>SQRT(VARP(B154:D154))</f>
        <v>16.996731711975951</v>
      </c>
    </row>
    <row r="155" spans="1:7" x14ac:dyDescent="0.25">
      <c r="A155" t="s">
        <v>80</v>
      </c>
      <c r="B155">
        <v>10</v>
      </c>
      <c r="C155">
        <v>10</v>
      </c>
      <c r="D155">
        <v>10</v>
      </c>
      <c r="F155">
        <f>AVERAGE(B155:D155)</f>
        <v>10</v>
      </c>
      <c r="G155">
        <f>SQRT(VARP(B155:D155))</f>
        <v>0</v>
      </c>
    </row>
    <row r="157" spans="1:7" x14ac:dyDescent="0.25">
      <c r="A157" t="s">
        <v>81</v>
      </c>
      <c r="B157" t="s">
        <v>82</v>
      </c>
    </row>
    <row r="158" spans="1:7" x14ac:dyDescent="0.25">
      <c r="A158" t="s">
        <v>83</v>
      </c>
    </row>
    <row r="159" spans="1:7" x14ac:dyDescent="0.25">
      <c r="A159" t="s">
        <v>56</v>
      </c>
      <c r="B159" t="s">
        <v>85</v>
      </c>
      <c r="C159" t="s">
        <v>84</v>
      </c>
    </row>
    <row r="160" spans="1:7" x14ac:dyDescent="0.25">
      <c r="A160">
        <v>35</v>
      </c>
      <c r="B160">
        <f>10+C160*(F154-10)/G154</f>
        <v>44.320323649182207</v>
      </c>
      <c r="C160">
        <v>35</v>
      </c>
    </row>
    <row r="161" spans="1:4" x14ac:dyDescent="0.25">
      <c r="A161">
        <v>0</v>
      </c>
      <c r="B161">
        <f>10+C161*(F154-10)/G154</f>
        <v>10</v>
      </c>
      <c r="C161">
        <v>0</v>
      </c>
    </row>
    <row r="163" spans="1:4" x14ac:dyDescent="0.25">
      <c r="B163" t="s">
        <v>88</v>
      </c>
      <c r="C163" t="s">
        <v>89</v>
      </c>
      <c r="D163" t="s">
        <v>90</v>
      </c>
    </row>
    <row r="164" spans="1:4" x14ac:dyDescent="0.25">
      <c r="A164" t="s">
        <v>86</v>
      </c>
      <c r="B164">
        <f>COVAR(B152:D152,B154:D154)</f>
        <v>-186.66666666666666</v>
      </c>
      <c r="C164">
        <f>VARP(B154:D154)</f>
        <v>288.88888888888891</v>
      </c>
      <c r="D164">
        <f>B164/C164</f>
        <v>-0.64615384615384608</v>
      </c>
    </row>
    <row r="165" spans="1:4" x14ac:dyDescent="0.25">
      <c r="A165" t="s">
        <v>87</v>
      </c>
      <c r="B165">
        <f>COVAR(B153:D153,B154:D154)</f>
        <v>48.888888888888893</v>
      </c>
      <c r="C165">
        <f>VARP(B154:D154)</f>
        <v>288.88888888888891</v>
      </c>
      <c r="D165">
        <f>B165/C165</f>
        <v>0.16923076923076924</v>
      </c>
    </row>
    <row r="167" spans="1:4" x14ac:dyDescent="0.25">
      <c r="A167" t="s">
        <v>91</v>
      </c>
    </row>
    <row r="168" spans="1:4" x14ac:dyDescent="0.25">
      <c r="A168" t="s">
        <v>86</v>
      </c>
      <c r="B168">
        <f>(F152-10)/(F154-10)</f>
        <v>1.0799999999999998</v>
      </c>
    </row>
    <row r="169" spans="1:4" x14ac:dyDescent="0.25">
      <c r="A169" t="s">
        <v>87</v>
      </c>
      <c r="B169">
        <f>(F153-10)/(F154-10)</f>
        <v>1.18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L5" sqref="L5"/>
    </sheetView>
  </sheetViews>
  <sheetFormatPr defaultRowHeight="12.5" x14ac:dyDescent="0.25"/>
  <cols>
    <col min="5" max="5" width="13.1796875" bestFit="1" customWidth="1"/>
    <col min="6" max="6" width="13.453125" bestFit="1" customWidth="1"/>
    <col min="7" max="7" width="11.7265625" bestFit="1" customWidth="1"/>
    <col min="9" max="9" width="11.81640625" customWidth="1"/>
    <col min="10" max="12" width="12.453125" bestFit="1" customWidth="1"/>
  </cols>
  <sheetData>
    <row r="1" spans="1:12" x14ac:dyDescent="0.25">
      <c r="A1" t="s">
        <v>45</v>
      </c>
      <c r="B1" t="s">
        <v>46</v>
      </c>
      <c r="C1" t="s">
        <v>47</v>
      </c>
      <c r="D1" t="s">
        <v>48</v>
      </c>
      <c r="E1" s="7" t="s">
        <v>49</v>
      </c>
      <c r="F1" t="s">
        <v>50</v>
      </c>
      <c r="G1" t="s">
        <v>51</v>
      </c>
    </row>
    <row r="2" spans="1:12" x14ac:dyDescent="0.25">
      <c r="A2" s="4">
        <v>36472</v>
      </c>
      <c r="B2">
        <v>89.9375</v>
      </c>
      <c r="C2">
        <v>37.656199999999998</v>
      </c>
      <c r="D2">
        <v>34.368400000000001</v>
      </c>
      <c r="E2" s="5">
        <f>((B3-B2)/B2)*100 %</f>
        <v>-1.1813759555246699E-2</v>
      </c>
      <c r="F2" s="5">
        <f t="shared" ref="F2:F63" si="0">((C3-C2)/C2)*100 %</f>
        <v>-1.4106574747319123E-2</v>
      </c>
      <c r="G2" s="5">
        <f t="shared" ref="G2:G63" si="1">((D3-D2)/D2)*100 %</f>
        <v>9.5174637166700084E-3</v>
      </c>
      <c r="I2" t="s">
        <v>53</v>
      </c>
    </row>
    <row r="3" spans="1:12" x14ac:dyDescent="0.25">
      <c r="A3" s="4">
        <v>36473</v>
      </c>
      <c r="B3">
        <v>88.875</v>
      </c>
      <c r="C3">
        <v>37.125</v>
      </c>
      <c r="D3">
        <v>34.695500000000003</v>
      </c>
      <c r="E3" s="5">
        <f t="shared" ref="E3:E63" si="2">((B4-B3)/B3)*100 %</f>
        <v>-1.969057665260197E-2</v>
      </c>
      <c r="F3" s="5">
        <f t="shared" si="0"/>
        <v>7.0707070707070704E-2</v>
      </c>
      <c r="G3" s="5">
        <f t="shared" si="1"/>
        <v>0</v>
      </c>
      <c r="I3" t="s">
        <v>46</v>
      </c>
      <c r="J3">
        <v>0.8</v>
      </c>
    </row>
    <row r="4" spans="1:12" x14ac:dyDescent="0.25">
      <c r="A4" s="4">
        <v>36474</v>
      </c>
      <c r="B4">
        <v>87.125</v>
      </c>
      <c r="C4">
        <v>39.75</v>
      </c>
      <c r="D4">
        <v>34.695500000000003</v>
      </c>
      <c r="E4" s="5">
        <f t="shared" si="2"/>
        <v>2.8694404591104734E-2</v>
      </c>
      <c r="F4" s="5">
        <f t="shared" si="0"/>
        <v>5.3459119496855348E-2</v>
      </c>
      <c r="G4" s="5">
        <f t="shared" si="1"/>
        <v>1.0716087100632656E-2</v>
      </c>
      <c r="I4" t="s">
        <v>47</v>
      </c>
      <c r="J4">
        <v>0.1</v>
      </c>
    </row>
    <row r="5" spans="1:12" x14ac:dyDescent="0.25">
      <c r="A5" s="4">
        <v>36475</v>
      </c>
      <c r="B5">
        <v>89.625</v>
      </c>
      <c r="C5">
        <v>41.875</v>
      </c>
      <c r="D5">
        <v>35.067300000000003</v>
      </c>
      <c r="E5" s="5">
        <f t="shared" si="2"/>
        <v>-4.8814504881450485E-3</v>
      </c>
      <c r="F5" s="5">
        <f t="shared" si="0"/>
        <v>-3.7301492537313036E-3</v>
      </c>
      <c r="G5" s="5">
        <f t="shared" si="1"/>
        <v>-7.0664122986373373E-3</v>
      </c>
      <c r="I5" t="s">
        <v>48</v>
      </c>
      <c r="J5">
        <f>1-J3-J4</f>
        <v>9.999999999999995E-2</v>
      </c>
    </row>
    <row r="6" spans="1:12" x14ac:dyDescent="0.25">
      <c r="A6" s="4">
        <v>36476</v>
      </c>
      <c r="B6">
        <v>89.1875</v>
      </c>
      <c r="C6">
        <v>41.718800000000002</v>
      </c>
      <c r="D6">
        <v>34.819499999999998</v>
      </c>
      <c r="E6" s="5">
        <f t="shared" si="2"/>
        <v>-2.4526979677645409E-2</v>
      </c>
      <c r="F6" s="5">
        <f t="shared" si="0"/>
        <v>-7.4930247274610801E-3</v>
      </c>
      <c r="G6" s="5">
        <f t="shared" si="1"/>
        <v>-3.5612228779849002E-3</v>
      </c>
    </row>
    <row r="7" spans="1:12" x14ac:dyDescent="0.25">
      <c r="A7" s="4">
        <v>36479</v>
      </c>
      <c r="B7">
        <v>87</v>
      </c>
      <c r="C7">
        <v>41.406199999999998</v>
      </c>
      <c r="D7">
        <v>34.695500000000003</v>
      </c>
      <c r="E7" s="5">
        <f t="shared" si="2"/>
        <v>3.5919540229885057E-3</v>
      </c>
      <c r="F7" s="5">
        <f t="shared" si="0"/>
        <v>2.0378590645845348E-2</v>
      </c>
      <c r="G7" s="5">
        <f t="shared" si="1"/>
        <v>-3.2142496865587795E-2</v>
      </c>
      <c r="I7" t="s">
        <v>54</v>
      </c>
      <c r="J7" s="5">
        <f>J3*(SUM(E2:E63))+J4*(SUM(F2:F63)+J5*(G2:G63))</f>
        <v>0.20626707522338755</v>
      </c>
    </row>
    <row r="8" spans="1:12" x14ac:dyDescent="0.25">
      <c r="A8" s="4">
        <v>36480</v>
      </c>
      <c r="B8">
        <v>87.3125</v>
      </c>
      <c r="C8">
        <v>42.25</v>
      </c>
      <c r="D8">
        <v>33.580300000000001</v>
      </c>
      <c r="E8" s="5">
        <f t="shared" si="2"/>
        <v>-2.6485325697924122E-2</v>
      </c>
      <c r="F8" s="5">
        <f t="shared" si="0"/>
        <v>2.9585798816568047E-3</v>
      </c>
      <c r="G8" s="5">
        <f t="shared" si="1"/>
        <v>-1.8433426741274318E-3</v>
      </c>
      <c r="I8" t="s">
        <v>55</v>
      </c>
      <c r="J8">
        <f>SUM(J17:L19)</f>
        <v>5.0466965324845361E-4</v>
      </c>
    </row>
    <row r="9" spans="1:12" x14ac:dyDescent="0.25">
      <c r="A9" s="4">
        <v>36481</v>
      </c>
      <c r="B9">
        <v>85</v>
      </c>
      <c r="C9">
        <v>42.375</v>
      </c>
      <c r="D9">
        <v>33.5184</v>
      </c>
      <c r="E9" s="5">
        <f t="shared" si="2"/>
        <v>-7.3529411764705881E-4</v>
      </c>
      <c r="F9" s="5">
        <f t="shared" si="0"/>
        <v>3.7611799410029539E-2</v>
      </c>
      <c r="G9" s="5">
        <f t="shared" si="1"/>
        <v>-3.6964771588142336E-3</v>
      </c>
      <c r="I9" t="s">
        <v>56</v>
      </c>
      <c r="J9" s="5">
        <f>SQRT(J8)*100 %</f>
        <v>2.2464853733074996E-2</v>
      </c>
    </row>
    <row r="10" spans="1:12" x14ac:dyDescent="0.25">
      <c r="A10" s="4">
        <v>36482</v>
      </c>
      <c r="B10">
        <v>84.9375</v>
      </c>
      <c r="C10">
        <v>43.968800000000002</v>
      </c>
      <c r="D10">
        <v>33.394500000000001</v>
      </c>
      <c r="E10" s="5">
        <f t="shared" si="2"/>
        <v>1.2509197939661517E-2</v>
      </c>
      <c r="F10" s="5">
        <f t="shared" si="0"/>
        <v>2.1310565673841072E-3</v>
      </c>
      <c r="G10" s="5">
        <f t="shared" si="1"/>
        <v>1.8535986464837443E-3</v>
      </c>
    </row>
    <row r="11" spans="1:12" x14ac:dyDescent="0.25">
      <c r="A11" s="4">
        <v>36483</v>
      </c>
      <c r="B11">
        <v>86</v>
      </c>
      <c r="C11">
        <v>44.0625</v>
      </c>
      <c r="D11">
        <v>33.456400000000002</v>
      </c>
      <c r="E11" s="5">
        <f t="shared" si="2"/>
        <v>4.4331395348837212E-2</v>
      </c>
      <c r="F11" s="5">
        <f t="shared" si="0"/>
        <v>-7.0921985815602835E-3</v>
      </c>
      <c r="G11" s="5">
        <f t="shared" si="1"/>
        <v>3.7036262120252045E-2</v>
      </c>
    </row>
    <row r="12" spans="1:12" x14ac:dyDescent="0.25">
      <c r="A12" s="4">
        <v>36486</v>
      </c>
      <c r="B12">
        <v>89.8125</v>
      </c>
      <c r="C12">
        <v>43.75</v>
      </c>
      <c r="D12">
        <v>34.695500000000003</v>
      </c>
      <c r="E12" s="5">
        <f t="shared" si="2"/>
        <v>-2.0876826722338203E-3</v>
      </c>
      <c r="F12" s="5">
        <f t="shared" si="0"/>
        <v>1.1428571428571429E-2</v>
      </c>
      <c r="G12" s="5">
        <f t="shared" si="1"/>
        <v>3.5716447377901937E-2</v>
      </c>
    </row>
    <row r="13" spans="1:12" x14ac:dyDescent="0.25">
      <c r="A13" s="4">
        <v>36487</v>
      </c>
      <c r="B13">
        <v>89.625</v>
      </c>
      <c r="C13">
        <v>44.25</v>
      </c>
      <c r="D13">
        <v>35.934699999999999</v>
      </c>
      <c r="E13" s="5">
        <f t="shared" si="2"/>
        <v>2.3012552301255231E-2</v>
      </c>
      <c r="F13" s="5">
        <f t="shared" si="0"/>
        <v>4.4492655367231675E-2</v>
      </c>
      <c r="G13" s="5">
        <f t="shared" si="1"/>
        <v>3.4479208119171443E-3</v>
      </c>
    </row>
    <row r="14" spans="1:12" x14ac:dyDescent="0.25">
      <c r="A14" s="4">
        <v>36488</v>
      </c>
      <c r="B14">
        <v>91.6875</v>
      </c>
      <c r="C14">
        <v>46.218800000000002</v>
      </c>
      <c r="D14">
        <v>36.058599999999998</v>
      </c>
      <c r="E14" s="5">
        <f t="shared" si="2"/>
        <v>-6.1349693251533744E-3</v>
      </c>
      <c r="F14" s="5">
        <f t="shared" si="0"/>
        <v>8.1135814863215836E-3</v>
      </c>
      <c r="G14" s="5">
        <f t="shared" si="1"/>
        <v>-1.0308220507729003E-2</v>
      </c>
      <c r="J14" s="6" t="s">
        <v>52</v>
      </c>
      <c r="K14" s="6"/>
      <c r="L14" s="6"/>
    </row>
    <row r="15" spans="1:12" x14ac:dyDescent="0.25">
      <c r="A15" s="4">
        <v>36490</v>
      </c>
      <c r="B15">
        <v>91.125</v>
      </c>
      <c r="C15">
        <v>46.593800000000002</v>
      </c>
      <c r="D15">
        <v>35.686900000000001</v>
      </c>
      <c r="E15" s="5">
        <f t="shared" si="2"/>
        <v>-1.0288065843621399E-2</v>
      </c>
      <c r="F15" s="5">
        <f t="shared" si="0"/>
        <v>-4.6959037468504751E-3</v>
      </c>
      <c r="G15" s="5">
        <f t="shared" si="1"/>
        <v>3.9927816649807095E-2</v>
      </c>
    </row>
    <row r="16" spans="1:12" x14ac:dyDescent="0.25">
      <c r="A16" s="4">
        <v>36493</v>
      </c>
      <c r="B16">
        <v>90.1875</v>
      </c>
      <c r="C16">
        <v>46.375</v>
      </c>
      <c r="D16">
        <v>37.111800000000002</v>
      </c>
      <c r="E16" s="5">
        <f t="shared" si="2"/>
        <v>9.5290367290366603E-3</v>
      </c>
      <c r="F16" s="5">
        <f t="shared" si="0"/>
        <v>-3.8408625336927189E-2</v>
      </c>
      <c r="G16" s="5">
        <f t="shared" si="1"/>
        <v>-2.1701992358225845E-2</v>
      </c>
      <c r="J16" t="s">
        <v>46</v>
      </c>
      <c r="K16" t="s">
        <v>47</v>
      </c>
      <c r="L16" t="s">
        <v>48</v>
      </c>
    </row>
    <row r="17" spans="1:12" x14ac:dyDescent="0.25">
      <c r="A17" s="4">
        <v>36494</v>
      </c>
      <c r="B17">
        <v>91.046899999999994</v>
      </c>
      <c r="C17">
        <v>44.593800000000002</v>
      </c>
      <c r="D17">
        <v>36.306399999999996</v>
      </c>
      <c r="E17" s="5">
        <f t="shared" si="2"/>
        <v>2.3510959736136063E-2</v>
      </c>
      <c r="F17" s="5">
        <f t="shared" si="0"/>
        <v>2.5227722239414448E-2</v>
      </c>
      <c r="G17" s="5">
        <f t="shared" si="1"/>
        <v>-1.9624639182072544E-2</v>
      </c>
      <c r="I17" t="s">
        <v>46</v>
      </c>
      <c r="J17">
        <f>J3^2*VARP(E2:E63)</f>
        <v>4.3628965667721268E-4</v>
      </c>
      <c r="K17">
        <f>J18</f>
        <v>1.7713228526915085E-5</v>
      </c>
      <c r="L17">
        <f>J19</f>
        <v>9.0269459465590675E-6</v>
      </c>
    </row>
    <row r="18" spans="1:12" x14ac:dyDescent="0.25">
      <c r="A18" s="4">
        <v>36495</v>
      </c>
      <c r="B18">
        <v>93.1875</v>
      </c>
      <c r="C18">
        <v>45.718800000000002</v>
      </c>
      <c r="D18">
        <v>35.593899999999998</v>
      </c>
      <c r="E18" s="5">
        <f t="shared" si="2"/>
        <v>1.7437961099932932E-2</v>
      </c>
      <c r="F18" s="5">
        <f t="shared" si="0"/>
        <v>2.2555272666824114E-2</v>
      </c>
      <c r="G18" s="5">
        <f t="shared" si="1"/>
        <v>3.0454656556320931E-3</v>
      </c>
      <c r="I18" t="s">
        <v>47</v>
      </c>
      <c r="J18">
        <f>J3*J4*COVAR(E2:E63, F2:F63)</f>
        <v>1.7713228526915085E-5</v>
      </c>
      <c r="K18">
        <f>J4^2*VARP(F2:F63)</f>
        <v>8.0430629266562215E-6</v>
      </c>
      <c r="L18">
        <f>K19</f>
        <v>9.0657066220829516E-7</v>
      </c>
    </row>
    <row r="19" spans="1:12" x14ac:dyDescent="0.25">
      <c r="A19" s="4">
        <v>36496</v>
      </c>
      <c r="B19">
        <v>94.8125</v>
      </c>
      <c r="C19">
        <v>46.75</v>
      </c>
      <c r="D19">
        <v>35.702300000000001</v>
      </c>
      <c r="E19" s="5">
        <f t="shared" si="2"/>
        <v>1.3843111404087014E-2</v>
      </c>
      <c r="F19" s="5">
        <f t="shared" si="0"/>
        <v>2.2057754010695152E-2</v>
      </c>
      <c r="G19" s="5">
        <f t="shared" si="1"/>
        <v>-7.3748750080527298E-3</v>
      </c>
      <c r="I19" t="s">
        <v>48</v>
      </c>
      <c r="J19">
        <f>J3*J5*COVAR(E2:E63, G2:G63)</f>
        <v>9.0269459465590675E-6</v>
      </c>
      <c r="K19">
        <f>J5*J4*COVAR(F2:F63, G2:G63)</f>
        <v>9.0657066220829516E-7</v>
      </c>
      <c r="L19">
        <f>J5^2*VARP(G2:G63)</f>
        <v>5.0434433732197487E-6</v>
      </c>
    </row>
    <row r="20" spans="1:12" x14ac:dyDescent="0.25">
      <c r="A20" s="4">
        <v>36497</v>
      </c>
      <c r="B20">
        <v>96.125</v>
      </c>
      <c r="C20">
        <v>47.781199999999998</v>
      </c>
      <c r="D20">
        <v>35.439</v>
      </c>
      <c r="E20" s="5">
        <f t="shared" si="2"/>
        <v>-7.1521456436931079E-3</v>
      </c>
      <c r="F20" s="5">
        <f t="shared" si="0"/>
        <v>2.8124032046076736E-2</v>
      </c>
      <c r="G20" s="5">
        <f t="shared" si="1"/>
        <v>-1.923022658652896E-2</v>
      </c>
    </row>
    <row r="21" spans="1:12" x14ac:dyDescent="0.25">
      <c r="A21" s="4">
        <v>36500</v>
      </c>
      <c r="B21">
        <v>95.4375</v>
      </c>
      <c r="C21">
        <v>49.125</v>
      </c>
      <c r="D21">
        <v>34.7575</v>
      </c>
      <c r="E21" s="5">
        <f t="shared" si="2"/>
        <v>-2.5540275049115914E-2</v>
      </c>
      <c r="F21" s="5">
        <f t="shared" si="0"/>
        <v>3.3078880407124679E-2</v>
      </c>
      <c r="G21" s="5">
        <f t="shared" si="1"/>
        <v>-3.5649859742501636E-2</v>
      </c>
    </row>
    <row r="22" spans="1:12" x14ac:dyDescent="0.25">
      <c r="A22" s="4">
        <v>36501</v>
      </c>
      <c r="B22">
        <v>93</v>
      </c>
      <c r="C22">
        <v>50.75</v>
      </c>
      <c r="D22">
        <v>33.5184</v>
      </c>
      <c r="E22" s="5">
        <f t="shared" si="2"/>
        <v>-1.3440860215053764E-2</v>
      </c>
      <c r="F22" s="5">
        <f t="shared" si="0"/>
        <v>-1.539310344827583E-2</v>
      </c>
      <c r="G22" s="5">
        <f t="shared" si="1"/>
        <v>5.5432240202396418E-3</v>
      </c>
    </row>
    <row r="23" spans="1:12" x14ac:dyDescent="0.25">
      <c r="A23" s="4">
        <v>36502</v>
      </c>
      <c r="B23">
        <v>91.75</v>
      </c>
      <c r="C23">
        <v>49.968800000000002</v>
      </c>
      <c r="D23">
        <v>33.7042</v>
      </c>
      <c r="E23" s="5">
        <f t="shared" si="2"/>
        <v>1.0899182561307902E-2</v>
      </c>
      <c r="F23" s="5">
        <f t="shared" si="0"/>
        <v>-1.3134195738140633E-2</v>
      </c>
      <c r="G23" s="5">
        <f t="shared" si="1"/>
        <v>-7.3521994291512044E-3</v>
      </c>
    </row>
    <row r="24" spans="1:12" x14ac:dyDescent="0.25">
      <c r="A24" s="4">
        <v>36503</v>
      </c>
      <c r="B24">
        <v>92.75</v>
      </c>
      <c r="C24">
        <v>49.3125</v>
      </c>
      <c r="D24">
        <v>33.456400000000002</v>
      </c>
      <c r="E24" s="5">
        <f t="shared" si="2"/>
        <v>1.2129380053908356E-2</v>
      </c>
      <c r="F24" s="5">
        <f t="shared" si="0"/>
        <v>1.2039543726235708E-2</v>
      </c>
      <c r="G24" s="5">
        <f t="shared" si="1"/>
        <v>3.7033273155509558E-3</v>
      </c>
    </row>
    <row r="25" spans="1:12" x14ac:dyDescent="0.25">
      <c r="A25" s="4">
        <v>36504</v>
      </c>
      <c r="B25">
        <v>93.875</v>
      </c>
      <c r="C25">
        <v>49.906199999999998</v>
      </c>
      <c r="D25">
        <v>33.580300000000001</v>
      </c>
      <c r="E25" s="5">
        <f t="shared" si="2"/>
        <v>2.929427430093209E-2</v>
      </c>
      <c r="F25" s="5">
        <f t="shared" si="0"/>
        <v>1.377784724142498E-2</v>
      </c>
      <c r="G25" s="5">
        <f t="shared" si="1"/>
        <v>-2.2137979708340937E-2</v>
      </c>
    </row>
    <row r="26" spans="1:12" x14ac:dyDescent="0.25">
      <c r="A26" s="4">
        <v>36507</v>
      </c>
      <c r="B26">
        <v>96.625</v>
      </c>
      <c r="C26">
        <v>50.593800000000002</v>
      </c>
      <c r="D26">
        <v>32.8369</v>
      </c>
      <c r="E26" s="5">
        <f t="shared" si="2"/>
        <v>2.1345407503234153E-2</v>
      </c>
      <c r="F26" s="5">
        <f t="shared" si="0"/>
        <v>-3.2118559981657829E-2</v>
      </c>
      <c r="G26" s="5">
        <f t="shared" si="1"/>
        <v>7.5463883618733197E-3</v>
      </c>
    </row>
    <row r="27" spans="1:12" x14ac:dyDescent="0.25">
      <c r="A27" s="4">
        <v>36508</v>
      </c>
      <c r="B27">
        <v>98.6875</v>
      </c>
      <c r="C27">
        <v>48.968800000000002</v>
      </c>
      <c r="D27">
        <v>33.084699999999998</v>
      </c>
      <c r="E27" s="5">
        <f t="shared" si="2"/>
        <v>9.8801773274224222E-2</v>
      </c>
      <c r="F27" s="5">
        <f t="shared" si="0"/>
        <v>-2.1060348630148207E-2</v>
      </c>
      <c r="G27" s="5">
        <f t="shared" si="1"/>
        <v>2.621755675584193E-2</v>
      </c>
    </row>
    <row r="28" spans="1:12" x14ac:dyDescent="0.25">
      <c r="A28" s="4">
        <v>36509</v>
      </c>
      <c r="B28">
        <v>108.438</v>
      </c>
      <c r="C28">
        <v>47.9375</v>
      </c>
      <c r="D28">
        <v>33.952100000000002</v>
      </c>
      <c r="E28" s="5">
        <f t="shared" si="2"/>
        <v>4.8414762352680794E-2</v>
      </c>
      <c r="F28" s="5">
        <f t="shared" si="0"/>
        <v>2.0860495436766623E-2</v>
      </c>
      <c r="G28" s="5">
        <f t="shared" si="1"/>
        <v>-7.301462943382039E-3</v>
      </c>
    </row>
    <row r="29" spans="1:12" x14ac:dyDescent="0.25">
      <c r="A29" s="4">
        <v>36510</v>
      </c>
      <c r="B29">
        <v>113.688</v>
      </c>
      <c r="C29">
        <v>48.9375</v>
      </c>
      <c r="D29">
        <v>33.7042</v>
      </c>
      <c r="E29" s="5">
        <f t="shared" si="2"/>
        <v>1.3739356836253585E-2</v>
      </c>
      <c r="F29" s="5">
        <f t="shared" si="0"/>
        <v>1.8519540229885091E-2</v>
      </c>
      <c r="G29" s="5">
        <f t="shared" si="1"/>
        <v>-2.2056598287453825E-2</v>
      </c>
    </row>
    <row r="30" spans="1:12" x14ac:dyDescent="0.25">
      <c r="A30" s="4">
        <v>36511</v>
      </c>
      <c r="B30">
        <v>115.25</v>
      </c>
      <c r="C30">
        <v>49.843800000000002</v>
      </c>
      <c r="D30">
        <v>32.960799999999999</v>
      </c>
      <c r="E30" s="5">
        <f t="shared" si="2"/>
        <v>-2.1691973969631236E-2</v>
      </c>
      <c r="F30" s="5">
        <f t="shared" si="0"/>
        <v>3.5735638133529112E-2</v>
      </c>
      <c r="G30" s="5">
        <f t="shared" si="1"/>
        <v>-9.8692992888521694E-3</v>
      </c>
    </row>
    <row r="31" spans="1:12" x14ac:dyDescent="0.25">
      <c r="A31" s="4">
        <v>36514</v>
      </c>
      <c r="B31">
        <v>112.75</v>
      </c>
      <c r="C31">
        <v>51.625</v>
      </c>
      <c r="D31">
        <v>32.6355</v>
      </c>
      <c r="E31" s="5">
        <f t="shared" si="2"/>
        <v>2.771618625277162E-2</v>
      </c>
      <c r="F31" s="5">
        <f t="shared" si="0"/>
        <v>7.2639225181598066E-3</v>
      </c>
      <c r="G31" s="5">
        <f t="shared" si="1"/>
        <v>-9.0177873787746412E-3</v>
      </c>
    </row>
    <row r="32" spans="1:12" x14ac:dyDescent="0.25">
      <c r="A32" s="4">
        <v>36515</v>
      </c>
      <c r="B32">
        <v>115.875</v>
      </c>
      <c r="C32">
        <v>52</v>
      </c>
      <c r="D32">
        <v>32.341200000000001</v>
      </c>
      <c r="E32" s="5">
        <f t="shared" si="2"/>
        <v>1.4558791801510228E-2</v>
      </c>
      <c r="F32" s="5">
        <f t="shared" si="0"/>
        <v>-1.4423076923076924E-2</v>
      </c>
      <c r="G32" s="5">
        <f t="shared" si="1"/>
        <v>3.4482332133625268E-2</v>
      </c>
    </row>
    <row r="33" spans="1:7" x14ac:dyDescent="0.25">
      <c r="A33" s="4">
        <v>36516</v>
      </c>
      <c r="B33">
        <v>117.562</v>
      </c>
      <c r="C33">
        <v>51.25</v>
      </c>
      <c r="D33">
        <v>33.456400000000002</v>
      </c>
      <c r="E33" s="5">
        <f t="shared" si="2"/>
        <v>-1.0547625933549551E-3</v>
      </c>
      <c r="F33" s="5">
        <f t="shared" si="0"/>
        <v>1.8903414634146375E-2</v>
      </c>
      <c r="G33" s="5">
        <f t="shared" si="1"/>
        <v>1.111297091139514E-2</v>
      </c>
    </row>
    <row r="34" spans="1:7" x14ac:dyDescent="0.25">
      <c r="A34" s="4">
        <v>36517</v>
      </c>
      <c r="B34">
        <v>117.438</v>
      </c>
      <c r="C34">
        <v>52.218800000000002</v>
      </c>
      <c r="D34">
        <v>33.828200000000002</v>
      </c>
      <c r="E34" s="5">
        <f t="shared" si="2"/>
        <v>1.4365026652361225E-2</v>
      </c>
      <c r="F34" s="5">
        <f t="shared" si="0"/>
        <v>7.1813216695902626E-3</v>
      </c>
      <c r="G34" s="5">
        <f t="shared" si="1"/>
        <v>1.0987874022265358E-2</v>
      </c>
    </row>
    <row r="35" spans="1:7" x14ac:dyDescent="0.25">
      <c r="A35" s="4">
        <v>36521</v>
      </c>
      <c r="B35">
        <v>119.125</v>
      </c>
      <c r="C35">
        <v>52.593800000000002</v>
      </c>
      <c r="D35">
        <v>34.1999</v>
      </c>
      <c r="E35" s="5">
        <f t="shared" si="2"/>
        <v>-1.3641133263378805E-2</v>
      </c>
      <c r="F35" s="5">
        <f t="shared" si="0"/>
        <v>0</v>
      </c>
      <c r="G35" s="5">
        <f t="shared" si="1"/>
        <v>-2.5362647259202408E-2</v>
      </c>
    </row>
    <row r="36" spans="1:7" x14ac:dyDescent="0.25">
      <c r="A36" s="4">
        <v>36522</v>
      </c>
      <c r="B36">
        <v>117.5</v>
      </c>
      <c r="C36">
        <v>52.593800000000002</v>
      </c>
      <c r="D36">
        <v>33.332500000000003</v>
      </c>
      <c r="E36" s="5">
        <f t="shared" si="2"/>
        <v>3.7276595744681054E-3</v>
      </c>
      <c r="F36" s="5">
        <f t="shared" si="0"/>
        <v>8.911696815974474E-3</v>
      </c>
      <c r="G36" s="5">
        <f t="shared" si="1"/>
        <v>-2.2305557638941105E-2</v>
      </c>
    </row>
    <row r="37" spans="1:7" x14ac:dyDescent="0.25">
      <c r="A37" s="4">
        <v>36523</v>
      </c>
      <c r="B37">
        <v>117.938</v>
      </c>
      <c r="C37">
        <v>53.0625</v>
      </c>
      <c r="D37">
        <v>32.588999999999999</v>
      </c>
      <c r="E37" s="5">
        <f t="shared" si="2"/>
        <v>-2.6539368142583595E-3</v>
      </c>
      <c r="F37" s="5">
        <f t="shared" si="0"/>
        <v>5.8987043580686286E-4</v>
      </c>
      <c r="G37" s="5">
        <f t="shared" si="1"/>
        <v>-5.701310258062549E-3</v>
      </c>
    </row>
    <row r="38" spans="1:7" x14ac:dyDescent="0.25">
      <c r="A38" s="4">
        <v>36524</v>
      </c>
      <c r="B38">
        <v>117.625</v>
      </c>
      <c r="C38">
        <v>53.093800000000002</v>
      </c>
      <c r="D38">
        <v>32.403199999999998</v>
      </c>
      <c r="E38" s="5">
        <f t="shared" si="2"/>
        <v>-7.4388947927736451E-3</v>
      </c>
      <c r="F38" s="5">
        <f t="shared" si="0"/>
        <v>8.827772734292862E-3</v>
      </c>
      <c r="G38" s="5">
        <f t="shared" si="1"/>
        <v>-7.6504789650405315E-3</v>
      </c>
    </row>
    <row r="39" spans="1:7" x14ac:dyDescent="0.25">
      <c r="A39" s="4">
        <v>36525</v>
      </c>
      <c r="B39">
        <v>116.75</v>
      </c>
      <c r="C39">
        <v>53.5625</v>
      </c>
      <c r="D39">
        <v>32.155299999999997</v>
      </c>
      <c r="E39" s="5">
        <f t="shared" si="2"/>
        <v>-1.610278372591027E-3</v>
      </c>
      <c r="F39" s="5">
        <f t="shared" si="0"/>
        <v>8.7505250875145549E-3</v>
      </c>
      <c r="G39" s="5">
        <f t="shared" si="1"/>
        <v>-1.7340842722661499E-2</v>
      </c>
    </row>
    <row r="40" spans="1:7" x14ac:dyDescent="0.25">
      <c r="A40" s="4">
        <v>36528</v>
      </c>
      <c r="B40">
        <v>116.562</v>
      </c>
      <c r="C40">
        <v>54.031199999999998</v>
      </c>
      <c r="D40">
        <v>31.5977</v>
      </c>
      <c r="E40" s="5">
        <f t="shared" si="2"/>
        <v>-3.3776016197388493E-2</v>
      </c>
      <c r="F40" s="5">
        <f t="shared" si="0"/>
        <v>-5.6100919468751356E-2</v>
      </c>
      <c r="G40" s="5">
        <f t="shared" si="1"/>
        <v>-3.7252711431528224E-2</v>
      </c>
    </row>
    <row r="41" spans="1:7" x14ac:dyDescent="0.25">
      <c r="A41" s="4">
        <v>36529</v>
      </c>
      <c r="B41">
        <v>112.625</v>
      </c>
      <c r="C41">
        <v>51</v>
      </c>
      <c r="D41">
        <v>30.4206</v>
      </c>
      <c r="E41" s="5">
        <f t="shared" si="2"/>
        <v>1.0539400665926726E-2</v>
      </c>
      <c r="F41" s="5">
        <f t="shared" si="0"/>
        <v>-3.0627450980391831E-3</v>
      </c>
      <c r="G41" s="5">
        <f t="shared" si="1"/>
        <v>1.6291591881816912E-2</v>
      </c>
    </row>
    <row r="42" spans="1:7" x14ac:dyDescent="0.25">
      <c r="A42" s="4">
        <v>36530</v>
      </c>
      <c r="B42">
        <v>113.812</v>
      </c>
      <c r="C42">
        <v>50.843800000000002</v>
      </c>
      <c r="D42">
        <v>30.9162</v>
      </c>
      <c r="E42" s="5">
        <f t="shared" si="2"/>
        <v>-3.349383193336377E-2</v>
      </c>
      <c r="F42" s="5">
        <f t="shared" si="0"/>
        <v>-1.6595927133691849E-2</v>
      </c>
      <c r="G42" s="5">
        <f t="shared" si="1"/>
        <v>3.6071703508193047E-2</v>
      </c>
    </row>
    <row r="43" spans="1:7" x14ac:dyDescent="0.25">
      <c r="A43" s="4">
        <v>36531</v>
      </c>
      <c r="B43">
        <v>110</v>
      </c>
      <c r="C43">
        <v>50</v>
      </c>
      <c r="D43">
        <v>32.031399999999998</v>
      </c>
      <c r="E43" s="5">
        <f t="shared" si="2"/>
        <v>1.3072727272727295E-2</v>
      </c>
      <c r="F43" s="5">
        <f t="shared" si="0"/>
        <v>5.8749999999999997E-2</v>
      </c>
      <c r="G43" s="5">
        <f t="shared" si="1"/>
        <v>6.7699195164744652E-2</v>
      </c>
    </row>
    <row r="44" spans="1:7" x14ac:dyDescent="0.25">
      <c r="A44" s="4">
        <v>36532</v>
      </c>
      <c r="B44">
        <v>111.438</v>
      </c>
      <c r="C44">
        <v>52.9375</v>
      </c>
      <c r="D44">
        <v>34.1999</v>
      </c>
      <c r="E44" s="5">
        <f t="shared" si="2"/>
        <v>7.2865629318544624E-3</v>
      </c>
      <c r="F44" s="5">
        <f t="shared" si="0"/>
        <v>3.7189138134592646E-2</v>
      </c>
      <c r="G44" s="5">
        <f t="shared" si="1"/>
        <v>-1.8128707978677602E-3</v>
      </c>
    </row>
    <row r="45" spans="1:7" x14ac:dyDescent="0.25">
      <c r="A45" s="4">
        <v>36535</v>
      </c>
      <c r="B45">
        <v>112.25</v>
      </c>
      <c r="C45">
        <v>54.906199999999998</v>
      </c>
      <c r="D45">
        <v>34.137900000000002</v>
      </c>
      <c r="E45" s="5">
        <f t="shared" si="2"/>
        <v>-2.5612472160356347E-2</v>
      </c>
      <c r="F45" s="5">
        <f t="shared" si="0"/>
        <v>-3.0164170895090141E-2</v>
      </c>
      <c r="G45" s="5">
        <f t="shared" si="1"/>
        <v>-1.2704354983757106E-2</v>
      </c>
    </row>
    <row r="46" spans="1:7" x14ac:dyDescent="0.25">
      <c r="A46" s="4">
        <v>36536</v>
      </c>
      <c r="B46">
        <v>109.375</v>
      </c>
      <c r="C46">
        <v>53.25</v>
      </c>
      <c r="D46">
        <v>33.7042</v>
      </c>
      <c r="E46" s="5">
        <f t="shared" si="2"/>
        <v>-3.2576000000000022E-2</v>
      </c>
      <c r="F46" s="5">
        <f t="shared" si="0"/>
        <v>-2.5235680751173741E-2</v>
      </c>
      <c r="G46" s="5">
        <f t="shared" si="1"/>
        <v>3.3090831409735219E-2</v>
      </c>
    </row>
    <row r="47" spans="1:7" x14ac:dyDescent="0.25">
      <c r="A47" s="4">
        <v>36537</v>
      </c>
      <c r="B47">
        <v>105.812</v>
      </c>
      <c r="C47">
        <v>51.906199999999998</v>
      </c>
      <c r="D47">
        <v>34.819499999999998</v>
      </c>
      <c r="E47" s="5">
        <f t="shared" si="2"/>
        <v>1.8901447850905379E-2</v>
      </c>
      <c r="F47" s="5">
        <f t="shared" si="0"/>
        <v>2.2879733056937385E-2</v>
      </c>
      <c r="G47" s="5">
        <f t="shared" si="1"/>
        <v>5.3381007768635365E-2</v>
      </c>
    </row>
    <row r="48" spans="1:7" x14ac:dyDescent="0.25">
      <c r="A48" s="4">
        <v>36538</v>
      </c>
      <c r="B48">
        <v>107.812</v>
      </c>
      <c r="C48">
        <v>53.093800000000002</v>
      </c>
      <c r="D48">
        <v>36.678199999999997</v>
      </c>
      <c r="E48" s="5">
        <f t="shared" si="2"/>
        <v>4.1164248877675974E-2</v>
      </c>
      <c r="F48" s="5">
        <f t="shared" si="0"/>
        <v>1.2946897754540014E-2</v>
      </c>
      <c r="G48" s="5">
        <f t="shared" si="1"/>
        <v>0</v>
      </c>
    </row>
    <row r="49" spans="1:7" x14ac:dyDescent="0.25">
      <c r="A49" s="4">
        <v>36539</v>
      </c>
      <c r="B49">
        <v>112.25</v>
      </c>
      <c r="C49">
        <v>53.781199999999998</v>
      </c>
      <c r="D49">
        <v>36.678199999999997</v>
      </c>
      <c r="E49" s="5">
        <f t="shared" si="2"/>
        <v>2.727839643652559E-2</v>
      </c>
      <c r="F49" s="5">
        <f t="shared" si="0"/>
        <v>4.1256052300804029E-2</v>
      </c>
      <c r="G49" s="5">
        <f t="shared" si="1"/>
        <v>-1.3514839877638471E-2</v>
      </c>
    </row>
    <row r="50" spans="1:7" x14ac:dyDescent="0.25">
      <c r="A50" s="4">
        <v>36543</v>
      </c>
      <c r="B50">
        <v>115.312</v>
      </c>
      <c r="C50">
        <v>56</v>
      </c>
      <c r="D50">
        <v>36.182499999999997</v>
      </c>
      <c r="E50" s="5">
        <f t="shared" si="2"/>
        <v>-7.208269737754959E-2</v>
      </c>
      <c r="F50" s="5">
        <f t="shared" si="0"/>
        <v>2.7892857142856847E-3</v>
      </c>
      <c r="G50" s="5">
        <f t="shared" si="1"/>
        <v>1.3699993090582447E-2</v>
      </c>
    </row>
    <row r="51" spans="1:7" x14ac:dyDescent="0.25">
      <c r="A51" s="4">
        <v>36544</v>
      </c>
      <c r="B51">
        <v>107</v>
      </c>
      <c r="C51">
        <v>56.156199999999998</v>
      </c>
      <c r="D51">
        <v>36.678199999999997</v>
      </c>
      <c r="E51" s="5">
        <f t="shared" si="2"/>
        <v>-9.3457943925233638E-3</v>
      </c>
      <c r="F51" s="5">
        <f t="shared" si="0"/>
        <v>5.5737389638190729E-4</v>
      </c>
      <c r="G51" s="5">
        <f t="shared" si="1"/>
        <v>-1.6470273895665421E-2</v>
      </c>
    </row>
    <row r="52" spans="1:7" x14ac:dyDescent="0.25">
      <c r="A52" s="4">
        <v>36545</v>
      </c>
      <c r="B52">
        <v>106</v>
      </c>
      <c r="C52">
        <v>56.1875</v>
      </c>
      <c r="D52">
        <v>36.074100000000001</v>
      </c>
      <c r="E52" s="5">
        <f t="shared" si="2"/>
        <v>-2.1226415094339621E-2</v>
      </c>
      <c r="F52" s="5">
        <f t="shared" si="0"/>
        <v>2.5583982202447165E-2</v>
      </c>
      <c r="G52" s="5">
        <f t="shared" si="1"/>
        <v>-3.6497099026725571E-2</v>
      </c>
    </row>
    <row r="53" spans="1:7" x14ac:dyDescent="0.25">
      <c r="A53" s="4">
        <v>36546</v>
      </c>
      <c r="B53">
        <v>103.75</v>
      </c>
      <c r="C53">
        <v>57.625</v>
      </c>
      <c r="D53">
        <v>34.7575</v>
      </c>
      <c r="E53" s="5">
        <f t="shared" si="2"/>
        <v>-2.4096385542168676E-2</v>
      </c>
      <c r="F53" s="5">
        <f t="shared" si="0"/>
        <v>-5.3688503253796122E-2</v>
      </c>
      <c r="G53" s="5">
        <f t="shared" si="1"/>
        <v>-1.9607279004531391E-2</v>
      </c>
    </row>
    <row r="54" spans="1:7" x14ac:dyDescent="0.25">
      <c r="A54" s="4">
        <v>36549</v>
      </c>
      <c r="B54">
        <v>101.25</v>
      </c>
      <c r="C54">
        <v>54.531199999999998</v>
      </c>
      <c r="D54">
        <v>34.076000000000001</v>
      </c>
      <c r="E54" s="5">
        <f t="shared" si="2"/>
        <v>1.5427160493827138E-2</v>
      </c>
      <c r="F54" s="5">
        <f t="shared" si="0"/>
        <v>2.8081171879584563E-2</v>
      </c>
      <c r="G54" s="5">
        <f t="shared" si="1"/>
        <v>1.454396055875091E-2</v>
      </c>
    </row>
    <row r="55" spans="1:7" x14ac:dyDescent="0.25">
      <c r="A55" s="4">
        <v>36550</v>
      </c>
      <c r="B55">
        <v>102.812</v>
      </c>
      <c r="C55">
        <v>56.0625</v>
      </c>
      <c r="D55">
        <v>34.571599999999997</v>
      </c>
      <c r="E55" s="5">
        <f t="shared" si="2"/>
        <v>-3.3429949811306051E-2</v>
      </c>
      <c r="F55" s="5">
        <f t="shared" si="0"/>
        <v>-4.4034782608695623E-2</v>
      </c>
      <c r="G55" s="5">
        <f t="shared" si="1"/>
        <v>0</v>
      </c>
    </row>
    <row r="56" spans="1:7" x14ac:dyDescent="0.25">
      <c r="A56" s="4">
        <v>36551</v>
      </c>
      <c r="B56">
        <v>99.375</v>
      </c>
      <c r="C56">
        <v>53.593800000000002</v>
      </c>
      <c r="D56">
        <v>34.571599999999997</v>
      </c>
      <c r="E56" s="5">
        <f t="shared" si="2"/>
        <v>-6.2893081761006293E-3</v>
      </c>
      <c r="F56" s="5">
        <f t="shared" si="0"/>
        <v>-5.2487414589001274E-3</v>
      </c>
      <c r="G56" s="5">
        <f t="shared" si="1"/>
        <v>-1.0751599578844979E-2</v>
      </c>
    </row>
    <row r="57" spans="1:7" x14ac:dyDescent="0.25">
      <c r="A57" s="4">
        <v>36552</v>
      </c>
      <c r="B57">
        <v>98.75</v>
      </c>
      <c r="C57">
        <v>53.3125</v>
      </c>
      <c r="D57">
        <v>34.1999</v>
      </c>
      <c r="E57" s="5">
        <f t="shared" si="2"/>
        <v>-5.0632911392405064E-3</v>
      </c>
      <c r="F57" s="5">
        <f t="shared" si="0"/>
        <v>-2.5791324736225089E-2</v>
      </c>
      <c r="G57" s="5">
        <f t="shared" si="1"/>
        <v>1.9926958850756866E-2</v>
      </c>
    </row>
    <row r="58" spans="1:7" x14ac:dyDescent="0.25">
      <c r="A58" s="4">
        <v>36553</v>
      </c>
      <c r="B58">
        <v>98.25</v>
      </c>
      <c r="C58">
        <v>51.9375</v>
      </c>
      <c r="D58">
        <v>34.881399999999999</v>
      </c>
      <c r="E58" s="5">
        <f t="shared" si="2"/>
        <v>-3.8167938931297708E-3</v>
      </c>
      <c r="F58" s="5">
        <f t="shared" si="0"/>
        <v>5.4151624548736461E-2</v>
      </c>
      <c r="G58" s="5">
        <f t="shared" si="1"/>
        <v>2.8419157487944938E-2</v>
      </c>
    </row>
    <row r="59" spans="1:7" x14ac:dyDescent="0.25">
      <c r="A59" s="4">
        <v>36556</v>
      </c>
      <c r="B59">
        <v>97.875</v>
      </c>
      <c r="C59">
        <v>54.75</v>
      </c>
      <c r="D59">
        <v>35.872700000000002</v>
      </c>
      <c r="E59" s="5">
        <f t="shared" si="2"/>
        <v>5.1729246487867205E-2</v>
      </c>
      <c r="F59" s="5">
        <f t="shared" si="0"/>
        <v>7.5912328767123255E-2</v>
      </c>
      <c r="G59" s="5">
        <f t="shared" si="1"/>
        <v>2.2454401257780848E-2</v>
      </c>
    </row>
    <row r="60" spans="1:7" x14ac:dyDescent="0.25">
      <c r="A60" s="4">
        <v>36557</v>
      </c>
      <c r="B60">
        <v>102.938</v>
      </c>
      <c r="C60">
        <v>58.906199999999998</v>
      </c>
      <c r="D60">
        <v>36.678199999999997</v>
      </c>
      <c r="E60" s="5">
        <f t="shared" si="2"/>
        <v>-2.0653208727583638E-2</v>
      </c>
      <c r="F60" s="5">
        <f t="shared" si="0"/>
        <v>-3.3420930224662235E-2</v>
      </c>
      <c r="G60" s="5">
        <f t="shared" si="1"/>
        <v>-2.7026953340131072E-2</v>
      </c>
    </row>
    <row r="61" spans="1:7" x14ac:dyDescent="0.25">
      <c r="A61" s="4">
        <v>36558</v>
      </c>
      <c r="B61">
        <v>100.812</v>
      </c>
      <c r="C61">
        <v>56.9375</v>
      </c>
      <c r="D61">
        <v>35.686900000000001</v>
      </c>
      <c r="E61" s="5">
        <f t="shared" si="2"/>
        <v>2.7903424195532302E-2</v>
      </c>
      <c r="F61" s="5">
        <f t="shared" si="0"/>
        <v>3.4576509330406117E-2</v>
      </c>
      <c r="G61" s="5">
        <f t="shared" si="1"/>
        <v>-1.0418388820547606E-2</v>
      </c>
    </row>
    <row r="62" spans="1:7" x14ac:dyDescent="0.25">
      <c r="A62" s="4">
        <v>36559</v>
      </c>
      <c r="B62">
        <v>103.625</v>
      </c>
      <c r="C62">
        <v>58.906199999999998</v>
      </c>
      <c r="D62">
        <v>35.315100000000001</v>
      </c>
      <c r="E62" s="5">
        <f t="shared" si="2"/>
        <v>2.8342581423401667E-2</v>
      </c>
      <c r="F62" s="5">
        <f t="shared" si="0"/>
        <v>2.8117583548081554E-2</v>
      </c>
      <c r="G62" s="5">
        <f t="shared" si="1"/>
        <v>3.5084142477296966E-3</v>
      </c>
    </row>
    <row r="63" spans="1:7" x14ac:dyDescent="0.25">
      <c r="A63" s="4">
        <v>36560</v>
      </c>
      <c r="B63">
        <v>106.562</v>
      </c>
      <c r="C63">
        <v>60.5625</v>
      </c>
      <c r="D63">
        <v>35.439</v>
      </c>
      <c r="E63" s="5">
        <f t="shared" si="2"/>
        <v>5.9120512002404596E-4</v>
      </c>
      <c r="F63" s="5">
        <f t="shared" si="0"/>
        <v>3.3540557275541824E-2</v>
      </c>
      <c r="G63" s="5">
        <f t="shared" si="1"/>
        <v>3.4967126611924623E-2</v>
      </c>
    </row>
    <row r="64" spans="1:7" x14ac:dyDescent="0.25">
      <c r="A64" s="4">
        <v>36563</v>
      </c>
      <c r="B64">
        <v>106.625</v>
      </c>
      <c r="C64">
        <v>62.593800000000002</v>
      </c>
      <c r="D64">
        <v>36.678199999999997</v>
      </c>
      <c r="E64" s="5"/>
      <c r="F64" s="5"/>
      <c r="G64" s="5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Homework 1</vt:lpstr>
      <vt:lpstr>Markowitz</vt:lpstr>
      <vt:lpstr>Sheet3</vt:lpstr>
    </vt:vector>
  </TitlesOfParts>
  <Company>University of 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Yazann &amp; Michael</dc:creator>
  <cp:lastModifiedBy>Carina Negreanu</cp:lastModifiedBy>
  <dcterms:created xsi:type="dcterms:W3CDTF">2001-01-30T12:13:20Z</dcterms:created>
  <dcterms:modified xsi:type="dcterms:W3CDTF">2020-01-27T11:43:31Z</dcterms:modified>
</cp:coreProperties>
</file>