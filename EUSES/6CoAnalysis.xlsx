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1568A75-05B9-4251-B406-6D09E64737D7}" xr6:coauthVersionLast="45" xr6:coauthVersionMax="45" xr10:uidLastSave="{00000000-0000-0000-0000-000000000000}"/>
  <bookViews>
    <workbookView xWindow="3420" yWindow="3420" windowWidth="28800" windowHeight="15460" tabRatio="860"/>
  </bookViews>
  <sheets>
    <sheet name="Industry Statistics" sheetId="1" r:id="rId1"/>
    <sheet name="Company 1" sheetId="2" r:id="rId2"/>
    <sheet name="Company 2" sheetId="3" r:id="rId3"/>
    <sheet name="Company 3" sheetId="4" r:id="rId4"/>
    <sheet name="Company 4" sheetId="5" r:id="rId5"/>
    <sheet name="Company 5" sheetId="6" r:id="rId6"/>
    <sheet name="Company 6" sheetId="7" r:id="rId7"/>
  </sheets>
  <definedNames>
    <definedName name="_xlnm.Print_Area" localSheetId="1">'Company 1'!$A$1:$E$91</definedName>
    <definedName name="_xlnm.Print_Area" localSheetId="2">'Company 2'!$A$1:$E$91</definedName>
    <definedName name="_xlnm.Print_Area" localSheetId="3">'Company 3'!$A$1:$E$91</definedName>
    <definedName name="_xlnm.Print_Area" localSheetId="4">'Company 4'!$A$1:$E$91</definedName>
    <definedName name="_xlnm.Print_Area" localSheetId="5">'Company 5'!$A$1:$E$91</definedName>
    <definedName name="_xlnm.Print_Area" localSheetId="6">'Company 6'!$A$1:$E$91</definedName>
    <definedName name="_xlnm.Print_Area" localSheetId="0">'Industry Statistics'!$A$1:$I$61</definedName>
    <definedName name="_xlnm.Print_Area">'Industry Statistics'!$A$1:$T$60</definedName>
    <definedName name="_xlnm.Print_Titles" localSheetId="1">'Company 1'!$A:$A</definedName>
    <definedName name="_xlnm.Print_Titles" localSheetId="2">'Company 2'!$A:$A</definedName>
    <definedName name="_xlnm.Print_Titles" localSheetId="3">'Company 3'!$A:$A</definedName>
    <definedName name="_xlnm.Print_Titles" localSheetId="4">'Company 4'!$A:$A</definedName>
    <definedName name="_xlnm.Print_Titles" localSheetId="5">'Company 5'!$A:$A</definedName>
    <definedName name="_xlnm.Print_Titles" localSheetId="6">'Company 6'!$A:$A</definedName>
    <definedName name="_xlnm.Print_Titles">'Industry Statistics'!$A:$B</definedName>
  </definedNames>
  <calcPr calcId="191029" fullCalcOnLoad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2" i="2" l="1"/>
  <c r="C52" i="2"/>
  <c r="D52" i="2"/>
  <c r="B53" i="2"/>
  <c r="C53" i="2"/>
  <c r="D53" i="2"/>
  <c r="B54" i="2"/>
  <c r="C54" i="2"/>
  <c r="D54" i="2"/>
  <c r="B55" i="2"/>
  <c r="B56" i="2"/>
  <c r="C41" i="1" s="1"/>
  <c r="B41" i="1" s="1"/>
  <c r="B57" i="2"/>
  <c r="C18" i="1" s="1"/>
  <c r="B18" i="1" s="1"/>
  <c r="C57" i="2"/>
  <c r="D57" i="2"/>
  <c r="B58" i="2"/>
  <c r="C58" i="2"/>
  <c r="D58" i="2"/>
  <c r="B59" i="2"/>
  <c r="C20" i="1" s="1"/>
  <c r="B20" i="1" s="1"/>
  <c r="C59" i="2"/>
  <c r="D59" i="2"/>
  <c r="B60" i="2"/>
  <c r="B61" i="2"/>
  <c r="C61" i="2"/>
  <c r="D61" i="2"/>
  <c r="B64" i="2"/>
  <c r="B65" i="2"/>
  <c r="B66" i="2"/>
  <c r="B67" i="2"/>
  <c r="B68" i="2"/>
  <c r="C28" i="1" s="1"/>
  <c r="B28" i="1" s="1"/>
  <c r="B69" i="2"/>
  <c r="B70" i="2"/>
  <c r="C30" i="1" s="1"/>
  <c r="B30" i="1" s="1"/>
  <c r="B71" i="2"/>
  <c r="C32" i="1" s="1"/>
  <c r="B32" i="1" s="1"/>
  <c r="B75" i="2"/>
  <c r="C36" i="1" s="1"/>
  <c r="B36" i="1" s="1"/>
  <c r="B76" i="2"/>
  <c r="B77" i="2"/>
  <c r="B80" i="2"/>
  <c r="B81" i="2"/>
  <c r="C50" i="1" s="1"/>
  <c r="B50" i="1" s="1"/>
  <c r="B82" i="2"/>
  <c r="C51" i="1" s="1"/>
  <c r="B51" i="1" s="1"/>
  <c r="B85" i="2"/>
  <c r="C55" i="1" s="1"/>
  <c r="B55" i="1" s="1"/>
  <c r="C85" i="2"/>
  <c r="D85" i="2"/>
  <c r="B86" i="2"/>
  <c r="B87" i="2"/>
  <c r="B88" i="2"/>
  <c r="B89" i="2"/>
  <c r="B90" i="2"/>
  <c r="B52" i="3"/>
  <c r="C52" i="3"/>
  <c r="D52" i="3"/>
  <c r="B53" i="3"/>
  <c r="D12" i="1" s="1"/>
  <c r="C53" i="3"/>
  <c r="D53" i="3"/>
  <c r="B54" i="3"/>
  <c r="C54" i="3"/>
  <c r="D54" i="3"/>
  <c r="B55" i="3"/>
  <c r="B56" i="3"/>
  <c r="D41" i="1" s="1"/>
  <c r="B57" i="3"/>
  <c r="D18" i="1" s="1"/>
  <c r="C57" i="3"/>
  <c r="D57" i="3"/>
  <c r="B58" i="3"/>
  <c r="C58" i="3"/>
  <c r="D58" i="3"/>
  <c r="B59" i="3"/>
  <c r="C59" i="3"/>
  <c r="D59" i="3"/>
  <c r="B60" i="3"/>
  <c r="B61" i="3"/>
  <c r="C61" i="3"/>
  <c r="D61" i="3"/>
  <c r="B64" i="3"/>
  <c r="D24" i="1" s="1"/>
  <c r="B65" i="3"/>
  <c r="D25" i="1" s="1"/>
  <c r="B66" i="3"/>
  <c r="D31" i="1" s="1"/>
  <c r="B67" i="3"/>
  <c r="B68" i="3"/>
  <c r="D28" i="1" s="1"/>
  <c r="B69" i="3"/>
  <c r="B70" i="3"/>
  <c r="B71" i="3"/>
  <c r="D43" i="1" s="1"/>
  <c r="B72" i="3"/>
  <c r="D33" i="1" s="1"/>
  <c r="B75" i="3"/>
  <c r="B76" i="3"/>
  <c r="B77" i="3"/>
  <c r="B80" i="3"/>
  <c r="B81" i="3"/>
  <c r="B82" i="3"/>
  <c r="B85" i="3"/>
  <c r="C85" i="3"/>
  <c r="D85" i="3"/>
  <c r="B86" i="3"/>
  <c r="D56" i="1" s="1"/>
  <c r="B87" i="3"/>
  <c r="B88" i="3"/>
  <c r="D58" i="1" s="1"/>
  <c r="B89" i="3"/>
  <c r="B90" i="3"/>
  <c r="B52" i="4"/>
  <c r="C52" i="4"/>
  <c r="D52" i="4"/>
  <c r="B53" i="4"/>
  <c r="E12" i="1" s="1"/>
  <c r="C53" i="4"/>
  <c r="D53" i="4"/>
  <c r="B54" i="4"/>
  <c r="C54" i="4"/>
  <c r="D54" i="4"/>
  <c r="B55" i="4"/>
  <c r="B56" i="4"/>
  <c r="B57" i="4"/>
  <c r="C57" i="4"/>
  <c r="D57" i="4"/>
  <c r="B58" i="4"/>
  <c r="C58" i="4"/>
  <c r="D58" i="4"/>
  <c r="B59" i="4"/>
  <c r="E20" i="1" s="1"/>
  <c r="C59" i="4"/>
  <c r="D59" i="4"/>
  <c r="B60" i="4"/>
  <c r="B61" i="4"/>
  <c r="C61" i="4"/>
  <c r="D61" i="4"/>
  <c r="B64" i="4"/>
  <c r="E24" i="1" s="1"/>
  <c r="B65" i="4"/>
  <c r="E25" i="1" s="1"/>
  <c r="B66" i="4"/>
  <c r="B67" i="4"/>
  <c r="B68" i="4"/>
  <c r="B69" i="4"/>
  <c r="B70" i="4"/>
  <c r="B71" i="4"/>
  <c r="B72" i="4" s="1"/>
  <c r="E33" i="1" s="1"/>
  <c r="B75" i="4"/>
  <c r="B76" i="4"/>
  <c r="B77" i="4"/>
  <c r="E38" i="1" s="1"/>
  <c r="B80" i="4"/>
  <c r="E49" i="1" s="1"/>
  <c r="B81" i="4"/>
  <c r="B82" i="4" s="1"/>
  <c r="E51" i="1" s="1"/>
  <c r="B85" i="4"/>
  <c r="C85" i="4"/>
  <c r="D85" i="4"/>
  <c r="B86" i="4"/>
  <c r="E56" i="1" s="1"/>
  <c r="B87" i="4"/>
  <c r="B88" i="4"/>
  <c r="B89" i="4"/>
  <c r="E59" i="1" s="1"/>
  <c r="B90" i="4"/>
  <c r="B52" i="5"/>
  <c r="C52" i="5"/>
  <c r="D52" i="5"/>
  <c r="B53" i="5"/>
  <c r="C53" i="5"/>
  <c r="D53" i="5"/>
  <c r="B54" i="5"/>
  <c r="F14" i="1" s="1"/>
  <c r="C54" i="5"/>
  <c r="D54" i="5"/>
  <c r="B55" i="5"/>
  <c r="B56" i="5"/>
  <c r="F41" i="1" s="1"/>
  <c r="B57" i="5"/>
  <c r="C57" i="5"/>
  <c r="D57" i="5"/>
  <c r="B58" i="5"/>
  <c r="C58" i="5"/>
  <c r="D58" i="5"/>
  <c r="B59" i="5"/>
  <c r="F20" i="1" s="1"/>
  <c r="C59" i="5"/>
  <c r="D59" i="5"/>
  <c r="B60" i="5"/>
  <c r="B61" i="5"/>
  <c r="C61" i="5"/>
  <c r="D61" i="5"/>
  <c r="B64" i="5"/>
  <c r="B65" i="5"/>
  <c r="B66" i="5"/>
  <c r="F31" i="1" s="1"/>
  <c r="B67" i="5"/>
  <c r="B68" i="5"/>
  <c r="F28" i="1" s="1"/>
  <c r="B69" i="5"/>
  <c r="F29" i="1" s="1"/>
  <c r="B70" i="5"/>
  <c r="B71" i="5"/>
  <c r="F43" i="1" s="1"/>
  <c r="B72" i="5"/>
  <c r="F33" i="1" s="1"/>
  <c r="B75" i="5"/>
  <c r="B76" i="5"/>
  <c r="F37" i="1" s="1"/>
  <c r="B77" i="5"/>
  <c r="F38" i="1" s="1"/>
  <c r="B80" i="5"/>
  <c r="B81" i="5"/>
  <c r="F50" i="1" s="1"/>
  <c r="B82" i="5"/>
  <c r="F51" i="1" s="1"/>
  <c r="B85" i="5"/>
  <c r="C85" i="5"/>
  <c r="D85" i="5"/>
  <c r="B86" i="5"/>
  <c r="B87" i="5"/>
  <c r="B88" i="5"/>
  <c r="B89" i="5"/>
  <c r="B90" i="5"/>
  <c r="B52" i="6"/>
  <c r="G11" i="1" s="1"/>
  <c r="C52" i="6"/>
  <c r="D52" i="6"/>
  <c r="B53" i="6"/>
  <c r="G12" i="1" s="1"/>
  <c r="C53" i="6"/>
  <c r="D53" i="6"/>
  <c r="B54" i="6"/>
  <c r="G14" i="1" s="1"/>
  <c r="C54" i="6"/>
  <c r="D54" i="6"/>
  <c r="B55" i="6"/>
  <c r="B56" i="6"/>
  <c r="G41" i="1" s="1"/>
  <c r="B57" i="6"/>
  <c r="G18" i="1" s="1"/>
  <c r="C57" i="6"/>
  <c r="D57" i="6"/>
  <c r="B58" i="6"/>
  <c r="C58" i="6"/>
  <c r="D58" i="6"/>
  <c r="B59" i="6"/>
  <c r="C59" i="6"/>
  <c r="D59" i="6"/>
  <c r="B60" i="6"/>
  <c r="B61" i="6"/>
  <c r="C61" i="6"/>
  <c r="D61" i="6"/>
  <c r="B64" i="6"/>
  <c r="B65" i="6"/>
  <c r="G25" i="1" s="1"/>
  <c r="B66" i="6"/>
  <c r="B67" i="6"/>
  <c r="B68" i="6"/>
  <c r="G31" i="1" s="1"/>
  <c r="B69" i="6"/>
  <c r="G29" i="1" s="1"/>
  <c r="B70" i="6"/>
  <c r="G30" i="1" s="1"/>
  <c r="B71" i="6"/>
  <c r="B72" i="6" s="1"/>
  <c r="G33" i="1" s="1"/>
  <c r="B75" i="6"/>
  <c r="B76" i="6"/>
  <c r="B77" i="6"/>
  <c r="B80" i="6"/>
  <c r="B81" i="6"/>
  <c r="B82" i="6" s="1"/>
  <c r="G51" i="1" s="1"/>
  <c r="B85" i="6"/>
  <c r="C85" i="6"/>
  <c r="D85" i="6"/>
  <c r="B86" i="6"/>
  <c r="G56" i="1" s="1"/>
  <c r="B87" i="6"/>
  <c r="G57" i="1" s="1"/>
  <c r="B88" i="6"/>
  <c r="G58" i="1" s="1"/>
  <c r="B89" i="6"/>
  <c r="G59" i="1" s="1"/>
  <c r="B90" i="6"/>
  <c r="B52" i="7"/>
  <c r="H11" i="1" s="1"/>
  <c r="C52" i="7"/>
  <c r="D52" i="7"/>
  <c r="B53" i="7"/>
  <c r="H12" i="1" s="1"/>
  <c r="C53" i="7"/>
  <c r="D53" i="7"/>
  <c r="B54" i="7"/>
  <c r="C54" i="7"/>
  <c r="D54" i="7"/>
  <c r="B55" i="7"/>
  <c r="B56" i="7"/>
  <c r="B57" i="7"/>
  <c r="C57" i="7"/>
  <c r="D57" i="7"/>
  <c r="B58" i="7"/>
  <c r="C58" i="7"/>
  <c r="D58" i="7"/>
  <c r="B59" i="7"/>
  <c r="H20" i="1" s="1"/>
  <c r="C59" i="7"/>
  <c r="D59" i="7"/>
  <c r="B60" i="7"/>
  <c r="H21" i="1" s="1"/>
  <c r="B61" i="7"/>
  <c r="C61" i="7"/>
  <c r="D61" i="7"/>
  <c r="B64" i="7"/>
  <c r="B65" i="7"/>
  <c r="B66" i="7"/>
  <c r="B67" i="7"/>
  <c r="B68" i="7"/>
  <c r="B69" i="7"/>
  <c r="B70" i="7"/>
  <c r="B71" i="7"/>
  <c r="B72" i="7"/>
  <c r="H33" i="1" s="1"/>
  <c r="B75" i="7"/>
  <c r="B76" i="7"/>
  <c r="H37" i="1" s="1"/>
  <c r="B77" i="7"/>
  <c r="H38" i="1" s="1"/>
  <c r="B80" i="7"/>
  <c r="H49" i="1" s="1"/>
  <c r="B81" i="7"/>
  <c r="B82" i="7"/>
  <c r="H51" i="1" s="1"/>
  <c r="B85" i="7"/>
  <c r="H55" i="1" s="1"/>
  <c r="C85" i="7"/>
  <c r="D85" i="7"/>
  <c r="B86" i="7"/>
  <c r="H56" i="1" s="1"/>
  <c r="B87" i="7"/>
  <c r="H57" i="1" s="1"/>
  <c r="B88" i="7"/>
  <c r="H58" i="1" s="1"/>
  <c r="B89" i="7"/>
  <c r="B90" i="7"/>
  <c r="C3" i="1"/>
  <c r="D3" i="1"/>
  <c r="E3" i="1"/>
  <c r="F3" i="1"/>
  <c r="G3" i="1"/>
  <c r="H3" i="1"/>
  <c r="C5" i="1"/>
  <c r="B5" i="1" s="1"/>
  <c r="D5" i="1"/>
  <c r="E5" i="1"/>
  <c r="F5" i="1"/>
  <c r="G5" i="1"/>
  <c r="H5" i="1"/>
  <c r="C6" i="1"/>
  <c r="D6" i="1"/>
  <c r="B6" i="1" s="1"/>
  <c r="E6" i="1"/>
  <c r="F6" i="1"/>
  <c r="G6" i="1"/>
  <c r="H6" i="1"/>
  <c r="C7" i="1"/>
  <c r="B7" i="1" s="1"/>
  <c r="D7" i="1"/>
  <c r="E7" i="1"/>
  <c r="F7" i="1"/>
  <c r="G7" i="1"/>
  <c r="H7" i="1"/>
  <c r="C8" i="1"/>
  <c r="B8" i="1" s="1"/>
  <c r="D8" i="1"/>
  <c r="E8" i="1"/>
  <c r="F8" i="1"/>
  <c r="G8" i="1"/>
  <c r="H8" i="1"/>
  <c r="C11" i="1"/>
  <c r="B11" i="1" s="1"/>
  <c r="D11" i="1"/>
  <c r="E11" i="1"/>
  <c r="F11" i="1"/>
  <c r="C12" i="1"/>
  <c r="B12" i="1" s="1"/>
  <c r="F12" i="1"/>
  <c r="C13" i="1"/>
  <c r="B13" i="1" s="1"/>
  <c r="D13" i="1"/>
  <c r="E13" i="1"/>
  <c r="F13" i="1"/>
  <c r="G13" i="1"/>
  <c r="H13" i="1"/>
  <c r="C14" i="1"/>
  <c r="B14" i="1" s="1"/>
  <c r="D14" i="1"/>
  <c r="E14" i="1"/>
  <c r="H14" i="1"/>
  <c r="C15" i="1"/>
  <c r="D15" i="1"/>
  <c r="E15" i="1"/>
  <c r="B15" i="1" s="1"/>
  <c r="F15" i="1"/>
  <c r="G15" i="1"/>
  <c r="H15" i="1"/>
  <c r="E16" i="1"/>
  <c r="H16" i="1"/>
  <c r="C17" i="1"/>
  <c r="B17" i="1" s="1"/>
  <c r="D17" i="1"/>
  <c r="E17" i="1"/>
  <c r="F17" i="1"/>
  <c r="G17" i="1"/>
  <c r="H17" i="1"/>
  <c r="E18" i="1"/>
  <c r="F18" i="1"/>
  <c r="H18" i="1"/>
  <c r="C19" i="1"/>
  <c r="B19" i="1" s="1"/>
  <c r="D19" i="1"/>
  <c r="E19" i="1"/>
  <c r="F19" i="1"/>
  <c r="G19" i="1"/>
  <c r="H19" i="1"/>
  <c r="D20" i="1"/>
  <c r="G20" i="1"/>
  <c r="C21" i="1"/>
  <c r="B21" i="1" s="1"/>
  <c r="D21" i="1"/>
  <c r="E21" i="1"/>
  <c r="F21" i="1"/>
  <c r="G21" i="1"/>
  <c r="B24" i="1"/>
  <c r="C24" i="1"/>
  <c r="F24" i="1"/>
  <c r="G24" i="1"/>
  <c r="H24" i="1"/>
  <c r="C25" i="1"/>
  <c r="B25" i="1" s="1"/>
  <c r="F25" i="1"/>
  <c r="H25" i="1"/>
  <c r="C26" i="1"/>
  <c r="B26" i="1" s="1"/>
  <c r="D26" i="1"/>
  <c r="E26" i="1"/>
  <c r="F26" i="1"/>
  <c r="G26" i="1"/>
  <c r="H26" i="1"/>
  <c r="C27" i="1"/>
  <c r="B27" i="1" s="1"/>
  <c r="D27" i="1"/>
  <c r="E27" i="1"/>
  <c r="F27" i="1"/>
  <c r="G27" i="1"/>
  <c r="H27" i="1"/>
  <c r="E28" i="1"/>
  <c r="H28" i="1"/>
  <c r="C29" i="1"/>
  <c r="B29" i="1" s="1"/>
  <c r="D29" i="1"/>
  <c r="E29" i="1"/>
  <c r="H29" i="1"/>
  <c r="D30" i="1"/>
  <c r="E30" i="1"/>
  <c r="F30" i="1"/>
  <c r="H30" i="1"/>
  <c r="E31" i="1"/>
  <c r="H31" i="1"/>
  <c r="D32" i="1"/>
  <c r="E32" i="1"/>
  <c r="F32" i="1"/>
  <c r="H32" i="1"/>
  <c r="D36" i="1"/>
  <c r="E36" i="1"/>
  <c r="F36" i="1"/>
  <c r="G36" i="1"/>
  <c r="H36" i="1"/>
  <c r="C37" i="1"/>
  <c r="B37" i="1" s="1"/>
  <c r="D37" i="1"/>
  <c r="E37" i="1"/>
  <c r="G37" i="1"/>
  <c r="C38" i="1"/>
  <c r="B38" i="1" s="1"/>
  <c r="D38" i="1"/>
  <c r="G38" i="1"/>
  <c r="E41" i="1"/>
  <c r="H41" i="1"/>
  <c r="B42" i="1"/>
  <c r="C42" i="1"/>
  <c r="D42" i="1"/>
  <c r="E42" i="1"/>
  <c r="F42" i="1"/>
  <c r="G42" i="1"/>
  <c r="H42" i="1"/>
  <c r="C43" i="1"/>
  <c r="B43" i="1" s="1"/>
  <c r="E43" i="1"/>
  <c r="H43" i="1"/>
  <c r="B44" i="1"/>
  <c r="C44" i="1"/>
  <c r="D44" i="1"/>
  <c r="E44" i="1"/>
  <c r="F44" i="1"/>
  <c r="G44" i="1"/>
  <c r="H44" i="1"/>
  <c r="C47" i="1"/>
  <c r="B47" i="1" s="1"/>
  <c r="D47" i="1"/>
  <c r="E47" i="1"/>
  <c r="F47" i="1"/>
  <c r="G47" i="1"/>
  <c r="H47" i="1"/>
  <c r="B48" i="1"/>
  <c r="C48" i="1"/>
  <c r="D48" i="1"/>
  <c r="E48" i="1"/>
  <c r="F48" i="1"/>
  <c r="G48" i="1"/>
  <c r="H48" i="1"/>
  <c r="C49" i="1"/>
  <c r="B49" i="1" s="1"/>
  <c r="D49" i="1"/>
  <c r="F49" i="1"/>
  <c r="G49" i="1"/>
  <c r="D50" i="1"/>
  <c r="G50" i="1"/>
  <c r="H50" i="1"/>
  <c r="D51" i="1"/>
  <c r="C52" i="1"/>
  <c r="B52" i="1" s="1"/>
  <c r="D52" i="1"/>
  <c r="E52" i="1"/>
  <c r="F52" i="1"/>
  <c r="G52" i="1"/>
  <c r="H52" i="1"/>
  <c r="D55" i="1"/>
  <c r="E55" i="1"/>
  <c r="F55" i="1"/>
  <c r="G55" i="1"/>
  <c r="B56" i="1"/>
  <c r="C56" i="1"/>
  <c r="F56" i="1"/>
  <c r="C57" i="1"/>
  <c r="B57" i="1" s="1"/>
  <c r="D57" i="1"/>
  <c r="E57" i="1"/>
  <c r="F57" i="1"/>
  <c r="B58" i="1"/>
  <c r="C58" i="1"/>
  <c r="E58" i="1"/>
  <c r="F58" i="1"/>
  <c r="C59" i="1"/>
  <c r="B59" i="1" s="1"/>
  <c r="D59" i="1"/>
  <c r="F59" i="1"/>
  <c r="H59" i="1"/>
  <c r="C60" i="1"/>
  <c r="B60" i="1" s="1"/>
  <c r="D60" i="1"/>
  <c r="E60" i="1"/>
  <c r="F60" i="1"/>
  <c r="G60" i="1"/>
  <c r="H60" i="1"/>
  <c r="E50" i="1" l="1"/>
  <c r="G16" i="1"/>
  <c r="F16" i="1"/>
  <c r="G32" i="1"/>
  <c r="D16" i="1"/>
  <c r="C16" i="1"/>
  <c r="B16" i="1" s="1"/>
  <c r="B72" i="2"/>
  <c r="C33" i="1" s="1"/>
  <c r="B33" i="1" s="1"/>
  <c r="G28" i="1"/>
  <c r="G43" i="1"/>
  <c r="C31" i="1"/>
  <c r="B31" i="1" s="1"/>
</calcChain>
</file>

<file path=xl/sharedStrings.xml><?xml version="1.0" encoding="utf-8"?>
<sst xmlns="http://schemas.openxmlformats.org/spreadsheetml/2006/main" count="570" uniqueCount="138">
  <si>
    <t>Technology Industry Name:</t>
  </si>
  <si>
    <t>Industry</t>
  </si>
  <si>
    <t>Growth:</t>
  </si>
  <si>
    <t>Mean</t>
  </si>
  <si>
    <t>Revenues (past 5 yrs)</t>
  </si>
  <si>
    <t>Revenues (fore. 5 yrs)</t>
  </si>
  <si>
    <t>Earnings (past 5 yrs)</t>
  </si>
  <si>
    <t>Earnings (fore. 5 yrs)</t>
  </si>
  <si>
    <t>Profitability:</t>
  </si>
  <si>
    <t>Gross margin (current)</t>
  </si>
  <si>
    <t>Oper. margin (current)</t>
  </si>
  <si>
    <t>Oper. margin (fore. 5 yrs)</t>
  </si>
  <si>
    <t>Net margin (current)</t>
  </si>
  <si>
    <t>Net margin (fore. 5 yrs)</t>
  </si>
  <si>
    <t>ROE (current)</t>
  </si>
  <si>
    <t>ROE (fore. 5 yrs)</t>
  </si>
  <si>
    <t>R &amp; D% of sales</t>
  </si>
  <si>
    <t>SGA% of sales</t>
  </si>
  <si>
    <t>Pretax Nonrecurr% of sales</t>
  </si>
  <si>
    <t>Fixed assets-Avg W/O yrs</t>
  </si>
  <si>
    <t>Activity:</t>
  </si>
  <si>
    <t>Receivables turnover</t>
  </si>
  <si>
    <t>Days receivables</t>
  </si>
  <si>
    <t>Inventory turnover</t>
  </si>
  <si>
    <t>Days inventory</t>
  </si>
  <si>
    <t>Payables turnover</t>
  </si>
  <si>
    <t>Days payables</t>
  </si>
  <si>
    <t>Cash Cycle</t>
  </si>
  <si>
    <t>Total assets turnover</t>
  </si>
  <si>
    <t>Days total assets</t>
  </si>
  <si>
    <t>Liquidity &amp; Leverage:</t>
  </si>
  <si>
    <t>Current ratio</t>
  </si>
  <si>
    <t>Fin leverage (TA/Equity)</t>
  </si>
  <si>
    <t>Op leases / Total Capital</t>
  </si>
  <si>
    <t xml:space="preserve">   Net margin</t>
  </si>
  <si>
    <t xml:space="preserve">   Asset turnover</t>
  </si>
  <si>
    <t xml:space="preserve">   Financial leverage</t>
  </si>
  <si>
    <t>Valuation:</t>
  </si>
  <si>
    <t>Price</t>
  </si>
  <si>
    <t>PE</t>
  </si>
  <si>
    <t>GPR (Growth to PE)</t>
  </si>
  <si>
    <t>Bk value per share</t>
  </si>
  <si>
    <t>Price to bk value</t>
  </si>
  <si>
    <t>Dividend payout % (fore)</t>
  </si>
  <si>
    <t>Other:</t>
  </si>
  <si>
    <t>Cash-ops % of sales</t>
  </si>
  <si>
    <t>Capital expend / depn.</t>
  </si>
  <si>
    <t>Options % of shares outstanding</t>
  </si>
  <si>
    <t>Foreign revenues %</t>
  </si>
  <si>
    <t>Large customer %</t>
  </si>
  <si>
    <t>Current Year</t>
  </si>
  <si>
    <t>1 Yr Prior</t>
  </si>
  <si>
    <t>2 Yrs Prior</t>
  </si>
  <si>
    <t>VL Price</t>
  </si>
  <si>
    <t>VL P/E</t>
  </si>
  <si>
    <t>VL Inv. Method (1Fifo, 2Lifo,3Avg, 4Sp ID)</t>
  </si>
  <si>
    <t>VL Rev. Gr (Past 5 years)</t>
  </si>
  <si>
    <t>VL Rev.  Gr. (Forecast 5 years)</t>
  </si>
  <si>
    <t>VL EPS Gr. (Past 5 years)</t>
  </si>
  <si>
    <t>VL EPS Gr. (Forecast 5 years)</t>
  </si>
  <si>
    <t>VL Op. Margin (Forecast 5 years)</t>
  </si>
  <si>
    <t>VL Net Margin (Forecast 5 years)</t>
  </si>
  <si>
    <t>VL ROE (Forecast 5 years)</t>
  </si>
  <si>
    <t>VL Div. Payout (Forecast 5 years)</t>
  </si>
  <si>
    <t xml:space="preserve">VL Number of employees </t>
  </si>
  <si>
    <t>Raw Financial Statement Data (annual report is source):</t>
  </si>
  <si>
    <t>Sales</t>
  </si>
  <si>
    <t>CGS</t>
  </si>
  <si>
    <t>R &amp; D</t>
  </si>
  <si>
    <t>SGA expense</t>
  </si>
  <si>
    <t>Pretax nonrecurr. income</t>
  </si>
  <si>
    <t>Interest Expense</t>
  </si>
  <si>
    <t>Op. Earnings</t>
  </si>
  <si>
    <t>Pretax Earnings</t>
  </si>
  <si>
    <t>Tax Prov.</t>
  </si>
  <si>
    <t>NI (Cont. Ops.)</t>
  </si>
  <si>
    <t>Cash - Ops.</t>
  </si>
  <si>
    <t>Depreciation expense</t>
  </si>
  <si>
    <t>Capital expenditures</t>
  </si>
  <si>
    <t>A/R, net</t>
  </si>
  <si>
    <t>Inventory</t>
  </si>
  <si>
    <t>Current Assets</t>
  </si>
  <si>
    <t>PPE, Cost</t>
  </si>
  <si>
    <t>PPE, Acc. Depn.</t>
  </si>
  <si>
    <t>PPE, Nondepreciable</t>
  </si>
  <si>
    <t>Total Assets</t>
  </si>
  <si>
    <t>A/P</t>
  </si>
  <si>
    <t>Current Liabilities</t>
  </si>
  <si>
    <t>Common Stockholders' Equity</t>
  </si>
  <si>
    <t>No. Shares Outstanding</t>
  </si>
  <si>
    <t>Preferred Stockholders' Equity</t>
  </si>
  <si>
    <t>Options Outstanding</t>
  </si>
  <si>
    <t>Op. Leases (Not Discounted)</t>
  </si>
  <si>
    <t>Defined Benefit Pension (1Yes, 0No)</t>
  </si>
  <si>
    <t>Def. Ben. Pens. Funding</t>
  </si>
  <si>
    <t>U.S. Sales</t>
  </si>
  <si>
    <t>Sales to 10%+ Customers</t>
  </si>
  <si>
    <t>Profitability Ratios (All ratios are automatically calculated):</t>
  </si>
  <si>
    <t>Gross Margin</t>
  </si>
  <si>
    <t>Operating Margin</t>
  </si>
  <si>
    <t>Return on total assets</t>
  </si>
  <si>
    <t>Return on equity</t>
  </si>
  <si>
    <t>R &amp; D% of Sales</t>
  </si>
  <si>
    <t>SGA% of Sales</t>
  </si>
  <si>
    <t>Pretax nonrecurr% of Sales</t>
  </si>
  <si>
    <t>Avg. Writeoff Period Fixed Assets</t>
  </si>
  <si>
    <t>Effective Tax Rate</t>
  </si>
  <si>
    <t>Activity Ratios:</t>
  </si>
  <si>
    <t>Days Receivables</t>
  </si>
  <si>
    <t>Days Inventory</t>
  </si>
  <si>
    <t>Days Payables</t>
  </si>
  <si>
    <t>Total Assets Turnover</t>
  </si>
  <si>
    <t>Days Total Assets</t>
  </si>
  <si>
    <t>Liquidity &amp; Leverage Ratios:</t>
  </si>
  <si>
    <t>Fin Leverage (TA/Equity)</t>
  </si>
  <si>
    <t>Op leases % of Tot Cap.</t>
  </si>
  <si>
    <t>Valuation Ratios:</t>
  </si>
  <si>
    <t>Growth to PE</t>
  </si>
  <si>
    <t>Book Value Per Share</t>
  </si>
  <si>
    <t>Price to Book Value</t>
  </si>
  <si>
    <t>Other Ratios:</t>
  </si>
  <si>
    <t>Cash - Ops. % of Sales</t>
  </si>
  <si>
    <t xml:space="preserve">Capital Expendit / Depn </t>
  </si>
  <si>
    <t>Def Benefit % of Total Assets</t>
  </si>
  <si>
    <t>Options % of Shares Outstanding</t>
  </si>
  <si>
    <t>Foreign Sales %</t>
  </si>
  <si>
    <t>Large Customer Sales %</t>
  </si>
  <si>
    <t>DuPont Analysis:</t>
  </si>
  <si>
    <t>VL = Value Line is source:</t>
  </si>
  <si>
    <t>Sustainable Net Income</t>
  </si>
  <si>
    <t>Net Margin (Sustainable)</t>
  </si>
  <si>
    <t>Revenue per employee</t>
  </si>
  <si>
    <t>Company 2</t>
  </si>
  <si>
    <t>Company 3</t>
  </si>
  <si>
    <t>Company 4</t>
  </si>
  <si>
    <t>Company 5</t>
  </si>
  <si>
    <t>Company 6</t>
  </si>
  <si>
    <t>Company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</si>
</sst>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&quot;$&quot;#,##0_);\(&quot;$&quot;#,##0\)"/>
    <numFmt numFmtId="166" formatCode="&quot;$&quot;#,##0.00_);\(&quot;$&quot;#,##0.00\)"/>
    <numFmt numFmtId="170" formatCode="_(&quot;$&quot;* #,##0.00_);_(&quot;$&quot;* \(#,##0.00\);_(&quot;$&quot;* &quot;-&quot;??_);_(@_)"/>
    <numFmt numFmtId="172" formatCode="#,##0;\(#,##0\)"/>
    <numFmt numFmtId="173" formatCode="#,##0.00;\(#,##0.00\)"/>
    <numFmt numFmtId="174" formatCode="0.0"/>
    <numFmt numFmtId="175" formatCode="0.0%"/>
    <numFmt numFmtId="178" formatCode="0.0_);\(0.0\)"/>
  </numFmts>
  <fonts count="4">
    <font>
      <sz val="10"/>
      <name val="Geneva"/>
    </font>
    <font>
      <sz val="7.5"/>
      <color indexed="0"/>
      <name val="Geneva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78">
    <xf numFmtId="0" fontId="0" fillId="0" borderId="0" xfId="0"/>
    <xf numFmtId="0" fontId="2" fillId="2" borderId="0" xfId="0" applyNumberFormat="1" applyFont="1" applyFill="1" applyAlignment="1">
      <alignment vertical="top"/>
    </xf>
    <xf numFmtId="0" fontId="3" fillId="2" borderId="0" xfId="0" applyNumberFormat="1" applyFont="1" applyFill="1" applyAlignment="1">
      <alignment vertical="top"/>
    </xf>
    <xf numFmtId="0" fontId="3" fillId="2" borderId="0" xfId="0" applyFont="1" applyFill="1"/>
    <xf numFmtId="0" fontId="3" fillId="2" borderId="0" xfId="0" applyNumberFormat="1" applyFont="1" applyFill="1" applyAlignment="1">
      <alignment horizontal="center" vertical="top"/>
    </xf>
    <xf numFmtId="0" fontId="2" fillId="2" borderId="0" xfId="0" applyNumberFormat="1" applyFont="1" applyFill="1" applyAlignment="1">
      <alignment horizontal="left" vertical="top"/>
    </xf>
    <xf numFmtId="10" fontId="3" fillId="2" borderId="0" xfId="0" applyNumberFormat="1" applyFont="1" applyFill="1" applyAlignment="1">
      <alignment horizontal="left" vertical="top"/>
    </xf>
    <xf numFmtId="175" fontId="3" fillId="0" borderId="1" xfId="0" applyNumberFormat="1" applyFont="1" applyFill="1" applyBorder="1" applyAlignment="1">
      <alignment horizontal="center" vertical="top"/>
    </xf>
    <xf numFmtId="175" fontId="3" fillId="0" borderId="2" xfId="0" applyNumberFormat="1" applyFont="1" applyFill="1" applyBorder="1" applyAlignment="1">
      <alignment horizontal="center" vertical="top"/>
    </xf>
    <xf numFmtId="175" fontId="3" fillId="0" borderId="0" xfId="0" applyNumberFormat="1" applyFont="1" applyFill="1" applyBorder="1" applyAlignment="1">
      <alignment horizontal="center" vertical="top"/>
    </xf>
    <xf numFmtId="175" fontId="3" fillId="0" borderId="3" xfId="0" applyNumberFormat="1" applyFont="1" applyFill="1" applyBorder="1" applyAlignment="1">
      <alignment horizontal="center" vertical="top"/>
    </xf>
    <xf numFmtId="175" fontId="3" fillId="0" borderId="4" xfId="0" applyNumberFormat="1" applyFont="1" applyFill="1" applyBorder="1" applyAlignment="1">
      <alignment horizontal="center" vertical="top"/>
    </xf>
    <xf numFmtId="175" fontId="3" fillId="0" borderId="5" xfId="0" applyNumberFormat="1" applyFont="1" applyFill="1" applyBorder="1" applyAlignment="1">
      <alignment horizontal="center" vertical="top"/>
    </xf>
    <xf numFmtId="2" fontId="3" fillId="2" borderId="0" xfId="0" applyNumberFormat="1" applyFont="1" applyFill="1" applyAlignment="1">
      <alignment horizontal="left" vertical="top"/>
    </xf>
    <xf numFmtId="178" fontId="3" fillId="0" borderId="4" xfId="0" applyNumberFormat="1" applyFont="1" applyFill="1" applyBorder="1" applyAlignment="1">
      <alignment horizontal="center" vertical="top"/>
    </xf>
    <xf numFmtId="178" fontId="3" fillId="0" borderId="5" xfId="0" applyNumberFormat="1" applyFont="1" applyFill="1" applyBorder="1" applyAlignment="1">
      <alignment horizontal="center" vertical="top"/>
    </xf>
    <xf numFmtId="172" fontId="3" fillId="2" borderId="0" xfId="0" applyNumberFormat="1" applyFont="1" applyFill="1" applyAlignment="1">
      <alignment horizontal="left" vertical="top"/>
    </xf>
    <xf numFmtId="164" fontId="3" fillId="0" borderId="1" xfId="1" applyNumberFormat="1" applyFont="1" applyFill="1" applyBorder="1" applyAlignment="1">
      <alignment horizontal="center" vertical="top"/>
    </xf>
    <xf numFmtId="164" fontId="3" fillId="0" borderId="2" xfId="1" applyNumberFormat="1" applyFont="1" applyFill="1" applyBorder="1" applyAlignment="1">
      <alignment horizontal="center" vertical="top"/>
    </xf>
    <xf numFmtId="2" fontId="3" fillId="0" borderId="0" xfId="0" applyNumberFormat="1" applyFont="1" applyFill="1" applyBorder="1" applyAlignment="1">
      <alignment horizontal="center" vertical="top"/>
    </xf>
    <xf numFmtId="2" fontId="3" fillId="0" borderId="3" xfId="0" applyNumberFormat="1" applyFont="1" applyFill="1" applyBorder="1" applyAlignment="1">
      <alignment horizontal="center" vertical="top"/>
    </xf>
    <xf numFmtId="1" fontId="3" fillId="0" borderId="0" xfId="0" applyNumberFormat="1" applyFont="1" applyFill="1" applyBorder="1" applyAlignment="1">
      <alignment horizontal="center" vertical="top"/>
    </xf>
    <xf numFmtId="1" fontId="3" fillId="0" borderId="3" xfId="0" applyNumberFormat="1" applyFont="1" applyFill="1" applyBorder="1" applyAlignment="1">
      <alignment horizontal="center" vertical="top"/>
    </xf>
    <xf numFmtId="0" fontId="3" fillId="2" borderId="0" xfId="0" applyNumberFormat="1" applyFont="1" applyFill="1" applyAlignment="1">
      <alignment horizontal="left" vertical="top"/>
    </xf>
    <xf numFmtId="1" fontId="3" fillId="0" borderId="4" xfId="0" applyNumberFormat="1" applyFont="1" applyFill="1" applyBorder="1" applyAlignment="1">
      <alignment horizontal="center" vertical="top"/>
    </xf>
    <xf numFmtId="1" fontId="3" fillId="0" borderId="5" xfId="0" applyNumberFormat="1" applyFont="1" applyFill="1" applyBorder="1" applyAlignment="1">
      <alignment horizontal="center" vertical="top"/>
    </xf>
    <xf numFmtId="2" fontId="3" fillId="0" borderId="1" xfId="0" applyNumberFormat="1" applyFont="1" applyFill="1" applyBorder="1" applyAlignment="1">
      <alignment horizontal="center" vertical="top"/>
    </xf>
    <xf numFmtId="2" fontId="3" fillId="0" borderId="2" xfId="0" applyNumberFormat="1" applyFont="1" applyFill="1" applyBorder="1" applyAlignment="1">
      <alignment horizontal="center" vertical="top"/>
    </xf>
    <xf numFmtId="2" fontId="3" fillId="0" borderId="4" xfId="0" applyNumberFormat="1" applyFont="1" applyFill="1" applyBorder="1" applyAlignment="1">
      <alignment horizontal="center" vertical="top"/>
    </xf>
    <xf numFmtId="2" fontId="3" fillId="0" borderId="5" xfId="0" applyNumberFormat="1" applyFont="1" applyFill="1" applyBorder="1" applyAlignment="1">
      <alignment horizontal="center" vertical="top"/>
    </xf>
    <xf numFmtId="166" fontId="3" fillId="0" borderId="1" xfId="0" applyNumberFormat="1" applyFont="1" applyFill="1" applyBorder="1" applyAlignment="1">
      <alignment horizontal="center" vertical="top"/>
    </xf>
    <xf numFmtId="166" fontId="3" fillId="0" borderId="2" xfId="0" applyNumberFormat="1" applyFont="1" applyFill="1" applyBorder="1" applyAlignment="1">
      <alignment horizontal="center" vertical="top"/>
    </xf>
    <xf numFmtId="174" fontId="3" fillId="0" borderId="0" xfId="0" applyNumberFormat="1" applyFont="1" applyFill="1" applyBorder="1" applyAlignment="1">
      <alignment horizontal="center" vertical="top"/>
    </xf>
    <xf numFmtId="174" fontId="3" fillId="0" borderId="3" xfId="0" applyNumberFormat="1" applyFont="1" applyFill="1" applyBorder="1" applyAlignment="1">
      <alignment horizontal="center" vertical="top"/>
    </xf>
    <xf numFmtId="166" fontId="3" fillId="0" borderId="0" xfId="0" applyNumberFormat="1" applyFont="1" applyFill="1" applyBorder="1" applyAlignment="1">
      <alignment horizontal="center" vertical="top"/>
    </xf>
    <xf numFmtId="166" fontId="3" fillId="0" borderId="3" xfId="0" applyNumberFormat="1" applyFont="1" applyFill="1" applyBorder="1" applyAlignment="1">
      <alignment horizontal="center" vertical="top"/>
    </xf>
    <xf numFmtId="166" fontId="3" fillId="0" borderId="0" xfId="0" applyNumberFormat="1" applyFont="1" applyFill="1" applyBorder="1" applyAlignment="1">
      <alignment horizontal="center"/>
    </xf>
    <xf numFmtId="174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75" fontId="3" fillId="0" borderId="0" xfId="0" applyNumberFormat="1" applyFont="1" applyFill="1" applyBorder="1" applyAlignment="1">
      <alignment horizontal="center"/>
    </xf>
    <xf numFmtId="2" fontId="3" fillId="2" borderId="0" xfId="0" applyNumberFormat="1" applyFont="1" applyFill="1" applyAlignment="1">
      <alignment horizontal="center" vertical="top"/>
    </xf>
    <xf numFmtId="2" fontId="3" fillId="2" borderId="0" xfId="0" applyNumberFormat="1" applyFont="1" applyFill="1"/>
    <xf numFmtId="10" fontId="2" fillId="2" borderId="0" xfId="0" applyNumberFormat="1" applyFont="1" applyFill="1" applyAlignment="1">
      <alignment horizontal="left" vertical="top"/>
    </xf>
    <xf numFmtId="37" fontId="3" fillId="2" borderId="0" xfId="0" applyNumberFormat="1" applyFont="1" applyFill="1" applyAlignment="1">
      <alignment horizontal="left" vertical="top"/>
    </xf>
    <xf numFmtId="37" fontId="3" fillId="0" borderId="0" xfId="0" applyNumberFormat="1" applyFont="1" applyFill="1" applyBorder="1" applyAlignment="1">
      <alignment horizontal="right"/>
    </xf>
    <xf numFmtId="37" fontId="3" fillId="2" borderId="0" xfId="0" applyNumberFormat="1" applyFont="1" applyFill="1" applyAlignment="1">
      <alignment horizontal="center"/>
    </xf>
    <xf numFmtId="37" fontId="3" fillId="2" borderId="0" xfId="0" applyNumberFormat="1" applyFont="1" applyFill="1" applyBorder="1" applyAlignment="1">
      <alignment horizontal="right" vertical="top"/>
    </xf>
    <xf numFmtId="175" fontId="3" fillId="0" borderId="0" xfId="0" applyNumberFormat="1" applyFont="1" applyFill="1" applyAlignment="1">
      <alignment horizontal="center" vertical="top"/>
    </xf>
    <xf numFmtId="175" fontId="3" fillId="2" borderId="0" xfId="0" applyNumberFormat="1" applyFont="1" applyFill="1" applyAlignment="1">
      <alignment horizontal="center" vertical="top"/>
    </xf>
    <xf numFmtId="178" fontId="3" fillId="0" borderId="0" xfId="0" applyNumberFormat="1" applyFont="1" applyFill="1" applyAlignment="1">
      <alignment horizontal="center" vertical="top"/>
    </xf>
    <xf numFmtId="164" fontId="3" fillId="0" borderId="0" xfId="0" applyNumberFormat="1" applyFont="1" applyFill="1" applyAlignment="1">
      <alignment horizontal="center" vertical="top"/>
    </xf>
    <xf numFmtId="172" fontId="3" fillId="2" borderId="0" xfId="0" applyNumberFormat="1" applyFont="1" applyFill="1" applyAlignment="1">
      <alignment horizontal="center" vertical="top"/>
    </xf>
    <xf numFmtId="172" fontId="3" fillId="2" borderId="0" xfId="0" applyNumberFormat="1" applyFont="1" applyFill="1" applyAlignment="1">
      <alignment vertical="top"/>
    </xf>
    <xf numFmtId="2" fontId="3" fillId="0" borderId="0" xfId="0" applyNumberFormat="1" applyFont="1" applyFill="1" applyAlignment="1">
      <alignment horizontal="center" vertical="top"/>
    </xf>
    <xf numFmtId="10" fontId="3" fillId="2" borderId="0" xfId="0" applyNumberFormat="1" applyFont="1" applyFill="1" applyAlignment="1">
      <alignment horizontal="center" vertical="top"/>
    </xf>
    <xf numFmtId="173" fontId="3" fillId="2" borderId="0" xfId="0" applyNumberFormat="1" applyFont="1" applyFill="1" applyAlignment="1">
      <alignment horizontal="left" vertical="top"/>
    </xf>
    <xf numFmtId="173" fontId="3" fillId="0" borderId="0" xfId="0" applyNumberFormat="1" applyFont="1" applyFill="1" applyAlignment="1">
      <alignment horizontal="center" vertical="top"/>
    </xf>
    <xf numFmtId="173" fontId="3" fillId="2" borderId="0" xfId="0" applyNumberFormat="1" applyFont="1" applyFill="1" applyAlignment="1">
      <alignment horizontal="center" vertical="top"/>
    </xf>
    <xf numFmtId="166" fontId="3" fillId="0" borderId="0" xfId="0" applyNumberFormat="1" applyFont="1" applyFill="1" applyAlignment="1">
      <alignment horizontal="center" vertical="top"/>
    </xf>
    <xf numFmtId="2" fontId="2" fillId="2" borderId="0" xfId="0" applyNumberFormat="1" applyFont="1" applyFill="1" applyAlignment="1">
      <alignment horizontal="left" vertical="top"/>
    </xf>
    <xf numFmtId="1" fontId="3" fillId="0" borderId="0" xfId="0" applyNumberFormat="1" applyFont="1" applyFill="1" applyAlignment="1">
      <alignment horizontal="center" vertical="top"/>
    </xf>
    <xf numFmtId="175" fontId="3" fillId="0" borderId="6" xfId="0" applyNumberFormat="1" applyFont="1" applyFill="1" applyBorder="1" applyAlignment="1">
      <alignment horizontal="center" vertical="top"/>
    </xf>
    <xf numFmtId="175" fontId="3" fillId="0" borderId="7" xfId="0" applyNumberFormat="1" applyFont="1" applyFill="1" applyBorder="1" applyAlignment="1">
      <alignment horizontal="center" vertical="top"/>
    </xf>
    <xf numFmtId="175" fontId="3" fillId="0" borderId="8" xfId="0" applyNumberFormat="1" applyFont="1" applyFill="1" applyBorder="1" applyAlignment="1">
      <alignment horizontal="center" vertical="top"/>
    </xf>
    <xf numFmtId="178" fontId="3" fillId="0" borderId="8" xfId="0" applyNumberFormat="1" applyFont="1" applyFill="1" applyBorder="1" applyAlignment="1">
      <alignment horizontal="center" vertical="top"/>
    </xf>
    <xf numFmtId="164" fontId="3" fillId="0" borderId="6" xfId="1" applyNumberFormat="1" applyFont="1" applyFill="1" applyBorder="1" applyAlignment="1">
      <alignment horizontal="center" vertical="top"/>
    </xf>
    <xf numFmtId="2" fontId="3" fillId="0" borderId="7" xfId="0" applyNumberFormat="1" applyFont="1" applyFill="1" applyBorder="1" applyAlignment="1">
      <alignment horizontal="center" vertical="top"/>
    </xf>
    <xf numFmtId="1" fontId="3" fillId="0" borderId="7" xfId="0" applyNumberFormat="1" applyFont="1" applyFill="1" applyBorder="1" applyAlignment="1">
      <alignment horizontal="center" vertical="top"/>
    </xf>
    <xf numFmtId="1" fontId="3" fillId="0" borderId="8" xfId="0" applyNumberFormat="1" applyFont="1" applyFill="1" applyBorder="1" applyAlignment="1">
      <alignment horizontal="center" vertical="top"/>
    </xf>
    <xf numFmtId="2" fontId="3" fillId="0" borderId="6" xfId="0" applyNumberFormat="1" applyFont="1" applyFill="1" applyBorder="1" applyAlignment="1">
      <alignment horizontal="center" vertical="top"/>
    </xf>
    <xf numFmtId="2" fontId="3" fillId="0" borderId="8" xfId="0" applyNumberFormat="1" applyFont="1" applyFill="1" applyBorder="1" applyAlignment="1">
      <alignment horizontal="center" vertical="top"/>
    </xf>
    <xf numFmtId="166" fontId="3" fillId="0" borderId="6" xfId="0" applyNumberFormat="1" applyFont="1" applyFill="1" applyBorder="1" applyAlignment="1">
      <alignment horizontal="center" vertical="top"/>
    </xf>
    <xf numFmtId="174" fontId="3" fillId="0" borderId="7" xfId="0" applyNumberFormat="1" applyFont="1" applyFill="1" applyBorder="1" applyAlignment="1">
      <alignment horizontal="center" vertical="top"/>
    </xf>
    <xf numFmtId="166" fontId="3" fillId="0" borderId="7" xfId="0" applyNumberFormat="1" applyFont="1" applyFill="1" applyBorder="1" applyAlignment="1">
      <alignment horizontal="center" vertical="top"/>
    </xf>
    <xf numFmtId="0" fontId="3" fillId="0" borderId="6" xfId="0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0"/>
  <sheetViews>
    <sheetView tabSelected="1" workbookViewId="0">
      <pane xSplit="2" ySplit="3" topLeftCell="C4" activePane="bottomRight" state="frozen"/>
      <selection pane="topRight" activeCell="C1" sqref="C1"/>
      <selection pane="bottomLeft" activeCell="A6" sqref="A6"/>
      <selection pane="bottomRight" activeCell="D11" sqref="D11"/>
    </sheetView>
  </sheetViews>
  <sheetFormatPr defaultColWidth="11.54296875" defaultRowHeight="12.5"/>
  <cols>
    <col min="1" max="1" width="30.7265625" style="3" customWidth="1"/>
    <col min="2" max="2" width="8.7265625" style="3" customWidth="1"/>
    <col min="3" max="8" width="9.7265625" style="3" customWidth="1"/>
    <col min="9" max="9" width="5.7265625" style="3" customWidth="1"/>
    <col min="10" max="20" width="9.7265625" style="3" customWidth="1"/>
    <col min="21" max="16384" width="11.54296875" style="3"/>
  </cols>
  <sheetData>
    <row r="1" spans="1:8" ht="13">
      <c r="A1" s="1" t="s">
        <v>0</v>
      </c>
      <c r="B1" s="2"/>
      <c r="C1" s="2"/>
      <c r="D1" s="2"/>
      <c r="E1" s="2"/>
      <c r="F1" s="1"/>
      <c r="G1" s="2"/>
      <c r="H1" s="2"/>
    </row>
    <row r="2" spans="1:8">
      <c r="A2" s="74"/>
      <c r="B2" s="4" t="s">
        <v>1</v>
      </c>
      <c r="C2" s="2"/>
      <c r="D2" s="2"/>
      <c r="E2" s="2"/>
      <c r="F2" s="2"/>
      <c r="G2" s="2"/>
      <c r="H2" s="2"/>
    </row>
    <row r="3" spans="1:8">
      <c r="A3" s="75"/>
      <c r="B3" s="4" t="s">
        <v>3</v>
      </c>
      <c r="C3" s="4" t="str">
        <f>'Company 1'!A1</f>
        <v>Company 1</v>
      </c>
      <c r="D3" s="4" t="str">
        <f>'Company 2'!A1</f>
        <v>Company 2</v>
      </c>
      <c r="E3" s="4" t="str">
        <f>'Company 3'!A1</f>
        <v>Company 3</v>
      </c>
      <c r="F3" s="4" t="str">
        <f>'Company 4'!A1</f>
        <v>Company 4</v>
      </c>
      <c r="G3" s="4" t="str">
        <f>'Company 5'!A1</f>
        <v>Company 5</v>
      </c>
      <c r="H3" s="4" t="str">
        <f>'Company 6'!A1</f>
        <v>Company 6</v>
      </c>
    </row>
    <row r="4" spans="1:8" ht="13">
      <c r="A4" s="5" t="s">
        <v>2</v>
      </c>
      <c r="B4" s="4"/>
      <c r="C4" s="2"/>
      <c r="D4" s="2"/>
      <c r="E4" s="2"/>
      <c r="F4" s="2"/>
      <c r="G4" s="2"/>
      <c r="H4" s="2"/>
    </row>
    <row r="5" spans="1:8">
      <c r="A5" s="6" t="s">
        <v>4</v>
      </c>
      <c r="B5" s="61">
        <f>AVERAGE(C5:H5)</f>
        <v>0</v>
      </c>
      <c r="C5" s="7">
        <f>'Company 1'!B7</f>
        <v>0</v>
      </c>
      <c r="D5" s="7">
        <f>'Company 2'!B7</f>
        <v>0</v>
      </c>
      <c r="E5" s="7">
        <f>'Company 3'!B7</f>
        <v>0</v>
      </c>
      <c r="F5" s="7">
        <f>'Company 4'!B7</f>
        <v>0</v>
      </c>
      <c r="G5" s="7">
        <f>'Company 5'!B7</f>
        <v>0</v>
      </c>
      <c r="H5" s="8">
        <f>'Company 6'!B7</f>
        <v>0</v>
      </c>
    </row>
    <row r="6" spans="1:8">
      <c r="A6" s="6" t="s">
        <v>5</v>
      </c>
      <c r="B6" s="62">
        <f>AVERAGE(C6:H6)</f>
        <v>0</v>
      </c>
      <c r="C6" s="9">
        <f>'Company 1'!B8</f>
        <v>0</v>
      </c>
      <c r="D6" s="9">
        <f>'Company 2'!B8</f>
        <v>0</v>
      </c>
      <c r="E6" s="9">
        <f>'Company 3'!B8</f>
        <v>0</v>
      </c>
      <c r="F6" s="9">
        <f>'Company 4'!B8</f>
        <v>0</v>
      </c>
      <c r="G6" s="9">
        <f>'Company 5'!B8</f>
        <v>0</v>
      </c>
      <c r="H6" s="10">
        <f>'Company 6'!B8</f>
        <v>0</v>
      </c>
    </row>
    <row r="7" spans="1:8">
      <c r="A7" s="6" t="s">
        <v>6</v>
      </c>
      <c r="B7" s="62">
        <f>AVERAGE(C7:H7)</f>
        <v>0</v>
      </c>
      <c r="C7" s="9">
        <f>'Company 1'!B9</f>
        <v>0</v>
      </c>
      <c r="D7" s="9">
        <f>'Company 2'!B9</f>
        <v>0</v>
      </c>
      <c r="E7" s="9">
        <f>'Company 3'!B9</f>
        <v>0</v>
      </c>
      <c r="F7" s="9">
        <f>'Company 4'!B9</f>
        <v>0</v>
      </c>
      <c r="G7" s="9">
        <f>'Company 5'!B9</f>
        <v>0</v>
      </c>
      <c r="H7" s="10">
        <f>'Company 6'!B9</f>
        <v>0</v>
      </c>
    </row>
    <row r="8" spans="1:8">
      <c r="A8" s="6" t="s">
        <v>7</v>
      </c>
      <c r="B8" s="63">
        <f>AVERAGE(C8:H8)</f>
        <v>0</v>
      </c>
      <c r="C8" s="11">
        <f>'Company 1'!B10</f>
        <v>0</v>
      </c>
      <c r="D8" s="11">
        <f>'Company 2'!B10</f>
        <v>0</v>
      </c>
      <c r="E8" s="11">
        <f>'Company 3'!B10</f>
        <v>0</v>
      </c>
      <c r="F8" s="11">
        <f>'Company 4'!B10</f>
        <v>0</v>
      </c>
      <c r="G8" s="11">
        <f>'Company 5'!B10</f>
        <v>0</v>
      </c>
      <c r="H8" s="12">
        <f>'Company 6'!B10</f>
        <v>0</v>
      </c>
    </row>
    <row r="9" spans="1:8">
      <c r="B9" s="4"/>
    </row>
    <row r="10" spans="1:8" ht="13">
      <c r="A10" s="5" t="s">
        <v>8</v>
      </c>
      <c r="B10" s="4"/>
    </row>
    <row r="11" spans="1:8">
      <c r="A11" s="6" t="s">
        <v>9</v>
      </c>
      <c r="B11" s="61" t="e">
        <f t="shared" ref="B11:B21" si="0">AVERAGE(C11:H11)</f>
        <v>#DIV/0!</v>
      </c>
      <c r="C11" s="7" t="e">
        <f>'Company 1'!B52</f>
        <v>#DIV/0!</v>
      </c>
      <c r="D11" s="7" t="e">
        <f>'Company 2'!B52</f>
        <v>#DIV/0!</v>
      </c>
      <c r="E11" s="7" t="e">
        <f>'Company 3'!B52</f>
        <v>#DIV/0!</v>
      </c>
      <c r="F11" s="7" t="e">
        <f>'Company 4'!B52</f>
        <v>#DIV/0!</v>
      </c>
      <c r="G11" s="7" t="e">
        <f>'Company 5'!B52</f>
        <v>#DIV/0!</v>
      </c>
      <c r="H11" s="8" t="e">
        <f>'Company 6'!B52</f>
        <v>#DIV/0!</v>
      </c>
    </row>
    <row r="12" spans="1:8">
      <c r="A12" s="6" t="s">
        <v>10</v>
      </c>
      <c r="B12" s="62" t="e">
        <f t="shared" si="0"/>
        <v>#DIV/0!</v>
      </c>
      <c r="C12" s="9" t="e">
        <f>'Company 1'!B53</f>
        <v>#DIV/0!</v>
      </c>
      <c r="D12" s="9" t="e">
        <f>'Company 2'!B53</f>
        <v>#DIV/0!</v>
      </c>
      <c r="E12" s="9" t="e">
        <f>'Company 3'!B53</f>
        <v>#DIV/0!</v>
      </c>
      <c r="F12" s="9" t="e">
        <f>'Company 4'!B53</f>
        <v>#DIV/0!</v>
      </c>
      <c r="G12" s="9" t="e">
        <f>'Company 5'!B53</f>
        <v>#DIV/0!</v>
      </c>
      <c r="H12" s="10" t="e">
        <f>'Company 6'!B53</f>
        <v>#DIV/0!</v>
      </c>
    </row>
    <row r="13" spans="1:8">
      <c r="A13" s="6" t="s">
        <v>11</v>
      </c>
      <c r="B13" s="62">
        <f t="shared" si="0"/>
        <v>0</v>
      </c>
      <c r="C13" s="9">
        <f>'Company 1'!B11</f>
        <v>0</v>
      </c>
      <c r="D13" s="9">
        <f>'Company 2'!B11</f>
        <v>0</v>
      </c>
      <c r="E13" s="9">
        <f>'Company 3'!B11</f>
        <v>0</v>
      </c>
      <c r="F13" s="9">
        <f>'Company 4'!B11</f>
        <v>0</v>
      </c>
      <c r="G13" s="9">
        <f>'Company 5'!B11</f>
        <v>0</v>
      </c>
      <c r="H13" s="10">
        <f>'Company 6'!B11</f>
        <v>0</v>
      </c>
    </row>
    <row r="14" spans="1:8">
      <c r="A14" s="6" t="s">
        <v>12</v>
      </c>
      <c r="B14" s="62" t="e">
        <f t="shared" si="0"/>
        <v>#DIV/0!</v>
      </c>
      <c r="C14" s="9" t="e">
        <f>'Company 1'!B54</f>
        <v>#DIV/0!</v>
      </c>
      <c r="D14" s="9" t="e">
        <f>'Company 2'!B54</f>
        <v>#DIV/0!</v>
      </c>
      <c r="E14" s="9" t="e">
        <f>'Company 3'!B54</f>
        <v>#DIV/0!</v>
      </c>
      <c r="F14" s="9" t="e">
        <f>'Company 4'!B54</f>
        <v>#DIV/0!</v>
      </c>
      <c r="G14" s="9" t="e">
        <f>'Company 5'!B54</f>
        <v>#DIV/0!</v>
      </c>
      <c r="H14" s="10" t="e">
        <f>'Company 6'!B54</f>
        <v>#DIV/0!</v>
      </c>
    </row>
    <row r="15" spans="1:8">
      <c r="A15" s="6" t="s">
        <v>13</v>
      </c>
      <c r="B15" s="62">
        <f t="shared" si="0"/>
        <v>0</v>
      </c>
      <c r="C15" s="9">
        <f>'Company 1'!B12</f>
        <v>0</v>
      </c>
      <c r="D15" s="9">
        <f>'Company 2'!B12</f>
        <v>0</v>
      </c>
      <c r="E15" s="9">
        <f>'Company 3'!B12</f>
        <v>0</v>
      </c>
      <c r="F15" s="9">
        <f>'Company 4'!B12</f>
        <v>0</v>
      </c>
      <c r="G15" s="9">
        <f>'Company 5'!B12</f>
        <v>0</v>
      </c>
      <c r="H15" s="10">
        <f>'Company 6'!B12</f>
        <v>0</v>
      </c>
    </row>
    <row r="16" spans="1:8">
      <c r="A16" s="6" t="s">
        <v>14</v>
      </c>
      <c r="B16" s="62" t="e">
        <f t="shared" si="0"/>
        <v>#DIV/0!</v>
      </c>
      <c r="C16" s="9" t="e">
        <f>'Company 1'!B56</f>
        <v>#DIV/0!</v>
      </c>
      <c r="D16" s="9" t="e">
        <f>'Company 2'!B56</f>
        <v>#DIV/0!</v>
      </c>
      <c r="E16" s="9" t="e">
        <f>'Company 3'!B56</f>
        <v>#DIV/0!</v>
      </c>
      <c r="F16" s="9" t="e">
        <f>'Company 4'!B56</f>
        <v>#DIV/0!</v>
      </c>
      <c r="G16" s="9" t="e">
        <f>'Company 5'!B56</f>
        <v>#DIV/0!</v>
      </c>
      <c r="H16" s="10" t="e">
        <f>'Company 6'!B56</f>
        <v>#DIV/0!</v>
      </c>
    </row>
    <row r="17" spans="1:8">
      <c r="A17" s="6" t="s">
        <v>15</v>
      </c>
      <c r="B17" s="62">
        <f t="shared" si="0"/>
        <v>0</v>
      </c>
      <c r="C17" s="9">
        <f>'Company 1'!B13</f>
        <v>0</v>
      </c>
      <c r="D17" s="9">
        <f>'Company 2'!B13</f>
        <v>0</v>
      </c>
      <c r="E17" s="9">
        <f>'Company 3'!B13</f>
        <v>0</v>
      </c>
      <c r="F17" s="9">
        <f>'Company 4'!B13</f>
        <v>0</v>
      </c>
      <c r="G17" s="9">
        <f>'Company 5'!B13</f>
        <v>0</v>
      </c>
      <c r="H17" s="10">
        <f>'Company 6'!B13</f>
        <v>0</v>
      </c>
    </row>
    <row r="18" spans="1:8">
      <c r="A18" s="6" t="s">
        <v>16</v>
      </c>
      <c r="B18" s="62" t="e">
        <f t="shared" si="0"/>
        <v>#DIV/0!</v>
      </c>
      <c r="C18" s="9" t="e">
        <f>'Company 1'!B57</f>
        <v>#DIV/0!</v>
      </c>
      <c r="D18" s="9" t="e">
        <f>'Company 2'!B57</f>
        <v>#DIV/0!</v>
      </c>
      <c r="E18" s="9" t="e">
        <f>'Company 3'!B57</f>
        <v>#DIV/0!</v>
      </c>
      <c r="F18" s="9" t="e">
        <f>'Company 4'!B57</f>
        <v>#DIV/0!</v>
      </c>
      <c r="G18" s="9" t="e">
        <f>'Company 5'!B57</f>
        <v>#DIV/0!</v>
      </c>
      <c r="H18" s="10" t="e">
        <f>'Company 6'!B57</f>
        <v>#DIV/0!</v>
      </c>
    </row>
    <row r="19" spans="1:8">
      <c r="A19" s="6" t="s">
        <v>17</v>
      </c>
      <c r="B19" s="62" t="e">
        <f t="shared" si="0"/>
        <v>#DIV/0!</v>
      </c>
      <c r="C19" s="9" t="e">
        <f>'Company 1'!B58</f>
        <v>#DIV/0!</v>
      </c>
      <c r="D19" s="9" t="e">
        <f>'Company 2'!B58</f>
        <v>#DIV/0!</v>
      </c>
      <c r="E19" s="9" t="e">
        <f>'Company 3'!B58</f>
        <v>#DIV/0!</v>
      </c>
      <c r="F19" s="9" t="e">
        <f>'Company 4'!B58</f>
        <v>#DIV/0!</v>
      </c>
      <c r="G19" s="9" t="e">
        <f>'Company 5'!B58</f>
        <v>#DIV/0!</v>
      </c>
      <c r="H19" s="10" t="e">
        <f>'Company 6'!B58</f>
        <v>#DIV/0!</v>
      </c>
    </row>
    <row r="20" spans="1:8">
      <c r="A20" s="6" t="s">
        <v>18</v>
      </c>
      <c r="B20" s="62" t="e">
        <f t="shared" si="0"/>
        <v>#DIV/0!</v>
      </c>
      <c r="C20" s="9" t="e">
        <f>'Company 1'!B59</f>
        <v>#DIV/0!</v>
      </c>
      <c r="D20" s="9" t="e">
        <f>'Company 2'!B59</f>
        <v>#DIV/0!</v>
      </c>
      <c r="E20" s="9" t="e">
        <f>'Company 3'!B59</f>
        <v>#DIV/0!</v>
      </c>
      <c r="F20" s="9" t="e">
        <f>'Company 4'!B59</f>
        <v>#DIV/0!</v>
      </c>
      <c r="G20" s="9" t="e">
        <f>'Company 5'!B59</f>
        <v>#DIV/0!</v>
      </c>
      <c r="H20" s="10" t="e">
        <f>'Company 6'!B59</f>
        <v>#DIV/0!</v>
      </c>
    </row>
    <row r="21" spans="1:8">
      <c r="A21" s="13" t="s">
        <v>19</v>
      </c>
      <c r="B21" s="64" t="e">
        <f t="shared" si="0"/>
        <v>#DIV/0!</v>
      </c>
      <c r="C21" s="14" t="e">
        <f>'Company 1'!B60</f>
        <v>#DIV/0!</v>
      </c>
      <c r="D21" s="14" t="e">
        <f>'Company 2'!B60</f>
        <v>#DIV/0!</v>
      </c>
      <c r="E21" s="14" t="e">
        <f>'Company 3'!B60</f>
        <v>#DIV/0!</v>
      </c>
      <c r="F21" s="14" t="e">
        <f>'Company 4'!B60</f>
        <v>#DIV/0!</v>
      </c>
      <c r="G21" s="14" t="e">
        <f>'Company 5'!B60</f>
        <v>#DIV/0!</v>
      </c>
      <c r="H21" s="15" t="e">
        <f>'Company 6'!B60</f>
        <v>#DIV/0!</v>
      </c>
    </row>
    <row r="22" spans="1:8">
      <c r="B22" s="4"/>
    </row>
    <row r="23" spans="1:8" ht="13">
      <c r="A23" s="5" t="s">
        <v>20</v>
      </c>
      <c r="B23" s="4"/>
    </row>
    <row r="24" spans="1:8">
      <c r="A24" s="16" t="s">
        <v>131</v>
      </c>
      <c r="B24" s="65" t="e">
        <f t="shared" ref="B24:B33" si="1">AVERAGE(C24:H24)</f>
        <v>#DIV/0!</v>
      </c>
      <c r="C24" s="17" t="e">
        <f>'Company 1'!B64</f>
        <v>#DIV/0!</v>
      </c>
      <c r="D24" s="17" t="e">
        <f>'Company 2'!B64</f>
        <v>#DIV/0!</v>
      </c>
      <c r="E24" s="17" t="e">
        <f>'Company 3'!B64</f>
        <v>#DIV/0!</v>
      </c>
      <c r="F24" s="17" t="e">
        <f>'Company 4'!B64</f>
        <v>#DIV/0!</v>
      </c>
      <c r="G24" s="17" t="e">
        <f>'Company 5'!B64</f>
        <v>#DIV/0!</v>
      </c>
      <c r="H24" s="18" t="e">
        <f>'Company 6'!B64</f>
        <v>#DIV/0!</v>
      </c>
    </row>
    <row r="25" spans="1:8">
      <c r="A25" s="16" t="s">
        <v>21</v>
      </c>
      <c r="B25" s="66" t="e">
        <f t="shared" si="1"/>
        <v>#DIV/0!</v>
      </c>
      <c r="C25" s="19" t="e">
        <f>'Company 1'!B65</f>
        <v>#DIV/0!</v>
      </c>
      <c r="D25" s="19" t="e">
        <f>'Company 2'!B65</f>
        <v>#DIV/0!</v>
      </c>
      <c r="E25" s="19" t="e">
        <f>'Company 3'!B65</f>
        <v>#DIV/0!</v>
      </c>
      <c r="F25" s="19" t="e">
        <f>'Company 4'!B65</f>
        <v>#DIV/0!</v>
      </c>
      <c r="G25" s="19" t="e">
        <f>'Company 5'!B65</f>
        <v>#DIV/0!</v>
      </c>
      <c r="H25" s="20" t="e">
        <f>'Company 6'!B65</f>
        <v>#DIV/0!</v>
      </c>
    </row>
    <row r="26" spans="1:8">
      <c r="A26" s="13" t="s">
        <v>22</v>
      </c>
      <c r="B26" s="67" t="e">
        <f t="shared" si="1"/>
        <v>#DIV/0!</v>
      </c>
      <c r="C26" s="21" t="e">
        <f>'Company 1'!B66</f>
        <v>#DIV/0!</v>
      </c>
      <c r="D26" s="21" t="e">
        <f>'Company 2'!B66</f>
        <v>#DIV/0!</v>
      </c>
      <c r="E26" s="21" t="e">
        <f>'Company 3'!B66</f>
        <v>#DIV/0!</v>
      </c>
      <c r="F26" s="21" t="e">
        <f>'Company 4'!B66</f>
        <v>#DIV/0!</v>
      </c>
      <c r="G26" s="21" t="e">
        <f>'Company 5'!B66</f>
        <v>#DIV/0!</v>
      </c>
      <c r="H26" s="22" t="e">
        <f>'Company 6'!B66</f>
        <v>#DIV/0!</v>
      </c>
    </row>
    <row r="27" spans="1:8">
      <c r="A27" s="13" t="s">
        <v>23</v>
      </c>
      <c r="B27" s="66" t="e">
        <f t="shared" si="1"/>
        <v>#DIV/0!</v>
      </c>
      <c r="C27" s="19" t="e">
        <f>'Company 1'!B67</f>
        <v>#DIV/0!</v>
      </c>
      <c r="D27" s="19" t="e">
        <f>'Company 2'!B67</f>
        <v>#DIV/0!</v>
      </c>
      <c r="E27" s="19" t="e">
        <f>'Company 3'!B67</f>
        <v>#DIV/0!</v>
      </c>
      <c r="F27" s="19" t="e">
        <f>'Company 4'!B67</f>
        <v>#DIV/0!</v>
      </c>
      <c r="G27" s="19" t="e">
        <f>'Company 5'!B67</f>
        <v>#DIV/0!</v>
      </c>
      <c r="H27" s="20" t="e">
        <f>'Company 6'!B67</f>
        <v>#DIV/0!</v>
      </c>
    </row>
    <row r="28" spans="1:8">
      <c r="A28" s="13" t="s">
        <v>24</v>
      </c>
      <c r="B28" s="67" t="e">
        <f t="shared" si="1"/>
        <v>#DIV/0!</v>
      </c>
      <c r="C28" s="21" t="e">
        <f>'Company 1'!B68</f>
        <v>#DIV/0!</v>
      </c>
      <c r="D28" s="21" t="e">
        <f>'Company 2'!B68</f>
        <v>#DIV/0!</v>
      </c>
      <c r="E28" s="21" t="e">
        <f>'Company 3'!B68</f>
        <v>#DIV/0!</v>
      </c>
      <c r="F28" s="21" t="e">
        <f>'Company 4'!B68</f>
        <v>#DIV/0!</v>
      </c>
      <c r="G28" s="21" t="e">
        <f>'Company 5'!B68</f>
        <v>#DIV/0!</v>
      </c>
      <c r="H28" s="22" t="e">
        <f>'Company 6'!B68</f>
        <v>#DIV/0!</v>
      </c>
    </row>
    <row r="29" spans="1:8">
      <c r="A29" s="13" t="s">
        <v>25</v>
      </c>
      <c r="B29" s="66" t="e">
        <f t="shared" si="1"/>
        <v>#DIV/0!</v>
      </c>
      <c r="C29" s="19" t="e">
        <f>'Company 1'!B69</f>
        <v>#DIV/0!</v>
      </c>
      <c r="D29" s="19" t="e">
        <f>'Company 2'!B69</f>
        <v>#DIV/0!</v>
      </c>
      <c r="E29" s="19" t="e">
        <f>'Company 3'!B69</f>
        <v>#DIV/0!</v>
      </c>
      <c r="F29" s="19" t="e">
        <f>'Company 4'!B69</f>
        <v>#DIV/0!</v>
      </c>
      <c r="G29" s="19" t="e">
        <f>'Company 5'!B69</f>
        <v>#DIV/0!</v>
      </c>
      <c r="H29" s="20" t="e">
        <f>'Company 6'!B69</f>
        <v>#DIV/0!</v>
      </c>
    </row>
    <row r="30" spans="1:8">
      <c r="A30" s="13" t="s">
        <v>26</v>
      </c>
      <c r="B30" s="67" t="e">
        <f t="shared" si="1"/>
        <v>#DIV/0!</v>
      </c>
      <c r="C30" s="21" t="e">
        <f>'Company 1'!B70</f>
        <v>#DIV/0!</v>
      </c>
      <c r="D30" s="21" t="e">
        <f>'Company 2'!B70</f>
        <v>#DIV/0!</v>
      </c>
      <c r="E30" s="21" t="e">
        <f>'Company 3'!B70</f>
        <v>#DIV/0!</v>
      </c>
      <c r="F30" s="21" t="e">
        <f>'Company 4'!B70</f>
        <v>#DIV/0!</v>
      </c>
      <c r="G30" s="21" t="e">
        <f>'Company 5'!B70</f>
        <v>#DIV/0!</v>
      </c>
      <c r="H30" s="22" t="e">
        <f>'Company 6'!B70</f>
        <v>#DIV/0!</v>
      </c>
    </row>
    <row r="31" spans="1:8" ht="13.15" customHeight="1">
      <c r="A31" s="13" t="s">
        <v>27</v>
      </c>
      <c r="B31" s="67" t="e">
        <f t="shared" si="1"/>
        <v>#DIV/0!</v>
      </c>
      <c r="C31" s="21" t="e">
        <f>'Company 1'!B66+'Company 1'!B68-'Company 1'!B70</f>
        <v>#DIV/0!</v>
      </c>
      <c r="D31" s="21" t="e">
        <f>'Company 2'!B66+'Company 2'!B68-'Company 2'!B70</f>
        <v>#DIV/0!</v>
      </c>
      <c r="E31" s="21" t="e">
        <f>'Company 3'!B66+'Company 3'!B68-'Company 3'!B70</f>
        <v>#DIV/0!</v>
      </c>
      <c r="F31" s="21" t="e">
        <f>'Company 4'!B66+'Company 4'!B68-'Company 4'!B70</f>
        <v>#DIV/0!</v>
      </c>
      <c r="G31" s="21" t="e">
        <f>'Company 5'!B66+'Company 5'!B68-'Company 5'!B70</f>
        <v>#DIV/0!</v>
      </c>
      <c r="H31" s="22" t="e">
        <f>'Company 6'!B66+'Company 6'!B68-'Company 6'!B70</f>
        <v>#DIV/0!</v>
      </c>
    </row>
    <row r="32" spans="1:8" ht="13.15" customHeight="1">
      <c r="A32" s="13" t="s">
        <v>28</v>
      </c>
      <c r="B32" s="66" t="e">
        <f t="shared" si="1"/>
        <v>#DIV/0!</v>
      </c>
      <c r="C32" s="19" t="e">
        <f>'Company 1'!B71</f>
        <v>#DIV/0!</v>
      </c>
      <c r="D32" s="19" t="e">
        <f>'Company 2'!B71</f>
        <v>#DIV/0!</v>
      </c>
      <c r="E32" s="19" t="e">
        <f>'Company 3'!B71</f>
        <v>#DIV/0!</v>
      </c>
      <c r="F32" s="19" t="e">
        <f>'Company 4'!B71</f>
        <v>#DIV/0!</v>
      </c>
      <c r="G32" s="19" t="e">
        <f>'Company 5'!B71</f>
        <v>#DIV/0!</v>
      </c>
      <c r="H32" s="20" t="e">
        <f>'Company 6'!B71</f>
        <v>#DIV/0!</v>
      </c>
    </row>
    <row r="33" spans="1:8" ht="13.15" customHeight="1">
      <c r="A33" s="23" t="s">
        <v>29</v>
      </c>
      <c r="B33" s="68" t="e">
        <f t="shared" si="1"/>
        <v>#DIV/0!</v>
      </c>
      <c r="C33" s="24" t="e">
        <f>'Company 1'!B72</f>
        <v>#DIV/0!</v>
      </c>
      <c r="D33" s="24" t="e">
        <f>'Company 2'!B72</f>
        <v>#DIV/0!</v>
      </c>
      <c r="E33" s="24" t="e">
        <f>'Company 3'!B72</f>
        <v>#DIV/0!</v>
      </c>
      <c r="F33" s="24" t="e">
        <f>'Company 4'!B72</f>
        <v>#DIV/0!</v>
      </c>
      <c r="G33" s="24" t="e">
        <f>'Company 5'!B72</f>
        <v>#DIV/0!</v>
      </c>
      <c r="H33" s="25" t="e">
        <f>'Company 6'!B72</f>
        <v>#DIV/0!</v>
      </c>
    </row>
    <row r="34" spans="1:8" ht="13.15" customHeight="1">
      <c r="B34" s="4"/>
    </row>
    <row r="35" spans="1:8" ht="13.15" customHeight="1">
      <c r="A35" s="5" t="s">
        <v>30</v>
      </c>
      <c r="B35" s="4"/>
    </row>
    <row r="36" spans="1:8" ht="13.15" customHeight="1">
      <c r="A36" s="6" t="s">
        <v>31</v>
      </c>
      <c r="B36" s="69" t="e">
        <f>AVERAGE(C36:H36)</f>
        <v>#DIV/0!</v>
      </c>
      <c r="C36" s="26" t="e">
        <f>'Company 1'!B75</f>
        <v>#DIV/0!</v>
      </c>
      <c r="D36" s="26" t="e">
        <f>'Company 2'!B75</f>
        <v>#DIV/0!</v>
      </c>
      <c r="E36" s="26" t="e">
        <f>'Company 3'!B75</f>
        <v>#DIV/0!</v>
      </c>
      <c r="F36" s="26" t="e">
        <f>'Company 4'!B75</f>
        <v>#DIV/0!</v>
      </c>
      <c r="G36" s="26" t="e">
        <f>'Company 5'!B75</f>
        <v>#DIV/0!</v>
      </c>
      <c r="H36" s="27" t="e">
        <f>'Company 6'!B75</f>
        <v>#DIV/0!</v>
      </c>
    </row>
    <row r="37" spans="1:8" ht="13.15" customHeight="1">
      <c r="A37" s="6" t="s">
        <v>32</v>
      </c>
      <c r="B37" s="66" t="e">
        <f>AVERAGE(C37:H37)</f>
        <v>#DIV/0!</v>
      </c>
      <c r="C37" s="19" t="e">
        <f>'Company 1'!B76</f>
        <v>#DIV/0!</v>
      </c>
      <c r="D37" s="19" t="e">
        <f>'Company 2'!B76</f>
        <v>#DIV/0!</v>
      </c>
      <c r="E37" s="19" t="e">
        <f>'Company 3'!B76</f>
        <v>#DIV/0!</v>
      </c>
      <c r="F37" s="19" t="e">
        <f>'Company 4'!B76</f>
        <v>#DIV/0!</v>
      </c>
      <c r="G37" s="19" t="e">
        <f>'Company 5'!B76</f>
        <v>#DIV/0!</v>
      </c>
      <c r="H37" s="20" t="e">
        <f>'Company 6'!B76</f>
        <v>#DIV/0!</v>
      </c>
    </row>
    <row r="38" spans="1:8" ht="13.15" customHeight="1">
      <c r="A38" s="23" t="s">
        <v>33</v>
      </c>
      <c r="B38" s="63" t="e">
        <f>AVERAGE(C38:H38)</f>
        <v>#DIV/0!</v>
      </c>
      <c r="C38" s="11" t="e">
        <f>'Company 1'!B77</f>
        <v>#DIV/0!</v>
      </c>
      <c r="D38" s="11" t="e">
        <f>'Company 2'!B77</f>
        <v>#DIV/0!</v>
      </c>
      <c r="E38" s="11" t="e">
        <f>'Company 3'!B77</f>
        <v>#DIV/0!</v>
      </c>
      <c r="F38" s="11" t="e">
        <f>'Company 4'!B77</f>
        <v>#DIV/0!</v>
      </c>
      <c r="G38" s="11" t="e">
        <f>'Company 5'!B77</f>
        <v>#DIV/0!</v>
      </c>
      <c r="H38" s="12" t="e">
        <f>'Company 6'!B77</f>
        <v>#DIV/0!</v>
      </c>
    </row>
    <row r="39" spans="1:8" ht="13.15" customHeight="1">
      <c r="B39" s="4"/>
    </row>
    <row r="40" spans="1:8" ht="13.15" customHeight="1">
      <c r="A40" s="5" t="s">
        <v>127</v>
      </c>
      <c r="B40" s="4"/>
    </row>
    <row r="41" spans="1:8" ht="13.15" customHeight="1">
      <c r="A41" s="23" t="s">
        <v>14</v>
      </c>
      <c r="B41" s="61" t="e">
        <f>AVERAGE(C41:H41)</f>
        <v>#DIV/0!</v>
      </c>
      <c r="C41" s="7" t="e">
        <f>'Company 1'!B56</f>
        <v>#DIV/0!</v>
      </c>
      <c r="D41" s="7" t="e">
        <f>'Company 2'!B56</f>
        <v>#DIV/0!</v>
      </c>
      <c r="E41" s="7" t="e">
        <f>'Company 3'!B56</f>
        <v>#DIV/0!</v>
      </c>
      <c r="F41" s="7" t="e">
        <f>'Company 4'!B56</f>
        <v>#DIV/0!</v>
      </c>
      <c r="G41" s="7" t="e">
        <f>'Company 5'!B56</f>
        <v>#DIV/0!</v>
      </c>
      <c r="H41" s="8" t="e">
        <f>'Company 6'!B56</f>
        <v>#DIV/0!</v>
      </c>
    </row>
    <row r="42" spans="1:8" ht="13.15" customHeight="1">
      <c r="A42" s="23" t="s">
        <v>34</v>
      </c>
      <c r="B42" s="62" t="e">
        <f>AVERAGE(C42:H42)</f>
        <v>#DIV/0!</v>
      </c>
      <c r="C42" s="9" t="e">
        <f>'Company 1'!B54</f>
        <v>#DIV/0!</v>
      </c>
      <c r="D42" s="9" t="e">
        <f>'Company 2'!B54</f>
        <v>#DIV/0!</v>
      </c>
      <c r="E42" s="9" t="e">
        <f>'Company 3'!B54</f>
        <v>#DIV/0!</v>
      </c>
      <c r="F42" s="9" t="e">
        <f>'Company 4'!B54</f>
        <v>#DIV/0!</v>
      </c>
      <c r="G42" s="9" t="e">
        <f>'Company 5'!B54</f>
        <v>#DIV/0!</v>
      </c>
      <c r="H42" s="10" t="e">
        <f>'Company 6'!B54</f>
        <v>#DIV/0!</v>
      </c>
    </row>
    <row r="43" spans="1:8" ht="13.15" customHeight="1">
      <c r="A43" s="23" t="s">
        <v>35</v>
      </c>
      <c r="B43" s="66" t="e">
        <f>AVERAGE(C43:H43)</f>
        <v>#DIV/0!</v>
      </c>
      <c r="C43" s="19" t="e">
        <f>'Company 1'!B71</f>
        <v>#DIV/0!</v>
      </c>
      <c r="D43" s="19" t="e">
        <f>'Company 2'!B71</f>
        <v>#DIV/0!</v>
      </c>
      <c r="E43" s="19" t="e">
        <f>'Company 3'!B71</f>
        <v>#DIV/0!</v>
      </c>
      <c r="F43" s="19" t="e">
        <f>'Company 4'!B71</f>
        <v>#DIV/0!</v>
      </c>
      <c r="G43" s="19" t="e">
        <f>'Company 5'!B71</f>
        <v>#DIV/0!</v>
      </c>
      <c r="H43" s="20" t="e">
        <f>'Company 6'!B71</f>
        <v>#DIV/0!</v>
      </c>
    </row>
    <row r="44" spans="1:8" ht="13.15" customHeight="1">
      <c r="A44" s="23" t="s">
        <v>36</v>
      </c>
      <c r="B44" s="70" t="e">
        <f>AVERAGE(C44:H44)</f>
        <v>#DIV/0!</v>
      </c>
      <c r="C44" s="28" t="e">
        <f>'Company 1'!B76</f>
        <v>#DIV/0!</v>
      </c>
      <c r="D44" s="28" t="e">
        <f>'Company 2'!B76</f>
        <v>#DIV/0!</v>
      </c>
      <c r="E44" s="28" t="e">
        <f>'Company 3'!B76</f>
        <v>#DIV/0!</v>
      </c>
      <c r="F44" s="28" t="e">
        <f>'Company 4'!B76</f>
        <v>#DIV/0!</v>
      </c>
      <c r="G44" s="28" t="e">
        <f>'Company 5'!B76</f>
        <v>#DIV/0!</v>
      </c>
      <c r="H44" s="29" t="e">
        <f>'Company 6'!B76</f>
        <v>#DIV/0!</v>
      </c>
    </row>
    <row r="45" spans="1:8" ht="13.15" customHeight="1">
      <c r="B45" s="4"/>
    </row>
    <row r="46" spans="1:8" ht="13.15" customHeight="1">
      <c r="A46" s="5" t="s">
        <v>37</v>
      </c>
      <c r="B46" s="4"/>
    </row>
    <row r="47" spans="1:8" ht="13.15" customHeight="1">
      <c r="A47" s="13" t="s">
        <v>38</v>
      </c>
      <c r="B47" s="71">
        <f t="shared" ref="B47:B52" si="2">AVERAGE(C47:H47)</f>
        <v>0</v>
      </c>
      <c r="C47" s="30">
        <f>'Company 1'!B4</f>
        <v>0</v>
      </c>
      <c r="D47" s="30">
        <f>'Company 2'!B4</f>
        <v>0</v>
      </c>
      <c r="E47" s="30">
        <f>'Company 3'!B4</f>
        <v>0</v>
      </c>
      <c r="F47" s="30">
        <f>'Company 4'!B4</f>
        <v>0</v>
      </c>
      <c r="G47" s="30">
        <f>'Company 5'!B4</f>
        <v>0</v>
      </c>
      <c r="H47" s="31">
        <f>'Company 6'!B4</f>
        <v>0</v>
      </c>
    </row>
    <row r="48" spans="1:8" ht="13.15" customHeight="1">
      <c r="A48" s="13" t="s">
        <v>39</v>
      </c>
      <c r="B48" s="72">
        <f t="shared" si="2"/>
        <v>0</v>
      </c>
      <c r="C48" s="32">
        <f>'Company 1'!B5</f>
        <v>0</v>
      </c>
      <c r="D48" s="32">
        <f>'Company 2'!B5</f>
        <v>0</v>
      </c>
      <c r="E48" s="32">
        <f>'Company 3'!B5</f>
        <v>0</v>
      </c>
      <c r="F48" s="32">
        <f>'Company 4'!B5</f>
        <v>0</v>
      </c>
      <c r="G48" s="32">
        <f>'Company 5'!B5</f>
        <v>0</v>
      </c>
      <c r="H48" s="33">
        <f>'Company 6'!B5</f>
        <v>0</v>
      </c>
    </row>
    <row r="49" spans="1:8" ht="13.15" customHeight="1">
      <c r="A49" s="13" t="s">
        <v>40</v>
      </c>
      <c r="B49" s="66" t="e">
        <f t="shared" si="2"/>
        <v>#DIV/0!</v>
      </c>
      <c r="C49" s="19" t="e">
        <f>'Company 1'!B80</f>
        <v>#DIV/0!</v>
      </c>
      <c r="D49" s="19" t="e">
        <f>'Company 2'!B80</f>
        <v>#DIV/0!</v>
      </c>
      <c r="E49" s="19" t="e">
        <f>'Company 3'!B80</f>
        <v>#DIV/0!</v>
      </c>
      <c r="F49" s="19" t="e">
        <f>'Company 4'!B80</f>
        <v>#DIV/0!</v>
      </c>
      <c r="G49" s="19" t="e">
        <f>'Company 5'!B80</f>
        <v>#DIV/0!</v>
      </c>
      <c r="H49" s="20" t="e">
        <f>'Company 6'!B80</f>
        <v>#DIV/0!</v>
      </c>
    </row>
    <row r="50" spans="1:8" ht="13.15" customHeight="1">
      <c r="A50" s="13" t="s">
        <v>41</v>
      </c>
      <c r="B50" s="73" t="e">
        <f t="shared" si="2"/>
        <v>#DIV/0!</v>
      </c>
      <c r="C50" s="34" t="e">
        <f>'Company 1'!B81</f>
        <v>#DIV/0!</v>
      </c>
      <c r="D50" s="34" t="e">
        <f>'Company 2'!B81</f>
        <v>#DIV/0!</v>
      </c>
      <c r="E50" s="34" t="e">
        <f>'Company 3'!B81</f>
        <v>#DIV/0!</v>
      </c>
      <c r="F50" s="34" t="e">
        <f>'Company 4'!B81</f>
        <v>#DIV/0!</v>
      </c>
      <c r="G50" s="34" t="e">
        <f>'Company 5'!B81</f>
        <v>#DIV/0!</v>
      </c>
      <c r="H50" s="35" t="e">
        <f>'Company 6'!B81</f>
        <v>#DIV/0!</v>
      </c>
    </row>
    <row r="51" spans="1:8" ht="13.15" customHeight="1">
      <c r="A51" s="13" t="s">
        <v>42</v>
      </c>
      <c r="B51" s="66" t="e">
        <f t="shared" si="2"/>
        <v>#DIV/0!</v>
      </c>
      <c r="C51" s="19" t="e">
        <f>'Company 1'!B82</f>
        <v>#DIV/0!</v>
      </c>
      <c r="D51" s="19" t="e">
        <f>'Company 2'!B82</f>
        <v>#DIV/0!</v>
      </c>
      <c r="E51" s="19" t="e">
        <f>'Company 3'!B82</f>
        <v>#DIV/0!</v>
      </c>
      <c r="F51" s="19" t="e">
        <f>'Company 4'!B82</f>
        <v>#DIV/0!</v>
      </c>
      <c r="G51" s="19" t="e">
        <f>'Company 5'!B82</f>
        <v>#DIV/0!</v>
      </c>
      <c r="H51" s="20" t="e">
        <f>'Company 6'!B82</f>
        <v>#DIV/0!</v>
      </c>
    </row>
    <row r="52" spans="1:8" ht="13.15" customHeight="1">
      <c r="A52" s="6" t="s">
        <v>43</v>
      </c>
      <c r="B52" s="63">
        <f t="shared" si="2"/>
        <v>0</v>
      </c>
      <c r="C52" s="11">
        <f>'Company 1'!B14</f>
        <v>0</v>
      </c>
      <c r="D52" s="11">
        <f>'Company 2'!B14</f>
        <v>0</v>
      </c>
      <c r="E52" s="11">
        <f>'Company 3'!B14</f>
        <v>0</v>
      </c>
      <c r="F52" s="11">
        <f>'Company 4'!B14</f>
        <v>0</v>
      </c>
      <c r="G52" s="11">
        <f>'Company 5'!B14</f>
        <v>0</v>
      </c>
      <c r="H52" s="12">
        <f>'Company 6'!B14</f>
        <v>0</v>
      </c>
    </row>
    <row r="53" spans="1:8" ht="13.15" customHeight="1">
      <c r="B53" s="4"/>
    </row>
    <row r="54" spans="1:8" ht="13.15" customHeight="1">
      <c r="A54" s="5" t="s">
        <v>44</v>
      </c>
      <c r="B54" s="4"/>
    </row>
    <row r="55" spans="1:8" ht="13.15" customHeight="1">
      <c r="A55" s="6" t="s">
        <v>45</v>
      </c>
      <c r="B55" s="61" t="e">
        <f t="shared" ref="B55:B60" si="3">AVERAGE(C55:H55)</f>
        <v>#DIV/0!</v>
      </c>
      <c r="C55" s="7" t="e">
        <f>'Company 1'!B85</f>
        <v>#DIV/0!</v>
      </c>
      <c r="D55" s="7" t="e">
        <f>'Company 2'!B85</f>
        <v>#DIV/0!</v>
      </c>
      <c r="E55" s="7" t="e">
        <f>'Company 3'!B85</f>
        <v>#DIV/0!</v>
      </c>
      <c r="F55" s="7" t="e">
        <f>'Company 4'!B85</f>
        <v>#DIV/0!</v>
      </c>
      <c r="G55" s="7" t="e">
        <f>'Company 5'!B85</f>
        <v>#DIV/0!</v>
      </c>
      <c r="H55" s="8" t="e">
        <f>'Company 6'!B85</f>
        <v>#DIV/0!</v>
      </c>
    </row>
    <row r="56" spans="1:8" ht="13.15" customHeight="1">
      <c r="A56" s="6" t="s">
        <v>46</v>
      </c>
      <c r="B56" s="62" t="e">
        <f t="shared" si="3"/>
        <v>#DIV/0!</v>
      </c>
      <c r="C56" s="9" t="e">
        <f>'Company 1'!B86</f>
        <v>#DIV/0!</v>
      </c>
      <c r="D56" s="9" t="e">
        <f>'Company 2'!B86</f>
        <v>#DIV/0!</v>
      </c>
      <c r="E56" s="9" t="e">
        <f>'Company 3'!B86</f>
        <v>#DIV/0!</v>
      </c>
      <c r="F56" s="9" t="e">
        <f>'Company 4'!B86</f>
        <v>#DIV/0!</v>
      </c>
      <c r="G56" s="9" t="e">
        <f>'Company 5'!B86</f>
        <v>#DIV/0!</v>
      </c>
      <c r="H56" s="10" t="e">
        <f>'Company 6'!B86</f>
        <v>#DIV/0!</v>
      </c>
    </row>
    <row r="57" spans="1:8" ht="13.15" customHeight="1">
      <c r="A57" s="6" t="s">
        <v>123</v>
      </c>
      <c r="B57" s="62" t="e">
        <f t="shared" si="3"/>
        <v>#DIV/0!</v>
      </c>
      <c r="C57" s="9" t="e">
        <f>'Company 1'!B87</f>
        <v>#DIV/0!</v>
      </c>
      <c r="D57" s="9" t="e">
        <f>'Company 2'!B87</f>
        <v>#DIV/0!</v>
      </c>
      <c r="E57" s="9" t="e">
        <f>'Company 3'!B87</f>
        <v>#DIV/0!</v>
      </c>
      <c r="F57" s="9" t="e">
        <f>'Company 4'!B87</f>
        <v>#DIV/0!</v>
      </c>
      <c r="G57" s="9" t="e">
        <f>'Company 5'!B87</f>
        <v>#DIV/0!</v>
      </c>
      <c r="H57" s="10" t="e">
        <f>'Company 6'!B87</f>
        <v>#DIV/0!</v>
      </c>
    </row>
    <row r="58" spans="1:8" ht="13.15" customHeight="1">
      <c r="A58" s="6" t="s">
        <v>47</v>
      </c>
      <c r="B58" s="62" t="e">
        <f t="shared" si="3"/>
        <v>#DIV/0!</v>
      </c>
      <c r="C58" s="9" t="e">
        <f>'Company 1'!B88</f>
        <v>#DIV/0!</v>
      </c>
      <c r="D58" s="9" t="e">
        <f>'Company 2'!B88</f>
        <v>#DIV/0!</v>
      </c>
      <c r="E58" s="9" t="e">
        <f>'Company 3'!B88</f>
        <v>#DIV/0!</v>
      </c>
      <c r="F58" s="9" t="e">
        <f>'Company 4'!B88</f>
        <v>#DIV/0!</v>
      </c>
      <c r="G58" s="9" t="e">
        <f>'Company 5'!B88</f>
        <v>#DIV/0!</v>
      </c>
      <c r="H58" s="10" t="e">
        <f>'Company 6'!B88</f>
        <v>#DIV/0!</v>
      </c>
    </row>
    <row r="59" spans="1:8" ht="13.15" customHeight="1">
      <c r="A59" s="6" t="s">
        <v>48</v>
      </c>
      <c r="B59" s="62" t="e">
        <f t="shared" si="3"/>
        <v>#DIV/0!</v>
      </c>
      <c r="C59" s="9" t="e">
        <f>'Company 1'!B89</f>
        <v>#DIV/0!</v>
      </c>
      <c r="D59" s="9" t="e">
        <f>'Company 2'!B89</f>
        <v>#DIV/0!</v>
      </c>
      <c r="E59" s="9" t="e">
        <f>'Company 3'!B89</f>
        <v>#DIV/0!</v>
      </c>
      <c r="F59" s="9" t="e">
        <f>'Company 4'!B89</f>
        <v>#DIV/0!</v>
      </c>
      <c r="G59" s="9" t="e">
        <f>'Company 5'!B89</f>
        <v>#DIV/0!</v>
      </c>
      <c r="H59" s="10" t="e">
        <f>'Company 6'!B89</f>
        <v>#DIV/0!</v>
      </c>
    </row>
    <row r="60" spans="1:8" ht="13.15" customHeight="1">
      <c r="A60" s="6" t="s">
        <v>49</v>
      </c>
      <c r="B60" s="63" t="e">
        <f t="shared" si="3"/>
        <v>#DIV/0!</v>
      </c>
      <c r="C60" s="11" t="e">
        <f>'Company 1'!B90</f>
        <v>#DIV/0!</v>
      </c>
      <c r="D60" s="11" t="e">
        <f>'Company 2'!B90</f>
        <v>#DIV/0!</v>
      </c>
      <c r="E60" s="11" t="e">
        <f>'Company 3'!B90</f>
        <v>#DIV/0!</v>
      </c>
      <c r="F60" s="11" t="e">
        <f>'Company 4'!B90</f>
        <v>#DIV/0!</v>
      </c>
      <c r="G60" s="11" t="e">
        <f>'Company 5'!B90</f>
        <v>#DIV/0!</v>
      </c>
      <c r="H60" s="12" t="e">
        <f>'Company 6'!B90</f>
        <v>#DIV/0!</v>
      </c>
    </row>
  </sheetData>
  <mergeCells count="1">
    <mergeCell ref="A2:A3"/>
  </mergeCells>
  <phoneticPr fontId="0" type="noConversion"/>
  <printOptions horizontalCentered="1" verticalCentered="1"/>
  <pageMargins left="0.75" right="0.5" top="0.6" bottom="0.5" header="0.5" footer="0.5"/>
  <pageSetup scale="91" orientation="portrait" horizontalDpi="4294967292" verticalDpi="4294967292" r:id="rId1"/>
  <headerFooter alignWithMargins="0">
    <oddHeader>&amp;A</oddHeader>
    <oddFooter>Page &amp;P</oddFooter>
  </headerFooter>
  <colBreaks count="1" manualBreakCount="1">
    <brk id="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8" sqref="G8"/>
    </sheetView>
  </sheetViews>
  <sheetFormatPr defaultColWidth="11.54296875" defaultRowHeight="12.5"/>
  <cols>
    <col min="1" max="1" width="30.7265625" style="3" customWidth="1"/>
    <col min="2" max="4" width="10.7265625" style="3" customWidth="1"/>
    <col min="5" max="5" width="5.7265625" style="3" customWidth="1"/>
    <col min="6" max="16384" width="11.54296875" style="3"/>
  </cols>
  <sheetData>
    <row r="1" spans="1:4">
      <c r="A1" s="76" t="s">
        <v>137</v>
      </c>
      <c r="B1" s="2"/>
      <c r="C1" s="2"/>
      <c r="D1" s="2"/>
    </row>
    <row r="2" spans="1:4">
      <c r="A2" s="77"/>
      <c r="B2" s="4" t="s">
        <v>50</v>
      </c>
      <c r="C2" s="4" t="s">
        <v>51</v>
      </c>
      <c r="D2" s="4" t="s">
        <v>52</v>
      </c>
    </row>
    <row r="3" spans="1:4" ht="13.15" customHeight="1">
      <c r="A3" s="5" t="s">
        <v>128</v>
      </c>
    </row>
    <row r="4" spans="1:4" ht="13.15" customHeight="1">
      <c r="A4" s="23" t="s">
        <v>53</v>
      </c>
      <c r="B4" s="36"/>
      <c r="C4" s="4"/>
      <c r="D4" s="4"/>
    </row>
    <row r="5" spans="1:4" ht="13.15" customHeight="1">
      <c r="A5" s="23" t="s">
        <v>54</v>
      </c>
      <c r="B5" s="37"/>
      <c r="C5" s="4"/>
      <c r="D5" s="4"/>
    </row>
    <row r="6" spans="1:4" ht="13.15" customHeight="1">
      <c r="A6" s="23" t="s">
        <v>55</v>
      </c>
      <c r="B6" s="38"/>
      <c r="C6" s="4"/>
      <c r="D6" s="4"/>
    </row>
    <row r="7" spans="1:4" ht="13.15" customHeight="1">
      <c r="A7" s="6" t="s">
        <v>56</v>
      </c>
      <c r="B7" s="39"/>
      <c r="C7" s="4"/>
      <c r="D7" s="4"/>
    </row>
    <row r="8" spans="1:4" ht="13.15" customHeight="1">
      <c r="A8" s="6" t="s">
        <v>57</v>
      </c>
      <c r="B8" s="39"/>
      <c r="C8" s="4"/>
      <c r="D8" s="4"/>
    </row>
    <row r="9" spans="1:4" ht="13.15" customHeight="1">
      <c r="A9" s="6" t="s">
        <v>58</v>
      </c>
      <c r="B9" s="39"/>
      <c r="C9" s="4"/>
      <c r="D9" s="4"/>
    </row>
    <row r="10" spans="1:4" ht="13.15" customHeight="1">
      <c r="A10" s="6" t="s">
        <v>59</v>
      </c>
      <c r="B10" s="39"/>
      <c r="C10" s="4"/>
      <c r="D10" s="4"/>
    </row>
    <row r="11" spans="1:4" ht="13.15" customHeight="1">
      <c r="A11" s="6" t="s">
        <v>60</v>
      </c>
      <c r="B11" s="39"/>
      <c r="C11" s="4"/>
      <c r="D11" s="4"/>
    </row>
    <row r="12" spans="1:4" ht="13.15" customHeight="1">
      <c r="A12" s="6" t="s">
        <v>61</v>
      </c>
      <c r="B12" s="39"/>
      <c r="C12" s="4"/>
      <c r="D12" s="4"/>
    </row>
    <row r="13" spans="1:4" ht="13.15" customHeight="1">
      <c r="A13" s="6" t="s">
        <v>62</v>
      </c>
      <c r="B13" s="39"/>
      <c r="C13" s="4"/>
      <c r="D13" s="4"/>
    </row>
    <row r="14" spans="1:4" ht="13.15" customHeight="1">
      <c r="A14" s="6" t="s">
        <v>63</v>
      </c>
      <c r="B14" s="39"/>
      <c r="C14" s="4"/>
      <c r="D14" s="4"/>
    </row>
    <row r="15" spans="1:4" s="41" customFormat="1" ht="13.15" customHeight="1">
      <c r="A15" s="13" t="s">
        <v>64</v>
      </c>
      <c r="B15" s="21"/>
      <c r="C15" s="40"/>
      <c r="D15" s="40"/>
    </row>
    <row r="16" spans="1:4" ht="13.15" customHeight="1">
      <c r="A16" s="6"/>
      <c r="C16" s="4"/>
      <c r="D16" s="4"/>
    </row>
    <row r="17" spans="1:4" ht="13.15" customHeight="1">
      <c r="A17" s="42" t="s">
        <v>65</v>
      </c>
      <c r="C17" s="4"/>
      <c r="D17" s="4"/>
    </row>
    <row r="18" spans="1:4" s="45" customFormat="1" ht="13.15" customHeight="1">
      <c r="A18" s="43" t="s">
        <v>66</v>
      </c>
      <c r="B18" s="44"/>
      <c r="C18" s="44"/>
      <c r="D18" s="44"/>
    </row>
    <row r="19" spans="1:4" s="45" customFormat="1" ht="13.15" customHeight="1">
      <c r="A19" s="43" t="s">
        <v>67</v>
      </c>
      <c r="B19" s="44"/>
      <c r="C19" s="44"/>
      <c r="D19" s="44"/>
    </row>
    <row r="20" spans="1:4" s="45" customFormat="1" ht="13.15" customHeight="1">
      <c r="A20" s="43" t="s">
        <v>68</v>
      </c>
      <c r="B20" s="44"/>
      <c r="C20" s="44"/>
      <c r="D20" s="44"/>
    </row>
    <row r="21" spans="1:4" s="45" customFormat="1" ht="13.15" customHeight="1">
      <c r="A21" s="43" t="s">
        <v>69</v>
      </c>
      <c r="B21" s="44"/>
      <c r="C21" s="44"/>
      <c r="D21" s="44"/>
    </row>
    <row r="22" spans="1:4" s="45" customFormat="1" ht="13.15" customHeight="1">
      <c r="A22" s="43" t="s">
        <v>70</v>
      </c>
      <c r="B22" s="44"/>
      <c r="C22" s="44"/>
      <c r="D22" s="44"/>
    </row>
    <row r="23" spans="1:4" s="45" customFormat="1" ht="13.15" customHeight="1">
      <c r="A23" s="43" t="s">
        <v>71</v>
      </c>
      <c r="B23" s="44"/>
      <c r="C23" s="46"/>
      <c r="D23" s="46"/>
    </row>
    <row r="24" spans="1:4" s="45" customFormat="1" ht="13.15" customHeight="1">
      <c r="A24" s="43" t="s">
        <v>72</v>
      </c>
      <c r="B24" s="44"/>
      <c r="C24" s="44"/>
      <c r="D24" s="44"/>
    </row>
    <row r="25" spans="1:4" s="45" customFormat="1" ht="13.15" customHeight="1">
      <c r="A25" s="43" t="s">
        <v>73</v>
      </c>
      <c r="B25" s="44"/>
      <c r="C25" s="44"/>
      <c r="D25" s="44"/>
    </row>
    <row r="26" spans="1:4" s="45" customFormat="1" ht="13.15" customHeight="1">
      <c r="A26" s="43" t="s">
        <v>74</v>
      </c>
      <c r="B26" s="44"/>
      <c r="C26" s="44"/>
      <c r="D26" s="44"/>
    </row>
    <row r="27" spans="1:4" s="45" customFormat="1" ht="13.15" customHeight="1">
      <c r="A27" s="43" t="s">
        <v>75</v>
      </c>
      <c r="B27" s="44"/>
      <c r="C27" s="44"/>
      <c r="D27" s="44"/>
    </row>
    <row r="28" spans="1:4" s="45" customFormat="1" ht="13.15" customHeight="1">
      <c r="A28" s="43" t="s">
        <v>129</v>
      </c>
      <c r="B28" s="44"/>
      <c r="C28" s="44"/>
      <c r="D28" s="44"/>
    </row>
    <row r="29" spans="1:4" s="45" customFormat="1" ht="13.15" customHeight="1">
      <c r="A29" s="43" t="s">
        <v>76</v>
      </c>
      <c r="B29" s="44"/>
      <c r="C29" s="44"/>
      <c r="D29" s="44"/>
    </row>
    <row r="30" spans="1:4" s="45" customFormat="1" ht="13.15" customHeight="1">
      <c r="A30" s="43" t="s">
        <v>77</v>
      </c>
      <c r="B30" s="44"/>
      <c r="C30" s="46"/>
      <c r="D30" s="46"/>
    </row>
    <row r="31" spans="1:4" s="45" customFormat="1" ht="13.15" customHeight="1">
      <c r="A31" s="43" t="s">
        <v>78</v>
      </c>
      <c r="B31" s="44"/>
      <c r="C31" s="46"/>
      <c r="D31" s="46"/>
    </row>
    <row r="32" spans="1:4" s="45" customFormat="1" ht="13.15" customHeight="1">
      <c r="A32" s="43" t="s">
        <v>79</v>
      </c>
      <c r="B32" s="44"/>
      <c r="C32" s="46"/>
      <c r="D32" s="46"/>
    </row>
    <row r="33" spans="1:4" s="45" customFormat="1" ht="13.15" customHeight="1">
      <c r="A33" s="43" t="s">
        <v>80</v>
      </c>
      <c r="B33" s="44"/>
      <c r="C33" s="46"/>
      <c r="D33" s="46"/>
    </row>
    <row r="34" spans="1:4" s="45" customFormat="1" ht="13.15" customHeight="1">
      <c r="A34" s="43" t="s">
        <v>81</v>
      </c>
      <c r="B34" s="44"/>
      <c r="C34" s="46"/>
      <c r="D34" s="46"/>
    </row>
    <row r="35" spans="1:4" s="45" customFormat="1" ht="13.15" customHeight="1">
      <c r="A35" s="43" t="s">
        <v>82</v>
      </c>
      <c r="B35" s="44"/>
      <c r="C35" s="44"/>
      <c r="D35" s="46"/>
    </row>
    <row r="36" spans="1:4" s="45" customFormat="1" ht="13.15" customHeight="1">
      <c r="A36" s="43" t="s">
        <v>83</v>
      </c>
      <c r="B36" s="44"/>
      <c r="C36" s="44"/>
      <c r="D36" s="46"/>
    </row>
    <row r="37" spans="1:4" s="45" customFormat="1" ht="13.15" customHeight="1">
      <c r="A37" s="43" t="s">
        <v>84</v>
      </c>
      <c r="B37" s="44"/>
      <c r="C37" s="44"/>
      <c r="D37" s="46"/>
    </row>
    <row r="38" spans="1:4" s="45" customFormat="1" ht="13.15" customHeight="1">
      <c r="A38" s="43" t="s">
        <v>85</v>
      </c>
      <c r="B38" s="44"/>
      <c r="C38" s="46"/>
      <c r="D38" s="46"/>
    </row>
    <row r="39" spans="1:4" s="45" customFormat="1" ht="13.15" customHeight="1">
      <c r="A39" s="43" t="s">
        <v>86</v>
      </c>
      <c r="B39" s="44"/>
      <c r="C39" s="46"/>
      <c r="D39" s="46"/>
    </row>
    <row r="40" spans="1:4" s="45" customFormat="1" ht="13.15" customHeight="1">
      <c r="A40" s="43" t="s">
        <v>87</v>
      </c>
      <c r="B40" s="44"/>
      <c r="C40" s="46"/>
      <c r="D40" s="46"/>
    </row>
    <row r="41" spans="1:4" s="45" customFormat="1" ht="13.15" customHeight="1">
      <c r="A41" s="43" t="s">
        <v>88</v>
      </c>
      <c r="B41" s="44"/>
      <c r="C41" s="46"/>
      <c r="D41" s="46"/>
    </row>
    <row r="42" spans="1:4" s="45" customFormat="1" ht="13.15" customHeight="1">
      <c r="A42" s="43" t="s">
        <v>89</v>
      </c>
      <c r="B42" s="44"/>
      <c r="C42" s="46"/>
      <c r="D42" s="46"/>
    </row>
    <row r="43" spans="1:4" s="45" customFormat="1" ht="13.15" customHeight="1">
      <c r="A43" s="43" t="s">
        <v>90</v>
      </c>
      <c r="B43" s="44"/>
      <c r="C43" s="46"/>
      <c r="D43" s="46"/>
    </row>
    <row r="44" spans="1:4" s="45" customFormat="1" ht="13.15" customHeight="1">
      <c r="A44" s="43" t="s">
        <v>91</v>
      </c>
      <c r="B44" s="44"/>
      <c r="C44" s="46"/>
      <c r="D44" s="46"/>
    </row>
    <row r="45" spans="1:4" s="45" customFormat="1" ht="13.15" customHeight="1">
      <c r="A45" s="43" t="s">
        <v>92</v>
      </c>
      <c r="B45" s="44"/>
      <c r="C45" s="46"/>
      <c r="D45" s="46"/>
    </row>
    <row r="46" spans="1:4" s="45" customFormat="1" ht="13.15" customHeight="1">
      <c r="A46" s="43" t="s">
        <v>93</v>
      </c>
      <c r="B46" s="44"/>
      <c r="C46" s="46"/>
      <c r="D46" s="46"/>
    </row>
    <row r="47" spans="1:4" s="45" customFormat="1" ht="13.15" customHeight="1">
      <c r="A47" s="43" t="s">
        <v>94</v>
      </c>
      <c r="B47" s="44"/>
      <c r="C47" s="46"/>
      <c r="D47" s="46"/>
    </row>
    <row r="48" spans="1:4" s="45" customFormat="1" ht="13.15" customHeight="1">
      <c r="A48" s="43" t="s">
        <v>95</v>
      </c>
      <c r="B48" s="44"/>
      <c r="C48" s="46"/>
      <c r="D48" s="46"/>
    </row>
    <row r="49" spans="1:4" s="45" customFormat="1" ht="13.15" customHeight="1">
      <c r="A49" s="43" t="s">
        <v>96</v>
      </c>
      <c r="B49" s="44"/>
      <c r="C49" s="46"/>
      <c r="D49" s="46"/>
    </row>
    <row r="50" spans="1:4" ht="13.15" customHeight="1">
      <c r="A50" s="16"/>
    </row>
    <row r="51" spans="1:4" ht="13.15" customHeight="1">
      <c r="A51" s="5" t="s">
        <v>97</v>
      </c>
    </row>
    <row r="52" spans="1:4" ht="13.15" customHeight="1">
      <c r="A52" s="6" t="s">
        <v>98</v>
      </c>
      <c r="B52" s="47" t="e">
        <f>(B18-B19)/B18</f>
        <v>#DIV/0!</v>
      </c>
      <c r="C52" s="47" t="e">
        <f>(C18-C19)/C18</f>
        <v>#DIV/0!</v>
      </c>
      <c r="D52" s="47" t="e">
        <f>(D18-D19)/D18</f>
        <v>#DIV/0!</v>
      </c>
    </row>
    <row r="53" spans="1:4" ht="13.15" customHeight="1">
      <c r="A53" s="6" t="s">
        <v>99</v>
      </c>
      <c r="B53" s="47" t="e">
        <f>B24/B18</f>
        <v>#DIV/0!</v>
      </c>
      <c r="C53" s="47" t="e">
        <f>C24/C18</f>
        <v>#DIV/0!</v>
      </c>
      <c r="D53" s="47" t="e">
        <f>D24/D18</f>
        <v>#DIV/0!</v>
      </c>
    </row>
    <row r="54" spans="1:4" ht="13.15" customHeight="1">
      <c r="A54" s="6" t="s">
        <v>130</v>
      </c>
      <c r="B54" s="47" t="e">
        <f>B28/B18</f>
        <v>#DIV/0!</v>
      </c>
      <c r="C54" s="47" t="e">
        <f>C28/C18</f>
        <v>#DIV/0!</v>
      </c>
      <c r="D54" s="47" t="e">
        <f>D28/D18</f>
        <v>#DIV/0!</v>
      </c>
    </row>
    <row r="55" spans="1:4" ht="13.15" customHeight="1">
      <c r="A55" s="6" t="s">
        <v>100</v>
      </c>
      <c r="B55" s="47" t="e">
        <f>B28/B38</f>
        <v>#DIV/0!</v>
      </c>
      <c r="C55" s="48"/>
      <c r="D55" s="48"/>
    </row>
    <row r="56" spans="1:4" ht="13.15" customHeight="1">
      <c r="A56" s="6" t="s">
        <v>101</v>
      </c>
      <c r="B56" s="47" t="e">
        <f>B28/B41</f>
        <v>#DIV/0!</v>
      </c>
      <c r="C56" s="48"/>
      <c r="D56" s="48"/>
    </row>
    <row r="57" spans="1:4" ht="13.15" customHeight="1">
      <c r="A57" s="6" t="s">
        <v>102</v>
      </c>
      <c r="B57" s="47" t="e">
        <f>B20/B18</f>
        <v>#DIV/0!</v>
      </c>
      <c r="C57" s="47" t="e">
        <f>C20/C18</f>
        <v>#DIV/0!</v>
      </c>
      <c r="D57" s="47" t="e">
        <f>D20/D18</f>
        <v>#DIV/0!</v>
      </c>
    </row>
    <row r="58" spans="1:4" ht="13.15" customHeight="1">
      <c r="A58" s="6" t="s">
        <v>103</v>
      </c>
      <c r="B58" s="47" t="e">
        <f>B21/B18</f>
        <v>#DIV/0!</v>
      </c>
      <c r="C58" s="47" t="e">
        <f>C21/C18</f>
        <v>#DIV/0!</v>
      </c>
      <c r="D58" s="47" t="e">
        <f>D21/D18</f>
        <v>#DIV/0!</v>
      </c>
    </row>
    <row r="59" spans="1:4" ht="13.15" customHeight="1">
      <c r="A59" s="6" t="s">
        <v>104</v>
      </c>
      <c r="B59" s="47" t="e">
        <f>B22/B18</f>
        <v>#DIV/0!</v>
      </c>
      <c r="C59" s="47" t="e">
        <f>C22/C18</f>
        <v>#DIV/0!</v>
      </c>
      <c r="D59" s="47" t="e">
        <f>D22/D18</f>
        <v>#DIV/0!</v>
      </c>
    </row>
    <row r="60" spans="1:4" ht="13.15" customHeight="1">
      <c r="A60" s="13" t="s">
        <v>105</v>
      </c>
      <c r="B60" s="49" t="e">
        <f>1/(B30/((B35+C35-B37-C37)/2))</f>
        <v>#DIV/0!</v>
      </c>
      <c r="C60" s="48"/>
      <c r="D60" s="48"/>
    </row>
    <row r="61" spans="1:4" ht="13.15" customHeight="1">
      <c r="A61" s="6" t="s">
        <v>106</v>
      </c>
      <c r="B61" s="47" t="e">
        <f>B26/B25</f>
        <v>#DIV/0!</v>
      </c>
      <c r="C61" s="47" t="e">
        <f>C26/C25</f>
        <v>#DIV/0!</v>
      </c>
      <c r="D61" s="47" t="e">
        <f>D26/D25</f>
        <v>#DIV/0!</v>
      </c>
    </row>
    <row r="62" spans="1:4" ht="13.15" customHeight="1">
      <c r="A62" s="6"/>
    </row>
    <row r="63" spans="1:4" ht="13.15" customHeight="1">
      <c r="A63" s="1" t="s">
        <v>107</v>
      </c>
    </row>
    <row r="64" spans="1:4" ht="13.15" customHeight="1">
      <c r="A64" s="16" t="s">
        <v>131</v>
      </c>
      <c r="B64" s="50" t="e">
        <f>B18/(B15)</f>
        <v>#DIV/0!</v>
      </c>
      <c r="C64" s="51"/>
      <c r="D64" s="51"/>
    </row>
    <row r="65" spans="1:4" ht="13.15" customHeight="1">
      <c r="A65" s="52" t="s">
        <v>21</v>
      </c>
      <c r="B65" s="53" t="e">
        <f>B18/B32</f>
        <v>#DIV/0!</v>
      </c>
      <c r="C65" s="51"/>
      <c r="D65" s="51"/>
    </row>
    <row r="66" spans="1:4" ht="13.15" customHeight="1">
      <c r="A66" s="13" t="s">
        <v>108</v>
      </c>
      <c r="B66" s="60" t="e">
        <f>B32/(B18/365)</f>
        <v>#DIV/0!</v>
      </c>
      <c r="C66" s="51"/>
      <c r="D66" s="51"/>
    </row>
    <row r="67" spans="1:4" ht="13.15" customHeight="1">
      <c r="A67" s="13" t="s">
        <v>23</v>
      </c>
      <c r="B67" s="53" t="e">
        <f>B19/B33</f>
        <v>#DIV/0!</v>
      </c>
      <c r="C67" s="51"/>
      <c r="D67" s="51"/>
    </row>
    <row r="68" spans="1:4" ht="13.15" customHeight="1">
      <c r="A68" s="13" t="s">
        <v>109</v>
      </c>
      <c r="B68" s="60" t="e">
        <f>B33/(B19/365)</f>
        <v>#DIV/0!</v>
      </c>
      <c r="C68" s="51"/>
      <c r="D68" s="51"/>
    </row>
    <row r="69" spans="1:4" ht="13.15" customHeight="1">
      <c r="A69" s="13" t="s">
        <v>25</v>
      </c>
      <c r="B69" s="53" t="e">
        <f>B19/B39</f>
        <v>#DIV/0!</v>
      </c>
      <c r="C69" s="51"/>
      <c r="D69" s="51"/>
    </row>
    <row r="70" spans="1:4" ht="13.15" customHeight="1">
      <c r="A70" s="13" t="s">
        <v>110</v>
      </c>
      <c r="B70" s="60" t="e">
        <f>B39/(B19/365)</f>
        <v>#DIV/0!</v>
      </c>
      <c r="C70" s="51"/>
      <c r="D70" s="51"/>
    </row>
    <row r="71" spans="1:4" ht="13.15" customHeight="1">
      <c r="A71" s="13" t="s">
        <v>111</v>
      </c>
      <c r="B71" s="53" t="e">
        <f>B18/B38</f>
        <v>#DIV/0!</v>
      </c>
      <c r="C71" s="51"/>
      <c r="D71" s="51"/>
    </row>
    <row r="72" spans="1:4" ht="13.15" customHeight="1">
      <c r="A72" s="13" t="s">
        <v>112</v>
      </c>
      <c r="B72" s="60" t="e">
        <f>365/B71</f>
        <v>#DIV/0!</v>
      </c>
      <c r="C72" s="51"/>
      <c r="D72" s="51"/>
    </row>
    <row r="73" spans="1:4" ht="13.15" customHeight="1">
      <c r="A73" s="6"/>
    </row>
    <row r="74" spans="1:4" ht="13.15" customHeight="1">
      <c r="A74" s="1" t="s">
        <v>113</v>
      </c>
    </row>
    <row r="75" spans="1:4" ht="13.15" customHeight="1">
      <c r="A75" s="6" t="s">
        <v>31</v>
      </c>
      <c r="B75" s="53" t="e">
        <f>B34/B40</f>
        <v>#DIV/0!</v>
      </c>
      <c r="C75" s="54"/>
      <c r="D75" s="54"/>
    </row>
    <row r="76" spans="1:4" ht="13.15" customHeight="1">
      <c r="A76" s="6" t="s">
        <v>114</v>
      </c>
      <c r="B76" s="53" t="e">
        <f>B38/B41</f>
        <v>#DIV/0!</v>
      </c>
      <c r="C76" s="54"/>
      <c r="D76" s="54"/>
    </row>
    <row r="77" spans="1:4" ht="13.15" customHeight="1">
      <c r="A77" s="6" t="s">
        <v>115</v>
      </c>
      <c r="B77" s="47" t="e">
        <f>B45/B38</f>
        <v>#DIV/0!</v>
      </c>
      <c r="C77" s="54"/>
      <c r="D77" s="54"/>
    </row>
    <row r="78" spans="1:4" ht="13.15" customHeight="1">
      <c r="A78" s="6"/>
    </row>
    <row r="79" spans="1:4" ht="13.15" customHeight="1">
      <c r="A79" s="42" t="s">
        <v>116</v>
      </c>
    </row>
    <row r="80" spans="1:4" ht="13.15" customHeight="1">
      <c r="A80" s="55" t="s">
        <v>117</v>
      </c>
      <c r="B80" s="56" t="e">
        <f>(B10*100)/B5</f>
        <v>#DIV/0!</v>
      </c>
      <c r="C80" s="57"/>
      <c r="D80" s="57"/>
    </row>
    <row r="81" spans="1:4" ht="13.15" customHeight="1">
      <c r="A81" s="13" t="s">
        <v>118</v>
      </c>
      <c r="B81" s="58" t="e">
        <f>(B41)/B42</f>
        <v>#DIV/0!</v>
      </c>
      <c r="C81" s="40"/>
      <c r="D81" s="40"/>
    </row>
    <row r="82" spans="1:4" ht="13.15" customHeight="1">
      <c r="A82" s="13" t="s">
        <v>119</v>
      </c>
      <c r="B82" s="53" t="e">
        <f>B4/B81</f>
        <v>#DIV/0!</v>
      </c>
      <c r="C82" s="40"/>
      <c r="D82" s="40"/>
    </row>
    <row r="83" spans="1:4" ht="13.15" customHeight="1">
      <c r="A83" s="6"/>
    </row>
    <row r="84" spans="1:4" ht="13.15" customHeight="1">
      <c r="A84" s="59" t="s">
        <v>120</v>
      </c>
    </row>
    <row r="85" spans="1:4" ht="13.15" customHeight="1">
      <c r="A85" s="6" t="s">
        <v>121</v>
      </c>
      <c r="B85" s="47" t="e">
        <f>B29/B18</f>
        <v>#DIV/0!</v>
      </c>
      <c r="C85" s="47" t="e">
        <f>C29/C18</f>
        <v>#DIV/0!</v>
      </c>
      <c r="D85" s="47" t="e">
        <f>D29/D18</f>
        <v>#DIV/0!</v>
      </c>
    </row>
    <row r="86" spans="1:4" ht="13.15" customHeight="1">
      <c r="A86" s="6" t="s">
        <v>122</v>
      </c>
      <c r="B86" s="47" t="e">
        <f>B31/B30</f>
        <v>#DIV/0!</v>
      </c>
      <c r="C86" s="48"/>
      <c r="D86" s="48"/>
    </row>
    <row r="87" spans="1:4" ht="13.15" customHeight="1">
      <c r="A87" s="6" t="s">
        <v>123</v>
      </c>
      <c r="B87" s="47" t="e">
        <f>B47/B38</f>
        <v>#DIV/0!</v>
      </c>
      <c r="C87" s="48"/>
      <c r="D87" s="48"/>
    </row>
    <row r="88" spans="1:4" ht="13.15" customHeight="1">
      <c r="A88" s="6" t="s">
        <v>124</v>
      </c>
      <c r="B88" s="47" t="e">
        <f>B44/B42</f>
        <v>#DIV/0!</v>
      </c>
      <c r="C88" s="48"/>
      <c r="D88" s="48"/>
    </row>
    <row r="89" spans="1:4" ht="13.15" customHeight="1">
      <c r="A89" s="6" t="s">
        <v>125</v>
      </c>
      <c r="B89" s="47" t="e">
        <f>1-(B48/B18)</f>
        <v>#DIV/0!</v>
      </c>
      <c r="C89" s="48"/>
      <c r="D89" s="48"/>
    </row>
    <row r="90" spans="1:4" ht="13.15" customHeight="1">
      <c r="A90" s="6" t="s">
        <v>126</v>
      </c>
      <c r="B90" s="47" t="e">
        <f>B49/B18</f>
        <v>#DIV/0!</v>
      </c>
      <c r="C90" s="48"/>
      <c r="D90" s="48"/>
    </row>
  </sheetData>
  <mergeCells count="1">
    <mergeCell ref="A1:A2"/>
  </mergeCells>
  <phoneticPr fontId="0" type="noConversion"/>
  <printOptions horizontalCentered="1" verticalCentered="1"/>
  <pageMargins left="0.5" right="0.5" top="0.6" bottom="0.5" header="0.5" footer="0.5"/>
  <pageSetup scale="63" orientation="portrait" horizontalDpi="4294967292" verticalDpi="4294967292" r:id="rId1"/>
  <headerFooter alignWithMargins="0">
    <oddHeader>&amp;A</oddHeader>
    <oddFooter>Page &amp;P</oddFooter>
  </headerFooter>
  <rowBreaks count="1" manualBreakCount="1">
    <brk id="63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8" sqref="B18:D50"/>
    </sheetView>
  </sheetViews>
  <sheetFormatPr defaultColWidth="11.54296875" defaultRowHeight="12.5"/>
  <cols>
    <col min="1" max="1" width="30.7265625" style="3" customWidth="1"/>
    <col min="2" max="4" width="10.7265625" style="3" customWidth="1"/>
    <col min="5" max="5" width="5.7265625" style="3" customWidth="1"/>
    <col min="6" max="16384" width="11.54296875" style="3"/>
  </cols>
  <sheetData>
    <row r="1" spans="1:4">
      <c r="A1" s="76" t="s">
        <v>132</v>
      </c>
      <c r="B1" s="2"/>
      <c r="C1" s="2"/>
      <c r="D1" s="2"/>
    </row>
    <row r="2" spans="1:4">
      <c r="A2" s="77"/>
      <c r="B2" s="4" t="s">
        <v>50</v>
      </c>
      <c r="C2" s="4" t="s">
        <v>51</v>
      </c>
      <c r="D2" s="4" t="s">
        <v>52</v>
      </c>
    </row>
    <row r="3" spans="1:4" ht="13.15" customHeight="1">
      <c r="A3" s="5" t="s">
        <v>128</v>
      </c>
    </row>
    <row r="4" spans="1:4" ht="13.15" customHeight="1">
      <c r="A4" s="23" t="s">
        <v>53</v>
      </c>
      <c r="B4" s="36"/>
      <c r="C4" s="4"/>
      <c r="D4" s="4"/>
    </row>
    <row r="5" spans="1:4" ht="13.15" customHeight="1">
      <c r="A5" s="23" t="s">
        <v>54</v>
      </c>
      <c r="B5" s="37"/>
      <c r="C5" s="4"/>
      <c r="D5" s="4"/>
    </row>
    <row r="6" spans="1:4" ht="13.15" customHeight="1">
      <c r="A6" s="23" t="s">
        <v>55</v>
      </c>
      <c r="B6" s="38"/>
      <c r="C6" s="4"/>
      <c r="D6" s="4"/>
    </row>
    <row r="7" spans="1:4" ht="13.15" customHeight="1">
      <c r="A7" s="6" t="s">
        <v>56</v>
      </c>
      <c r="B7" s="39"/>
      <c r="C7" s="4"/>
      <c r="D7" s="4"/>
    </row>
    <row r="8" spans="1:4" ht="13.15" customHeight="1">
      <c r="A8" s="6" t="s">
        <v>57</v>
      </c>
      <c r="B8" s="39"/>
      <c r="C8" s="4"/>
      <c r="D8" s="4"/>
    </row>
    <row r="9" spans="1:4" ht="13.15" customHeight="1">
      <c r="A9" s="6" t="s">
        <v>58</v>
      </c>
      <c r="B9" s="39"/>
      <c r="C9" s="4"/>
      <c r="D9" s="4"/>
    </row>
    <row r="10" spans="1:4" ht="13.15" customHeight="1">
      <c r="A10" s="6" t="s">
        <v>59</v>
      </c>
      <c r="B10" s="39"/>
      <c r="C10" s="4"/>
      <c r="D10" s="4"/>
    </row>
    <row r="11" spans="1:4" ht="13.15" customHeight="1">
      <c r="A11" s="6" t="s">
        <v>60</v>
      </c>
      <c r="B11" s="39"/>
      <c r="C11" s="4"/>
      <c r="D11" s="4"/>
    </row>
    <row r="12" spans="1:4" ht="13.15" customHeight="1">
      <c r="A12" s="6" t="s">
        <v>61</v>
      </c>
      <c r="B12" s="39"/>
      <c r="C12" s="4"/>
      <c r="D12" s="4"/>
    </row>
    <row r="13" spans="1:4" ht="13.15" customHeight="1">
      <c r="A13" s="6" t="s">
        <v>62</v>
      </c>
      <c r="B13" s="39"/>
      <c r="C13" s="4"/>
      <c r="D13" s="4"/>
    </row>
    <row r="14" spans="1:4" ht="13.15" customHeight="1">
      <c r="A14" s="6" t="s">
        <v>63</v>
      </c>
      <c r="B14" s="39"/>
      <c r="C14" s="4"/>
      <c r="D14" s="4"/>
    </row>
    <row r="15" spans="1:4" s="41" customFormat="1" ht="13.15" customHeight="1">
      <c r="A15" s="13" t="s">
        <v>64</v>
      </c>
      <c r="B15" s="21"/>
      <c r="C15" s="40"/>
      <c r="D15" s="40"/>
    </row>
    <row r="16" spans="1:4" ht="13.15" customHeight="1">
      <c r="A16" s="6"/>
      <c r="C16" s="4"/>
      <c r="D16" s="4"/>
    </row>
    <row r="17" spans="1:4" ht="13.15" customHeight="1">
      <c r="A17" s="42" t="s">
        <v>65</v>
      </c>
      <c r="C17" s="4"/>
      <c r="D17" s="4"/>
    </row>
    <row r="18" spans="1:4" s="45" customFormat="1" ht="13.15" customHeight="1">
      <c r="A18" s="43" t="s">
        <v>66</v>
      </c>
      <c r="B18" s="44"/>
      <c r="C18" s="44"/>
      <c r="D18" s="44"/>
    </row>
    <row r="19" spans="1:4" s="45" customFormat="1" ht="13.15" customHeight="1">
      <c r="A19" s="43" t="s">
        <v>67</v>
      </c>
      <c r="B19" s="44"/>
      <c r="C19" s="44"/>
      <c r="D19" s="44"/>
    </row>
    <row r="20" spans="1:4" s="45" customFormat="1" ht="13.15" customHeight="1">
      <c r="A20" s="43" t="s">
        <v>68</v>
      </c>
      <c r="B20" s="44"/>
      <c r="C20" s="44"/>
      <c r="D20" s="44"/>
    </row>
    <row r="21" spans="1:4" s="45" customFormat="1" ht="13.15" customHeight="1">
      <c r="A21" s="43" t="s">
        <v>69</v>
      </c>
      <c r="B21" s="44"/>
      <c r="C21" s="44"/>
      <c r="D21" s="44"/>
    </row>
    <row r="22" spans="1:4" s="45" customFormat="1" ht="13.15" customHeight="1">
      <c r="A22" s="43" t="s">
        <v>70</v>
      </c>
      <c r="B22" s="44"/>
      <c r="C22" s="44"/>
      <c r="D22" s="44"/>
    </row>
    <row r="23" spans="1:4" s="45" customFormat="1" ht="13.15" customHeight="1">
      <c r="A23" s="43" t="s">
        <v>71</v>
      </c>
      <c r="B23" s="44"/>
      <c r="C23" s="46"/>
      <c r="D23" s="46"/>
    </row>
    <row r="24" spans="1:4" s="45" customFormat="1" ht="13.15" customHeight="1">
      <c r="A24" s="43" t="s">
        <v>72</v>
      </c>
      <c r="B24" s="44"/>
      <c r="C24" s="44"/>
      <c r="D24" s="44"/>
    </row>
    <row r="25" spans="1:4" s="45" customFormat="1" ht="13.15" customHeight="1">
      <c r="A25" s="43" t="s">
        <v>73</v>
      </c>
      <c r="B25" s="44"/>
      <c r="C25" s="44"/>
      <c r="D25" s="44"/>
    </row>
    <row r="26" spans="1:4" s="45" customFormat="1" ht="13.15" customHeight="1">
      <c r="A26" s="43" t="s">
        <v>74</v>
      </c>
      <c r="B26" s="44"/>
      <c r="C26" s="44"/>
      <c r="D26" s="44"/>
    </row>
    <row r="27" spans="1:4" s="45" customFormat="1" ht="13.15" customHeight="1">
      <c r="A27" s="43" t="s">
        <v>75</v>
      </c>
      <c r="B27" s="44"/>
      <c r="C27" s="44"/>
      <c r="D27" s="44"/>
    </row>
    <row r="28" spans="1:4" s="45" customFormat="1" ht="13.15" customHeight="1">
      <c r="A28" s="43" t="s">
        <v>129</v>
      </c>
      <c r="B28" s="44"/>
      <c r="C28" s="44"/>
      <c r="D28" s="44"/>
    </row>
    <row r="29" spans="1:4" s="45" customFormat="1" ht="13.15" customHeight="1">
      <c r="A29" s="43" t="s">
        <v>76</v>
      </c>
      <c r="B29" s="44"/>
      <c r="C29" s="44"/>
      <c r="D29" s="44"/>
    </row>
    <row r="30" spans="1:4" s="45" customFormat="1" ht="13.15" customHeight="1">
      <c r="A30" s="43" t="s">
        <v>77</v>
      </c>
      <c r="B30" s="44"/>
      <c r="C30" s="46"/>
      <c r="D30" s="46"/>
    </row>
    <row r="31" spans="1:4" s="45" customFormat="1" ht="13.15" customHeight="1">
      <c r="A31" s="43" t="s">
        <v>78</v>
      </c>
      <c r="B31" s="44"/>
      <c r="C31" s="46"/>
      <c r="D31" s="46"/>
    </row>
    <row r="32" spans="1:4" s="45" customFormat="1" ht="13.15" customHeight="1">
      <c r="A32" s="43" t="s">
        <v>79</v>
      </c>
      <c r="B32" s="44"/>
      <c r="C32" s="46"/>
      <c r="D32" s="46"/>
    </row>
    <row r="33" spans="1:4" s="45" customFormat="1" ht="13.15" customHeight="1">
      <c r="A33" s="43" t="s">
        <v>80</v>
      </c>
      <c r="B33" s="44"/>
      <c r="C33" s="46"/>
      <c r="D33" s="46"/>
    </row>
    <row r="34" spans="1:4" s="45" customFormat="1" ht="13.15" customHeight="1">
      <c r="A34" s="43" t="s">
        <v>81</v>
      </c>
      <c r="B34" s="44"/>
      <c r="C34" s="46"/>
      <c r="D34" s="46"/>
    </row>
    <row r="35" spans="1:4" s="45" customFormat="1" ht="13.15" customHeight="1">
      <c r="A35" s="43" t="s">
        <v>82</v>
      </c>
      <c r="B35" s="44"/>
      <c r="C35" s="44"/>
      <c r="D35" s="46"/>
    </row>
    <row r="36" spans="1:4" s="45" customFormat="1" ht="13.15" customHeight="1">
      <c r="A36" s="43" t="s">
        <v>83</v>
      </c>
      <c r="B36" s="44"/>
      <c r="C36" s="44"/>
      <c r="D36" s="46"/>
    </row>
    <row r="37" spans="1:4" s="45" customFormat="1" ht="13.15" customHeight="1">
      <c r="A37" s="43" t="s">
        <v>84</v>
      </c>
      <c r="B37" s="44"/>
      <c r="C37" s="44"/>
      <c r="D37" s="46"/>
    </row>
    <row r="38" spans="1:4" s="45" customFormat="1" ht="13.15" customHeight="1">
      <c r="A38" s="43" t="s">
        <v>85</v>
      </c>
      <c r="B38" s="44"/>
      <c r="C38" s="46"/>
      <c r="D38" s="46"/>
    </row>
    <row r="39" spans="1:4" s="45" customFormat="1" ht="13.15" customHeight="1">
      <c r="A39" s="43" t="s">
        <v>86</v>
      </c>
      <c r="B39" s="44"/>
      <c r="C39" s="46"/>
      <c r="D39" s="46"/>
    </row>
    <row r="40" spans="1:4" s="45" customFormat="1" ht="13.15" customHeight="1">
      <c r="A40" s="43" t="s">
        <v>87</v>
      </c>
      <c r="B40" s="44"/>
      <c r="C40" s="46"/>
      <c r="D40" s="46"/>
    </row>
    <row r="41" spans="1:4" s="45" customFormat="1" ht="13.15" customHeight="1">
      <c r="A41" s="43" t="s">
        <v>88</v>
      </c>
      <c r="B41" s="44"/>
      <c r="C41" s="46"/>
      <c r="D41" s="46"/>
    </row>
    <row r="42" spans="1:4" s="45" customFormat="1" ht="13.15" customHeight="1">
      <c r="A42" s="43" t="s">
        <v>89</v>
      </c>
      <c r="B42" s="44"/>
      <c r="C42" s="46"/>
      <c r="D42" s="46"/>
    </row>
    <row r="43" spans="1:4" s="45" customFormat="1" ht="13.15" customHeight="1">
      <c r="A43" s="43" t="s">
        <v>90</v>
      </c>
      <c r="B43" s="44"/>
      <c r="C43" s="46"/>
      <c r="D43" s="46"/>
    </row>
    <row r="44" spans="1:4" s="45" customFormat="1" ht="13.15" customHeight="1">
      <c r="A44" s="43" t="s">
        <v>91</v>
      </c>
      <c r="B44" s="44"/>
      <c r="C44" s="46"/>
      <c r="D44" s="46"/>
    </row>
    <row r="45" spans="1:4" s="45" customFormat="1" ht="13.15" customHeight="1">
      <c r="A45" s="43" t="s">
        <v>92</v>
      </c>
      <c r="B45" s="44"/>
      <c r="C45" s="46"/>
      <c r="D45" s="46"/>
    </row>
    <row r="46" spans="1:4" s="45" customFormat="1" ht="13.15" customHeight="1">
      <c r="A46" s="43" t="s">
        <v>93</v>
      </c>
      <c r="B46" s="44"/>
      <c r="C46" s="46"/>
      <c r="D46" s="46"/>
    </row>
    <row r="47" spans="1:4" s="45" customFormat="1" ht="13.15" customHeight="1">
      <c r="A47" s="43" t="s">
        <v>94</v>
      </c>
      <c r="B47" s="44"/>
      <c r="C47" s="46"/>
      <c r="D47" s="46"/>
    </row>
    <row r="48" spans="1:4" s="45" customFormat="1" ht="13.15" customHeight="1">
      <c r="A48" s="43" t="s">
        <v>95</v>
      </c>
      <c r="B48" s="44"/>
      <c r="C48" s="46"/>
      <c r="D48" s="46"/>
    </row>
    <row r="49" spans="1:4" s="45" customFormat="1" ht="13.15" customHeight="1">
      <c r="A49" s="43" t="s">
        <v>96</v>
      </c>
      <c r="B49" s="44"/>
      <c r="C49" s="46"/>
      <c r="D49" s="46"/>
    </row>
    <row r="50" spans="1:4" ht="13.15" customHeight="1">
      <c r="A50" s="16"/>
    </row>
    <row r="51" spans="1:4" ht="13.15" customHeight="1">
      <c r="A51" s="5" t="s">
        <v>97</v>
      </c>
    </row>
    <row r="52" spans="1:4" ht="13.15" customHeight="1">
      <c r="A52" s="6" t="s">
        <v>98</v>
      </c>
      <c r="B52" s="47" t="e">
        <f>(B18-B19)/B18</f>
        <v>#DIV/0!</v>
      </c>
      <c r="C52" s="47" t="e">
        <f>(C18-C19)/C18</f>
        <v>#DIV/0!</v>
      </c>
      <c r="D52" s="47" t="e">
        <f>(D18-D19)/D18</f>
        <v>#DIV/0!</v>
      </c>
    </row>
    <row r="53" spans="1:4" ht="13.15" customHeight="1">
      <c r="A53" s="6" t="s">
        <v>99</v>
      </c>
      <c r="B53" s="47" t="e">
        <f>B24/B18</f>
        <v>#DIV/0!</v>
      </c>
      <c r="C53" s="47" t="e">
        <f>C24/C18</f>
        <v>#DIV/0!</v>
      </c>
      <c r="D53" s="47" t="e">
        <f>D24/D18</f>
        <v>#DIV/0!</v>
      </c>
    </row>
    <row r="54" spans="1:4" ht="13.15" customHeight="1">
      <c r="A54" s="6" t="s">
        <v>130</v>
      </c>
      <c r="B54" s="47" t="e">
        <f>B28/B18</f>
        <v>#DIV/0!</v>
      </c>
      <c r="C54" s="47" t="e">
        <f>C28/C18</f>
        <v>#DIV/0!</v>
      </c>
      <c r="D54" s="47" t="e">
        <f>D28/D18</f>
        <v>#DIV/0!</v>
      </c>
    </row>
    <row r="55" spans="1:4" ht="13.15" customHeight="1">
      <c r="A55" s="6" t="s">
        <v>100</v>
      </c>
      <c r="B55" s="47" t="e">
        <f>B28/B38</f>
        <v>#DIV/0!</v>
      </c>
      <c r="C55" s="48"/>
      <c r="D55" s="48"/>
    </row>
    <row r="56" spans="1:4" ht="13.15" customHeight="1">
      <c r="A56" s="6" t="s">
        <v>101</v>
      </c>
      <c r="B56" s="47" t="e">
        <f>B28/B41</f>
        <v>#DIV/0!</v>
      </c>
      <c r="C56" s="48"/>
      <c r="D56" s="48"/>
    </row>
    <row r="57" spans="1:4" ht="13.15" customHeight="1">
      <c r="A57" s="6" t="s">
        <v>102</v>
      </c>
      <c r="B57" s="47" t="e">
        <f>B20/B18</f>
        <v>#DIV/0!</v>
      </c>
      <c r="C57" s="47" t="e">
        <f>C20/C18</f>
        <v>#DIV/0!</v>
      </c>
      <c r="D57" s="47" t="e">
        <f>D20/D18</f>
        <v>#DIV/0!</v>
      </c>
    </row>
    <row r="58" spans="1:4" ht="13.15" customHeight="1">
      <c r="A58" s="6" t="s">
        <v>103</v>
      </c>
      <c r="B58" s="47" t="e">
        <f>B21/B18</f>
        <v>#DIV/0!</v>
      </c>
      <c r="C58" s="47" t="e">
        <f>C21/C18</f>
        <v>#DIV/0!</v>
      </c>
      <c r="D58" s="47" t="e">
        <f>D21/D18</f>
        <v>#DIV/0!</v>
      </c>
    </row>
    <row r="59" spans="1:4" ht="13.15" customHeight="1">
      <c r="A59" s="6" t="s">
        <v>104</v>
      </c>
      <c r="B59" s="47" t="e">
        <f>B22/B18</f>
        <v>#DIV/0!</v>
      </c>
      <c r="C59" s="47" t="e">
        <f>C22/C18</f>
        <v>#DIV/0!</v>
      </c>
      <c r="D59" s="47" t="e">
        <f>D22/D18</f>
        <v>#DIV/0!</v>
      </c>
    </row>
    <row r="60" spans="1:4" ht="13.15" customHeight="1">
      <c r="A60" s="13" t="s">
        <v>105</v>
      </c>
      <c r="B60" s="49" t="e">
        <f>1/(B30/((B35+C35-B37-C37)/2))</f>
        <v>#DIV/0!</v>
      </c>
      <c r="C60" s="48"/>
      <c r="D60" s="48"/>
    </row>
    <row r="61" spans="1:4" ht="13.15" customHeight="1">
      <c r="A61" s="6" t="s">
        <v>106</v>
      </c>
      <c r="B61" s="47" t="e">
        <f>B26/B25</f>
        <v>#DIV/0!</v>
      </c>
      <c r="C61" s="47" t="e">
        <f>C26/C25</f>
        <v>#DIV/0!</v>
      </c>
      <c r="D61" s="47" t="e">
        <f>D26/D25</f>
        <v>#DIV/0!</v>
      </c>
    </row>
    <row r="62" spans="1:4" ht="13.15" customHeight="1">
      <c r="A62" s="6"/>
    </row>
    <row r="63" spans="1:4" ht="13.15" customHeight="1">
      <c r="A63" s="1" t="s">
        <v>107</v>
      </c>
    </row>
    <row r="64" spans="1:4" ht="13.15" customHeight="1">
      <c r="A64" s="16" t="s">
        <v>131</v>
      </c>
      <c r="B64" s="50" t="e">
        <f>B18/(B15)</f>
        <v>#DIV/0!</v>
      </c>
      <c r="C64" s="51"/>
      <c r="D64" s="51"/>
    </row>
    <row r="65" spans="1:4" ht="13.15" customHeight="1">
      <c r="A65" s="52" t="s">
        <v>21</v>
      </c>
      <c r="B65" s="53" t="e">
        <f>B18/B32</f>
        <v>#DIV/0!</v>
      </c>
      <c r="C65" s="51"/>
      <c r="D65" s="51"/>
    </row>
    <row r="66" spans="1:4" ht="13.15" customHeight="1">
      <c r="A66" s="13" t="s">
        <v>108</v>
      </c>
      <c r="B66" s="60" t="e">
        <f>B32/(B18/365)</f>
        <v>#DIV/0!</v>
      </c>
      <c r="C66" s="51"/>
      <c r="D66" s="51"/>
    </row>
    <row r="67" spans="1:4" ht="13.15" customHeight="1">
      <c r="A67" s="13" t="s">
        <v>23</v>
      </c>
      <c r="B67" s="53" t="e">
        <f>B19/B33</f>
        <v>#DIV/0!</v>
      </c>
      <c r="C67" s="51"/>
      <c r="D67" s="51"/>
    </row>
    <row r="68" spans="1:4" ht="13.15" customHeight="1">
      <c r="A68" s="13" t="s">
        <v>109</v>
      </c>
      <c r="B68" s="60" t="e">
        <f>B33/(B19/365)</f>
        <v>#DIV/0!</v>
      </c>
      <c r="C68" s="51"/>
      <c r="D68" s="51"/>
    </row>
    <row r="69" spans="1:4" ht="13.15" customHeight="1">
      <c r="A69" s="13" t="s">
        <v>25</v>
      </c>
      <c r="B69" s="53" t="e">
        <f>B19/B39</f>
        <v>#DIV/0!</v>
      </c>
      <c r="C69" s="51"/>
      <c r="D69" s="51"/>
    </row>
    <row r="70" spans="1:4" ht="13.15" customHeight="1">
      <c r="A70" s="13" t="s">
        <v>110</v>
      </c>
      <c r="B70" s="60" t="e">
        <f>B39/(B19/365)</f>
        <v>#DIV/0!</v>
      </c>
      <c r="C70" s="51"/>
      <c r="D70" s="51"/>
    </row>
    <row r="71" spans="1:4" ht="13.15" customHeight="1">
      <c r="A71" s="13" t="s">
        <v>111</v>
      </c>
      <c r="B71" s="53" t="e">
        <f>B18/B38</f>
        <v>#DIV/0!</v>
      </c>
      <c r="C71" s="51"/>
      <c r="D71" s="51"/>
    </row>
    <row r="72" spans="1:4" ht="13.15" customHeight="1">
      <c r="A72" s="13" t="s">
        <v>112</v>
      </c>
      <c r="B72" s="60" t="e">
        <f>365/B71</f>
        <v>#DIV/0!</v>
      </c>
      <c r="C72" s="51"/>
      <c r="D72" s="51"/>
    </row>
    <row r="73" spans="1:4" ht="13.15" customHeight="1">
      <c r="A73" s="6"/>
    </row>
    <row r="74" spans="1:4" ht="13.15" customHeight="1">
      <c r="A74" s="1" t="s">
        <v>113</v>
      </c>
    </row>
    <row r="75" spans="1:4" ht="13.15" customHeight="1">
      <c r="A75" s="6" t="s">
        <v>31</v>
      </c>
      <c r="B75" s="53" t="e">
        <f>B34/B40</f>
        <v>#DIV/0!</v>
      </c>
      <c r="C75" s="54"/>
      <c r="D75" s="54"/>
    </row>
    <row r="76" spans="1:4" ht="13.15" customHeight="1">
      <c r="A76" s="6" t="s">
        <v>114</v>
      </c>
      <c r="B76" s="53" t="e">
        <f>B38/B41</f>
        <v>#DIV/0!</v>
      </c>
      <c r="C76" s="54"/>
      <c r="D76" s="54"/>
    </row>
    <row r="77" spans="1:4" ht="13.15" customHeight="1">
      <c r="A77" s="6" t="s">
        <v>115</v>
      </c>
      <c r="B77" s="47" t="e">
        <f>B45/B38</f>
        <v>#DIV/0!</v>
      </c>
      <c r="C77" s="54"/>
      <c r="D77" s="54"/>
    </row>
    <row r="78" spans="1:4" ht="13.15" customHeight="1">
      <c r="A78" s="6"/>
    </row>
    <row r="79" spans="1:4" ht="13.15" customHeight="1">
      <c r="A79" s="42" t="s">
        <v>116</v>
      </c>
    </row>
    <row r="80" spans="1:4" ht="13.15" customHeight="1">
      <c r="A80" s="55" t="s">
        <v>117</v>
      </c>
      <c r="B80" s="56" t="e">
        <f>(B10*100)/B5</f>
        <v>#DIV/0!</v>
      </c>
      <c r="C80" s="57"/>
      <c r="D80" s="57"/>
    </row>
    <row r="81" spans="1:4" ht="13.15" customHeight="1">
      <c r="A81" s="13" t="s">
        <v>118</v>
      </c>
      <c r="B81" s="58" t="e">
        <f>(B41)/B42</f>
        <v>#DIV/0!</v>
      </c>
      <c r="C81" s="40"/>
      <c r="D81" s="40"/>
    </row>
    <row r="82" spans="1:4" ht="13.15" customHeight="1">
      <c r="A82" s="13" t="s">
        <v>119</v>
      </c>
      <c r="B82" s="53" t="e">
        <f>B4/B81</f>
        <v>#DIV/0!</v>
      </c>
      <c r="C82" s="40"/>
      <c r="D82" s="40"/>
    </row>
    <row r="83" spans="1:4" ht="13.15" customHeight="1">
      <c r="A83" s="6"/>
    </row>
    <row r="84" spans="1:4" ht="13.15" customHeight="1">
      <c r="A84" s="59" t="s">
        <v>120</v>
      </c>
    </row>
    <row r="85" spans="1:4" ht="13.15" customHeight="1">
      <c r="A85" s="6" t="s">
        <v>121</v>
      </c>
      <c r="B85" s="47" t="e">
        <f>B29/B18</f>
        <v>#DIV/0!</v>
      </c>
      <c r="C85" s="47" t="e">
        <f>C29/C18</f>
        <v>#DIV/0!</v>
      </c>
      <c r="D85" s="47" t="e">
        <f>D29/D18</f>
        <v>#DIV/0!</v>
      </c>
    </row>
    <row r="86" spans="1:4" ht="13.15" customHeight="1">
      <c r="A86" s="6" t="s">
        <v>122</v>
      </c>
      <c r="B86" s="47" t="e">
        <f>B31/B30</f>
        <v>#DIV/0!</v>
      </c>
      <c r="C86" s="48"/>
      <c r="D86" s="48"/>
    </row>
    <row r="87" spans="1:4" ht="13.15" customHeight="1">
      <c r="A87" s="6" t="s">
        <v>123</v>
      </c>
      <c r="B87" s="47" t="e">
        <f>B47/B38</f>
        <v>#DIV/0!</v>
      </c>
      <c r="C87" s="48"/>
      <c r="D87" s="48"/>
    </row>
    <row r="88" spans="1:4" ht="13.15" customHeight="1">
      <c r="A88" s="6" t="s">
        <v>124</v>
      </c>
      <c r="B88" s="47" t="e">
        <f>B44/B42</f>
        <v>#DIV/0!</v>
      </c>
      <c r="C88" s="48"/>
      <c r="D88" s="48"/>
    </row>
    <row r="89" spans="1:4" ht="13.15" customHeight="1">
      <c r="A89" s="6" t="s">
        <v>125</v>
      </c>
      <c r="B89" s="47" t="e">
        <f>1-(B48/B18)</f>
        <v>#DIV/0!</v>
      </c>
      <c r="C89" s="48"/>
      <c r="D89" s="48"/>
    </row>
    <row r="90" spans="1:4" ht="13.15" customHeight="1">
      <c r="A90" s="6" t="s">
        <v>126</v>
      </c>
      <c r="B90" s="47" t="e">
        <f>B49/B18</f>
        <v>#DIV/0!</v>
      </c>
      <c r="C90" s="48"/>
      <c r="D90" s="48"/>
    </row>
  </sheetData>
  <mergeCells count="1">
    <mergeCell ref="A1:A2"/>
  </mergeCells>
  <phoneticPr fontId="0" type="noConversion"/>
  <printOptions horizontalCentered="1" verticalCentered="1"/>
  <pageMargins left="0.5" right="0.5" top="0.6" bottom="0.5" header="0.5" footer="0.5"/>
  <pageSetup scale="63" orientation="portrait" horizontalDpi="4294967292" verticalDpi="4294967292" r:id="rId1"/>
  <headerFooter alignWithMargins="0">
    <oddHeader>&amp;A</oddHeader>
    <oddFooter>Page &amp;P</oddFooter>
  </headerFooter>
  <rowBreaks count="1" manualBreakCount="1">
    <brk id="63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0"/>
  <sheetViews>
    <sheetView workbookViewId="0">
      <pane xSplit="1" ySplit="2" topLeftCell="B33" activePane="bottomRight" state="frozen"/>
      <selection pane="topRight" activeCell="B1" sqref="B1"/>
      <selection pane="bottomLeft" activeCell="A3" sqref="A3"/>
      <selection pane="bottomRight" activeCell="B18" sqref="B18:D49"/>
    </sheetView>
  </sheetViews>
  <sheetFormatPr defaultColWidth="11.54296875" defaultRowHeight="12.5"/>
  <cols>
    <col min="1" max="1" width="30.7265625" style="3" customWidth="1"/>
    <col min="2" max="4" width="10.7265625" style="3" customWidth="1"/>
    <col min="5" max="5" width="5.7265625" style="3" customWidth="1"/>
    <col min="6" max="16384" width="11.54296875" style="3"/>
  </cols>
  <sheetData>
    <row r="1" spans="1:4">
      <c r="A1" s="76" t="s">
        <v>133</v>
      </c>
      <c r="B1" s="2"/>
      <c r="C1" s="2"/>
      <c r="D1" s="2"/>
    </row>
    <row r="2" spans="1:4">
      <c r="A2" s="77"/>
      <c r="B2" s="4" t="s">
        <v>50</v>
      </c>
      <c r="C2" s="4" t="s">
        <v>51</v>
      </c>
      <c r="D2" s="4" t="s">
        <v>52</v>
      </c>
    </row>
    <row r="3" spans="1:4" ht="13.15" customHeight="1">
      <c r="A3" s="5" t="s">
        <v>128</v>
      </c>
    </row>
    <row r="4" spans="1:4" ht="13.15" customHeight="1">
      <c r="A4" s="23" t="s">
        <v>53</v>
      </c>
      <c r="B4" s="36"/>
      <c r="C4" s="4"/>
      <c r="D4" s="4"/>
    </row>
    <row r="5" spans="1:4" ht="13.15" customHeight="1">
      <c r="A5" s="23" t="s">
        <v>54</v>
      </c>
      <c r="B5" s="37"/>
      <c r="C5" s="4"/>
      <c r="D5" s="4"/>
    </row>
    <row r="6" spans="1:4" ht="13.15" customHeight="1">
      <c r="A6" s="23" t="s">
        <v>55</v>
      </c>
      <c r="B6" s="38"/>
      <c r="C6" s="4"/>
      <c r="D6" s="4"/>
    </row>
    <row r="7" spans="1:4" ht="13.15" customHeight="1">
      <c r="A7" s="6" t="s">
        <v>56</v>
      </c>
      <c r="B7" s="39"/>
      <c r="C7" s="4"/>
      <c r="D7" s="4"/>
    </row>
    <row r="8" spans="1:4" ht="13.15" customHeight="1">
      <c r="A8" s="6" t="s">
        <v>57</v>
      </c>
      <c r="B8" s="39"/>
      <c r="C8" s="4"/>
      <c r="D8" s="4"/>
    </row>
    <row r="9" spans="1:4" ht="13.15" customHeight="1">
      <c r="A9" s="6" t="s">
        <v>58</v>
      </c>
      <c r="B9" s="39"/>
      <c r="C9" s="4"/>
      <c r="D9" s="4"/>
    </row>
    <row r="10" spans="1:4" ht="13.15" customHeight="1">
      <c r="A10" s="6" t="s">
        <v>59</v>
      </c>
      <c r="B10" s="39"/>
      <c r="C10" s="4"/>
      <c r="D10" s="4"/>
    </row>
    <row r="11" spans="1:4" ht="13.15" customHeight="1">
      <c r="A11" s="6" t="s">
        <v>60</v>
      </c>
      <c r="B11" s="39"/>
      <c r="C11" s="4"/>
      <c r="D11" s="4"/>
    </row>
    <row r="12" spans="1:4" ht="13.15" customHeight="1">
      <c r="A12" s="6" t="s">
        <v>61</v>
      </c>
      <c r="B12" s="39"/>
      <c r="C12" s="4"/>
      <c r="D12" s="4"/>
    </row>
    <row r="13" spans="1:4" ht="13.15" customHeight="1">
      <c r="A13" s="6" t="s">
        <v>62</v>
      </c>
      <c r="B13" s="39"/>
      <c r="C13" s="4"/>
      <c r="D13" s="4"/>
    </row>
    <row r="14" spans="1:4" ht="13.15" customHeight="1">
      <c r="A14" s="6" t="s">
        <v>63</v>
      </c>
      <c r="B14" s="39"/>
      <c r="C14" s="4"/>
      <c r="D14" s="4"/>
    </row>
    <row r="15" spans="1:4" s="41" customFormat="1" ht="13.15" customHeight="1">
      <c r="A15" s="13" t="s">
        <v>64</v>
      </c>
      <c r="B15" s="21"/>
      <c r="C15" s="40"/>
      <c r="D15" s="40"/>
    </row>
    <row r="16" spans="1:4" ht="13.15" customHeight="1">
      <c r="A16" s="6"/>
      <c r="C16" s="4"/>
      <c r="D16" s="4"/>
    </row>
    <row r="17" spans="1:4" ht="13.15" customHeight="1">
      <c r="A17" s="42" t="s">
        <v>65</v>
      </c>
      <c r="C17" s="4"/>
      <c r="D17" s="4"/>
    </row>
    <row r="18" spans="1:4" s="45" customFormat="1" ht="13.15" customHeight="1">
      <c r="A18" s="43" t="s">
        <v>66</v>
      </c>
      <c r="B18" s="44"/>
      <c r="C18" s="44"/>
      <c r="D18" s="44"/>
    </row>
    <row r="19" spans="1:4" s="45" customFormat="1" ht="13.15" customHeight="1">
      <c r="A19" s="43" t="s">
        <v>67</v>
      </c>
      <c r="B19" s="44"/>
      <c r="C19" s="44"/>
      <c r="D19" s="44"/>
    </row>
    <row r="20" spans="1:4" s="45" customFormat="1" ht="13.15" customHeight="1">
      <c r="A20" s="43" t="s">
        <v>68</v>
      </c>
      <c r="B20" s="44"/>
      <c r="C20" s="44"/>
      <c r="D20" s="44"/>
    </row>
    <row r="21" spans="1:4" s="45" customFormat="1" ht="13.15" customHeight="1">
      <c r="A21" s="43" t="s">
        <v>69</v>
      </c>
      <c r="B21" s="44"/>
      <c r="C21" s="44"/>
      <c r="D21" s="44"/>
    </row>
    <row r="22" spans="1:4" s="45" customFormat="1" ht="13.15" customHeight="1">
      <c r="A22" s="43" t="s">
        <v>70</v>
      </c>
      <c r="B22" s="44"/>
      <c r="C22" s="44"/>
      <c r="D22" s="44"/>
    </row>
    <row r="23" spans="1:4" s="45" customFormat="1" ht="13.15" customHeight="1">
      <c r="A23" s="43" t="s">
        <v>71</v>
      </c>
      <c r="B23" s="44"/>
      <c r="C23" s="46"/>
      <c r="D23" s="46"/>
    </row>
    <row r="24" spans="1:4" s="45" customFormat="1" ht="13.15" customHeight="1">
      <c r="A24" s="43" t="s">
        <v>72</v>
      </c>
      <c r="B24" s="44"/>
      <c r="C24" s="44"/>
      <c r="D24" s="44"/>
    </row>
    <row r="25" spans="1:4" s="45" customFormat="1" ht="13.15" customHeight="1">
      <c r="A25" s="43" t="s">
        <v>73</v>
      </c>
      <c r="B25" s="44"/>
      <c r="C25" s="44"/>
      <c r="D25" s="44"/>
    </row>
    <row r="26" spans="1:4" s="45" customFormat="1" ht="13.15" customHeight="1">
      <c r="A26" s="43" t="s">
        <v>74</v>
      </c>
      <c r="B26" s="44"/>
      <c r="C26" s="44"/>
      <c r="D26" s="44"/>
    </row>
    <row r="27" spans="1:4" s="45" customFormat="1" ht="13.15" customHeight="1">
      <c r="A27" s="43" t="s">
        <v>75</v>
      </c>
      <c r="B27" s="44"/>
      <c r="C27" s="44"/>
      <c r="D27" s="44"/>
    </row>
    <row r="28" spans="1:4" s="45" customFormat="1" ht="13.15" customHeight="1">
      <c r="A28" s="43" t="s">
        <v>129</v>
      </c>
      <c r="B28" s="44"/>
      <c r="C28" s="44"/>
      <c r="D28" s="44"/>
    </row>
    <row r="29" spans="1:4" s="45" customFormat="1" ht="13.15" customHeight="1">
      <c r="A29" s="43" t="s">
        <v>76</v>
      </c>
      <c r="B29" s="44"/>
      <c r="C29" s="44"/>
      <c r="D29" s="44"/>
    </row>
    <row r="30" spans="1:4" s="45" customFormat="1" ht="13.15" customHeight="1">
      <c r="A30" s="43" t="s">
        <v>77</v>
      </c>
      <c r="B30" s="44"/>
      <c r="C30" s="46"/>
      <c r="D30" s="46"/>
    </row>
    <row r="31" spans="1:4" s="45" customFormat="1" ht="13.15" customHeight="1">
      <c r="A31" s="43" t="s">
        <v>78</v>
      </c>
      <c r="B31" s="44"/>
      <c r="C31" s="46"/>
      <c r="D31" s="46"/>
    </row>
    <row r="32" spans="1:4" s="45" customFormat="1" ht="13.15" customHeight="1">
      <c r="A32" s="43" t="s">
        <v>79</v>
      </c>
      <c r="B32" s="44"/>
      <c r="C32" s="46"/>
      <c r="D32" s="46"/>
    </row>
    <row r="33" spans="1:4" s="45" customFormat="1" ht="13.15" customHeight="1">
      <c r="A33" s="43" t="s">
        <v>80</v>
      </c>
      <c r="B33" s="44"/>
      <c r="C33" s="46"/>
      <c r="D33" s="46"/>
    </row>
    <row r="34" spans="1:4" s="45" customFormat="1" ht="13.15" customHeight="1">
      <c r="A34" s="43" t="s">
        <v>81</v>
      </c>
      <c r="B34" s="44"/>
      <c r="C34" s="46"/>
      <c r="D34" s="46"/>
    </row>
    <row r="35" spans="1:4" s="45" customFormat="1" ht="13.15" customHeight="1">
      <c r="A35" s="43" t="s">
        <v>82</v>
      </c>
      <c r="B35" s="44"/>
      <c r="C35" s="44"/>
      <c r="D35" s="46"/>
    </row>
    <row r="36" spans="1:4" s="45" customFormat="1" ht="13.15" customHeight="1">
      <c r="A36" s="43" t="s">
        <v>83</v>
      </c>
      <c r="B36" s="44"/>
      <c r="C36" s="44"/>
      <c r="D36" s="46"/>
    </row>
    <row r="37" spans="1:4" s="45" customFormat="1" ht="13.15" customHeight="1">
      <c r="A37" s="43" t="s">
        <v>84</v>
      </c>
      <c r="B37" s="44"/>
      <c r="C37" s="44"/>
      <c r="D37" s="46"/>
    </row>
    <row r="38" spans="1:4" s="45" customFormat="1" ht="13.15" customHeight="1">
      <c r="A38" s="43" t="s">
        <v>85</v>
      </c>
      <c r="B38" s="44"/>
      <c r="C38" s="46"/>
      <c r="D38" s="46"/>
    </row>
    <row r="39" spans="1:4" s="45" customFormat="1" ht="13.15" customHeight="1">
      <c r="A39" s="43" t="s">
        <v>86</v>
      </c>
      <c r="B39" s="44"/>
      <c r="C39" s="46"/>
      <c r="D39" s="46"/>
    </row>
    <row r="40" spans="1:4" s="45" customFormat="1" ht="13.15" customHeight="1">
      <c r="A40" s="43" t="s">
        <v>87</v>
      </c>
      <c r="B40" s="44"/>
      <c r="C40" s="46"/>
      <c r="D40" s="46"/>
    </row>
    <row r="41" spans="1:4" s="45" customFormat="1" ht="13.15" customHeight="1">
      <c r="A41" s="43" t="s">
        <v>88</v>
      </c>
      <c r="B41" s="44"/>
      <c r="C41" s="46"/>
      <c r="D41" s="46"/>
    </row>
    <row r="42" spans="1:4" s="45" customFormat="1" ht="13.15" customHeight="1">
      <c r="A42" s="43" t="s">
        <v>89</v>
      </c>
      <c r="B42" s="44"/>
      <c r="C42" s="46"/>
      <c r="D42" s="46"/>
    </row>
    <row r="43" spans="1:4" s="45" customFormat="1" ht="13.15" customHeight="1">
      <c r="A43" s="43" t="s">
        <v>90</v>
      </c>
      <c r="B43" s="44"/>
      <c r="C43" s="46"/>
      <c r="D43" s="46"/>
    </row>
    <row r="44" spans="1:4" s="45" customFormat="1" ht="13.15" customHeight="1">
      <c r="A44" s="43" t="s">
        <v>91</v>
      </c>
      <c r="B44" s="44"/>
      <c r="C44" s="46"/>
      <c r="D44" s="46"/>
    </row>
    <row r="45" spans="1:4" s="45" customFormat="1" ht="13.15" customHeight="1">
      <c r="A45" s="43" t="s">
        <v>92</v>
      </c>
      <c r="B45" s="44"/>
      <c r="C45" s="46"/>
      <c r="D45" s="46"/>
    </row>
    <row r="46" spans="1:4" s="45" customFormat="1" ht="13.15" customHeight="1">
      <c r="A46" s="43" t="s">
        <v>93</v>
      </c>
      <c r="B46" s="44"/>
      <c r="C46" s="46"/>
      <c r="D46" s="46"/>
    </row>
    <row r="47" spans="1:4" s="45" customFormat="1" ht="13.15" customHeight="1">
      <c r="A47" s="43" t="s">
        <v>94</v>
      </c>
      <c r="B47" s="44"/>
      <c r="C47" s="46"/>
      <c r="D47" s="46"/>
    </row>
    <row r="48" spans="1:4" s="45" customFormat="1" ht="13.15" customHeight="1">
      <c r="A48" s="43" t="s">
        <v>95</v>
      </c>
      <c r="B48" s="44"/>
      <c r="C48" s="46"/>
      <c r="D48" s="46"/>
    </row>
    <row r="49" spans="1:4" s="45" customFormat="1" ht="13.15" customHeight="1">
      <c r="A49" s="43" t="s">
        <v>96</v>
      </c>
      <c r="B49" s="44"/>
      <c r="C49" s="46"/>
      <c r="D49" s="46"/>
    </row>
    <row r="50" spans="1:4" ht="13.15" customHeight="1">
      <c r="A50" s="16"/>
    </row>
    <row r="51" spans="1:4" ht="13.15" customHeight="1">
      <c r="A51" s="5" t="s">
        <v>97</v>
      </c>
    </row>
    <row r="52" spans="1:4" ht="13.15" customHeight="1">
      <c r="A52" s="6" t="s">
        <v>98</v>
      </c>
      <c r="B52" s="47" t="e">
        <f>(B18-B19)/B18</f>
        <v>#DIV/0!</v>
      </c>
      <c r="C52" s="47" t="e">
        <f>(C18-C19)/C18</f>
        <v>#DIV/0!</v>
      </c>
      <c r="D52" s="47" t="e">
        <f>(D18-D19)/D18</f>
        <v>#DIV/0!</v>
      </c>
    </row>
    <row r="53" spans="1:4" ht="13.15" customHeight="1">
      <c r="A53" s="6" t="s">
        <v>99</v>
      </c>
      <c r="B53" s="47" t="e">
        <f>B24/B18</f>
        <v>#DIV/0!</v>
      </c>
      <c r="C53" s="47" t="e">
        <f>C24/C18</f>
        <v>#DIV/0!</v>
      </c>
      <c r="D53" s="47" t="e">
        <f>D24/D18</f>
        <v>#DIV/0!</v>
      </c>
    </row>
    <row r="54" spans="1:4" ht="13.15" customHeight="1">
      <c r="A54" s="6" t="s">
        <v>130</v>
      </c>
      <c r="B54" s="47" t="e">
        <f>B28/B18</f>
        <v>#DIV/0!</v>
      </c>
      <c r="C54" s="47" t="e">
        <f>C28/C18</f>
        <v>#DIV/0!</v>
      </c>
      <c r="D54" s="47" t="e">
        <f>D28/D18</f>
        <v>#DIV/0!</v>
      </c>
    </row>
    <row r="55" spans="1:4" ht="13.15" customHeight="1">
      <c r="A55" s="6" t="s">
        <v>100</v>
      </c>
      <c r="B55" s="47" t="e">
        <f>B28/B38</f>
        <v>#DIV/0!</v>
      </c>
      <c r="C55" s="48"/>
      <c r="D55" s="48"/>
    </row>
    <row r="56" spans="1:4" ht="13.15" customHeight="1">
      <c r="A56" s="6" t="s">
        <v>101</v>
      </c>
      <c r="B56" s="47" t="e">
        <f>B28/B41</f>
        <v>#DIV/0!</v>
      </c>
      <c r="C56" s="48"/>
      <c r="D56" s="48"/>
    </row>
    <row r="57" spans="1:4" ht="13.15" customHeight="1">
      <c r="A57" s="6" t="s">
        <v>102</v>
      </c>
      <c r="B57" s="47" t="e">
        <f>B20/B18</f>
        <v>#DIV/0!</v>
      </c>
      <c r="C57" s="47" t="e">
        <f>C20/C18</f>
        <v>#DIV/0!</v>
      </c>
      <c r="D57" s="47" t="e">
        <f>D20/D18</f>
        <v>#DIV/0!</v>
      </c>
    </row>
    <row r="58" spans="1:4" ht="13.15" customHeight="1">
      <c r="A58" s="6" t="s">
        <v>103</v>
      </c>
      <c r="B58" s="47" t="e">
        <f>B21/B18</f>
        <v>#DIV/0!</v>
      </c>
      <c r="C58" s="47" t="e">
        <f>C21/C18</f>
        <v>#DIV/0!</v>
      </c>
      <c r="D58" s="47" t="e">
        <f>D21/D18</f>
        <v>#DIV/0!</v>
      </c>
    </row>
    <row r="59" spans="1:4" ht="13.15" customHeight="1">
      <c r="A59" s="6" t="s">
        <v>104</v>
      </c>
      <c r="B59" s="47" t="e">
        <f>B22/B18</f>
        <v>#DIV/0!</v>
      </c>
      <c r="C59" s="47" t="e">
        <f>C22/C18</f>
        <v>#DIV/0!</v>
      </c>
      <c r="D59" s="47" t="e">
        <f>D22/D18</f>
        <v>#DIV/0!</v>
      </c>
    </row>
    <row r="60" spans="1:4" ht="13.15" customHeight="1">
      <c r="A60" s="13" t="s">
        <v>105</v>
      </c>
      <c r="B60" s="49" t="e">
        <f>1/(B30/((B35+C35-B37-C37)/2))</f>
        <v>#DIV/0!</v>
      </c>
      <c r="C60" s="48"/>
      <c r="D60" s="48"/>
    </row>
    <row r="61" spans="1:4" ht="13.15" customHeight="1">
      <c r="A61" s="6" t="s">
        <v>106</v>
      </c>
      <c r="B61" s="47" t="e">
        <f>B26/B25</f>
        <v>#DIV/0!</v>
      </c>
      <c r="C61" s="47" t="e">
        <f>C26/C25</f>
        <v>#DIV/0!</v>
      </c>
      <c r="D61" s="47" t="e">
        <f>D26/D25</f>
        <v>#DIV/0!</v>
      </c>
    </row>
    <row r="62" spans="1:4" ht="13.15" customHeight="1">
      <c r="A62" s="6"/>
    </row>
    <row r="63" spans="1:4" ht="13.15" customHeight="1">
      <c r="A63" s="1" t="s">
        <v>107</v>
      </c>
    </row>
    <row r="64" spans="1:4" ht="13.15" customHeight="1">
      <c r="A64" s="16" t="s">
        <v>131</v>
      </c>
      <c r="B64" s="50" t="e">
        <f>B18/(B15)</f>
        <v>#DIV/0!</v>
      </c>
      <c r="C64" s="51"/>
      <c r="D64" s="51"/>
    </row>
    <row r="65" spans="1:4" ht="13.15" customHeight="1">
      <c r="A65" s="52" t="s">
        <v>21</v>
      </c>
      <c r="B65" s="53" t="e">
        <f>B18/B32</f>
        <v>#DIV/0!</v>
      </c>
      <c r="C65" s="51"/>
      <c r="D65" s="51"/>
    </row>
    <row r="66" spans="1:4" ht="13.15" customHeight="1">
      <c r="A66" s="13" t="s">
        <v>108</v>
      </c>
      <c r="B66" s="60" t="e">
        <f>B32/(B18/365)</f>
        <v>#DIV/0!</v>
      </c>
      <c r="C66" s="51"/>
      <c r="D66" s="51"/>
    </row>
    <row r="67" spans="1:4" ht="13.15" customHeight="1">
      <c r="A67" s="13" t="s">
        <v>23</v>
      </c>
      <c r="B67" s="53" t="e">
        <f>B19/B33</f>
        <v>#DIV/0!</v>
      </c>
      <c r="C67" s="51"/>
      <c r="D67" s="51"/>
    </row>
    <row r="68" spans="1:4" ht="13.15" customHeight="1">
      <c r="A68" s="13" t="s">
        <v>109</v>
      </c>
      <c r="B68" s="60" t="e">
        <f>B33/(B19/365)</f>
        <v>#DIV/0!</v>
      </c>
      <c r="C68" s="51"/>
      <c r="D68" s="51"/>
    </row>
    <row r="69" spans="1:4" ht="13.15" customHeight="1">
      <c r="A69" s="13" t="s">
        <v>25</v>
      </c>
      <c r="B69" s="53" t="e">
        <f>B19/B39</f>
        <v>#DIV/0!</v>
      </c>
      <c r="C69" s="51"/>
      <c r="D69" s="51"/>
    </row>
    <row r="70" spans="1:4" ht="13.15" customHeight="1">
      <c r="A70" s="13" t="s">
        <v>110</v>
      </c>
      <c r="B70" s="60" t="e">
        <f>B39/(B19/365)</f>
        <v>#DIV/0!</v>
      </c>
      <c r="C70" s="51"/>
      <c r="D70" s="51"/>
    </row>
    <row r="71" spans="1:4" ht="13.15" customHeight="1">
      <c r="A71" s="13" t="s">
        <v>111</v>
      </c>
      <c r="B71" s="53" t="e">
        <f>B18/B38</f>
        <v>#DIV/0!</v>
      </c>
      <c r="C71" s="51"/>
      <c r="D71" s="51"/>
    </row>
    <row r="72" spans="1:4" ht="13.15" customHeight="1">
      <c r="A72" s="13" t="s">
        <v>112</v>
      </c>
      <c r="B72" s="60" t="e">
        <f>365/B71</f>
        <v>#DIV/0!</v>
      </c>
      <c r="C72" s="51"/>
      <c r="D72" s="51"/>
    </row>
    <row r="73" spans="1:4" ht="13.15" customHeight="1">
      <c r="A73" s="6"/>
    </row>
    <row r="74" spans="1:4" ht="13.15" customHeight="1">
      <c r="A74" s="1" t="s">
        <v>113</v>
      </c>
    </row>
    <row r="75" spans="1:4" ht="13.15" customHeight="1">
      <c r="A75" s="6" t="s">
        <v>31</v>
      </c>
      <c r="B75" s="53" t="e">
        <f>B34/B40</f>
        <v>#DIV/0!</v>
      </c>
      <c r="C75" s="54"/>
      <c r="D75" s="54"/>
    </row>
    <row r="76" spans="1:4" ht="13.15" customHeight="1">
      <c r="A76" s="6" t="s">
        <v>114</v>
      </c>
      <c r="B76" s="53" t="e">
        <f>B38/B41</f>
        <v>#DIV/0!</v>
      </c>
      <c r="C76" s="54"/>
      <c r="D76" s="54"/>
    </row>
    <row r="77" spans="1:4" ht="13.15" customHeight="1">
      <c r="A77" s="6" t="s">
        <v>115</v>
      </c>
      <c r="B77" s="47" t="e">
        <f>B45/B38</f>
        <v>#DIV/0!</v>
      </c>
      <c r="C77" s="54"/>
      <c r="D77" s="54"/>
    </row>
    <row r="78" spans="1:4" ht="13.15" customHeight="1">
      <c r="A78" s="6"/>
    </row>
    <row r="79" spans="1:4" ht="13.15" customHeight="1">
      <c r="A79" s="42" t="s">
        <v>116</v>
      </c>
    </row>
    <row r="80" spans="1:4" ht="13.15" customHeight="1">
      <c r="A80" s="55" t="s">
        <v>117</v>
      </c>
      <c r="B80" s="56" t="e">
        <f>(B10*100)/B5</f>
        <v>#DIV/0!</v>
      </c>
      <c r="C80" s="57"/>
      <c r="D80" s="57"/>
    </row>
    <row r="81" spans="1:4" ht="13.15" customHeight="1">
      <c r="A81" s="13" t="s">
        <v>118</v>
      </c>
      <c r="B81" s="58" t="e">
        <f>(B41)/B42</f>
        <v>#DIV/0!</v>
      </c>
      <c r="C81" s="40"/>
      <c r="D81" s="40"/>
    </row>
    <row r="82" spans="1:4" ht="13.15" customHeight="1">
      <c r="A82" s="13" t="s">
        <v>119</v>
      </c>
      <c r="B82" s="53" t="e">
        <f>B4/B81</f>
        <v>#DIV/0!</v>
      </c>
      <c r="C82" s="40"/>
      <c r="D82" s="40"/>
    </row>
    <row r="83" spans="1:4" ht="13.15" customHeight="1">
      <c r="A83" s="6"/>
    </row>
    <row r="84" spans="1:4" ht="13.15" customHeight="1">
      <c r="A84" s="59" t="s">
        <v>120</v>
      </c>
    </row>
    <row r="85" spans="1:4" ht="13.15" customHeight="1">
      <c r="A85" s="6" t="s">
        <v>121</v>
      </c>
      <c r="B85" s="47" t="e">
        <f>B29/B18</f>
        <v>#DIV/0!</v>
      </c>
      <c r="C85" s="47" t="e">
        <f>C29/C18</f>
        <v>#DIV/0!</v>
      </c>
      <c r="D85" s="47" t="e">
        <f>D29/D18</f>
        <v>#DIV/0!</v>
      </c>
    </row>
    <row r="86" spans="1:4" ht="13.15" customHeight="1">
      <c r="A86" s="6" t="s">
        <v>122</v>
      </c>
      <c r="B86" s="47" t="e">
        <f>B31/B30</f>
        <v>#DIV/0!</v>
      </c>
      <c r="C86" s="48"/>
      <c r="D86" s="48"/>
    </row>
    <row r="87" spans="1:4" ht="13.15" customHeight="1">
      <c r="A87" s="6" t="s">
        <v>123</v>
      </c>
      <c r="B87" s="47" t="e">
        <f>B47/B38</f>
        <v>#DIV/0!</v>
      </c>
      <c r="C87" s="48"/>
      <c r="D87" s="48"/>
    </row>
    <row r="88" spans="1:4" ht="13.15" customHeight="1">
      <c r="A88" s="6" t="s">
        <v>124</v>
      </c>
      <c r="B88" s="47" t="e">
        <f>B44/B42</f>
        <v>#DIV/0!</v>
      </c>
      <c r="C88" s="48"/>
      <c r="D88" s="48"/>
    </row>
    <row r="89" spans="1:4" ht="13.15" customHeight="1">
      <c r="A89" s="6" t="s">
        <v>125</v>
      </c>
      <c r="B89" s="47" t="e">
        <f>1-(B48/B18)</f>
        <v>#DIV/0!</v>
      </c>
      <c r="C89" s="48"/>
      <c r="D89" s="48"/>
    </row>
    <row r="90" spans="1:4" ht="13.15" customHeight="1">
      <c r="A90" s="6" t="s">
        <v>126</v>
      </c>
      <c r="B90" s="47" t="e">
        <f>B49/B18</f>
        <v>#DIV/0!</v>
      </c>
      <c r="C90" s="48"/>
      <c r="D90" s="48"/>
    </row>
  </sheetData>
  <mergeCells count="1">
    <mergeCell ref="A1:A2"/>
  </mergeCells>
  <phoneticPr fontId="0" type="noConversion"/>
  <printOptions horizontalCentered="1" verticalCentered="1"/>
  <pageMargins left="0.5" right="0.5" top="0.6" bottom="0.5" header="0.5" footer="0.5"/>
  <pageSetup scale="63" orientation="portrait" horizontalDpi="4294967292" verticalDpi="4294967292" r:id="rId1"/>
  <headerFooter alignWithMargins="0">
    <oddHeader>&amp;A</oddHeader>
    <oddFooter>Page &amp;P</oddFooter>
  </headerFooter>
  <rowBreaks count="1" manualBreakCount="1">
    <brk id="63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0"/>
  <sheetViews>
    <sheetView workbookViewId="0">
      <pane xSplit="1" ySplit="2" topLeftCell="B27" activePane="bottomRight" state="frozen"/>
      <selection pane="topRight" activeCell="B1" sqref="B1"/>
      <selection pane="bottomLeft" activeCell="A3" sqref="A3"/>
      <selection pane="bottomRight" activeCell="B18" sqref="B18:D50"/>
    </sheetView>
  </sheetViews>
  <sheetFormatPr defaultColWidth="11.54296875" defaultRowHeight="12.5"/>
  <cols>
    <col min="1" max="1" width="30.7265625" style="3" customWidth="1"/>
    <col min="2" max="4" width="10.7265625" style="3" customWidth="1"/>
    <col min="5" max="5" width="5.7265625" style="3" customWidth="1"/>
    <col min="6" max="16384" width="11.54296875" style="3"/>
  </cols>
  <sheetData>
    <row r="1" spans="1:4">
      <c r="A1" s="76" t="s">
        <v>134</v>
      </c>
      <c r="B1" s="2"/>
      <c r="C1" s="2"/>
      <c r="D1" s="2"/>
    </row>
    <row r="2" spans="1:4">
      <c r="A2" s="77"/>
      <c r="B2" s="4" t="s">
        <v>50</v>
      </c>
      <c r="C2" s="4" t="s">
        <v>51</v>
      </c>
      <c r="D2" s="4" t="s">
        <v>52</v>
      </c>
    </row>
    <row r="3" spans="1:4" ht="13.15" customHeight="1">
      <c r="A3" s="5" t="s">
        <v>128</v>
      </c>
    </row>
    <row r="4" spans="1:4" ht="13.15" customHeight="1">
      <c r="A4" s="23" t="s">
        <v>53</v>
      </c>
      <c r="B4" s="36"/>
      <c r="C4" s="4"/>
      <c r="D4" s="4"/>
    </row>
    <row r="5" spans="1:4" ht="13.15" customHeight="1">
      <c r="A5" s="23" t="s">
        <v>54</v>
      </c>
      <c r="B5" s="37"/>
      <c r="C5" s="4"/>
      <c r="D5" s="4"/>
    </row>
    <row r="6" spans="1:4" ht="13.15" customHeight="1">
      <c r="A6" s="23" t="s">
        <v>55</v>
      </c>
      <c r="B6" s="38"/>
      <c r="C6" s="4"/>
      <c r="D6" s="4"/>
    </row>
    <row r="7" spans="1:4" ht="13.15" customHeight="1">
      <c r="A7" s="6" t="s">
        <v>56</v>
      </c>
      <c r="B7" s="39"/>
      <c r="C7" s="4"/>
      <c r="D7" s="4"/>
    </row>
    <row r="8" spans="1:4" ht="13.15" customHeight="1">
      <c r="A8" s="6" t="s">
        <v>57</v>
      </c>
      <c r="B8" s="39"/>
      <c r="C8" s="4"/>
      <c r="D8" s="4"/>
    </row>
    <row r="9" spans="1:4" ht="13.15" customHeight="1">
      <c r="A9" s="6" t="s">
        <v>58</v>
      </c>
      <c r="B9" s="39"/>
      <c r="C9" s="4"/>
      <c r="D9" s="4"/>
    </row>
    <row r="10" spans="1:4" ht="13.15" customHeight="1">
      <c r="A10" s="6" t="s">
        <v>59</v>
      </c>
      <c r="B10" s="39"/>
      <c r="C10" s="4"/>
      <c r="D10" s="4"/>
    </row>
    <row r="11" spans="1:4" ht="13.15" customHeight="1">
      <c r="A11" s="6" t="s">
        <v>60</v>
      </c>
      <c r="B11" s="39"/>
      <c r="C11" s="4"/>
      <c r="D11" s="4"/>
    </row>
    <row r="12" spans="1:4" ht="13.15" customHeight="1">
      <c r="A12" s="6" t="s">
        <v>61</v>
      </c>
      <c r="B12" s="39"/>
      <c r="C12" s="4"/>
      <c r="D12" s="4"/>
    </row>
    <row r="13" spans="1:4" ht="13.15" customHeight="1">
      <c r="A13" s="6" t="s">
        <v>62</v>
      </c>
      <c r="B13" s="39"/>
      <c r="C13" s="4"/>
      <c r="D13" s="4"/>
    </row>
    <row r="14" spans="1:4" ht="13.15" customHeight="1">
      <c r="A14" s="6" t="s">
        <v>63</v>
      </c>
      <c r="B14" s="39"/>
      <c r="C14" s="4"/>
      <c r="D14" s="4"/>
    </row>
    <row r="15" spans="1:4" s="41" customFormat="1" ht="13.15" customHeight="1">
      <c r="A15" s="13" t="s">
        <v>64</v>
      </c>
      <c r="B15" s="21"/>
      <c r="C15" s="40"/>
      <c r="D15" s="40"/>
    </row>
    <row r="16" spans="1:4" ht="13.15" customHeight="1">
      <c r="A16" s="6"/>
      <c r="C16" s="4"/>
      <c r="D16" s="4"/>
    </row>
    <row r="17" spans="1:4" ht="13.15" customHeight="1">
      <c r="A17" s="42" t="s">
        <v>65</v>
      </c>
      <c r="C17" s="4"/>
      <c r="D17" s="4"/>
    </row>
    <row r="18" spans="1:4" s="45" customFormat="1" ht="13.15" customHeight="1">
      <c r="A18" s="43" t="s">
        <v>66</v>
      </c>
      <c r="B18" s="44"/>
      <c r="C18" s="44"/>
      <c r="D18" s="44"/>
    </row>
    <row r="19" spans="1:4" s="45" customFormat="1" ht="13.15" customHeight="1">
      <c r="A19" s="43" t="s">
        <v>67</v>
      </c>
      <c r="B19" s="44"/>
      <c r="C19" s="44"/>
      <c r="D19" s="44"/>
    </row>
    <row r="20" spans="1:4" s="45" customFormat="1" ht="13.15" customHeight="1">
      <c r="A20" s="43" t="s">
        <v>68</v>
      </c>
      <c r="B20" s="44"/>
      <c r="C20" s="44"/>
      <c r="D20" s="44"/>
    </row>
    <row r="21" spans="1:4" s="45" customFormat="1" ht="13.15" customHeight="1">
      <c r="A21" s="43" t="s">
        <v>69</v>
      </c>
      <c r="B21" s="44"/>
      <c r="C21" s="44"/>
      <c r="D21" s="44"/>
    </row>
    <row r="22" spans="1:4" s="45" customFormat="1" ht="13.15" customHeight="1">
      <c r="A22" s="43" t="s">
        <v>70</v>
      </c>
      <c r="B22" s="44"/>
      <c r="C22" s="44"/>
      <c r="D22" s="44"/>
    </row>
    <row r="23" spans="1:4" s="45" customFormat="1" ht="13.15" customHeight="1">
      <c r="A23" s="43" t="s">
        <v>71</v>
      </c>
      <c r="B23" s="44"/>
      <c r="C23" s="46"/>
      <c r="D23" s="46"/>
    </row>
    <row r="24" spans="1:4" s="45" customFormat="1" ht="13.15" customHeight="1">
      <c r="A24" s="43" t="s">
        <v>72</v>
      </c>
      <c r="B24" s="44"/>
      <c r="C24" s="44"/>
      <c r="D24" s="44"/>
    </row>
    <row r="25" spans="1:4" s="45" customFormat="1" ht="13.15" customHeight="1">
      <c r="A25" s="43" t="s">
        <v>73</v>
      </c>
      <c r="B25" s="44"/>
      <c r="C25" s="44"/>
      <c r="D25" s="44"/>
    </row>
    <row r="26" spans="1:4" s="45" customFormat="1" ht="13.15" customHeight="1">
      <c r="A26" s="43" t="s">
        <v>74</v>
      </c>
      <c r="B26" s="44"/>
      <c r="C26" s="44"/>
      <c r="D26" s="44"/>
    </row>
    <row r="27" spans="1:4" s="45" customFormat="1" ht="13.15" customHeight="1">
      <c r="A27" s="43" t="s">
        <v>75</v>
      </c>
      <c r="B27" s="44"/>
      <c r="C27" s="44"/>
      <c r="D27" s="44"/>
    </row>
    <row r="28" spans="1:4" s="45" customFormat="1" ht="13.15" customHeight="1">
      <c r="A28" s="43" t="s">
        <v>129</v>
      </c>
      <c r="B28" s="44"/>
      <c r="C28" s="44"/>
      <c r="D28" s="44"/>
    </row>
    <row r="29" spans="1:4" s="45" customFormat="1" ht="13.15" customHeight="1">
      <c r="A29" s="43" t="s">
        <v>76</v>
      </c>
      <c r="B29" s="44"/>
      <c r="C29" s="44"/>
      <c r="D29" s="44"/>
    </row>
    <row r="30" spans="1:4" s="45" customFormat="1" ht="13.15" customHeight="1">
      <c r="A30" s="43" t="s">
        <v>77</v>
      </c>
      <c r="B30" s="44"/>
      <c r="C30" s="46"/>
      <c r="D30" s="46"/>
    </row>
    <row r="31" spans="1:4" s="45" customFormat="1" ht="13.15" customHeight="1">
      <c r="A31" s="43" t="s">
        <v>78</v>
      </c>
      <c r="B31" s="44"/>
      <c r="C31" s="46"/>
      <c r="D31" s="46"/>
    </row>
    <row r="32" spans="1:4" s="45" customFormat="1" ht="13.15" customHeight="1">
      <c r="A32" s="43" t="s">
        <v>79</v>
      </c>
      <c r="B32" s="44"/>
      <c r="C32" s="46"/>
      <c r="D32" s="46"/>
    </row>
    <row r="33" spans="1:4" s="45" customFormat="1" ht="13.15" customHeight="1">
      <c r="A33" s="43" t="s">
        <v>80</v>
      </c>
      <c r="B33" s="44"/>
      <c r="C33" s="46"/>
      <c r="D33" s="46"/>
    </row>
    <row r="34" spans="1:4" s="45" customFormat="1" ht="13.15" customHeight="1">
      <c r="A34" s="43" t="s">
        <v>81</v>
      </c>
      <c r="B34" s="44"/>
      <c r="C34" s="46"/>
      <c r="D34" s="46"/>
    </row>
    <row r="35" spans="1:4" s="45" customFormat="1" ht="13.15" customHeight="1">
      <c r="A35" s="43" t="s">
        <v>82</v>
      </c>
      <c r="B35" s="44"/>
      <c r="C35" s="44"/>
      <c r="D35" s="46"/>
    </row>
    <row r="36" spans="1:4" s="45" customFormat="1" ht="13.15" customHeight="1">
      <c r="A36" s="43" t="s">
        <v>83</v>
      </c>
      <c r="B36" s="44"/>
      <c r="C36" s="44"/>
      <c r="D36" s="46"/>
    </row>
    <row r="37" spans="1:4" s="45" customFormat="1" ht="13.15" customHeight="1">
      <c r="A37" s="43" t="s">
        <v>84</v>
      </c>
      <c r="B37" s="44"/>
      <c r="C37" s="44"/>
      <c r="D37" s="46"/>
    </row>
    <row r="38" spans="1:4" s="45" customFormat="1" ht="13.15" customHeight="1">
      <c r="A38" s="43" t="s">
        <v>85</v>
      </c>
      <c r="B38" s="44"/>
      <c r="C38" s="46"/>
      <c r="D38" s="46"/>
    </row>
    <row r="39" spans="1:4" s="45" customFormat="1" ht="13.15" customHeight="1">
      <c r="A39" s="43" t="s">
        <v>86</v>
      </c>
      <c r="B39" s="44"/>
      <c r="C39" s="46"/>
      <c r="D39" s="46"/>
    </row>
    <row r="40" spans="1:4" s="45" customFormat="1" ht="13.15" customHeight="1">
      <c r="A40" s="43" t="s">
        <v>87</v>
      </c>
      <c r="B40" s="44"/>
      <c r="C40" s="46"/>
      <c r="D40" s="46"/>
    </row>
    <row r="41" spans="1:4" s="45" customFormat="1" ht="13.15" customHeight="1">
      <c r="A41" s="43" t="s">
        <v>88</v>
      </c>
      <c r="B41" s="44"/>
      <c r="C41" s="46"/>
      <c r="D41" s="46"/>
    </row>
    <row r="42" spans="1:4" s="45" customFormat="1" ht="13.15" customHeight="1">
      <c r="A42" s="43" t="s">
        <v>89</v>
      </c>
      <c r="B42" s="44"/>
      <c r="C42" s="46"/>
      <c r="D42" s="46"/>
    </row>
    <row r="43" spans="1:4" s="45" customFormat="1" ht="13.15" customHeight="1">
      <c r="A43" s="43" t="s">
        <v>90</v>
      </c>
      <c r="B43" s="44"/>
      <c r="C43" s="46"/>
      <c r="D43" s="46"/>
    </row>
    <row r="44" spans="1:4" s="45" customFormat="1" ht="13.15" customHeight="1">
      <c r="A44" s="43" t="s">
        <v>91</v>
      </c>
      <c r="B44" s="44"/>
      <c r="C44" s="46"/>
      <c r="D44" s="46"/>
    </row>
    <row r="45" spans="1:4" s="45" customFormat="1" ht="13.15" customHeight="1">
      <c r="A45" s="43" t="s">
        <v>92</v>
      </c>
      <c r="B45" s="44"/>
      <c r="C45" s="46"/>
      <c r="D45" s="46"/>
    </row>
    <row r="46" spans="1:4" s="45" customFormat="1" ht="13.15" customHeight="1">
      <c r="A46" s="43" t="s">
        <v>93</v>
      </c>
      <c r="B46" s="44"/>
      <c r="C46" s="46"/>
      <c r="D46" s="46"/>
    </row>
    <row r="47" spans="1:4" s="45" customFormat="1" ht="13.15" customHeight="1">
      <c r="A47" s="43" t="s">
        <v>94</v>
      </c>
      <c r="B47" s="44"/>
      <c r="C47" s="46"/>
      <c r="D47" s="46"/>
    </row>
    <row r="48" spans="1:4" s="45" customFormat="1" ht="13.15" customHeight="1">
      <c r="A48" s="43" t="s">
        <v>95</v>
      </c>
      <c r="B48" s="44"/>
      <c r="C48" s="46"/>
      <c r="D48" s="46"/>
    </row>
    <row r="49" spans="1:4" s="45" customFormat="1" ht="13.15" customHeight="1">
      <c r="A49" s="43" t="s">
        <v>96</v>
      </c>
      <c r="B49" s="44"/>
      <c r="C49" s="46"/>
      <c r="D49" s="46"/>
    </row>
    <row r="50" spans="1:4" ht="13.15" customHeight="1">
      <c r="A50" s="16"/>
    </row>
    <row r="51" spans="1:4" ht="13.15" customHeight="1">
      <c r="A51" s="5" t="s">
        <v>97</v>
      </c>
    </row>
    <row r="52" spans="1:4" ht="13.15" customHeight="1">
      <c r="A52" s="6" t="s">
        <v>98</v>
      </c>
      <c r="B52" s="47" t="e">
        <f>(B18-B19)/B18</f>
        <v>#DIV/0!</v>
      </c>
      <c r="C52" s="47" t="e">
        <f>(C18-C19)/C18</f>
        <v>#DIV/0!</v>
      </c>
      <c r="D52" s="47" t="e">
        <f>(D18-D19)/D18</f>
        <v>#DIV/0!</v>
      </c>
    </row>
    <row r="53" spans="1:4" ht="13.15" customHeight="1">
      <c r="A53" s="6" t="s">
        <v>99</v>
      </c>
      <c r="B53" s="47" t="e">
        <f>B24/B18</f>
        <v>#DIV/0!</v>
      </c>
      <c r="C53" s="47" t="e">
        <f>C24/C18</f>
        <v>#DIV/0!</v>
      </c>
      <c r="D53" s="47" t="e">
        <f>D24/D18</f>
        <v>#DIV/0!</v>
      </c>
    </row>
    <row r="54" spans="1:4" ht="13.15" customHeight="1">
      <c r="A54" s="6" t="s">
        <v>130</v>
      </c>
      <c r="B54" s="47" t="e">
        <f>B28/B18</f>
        <v>#DIV/0!</v>
      </c>
      <c r="C54" s="47" t="e">
        <f>C28/C18</f>
        <v>#DIV/0!</v>
      </c>
      <c r="D54" s="47" t="e">
        <f>D28/D18</f>
        <v>#DIV/0!</v>
      </c>
    </row>
    <row r="55" spans="1:4" ht="13.15" customHeight="1">
      <c r="A55" s="6" t="s">
        <v>100</v>
      </c>
      <c r="B55" s="47" t="e">
        <f>B28/B38</f>
        <v>#DIV/0!</v>
      </c>
      <c r="C55" s="48"/>
      <c r="D55" s="48"/>
    </row>
    <row r="56" spans="1:4" ht="13.15" customHeight="1">
      <c r="A56" s="6" t="s">
        <v>101</v>
      </c>
      <c r="B56" s="47" t="e">
        <f>B28/B41</f>
        <v>#DIV/0!</v>
      </c>
      <c r="C56" s="48"/>
      <c r="D56" s="48"/>
    </row>
    <row r="57" spans="1:4" ht="13.15" customHeight="1">
      <c r="A57" s="6" t="s">
        <v>102</v>
      </c>
      <c r="B57" s="47" t="e">
        <f>B20/B18</f>
        <v>#DIV/0!</v>
      </c>
      <c r="C57" s="47" t="e">
        <f>C20/C18</f>
        <v>#DIV/0!</v>
      </c>
      <c r="D57" s="47" t="e">
        <f>D20/D18</f>
        <v>#DIV/0!</v>
      </c>
    </row>
    <row r="58" spans="1:4" ht="13.15" customHeight="1">
      <c r="A58" s="6" t="s">
        <v>103</v>
      </c>
      <c r="B58" s="47" t="e">
        <f>B21/B18</f>
        <v>#DIV/0!</v>
      </c>
      <c r="C58" s="47" t="e">
        <f>C21/C18</f>
        <v>#DIV/0!</v>
      </c>
      <c r="D58" s="47" t="e">
        <f>D21/D18</f>
        <v>#DIV/0!</v>
      </c>
    </row>
    <row r="59" spans="1:4" ht="13.15" customHeight="1">
      <c r="A59" s="6" t="s">
        <v>104</v>
      </c>
      <c r="B59" s="47" t="e">
        <f>B22/B18</f>
        <v>#DIV/0!</v>
      </c>
      <c r="C59" s="47" t="e">
        <f>C22/C18</f>
        <v>#DIV/0!</v>
      </c>
      <c r="D59" s="47" t="e">
        <f>D22/D18</f>
        <v>#DIV/0!</v>
      </c>
    </row>
    <row r="60" spans="1:4" ht="13.15" customHeight="1">
      <c r="A60" s="13" t="s">
        <v>105</v>
      </c>
      <c r="B60" s="49" t="e">
        <f>1/(B30/((B35+C35-B37-C37)/2))</f>
        <v>#DIV/0!</v>
      </c>
      <c r="C60" s="48"/>
      <c r="D60" s="48"/>
    </row>
    <row r="61" spans="1:4" ht="13.15" customHeight="1">
      <c r="A61" s="6" t="s">
        <v>106</v>
      </c>
      <c r="B61" s="47" t="e">
        <f>B26/B25</f>
        <v>#DIV/0!</v>
      </c>
      <c r="C61" s="47" t="e">
        <f>C26/C25</f>
        <v>#DIV/0!</v>
      </c>
      <c r="D61" s="47" t="e">
        <f>D26/D25</f>
        <v>#DIV/0!</v>
      </c>
    </row>
    <row r="62" spans="1:4" ht="13.15" customHeight="1">
      <c r="A62" s="6"/>
    </row>
    <row r="63" spans="1:4" ht="13.15" customHeight="1">
      <c r="A63" s="1" t="s">
        <v>107</v>
      </c>
    </row>
    <row r="64" spans="1:4" ht="13.15" customHeight="1">
      <c r="A64" s="16" t="s">
        <v>131</v>
      </c>
      <c r="B64" s="50" t="e">
        <f>B18/(B15)</f>
        <v>#DIV/0!</v>
      </c>
      <c r="C64" s="51"/>
      <c r="D64" s="51"/>
    </row>
    <row r="65" spans="1:4" ht="13.15" customHeight="1">
      <c r="A65" s="52" t="s">
        <v>21</v>
      </c>
      <c r="B65" s="53" t="e">
        <f>B18/B32</f>
        <v>#DIV/0!</v>
      </c>
      <c r="C65" s="51"/>
      <c r="D65" s="51"/>
    </row>
    <row r="66" spans="1:4" ht="13.15" customHeight="1">
      <c r="A66" s="13" t="s">
        <v>108</v>
      </c>
      <c r="B66" s="60" t="e">
        <f>B32/(B18/365)</f>
        <v>#DIV/0!</v>
      </c>
      <c r="C66" s="51"/>
      <c r="D66" s="51"/>
    </row>
    <row r="67" spans="1:4" ht="13.15" customHeight="1">
      <c r="A67" s="13" t="s">
        <v>23</v>
      </c>
      <c r="B67" s="53" t="e">
        <f>B19/B33</f>
        <v>#DIV/0!</v>
      </c>
      <c r="C67" s="51"/>
      <c r="D67" s="51"/>
    </row>
    <row r="68" spans="1:4" ht="13.15" customHeight="1">
      <c r="A68" s="13" t="s">
        <v>109</v>
      </c>
      <c r="B68" s="60" t="e">
        <f>B33/(B19/365)</f>
        <v>#DIV/0!</v>
      </c>
      <c r="C68" s="51"/>
      <c r="D68" s="51"/>
    </row>
    <row r="69" spans="1:4" ht="13.15" customHeight="1">
      <c r="A69" s="13" t="s">
        <v>25</v>
      </c>
      <c r="B69" s="53" t="e">
        <f>B19/B39</f>
        <v>#DIV/0!</v>
      </c>
      <c r="C69" s="51"/>
      <c r="D69" s="51"/>
    </row>
    <row r="70" spans="1:4" ht="13.15" customHeight="1">
      <c r="A70" s="13" t="s">
        <v>110</v>
      </c>
      <c r="B70" s="60" t="e">
        <f>B39/(B19/365)</f>
        <v>#DIV/0!</v>
      </c>
      <c r="C70" s="51"/>
      <c r="D70" s="51"/>
    </row>
    <row r="71" spans="1:4" ht="13.15" customHeight="1">
      <c r="A71" s="13" t="s">
        <v>111</v>
      </c>
      <c r="B71" s="53" t="e">
        <f>B18/B38</f>
        <v>#DIV/0!</v>
      </c>
      <c r="C71" s="51"/>
      <c r="D71" s="51"/>
    </row>
    <row r="72" spans="1:4" ht="13.15" customHeight="1">
      <c r="A72" s="13" t="s">
        <v>112</v>
      </c>
      <c r="B72" s="60" t="e">
        <f>365/B71</f>
        <v>#DIV/0!</v>
      </c>
      <c r="C72" s="51"/>
      <c r="D72" s="51"/>
    </row>
    <row r="73" spans="1:4" ht="13.15" customHeight="1">
      <c r="A73" s="6"/>
    </row>
    <row r="74" spans="1:4" ht="13.15" customHeight="1">
      <c r="A74" s="1" t="s">
        <v>113</v>
      </c>
    </row>
    <row r="75" spans="1:4" ht="13.15" customHeight="1">
      <c r="A75" s="6" t="s">
        <v>31</v>
      </c>
      <c r="B75" s="53" t="e">
        <f>B34/B40</f>
        <v>#DIV/0!</v>
      </c>
      <c r="C75" s="54"/>
      <c r="D75" s="54"/>
    </row>
    <row r="76" spans="1:4" ht="13.15" customHeight="1">
      <c r="A76" s="6" t="s">
        <v>114</v>
      </c>
      <c r="B76" s="53" t="e">
        <f>B38/B41</f>
        <v>#DIV/0!</v>
      </c>
      <c r="C76" s="54"/>
      <c r="D76" s="54"/>
    </row>
    <row r="77" spans="1:4" ht="13.15" customHeight="1">
      <c r="A77" s="6" t="s">
        <v>115</v>
      </c>
      <c r="B77" s="47" t="e">
        <f>B45/B38</f>
        <v>#DIV/0!</v>
      </c>
      <c r="C77" s="54"/>
      <c r="D77" s="54"/>
    </row>
    <row r="78" spans="1:4" ht="13.15" customHeight="1">
      <c r="A78" s="6"/>
    </row>
    <row r="79" spans="1:4" ht="13.15" customHeight="1">
      <c r="A79" s="42" t="s">
        <v>116</v>
      </c>
    </row>
    <row r="80" spans="1:4" ht="13.15" customHeight="1">
      <c r="A80" s="55" t="s">
        <v>117</v>
      </c>
      <c r="B80" s="56" t="e">
        <f>(B10*100)/B5</f>
        <v>#DIV/0!</v>
      </c>
      <c r="C80" s="57"/>
      <c r="D80" s="57"/>
    </row>
    <row r="81" spans="1:4" ht="13.15" customHeight="1">
      <c r="A81" s="13" t="s">
        <v>118</v>
      </c>
      <c r="B81" s="58" t="e">
        <f>(B41)/B42</f>
        <v>#DIV/0!</v>
      </c>
      <c r="C81" s="40"/>
      <c r="D81" s="40"/>
    </row>
    <row r="82" spans="1:4" ht="13.15" customHeight="1">
      <c r="A82" s="13" t="s">
        <v>119</v>
      </c>
      <c r="B82" s="53" t="e">
        <f>B4/B81</f>
        <v>#DIV/0!</v>
      </c>
      <c r="C82" s="40"/>
      <c r="D82" s="40"/>
    </row>
    <row r="83" spans="1:4" ht="13.15" customHeight="1">
      <c r="A83" s="6"/>
    </row>
    <row r="84" spans="1:4" ht="13.15" customHeight="1">
      <c r="A84" s="59" t="s">
        <v>120</v>
      </c>
    </row>
    <row r="85" spans="1:4" ht="13.15" customHeight="1">
      <c r="A85" s="6" t="s">
        <v>121</v>
      </c>
      <c r="B85" s="47" t="e">
        <f>B29/B18</f>
        <v>#DIV/0!</v>
      </c>
      <c r="C85" s="47" t="e">
        <f>C29/C18</f>
        <v>#DIV/0!</v>
      </c>
      <c r="D85" s="47" t="e">
        <f>D29/D18</f>
        <v>#DIV/0!</v>
      </c>
    </row>
    <row r="86" spans="1:4" ht="13.15" customHeight="1">
      <c r="A86" s="6" t="s">
        <v>122</v>
      </c>
      <c r="B86" s="47" t="e">
        <f>B31/B30</f>
        <v>#DIV/0!</v>
      </c>
      <c r="C86" s="48"/>
      <c r="D86" s="48"/>
    </row>
    <row r="87" spans="1:4" ht="13.15" customHeight="1">
      <c r="A87" s="6" t="s">
        <v>123</v>
      </c>
      <c r="B87" s="47" t="e">
        <f>B47/B38</f>
        <v>#DIV/0!</v>
      </c>
      <c r="C87" s="48"/>
      <c r="D87" s="48"/>
    </row>
    <row r="88" spans="1:4" ht="13.15" customHeight="1">
      <c r="A88" s="6" t="s">
        <v>124</v>
      </c>
      <c r="B88" s="47" t="e">
        <f>B44/B42</f>
        <v>#DIV/0!</v>
      </c>
      <c r="C88" s="48"/>
      <c r="D88" s="48"/>
    </row>
    <row r="89" spans="1:4" ht="13.15" customHeight="1">
      <c r="A89" s="6" t="s">
        <v>125</v>
      </c>
      <c r="B89" s="47" t="e">
        <f>1-(B48/B18)</f>
        <v>#DIV/0!</v>
      </c>
      <c r="C89" s="48"/>
      <c r="D89" s="48"/>
    </row>
    <row r="90" spans="1:4" ht="13.15" customHeight="1">
      <c r="A90" s="6" t="s">
        <v>126</v>
      </c>
      <c r="B90" s="47" t="e">
        <f>B49/B18</f>
        <v>#DIV/0!</v>
      </c>
      <c r="C90" s="48"/>
      <c r="D90" s="48"/>
    </row>
  </sheetData>
  <mergeCells count="1">
    <mergeCell ref="A1:A2"/>
  </mergeCells>
  <phoneticPr fontId="0" type="noConversion"/>
  <printOptions horizontalCentered="1" verticalCentered="1"/>
  <pageMargins left="0.5" right="0.5" top="0.6" bottom="0.5" header="0.5" footer="0.5"/>
  <pageSetup scale="63" orientation="portrait" horizontalDpi="4294967292" verticalDpi="4294967292" r:id="rId1"/>
  <headerFooter alignWithMargins="0">
    <oddHeader>&amp;A</oddHeader>
    <oddFooter>Page &amp;P</oddFooter>
  </headerFooter>
  <rowBreaks count="1" manualBreakCount="1">
    <brk id="63" max="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0"/>
  <sheetViews>
    <sheetView workbookViewId="0">
      <pane xSplit="1" ySplit="2" topLeftCell="B24" activePane="bottomRight" state="frozen"/>
      <selection pane="topRight" activeCell="B1" sqref="B1"/>
      <selection pane="bottomLeft" activeCell="A3" sqref="A3"/>
      <selection pane="bottomRight" activeCell="B18" sqref="B18:D50"/>
    </sheetView>
  </sheetViews>
  <sheetFormatPr defaultColWidth="11.54296875" defaultRowHeight="12.5"/>
  <cols>
    <col min="1" max="1" width="30.7265625" style="3" customWidth="1"/>
    <col min="2" max="4" width="10.7265625" style="3" customWidth="1"/>
    <col min="5" max="5" width="5.7265625" style="3" customWidth="1"/>
    <col min="6" max="16384" width="11.54296875" style="3"/>
  </cols>
  <sheetData>
    <row r="1" spans="1:4">
      <c r="A1" s="76" t="s">
        <v>135</v>
      </c>
      <c r="B1" s="2"/>
      <c r="C1" s="2"/>
      <c r="D1" s="2"/>
    </row>
    <row r="2" spans="1:4">
      <c r="A2" s="77"/>
      <c r="B2" s="4" t="s">
        <v>50</v>
      </c>
      <c r="C2" s="4" t="s">
        <v>51</v>
      </c>
      <c r="D2" s="4" t="s">
        <v>52</v>
      </c>
    </row>
    <row r="3" spans="1:4" ht="13.15" customHeight="1">
      <c r="A3" s="5" t="s">
        <v>128</v>
      </c>
    </row>
    <row r="4" spans="1:4" ht="13.15" customHeight="1">
      <c r="A4" s="23" t="s">
        <v>53</v>
      </c>
      <c r="B4" s="36"/>
      <c r="C4" s="4"/>
      <c r="D4" s="4"/>
    </row>
    <row r="5" spans="1:4" ht="13.15" customHeight="1">
      <c r="A5" s="23" t="s">
        <v>54</v>
      </c>
      <c r="B5" s="37"/>
      <c r="C5" s="4"/>
      <c r="D5" s="4"/>
    </row>
    <row r="6" spans="1:4" ht="13.15" customHeight="1">
      <c r="A6" s="23" t="s">
        <v>55</v>
      </c>
      <c r="B6" s="38"/>
      <c r="C6" s="4"/>
      <c r="D6" s="4"/>
    </row>
    <row r="7" spans="1:4" ht="13.15" customHeight="1">
      <c r="A7" s="6" t="s">
        <v>56</v>
      </c>
      <c r="B7" s="39"/>
      <c r="C7" s="4"/>
      <c r="D7" s="4"/>
    </row>
    <row r="8" spans="1:4" ht="13.15" customHeight="1">
      <c r="A8" s="6" t="s">
        <v>57</v>
      </c>
      <c r="B8" s="39"/>
      <c r="C8" s="4"/>
      <c r="D8" s="4"/>
    </row>
    <row r="9" spans="1:4" ht="13.15" customHeight="1">
      <c r="A9" s="6" t="s">
        <v>58</v>
      </c>
      <c r="B9" s="39"/>
      <c r="C9" s="4"/>
      <c r="D9" s="4"/>
    </row>
    <row r="10" spans="1:4" ht="13.15" customHeight="1">
      <c r="A10" s="6" t="s">
        <v>59</v>
      </c>
      <c r="B10" s="39"/>
      <c r="C10" s="4"/>
      <c r="D10" s="4"/>
    </row>
    <row r="11" spans="1:4" ht="13.15" customHeight="1">
      <c r="A11" s="6" t="s">
        <v>60</v>
      </c>
      <c r="B11" s="39"/>
      <c r="C11" s="4"/>
      <c r="D11" s="4"/>
    </row>
    <row r="12" spans="1:4" ht="13.15" customHeight="1">
      <c r="A12" s="6" t="s">
        <v>61</v>
      </c>
      <c r="B12" s="39"/>
      <c r="C12" s="4"/>
      <c r="D12" s="4"/>
    </row>
    <row r="13" spans="1:4" ht="13.15" customHeight="1">
      <c r="A13" s="6" t="s">
        <v>62</v>
      </c>
      <c r="B13" s="39"/>
      <c r="C13" s="4"/>
      <c r="D13" s="4"/>
    </row>
    <row r="14" spans="1:4" ht="13.15" customHeight="1">
      <c r="A14" s="6" t="s">
        <v>63</v>
      </c>
      <c r="B14" s="39"/>
      <c r="C14" s="4"/>
      <c r="D14" s="4"/>
    </row>
    <row r="15" spans="1:4" s="41" customFormat="1" ht="13.15" customHeight="1">
      <c r="A15" s="13" t="s">
        <v>64</v>
      </c>
      <c r="B15" s="21"/>
      <c r="C15" s="40"/>
      <c r="D15" s="40"/>
    </row>
    <row r="16" spans="1:4" ht="13.15" customHeight="1">
      <c r="A16" s="6"/>
      <c r="C16" s="4"/>
      <c r="D16" s="4"/>
    </row>
    <row r="17" spans="1:4" ht="13.15" customHeight="1">
      <c r="A17" s="42" t="s">
        <v>65</v>
      </c>
      <c r="C17" s="4"/>
      <c r="D17" s="4"/>
    </row>
    <row r="18" spans="1:4" s="45" customFormat="1" ht="13.15" customHeight="1">
      <c r="A18" s="43" t="s">
        <v>66</v>
      </c>
      <c r="B18" s="44"/>
      <c r="C18" s="44"/>
      <c r="D18" s="44"/>
    </row>
    <row r="19" spans="1:4" s="45" customFormat="1" ht="13.15" customHeight="1">
      <c r="A19" s="43" t="s">
        <v>67</v>
      </c>
      <c r="B19" s="44"/>
      <c r="C19" s="44"/>
      <c r="D19" s="44"/>
    </row>
    <row r="20" spans="1:4" s="45" customFormat="1" ht="13.15" customHeight="1">
      <c r="A20" s="43" t="s">
        <v>68</v>
      </c>
      <c r="B20" s="44"/>
      <c r="C20" s="44"/>
      <c r="D20" s="44"/>
    </row>
    <row r="21" spans="1:4" s="45" customFormat="1" ht="13.15" customHeight="1">
      <c r="A21" s="43" t="s">
        <v>69</v>
      </c>
      <c r="B21" s="44"/>
      <c r="C21" s="44"/>
      <c r="D21" s="44"/>
    </row>
    <row r="22" spans="1:4" s="45" customFormat="1" ht="13.15" customHeight="1">
      <c r="A22" s="43" t="s">
        <v>70</v>
      </c>
      <c r="B22" s="44"/>
      <c r="C22" s="44"/>
      <c r="D22" s="44"/>
    </row>
    <row r="23" spans="1:4" s="45" customFormat="1" ht="13.15" customHeight="1">
      <c r="A23" s="43" t="s">
        <v>71</v>
      </c>
      <c r="B23" s="44"/>
      <c r="C23" s="46"/>
      <c r="D23" s="46"/>
    </row>
    <row r="24" spans="1:4" s="45" customFormat="1" ht="13.15" customHeight="1">
      <c r="A24" s="43" t="s">
        <v>72</v>
      </c>
      <c r="B24" s="44"/>
      <c r="C24" s="44"/>
      <c r="D24" s="44"/>
    </row>
    <row r="25" spans="1:4" s="45" customFormat="1" ht="13.15" customHeight="1">
      <c r="A25" s="43" t="s">
        <v>73</v>
      </c>
      <c r="B25" s="44"/>
      <c r="C25" s="44"/>
      <c r="D25" s="44"/>
    </row>
    <row r="26" spans="1:4" s="45" customFormat="1" ht="13.15" customHeight="1">
      <c r="A26" s="43" t="s">
        <v>74</v>
      </c>
      <c r="B26" s="44"/>
      <c r="C26" s="44"/>
      <c r="D26" s="44"/>
    </row>
    <row r="27" spans="1:4" s="45" customFormat="1" ht="13.15" customHeight="1">
      <c r="A27" s="43" t="s">
        <v>75</v>
      </c>
      <c r="B27" s="44"/>
      <c r="C27" s="44"/>
      <c r="D27" s="44"/>
    </row>
    <row r="28" spans="1:4" s="45" customFormat="1" ht="13.15" customHeight="1">
      <c r="A28" s="43" t="s">
        <v>129</v>
      </c>
      <c r="B28" s="44"/>
      <c r="C28" s="44"/>
      <c r="D28" s="44"/>
    </row>
    <row r="29" spans="1:4" s="45" customFormat="1" ht="13.15" customHeight="1">
      <c r="A29" s="43" t="s">
        <v>76</v>
      </c>
      <c r="B29" s="44"/>
      <c r="C29" s="44"/>
      <c r="D29" s="44"/>
    </row>
    <row r="30" spans="1:4" s="45" customFormat="1" ht="13.15" customHeight="1">
      <c r="A30" s="43" t="s">
        <v>77</v>
      </c>
      <c r="B30" s="44"/>
      <c r="C30" s="46"/>
      <c r="D30" s="46"/>
    </row>
    <row r="31" spans="1:4" s="45" customFormat="1" ht="13.15" customHeight="1">
      <c r="A31" s="43" t="s">
        <v>78</v>
      </c>
      <c r="B31" s="44"/>
      <c r="C31" s="46"/>
      <c r="D31" s="46"/>
    </row>
    <row r="32" spans="1:4" s="45" customFormat="1" ht="13.15" customHeight="1">
      <c r="A32" s="43" t="s">
        <v>79</v>
      </c>
      <c r="B32" s="44"/>
      <c r="C32" s="46"/>
      <c r="D32" s="46"/>
    </row>
    <row r="33" spans="1:4" s="45" customFormat="1" ht="13.15" customHeight="1">
      <c r="A33" s="43" t="s">
        <v>80</v>
      </c>
      <c r="B33" s="44"/>
      <c r="C33" s="46"/>
      <c r="D33" s="46"/>
    </row>
    <row r="34" spans="1:4" s="45" customFormat="1" ht="13.15" customHeight="1">
      <c r="A34" s="43" t="s">
        <v>81</v>
      </c>
      <c r="B34" s="44"/>
      <c r="C34" s="46"/>
      <c r="D34" s="46"/>
    </row>
    <row r="35" spans="1:4" s="45" customFormat="1" ht="13.15" customHeight="1">
      <c r="A35" s="43" t="s">
        <v>82</v>
      </c>
      <c r="B35" s="44"/>
      <c r="C35" s="44"/>
      <c r="D35" s="46"/>
    </row>
    <row r="36" spans="1:4" s="45" customFormat="1" ht="13.15" customHeight="1">
      <c r="A36" s="43" t="s">
        <v>83</v>
      </c>
      <c r="B36" s="44"/>
      <c r="C36" s="44"/>
      <c r="D36" s="46"/>
    </row>
    <row r="37" spans="1:4" s="45" customFormat="1" ht="13.15" customHeight="1">
      <c r="A37" s="43" t="s">
        <v>84</v>
      </c>
      <c r="B37" s="44"/>
      <c r="C37" s="44"/>
      <c r="D37" s="46"/>
    </row>
    <row r="38" spans="1:4" s="45" customFormat="1" ht="13.15" customHeight="1">
      <c r="A38" s="43" t="s">
        <v>85</v>
      </c>
      <c r="B38" s="44"/>
      <c r="C38" s="46"/>
      <c r="D38" s="46"/>
    </row>
    <row r="39" spans="1:4" s="45" customFormat="1" ht="13.15" customHeight="1">
      <c r="A39" s="43" t="s">
        <v>86</v>
      </c>
      <c r="B39" s="44"/>
      <c r="C39" s="46"/>
      <c r="D39" s="46"/>
    </row>
    <row r="40" spans="1:4" s="45" customFormat="1" ht="13.15" customHeight="1">
      <c r="A40" s="43" t="s">
        <v>87</v>
      </c>
      <c r="B40" s="44"/>
      <c r="C40" s="46"/>
      <c r="D40" s="46"/>
    </row>
    <row r="41" spans="1:4" s="45" customFormat="1" ht="13.15" customHeight="1">
      <c r="A41" s="43" t="s">
        <v>88</v>
      </c>
      <c r="B41" s="44"/>
      <c r="C41" s="46"/>
      <c r="D41" s="46"/>
    </row>
    <row r="42" spans="1:4" s="45" customFormat="1" ht="13.15" customHeight="1">
      <c r="A42" s="43" t="s">
        <v>89</v>
      </c>
      <c r="B42" s="44"/>
      <c r="C42" s="46"/>
      <c r="D42" s="46"/>
    </row>
    <row r="43" spans="1:4" s="45" customFormat="1" ht="13.15" customHeight="1">
      <c r="A43" s="43" t="s">
        <v>90</v>
      </c>
      <c r="B43" s="44"/>
      <c r="C43" s="46"/>
      <c r="D43" s="46"/>
    </row>
    <row r="44" spans="1:4" s="45" customFormat="1" ht="13.15" customHeight="1">
      <c r="A44" s="43" t="s">
        <v>91</v>
      </c>
      <c r="B44" s="44"/>
      <c r="C44" s="46"/>
      <c r="D44" s="46"/>
    </row>
    <row r="45" spans="1:4" s="45" customFormat="1" ht="13.15" customHeight="1">
      <c r="A45" s="43" t="s">
        <v>92</v>
      </c>
      <c r="B45" s="44"/>
      <c r="C45" s="46"/>
      <c r="D45" s="46"/>
    </row>
    <row r="46" spans="1:4" s="45" customFormat="1" ht="13.15" customHeight="1">
      <c r="A46" s="43" t="s">
        <v>93</v>
      </c>
      <c r="B46" s="44"/>
      <c r="C46" s="46"/>
      <c r="D46" s="46"/>
    </row>
    <row r="47" spans="1:4" s="45" customFormat="1" ht="13.15" customHeight="1">
      <c r="A47" s="43" t="s">
        <v>94</v>
      </c>
      <c r="B47" s="44"/>
      <c r="C47" s="46"/>
      <c r="D47" s="46"/>
    </row>
    <row r="48" spans="1:4" s="45" customFormat="1" ht="13.15" customHeight="1">
      <c r="A48" s="43" t="s">
        <v>95</v>
      </c>
      <c r="B48" s="44"/>
      <c r="C48" s="46"/>
      <c r="D48" s="46"/>
    </row>
    <row r="49" spans="1:4" s="45" customFormat="1" ht="13.15" customHeight="1">
      <c r="A49" s="43" t="s">
        <v>96</v>
      </c>
      <c r="B49" s="44"/>
      <c r="C49" s="46"/>
      <c r="D49" s="46"/>
    </row>
    <row r="50" spans="1:4" ht="13.15" customHeight="1">
      <c r="A50" s="16"/>
    </row>
    <row r="51" spans="1:4" ht="13.15" customHeight="1">
      <c r="A51" s="5" t="s">
        <v>97</v>
      </c>
    </row>
    <row r="52" spans="1:4" ht="13.15" customHeight="1">
      <c r="A52" s="6" t="s">
        <v>98</v>
      </c>
      <c r="B52" s="47" t="e">
        <f>(B18-B19)/B18</f>
        <v>#DIV/0!</v>
      </c>
      <c r="C52" s="47" t="e">
        <f>(C18-C19)/C18</f>
        <v>#DIV/0!</v>
      </c>
      <c r="D52" s="47" t="e">
        <f>(D18-D19)/D18</f>
        <v>#DIV/0!</v>
      </c>
    </row>
    <row r="53" spans="1:4" ht="13.15" customHeight="1">
      <c r="A53" s="6" t="s">
        <v>99</v>
      </c>
      <c r="B53" s="47" t="e">
        <f>B24/B18</f>
        <v>#DIV/0!</v>
      </c>
      <c r="C53" s="47" t="e">
        <f>C24/C18</f>
        <v>#DIV/0!</v>
      </c>
      <c r="D53" s="47" t="e">
        <f>D24/D18</f>
        <v>#DIV/0!</v>
      </c>
    </row>
    <row r="54" spans="1:4" ht="13.15" customHeight="1">
      <c r="A54" s="6" t="s">
        <v>130</v>
      </c>
      <c r="B54" s="47" t="e">
        <f>B28/B18</f>
        <v>#DIV/0!</v>
      </c>
      <c r="C54" s="47" t="e">
        <f>C28/C18</f>
        <v>#DIV/0!</v>
      </c>
      <c r="D54" s="47" t="e">
        <f>D28/D18</f>
        <v>#DIV/0!</v>
      </c>
    </row>
    <row r="55" spans="1:4" ht="13.15" customHeight="1">
      <c r="A55" s="6" t="s">
        <v>100</v>
      </c>
      <c r="B55" s="47" t="e">
        <f>B28/B38</f>
        <v>#DIV/0!</v>
      </c>
      <c r="C55" s="48"/>
      <c r="D55" s="48"/>
    </row>
    <row r="56" spans="1:4" ht="13.15" customHeight="1">
      <c r="A56" s="6" t="s">
        <v>101</v>
      </c>
      <c r="B56" s="47" t="e">
        <f>B28/B41</f>
        <v>#DIV/0!</v>
      </c>
      <c r="C56" s="48"/>
      <c r="D56" s="48"/>
    </row>
    <row r="57" spans="1:4" ht="13.15" customHeight="1">
      <c r="A57" s="6" t="s">
        <v>102</v>
      </c>
      <c r="B57" s="47" t="e">
        <f>B20/B18</f>
        <v>#DIV/0!</v>
      </c>
      <c r="C57" s="47" t="e">
        <f>C20/C18</f>
        <v>#DIV/0!</v>
      </c>
      <c r="D57" s="47" t="e">
        <f>D20/D18</f>
        <v>#DIV/0!</v>
      </c>
    </row>
    <row r="58" spans="1:4" ht="13.15" customHeight="1">
      <c r="A58" s="6" t="s">
        <v>103</v>
      </c>
      <c r="B58" s="47" t="e">
        <f>B21/B18</f>
        <v>#DIV/0!</v>
      </c>
      <c r="C58" s="47" t="e">
        <f>C21/C18</f>
        <v>#DIV/0!</v>
      </c>
      <c r="D58" s="47" t="e">
        <f>D21/D18</f>
        <v>#DIV/0!</v>
      </c>
    </row>
    <row r="59" spans="1:4" ht="13.15" customHeight="1">
      <c r="A59" s="6" t="s">
        <v>104</v>
      </c>
      <c r="B59" s="47" t="e">
        <f>B22/B18</f>
        <v>#DIV/0!</v>
      </c>
      <c r="C59" s="47" t="e">
        <f>C22/C18</f>
        <v>#DIV/0!</v>
      </c>
      <c r="D59" s="47" t="e">
        <f>D22/D18</f>
        <v>#DIV/0!</v>
      </c>
    </row>
    <row r="60" spans="1:4" ht="13.15" customHeight="1">
      <c r="A60" s="13" t="s">
        <v>105</v>
      </c>
      <c r="B60" s="49" t="e">
        <f>1/(B30/((B35+C35-B37-C37)/2))</f>
        <v>#DIV/0!</v>
      </c>
      <c r="C60" s="48"/>
      <c r="D60" s="48"/>
    </row>
    <row r="61" spans="1:4" ht="13.15" customHeight="1">
      <c r="A61" s="6" t="s">
        <v>106</v>
      </c>
      <c r="B61" s="47" t="e">
        <f>B26/B25</f>
        <v>#DIV/0!</v>
      </c>
      <c r="C61" s="47" t="e">
        <f>C26/C25</f>
        <v>#DIV/0!</v>
      </c>
      <c r="D61" s="47" t="e">
        <f>D26/D25</f>
        <v>#DIV/0!</v>
      </c>
    </row>
    <row r="62" spans="1:4" ht="13.15" customHeight="1">
      <c r="A62" s="6"/>
    </row>
    <row r="63" spans="1:4" ht="13.15" customHeight="1">
      <c r="A63" s="1" t="s">
        <v>107</v>
      </c>
    </row>
    <row r="64" spans="1:4" ht="13.15" customHeight="1">
      <c r="A64" s="16" t="s">
        <v>131</v>
      </c>
      <c r="B64" s="50" t="e">
        <f>B18/(B15)</f>
        <v>#DIV/0!</v>
      </c>
      <c r="C64" s="51"/>
      <c r="D64" s="51"/>
    </row>
    <row r="65" spans="1:4" ht="13.15" customHeight="1">
      <c r="A65" s="52" t="s">
        <v>21</v>
      </c>
      <c r="B65" s="53" t="e">
        <f>B18/B32</f>
        <v>#DIV/0!</v>
      </c>
      <c r="C65" s="51"/>
      <c r="D65" s="51"/>
    </row>
    <row r="66" spans="1:4" ht="13.15" customHeight="1">
      <c r="A66" s="13" t="s">
        <v>108</v>
      </c>
      <c r="B66" s="60" t="e">
        <f>B32/(B18/365)</f>
        <v>#DIV/0!</v>
      </c>
      <c r="C66" s="51"/>
      <c r="D66" s="51"/>
    </row>
    <row r="67" spans="1:4" ht="13.15" customHeight="1">
      <c r="A67" s="13" t="s">
        <v>23</v>
      </c>
      <c r="B67" s="53" t="e">
        <f>B19/B33</f>
        <v>#DIV/0!</v>
      </c>
      <c r="C67" s="51"/>
      <c r="D67" s="51"/>
    </row>
    <row r="68" spans="1:4" ht="13.15" customHeight="1">
      <c r="A68" s="13" t="s">
        <v>109</v>
      </c>
      <c r="B68" s="60" t="e">
        <f>B33/(B19/365)</f>
        <v>#DIV/0!</v>
      </c>
      <c r="C68" s="51"/>
      <c r="D68" s="51"/>
    </row>
    <row r="69" spans="1:4" ht="13.15" customHeight="1">
      <c r="A69" s="13" t="s">
        <v>25</v>
      </c>
      <c r="B69" s="53" t="e">
        <f>B19/B39</f>
        <v>#DIV/0!</v>
      </c>
      <c r="C69" s="51"/>
      <c r="D69" s="51"/>
    </row>
    <row r="70" spans="1:4" ht="13.15" customHeight="1">
      <c r="A70" s="13" t="s">
        <v>110</v>
      </c>
      <c r="B70" s="60" t="e">
        <f>B39/(B19/365)</f>
        <v>#DIV/0!</v>
      </c>
      <c r="C70" s="51"/>
      <c r="D70" s="51"/>
    </row>
    <row r="71" spans="1:4" ht="13.15" customHeight="1">
      <c r="A71" s="13" t="s">
        <v>111</v>
      </c>
      <c r="B71" s="53" t="e">
        <f>B18/B38</f>
        <v>#DIV/0!</v>
      </c>
      <c r="C71" s="51"/>
      <c r="D71" s="51"/>
    </row>
    <row r="72" spans="1:4" ht="13.15" customHeight="1">
      <c r="A72" s="13" t="s">
        <v>112</v>
      </c>
      <c r="B72" s="60" t="e">
        <f>365/B71</f>
        <v>#DIV/0!</v>
      </c>
      <c r="C72" s="51"/>
      <c r="D72" s="51"/>
    </row>
    <row r="73" spans="1:4" ht="13.15" customHeight="1">
      <c r="A73" s="6"/>
    </row>
    <row r="74" spans="1:4" ht="13.15" customHeight="1">
      <c r="A74" s="1" t="s">
        <v>113</v>
      </c>
    </row>
    <row r="75" spans="1:4" ht="13.15" customHeight="1">
      <c r="A75" s="6" t="s">
        <v>31</v>
      </c>
      <c r="B75" s="53" t="e">
        <f>B34/B40</f>
        <v>#DIV/0!</v>
      </c>
      <c r="C75" s="54"/>
      <c r="D75" s="54"/>
    </row>
    <row r="76" spans="1:4" ht="13.15" customHeight="1">
      <c r="A76" s="6" t="s">
        <v>114</v>
      </c>
      <c r="B76" s="53" t="e">
        <f>B38/B41</f>
        <v>#DIV/0!</v>
      </c>
      <c r="C76" s="54"/>
      <c r="D76" s="54"/>
    </row>
    <row r="77" spans="1:4" ht="13.15" customHeight="1">
      <c r="A77" s="6" t="s">
        <v>115</v>
      </c>
      <c r="B77" s="47" t="e">
        <f>B45/B38</f>
        <v>#DIV/0!</v>
      </c>
      <c r="C77" s="54"/>
      <c r="D77" s="54"/>
    </row>
    <row r="78" spans="1:4" ht="13.15" customHeight="1">
      <c r="A78" s="6"/>
    </row>
    <row r="79" spans="1:4" ht="13.15" customHeight="1">
      <c r="A79" s="42" t="s">
        <v>116</v>
      </c>
    </row>
    <row r="80" spans="1:4" ht="13.15" customHeight="1">
      <c r="A80" s="55" t="s">
        <v>117</v>
      </c>
      <c r="B80" s="56" t="e">
        <f>(B10*100)/B5</f>
        <v>#DIV/0!</v>
      </c>
      <c r="C80" s="57"/>
      <c r="D80" s="57"/>
    </row>
    <row r="81" spans="1:4" ht="13.15" customHeight="1">
      <c r="A81" s="13" t="s">
        <v>118</v>
      </c>
      <c r="B81" s="58" t="e">
        <f>(B41)/B42</f>
        <v>#DIV/0!</v>
      </c>
      <c r="C81" s="40"/>
      <c r="D81" s="40"/>
    </row>
    <row r="82" spans="1:4" ht="13.15" customHeight="1">
      <c r="A82" s="13" t="s">
        <v>119</v>
      </c>
      <c r="B82" s="53" t="e">
        <f>B4/B81</f>
        <v>#DIV/0!</v>
      </c>
      <c r="C82" s="40"/>
      <c r="D82" s="40"/>
    </row>
    <row r="83" spans="1:4" ht="13.15" customHeight="1">
      <c r="A83" s="6"/>
    </row>
    <row r="84" spans="1:4" ht="13.15" customHeight="1">
      <c r="A84" s="59" t="s">
        <v>120</v>
      </c>
    </row>
    <row r="85" spans="1:4" ht="13.15" customHeight="1">
      <c r="A85" s="6" t="s">
        <v>121</v>
      </c>
      <c r="B85" s="47" t="e">
        <f>B29/B18</f>
        <v>#DIV/0!</v>
      </c>
      <c r="C85" s="47" t="e">
        <f>C29/C18</f>
        <v>#DIV/0!</v>
      </c>
      <c r="D85" s="47" t="e">
        <f>D29/D18</f>
        <v>#DIV/0!</v>
      </c>
    </row>
    <row r="86" spans="1:4" ht="13.15" customHeight="1">
      <c r="A86" s="6" t="s">
        <v>122</v>
      </c>
      <c r="B86" s="47" t="e">
        <f>B31/B30</f>
        <v>#DIV/0!</v>
      </c>
      <c r="C86" s="48"/>
      <c r="D86" s="48"/>
    </row>
    <row r="87" spans="1:4" ht="13.15" customHeight="1">
      <c r="A87" s="6" t="s">
        <v>123</v>
      </c>
      <c r="B87" s="47" t="e">
        <f>B47/B38</f>
        <v>#DIV/0!</v>
      </c>
      <c r="C87" s="48"/>
      <c r="D87" s="48"/>
    </row>
    <row r="88" spans="1:4" ht="13.15" customHeight="1">
      <c r="A88" s="6" t="s">
        <v>124</v>
      </c>
      <c r="B88" s="47" t="e">
        <f>B44/B42</f>
        <v>#DIV/0!</v>
      </c>
      <c r="C88" s="48"/>
      <c r="D88" s="48"/>
    </row>
    <row r="89" spans="1:4" ht="13.15" customHeight="1">
      <c r="A89" s="6" t="s">
        <v>125</v>
      </c>
      <c r="B89" s="47" t="e">
        <f>1-(B48/B18)</f>
        <v>#DIV/0!</v>
      </c>
      <c r="C89" s="48"/>
      <c r="D89" s="48"/>
    </row>
    <row r="90" spans="1:4" ht="13.15" customHeight="1">
      <c r="A90" s="6" t="s">
        <v>126</v>
      </c>
      <c r="B90" s="47" t="e">
        <f>B49/B18</f>
        <v>#DIV/0!</v>
      </c>
      <c r="C90" s="48"/>
      <c r="D90" s="48"/>
    </row>
  </sheetData>
  <mergeCells count="1">
    <mergeCell ref="A1:A2"/>
  </mergeCells>
  <phoneticPr fontId="0" type="noConversion"/>
  <printOptions horizontalCentered="1" verticalCentered="1"/>
  <pageMargins left="0.5" right="0.5" top="0.6" bottom="0.5" header="0.5" footer="0.5"/>
  <pageSetup scale="63" orientation="portrait" horizontalDpi="4294967292" verticalDpi="4294967292" r:id="rId1"/>
  <headerFooter alignWithMargins="0">
    <oddHeader>&amp;A</oddHeader>
    <oddFooter>Page &amp;P</oddFooter>
  </headerFooter>
  <rowBreaks count="1" manualBreakCount="1">
    <brk id="63" max="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41" sqref="H41"/>
    </sheetView>
  </sheetViews>
  <sheetFormatPr defaultColWidth="11.54296875" defaultRowHeight="12.5"/>
  <cols>
    <col min="1" max="1" width="30.7265625" style="3" customWidth="1"/>
    <col min="2" max="4" width="10.7265625" style="3" customWidth="1"/>
    <col min="5" max="5" width="5.7265625" style="3" customWidth="1"/>
    <col min="6" max="16384" width="11.54296875" style="3"/>
  </cols>
  <sheetData>
    <row r="1" spans="1:4">
      <c r="A1" s="76" t="s">
        <v>136</v>
      </c>
      <c r="B1" s="2"/>
      <c r="C1" s="2"/>
      <c r="D1" s="2"/>
    </row>
    <row r="2" spans="1:4">
      <c r="A2" s="77"/>
      <c r="B2" s="4" t="s">
        <v>50</v>
      </c>
      <c r="C2" s="4" t="s">
        <v>51</v>
      </c>
      <c r="D2" s="4" t="s">
        <v>52</v>
      </c>
    </row>
    <row r="3" spans="1:4" ht="13.15" customHeight="1">
      <c r="A3" s="5" t="s">
        <v>128</v>
      </c>
    </row>
    <row r="4" spans="1:4" ht="13.15" customHeight="1">
      <c r="A4" s="23" t="s">
        <v>53</v>
      </c>
      <c r="B4" s="36"/>
      <c r="C4" s="4"/>
      <c r="D4" s="4"/>
    </row>
    <row r="5" spans="1:4" ht="13.15" customHeight="1">
      <c r="A5" s="23" t="s">
        <v>54</v>
      </c>
      <c r="B5" s="37"/>
      <c r="C5" s="4"/>
      <c r="D5" s="4"/>
    </row>
    <row r="6" spans="1:4" ht="13.15" customHeight="1">
      <c r="A6" s="23" t="s">
        <v>55</v>
      </c>
      <c r="B6" s="38"/>
      <c r="C6" s="4"/>
      <c r="D6" s="4"/>
    </row>
    <row r="7" spans="1:4" ht="13.15" customHeight="1">
      <c r="A7" s="6" t="s">
        <v>56</v>
      </c>
      <c r="B7" s="39"/>
      <c r="C7" s="4"/>
      <c r="D7" s="4"/>
    </row>
    <row r="8" spans="1:4" ht="13.15" customHeight="1">
      <c r="A8" s="6" t="s">
        <v>57</v>
      </c>
      <c r="B8" s="39"/>
      <c r="C8" s="4"/>
      <c r="D8" s="4"/>
    </row>
    <row r="9" spans="1:4" ht="13.15" customHeight="1">
      <c r="A9" s="6" t="s">
        <v>58</v>
      </c>
      <c r="B9" s="39"/>
      <c r="C9" s="4"/>
      <c r="D9" s="4"/>
    </row>
    <row r="10" spans="1:4" ht="13.15" customHeight="1">
      <c r="A10" s="6" t="s">
        <v>59</v>
      </c>
      <c r="B10" s="39"/>
      <c r="C10" s="4"/>
      <c r="D10" s="4"/>
    </row>
    <row r="11" spans="1:4" ht="13.15" customHeight="1">
      <c r="A11" s="6" t="s">
        <v>60</v>
      </c>
      <c r="B11" s="39"/>
      <c r="C11" s="4"/>
      <c r="D11" s="4"/>
    </row>
    <row r="12" spans="1:4" ht="13.15" customHeight="1">
      <c r="A12" s="6" t="s">
        <v>61</v>
      </c>
      <c r="B12" s="39"/>
      <c r="C12" s="4"/>
      <c r="D12" s="4"/>
    </row>
    <row r="13" spans="1:4" ht="13.15" customHeight="1">
      <c r="A13" s="6" t="s">
        <v>62</v>
      </c>
      <c r="B13" s="39"/>
      <c r="C13" s="4"/>
      <c r="D13" s="4"/>
    </row>
    <row r="14" spans="1:4" ht="13.15" customHeight="1">
      <c r="A14" s="6" t="s">
        <v>63</v>
      </c>
      <c r="B14" s="39"/>
      <c r="C14" s="4"/>
      <c r="D14" s="4"/>
    </row>
    <row r="15" spans="1:4" s="41" customFormat="1" ht="13.15" customHeight="1">
      <c r="A15" s="13" t="s">
        <v>64</v>
      </c>
      <c r="B15" s="21"/>
      <c r="C15" s="40"/>
      <c r="D15" s="40"/>
    </row>
    <row r="16" spans="1:4" ht="13.15" customHeight="1">
      <c r="A16" s="6"/>
      <c r="C16" s="4"/>
      <c r="D16" s="4"/>
    </row>
    <row r="17" spans="1:4" ht="13.15" customHeight="1">
      <c r="A17" s="42" t="s">
        <v>65</v>
      </c>
      <c r="C17" s="4"/>
      <c r="D17" s="4"/>
    </row>
    <row r="18" spans="1:4" s="45" customFormat="1" ht="13.15" customHeight="1">
      <c r="A18" s="43" t="s">
        <v>66</v>
      </c>
      <c r="B18" s="44"/>
      <c r="C18" s="44"/>
      <c r="D18" s="44"/>
    </row>
    <row r="19" spans="1:4" s="45" customFormat="1" ht="13.15" customHeight="1">
      <c r="A19" s="43" t="s">
        <v>67</v>
      </c>
      <c r="B19" s="44"/>
      <c r="C19" s="44"/>
      <c r="D19" s="44"/>
    </row>
    <row r="20" spans="1:4" s="45" customFormat="1" ht="13.15" customHeight="1">
      <c r="A20" s="43" t="s">
        <v>68</v>
      </c>
      <c r="B20" s="44"/>
      <c r="C20" s="44"/>
      <c r="D20" s="44"/>
    </row>
    <row r="21" spans="1:4" s="45" customFormat="1" ht="13.15" customHeight="1">
      <c r="A21" s="43" t="s">
        <v>69</v>
      </c>
      <c r="B21" s="44"/>
      <c r="C21" s="44"/>
      <c r="D21" s="44"/>
    </row>
    <row r="22" spans="1:4" s="45" customFormat="1" ht="13.15" customHeight="1">
      <c r="A22" s="43" t="s">
        <v>70</v>
      </c>
      <c r="B22" s="44"/>
      <c r="C22" s="44"/>
      <c r="D22" s="44"/>
    </row>
    <row r="23" spans="1:4" s="45" customFormat="1" ht="13.15" customHeight="1">
      <c r="A23" s="43" t="s">
        <v>71</v>
      </c>
      <c r="B23" s="44"/>
      <c r="C23" s="46"/>
      <c r="D23" s="46"/>
    </row>
    <row r="24" spans="1:4" s="45" customFormat="1" ht="13.15" customHeight="1">
      <c r="A24" s="43" t="s">
        <v>72</v>
      </c>
      <c r="B24" s="44"/>
      <c r="C24" s="44"/>
      <c r="D24" s="44"/>
    </row>
    <row r="25" spans="1:4" s="45" customFormat="1" ht="13.15" customHeight="1">
      <c r="A25" s="43" t="s">
        <v>73</v>
      </c>
      <c r="B25" s="44"/>
      <c r="C25" s="44"/>
      <c r="D25" s="44"/>
    </row>
    <row r="26" spans="1:4" s="45" customFormat="1" ht="13.15" customHeight="1">
      <c r="A26" s="43" t="s">
        <v>74</v>
      </c>
      <c r="B26" s="44"/>
      <c r="C26" s="44"/>
      <c r="D26" s="44"/>
    </row>
    <row r="27" spans="1:4" s="45" customFormat="1" ht="13.15" customHeight="1">
      <c r="A27" s="43" t="s">
        <v>75</v>
      </c>
      <c r="B27" s="44"/>
      <c r="C27" s="44"/>
      <c r="D27" s="44"/>
    </row>
    <row r="28" spans="1:4" s="45" customFormat="1" ht="13.15" customHeight="1">
      <c r="A28" s="43" t="s">
        <v>129</v>
      </c>
      <c r="B28" s="44"/>
      <c r="C28" s="44"/>
      <c r="D28" s="44"/>
    </row>
    <row r="29" spans="1:4" s="45" customFormat="1" ht="13.15" customHeight="1">
      <c r="A29" s="43" t="s">
        <v>76</v>
      </c>
      <c r="B29" s="44"/>
      <c r="C29" s="44"/>
      <c r="D29" s="44"/>
    </row>
    <row r="30" spans="1:4" s="45" customFormat="1" ht="13.15" customHeight="1">
      <c r="A30" s="43" t="s">
        <v>77</v>
      </c>
      <c r="B30" s="44"/>
      <c r="C30" s="46"/>
      <c r="D30" s="46"/>
    </row>
    <row r="31" spans="1:4" s="45" customFormat="1" ht="13.15" customHeight="1">
      <c r="A31" s="43" t="s">
        <v>78</v>
      </c>
      <c r="B31" s="44"/>
      <c r="C31" s="46"/>
      <c r="D31" s="46"/>
    </row>
    <row r="32" spans="1:4" s="45" customFormat="1" ht="13.15" customHeight="1">
      <c r="A32" s="43" t="s">
        <v>79</v>
      </c>
      <c r="B32" s="44"/>
      <c r="C32" s="46"/>
      <c r="D32" s="46"/>
    </row>
    <row r="33" spans="1:4" s="45" customFormat="1" ht="13.15" customHeight="1">
      <c r="A33" s="43" t="s">
        <v>80</v>
      </c>
      <c r="B33" s="44"/>
      <c r="C33" s="46"/>
      <c r="D33" s="46"/>
    </row>
    <row r="34" spans="1:4" s="45" customFormat="1" ht="13.15" customHeight="1">
      <c r="A34" s="43" t="s">
        <v>81</v>
      </c>
      <c r="B34" s="44"/>
      <c r="C34" s="46"/>
      <c r="D34" s="46"/>
    </row>
    <row r="35" spans="1:4" s="45" customFormat="1" ht="13.15" customHeight="1">
      <c r="A35" s="43" t="s">
        <v>82</v>
      </c>
      <c r="B35" s="44"/>
      <c r="C35" s="44"/>
      <c r="D35" s="46"/>
    </row>
    <row r="36" spans="1:4" s="45" customFormat="1" ht="13.15" customHeight="1">
      <c r="A36" s="43" t="s">
        <v>83</v>
      </c>
      <c r="B36" s="44"/>
      <c r="C36" s="44"/>
      <c r="D36" s="46"/>
    </row>
    <row r="37" spans="1:4" s="45" customFormat="1" ht="13.15" customHeight="1">
      <c r="A37" s="43" t="s">
        <v>84</v>
      </c>
      <c r="B37" s="44"/>
      <c r="C37" s="44"/>
      <c r="D37" s="46"/>
    </row>
    <row r="38" spans="1:4" s="45" customFormat="1" ht="13.15" customHeight="1">
      <c r="A38" s="43" t="s">
        <v>85</v>
      </c>
      <c r="B38" s="44"/>
      <c r="C38" s="46"/>
      <c r="D38" s="46"/>
    </row>
    <row r="39" spans="1:4" s="45" customFormat="1" ht="13.15" customHeight="1">
      <c r="A39" s="43" t="s">
        <v>86</v>
      </c>
      <c r="B39" s="44"/>
      <c r="C39" s="46"/>
      <c r="D39" s="46"/>
    </row>
    <row r="40" spans="1:4" s="45" customFormat="1" ht="13.15" customHeight="1">
      <c r="A40" s="43" t="s">
        <v>87</v>
      </c>
      <c r="B40" s="44"/>
      <c r="C40" s="46"/>
      <c r="D40" s="46"/>
    </row>
    <row r="41" spans="1:4" s="45" customFormat="1" ht="13.15" customHeight="1">
      <c r="A41" s="43" t="s">
        <v>88</v>
      </c>
      <c r="B41" s="44"/>
      <c r="C41" s="46"/>
      <c r="D41" s="46"/>
    </row>
    <row r="42" spans="1:4" s="45" customFormat="1" ht="13.15" customHeight="1">
      <c r="A42" s="43" t="s">
        <v>89</v>
      </c>
      <c r="B42" s="44"/>
      <c r="C42" s="46"/>
      <c r="D42" s="46"/>
    </row>
    <row r="43" spans="1:4" s="45" customFormat="1" ht="13.15" customHeight="1">
      <c r="A43" s="43" t="s">
        <v>90</v>
      </c>
      <c r="B43" s="44"/>
      <c r="C43" s="46"/>
      <c r="D43" s="46"/>
    </row>
    <row r="44" spans="1:4" s="45" customFormat="1" ht="13.15" customHeight="1">
      <c r="A44" s="43" t="s">
        <v>91</v>
      </c>
      <c r="B44" s="44"/>
      <c r="C44" s="46"/>
      <c r="D44" s="46"/>
    </row>
    <row r="45" spans="1:4" s="45" customFormat="1" ht="13.15" customHeight="1">
      <c r="A45" s="43" t="s">
        <v>92</v>
      </c>
      <c r="B45" s="44"/>
      <c r="C45" s="46"/>
      <c r="D45" s="46"/>
    </row>
    <row r="46" spans="1:4" s="45" customFormat="1" ht="13.15" customHeight="1">
      <c r="A46" s="43" t="s">
        <v>93</v>
      </c>
      <c r="B46" s="44"/>
      <c r="C46" s="46"/>
      <c r="D46" s="46"/>
    </row>
    <row r="47" spans="1:4" s="45" customFormat="1" ht="13.15" customHeight="1">
      <c r="A47" s="43" t="s">
        <v>94</v>
      </c>
      <c r="B47" s="44"/>
      <c r="C47" s="46"/>
      <c r="D47" s="46"/>
    </row>
    <row r="48" spans="1:4" s="45" customFormat="1" ht="13.15" customHeight="1">
      <c r="A48" s="43" t="s">
        <v>95</v>
      </c>
      <c r="B48" s="44"/>
      <c r="C48" s="46"/>
      <c r="D48" s="46"/>
    </row>
    <row r="49" spans="1:4" s="45" customFormat="1" ht="13.15" customHeight="1">
      <c r="A49" s="43" t="s">
        <v>96</v>
      </c>
      <c r="B49" s="44"/>
      <c r="C49" s="46"/>
      <c r="D49" s="46"/>
    </row>
    <row r="50" spans="1:4" ht="13.15" customHeight="1">
      <c r="A50" s="16"/>
    </row>
    <row r="51" spans="1:4" ht="13.15" customHeight="1">
      <c r="A51" s="5" t="s">
        <v>97</v>
      </c>
    </row>
    <row r="52" spans="1:4" ht="13.15" customHeight="1">
      <c r="A52" s="6" t="s">
        <v>98</v>
      </c>
      <c r="B52" s="47" t="e">
        <f>(B18-B19)/B18</f>
        <v>#DIV/0!</v>
      </c>
      <c r="C52" s="47" t="e">
        <f>(C18-C19)/C18</f>
        <v>#DIV/0!</v>
      </c>
      <c r="D52" s="47" t="e">
        <f>(D18-D19)/D18</f>
        <v>#DIV/0!</v>
      </c>
    </row>
    <row r="53" spans="1:4" ht="13.15" customHeight="1">
      <c r="A53" s="6" t="s">
        <v>99</v>
      </c>
      <c r="B53" s="47" t="e">
        <f>B24/B18</f>
        <v>#DIV/0!</v>
      </c>
      <c r="C53" s="47" t="e">
        <f>C24/C18</f>
        <v>#DIV/0!</v>
      </c>
      <c r="D53" s="47" t="e">
        <f>D24/D18</f>
        <v>#DIV/0!</v>
      </c>
    </row>
    <row r="54" spans="1:4" ht="13.15" customHeight="1">
      <c r="A54" s="6" t="s">
        <v>130</v>
      </c>
      <c r="B54" s="47" t="e">
        <f>B28/B18</f>
        <v>#DIV/0!</v>
      </c>
      <c r="C54" s="47" t="e">
        <f>C28/C18</f>
        <v>#DIV/0!</v>
      </c>
      <c r="D54" s="47" t="e">
        <f>D28/D18</f>
        <v>#DIV/0!</v>
      </c>
    </row>
    <row r="55" spans="1:4" ht="13.15" customHeight="1">
      <c r="A55" s="6" t="s">
        <v>100</v>
      </c>
      <c r="B55" s="47" t="e">
        <f>B28/B38</f>
        <v>#DIV/0!</v>
      </c>
      <c r="C55" s="48"/>
      <c r="D55" s="48"/>
    </row>
    <row r="56" spans="1:4" ht="13.15" customHeight="1">
      <c r="A56" s="6" t="s">
        <v>101</v>
      </c>
      <c r="B56" s="47" t="e">
        <f>B28/B41</f>
        <v>#DIV/0!</v>
      </c>
      <c r="C56" s="48"/>
      <c r="D56" s="48"/>
    </row>
    <row r="57" spans="1:4" ht="13.15" customHeight="1">
      <c r="A57" s="6" t="s">
        <v>102</v>
      </c>
      <c r="B57" s="47" t="e">
        <f>B20/B18</f>
        <v>#DIV/0!</v>
      </c>
      <c r="C57" s="47" t="e">
        <f>C20/C18</f>
        <v>#DIV/0!</v>
      </c>
      <c r="D57" s="47" t="e">
        <f>D20/D18</f>
        <v>#DIV/0!</v>
      </c>
    </row>
    <row r="58" spans="1:4" ht="13.15" customHeight="1">
      <c r="A58" s="6" t="s">
        <v>103</v>
      </c>
      <c r="B58" s="47" t="e">
        <f>B21/B18</f>
        <v>#DIV/0!</v>
      </c>
      <c r="C58" s="47" t="e">
        <f>C21/C18</f>
        <v>#DIV/0!</v>
      </c>
      <c r="D58" s="47" t="e">
        <f>D21/D18</f>
        <v>#DIV/0!</v>
      </c>
    </row>
    <row r="59" spans="1:4" ht="13.15" customHeight="1">
      <c r="A59" s="6" t="s">
        <v>104</v>
      </c>
      <c r="B59" s="47" t="e">
        <f>B22/B18</f>
        <v>#DIV/0!</v>
      </c>
      <c r="C59" s="47" t="e">
        <f>C22/C18</f>
        <v>#DIV/0!</v>
      </c>
      <c r="D59" s="47" t="e">
        <f>D22/D18</f>
        <v>#DIV/0!</v>
      </c>
    </row>
    <row r="60" spans="1:4" ht="13.15" customHeight="1">
      <c r="A60" s="13" t="s">
        <v>105</v>
      </c>
      <c r="B60" s="49" t="e">
        <f>1/(B30/((B35+C35-B37-C37)/2))</f>
        <v>#DIV/0!</v>
      </c>
      <c r="C60" s="48"/>
      <c r="D60" s="48"/>
    </row>
    <row r="61" spans="1:4" ht="13.15" customHeight="1">
      <c r="A61" s="6" t="s">
        <v>106</v>
      </c>
      <c r="B61" s="47" t="e">
        <f>B26/B25</f>
        <v>#DIV/0!</v>
      </c>
      <c r="C61" s="47" t="e">
        <f>C26/C25</f>
        <v>#DIV/0!</v>
      </c>
      <c r="D61" s="47" t="e">
        <f>D26/D25</f>
        <v>#DIV/0!</v>
      </c>
    </row>
    <row r="62" spans="1:4" ht="13.15" customHeight="1">
      <c r="A62" s="6"/>
    </row>
    <row r="63" spans="1:4" ht="13.15" customHeight="1">
      <c r="A63" s="1" t="s">
        <v>107</v>
      </c>
    </row>
    <row r="64" spans="1:4" ht="13.15" customHeight="1">
      <c r="A64" s="16" t="s">
        <v>131</v>
      </c>
      <c r="B64" s="50" t="e">
        <f>B18/(B15)</f>
        <v>#DIV/0!</v>
      </c>
      <c r="C64" s="51"/>
      <c r="D64" s="51"/>
    </row>
    <row r="65" spans="1:4" ht="13.15" customHeight="1">
      <c r="A65" s="52" t="s">
        <v>21</v>
      </c>
      <c r="B65" s="53" t="e">
        <f>B18/B32</f>
        <v>#DIV/0!</v>
      </c>
      <c r="C65" s="51"/>
      <c r="D65" s="51"/>
    </row>
    <row r="66" spans="1:4" ht="13.15" customHeight="1">
      <c r="A66" s="13" t="s">
        <v>108</v>
      </c>
      <c r="B66" s="60" t="e">
        <f>B32/(B18/365)</f>
        <v>#DIV/0!</v>
      </c>
      <c r="C66" s="51"/>
      <c r="D66" s="51"/>
    </row>
    <row r="67" spans="1:4" ht="13.15" customHeight="1">
      <c r="A67" s="13" t="s">
        <v>23</v>
      </c>
      <c r="B67" s="53" t="e">
        <f>B19/B33</f>
        <v>#DIV/0!</v>
      </c>
      <c r="C67" s="51"/>
      <c r="D67" s="51"/>
    </row>
    <row r="68" spans="1:4" ht="13.15" customHeight="1">
      <c r="A68" s="13" t="s">
        <v>109</v>
      </c>
      <c r="B68" s="60" t="e">
        <f>B33/(B19/365)</f>
        <v>#DIV/0!</v>
      </c>
      <c r="C68" s="51"/>
      <c r="D68" s="51"/>
    </row>
    <row r="69" spans="1:4" ht="13.15" customHeight="1">
      <c r="A69" s="13" t="s">
        <v>25</v>
      </c>
      <c r="B69" s="53" t="e">
        <f>B19/B39</f>
        <v>#DIV/0!</v>
      </c>
      <c r="C69" s="51"/>
      <c r="D69" s="51"/>
    </row>
    <row r="70" spans="1:4" ht="13.15" customHeight="1">
      <c r="A70" s="13" t="s">
        <v>110</v>
      </c>
      <c r="B70" s="60" t="e">
        <f>B39/(B19/365)</f>
        <v>#DIV/0!</v>
      </c>
      <c r="C70" s="51"/>
      <c r="D70" s="51"/>
    </row>
    <row r="71" spans="1:4" ht="13.15" customHeight="1">
      <c r="A71" s="13" t="s">
        <v>111</v>
      </c>
      <c r="B71" s="53" t="e">
        <f>B18/B38</f>
        <v>#DIV/0!</v>
      </c>
      <c r="C71" s="51"/>
      <c r="D71" s="51"/>
    </row>
    <row r="72" spans="1:4" ht="13.15" customHeight="1">
      <c r="A72" s="13" t="s">
        <v>112</v>
      </c>
      <c r="B72" s="60" t="e">
        <f>365/B71</f>
        <v>#DIV/0!</v>
      </c>
      <c r="C72" s="51"/>
      <c r="D72" s="51"/>
    </row>
    <row r="73" spans="1:4" ht="13.15" customHeight="1">
      <c r="A73" s="6"/>
    </row>
    <row r="74" spans="1:4" ht="13.15" customHeight="1">
      <c r="A74" s="1" t="s">
        <v>113</v>
      </c>
    </row>
    <row r="75" spans="1:4" ht="13.15" customHeight="1">
      <c r="A75" s="6" t="s">
        <v>31</v>
      </c>
      <c r="B75" s="53" t="e">
        <f>B34/B40</f>
        <v>#DIV/0!</v>
      </c>
      <c r="C75" s="54"/>
      <c r="D75" s="54"/>
    </row>
    <row r="76" spans="1:4" ht="13.15" customHeight="1">
      <c r="A76" s="6" t="s">
        <v>114</v>
      </c>
      <c r="B76" s="53" t="e">
        <f>B38/B41</f>
        <v>#DIV/0!</v>
      </c>
      <c r="C76" s="54"/>
      <c r="D76" s="54"/>
    </row>
    <row r="77" spans="1:4" ht="13.15" customHeight="1">
      <c r="A77" s="6" t="s">
        <v>115</v>
      </c>
      <c r="B77" s="47" t="e">
        <f>B45/B38</f>
        <v>#DIV/0!</v>
      </c>
      <c r="C77" s="54"/>
      <c r="D77" s="54"/>
    </row>
    <row r="78" spans="1:4" ht="13.15" customHeight="1">
      <c r="A78" s="6"/>
    </row>
    <row r="79" spans="1:4" ht="13.15" customHeight="1">
      <c r="A79" s="42" t="s">
        <v>116</v>
      </c>
    </row>
    <row r="80" spans="1:4" ht="13.15" customHeight="1">
      <c r="A80" s="55" t="s">
        <v>117</v>
      </c>
      <c r="B80" s="56" t="e">
        <f>(B10*100)/B5</f>
        <v>#DIV/0!</v>
      </c>
      <c r="C80" s="57"/>
      <c r="D80" s="57"/>
    </row>
    <row r="81" spans="1:4" ht="13.15" customHeight="1">
      <c r="A81" s="13" t="s">
        <v>118</v>
      </c>
      <c r="B81" s="58" t="e">
        <f>(B41)/B42</f>
        <v>#DIV/0!</v>
      </c>
      <c r="C81" s="40"/>
      <c r="D81" s="40"/>
    </row>
    <row r="82" spans="1:4" ht="13.15" customHeight="1">
      <c r="A82" s="13" t="s">
        <v>119</v>
      </c>
      <c r="B82" s="53" t="e">
        <f>B4/B81</f>
        <v>#DIV/0!</v>
      </c>
      <c r="C82" s="40"/>
      <c r="D82" s="40"/>
    </row>
    <row r="83" spans="1:4" ht="13.15" customHeight="1">
      <c r="A83" s="6"/>
    </row>
    <row r="84" spans="1:4" ht="13.15" customHeight="1">
      <c r="A84" s="59" t="s">
        <v>120</v>
      </c>
    </row>
    <row r="85" spans="1:4" ht="13.15" customHeight="1">
      <c r="A85" s="6" t="s">
        <v>121</v>
      </c>
      <c r="B85" s="47" t="e">
        <f>B29/B18</f>
        <v>#DIV/0!</v>
      </c>
      <c r="C85" s="47" t="e">
        <f>C29/C18</f>
        <v>#DIV/0!</v>
      </c>
      <c r="D85" s="47" t="e">
        <f>D29/D18</f>
        <v>#DIV/0!</v>
      </c>
    </row>
    <row r="86" spans="1:4" ht="13.15" customHeight="1">
      <c r="A86" s="6" t="s">
        <v>122</v>
      </c>
      <c r="B86" s="47" t="e">
        <f>B31/B30</f>
        <v>#DIV/0!</v>
      </c>
      <c r="C86" s="48"/>
      <c r="D86" s="48"/>
    </row>
    <row r="87" spans="1:4" ht="13.15" customHeight="1">
      <c r="A87" s="6" t="s">
        <v>123</v>
      </c>
      <c r="B87" s="47" t="e">
        <f>B47/B38</f>
        <v>#DIV/0!</v>
      </c>
      <c r="C87" s="48"/>
      <c r="D87" s="48"/>
    </row>
    <row r="88" spans="1:4" ht="13.15" customHeight="1">
      <c r="A88" s="6" t="s">
        <v>124</v>
      </c>
      <c r="B88" s="47" t="e">
        <f>B44/B42</f>
        <v>#DIV/0!</v>
      </c>
      <c r="C88" s="48"/>
      <c r="D88" s="48"/>
    </row>
    <row r="89" spans="1:4" ht="13.15" customHeight="1">
      <c r="A89" s="6" t="s">
        <v>125</v>
      </c>
      <c r="B89" s="47" t="e">
        <f>1-(B48/B18)</f>
        <v>#DIV/0!</v>
      </c>
      <c r="C89" s="48"/>
      <c r="D89" s="48"/>
    </row>
    <row r="90" spans="1:4" ht="13.15" customHeight="1">
      <c r="A90" s="6" t="s">
        <v>126</v>
      </c>
      <c r="B90" s="47" t="e">
        <f>B49/B18</f>
        <v>#DIV/0!</v>
      </c>
      <c r="C90" s="48"/>
      <c r="D90" s="48"/>
    </row>
  </sheetData>
  <mergeCells count="1">
    <mergeCell ref="A1:A2"/>
  </mergeCells>
  <phoneticPr fontId="0" type="noConversion"/>
  <printOptions horizontalCentered="1" verticalCentered="1"/>
  <pageMargins left="0.5" right="0.5" top="0.6" bottom="0.5" header="0.5" footer="0.5"/>
  <pageSetup scale="63" orientation="portrait" horizontalDpi="4294967292" verticalDpi="4294967292" r:id="rId1"/>
  <headerFooter alignWithMargins="0">
    <oddHeader>&amp;A</oddHeader>
    <oddFooter>Page &amp;P</oddFooter>
  </headerFooter>
  <rowBreaks count="1" manualBreakCount="1">
    <brk id="63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15</vt:i4>
      </vt:variant>
    </vt:vector>
  </HeadingPairs>
  <TitlesOfParts>
    <vt:vector size="22" baseType="lpstr">
      <vt:lpstr>Industry Statistics</vt:lpstr>
      <vt:lpstr>Company 1</vt:lpstr>
      <vt:lpstr>Company 2</vt:lpstr>
      <vt:lpstr>Company 3</vt:lpstr>
      <vt:lpstr>Company 4</vt:lpstr>
      <vt:lpstr>Company 5</vt:lpstr>
      <vt:lpstr>Company 6</vt:lpstr>
      <vt:lpstr>'Company 1'!Print_Area</vt:lpstr>
      <vt:lpstr>'Company 2'!Print_Area</vt:lpstr>
      <vt:lpstr>'Company 3'!Print_Area</vt:lpstr>
      <vt:lpstr>'Company 4'!Print_Area</vt:lpstr>
      <vt:lpstr>'Company 5'!Print_Area</vt:lpstr>
      <vt:lpstr>'Company 6'!Print_Area</vt:lpstr>
      <vt:lpstr>'Industry Statistics'!Print_Area</vt:lpstr>
      <vt:lpstr>Print_Area</vt:lpstr>
      <vt:lpstr>'Company 1'!Print_Titles</vt:lpstr>
      <vt:lpstr>'Company 2'!Print_Titles</vt:lpstr>
      <vt:lpstr>'Company 3'!Print_Titles</vt:lpstr>
      <vt:lpstr>'Company 4'!Print_Titles</vt:lpstr>
      <vt:lpstr>'Company 5'!Print_Titles</vt:lpstr>
      <vt:lpstr>'Company 6'!Print_Titles</vt:lpstr>
      <vt:lpstr>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1998-10-04T22:21:29Z</cp:lastPrinted>
  <dcterms:created xsi:type="dcterms:W3CDTF">1998-09-18T21:46:05Z</dcterms:created>
  <dcterms:modified xsi:type="dcterms:W3CDTF">2020-01-27T10:24:41Z</dcterms:modified>
</cp:coreProperties>
</file>