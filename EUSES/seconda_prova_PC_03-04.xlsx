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9FE14A-E403-4B5B-B43E-8BC333AEDE76}" xr6:coauthVersionLast="45" xr6:coauthVersionMax="45" xr10:uidLastSave="{00000000-0000-0000-0000-000000000000}"/>
  <bookViews>
    <workbookView xWindow="4560" yWindow="4560" windowWidth="28800" windowHeight="15460"/>
  </bookViews>
  <sheets>
    <sheet name="RIC OPER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" l="1"/>
  <c r="A10" i="1"/>
  <c r="I10" i="1"/>
  <c r="A11" i="1"/>
  <c r="I11" i="1"/>
  <c r="K11" i="1"/>
  <c r="A12" i="1"/>
  <c r="I12" i="1"/>
  <c r="A13" i="1"/>
  <c r="I13" i="1"/>
  <c r="K13" i="1"/>
  <c r="A14" i="1"/>
  <c r="I14" i="1"/>
  <c r="A15" i="1"/>
  <c r="I15" i="1"/>
  <c r="A16" i="1"/>
  <c r="I16" i="1"/>
  <c r="K16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I17" i="1"/>
  <c r="K17" i="1" s="1"/>
  <c r="I18" i="1"/>
  <c r="K18" i="1"/>
  <c r="I19" i="1"/>
  <c r="I20" i="1"/>
  <c r="K20" i="1"/>
  <c r="I21" i="1"/>
  <c r="K21" i="1"/>
  <c r="I22" i="1"/>
  <c r="I23" i="1"/>
  <c r="K23" i="1"/>
  <c r="I24" i="1"/>
  <c r="I25" i="1"/>
  <c r="K25" i="1" s="1"/>
  <c r="I26" i="1"/>
  <c r="I27" i="1"/>
  <c r="I28" i="1"/>
  <c r="I29" i="1"/>
  <c r="I30" i="1"/>
  <c r="I31" i="1"/>
  <c r="I32" i="1"/>
  <c r="K32" i="1"/>
  <c r="I33" i="1"/>
  <c r="I34" i="1"/>
  <c r="I35" i="1"/>
  <c r="K35" i="1"/>
  <c r="I36" i="1"/>
  <c r="I37" i="1"/>
  <c r="I38" i="1"/>
  <c r="K38" i="1"/>
  <c r="I39" i="1"/>
  <c r="I40" i="1"/>
  <c r="K40" i="1"/>
  <c r="I41" i="1"/>
  <c r="K41" i="1"/>
  <c r="I42" i="1"/>
  <c r="I43" i="1"/>
  <c r="K43" i="1"/>
  <c r="I44" i="1"/>
  <c r="K44" i="1"/>
  <c r="I45" i="1"/>
  <c r="K45" i="1"/>
  <c r="I46" i="1"/>
  <c r="K46" i="1"/>
  <c r="I47" i="1"/>
  <c r="K47" i="1"/>
  <c r="I48" i="1"/>
  <c r="I49" i="1"/>
  <c r="I50" i="1"/>
  <c r="I51" i="1"/>
  <c r="I52" i="1"/>
  <c r="K52" i="1"/>
  <c r="I53" i="1"/>
  <c r="I54" i="1"/>
  <c r="I55" i="1"/>
  <c r="I56" i="1"/>
  <c r="I57" i="1"/>
</calcChain>
</file>

<file path=xl/sharedStrings.xml><?xml version="1.0" encoding="utf-8"?>
<sst xmlns="http://schemas.openxmlformats.org/spreadsheetml/2006/main" count="146" uniqueCount="120">
  <si>
    <t>HAA 622467</t>
  </si>
  <si>
    <t>FIORAVANTI STEFANO</t>
  </si>
  <si>
    <t>HAA 648564</t>
  </si>
  <si>
    <t>GUZZONI ALESSANDRO</t>
  </si>
  <si>
    <t>HAA 649075</t>
  </si>
  <si>
    <t>CIVARDI CLAUDIO</t>
  </si>
  <si>
    <t>HAA 650618</t>
  </si>
  <si>
    <t>COSTA ANDREA</t>
  </si>
  <si>
    <t>HAA 650820</t>
  </si>
  <si>
    <t>BIANCHI FABIO</t>
  </si>
  <si>
    <t>HAA 650854</t>
  </si>
  <si>
    <t>BOSSI EDOARDO</t>
  </si>
  <si>
    <t>HAA 651414</t>
  </si>
  <si>
    <t>FERDENZI DAVIDE</t>
  </si>
  <si>
    <t>HAA 651471</t>
  </si>
  <si>
    <t>BIZZOCA FEDERICO</t>
  </si>
  <si>
    <t>HAA 651925</t>
  </si>
  <si>
    <t>BURGAZZOLI MATTEO</t>
  </si>
  <si>
    <t>HAA 652526</t>
  </si>
  <si>
    <t>PIGHI IRISH</t>
  </si>
  <si>
    <t>HAA 653919</t>
  </si>
  <si>
    <t>SANTI VINCENZO</t>
  </si>
  <si>
    <t>HAA 654013</t>
  </si>
  <si>
    <t>COPPETA MATTIA</t>
  </si>
  <si>
    <t>HAA 654317</t>
  </si>
  <si>
    <t>UGGERI EMANUELA</t>
  </si>
  <si>
    <t>HAA 654472</t>
  </si>
  <si>
    <t>FERRENTINO WALTER</t>
  </si>
  <si>
    <t>HAA 654546</t>
  </si>
  <si>
    <t>GATTI MATTEO</t>
  </si>
  <si>
    <t>HAA 654725</t>
  </si>
  <si>
    <t>FERRARI CARLO</t>
  </si>
  <si>
    <t>HAA 654782</t>
  </si>
  <si>
    <t>MAZZOCCHI GIAN PAOLO</t>
  </si>
  <si>
    <t>HAA 655000</t>
  </si>
  <si>
    <t>BURLA LUCA</t>
  </si>
  <si>
    <t>HAA 655066</t>
  </si>
  <si>
    <t>PREMOLI ALBERTO</t>
  </si>
  <si>
    <t>HAA 655359</t>
  </si>
  <si>
    <t>SVERZELLATI GIAN MARIO</t>
  </si>
  <si>
    <t>HAA 656229</t>
  </si>
  <si>
    <t>SBARUFATTI DAVIDE</t>
  </si>
  <si>
    <t>HAA 656396</t>
  </si>
  <si>
    <t>TOMASELLO PAOLO</t>
  </si>
  <si>
    <t>HAA 656700</t>
  </si>
  <si>
    <t>SALATTO STEFANO</t>
  </si>
  <si>
    <t>HAA 656788</t>
  </si>
  <si>
    <t>BRUGNELLI DANIELE</t>
  </si>
  <si>
    <t>HAA 656792</t>
  </si>
  <si>
    <t>PIGHI FABIEN</t>
  </si>
  <si>
    <t>HAA 656893</t>
  </si>
  <si>
    <t>FERRARI ALESSANDRO</t>
  </si>
  <si>
    <t>HAA 657068</t>
  </si>
  <si>
    <t>BELLONI MATTEO DANILO</t>
  </si>
  <si>
    <t>HAA 657150</t>
  </si>
  <si>
    <t>FAVARI JONATHAN</t>
  </si>
  <si>
    <t>HAA 657342</t>
  </si>
  <si>
    <t>CERUTI VALERIA</t>
  </si>
  <si>
    <t>HAA 657486</t>
  </si>
  <si>
    <t>BARBORINI GIAN MARIA</t>
  </si>
  <si>
    <t>HAA 657930</t>
  </si>
  <si>
    <t>QUISTINI STEFANO</t>
  </si>
  <si>
    <t>HAA 658087</t>
  </si>
  <si>
    <t>CABASSI RICCARDO</t>
  </si>
  <si>
    <t>HAA 658205</t>
  </si>
  <si>
    <t>PIAZZOLLA GABRIELE</t>
  </si>
  <si>
    <t>HAA 658210</t>
  </si>
  <si>
    <t>MANZANI GIACOMO</t>
  </si>
  <si>
    <t>HAA 658578</t>
  </si>
  <si>
    <t>VERGA ALLAN</t>
  </si>
  <si>
    <t>HAA 658850</t>
  </si>
  <si>
    <t>ALPEGIANI PAOLO</t>
  </si>
  <si>
    <t>HAA 658927</t>
  </si>
  <si>
    <t>ADORNI CHIARA</t>
  </si>
  <si>
    <t>HAA 658938</t>
  </si>
  <si>
    <t>REPETTI FABIO</t>
  </si>
  <si>
    <t>HAA 658944</t>
  </si>
  <si>
    <t>SEGALINI FILIPPO</t>
  </si>
  <si>
    <t>HAA 659218</t>
  </si>
  <si>
    <t>CANTU' PAOLO</t>
  </si>
  <si>
    <t>HAA 659340</t>
  </si>
  <si>
    <t>PORZIO EMANUELE</t>
  </si>
  <si>
    <t>HAA 659577</t>
  </si>
  <si>
    <t>CAMMI DANIELE</t>
  </si>
  <si>
    <t>HAA 659580</t>
  </si>
  <si>
    <t>ZUCCONI STEFANO</t>
  </si>
  <si>
    <t>HAA 659678</t>
  </si>
  <si>
    <t>ZOPPI GABRIELE</t>
  </si>
  <si>
    <t>HAA 659693</t>
  </si>
  <si>
    <t>PERANI ANDREA</t>
  </si>
  <si>
    <t>HAA 659781</t>
  </si>
  <si>
    <t>REPETTO RICCARDO</t>
  </si>
  <si>
    <t>HAA 659902</t>
  </si>
  <si>
    <t>SALA PAOLO</t>
  </si>
  <si>
    <t>HAA 660064</t>
  </si>
  <si>
    <t>MARINI STEFANO</t>
  </si>
  <si>
    <t>HAA 660085</t>
  </si>
  <si>
    <t>BOSELLI MASSIMO</t>
  </si>
  <si>
    <t>FONDAMENTI DI RICERCA OPERATIVA C</t>
  </si>
  <si>
    <t>Matricola</t>
  </si>
  <si>
    <t>Cognome e Nome</t>
  </si>
  <si>
    <t>Es.1</t>
  </si>
  <si>
    <t>Es.2</t>
  </si>
  <si>
    <t>Es.3</t>
  </si>
  <si>
    <t>Totale</t>
  </si>
  <si>
    <t>Qualità</t>
  </si>
  <si>
    <t xml:space="preserve">Prof. M.Bruglieri - a.a. 2003/04 </t>
  </si>
  <si>
    <t>Corso di Laurea in Ingegneria dei Trasporti</t>
  </si>
  <si>
    <t>Prima prova</t>
  </si>
  <si>
    <t>Seconda prova</t>
  </si>
  <si>
    <t>Homework</t>
  </si>
  <si>
    <t>Dettagli seconda prova</t>
  </si>
  <si>
    <t>Rec.1</t>
  </si>
  <si>
    <t>Rec.tot.</t>
  </si>
  <si>
    <t>Rec.2</t>
  </si>
  <si>
    <t>Risultati della seconda prova in itinere dell' 27/01/04 e degli homework</t>
  </si>
  <si>
    <t>Rec.1 = Recupero prova 1</t>
  </si>
  <si>
    <t>Rec.2 = Recupero prova 2</t>
  </si>
  <si>
    <t>Rec.tot. = Recupero di entrambe le prove</t>
  </si>
  <si>
    <t>Le prove di recupero si terranno Venerdi 13 Febbraio alle ore 9,30 in aula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</si>
</sst>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1" fillId="0" borderId="5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2" fontId="0" fillId="0" borderId="4" xfId="0" applyNumberFormat="1" applyBorder="1"/>
    <xf numFmtId="2" fontId="0" fillId="0" borderId="1" xfId="0" applyNumberFormat="1" applyBorder="1"/>
    <xf numFmtId="0" fontId="1" fillId="0" borderId="0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 applyAlignment="1">
      <alignment horizontal="left"/>
    </xf>
    <xf numFmtId="0" fontId="1" fillId="0" borderId="5" xfId="0" applyFont="1" applyBorder="1"/>
    <xf numFmtId="0" fontId="1" fillId="0" borderId="11" xfId="0" applyFont="1" applyBorder="1"/>
    <xf numFmtId="2" fontId="1" fillId="0" borderId="4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24" workbookViewId="0">
      <selection activeCell="C37" sqref="C37"/>
    </sheetView>
  </sheetViews>
  <sheetFormatPr defaultRowHeight="12.5" x14ac:dyDescent="0.25"/>
  <cols>
    <col min="1" max="1" width="3" customWidth="1"/>
    <col min="2" max="2" width="11.453125" bestFit="1" customWidth="1"/>
    <col min="3" max="3" width="25.1796875" customWidth="1"/>
    <col min="4" max="4" width="12.1796875" customWidth="1"/>
    <col min="8" max="8" width="7.54296875" customWidth="1"/>
    <col min="9" max="9" width="14.81640625" customWidth="1"/>
    <col min="10" max="10" width="10.7265625" customWidth="1"/>
  </cols>
  <sheetData>
    <row r="1" spans="1:11" ht="13" x14ac:dyDescent="0.3">
      <c r="A1" s="25" t="s">
        <v>98</v>
      </c>
      <c r="B1" s="25"/>
      <c r="C1" s="25"/>
      <c r="D1" s="14"/>
    </row>
    <row r="2" spans="1:11" x14ac:dyDescent="0.25">
      <c r="A2" s="3"/>
      <c r="B2" s="7" t="s">
        <v>107</v>
      </c>
      <c r="C2" s="3"/>
      <c r="D2" s="3"/>
    </row>
    <row r="3" spans="1:11" x14ac:dyDescent="0.25">
      <c r="A3" s="26" t="s">
        <v>106</v>
      </c>
      <c r="B3" s="26"/>
      <c r="C3" s="26"/>
      <c r="D3" s="3"/>
    </row>
    <row r="4" spans="1:11" x14ac:dyDescent="0.25">
      <c r="A4" s="3"/>
      <c r="B4" s="3"/>
      <c r="C4" s="3"/>
      <c r="D4" s="3"/>
    </row>
    <row r="5" spans="1:11" ht="13" x14ac:dyDescent="0.3">
      <c r="A5" s="24" t="s">
        <v>115</v>
      </c>
      <c r="B5" s="14"/>
      <c r="C5" s="14"/>
      <c r="D5" s="14"/>
      <c r="E5" s="23"/>
    </row>
    <row r="6" spans="1:11" ht="13" thickBot="1" x14ac:dyDescent="0.3">
      <c r="A6" s="3"/>
      <c r="B6" s="3"/>
      <c r="C6" s="3"/>
      <c r="D6" s="3"/>
    </row>
    <row r="7" spans="1:11" ht="13.5" thickBot="1" x14ac:dyDescent="0.35">
      <c r="A7" s="3"/>
      <c r="B7" s="3"/>
      <c r="C7" s="3"/>
      <c r="E7" s="16"/>
      <c r="F7" s="19" t="s">
        <v>111</v>
      </c>
      <c r="G7" s="17"/>
      <c r="H7" s="18"/>
    </row>
    <row r="8" spans="1:11" ht="13.5" thickBot="1" x14ac:dyDescent="0.35">
      <c r="A8" s="6"/>
      <c r="B8" s="10" t="s">
        <v>99</v>
      </c>
      <c r="C8" s="10" t="s">
        <v>100</v>
      </c>
      <c r="D8" s="10" t="s">
        <v>108</v>
      </c>
      <c r="E8" s="10" t="s">
        <v>101</v>
      </c>
      <c r="F8" s="11" t="s">
        <v>102</v>
      </c>
      <c r="G8" s="11" t="s">
        <v>103</v>
      </c>
      <c r="H8" s="11" t="s">
        <v>105</v>
      </c>
      <c r="I8" s="21" t="s">
        <v>109</v>
      </c>
      <c r="J8" s="20" t="s">
        <v>110</v>
      </c>
      <c r="K8" s="11" t="s">
        <v>104</v>
      </c>
    </row>
    <row r="9" spans="1:11" ht="13" x14ac:dyDescent="0.3">
      <c r="A9" s="4">
        <v>1</v>
      </c>
      <c r="B9" s="5" t="s">
        <v>72</v>
      </c>
      <c r="C9" s="8" t="s">
        <v>73</v>
      </c>
      <c r="D9" s="15">
        <v>7</v>
      </c>
      <c r="E9" s="12">
        <v>1.5</v>
      </c>
      <c r="F9" s="12">
        <v>4.25</v>
      </c>
      <c r="G9" s="12">
        <v>5</v>
      </c>
      <c r="H9" s="12">
        <v>0</v>
      </c>
      <c r="I9" s="12">
        <f>SUM(E9:H9)</f>
        <v>10.75</v>
      </c>
      <c r="J9" s="12"/>
      <c r="K9" s="22" t="s">
        <v>112</v>
      </c>
    </row>
    <row r="10" spans="1:11" ht="13" x14ac:dyDescent="0.3">
      <c r="A10" s="2">
        <f>A9+1</f>
        <v>2</v>
      </c>
      <c r="B10" s="1" t="s">
        <v>70</v>
      </c>
      <c r="C10" s="9" t="s">
        <v>71</v>
      </c>
      <c r="D10" s="9">
        <v>6.25</v>
      </c>
      <c r="E10" s="13">
        <v>0</v>
      </c>
      <c r="F10" s="13">
        <v>1</v>
      </c>
      <c r="G10" s="13">
        <v>2</v>
      </c>
      <c r="H10" s="13">
        <v>0</v>
      </c>
      <c r="I10" s="12">
        <f t="shared" ref="I10:I57" si="0">SUM(E10:H10)</f>
        <v>3</v>
      </c>
      <c r="J10" s="12"/>
      <c r="K10" s="22" t="s">
        <v>113</v>
      </c>
    </row>
    <row r="11" spans="1:11" ht="13" x14ac:dyDescent="0.3">
      <c r="A11" s="2">
        <f t="shared" ref="A11:A57" si="1">A10+1</f>
        <v>3</v>
      </c>
      <c r="B11" s="1" t="s">
        <v>58</v>
      </c>
      <c r="C11" s="9" t="s">
        <v>59</v>
      </c>
      <c r="D11" s="9">
        <v>13.5</v>
      </c>
      <c r="E11" s="13">
        <v>3.25</v>
      </c>
      <c r="F11" s="13">
        <v>5</v>
      </c>
      <c r="G11" s="13">
        <v>5</v>
      </c>
      <c r="H11" s="13">
        <v>0.75</v>
      </c>
      <c r="I11" s="12">
        <f t="shared" si="0"/>
        <v>14</v>
      </c>
      <c r="J11" s="12"/>
      <c r="K11" s="22">
        <f>D11+I11+J11</f>
        <v>27.5</v>
      </c>
    </row>
    <row r="12" spans="1:11" ht="13" x14ac:dyDescent="0.3">
      <c r="A12" s="2">
        <f t="shared" si="1"/>
        <v>4</v>
      </c>
      <c r="B12" s="1" t="s">
        <v>52</v>
      </c>
      <c r="C12" s="9" t="s">
        <v>53</v>
      </c>
      <c r="D12" s="9">
        <v>9</v>
      </c>
      <c r="E12" s="13">
        <v>0.5</v>
      </c>
      <c r="F12" s="13">
        <v>3.25</v>
      </c>
      <c r="G12" s="13">
        <v>3</v>
      </c>
      <c r="H12" s="13">
        <v>0.25</v>
      </c>
      <c r="I12" s="12">
        <f t="shared" si="0"/>
        <v>7</v>
      </c>
      <c r="J12" s="12"/>
      <c r="K12" s="22" t="s">
        <v>114</v>
      </c>
    </row>
    <row r="13" spans="1:11" ht="13" x14ac:dyDescent="0.3">
      <c r="A13" s="2">
        <f t="shared" si="1"/>
        <v>5</v>
      </c>
      <c r="B13" s="1" t="s">
        <v>8</v>
      </c>
      <c r="C13" s="9" t="s">
        <v>9</v>
      </c>
      <c r="D13" s="9">
        <v>9.25</v>
      </c>
      <c r="E13" s="13">
        <v>2</v>
      </c>
      <c r="F13" s="13">
        <v>3.75</v>
      </c>
      <c r="G13" s="13">
        <v>5</v>
      </c>
      <c r="H13" s="13">
        <v>0.5</v>
      </c>
      <c r="I13" s="12">
        <f t="shared" si="0"/>
        <v>11.25</v>
      </c>
      <c r="J13" s="12">
        <v>1.25</v>
      </c>
      <c r="K13" s="22">
        <f>D13+I13+J13</f>
        <v>21.75</v>
      </c>
    </row>
    <row r="14" spans="1:11" ht="13" x14ac:dyDescent="0.3">
      <c r="A14" s="2">
        <f t="shared" si="1"/>
        <v>6</v>
      </c>
      <c r="B14" s="1" t="s">
        <v>14</v>
      </c>
      <c r="C14" s="9" t="s">
        <v>15</v>
      </c>
      <c r="D14" s="9">
        <v>11.25</v>
      </c>
      <c r="E14" s="13">
        <v>3.5</v>
      </c>
      <c r="F14" s="13">
        <v>1.75</v>
      </c>
      <c r="G14" s="13">
        <v>1.5</v>
      </c>
      <c r="H14" s="13">
        <v>0</v>
      </c>
      <c r="I14" s="12">
        <f t="shared" si="0"/>
        <v>6.75</v>
      </c>
      <c r="J14" s="12"/>
      <c r="K14" s="22" t="s">
        <v>114</v>
      </c>
    </row>
    <row r="15" spans="1:11" ht="13" x14ac:dyDescent="0.3">
      <c r="A15" s="2">
        <f t="shared" si="1"/>
        <v>7</v>
      </c>
      <c r="B15" s="1" t="s">
        <v>96</v>
      </c>
      <c r="C15" s="9" t="s">
        <v>97</v>
      </c>
      <c r="D15" s="9">
        <v>3.75</v>
      </c>
      <c r="E15" s="13">
        <v>0.25</v>
      </c>
      <c r="F15" s="13">
        <v>3.5</v>
      </c>
      <c r="G15" s="13">
        <v>5</v>
      </c>
      <c r="H15" s="13">
        <v>0.25</v>
      </c>
      <c r="I15" s="12">
        <f t="shared" si="0"/>
        <v>9</v>
      </c>
      <c r="J15" s="12"/>
      <c r="K15" s="22" t="s">
        <v>112</v>
      </c>
    </row>
    <row r="16" spans="1:11" ht="13" x14ac:dyDescent="0.3">
      <c r="A16" s="2">
        <f t="shared" si="1"/>
        <v>8</v>
      </c>
      <c r="B16" s="1" t="s">
        <v>10</v>
      </c>
      <c r="C16" s="9" t="s">
        <v>11</v>
      </c>
      <c r="D16" s="9">
        <v>8.5</v>
      </c>
      <c r="E16" s="13">
        <v>1.5</v>
      </c>
      <c r="F16" s="13">
        <v>4.25</v>
      </c>
      <c r="G16" s="13">
        <v>5</v>
      </c>
      <c r="H16" s="13">
        <v>0.5</v>
      </c>
      <c r="I16" s="12">
        <f t="shared" si="0"/>
        <v>11.25</v>
      </c>
      <c r="J16" s="12"/>
      <c r="K16" s="22">
        <f>D16+I16+J16</f>
        <v>19.75</v>
      </c>
    </row>
    <row r="17" spans="1:11" ht="13" x14ac:dyDescent="0.3">
      <c r="A17" s="2">
        <f t="shared" si="1"/>
        <v>9</v>
      </c>
      <c r="B17" s="1" t="s">
        <v>46</v>
      </c>
      <c r="C17" s="9" t="s">
        <v>47</v>
      </c>
      <c r="D17" s="9">
        <v>9</v>
      </c>
      <c r="E17" s="13">
        <v>0</v>
      </c>
      <c r="F17" s="13">
        <v>4.5</v>
      </c>
      <c r="G17" s="13">
        <v>4</v>
      </c>
      <c r="H17" s="13">
        <v>0.5</v>
      </c>
      <c r="I17" s="12">
        <f t="shared" si="0"/>
        <v>9</v>
      </c>
      <c r="J17" s="12"/>
      <c r="K17" s="22">
        <f>D17+I17+J17</f>
        <v>18</v>
      </c>
    </row>
    <row r="18" spans="1:11" ht="13" x14ac:dyDescent="0.3">
      <c r="A18" s="2">
        <f t="shared" si="1"/>
        <v>10</v>
      </c>
      <c r="B18" s="1" t="s">
        <v>16</v>
      </c>
      <c r="C18" s="9" t="s">
        <v>17</v>
      </c>
      <c r="D18" s="9">
        <v>15</v>
      </c>
      <c r="E18" s="13">
        <v>3.75</v>
      </c>
      <c r="F18" s="13">
        <v>5</v>
      </c>
      <c r="G18" s="13">
        <v>5</v>
      </c>
      <c r="H18" s="13">
        <v>1</v>
      </c>
      <c r="I18" s="12">
        <f t="shared" si="0"/>
        <v>14.75</v>
      </c>
      <c r="J18" s="12"/>
      <c r="K18" s="22">
        <f>D18+I18+J18</f>
        <v>29.75</v>
      </c>
    </row>
    <row r="19" spans="1:11" ht="13" x14ac:dyDescent="0.3">
      <c r="A19" s="2">
        <f t="shared" si="1"/>
        <v>11</v>
      </c>
      <c r="B19" s="1" t="s">
        <v>34</v>
      </c>
      <c r="C19" s="9" t="s">
        <v>35</v>
      </c>
      <c r="D19" s="9">
        <v>7</v>
      </c>
      <c r="E19" s="13">
        <v>0</v>
      </c>
      <c r="F19" s="13">
        <v>4</v>
      </c>
      <c r="G19" s="13">
        <v>2.5</v>
      </c>
      <c r="H19" s="13"/>
      <c r="I19" s="12">
        <f t="shared" si="0"/>
        <v>6.5</v>
      </c>
      <c r="J19" s="12"/>
      <c r="K19" s="22" t="s">
        <v>113</v>
      </c>
    </row>
    <row r="20" spans="1:11" ht="13" x14ac:dyDescent="0.3">
      <c r="A20" s="2">
        <f t="shared" si="1"/>
        <v>12</v>
      </c>
      <c r="B20" s="1" t="s">
        <v>62</v>
      </c>
      <c r="C20" s="9" t="s">
        <v>63</v>
      </c>
      <c r="D20" s="9">
        <v>8.75</v>
      </c>
      <c r="E20" s="13">
        <v>2</v>
      </c>
      <c r="F20" s="13">
        <v>2.25</v>
      </c>
      <c r="G20" s="13">
        <v>4.5</v>
      </c>
      <c r="H20" s="13">
        <v>0.25</v>
      </c>
      <c r="I20" s="12">
        <f t="shared" si="0"/>
        <v>9</v>
      </c>
      <c r="J20" s="12"/>
      <c r="K20" s="22">
        <f>D20+I20+J20</f>
        <v>17.75</v>
      </c>
    </row>
    <row r="21" spans="1:11" ht="13" x14ac:dyDescent="0.3">
      <c r="A21" s="2">
        <f t="shared" si="1"/>
        <v>13</v>
      </c>
      <c r="B21" s="1" t="s">
        <v>82</v>
      </c>
      <c r="C21" s="9" t="s">
        <v>83</v>
      </c>
      <c r="D21" s="9">
        <v>8.75</v>
      </c>
      <c r="E21" s="13">
        <v>4.5</v>
      </c>
      <c r="F21" s="13">
        <v>5</v>
      </c>
      <c r="G21" s="13">
        <v>5</v>
      </c>
      <c r="H21" s="13">
        <v>1</v>
      </c>
      <c r="I21" s="12">
        <f t="shared" si="0"/>
        <v>15.5</v>
      </c>
      <c r="J21" s="12">
        <v>2.5</v>
      </c>
      <c r="K21" s="22">
        <f>D21+I21+J21</f>
        <v>26.75</v>
      </c>
    </row>
    <row r="22" spans="1:11" ht="13" x14ac:dyDescent="0.3">
      <c r="A22" s="2">
        <f t="shared" si="1"/>
        <v>14</v>
      </c>
      <c r="B22" s="1" t="s">
        <v>78</v>
      </c>
      <c r="C22" s="9" t="s">
        <v>79</v>
      </c>
      <c r="D22" s="9">
        <v>7</v>
      </c>
      <c r="E22" s="13">
        <v>0</v>
      </c>
      <c r="F22" s="13">
        <v>1</v>
      </c>
      <c r="G22" s="13">
        <v>0.5</v>
      </c>
      <c r="H22" s="13"/>
      <c r="I22" s="12">
        <f t="shared" si="0"/>
        <v>1.5</v>
      </c>
      <c r="J22" s="12">
        <v>0.25</v>
      </c>
      <c r="K22" s="22" t="s">
        <v>113</v>
      </c>
    </row>
    <row r="23" spans="1:11" ht="13" x14ac:dyDescent="0.3">
      <c r="A23" s="2">
        <f t="shared" si="1"/>
        <v>15</v>
      </c>
      <c r="B23" s="1" t="s">
        <v>56</v>
      </c>
      <c r="C23" s="9" t="s">
        <v>57</v>
      </c>
      <c r="D23" s="9">
        <v>14</v>
      </c>
      <c r="E23" s="13">
        <v>1.5</v>
      </c>
      <c r="F23" s="13">
        <v>5</v>
      </c>
      <c r="G23" s="13">
        <v>5</v>
      </c>
      <c r="H23" s="13">
        <v>1</v>
      </c>
      <c r="I23" s="12">
        <f t="shared" si="0"/>
        <v>12.5</v>
      </c>
      <c r="J23" s="12">
        <v>3</v>
      </c>
      <c r="K23" s="22">
        <f>D23+I23+J23</f>
        <v>29.5</v>
      </c>
    </row>
    <row r="24" spans="1:11" ht="13" x14ac:dyDescent="0.3">
      <c r="A24" s="2">
        <f t="shared" si="1"/>
        <v>16</v>
      </c>
      <c r="B24" s="1" t="s">
        <v>4</v>
      </c>
      <c r="C24" s="9" t="s">
        <v>5</v>
      </c>
      <c r="D24" s="9">
        <v>3.25</v>
      </c>
      <c r="E24" s="13"/>
      <c r="F24" s="13"/>
      <c r="G24" s="13"/>
      <c r="H24" s="13"/>
      <c r="I24" s="12">
        <f t="shared" si="0"/>
        <v>0</v>
      </c>
      <c r="J24" s="12"/>
      <c r="K24" s="22" t="s">
        <v>113</v>
      </c>
    </row>
    <row r="25" spans="1:11" ht="13" x14ac:dyDescent="0.3">
      <c r="A25" s="2">
        <f t="shared" si="1"/>
        <v>17</v>
      </c>
      <c r="B25" s="1" t="s">
        <v>22</v>
      </c>
      <c r="C25" s="9" t="s">
        <v>23</v>
      </c>
      <c r="D25" s="9">
        <v>9.5</v>
      </c>
      <c r="E25" s="13">
        <v>2.5</v>
      </c>
      <c r="F25" s="13">
        <v>4.25</v>
      </c>
      <c r="G25" s="13">
        <v>2.75</v>
      </c>
      <c r="H25" s="13"/>
      <c r="I25" s="12">
        <f t="shared" si="0"/>
        <v>9.5</v>
      </c>
      <c r="J25" s="12">
        <v>0.25</v>
      </c>
      <c r="K25" s="22">
        <f>D25+I25+J25</f>
        <v>19.25</v>
      </c>
    </row>
    <row r="26" spans="1:11" ht="13" x14ac:dyDescent="0.3">
      <c r="A26" s="2">
        <f t="shared" si="1"/>
        <v>18</v>
      </c>
      <c r="B26" s="1" t="s">
        <v>6</v>
      </c>
      <c r="C26" s="9" t="s">
        <v>7</v>
      </c>
      <c r="D26" s="9">
        <v>3.5</v>
      </c>
      <c r="E26" s="13">
        <v>1.75</v>
      </c>
      <c r="F26" s="13">
        <v>3</v>
      </c>
      <c r="G26" s="13">
        <v>0</v>
      </c>
      <c r="H26" s="13"/>
      <c r="I26" s="12">
        <f t="shared" si="0"/>
        <v>4.75</v>
      </c>
      <c r="J26" s="12"/>
      <c r="K26" s="22" t="s">
        <v>113</v>
      </c>
    </row>
    <row r="27" spans="1:11" ht="13" x14ac:dyDescent="0.3">
      <c r="A27" s="2">
        <f t="shared" si="1"/>
        <v>19</v>
      </c>
      <c r="B27" s="1" t="s">
        <v>54</v>
      </c>
      <c r="C27" s="9" t="s">
        <v>55</v>
      </c>
      <c r="D27" s="9">
        <v>5</v>
      </c>
      <c r="E27" s="13">
        <v>2</v>
      </c>
      <c r="F27" s="13">
        <v>0</v>
      </c>
      <c r="G27" s="13">
        <v>0</v>
      </c>
      <c r="H27" s="13"/>
      <c r="I27" s="12">
        <f t="shared" si="0"/>
        <v>2</v>
      </c>
      <c r="J27" s="12"/>
      <c r="K27" s="22" t="s">
        <v>113</v>
      </c>
    </row>
    <row r="28" spans="1:11" ht="13" x14ac:dyDescent="0.3">
      <c r="A28" s="2">
        <f t="shared" si="1"/>
        <v>20</v>
      </c>
      <c r="B28" s="1" t="s">
        <v>12</v>
      </c>
      <c r="C28" s="9" t="s">
        <v>13</v>
      </c>
      <c r="D28" s="9">
        <v>5.5</v>
      </c>
      <c r="E28" s="13">
        <v>1</v>
      </c>
      <c r="F28" s="13">
        <v>4.25</v>
      </c>
      <c r="G28" s="13">
        <v>2.25</v>
      </c>
      <c r="H28" s="13">
        <v>0.25</v>
      </c>
      <c r="I28" s="12">
        <f t="shared" si="0"/>
        <v>7.75</v>
      </c>
      <c r="J28" s="12"/>
      <c r="K28" s="22" t="s">
        <v>113</v>
      </c>
    </row>
    <row r="29" spans="1:11" ht="13" x14ac:dyDescent="0.3">
      <c r="A29" s="2">
        <f t="shared" si="1"/>
        <v>21</v>
      </c>
      <c r="B29" s="1" t="s">
        <v>50</v>
      </c>
      <c r="C29" s="9" t="s">
        <v>51</v>
      </c>
      <c r="D29" s="9">
        <v>6.25</v>
      </c>
      <c r="E29" s="13">
        <v>3</v>
      </c>
      <c r="F29" s="13">
        <v>4</v>
      </c>
      <c r="G29" s="13">
        <v>4</v>
      </c>
      <c r="H29" s="13">
        <v>0.5</v>
      </c>
      <c r="I29" s="12">
        <f t="shared" si="0"/>
        <v>11.5</v>
      </c>
      <c r="J29" s="12"/>
      <c r="K29" s="22" t="s">
        <v>112</v>
      </c>
    </row>
    <row r="30" spans="1:11" ht="13" x14ac:dyDescent="0.3">
      <c r="A30" s="2">
        <f t="shared" si="1"/>
        <v>22</v>
      </c>
      <c r="B30" s="1" t="s">
        <v>30</v>
      </c>
      <c r="C30" s="9" t="s">
        <v>31</v>
      </c>
      <c r="D30" s="9">
        <v>7.5</v>
      </c>
      <c r="E30" s="13">
        <v>2.25</v>
      </c>
      <c r="F30" s="13">
        <v>4</v>
      </c>
      <c r="G30" s="13">
        <v>2.5</v>
      </c>
      <c r="H30" s="13">
        <v>0.25</v>
      </c>
      <c r="I30" s="12">
        <f t="shared" si="0"/>
        <v>9</v>
      </c>
      <c r="J30" s="12"/>
      <c r="K30" s="22" t="s">
        <v>112</v>
      </c>
    </row>
    <row r="31" spans="1:11" ht="13" x14ac:dyDescent="0.3">
      <c r="A31" s="2">
        <f t="shared" si="1"/>
        <v>23</v>
      </c>
      <c r="B31" s="1" t="s">
        <v>26</v>
      </c>
      <c r="C31" s="9" t="s">
        <v>27</v>
      </c>
      <c r="D31" s="9">
        <v>6.5</v>
      </c>
      <c r="E31" s="13"/>
      <c r="F31" s="13"/>
      <c r="G31" s="13"/>
      <c r="H31" s="13"/>
      <c r="I31" s="12">
        <f t="shared" si="0"/>
        <v>0</v>
      </c>
      <c r="J31" s="12"/>
      <c r="K31" s="22" t="s">
        <v>113</v>
      </c>
    </row>
    <row r="32" spans="1:11" ht="13" x14ac:dyDescent="0.3">
      <c r="A32" s="2">
        <f t="shared" si="1"/>
        <v>24</v>
      </c>
      <c r="B32" s="1" t="s">
        <v>0</v>
      </c>
      <c r="C32" s="9" t="s">
        <v>1</v>
      </c>
      <c r="D32" s="9">
        <v>10.75</v>
      </c>
      <c r="E32" s="13">
        <v>1.5</v>
      </c>
      <c r="F32" s="13">
        <v>4.25</v>
      </c>
      <c r="G32" s="13">
        <v>3.75</v>
      </c>
      <c r="H32" s="13">
        <v>0.25</v>
      </c>
      <c r="I32" s="12">
        <f t="shared" si="0"/>
        <v>9.75</v>
      </c>
      <c r="J32" s="12"/>
      <c r="K32" s="22">
        <f>D32+I32+J32</f>
        <v>20.5</v>
      </c>
    </row>
    <row r="33" spans="1:11" ht="13" x14ac:dyDescent="0.3">
      <c r="A33" s="2">
        <f t="shared" si="1"/>
        <v>25</v>
      </c>
      <c r="B33" s="1" t="s">
        <v>28</v>
      </c>
      <c r="C33" s="9" t="s">
        <v>29</v>
      </c>
      <c r="D33" s="9">
        <v>6.5</v>
      </c>
      <c r="E33" s="13">
        <v>2.25</v>
      </c>
      <c r="F33" s="13">
        <v>3.75</v>
      </c>
      <c r="G33" s="13">
        <v>0.5</v>
      </c>
      <c r="H33" s="13">
        <v>0</v>
      </c>
      <c r="I33" s="12">
        <f t="shared" si="0"/>
        <v>6.5</v>
      </c>
      <c r="J33" s="12"/>
      <c r="K33" s="22" t="s">
        <v>113</v>
      </c>
    </row>
    <row r="34" spans="1:11" ht="13" x14ac:dyDescent="0.3">
      <c r="A34" s="2">
        <f t="shared" si="1"/>
        <v>26</v>
      </c>
      <c r="B34" s="1" t="s">
        <v>2</v>
      </c>
      <c r="C34" s="9" t="s">
        <v>3</v>
      </c>
      <c r="D34" s="9">
        <v>3</v>
      </c>
      <c r="E34" s="13">
        <v>0</v>
      </c>
      <c r="F34" s="13">
        <v>0</v>
      </c>
      <c r="G34" s="13">
        <v>0</v>
      </c>
      <c r="H34" s="13">
        <v>0</v>
      </c>
      <c r="I34" s="12">
        <f t="shared" si="0"/>
        <v>0</v>
      </c>
      <c r="J34" s="12"/>
      <c r="K34" s="22" t="s">
        <v>113</v>
      </c>
    </row>
    <row r="35" spans="1:11" ht="13" x14ac:dyDescent="0.3">
      <c r="A35" s="2">
        <f t="shared" si="1"/>
        <v>27</v>
      </c>
      <c r="B35" s="1" t="s">
        <v>66</v>
      </c>
      <c r="C35" s="9" t="s">
        <v>67</v>
      </c>
      <c r="D35" s="9">
        <v>11.25</v>
      </c>
      <c r="E35" s="13">
        <v>2.5</v>
      </c>
      <c r="F35" s="13">
        <v>4.25</v>
      </c>
      <c r="G35" s="13">
        <v>2.5</v>
      </c>
      <c r="H35" s="13">
        <v>0</v>
      </c>
      <c r="I35" s="12">
        <f t="shared" si="0"/>
        <v>9.25</v>
      </c>
      <c r="J35" s="12"/>
      <c r="K35" s="22">
        <f>D35+I35+J35</f>
        <v>20.5</v>
      </c>
    </row>
    <row r="36" spans="1:11" ht="13" x14ac:dyDescent="0.3">
      <c r="A36" s="2">
        <f t="shared" si="1"/>
        <v>28</v>
      </c>
      <c r="B36" s="1" t="s">
        <v>94</v>
      </c>
      <c r="C36" s="9" t="s">
        <v>95</v>
      </c>
      <c r="D36" s="9">
        <v>6.5</v>
      </c>
      <c r="E36" s="13">
        <v>2.5</v>
      </c>
      <c r="F36" s="13">
        <v>5</v>
      </c>
      <c r="G36" s="13">
        <v>1.5</v>
      </c>
      <c r="H36" s="13"/>
      <c r="I36" s="12">
        <f t="shared" si="0"/>
        <v>9</v>
      </c>
      <c r="J36" s="12"/>
      <c r="K36" s="22" t="s">
        <v>112</v>
      </c>
    </row>
    <row r="37" spans="1:11" ht="13" x14ac:dyDescent="0.3">
      <c r="A37" s="2">
        <f t="shared" si="1"/>
        <v>29</v>
      </c>
      <c r="B37" s="1" t="s">
        <v>32</v>
      </c>
      <c r="C37" s="9" t="s">
        <v>33</v>
      </c>
      <c r="D37" s="9">
        <v>12.5</v>
      </c>
      <c r="E37" s="13"/>
      <c r="F37" s="13"/>
      <c r="G37" s="13"/>
      <c r="H37" s="13"/>
      <c r="I37" s="12">
        <f t="shared" si="0"/>
        <v>0</v>
      </c>
      <c r="J37" s="12"/>
      <c r="K37" s="22" t="s">
        <v>114</v>
      </c>
    </row>
    <row r="38" spans="1:11" ht="13" x14ac:dyDescent="0.3">
      <c r="A38" s="2">
        <f t="shared" si="1"/>
        <v>30</v>
      </c>
      <c r="B38" s="1" t="s">
        <v>88</v>
      </c>
      <c r="C38" s="9" t="s">
        <v>89</v>
      </c>
      <c r="D38" s="9">
        <v>13</v>
      </c>
      <c r="E38" s="13">
        <v>4.5</v>
      </c>
      <c r="F38" s="13">
        <v>5</v>
      </c>
      <c r="G38" s="13">
        <v>4.75</v>
      </c>
      <c r="H38" s="13">
        <v>1</v>
      </c>
      <c r="I38" s="12">
        <f t="shared" si="0"/>
        <v>15.25</v>
      </c>
      <c r="J38" s="12"/>
      <c r="K38" s="22">
        <f>D38+I38+J38</f>
        <v>28.25</v>
      </c>
    </row>
    <row r="39" spans="1:11" ht="13" x14ac:dyDescent="0.3">
      <c r="A39" s="2">
        <f t="shared" si="1"/>
        <v>31</v>
      </c>
      <c r="B39" s="1" t="s">
        <v>64</v>
      </c>
      <c r="C39" s="9" t="s">
        <v>65</v>
      </c>
      <c r="D39" s="9">
        <v>6</v>
      </c>
      <c r="E39" s="13">
        <v>2.25</v>
      </c>
      <c r="F39" s="13">
        <v>1.5</v>
      </c>
      <c r="G39" s="13">
        <v>0</v>
      </c>
      <c r="H39" s="13">
        <v>0</v>
      </c>
      <c r="I39" s="12">
        <f t="shared" si="0"/>
        <v>3.75</v>
      </c>
      <c r="J39" s="12"/>
      <c r="K39" s="22" t="s">
        <v>113</v>
      </c>
    </row>
    <row r="40" spans="1:11" ht="13" x14ac:dyDescent="0.3">
      <c r="A40" s="2">
        <f t="shared" si="1"/>
        <v>32</v>
      </c>
      <c r="B40" s="1" t="s">
        <v>48</v>
      </c>
      <c r="C40" s="9" t="s">
        <v>49</v>
      </c>
      <c r="D40" s="9">
        <v>10</v>
      </c>
      <c r="E40" s="13">
        <v>2.5</v>
      </c>
      <c r="F40" s="13">
        <v>4</v>
      </c>
      <c r="G40" s="13">
        <v>5</v>
      </c>
      <c r="H40" s="13">
        <v>0.5</v>
      </c>
      <c r="I40" s="12">
        <f t="shared" si="0"/>
        <v>12</v>
      </c>
      <c r="J40" s="12">
        <v>0.55000000000000004</v>
      </c>
      <c r="K40" s="22">
        <f>D40+I40+J40</f>
        <v>22.55</v>
      </c>
    </row>
    <row r="41" spans="1:11" ht="13" x14ac:dyDescent="0.3">
      <c r="A41" s="2">
        <f t="shared" si="1"/>
        <v>33</v>
      </c>
      <c r="B41" s="1" t="s">
        <v>18</v>
      </c>
      <c r="C41" s="9" t="s">
        <v>19</v>
      </c>
      <c r="D41" s="9">
        <v>10</v>
      </c>
      <c r="E41" s="13">
        <v>2.25</v>
      </c>
      <c r="F41" s="13">
        <v>4.5</v>
      </c>
      <c r="G41" s="13">
        <v>5</v>
      </c>
      <c r="H41" s="13">
        <v>0.25</v>
      </c>
      <c r="I41" s="12">
        <f t="shared" si="0"/>
        <v>12</v>
      </c>
      <c r="J41" s="12">
        <v>0.55000000000000004</v>
      </c>
      <c r="K41" s="22">
        <f>D41+I41+J41</f>
        <v>22.55</v>
      </c>
    </row>
    <row r="42" spans="1:11" ht="13" x14ac:dyDescent="0.3">
      <c r="A42" s="2">
        <f t="shared" si="1"/>
        <v>34</v>
      </c>
      <c r="B42" s="1" t="s">
        <v>80</v>
      </c>
      <c r="C42" s="9" t="s">
        <v>81</v>
      </c>
      <c r="D42" s="9">
        <v>6.5</v>
      </c>
      <c r="E42" s="13">
        <v>1</v>
      </c>
      <c r="F42" s="13">
        <v>4.5</v>
      </c>
      <c r="G42" s="13">
        <v>1</v>
      </c>
      <c r="H42" s="13">
        <v>0.25</v>
      </c>
      <c r="I42" s="12">
        <f t="shared" si="0"/>
        <v>6.75</v>
      </c>
      <c r="J42" s="12"/>
      <c r="K42" s="22" t="s">
        <v>113</v>
      </c>
    </row>
    <row r="43" spans="1:11" ht="13" x14ac:dyDescent="0.3">
      <c r="A43" s="2">
        <f t="shared" si="1"/>
        <v>35</v>
      </c>
      <c r="B43" s="1" t="s">
        <v>36</v>
      </c>
      <c r="C43" s="9" t="s">
        <v>37</v>
      </c>
      <c r="D43" s="9">
        <v>11</v>
      </c>
      <c r="E43" s="13">
        <v>2.5</v>
      </c>
      <c r="F43" s="13">
        <v>2</v>
      </c>
      <c r="G43" s="13">
        <v>4</v>
      </c>
      <c r="H43" s="13">
        <v>0.25</v>
      </c>
      <c r="I43" s="12">
        <f t="shared" si="0"/>
        <v>8.75</v>
      </c>
      <c r="J43" s="12"/>
      <c r="K43" s="22">
        <f>D43+I43+J43</f>
        <v>19.75</v>
      </c>
    </row>
    <row r="44" spans="1:11" ht="13" x14ac:dyDescent="0.3">
      <c r="A44" s="2">
        <f t="shared" si="1"/>
        <v>36</v>
      </c>
      <c r="B44" s="1" t="s">
        <v>60</v>
      </c>
      <c r="C44" s="9" t="s">
        <v>61</v>
      </c>
      <c r="D44" s="9">
        <v>9</v>
      </c>
      <c r="E44" s="13">
        <v>1.25</v>
      </c>
      <c r="F44" s="13">
        <v>5</v>
      </c>
      <c r="G44" s="13">
        <v>5</v>
      </c>
      <c r="H44" s="13">
        <v>0.75</v>
      </c>
      <c r="I44" s="12">
        <f t="shared" si="0"/>
        <v>12</v>
      </c>
      <c r="J44" s="12"/>
      <c r="K44" s="22">
        <f>D44+I44+J44</f>
        <v>21</v>
      </c>
    </row>
    <row r="45" spans="1:11" ht="13" x14ac:dyDescent="0.3">
      <c r="A45" s="2">
        <f t="shared" si="1"/>
        <v>37</v>
      </c>
      <c r="B45" s="1" t="s">
        <v>74</v>
      </c>
      <c r="C45" s="9" t="s">
        <v>75</v>
      </c>
      <c r="D45" s="9">
        <v>10</v>
      </c>
      <c r="E45" s="13">
        <v>4.5</v>
      </c>
      <c r="F45" s="13">
        <v>5</v>
      </c>
      <c r="G45" s="13">
        <v>5</v>
      </c>
      <c r="H45" s="13">
        <v>1</v>
      </c>
      <c r="I45" s="12">
        <f t="shared" si="0"/>
        <v>15.5</v>
      </c>
      <c r="J45" s="12"/>
      <c r="K45" s="22">
        <f>D45+I45+J45</f>
        <v>25.5</v>
      </c>
    </row>
    <row r="46" spans="1:11" ht="13" x14ac:dyDescent="0.3">
      <c r="A46" s="2">
        <f t="shared" si="1"/>
        <v>38</v>
      </c>
      <c r="B46" s="1" t="s">
        <v>90</v>
      </c>
      <c r="C46" s="9" t="s">
        <v>91</v>
      </c>
      <c r="D46" s="9">
        <v>9.25</v>
      </c>
      <c r="E46" s="13">
        <v>1.75</v>
      </c>
      <c r="F46" s="13">
        <v>4.5</v>
      </c>
      <c r="G46" s="13">
        <v>5</v>
      </c>
      <c r="H46" s="13">
        <v>0.5</v>
      </c>
      <c r="I46" s="12">
        <f t="shared" si="0"/>
        <v>11.75</v>
      </c>
      <c r="J46" s="12"/>
      <c r="K46" s="22">
        <f>D46+I46+J46</f>
        <v>21</v>
      </c>
    </row>
    <row r="47" spans="1:11" ht="13" x14ac:dyDescent="0.3">
      <c r="A47" s="2">
        <f t="shared" si="1"/>
        <v>39</v>
      </c>
      <c r="B47" s="1" t="s">
        <v>92</v>
      </c>
      <c r="C47" s="9" t="s">
        <v>93</v>
      </c>
      <c r="D47" s="9">
        <v>11.5</v>
      </c>
      <c r="E47" s="13">
        <v>5</v>
      </c>
      <c r="F47" s="13">
        <v>5</v>
      </c>
      <c r="G47" s="13">
        <v>5</v>
      </c>
      <c r="H47" s="13">
        <v>1</v>
      </c>
      <c r="I47" s="12">
        <f t="shared" si="0"/>
        <v>16</v>
      </c>
      <c r="J47" s="12"/>
      <c r="K47" s="22">
        <f>D47+I47+J47</f>
        <v>27.5</v>
      </c>
    </row>
    <row r="48" spans="1:11" ht="13" x14ac:dyDescent="0.3">
      <c r="A48" s="2">
        <f t="shared" si="1"/>
        <v>40</v>
      </c>
      <c r="B48" s="1" t="s">
        <v>44</v>
      </c>
      <c r="C48" s="9" t="s">
        <v>45</v>
      </c>
      <c r="D48" s="9">
        <v>7.5</v>
      </c>
      <c r="E48" s="13">
        <v>2.25</v>
      </c>
      <c r="F48" s="13">
        <v>4.75</v>
      </c>
      <c r="G48" s="13">
        <v>4</v>
      </c>
      <c r="H48" s="13"/>
      <c r="I48" s="12">
        <f t="shared" si="0"/>
        <v>11</v>
      </c>
      <c r="J48" s="12">
        <v>0.25</v>
      </c>
      <c r="K48" s="22" t="s">
        <v>112</v>
      </c>
    </row>
    <row r="49" spans="1:11" ht="13" x14ac:dyDescent="0.3">
      <c r="A49" s="2">
        <f t="shared" si="1"/>
        <v>41</v>
      </c>
      <c r="B49" s="1" t="s">
        <v>20</v>
      </c>
      <c r="C49" s="9" t="s">
        <v>21</v>
      </c>
      <c r="D49" s="9">
        <v>6</v>
      </c>
      <c r="E49" s="13"/>
      <c r="F49" s="13"/>
      <c r="G49" s="13"/>
      <c r="H49" s="13"/>
      <c r="I49" s="12">
        <f t="shared" si="0"/>
        <v>0</v>
      </c>
      <c r="J49" s="12"/>
      <c r="K49" s="22" t="s">
        <v>113</v>
      </c>
    </row>
    <row r="50" spans="1:11" ht="13" x14ac:dyDescent="0.3">
      <c r="A50" s="2">
        <f t="shared" si="1"/>
        <v>42</v>
      </c>
      <c r="B50" s="1" t="s">
        <v>40</v>
      </c>
      <c r="C50" s="9" t="s">
        <v>41</v>
      </c>
      <c r="D50" s="9">
        <v>7.5</v>
      </c>
      <c r="E50" s="13">
        <v>0</v>
      </c>
      <c r="F50" s="13">
        <v>0</v>
      </c>
      <c r="G50" s="13">
        <v>5</v>
      </c>
      <c r="H50" s="13"/>
      <c r="I50" s="12">
        <f t="shared" si="0"/>
        <v>5</v>
      </c>
      <c r="J50" s="12"/>
      <c r="K50" s="22" t="s">
        <v>113</v>
      </c>
    </row>
    <row r="51" spans="1:11" ht="13" x14ac:dyDescent="0.3">
      <c r="A51" s="2">
        <f t="shared" si="1"/>
        <v>43</v>
      </c>
      <c r="B51" s="1" t="s">
        <v>76</v>
      </c>
      <c r="C51" s="9" t="s">
        <v>77</v>
      </c>
      <c r="D51" s="9">
        <v>7.5</v>
      </c>
      <c r="E51" s="13">
        <v>0</v>
      </c>
      <c r="F51" s="13">
        <v>4.5</v>
      </c>
      <c r="G51" s="13">
        <v>4</v>
      </c>
      <c r="H51" s="13">
        <v>0.5</v>
      </c>
      <c r="I51" s="12">
        <f t="shared" si="0"/>
        <v>9</v>
      </c>
      <c r="J51" s="12"/>
      <c r="K51" s="22" t="s">
        <v>112</v>
      </c>
    </row>
    <row r="52" spans="1:11" ht="13" x14ac:dyDescent="0.3">
      <c r="A52" s="2">
        <f t="shared" si="1"/>
        <v>44</v>
      </c>
      <c r="B52" s="1" t="s">
        <v>38</v>
      </c>
      <c r="C52" s="9" t="s">
        <v>39</v>
      </c>
      <c r="D52" s="9">
        <v>9.5</v>
      </c>
      <c r="E52" s="13">
        <v>2</v>
      </c>
      <c r="F52" s="13">
        <v>4.25</v>
      </c>
      <c r="G52" s="13">
        <v>3.5</v>
      </c>
      <c r="H52" s="13"/>
      <c r="I52" s="12">
        <f t="shared" si="0"/>
        <v>9.75</v>
      </c>
      <c r="J52" s="12"/>
      <c r="K52" s="22">
        <f>D52+I52+J52</f>
        <v>19.25</v>
      </c>
    </row>
    <row r="53" spans="1:11" ht="13" x14ac:dyDescent="0.3">
      <c r="A53" s="2">
        <f t="shared" si="1"/>
        <v>45</v>
      </c>
      <c r="B53" s="1" t="s">
        <v>42</v>
      </c>
      <c r="C53" s="9" t="s">
        <v>43</v>
      </c>
      <c r="D53" s="9">
        <v>6.5</v>
      </c>
      <c r="E53" s="13"/>
      <c r="F53" s="13"/>
      <c r="G53" s="13"/>
      <c r="H53" s="13"/>
      <c r="I53" s="12">
        <f t="shared" si="0"/>
        <v>0</v>
      </c>
      <c r="J53" s="12"/>
      <c r="K53" s="22" t="s">
        <v>113</v>
      </c>
    </row>
    <row r="54" spans="1:11" ht="13" x14ac:dyDescent="0.3">
      <c r="A54" s="2">
        <f t="shared" si="1"/>
        <v>46</v>
      </c>
      <c r="B54" s="1" t="s">
        <v>24</v>
      </c>
      <c r="C54" s="9" t="s">
        <v>25</v>
      </c>
      <c r="D54" s="9">
        <v>4</v>
      </c>
      <c r="E54" s="13"/>
      <c r="F54" s="13"/>
      <c r="G54" s="13"/>
      <c r="H54" s="13"/>
      <c r="I54" s="12">
        <f t="shared" si="0"/>
        <v>0</v>
      </c>
      <c r="J54" s="12"/>
      <c r="K54" s="22" t="s">
        <v>113</v>
      </c>
    </row>
    <row r="55" spans="1:11" ht="13" x14ac:dyDescent="0.3">
      <c r="A55" s="2">
        <f t="shared" si="1"/>
        <v>47</v>
      </c>
      <c r="B55" s="1" t="s">
        <v>68</v>
      </c>
      <c r="C55" s="9" t="s">
        <v>69</v>
      </c>
      <c r="D55" s="9">
        <v>6</v>
      </c>
      <c r="E55" s="13">
        <v>1.75</v>
      </c>
      <c r="F55" s="13">
        <v>5</v>
      </c>
      <c r="G55" s="13">
        <v>4.5</v>
      </c>
      <c r="H55" s="13">
        <v>0.5</v>
      </c>
      <c r="I55" s="12">
        <f t="shared" si="0"/>
        <v>11.75</v>
      </c>
      <c r="J55" s="12"/>
      <c r="K55" s="22" t="s">
        <v>112</v>
      </c>
    </row>
    <row r="56" spans="1:11" ht="13" x14ac:dyDescent="0.3">
      <c r="A56" s="2">
        <f t="shared" si="1"/>
        <v>48</v>
      </c>
      <c r="B56" s="1" t="s">
        <v>86</v>
      </c>
      <c r="C56" s="9" t="s">
        <v>87</v>
      </c>
      <c r="D56" s="9">
        <v>4.5</v>
      </c>
      <c r="E56" s="13">
        <v>2.75</v>
      </c>
      <c r="F56" s="13">
        <v>5</v>
      </c>
      <c r="G56" s="13">
        <v>4.25</v>
      </c>
      <c r="H56" s="13">
        <v>0.5</v>
      </c>
      <c r="I56" s="12">
        <f t="shared" si="0"/>
        <v>12.5</v>
      </c>
      <c r="J56" s="12"/>
      <c r="K56" s="22" t="s">
        <v>112</v>
      </c>
    </row>
    <row r="57" spans="1:11" ht="13" x14ac:dyDescent="0.3">
      <c r="A57" s="2">
        <f t="shared" si="1"/>
        <v>49</v>
      </c>
      <c r="B57" s="1" t="s">
        <v>84</v>
      </c>
      <c r="C57" s="1" t="s">
        <v>85</v>
      </c>
      <c r="D57" s="1">
        <v>6</v>
      </c>
      <c r="E57" s="13">
        <v>1.25</v>
      </c>
      <c r="F57" s="13">
        <v>1</v>
      </c>
      <c r="G57" s="13">
        <v>3</v>
      </c>
      <c r="H57" s="13"/>
      <c r="I57" s="12">
        <f t="shared" si="0"/>
        <v>5.25</v>
      </c>
      <c r="J57" s="12"/>
      <c r="K57" s="22" t="s">
        <v>113</v>
      </c>
    </row>
    <row r="59" spans="1:11" ht="13" x14ac:dyDescent="0.3">
      <c r="B59" s="23" t="s">
        <v>116</v>
      </c>
      <c r="C59" s="23"/>
    </row>
    <row r="60" spans="1:11" ht="13" x14ac:dyDescent="0.3">
      <c r="B60" s="23" t="s">
        <v>117</v>
      </c>
      <c r="C60" s="23"/>
    </row>
    <row r="61" spans="1:11" ht="13" x14ac:dyDescent="0.3">
      <c r="B61" s="23" t="s">
        <v>118</v>
      </c>
      <c r="C61" s="23"/>
    </row>
    <row r="63" spans="1:11" ht="13" x14ac:dyDescent="0.3">
      <c r="B63" s="23" t="s">
        <v>119</v>
      </c>
    </row>
  </sheetData>
  <mergeCells count="2">
    <mergeCell ref="A1:C1"/>
    <mergeCell ref="A3:C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 OPER</vt:lpstr>
    </vt:vector>
  </TitlesOfParts>
  <Company>Politecnico di Milano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009474</dc:creator>
  <cp:lastModifiedBy>Carina Negreanu</cp:lastModifiedBy>
  <dcterms:created xsi:type="dcterms:W3CDTF">2003-11-12T15:24:38Z</dcterms:created>
  <dcterms:modified xsi:type="dcterms:W3CDTF">2020-01-27T12:39:26Z</dcterms:modified>
</cp:coreProperties>
</file>