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C54EC0-822F-4A8B-81CE-45250614D998}" xr6:coauthVersionLast="45" xr6:coauthVersionMax="45" xr10:uidLastSave="{00000000-0000-0000-0000-000000000000}"/>
  <bookViews>
    <workbookView xWindow="3040" yWindow="3040" windowWidth="28800" windowHeight="15460" tabRatio="21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Sheet1!$B$5:$J$276</definedName>
    <definedName name="Total">Sheet1!$J$192:$J$207</definedName>
  </definedNames>
  <calcPr calcId="191029" iterate="1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7" i="1" l="1"/>
  <c r="E18" i="1"/>
  <c r="G18" i="1"/>
  <c r="J20" i="1"/>
  <c r="H30" i="1"/>
  <c r="J30" i="1"/>
  <c r="H31" i="1"/>
  <c r="J31" i="1"/>
  <c r="H32" i="1"/>
  <c r="J32" i="1"/>
  <c r="H33" i="1"/>
  <c r="J33" i="1"/>
  <c r="H34" i="1"/>
  <c r="J34" i="1"/>
  <c r="H35" i="1"/>
  <c r="J35" i="1"/>
  <c r="H36" i="1"/>
  <c r="J36" i="1"/>
  <c r="H37" i="1"/>
  <c r="J37" i="1"/>
  <c r="H38" i="1"/>
  <c r="J38" i="1"/>
  <c r="H39" i="1"/>
  <c r="J39" i="1"/>
  <c r="H45" i="1"/>
  <c r="I46" i="1"/>
  <c r="F64" i="1"/>
  <c r="I64" i="1" s="1"/>
  <c r="H66" i="1"/>
  <c r="I67" i="1"/>
  <c r="H80" i="1"/>
  <c r="J80" i="1"/>
  <c r="H81" i="1"/>
  <c r="J81" i="1"/>
  <c r="H82" i="1"/>
  <c r="J82" i="1"/>
  <c r="H83" i="1"/>
  <c r="J83" i="1"/>
  <c r="H84" i="1"/>
  <c r="J84" i="1"/>
  <c r="H85" i="1"/>
  <c r="J85" i="1"/>
  <c r="H86" i="1"/>
  <c r="J86" i="1"/>
  <c r="H87" i="1"/>
  <c r="J87" i="1"/>
  <c r="H88" i="1"/>
  <c r="J88" i="1"/>
  <c r="H89" i="1"/>
  <c r="J89" i="1"/>
  <c r="J95" i="1"/>
  <c r="D101" i="1"/>
  <c r="H102" i="1"/>
  <c r="H114" i="1" s="1"/>
  <c r="H103" i="1"/>
  <c r="D106" i="1"/>
  <c r="H106" i="1" s="1"/>
  <c r="E108" i="1"/>
  <c r="H108" i="1" s="1"/>
  <c r="E111" i="1"/>
  <c r="H112" i="1"/>
  <c r="H118" i="1"/>
  <c r="H126" i="1" s="1"/>
  <c r="H121" i="1"/>
  <c r="H124" i="1"/>
  <c r="F156" i="1"/>
  <c r="G156" i="1"/>
  <c r="H156" i="1"/>
  <c r="F157" i="1"/>
  <c r="G157" i="1"/>
  <c r="H157" i="1"/>
  <c r="I158" i="1"/>
  <c r="F160" i="1"/>
  <c r="I161" i="1"/>
  <c r="D163" i="1"/>
  <c r="H163" i="1" s="1"/>
  <c r="H175" i="1"/>
  <c r="H262" i="1" s="1"/>
  <c r="H181" i="1"/>
  <c r="H192" i="1" s="1"/>
  <c r="H183" i="1"/>
  <c r="H186" i="1"/>
  <c r="H189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5" i="1"/>
  <c r="I218" i="1"/>
  <c r="I223" i="1"/>
  <c r="I224" i="1"/>
  <c r="I225" i="1"/>
  <c r="I226" i="1" s="1"/>
  <c r="I233" i="1"/>
  <c r="I234" i="1"/>
  <c r="I235" i="1"/>
  <c r="I236" i="1"/>
  <c r="I237" i="1"/>
  <c r="I238" i="1"/>
  <c r="I239" i="1"/>
  <c r="I240" i="1"/>
  <c r="H260" i="1" l="1"/>
  <c r="H247" i="1"/>
  <c r="H259" i="1"/>
  <c r="H246" i="1"/>
  <c r="H253" i="1" s="1"/>
  <c r="H255" i="1" s="1"/>
  <c r="H265" i="1" s="1"/>
  <c r="H242" i="1"/>
  <c r="H261" i="1"/>
  <c r="H248" i="1"/>
  <c r="H263" i="1"/>
  <c r="H250" i="1"/>
  <c r="H249" i="1"/>
  <c r="H264" i="1" l="1"/>
  <c r="H251" i="1"/>
  <c r="H266" i="1"/>
</calcChain>
</file>

<file path=xl/sharedStrings.xml><?xml version="1.0" encoding="utf-8"?>
<sst xmlns="http://schemas.openxmlformats.org/spreadsheetml/2006/main" count="317" uniqueCount="200">
  <si>
    <t xml:space="preserve">            + (existing collections   </t>
  </si>
  <si>
    <t xml:space="preserve">   2) (Average net additions</t>
  </si>
  <si>
    <t xml:space="preserve">    Regular shelving</t>
  </si>
  <si>
    <t xml:space="preserve">    Compact shelving</t>
  </si>
  <si>
    <t>(step 3b)  -</t>
  </si>
  <si>
    <t xml:space="preserve">     (total of all the conference room seats)</t>
  </si>
  <si>
    <r>
      <t xml:space="preserve">2) </t>
    </r>
    <r>
      <rPr>
        <b/>
        <sz val="11"/>
        <rFont val="Arial"/>
        <family val="2"/>
      </rPr>
      <t>Back periodicals in storage</t>
    </r>
  </si>
  <si>
    <t>X  (projected local population</t>
  </si>
  <si>
    <t>Type in your service</t>
  </si>
  <si>
    <t>projected population</t>
  </si>
  <si>
    <t>(Step1d) left of your</t>
  </si>
  <si>
    <t xml:space="preserve">c. Projected nonresident population to be served: </t>
  </si>
  <si>
    <t>(nonresident circulation transactions       (</t>
  </si>
  <si>
    <t xml:space="preserve">circulation transactions </t>
  </si>
  <si>
    <t xml:space="preserve"> ( type 1 if not known) ÷  total  </t>
  </si>
  <si>
    <t>(type 300 if not known) =</t>
  </si>
  <si>
    <t xml:space="preserve">a. 2000 local population: </t>
  </si>
  <si>
    <t>Library Space Planning Guide Worksheet</t>
  </si>
  <si>
    <t xml:space="preserve">    LIBRARY SPACE PLANNING GUIDE WORKSHEET</t>
  </si>
  <si>
    <t xml:space="preserve">     </t>
  </si>
  <si>
    <t xml:space="preserve"> </t>
  </si>
  <si>
    <t xml:space="preserve">1) Minimum periodical titles on display using the projected population served  </t>
  </si>
  <si>
    <r>
      <t xml:space="preserve">   a.  Type in either basic or growing number from chart 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above</t>
    </r>
  </si>
  <si>
    <t xml:space="preserve">   TOTAL projected hard-copy periodicals on display</t>
  </si>
  <si>
    <t xml:space="preserve">            Minimum Number of Periodicals</t>
  </si>
  <si>
    <t xml:space="preserve">            Minimum Volumes (Books)</t>
  </si>
  <si>
    <t xml:space="preserve">            Minimum Number of Seats</t>
  </si>
  <si>
    <t xml:space="preserve">c.  Periodicals: </t>
  </si>
  <si>
    <t xml:space="preserve">   b.  Subtract periodicals that you plan to have only online </t>
  </si>
  <si>
    <t>sq. ft.</t>
  </si>
  <si>
    <t>Step 1.  Establish Service Population</t>
  </si>
  <si>
    <t>b. Projected local population for 2020 from the Office of Policy Management :</t>
  </si>
  <si>
    <t xml:space="preserve">You may choose to factor in nonresident use in your population projection.   </t>
  </si>
  <si>
    <t>) =</t>
  </si>
  <si>
    <t>d.  Service population</t>
  </si>
  <si>
    <t>Step 2A.  Collection Size</t>
  </si>
  <si>
    <t>a. Books:</t>
  </si>
  <si>
    <t>(type in either basic or growing number from</t>
  </si>
  <si>
    <t>chart on the next page)</t>
  </si>
  <si>
    <t>Population</t>
  </si>
  <si>
    <t>Core</t>
  </si>
  <si>
    <t>Basic</t>
  </si>
  <si>
    <t>Growing</t>
  </si>
  <si>
    <t>ranges</t>
  </si>
  <si>
    <t>Core plus</t>
  </si>
  <si>
    <t>vol. per</t>
  </si>
  <si>
    <t>capita</t>
  </si>
  <si>
    <t>Less than 1000</t>
  </si>
  <si>
    <t>1,001 - 2,499</t>
  </si>
  <si>
    <t>2,500 - 4,999</t>
  </si>
  <si>
    <t>5,000 - 9,999</t>
  </si>
  <si>
    <t>10,000 - 14,999</t>
  </si>
  <si>
    <t>15,000 - 24,999</t>
  </si>
  <si>
    <t>25,000 - 49,999</t>
  </si>
  <si>
    <t>50,000 - 74,999</t>
  </si>
  <si>
    <t>75,000 - 99,999</t>
  </si>
  <si>
    <t>Over 100,000</t>
  </si>
  <si>
    <t>or</t>
  </si>
  <si>
    <t>)  X 20 years =</t>
  </si>
  <si>
    <t xml:space="preserve"> + (existing collections   </t>
  </si>
  <si>
    <t xml:space="preserve">Books </t>
  </si>
  <si>
    <t>(Use Number 1, 2 , or 3)</t>
  </si>
  <si>
    <t xml:space="preserve">  </t>
  </si>
  <si>
    <t>b. Nonprint materials:</t>
  </si>
  <si>
    <r>
      <t xml:space="preserve">10%   x     book collection 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</t>
    </r>
  </si>
  <si>
    <t xml:space="preserve">  =</t>
  </si>
  <si>
    <t>sub-</t>
  </si>
  <si>
    <t>population range</t>
  </si>
  <si>
    <t>scription</t>
  </si>
  <si>
    <t>per 1000</t>
  </si>
  <si>
    <t>Step 2B.  Collection Space</t>
  </si>
  <si>
    <t>volumes</t>
  </si>
  <si>
    <t xml:space="preserve"> volumes ÷ 10 =</t>
  </si>
  <si>
    <t xml:space="preserve"> volumes ÷ 25 =</t>
  </si>
  <si>
    <t xml:space="preserve">b. Nonprint      </t>
  </si>
  <si>
    <t xml:space="preserve">    materials:   </t>
  </si>
  <si>
    <t>items  ÷  10 =</t>
  </si>
  <si>
    <t xml:space="preserve">c. Hard-copy periodicals </t>
  </si>
  <si>
    <t>titles  ÷  1.5 =</t>
  </si>
  <si>
    <t xml:space="preserve">    on display </t>
  </si>
  <si>
    <t>d.  Periodicals stored:</t>
  </si>
  <si>
    <t xml:space="preserve">titles x  .5   x </t>
  </si>
  <si>
    <t xml:space="preserve">average years retained = </t>
  </si>
  <si>
    <t>e. TOTAL (a + b+ c + d)</t>
  </si>
  <si>
    <t xml:space="preserve"> Step 3.  Public Electronic Workstations</t>
  </si>
  <si>
    <t>a. PAC's:</t>
  </si>
  <si>
    <t>PACs x 30 =</t>
  </si>
  <si>
    <t>b. Electronic workstations:</t>
  </si>
  <si>
    <t xml:space="preserve">electronic </t>
  </si>
  <si>
    <t>c. Microfilm reader/printer:</t>
  </si>
  <si>
    <t>microfilm/reader</t>
  </si>
  <si>
    <t xml:space="preserve"> printers x 35 =</t>
  </si>
  <si>
    <t>d. TOTAL (a + b+ c )</t>
  </si>
  <si>
    <t>Step 4.  User Seating Space</t>
  </si>
  <si>
    <t xml:space="preserve">User seating does not include the seats, conference rooms, meeting rooms, and staff </t>
  </si>
  <si>
    <t>work areas, unless the meeting rooms will be used for everyday library activities, such</t>
  </si>
  <si>
    <t>as quiet study or homework center.  If a meeting room is available for everyday library</t>
  </si>
  <si>
    <t xml:space="preserve">activities, such as quiet study or homework center.  If a meeting room is available for </t>
  </si>
  <si>
    <t xml:space="preserve">everyday library activities, excluding meetings, a minimum of fifty percent of the hours </t>
  </si>
  <si>
    <t xml:space="preserve">that the library is open, ten percent of the meeting room seats could be used to meet </t>
  </si>
  <si>
    <t xml:space="preserve"> the total seating requirement.  </t>
  </si>
  <si>
    <t xml:space="preserve">Document how the room will be used and staffed below or insert an addition </t>
  </si>
  <si>
    <t>sheet after this page:</t>
  </si>
  <si>
    <t xml:space="preserve">a.  Number  </t>
  </si>
  <si>
    <t>Projected populations under 10,000</t>
  </si>
  <si>
    <t>7-10 seats/each 1,000 people</t>
  </si>
  <si>
    <t xml:space="preserve">    of seats</t>
  </si>
  <si>
    <t>Projected populations over 10,000</t>
  </si>
  <si>
    <t xml:space="preserve">5 seats/each 1,000 people    </t>
  </si>
  <si>
    <t xml:space="preserve">Number </t>
  </si>
  <si>
    <t>Number</t>
  </si>
  <si>
    <t>of seats</t>
  </si>
  <si>
    <t>(per 1,000</t>
  </si>
  <si>
    <t>people)</t>
  </si>
  <si>
    <t>1,001 - 9,999</t>
  </si>
  <si>
    <t>10,000-</t>
  </si>
  <si>
    <t xml:space="preserve"># of seats (chart above)   -   </t>
  </si>
  <si>
    <t># of seats for electronic workstations</t>
  </si>
  <si>
    <t>if applicable, # of seats in the meeting room =</t>
  </si>
  <si>
    <t>seats</t>
  </si>
  <si>
    <t>b. Space for seats:</t>
  </si>
  <si>
    <t xml:space="preserve">number seats x 30 = </t>
  </si>
  <si>
    <t>Step 5.  Staff Work Space</t>
  </si>
  <si>
    <t>a.  List staff work areas:</t>
  </si>
  <si>
    <t xml:space="preserve">                                                                                    </t>
  </si>
  <si>
    <t xml:space="preserve">b.   </t>
  </si>
  <si>
    <t>stations x 150 =</t>
  </si>
  <si>
    <t>Step 6.  Meeting Room Space</t>
  </si>
  <si>
    <t xml:space="preserve">                .</t>
  </si>
  <si>
    <t xml:space="preserve">a.  General meeting space </t>
  </si>
  <si>
    <t xml:space="preserve">seats x 10 = </t>
  </si>
  <si>
    <t>b.  Conference room space</t>
  </si>
  <si>
    <t>seats x 25 =</t>
  </si>
  <si>
    <t xml:space="preserve">c.  Children’s programming </t>
  </si>
  <si>
    <t xml:space="preserve">     space (story hour)</t>
  </si>
  <si>
    <t xml:space="preserve">      Children's programming</t>
  </si>
  <si>
    <t xml:space="preserve">seats x 25 = </t>
  </si>
  <si>
    <t xml:space="preserve">      space (crafts)</t>
  </si>
  <si>
    <t>d.  TOTAL (a + b + c) =</t>
  </si>
  <si>
    <t xml:space="preserve"> Step 7.  Special-Use Space</t>
  </si>
  <si>
    <t>Item</t>
  </si>
  <si>
    <t>Multiply</t>
  </si>
  <si>
    <t>Total</t>
  </si>
  <si>
    <t>Atlas/dictionary stand</t>
  </si>
  <si>
    <t xml:space="preserve">x </t>
  </si>
  <si>
    <t>Bulletin board</t>
  </si>
  <si>
    <t>Card catalog (60-drawer, double face)</t>
  </si>
  <si>
    <t>Card catalog (60-drawer, single face)</t>
  </si>
  <si>
    <t>Display case</t>
  </si>
  <si>
    <t>Handouts (free-standing)</t>
  </si>
  <si>
    <t>Index table (six-place)</t>
  </si>
  <si>
    <t>Map file</t>
  </si>
  <si>
    <t>Microfilm cabinets</t>
  </si>
  <si>
    <t>Newspaper rack</t>
  </si>
  <si>
    <t>Paperback rack</t>
  </si>
  <si>
    <t>Photocopier</t>
  </si>
  <si>
    <t>Staff locker</t>
  </si>
  <si>
    <t>Staff lounge/break rm.          # of seats</t>
  </si>
  <si>
    <t>Study rooms(small-group)   # of seats</t>
  </si>
  <si>
    <t>Vertical files</t>
  </si>
  <si>
    <t>SUB-TOTAL (1)</t>
  </si>
  <si>
    <t>Communication room/area</t>
  </si>
  <si>
    <t>ft.  x</t>
  </si>
  <si>
    <t>ft         =</t>
  </si>
  <si>
    <t>divide</t>
  </si>
  <si>
    <t>multiply</t>
  </si>
  <si>
    <t>TOTAL</t>
  </si>
  <si>
    <t>TOTAL (TOTAL OF ALL SUBTOTALS)</t>
  </si>
  <si>
    <t xml:space="preserve"> Step 8.  Non-Assignable Space</t>
  </si>
  <si>
    <t>a. Collection space (from Collection Space 2B.e.)</t>
  </si>
  <si>
    <t xml:space="preserve">    Public electronic workstations (from 3d.)</t>
  </si>
  <si>
    <t xml:space="preserve">    User seating space (from 4b.)</t>
  </si>
  <si>
    <t xml:space="preserve">    Staff work space (from 5b.)</t>
  </si>
  <si>
    <t xml:space="preserve">    Meeting room space (from 6d.)</t>
  </si>
  <si>
    <t xml:space="preserve">    Special-use space (from 7.)</t>
  </si>
  <si>
    <t xml:space="preserve">b .SUBTOTAL </t>
  </si>
  <si>
    <t>c. Divide (SUBTOTAL) by 4</t>
  </si>
  <si>
    <t>Step 9.  Putting It All Together</t>
  </si>
  <si>
    <t xml:space="preserve">workstations x 45 = </t>
  </si>
  <si>
    <t>Total sq. ft.</t>
  </si>
  <si>
    <t>Division #</t>
  </si>
  <si>
    <t>Number of items</t>
  </si>
  <si>
    <t>books</t>
  </si>
  <si>
    <t>b. Public electronic workstations (from 3d.)</t>
  </si>
  <si>
    <t>c. User seating space (from 4b.)</t>
  </si>
  <si>
    <t>d. Staff work space (from 5b.)</t>
  </si>
  <si>
    <t>e. Meeting room space (from 6d.)</t>
  </si>
  <si>
    <t>f. Special-use space (from 7.)</t>
  </si>
  <si>
    <t>g. Non-assignable space (from 8c)</t>
  </si>
  <si>
    <t>h.  GROSS AREA NEEDED (a+b+c+d+e+f+g)</t>
  </si>
  <si>
    <r>
      <t xml:space="preserve">1 </t>
    </r>
    <r>
      <rPr>
        <sz val="11"/>
        <rFont val="Arial"/>
        <family val="2"/>
      </rPr>
      <t xml:space="preserve">Source:  </t>
    </r>
    <r>
      <rPr>
        <i/>
        <sz val="11"/>
        <rFont val="Arial"/>
        <family val="2"/>
      </rPr>
      <t>Avenues to Excellence for Public Library Service in Illinois</t>
    </r>
    <r>
      <rPr>
        <sz val="11"/>
        <rFont val="Arial"/>
        <family val="2"/>
      </rPr>
      <t xml:space="preserve"> (Springfield:  </t>
    </r>
  </si>
  <si>
    <t>Illinois State Library, 1996)</t>
  </si>
  <si>
    <t xml:space="preserve">      3)  If the library is not planning to grow at its present rate and this is supported in </t>
  </si>
  <si>
    <t xml:space="preserve">           its long range plan, the library can use a smaller collection figure as long as </t>
  </si>
  <si>
    <t xml:space="preserve">           the library can house its existing collection with some expansion.  If you are not </t>
  </si>
  <si>
    <t xml:space="preserve">           going to be growing at the rate as stated in number 2, please explain below:</t>
  </si>
  <si>
    <t xml:space="preserve">      2) (Average net additions</t>
  </si>
  <si>
    <r>
      <t xml:space="preserve">      1) Minimum volumes, as stated in the chart 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above using the population served:</t>
    </r>
  </si>
  <si>
    <t xml:space="preserve">    1) Minimum nonprint materials using projected population served =</t>
  </si>
  <si>
    <t xml:space="preserve">        Nonprint (Use Number 1 or 2 whichever is higher)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</si>
</sst>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1"/>
      <name val="Arial"/>
      <family val="2"/>
    </font>
    <font>
      <sz val="10.5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64">
    <xf numFmtId="0" fontId="0" fillId="0" borderId="0" xfId="0"/>
    <xf numFmtId="0" fontId="2" fillId="0" borderId="0" xfId="0" applyFont="1" applyProtection="1"/>
    <xf numFmtId="0" fontId="0" fillId="0" borderId="0" xfId="0" applyBorder="1" applyProtection="1"/>
    <xf numFmtId="0" fontId="0" fillId="0" borderId="0" xfId="0" applyProtection="1"/>
    <xf numFmtId="0" fontId="2" fillId="0" borderId="0" xfId="0" applyFont="1" applyFill="1" applyProtection="1"/>
    <xf numFmtId="0" fontId="6" fillId="0" borderId="0" xfId="0" applyFont="1" applyProtection="1"/>
    <xf numFmtId="0" fontId="2" fillId="2" borderId="1" xfId="0" applyFont="1" applyFill="1" applyBorder="1" applyProtection="1"/>
    <xf numFmtId="0" fontId="2" fillId="2" borderId="2" xfId="0" applyFont="1" applyFill="1" applyBorder="1" applyProtection="1"/>
    <xf numFmtId="0" fontId="2" fillId="2" borderId="3" xfId="0" applyFont="1" applyFill="1" applyBorder="1" applyProtection="1"/>
    <xf numFmtId="0" fontId="2" fillId="0" borderId="0" xfId="0" applyFont="1"/>
    <xf numFmtId="0" fontId="0" fillId="3" borderId="0" xfId="0" applyFill="1" applyProtection="1"/>
    <xf numFmtId="0" fontId="2" fillId="3" borderId="4" xfId="0" applyFont="1" applyFill="1" applyBorder="1" applyProtection="1">
      <protection locked="0"/>
    </xf>
    <xf numFmtId="0" fontId="2" fillId="3" borderId="5" xfId="0" applyFont="1" applyFill="1" applyBorder="1" applyProtection="1">
      <protection locked="0"/>
    </xf>
    <xf numFmtId="0" fontId="2" fillId="3" borderId="6" xfId="0" applyFont="1" applyFill="1" applyBorder="1" applyProtection="1">
      <protection locked="0"/>
    </xf>
    <xf numFmtId="0" fontId="2" fillId="3" borderId="7" xfId="0" applyFont="1" applyFill="1" applyBorder="1" applyProtection="1">
      <protection locked="0"/>
    </xf>
    <xf numFmtId="0" fontId="2" fillId="3" borderId="8" xfId="0" applyFont="1" applyFill="1" applyBorder="1" applyProtection="1">
      <protection locked="0"/>
    </xf>
    <xf numFmtId="0" fontId="2" fillId="3" borderId="9" xfId="0" applyFont="1" applyFill="1" applyBorder="1" applyProtection="1">
      <protection locked="0"/>
    </xf>
    <xf numFmtId="0" fontId="2" fillId="3" borderId="10" xfId="0" applyFont="1" applyFill="1" applyBorder="1" applyProtection="1">
      <protection locked="0"/>
    </xf>
    <xf numFmtId="0" fontId="2" fillId="3" borderId="0" xfId="0" applyFont="1" applyFill="1" applyBorder="1" applyProtection="1">
      <protection locked="0"/>
    </xf>
    <xf numFmtId="0" fontId="2" fillId="3" borderId="11" xfId="0" applyFont="1" applyFill="1" applyBorder="1" applyProtection="1">
      <protection locked="0"/>
    </xf>
    <xf numFmtId="3" fontId="2" fillId="3" borderId="2" xfId="0" applyNumberFormat="1" applyFont="1" applyFill="1" applyBorder="1" applyProtection="1">
      <protection locked="0"/>
    </xf>
    <xf numFmtId="0" fontId="2" fillId="3" borderId="5" xfId="0" applyFont="1" applyFill="1" applyBorder="1" applyAlignment="1" applyProtection="1">
      <alignment horizontal="left"/>
      <protection locked="0"/>
    </xf>
    <xf numFmtId="0" fontId="2" fillId="3" borderId="0" xfId="0" applyFont="1" applyFill="1" applyBorder="1" applyAlignment="1" applyProtection="1">
      <alignment horizontal="left"/>
      <protection locked="0"/>
    </xf>
    <xf numFmtId="0" fontId="2" fillId="3" borderId="8" xfId="0" applyFont="1" applyFill="1" applyBorder="1" applyAlignment="1" applyProtection="1">
      <alignment horizontal="left"/>
      <protection locked="0"/>
    </xf>
    <xf numFmtId="3" fontId="2" fillId="3" borderId="2" xfId="0" applyNumberFormat="1" applyFont="1" applyFill="1" applyBorder="1" applyAlignment="1" applyProtection="1">
      <alignment horizontal="centerContinuous"/>
      <protection locked="0"/>
    </xf>
    <xf numFmtId="3" fontId="2" fillId="3" borderId="2" xfId="0" applyNumberFormat="1" applyFont="1" applyFill="1" applyBorder="1" applyAlignment="1" applyProtection="1">
      <alignment horizontal="right"/>
      <protection locked="0"/>
    </xf>
    <xf numFmtId="0" fontId="0" fillId="2" borderId="0" xfId="0" applyFill="1" applyBorder="1" applyProtection="1"/>
    <xf numFmtId="0" fontId="0" fillId="2" borderId="12" xfId="0" applyFill="1" applyBorder="1" applyProtection="1"/>
    <xf numFmtId="0" fontId="0" fillId="2" borderId="13" xfId="0" applyFill="1" applyBorder="1" applyProtection="1"/>
    <xf numFmtId="0" fontId="0" fillId="2" borderId="14" xfId="0" applyFill="1" applyBorder="1" applyProtection="1"/>
    <xf numFmtId="0" fontId="0" fillId="2" borderId="0" xfId="0" applyFill="1" applyProtection="1"/>
    <xf numFmtId="0" fontId="2" fillId="2" borderId="0" xfId="0" applyFont="1" applyFill="1" applyProtection="1"/>
    <xf numFmtId="0" fontId="2" fillId="2" borderId="10" xfId="0" applyFont="1" applyFill="1" applyBorder="1" applyProtection="1"/>
    <xf numFmtId="0" fontId="2" fillId="2" borderId="0" xfId="0" applyFont="1" applyFill="1" applyBorder="1" applyProtection="1"/>
    <xf numFmtId="0" fontId="2" fillId="2" borderId="11" xfId="0" applyFont="1" applyFill="1" applyBorder="1" applyProtection="1"/>
    <xf numFmtId="0" fontId="10" fillId="2" borderId="0" xfId="0" applyFont="1" applyFill="1" applyProtection="1"/>
    <xf numFmtId="0" fontId="0" fillId="2" borderId="0" xfId="0" applyFill="1"/>
    <xf numFmtId="0" fontId="3" fillId="2" borderId="0" xfId="0" applyFont="1" applyFill="1" applyProtection="1"/>
    <xf numFmtId="0" fontId="2" fillId="2" borderId="5" xfId="0" applyFont="1" applyFill="1" applyBorder="1" applyProtection="1"/>
    <xf numFmtId="0" fontId="2" fillId="2" borderId="6" xfId="0" applyFont="1" applyFill="1" applyBorder="1" applyProtection="1"/>
    <xf numFmtId="0" fontId="2" fillId="2" borderId="0" xfId="0" applyFont="1" applyFill="1" applyAlignment="1" applyProtection="1">
      <alignment horizontal="left"/>
    </xf>
    <xf numFmtId="3" fontId="2" fillId="2" borderId="2" xfId="0" applyNumberFormat="1" applyFont="1" applyFill="1" applyBorder="1" applyProtection="1"/>
    <xf numFmtId="0" fontId="4" fillId="2" borderId="0" xfId="0" applyFont="1" applyFill="1" applyProtection="1"/>
    <xf numFmtId="0" fontId="2" fillId="2" borderId="0" xfId="0" applyFont="1" applyFill="1"/>
    <xf numFmtId="9" fontId="2" fillId="2" borderId="2" xfId="0" applyNumberFormat="1" applyFont="1" applyFill="1" applyBorder="1" applyAlignment="1" applyProtection="1">
      <alignment horizontal="left"/>
    </xf>
    <xf numFmtId="3" fontId="0" fillId="2" borderId="2" xfId="0" applyNumberFormat="1" applyFill="1" applyBorder="1" applyProtection="1"/>
    <xf numFmtId="0" fontId="2" fillId="2" borderId="0" xfId="0" applyFont="1" applyFill="1" applyAlignment="1" applyProtection="1"/>
    <xf numFmtId="3" fontId="2" fillId="2" borderId="0" xfId="0" applyNumberFormat="1" applyFont="1" applyFill="1" applyProtection="1"/>
    <xf numFmtId="0" fontId="2" fillId="2" borderId="15" xfId="0" applyFont="1" applyFill="1" applyBorder="1" applyProtection="1"/>
    <xf numFmtId="0" fontId="2" fillId="2" borderId="16" xfId="0" applyFont="1" applyFill="1" applyBorder="1" applyProtection="1"/>
    <xf numFmtId="0" fontId="3" fillId="2" borderId="16" xfId="0" applyFont="1" applyFill="1" applyBorder="1" applyProtection="1"/>
    <xf numFmtId="0" fontId="2" fillId="2" borderId="17" xfId="0" applyFont="1" applyFill="1" applyBorder="1" applyProtection="1"/>
    <xf numFmtId="0" fontId="8" fillId="2" borderId="18" xfId="0" applyFont="1" applyFill="1" applyBorder="1" applyProtection="1"/>
    <xf numFmtId="0" fontId="8" fillId="2" borderId="6" xfId="0" applyFont="1" applyFill="1" applyBorder="1" applyProtection="1"/>
    <xf numFmtId="0" fontId="6" fillId="2" borderId="8" xfId="0" applyFont="1" applyFill="1" applyBorder="1" applyProtection="1"/>
    <xf numFmtId="0" fontId="2" fillId="2" borderId="9" xfId="0" applyFont="1" applyFill="1" applyBorder="1" applyProtection="1"/>
    <xf numFmtId="0" fontId="6" fillId="2" borderId="19" xfId="0" applyFont="1" applyFill="1" applyBorder="1" applyProtection="1"/>
    <xf numFmtId="0" fontId="6" fillId="2" borderId="20" xfId="0" applyFont="1" applyFill="1" applyBorder="1" applyProtection="1"/>
    <xf numFmtId="0" fontId="8" fillId="2" borderId="14" xfId="0" applyFont="1" applyFill="1" applyBorder="1" applyProtection="1"/>
    <xf numFmtId="0" fontId="8" fillId="2" borderId="11" xfId="0" applyFont="1" applyFill="1" applyBorder="1" applyProtection="1"/>
    <xf numFmtId="0" fontId="6" fillId="2" borderId="0" xfId="0" applyFont="1" applyFill="1" applyBorder="1" applyProtection="1"/>
    <xf numFmtId="0" fontId="0" fillId="2" borderId="21" xfId="0" applyFill="1" applyBorder="1" applyProtection="1"/>
    <xf numFmtId="0" fontId="8" fillId="2" borderId="21" xfId="0" applyFont="1" applyFill="1" applyBorder="1" applyProtection="1"/>
    <xf numFmtId="0" fontId="2" fillId="2" borderId="21" xfId="0" applyFont="1" applyFill="1" applyBorder="1" applyProtection="1"/>
    <xf numFmtId="0" fontId="2" fillId="2" borderId="22" xfId="0" applyFont="1" applyFill="1" applyBorder="1" applyProtection="1"/>
    <xf numFmtId="0" fontId="0" fillId="2" borderId="19" xfId="0" applyFill="1" applyBorder="1" applyProtection="1"/>
    <xf numFmtId="0" fontId="2" fillId="2" borderId="23" xfId="0" applyFont="1" applyFill="1" applyBorder="1" applyProtection="1"/>
    <xf numFmtId="3" fontId="0" fillId="2" borderId="1" xfId="0" applyNumberFormat="1" applyFill="1" applyBorder="1" applyProtection="1"/>
    <xf numFmtId="0" fontId="2" fillId="2" borderId="2" xfId="0" applyFont="1" applyFill="1" applyBorder="1" applyAlignment="1" applyProtection="1">
      <alignment horizontal="right"/>
    </xf>
    <xf numFmtId="0" fontId="0" fillId="2" borderId="2" xfId="0" applyFill="1" applyBorder="1" applyProtection="1"/>
    <xf numFmtId="3" fontId="2" fillId="2" borderId="24" xfId="0" applyNumberFormat="1" applyFont="1" applyFill="1" applyBorder="1" applyProtection="1"/>
    <xf numFmtId="0" fontId="2" fillId="2" borderId="8" xfId="0" applyFont="1" applyFill="1" applyBorder="1" applyProtection="1"/>
    <xf numFmtId="0" fontId="2" fillId="2" borderId="19" xfId="0" applyFont="1" applyFill="1" applyBorder="1" applyAlignment="1" applyProtection="1">
      <alignment horizontal="right"/>
    </xf>
    <xf numFmtId="3" fontId="2" fillId="2" borderId="19" xfId="0" applyNumberFormat="1" applyFont="1" applyFill="1" applyBorder="1" applyProtection="1"/>
    <xf numFmtId="3" fontId="2" fillId="2" borderId="25" xfId="0" applyNumberFormat="1" applyFont="1" applyFill="1" applyBorder="1" applyProtection="1"/>
    <xf numFmtId="0" fontId="2" fillId="2" borderId="26" xfId="0" applyFont="1" applyFill="1" applyBorder="1" applyProtection="1"/>
    <xf numFmtId="3" fontId="0" fillId="2" borderId="3" xfId="0" applyNumberFormat="1" applyFill="1" applyBorder="1" applyProtection="1"/>
    <xf numFmtId="0" fontId="2" fillId="2" borderId="27" xfId="0" applyFont="1" applyFill="1" applyBorder="1" applyAlignment="1" applyProtection="1">
      <alignment horizontal="right"/>
    </xf>
    <xf numFmtId="3" fontId="2" fillId="2" borderId="27" xfId="0" applyNumberFormat="1" applyFont="1" applyFill="1" applyBorder="1" applyProtection="1"/>
    <xf numFmtId="0" fontId="0" fillId="2" borderId="3" xfId="0" applyFill="1" applyBorder="1" applyProtection="1"/>
    <xf numFmtId="3" fontId="2" fillId="2" borderId="28" xfId="0" applyNumberFormat="1" applyFont="1" applyFill="1" applyBorder="1" applyProtection="1"/>
    <xf numFmtId="3" fontId="2" fillId="2" borderId="0" xfId="0" applyNumberFormat="1" applyFont="1" applyFill="1" applyBorder="1" applyProtection="1"/>
    <xf numFmtId="3" fontId="0" fillId="2" borderId="0" xfId="0" applyNumberFormat="1" applyFill="1" applyBorder="1" applyProtection="1"/>
    <xf numFmtId="0" fontId="2" fillId="2" borderId="0" xfId="0" applyFont="1" applyFill="1" applyBorder="1" applyAlignment="1" applyProtection="1">
      <alignment horizontal="right"/>
    </xf>
    <xf numFmtId="3" fontId="2" fillId="2" borderId="29" xfId="0" applyNumberFormat="1" applyFont="1" applyFill="1" applyBorder="1" applyAlignment="1" applyProtection="1">
      <alignment horizontal="centerContinuous"/>
    </xf>
    <xf numFmtId="0" fontId="2" fillId="2" borderId="30" xfId="0" applyFont="1" applyFill="1" applyBorder="1" applyAlignment="1" applyProtection="1">
      <alignment horizontal="centerContinuous"/>
    </xf>
    <xf numFmtId="0" fontId="3" fillId="2" borderId="0" xfId="0" applyFont="1" applyFill="1" applyAlignment="1" applyProtection="1">
      <alignment horizontal="right"/>
    </xf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6" fillId="2" borderId="5" xfId="0" applyFont="1" applyFill="1" applyBorder="1" applyProtection="1"/>
    <xf numFmtId="0" fontId="6" fillId="2" borderId="1" xfId="0" applyFont="1" applyFill="1" applyBorder="1" applyProtection="1"/>
    <xf numFmtId="0" fontId="6" fillId="2" borderId="4" xfId="0" applyFont="1" applyFill="1" applyBorder="1" applyProtection="1"/>
    <xf numFmtId="0" fontId="6" fillId="2" borderId="31" xfId="0" applyFont="1" applyFill="1" applyBorder="1" applyProtection="1"/>
    <xf numFmtId="0" fontId="4" fillId="2" borderId="21" xfId="0" applyFont="1" applyFill="1" applyBorder="1" applyProtection="1"/>
    <xf numFmtId="0" fontId="2" fillId="2" borderId="32" xfId="0" applyFont="1" applyFill="1" applyBorder="1" applyProtection="1"/>
    <xf numFmtId="0" fontId="4" fillId="2" borderId="19" xfId="0" applyFont="1" applyFill="1" applyBorder="1" applyProtection="1"/>
    <xf numFmtId="0" fontId="2" fillId="2" borderId="7" xfId="0" applyFont="1" applyFill="1" applyBorder="1" applyProtection="1"/>
    <xf numFmtId="0" fontId="2" fillId="2" borderId="25" xfId="0" applyFont="1" applyFill="1" applyBorder="1" applyProtection="1"/>
    <xf numFmtId="0" fontId="2" fillId="2" borderId="14" xfId="0" applyFont="1" applyFill="1" applyBorder="1" applyProtection="1"/>
    <xf numFmtId="0" fontId="2" fillId="2" borderId="29" xfId="0" applyFont="1" applyFill="1" applyBorder="1" applyProtection="1"/>
    <xf numFmtId="0" fontId="2" fillId="2" borderId="30" xfId="0" applyFont="1" applyFill="1" applyBorder="1" applyProtection="1"/>
    <xf numFmtId="0" fontId="2" fillId="2" borderId="24" xfId="0" applyFont="1" applyFill="1" applyBorder="1" applyProtection="1"/>
    <xf numFmtId="3" fontId="2" fillId="2" borderId="3" xfId="0" applyNumberFormat="1" applyFont="1" applyFill="1" applyBorder="1" applyProtection="1"/>
    <xf numFmtId="3" fontId="2" fillId="2" borderId="33" xfId="0" applyNumberFormat="1" applyFont="1" applyFill="1" applyBorder="1" applyProtection="1"/>
    <xf numFmtId="3" fontId="2" fillId="2" borderId="2" xfId="0" applyNumberFormat="1" applyFont="1" applyFill="1" applyBorder="1" applyAlignment="1" applyProtection="1">
      <alignment horizontal="right"/>
    </xf>
    <xf numFmtId="0" fontId="0" fillId="2" borderId="30" xfId="0" applyFill="1" applyBorder="1" applyAlignment="1" applyProtection="1">
      <alignment horizontal="centerContinuous"/>
    </xf>
    <xf numFmtId="3" fontId="2" fillId="2" borderId="30" xfId="0" applyNumberFormat="1" applyFont="1" applyFill="1" applyBorder="1" applyAlignment="1" applyProtection="1">
      <alignment horizontal="centerContinuous"/>
    </xf>
    <xf numFmtId="0" fontId="7" fillId="2" borderId="0" xfId="0" applyFont="1" applyFill="1" applyProtection="1"/>
    <xf numFmtId="3" fontId="2" fillId="2" borderId="2" xfId="0" applyNumberFormat="1" applyFont="1" applyFill="1" applyBorder="1" applyAlignment="1" applyProtection="1">
      <alignment horizontal="centerContinuous"/>
    </xf>
    <xf numFmtId="0" fontId="6" fillId="2" borderId="0" xfId="0" applyFont="1" applyFill="1" applyProtection="1"/>
    <xf numFmtId="0" fontId="2" fillId="2" borderId="34" xfId="0" applyFont="1" applyFill="1" applyBorder="1" applyProtection="1"/>
    <xf numFmtId="0" fontId="2" fillId="2" borderId="12" xfId="0" applyFont="1" applyFill="1" applyBorder="1" applyProtection="1"/>
    <xf numFmtId="0" fontId="3" fillId="2" borderId="12" xfId="0" applyFont="1" applyFill="1" applyBorder="1" applyProtection="1"/>
    <xf numFmtId="0" fontId="2" fillId="2" borderId="35" xfId="0" applyFont="1" applyFill="1" applyBorder="1" applyProtection="1"/>
    <xf numFmtId="0" fontId="2" fillId="2" borderId="36" xfId="0" applyFont="1" applyFill="1" applyBorder="1" applyProtection="1"/>
    <xf numFmtId="0" fontId="2" fillId="2" borderId="37" xfId="0" applyFont="1" applyFill="1" applyBorder="1" applyProtection="1"/>
    <xf numFmtId="0" fontId="2" fillId="2" borderId="38" xfId="0" applyFont="1" applyFill="1" applyBorder="1" applyProtection="1"/>
    <xf numFmtId="0" fontId="7" fillId="2" borderId="36" xfId="0" applyFont="1" applyFill="1" applyBorder="1" applyProtection="1"/>
    <xf numFmtId="0" fontId="7" fillId="2" borderId="37" xfId="0" applyFont="1" applyFill="1" applyBorder="1" applyProtection="1"/>
    <xf numFmtId="0" fontId="7" fillId="2" borderId="39" xfId="0" applyFont="1" applyFill="1" applyBorder="1" applyProtection="1"/>
    <xf numFmtId="0" fontId="7" fillId="2" borderId="7" xfId="0" applyFont="1" applyFill="1" applyBorder="1" applyProtection="1"/>
    <xf numFmtId="0" fontId="7" fillId="2" borderId="8" xfId="0" applyFont="1" applyFill="1" applyBorder="1" applyProtection="1"/>
    <xf numFmtId="0" fontId="7" fillId="2" borderId="20" xfId="0" applyFont="1" applyFill="1" applyBorder="1" applyProtection="1"/>
    <xf numFmtId="0" fontId="2" fillId="2" borderId="13" xfId="0" applyFont="1" applyFill="1" applyBorder="1" applyProtection="1"/>
    <xf numFmtId="0" fontId="2" fillId="2" borderId="21" xfId="0" applyFont="1" applyFill="1" applyBorder="1" applyAlignment="1" applyProtection="1">
      <alignment horizontal="center"/>
    </xf>
    <xf numFmtId="3" fontId="2" fillId="2" borderId="1" xfId="0" applyNumberFormat="1" applyFont="1" applyFill="1" applyBorder="1" applyAlignment="1" applyProtection="1"/>
    <xf numFmtId="3" fontId="2" fillId="2" borderId="1" xfId="0" applyNumberFormat="1" applyFont="1" applyFill="1" applyBorder="1" applyProtection="1"/>
    <xf numFmtId="0" fontId="2" fillId="2" borderId="40" xfId="0" applyFont="1" applyFill="1" applyBorder="1" applyProtection="1"/>
    <xf numFmtId="0" fontId="2" fillId="2" borderId="41" xfId="0" applyFont="1" applyFill="1" applyBorder="1" applyProtection="1"/>
    <xf numFmtId="0" fontId="2" fillId="2" borderId="0" xfId="0" applyFont="1" applyFill="1" applyAlignment="1" applyProtection="1">
      <alignment horizontal="centerContinuous"/>
    </xf>
    <xf numFmtId="1" fontId="2" fillId="2" borderId="2" xfId="0" applyNumberFormat="1" applyFont="1" applyFill="1" applyBorder="1" applyAlignment="1" applyProtection="1">
      <alignment horizontal="centerContinuous"/>
    </xf>
    <xf numFmtId="37" fontId="2" fillId="2" borderId="29" xfId="1" applyNumberFormat="1" applyFont="1" applyFill="1" applyBorder="1" applyAlignment="1" applyProtection="1">
      <alignment horizontal="centerContinuous"/>
    </xf>
    <xf numFmtId="3" fontId="6" fillId="2" borderId="29" xfId="0" applyNumberFormat="1" applyFont="1" applyFill="1" applyBorder="1" applyAlignment="1" applyProtection="1">
      <alignment horizontal="centerContinuous"/>
    </xf>
    <xf numFmtId="0" fontId="6" fillId="2" borderId="30" xfId="0" applyFont="1" applyFill="1" applyBorder="1" applyAlignment="1" applyProtection="1">
      <alignment horizontal="centerContinuous"/>
    </xf>
    <xf numFmtId="0" fontId="5" fillId="2" borderId="0" xfId="0" applyFont="1" applyFill="1" applyProtection="1"/>
    <xf numFmtId="0" fontId="0" fillId="4" borderId="0" xfId="0" applyFill="1" applyProtection="1"/>
    <xf numFmtId="0" fontId="2" fillId="4" borderId="0" xfId="0" applyFont="1" applyFill="1" applyProtection="1"/>
    <xf numFmtId="0" fontId="0" fillId="4" borderId="0" xfId="0" applyFill="1"/>
    <xf numFmtId="0" fontId="2" fillId="4" borderId="0" xfId="0" applyFont="1" applyFill="1"/>
    <xf numFmtId="0" fontId="0" fillId="4" borderId="0" xfId="0" applyFill="1" applyBorder="1" applyProtection="1"/>
    <xf numFmtId="0" fontId="6" fillId="4" borderId="0" xfId="0" applyFont="1" applyFill="1" applyProtection="1"/>
    <xf numFmtId="3" fontId="2" fillId="3" borderId="2" xfId="0" applyNumberFormat="1" applyFont="1" applyFill="1" applyBorder="1" applyAlignment="1" applyProtection="1">
      <alignment horizontal="left"/>
      <protection locked="0"/>
    </xf>
    <xf numFmtId="0" fontId="0" fillId="3" borderId="5" xfId="0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2" fillId="3" borderId="2" xfId="0" applyFont="1" applyFill="1" applyBorder="1" applyAlignment="1" applyProtection="1">
      <alignment horizontal="left"/>
      <protection locked="0"/>
    </xf>
    <xf numFmtId="0" fontId="2" fillId="3" borderId="19" xfId="0" applyFont="1" applyFill="1" applyBorder="1" applyProtection="1">
      <protection locked="0"/>
    </xf>
    <xf numFmtId="0" fontId="2" fillId="3" borderId="29" xfId="0" applyFont="1" applyFill="1" applyBorder="1" applyProtection="1">
      <protection locked="0"/>
    </xf>
    <xf numFmtId="0" fontId="3" fillId="2" borderId="0" xfId="0" applyFont="1" applyFill="1" applyAlignment="1">
      <alignment horizontal="left"/>
    </xf>
    <xf numFmtId="3" fontId="6" fillId="2" borderId="0" xfId="0" applyNumberFormat="1" applyFont="1" applyFill="1" applyBorder="1" applyAlignment="1" applyProtection="1">
      <alignment horizontal="centerContinuous"/>
    </xf>
    <xf numFmtId="0" fontId="6" fillId="2" borderId="0" xfId="0" applyFont="1" applyFill="1" applyBorder="1" applyAlignment="1" applyProtection="1">
      <alignment horizontal="centerContinuous"/>
    </xf>
    <xf numFmtId="3" fontId="2" fillId="3" borderId="42" xfId="0" applyNumberFormat="1" applyFont="1" applyFill="1" applyBorder="1" applyAlignment="1" applyProtection="1">
      <protection locked="0"/>
    </xf>
    <xf numFmtId="0" fontId="0" fillId="3" borderId="30" xfId="0" applyFill="1" applyBorder="1" applyAlignment="1"/>
    <xf numFmtId="3" fontId="2" fillId="3" borderId="29" xfId="0" applyNumberFormat="1" applyFont="1" applyFill="1" applyBorder="1" applyAlignment="1" applyProtection="1">
      <alignment horizontal="left"/>
      <protection locked="0"/>
    </xf>
    <xf numFmtId="0" fontId="0" fillId="3" borderId="30" xfId="0" applyFill="1" applyBorder="1" applyAlignment="1" applyProtection="1">
      <alignment horizontal="left"/>
      <protection locked="0"/>
    </xf>
    <xf numFmtId="3" fontId="2" fillId="3" borderId="29" xfId="0" applyNumberFormat="1" applyFont="1" applyFill="1" applyBorder="1" applyAlignment="1" applyProtection="1">
      <alignment horizontal="center"/>
      <protection locked="0"/>
    </xf>
    <xf numFmtId="0" fontId="0" fillId="3" borderId="30" xfId="0" applyFill="1" applyBorder="1" applyAlignment="1" applyProtection="1">
      <alignment horizontal="center"/>
      <protection locked="0"/>
    </xf>
    <xf numFmtId="0" fontId="2" fillId="3" borderId="29" xfId="0" applyFont="1" applyFill="1" applyBorder="1" applyAlignment="1" applyProtection="1">
      <alignment horizontal="center"/>
      <protection locked="0"/>
    </xf>
    <xf numFmtId="0" fontId="0" fillId="3" borderId="23" xfId="0" applyFill="1" applyBorder="1" applyAlignment="1" applyProtection="1">
      <alignment horizontal="center"/>
      <protection locked="0"/>
    </xf>
    <xf numFmtId="3" fontId="2" fillId="3" borderId="29" xfId="0" applyNumberFormat="1" applyFont="1" applyFill="1" applyBorder="1" applyAlignment="1" applyProtection="1">
      <protection locked="0"/>
    </xf>
    <xf numFmtId="0" fontId="0" fillId="3" borderId="30" xfId="0" applyFill="1" applyBorder="1" applyAlignment="1" applyProtection="1">
      <protection locked="0"/>
    </xf>
    <xf numFmtId="0" fontId="2" fillId="3" borderId="42" xfId="0" applyFont="1" applyFill="1" applyBorder="1" applyAlignment="1" applyProtection="1">
      <protection locked="0"/>
    </xf>
    <xf numFmtId="3" fontId="2" fillId="3" borderId="30" xfId="0" applyNumberFormat="1" applyFont="1" applyFill="1" applyBorder="1" applyAlignment="1" applyProtection="1">
      <alignment horizontal="left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wmf"/><Relationship Id="rId10" Type="http://schemas.openxmlformats.org/officeDocument/2006/relationships/image" Target="../media/image10.wmf"/><Relationship Id="rId4" Type="http://schemas.openxmlformats.org/officeDocument/2006/relationships/image" Target="../media/image4.wmf"/><Relationship Id="rId9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F4D0BB88-3867-49F6-8DC4-C35C92B376C5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8A2E67E6-9323-4D13-8365-E6C5670F6FB5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DACA053C-4E55-4A26-AF1F-CCAAB61269B0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F90100A3-6C8F-48EF-9FF5-EF9169C35F39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E3220741-8D15-4756-AF99-FFC92741C714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A61BB933-CC06-4FAB-9FE4-5DE3AD6B70B6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84AB2F88-F6AC-43CD-9CB7-EF668229597F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2F9DB939-FFDA-4B2A-92F8-8F14D37472DA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B23901BF-AE00-4A11-9EE8-321A0E2E3DE1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CC338209-F883-4479-B833-0A9CBB200FB8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ED372683-1D58-438B-9A46-A1AC9AB971DD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0F2CF202-92BE-4330-8800-FB048381E351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29E2D321-52C9-40EA-A9F4-7FB7B3775FCC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628C66ED-DA72-441A-9AB8-CAD4CDD3ED21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8FAC78F2-FECD-491C-A301-F39C78227037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14321C10-DFCB-4B5B-88E8-7C61B63CBD91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DC3BCD5F-508F-4D58-9A5F-406C4FA348E6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FAEA0814-83C5-476B-9B30-EB9C429A2D3B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30CF89DC-6E92-49E9-9231-8DFC892C21E6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F8C484D9-08E5-4B4C-BFA2-8E8E9FEC4150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B6C5761B-BA72-4C99-A60E-22013989FAE1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0ED172E4-BA63-4A4B-85BA-04F0FF90F04D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59D51BF4-B28B-4369-94DF-0072F0E91813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88B1FCB1-6B7D-44FD-95C8-1029C848C61B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2F863031-80DC-4E5B-A199-389B4541A9EA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1FB4F382-ED72-45B3-9861-8578B67A57C2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4DE421E2-84E9-4432-B852-A119D526DC67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0954DBEF-3587-43E1-B8C1-E65FFD7D4612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6E1C1F5E-6D5B-4C7A-AC3E-47D7232B2B15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BC5A17A8-ED8F-490D-A738-1286E99634AF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88F3E439-B47C-4B5A-8596-A8D82FE34825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D8C468D6-03E9-4F37-BE82-2001B51117EA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D523384E-725C-4937-83F6-6E4A4566CBF7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A7F407CF-30C0-48C7-BAD4-9AB52A0F93E3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A25DA295-6E15-460C-8AB0-808C4687E07C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17B56A60-9444-402D-9317-DF13AF3E1505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95AF9788-E7D3-4BF7-818C-167FBA469FDF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D908D644-19DC-4644-A56C-F16D1F5D65FD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CFC3F136-7918-4F34-AD22-0444504ADD5B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68" name="Line 44">
          <a:extLst>
            <a:ext uri="{FF2B5EF4-FFF2-40B4-BE49-F238E27FC236}">
              <a16:creationId xmlns:a16="http://schemas.microsoft.com/office/drawing/2014/main" id="{77A11904-656D-42A9-AC23-7CAE9719F307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A440B1F9-D393-47E3-B152-B18FF104FFA4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70" name="Line 46">
          <a:extLst>
            <a:ext uri="{FF2B5EF4-FFF2-40B4-BE49-F238E27FC236}">
              <a16:creationId xmlns:a16="http://schemas.microsoft.com/office/drawing/2014/main" id="{931460E5-81DD-424E-B4E4-A2F09991E947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AEFD8309-F339-4C42-8384-8CD4B3DC758A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72" name="Line 48">
          <a:extLst>
            <a:ext uri="{FF2B5EF4-FFF2-40B4-BE49-F238E27FC236}">
              <a16:creationId xmlns:a16="http://schemas.microsoft.com/office/drawing/2014/main" id="{B85D79A7-4DC5-4481-8C69-869718012B00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77CAC52C-3CC8-4213-83E7-8670D1F29041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4F078D2B-5E64-437B-8FD1-4092C19DE162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75" name="Line 51">
          <a:extLst>
            <a:ext uri="{FF2B5EF4-FFF2-40B4-BE49-F238E27FC236}">
              <a16:creationId xmlns:a16="http://schemas.microsoft.com/office/drawing/2014/main" id="{DA1446D0-6568-4846-8B64-0131F38909FA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76" name="Line 52">
          <a:extLst>
            <a:ext uri="{FF2B5EF4-FFF2-40B4-BE49-F238E27FC236}">
              <a16:creationId xmlns:a16="http://schemas.microsoft.com/office/drawing/2014/main" id="{3D697141-662D-4D07-9487-E019D01920D9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77" name="Line 53">
          <a:extLst>
            <a:ext uri="{FF2B5EF4-FFF2-40B4-BE49-F238E27FC236}">
              <a16:creationId xmlns:a16="http://schemas.microsoft.com/office/drawing/2014/main" id="{31C7ABD5-9F55-4102-BA19-2AC76903801D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78" name="Line 54">
          <a:extLst>
            <a:ext uri="{FF2B5EF4-FFF2-40B4-BE49-F238E27FC236}">
              <a16:creationId xmlns:a16="http://schemas.microsoft.com/office/drawing/2014/main" id="{8D75821A-C6C9-464E-AE24-B5F897E6B04E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79" name="Line 55">
          <a:extLst>
            <a:ext uri="{FF2B5EF4-FFF2-40B4-BE49-F238E27FC236}">
              <a16:creationId xmlns:a16="http://schemas.microsoft.com/office/drawing/2014/main" id="{75C65411-1472-4D35-915C-D56E4716C74B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80" name="Line 56">
          <a:extLst>
            <a:ext uri="{FF2B5EF4-FFF2-40B4-BE49-F238E27FC236}">
              <a16:creationId xmlns:a16="http://schemas.microsoft.com/office/drawing/2014/main" id="{DB2FD6C2-D17D-402B-8239-E39FA3C7F118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81" name="Line 57">
          <a:extLst>
            <a:ext uri="{FF2B5EF4-FFF2-40B4-BE49-F238E27FC236}">
              <a16:creationId xmlns:a16="http://schemas.microsoft.com/office/drawing/2014/main" id="{C6DCFA5C-C657-4322-9817-E5CD134017C9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82" name="Line 58">
          <a:extLst>
            <a:ext uri="{FF2B5EF4-FFF2-40B4-BE49-F238E27FC236}">
              <a16:creationId xmlns:a16="http://schemas.microsoft.com/office/drawing/2014/main" id="{E03BFDDD-6970-45EE-9882-2E3BDE5763DA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83" name="Line 59">
          <a:extLst>
            <a:ext uri="{FF2B5EF4-FFF2-40B4-BE49-F238E27FC236}">
              <a16:creationId xmlns:a16="http://schemas.microsoft.com/office/drawing/2014/main" id="{0ADD03AD-55C0-48B5-BFD3-8F4B0EDC3E71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84" name="Line 60">
          <a:extLst>
            <a:ext uri="{FF2B5EF4-FFF2-40B4-BE49-F238E27FC236}">
              <a16:creationId xmlns:a16="http://schemas.microsoft.com/office/drawing/2014/main" id="{4CC8ECDA-376D-4446-BE97-566C03E034D4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85" name="Line 61">
          <a:extLst>
            <a:ext uri="{FF2B5EF4-FFF2-40B4-BE49-F238E27FC236}">
              <a16:creationId xmlns:a16="http://schemas.microsoft.com/office/drawing/2014/main" id="{B89D5C04-E3F4-4A5D-A3FD-09C0E674B33C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86" name="Line 62">
          <a:extLst>
            <a:ext uri="{FF2B5EF4-FFF2-40B4-BE49-F238E27FC236}">
              <a16:creationId xmlns:a16="http://schemas.microsoft.com/office/drawing/2014/main" id="{34B51D94-56B2-4130-934E-CCFEA4CA3BF1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87" name="Line 63">
          <a:extLst>
            <a:ext uri="{FF2B5EF4-FFF2-40B4-BE49-F238E27FC236}">
              <a16:creationId xmlns:a16="http://schemas.microsoft.com/office/drawing/2014/main" id="{57432AC4-1ED4-4878-9842-71C87351022F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88" name="Line 64">
          <a:extLst>
            <a:ext uri="{FF2B5EF4-FFF2-40B4-BE49-F238E27FC236}">
              <a16:creationId xmlns:a16="http://schemas.microsoft.com/office/drawing/2014/main" id="{2DBBD364-C751-4681-9932-BFBD98D74DE8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89" name="Line 65">
          <a:extLst>
            <a:ext uri="{FF2B5EF4-FFF2-40B4-BE49-F238E27FC236}">
              <a16:creationId xmlns:a16="http://schemas.microsoft.com/office/drawing/2014/main" id="{D484E97C-62FC-4B6C-B809-C989F963FD9E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90" name="Line 66">
          <a:extLst>
            <a:ext uri="{FF2B5EF4-FFF2-40B4-BE49-F238E27FC236}">
              <a16:creationId xmlns:a16="http://schemas.microsoft.com/office/drawing/2014/main" id="{4EDB22F0-DD72-4138-A650-E24F7FB7AB04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91" name="Line 67">
          <a:extLst>
            <a:ext uri="{FF2B5EF4-FFF2-40B4-BE49-F238E27FC236}">
              <a16:creationId xmlns:a16="http://schemas.microsoft.com/office/drawing/2014/main" id="{ED3998EA-E76E-4B22-A2D6-A237860E1921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92" name="Line 68">
          <a:extLst>
            <a:ext uri="{FF2B5EF4-FFF2-40B4-BE49-F238E27FC236}">
              <a16:creationId xmlns:a16="http://schemas.microsoft.com/office/drawing/2014/main" id="{81EB4C75-810B-4AB7-B3C1-6189910CA219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93" name="Line 69">
          <a:extLst>
            <a:ext uri="{FF2B5EF4-FFF2-40B4-BE49-F238E27FC236}">
              <a16:creationId xmlns:a16="http://schemas.microsoft.com/office/drawing/2014/main" id="{3B98348A-F319-4567-A812-5E39BA4F22A6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94" name="Line 70">
          <a:extLst>
            <a:ext uri="{FF2B5EF4-FFF2-40B4-BE49-F238E27FC236}">
              <a16:creationId xmlns:a16="http://schemas.microsoft.com/office/drawing/2014/main" id="{9D322CD8-C609-4B7B-9273-1BEF76BD9CC8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95" name="Line 71">
          <a:extLst>
            <a:ext uri="{FF2B5EF4-FFF2-40B4-BE49-F238E27FC236}">
              <a16:creationId xmlns:a16="http://schemas.microsoft.com/office/drawing/2014/main" id="{496FBD61-EC5F-4BF3-8104-39443CE84E24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096" name="Line 72">
          <a:extLst>
            <a:ext uri="{FF2B5EF4-FFF2-40B4-BE49-F238E27FC236}">
              <a16:creationId xmlns:a16="http://schemas.microsoft.com/office/drawing/2014/main" id="{A24EC370-399E-46F5-B60D-250559C9E83A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097" name="Line 73">
          <a:extLst>
            <a:ext uri="{FF2B5EF4-FFF2-40B4-BE49-F238E27FC236}">
              <a16:creationId xmlns:a16="http://schemas.microsoft.com/office/drawing/2014/main" id="{1E8334FC-2403-460E-AB19-69940129EA6A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098" name="Line 74">
          <a:extLst>
            <a:ext uri="{FF2B5EF4-FFF2-40B4-BE49-F238E27FC236}">
              <a16:creationId xmlns:a16="http://schemas.microsoft.com/office/drawing/2014/main" id="{DF33D29A-19EF-4E3C-B4D4-9399626EFBB0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099" name="Line 75">
          <a:extLst>
            <a:ext uri="{FF2B5EF4-FFF2-40B4-BE49-F238E27FC236}">
              <a16:creationId xmlns:a16="http://schemas.microsoft.com/office/drawing/2014/main" id="{0AC56D55-645D-485F-8EBC-3F78F63648C8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00" name="Line 76">
          <a:extLst>
            <a:ext uri="{FF2B5EF4-FFF2-40B4-BE49-F238E27FC236}">
              <a16:creationId xmlns:a16="http://schemas.microsoft.com/office/drawing/2014/main" id="{CA818CF6-EBCE-41A6-9AA0-70D101DD8491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01" name="Line 77">
          <a:extLst>
            <a:ext uri="{FF2B5EF4-FFF2-40B4-BE49-F238E27FC236}">
              <a16:creationId xmlns:a16="http://schemas.microsoft.com/office/drawing/2014/main" id="{980E7039-E9C4-4E05-BAC2-90D13B87CB7C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02" name="Line 78">
          <a:extLst>
            <a:ext uri="{FF2B5EF4-FFF2-40B4-BE49-F238E27FC236}">
              <a16:creationId xmlns:a16="http://schemas.microsoft.com/office/drawing/2014/main" id="{305898F4-C3F6-40FB-B259-DCCB0FB0668F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0301E4AF-C219-4F58-87E7-0D5FCFADD02D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1B30D276-B213-4654-A71D-CFB4E9F69557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05" name="Line 81">
          <a:extLst>
            <a:ext uri="{FF2B5EF4-FFF2-40B4-BE49-F238E27FC236}">
              <a16:creationId xmlns:a16="http://schemas.microsoft.com/office/drawing/2014/main" id="{9E1C4589-DA10-4351-BA33-AD677D4A81FD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06" name="Line 82">
          <a:extLst>
            <a:ext uri="{FF2B5EF4-FFF2-40B4-BE49-F238E27FC236}">
              <a16:creationId xmlns:a16="http://schemas.microsoft.com/office/drawing/2014/main" id="{94D79E53-1CD9-4CF2-87CB-AAE89ECAE43D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07" name="Line 83">
          <a:extLst>
            <a:ext uri="{FF2B5EF4-FFF2-40B4-BE49-F238E27FC236}">
              <a16:creationId xmlns:a16="http://schemas.microsoft.com/office/drawing/2014/main" id="{C46AC508-4BDF-4BCA-99CF-E6FB782C96B1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08" name="Line 84">
          <a:extLst>
            <a:ext uri="{FF2B5EF4-FFF2-40B4-BE49-F238E27FC236}">
              <a16:creationId xmlns:a16="http://schemas.microsoft.com/office/drawing/2014/main" id="{E9498DB4-42CE-4DF3-9705-127F459E6895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09" name="Line 85">
          <a:extLst>
            <a:ext uri="{FF2B5EF4-FFF2-40B4-BE49-F238E27FC236}">
              <a16:creationId xmlns:a16="http://schemas.microsoft.com/office/drawing/2014/main" id="{E4FBDB16-872C-4CA9-9063-326BA2387C20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10" name="Line 86">
          <a:extLst>
            <a:ext uri="{FF2B5EF4-FFF2-40B4-BE49-F238E27FC236}">
              <a16:creationId xmlns:a16="http://schemas.microsoft.com/office/drawing/2014/main" id="{53D1D80B-F2C3-4384-A56B-B2ADA165F4E3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11" name="Line 87">
          <a:extLst>
            <a:ext uri="{FF2B5EF4-FFF2-40B4-BE49-F238E27FC236}">
              <a16:creationId xmlns:a16="http://schemas.microsoft.com/office/drawing/2014/main" id="{B4D33FD8-6037-443E-8EFA-54E21B6C4C38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12" name="Line 88">
          <a:extLst>
            <a:ext uri="{FF2B5EF4-FFF2-40B4-BE49-F238E27FC236}">
              <a16:creationId xmlns:a16="http://schemas.microsoft.com/office/drawing/2014/main" id="{1B9D3D22-DB2C-4C30-85D2-3F7B4F3413BC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13" name="Line 89">
          <a:extLst>
            <a:ext uri="{FF2B5EF4-FFF2-40B4-BE49-F238E27FC236}">
              <a16:creationId xmlns:a16="http://schemas.microsoft.com/office/drawing/2014/main" id="{73E7FC38-861C-408A-B2C8-72C8BA38FABF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14" name="Line 90">
          <a:extLst>
            <a:ext uri="{FF2B5EF4-FFF2-40B4-BE49-F238E27FC236}">
              <a16:creationId xmlns:a16="http://schemas.microsoft.com/office/drawing/2014/main" id="{E1630E2F-99D4-4905-895B-55469671E434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15" name="Line 91">
          <a:extLst>
            <a:ext uri="{FF2B5EF4-FFF2-40B4-BE49-F238E27FC236}">
              <a16:creationId xmlns:a16="http://schemas.microsoft.com/office/drawing/2014/main" id="{7B2C717F-12D7-42E8-91AA-C9A4E9A0707C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16" name="Line 92">
          <a:extLst>
            <a:ext uri="{FF2B5EF4-FFF2-40B4-BE49-F238E27FC236}">
              <a16:creationId xmlns:a16="http://schemas.microsoft.com/office/drawing/2014/main" id="{3C2CEE94-BB02-4828-AFD9-FE0E4F904BB6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17" name="Line 93">
          <a:extLst>
            <a:ext uri="{FF2B5EF4-FFF2-40B4-BE49-F238E27FC236}">
              <a16:creationId xmlns:a16="http://schemas.microsoft.com/office/drawing/2014/main" id="{9F14D5A3-97C1-4C6E-B1D1-8BDF49E69113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18" name="Line 94">
          <a:extLst>
            <a:ext uri="{FF2B5EF4-FFF2-40B4-BE49-F238E27FC236}">
              <a16:creationId xmlns:a16="http://schemas.microsoft.com/office/drawing/2014/main" id="{8CF42ED4-F555-46BC-A3EF-8415ACF2F75F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19" name="Line 95">
          <a:extLst>
            <a:ext uri="{FF2B5EF4-FFF2-40B4-BE49-F238E27FC236}">
              <a16:creationId xmlns:a16="http://schemas.microsoft.com/office/drawing/2014/main" id="{B0E0186D-C542-4ABA-A695-6289F17881C6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20" name="Line 96">
          <a:extLst>
            <a:ext uri="{FF2B5EF4-FFF2-40B4-BE49-F238E27FC236}">
              <a16:creationId xmlns:a16="http://schemas.microsoft.com/office/drawing/2014/main" id="{AEEA6387-53C5-442C-B28C-410C9497C759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21" name="Line 97">
          <a:extLst>
            <a:ext uri="{FF2B5EF4-FFF2-40B4-BE49-F238E27FC236}">
              <a16:creationId xmlns:a16="http://schemas.microsoft.com/office/drawing/2014/main" id="{AE7D2438-B7F0-419D-A161-78C2916B44A1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22" name="Line 98">
          <a:extLst>
            <a:ext uri="{FF2B5EF4-FFF2-40B4-BE49-F238E27FC236}">
              <a16:creationId xmlns:a16="http://schemas.microsoft.com/office/drawing/2014/main" id="{26C4C81F-D70F-41F7-93B6-61B86E355236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23" name="Line 99">
          <a:extLst>
            <a:ext uri="{FF2B5EF4-FFF2-40B4-BE49-F238E27FC236}">
              <a16:creationId xmlns:a16="http://schemas.microsoft.com/office/drawing/2014/main" id="{45D6974B-22D1-4D32-BCFB-968240CBA9D4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24" name="Line 100">
          <a:extLst>
            <a:ext uri="{FF2B5EF4-FFF2-40B4-BE49-F238E27FC236}">
              <a16:creationId xmlns:a16="http://schemas.microsoft.com/office/drawing/2014/main" id="{7C14158E-F802-482E-9166-A342B31E24C0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25" name="Line 101">
          <a:extLst>
            <a:ext uri="{FF2B5EF4-FFF2-40B4-BE49-F238E27FC236}">
              <a16:creationId xmlns:a16="http://schemas.microsoft.com/office/drawing/2014/main" id="{FCE4BF7E-9E40-475D-9D57-57923FE2BF14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26" name="Line 102">
          <a:extLst>
            <a:ext uri="{FF2B5EF4-FFF2-40B4-BE49-F238E27FC236}">
              <a16:creationId xmlns:a16="http://schemas.microsoft.com/office/drawing/2014/main" id="{B1CF8BA5-CA1B-45D8-AC36-524177B662B4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27" name="Line 103">
          <a:extLst>
            <a:ext uri="{FF2B5EF4-FFF2-40B4-BE49-F238E27FC236}">
              <a16:creationId xmlns:a16="http://schemas.microsoft.com/office/drawing/2014/main" id="{F203EB04-9DA5-491E-8CD2-008EFDA3B9FC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28" name="Line 104">
          <a:extLst>
            <a:ext uri="{FF2B5EF4-FFF2-40B4-BE49-F238E27FC236}">
              <a16:creationId xmlns:a16="http://schemas.microsoft.com/office/drawing/2014/main" id="{FA32F13E-1B32-4104-B99A-76485EFD01E3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29" name="Line 105">
          <a:extLst>
            <a:ext uri="{FF2B5EF4-FFF2-40B4-BE49-F238E27FC236}">
              <a16:creationId xmlns:a16="http://schemas.microsoft.com/office/drawing/2014/main" id="{BF414731-7E99-49C4-AB10-034F2642E442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30" name="Line 106">
          <a:extLst>
            <a:ext uri="{FF2B5EF4-FFF2-40B4-BE49-F238E27FC236}">
              <a16:creationId xmlns:a16="http://schemas.microsoft.com/office/drawing/2014/main" id="{9894DE3A-3C84-4621-8B5A-A60254AE33C7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31" name="Line 107">
          <a:extLst>
            <a:ext uri="{FF2B5EF4-FFF2-40B4-BE49-F238E27FC236}">
              <a16:creationId xmlns:a16="http://schemas.microsoft.com/office/drawing/2014/main" id="{7DF7A841-55E3-4E4A-8865-843B31B7DBDE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32" name="Line 108">
          <a:extLst>
            <a:ext uri="{FF2B5EF4-FFF2-40B4-BE49-F238E27FC236}">
              <a16:creationId xmlns:a16="http://schemas.microsoft.com/office/drawing/2014/main" id="{62F0B5A5-5617-4D29-AEBE-28BCBC424905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33" name="Line 109">
          <a:extLst>
            <a:ext uri="{FF2B5EF4-FFF2-40B4-BE49-F238E27FC236}">
              <a16:creationId xmlns:a16="http://schemas.microsoft.com/office/drawing/2014/main" id="{44FFCF2D-C567-461E-A7A9-C5524EC2BEA2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34" name="Line 110">
          <a:extLst>
            <a:ext uri="{FF2B5EF4-FFF2-40B4-BE49-F238E27FC236}">
              <a16:creationId xmlns:a16="http://schemas.microsoft.com/office/drawing/2014/main" id="{C3ED2545-FD5F-47C2-89D1-B5FE95FB1748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35" name="Line 111">
          <a:extLst>
            <a:ext uri="{FF2B5EF4-FFF2-40B4-BE49-F238E27FC236}">
              <a16:creationId xmlns:a16="http://schemas.microsoft.com/office/drawing/2014/main" id="{A882B709-304F-458E-BC8E-4782A7825E4B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36" name="Line 112">
          <a:extLst>
            <a:ext uri="{FF2B5EF4-FFF2-40B4-BE49-F238E27FC236}">
              <a16:creationId xmlns:a16="http://schemas.microsoft.com/office/drawing/2014/main" id="{F334931E-808D-4DE4-8D52-34F4537BE3FF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37" name="Line 113">
          <a:extLst>
            <a:ext uri="{FF2B5EF4-FFF2-40B4-BE49-F238E27FC236}">
              <a16:creationId xmlns:a16="http://schemas.microsoft.com/office/drawing/2014/main" id="{1D8159D9-1D80-4538-B0AF-0584BA089117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38" name="Line 114">
          <a:extLst>
            <a:ext uri="{FF2B5EF4-FFF2-40B4-BE49-F238E27FC236}">
              <a16:creationId xmlns:a16="http://schemas.microsoft.com/office/drawing/2014/main" id="{719713AA-4265-4B93-9D56-C1727A81296D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39" name="Line 115">
          <a:extLst>
            <a:ext uri="{FF2B5EF4-FFF2-40B4-BE49-F238E27FC236}">
              <a16:creationId xmlns:a16="http://schemas.microsoft.com/office/drawing/2014/main" id="{A69C9D0B-EBAA-42E4-833B-EE1DB5219882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40" name="Line 116">
          <a:extLst>
            <a:ext uri="{FF2B5EF4-FFF2-40B4-BE49-F238E27FC236}">
              <a16:creationId xmlns:a16="http://schemas.microsoft.com/office/drawing/2014/main" id="{E3740374-B182-4F3D-A4AF-250CDC23A735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41" name="Line 117">
          <a:extLst>
            <a:ext uri="{FF2B5EF4-FFF2-40B4-BE49-F238E27FC236}">
              <a16:creationId xmlns:a16="http://schemas.microsoft.com/office/drawing/2014/main" id="{5321E3D6-A454-4216-8C74-A571A9D0DA6B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42" name="Line 118">
          <a:extLst>
            <a:ext uri="{FF2B5EF4-FFF2-40B4-BE49-F238E27FC236}">
              <a16:creationId xmlns:a16="http://schemas.microsoft.com/office/drawing/2014/main" id="{51174134-4901-40D6-9FFA-45E5DE4F3B84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43" name="Line 119">
          <a:extLst>
            <a:ext uri="{FF2B5EF4-FFF2-40B4-BE49-F238E27FC236}">
              <a16:creationId xmlns:a16="http://schemas.microsoft.com/office/drawing/2014/main" id="{9060CEFE-90A6-4224-8D72-6B7F89C20B9D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44" name="Line 120">
          <a:extLst>
            <a:ext uri="{FF2B5EF4-FFF2-40B4-BE49-F238E27FC236}">
              <a16:creationId xmlns:a16="http://schemas.microsoft.com/office/drawing/2014/main" id="{B515F768-61DC-44DA-B718-23529A0A6A5D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45" name="Line 121">
          <a:extLst>
            <a:ext uri="{FF2B5EF4-FFF2-40B4-BE49-F238E27FC236}">
              <a16:creationId xmlns:a16="http://schemas.microsoft.com/office/drawing/2014/main" id="{FF9E5F6E-A1A4-4B41-A7D4-8676B80F1B4F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46" name="Line 122">
          <a:extLst>
            <a:ext uri="{FF2B5EF4-FFF2-40B4-BE49-F238E27FC236}">
              <a16:creationId xmlns:a16="http://schemas.microsoft.com/office/drawing/2014/main" id="{7426CB0A-702C-4477-A9DD-579A028D4BC5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47" name="Line 123">
          <a:extLst>
            <a:ext uri="{FF2B5EF4-FFF2-40B4-BE49-F238E27FC236}">
              <a16:creationId xmlns:a16="http://schemas.microsoft.com/office/drawing/2014/main" id="{D6340F90-01DE-49F5-901D-03B83B6D9DFC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48" name="Line 124">
          <a:extLst>
            <a:ext uri="{FF2B5EF4-FFF2-40B4-BE49-F238E27FC236}">
              <a16:creationId xmlns:a16="http://schemas.microsoft.com/office/drawing/2014/main" id="{FD152FCB-3F62-4D91-980B-B5AF3B0919D3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49" name="Line 125">
          <a:extLst>
            <a:ext uri="{FF2B5EF4-FFF2-40B4-BE49-F238E27FC236}">
              <a16:creationId xmlns:a16="http://schemas.microsoft.com/office/drawing/2014/main" id="{DDE3B389-22D2-4216-9354-A0947EE94D46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50" name="Line 126">
          <a:extLst>
            <a:ext uri="{FF2B5EF4-FFF2-40B4-BE49-F238E27FC236}">
              <a16:creationId xmlns:a16="http://schemas.microsoft.com/office/drawing/2014/main" id="{9FE8F7CD-D767-4C60-A58E-80B44AC38231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51" name="Line 127">
          <a:extLst>
            <a:ext uri="{FF2B5EF4-FFF2-40B4-BE49-F238E27FC236}">
              <a16:creationId xmlns:a16="http://schemas.microsoft.com/office/drawing/2014/main" id="{3C0ADEC7-CF0E-4EA7-B63E-B71CAA7C528D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52" name="Line 128">
          <a:extLst>
            <a:ext uri="{FF2B5EF4-FFF2-40B4-BE49-F238E27FC236}">
              <a16:creationId xmlns:a16="http://schemas.microsoft.com/office/drawing/2014/main" id="{02A9B98F-D668-4F74-B361-8FA3AF26B56A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53" name="Line 129">
          <a:extLst>
            <a:ext uri="{FF2B5EF4-FFF2-40B4-BE49-F238E27FC236}">
              <a16:creationId xmlns:a16="http://schemas.microsoft.com/office/drawing/2014/main" id="{2BD6D654-9B52-4F29-959E-97ACBFA261BB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54" name="Line 130">
          <a:extLst>
            <a:ext uri="{FF2B5EF4-FFF2-40B4-BE49-F238E27FC236}">
              <a16:creationId xmlns:a16="http://schemas.microsoft.com/office/drawing/2014/main" id="{3649B483-10BE-4EE3-B9FB-65EF75161F51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55" name="Line 131">
          <a:extLst>
            <a:ext uri="{FF2B5EF4-FFF2-40B4-BE49-F238E27FC236}">
              <a16:creationId xmlns:a16="http://schemas.microsoft.com/office/drawing/2014/main" id="{67FBBACA-0A9B-430D-A5FB-62D4AAFCABD2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56" name="Line 132">
          <a:extLst>
            <a:ext uri="{FF2B5EF4-FFF2-40B4-BE49-F238E27FC236}">
              <a16:creationId xmlns:a16="http://schemas.microsoft.com/office/drawing/2014/main" id="{E624581D-D3CB-4C99-AA0A-514E9D837030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57" name="Line 133">
          <a:extLst>
            <a:ext uri="{FF2B5EF4-FFF2-40B4-BE49-F238E27FC236}">
              <a16:creationId xmlns:a16="http://schemas.microsoft.com/office/drawing/2014/main" id="{F0531D99-FA6B-498F-A0B3-2BAEDA5B26EC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58" name="Line 134">
          <a:extLst>
            <a:ext uri="{FF2B5EF4-FFF2-40B4-BE49-F238E27FC236}">
              <a16:creationId xmlns:a16="http://schemas.microsoft.com/office/drawing/2014/main" id="{3093B40D-D7C8-48CE-87FE-899A05A96A08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59" name="Line 135">
          <a:extLst>
            <a:ext uri="{FF2B5EF4-FFF2-40B4-BE49-F238E27FC236}">
              <a16:creationId xmlns:a16="http://schemas.microsoft.com/office/drawing/2014/main" id="{FB093C36-D27C-4769-BF5F-671266EE570F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160" name="Line 136">
          <a:extLst>
            <a:ext uri="{FF2B5EF4-FFF2-40B4-BE49-F238E27FC236}">
              <a16:creationId xmlns:a16="http://schemas.microsoft.com/office/drawing/2014/main" id="{F04384C8-C29E-4487-A569-B9D797071959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161" name="Line 137">
          <a:extLst>
            <a:ext uri="{FF2B5EF4-FFF2-40B4-BE49-F238E27FC236}">
              <a16:creationId xmlns:a16="http://schemas.microsoft.com/office/drawing/2014/main" id="{22C3DE7D-75B9-4CF7-9D57-F823400F1CDE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62" name="Line 138">
          <a:extLst>
            <a:ext uri="{FF2B5EF4-FFF2-40B4-BE49-F238E27FC236}">
              <a16:creationId xmlns:a16="http://schemas.microsoft.com/office/drawing/2014/main" id="{86A2B405-BD23-4D14-9FFE-ABD55AA3AEA8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63" name="Line 139">
          <a:extLst>
            <a:ext uri="{FF2B5EF4-FFF2-40B4-BE49-F238E27FC236}">
              <a16:creationId xmlns:a16="http://schemas.microsoft.com/office/drawing/2014/main" id="{FD34DF56-820B-4353-8548-79CA4FA1DAF1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64" name="Line 140">
          <a:extLst>
            <a:ext uri="{FF2B5EF4-FFF2-40B4-BE49-F238E27FC236}">
              <a16:creationId xmlns:a16="http://schemas.microsoft.com/office/drawing/2014/main" id="{F90C657C-0D32-42CC-80D7-84780BEF17AF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65" name="Line 141">
          <a:extLst>
            <a:ext uri="{FF2B5EF4-FFF2-40B4-BE49-F238E27FC236}">
              <a16:creationId xmlns:a16="http://schemas.microsoft.com/office/drawing/2014/main" id="{929539D6-301F-437A-81E1-FED1A5E9D761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66" name="Line 142">
          <a:extLst>
            <a:ext uri="{FF2B5EF4-FFF2-40B4-BE49-F238E27FC236}">
              <a16:creationId xmlns:a16="http://schemas.microsoft.com/office/drawing/2014/main" id="{5C284D60-EE54-46AF-8CC9-4A8910E769F7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67" name="Line 143">
          <a:extLst>
            <a:ext uri="{FF2B5EF4-FFF2-40B4-BE49-F238E27FC236}">
              <a16:creationId xmlns:a16="http://schemas.microsoft.com/office/drawing/2014/main" id="{2ADD8AAB-0DFA-40DA-8830-18F016F21772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68" name="Line 144">
          <a:extLst>
            <a:ext uri="{FF2B5EF4-FFF2-40B4-BE49-F238E27FC236}">
              <a16:creationId xmlns:a16="http://schemas.microsoft.com/office/drawing/2014/main" id="{211033A0-2269-4052-B9FD-ACFE81DB651B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69" name="Line 145">
          <a:extLst>
            <a:ext uri="{FF2B5EF4-FFF2-40B4-BE49-F238E27FC236}">
              <a16:creationId xmlns:a16="http://schemas.microsoft.com/office/drawing/2014/main" id="{CD985C66-5636-4A89-8C6E-8EB751E6EB70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70" name="Line 146">
          <a:extLst>
            <a:ext uri="{FF2B5EF4-FFF2-40B4-BE49-F238E27FC236}">
              <a16:creationId xmlns:a16="http://schemas.microsoft.com/office/drawing/2014/main" id="{E473541D-0379-4F21-8825-979973DCED35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71" name="Line 147">
          <a:extLst>
            <a:ext uri="{FF2B5EF4-FFF2-40B4-BE49-F238E27FC236}">
              <a16:creationId xmlns:a16="http://schemas.microsoft.com/office/drawing/2014/main" id="{6BD63657-BCE0-43B4-9D4D-973223029CC5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72" name="Line 148">
          <a:extLst>
            <a:ext uri="{FF2B5EF4-FFF2-40B4-BE49-F238E27FC236}">
              <a16:creationId xmlns:a16="http://schemas.microsoft.com/office/drawing/2014/main" id="{29DEB7A5-AF2D-46F3-B0D7-A3C4DA954275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73" name="Line 149">
          <a:extLst>
            <a:ext uri="{FF2B5EF4-FFF2-40B4-BE49-F238E27FC236}">
              <a16:creationId xmlns:a16="http://schemas.microsoft.com/office/drawing/2014/main" id="{DB64917A-1135-4165-AA9B-66B4E1B34BD8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74" name="Line 150">
          <a:extLst>
            <a:ext uri="{FF2B5EF4-FFF2-40B4-BE49-F238E27FC236}">
              <a16:creationId xmlns:a16="http://schemas.microsoft.com/office/drawing/2014/main" id="{7772EBBE-606D-434C-8134-DD49471B7177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75" name="Line 151">
          <a:extLst>
            <a:ext uri="{FF2B5EF4-FFF2-40B4-BE49-F238E27FC236}">
              <a16:creationId xmlns:a16="http://schemas.microsoft.com/office/drawing/2014/main" id="{6794BD87-A2C8-47DE-895D-B373B3467AE3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76" name="Line 152">
          <a:extLst>
            <a:ext uri="{FF2B5EF4-FFF2-40B4-BE49-F238E27FC236}">
              <a16:creationId xmlns:a16="http://schemas.microsoft.com/office/drawing/2014/main" id="{34C7B49F-4099-4DED-8B57-70B77A64CBD5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77" name="Line 153">
          <a:extLst>
            <a:ext uri="{FF2B5EF4-FFF2-40B4-BE49-F238E27FC236}">
              <a16:creationId xmlns:a16="http://schemas.microsoft.com/office/drawing/2014/main" id="{ABB6B8B8-F05D-4BB5-8A18-8219CBC45450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78" name="Line 154">
          <a:extLst>
            <a:ext uri="{FF2B5EF4-FFF2-40B4-BE49-F238E27FC236}">
              <a16:creationId xmlns:a16="http://schemas.microsoft.com/office/drawing/2014/main" id="{932E453B-B3B6-4E4D-A3C1-97E95C9DC372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79" name="Line 155">
          <a:extLst>
            <a:ext uri="{FF2B5EF4-FFF2-40B4-BE49-F238E27FC236}">
              <a16:creationId xmlns:a16="http://schemas.microsoft.com/office/drawing/2014/main" id="{6855A5E1-05BB-4D80-910E-19D93517FB90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80" name="Line 156">
          <a:extLst>
            <a:ext uri="{FF2B5EF4-FFF2-40B4-BE49-F238E27FC236}">
              <a16:creationId xmlns:a16="http://schemas.microsoft.com/office/drawing/2014/main" id="{EBFD6C6A-B157-44CE-A8CA-885A2A26010F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81" name="Line 157">
          <a:extLst>
            <a:ext uri="{FF2B5EF4-FFF2-40B4-BE49-F238E27FC236}">
              <a16:creationId xmlns:a16="http://schemas.microsoft.com/office/drawing/2014/main" id="{DAAF0C9B-3DC1-4549-A2A4-9214E69AFDFC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82" name="Line 158">
          <a:extLst>
            <a:ext uri="{FF2B5EF4-FFF2-40B4-BE49-F238E27FC236}">
              <a16:creationId xmlns:a16="http://schemas.microsoft.com/office/drawing/2014/main" id="{CEB41CBA-D8A3-4740-A675-C14D6CB68987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83" name="Line 159">
          <a:extLst>
            <a:ext uri="{FF2B5EF4-FFF2-40B4-BE49-F238E27FC236}">
              <a16:creationId xmlns:a16="http://schemas.microsoft.com/office/drawing/2014/main" id="{FEFE6600-BB90-4442-A989-5FC6D1B9250C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84" name="Line 160">
          <a:extLst>
            <a:ext uri="{FF2B5EF4-FFF2-40B4-BE49-F238E27FC236}">
              <a16:creationId xmlns:a16="http://schemas.microsoft.com/office/drawing/2014/main" id="{A212E356-05C6-4D08-BE80-10EABC8E9EAE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85" name="Line 161">
          <a:extLst>
            <a:ext uri="{FF2B5EF4-FFF2-40B4-BE49-F238E27FC236}">
              <a16:creationId xmlns:a16="http://schemas.microsoft.com/office/drawing/2014/main" id="{ADF705BA-6BA1-4DFC-A2E3-1618768052E3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86" name="Line 162">
          <a:extLst>
            <a:ext uri="{FF2B5EF4-FFF2-40B4-BE49-F238E27FC236}">
              <a16:creationId xmlns:a16="http://schemas.microsoft.com/office/drawing/2014/main" id="{36A50B78-9BA6-4421-B07C-55096BA653E9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87" name="Line 163">
          <a:extLst>
            <a:ext uri="{FF2B5EF4-FFF2-40B4-BE49-F238E27FC236}">
              <a16:creationId xmlns:a16="http://schemas.microsoft.com/office/drawing/2014/main" id="{4F899CE8-6A59-4C49-8E91-855C12DE67E1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88" name="Line 164">
          <a:extLst>
            <a:ext uri="{FF2B5EF4-FFF2-40B4-BE49-F238E27FC236}">
              <a16:creationId xmlns:a16="http://schemas.microsoft.com/office/drawing/2014/main" id="{8F93270B-9471-4999-9F8C-73717FF930B4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89" name="Line 165">
          <a:extLst>
            <a:ext uri="{FF2B5EF4-FFF2-40B4-BE49-F238E27FC236}">
              <a16:creationId xmlns:a16="http://schemas.microsoft.com/office/drawing/2014/main" id="{7AF940F4-310D-4692-9325-D5CA48F253BE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90" name="Line 166">
          <a:extLst>
            <a:ext uri="{FF2B5EF4-FFF2-40B4-BE49-F238E27FC236}">
              <a16:creationId xmlns:a16="http://schemas.microsoft.com/office/drawing/2014/main" id="{1CE93B2C-4797-427E-A673-189C8FFC4F0B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91" name="Line 167">
          <a:extLst>
            <a:ext uri="{FF2B5EF4-FFF2-40B4-BE49-F238E27FC236}">
              <a16:creationId xmlns:a16="http://schemas.microsoft.com/office/drawing/2014/main" id="{01BC7C45-CA2B-4B9A-AC19-F08AF4EE4975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92" name="Line 168">
          <a:extLst>
            <a:ext uri="{FF2B5EF4-FFF2-40B4-BE49-F238E27FC236}">
              <a16:creationId xmlns:a16="http://schemas.microsoft.com/office/drawing/2014/main" id="{5B4A0FF6-478F-4F74-8F21-3BE34F134129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93" name="Line 169">
          <a:extLst>
            <a:ext uri="{FF2B5EF4-FFF2-40B4-BE49-F238E27FC236}">
              <a16:creationId xmlns:a16="http://schemas.microsoft.com/office/drawing/2014/main" id="{A6017625-D68D-415B-A96E-70DF6BFA898C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94" name="Line 170">
          <a:extLst>
            <a:ext uri="{FF2B5EF4-FFF2-40B4-BE49-F238E27FC236}">
              <a16:creationId xmlns:a16="http://schemas.microsoft.com/office/drawing/2014/main" id="{6EF050AE-88CF-4164-9A4E-65B3D143F4A3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95" name="Line 171">
          <a:extLst>
            <a:ext uri="{FF2B5EF4-FFF2-40B4-BE49-F238E27FC236}">
              <a16:creationId xmlns:a16="http://schemas.microsoft.com/office/drawing/2014/main" id="{A241C102-0674-48C9-9B64-8FD5B648E10A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96" name="Line 172">
          <a:extLst>
            <a:ext uri="{FF2B5EF4-FFF2-40B4-BE49-F238E27FC236}">
              <a16:creationId xmlns:a16="http://schemas.microsoft.com/office/drawing/2014/main" id="{B7EC6976-2950-471E-8DE4-D8E41B838197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97" name="Line 173">
          <a:extLst>
            <a:ext uri="{FF2B5EF4-FFF2-40B4-BE49-F238E27FC236}">
              <a16:creationId xmlns:a16="http://schemas.microsoft.com/office/drawing/2014/main" id="{692F5A4D-E91C-4417-AED5-0227DB3B5A6C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198" name="Line 174">
          <a:extLst>
            <a:ext uri="{FF2B5EF4-FFF2-40B4-BE49-F238E27FC236}">
              <a16:creationId xmlns:a16="http://schemas.microsoft.com/office/drawing/2014/main" id="{AB91B9A0-974A-484A-9174-8EFB8F03387E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199" name="Line 175">
          <a:extLst>
            <a:ext uri="{FF2B5EF4-FFF2-40B4-BE49-F238E27FC236}">
              <a16:creationId xmlns:a16="http://schemas.microsoft.com/office/drawing/2014/main" id="{9222E927-C63C-4C03-B5F3-9C2FC585DAAE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200" name="Line 176">
          <a:extLst>
            <a:ext uri="{FF2B5EF4-FFF2-40B4-BE49-F238E27FC236}">
              <a16:creationId xmlns:a16="http://schemas.microsoft.com/office/drawing/2014/main" id="{3B27758D-21FA-4982-A2B4-4ACB42DB5DD0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201" name="Line 177">
          <a:extLst>
            <a:ext uri="{FF2B5EF4-FFF2-40B4-BE49-F238E27FC236}">
              <a16:creationId xmlns:a16="http://schemas.microsoft.com/office/drawing/2014/main" id="{E479766C-DC91-4116-AF2D-98622764B5D8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202" name="Line 178">
          <a:extLst>
            <a:ext uri="{FF2B5EF4-FFF2-40B4-BE49-F238E27FC236}">
              <a16:creationId xmlns:a16="http://schemas.microsoft.com/office/drawing/2014/main" id="{30E88914-3291-456F-B4A1-6337645E13AE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203" name="Line 179">
          <a:extLst>
            <a:ext uri="{FF2B5EF4-FFF2-40B4-BE49-F238E27FC236}">
              <a16:creationId xmlns:a16="http://schemas.microsoft.com/office/drawing/2014/main" id="{710C6F57-87AD-4C73-B3BA-9DD879F0C9EA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204" name="Line 180">
          <a:extLst>
            <a:ext uri="{FF2B5EF4-FFF2-40B4-BE49-F238E27FC236}">
              <a16:creationId xmlns:a16="http://schemas.microsoft.com/office/drawing/2014/main" id="{4B62B908-553F-4DC1-BD04-1C2F54DB9EC2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205" name="Line 181">
          <a:extLst>
            <a:ext uri="{FF2B5EF4-FFF2-40B4-BE49-F238E27FC236}">
              <a16:creationId xmlns:a16="http://schemas.microsoft.com/office/drawing/2014/main" id="{D3D96C32-E2D9-4802-82CB-77D6F5F1479B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206" name="Line 182">
          <a:extLst>
            <a:ext uri="{FF2B5EF4-FFF2-40B4-BE49-F238E27FC236}">
              <a16:creationId xmlns:a16="http://schemas.microsoft.com/office/drawing/2014/main" id="{30263398-BDFF-4B8D-A549-AE7521493D2F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207" name="Line 183">
          <a:extLst>
            <a:ext uri="{FF2B5EF4-FFF2-40B4-BE49-F238E27FC236}">
              <a16:creationId xmlns:a16="http://schemas.microsoft.com/office/drawing/2014/main" id="{DDECF471-EE9A-43F0-BD56-7EE782A8833F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208" name="Line 184">
          <a:extLst>
            <a:ext uri="{FF2B5EF4-FFF2-40B4-BE49-F238E27FC236}">
              <a16:creationId xmlns:a16="http://schemas.microsoft.com/office/drawing/2014/main" id="{D3CB03B0-85E6-4AE2-9B3B-5594F6477A0E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209" name="Line 185">
          <a:extLst>
            <a:ext uri="{FF2B5EF4-FFF2-40B4-BE49-F238E27FC236}">
              <a16:creationId xmlns:a16="http://schemas.microsoft.com/office/drawing/2014/main" id="{E28940BB-5983-4DFE-B4CC-3E9C6D22CA8B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210" name="Line 186">
          <a:extLst>
            <a:ext uri="{FF2B5EF4-FFF2-40B4-BE49-F238E27FC236}">
              <a16:creationId xmlns:a16="http://schemas.microsoft.com/office/drawing/2014/main" id="{EF088880-1407-4BBB-98E1-15A2F8D4CCDB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211" name="Line 187">
          <a:extLst>
            <a:ext uri="{FF2B5EF4-FFF2-40B4-BE49-F238E27FC236}">
              <a16:creationId xmlns:a16="http://schemas.microsoft.com/office/drawing/2014/main" id="{68694745-A5C4-465B-8D7D-FD6152E7630A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212" name="Line 188">
          <a:extLst>
            <a:ext uri="{FF2B5EF4-FFF2-40B4-BE49-F238E27FC236}">
              <a16:creationId xmlns:a16="http://schemas.microsoft.com/office/drawing/2014/main" id="{853239ED-388F-47D0-AF7C-6FD65878984E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213" name="Line 189">
          <a:extLst>
            <a:ext uri="{FF2B5EF4-FFF2-40B4-BE49-F238E27FC236}">
              <a16:creationId xmlns:a16="http://schemas.microsoft.com/office/drawing/2014/main" id="{5A7B8945-D08F-4DEC-8BC8-B2E5D19A897D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214" name="Line 190">
          <a:extLst>
            <a:ext uri="{FF2B5EF4-FFF2-40B4-BE49-F238E27FC236}">
              <a16:creationId xmlns:a16="http://schemas.microsoft.com/office/drawing/2014/main" id="{2E544C98-165E-4975-84BF-A5C893C11DB9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215" name="Line 191">
          <a:extLst>
            <a:ext uri="{FF2B5EF4-FFF2-40B4-BE49-F238E27FC236}">
              <a16:creationId xmlns:a16="http://schemas.microsoft.com/office/drawing/2014/main" id="{BE8AA061-4FBF-4E79-9548-DCD9485C971B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216" name="Line 192">
          <a:extLst>
            <a:ext uri="{FF2B5EF4-FFF2-40B4-BE49-F238E27FC236}">
              <a16:creationId xmlns:a16="http://schemas.microsoft.com/office/drawing/2014/main" id="{C9145FD9-60F4-418E-A7CC-7D316470D0E9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217" name="Line 193">
          <a:extLst>
            <a:ext uri="{FF2B5EF4-FFF2-40B4-BE49-F238E27FC236}">
              <a16:creationId xmlns:a16="http://schemas.microsoft.com/office/drawing/2014/main" id="{05BADDDC-81FA-47DE-BA31-87FEF57EB3E0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218" name="Line 194">
          <a:extLst>
            <a:ext uri="{FF2B5EF4-FFF2-40B4-BE49-F238E27FC236}">
              <a16:creationId xmlns:a16="http://schemas.microsoft.com/office/drawing/2014/main" id="{B9288061-3DDA-4787-8F62-F143F94FACD2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219" name="Line 195">
          <a:extLst>
            <a:ext uri="{FF2B5EF4-FFF2-40B4-BE49-F238E27FC236}">
              <a16:creationId xmlns:a16="http://schemas.microsoft.com/office/drawing/2014/main" id="{A6847E9C-6EC2-4C68-B9FF-54E0E94C78C8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220" name="Line 196">
          <a:extLst>
            <a:ext uri="{FF2B5EF4-FFF2-40B4-BE49-F238E27FC236}">
              <a16:creationId xmlns:a16="http://schemas.microsoft.com/office/drawing/2014/main" id="{DA9D8656-9B73-4391-AA91-5DDC78E36B18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221" name="Line 197">
          <a:extLst>
            <a:ext uri="{FF2B5EF4-FFF2-40B4-BE49-F238E27FC236}">
              <a16:creationId xmlns:a16="http://schemas.microsoft.com/office/drawing/2014/main" id="{DBAD37CA-4456-45AD-9C74-F8F181D6EF2B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222" name="Line 198">
          <a:extLst>
            <a:ext uri="{FF2B5EF4-FFF2-40B4-BE49-F238E27FC236}">
              <a16:creationId xmlns:a16="http://schemas.microsoft.com/office/drawing/2014/main" id="{5B984702-DBF6-44D4-9305-4F8ED2A8268F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223" name="Line 199">
          <a:extLst>
            <a:ext uri="{FF2B5EF4-FFF2-40B4-BE49-F238E27FC236}">
              <a16:creationId xmlns:a16="http://schemas.microsoft.com/office/drawing/2014/main" id="{6D29A7C4-6D55-4F41-B07F-0DE3A2CF6292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26" name="Line 202">
          <a:extLst>
            <a:ext uri="{FF2B5EF4-FFF2-40B4-BE49-F238E27FC236}">
              <a16:creationId xmlns:a16="http://schemas.microsoft.com/office/drawing/2014/main" id="{95AE9C3F-AED2-4C07-A815-E9457209077B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27" name="Line 203">
          <a:extLst>
            <a:ext uri="{FF2B5EF4-FFF2-40B4-BE49-F238E27FC236}">
              <a16:creationId xmlns:a16="http://schemas.microsoft.com/office/drawing/2014/main" id="{D7CB7EF6-44F2-484B-966C-2B98901BC94B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31" name="Line 207">
          <a:extLst>
            <a:ext uri="{FF2B5EF4-FFF2-40B4-BE49-F238E27FC236}">
              <a16:creationId xmlns:a16="http://schemas.microsoft.com/office/drawing/2014/main" id="{4823563C-10A5-490C-82C3-13031AF6759D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32" name="Line 208">
          <a:extLst>
            <a:ext uri="{FF2B5EF4-FFF2-40B4-BE49-F238E27FC236}">
              <a16:creationId xmlns:a16="http://schemas.microsoft.com/office/drawing/2014/main" id="{643F78CC-1419-4738-BF1D-0395E085B9DD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33" name="Line 209">
          <a:extLst>
            <a:ext uri="{FF2B5EF4-FFF2-40B4-BE49-F238E27FC236}">
              <a16:creationId xmlns:a16="http://schemas.microsoft.com/office/drawing/2014/main" id="{4FAFB74C-9BF2-43E0-9ECC-D19DAE52D5D2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34" name="Line 210">
          <a:extLst>
            <a:ext uri="{FF2B5EF4-FFF2-40B4-BE49-F238E27FC236}">
              <a16:creationId xmlns:a16="http://schemas.microsoft.com/office/drawing/2014/main" id="{2D096CB6-34B0-40E6-89E7-4266BDCE17C9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35" name="Line 211">
          <a:extLst>
            <a:ext uri="{FF2B5EF4-FFF2-40B4-BE49-F238E27FC236}">
              <a16:creationId xmlns:a16="http://schemas.microsoft.com/office/drawing/2014/main" id="{26E637F4-52F3-4E57-9E1B-6E0462C4F679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36" name="Line 212">
          <a:extLst>
            <a:ext uri="{FF2B5EF4-FFF2-40B4-BE49-F238E27FC236}">
              <a16:creationId xmlns:a16="http://schemas.microsoft.com/office/drawing/2014/main" id="{ED5166C5-81FC-48C6-9FC3-FB3CD8200E5F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37" name="Line 213">
          <a:extLst>
            <a:ext uri="{FF2B5EF4-FFF2-40B4-BE49-F238E27FC236}">
              <a16:creationId xmlns:a16="http://schemas.microsoft.com/office/drawing/2014/main" id="{5A035888-AADE-4F52-AECC-167EF7A328CA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38" name="Line 214">
          <a:extLst>
            <a:ext uri="{FF2B5EF4-FFF2-40B4-BE49-F238E27FC236}">
              <a16:creationId xmlns:a16="http://schemas.microsoft.com/office/drawing/2014/main" id="{D708ABD9-DB98-4608-927D-5E7276BA6AF5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39" name="Line 215">
          <a:extLst>
            <a:ext uri="{FF2B5EF4-FFF2-40B4-BE49-F238E27FC236}">
              <a16:creationId xmlns:a16="http://schemas.microsoft.com/office/drawing/2014/main" id="{14A807B4-E2BE-4E1B-B1DE-DEF0A6ECE151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40" name="Line 216">
          <a:extLst>
            <a:ext uri="{FF2B5EF4-FFF2-40B4-BE49-F238E27FC236}">
              <a16:creationId xmlns:a16="http://schemas.microsoft.com/office/drawing/2014/main" id="{DCFA8B66-1208-4E34-B30F-80F750666C5A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41" name="Line 217">
          <a:extLst>
            <a:ext uri="{FF2B5EF4-FFF2-40B4-BE49-F238E27FC236}">
              <a16:creationId xmlns:a16="http://schemas.microsoft.com/office/drawing/2014/main" id="{5C17E389-E818-45AF-8123-2850F993688D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42" name="Line 218">
          <a:extLst>
            <a:ext uri="{FF2B5EF4-FFF2-40B4-BE49-F238E27FC236}">
              <a16:creationId xmlns:a16="http://schemas.microsoft.com/office/drawing/2014/main" id="{7AEEFFAD-A11E-4F54-8D37-92C90797241E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43" name="Line 219">
          <a:extLst>
            <a:ext uri="{FF2B5EF4-FFF2-40B4-BE49-F238E27FC236}">
              <a16:creationId xmlns:a16="http://schemas.microsoft.com/office/drawing/2014/main" id="{D92DE7EF-9548-4D4D-BB8C-CEA75C8BD06B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44" name="Line 220">
          <a:extLst>
            <a:ext uri="{FF2B5EF4-FFF2-40B4-BE49-F238E27FC236}">
              <a16:creationId xmlns:a16="http://schemas.microsoft.com/office/drawing/2014/main" id="{BAF38BE5-B2A8-4D41-B9BA-EC1A97DD2C3D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45" name="Line 221">
          <a:extLst>
            <a:ext uri="{FF2B5EF4-FFF2-40B4-BE49-F238E27FC236}">
              <a16:creationId xmlns:a16="http://schemas.microsoft.com/office/drawing/2014/main" id="{B2B0E5BB-2DC2-44E2-9632-6B6AC06AD14D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46" name="Line 222">
          <a:extLst>
            <a:ext uri="{FF2B5EF4-FFF2-40B4-BE49-F238E27FC236}">
              <a16:creationId xmlns:a16="http://schemas.microsoft.com/office/drawing/2014/main" id="{F7D7C012-62E0-4729-8061-561C46E37ECF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47" name="Line 223">
          <a:extLst>
            <a:ext uri="{FF2B5EF4-FFF2-40B4-BE49-F238E27FC236}">
              <a16:creationId xmlns:a16="http://schemas.microsoft.com/office/drawing/2014/main" id="{DF347BEA-F358-4F94-AEBE-9D0B632B527B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48" name="Line 224">
          <a:extLst>
            <a:ext uri="{FF2B5EF4-FFF2-40B4-BE49-F238E27FC236}">
              <a16:creationId xmlns:a16="http://schemas.microsoft.com/office/drawing/2014/main" id="{474B1311-7CD8-4299-B9EC-A4FA78273CB7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49" name="Line 225">
          <a:extLst>
            <a:ext uri="{FF2B5EF4-FFF2-40B4-BE49-F238E27FC236}">
              <a16:creationId xmlns:a16="http://schemas.microsoft.com/office/drawing/2014/main" id="{E4EA3231-778F-4F78-B8A3-6FDC9327EA69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50" name="Line 226">
          <a:extLst>
            <a:ext uri="{FF2B5EF4-FFF2-40B4-BE49-F238E27FC236}">
              <a16:creationId xmlns:a16="http://schemas.microsoft.com/office/drawing/2014/main" id="{799DC759-5E9D-49C9-9F99-E1108FF85992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51" name="Line 227">
          <a:extLst>
            <a:ext uri="{FF2B5EF4-FFF2-40B4-BE49-F238E27FC236}">
              <a16:creationId xmlns:a16="http://schemas.microsoft.com/office/drawing/2014/main" id="{413D7213-2F2B-4A1B-AD66-670EDAF58562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52" name="Line 228">
          <a:extLst>
            <a:ext uri="{FF2B5EF4-FFF2-40B4-BE49-F238E27FC236}">
              <a16:creationId xmlns:a16="http://schemas.microsoft.com/office/drawing/2014/main" id="{4A17E088-1F60-487F-8C99-F37AA5ECBEF0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53" name="Line 229">
          <a:extLst>
            <a:ext uri="{FF2B5EF4-FFF2-40B4-BE49-F238E27FC236}">
              <a16:creationId xmlns:a16="http://schemas.microsoft.com/office/drawing/2014/main" id="{3A8DA34F-DDF3-4293-BC11-3F41D469D72E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54" name="Line 230">
          <a:extLst>
            <a:ext uri="{FF2B5EF4-FFF2-40B4-BE49-F238E27FC236}">
              <a16:creationId xmlns:a16="http://schemas.microsoft.com/office/drawing/2014/main" id="{66DFDA5D-BA40-4B44-B45A-CD57288DD560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55" name="Line 231">
          <a:extLst>
            <a:ext uri="{FF2B5EF4-FFF2-40B4-BE49-F238E27FC236}">
              <a16:creationId xmlns:a16="http://schemas.microsoft.com/office/drawing/2014/main" id="{17B3427E-D6C0-437F-A696-71F160166ECB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56" name="Line 232">
          <a:extLst>
            <a:ext uri="{FF2B5EF4-FFF2-40B4-BE49-F238E27FC236}">
              <a16:creationId xmlns:a16="http://schemas.microsoft.com/office/drawing/2014/main" id="{1ED25A51-C1C7-4AE7-B39B-0CB1DB06483A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57" name="Line 233">
          <a:extLst>
            <a:ext uri="{FF2B5EF4-FFF2-40B4-BE49-F238E27FC236}">
              <a16:creationId xmlns:a16="http://schemas.microsoft.com/office/drawing/2014/main" id="{9F6C6656-8A84-4D5D-9C63-3378EC4C6DBE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58" name="Line 234">
          <a:extLst>
            <a:ext uri="{FF2B5EF4-FFF2-40B4-BE49-F238E27FC236}">
              <a16:creationId xmlns:a16="http://schemas.microsoft.com/office/drawing/2014/main" id="{BDB98DAB-B96F-459E-9A39-2244C07163E2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59" name="Line 235">
          <a:extLst>
            <a:ext uri="{FF2B5EF4-FFF2-40B4-BE49-F238E27FC236}">
              <a16:creationId xmlns:a16="http://schemas.microsoft.com/office/drawing/2014/main" id="{192166D7-117B-4795-8125-A8CA37C1E8F4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60" name="Line 236">
          <a:extLst>
            <a:ext uri="{FF2B5EF4-FFF2-40B4-BE49-F238E27FC236}">
              <a16:creationId xmlns:a16="http://schemas.microsoft.com/office/drawing/2014/main" id="{A78C6626-E185-4E93-8B28-1D83B9C816C5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61" name="Line 237">
          <a:extLst>
            <a:ext uri="{FF2B5EF4-FFF2-40B4-BE49-F238E27FC236}">
              <a16:creationId xmlns:a16="http://schemas.microsoft.com/office/drawing/2014/main" id="{CBBC90FE-80C7-4793-8C2D-3B8406EF9831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62" name="Line 238">
          <a:extLst>
            <a:ext uri="{FF2B5EF4-FFF2-40B4-BE49-F238E27FC236}">
              <a16:creationId xmlns:a16="http://schemas.microsoft.com/office/drawing/2014/main" id="{D4CC6C54-415D-4552-A8A1-873CDB1A3B20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63" name="Line 239">
          <a:extLst>
            <a:ext uri="{FF2B5EF4-FFF2-40B4-BE49-F238E27FC236}">
              <a16:creationId xmlns:a16="http://schemas.microsoft.com/office/drawing/2014/main" id="{04EBC118-DFB8-4613-A0D5-13CFBD898280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64" name="Line 240">
          <a:extLst>
            <a:ext uri="{FF2B5EF4-FFF2-40B4-BE49-F238E27FC236}">
              <a16:creationId xmlns:a16="http://schemas.microsoft.com/office/drawing/2014/main" id="{AA270110-2715-4F00-9386-B98CE53F3895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65" name="Line 241">
          <a:extLst>
            <a:ext uri="{FF2B5EF4-FFF2-40B4-BE49-F238E27FC236}">
              <a16:creationId xmlns:a16="http://schemas.microsoft.com/office/drawing/2014/main" id="{FE10D400-7A7B-4FEC-B25F-1D2B253091CA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66" name="Line 242">
          <a:extLst>
            <a:ext uri="{FF2B5EF4-FFF2-40B4-BE49-F238E27FC236}">
              <a16:creationId xmlns:a16="http://schemas.microsoft.com/office/drawing/2014/main" id="{77B59DFC-77D7-4251-B526-3BF8B5F86241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67" name="Line 243">
          <a:extLst>
            <a:ext uri="{FF2B5EF4-FFF2-40B4-BE49-F238E27FC236}">
              <a16:creationId xmlns:a16="http://schemas.microsoft.com/office/drawing/2014/main" id="{C6BC4504-B487-48F1-83A6-1DB4008CDA62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268" name="Line 244">
          <a:extLst>
            <a:ext uri="{FF2B5EF4-FFF2-40B4-BE49-F238E27FC236}">
              <a16:creationId xmlns:a16="http://schemas.microsoft.com/office/drawing/2014/main" id="{126DE207-6087-4F01-9035-81F3CCEB344E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269" name="Line 245">
          <a:extLst>
            <a:ext uri="{FF2B5EF4-FFF2-40B4-BE49-F238E27FC236}">
              <a16:creationId xmlns:a16="http://schemas.microsoft.com/office/drawing/2014/main" id="{FB087CF7-38F4-40F5-8EAA-A5501876206F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70" name="Line 246">
          <a:extLst>
            <a:ext uri="{FF2B5EF4-FFF2-40B4-BE49-F238E27FC236}">
              <a16:creationId xmlns:a16="http://schemas.microsoft.com/office/drawing/2014/main" id="{EAAF75A2-AF1F-4133-9A93-7D8A878D6D32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71" name="Line 247">
          <a:extLst>
            <a:ext uri="{FF2B5EF4-FFF2-40B4-BE49-F238E27FC236}">
              <a16:creationId xmlns:a16="http://schemas.microsoft.com/office/drawing/2014/main" id="{5288272F-A695-4CE1-B0C5-2FCA8D734E8F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72" name="Line 248">
          <a:extLst>
            <a:ext uri="{FF2B5EF4-FFF2-40B4-BE49-F238E27FC236}">
              <a16:creationId xmlns:a16="http://schemas.microsoft.com/office/drawing/2014/main" id="{1AB9BE65-6DFD-45DB-A4B5-9DEC9D932633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73" name="Line 249">
          <a:extLst>
            <a:ext uri="{FF2B5EF4-FFF2-40B4-BE49-F238E27FC236}">
              <a16:creationId xmlns:a16="http://schemas.microsoft.com/office/drawing/2014/main" id="{1EDD8382-33AD-4B5E-AE24-97F5192D1CE7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74" name="Line 250">
          <a:extLst>
            <a:ext uri="{FF2B5EF4-FFF2-40B4-BE49-F238E27FC236}">
              <a16:creationId xmlns:a16="http://schemas.microsoft.com/office/drawing/2014/main" id="{E0F364AA-4B57-4889-89F5-F0DE18867622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75" name="Line 251">
          <a:extLst>
            <a:ext uri="{FF2B5EF4-FFF2-40B4-BE49-F238E27FC236}">
              <a16:creationId xmlns:a16="http://schemas.microsoft.com/office/drawing/2014/main" id="{1BE8B9E1-0161-4F88-ACD6-28424C842B63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76" name="Line 252">
          <a:extLst>
            <a:ext uri="{FF2B5EF4-FFF2-40B4-BE49-F238E27FC236}">
              <a16:creationId xmlns:a16="http://schemas.microsoft.com/office/drawing/2014/main" id="{1CF98659-14D2-434F-99BA-775434EFB1F6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77" name="Line 253">
          <a:extLst>
            <a:ext uri="{FF2B5EF4-FFF2-40B4-BE49-F238E27FC236}">
              <a16:creationId xmlns:a16="http://schemas.microsoft.com/office/drawing/2014/main" id="{77232E60-BD0E-4DE5-96E9-B7AD84FC2915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78" name="Line 254">
          <a:extLst>
            <a:ext uri="{FF2B5EF4-FFF2-40B4-BE49-F238E27FC236}">
              <a16:creationId xmlns:a16="http://schemas.microsoft.com/office/drawing/2014/main" id="{B2CFE8D0-3014-44E9-9FDF-0B3668E76855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79" name="Line 255">
          <a:extLst>
            <a:ext uri="{FF2B5EF4-FFF2-40B4-BE49-F238E27FC236}">
              <a16:creationId xmlns:a16="http://schemas.microsoft.com/office/drawing/2014/main" id="{4B1C3C03-89F7-46EB-A334-E22D4E4D1A13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80" name="Line 256">
          <a:extLst>
            <a:ext uri="{FF2B5EF4-FFF2-40B4-BE49-F238E27FC236}">
              <a16:creationId xmlns:a16="http://schemas.microsoft.com/office/drawing/2014/main" id="{4B6BBBDB-B811-421F-A44B-98D58A09DA05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81" name="Line 257">
          <a:extLst>
            <a:ext uri="{FF2B5EF4-FFF2-40B4-BE49-F238E27FC236}">
              <a16:creationId xmlns:a16="http://schemas.microsoft.com/office/drawing/2014/main" id="{E2B76F03-3EDA-45DE-B357-1687290DBAE1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82" name="Line 258">
          <a:extLst>
            <a:ext uri="{FF2B5EF4-FFF2-40B4-BE49-F238E27FC236}">
              <a16:creationId xmlns:a16="http://schemas.microsoft.com/office/drawing/2014/main" id="{4FCAEE78-9610-4D18-8CC5-290F7F5A7B24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83" name="Line 259">
          <a:extLst>
            <a:ext uri="{FF2B5EF4-FFF2-40B4-BE49-F238E27FC236}">
              <a16:creationId xmlns:a16="http://schemas.microsoft.com/office/drawing/2014/main" id="{F07A066C-897B-421C-820E-AF42B10ED5BE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84" name="Line 260">
          <a:extLst>
            <a:ext uri="{FF2B5EF4-FFF2-40B4-BE49-F238E27FC236}">
              <a16:creationId xmlns:a16="http://schemas.microsoft.com/office/drawing/2014/main" id="{70DC505F-190C-46D8-8677-CD76658562E0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85" name="Line 261">
          <a:extLst>
            <a:ext uri="{FF2B5EF4-FFF2-40B4-BE49-F238E27FC236}">
              <a16:creationId xmlns:a16="http://schemas.microsoft.com/office/drawing/2014/main" id="{E0FDE2DB-DFFF-4F3C-9C2A-2EA11CA13ABC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86" name="Line 262">
          <a:extLst>
            <a:ext uri="{FF2B5EF4-FFF2-40B4-BE49-F238E27FC236}">
              <a16:creationId xmlns:a16="http://schemas.microsoft.com/office/drawing/2014/main" id="{12BDD8CD-F991-4602-A193-343C26A767C3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87" name="Line 263">
          <a:extLst>
            <a:ext uri="{FF2B5EF4-FFF2-40B4-BE49-F238E27FC236}">
              <a16:creationId xmlns:a16="http://schemas.microsoft.com/office/drawing/2014/main" id="{91BD5D32-0B6D-4061-A559-657CFAB37714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88" name="Line 264">
          <a:extLst>
            <a:ext uri="{FF2B5EF4-FFF2-40B4-BE49-F238E27FC236}">
              <a16:creationId xmlns:a16="http://schemas.microsoft.com/office/drawing/2014/main" id="{7665A908-256C-43BD-8D1F-88B0588F373A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89" name="Line 265">
          <a:extLst>
            <a:ext uri="{FF2B5EF4-FFF2-40B4-BE49-F238E27FC236}">
              <a16:creationId xmlns:a16="http://schemas.microsoft.com/office/drawing/2014/main" id="{0D985CDB-81F8-4DD1-86CA-E84CA3F0586C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90" name="Line 266">
          <a:extLst>
            <a:ext uri="{FF2B5EF4-FFF2-40B4-BE49-F238E27FC236}">
              <a16:creationId xmlns:a16="http://schemas.microsoft.com/office/drawing/2014/main" id="{C46BCB39-30C3-4CB4-BCE0-F22D2EAC233D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91" name="Line 267">
          <a:extLst>
            <a:ext uri="{FF2B5EF4-FFF2-40B4-BE49-F238E27FC236}">
              <a16:creationId xmlns:a16="http://schemas.microsoft.com/office/drawing/2014/main" id="{69D1AFFE-4E01-446F-8C8D-4B74B05AC11E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92" name="Line 268">
          <a:extLst>
            <a:ext uri="{FF2B5EF4-FFF2-40B4-BE49-F238E27FC236}">
              <a16:creationId xmlns:a16="http://schemas.microsoft.com/office/drawing/2014/main" id="{F2735F30-4A26-409E-B42A-F23871AF80D6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93" name="Line 269">
          <a:extLst>
            <a:ext uri="{FF2B5EF4-FFF2-40B4-BE49-F238E27FC236}">
              <a16:creationId xmlns:a16="http://schemas.microsoft.com/office/drawing/2014/main" id="{33BBCFDF-FBAB-488B-83DD-2801EF92A5F8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94" name="Line 270">
          <a:extLst>
            <a:ext uri="{FF2B5EF4-FFF2-40B4-BE49-F238E27FC236}">
              <a16:creationId xmlns:a16="http://schemas.microsoft.com/office/drawing/2014/main" id="{B2EEF423-61AE-4901-9D58-37DD1B0B0F9A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95" name="Line 271">
          <a:extLst>
            <a:ext uri="{FF2B5EF4-FFF2-40B4-BE49-F238E27FC236}">
              <a16:creationId xmlns:a16="http://schemas.microsoft.com/office/drawing/2014/main" id="{095E1281-20FE-4FC9-B0B1-C7329F6A119A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96" name="Line 272">
          <a:extLst>
            <a:ext uri="{FF2B5EF4-FFF2-40B4-BE49-F238E27FC236}">
              <a16:creationId xmlns:a16="http://schemas.microsoft.com/office/drawing/2014/main" id="{842A6EA8-7E41-40C9-8010-86F5BCC7B329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97" name="Line 273">
          <a:extLst>
            <a:ext uri="{FF2B5EF4-FFF2-40B4-BE49-F238E27FC236}">
              <a16:creationId xmlns:a16="http://schemas.microsoft.com/office/drawing/2014/main" id="{CDF495D4-18FE-4DB3-BA7B-D936256D9472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297</xdr:row>
      <xdr:rowOff>0</xdr:rowOff>
    </xdr:from>
    <xdr:to>
      <xdr:col>2</xdr:col>
      <xdr:colOff>323850</xdr:colOff>
      <xdr:row>297</xdr:row>
      <xdr:rowOff>0</xdr:rowOff>
    </xdr:to>
    <xdr:sp macro="" textlink="">
      <xdr:nvSpPr>
        <xdr:cNvPr id="1298" name="Line 274">
          <a:extLst>
            <a:ext uri="{FF2B5EF4-FFF2-40B4-BE49-F238E27FC236}">
              <a16:creationId xmlns:a16="http://schemas.microsoft.com/office/drawing/2014/main" id="{01F74B67-38F8-4868-8F36-161830CF8E53}"/>
            </a:ext>
          </a:extLst>
        </xdr:cNvPr>
        <xdr:cNvSpPr>
          <a:spLocks noChangeShapeType="1"/>
        </xdr:cNvSpPr>
      </xdr:nvSpPr>
      <xdr:spPr bwMode="auto">
        <a:xfrm>
          <a:off x="16256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323850</xdr:colOff>
      <xdr:row>297</xdr:row>
      <xdr:rowOff>0</xdr:rowOff>
    </xdr:from>
    <xdr:to>
      <xdr:col>2</xdr:col>
      <xdr:colOff>406400</xdr:colOff>
      <xdr:row>297</xdr:row>
      <xdr:rowOff>0</xdr:rowOff>
    </xdr:to>
    <xdr:sp macro="" textlink="">
      <xdr:nvSpPr>
        <xdr:cNvPr id="1299" name="Line 275">
          <a:extLst>
            <a:ext uri="{FF2B5EF4-FFF2-40B4-BE49-F238E27FC236}">
              <a16:creationId xmlns:a16="http://schemas.microsoft.com/office/drawing/2014/main" id="{D307AEF4-EB5D-4915-AE6A-F096789FC3F3}"/>
            </a:ext>
          </a:extLst>
        </xdr:cNvPr>
        <xdr:cNvSpPr>
          <a:spLocks noChangeShapeType="1"/>
        </xdr:cNvSpPr>
      </xdr:nvSpPr>
      <xdr:spPr bwMode="auto">
        <a:xfrm flipV="1">
          <a:off x="16573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00" name="Line 276">
          <a:extLst>
            <a:ext uri="{FF2B5EF4-FFF2-40B4-BE49-F238E27FC236}">
              <a16:creationId xmlns:a16="http://schemas.microsoft.com/office/drawing/2014/main" id="{617B4D66-8775-48E2-892C-CC00171BAE26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01" name="Line 277">
          <a:extLst>
            <a:ext uri="{FF2B5EF4-FFF2-40B4-BE49-F238E27FC236}">
              <a16:creationId xmlns:a16="http://schemas.microsoft.com/office/drawing/2014/main" id="{ED740C76-9CBD-4B95-833D-DA41DC96F226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02" name="Line 278">
          <a:extLst>
            <a:ext uri="{FF2B5EF4-FFF2-40B4-BE49-F238E27FC236}">
              <a16:creationId xmlns:a16="http://schemas.microsoft.com/office/drawing/2014/main" id="{7A964462-20F7-4097-BC39-8121925006C8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03" name="Line 279">
          <a:extLst>
            <a:ext uri="{FF2B5EF4-FFF2-40B4-BE49-F238E27FC236}">
              <a16:creationId xmlns:a16="http://schemas.microsoft.com/office/drawing/2014/main" id="{25AA7C1F-628A-45D4-BB83-6C05D13F40C8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04" name="Line 280">
          <a:extLst>
            <a:ext uri="{FF2B5EF4-FFF2-40B4-BE49-F238E27FC236}">
              <a16:creationId xmlns:a16="http://schemas.microsoft.com/office/drawing/2014/main" id="{897E3B8E-350A-4EA4-85AE-CD523CF055DC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05" name="Line 281">
          <a:extLst>
            <a:ext uri="{FF2B5EF4-FFF2-40B4-BE49-F238E27FC236}">
              <a16:creationId xmlns:a16="http://schemas.microsoft.com/office/drawing/2014/main" id="{0D6E0696-35F1-440A-90B2-D1CCD753EEB2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06" name="Line 282">
          <a:extLst>
            <a:ext uri="{FF2B5EF4-FFF2-40B4-BE49-F238E27FC236}">
              <a16:creationId xmlns:a16="http://schemas.microsoft.com/office/drawing/2014/main" id="{5018D515-20DD-4791-BE88-BEB682122872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07" name="Line 283">
          <a:extLst>
            <a:ext uri="{FF2B5EF4-FFF2-40B4-BE49-F238E27FC236}">
              <a16:creationId xmlns:a16="http://schemas.microsoft.com/office/drawing/2014/main" id="{3475A16E-F117-4341-A045-7D309D24152C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08" name="Line 284">
          <a:extLst>
            <a:ext uri="{FF2B5EF4-FFF2-40B4-BE49-F238E27FC236}">
              <a16:creationId xmlns:a16="http://schemas.microsoft.com/office/drawing/2014/main" id="{24D70259-D101-4FF1-BD46-C2E86C644ACD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09" name="Line 285">
          <a:extLst>
            <a:ext uri="{FF2B5EF4-FFF2-40B4-BE49-F238E27FC236}">
              <a16:creationId xmlns:a16="http://schemas.microsoft.com/office/drawing/2014/main" id="{D1C22C5D-BD11-4A62-97B0-BDAAD9A9251B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10" name="Line 286">
          <a:extLst>
            <a:ext uri="{FF2B5EF4-FFF2-40B4-BE49-F238E27FC236}">
              <a16:creationId xmlns:a16="http://schemas.microsoft.com/office/drawing/2014/main" id="{36CA9AF1-E2B7-47AD-BD05-43E7147D8658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11" name="Line 287">
          <a:extLst>
            <a:ext uri="{FF2B5EF4-FFF2-40B4-BE49-F238E27FC236}">
              <a16:creationId xmlns:a16="http://schemas.microsoft.com/office/drawing/2014/main" id="{20721B33-360D-4D3E-B1CD-22A75D8D7F3E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12" name="Line 288">
          <a:extLst>
            <a:ext uri="{FF2B5EF4-FFF2-40B4-BE49-F238E27FC236}">
              <a16:creationId xmlns:a16="http://schemas.microsoft.com/office/drawing/2014/main" id="{FEAA1FFC-501E-4153-B2AC-0DCC05821107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13" name="Line 289">
          <a:extLst>
            <a:ext uri="{FF2B5EF4-FFF2-40B4-BE49-F238E27FC236}">
              <a16:creationId xmlns:a16="http://schemas.microsoft.com/office/drawing/2014/main" id="{F12D4488-2C40-463C-96A1-8C4D8C72B7B5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14" name="Line 290">
          <a:extLst>
            <a:ext uri="{FF2B5EF4-FFF2-40B4-BE49-F238E27FC236}">
              <a16:creationId xmlns:a16="http://schemas.microsoft.com/office/drawing/2014/main" id="{5E521A66-1E5D-41D4-A2FE-47C2409FD803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15" name="Line 291">
          <a:extLst>
            <a:ext uri="{FF2B5EF4-FFF2-40B4-BE49-F238E27FC236}">
              <a16:creationId xmlns:a16="http://schemas.microsoft.com/office/drawing/2014/main" id="{C4AFDAA7-63E9-4231-9297-593FCEFC66D1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16" name="Line 292">
          <a:extLst>
            <a:ext uri="{FF2B5EF4-FFF2-40B4-BE49-F238E27FC236}">
              <a16:creationId xmlns:a16="http://schemas.microsoft.com/office/drawing/2014/main" id="{C19EB78E-B704-46FC-9A59-DBF516EDC54C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17" name="Line 293">
          <a:extLst>
            <a:ext uri="{FF2B5EF4-FFF2-40B4-BE49-F238E27FC236}">
              <a16:creationId xmlns:a16="http://schemas.microsoft.com/office/drawing/2014/main" id="{09BA247A-E5DA-4C91-9A40-BE66B25A7EF9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18" name="Line 294">
          <a:extLst>
            <a:ext uri="{FF2B5EF4-FFF2-40B4-BE49-F238E27FC236}">
              <a16:creationId xmlns:a16="http://schemas.microsoft.com/office/drawing/2014/main" id="{FE830A4D-576E-4A7A-BE68-C1C2B6EFEF6E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19" name="Line 295">
          <a:extLst>
            <a:ext uri="{FF2B5EF4-FFF2-40B4-BE49-F238E27FC236}">
              <a16:creationId xmlns:a16="http://schemas.microsoft.com/office/drawing/2014/main" id="{344415FF-112B-46A5-B9A8-8C246D9E92DD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20" name="Line 296">
          <a:extLst>
            <a:ext uri="{FF2B5EF4-FFF2-40B4-BE49-F238E27FC236}">
              <a16:creationId xmlns:a16="http://schemas.microsoft.com/office/drawing/2014/main" id="{83CA2382-22D4-4F19-8A41-39C2745C272B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21" name="Line 297">
          <a:extLst>
            <a:ext uri="{FF2B5EF4-FFF2-40B4-BE49-F238E27FC236}">
              <a16:creationId xmlns:a16="http://schemas.microsoft.com/office/drawing/2014/main" id="{7923C914-8B7C-4727-8683-285F9BF92567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22" name="Line 298">
          <a:extLst>
            <a:ext uri="{FF2B5EF4-FFF2-40B4-BE49-F238E27FC236}">
              <a16:creationId xmlns:a16="http://schemas.microsoft.com/office/drawing/2014/main" id="{0FC0D19F-7909-4750-A025-2C5462870FEF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23" name="Line 299">
          <a:extLst>
            <a:ext uri="{FF2B5EF4-FFF2-40B4-BE49-F238E27FC236}">
              <a16:creationId xmlns:a16="http://schemas.microsoft.com/office/drawing/2014/main" id="{BEE2015A-EAFB-4875-A570-9018120B0193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24" name="Line 300">
          <a:extLst>
            <a:ext uri="{FF2B5EF4-FFF2-40B4-BE49-F238E27FC236}">
              <a16:creationId xmlns:a16="http://schemas.microsoft.com/office/drawing/2014/main" id="{10F662EA-390D-4DD5-B515-FD4367CC8DBB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25" name="Line 301">
          <a:extLst>
            <a:ext uri="{FF2B5EF4-FFF2-40B4-BE49-F238E27FC236}">
              <a16:creationId xmlns:a16="http://schemas.microsoft.com/office/drawing/2014/main" id="{AB5351DE-D8EC-4B27-97D6-C13B9E0CCC2F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26" name="Line 302">
          <a:extLst>
            <a:ext uri="{FF2B5EF4-FFF2-40B4-BE49-F238E27FC236}">
              <a16:creationId xmlns:a16="http://schemas.microsoft.com/office/drawing/2014/main" id="{FD74ADD5-E2C7-4E5B-8F23-8616CACB2245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27" name="Line 303">
          <a:extLst>
            <a:ext uri="{FF2B5EF4-FFF2-40B4-BE49-F238E27FC236}">
              <a16:creationId xmlns:a16="http://schemas.microsoft.com/office/drawing/2014/main" id="{9D6B185D-A624-4A72-A687-5AFCB82432B8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28" name="Line 304">
          <a:extLst>
            <a:ext uri="{FF2B5EF4-FFF2-40B4-BE49-F238E27FC236}">
              <a16:creationId xmlns:a16="http://schemas.microsoft.com/office/drawing/2014/main" id="{11106E29-D0F2-4B01-A2E3-5FDBA3740310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29" name="Line 305">
          <a:extLst>
            <a:ext uri="{FF2B5EF4-FFF2-40B4-BE49-F238E27FC236}">
              <a16:creationId xmlns:a16="http://schemas.microsoft.com/office/drawing/2014/main" id="{F97EEAAB-6F09-4095-947E-6BAEB23D48D0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30" name="Line 306">
          <a:extLst>
            <a:ext uri="{FF2B5EF4-FFF2-40B4-BE49-F238E27FC236}">
              <a16:creationId xmlns:a16="http://schemas.microsoft.com/office/drawing/2014/main" id="{5D67B0B8-7A11-49A0-AEB1-E6BE86931CDA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31" name="Line 307">
          <a:extLst>
            <a:ext uri="{FF2B5EF4-FFF2-40B4-BE49-F238E27FC236}">
              <a16:creationId xmlns:a16="http://schemas.microsoft.com/office/drawing/2014/main" id="{ACCABCC6-6563-44FC-A611-F2B45B6383EF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32" name="Line 308">
          <a:extLst>
            <a:ext uri="{FF2B5EF4-FFF2-40B4-BE49-F238E27FC236}">
              <a16:creationId xmlns:a16="http://schemas.microsoft.com/office/drawing/2014/main" id="{913608F7-61F1-4DB7-AC11-1A50EE658C50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33" name="Line 309">
          <a:extLst>
            <a:ext uri="{FF2B5EF4-FFF2-40B4-BE49-F238E27FC236}">
              <a16:creationId xmlns:a16="http://schemas.microsoft.com/office/drawing/2014/main" id="{67319A98-4555-4B9B-A3E7-139CEAB7E179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34" name="Line 310">
          <a:extLst>
            <a:ext uri="{FF2B5EF4-FFF2-40B4-BE49-F238E27FC236}">
              <a16:creationId xmlns:a16="http://schemas.microsoft.com/office/drawing/2014/main" id="{6A4AC807-1B2D-434A-B63D-7C9B15B97CA9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35" name="Line 311">
          <a:extLst>
            <a:ext uri="{FF2B5EF4-FFF2-40B4-BE49-F238E27FC236}">
              <a16:creationId xmlns:a16="http://schemas.microsoft.com/office/drawing/2014/main" id="{41D5C2B1-E109-4FC7-A568-B56535CB2EAD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36" name="Line 312">
          <a:extLst>
            <a:ext uri="{FF2B5EF4-FFF2-40B4-BE49-F238E27FC236}">
              <a16:creationId xmlns:a16="http://schemas.microsoft.com/office/drawing/2014/main" id="{BFA5E1A8-B919-4753-AB81-49EF3EB45ECB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37" name="Line 313">
          <a:extLst>
            <a:ext uri="{FF2B5EF4-FFF2-40B4-BE49-F238E27FC236}">
              <a16:creationId xmlns:a16="http://schemas.microsoft.com/office/drawing/2014/main" id="{4682B596-2958-486B-AC99-C41C9F43CD43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38" name="Line 314">
          <a:extLst>
            <a:ext uri="{FF2B5EF4-FFF2-40B4-BE49-F238E27FC236}">
              <a16:creationId xmlns:a16="http://schemas.microsoft.com/office/drawing/2014/main" id="{1306D826-A06A-498C-8A76-964DFF4B9DC0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39" name="Line 315">
          <a:extLst>
            <a:ext uri="{FF2B5EF4-FFF2-40B4-BE49-F238E27FC236}">
              <a16:creationId xmlns:a16="http://schemas.microsoft.com/office/drawing/2014/main" id="{FB14B8A3-CE4C-46A4-A612-A43097468309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40" name="Line 316">
          <a:extLst>
            <a:ext uri="{FF2B5EF4-FFF2-40B4-BE49-F238E27FC236}">
              <a16:creationId xmlns:a16="http://schemas.microsoft.com/office/drawing/2014/main" id="{B242137F-CBC2-414D-BE20-0E63689442DA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41" name="Line 317">
          <a:extLst>
            <a:ext uri="{FF2B5EF4-FFF2-40B4-BE49-F238E27FC236}">
              <a16:creationId xmlns:a16="http://schemas.microsoft.com/office/drawing/2014/main" id="{A53FEF5E-B041-49ED-AD1A-E57922249E48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42" name="Line 318">
          <a:extLst>
            <a:ext uri="{FF2B5EF4-FFF2-40B4-BE49-F238E27FC236}">
              <a16:creationId xmlns:a16="http://schemas.microsoft.com/office/drawing/2014/main" id="{07DB616F-9ED7-4A40-BF19-C45F8BCDAF24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43" name="Line 319">
          <a:extLst>
            <a:ext uri="{FF2B5EF4-FFF2-40B4-BE49-F238E27FC236}">
              <a16:creationId xmlns:a16="http://schemas.microsoft.com/office/drawing/2014/main" id="{F5B42D06-C702-4E28-AA12-B17AD4C8E2F8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44" name="Line 320">
          <a:extLst>
            <a:ext uri="{FF2B5EF4-FFF2-40B4-BE49-F238E27FC236}">
              <a16:creationId xmlns:a16="http://schemas.microsoft.com/office/drawing/2014/main" id="{EB1F66BA-2D8E-44F0-9D5C-C22A13FB1B11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45" name="Line 321">
          <a:extLst>
            <a:ext uri="{FF2B5EF4-FFF2-40B4-BE49-F238E27FC236}">
              <a16:creationId xmlns:a16="http://schemas.microsoft.com/office/drawing/2014/main" id="{98406AF4-601B-49BA-9413-3F467693D5E1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46" name="Line 322">
          <a:extLst>
            <a:ext uri="{FF2B5EF4-FFF2-40B4-BE49-F238E27FC236}">
              <a16:creationId xmlns:a16="http://schemas.microsoft.com/office/drawing/2014/main" id="{C46D2954-93DA-40F6-98D7-9857A845F28F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47" name="Line 323">
          <a:extLst>
            <a:ext uri="{FF2B5EF4-FFF2-40B4-BE49-F238E27FC236}">
              <a16:creationId xmlns:a16="http://schemas.microsoft.com/office/drawing/2014/main" id="{DCDBF52B-A302-4E07-973C-69CFBFCECA2F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48" name="Line 324">
          <a:extLst>
            <a:ext uri="{FF2B5EF4-FFF2-40B4-BE49-F238E27FC236}">
              <a16:creationId xmlns:a16="http://schemas.microsoft.com/office/drawing/2014/main" id="{B374A0DB-CF57-46B6-96FD-E7C4E4C1DAE5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49" name="Line 325">
          <a:extLst>
            <a:ext uri="{FF2B5EF4-FFF2-40B4-BE49-F238E27FC236}">
              <a16:creationId xmlns:a16="http://schemas.microsoft.com/office/drawing/2014/main" id="{4FE05C5E-71E2-497F-A0BA-9DD453DDC9CC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50" name="Line 326">
          <a:extLst>
            <a:ext uri="{FF2B5EF4-FFF2-40B4-BE49-F238E27FC236}">
              <a16:creationId xmlns:a16="http://schemas.microsoft.com/office/drawing/2014/main" id="{9BC32344-8BC5-444B-8F79-C61CDC772403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51" name="Line 327">
          <a:extLst>
            <a:ext uri="{FF2B5EF4-FFF2-40B4-BE49-F238E27FC236}">
              <a16:creationId xmlns:a16="http://schemas.microsoft.com/office/drawing/2014/main" id="{C293748B-26D1-4F06-AC14-B3BC3AED90AF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52" name="Line 328">
          <a:extLst>
            <a:ext uri="{FF2B5EF4-FFF2-40B4-BE49-F238E27FC236}">
              <a16:creationId xmlns:a16="http://schemas.microsoft.com/office/drawing/2014/main" id="{CF52FF50-E095-4D2B-BE4C-BC1D460F15F2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53" name="Line 329">
          <a:extLst>
            <a:ext uri="{FF2B5EF4-FFF2-40B4-BE49-F238E27FC236}">
              <a16:creationId xmlns:a16="http://schemas.microsoft.com/office/drawing/2014/main" id="{ED413A93-B0A4-4FE9-B40B-48A7EA0D542B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54" name="Line 330">
          <a:extLst>
            <a:ext uri="{FF2B5EF4-FFF2-40B4-BE49-F238E27FC236}">
              <a16:creationId xmlns:a16="http://schemas.microsoft.com/office/drawing/2014/main" id="{5DC14D3D-0576-4FAE-87FB-A2DE25FFF31F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55" name="Line 331">
          <a:extLst>
            <a:ext uri="{FF2B5EF4-FFF2-40B4-BE49-F238E27FC236}">
              <a16:creationId xmlns:a16="http://schemas.microsoft.com/office/drawing/2014/main" id="{30AE4FC1-5858-4926-80EA-3AFFB1DCEADC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56" name="Line 332">
          <a:extLst>
            <a:ext uri="{FF2B5EF4-FFF2-40B4-BE49-F238E27FC236}">
              <a16:creationId xmlns:a16="http://schemas.microsoft.com/office/drawing/2014/main" id="{A1324A7C-628C-44E5-9E47-0C7EDF7DFA82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57" name="Line 333">
          <a:extLst>
            <a:ext uri="{FF2B5EF4-FFF2-40B4-BE49-F238E27FC236}">
              <a16:creationId xmlns:a16="http://schemas.microsoft.com/office/drawing/2014/main" id="{A45457CB-6ACE-4FBF-89A8-0D88F2A48BC6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58" name="Line 334">
          <a:extLst>
            <a:ext uri="{FF2B5EF4-FFF2-40B4-BE49-F238E27FC236}">
              <a16:creationId xmlns:a16="http://schemas.microsoft.com/office/drawing/2014/main" id="{4EB46F6D-6443-46BA-B4C2-464CB2EAA9BD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59" name="Line 335">
          <a:extLst>
            <a:ext uri="{FF2B5EF4-FFF2-40B4-BE49-F238E27FC236}">
              <a16:creationId xmlns:a16="http://schemas.microsoft.com/office/drawing/2014/main" id="{008AA099-5F24-4797-B488-B4B207AE36CF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60" name="Line 336">
          <a:extLst>
            <a:ext uri="{FF2B5EF4-FFF2-40B4-BE49-F238E27FC236}">
              <a16:creationId xmlns:a16="http://schemas.microsoft.com/office/drawing/2014/main" id="{0067A2A9-7513-42EB-95CB-225AAD299B94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61" name="Line 337">
          <a:extLst>
            <a:ext uri="{FF2B5EF4-FFF2-40B4-BE49-F238E27FC236}">
              <a16:creationId xmlns:a16="http://schemas.microsoft.com/office/drawing/2014/main" id="{EFA0C689-3103-43F4-BD28-12C718D19B2B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292100</xdr:colOff>
      <xdr:row>297</xdr:row>
      <xdr:rowOff>0</xdr:rowOff>
    </xdr:from>
    <xdr:to>
      <xdr:col>3</xdr:col>
      <xdr:colOff>323850</xdr:colOff>
      <xdr:row>297</xdr:row>
      <xdr:rowOff>0</xdr:rowOff>
    </xdr:to>
    <xdr:sp macro="" textlink="">
      <xdr:nvSpPr>
        <xdr:cNvPr id="1362" name="Line 338">
          <a:extLst>
            <a:ext uri="{FF2B5EF4-FFF2-40B4-BE49-F238E27FC236}">
              <a16:creationId xmlns:a16="http://schemas.microsoft.com/office/drawing/2014/main" id="{30C8B955-F899-4DA0-9D76-9E865F2B2957}"/>
            </a:ext>
          </a:extLst>
        </xdr:cNvPr>
        <xdr:cNvSpPr>
          <a:spLocks noChangeShapeType="1"/>
        </xdr:cNvSpPr>
      </xdr:nvSpPr>
      <xdr:spPr bwMode="auto">
        <a:xfrm>
          <a:off x="226695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323850</xdr:colOff>
      <xdr:row>297</xdr:row>
      <xdr:rowOff>0</xdr:rowOff>
    </xdr:from>
    <xdr:to>
      <xdr:col>3</xdr:col>
      <xdr:colOff>406400</xdr:colOff>
      <xdr:row>297</xdr:row>
      <xdr:rowOff>0</xdr:rowOff>
    </xdr:to>
    <xdr:sp macro="" textlink="">
      <xdr:nvSpPr>
        <xdr:cNvPr id="1363" name="Line 339">
          <a:extLst>
            <a:ext uri="{FF2B5EF4-FFF2-40B4-BE49-F238E27FC236}">
              <a16:creationId xmlns:a16="http://schemas.microsoft.com/office/drawing/2014/main" id="{F13C87DE-774B-42CD-93A0-5403D684DCA2}"/>
            </a:ext>
          </a:extLst>
        </xdr:cNvPr>
        <xdr:cNvSpPr>
          <a:spLocks noChangeShapeType="1"/>
        </xdr:cNvSpPr>
      </xdr:nvSpPr>
      <xdr:spPr bwMode="auto">
        <a:xfrm flipV="1">
          <a:off x="2298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64" name="Line 340">
          <a:extLst>
            <a:ext uri="{FF2B5EF4-FFF2-40B4-BE49-F238E27FC236}">
              <a16:creationId xmlns:a16="http://schemas.microsoft.com/office/drawing/2014/main" id="{0534359D-320A-4004-9916-148BF057D05C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65" name="Line 341">
          <a:extLst>
            <a:ext uri="{FF2B5EF4-FFF2-40B4-BE49-F238E27FC236}">
              <a16:creationId xmlns:a16="http://schemas.microsoft.com/office/drawing/2014/main" id="{D98B4D58-B9FD-4781-B2D9-9B68799B543C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66" name="Line 342">
          <a:extLst>
            <a:ext uri="{FF2B5EF4-FFF2-40B4-BE49-F238E27FC236}">
              <a16:creationId xmlns:a16="http://schemas.microsoft.com/office/drawing/2014/main" id="{7ADED42C-ADB1-40FC-9AC2-00BB106C6F29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67" name="Line 343">
          <a:extLst>
            <a:ext uri="{FF2B5EF4-FFF2-40B4-BE49-F238E27FC236}">
              <a16:creationId xmlns:a16="http://schemas.microsoft.com/office/drawing/2014/main" id="{0CFFA784-3E18-44F2-BBBF-8313E0612819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68" name="Line 344">
          <a:extLst>
            <a:ext uri="{FF2B5EF4-FFF2-40B4-BE49-F238E27FC236}">
              <a16:creationId xmlns:a16="http://schemas.microsoft.com/office/drawing/2014/main" id="{1D28031D-3B93-4678-A1F4-6FA8A17C23C3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69" name="Line 345">
          <a:extLst>
            <a:ext uri="{FF2B5EF4-FFF2-40B4-BE49-F238E27FC236}">
              <a16:creationId xmlns:a16="http://schemas.microsoft.com/office/drawing/2014/main" id="{A201DFC0-6140-4D2F-A0F9-6516FE69A2F3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70" name="Line 346">
          <a:extLst>
            <a:ext uri="{FF2B5EF4-FFF2-40B4-BE49-F238E27FC236}">
              <a16:creationId xmlns:a16="http://schemas.microsoft.com/office/drawing/2014/main" id="{1C61F691-E60F-44E2-94F4-7A131A04B79C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71" name="Line 347">
          <a:extLst>
            <a:ext uri="{FF2B5EF4-FFF2-40B4-BE49-F238E27FC236}">
              <a16:creationId xmlns:a16="http://schemas.microsoft.com/office/drawing/2014/main" id="{D6D87DC3-8A57-4254-958A-D6DC9437160C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72" name="Line 348">
          <a:extLst>
            <a:ext uri="{FF2B5EF4-FFF2-40B4-BE49-F238E27FC236}">
              <a16:creationId xmlns:a16="http://schemas.microsoft.com/office/drawing/2014/main" id="{0578C907-7DB1-42B1-9B88-F95745425F71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73" name="Line 349">
          <a:extLst>
            <a:ext uri="{FF2B5EF4-FFF2-40B4-BE49-F238E27FC236}">
              <a16:creationId xmlns:a16="http://schemas.microsoft.com/office/drawing/2014/main" id="{BF2F1DBB-9579-4DCE-996D-3C0F5F36EE2B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74" name="Line 350">
          <a:extLst>
            <a:ext uri="{FF2B5EF4-FFF2-40B4-BE49-F238E27FC236}">
              <a16:creationId xmlns:a16="http://schemas.microsoft.com/office/drawing/2014/main" id="{94BFEEFE-0AE2-47D5-A50C-445CC90CFC86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75" name="Line 351">
          <a:extLst>
            <a:ext uri="{FF2B5EF4-FFF2-40B4-BE49-F238E27FC236}">
              <a16:creationId xmlns:a16="http://schemas.microsoft.com/office/drawing/2014/main" id="{817B170F-66DC-42DA-A13D-CAD457B10C45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76" name="Line 352">
          <a:extLst>
            <a:ext uri="{FF2B5EF4-FFF2-40B4-BE49-F238E27FC236}">
              <a16:creationId xmlns:a16="http://schemas.microsoft.com/office/drawing/2014/main" id="{F5338EE9-2DB8-4903-B8B2-CE70EE938D56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77" name="Line 353">
          <a:extLst>
            <a:ext uri="{FF2B5EF4-FFF2-40B4-BE49-F238E27FC236}">
              <a16:creationId xmlns:a16="http://schemas.microsoft.com/office/drawing/2014/main" id="{E376D8ED-945B-40FE-B5DA-FBECD5E80AF5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78" name="Line 354">
          <a:extLst>
            <a:ext uri="{FF2B5EF4-FFF2-40B4-BE49-F238E27FC236}">
              <a16:creationId xmlns:a16="http://schemas.microsoft.com/office/drawing/2014/main" id="{6260171A-4E84-4551-981F-60FE9B99F378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79" name="Line 355">
          <a:extLst>
            <a:ext uri="{FF2B5EF4-FFF2-40B4-BE49-F238E27FC236}">
              <a16:creationId xmlns:a16="http://schemas.microsoft.com/office/drawing/2014/main" id="{BF55D999-DD11-4B37-863C-37242795BD0A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80" name="Line 356">
          <a:extLst>
            <a:ext uri="{FF2B5EF4-FFF2-40B4-BE49-F238E27FC236}">
              <a16:creationId xmlns:a16="http://schemas.microsoft.com/office/drawing/2014/main" id="{749130A0-1C01-4D5E-B6CB-E880245EF5EF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81" name="Line 357">
          <a:extLst>
            <a:ext uri="{FF2B5EF4-FFF2-40B4-BE49-F238E27FC236}">
              <a16:creationId xmlns:a16="http://schemas.microsoft.com/office/drawing/2014/main" id="{0E1456D5-3D9F-43F7-A04B-E2BE39A7E41D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82" name="Line 358">
          <a:extLst>
            <a:ext uri="{FF2B5EF4-FFF2-40B4-BE49-F238E27FC236}">
              <a16:creationId xmlns:a16="http://schemas.microsoft.com/office/drawing/2014/main" id="{2FC48AB3-F2FB-43CD-96D2-535A3C037407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83" name="Line 359">
          <a:extLst>
            <a:ext uri="{FF2B5EF4-FFF2-40B4-BE49-F238E27FC236}">
              <a16:creationId xmlns:a16="http://schemas.microsoft.com/office/drawing/2014/main" id="{616B8083-C47D-4CCE-9741-00C9C3BA2367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84" name="Line 360">
          <a:extLst>
            <a:ext uri="{FF2B5EF4-FFF2-40B4-BE49-F238E27FC236}">
              <a16:creationId xmlns:a16="http://schemas.microsoft.com/office/drawing/2014/main" id="{39F1EB5F-C058-4106-AD28-9B1B99528801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85" name="Line 361">
          <a:extLst>
            <a:ext uri="{FF2B5EF4-FFF2-40B4-BE49-F238E27FC236}">
              <a16:creationId xmlns:a16="http://schemas.microsoft.com/office/drawing/2014/main" id="{42B7F2D5-7591-4890-8066-CA34926839D7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86" name="Line 362">
          <a:extLst>
            <a:ext uri="{FF2B5EF4-FFF2-40B4-BE49-F238E27FC236}">
              <a16:creationId xmlns:a16="http://schemas.microsoft.com/office/drawing/2014/main" id="{A073AC83-091D-45E3-9A12-3B1410A4D9F9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87" name="Line 363">
          <a:extLst>
            <a:ext uri="{FF2B5EF4-FFF2-40B4-BE49-F238E27FC236}">
              <a16:creationId xmlns:a16="http://schemas.microsoft.com/office/drawing/2014/main" id="{458A1025-7E9B-4409-B95E-30279F298FEC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88" name="Line 364">
          <a:extLst>
            <a:ext uri="{FF2B5EF4-FFF2-40B4-BE49-F238E27FC236}">
              <a16:creationId xmlns:a16="http://schemas.microsoft.com/office/drawing/2014/main" id="{9414097E-1795-4416-B9B2-334C33748A6D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89" name="Line 365">
          <a:extLst>
            <a:ext uri="{FF2B5EF4-FFF2-40B4-BE49-F238E27FC236}">
              <a16:creationId xmlns:a16="http://schemas.microsoft.com/office/drawing/2014/main" id="{C2B9F1D1-F536-4B1A-A10C-041EFE49C6D2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90" name="Line 366">
          <a:extLst>
            <a:ext uri="{FF2B5EF4-FFF2-40B4-BE49-F238E27FC236}">
              <a16:creationId xmlns:a16="http://schemas.microsoft.com/office/drawing/2014/main" id="{ECB2FBF7-21AF-4981-B508-D77D26B38CEB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91" name="Line 367">
          <a:extLst>
            <a:ext uri="{FF2B5EF4-FFF2-40B4-BE49-F238E27FC236}">
              <a16:creationId xmlns:a16="http://schemas.microsoft.com/office/drawing/2014/main" id="{83062A84-AE42-4B25-B479-E9C8D3078D02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92" name="Line 368">
          <a:extLst>
            <a:ext uri="{FF2B5EF4-FFF2-40B4-BE49-F238E27FC236}">
              <a16:creationId xmlns:a16="http://schemas.microsoft.com/office/drawing/2014/main" id="{DB2088BF-4631-4E8B-9407-C39BEB3C56E2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93" name="Line 369">
          <a:extLst>
            <a:ext uri="{FF2B5EF4-FFF2-40B4-BE49-F238E27FC236}">
              <a16:creationId xmlns:a16="http://schemas.microsoft.com/office/drawing/2014/main" id="{A7676FAA-371D-42C7-A97E-399B46837C69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94" name="Line 370">
          <a:extLst>
            <a:ext uri="{FF2B5EF4-FFF2-40B4-BE49-F238E27FC236}">
              <a16:creationId xmlns:a16="http://schemas.microsoft.com/office/drawing/2014/main" id="{0DD1AD04-E241-4CBE-8340-04E184BACBE2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95" name="Line 371">
          <a:extLst>
            <a:ext uri="{FF2B5EF4-FFF2-40B4-BE49-F238E27FC236}">
              <a16:creationId xmlns:a16="http://schemas.microsoft.com/office/drawing/2014/main" id="{1588FFA5-B0A9-4A8D-A4CF-E8AB43B28361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96" name="Line 372">
          <a:extLst>
            <a:ext uri="{FF2B5EF4-FFF2-40B4-BE49-F238E27FC236}">
              <a16:creationId xmlns:a16="http://schemas.microsoft.com/office/drawing/2014/main" id="{68671B21-67C8-4BCD-AA9B-4044E5832DA3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97" name="Line 373">
          <a:extLst>
            <a:ext uri="{FF2B5EF4-FFF2-40B4-BE49-F238E27FC236}">
              <a16:creationId xmlns:a16="http://schemas.microsoft.com/office/drawing/2014/main" id="{8974233A-A7EB-4301-A4D5-30EEAAF693DD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398" name="Line 374">
          <a:extLst>
            <a:ext uri="{FF2B5EF4-FFF2-40B4-BE49-F238E27FC236}">
              <a16:creationId xmlns:a16="http://schemas.microsoft.com/office/drawing/2014/main" id="{049A436A-D071-45F9-B4EC-01FDBB82B253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399" name="Line 375">
          <a:extLst>
            <a:ext uri="{FF2B5EF4-FFF2-40B4-BE49-F238E27FC236}">
              <a16:creationId xmlns:a16="http://schemas.microsoft.com/office/drawing/2014/main" id="{DFDB34F1-1280-4D60-921C-45152FF9BC02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00" name="Line 376">
          <a:extLst>
            <a:ext uri="{FF2B5EF4-FFF2-40B4-BE49-F238E27FC236}">
              <a16:creationId xmlns:a16="http://schemas.microsoft.com/office/drawing/2014/main" id="{21169100-0C65-48FE-B3E4-AC20F4762576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01" name="Line 377">
          <a:extLst>
            <a:ext uri="{FF2B5EF4-FFF2-40B4-BE49-F238E27FC236}">
              <a16:creationId xmlns:a16="http://schemas.microsoft.com/office/drawing/2014/main" id="{B3D88459-FBB2-4995-8159-4FB5D1FE14F0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02" name="Line 378">
          <a:extLst>
            <a:ext uri="{FF2B5EF4-FFF2-40B4-BE49-F238E27FC236}">
              <a16:creationId xmlns:a16="http://schemas.microsoft.com/office/drawing/2014/main" id="{72906905-5573-4DE7-8DA7-CEDAD38BF113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03" name="Line 379">
          <a:extLst>
            <a:ext uri="{FF2B5EF4-FFF2-40B4-BE49-F238E27FC236}">
              <a16:creationId xmlns:a16="http://schemas.microsoft.com/office/drawing/2014/main" id="{BE918195-FD8F-4B9D-8A7E-C36173738352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04" name="Line 380">
          <a:extLst>
            <a:ext uri="{FF2B5EF4-FFF2-40B4-BE49-F238E27FC236}">
              <a16:creationId xmlns:a16="http://schemas.microsoft.com/office/drawing/2014/main" id="{FC9B1166-BB4A-4979-8456-8D68922CA440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05" name="Line 381">
          <a:extLst>
            <a:ext uri="{FF2B5EF4-FFF2-40B4-BE49-F238E27FC236}">
              <a16:creationId xmlns:a16="http://schemas.microsoft.com/office/drawing/2014/main" id="{48E6B99F-12E2-4B33-8B07-1772186F7E66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06" name="Line 382">
          <a:extLst>
            <a:ext uri="{FF2B5EF4-FFF2-40B4-BE49-F238E27FC236}">
              <a16:creationId xmlns:a16="http://schemas.microsoft.com/office/drawing/2014/main" id="{1CB151A1-2CD0-4E72-9C40-E8BA7CB5E3EF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07" name="Line 383">
          <a:extLst>
            <a:ext uri="{FF2B5EF4-FFF2-40B4-BE49-F238E27FC236}">
              <a16:creationId xmlns:a16="http://schemas.microsoft.com/office/drawing/2014/main" id="{F5C5D779-8F1B-4D0F-90DD-637A40559131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08" name="Line 384">
          <a:extLst>
            <a:ext uri="{FF2B5EF4-FFF2-40B4-BE49-F238E27FC236}">
              <a16:creationId xmlns:a16="http://schemas.microsoft.com/office/drawing/2014/main" id="{88012712-75F7-413F-B44F-DA8B90ACEF3C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09" name="Line 385">
          <a:extLst>
            <a:ext uri="{FF2B5EF4-FFF2-40B4-BE49-F238E27FC236}">
              <a16:creationId xmlns:a16="http://schemas.microsoft.com/office/drawing/2014/main" id="{CAB6759D-9AF9-43D2-8ED3-D267B049D9C8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10" name="Line 386">
          <a:extLst>
            <a:ext uri="{FF2B5EF4-FFF2-40B4-BE49-F238E27FC236}">
              <a16:creationId xmlns:a16="http://schemas.microsoft.com/office/drawing/2014/main" id="{DE49F339-5E80-4260-A4D0-4194B21B74ED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11" name="Line 387">
          <a:extLst>
            <a:ext uri="{FF2B5EF4-FFF2-40B4-BE49-F238E27FC236}">
              <a16:creationId xmlns:a16="http://schemas.microsoft.com/office/drawing/2014/main" id="{4D75DA19-FC80-4A41-8A8B-6B0F3E9C870D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12" name="Line 388">
          <a:extLst>
            <a:ext uri="{FF2B5EF4-FFF2-40B4-BE49-F238E27FC236}">
              <a16:creationId xmlns:a16="http://schemas.microsoft.com/office/drawing/2014/main" id="{7FF39ED7-CF2A-4F74-A0B0-C843195A4B63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13" name="Line 389">
          <a:extLst>
            <a:ext uri="{FF2B5EF4-FFF2-40B4-BE49-F238E27FC236}">
              <a16:creationId xmlns:a16="http://schemas.microsoft.com/office/drawing/2014/main" id="{F97C1AF8-4762-47E7-B58E-2C2338D26D09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14" name="Line 390">
          <a:extLst>
            <a:ext uri="{FF2B5EF4-FFF2-40B4-BE49-F238E27FC236}">
              <a16:creationId xmlns:a16="http://schemas.microsoft.com/office/drawing/2014/main" id="{A0BF4E38-47A4-4B3B-A68E-57542095BAA8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15" name="Line 391">
          <a:extLst>
            <a:ext uri="{FF2B5EF4-FFF2-40B4-BE49-F238E27FC236}">
              <a16:creationId xmlns:a16="http://schemas.microsoft.com/office/drawing/2014/main" id="{35AFB909-4AD2-4A31-AC88-AC55BEBCEF6A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16" name="Line 392">
          <a:extLst>
            <a:ext uri="{FF2B5EF4-FFF2-40B4-BE49-F238E27FC236}">
              <a16:creationId xmlns:a16="http://schemas.microsoft.com/office/drawing/2014/main" id="{B0197BC9-1660-475D-8C4F-1F374FD32319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17" name="Line 393">
          <a:extLst>
            <a:ext uri="{FF2B5EF4-FFF2-40B4-BE49-F238E27FC236}">
              <a16:creationId xmlns:a16="http://schemas.microsoft.com/office/drawing/2014/main" id="{39D5C1FA-F693-4583-9A5E-BF0B01858B1D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18" name="Line 394">
          <a:extLst>
            <a:ext uri="{FF2B5EF4-FFF2-40B4-BE49-F238E27FC236}">
              <a16:creationId xmlns:a16="http://schemas.microsoft.com/office/drawing/2014/main" id="{7204875E-9D32-49DE-BA2C-C0AD61308A39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19" name="Line 395">
          <a:extLst>
            <a:ext uri="{FF2B5EF4-FFF2-40B4-BE49-F238E27FC236}">
              <a16:creationId xmlns:a16="http://schemas.microsoft.com/office/drawing/2014/main" id="{05141FF8-E67A-4CA7-A25D-07C8BDE5AB68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20" name="Line 396">
          <a:extLst>
            <a:ext uri="{FF2B5EF4-FFF2-40B4-BE49-F238E27FC236}">
              <a16:creationId xmlns:a16="http://schemas.microsoft.com/office/drawing/2014/main" id="{948D0AEF-03D3-4C60-942F-64A7B5F097C8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21" name="Line 397">
          <a:extLst>
            <a:ext uri="{FF2B5EF4-FFF2-40B4-BE49-F238E27FC236}">
              <a16:creationId xmlns:a16="http://schemas.microsoft.com/office/drawing/2014/main" id="{6899B0AD-0B20-417B-971E-AB2C7534A4D9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22" name="Line 398">
          <a:extLst>
            <a:ext uri="{FF2B5EF4-FFF2-40B4-BE49-F238E27FC236}">
              <a16:creationId xmlns:a16="http://schemas.microsoft.com/office/drawing/2014/main" id="{FD4F14AF-D098-4526-A753-8CCD1F8BBFD1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23" name="Line 399">
          <a:extLst>
            <a:ext uri="{FF2B5EF4-FFF2-40B4-BE49-F238E27FC236}">
              <a16:creationId xmlns:a16="http://schemas.microsoft.com/office/drawing/2014/main" id="{BDCF4D47-682D-423C-ADE5-6CDE3A4A960A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297</xdr:row>
      <xdr:rowOff>0</xdr:rowOff>
    </xdr:from>
    <xdr:to>
      <xdr:col>4</xdr:col>
      <xdr:colOff>323850</xdr:colOff>
      <xdr:row>297</xdr:row>
      <xdr:rowOff>0</xdr:rowOff>
    </xdr:to>
    <xdr:sp macro="" textlink="">
      <xdr:nvSpPr>
        <xdr:cNvPr id="1424" name="Line 400">
          <a:extLst>
            <a:ext uri="{FF2B5EF4-FFF2-40B4-BE49-F238E27FC236}">
              <a16:creationId xmlns:a16="http://schemas.microsoft.com/office/drawing/2014/main" id="{FA35CA3A-623A-40D2-89D9-CD8394BD6173}"/>
            </a:ext>
          </a:extLst>
        </xdr:cNvPr>
        <xdr:cNvSpPr>
          <a:spLocks noChangeShapeType="1"/>
        </xdr:cNvSpPr>
      </xdr:nvSpPr>
      <xdr:spPr bwMode="auto">
        <a:xfrm>
          <a:off x="29083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317500</xdr:colOff>
      <xdr:row>297</xdr:row>
      <xdr:rowOff>0</xdr:rowOff>
    </xdr:from>
    <xdr:to>
      <xdr:col>4</xdr:col>
      <xdr:colOff>400050</xdr:colOff>
      <xdr:row>297</xdr:row>
      <xdr:rowOff>0</xdr:rowOff>
    </xdr:to>
    <xdr:sp macro="" textlink="">
      <xdr:nvSpPr>
        <xdr:cNvPr id="1425" name="Line 401">
          <a:extLst>
            <a:ext uri="{FF2B5EF4-FFF2-40B4-BE49-F238E27FC236}">
              <a16:creationId xmlns:a16="http://schemas.microsoft.com/office/drawing/2014/main" id="{22DFB533-52D5-4DCC-B942-52102B2FDADE}"/>
            </a:ext>
          </a:extLst>
        </xdr:cNvPr>
        <xdr:cNvSpPr>
          <a:spLocks noChangeShapeType="1"/>
        </xdr:cNvSpPr>
      </xdr:nvSpPr>
      <xdr:spPr bwMode="auto">
        <a:xfrm flipV="1">
          <a:off x="293370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297</xdr:row>
      <xdr:rowOff>0</xdr:rowOff>
    </xdr:from>
    <xdr:to>
      <xdr:col>1</xdr:col>
      <xdr:colOff>317500</xdr:colOff>
      <xdr:row>297</xdr:row>
      <xdr:rowOff>0</xdr:rowOff>
    </xdr:to>
    <xdr:sp macro="" textlink="">
      <xdr:nvSpPr>
        <xdr:cNvPr id="1426" name="Line 402">
          <a:extLst>
            <a:ext uri="{FF2B5EF4-FFF2-40B4-BE49-F238E27FC236}">
              <a16:creationId xmlns:a16="http://schemas.microsoft.com/office/drawing/2014/main" id="{B604DC09-6A2D-47A9-8FED-6318E75DE5C7}"/>
            </a:ext>
          </a:extLst>
        </xdr:cNvPr>
        <xdr:cNvSpPr>
          <a:spLocks noChangeShapeType="1"/>
        </xdr:cNvSpPr>
      </xdr:nvSpPr>
      <xdr:spPr bwMode="auto">
        <a:xfrm>
          <a:off x="952500" y="5205095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317500</xdr:colOff>
      <xdr:row>297</xdr:row>
      <xdr:rowOff>0</xdr:rowOff>
    </xdr:from>
    <xdr:to>
      <xdr:col>1</xdr:col>
      <xdr:colOff>400050</xdr:colOff>
      <xdr:row>297</xdr:row>
      <xdr:rowOff>0</xdr:rowOff>
    </xdr:to>
    <xdr:sp macro="" textlink="">
      <xdr:nvSpPr>
        <xdr:cNvPr id="1427" name="Line 403">
          <a:extLst>
            <a:ext uri="{FF2B5EF4-FFF2-40B4-BE49-F238E27FC236}">
              <a16:creationId xmlns:a16="http://schemas.microsoft.com/office/drawing/2014/main" id="{FDD51F28-BA39-4A28-AD6B-FC63A212F611}"/>
            </a:ext>
          </a:extLst>
        </xdr:cNvPr>
        <xdr:cNvSpPr>
          <a:spLocks noChangeShapeType="1"/>
        </xdr:cNvSpPr>
      </xdr:nvSpPr>
      <xdr:spPr bwMode="auto">
        <a:xfrm flipV="1">
          <a:off x="984250" y="52050950"/>
          <a:ext cx="82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177800</xdr:colOff>
      <xdr:row>113</xdr:row>
      <xdr:rowOff>158750</xdr:rowOff>
    </xdr:from>
    <xdr:to>
      <xdr:col>6</xdr:col>
      <xdr:colOff>31750</xdr:colOff>
      <xdr:row>116</xdr:row>
      <xdr:rowOff>0</xdr:rowOff>
    </xdr:to>
    <xdr:pic>
      <xdr:nvPicPr>
        <xdr:cNvPr id="1460" name="Picture 436">
          <a:extLst>
            <a:ext uri="{FF2B5EF4-FFF2-40B4-BE49-F238E27FC236}">
              <a16:creationId xmlns:a16="http://schemas.microsoft.com/office/drawing/2014/main" id="{FFD6729C-7E42-4213-9E57-D7634572F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20066000"/>
          <a:ext cx="4953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82550</xdr:colOff>
      <xdr:row>20</xdr:row>
      <xdr:rowOff>95250</xdr:rowOff>
    </xdr:from>
    <xdr:to>
      <xdr:col>4</xdr:col>
      <xdr:colOff>577850</xdr:colOff>
      <xdr:row>23</xdr:row>
      <xdr:rowOff>25400</xdr:rowOff>
    </xdr:to>
    <xdr:pic>
      <xdr:nvPicPr>
        <xdr:cNvPr id="1461" name="Picture 437">
          <a:extLst>
            <a:ext uri="{FF2B5EF4-FFF2-40B4-BE49-F238E27FC236}">
              <a16:creationId xmlns:a16="http://schemas.microsoft.com/office/drawing/2014/main" id="{8C8AF410-E00E-403A-AF16-E1D6B2D2A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3511550"/>
          <a:ext cx="495300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298450</xdr:colOff>
      <xdr:row>97</xdr:row>
      <xdr:rowOff>76200</xdr:rowOff>
    </xdr:from>
    <xdr:to>
      <xdr:col>4</xdr:col>
      <xdr:colOff>768350</xdr:colOff>
      <xdr:row>99</xdr:row>
      <xdr:rowOff>114300</xdr:rowOff>
    </xdr:to>
    <xdr:pic>
      <xdr:nvPicPr>
        <xdr:cNvPr id="1462" name="Picture 438">
          <a:extLst>
            <a:ext uri="{FF2B5EF4-FFF2-40B4-BE49-F238E27FC236}">
              <a16:creationId xmlns:a16="http://schemas.microsoft.com/office/drawing/2014/main" id="{4C4E6DC4-1418-4137-824B-D4D7B84C1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4650" y="17138650"/>
          <a:ext cx="4699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164</xdr:row>
      <xdr:rowOff>19050</xdr:rowOff>
    </xdr:from>
    <xdr:to>
      <xdr:col>5</xdr:col>
      <xdr:colOff>82550</xdr:colOff>
      <xdr:row>167</xdr:row>
      <xdr:rowOff>0</xdr:rowOff>
    </xdr:to>
    <xdr:pic>
      <xdr:nvPicPr>
        <xdr:cNvPr id="1464" name="Picture 440">
          <a:extLst>
            <a:ext uri="{FF2B5EF4-FFF2-40B4-BE49-F238E27FC236}">
              <a16:creationId xmlns:a16="http://schemas.microsoft.com/office/drawing/2014/main" id="{FCB96D96-E352-4880-B13A-98F9A0A83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6700" y="28962350"/>
          <a:ext cx="6985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260350</xdr:colOff>
      <xdr:row>126</xdr:row>
      <xdr:rowOff>19050</xdr:rowOff>
    </xdr:from>
    <xdr:to>
      <xdr:col>4</xdr:col>
      <xdr:colOff>793750</xdr:colOff>
      <xdr:row>128</xdr:row>
      <xdr:rowOff>152400</xdr:rowOff>
    </xdr:to>
    <xdr:pic>
      <xdr:nvPicPr>
        <xdr:cNvPr id="1465" name="Picture 441">
          <a:extLst>
            <a:ext uri="{FF2B5EF4-FFF2-40B4-BE49-F238E27FC236}">
              <a16:creationId xmlns:a16="http://schemas.microsoft.com/office/drawing/2014/main" id="{DF478148-02AD-4117-BFE9-868B16BF3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22237700"/>
          <a:ext cx="53340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514350</xdr:colOff>
      <xdr:row>177</xdr:row>
      <xdr:rowOff>69850</xdr:rowOff>
    </xdr:from>
    <xdr:to>
      <xdr:col>5</xdr:col>
      <xdr:colOff>323850</xdr:colOff>
      <xdr:row>180</xdr:row>
      <xdr:rowOff>6350</xdr:rowOff>
    </xdr:to>
    <xdr:pic>
      <xdr:nvPicPr>
        <xdr:cNvPr id="1467" name="Picture 443">
          <a:extLst>
            <a:ext uri="{FF2B5EF4-FFF2-40B4-BE49-F238E27FC236}">
              <a16:creationId xmlns:a16="http://schemas.microsoft.com/office/drawing/2014/main" id="{E099022D-4FA5-49EF-8EB1-243B04F7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0550" y="31324550"/>
          <a:ext cx="6159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59</xdr:row>
      <xdr:rowOff>38100</xdr:rowOff>
    </xdr:from>
    <xdr:to>
      <xdr:col>4</xdr:col>
      <xdr:colOff>317500</xdr:colOff>
      <xdr:row>61</xdr:row>
      <xdr:rowOff>158750</xdr:rowOff>
    </xdr:to>
    <xdr:pic>
      <xdr:nvPicPr>
        <xdr:cNvPr id="1468" name="Picture 444">
          <a:extLst>
            <a:ext uri="{FF2B5EF4-FFF2-40B4-BE49-F238E27FC236}">
              <a16:creationId xmlns:a16="http://schemas.microsoft.com/office/drawing/2014/main" id="{19EB637B-1F08-472D-AE16-551CD80F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700" y="10331450"/>
          <a:ext cx="635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336550</xdr:colOff>
      <xdr:row>242</xdr:row>
      <xdr:rowOff>44450</xdr:rowOff>
    </xdr:from>
    <xdr:to>
      <xdr:col>4</xdr:col>
      <xdr:colOff>787400</xdr:colOff>
      <xdr:row>244</xdr:row>
      <xdr:rowOff>82550</xdr:rowOff>
    </xdr:to>
    <xdr:pic>
      <xdr:nvPicPr>
        <xdr:cNvPr id="1471" name="Picture 447">
          <a:extLst>
            <a:ext uri="{FF2B5EF4-FFF2-40B4-BE49-F238E27FC236}">
              <a16:creationId xmlns:a16="http://schemas.microsoft.com/office/drawing/2014/main" id="{16F694B5-AF07-4AB6-B93B-F7A57D98A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42710100"/>
          <a:ext cx="45085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177800</xdr:colOff>
      <xdr:row>242</xdr:row>
      <xdr:rowOff>6350</xdr:rowOff>
    </xdr:from>
    <xdr:to>
      <xdr:col>5</xdr:col>
      <xdr:colOff>463550</xdr:colOff>
      <xdr:row>244</xdr:row>
      <xdr:rowOff>76200</xdr:rowOff>
    </xdr:to>
    <xdr:pic>
      <xdr:nvPicPr>
        <xdr:cNvPr id="1472" name="Picture 448">
          <a:extLst>
            <a:ext uri="{FF2B5EF4-FFF2-40B4-BE49-F238E27FC236}">
              <a16:creationId xmlns:a16="http://schemas.microsoft.com/office/drawing/2014/main" id="{09148CBC-2B3E-47C1-BFC9-46532AF12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42672000"/>
          <a:ext cx="285750" cy="42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317500</xdr:colOff>
      <xdr:row>253</xdr:row>
      <xdr:rowOff>152400</xdr:rowOff>
    </xdr:from>
    <xdr:to>
      <xdr:col>6</xdr:col>
      <xdr:colOff>31750</xdr:colOff>
      <xdr:row>257</xdr:row>
      <xdr:rowOff>171450</xdr:rowOff>
    </xdr:to>
    <xdr:pic>
      <xdr:nvPicPr>
        <xdr:cNvPr id="1473" name="Picture 449">
          <a:extLst>
            <a:ext uri="{FF2B5EF4-FFF2-40B4-BE49-F238E27FC236}">
              <a16:creationId xmlns:a16="http://schemas.microsoft.com/office/drawing/2014/main" id="{06DDDECE-F290-4A31-B316-0C9A9BF66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44773850"/>
          <a:ext cx="1162050" cy="73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628650</xdr:colOff>
      <xdr:row>0</xdr:row>
      <xdr:rowOff>0</xdr:rowOff>
    </xdr:from>
    <xdr:to>
      <xdr:col>9</xdr:col>
      <xdr:colOff>450850</xdr:colOff>
      <xdr:row>0</xdr:row>
      <xdr:rowOff>0</xdr:rowOff>
    </xdr:to>
    <xdr:sp macro="" textlink="">
      <xdr:nvSpPr>
        <xdr:cNvPr id="1477" name="Rectangle 453">
          <a:extLst>
            <a:ext uri="{FF2B5EF4-FFF2-40B4-BE49-F238E27FC236}">
              <a16:creationId xmlns:a16="http://schemas.microsoft.com/office/drawing/2014/main" id="{DFC39823-461E-44B3-A871-C1A3FAB62D11}"/>
            </a:ext>
          </a:extLst>
        </xdr:cNvPr>
        <xdr:cNvSpPr>
          <a:spLocks noChangeArrowheads="1"/>
        </xdr:cNvSpPr>
      </xdr:nvSpPr>
      <xdr:spPr bwMode="auto">
        <a:xfrm>
          <a:off x="6045200" y="0"/>
          <a:ext cx="4889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635000</xdr:colOff>
      <xdr:row>0</xdr:row>
      <xdr:rowOff>0</xdr:rowOff>
    </xdr:from>
    <xdr:to>
      <xdr:col>6</xdr:col>
      <xdr:colOff>279400</xdr:colOff>
      <xdr:row>0</xdr:row>
      <xdr:rowOff>0</xdr:rowOff>
    </xdr:to>
    <xdr:pic>
      <xdr:nvPicPr>
        <xdr:cNvPr id="1485" name="Picture 461">
          <a:extLst>
            <a:ext uri="{FF2B5EF4-FFF2-40B4-BE49-F238E27FC236}">
              <a16:creationId xmlns:a16="http://schemas.microsoft.com/office/drawing/2014/main" id="{8D0325D2-FDA7-4B49-BEDC-931C90DDD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0"/>
          <a:ext cx="1092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400050</xdr:colOff>
      <xdr:row>0</xdr:row>
      <xdr:rowOff>0</xdr:rowOff>
    </xdr:from>
    <xdr:to>
      <xdr:col>5</xdr:col>
      <xdr:colOff>552450</xdr:colOff>
      <xdr:row>0</xdr:row>
      <xdr:rowOff>0</xdr:rowOff>
    </xdr:to>
    <xdr:sp macro="" textlink="">
      <xdr:nvSpPr>
        <xdr:cNvPr id="1634" name="Text Box 610">
          <a:extLst>
            <a:ext uri="{FF2B5EF4-FFF2-40B4-BE49-F238E27FC236}">
              <a16:creationId xmlns:a16="http://schemas.microsoft.com/office/drawing/2014/main" id="{D87762A2-7831-414A-82FF-B28E5A2D6ABD}"/>
            </a:ext>
          </a:extLst>
        </xdr:cNvPr>
        <xdr:cNvSpPr txBox="1">
          <a:spLocks noChangeArrowheads="1"/>
        </xdr:cNvSpPr>
      </xdr:nvSpPr>
      <xdr:spPr bwMode="auto">
        <a:xfrm>
          <a:off x="3016250" y="0"/>
          <a:ext cx="9588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Go to File to Page Setup to Margins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18"/>
  <sheetViews>
    <sheetView showZeros="0" tabSelected="1" showOutlineSymbols="0" topLeftCell="A254" zoomScaleNormal="100" workbookViewId="0">
      <selection activeCell="J10" sqref="J10"/>
    </sheetView>
  </sheetViews>
  <sheetFormatPr defaultColWidth="9.1796875" defaultRowHeight="12.5" x14ac:dyDescent="0.25"/>
  <cols>
    <col min="1" max="2" width="9.54296875" style="3" customWidth="1"/>
    <col min="3" max="4" width="9.1796875" style="3"/>
    <col min="5" max="5" width="11.54296875" style="3" customWidth="1"/>
    <col min="6" max="7" width="9.1796875" style="3"/>
    <col min="8" max="8" width="10.1796875" style="3" bestFit="1" customWidth="1"/>
    <col min="9" max="9" width="9.54296875" style="3" bestFit="1" customWidth="1"/>
    <col min="10" max="10" width="9.453125" style="3" bestFit="1" customWidth="1"/>
    <col min="11" max="13" width="9.1796875" style="10"/>
    <col min="14" max="16384" width="9.1796875" style="3"/>
  </cols>
  <sheetData>
    <row r="1" spans="1:63" s="135" customFormat="1" x14ac:dyDescent="0.25"/>
    <row r="2" spans="1:63" s="135" customFormat="1" x14ac:dyDescent="0.25"/>
    <row r="3" spans="1:63" s="135" customFormat="1" x14ac:dyDescent="0.25"/>
    <row r="4" spans="1:63" s="137" customFormat="1" x14ac:dyDescent="0.25"/>
    <row r="5" spans="1:63" s="1" customFormat="1" ht="13.5" customHeight="1" x14ac:dyDescent="0.3">
      <c r="A5" s="136"/>
      <c r="B5" s="36"/>
      <c r="C5" s="36"/>
      <c r="D5" s="36"/>
      <c r="E5" s="36"/>
      <c r="F5" s="36"/>
      <c r="G5" s="36"/>
      <c r="H5" s="36"/>
      <c r="I5" s="36"/>
      <c r="J5" s="36"/>
      <c r="K5" s="135"/>
      <c r="L5" s="136"/>
      <c r="M5" s="136"/>
    </row>
    <row r="6" spans="1:63" s="1" customFormat="1" ht="13.5" customHeight="1" x14ac:dyDescent="0.3">
      <c r="A6" s="136"/>
      <c r="B6" s="30"/>
      <c r="C6" s="36"/>
      <c r="D6" s="149" t="s">
        <v>17</v>
      </c>
      <c r="E6" s="31"/>
      <c r="F6" s="36"/>
      <c r="G6" s="36"/>
      <c r="H6" s="36"/>
      <c r="I6" s="36"/>
      <c r="J6" s="36"/>
      <c r="K6" s="135"/>
      <c r="L6" s="136"/>
      <c r="M6" s="136"/>
    </row>
    <row r="7" spans="1:63" s="1" customFormat="1" ht="10" customHeight="1" x14ac:dyDescent="0.3">
      <c r="A7" s="136"/>
      <c r="B7" s="36"/>
      <c r="C7" s="36"/>
      <c r="D7" s="36"/>
      <c r="E7" s="36"/>
      <c r="F7" s="36"/>
      <c r="G7" s="36"/>
      <c r="H7" s="36"/>
      <c r="I7" s="36"/>
      <c r="J7" s="36"/>
      <c r="K7" s="135"/>
      <c r="L7" s="136"/>
      <c r="M7" s="136"/>
    </row>
    <row r="8" spans="1:63" s="1" customFormat="1" ht="14" x14ac:dyDescent="0.3">
      <c r="A8" s="136"/>
      <c r="B8" s="37" t="s">
        <v>30</v>
      </c>
      <c r="C8" s="37"/>
      <c r="D8" s="37"/>
      <c r="E8" s="37"/>
      <c r="F8" s="37"/>
      <c r="G8" s="37"/>
      <c r="H8" s="37"/>
      <c r="I8" s="37"/>
      <c r="J8" s="37"/>
      <c r="K8" s="136"/>
      <c r="L8" s="136"/>
      <c r="M8" s="136"/>
    </row>
    <row r="9" spans="1:63" s="1" customFormat="1" ht="14" x14ac:dyDescent="0.3">
      <c r="A9" s="136"/>
      <c r="B9" s="42"/>
      <c r="C9" s="42"/>
      <c r="D9" s="42"/>
      <c r="E9" s="42"/>
      <c r="F9" s="42"/>
      <c r="G9" s="42"/>
      <c r="H9" s="42"/>
      <c r="I9" s="42"/>
      <c r="J9" s="42"/>
      <c r="K9" s="136"/>
      <c r="L9" s="136"/>
      <c r="M9" s="136"/>
    </row>
    <row r="10" spans="1:63" ht="14" x14ac:dyDescent="0.3">
      <c r="A10" s="135"/>
      <c r="B10" s="31" t="s">
        <v>16</v>
      </c>
      <c r="C10" s="31"/>
      <c r="D10" s="31"/>
      <c r="E10" s="31"/>
      <c r="F10" s="31"/>
      <c r="G10" s="31"/>
      <c r="H10" s="31"/>
      <c r="I10" s="31"/>
      <c r="J10" s="20"/>
      <c r="K10" s="136"/>
      <c r="L10" s="135"/>
      <c r="M10" s="135"/>
    </row>
    <row r="11" spans="1:63" s="1" customFormat="1" ht="14" x14ac:dyDescent="0.3">
      <c r="A11" s="136"/>
      <c r="B11" s="31"/>
      <c r="C11" s="31"/>
      <c r="D11" s="31"/>
      <c r="E11" s="31"/>
      <c r="F11" s="31"/>
      <c r="G11" s="31"/>
      <c r="H11" s="31"/>
      <c r="I11" s="31"/>
      <c r="J11" s="31"/>
      <c r="K11" s="136"/>
      <c r="L11" s="136"/>
      <c r="M11" s="136"/>
    </row>
    <row r="12" spans="1:63" s="1" customFormat="1" ht="14" x14ac:dyDescent="0.3">
      <c r="A12" s="136"/>
      <c r="B12" s="31" t="s">
        <v>31</v>
      </c>
      <c r="C12" s="40"/>
      <c r="D12" s="31"/>
      <c r="E12" s="31"/>
      <c r="F12" s="31"/>
      <c r="G12" s="31"/>
      <c r="H12" s="31"/>
      <c r="I12" s="31"/>
      <c r="J12" s="20"/>
      <c r="K12" s="136"/>
      <c r="L12" s="136"/>
      <c r="M12" s="136"/>
    </row>
    <row r="13" spans="1:63" s="1" customFormat="1" ht="14" x14ac:dyDescent="0.3">
      <c r="A13" s="136"/>
      <c r="B13" s="31" t="s">
        <v>32</v>
      </c>
      <c r="C13" s="40"/>
      <c r="D13" s="31"/>
      <c r="E13" s="31"/>
      <c r="F13" s="31"/>
      <c r="G13" s="31"/>
      <c r="H13" s="31"/>
      <c r="I13" s="31"/>
      <c r="J13" s="31"/>
      <c r="K13" s="136"/>
      <c r="L13" s="135"/>
      <c r="M13" s="13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</row>
    <row r="14" spans="1:63" s="4" customFormat="1" ht="14" x14ac:dyDescent="0.3">
      <c r="A14" s="136"/>
      <c r="B14" s="31"/>
      <c r="C14" s="40"/>
      <c r="D14" s="31"/>
      <c r="E14" s="31"/>
      <c r="F14" s="31"/>
      <c r="G14" s="31"/>
      <c r="H14" s="31"/>
      <c r="I14" s="31"/>
      <c r="J14" s="31"/>
      <c r="K14" s="136"/>
      <c r="L14" s="135"/>
      <c r="M14" s="13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</row>
    <row r="15" spans="1:63" s="1" customFormat="1" ht="14" x14ac:dyDescent="0.3">
      <c r="A15" s="136"/>
      <c r="B15" s="31" t="s">
        <v>11</v>
      </c>
      <c r="C15" s="40"/>
      <c r="D15" s="31"/>
      <c r="E15" s="31"/>
      <c r="F15" s="31"/>
      <c r="G15" s="31"/>
      <c r="H15" s="31"/>
      <c r="I15" s="31"/>
      <c r="J15" s="31"/>
      <c r="K15" s="135"/>
      <c r="L15" s="135"/>
      <c r="M15" s="13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pans="1:63" ht="14" x14ac:dyDescent="0.3">
      <c r="A16" s="135"/>
      <c r="B16" s="31" t="s">
        <v>12</v>
      </c>
      <c r="C16" s="30"/>
      <c r="D16" s="30"/>
      <c r="E16" s="30"/>
      <c r="F16" s="20"/>
      <c r="G16" s="31" t="s">
        <v>14</v>
      </c>
      <c r="H16" s="31"/>
      <c r="I16" s="30"/>
      <c r="J16" s="30"/>
      <c r="K16" s="136"/>
      <c r="L16" s="135"/>
      <c r="M16" s="135"/>
    </row>
    <row r="17" spans="1:63" s="9" customFormat="1" ht="14" x14ac:dyDescent="0.3">
      <c r="A17" s="138"/>
      <c r="B17" s="43" t="s">
        <v>13</v>
      </c>
      <c r="C17" s="43"/>
      <c r="D17" s="43"/>
      <c r="E17" s="20"/>
      <c r="F17" s="31" t="s">
        <v>15</v>
      </c>
      <c r="G17" s="43"/>
      <c r="H17" s="30"/>
      <c r="I17" s="44" t="str">
        <f>IF(E17="","",F16/E17)</f>
        <v/>
      </c>
      <c r="J17" s="43"/>
      <c r="K17" s="138"/>
      <c r="L17" s="138"/>
      <c r="M17" s="138"/>
    </row>
    <row r="18" spans="1:63" s="1" customFormat="1" ht="14" x14ac:dyDescent="0.3">
      <c r="A18" s="136"/>
      <c r="B18" s="31" t="s">
        <v>7</v>
      </c>
      <c r="C18" s="40"/>
      <c r="D18" s="40"/>
      <c r="E18" s="45" t="str">
        <f>IF(J12="","",J12)</f>
        <v/>
      </c>
      <c r="F18" s="31" t="s">
        <v>33</v>
      </c>
      <c r="G18" s="41" t="str">
        <f>IF(I17="","",I17*E18)</f>
        <v/>
      </c>
      <c r="H18" s="31"/>
      <c r="I18" s="31"/>
      <c r="J18" s="30"/>
      <c r="K18" s="136"/>
      <c r="L18" s="135"/>
      <c r="M18" s="13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pans="1:63" s="1" customFormat="1" ht="14" x14ac:dyDescent="0.3">
      <c r="A19" s="136"/>
      <c r="B19" s="31"/>
      <c r="C19" s="31"/>
      <c r="D19" s="31"/>
      <c r="E19" s="31"/>
      <c r="F19" s="31"/>
      <c r="G19" s="31"/>
      <c r="H19" s="31"/>
      <c r="I19" s="31"/>
      <c r="J19" s="31"/>
      <c r="K19" s="136"/>
      <c r="L19" s="135"/>
      <c r="M19" s="13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 s="1" customFormat="1" ht="14" x14ac:dyDescent="0.3">
      <c r="A20" s="136"/>
      <c r="B20" s="31" t="s">
        <v>34</v>
      </c>
      <c r="C20" s="40"/>
      <c r="D20" s="31"/>
      <c r="E20" s="31"/>
      <c r="F20" s="31"/>
      <c r="G20" s="31"/>
      <c r="H20" s="31"/>
      <c r="I20" s="31"/>
      <c r="J20" s="41" t="str">
        <f>IF(J12="","",J12+G18)</f>
        <v/>
      </c>
      <c r="K20" s="136"/>
      <c r="L20" s="135"/>
      <c r="M20" s="13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</row>
    <row r="21" spans="1:63" s="1" customFormat="1" ht="14" x14ac:dyDescent="0.3">
      <c r="A21" s="136"/>
      <c r="B21" s="31"/>
      <c r="C21" s="31"/>
      <c r="D21" s="31"/>
      <c r="E21" s="31"/>
      <c r="F21" s="31"/>
      <c r="G21" s="31"/>
      <c r="H21" s="31"/>
      <c r="I21" s="31"/>
      <c r="J21" s="31"/>
      <c r="K21" s="136"/>
      <c r="L21" s="135"/>
      <c r="M21" s="13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</row>
    <row r="22" spans="1:63" s="1" customFormat="1" ht="14" x14ac:dyDescent="0.3">
      <c r="A22" s="136"/>
      <c r="B22" s="37" t="s">
        <v>35</v>
      </c>
      <c r="C22" s="37"/>
      <c r="D22" s="37"/>
      <c r="E22" s="37"/>
      <c r="F22" s="37"/>
      <c r="G22" s="37"/>
      <c r="H22" s="37"/>
      <c r="I22" s="37"/>
      <c r="J22" s="37"/>
      <c r="K22" s="136"/>
      <c r="L22" s="135"/>
      <c r="M22" s="13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 s="1" customFormat="1" ht="14" x14ac:dyDescent="0.3">
      <c r="A23" s="136"/>
      <c r="B23" s="37"/>
      <c r="C23" s="37"/>
      <c r="D23" s="37"/>
      <c r="E23" s="37"/>
      <c r="F23" s="37"/>
      <c r="G23" s="37"/>
      <c r="H23" s="37"/>
      <c r="I23" s="37"/>
      <c r="J23" s="37"/>
      <c r="K23" s="136"/>
      <c r="L23" s="135"/>
      <c r="M23" s="13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</row>
    <row r="24" spans="1:63" s="1" customFormat="1" ht="14.5" thickBot="1" x14ac:dyDescent="0.35">
      <c r="A24" s="136"/>
      <c r="B24" s="31" t="s">
        <v>36</v>
      </c>
      <c r="C24" s="31"/>
      <c r="D24" s="31"/>
      <c r="E24" s="31"/>
      <c r="F24" s="31"/>
      <c r="G24" s="33"/>
      <c r="H24" s="33"/>
      <c r="I24" s="46"/>
      <c r="J24" s="47"/>
      <c r="K24" s="136"/>
      <c r="L24" s="135"/>
      <c r="M24" s="13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</row>
    <row r="25" spans="1:63" s="1" customFormat="1" ht="14.5" thickBot="1" x14ac:dyDescent="0.35">
      <c r="A25" s="136"/>
      <c r="B25" s="48"/>
      <c r="C25" s="49"/>
      <c r="D25" s="50" t="s">
        <v>25</v>
      </c>
      <c r="E25" s="49"/>
      <c r="F25" s="49"/>
      <c r="G25" s="49"/>
      <c r="H25" s="49"/>
      <c r="I25" s="49"/>
      <c r="J25" s="51"/>
      <c r="K25" s="136"/>
      <c r="L25" s="135"/>
      <c r="M25" s="13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</row>
    <row r="26" spans="1:63" ht="14" x14ac:dyDescent="0.3">
      <c r="A26" s="135"/>
      <c r="B26" s="52" t="s">
        <v>8</v>
      </c>
      <c r="C26" s="53"/>
      <c r="D26" s="54" t="s">
        <v>39</v>
      </c>
      <c r="E26" s="55"/>
      <c r="F26" s="56" t="s">
        <v>40</v>
      </c>
      <c r="G26" s="56" t="s">
        <v>41</v>
      </c>
      <c r="H26" s="56" t="s">
        <v>41</v>
      </c>
      <c r="I26" s="56" t="s">
        <v>42</v>
      </c>
      <c r="J26" s="57" t="s">
        <v>42</v>
      </c>
      <c r="K26" s="136"/>
      <c r="L26" s="135"/>
      <c r="M26" s="135"/>
    </row>
    <row r="27" spans="1:63" s="1" customFormat="1" ht="14" x14ac:dyDescent="0.3">
      <c r="A27" s="136"/>
      <c r="B27" s="58" t="s">
        <v>9</v>
      </c>
      <c r="C27" s="59"/>
      <c r="D27" s="60" t="s">
        <v>43</v>
      </c>
      <c r="E27" s="33"/>
      <c r="F27" s="61"/>
      <c r="G27" s="62" t="s">
        <v>44</v>
      </c>
      <c r="H27" s="63"/>
      <c r="I27" s="61" t="s">
        <v>44</v>
      </c>
      <c r="J27" s="64"/>
      <c r="K27" s="136"/>
      <c r="L27" s="135"/>
      <c r="M27" s="13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 s="1" customFormat="1" ht="14" x14ac:dyDescent="0.3">
      <c r="A28" s="136"/>
      <c r="B28" s="58" t="s">
        <v>10</v>
      </c>
      <c r="C28" s="59"/>
      <c r="D28" s="33"/>
      <c r="E28" s="33"/>
      <c r="F28" s="61"/>
      <c r="G28" s="62" t="s">
        <v>45</v>
      </c>
      <c r="H28" s="63"/>
      <c r="I28" s="61" t="s">
        <v>45</v>
      </c>
      <c r="J28" s="64"/>
      <c r="K28" s="136"/>
      <c r="L28" s="135"/>
      <c r="M28" s="13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</row>
    <row r="29" spans="1:63" s="1" customFormat="1" ht="14" x14ac:dyDescent="0.3">
      <c r="A29" s="136"/>
      <c r="B29" s="58" t="s">
        <v>67</v>
      </c>
      <c r="C29" s="59"/>
      <c r="D29" s="33"/>
      <c r="E29" s="33"/>
      <c r="F29" s="61"/>
      <c r="G29" s="62" t="s">
        <v>46</v>
      </c>
      <c r="H29" s="63"/>
      <c r="I29" s="65" t="s">
        <v>46</v>
      </c>
      <c r="J29" s="64"/>
      <c r="K29" s="136"/>
      <c r="L29" s="135"/>
      <c r="M29" s="135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 s="1" customFormat="1" ht="14" x14ac:dyDescent="0.3">
      <c r="A30" s="136"/>
      <c r="B30" s="152"/>
      <c r="C30" s="153"/>
      <c r="D30" s="66" t="s">
        <v>47</v>
      </c>
      <c r="E30" s="66"/>
      <c r="F30" s="67">
        <v>2000</v>
      </c>
      <c r="G30" s="68">
        <v>5</v>
      </c>
      <c r="H30" s="41" t="str">
        <f>IF(B30="","",2000+(5*B30))</f>
        <v/>
      </c>
      <c r="I30" s="69">
        <v>7</v>
      </c>
      <c r="J30" s="70" t="str">
        <f>IF(B30="","",2000+(7*B30))</f>
        <v/>
      </c>
      <c r="K30" s="136"/>
      <c r="L30" s="135"/>
      <c r="M30" s="13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</row>
    <row r="31" spans="1:63" s="1" customFormat="1" ht="14" x14ac:dyDescent="0.3">
      <c r="A31" s="136"/>
      <c r="B31" s="152"/>
      <c r="C31" s="153"/>
      <c r="D31" s="71" t="s">
        <v>48</v>
      </c>
      <c r="E31" s="71"/>
      <c r="F31" s="67">
        <v>6000</v>
      </c>
      <c r="G31" s="72">
        <v>2</v>
      </c>
      <c r="H31" s="73" t="str">
        <f>IF(B31="","",6000+(2*B31))</f>
        <v/>
      </c>
      <c r="I31" s="69">
        <v>3</v>
      </c>
      <c r="J31" s="74" t="str">
        <f>IF(B31="","",6000+(3*B31))</f>
        <v/>
      </c>
      <c r="K31" s="136"/>
      <c r="L31" s="135"/>
      <c r="M31" s="13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</row>
    <row r="32" spans="1:63" s="1" customFormat="1" ht="14" x14ac:dyDescent="0.3">
      <c r="A32" s="136"/>
      <c r="B32" s="152"/>
      <c r="C32" s="153"/>
      <c r="D32" s="71" t="s">
        <v>49</v>
      </c>
      <c r="E32" s="71"/>
      <c r="F32" s="67">
        <v>10000</v>
      </c>
      <c r="G32" s="72">
        <v>1.75</v>
      </c>
      <c r="H32" s="73" t="str">
        <f>IF(B32="","",10000+(1.75*B32))</f>
        <v/>
      </c>
      <c r="I32" s="69">
        <v>2.75</v>
      </c>
      <c r="J32" s="74" t="str">
        <f>IF(B32="","",10000+(2.75*B32))</f>
        <v/>
      </c>
      <c r="K32" s="136"/>
      <c r="L32" s="135"/>
      <c r="M32" s="13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</row>
    <row r="33" spans="1:63" s="1" customFormat="1" ht="14" x14ac:dyDescent="0.3">
      <c r="A33" s="136"/>
      <c r="B33" s="152"/>
      <c r="C33" s="153"/>
      <c r="D33" s="71" t="s">
        <v>50</v>
      </c>
      <c r="E33" s="71"/>
      <c r="F33" s="67">
        <v>18000</v>
      </c>
      <c r="G33" s="72">
        <v>1.25</v>
      </c>
      <c r="H33" s="73" t="str">
        <f>IF(B33="","",18000+(1.25*B33))</f>
        <v/>
      </c>
      <c r="I33" s="69">
        <v>2.5</v>
      </c>
      <c r="J33" s="74" t="str">
        <f>IF(B33="","",18000+(2.5*B33))</f>
        <v/>
      </c>
      <c r="K33" s="136"/>
      <c r="L33" s="135"/>
      <c r="M33" s="135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</row>
    <row r="34" spans="1:63" s="1" customFormat="1" ht="14" x14ac:dyDescent="0.3">
      <c r="A34" s="136"/>
      <c r="B34" s="152"/>
      <c r="C34" s="153"/>
      <c r="D34" s="71" t="s">
        <v>51</v>
      </c>
      <c r="E34" s="71"/>
      <c r="F34" s="67">
        <v>35000</v>
      </c>
      <c r="G34" s="72">
        <v>0.6</v>
      </c>
      <c r="H34" s="73" t="str">
        <f>IF(B34="","",35000+(0.6*B34))</f>
        <v/>
      </c>
      <c r="I34" s="69">
        <v>2</v>
      </c>
      <c r="J34" s="74" t="str">
        <f>IF(B34="","",35000+(2*B34))</f>
        <v/>
      </c>
      <c r="K34" s="136"/>
      <c r="L34" s="135"/>
      <c r="M34" s="13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 s="1" customFormat="1" ht="14" x14ac:dyDescent="0.3">
      <c r="A35" s="136"/>
      <c r="B35" s="152"/>
      <c r="C35" s="153"/>
      <c r="D35" s="71" t="s">
        <v>52</v>
      </c>
      <c r="E35" s="71"/>
      <c r="F35" s="67">
        <v>45000</v>
      </c>
      <c r="G35" s="72">
        <v>0.6</v>
      </c>
      <c r="H35" s="73" t="str">
        <f>IF(B35="","",45000+(0.6*B35))</f>
        <v/>
      </c>
      <c r="I35" s="69">
        <v>2</v>
      </c>
      <c r="J35" s="74" t="str">
        <f>IF(B35="","",35000+(2*B35))</f>
        <v/>
      </c>
      <c r="K35" s="136"/>
      <c r="L35" s="135"/>
      <c r="M35" s="135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 s="1" customFormat="1" ht="15" customHeight="1" x14ac:dyDescent="0.3">
      <c r="A36" s="136"/>
      <c r="B36" s="152"/>
      <c r="C36" s="153"/>
      <c r="D36" s="71" t="s">
        <v>53</v>
      </c>
      <c r="E36" s="71"/>
      <c r="F36" s="67">
        <v>70000</v>
      </c>
      <c r="G36" s="72">
        <v>0.5</v>
      </c>
      <c r="H36" s="73" t="str">
        <f>IF(B36="","",70000+(0.5*B36))</f>
        <v/>
      </c>
      <c r="I36" s="69">
        <v>2</v>
      </c>
      <c r="J36" s="74" t="str">
        <f>IF(B36="","",70000+(2*B36))</f>
        <v/>
      </c>
      <c r="K36" s="136"/>
      <c r="L36" s="135"/>
      <c r="M36" s="135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</row>
    <row r="37" spans="1:63" s="1" customFormat="1" ht="14" x14ac:dyDescent="0.3">
      <c r="A37" s="136"/>
      <c r="B37" s="152"/>
      <c r="C37" s="153"/>
      <c r="D37" s="71" t="s">
        <v>54</v>
      </c>
      <c r="E37" s="71"/>
      <c r="F37" s="67">
        <v>110000</v>
      </c>
      <c r="G37" s="72">
        <v>0.5</v>
      </c>
      <c r="H37" s="73" t="str">
        <f>IF(B37="","",110000+(0.5*B37))</f>
        <v/>
      </c>
      <c r="I37" s="69">
        <v>2</v>
      </c>
      <c r="J37" s="74" t="str">
        <f>IF(B37="","",110000+(2*B37))</f>
        <v/>
      </c>
      <c r="K37" s="136"/>
      <c r="L37" s="135"/>
      <c r="M37" s="135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</row>
    <row r="38" spans="1:63" s="1" customFormat="1" ht="14" x14ac:dyDescent="0.3">
      <c r="A38" s="136"/>
      <c r="B38" s="152"/>
      <c r="C38" s="153"/>
      <c r="D38" s="71" t="s">
        <v>55</v>
      </c>
      <c r="E38" s="71"/>
      <c r="F38" s="67">
        <v>150000</v>
      </c>
      <c r="G38" s="72">
        <v>0.4</v>
      </c>
      <c r="H38" s="73" t="str">
        <f>IF(B38="","",150000+(0.4*B38))</f>
        <v/>
      </c>
      <c r="I38" s="69">
        <v>1.75</v>
      </c>
      <c r="J38" s="74" t="str">
        <f>IF(B38="","",150000+(1.75*B38))</f>
        <v/>
      </c>
      <c r="K38" s="135"/>
      <c r="L38" s="135"/>
      <c r="M38" s="13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 s="5" customFormat="1" ht="14.5" thickBot="1" x14ac:dyDescent="0.35">
      <c r="A39" s="140"/>
      <c r="B39" s="152"/>
      <c r="C39" s="153"/>
      <c r="D39" s="75" t="s">
        <v>56</v>
      </c>
      <c r="E39" s="75"/>
      <c r="F39" s="76">
        <v>220000</v>
      </c>
      <c r="G39" s="77">
        <v>0.4</v>
      </c>
      <c r="H39" s="78" t="str">
        <f>IF(B39="","",220000+(0.4*B39))</f>
        <v/>
      </c>
      <c r="I39" s="79">
        <v>1.75</v>
      </c>
      <c r="J39" s="80" t="str">
        <f>IF(B39="","",220000+(1.75*B39))</f>
        <v/>
      </c>
      <c r="K39" s="136"/>
      <c r="L39" s="135"/>
      <c r="M39" s="13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</row>
    <row r="40" spans="1:63" s="1" customFormat="1" ht="14" x14ac:dyDescent="0.3">
      <c r="A40" s="136"/>
      <c r="B40" s="81"/>
      <c r="C40" s="26"/>
      <c r="D40" s="33"/>
      <c r="E40" s="33"/>
      <c r="F40" s="82"/>
      <c r="G40" s="83"/>
      <c r="H40" s="81"/>
      <c r="I40" s="26"/>
      <c r="J40" s="81"/>
      <c r="K40" s="136"/>
      <c r="L40" s="135"/>
      <c r="M40" s="135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</row>
    <row r="41" spans="1:63" s="1" customFormat="1" ht="16.5" x14ac:dyDescent="0.3">
      <c r="A41" s="136"/>
      <c r="B41" s="31" t="s">
        <v>197</v>
      </c>
      <c r="C41" s="31"/>
      <c r="D41" s="31"/>
      <c r="E41" s="31"/>
      <c r="F41" s="31"/>
      <c r="G41" s="33"/>
      <c r="H41" s="33"/>
      <c r="I41" s="46"/>
      <c r="J41" s="47"/>
      <c r="K41" s="136"/>
      <c r="L41" s="135"/>
      <c r="M41" s="13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</row>
    <row r="42" spans="1:63" s="1" customFormat="1" ht="14" x14ac:dyDescent="0.3">
      <c r="A42" s="136"/>
      <c r="B42" s="31"/>
      <c r="C42" s="20"/>
      <c r="D42" s="31" t="s">
        <v>37</v>
      </c>
      <c r="E42" s="31"/>
      <c r="F42" s="31"/>
      <c r="G42" s="31"/>
      <c r="H42" s="31"/>
      <c r="I42" s="31"/>
      <c r="J42" s="31"/>
      <c r="K42" s="136"/>
      <c r="L42" s="135"/>
      <c r="M42" s="135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</row>
    <row r="43" spans="1:63" s="1" customFormat="1" ht="14" x14ac:dyDescent="0.3">
      <c r="A43" s="136"/>
      <c r="B43" s="31"/>
      <c r="C43" s="31"/>
      <c r="D43" s="31" t="s">
        <v>38</v>
      </c>
      <c r="E43" s="31"/>
      <c r="F43" s="31"/>
      <c r="G43" s="31"/>
      <c r="H43" s="31"/>
      <c r="I43" s="31"/>
      <c r="J43" s="31"/>
      <c r="K43" s="136"/>
      <c r="L43" s="135"/>
      <c r="M43" s="135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 s="1" customFormat="1" ht="14" x14ac:dyDescent="0.3">
      <c r="A44" s="136"/>
      <c r="B44" s="31"/>
      <c r="C44" s="31"/>
      <c r="D44" s="31"/>
      <c r="E44" s="31"/>
      <c r="F44" s="37" t="s">
        <v>57</v>
      </c>
      <c r="G44" s="31"/>
      <c r="H44" s="31"/>
      <c r="I44" s="31"/>
      <c r="J44" s="31"/>
      <c r="K44" s="136"/>
      <c r="L44" s="135"/>
      <c r="M44" s="135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</row>
    <row r="45" spans="1:63" s="1" customFormat="1" ht="13.5" customHeight="1" x14ac:dyDescent="0.3">
      <c r="A45" s="136"/>
      <c r="B45" s="31" t="s">
        <v>196</v>
      </c>
      <c r="C45" s="31"/>
      <c r="D45" s="31"/>
      <c r="E45" s="20"/>
      <c r="F45" s="31" t="s">
        <v>58</v>
      </c>
      <c r="G45" s="40"/>
      <c r="H45" s="84" t="str">
        <f>IF(E45="","",E45*20)</f>
        <v/>
      </c>
      <c r="I45" s="85"/>
      <c r="J45" s="31"/>
      <c r="K45" s="136"/>
      <c r="L45" s="135"/>
      <c r="M45" s="135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 s="1" customFormat="1" ht="13.5" customHeight="1" x14ac:dyDescent="0.3">
      <c r="A46" s="136"/>
      <c r="B46" s="31"/>
      <c r="C46" s="31" t="s">
        <v>0</v>
      </c>
      <c r="D46" s="31"/>
      <c r="E46" s="31"/>
      <c r="F46" s="154"/>
      <c r="G46" s="155"/>
      <c r="H46" s="31" t="s">
        <v>33</v>
      </c>
      <c r="I46" s="84" t="str">
        <f>IF(F46="","",H45+F46)</f>
        <v/>
      </c>
      <c r="J46" s="85"/>
      <c r="K46" s="136"/>
      <c r="L46" s="135"/>
      <c r="M46" s="135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 s="1" customFormat="1" ht="13.5" customHeight="1" x14ac:dyDescent="0.3">
      <c r="A47" s="136"/>
      <c r="B47" s="30"/>
      <c r="C47" s="30"/>
      <c r="D47" s="30"/>
      <c r="E47" s="30"/>
      <c r="F47" s="37" t="s">
        <v>57</v>
      </c>
      <c r="G47" s="30"/>
      <c r="H47" s="30"/>
      <c r="I47" s="30"/>
      <c r="J47" s="30"/>
      <c r="K47" s="136"/>
      <c r="L47" s="135"/>
      <c r="M47" s="13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 s="1" customFormat="1" ht="14" x14ac:dyDescent="0.3">
      <c r="A48" s="136"/>
      <c r="B48" s="30"/>
      <c r="C48" s="31"/>
      <c r="D48" s="35" t="s">
        <v>18</v>
      </c>
      <c r="E48" s="31"/>
      <c r="F48" s="30"/>
      <c r="G48" s="30"/>
      <c r="H48" s="30"/>
      <c r="I48" s="30"/>
      <c r="J48" s="30"/>
      <c r="K48" s="135"/>
      <c r="L48" s="135"/>
      <c r="M48" s="13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 s="1" customFormat="1" ht="10" customHeight="1" x14ac:dyDescent="0.3">
      <c r="A49" s="136"/>
      <c r="B49" s="36"/>
      <c r="C49" s="36"/>
      <c r="D49" s="36"/>
      <c r="E49" s="36"/>
      <c r="F49" s="36"/>
      <c r="G49" s="36"/>
      <c r="H49" s="36"/>
      <c r="I49" s="36"/>
      <c r="J49" s="36"/>
      <c r="K49" s="135"/>
      <c r="L49" s="136"/>
      <c r="M49" s="136"/>
    </row>
    <row r="50" spans="1:63" s="1" customFormat="1" ht="13.5" customHeight="1" x14ac:dyDescent="0.3">
      <c r="A50" s="136"/>
      <c r="B50" s="31" t="s">
        <v>192</v>
      </c>
      <c r="C50" s="30"/>
      <c r="D50" s="31"/>
      <c r="E50" s="31"/>
      <c r="F50" s="31"/>
      <c r="G50" s="31"/>
      <c r="H50" s="31"/>
      <c r="I50" s="31"/>
      <c r="J50" s="31"/>
      <c r="K50" s="136"/>
      <c r="L50" s="135"/>
      <c r="M50" s="135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</row>
    <row r="51" spans="1:63" s="1" customFormat="1" ht="13.5" customHeight="1" x14ac:dyDescent="0.3">
      <c r="A51" s="136"/>
      <c r="B51" s="31" t="s">
        <v>193</v>
      </c>
      <c r="C51" s="31"/>
      <c r="D51" s="31"/>
      <c r="E51" s="31"/>
      <c r="F51" s="31"/>
      <c r="G51" s="31"/>
      <c r="H51" s="31"/>
      <c r="I51" s="31"/>
      <c r="J51" s="31"/>
      <c r="K51" s="136"/>
      <c r="L51" s="135"/>
      <c r="M51" s="13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</row>
    <row r="52" spans="1:63" s="1" customFormat="1" ht="13.5" customHeight="1" x14ac:dyDescent="0.3">
      <c r="A52" s="136"/>
      <c r="B52" s="31" t="s">
        <v>194</v>
      </c>
      <c r="C52" s="31"/>
      <c r="D52" s="31"/>
      <c r="E52" s="31"/>
      <c r="F52" s="31"/>
      <c r="G52" s="31"/>
      <c r="H52" s="31"/>
      <c r="I52" s="31"/>
      <c r="J52" s="31"/>
      <c r="K52" s="136"/>
      <c r="L52" s="135"/>
      <c r="M52" s="135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 ht="14" x14ac:dyDescent="0.3">
      <c r="A53" s="135"/>
      <c r="B53" s="31" t="s">
        <v>195</v>
      </c>
      <c r="C53" s="31"/>
      <c r="D53" s="31"/>
      <c r="E53" s="31"/>
      <c r="F53" s="40"/>
      <c r="G53" s="31"/>
      <c r="H53" s="31"/>
      <c r="I53" s="31"/>
      <c r="J53" s="31"/>
      <c r="K53" s="136"/>
      <c r="L53" s="135"/>
      <c r="M53" s="135"/>
    </row>
    <row r="54" spans="1:63" s="1" customFormat="1" ht="14" x14ac:dyDescent="0.3">
      <c r="A54" s="136"/>
      <c r="B54" s="31"/>
      <c r="C54" s="11"/>
      <c r="D54" s="12"/>
      <c r="E54" s="12"/>
      <c r="F54" s="21"/>
      <c r="G54" s="12"/>
      <c r="H54" s="12"/>
      <c r="I54" s="12"/>
      <c r="J54" s="13"/>
      <c r="K54" s="136"/>
      <c r="L54" s="136"/>
      <c r="M54" s="136"/>
    </row>
    <row r="55" spans="1:63" s="1" customFormat="1" ht="13.5" customHeight="1" x14ac:dyDescent="0.3">
      <c r="A55" s="136"/>
      <c r="B55" s="31"/>
      <c r="C55" s="17"/>
      <c r="D55" s="18"/>
      <c r="E55" s="18"/>
      <c r="F55" s="22"/>
      <c r="G55" s="18"/>
      <c r="H55" s="18"/>
      <c r="I55" s="18"/>
      <c r="J55" s="19"/>
      <c r="K55" s="136"/>
      <c r="L55" s="135"/>
      <c r="M55" s="135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</row>
    <row r="56" spans="1:63" s="1" customFormat="1" ht="13.5" customHeight="1" x14ac:dyDescent="0.3">
      <c r="A56" s="136"/>
      <c r="B56" s="31"/>
      <c r="C56" s="17"/>
      <c r="D56" s="18"/>
      <c r="E56" s="18"/>
      <c r="F56" s="22"/>
      <c r="G56" s="18"/>
      <c r="H56" s="18"/>
      <c r="I56" s="18"/>
      <c r="J56" s="19"/>
      <c r="K56" s="136"/>
      <c r="L56" s="135"/>
      <c r="M56" s="135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</row>
    <row r="57" spans="1:63" s="1" customFormat="1" ht="13.5" customHeight="1" x14ac:dyDescent="0.3">
      <c r="A57" s="136"/>
      <c r="B57" s="31"/>
      <c r="C57" s="14"/>
      <c r="D57" s="15"/>
      <c r="E57" s="15"/>
      <c r="F57" s="23"/>
      <c r="G57" s="15"/>
      <c r="H57" s="15"/>
      <c r="I57" s="15"/>
      <c r="J57" s="16"/>
      <c r="K57" s="136"/>
      <c r="L57" s="135"/>
      <c r="M57" s="135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</row>
    <row r="58" spans="1:63" s="1" customFormat="1" ht="13.5" customHeight="1" x14ac:dyDescent="0.3">
      <c r="A58" s="136"/>
      <c r="B58" s="31"/>
      <c r="C58" s="31"/>
      <c r="D58" s="31"/>
      <c r="E58" s="31"/>
      <c r="F58" s="40"/>
      <c r="G58" s="31"/>
      <c r="H58" s="31"/>
      <c r="I58" s="31"/>
      <c r="J58" s="31"/>
      <c r="K58" s="136"/>
      <c r="L58" s="135"/>
      <c r="M58" s="135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</row>
    <row r="59" spans="1:63" s="1" customFormat="1" ht="13.5" customHeight="1" x14ac:dyDescent="0.3">
      <c r="A59" s="136"/>
      <c r="B59" s="31"/>
      <c r="C59" s="31"/>
      <c r="D59" s="31"/>
      <c r="E59" s="86" t="s">
        <v>60</v>
      </c>
      <c r="F59" s="37" t="s">
        <v>61</v>
      </c>
      <c r="G59" s="87"/>
      <c r="H59" s="31"/>
      <c r="I59" s="156"/>
      <c r="J59" s="157"/>
      <c r="K59" s="136"/>
      <c r="L59" s="135"/>
      <c r="M59" s="135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</row>
    <row r="60" spans="1:63" s="1" customFormat="1" ht="14" x14ac:dyDescent="0.3">
      <c r="A60" s="136"/>
      <c r="B60" s="31"/>
      <c r="C60" s="31" t="s">
        <v>62</v>
      </c>
      <c r="D60" s="31"/>
      <c r="E60" s="31"/>
      <c r="F60" s="87"/>
      <c r="G60" s="87"/>
      <c r="H60" s="31"/>
      <c r="I60" s="31"/>
      <c r="J60" s="31"/>
      <c r="K60" s="136"/>
      <c r="L60" s="135"/>
      <c r="M60" s="135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</row>
    <row r="61" spans="1:63" ht="14" x14ac:dyDescent="0.3">
      <c r="A61" s="135"/>
      <c r="B61" s="31" t="s">
        <v>63</v>
      </c>
      <c r="C61" s="31"/>
      <c r="D61" s="31"/>
      <c r="E61" s="31"/>
      <c r="F61" s="31"/>
      <c r="G61" s="31"/>
      <c r="H61" s="31"/>
      <c r="I61" s="31"/>
      <c r="J61" s="31"/>
      <c r="K61" s="136"/>
      <c r="L61" s="135"/>
      <c r="M61" s="135"/>
    </row>
    <row r="62" spans="1:63" ht="14" x14ac:dyDescent="0.3">
      <c r="A62" s="135"/>
      <c r="B62" s="31"/>
      <c r="C62" s="31"/>
      <c r="D62" s="31"/>
      <c r="E62" s="31"/>
      <c r="F62" s="37"/>
      <c r="G62" s="31"/>
      <c r="H62" s="31"/>
      <c r="I62" s="31"/>
      <c r="J62" s="31"/>
      <c r="K62" s="136"/>
      <c r="L62" s="135"/>
      <c r="M62" s="135"/>
    </row>
    <row r="63" spans="1:63" s="1" customFormat="1" ht="14" x14ac:dyDescent="0.3">
      <c r="A63" s="136"/>
      <c r="B63" s="31" t="s">
        <v>198</v>
      </c>
      <c r="C63" s="31"/>
      <c r="D63" s="31"/>
      <c r="E63" s="31"/>
      <c r="F63" s="31"/>
      <c r="G63" s="31"/>
      <c r="H63" s="31"/>
      <c r="I63" s="31"/>
      <c r="J63" s="31"/>
      <c r="K63" s="136"/>
      <c r="L63" s="135"/>
      <c r="M63" s="135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</row>
    <row r="64" spans="1:63" s="1" customFormat="1" ht="16.5" x14ac:dyDescent="0.3">
      <c r="A64" s="136"/>
      <c r="B64" s="31"/>
      <c r="C64" s="31" t="s">
        <v>64</v>
      </c>
      <c r="D64" s="31"/>
      <c r="E64" s="31"/>
      <c r="F64" s="84" t="str">
        <f>IF(I59="","",I59)</f>
        <v/>
      </c>
      <c r="G64" s="85"/>
      <c r="H64" s="31" t="s">
        <v>65</v>
      </c>
      <c r="I64" s="41" t="str">
        <f>IF(F64="","",0.1*F64)</f>
        <v/>
      </c>
      <c r="J64" s="31"/>
      <c r="K64" s="136"/>
      <c r="L64" s="135"/>
      <c r="M64" s="135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</row>
    <row r="65" spans="1:63" s="1" customFormat="1" ht="14" x14ac:dyDescent="0.3">
      <c r="A65" s="136"/>
      <c r="B65" s="31"/>
      <c r="C65" s="31"/>
      <c r="D65" s="31"/>
      <c r="E65" s="31"/>
      <c r="F65" s="37" t="s">
        <v>57</v>
      </c>
      <c r="G65" s="30"/>
      <c r="H65" s="31"/>
      <c r="I65" s="31"/>
      <c r="J65" s="31"/>
      <c r="K65" s="136"/>
      <c r="L65" s="135"/>
      <c r="M65" s="135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</row>
    <row r="66" spans="1:63" s="1" customFormat="1" ht="14" x14ac:dyDescent="0.3">
      <c r="A66" s="136"/>
      <c r="B66" s="31" t="s">
        <v>1</v>
      </c>
      <c r="C66" s="31"/>
      <c r="D66" s="31"/>
      <c r="E66" s="24"/>
      <c r="F66" s="31" t="s">
        <v>58</v>
      </c>
      <c r="G66" s="40"/>
      <c r="H66" s="84" t="str">
        <f>IF(E66="","",E66*20)</f>
        <v/>
      </c>
      <c r="I66" s="85"/>
      <c r="J66" s="31"/>
      <c r="K66" s="136"/>
      <c r="L66" s="135"/>
      <c r="M66" s="135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</row>
    <row r="67" spans="1:63" s="1" customFormat="1" ht="14" x14ac:dyDescent="0.3">
      <c r="A67" s="136"/>
      <c r="B67" s="31"/>
      <c r="C67" s="31" t="s">
        <v>59</v>
      </c>
      <c r="D67" s="31"/>
      <c r="E67" s="31"/>
      <c r="F67" s="156"/>
      <c r="G67" s="157"/>
      <c r="H67" s="31" t="s">
        <v>33</v>
      </c>
      <c r="I67" s="84" t="str">
        <f>IF(F67="","",H66+F67)</f>
        <v/>
      </c>
      <c r="J67" s="85"/>
      <c r="K67" s="136"/>
      <c r="L67" s="135"/>
      <c r="M67" s="135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</row>
    <row r="68" spans="1:63" s="1" customFormat="1" ht="14" x14ac:dyDescent="0.3">
      <c r="A68" s="136"/>
      <c r="B68" s="31"/>
      <c r="C68" s="31"/>
      <c r="D68" s="31"/>
      <c r="E68" s="31"/>
      <c r="F68" s="31"/>
      <c r="G68" s="31"/>
      <c r="H68" s="31"/>
      <c r="I68" s="31"/>
      <c r="J68" s="31"/>
      <c r="K68" s="136"/>
      <c r="L68" s="135"/>
      <c r="M68" s="135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</row>
    <row r="69" spans="1:63" s="1" customFormat="1" ht="14" x14ac:dyDescent="0.3">
      <c r="A69" s="136"/>
      <c r="B69" s="31"/>
      <c r="C69" s="37" t="s">
        <v>199</v>
      </c>
      <c r="D69" s="37"/>
      <c r="E69" s="37"/>
      <c r="F69" s="88"/>
      <c r="G69" s="88"/>
      <c r="H69" s="37"/>
      <c r="I69" s="156"/>
      <c r="J69" s="157"/>
      <c r="K69" s="136"/>
      <c r="L69" s="135"/>
      <c r="M69" s="135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 s="1" customFormat="1" ht="12.75" customHeight="1" x14ac:dyDescent="0.3">
      <c r="A70" s="136"/>
      <c r="B70" s="31"/>
      <c r="C70" s="31"/>
      <c r="D70" s="31"/>
      <c r="E70" s="31"/>
      <c r="F70" s="31"/>
      <c r="G70" s="31"/>
      <c r="H70" s="31"/>
      <c r="I70" s="31"/>
      <c r="J70" s="31"/>
      <c r="K70" s="136"/>
      <c r="L70" s="135"/>
      <c r="M70" s="135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</row>
    <row r="71" spans="1:63" s="1" customFormat="1" ht="14" x14ac:dyDescent="0.3">
      <c r="A71" s="136"/>
      <c r="B71" s="37" t="s">
        <v>27</v>
      </c>
      <c r="C71" s="31"/>
      <c r="D71" s="31"/>
      <c r="E71" s="31"/>
      <c r="F71" s="31"/>
      <c r="G71" s="31"/>
      <c r="H71" s="31"/>
      <c r="I71" s="31"/>
      <c r="J71" s="31"/>
      <c r="K71" s="136"/>
      <c r="L71" s="135"/>
      <c r="M71" s="135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</row>
    <row r="72" spans="1:63" s="1" customFormat="1" ht="14.5" thickBot="1" x14ac:dyDescent="0.35">
      <c r="A72" s="136"/>
      <c r="B72" s="31"/>
      <c r="C72" s="31"/>
      <c r="D72" s="31"/>
      <c r="E72" s="31"/>
      <c r="F72" s="31"/>
      <c r="G72" s="31"/>
      <c r="H72" s="31"/>
      <c r="I72" s="31"/>
      <c r="J72" s="31"/>
      <c r="K72" s="136"/>
      <c r="L72" s="135"/>
      <c r="M72" s="135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</row>
    <row r="73" spans="1:63" s="1" customFormat="1" ht="14.5" thickBot="1" x14ac:dyDescent="0.35">
      <c r="A73" s="136"/>
      <c r="B73" s="48"/>
      <c r="C73" s="49"/>
      <c r="D73" s="50" t="s">
        <v>24</v>
      </c>
      <c r="E73" s="49"/>
      <c r="F73" s="49"/>
      <c r="G73" s="49"/>
      <c r="H73" s="49"/>
      <c r="I73" s="49"/>
      <c r="J73" s="51"/>
      <c r="K73" s="136"/>
      <c r="L73" s="135"/>
      <c r="M73" s="135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</row>
    <row r="74" spans="1:63" s="1" customFormat="1" ht="14" x14ac:dyDescent="0.3">
      <c r="A74" s="136"/>
      <c r="B74" s="52" t="s">
        <v>8</v>
      </c>
      <c r="C74" s="53"/>
      <c r="D74" s="89" t="s">
        <v>39</v>
      </c>
      <c r="E74" s="38"/>
      <c r="F74" s="90" t="s">
        <v>40</v>
      </c>
      <c r="G74" s="90" t="s">
        <v>41</v>
      </c>
      <c r="H74" s="91" t="s">
        <v>41</v>
      </c>
      <c r="I74" s="90" t="s">
        <v>42</v>
      </c>
      <c r="J74" s="92" t="s">
        <v>42</v>
      </c>
      <c r="K74" s="136"/>
      <c r="L74" s="135"/>
      <c r="M74" s="135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</row>
    <row r="75" spans="1:63" s="1" customFormat="1" ht="14" x14ac:dyDescent="0.3">
      <c r="A75" s="136"/>
      <c r="B75" s="58" t="s">
        <v>9</v>
      </c>
      <c r="C75" s="59"/>
      <c r="D75" s="60" t="s">
        <v>43</v>
      </c>
      <c r="E75" s="33"/>
      <c r="F75" s="61"/>
      <c r="G75" s="93" t="s">
        <v>44</v>
      </c>
      <c r="H75" s="32"/>
      <c r="I75" s="61" t="s">
        <v>44</v>
      </c>
      <c r="J75" s="64"/>
      <c r="K75" s="136"/>
      <c r="L75" s="135"/>
      <c r="M75" s="135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</row>
    <row r="76" spans="1:63" s="1" customFormat="1" ht="14" x14ac:dyDescent="0.3">
      <c r="A76" s="136"/>
      <c r="B76" s="58" t="s">
        <v>10</v>
      </c>
      <c r="C76" s="59"/>
      <c r="D76" s="33"/>
      <c r="E76" s="33"/>
      <c r="F76" s="61"/>
      <c r="G76" s="93" t="s">
        <v>66</v>
      </c>
      <c r="H76" s="32"/>
      <c r="I76" s="63" t="s">
        <v>66</v>
      </c>
      <c r="J76" s="64"/>
      <c r="K76" s="136"/>
      <c r="L76" s="135"/>
      <c r="M76" s="135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</row>
    <row r="77" spans="1:63" s="1" customFormat="1" ht="14" x14ac:dyDescent="0.3">
      <c r="A77" s="136"/>
      <c r="B77" s="58" t="s">
        <v>67</v>
      </c>
      <c r="C77" s="59"/>
      <c r="D77" s="33"/>
      <c r="E77" s="33"/>
      <c r="F77" s="61"/>
      <c r="G77" s="93" t="s">
        <v>68</v>
      </c>
      <c r="H77" s="32"/>
      <c r="I77" s="63" t="s">
        <v>68</v>
      </c>
      <c r="J77" s="64"/>
      <c r="K77" s="136"/>
      <c r="L77" s="135"/>
      <c r="M77" s="135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</row>
    <row r="78" spans="1:63" s="1" customFormat="1" ht="14" x14ac:dyDescent="0.3">
      <c r="A78" s="136"/>
      <c r="B78" s="94"/>
      <c r="C78" s="55"/>
      <c r="D78" s="71"/>
      <c r="E78" s="71"/>
      <c r="F78" s="65"/>
      <c r="G78" s="95" t="s">
        <v>69</v>
      </c>
      <c r="H78" s="96"/>
      <c r="I78" s="65" t="s">
        <v>69</v>
      </c>
      <c r="J78" s="97"/>
      <c r="K78" s="136"/>
      <c r="L78" s="135"/>
      <c r="M78" s="135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</row>
    <row r="79" spans="1:63" s="1" customFormat="1" ht="14" x14ac:dyDescent="0.3">
      <c r="A79" s="136"/>
      <c r="B79" s="98"/>
      <c r="C79" s="33"/>
      <c r="D79" s="99"/>
      <c r="E79" s="100"/>
      <c r="F79" s="69"/>
      <c r="G79" s="69"/>
      <c r="H79" s="7"/>
      <c r="I79" s="69"/>
      <c r="J79" s="101"/>
      <c r="K79" s="136"/>
      <c r="L79" s="135"/>
      <c r="M79" s="135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 s="1" customFormat="1" ht="14" x14ac:dyDescent="0.3">
      <c r="A80" s="136"/>
      <c r="B80" s="152"/>
      <c r="C80" s="153"/>
      <c r="D80" s="66" t="s">
        <v>47</v>
      </c>
      <c r="E80" s="66"/>
      <c r="F80" s="69">
        <v>15</v>
      </c>
      <c r="G80" s="69">
        <v>15</v>
      </c>
      <c r="H80" s="41" t="str">
        <f>IF(B80="","",15+15)</f>
        <v/>
      </c>
      <c r="I80" s="69">
        <v>30</v>
      </c>
      <c r="J80" s="70" t="str">
        <f>IF(B80="","",15+30)</f>
        <v/>
      </c>
      <c r="K80" s="136"/>
      <c r="L80" s="135"/>
      <c r="M80" s="135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</row>
    <row r="81" spans="1:63" s="1" customFormat="1" ht="14" x14ac:dyDescent="0.3">
      <c r="A81" s="136"/>
      <c r="B81" s="152"/>
      <c r="C81" s="153"/>
      <c r="D81" s="71" t="s">
        <v>48</v>
      </c>
      <c r="E81" s="71"/>
      <c r="F81" s="69">
        <v>20</v>
      </c>
      <c r="G81" s="69">
        <v>15</v>
      </c>
      <c r="H81" s="41" t="str">
        <f>IF(B81="","",20+(B81/1000*15))</f>
        <v/>
      </c>
      <c r="I81" s="69">
        <v>20</v>
      </c>
      <c r="J81" s="70" t="str">
        <f>IF(B81="","",20+(B81/1000*20))</f>
        <v/>
      </c>
      <c r="K81" s="136"/>
      <c r="L81" s="135"/>
      <c r="M81" s="135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 s="1" customFormat="1" ht="14" x14ac:dyDescent="0.3">
      <c r="A82" s="136"/>
      <c r="B82" s="152"/>
      <c r="C82" s="153"/>
      <c r="D82" s="71" t="s">
        <v>49</v>
      </c>
      <c r="E82" s="71"/>
      <c r="F82" s="69">
        <v>30</v>
      </c>
      <c r="G82" s="69">
        <v>15</v>
      </c>
      <c r="H82" s="41" t="str">
        <f>IF(B82="","",30+(B82/1000*15))</f>
        <v/>
      </c>
      <c r="I82" s="69">
        <v>20</v>
      </c>
      <c r="J82" s="70" t="str">
        <f>IF(B82="","",30+(B82/1000*20))</f>
        <v/>
      </c>
      <c r="K82" s="136"/>
      <c r="L82" s="135"/>
      <c r="M82" s="135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</row>
    <row r="83" spans="1:63" s="1" customFormat="1" ht="14" x14ac:dyDescent="0.3">
      <c r="A83" s="136"/>
      <c r="B83" s="152"/>
      <c r="C83" s="153"/>
      <c r="D83" s="71" t="s">
        <v>50</v>
      </c>
      <c r="E83" s="71"/>
      <c r="F83" s="69">
        <v>45</v>
      </c>
      <c r="G83" s="69">
        <v>10</v>
      </c>
      <c r="H83" s="41" t="str">
        <f>IF(B83="","",45+(B83/1000*10))</f>
        <v/>
      </c>
      <c r="I83" s="69">
        <v>15</v>
      </c>
      <c r="J83" s="70" t="str">
        <f>IF(B83="","",45+(B83/1000*15))</f>
        <v/>
      </c>
      <c r="K83" s="136"/>
      <c r="L83" s="135"/>
      <c r="M83" s="135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</row>
    <row r="84" spans="1:63" s="1" customFormat="1" ht="14" x14ac:dyDescent="0.3">
      <c r="A84" s="136"/>
      <c r="B84" s="152"/>
      <c r="C84" s="153"/>
      <c r="D84" s="71" t="s">
        <v>51</v>
      </c>
      <c r="E84" s="71"/>
      <c r="F84" s="69">
        <v>60</v>
      </c>
      <c r="G84" s="69">
        <v>8</v>
      </c>
      <c r="H84" s="41" t="str">
        <f>IF(B84="","",60+(B84/1000*8))</f>
        <v/>
      </c>
      <c r="I84" s="69">
        <v>12</v>
      </c>
      <c r="J84" s="70" t="str">
        <f>IF(B84="","",60+(B84/1000*12))</f>
        <v/>
      </c>
      <c r="K84" s="136"/>
      <c r="L84" s="135"/>
      <c r="M84" s="135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</row>
    <row r="85" spans="1:63" s="1" customFormat="1" ht="14" x14ac:dyDescent="0.3">
      <c r="A85" s="136"/>
      <c r="B85" s="152"/>
      <c r="C85" s="153"/>
      <c r="D85" s="71" t="s">
        <v>52</v>
      </c>
      <c r="E85" s="71"/>
      <c r="F85" s="69">
        <v>120</v>
      </c>
      <c r="G85" s="69">
        <v>8</v>
      </c>
      <c r="H85" s="41" t="str">
        <f>IF(B85="","",120+(B85/1000*8))</f>
        <v/>
      </c>
      <c r="I85" s="69">
        <v>12</v>
      </c>
      <c r="J85" s="70" t="str">
        <f>IF(B85="","",120+(B85/1000*12))</f>
        <v/>
      </c>
      <c r="K85" s="136"/>
      <c r="L85" s="135"/>
      <c r="M85" s="135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</row>
    <row r="86" spans="1:63" s="1" customFormat="1" ht="14" x14ac:dyDescent="0.3">
      <c r="A86" s="136"/>
      <c r="B86" s="152"/>
      <c r="C86" s="153"/>
      <c r="D86" s="71" t="s">
        <v>53</v>
      </c>
      <c r="E86" s="71"/>
      <c r="F86" s="69">
        <v>180</v>
      </c>
      <c r="G86" s="69">
        <v>6</v>
      </c>
      <c r="H86" s="41" t="str">
        <f>IF(B86="","",180+(B86/1000*6))</f>
        <v/>
      </c>
      <c r="I86" s="69">
        <v>8</v>
      </c>
      <c r="J86" s="70" t="str">
        <f>IF(B86="","",180+(B86/1000*8))</f>
        <v/>
      </c>
      <c r="K86" s="136"/>
      <c r="L86" s="135"/>
      <c r="M86" s="135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</row>
    <row r="87" spans="1:63" s="5" customFormat="1" ht="14" x14ac:dyDescent="0.3">
      <c r="A87" s="140"/>
      <c r="B87" s="152"/>
      <c r="C87" s="153"/>
      <c r="D87" s="71" t="s">
        <v>54</v>
      </c>
      <c r="E87" s="71"/>
      <c r="F87" s="69">
        <v>250</v>
      </c>
      <c r="G87" s="69">
        <v>4</v>
      </c>
      <c r="H87" s="41" t="str">
        <f>IF(B87="","",250+(B87/1000*4))</f>
        <v/>
      </c>
      <c r="I87" s="69">
        <v>6</v>
      </c>
      <c r="J87" s="70" t="str">
        <f>IF(B87="","",250+(B87/1000*6))</f>
        <v/>
      </c>
      <c r="K87" s="136"/>
      <c r="L87" s="135"/>
      <c r="M87" s="135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</row>
    <row r="88" spans="1:63" s="1" customFormat="1" ht="14" x14ac:dyDescent="0.3">
      <c r="A88" s="136"/>
      <c r="B88" s="152"/>
      <c r="C88" s="153"/>
      <c r="D88" s="71" t="s">
        <v>55</v>
      </c>
      <c r="E88" s="71"/>
      <c r="F88" s="69">
        <v>450</v>
      </c>
      <c r="G88" s="69">
        <v>3</v>
      </c>
      <c r="H88" s="41" t="str">
        <f>IF(B88="","",450+(B88/1000*3))</f>
        <v/>
      </c>
      <c r="I88" s="69">
        <v>5</v>
      </c>
      <c r="J88" s="70" t="str">
        <f>IF(B88="","",450+(B88/1000*5))</f>
        <v/>
      </c>
      <c r="K88" s="136"/>
      <c r="L88" s="135"/>
      <c r="M88" s="135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</row>
    <row r="89" spans="1:63" s="1" customFormat="1" ht="14.5" thickBot="1" x14ac:dyDescent="0.35">
      <c r="A89" s="136"/>
      <c r="B89" s="152"/>
      <c r="C89" s="153"/>
      <c r="D89" s="75" t="s">
        <v>56</v>
      </c>
      <c r="E89" s="75"/>
      <c r="F89" s="79">
        <v>600</v>
      </c>
      <c r="G89" s="79">
        <v>2</v>
      </c>
      <c r="H89" s="102" t="str">
        <f>IF(B89="","",600+(B89/1000*2))</f>
        <v/>
      </c>
      <c r="I89" s="79">
        <v>4</v>
      </c>
      <c r="J89" s="103" t="str">
        <f>IF(B89="","",600+(B89/1000*4))</f>
        <v/>
      </c>
      <c r="K89" s="136"/>
      <c r="L89" s="135"/>
      <c r="M89" s="135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</row>
    <row r="90" spans="1:63" s="1" customFormat="1" ht="14" x14ac:dyDescent="0.3">
      <c r="A90" s="136"/>
      <c r="B90" s="30"/>
      <c r="C90" s="31"/>
      <c r="D90" s="35" t="s">
        <v>18</v>
      </c>
      <c r="E90" s="31"/>
      <c r="F90" s="30"/>
      <c r="G90" s="30"/>
      <c r="H90" s="30"/>
      <c r="I90" s="30"/>
      <c r="J90" s="30"/>
      <c r="K90" s="135"/>
      <c r="L90" s="135"/>
      <c r="M90" s="135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</row>
    <row r="91" spans="1:63" s="1" customFormat="1" ht="10" customHeight="1" x14ac:dyDescent="0.3">
      <c r="A91" s="136"/>
      <c r="B91" s="36"/>
      <c r="C91" s="36"/>
      <c r="D91" s="36"/>
      <c r="E91" s="36"/>
      <c r="F91" s="36"/>
      <c r="G91" s="36"/>
      <c r="H91" s="36"/>
      <c r="I91" s="36"/>
      <c r="J91" s="36"/>
      <c r="K91" s="135"/>
      <c r="L91" s="136"/>
      <c r="M91" s="136"/>
    </row>
    <row r="92" spans="1:63" s="1" customFormat="1" ht="14" x14ac:dyDescent="0.3">
      <c r="A92" s="136"/>
      <c r="B92" s="31"/>
      <c r="C92" s="31" t="s">
        <v>21</v>
      </c>
      <c r="D92" s="31"/>
      <c r="E92" s="31"/>
      <c r="F92" s="31"/>
      <c r="G92" s="31"/>
      <c r="H92" s="31"/>
      <c r="I92" s="31"/>
      <c r="J92" s="31"/>
      <c r="K92" s="136"/>
      <c r="L92" s="135"/>
      <c r="M92" s="135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</row>
    <row r="93" spans="1:63" ht="16.5" x14ac:dyDescent="0.3">
      <c r="A93" s="135"/>
      <c r="B93" s="31"/>
      <c r="C93" s="31" t="s">
        <v>22</v>
      </c>
      <c r="D93" s="31"/>
      <c r="E93" s="31"/>
      <c r="F93" s="31"/>
      <c r="G93" s="31"/>
      <c r="H93" s="31"/>
      <c r="I93" s="30"/>
      <c r="J93" s="25"/>
      <c r="K93" s="135"/>
      <c r="L93" s="135"/>
      <c r="M93" s="135"/>
    </row>
    <row r="94" spans="1:63" s="1" customFormat="1" ht="14" x14ac:dyDescent="0.3">
      <c r="A94" s="136"/>
      <c r="B94" s="31"/>
      <c r="C94" s="31" t="s">
        <v>28</v>
      </c>
      <c r="D94" s="31"/>
      <c r="E94" s="31"/>
      <c r="F94" s="31"/>
      <c r="G94" s="31"/>
      <c r="H94" s="31"/>
      <c r="I94" s="30"/>
      <c r="J94" s="20"/>
      <c r="K94" s="135"/>
      <c r="L94" s="135"/>
      <c r="M94" s="135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</row>
    <row r="95" spans="1:63" s="1" customFormat="1" ht="14.25" customHeight="1" x14ac:dyDescent="0.3">
      <c r="A95" s="136"/>
      <c r="B95" s="31"/>
      <c r="C95" s="37" t="s">
        <v>23</v>
      </c>
      <c r="D95" s="37"/>
      <c r="E95" s="37"/>
      <c r="F95" s="37"/>
      <c r="G95" s="37"/>
      <c r="H95" s="31"/>
      <c r="I95" s="30"/>
      <c r="J95" s="104" t="str">
        <f>IF(J93="","",J93-J94)</f>
        <v/>
      </c>
      <c r="K95" s="135"/>
      <c r="L95" s="135"/>
      <c r="M95" s="135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</row>
    <row r="96" spans="1:63" s="1" customFormat="1" ht="14" x14ac:dyDescent="0.3">
      <c r="A96" s="136"/>
      <c r="B96" s="31"/>
      <c r="C96" s="31"/>
      <c r="D96" s="31"/>
      <c r="E96" s="31"/>
      <c r="F96" s="31"/>
      <c r="G96" s="31"/>
      <c r="H96" s="31"/>
      <c r="I96" s="30"/>
      <c r="J96" s="81"/>
      <c r="K96" s="135"/>
      <c r="L96" s="135"/>
      <c r="M96" s="13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</row>
    <row r="97" spans="1:63" s="1" customFormat="1" ht="14" x14ac:dyDescent="0.3">
      <c r="A97" s="136"/>
      <c r="B97" s="31"/>
      <c r="C97" s="31" t="s">
        <v>6</v>
      </c>
      <c r="D97" s="31"/>
      <c r="E97" s="31"/>
      <c r="F97" s="31"/>
      <c r="G97" s="31"/>
      <c r="H97" s="31"/>
      <c r="I97" s="20"/>
      <c r="J97" s="31"/>
      <c r="K97" s="135"/>
      <c r="L97" s="135"/>
      <c r="M97" s="13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</row>
    <row r="98" spans="1:63" s="1" customFormat="1" ht="14" x14ac:dyDescent="0.3">
      <c r="A98" s="136"/>
      <c r="B98" s="31"/>
      <c r="C98" s="31"/>
      <c r="D98" s="31"/>
      <c r="E98" s="31"/>
      <c r="F98" s="31"/>
      <c r="G98" s="31"/>
      <c r="H98" s="31"/>
      <c r="I98" s="31"/>
      <c r="J98" s="31"/>
      <c r="K98" s="135"/>
      <c r="L98" s="135"/>
      <c r="M98" s="13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</row>
    <row r="99" spans="1:63" s="1" customFormat="1" ht="14" x14ac:dyDescent="0.3">
      <c r="A99" s="136"/>
      <c r="B99" s="37" t="s">
        <v>70</v>
      </c>
      <c r="C99" s="37"/>
      <c r="D99" s="30"/>
      <c r="E99" s="30"/>
      <c r="F99" s="31"/>
      <c r="G99" s="31"/>
      <c r="H99" s="31"/>
      <c r="I99" s="31"/>
      <c r="J99" s="31"/>
      <c r="K99" s="135"/>
      <c r="L99" s="135"/>
      <c r="M99" s="135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</row>
    <row r="100" spans="1:63" s="5" customFormat="1" ht="14" x14ac:dyDescent="0.3">
      <c r="A100" s="140"/>
      <c r="B100" s="37"/>
      <c r="C100" s="37"/>
      <c r="D100" s="30"/>
      <c r="E100" s="30"/>
      <c r="F100" s="31"/>
      <c r="G100" s="31"/>
      <c r="H100" s="31"/>
      <c r="I100" s="31"/>
      <c r="J100" s="31"/>
      <c r="K100" s="135"/>
      <c r="L100" s="135"/>
      <c r="M100" s="135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</row>
    <row r="101" spans="1:63" s="5" customFormat="1" ht="14" x14ac:dyDescent="0.3">
      <c r="A101" s="140"/>
      <c r="B101" s="42" t="s">
        <v>36</v>
      </c>
      <c r="C101" s="37"/>
      <c r="D101" s="84" t="str">
        <f>IF(I59="","",I59)</f>
        <v/>
      </c>
      <c r="E101" s="105"/>
      <c r="F101" s="31" t="s">
        <v>71</v>
      </c>
      <c r="G101" s="31"/>
      <c r="H101" s="31"/>
      <c r="I101" s="31"/>
      <c r="J101" s="31"/>
      <c r="K101" s="135"/>
      <c r="L101" s="135"/>
      <c r="M101" s="135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</row>
    <row r="102" spans="1:63" s="1" customFormat="1" ht="14" x14ac:dyDescent="0.3">
      <c r="A102" s="136"/>
      <c r="B102" s="31" t="s">
        <v>2</v>
      </c>
      <c r="C102" s="31"/>
      <c r="D102" s="156"/>
      <c r="E102" s="157"/>
      <c r="F102" s="31" t="s">
        <v>72</v>
      </c>
      <c r="G102" s="31"/>
      <c r="H102" s="84" t="str">
        <f>IF(D102="","",D102/10)</f>
        <v/>
      </c>
      <c r="I102" s="106"/>
      <c r="J102" s="31" t="s">
        <v>29</v>
      </c>
      <c r="K102" s="135"/>
      <c r="L102" s="135"/>
      <c r="M102" s="135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</row>
    <row r="103" spans="1:63" s="1" customFormat="1" ht="14" x14ac:dyDescent="0.3">
      <c r="A103" s="136"/>
      <c r="B103" s="107" t="s">
        <v>3</v>
      </c>
      <c r="C103" s="31"/>
      <c r="D103" s="156"/>
      <c r="E103" s="157"/>
      <c r="F103" s="31" t="s">
        <v>73</v>
      </c>
      <c r="G103" s="31"/>
      <c r="H103" s="84" t="str">
        <f>IF(D103="","",D103/25)</f>
        <v/>
      </c>
      <c r="I103" s="106"/>
      <c r="J103" s="31" t="s">
        <v>29</v>
      </c>
      <c r="K103" s="135"/>
      <c r="L103" s="135"/>
      <c r="M103" s="135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</row>
    <row r="104" spans="1:63" s="1" customFormat="1" ht="14" x14ac:dyDescent="0.3">
      <c r="A104" s="136"/>
      <c r="B104" s="30"/>
      <c r="C104" s="30"/>
      <c r="D104" s="30"/>
      <c r="E104" s="30"/>
      <c r="F104" s="30"/>
      <c r="G104" s="30"/>
      <c r="H104" s="30"/>
      <c r="I104" s="30"/>
      <c r="J104" s="30"/>
      <c r="K104" s="135"/>
      <c r="L104" s="135"/>
      <c r="M104" s="135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</row>
    <row r="105" spans="1:63" s="1" customFormat="1" ht="14" x14ac:dyDescent="0.3">
      <c r="A105" s="136"/>
      <c r="B105" s="31" t="s">
        <v>74</v>
      </c>
      <c r="C105" s="31"/>
      <c r="D105" s="31"/>
      <c r="E105" s="31"/>
      <c r="F105" s="31"/>
      <c r="G105" s="31"/>
      <c r="H105" s="31"/>
      <c r="I105" s="31"/>
      <c r="J105" s="31"/>
      <c r="K105" s="135"/>
      <c r="L105" s="135"/>
      <c r="M105" s="135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</row>
    <row r="106" spans="1:63" s="1" customFormat="1" ht="14" x14ac:dyDescent="0.3">
      <c r="A106" s="136"/>
      <c r="B106" s="31" t="s">
        <v>75</v>
      </c>
      <c r="C106" s="31"/>
      <c r="D106" s="84" t="str">
        <f>IF(I69="","",I69)</f>
        <v/>
      </c>
      <c r="E106" s="106"/>
      <c r="F106" s="31" t="s">
        <v>76</v>
      </c>
      <c r="G106" s="31"/>
      <c r="H106" s="84" t="str">
        <f>IF(D106="","",D106/10)</f>
        <v/>
      </c>
      <c r="I106" s="106"/>
      <c r="J106" s="31" t="s">
        <v>29</v>
      </c>
      <c r="K106" s="135"/>
      <c r="L106" s="135"/>
      <c r="M106" s="135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</row>
    <row r="107" spans="1:63" s="1" customFormat="1" ht="14" x14ac:dyDescent="0.3">
      <c r="A107" s="136"/>
      <c r="B107" s="31"/>
      <c r="C107" s="31"/>
      <c r="D107" s="31"/>
      <c r="E107" s="31"/>
      <c r="F107" s="31"/>
      <c r="G107" s="31"/>
      <c r="H107" s="31"/>
      <c r="I107" s="31"/>
      <c r="J107" s="31"/>
      <c r="K107" s="135"/>
      <c r="L107" s="135"/>
      <c r="M107" s="135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</row>
    <row r="108" spans="1:63" s="1" customFormat="1" ht="14" x14ac:dyDescent="0.3">
      <c r="A108" s="136"/>
      <c r="B108" s="31" t="s">
        <v>77</v>
      </c>
      <c r="C108" s="31"/>
      <c r="D108" s="30"/>
      <c r="E108" s="108" t="str">
        <f>IF(J95="","",J95)</f>
        <v/>
      </c>
      <c r="F108" s="31" t="s">
        <v>78</v>
      </c>
      <c r="G108" s="31"/>
      <c r="H108" s="84" t="str">
        <f>IF(E108="","",E108/1.5)</f>
        <v/>
      </c>
      <c r="I108" s="106"/>
      <c r="J108" s="31" t="s">
        <v>29</v>
      </c>
      <c r="K108" s="135"/>
      <c r="L108" s="135"/>
      <c r="M108" s="135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 s="1" customFormat="1" ht="14" x14ac:dyDescent="0.3">
      <c r="A109" s="136"/>
      <c r="B109" s="31" t="s">
        <v>79</v>
      </c>
      <c r="C109" s="31"/>
      <c r="D109" s="30"/>
      <c r="E109" s="30"/>
      <c r="F109" s="30"/>
      <c r="G109" s="30"/>
      <c r="H109" s="30"/>
      <c r="I109" s="30"/>
      <c r="J109" s="31"/>
      <c r="K109" s="135"/>
      <c r="L109" s="135"/>
      <c r="M109" s="135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</row>
    <row r="110" spans="1:63" s="1" customFormat="1" ht="14" x14ac:dyDescent="0.3">
      <c r="A110" s="136"/>
      <c r="B110" s="31"/>
      <c r="C110" s="31"/>
      <c r="D110" s="31"/>
      <c r="E110" s="31"/>
      <c r="F110" s="31"/>
      <c r="G110" s="31"/>
      <c r="H110" s="31"/>
      <c r="I110" s="31"/>
      <c r="J110" s="31"/>
      <c r="K110" s="135"/>
      <c r="L110" s="135"/>
      <c r="M110" s="135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 s="1" customFormat="1" ht="14" x14ac:dyDescent="0.3">
      <c r="A111" s="136"/>
      <c r="B111" s="31" t="s">
        <v>80</v>
      </c>
      <c r="C111" s="31"/>
      <c r="D111" s="31"/>
      <c r="E111" s="108" t="str">
        <f>IF(I97="","",I97)</f>
        <v/>
      </c>
      <c r="F111" s="31" t="s">
        <v>81</v>
      </c>
      <c r="G111" s="31"/>
      <c r="H111" s="31"/>
      <c r="I111" s="31"/>
      <c r="J111" s="31"/>
      <c r="K111" s="135"/>
      <c r="L111" s="135"/>
      <c r="M111" s="135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</row>
    <row r="112" spans="1:63" s="1" customFormat="1" ht="14" x14ac:dyDescent="0.3">
      <c r="A112" s="136"/>
      <c r="B112" s="31"/>
      <c r="C112" s="141"/>
      <c r="D112" s="31" t="s">
        <v>82</v>
      </c>
      <c r="E112" s="31"/>
      <c r="F112" s="31"/>
      <c r="G112" s="31"/>
      <c r="H112" s="84" t="str">
        <f>IF(E111="","",E111*0.5*C112)</f>
        <v/>
      </c>
      <c r="I112" s="106"/>
      <c r="J112" s="31" t="s">
        <v>29</v>
      </c>
      <c r="K112" s="135"/>
      <c r="L112" s="135"/>
      <c r="M112" s="135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</row>
    <row r="113" spans="1:63" s="1" customFormat="1" ht="14" x14ac:dyDescent="0.3">
      <c r="A113" s="136"/>
      <c r="B113" s="31"/>
      <c r="C113" s="31"/>
      <c r="D113" s="31"/>
      <c r="E113" s="31"/>
      <c r="F113" s="31"/>
      <c r="G113" s="31"/>
      <c r="H113" s="31"/>
      <c r="I113" s="31"/>
      <c r="J113" s="31"/>
      <c r="K113" s="135"/>
      <c r="L113" s="135"/>
      <c r="M113" s="135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 s="1" customFormat="1" ht="14" x14ac:dyDescent="0.3">
      <c r="A114" s="136"/>
      <c r="B114" s="31" t="s">
        <v>83</v>
      </c>
      <c r="C114" s="31"/>
      <c r="D114" s="31"/>
      <c r="E114" s="31"/>
      <c r="F114" s="31"/>
      <c r="G114" s="31"/>
      <c r="H114" s="84" t="str">
        <f>IF(H102="","",SUM(H102:H112))</f>
        <v/>
      </c>
      <c r="I114" s="106"/>
      <c r="J114" s="31" t="s">
        <v>29</v>
      </c>
      <c r="K114" s="135"/>
      <c r="L114" s="135"/>
      <c r="M114" s="135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</row>
    <row r="115" spans="1:63" s="1" customFormat="1" ht="14" x14ac:dyDescent="0.3">
      <c r="A115" s="136"/>
      <c r="B115" s="30"/>
      <c r="C115" s="30"/>
      <c r="D115" s="30"/>
      <c r="E115" s="30"/>
      <c r="F115" s="30"/>
      <c r="G115" s="30"/>
      <c r="H115" s="30"/>
      <c r="I115" s="30"/>
      <c r="J115" s="30"/>
      <c r="K115" s="135"/>
      <c r="L115" s="135"/>
      <c r="M115" s="135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 s="1" customFormat="1" ht="14" x14ac:dyDescent="0.3">
      <c r="A116" s="136"/>
      <c r="B116" s="37" t="s">
        <v>84</v>
      </c>
      <c r="C116" s="37"/>
      <c r="D116" s="37"/>
      <c r="E116" s="37"/>
      <c r="F116" s="37"/>
      <c r="G116" s="31"/>
      <c r="H116" s="31"/>
      <c r="I116" s="31"/>
      <c r="J116" s="31"/>
      <c r="K116" s="135"/>
      <c r="L116" s="135"/>
      <c r="M116" s="135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</row>
    <row r="117" spans="1:63" s="1" customFormat="1" ht="14" x14ac:dyDescent="0.3">
      <c r="A117" s="136"/>
      <c r="B117" s="31"/>
      <c r="C117" s="31"/>
      <c r="D117" s="31"/>
      <c r="E117" s="31"/>
      <c r="F117" s="31"/>
      <c r="G117" s="31"/>
      <c r="H117" s="31"/>
      <c r="I117" s="31"/>
      <c r="J117" s="31"/>
      <c r="K117" s="135"/>
      <c r="L117" s="135"/>
      <c r="M117" s="135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</row>
    <row r="118" spans="1:63" s="1" customFormat="1" ht="14" x14ac:dyDescent="0.3">
      <c r="A118" s="136"/>
      <c r="B118" s="31" t="s">
        <v>85</v>
      </c>
      <c r="C118" s="31"/>
      <c r="D118" s="31"/>
      <c r="E118" s="141"/>
      <c r="F118" s="31" t="s">
        <v>86</v>
      </c>
      <c r="G118" s="31"/>
      <c r="H118" s="84" t="str">
        <f>IF(E118="","",E118*30)</f>
        <v/>
      </c>
      <c r="I118" s="106"/>
      <c r="J118" s="31" t="s">
        <v>29</v>
      </c>
      <c r="K118" s="135"/>
      <c r="L118" s="135"/>
      <c r="M118" s="135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</row>
    <row r="119" spans="1:63" s="1" customFormat="1" ht="14" x14ac:dyDescent="0.3">
      <c r="A119" s="136"/>
      <c r="B119" s="31"/>
      <c r="C119" s="31"/>
      <c r="D119" s="31"/>
      <c r="E119" s="31"/>
      <c r="F119" s="31"/>
      <c r="G119" s="31"/>
      <c r="H119" s="31"/>
      <c r="I119" s="31"/>
      <c r="J119" s="31"/>
      <c r="K119" s="135"/>
      <c r="L119" s="135"/>
      <c r="M119" s="135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</row>
    <row r="120" spans="1:63" s="1" customFormat="1" ht="14" x14ac:dyDescent="0.3">
      <c r="A120" s="136"/>
      <c r="B120" s="31" t="s">
        <v>87</v>
      </c>
      <c r="C120" s="31"/>
      <c r="D120" s="31"/>
      <c r="E120" s="141"/>
      <c r="F120" s="31" t="s">
        <v>88</v>
      </c>
      <c r="G120" s="31"/>
      <c r="H120" s="31"/>
      <c r="I120" s="31"/>
      <c r="J120" s="31"/>
      <c r="K120" s="135"/>
      <c r="L120" s="135"/>
      <c r="M120" s="135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</row>
    <row r="121" spans="1:63" s="1" customFormat="1" ht="14" x14ac:dyDescent="0.3">
      <c r="A121" s="136"/>
      <c r="B121" s="31"/>
      <c r="C121" s="31"/>
      <c r="D121" s="31"/>
      <c r="E121" s="31" t="s">
        <v>178</v>
      </c>
      <c r="F121" s="31"/>
      <c r="G121" s="31"/>
      <c r="H121" s="84" t="str">
        <f>IF(E120="","",E120*45)</f>
        <v/>
      </c>
      <c r="I121" s="106"/>
      <c r="J121" s="31" t="s">
        <v>29</v>
      </c>
      <c r="K121" s="135"/>
      <c r="L121" s="135"/>
      <c r="M121" s="135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</row>
    <row r="122" spans="1:63" s="1" customFormat="1" ht="14" x14ac:dyDescent="0.3">
      <c r="A122" s="136"/>
      <c r="B122" s="31"/>
      <c r="C122" s="31"/>
      <c r="D122" s="31"/>
      <c r="E122" s="31"/>
      <c r="F122" s="31"/>
      <c r="G122" s="31"/>
      <c r="H122" s="31"/>
      <c r="I122" s="31"/>
      <c r="J122" s="31"/>
      <c r="K122" s="135"/>
      <c r="L122" s="135"/>
      <c r="M122" s="135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</row>
    <row r="123" spans="1:63" s="1" customFormat="1" ht="14" x14ac:dyDescent="0.3">
      <c r="A123" s="136"/>
      <c r="B123" s="31" t="s">
        <v>89</v>
      </c>
      <c r="C123" s="31"/>
      <c r="D123" s="31"/>
      <c r="E123" s="141"/>
      <c r="F123" s="31" t="s">
        <v>90</v>
      </c>
      <c r="G123" s="31"/>
      <c r="H123" s="31"/>
      <c r="I123" s="31"/>
      <c r="J123" s="31"/>
      <c r="K123" s="135"/>
      <c r="L123" s="135"/>
      <c r="M123" s="135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</row>
    <row r="124" spans="1:63" s="1" customFormat="1" ht="14" x14ac:dyDescent="0.3">
      <c r="A124" s="136"/>
      <c r="B124" s="31"/>
      <c r="C124" s="31"/>
      <c r="D124" s="31"/>
      <c r="E124" s="31" t="s">
        <v>91</v>
      </c>
      <c r="F124" s="31"/>
      <c r="G124" s="31"/>
      <c r="H124" s="84" t="str">
        <f>IF(E123="","",E123*35)</f>
        <v/>
      </c>
      <c r="I124" s="106"/>
      <c r="J124" s="31" t="s">
        <v>29</v>
      </c>
      <c r="K124" s="135"/>
      <c r="L124" s="135"/>
      <c r="M124" s="135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</row>
    <row r="125" spans="1:63" s="1" customFormat="1" ht="14" x14ac:dyDescent="0.3">
      <c r="A125" s="136"/>
      <c r="B125" s="31"/>
      <c r="C125" s="31"/>
      <c r="D125" s="31"/>
      <c r="E125" s="31"/>
      <c r="F125" s="31"/>
      <c r="G125" s="31"/>
      <c r="H125" s="31"/>
      <c r="I125" s="31"/>
      <c r="J125" s="31"/>
      <c r="K125" s="135"/>
      <c r="L125" s="135"/>
      <c r="M125" s="135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</row>
    <row r="126" spans="1:63" s="1" customFormat="1" ht="14" x14ac:dyDescent="0.3">
      <c r="A126" s="136"/>
      <c r="B126" s="31" t="s">
        <v>92</v>
      </c>
      <c r="C126" s="31"/>
      <c r="D126" s="31"/>
      <c r="E126" s="31"/>
      <c r="F126" s="31"/>
      <c r="G126" s="31"/>
      <c r="H126" s="84" t="str">
        <f>IF(H118="","",SUM(H118:H124))</f>
        <v/>
      </c>
      <c r="I126" s="106"/>
      <c r="J126" s="31" t="s">
        <v>29</v>
      </c>
      <c r="K126" s="135"/>
      <c r="L126" s="135"/>
      <c r="M126" s="135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</row>
    <row r="127" spans="1:63" s="1" customFormat="1" ht="14" x14ac:dyDescent="0.3">
      <c r="A127" s="136"/>
      <c r="B127" s="31"/>
      <c r="C127" s="31"/>
      <c r="D127" s="31"/>
      <c r="E127" s="31"/>
      <c r="F127" s="31"/>
      <c r="G127" s="31"/>
      <c r="H127" s="31"/>
      <c r="I127" s="31"/>
      <c r="J127" s="31"/>
      <c r="K127" s="135"/>
      <c r="L127" s="135"/>
      <c r="M127" s="135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</row>
    <row r="128" spans="1:63" s="1" customFormat="1" ht="14" x14ac:dyDescent="0.3">
      <c r="A128" s="136"/>
      <c r="B128" s="109" t="s">
        <v>93</v>
      </c>
      <c r="C128" s="109"/>
      <c r="D128" s="109"/>
      <c r="E128" s="109"/>
      <c r="F128" s="109"/>
      <c r="G128" s="109"/>
      <c r="H128" s="109"/>
      <c r="I128" s="109"/>
      <c r="J128" s="109"/>
      <c r="K128" s="135"/>
      <c r="L128" s="135"/>
      <c r="M128" s="135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</row>
    <row r="129" spans="1:63" s="1" customFormat="1" ht="14" x14ac:dyDescent="0.3">
      <c r="A129" s="136"/>
      <c r="B129" s="31"/>
      <c r="C129" s="30"/>
      <c r="D129" s="31"/>
      <c r="E129" s="31"/>
      <c r="F129" s="31"/>
      <c r="G129" s="31"/>
      <c r="H129" s="107"/>
      <c r="I129" s="107"/>
      <c r="J129" s="107"/>
      <c r="K129" s="135"/>
      <c r="L129" s="135"/>
      <c r="M129" s="135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</row>
    <row r="130" spans="1:63" s="1" customFormat="1" ht="14" x14ac:dyDescent="0.3">
      <c r="A130" s="136"/>
      <c r="B130" s="31" t="s">
        <v>94</v>
      </c>
      <c r="C130" s="30"/>
      <c r="D130" s="31"/>
      <c r="E130" s="31"/>
      <c r="F130" s="31"/>
      <c r="G130" s="31"/>
      <c r="H130" s="107"/>
      <c r="I130" s="107"/>
      <c r="J130" s="107"/>
      <c r="K130" s="135"/>
      <c r="L130" s="135"/>
      <c r="M130" s="135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</row>
    <row r="131" spans="1:63" s="1" customFormat="1" ht="14" x14ac:dyDescent="0.3">
      <c r="A131" s="136"/>
      <c r="B131" s="31" t="s">
        <v>95</v>
      </c>
      <c r="C131" s="30"/>
      <c r="D131" s="31"/>
      <c r="E131" s="31"/>
      <c r="F131" s="31"/>
      <c r="G131" s="31"/>
      <c r="H131" s="107"/>
      <c r="I131" s="107"/>
      <c r="J131" s="107"/>
      <c r="K131" s="135"/>
      <c r="L131" s="135"/>
      <c r="M131" s="135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</row>
    <row r="132" spans="1:63" s="1" customFormat="1" ht="14" x14ac:dyDescent="0.3">
      <c r="A132" s="136"/>
      <c r="B132" s="31" t="s">
        <v>96</v>
      </c>
      <c r="C132" s="30"/>
      <c r="D132" s="31"/>
      <c r="E132" s="31"/>
      <c r="F132" s="31"/>
      <c r="G132" s="30"/>
      <c r="H132" s="31"/>
      <c r="I132" s="31"/>
      <c r="J132" s="31"/>
      <c r="K132" s="135"/>
      <c r="L132" s="135"/>
      <c r="M132" s="135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</row>
    <row r="133" spans="1:63" s="1" customFormat="1" ht="14" x14ac:dyDescent="0.3">
      <c r="A133" s="136"/>
      <c r="B133" s="31" t="s">
        <v>97</v>
      </c>
      <c r="C133" s="30"/>
      <c r="D133" s="31"/>
      <c r="E133" s="31"/>
      <c r="F133" s="31"/>
      <c r="G133" s="30"/>
      <c r="H133" s="31"/>
      <c r="I133" s="31"/>
      <c r="J133" s="31"/>
      <c r="K133" s="135"/>
      <c r="L133" s="135"/>
      <c r="M133" s="135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</row>
    <row r="134" spans="1:63" s="1" customFormat="1" ht="14" x14ac:dyDescent="0.3">
      <c r="A134" s="136"/>
      <c r="B134" s="31" t="s">
        <v>98</v>
      </c>
      <c r="C134" s="30"/>
      <c r="D134" s="31"/>
      <c r="E134" s="31"/>
      <c r="F134" s="31"/>
      <c r="G134" s="30"/>
      <c r="H134" s="31"/>
      <c r="I134" s="31"/>
      <c r="J134" s="31"/>
      <c r="K134" s="135"/>
      <c r="L134" s="135"/>
      <c r="M134" s="135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</row>
    <row r="135" spans="1:63" s="1" customFormat="1" ht="14" x14ac:dyDescent="0.3">
      <c r="A135" s="136"/>
      <c r="B135" s="31" t="s">
        <v>99</v>
      </c>
      <c r="C135" s="30"/>
      <c r="D135" s="31"/>
      <c r="E135" s="31"/>
      <c r="F135" s="31"/>
      <c r="G135" s="30"/>
      <c r="H135" s="31"/>
      <c r="I135" s="31"/>
      <c r="J135" s="31"/>
      <c r="K135" s="135"/>
      <c r="L135" s="135"/>
      <c r="M135" s="135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</row>
    <row r="136" spans="1:63" s="1" customFormat="1" ht="14" x14ac:dyDescent="0.3">
      <c r="A136" s="136"/>
      <c r="B136" s="31" t="s">
        <v>100</v>
      </c>
      <c r="C136" s="30"/>
      <c r="D136" s="31"/>
      <c r="E136" s="31"/>
      <c r="F136" s="31"/>
      <c r="G136" s="30"/>
      <c r="H136" s="31"/>
      <c r="I136" s="31"/>
      <c r="J136" s="31"/>
      <c r="K136" s="135"/>
      <c r="L136" s="135"/>
      <c r="M136" s="135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</row>
    <row r="137" spans="1:63" s="1" customFormat="1" ht="14" x14ac:dyDescent="0.3">
      <c r="A137" s="136"/>
      <c r="B137" s="30"/>
      <c r="C137" s="31"/>
      <c r="D137" s="35" t="s">
        <v>18</v>
      </c>
      <c r="E137" s="31"/>
      <c r="F137" s="30"/>
      <c r="G137" s="30"/>
      <c r="H137" s="30"/>
      <c r="I137" s="30"/>
      <c r="J137" s="30"/>
      <c r="K137" s="135"/>
      <c r="L137" s="135"/>
      <c r="M137" s="135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 s="1" customFormat="1" ht="10" customHeight="1" x14ac:dyDescent="0.3">
      <c r="A138" s="136"/>
      <c r="B138" s="36"/>
      <c r="C138" s="36"/>
      <c r="D138" s="36"/>
      <c r="E138" s="36"/>
      <c r="F138" s="36"/>
      <c r="G138" s="36"/>
      <c r="H138" s="36"/>
      <c r="I138" s="36"/>
      <c r="J138" s="36"/>
      <c r="K138" s="135"/>
      <c r="L138" s="136"/>
      <c r="M138" s="136"/>
    </row>
    <row r="139" spans="1:63" s="1" customFormat="1" ht="14" x14ac:dyDescent="0.3">
      <c r="A139" s="136"/>
      <c r="B139" s="31" t="s">
        <v>101</v>
      </c>
      <c r="C139" s="30"/>
      <c r="D139" s="31"/>
      <c r="E139" s="31"/>
      <c r="F139" s="31"/>
      <c r="G139" s="30"/>
      <c r="H139" s="31"/>
      <c r="I139" s="31"/>
      <c r="J139" s="31"/>
      <c r="K139" s="135"/>
      <c r="L139" s="135"/>
      <c r="M139" s="135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</row>
    <row r="140" spans="1:63" s="1" customFormat="1" ht="14" x14ac:dyDescent="0.3">
      <c r="A140" s="136"/>
      <c r="B140" s="31" t="s">
        <v>102</v>
      </c>
      <c r="C140" s="30"/>
      <c r="D140" s="31"/>
      <c r="E140" s="31"/>
      <c r="F140" s="31"/>
      <c r="G140" s="30"/>
      <c r="H140" s="31"/>
      <c r="I140" s="31"/>
      <c r="J140" s="31"/>
      <c r="K140" s="135"/>
      <c r="L140" s="135"/>
      <c r="M140" s="135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</row>
    <row r="141" spans="1:63" s="1" customFormat="1" ht="14" x14ac:dyDescent="0.3">
      <c r="A141" s="136"/>
      <c r="B141" s="31"/>
      <c r="C141" s="30"/>
      <c r="D141" s="31"/>
      <c r="E141" s="31"/>
      <c r="F141" s="31"/>
      <c r="G141" s="30"/>
      <c r="H141" s="31"/>
      <c r="I141" s="31"/>
      <c r="J141" s="31"/>
      <c r="K141" s="135"/>
      <c r="L141" s="135"/>
      <c r="M141" s="135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</row>
    <row r="142" spans="1:63" s="1" customFormat="1" ht="14" x14ac:dyDescent="0.3">
      <c r="A142" s="136"/>
      <c r="B142" s="11"/>
      <c r="C142" s="142"/>
      <c r="D142" s="12"/>
      <c r="E142" s="12"/>
      <c r="F142" s="12"/>
      <c r="G142" s="142"/>
      <c r="H142" s="12"/>
      <c r="I142" s="12"/>
      <c r="J142" s="13"/>
      <c r="K142" s="135"/>
      <c r="L142" s="135"/>
      <c r="M142" s="135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</row>
    <row r="143" spans="1:63" ht="14" x14ac:dyDescent="0.3">
      <c r="A143" s="135"/>
      <c r="B143" s="17"/>
      <c r="C143" s="143"/>
      <c r="D143" s="18"/>
      <c r="E143" s="18"/>
      <c r="F143" s="18"/>
      <c r="G143" s="143"/>
      <c r="H143" s="18"/>
      <c r="I143" s="18"/>
      <c r="J143" s="19"/>
      <c r="K143" s="135"/>
      <c r="L143" s="135"/>
      <c r="M143" s="135"/>
    </row>
    <row r="144" spans="1:63" s="1" customFormat="1" ht="14" x14ac:dyDescent="0.3">
      <c r="A144" s="136"/>
      <c r="B144" s="17"/>
      <c r="C144" s="143"/>
      <c r="D144" s="18"/>
      <c r="E144" s="18"/>
      <c r="F144" s="18"/>
      <c r="G144" s="143"/>
      <c r="H144" s="18"/>
      <c r="I144" s="18"/>
      <c r="J144" s="19"/>
      <c r="K144" s="135"/>
      <c r="L144" s="135"/>
      <c r="M144" s="135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</row>
    <row r="145" spans="1:63" s="1" customFormat="1" ht="14" x14ac:dyDescent="0.3">
      <c r="A145" s="136"/>
      <c r="B145" s="14"/>
      <c r="C145" s="144"/>
      <c r="D145" s="15"/>
      <c r="E145" s="15"/>
      <c r="F145" s="15"/>
      <c r="G145" s="144"/>
      <c r="H145" s="15"/>
      <c r="I145" s="15"/>
      <c r="J145" s="16"/>
      <c r="K145" s="135"/>
      <c r="L145" s="135"/>
      <c r="M145" s="135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</row>
    <row r="146" spans="1:63" s="1" customFormat="1" ht="14.5" thickBot="1" x14ac:dyDescent="0.35">
      <c r="A146" s="136"/>
      <c r="B146" s="30"/>
      <c r="C146" s="30"/>
      <c r="D146" s="30"/>
      <c r="E146" s="30"/>
      <c r="F146" s="30"/>
      <c r="G146" s="30"/>
      <c r="H146" s="30"/>
      <c r="I146" s="30"/>
      <c r="J146" s="30"/>
      <c r="K146" s="135"/>
      <c r="L146" s="135"/>
      <c r="M146" s="135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</row>
    <row r="147" spans="1:63" s="1" customFormat="1" ht="14.5" thickBot="1" x14ac:dyDescent="0.35">
      <c r="A147" s="136"/>
      <c r="B147" s="110"/>
      <c r="C147" s="111"/>
      <c r="D147" s="112" t="s">
        <v>26</v>
      </c>
      <c r="E147" s="111"/>
      <c r="F147" s="111"/>
      <c r="G147" s="111"/>
      <c r="H147" s="111"/>
      <c r="I147" s="111"/>
      <c r="J147" s="113"/>
      <c r="K147" s="135"/>
      <c r="L147" s="135"/>
      <c r="M147" s="135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</row>
    <row r="148" spans="1:63" s="1" customFormat="1" ht="14" x14ac:dyDescent="0.3">
      <c r="A148" s="136"/>
      <c r="B148" s="110" t="s">
        <v>103</v>
      </c>
      <c r="C148" s="27"/>
      <c r="D148" s="114" t="s">
        <v>104</v>
      </c>
      <c r="E148" s="115"/>
      <c r="F148" s="115"/>
      <c r="G148" s="116"/>
      <c r="H148" s="117" t="s">
        <v>105</v>
      </c>
      <c r="I148" s="118"/>
      <c r="J148" s="119"/>
      <c r="K148" s="135"/>
      <c r="L148" s="135"/>
      <c r="M148" s="135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</row>
    <row r="149" spans="1:63" s="1" customFormat="1" ht="14" x14ac:dyDescent="0.3">
      <c r="A149" s="136"/>
      <c r="B149" s="98" t="s">
        <v>106</v>
      </c>
      <c r="C149" s="26"/>
      <c r="D149" s="96" t="s">
        <v>107</v>
      </c>
      <c r="E149" s="71"/>
      <c r="F149" s="71"/>
      <c r="G149" s="55"/>
      <c r="H149" s="120" t="s">
        <v>108</v>
      </c>
      <c r="I149" s="121"/>
      <c r="J149" s="122"/>
      <c r="K149" s="135"/>
      <c r="L149" s="135"/>
      <c r="M149" s="135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</row>
    <row r="150" spans="1:63" s="1" customFormat="1" ht="14" x14ac:dyDescent="0.3">
      <c r="A150" s="136"/>
      <c r="B150" s="29"/>
      <c r="C150" s="26"/>
      <c r="D150" s="26"/>
      <c r="E150" s="26"/>
      <c r="F150" s="26"/>
      <c r="G150" s="26"/>
      <c r="H150" s="26"/>
      <c r="I150" s="26"/>
      <c r="J150" s="28"/>
      <c r="K150" s="135"/>
      <c r="L150" s="135"/>
      <c r="M150" s="135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</row>
    <row r="151" spans="1:63" s="1" customFormat="1" ht="14" x14ac:dyDescent="0.3">
      <c r="A151" s="136"/>
      <c r="B151" s="52" t="s">
        <v>8</v>
      </c>
      <c r="C151" s="53"/>
      <c r="D151" s="38" t="s">
        <v>39</v>
      </c>
      <c r="E151" s="39"/>
      <c r="F151" s="6" t="s">
        <v>109</v>
      </c>
      <c r="G151" s="6" t="s">
        <v>109</v>
      </c>
      <c r="H151" s="6" t="s">
        <v>109</v>
      </c>
      <c r="I151" s="6" t="s">
        <v>110</v>
      </c>
      <c r="J151" s="123"/>
      <c r="K151" s="135"/>
      <c r="L151" s="135"/>
      <c r="M151" s="135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</row>
    <row r="152" spans="1:63" s="1" customFormat="1" ht="14" x14ac:dyDescent="0.3">
      <c r="A152" s="136"/>
      <c r="B152" s="58" t="s">
        <v>9</v>
      </c>
      <c r="C152" s="59"/>
      <c r="D152" s="33" t="s">
        <v>43</v>
      </c>
      <c r="E152" s="34"/>
      <c r="F152" s="63" t="s">
        <v>111</v>
      </c>
      <c r="G152" s="63" t="s">
        <v>111</v>
      </c>
      <c r="H152" s="63" t="s">
        <v>111</v>
      </c>
      <c r="I152" s="63" t="s">
        <v>111</v>
      </c>
      <c r="J152" s="123"/>
      <c r="K152" s="135"/>
      <c r="L152" s="135"/>
      <c r="M152" s="135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</row>
    <row r="153" spans="1:63" s="1" customFormat="1" ht="14" x14ac:dyDescent="0.3">
      <c r="A153" s="136"/>
      <c r="B153" s="58" t="s">
        <v>10</v>
      </c>
      <c r="C153" s="59"/>
      <c r="D153" s="33"/>
      <c r="E153" s="34"/>
      <c r="F153" s="124">
        <v>10</v>
      </c>
      <c r="G153" s="124">
        <v>8</v>
      </c>
      <c r="H153" s="124">
        <v>7</v>
      </c>
      <c r="I153" s="124">
        <v>5</v>
      </c>
      <c r="J153" s="123"/>
      <c r="K153" s="135"/>
      <c r="L153" s="135"/>
      <c r="M153" s="135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</row>
    <row r="154" spans="1:63" s="5" customFormat="1" ht="14" x14ac:dyDescent="0.3">
      <c r="A154" s="140"/>
      <c r="B154" s="58" t="s">
        <v>67</v>
      </c>
      <c r="C154" s="59"/>
      <c r="D154" s="33"/>
      <c r="E154" s="34"/>
      <c r="F154" s="62" t="s">
        <v>112</v>
      </c>
      <c r="G154" s="62" t="s">
        <v>112</v>
      </c>
      <c r="H154" s="62" t="s">
        <v>112</v>
      </c>
      <c r="I154" s="62" t="s">
        <v>112</v>
      </c>
      <c r="J154" s="123"/>
      <c r="K154" s="135"/>
      <c r="L154" s="135"/>
      <c r="M154" s="135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</row>
    <row r="155" spans="1:63" s="1" customFormat="1" ht="14" x14ac:dyDescent="0.3">
      <c r="A155" s="136"/>
      <c r="B155" s="98"/>
      <c r="C155" s="71"/>
      <c r="D155" s="71"/>
      <c r="E155" s="55"/>
      <c r="F155" s="62" t="s">
        <v>113</v>
      </c>
      <c r="G155" s="62" t="s">
        <v>113</v>
      </c>
      <c r="H155" s="62" t="s">
        <v>113</v>
      </c>
      <c r="I155" s="62" t="s">
        <v>113</v>
      </c>
      <c r="J155" s="123"/>
      <c r="K155" s="135"/>
      <c r="L155" s="135"/>
      <c r="M155" s="135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</row>
    <row r="156" spans="1:63" s="1" customFormat="1" ht="14" x14ac:dyDescent="0.3">
      <c r="A156" s="136"/>
      <c r="B156" s="162"/>
      <c r="C156" s="153"/>
      <c r="D156" s="71" t="s">
        <v>47</v>
      </c>
      <c r="E156" s="55"/>
      <c r="F156" s="125" t="str">
        <f>IF(B156="","",10)</f>
        <v/>
      </c>
      <c r="G156" s="125" t="str">
        <f>IF(B156="","",8)</f>
        <v/>
      </c>
      <c r="H156" s="125" t="str">
        <f>IF(B156="","",7)</f>
        <v/>
      </c>
      <c r="I156" s="6"/>
      <c r="J156" s="123"/>
      <c r="K156" s="135"/>
      <c r="L156" s="135"/>
      <c r="M156" s="135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</row>
    <row r="157" spans="1:63" s="1" customFormat="1" ht="14" x14ac:dyDescent="0.3">
      <c r="A157" s="136"/>
      <c r="B157" s="162"/>
      <c r="C157" s="153"/>
      <c r="D157" s="71" t="s">
        <v>114</v>
      </c>
      <c r="E157" s="55"/>
      <c r="F157" s="126" t="str">
        <f>IF(B157="","",B157/1000*10)</f>
        <v/>
      </c>
      <c r="G157" s="126" t="str">
        <f>IF(B157="","",B157/1000*8)</f>
        <v/>
      </c>
      <c r="H157" s="126" t="str">
        <f>IF(B157="","",B157/1000*7)</f>
        <v/>
      </c>
      <c r="I157" s="7"/>
      <c r="J157" s="123"/>
      <c r="K157" s="135"/>
      <c r="L157" s="135"/>
      <c r="M157" s="135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</row>
    <row r="158" spans="1:63" s="1" customFormat="1" ht="14.5" thickBot="1" x14ac:dyDescent="0.35">
      <c r="A158" s="136"/>
      <c r="B158" s="162"/>
      <c r="C158" s="153"/>
      <c r="D158" s="75" t="s">
        <v>115</v>
      </c>
      <c r="E158" s="127"/>
      <c r="F158" s="8"/>
      <c r="G158" s="8"/>
      <c r="H158" s="8"/>
      <c r="I158" s="102" t="str">
        <f>IF(B158="","",B158/1000*5)</f>
        <v/>
      </c>
      <c r="J158" s="128"/>
      <c r="K158" s="135"/>
      <c r="L158" s="135"/>
      <c r="M158" s="135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</row>
    <row r="159" spans="1:63" s="1" customFormat="1" ht="14" x14ac:dyDescent="0.3">
      <c r="A159" s="136"/>
      <c r="B159" s="31"/>
      <c r="C159" s="31"/>
      <c r="D159" s="31"/>
      <c r="E159" s="31"/>
      <c r="F159" s="31"/>
      <c r="G159" s="31"/>
      <c r="H159" s="31"/>
      <c r="I159" s="31"/>
      <c r="J159" s="31"/>
      <c r="K159" s="135"/>
      <c r="L159" s="135"/>
      <c r="M159" s="135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</row>
    <row r="160" spans="1:63" s="1" customFormat="1" ht="14" x14ac:dyDescent="0.3">
      <c r="A160" s="136"/>
      <c r="B160" s="145"/>
      <c r="C160" s="31" t="s">
        <v>116</v>
      </c>
      <c r="D160" s="31"/>
      <c r="E160" s="30"/>
      <c r="F160" s="7" t="str">
        <f>IF(E120="","",E120)</f>
        <v/>
      </c>
      <c r="G160" s="31" t="s">
        <v>117</v>
      </c>
      <c r="H160" s="31"/>
      <c r="I160" s="31"/>
      <c r="J160" s="31"/>
      <c r="K160" s="135"/>
      <c r="L160" s="135"/>
      <c r="M160" s="135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</row>
    <row r="161" spans="1:63" s="1" customFormat="1" ht="14" x14ac:dyDescent="0.3">
      <c r="A161" s="136"/>
      <c r="B161" s="30" t="s">
        <v>4</v>
      </c>
      <c r="C161" s="145"/>
      <c r="D161" s="31" t="s">
        <v>118</v>
      </c>
      <c r="E161" s="31"/>
      <c r="F161" s="31"/>
      <c r="G161" s="30"/>
      <c r="H161" s="30"/>
      <c r="I161" s="7" t="str">
        <f>IF(B160="","",B160-F160-C161)</f>
        <v/>
      </c>
      <c r="J161" s="31" t="s">
        <v>119</v>
      </c>
      <c r="K161" s="135"/>
      <c r="L161" s="135"/>
      <c r="M161" s="135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</row>
    <row r="162" spans="1:63" s="1" customFormat="1" ht="14" x14ac:dyDescent="0.3">
      <c r="A162" s="136"/>
      <c r="B162" s="31"/>
      <c r="C162" s="31"/>
      <c r="D162" s="31"/>
      <c r="E162" s="31"/>
      <c r="F162" s="31"/>
      <c r="G162" s="31"/>
      <c r="H162" s="31"/>
      <c r="I162" s="31"/>
      <c r="J162" s="31"/>
      <c r="K162" s="135"/>
      <c r="L162" s="135"/>
      <c r="M162" s="135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</row>
    <row r="163" spans="1:63" s="1" customFormat="1" ht="14" x14ac:dyDescent="0.3">
      <c r="A163" s="136"/>
      <c r="B163" s="31" t="s">
        <v>120</v>
      </c>
      <c r="C163" s="30"/>
      <c r="D163" s="108" t="str">
        <f>IF(I161="","",I161)</f>
        <v/>
      </c>
      <c r="E163" s="31" t="s">
        <v>121</v>
      </c>
      <c r="F163" s="30"/>
      <c r="G163" s="31"/>
      <c r="H163" s="84" t="str">
        <f>IF(D163="","",D163*30)</f>
        <v/>
      </c>
      <c r="I163" s="106"/>
      <c r="J163" s="31" t="s">
        <v>29</v>
      </c>
      <c r="K163" s="135"/>
      <c r="L163" s="135"/>
      <c r="M163" s="135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</row>
    <row r="164" spans="1:63" s="1" customFormat="1" ht="14" x14ac:dyDescent="0.3">
      <c r="A164" s="136"/>
      <c r="B164" s="30"/>
      <c r="C164" s="30"/>
      <c r="D164" s="30"/>
      <c r="E164" s="30"/>
      <c r="F164" s="30"/>
      <c r="G164" s="30"/>
      <c r="H164" s="30"/>
      <c r="I164" s="30"/>
      <c r="J164" s="30"/>
      <c r="K164" s="135"/>
      <c r="L164" s="135"/>
      <c r="M164" s="135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</row>
    <row r="165" spans="1:63" s="1" customFormat="1" ht="14" x14ac:dyDescent="0.3">
      <c r="A165" s="136"/>
      <c r="B165" s="109" t="s">
        <v>122</v>
      </c>
      <c r="C165" s="109"/>
      <c r="D165" s="109"/>
      <c r="E165" s="31"/>
      <c r="F165" s="30"/>
      <c r="G165" s="31"/>
      <c r="H165" s="31"/>
      <c r="I165" s="31"/>
      <c r="J165" s="31"/>
      <c r="K165" s="135"/>
      <c r="L165" s="135"/>
      <c r="M165" s="135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</row>
    <row r="166" spans="1:63" s="1" customFormat="1" ht="14" x14ac:dyDescent="0.3">
      <c r="A166" s="136"/>
      <c r="B166" s="31"/>
      <c r="C166" s="31"/>
      <c r="D166" s="31"/>
      <c r="E166" s="31"/>
      <c r="F166" s="31"/>
      <c r="G166" s="31"/>
      <c r="H166" s="31"/>
      <c r="I166" s="31"/>
      <c r="J166" s="31"/>
      <c r="K166" s="135"/>
      <c r="L166" s="135"/>
      <c r="M166" s="135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</row>
    <row r="167" spans="1:63" s="5" customFormat="1" ht="14" x14ac:dyDescent="0.3">
      <c r="A167" s="140"/>
      <c r="B167" s="31" t="s">
        <v>123</v>
      </c>
      <c r="C167" s="31"/>
      <c r="D167" s="31"/>
      <c r="E167" s="31"/>
      <c r="F167" s="31"/>
      <c r="G167" s="31"/>
      <c r="H167" s="31"/>
      <c r="I167" s="31"/>
      <c r="J167" s="31"/>
      <c r="K167" s="135"/>
      <c r="L167" s="135"/>
      <c r="M167" s="135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</row>
    <row r="168" spans="1:63" s="1" customFormat="1" ht="14" x14ac:dyDescent="0.3">
      <c r="A168" s="136"/>
      <c r="B168" s="31" t="s">
        <v>124</v>
      </c>
      <c r="C168" s="31"/>
      <c r="D168" s="31"/>
      <c r="E168" s="31"/>
      <c r="F168" s="31"/>
      <c r="G168" s="31"/>
      <c r="H168" s="31"/>
      <c r="I168" s="31"/>
      <c r="J168" s="31"/>
      <c r="K168" s="135"/>
      <c r="L168" s="135"/>
      <c r="M168" s="135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</row>
    <row r="169" spans="1:63" s="1" customFormat="1" ht="14" x14ac:dyDescent="0.3">
      <c r="A169" s="136"/>
      <c r="B169" s="11"/>
      <c r="C169" s="12"/>
      <c r="D169" s="12"/>
      <c r="E169" s="12"/>
      <c r="F169" s="12"/>
      <c r="G169" s="12"/>
      <c r="H169" s="12"/>
      <c r="I169" s="12"/>
      <c r="J169" s="13"/>
      <c r="K169" s="135"/>
      <c r="L169" s="135"/>
      <c r="M169" s="135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</row>
    <row r="170" spans="1:63" s="1" customFormat="1" ht="14" x14ac:dyDescent="0.3">
      <c r="A170" s="136"/>
      <c r="B170" s="17"/>
      <c r="C170" s="18"/>
      <c r="D170" s="18"/>
      <c r="E170" s="18"/>
      <c r="F170" s="18"/>
      <c r="G170" s="18"/>
      <c r="H170" s="18"/>
      <c r="I170" s="18"/>
      <c r="J170" s="19"/>
      <c r="K170" s="135"/>
      <c r="L170" s="135"/>
      <c r="M170" s="135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</row>
    <row r="171" spans="1:63" s="1" customFormat="1" ht="14" x14ac:dyDescent="0.3">
      <c r="A171" s="136"/>
      <c r="B171" s="17"/>
      <c r="C171" s="18"/>
      <c r="D171" s="18"/>
      <c r="E171" s="18"/>
      <c r="F171" s="18"/>
      <c r="G171" s="18"/>
      <c r="H171" s="18"/>
      <c r="I171" s="18"/>
      <c r="J171" s="19"/>
      <c r="K171" s="135"/>
      <c r="L171" s="135"/>
      <c r="M171" s="135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</row>
    <row r="172" spans="1:63" s="1" customFormat="1" ht="14" x14ac:dyDescent="0.3">
      <c r="A172" s="136"/>
      <c r="B172" s="17"/>
      <c r="C172" s="18"/>
      <c r="D172" s="18"/>
      <c r="E172" s="18"/>
      <c r="F172" s="18"/>
      <c r="G172" s="18"/>
      <c r="H172" s="18"/>
      <c r="I172" s="18"/>
      <c r="J172" s="19"/>
      <c r="K172" s="135"/>
      <c r="L172" s="135"/>
      <c r="M172" s="135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</row>
    <row r="173" spans="1:63" s="1" customFormat="1" ht="14" x14ac:dyDescent="0.3">
      <c r="A173" s="136"/>
      <c r="B173" s="14"/>
      <c r="C173" s="15"/>
      <c r="D173" s="15"/>
      <c r="E173" s="15"/>
      <c r="F173" s="15"/>
      <c r="G173" s="15"/>
      <c r="H173" s="15"/>
      <c r="I173" s="15"/>
      <c r="J173" s="16"/>
      <c r="K173" s="135"/>
      <c r="L173" s="135"/>
      <c r="M173" s="135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</row>
    <row r="174" spans="1:63" s="1" customFormat="1" ht="14" x14ac:dyDescent="0.3">
      <c r="A174" s="136"/>
      <c r="B174" s="31"/>
      <c r="C174" s="31"/>
      <c r="D174" s="31"/>
      <c r="E174" s="31"/>
      <c r="F174" s="31"/>
      <c r="G174" s="31"/>
      <c r="H174" s="31"/>
      <c r="I174" s="31"/>
      <c r="J174" s="31"/>
      <c r="K174" s="135"/>
      <c r="L174" s="135"/>
      <c r="M174" s="135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</row>
    <row r="175" spans="1:63" s="1" customFormat="1" ht="14" x14ac:dyDescent="0.3">
      <c r="A175" s="136"/>
      <c r="B175" s="31" t="s">
        <v>125</v>
      </c>
      <c r="C175" s="145"/>
      <c r="D175" s="31" t="s">
        <v>126</v>
      </c>
      <c r="E175" s="31"/>
      <c r="F175" s="31"/>
      <c r="G175" s="31"/>
      <c r="H175" s="84" t="str">
        <f>IF(C175="","",C175*150)</f>
        <v/>
      </c>
      <c r="I175" s="106"/>
      <c r="J175" s="31" t="s">
        <v>29</v>
      </c>
      <c r="K175" s="135"/>
      <c r="L175" s="135"/>
      <c r="M175" s="135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</row>
    <row r="176" spans="1:63" s="5" customFormat="1" ht="14" x14ac:dyDescent="0.3">
      <c r="A176" s="140"/>
      <c r="B176" s="31"/>
      <c r="C176" s="31"/>
      <c r="D176" s="31"/>
      <c r="E176" s="31"/>
      <c r="F176" s="31"/>
      <c r="G176" s="31"/>
      <c r="H176" s="31"/>
      <c r="I176" s="31"/>
      <c r="J176" s="31"/>
      <c r="K176" s="135"/>
      <c r="L176" s="135"/>
      <c r="M176" s="135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</row>
    <row r="177" spans="1:63" s="1" customFormat="1" ht="14" x14ac:dyDescent="0.3">
      <c r="A177" s="136"/>
      <c r="B177" s="30"/>
      <c r="C177" s="31"/>
      <c r="D177" s="35" t="s">
        <v>18</v>
      </c>
      <c r="E177" s="31"/>
      <c r="F177" s="30"/>
      <c r="G177" s="30"/>
      <c r="H177" s="30"/>
      <c r="I177" s="30"/>
      <c r="J177" s="30"/>
      <c r="K177" s="135"/>
      <c r="L177" s="135"/>
      <c r="M177" s="135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</row>
    <row r="178" spans="1:63" s="1" customFormat="1" ht="10" customHeight="1" x14ac:dyDescent="0.3">
      <c r="A178" s="136"/>
      <c r="B178" s="36"/>
      <c r="C178" s="36"/>
      <c r="D178" s="36"/>
      <c r="E178" s="36"/>
      <c r="F178" s="36"/>
      <c r="G178" s="36"/>
      <c r="H178" s="36"/>
      <c r="I178" s="36"/>
      <c r="J178" s="36"/>
      <c r="K178" s="135"/>
      <c r="L178" s="136"/>
      <c r="M178" s="136"/>
    </row>
    <row r="179" spans="1:63" s="1" customFormat="1" ht="14" x14ac:dyDescent="0.3">
      <c r="A179" s="136"/>
      <c r="B179" s="109" t="s">
        <v>127</v>
      </c>
      <c r="C179" s="109"/>
      <c r="D179" s="109"/>
      <c r="E179" s="109"/>
      <c r="F179" s="109"/>
      <c r="G179" s="109"/>
      <c r="H179" s="109"/>
      <c r="I179" s="109"/>
      <c r="J179" s="109"/>
      <c r="K179" s="135"/>
      <c r="L179" s="135"/>
      <c r="M179" s="135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</row>
    <row r="180" spans="1:63" s="1" customFormat="1" ht="14" x14ac:dyDescent="0.3">
      <c r="A180" s="136"/>
      <c r="B180" s="31"/>
      <c r="C180" s="31" t="s">
        <v>128</v>
      </c>
      <c r="D180" s="31"/>
      <c r="E180" s="31"/>
      <c r="F180" s="31"/>
      <c r="G180" s="31"/>
      <c r="H180" s="31"/>
      <c r="I180" s="31"/>
      <c r="J180" s="31"/>
      <c r="K180" s="135"/>
      <c r="L180" s="135"/>
      <c r="M180" s="135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</row>
    <row r="181" spans="1:63" s="1" customFormat="1" ht="14" x14ac:dyDescent="0.3">
      <c r="A181" s="136"/>
      <c r="B181" s="31" t="s">
        <v>129</v>
      </c>
      <c r="C181" s="31"/>
      <c r="D181" s="31"/>
      <c r="E181" s="141"/>
      <c r="F181" s="31" t="s">
        <v>130</v>
      </c>
      <c r="G181" s="31"/>
      <c r="H181" s="41" t="str">
        <f>IF(E181="","",E181*10)</f>
        <v/>
      </c>
      <c r="I181" s="31" t="s">
        <v>29</v>
      </c>
      <c r="J181" s="31"/>
      <c r="K181" s="135"/>
      <c r="L181" s="135"/>
      <c r="M181" s="135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</row>
    <row r="182" spans="1:63" s="1" customFormat="1" ht="14" x14ac:dyDescent="0.3">
      <c r="A182" s="136"/>
      <c r="B182" s="31"/>
      <c r="C182" s="31"/>
      <c r="D182" s="31"/>
      <c r="E182" s="31"/>
      <c r="F182" s="31"/>
      <c r="G182" s="31"/>
      <c r="H182" s="31"/>
      <c r="I182" s="31"/>
      <c r="J182" s="31"/>
      <c r="K182" s="135"/>
      <c r="L182" s="135"/>
      <c r="M182" s="135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</row>
    <row r="183" spans="1:63" s="1" customFormat="1" ht="14" x14ac:dyDescent="0.3">
      <c r="A183" s="136"/>
      <c r="B183" s="31" t="s">
        <v>131</v>
      </c>
      <c r="C183" s="31"/>
      <c r="D183" s="31"/>
      <c r="E183" s="141"/>
      <c r="F183" s="31" t="s">
        <v>132</v>
      </c>
      <c r="G183" s="31"/>
      <c r="H183" s="41" t="str">
        <f>IF(E183="","",E183*25)</f>
        <v/>
      </c>
      <c r="I183" s="31" t="s">
        <v>29</v>
      </c>
      <c r="J183" s="31"/>
      <c r="K183" s="135"/>
      <c r="L183" s="135"/>
      <c r="M183" s="135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</row>
    <row r="184" spans="1:63" s="1" customFormat="1" ht="14" x14ac:dyDescent="0.3">
      <c r="A184" s="136"/>
      <c r="B184" s="31" t="s">
        <v>5</v>
      </c>
      <c r="C184" s="31"/>
      <c r="D184" s="31"/>
      <c r="E184" s="30"/>
      <c r="F184" s="31"/>
      <c r="G184" s="31"/>
      <c r="H184" s="31"/>
      <c r="I184" s="31"/>
      <c r="J184" s="31"/>
      <c r="K184" s="135"/>
      <c r="L184" s="135"/>
      <c r="M184" s="135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 s="1" customFormat="1" ht="14" x14ac:dyDescent="0.3">
      <c r="A185" s="136"/>
      <c r="B185" s="31"/>
      <c r="C185" s="31"/>
      <c r="D185" s="31"/>
      <c r="E185" s="31"/>
      <c r="F185" s="31"/>
      <c r="G185" s="31"/>
      <c r="H185" s="31"/>
      <c r="I185" s="31"/>
      <c r="J185" s="31"/>
      <c r="K185" s="135"/>
      <c r="L185" s="135"/>
      <c r="M185" s="135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</row>
    <row r="186" spans="1:63" s="1" customFormat="1" ht="14" x14ac:dyDescent="0.3">
      <c r="A186" s="136"/>
      <c r="B186" s="31" t="s">
        <v>133</v>
      </c>
      <c r="C186" s="31"/>
      <c r="D186" s="31"/>
      <c r="E186" s="141"/>
      <c r="F186" s="31" t="s">
        <v>130</v>
      </c>
      <c r="G186" s="31"/>
      <c r="H186" s="41" t="str">
        <f>IF(E186="","",E186*10)</f>
        <v/>
      </c>
      <c r="I186" s="31" t="s">
        <v>29</v>
      </c>
      <c r="J186" s="31"/>
      <c r="K186" s="135"/>
      <c r="L186" s="135"/>
      <c r="M186" s="135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 ht="13.5" customHeight="1" x14ac:dyDescent="0.3">
      <c r="A187" s="135"/>
      <c r="B187" s="31" t="s">
        <v>134</v>
      </c>
      <c r="C187" s="31"/>
      <c r="D187" s="31"/>
      <c r="E187" s="31"/>
      <c r="F187" s="31"/>
      <c r="G187" s="31"/>
      <c r="H187" s="31"/>
      <c r="I187" s="31"/>
      <c r="J187" s="31"/>
      <c r="K187" s="135"/>
      <c r="L187" s="135"/>
      <c r="M187" s="135"/>
    </row>
    <row r="188" spans="1:63" s="1" customFormat="1" ht="14" x14ac:dyDescent="0.3">
      <c r="A188" s="136"/>
      <c r="B188" s="31"/>
      <c r="C188" s="31"/>
      <c r="D188" s="31"/>
      <c r="E188" s="31"/>
      <c r="F188" s="31"/>
      <c r="G188" s="31"/>
      <c r="H188" s="31"/>
      <c r="I188" s="31"/>
      <c r="J188" s="31"/>
      <c r="K188" s="135"/>
      <c r="L188" s="135"/>
      <c r="M188" s="135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</row>
    <row r="189" spans="1:63" s="1" customFormat="1" ht="14" x14ac:dyDescent="0.3">
      <c r="A189" s="136"/>
      <c r="B189" s="31" t="s">
        <v>135</v>
      </c>
      <c r="C189" s="31"/>
      <c r="D189" s="31"/>
      <c r="E189" s="141"/>
      <c r="F189" s="31" t="s">
        <v>136</v>
      </c>
      <c r="G189" s="31"/>
      <c r="H189" s="41" t="str">
        <f>IF(E189="","",E189*25)</f>
        <v/>
      </c>
      <c r="I189" s="31" t="s">
        <v>29</v>
      </c>
      <c r="J189" s="31"/>
      <c r="K189" s="135"/>
      <c r="L189" s="135"/>
      <c r="M189" s="135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 s="1" customFormat="1" ht="14" x14ac:dyDescent="0.3">
      <c r="A190" s="136"/>
      <c r="B190" s="31" t="s">
        <v>137</v>
      </c>
      <c r="C190" s="31"/>
      <c r="D190" s="31"/>
      <c r="E190" s="31"/>
      <c r="F190" s="31"/>
      <c r="G190" s="31"/>
      <c r="H190" s="31"/>
      <c r="I190" s="31"/>
      <c r="J190" s="31"/>
      <c r="K190" s="135"/>
      <c r="L190" s="135"/>
      <c r="M190" s="135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</row>
    <row r="191" spans="1:63" s="1" customFormat="1" ht="13.5" customHeight="1" x14ac:dyDescent="0.3">
      <c r="A191" s="136"/>
      <c r="B191" s="31"/>
      <c r="C191" s="31"/>
      <c r="D191" s="31"/>
      <c r="E191" s="31"/>
      <c r="F191" s="31"/>
      <c r="G191" s="31"/>
      <c r="H191" s="31"/>
      <c r="I191" s="31"/>
      <c r="J191" s="31"/>
      <c r="K191" s="135"/>
      <c r="L191" s="135"/>
      <c r="M191" s="135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 s="1" customFormat="1" ht="14" x14ac:dyDescent="0.3">
      <c r="A192" s="136"/>
      <c r="B192" s="31" t="s">
        <v>138</v>
      </c>
      <c r="C192" s="31"/>
      <c r="D192" s="31"/>
      <c r="E192" s="31"/>
      <c r="F192" s="31"/>
      <c r="G192" s="31"/>
      <c r="H192" s="84" t="str">
        <f>IF(SUM(H181:H189)&gt;0,(SUM(H181:H189)),"")</f>
        <v/>
      </c>
      <c r="I192" s="106"/>
      <c r="J192" s="31" t="s">
        <v>29</v>
      </c>
      <c r="K192" s="135"/>
      <c r="L192" s="135"/>
      <c r="M192" s="135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</row>
    <row r="193" spans="1:63" s="1" customFormat="1" ht="14" x14ac:dyDescent="0.3">
      <c r="A193" s="136"/>
      <c r="B193" s="31"/>
      <c r="C193" s="31"/>
      <c r="D193" s="31"/>
      <c r="E193" s="31"/>
      <c r="F193" s="31"/>
      <c r="G193" s="31"/>
      <c r="H193" s="31"/>
      <c r="I193" s="31"/>
      <c r="J193" s="31"/>
      <c r="K193" s="135"/>
      <c r="L193" s="135"/>
      <c r="M193" s="135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</row>
    <row r="194" spans="1:63" s="1" customFormat="1" ht="14" x14ac:dyDescent="0.3">
      <c r="A194" s="136"/>
      <c r="B194" s="109" t="s">
        <v>139</v>
      </c>
      <c r="C194" s="109"/>
      <c r="D194" s="109"/>
      <c r="E194" s="109"/>
      <c r="F194" s="109"/>
      <c r="G194" s="109"/>
      <c r="H194" s="109"/>
      <c r="I194" s="109"/>
      <c r="J194" s="109"/>
      <c r="K194" s="135"/>
      <c r="L194" s="135"/>
      <c r="M194" s="135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</row>
    <row r="195" spans="1:63" s="1" customFormat="1" ht="14" x14ac:dyDescent="0.3">
      <c r="A195" s="136"/>
      <c r="B195" s="31"/>
      <c r="C195" s="31"/>
      <c r="D195" s="31"/>
      <c r="E195" s="31"/>
      <c r="F195" s="31"/>
      <c r="G195" s="31"/>
      <c r="H195" s="31"/>
      <c r="I195" s="31"/>
      <c r="J195" s="31"/>
      <c r="K195" s="135"/>
      <c r="L195" s="135"/>
      <c r="M195" s="135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 s="1" customFormat="1" ht="14" x14ac:dyDescent="0.3">
      <c r="A196" s="136"/>
      <c r="B196" s="31" t="s">
        <v>140</v>
      </c>
      <c r="C196" s="31"/>
      <c r="D196" s="31"/>
      <c r="E196" s="31"/>
      <c r="F196" s="31" t="s">
        <v>110</v>
      </c>
      <c r="G196" s="129" t="s">
        <v>141</v>
      </c>
      <c r="H196" s="129"/>
      <c r="I196" s="31" t="s">
        <v>29</v>
      </c>
      <c r="J196" s="31" t="s">
        <v>142</v>
      </c>
      <c r="K196" s="135"/>
      <c r="L196" s="135"/>
      <c r="M196" s="135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 ht="14" x14ac:dyDescent="0.3">
      <c r="A197" s="135"/>
      <c r="B197" s="31"/>
      <c r="C197" s="31"/>
      <c r="D197" s="31"/>
      <c r="E197" s="31"/>
      <c r="F197" s="31"/>
      <c r="G197" s="31"/>
      <c r="H197" s="31"/>
      <c r="I197" s="31"/>
      <c r="J197" s="31"/>
      <c r="K197" s="135"/>
      <c r="L197" s="135"/>
      <c r="M197" s="135"/>
    </row>
    <row r="198" spans="1:63" ht="14" x14ac:dyDescent="0.3">
      <c r="A198" s="135"/>
      <c r="B198" s="31" t="s">
        <v>143</v>
      </c>
      <c r="C198" s="31"/>
      <c r="D198" s="31"/>
      <c r="E198" s="31"/>
      <c r="F198" s="141"/>
      <c r="G198" s="129" t="s">
        <v>144</v>
      </c>
      <c r="H198" s="129"/>
      <c r="I198" s="87">
        <v>35</v>
      </c>
      <c r="J198" s="108" t="str">
        <f>IF(F198="","",F198*I198)</f>
        <v/>
      </c>
      <c r="K198" s="135"/>
      <c r="L198" s="135"/>
      <c r="M198" s="135"/>
    </row>
    <row r="199" spans="1:63" ht="14" x14ac:dyDescent="0.3">
      <c r="A199" s="135"/>
      <c r="B199" s="31" t="s">
        <v>145</v>
      </c>
      <c r="C199" s="31"/>
      <c r="D199" s="31"/>
      <c r="E199" s="31"/>
      <c r="F199" s="141"/>
      <c r="G199" s="129" t="s">
        <v>144</v>
      </c>
      <c r="H199" s="129"/>
      <c r="I199" s="87">
        <v>9</v>
      </c>
      <c r="J199" s="108" t="str">
        <f t="shared" ref="J199:J212" si="0">IF(F199="","",F199*I199)</f>
        <v/>
      </c>
      <c r="K199" s="135"/>
      <c r="L199" s="135"/>
      <c r="M199" s="135"/>
    </row>
    <row r="200" spans="1:63" ht="14" x14ac:dyDescent="0.3">
      <c r="A200" s="135"/>
      <c r="B200" s="31" t="s">
        <v>146</v>
      </c>
      <c r="C200" s="31"/>
      <c r="D200" s="31"/>
      <c r="E200" s="31"/>
      <c r="F200" s="141"/>
      <c r="G200" s="129" t="s">
        <v>144</v>
      </c>
      <c r="H200" s="129"/>
      <c r="I200" s="87">
        <v>100</v>
      </c>
      <c r="J200" s="108" t="str">
        <f t="shared" si="0"/>
        <v/>
      </c>
      <c r="K200" s="135"/>
      <c r="L200" s="135"/>
      <c r="M200" s="135"/>
    </row>
    <row r="201" spans="1:63" ht="14" x14ac:dyDescent="0.3">
      <c r="A201" s="135"/>
      <c r="B201" s="31" t="s">
        <v>147</v>
      </c>
      <c r="C201" s="31"/>
      <c r="D201" s="31"/>
      <c r="E201" s="31"/>
      <c r="F201" s="141"/>
      <c r="G201" s="129" t="s">
        <v>144</v>
      </c>
      <c r="H201" s="129"/>
      <c r="I201" s="87">
        <v>35</v>
      </c>
      <c r="J201" s="108" t="str">
        <f t="shared" si="0"/>
        <v/>
      </c>
      <c r="K201" s="135"/>
      <c r="L201" s="135"/>
      <c r="M201" s="135"/>
    </row>
    <row r="202" spans="1:63" ht="14" x14ac:dyDescent="0.3">
      <c r="A202" s="135"/>
      <c r="B202" s="31" t="s">
        <v>148</v>
      </c>
      <c r="C202" s="31"/>
      <c r="D202" s="31"/>
      <c r="E202" s="31"/>
      <c r="F202" s="141"/>
      <c r="G202" s="129" t="s">
        <v>144</v>
      </c>
      <c r="H202" s="129"/>
      <c r="I202" s="87">
        <v>50</v>
      </c>
      <c r="J202" s="108" t="str">
        <f t="shared" si="0"/>
        <v/>
      </c>
      <c r="K202" s="135"/>
      <c r="L202" s="135"/>
      <c r="M202" s="135"/>
    </row>
    <row r="203" spans="1:63" ht="14" x14ac:dyDescent="0.3">
      <c r="A203" s="135"/>
      <c r="B203" s="31" t="s">
        <v>149</v>
      </c>
      <c r="C203" s="31"/>
      <c r="D203" s="31"/>
      <c r="E203" s="31"/>
      <c r="F203" s="141"/>
      <c r="G203" s="129" t="s">
        <v>144</v>
      </c>
      <c r="H203" s="129"/>
      <c r="I203" s="87">
        <v>20</v>
      </c>
      <c r="J203" s="108" t="str">
        <f t="shared" si="0"/>
        <v/>
      </c>
      <c r="K203" s="135"/>
      <c r="L203" s="135"/>
      <c r="M203" s="135"/>
    </row>
    <row r="204" spans="1:63" ht="14" x14ac:dyDescent="0.3">
      <c r="A204" s="135"/>
      <c r="B204" s="31" t="s">
        <v>150</v>
      </c>
      <c r="C204" s="31"/>
      <c r="D204" s="31"/>
      <c r="E204" s="31"/>
      <c r="F204" s="141"/>
      <c r="G204" s="129" t="s">
        <v>144</v>
      </c>
      <c r="H204" s="129"/>
      <c r="I204" s="87">
        <v>140</v>
      </c>
      <c r="J204" s="108" t="str">
        <f t="shared" si="0"/>
        <v/>
      </c>
      <c r="K204" s="135"/>
      <c r="L204" s="135"/>
      <c r="M204" s="135"/>
    </row>
    <row r="205" spans="1:63" s="1" customFormat="1" ht="14" x14ac:dyDescent="0.3">
      <c r="A205" s="136"/>
      <c r="B205" s="31" t="s">
        <v>151</v>
      </c>
      <c r="C205" s="31"/>
      <c r="D205" s="31"/>
      <c r="E205" s="31"/>
      <c r="F205" s="141"/>
      <c r="G205" s="129" t="s">
        <v>144</v>
      </c>
      <c r="H205" s="129"/>
      <c r="I205" s="87">
        <v>35</v>
      </c>
      <c r="J205" s="108" t="str">
        <f t="shared" si="0"/>
        <v/>
      </c>
      <c r="K205" s="135"/>
      <c r="L205" s="135"/>
      <c r="M205" s="135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 s="1" customFormat="1" ht="14" x14ac:dyDescent="0.3">
      <c r="A206" s="136"/>
      <c r="B206" s="31" t="s">
        <v>152</v>
      </c>
      <c r="C206" s="31"/>
      <c r="D206" s="31"/>
      <c r="E206" s="31"/>
      <c r="F206" s="141"/>
      <c r="G206" s="129" t="s">
        <v>144</v>
      </c>
      <c r="H206" s="129"/>
      <c r="I206" s="87">
        <v>10</v>
      </c>
      <c r="J206" s="108" t="str">
        <f t="shared" si="0"/>
        <v/>
      </c>
      <c r="K206" s="135"/>
      <c r="L206" s="135"/>
      <c r="M206" s="135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 ht="14" x14ac:dyDescent="0.3">
      <c r="A207" s="135"/>
      <c r="B207" s="31" t="s">
        <v>153</v>
      </c>
      <c r="C207" s="31"/>
      <c r="D207" s="31"/>
      <c r="E207" s="31"/>
      <c r="F207" s="141"/>
      <c r="G207" s="129" t="s">
        <v>144</v>
      </c>
      <c r="H207" s="129"/>
      <c r="I207" s="87">
        <v>25</v>
      </c>
      <c r="J207" s="108" t="str">
        <f t="shared" si="0"/>
        <v/>
      </c>
      <c r="K207" s="135"/>
      <c r="L207" s="135"/>
      <c r="M207" s="135"/>
    </row>
    <row r="208" spans="1:63" ht="14" x14ac:dyDescent="0.3">
      <c r="A208" s="135"/>
      <c r="B208" s="31" t="s">
        <v>154</v>
      </c>
      <c r="C208" s="31"/>
      <c r="D208" s="31"/>
      <c r="E208" s="31"/>
      <c r="F208" s="141"/>
      <c r="G208" s="129" t="s">
        <v>144</v>
      </c>
      <c r="H208" s="129"/>
      <c r="I208" s="87">
        <v>35</v>
      </c>
      <c r="J208" s="108" t="str">
        <f t="shared" si="0"/>
        <v/>
      </c>
      <c r="K208" s="135"/>
      <c r="L208" s="135"/>
      <c r="M208" s="135"/>
    </row>
    <row r="209" spans="1:63" ht="14" x14ac:dyDescent="0.3">
      <c r="A209" s="135"/>
      <c r="B209" s="31" t="s">
        <v>155</v>
      </c>
      <c r="C209" s="31"/>
      <c r="D209" s="31"/>
      <c r="E209" s="31"/>
      <c r="F209" s="141"/>
      <c r="G209" s="129" t="s">
        <v>144</v>
      </c>
      <c r="H209" s="129"/>
      <c r="I209" s="87">
        <v>50</v>
      </c>
      <c r="J209" s="108" t="str">
        <f t="shared" si="0"/>
        <v/>
      </c>
      <c r="K209" s="135"/>
      <c r="L209" s="135"/>
      <c r="M209" s="135"/>
    </row>
    <row r="210" spans="1:63" ht="14" x14ac:dyDescent="0.3">
      <c r="A210" s="135"/>
      <c r="B210" s="31" t="s">
        <v>156</v>
      </c>
      <c r="C210" s="31"/>
      <c r="D210" s="31"/>
      <c r="E210" s="31"/>
      <c r="F210" s="141"/>
      <c r="G210" s="129" t="s">
        <v>144</v>
      </c>
      <c r="H210" s="129"/>
      <c r="I210" s="87">
        <v>4</v>
      </c>
      <c r="J210" s="108" t="str">
        <f t="shared" si="0"/>
        <v/>
      </c>
      <c r="K210" s="135"/>
      <c r="L210" s="135"/>
      <c r="M210" s="135"/>
    </row>
    <row r="211" spans="1:63" ht="14" x14ac:dyDescent="0.3">
      <c r="A211" s="135"/>
      <c r="B211" s="31" t="s">
        <v>157</v>
      </c>
      <c r="C211" s="31"/>
      <c r="D211" s="31"/>
      <c r="E211" s="31"/>
      <c r="F211" s="141"/>
      <c r="G211" s="129" t="s">
        <v>144</v>
      </c>
      <c r="H211" s="129"/>
      <c r="I211" s="87">
        <v>25</v>
      </c>
      <c r="J211" s="108" t="str">
        <f t="shared" si="0"/>
        <v/>
      </c>
      <c r="K211" s="135"/>
      <c r="L211" s="135"/>
      <c r="M211" s="135"/>
    </row>
    <row r="212" spans="1:63" ht="14" x14ac:dyDescent="0.3">
      <c r="A212" s="135"/>
      <c r="B212" s="31" t="s">
        <v>158</v>
      </c>
      <c r="C212" s="31"/>
      <c r="D212" s="31"/>
      <c r="E212" s="31"/>
      <c r="F212" s="141"/>
      <c r="G212" s="129" t="s">
        <v>144</v>
      </c>
      <c r="H212" s="129"/>
      <c r="I212" s="87">
        <v>25</v>
      </c>
      <c r="J212" s="108" t="str">
        <f t="shared" si="0"/>
        <v/>
      </c>
      <c r="K212" s="135"/>
      <c r="L212" s="135"/>
      <c r="M212" s="135"/>
    </row>
    <row r="213" spans="1:63" ht="14" x14ac:dyDescent="0.3">
      <c r="A213" s="135"/>
      <c r="B213" s="31" t="s">
        <v>159</v>
      </c>
      <c r="C213" s="31"/>
      <c r="D213" s="31"/>
      <c r="E213" s="31"/>
      <c r="F213" s="141"/>
      <c r="G213" s="129" t="s">
        <v>144</v>
      </c>
      <c r="H213" s="129"/>
      <c r="I213" s="87">
        <v>10</v>
      </c>
      <c r="J213" s="108" t="str">
        <f>IF(F213="","",F213*I213)</f>
        <v/>
      </c>
      <c r="K213" s="135"/>
      <c r="L213" s="135"/>
      <c r="M213" s="135"/>
    </row>
    <row r="214" spans="1:63" ht="14" x14ac:dyDescent="0.3">
      <c r="A214" s="135"/>
      <c r="B214" s="31"/>
      <c r="C214" s="31"/>
      <c r="D214" s="31"/>
      <c r="E214" s="31"/>
      <c r="F214" s="31"/>
      <c r="G214" s="31"/>
      <c r="H214" s="31"/>
      <c r="I214" s="31"/>
      <c r="J214" s="31"/>
      <c r="K214" s="135"/>
      <c r="L214" s="135"/>
      <c r="M214" s="135"/>
    </row>
    <row r="215" spans="1:63" s="2" customFormat="1" ht="14" x14ac:dyDescent="0.3">
      <c r="A215" s="139"/>
      <c r="B215" s="31" t="s">
        <v>160</v>
      </c>
      <c r="C215" s="31"/>
      <c r="D215" s="31"/>
      <c r="E215" s="31"/>
      <c r="F215" s="31" t="s">
        <v>19</v>
      </c>
      <c r="G215" s="31"/>
      <c r="H215" s="31"/>
      <c r="I215" s="31"/>
      <c r="J215" s="130">
        <f>SUM(J198:J213)</f>
        <v>0</v>
      </c>
      <c r="K215" s="135"/>
      <c r="L215" s="139"/>
      <c r="M215" s="139"/>
    </row>
    <row r="216" spans="1:63" ht="14" x14ac:dyDescent="0.3">
      <c r="A216" s="135"/>
      <c r="B216" s="31"/>
      <c r="C216" s="31"/>
      <c r="D216" s="31"/>
      <c r="E216" s="31"/>
      <c r="F216" s="31"/>
      <c r="G216" s="31"/>
      <c r="H216" s="31" t="s">
        <v>20</v>
      </c>
      <c r="I216" s="31"/>
      <c r="J216" s="31"/>
      <c r="K216" s="135"/>
      <c r="L216" s="135"/>
      <c r="M216" s="135"/>
    </row>
    <row r="217" spans="1:63" ht="14" x14ac:dyDescent="0.3">
      <c r="A217" s="135"/>
      <c r="B217" s="40">
        <v>1</v>
      </c>
      <c r="C217" s="99" t="s">
        <v>161</v>
      </c>
      <c r="D217" s="66"/>
      <c r="E217" s="100"/>
      <c r="F217" s="31"/>
      <c r="G217" s="31"/>
      <c r="H217" s="31"/>
      <c r="I217" s="31"/>
      <c r="J217" s="31"/>
      <c r="K217" s="135"/>
      <c r="L217" s="135"/>
      <c r="M217" s="135"/>
    </row>
    <row r="218" spans="1:63" ht="14" x14ac:dyDescent="0.3">
      <c r="A218" s="135"/>
      <c r="B218" s="146"/>
      <c r="C218" s="31" t="s">
        <v>162</v>
      </c>
      <c r="D218" s="145"/>
      <c r="E218" s="31" t="s">
        <v>163</v>
      </c>
      <c r="F218" s="31"/>
      <c r="G218" s="31"/>
      <c r="H218" s="31"/>
      <c r="I218" s="41">
        <f>B218*D218</f>
        <v>0</v>
      </c>
      <c r="J218" s="31" t="s">
        <v>29</v>
      </c>
      <c r="K218" s="135"/>
      <c r="L218" s="135"/>
      <c r="M218" s="135"/>
    </row>
    <row r="219" spans="1:63" s="1" customFormat="1" ht="14" x14ac:dyDescent="0.3">
      <c r="A219" s="136"/>
      <c r="B219" s="40"/>
      <c r="C219" s="31"/>
      <c r="D219" s="31"/>
      <c r="E219" s="31"/>
      <c r="F219" s="31"/>
      <c r="G219" s="31"/>
      <c r="H219" s="31"/>
      <c r="I219" s="31"/>
      <c r="J219" s="31"/>
      <c r="K219" s="135"/>
      <c r="L219" s="135"/>
      <c r="M219" s="135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 s="1" customFormat="1" ht="14" x14ac:dyDescent="0.3">
      <c r="A220" s="136"/>
      <c r="B220" s="40">
        <v>2</v>
      </c>
      <c r="C220" s="158"/>
      <c r="D220" s="159"/>
      <c r="E220" s="157"/>
      <c r="F220" s="31"/>
      <c r="G220" s="31"/>
      <c r="H220" s="31"/>
      <c r="I220" s="31"/>
      <c r="J220" s="31"/>
      <c r="K220" s="135"/>
      <c r="L220" s="135"/>
      <c r="M220" s="135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</row>
    <row r="221" spans="1:63" s="1" customFormat="1" ht="14" x14ac:dyDescent="0.3">
      <c r="A221" s="136"/>
      <c r="B221" s="31" t="s">
        <v>140</v>
      </c>
      <c r="C221" s="31"/>
      <c r="D221" s="31"/>
      <c r="E221" s="31" t="s">
        <v>181</v>
      </c>
      <c r="F221" s="31"/>
      <c r="G221" s="31"/>
      <c r="H221" s="31" t="s">
        <v>180</v>
      </c>
      <c r="I221" s="31" t="s">
        <v>179</v>
      </c>
      <c r="J221" s="31"/>
      <c r="K221" s="135"/>
      <c r="L221" s="135"/>
      <c r="M221" s="135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</row>
    <row r="222" spans="1:63" ht="14" x14ac:dyDescent="0.3">
      <c r="A222" s="135"/>
      <c r="B222" s="31"/>
      <c r="C222" s="31"/>
      <c r="D222" s="31"/>
      <c r="E222" s="31"/>
      <c r="F222" s="31"/>
      <c r="G222" s="31"/>
      <c r="H222" s="31"/>
      <c r="I222" s="31"/>
      <c r="J222" s="31"/>
      <c r="K222" s="135"/>
      <c r="L222" s="135"/>
      <c r="M222" s="135"/>
    </row>
    <row r="223" spans="1:63" s="1" customFormat="1" ht="14" x14ac:dyDescent="0.3">
      <c r="A223" s="136"/>
      <c r="B223" s="160" t="s">
        <v>182</v>
      </c>
      <c r="C223" s="161"/>
      <c r="D223" s="31"/>
      <c r="E223" s="20"/>
      <c r="F223" s="129" t="s">
        <v>164</v>
      </c>
      <c r="G223" s="129"/>
      <c r="H223" s="148"/>
      <c r="I223" s="108" t="str">
        <f>IF(E223="","",E223/H223)</f>
        <v/>
      </c>
      <c r="J223" s="31"/>
      <c r="K223" s="135"/>
      <c r="L223" s="135"/>
      <c r="M223" s="135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</row>
    <row r="224" spans="1:63" ht="13.5" customHeight="1" x14ac:dyDescent="0.3">
      <c r="A224" s="135"/>
      <c r="B224" s="160" t="s">
        <v>119</v>
      </c>
      <c r="C224" s="161"/>
      <c r="D224" s="31" t="s">
        <v>20</v>
      </c>
      <c r="E224" s="147"/>
      <c r="F224" s="129" t="s">
        <v>165</v>
      </c>
      <c r="G224" s="129"/>
      <c r="H224" s="14"/>
      <c r="I224" s="108" t="str">
        <f>IF(E224="","",E224*H224)</f>
        <v/>
      </c>
      <c r="J224" s="31"/>
      <c r="K224" s="135"/>
      <c r="L224" s="135"/>
      <c r="M224" s="135"/>
    </row>
    <row r="225" spans="1:63" s="1" customFormat="1" ht="14" x14ac:dyDescent="0.3">
      <c r="A225" s="136"/>
      <c r="B225" s="160"/>
      <c r="C225" s="161"/>
      <c r="D225" s="31" t="s">
        <v>20</v>
      </c>
      <c r="E225" s="147"/>
      <c r="F225" s="129" t="s">
        <v>165</v>
      </c>
      <c r="G225" s="129"/>
      <c r="H225" s="14"/>
      <c r="I225" s="108" t="str">
        <f>IF(E225="","",E225*H225)</f>
        <v/>
      </c>
      <c r="J225" s="31"/>
      <c r="K225" s="135"/>
      <c r="L225" s="135"/>
      <c r="M225" s="135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</row>
    <row r="226" spans="1:63" s="1" customFormat="1" ht="14" x14ac:dyDescent="0.3">
      <c r="A226" s="136"/>
      <c r="B226" s="31"/>
      <c r="C226" s="31"/>
      <c r="D226" s="31"/>
      <c r="E226" s="31"/>
      <c r="F226" s="31"/>
      <c r="G226" s="31"/>
      <c r="H226" s="31" t="s">
        <v>166</v>
      </c>
      <c r="I226" s="108">
        <f>SUM(I223:I225)</f>
        <v>0</v>
      </c>
      <c r="J226" s="31"/>
      <c r="K226" s="135"/>
      <c r="L226" s="135"/>
      <c r="M226" s="135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</row>
    <row r="227" spans="1:63" s="1" customFormat="1" ht="14" x14ac:dyDescent="0.3">
      <c r="A227" s="136"/>
      <c r="B227" s="30"/>
      <c r="C227" s="31"/>
      <c r="D227" s="35" t="s">
        <v>18</v>
      </c>
      <c r="E227" s="31"/>
      <c r="F227" s="30"/>
      <c r="G227" s="30"/>
      <c r="H227" s="30"/>
      <c r="I227" s="30"/>
      <c r="J227" s="30"/>
      <c r="K227" s="135"/>
      <c r="L227" s="135"/>
      <c r="M227" s="135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 s="1" customFormat="1" ht="10" customHeight="1" x14ac:dyDescent="0.3">
      <c r="A228" s="136"/>
      <c r="B228" s="36"/>
      <c r="C228" s="36"/>
      <c r="D228" s="36"/>
      <c r="E228" s="36"/>
      <c r="F228" s="36"/>
      <c r="G228" s="36"/>
      <c r="H228" s="36"/>
      <c r="I228" s="36"/>
      <c r="J228" s="36"/>
      <c r="K228" s="135"/>
      <c r="L228" s="136"/>
      <c r="M228" s="136"/>
    </row>
    <row r="229" spans="1:63" s="1" customFormat="1" ht="14" x14ac:dyDescent="0.3">
      <c r="A229" s="136"/>
      <c r="B229" s="31"/>
      <c r="C229" s="31"/>
      <c r="D229" s="31"/>
      <c r="E229" s="31"/>
      <c r="F229" s="31" t="s">
        <v>19</v>
      </c>
      <c r="G229" s="31"/>
      <c r="H229" s="31"/>
      <c r="I229" s="30"/>
      <c r="J229" s="31"/>
      <c r="K229" s="135"/>
      <c r="L229" s="135"/>
      <c r="M229" s="135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 s="1" customFormat="1" ht="14" x14ac:dyDescent="0.3">
      <c r="A230" s="136"/>
      <c r="B230" s="40">
        <v>3</v>
      </c>
      <c r="C230" s="158"/>
      <c r="D230" s="159"/>
      <c r="E230" s="157"/>
      <c r="F230" s="31"/>
      <c r="G230" s="31"/>
      <c r="H230" s="31"/>
      <c r="I230" s="31"/>
      <c r="J230" s="31"/>
      <c r="K230" s="135"/>
      <c r="L230" s="135"/>
      <c r="M230" s="135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 s="1" customFormat="1" ht="14" x14ac:dyDescent="0.3">
      <c r="A231" s="136"/>
      <c r="B231" s="31" t="s">
        <v>140</v>
      </c>
      <c r="C231" s="31"/>
      <c r="D231" s="31"/>
      <c r="E231" s="31" t="s">
        <v>181</v>
      </c>
      <c r="F231" s="31"/>
      <c r="G231" s="31"/>
      <c r="H231" s="31" t="s">
        <v>180</v>
      </c>
      <c r="I231" s="31" t="s">
        <v>179</v>
      </c>
      <c r="J231" s="31"/>
      <c r="K231" s="135"/>
      <c r="L231" s="135"/>
      <c r="M231" s="135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</row>
    <row r="232" spans="1:63" s="1" customFormat="1" ht="14" x14ac:dyDescent="0.3">
      <c r="A232" s="136"/>
      <c r="B232" s="31"/>
      <c r="C232" s="31"/>
      <c r="D232" s="31"/>
      <c r="E232" s="31"/>
      <c r="F232" s="31"/>
      <c r="G232" s="31"/>
      <c r="H232" s="31"/>
      <c r="I232" s="31"/>
      <c r="J232" s="31"/>
      <c r="K232" s="135"/>
      <c r="L232" s="135"/>
      <c r="M232" s="135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</row>
    <row r="233" spans="1:63" s="1" customFormat="1" ht="14" x14ac:dyDescent="0.3">
      <c r="A233" s="136"/>
      <c r="B233" s="154"/>
      <c r="C233" s="155"/>
      <c r="D233" s="31"/>
      <c r="E233" s="20"/>
      <c r="F233" s="129" t="s">
        <v>164</v>
      </c>
      <c r="G233" s="129"/>
      <c r="H233" s="148"/>
      <c r="I233" s="108" t="str">
        <f>IF( E233="","",E233/H233)</f>
        <v/>
      </c>
      <c r="J233" s="31"/>
      <c r="K233" s="135"/>
      <c r="L233" s="135"/>
      <c r="M233" s="135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</row>
    <row r="234" spans="1:63" s="1" customFormat="1" ht="14" x14ac:dyDescent="0.3">
      <c r="A234" s="136"/>
      <c r="B234" s="154"/>
      <c r="C234" s="155"/>
      <c r="D234" s="31"/>
      <c r="E234" s="147"/>
      <c r="F234" s="129" t="s">
        <v>164</v>
      </c>
      <c r="G234" s="129"/>
      <c r="H234" s="14"/>
      <c r="I234" s="108" t="str">
        <f>IF( E234="","",E234/H234)</f>
        <v/>
      </c>
      <c r="J234" s="31"/>
      <c r="K234" s="135"/>
      <c r="L234" s="135"/>
      <c r="M234" s="135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</row>
    <row r="235" spans="1:63" s="1" customFormat="1" ht="14" x14ac:dyDescent="0.3">
      <c r="A235" s="136"/>
      <c r="B235" s="154"/>
      <c r="C235" s="163"/>
      <c r="D235" s="31"/>
      <c r="E235" s="147"/>
      <c r="F235" s="129" t="s">
        <v>164</v>
      </c>
      <c r="G235" s="129"/>
      <c r="H235" s="14"/>
      <c r="I235" s="108" t="str">
        <f>IF( E235="","",E235/H235)</f>
        <v/>
      </c>
      <c r="J235" s="31"/>
      <c r="K235" s="135"/>
      <c r="L235" s="135"/>
      <c r="M235" s="135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</row>
    <row r="236" spans="1:63" s="1" customFormat="1" ht="14" x14ac:dyDescent="0.3">
      <c r="A236" s="136"/>
      <c r="B236" s="154"/>
      <c r="C236" s="155"/>
      <c r="D236" s="31" t="s">
        <v>20</v>
      </c>
      <c r="E236" s="147"/>
      <c r="F236" s="129" t="s">
        <v>164</v>
      </c>
      <c r="G236" s="129"/>
      <c r="H236" s="14"/>
      <c r="I236" s="108" t="str">
        <f>IF( E236="","",E236/H236)</f>
        <v/>
      </c>
      <c r="J236" s="31"/>
      <c r="K236" s="135"/>
      <c r="L236" s="135"/>
      <c r="M236" s="135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</row>
    <row r="237" spans="1:63" s="1" customFormat="1" ht="14" x14ac:dyDescent="0.3">
      <c r="A237" s="136"/>
      <c r="B237" s="154"/>
      <c r="C237" s="155"/>
      <c r="D237" s="31" t="s">
        <v>20</v>
      </c>
      <c r="E237" s="147"/>
      <c r="F237" s="129" t="s">
        <v>165</v>
      </c>
      <c r="G237" s="129"/>
      <c r="H237" s="14"/>
      <c r="I237" s="108" t="str">
        <f>IF( E237="","",E237*H237)</f>
        <v/>
      </c>
      <c r="J237" s="31"/>
      <c r="K237" s="135"/>
      <c r="L237" s="135"/>
      <c r="M237" s="135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</row>
    <row r="238" spans="1:63" s="1" customFormat="1" ht="12.75" customHeight="1" x14ac:dyDescent="0.3">
      <c r="A238" s="136"/>
      <c r="B238" s="154"/>
      <c r="C238" s="155"/>
      <c r="D238" s="31" t="s">
        <v>20</v>
      </c>
      <c r="E238" s="147"/>
      <c r="F238" s="129" t="s">
        <v>165</v>
      </c>
      <c r="G238" s="129"/>
      <c r="H238" s="14"/>
      <c r="I238" s="108" t="str">
        <f>IF( E238="","",E238*H238)</f>
        <v/>
      </c>
      <c r="J238" s="31"/>
      <c r="K238" s="135"/>
      <c r="L238" s="135"/>
      <c r="M238" s="135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 s="1" customFormat="1" ht="13.5" customHeight="1" x14ac:dyDescent="0.3">
      <c r="A239" s="136"/>
      <c r="B239" s="154"/>
      <c r="C239" s="155"/>
      <c r="D239" s="31" t="s">
        <v>20</v>
      </c>
      <c r="E239" s="147"/>
      <c r="F239" s="129" t="s">
        <v>165</v>
      </c>
      <c r="G239" s="129"/>
      <c r="H239" s="14"/>
      <c r="I239" s="108" t="str">
        <f>IF( E239="","",E239*H239)</f>
        <v/>
      </c>
      <c r="J239" s="31"/>
      <c r="K239" s="135"/>
      <c r="L239" s="135"/>
      <c r="M239" s="135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</row>
    <row r="240" spans="1:63" s="1" customFormat="1" ht="14" x14ac:dyDescent="0.3">
      <c r="A240" s="136"/>
      <c r="B240" s="31"/>
      <c r="C240" s="31"/>
      <c r="D240" s="31"/>
      <c r="E240" s="31"/>
      <c r="F240" s="31"/>
      <c r="G240" s="31"/>
      <c r="H240" s="31" t="s">
        <v>166</v>
      </c>
      <c r="I240" s="108">
        <f>SUM(I233:I239)</f>
        <v>0</v>
      </c>
      <c r="J240" s="31"/>
      <c r="K240" s="135"/>
      <c r="L240" s="135"/>
      <c r="M240" s="135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</row>
    <row r="241" spans="1:63" s="1" customFormat="1" ht="14" x14ac:dyDescent="0.3">
      <c r="A241" s="136"/>
      <c r="B241" s="31"/>
      <c r="C241" s="31"/>
      <c r="D241" s="31"/>
      <c r="E241" s="31"/>
      <c r="F241" s="31"/>
      <c r="G241" s="31"/>
      <c r="H241" s="31"/>
      <c r="I241" s="31"/>
      <c r="J241" s="31"/>
      <c r="K241" s="135"/>
      <c r="L241" s="135"/>
      <c r="M241" s="135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</row>
    <row r="242" spans="1:63" s="1" customFormat="1" ht="14" x14ac:dyDescent="0.3">
      <c r="A242" s="136"/>
      <c r="B242" s="31"/>
      <c r="C242" s="31"/>
      <c r="D242" s="31" t="s">
        <v>167</v>
      </c>
      <c r="E242" s="31"/>
      <c r="F242" s="31"/>
      <c r="G242" s="31"/>
      <c r="H242" s="131">
        <f>SUM(J215+I218+I226+I240)</f>
        <v>0</v>
      </c>
      <c r="I242" s="85"/>
      <c r="J242" s="31"/>
      <c r="K242" s="135"/>
      <c r="L242" s="135"/>
      <c r="M242" s="135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</row>
    <row r="243" spans="1:63" s="1" customFormat="1" ht="14" x14ac:dyDescent="0.3">
      <c r="A243" s="136"/>
      <c r="B243" s="31"/>
      <c r="C243" s="31"/>
      <c r="D243" s="31"/>
      <c r="E243" s="31"/>
      <c r="F243" s="31"/>
      <c r="G243" s="31"/>
      <c r="H243" s="31"/>
      <c r="I243" s="31"/>
      <c r="J243" s="31"/>
      <c r="K243" s="135"/>
      <c r="L243" s="135"/>
      <c r="M243" s="135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</row>
    <row r="244" spans="1:63" s="1" customFormat="1" ht="14" x14ac:dyDescent="0.3">
      <c r="A244" s="136"/>
      <c r="B244" s="109" t="s">
        <v>168</v>
      </c>
      <c r="C244" s="109"/>
      <c r="D244" s="109"/>
      <c r="E244" s="109"/>
      <c r="F244" s="109"/>
      <c r="G244" s="109"/>
      <c r="H244" s="109"/>
      <c r="I244" s="109"/>
      <c r="J244" s="109"/>
      <c r="K244" s="135"/>
      <c r="L244" s="135"/>
      <c r="M244" s="135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</row>
    <row r="245" spans="1:63" s="1" customFormat="1" ht="14" x14ac:dyDescent="0.3">
      <c r="A245" s="136"/>
      <c r="B245" s="31"/>
      <c r="C245" s="31"/>
      <c r="D245" s="31"/>
      <c r="E245" s="31"/>
      <c r="F245" s="31"/>
      <c r="G245" s="31"/>
      <c r="H245" s="31"/>
      <c r="I245" s="31"/>
      <c r="J245" s="31"/>
      <c r="K245" s="135"/>
      <c r="L245" s="135"/>
      <c r="M245" s="135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 s="1" customFormat="1" ht="14" x14ac:dyDescent="0.3">
      <c r="A246" s="136"/>
      <c r="B246" s="31" t="s">
        <v>169</v>
      </c>
      <c r="C246" s="31"/>
      <c r="D246" s="31"/>
      <c r="E246" s="31"/>
      <c r="F246" s="31"/>
      <c r="G246" s="31"/>
      <c r="H246" s="84" t="str">
        <f>H114</f>
        <v/>
      </c>
      <c r="I246" s="85"/>
      <c r="J246" s="31"/>
      <c r="K246" s="135"/>
      <c r="L246" s="135"/>
      <c r="M246" s="135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</row>
    <row r="247" spans="1:63" s="1" customFormat="1" ht="14" x14ac:dyDescent="0.3">
      <c r="A247" s="136"/>
      <c r="B247" s="31" t="s">
        <v>170</v>
      </c>
      <c r="C247" s="31"/>
      <c r="D247" s="31"/>
      <c r="E247" s="31"/>
      <c r="F247" s="31"/>
      <c r="G247" s="31"/>
      <c r="H247" s="84" t="str">
        <f>H126</f>
        <v/>
      </c>
      <c r="I247" s="85"/>
      <c r="J247" s="31"/>
      <c r="K247" s="135"/>
      <c r="L247" s="135"/>
      <c r="M247" s="135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</row>
    <row r="248" spans="1:63" s="1" customFormat="1" ht="14" x14ac:dyDescent="0.3">
      <c r="A248" s="136"/>
      <c r="B248" s="31" t="s">
        <v>171</v>
      </c>
      <c r="C248" s="31"/>
      <c r="D248" s="31"/>
      <c r="E248" s="31"/>
      <c r="F248" s="31"/>
      <c r="G248" s="31"/>
      <c r="H248" s="84" t="str">
        <f>H163</f>
        <v/>
      </c>
      <c r="I248" s="85"/>
      <c r="J248" s="31"/>
      <c r="K248" s="135"/>
      <c r="L248" s="135"/>
      <c r="M248" s="135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</row>
    <row r="249" spans="1:63" s="1" customFormat="1" ht="14" x14ac:dyDescent="0.3">
      <c r="A249" s="136"/>
      <c r="B249" s="31" t="s">
        <v>172</v>
      </c>
      <c r="C249" s="31"/>
      <c r="D249" s="31"/>
      <c r="E249" s="31"/>
      <c r="F249" s="31"/>
      <c r="G249" s="31"/>
      <c r="H249" s="84" t="str">
        <f>H175</f>
        <v/>
      </c>
      <c r="I249" s="85"/>
      <c r="J249" s="31"/>
      <c r="K249" s="135"/>
      <c r="L249" s="135"/>
      <c r="M249" s="135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</row>
    <row r="250" spans="1:63" s="1" customFormat="1" ht="14" x14ac:dyDescent="0.3">
      <c r="A250" s="136"/>
      <c r="B250" s="31" t="s">
        <v>173</v>
      </c>
      <c r="C250" s="31"/>
      <c r="D250" s="31"/>
      <c r="E250" s="31"/>
      <c r="F250" s="31"/>
      <c r="G250" s="31"/>
      <c r="H250" s="84" t="str">
        <f>H192</f>
        <v/>
      </c>
      <c r="I250" s="85"/>
      <c r="J250" s="31"/>
      <c r="K250" s="135"/>
      <c r="L250" s="135"/>
      <c r="M250" s="135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 s="1" customFormat="1" ht="14" x14ac:dyDescent="0.3">
      <c r="A251" s="136"/>
      <c r="B251" s="31" t="s">
        <v>174</v>
      </c>
      <c r="C251" s="31"/>
      <c r="D251" s="31"/>
      <c r="E251" s="31"/>
      <c r="F251" s="31"/>
      <c r="G251" s="31"/>
      <c r="H251" s="84">
        <f>H242</f>
        <v>0</v>
      </c>
      <c r="I251" s="85"/>
      <c r="J251" s="31"/>
      <c r="K251" s="135"/>
      <c r="L251" s="135"/>
      <c r="M251" s="135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 s="1" customFormat="1" ht="14.25" customHeight="1" x14ac:dyDescent="0.3">
      <c r="A252" s="136"/>
      <c r="B252" s="31"/>
      <c r="C252" s="31"/>
      <c r="D252" s="31"/>
      <c r="E252" s="31"/>
      <c r="F252" s="31"/>
      <c r="G252" s="31"/>
      <c r="H252" s="31"/>
      <c r="I252" s="31"/>
      <c r="J252" s="31"/>
      <c r="K252" s="135"/>
      <c r="L252" s="135"/>
      <c r="M252" s="135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 s="1" customFormat="1" ht="14.25" customHeight="1" x14ac:dyDescent="0.3">
      <c r="A253" s="136"/>
      <c r="B253" s="31" t="s">
        <v>175</v>
      </c>
      <c r="C253" s="31"/>
      <c r="D253" s="31"/>
      <c r="E253" s="31"/>
      <c r="F253" s="31"/>
      <c r="G253" s="31"/>
      <c r="H253" s="84" t="str">
        <f>IF(H246="","",SUM(H246:H251))</f>
        <v/>
      </c>
      <c r="I253" s="85"/>
      <c r="J253" s="31"/>
      <c r="K253" s="135"/>
      <c r="L253" s="135"/>
      <c r="M253" s="135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 ht="14" x14ac:dyDescent="0.3">
      <c r="A254" s="135"/>
      <c r="B254" s="31"/>
      <c r="C254" s="31"/>
      <c r="D254" s="31"/>
      <c r="E254" s="31"/>
      <c r="F254" s="31"/>
      <c r="G254" s="31"/>
      <c r="H254" s="31"/>
      <c r="I254" s="31"/>
      <c r="J254" s="31"/>
      <c r="K254" s="135"/>
      <c r="L254" s="135"/>
      <c r="M254" s="135"/>
    </row>
    <row r="255" spans="1:63" s="1" customFormat="1" ht="14" x14ac:dyDescent="0.3">
      <c r="A255" s="136"/>
      <c r="B255" s="31" t="s">
        <v>176</v>
      </c>
      <c r="C255" s="31"/>
      <c r="D255" s="31"/>
      <c r="E255" s="31"/>
      <c r="F255" s="31"/>
      <c r="G255" s="31"/>
      <c r="H255" s="84" t="str">
        <f>IF(H253="","",H253/4)</f>
        <v/>
      </c>
      <c r="I255" s="85"/>
      <c r="J255" s="31"/>
      <c r="K255" s="135"/>
      <c r="L255" s="135"/>
      <c r="M255" s="135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 s="1" customFormat="1" ht="14" x14ac:dyDescent="0.3">
      <c r="A256" s="136"/>
      <c r="B256" s="31"/>
      <c r="C256" s="31"/>
      <c r="D256" s="31"/>
      <c r="E256" s="31"/>
      <c r="F256" s="31"/>
      <c r="G256" s="31"/>
      <c r="H256" s="31"/>
      <c r="I256" s="31"/>
      <c r="J256" s="31"/>
      <c r="K256" s="135"/>
      <c r="L256" s="135"/>
      <c r="M256" s="135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1" customFormat="1" ht="14" x14ac:dyDescent="0.3">
      <c r="A257" s="136"/>
      <c r="B257" s="109" t="s">
        <v>177</v>
      </c>
      <c r="C257" s="109"/>
      <c r="D257" s="109"/>
      <c r="E257" s="109"/>
      <c r="F257" s="109"/>
      <c r="G257" s="109"/>
      <c r="H257" s="109"/>
      <c r="I257" s="109"/>
      <c r="J257" s="109"/>
      <c r="K257" s="135"/>
      <c r="L257" s="135"/>
      <c r="M257" s="135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</row>
    <row r="258" spans="1:63" s="1" customFormat="1" ht="14" x14ac:dyDescent="0.3">
      <c r="A258" s="136"/>
      <c r="B258" s="31"/>
      <c r="C258" s="31"/>
      <c r="D258" s="31"/>
      <c r="E258" s="31"/>
      <c r="F258" s="31"/>
      <c r="G258" s="31"/>
      <c r="H258" s="31"/>
      <c r="I258" s="31"/>
      <c r="J258" s="31"/>
      <c r="K258" s="135"/>
      <c r="L258" s="135"/>
      <c r="M258" s="135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</row>
    <row r="259" spans="1:63" s="1" customFormat="1" ht="14" x14ac:dyDescent="0.3">
      <c r="A259" s="136"/>
      <c r="B259" s="31" t="s">
        <v>169</v>
      </c>
      <c r="C259" s="31"/>
      <c r="D259" s="31"/>
      <c r="E259" s="31"/>
      <c r="F259" s="31"/>
      <c r="G259" s="31"/>
      <c r="H259" s="84" t="str">
        <f>H114</f>
        <v/>
      </c>
      <c r="I259" s="85"/>
      <c r="J259" s="31"/>
      <c r="K259" s="135"/>
      <c r="L259" s="135"/>
      <c r="M259" s="135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</row>
    <row r="260" spans="1:63" s="1" customFormat="1" ht="14" x14ac:dyDescent="0.3">
      <c r="A260" s="136"/>
      <c r="B260" s="31" t="s">
        <v>183</v>
      </c>
      <c r="C260" s="31"/>
      <c r="D260" s="31"/>
      <c r="E260" s="31"/>
      <c r="F260" s="31"/>
      <c r="G260" s="31"/>
      <c r="H260" s="84" t="str">
        <f>H126</f>
        <v/>
      </c>
      <c r="I260" s="85"/>
      <c r="J260" s="31"/>
      <c r="K260" s="135"/>
      <c r="L260" s="135"/>
      <c r="M260" s="135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</row>
    <row r="261" spans="1:63" s="1" customFormat="1" ht="14" x14ac:dyDescent="0.3">
      <c r="A261" s="136"/>
      <c r="B261" s="31" t="s">
        <v>184</v>
      </c>
      <c r="C261" s="31"/>
      <c r="D261" s="31"/>
      <c r="E261" s="31"/>
      <c r="F261" s="31"/>
      <c r="G261" s="31"/>
      <c r="H261" s="84" t="str">
        <f>H163</f>
        <v/>
      </c>
      <c r="I261" s="85"/>
      <c r="J261" s="31"/>
      <c r="K261" s="135"/>
      <c r="L261" s="135"/>
      <c r="M261" s="135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</row>
    <row r="262" spans="1:63" s="1" customFormat="1" ht="14" x14ac:dyDescent="0.3">
      <c r="A262" s="136"/>
      <c r="B262" s="31" t="s">
        <v>185</v>
      </c>
      <c r="C262" s="31"/>
      <c r="D262" s="31"/>
      <c r="E262" s="31"/>
      <c r="F262" s="31"/>
      <c r="G262" s="31"/>
      <c r="H262" s="84" t="str">
        <f>H175</f>
        <v/>
      </c>
      <c r="I262" s="85"/>
      <c r="J262" s="31"/>
      <c r="K262" s="135"/>
      <c r="L262" s="135"/>
      <c r="M262" s="135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</row>
    <row r="263" spans="1:63" s="1" customFormat="1" ht="14" x14ac:dyDescent="0.3">
      <c r="A263" s="136"/>
      <c r="B263" s="31" t="s">
        <v>186</v>
      </c>
      <c r="C263" s="31"/>
      <c r="D263" s="31"/>
      <c r="E263" s="31"/>
      <c r="F263" s="31"/>
      <c r="G263" s="31"/>
      <c r="H263" s="84" t="str">
        <f>H192</f>
        <v/>
      </c>
      <c r="I263" s="85"/>
      <c r="J263" s="31"/>
      <c r="K263" s="135"/>
      <c r="L263" s="135"/>
      <c r="M263" s="135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</row>
    <row r="264" spans="1:63" s="1" customFormat="1" ht="14" x14ac:dyDescent="0.3">
      <c r="A264" s="136"/>
      <c r="B264" s="31" t="s">
        <v>187</v>
      </c>
      <c r="C264" s="31"/>
      <c r="D264" s="31"/>
      <c r="E264" s="31"/>
      <c r="F264" s="31"/>
      <c r="G264" s="31"/>
      <c r="H264" s="84">
        <f>H242</f>
        <v>0</v>
      </c>
      <c r="I264" s="85"/>
      <c r="J264" s="31"/>
      <c r="K264" s="135"/>
      <c r="L264" s="135"/>
      <c r="M264" s="135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</row>
    <row r="265" spans="1:63" s="1" customFormat="1" ht="14" x14ac:dyDescent="0.3">
      <c r="A265" s="136"/>
      <c r="B265" s="31" t="s">
        <v>188</v>
      </c>
      <c r="C265" s="31"/>
      <c r="D265" s="31"/>
      <c r="E265" s="31"/>
      <c r="F265" s="31"/>
      <c r="G265" s="31"/>
      <c r="H265" s="84" t="str">
        <f>H255</f>
        <v/>
      </c>
      <c r="I265" s="85"/>
      <c r="J265" s="31"/>
      <c r="K265" s="135"/>
      <c r="L265" s="135"/>
      <c r="M265" s="135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</row>
    <row r="266" spans="1:63" s="1" customFormat="1" ht="14" x14ac:dyDescent="0.3">
      <c r="A266" s="136"/>
      <c r="B266" s="109" t="s">
        <v>189</v>
      </c>
      <c r="C266" s="109"/>
      <c r="D266" s="109"/>
      <c r="E266" s="109"/>
      <c r="F266" s="109"/>
      <c r="G266" s="109"/>
      <c r="H266" s="132">
        <f>SUM(H259:H265)</f>
        <v>0</v>
      </c>
      <c r="I266" s="133"/>
      <c r="J266" s="109"/>
      <c r="K266" s="135"/>
      <c r="L266" s="135"/>
      <c r="M266" s="135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</row>
    <row r="267" spans="1:63" s="1" customFormat="1" ht="14" x14ac:dyDescent="0.3">
      <c r="A267" s="136"/>
      <c r="B267" s="109"/>
      <c r="C267" s="109"/>
      <c r="D267" s="109"/>
      <c r="E267" s="109"/>
      <c r="F267" s="109"/>
      <c r="G267" s="109"/>
      <c r="H267" s="150"/>
      <c r="I267" s="151"/>
      <c r="J267" s="109"/>
      <c r="K267" s="135"/>
      <c r="L267" s="135"/>
      <c r="M267" s="135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</row>
    <row r="268" spans="1:63" ht="13.5" customHeight="1" x14ac:dyDescent="0.35">
      <c r="A268" s="135"/>
      <c r="B268" s="134" t="s">
        <v>190</v>
      </c>
      <c r="C268" s="30"/>
      <c r="D268" s="30"/>
      <c r="E268" s="31"/>
      <c r="F268" s="31"/>
      <c r="G268" s="31"/>
      <c r="H268" s="31"/>
      <c r="I268" s="31"/>
      <c r="J268" s="31"/>
      <c r="K268" s="135"/>
      <c r="L268" s="135"/>
      <c r="M268" s="135"/>
    </row>
    <row r="269" spans="1:63" ht="13.5" customHeight="1" x14ac:dyDescent="0.3">
      <c r="A269" s="135"/>
      <c r="B269" s="31" t="s">
        <v>191</v>
      </c>
      <c r="C269" s="31"/>
      <c r="D269" s="31"/>
      <c r="E269" s="31"/>
      <c r="F269" s="31"/>
      <c r="G269" s="31"/>
      <c r="H269" s="31"/>
      <c r="I269" s="31"/>
      <c r="J269" s="31"/>
      <c r="K269" s="135"/>
      <c r="L269" s="135"/>
      <c r="M269" s="135"/>
    </row>
    <row r="270" spans="1:63" s="1" customFormat="1" ht="14" x14ac:dyDescent="0.3">
      <c r="A270" s="136"/>
      <c r="B270" s="109"/>
      <c r="C270" s="109"/>
      <c r="D270" s="109"/>
      <c r="E270" s="109"/>
      <c r="F270" s="109"/>
      <c r="G270" s="109"/>
      <c r="H270" s="150"/>
      <c r="I270" s="151"/>
      <c r="J270" s="109"/>
      <c r="K270" s="135"/>
      <c r="L270" s="135"/>
      <c r="M270" s="135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</row>
    <row r="271" spans="1:63" s="1" customFormat="1" ht="14" x14ac:dyDescent="0.3">
      <c r="A271" s="136"/>
      <c r="B271" s="109"/>
      <c r="C271" s="109"/>
      <c r="D271" s="109"/>
      <c r="E271" s="109"/>
      <c r="F271" s="109"/>
      <c r="G271" s="109"/>
      <c r="H271" s="150"/>
      <c r="I271" s="151"/>
      <c r="J271" s="109"/>
      <c r="K271" s="135"/>
      <c r="L271" s="135"/>
      <c r="M271" s="135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</row>
    <row r="272" spans="1:63" s="1" customFormat="1" ht="14" x14ac:dyDescent="0.3">
      <c r="A272" s="136"/>
      <c r="B272" s="109"/>
      <c r="C272" s="109"/>
      <c r="D272" s="109"/>
      <c r="E272" s="109"/>
      <c r="F272" s="109"/>
      <c r="G272" s="109"/>
      <c r="H272" s="150"/>
      <c r="I272" s="151"/>
      <c r="J272" s="109"/>
      <c r="K272" s="135"/>
      <c r="L272" s="135"/>
      <c r="M272" s="135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</row>
    <row r="273" spans="1:63" s="1" customFormat="1" ht="14" x14ac:dyDescent="0.3">
      <c r="A273" s="136"/>
      <c r="B273" s="109"/>
      <c r="C273" s="109"/>
      <c r="D273" s="109"/>
      <c r="E273" s="109"/>
      <c r="F273" s="109"/>
      <c r="G273" s="109"/>
      <c r="H273" s="150"/>
      <c r="I273" s="151"/>
      <c r="J273" s="109"/>
      <c r="K273" s="135"/>
      <c r="L273" s="135"/>
      <c r="M273" s="135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</row>
    <row r="274" spans="1:63" s="1" customFormat="1" ht="14" x14ac:dyDescent="0.3">
      <c r="A274" s="136"/>
      <c r="B274" s="109"/>
      <c r="C274" s="109"/>
      <c r="D274" s="109"/>
      <c r="E274" s="109"/>
      <c r="F274" s="109"/>
      <c r="G274" s="109"/>
      <c r="H274" s="150"/>
      <c r="I274" s="151"/>
      <c r="J274" s="109"/>
      <c r="K274" s="135"/>
      <c r="L274" s="135"/>
      <c r="M274" s="135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</row>
    <row r="275" spans="1:63" s="1" customFormat="1" ht="14" x14ac:dyDescent="0.3">
      <c r="A275" s="136"/>
      <c r="B275" s="109"/>
      <c r="C275" s="109"/>
      <c r="D275" s="109"/>
      <c r="E275" s="109"/>
      <c r="F275" s="109"/>
      <c r="G275" s="109"/>
      <c r="H275" s="150"/>
      <c r="I275" s="151"/>
      <c r="J275" s="109"/>
      <c r="K275" s="135"/>
      <c r="L275" s="135"/>
      <c r="M275" s="135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</row>
    <row r="276" spans="1:63" s="1" customFormat="1" ht="14" x14ac:dyDescent="0.3">
      <c r="A276" s="136"/>
      <c r="B276" s="109"/>
      <c r="C276" s="109"/>
      <c r="D276" s="109"/>
      <c r="E276" s="109"/>
      <c r="F276" s="109"/>
      <c r="G276" s="109"/>
      <c r="H276" s="150"/>
      <c r="I276" s="151"/>
      <c r="J276" s="109"/>
      <c r="K276" s="135"/>
      <c r="L276" s="135"/>
      <c r="M276" s="135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</row>
    <row r="277" spans="1:63" s="137" customFormat="1" x14ac:dyDescent="0.25"/>
    <row r="278" spans="1:63" s="137" customFormat="1" x14ac:dyDescent="0.25"/>
    <row r="279" spans="1:63" s="137" customFormat="1" x14ac:dyDescent="0.25"/>
    <row r="280" spans="1:63" s="137" customFormat="1" x14ac:dyDescent="0.25"/>
    <row r="281" spans="1:63" s="137" customFormat="1" x14ac:dyDescent="0.25"/>
    <row r="282" spans="1:63" s="137" customFormat="1" x14ac:dyDescent="0.25"/>
    <row r="283" spans="1:63" s="137" customFormat="1" x14ac:dyDescent="0.25"/>
    <row r="284" spans="1:63" s="137" customFormat="1" x14ac:dyDescent="0.25"/>
    <row r="285" spans="1:63" s="137" customFormat="1" x14ac:dyDescent="0.25"/>
    <row r="286" spans="1:63" s="137" customFormat="1" x14ac:dyDescent="0.25"/>
    <row r="287" spans="1:63" s="137" customFormat="1" x14ac:dyDescent="0.25"/>
    <row r="288" spans="1:63" s="137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ht="14.25" customHeight="1" x14ac:dyDescent="0.25"/>
    <row r="298" customFormat="1" ht="13.5" customHeight="1" x14ac:dyDescent="0.25"/>
    <row r="299" customFormat="1" ht="13.5" customHeight="1" x14ac:dyDescent="0.25"/>
    <row r="300" customFormat="1" x14ac:dyDescent="0.25"/>
    <row r="301" customFormat="1" x14ac:dyDescent="0.25"/>
    <row r="302" customFormat="1" ht="13.5" customHeight="1" x14ac:dyDescent="0.25"/>
    <row r="303" customFormat="1" ht="13.5" customHeight="1" x14ac:dyDescent="0.25"/>
    <row r="304" customFormat="1" ht="13.5" customHeight="1" x14ac:dyDescent="0.25"/>
    <row r="305" customFormat="1" ht="13.5" customHeigh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</sheetData>
  <sheetProtection password="DD95" sheet="1" objects="1" scenarios="1"/>
  <mergeCells count="41">
    <mergeCell ref="C230:E230"/>
    <mergeCell ref="B233:C233"/>
    <mergeCell ref="B234:C234"/>
    <mergeCell ref="B239:C239"/>
    <mergeCell ref="B235:C235"/>
    <mergeCell ref="B236:C236"/>
    <mergeCell ref="B237:C237"/>
    <mergeCell ref="B238:C238"/>
    <mergeCell ref="B223:C223"/>
    <mergeCell ref="B224:C224"/>
    <mergeCell ref="B156:C156"/>
    <mergeCell ref="B157:C157"/>
    <mergeCell ref="B158:C158"/>
    <mergeCell ref="B225:C225"/>
    <mergeCell ref="I59:J59"/>
    <mergeCell ref="F67:G67"/>
    <mergeCell ref="I69:J69"/>
    <mergeCell ref="D102:E102"/>
    <mergeCell ref="D103:E103"/>
    <mergeCell ref="C220:E220"/>
    <mergeCell ref="F46:G46"/>
    <mergeCell ref="B30:C30"/>
    <mergeCell ref="B31:C31"/>
    <mergeCell ref="B32:C32"/>
    <mergeCell ref="B33:C33"/>
    <mergeCell ref="B34:C34"/>
    <mergeCell ref="B35:C35"/>
    <mergeCell ref="B80:C80"/>
    <mergeCell ref="B81:C81"/>
    <mergeCell ref="B36:C36"/>
    <mergeCell ref="B37:C37"/>
    <mergeCell ref="B38:C38"/>
    <mergeCell ref="B39:C39"/>
    <mergeCell ref="B86:C86"/>
    <mergeCell ref="B87:C87"/>
    <mergeCell ref="B88:C88"/>
    <mergeCell ref="B89:C89"/>
    <mergeCell ref="B82:C82"/>
    <mergeCell ref="B83:C83"/>
    <mergeCell ref="B84:C84"/>
    <mergeCell ref="B85:C85"/>
  </mergeCells>
  <phoneticPr fontId="0" type="noConversion"/>
  <pageMargins left="0.87" right="0.84" top="0.59" bottom="0.53" header="0.5" footer="0.5"/>
  <pageSetup firstPageNumber="2" orientation="portrait" horizontalDpi="300" verticalDpi="300" r:id="rId1"/>
  <headerFooter alignWithMargins="0">
    <oddFooter>&amp;C&amp;P</oddFooter>
  </headerFooter>
  <rowBreaks count="5" manualBreakCount="5">
    <brk id="47" max="16383" man="1"/>
    <brk id="89" max="16383" man="1"/>
    <brk id="136" max="16383" man="1"/>
    <brk id="176" max="16383" man="1"/>
    <brk id="22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7" sqref="C7"/>
    </sheetView>
  </sheetViews>
  <sheetFormatPr defaultRowHeight="12.5" x14ac:dyDescent="0.25"/>
  <cols>
    <col min="2" max="2" width="15.26953125" customWidth="1"/>
  </cols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7" sqref="A17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  <vt:lpstr>Total</vt:lpstr>
    </vt:vector>
  </TitlesOfParts>
  <Company>Connecticut State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 Customer</dc:creator>
  <cp:lastModifiedBy>Carina Negreanu</cp:lastModifiedBy>
  <cp:lastPrinted>2002-02-08T14:51:11Z</cp:lastPrinted>
  <dcterms:created xsi:type="dcterms:W3CDTF">1998-11-06T16:49:45Z</dcterms:created>
  <dcterms:modified xsi:type="dcterms:W3CDTF">2020-01-27T12:51:03Z</dcterms:modified>
</cp:coreProperties>
</file>