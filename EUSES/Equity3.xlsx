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C36F73-9219-4946-A12F-9699247F7996}" xr6:coauthVersionLast="45" xr6:coauthVersionMax="45" xr10:uidLastSave="{00000000-0000-0000-0000-000000000000}"/>
  <bookViews>
    <workbookView xWindow="1900" yWindow="1900" windowWidth="28800" windowHeight="15460"/>
  </bookViews>
  <sheets>
    <sheet name="4Measures" sheetId="1" r:id="rId1"/>
    <sheet name="AP" sheetId="2" r:id="rId2"/>
    <sheet name="Style1" sheetId="3" r:id="rId3"/>
    <sheet name="Style2" sheetId="4" r:id="rId4"/>
    <sheet name="Style3" sheetId="5" r:id="rId5"/>
    <sheet name="Chart1" sheetId="8" r:id="rId6"/>
  </sheets>
  <definedNames>
    <definedName name="_asd3">Style3!$M$7</definedName>
    <definedName name="change1">Style1!$D$16:$J$16</definedName>
    <definedName name="change2">Style2!$D$33:$J$33</definedName>
    <definedName name="change3">Style3!$E$14:$J$14</definedName>
    <definedName name="chart1s">Style1!$C$13:$J$13,Style1!$C$16:$J$16</definedName>
    <definedName name="chart2e">Style2!$B$12:$J$18</definedName>
    <definedName name="con1max">Style1!$C$17:$J$17</definedName>
    <definedName name="con1min">Style1!$C$15:$J$15</definedName>
    <definedName name="con2max">Style2!$C$34:$J$34</definedName>
    <definedName name="con2min">Style2!$C$32:$J$32</definedName>
    <definedName name="constraint1">Style1!$C$16:$J$16</definedName>
    <definedName name="constraint2">Style2!$C$33:$J$33</definedName>
    <definedName name="exp0">Style2!$B$11</definedName>
    <definedName name="_exp17">Style2!$C$12:$J$18</definedName>
    <definedName name="jstar3">Style3!$B$9</definedName>
    <definedName name="s3out">Style3!$B$15</definedName>
    <definedName name="s3vol">Style3!$C$16:$J$16</definedName>
    <definedName name="smonth2">Style2!$J$6</definedName>
    <definedName name="solver_adj" localSheetId="2" hidden="1">Style1!$D$16:$J$16</definedName>
    <definedName name="solver_adj" localSheetId="3" hidden="1">Style2!$D$33:$J$33</definedName>
    <definedName name="solver_adj" localSheetId="4" hidden="1">Style3!$E$14:$J$14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lhs1" localSheetId="2" hidden="1">Style1!$C$16:$J$16</definedName>
    <definedName name="solver_lhs1" localSheetId="3" hidden="1">Style2!$C$33:$J$33</definedName>
    <definedName name="solver_lhs2" localSheetId="2" hidden="1">Style1!$C$16:$J$16</definedName>
    <definedName name="solver_lhs2" localSheetId="3" hidden="1">Style2!$C$33:$J$33</definedName>
    <definedName name="solver_lin" localSheetId="2" hidden="1">0</definedName>
    <definedName name="solver_lin" localSheetId="3" hidden="1">0</definedName>
    <definedName name="solver_lin" localSheetId="4" hidden="1">0</definedName>
    <definedName name="solver_num" localSheetId="2" hidden="1">2</definedName>
    <definedName name="solver_num" localSheetId="3" hidden="1">2</definedName>
    <definedName name="solver_num" localSheetId="4" hidden="1">0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2" hidden="1">Style1!$M$5</definedName>
    <definedName name="solver_opt" localSheetId="3" hidden="1">Style2!$M$22</definedName>
    <definedName name="solver_opt" localSheetId="4" hidden="1">Style3!$M$5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el1" localSheetId="2" hidden="1">3</definedName>
    <definedName name="solver_rel1" localSheetId="3" hidden="1">3</definedName>
    <definedName name="solver_rel2" localSheetId="2" hidden="1">1</definedName>
    <definedName name="solver_rel2" localSheetId="3" hidden="1">1</definedName>
    <definedName name="solver_rhs1" localSheetId="2" hidden="1">con1min</definedName>
    <definedName name="solver_rhs1" localSheetId="3" hidden="1">con2min</definedName>
    <definedName name="solver_rhs2" localSheetId="2" hidden="1">con1max</definedName>
    <definedName name="solver_rhs2" localSheetId="3" hidden="1">con2max</definedName>
    <definedName name="solver_scl" localSheetId="2" hidden="1">0</definedName>
    <definedName name="solver_scl" localSheetId="3" hidden="1">0</definedName>
    <definedName name="solver_scl" localSheetId="4" hidden="1">0</definedName>
    <definedName name="solver_sho" localSheetId="2" hidden="1">0</definedName>
    <definedName name="solver_sho" localSheetId="3" hidden="1">0</definedName>
    <definedName name="solver_sho" localSheetId="4" hidden="1">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mp" localSheetId="2" hidden="1">1</definedName>
    <definedName name="solver_tol" localSheetId="2" hidden="1">0.05</definedName>
    <definedName name="solver_tol" localSheetId="3" hidden="1">0.05</definedName>
    <definedName name="solver_tol" localSheetId="4" hidden="1">0.05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2" hidden="1">0</definedName>
    <definedName name="solver_val" localSheetId="3" hidden="1">0</definedName>
    <definedName name="solver_val" localSheetId="4" hidden="1">0</definedName>
    <definedName name="target1">Style1!$M$5</definedName>
    <definedName name="target2">Style2!$M$22</definedName>
    <definedName name="target3">Style3!$M$5</definedName>
  </definedNames>
  <calcPr calcId="0"/>
</workbook>
</file>

<file path=xl/calcChain.xml><?xml version="1.0" encoding="utf-8"?>
<calcChain xmlns="http://schemas.openxmlformats.org/spreadsheetml/2006/main">
  <c r="C6" i="1" l="1"/>
  <c r="D6" i="1"/>
  <c r="M6" i="1"/>
  <c r="N6" i="1"/>
  <c r="O6" i="1"/>
  <c r="P6" i="1"/>
  <c r="Q6" i="1"/>
  <c r="R6" i="1"/>
  <c r="S6" i="1"/>
  <c r="T6" i="1"/>
  <c r="U6" i="1"/>
  <c r="M7" i="1"/>
  <c r="N7" i="1"/>
  <c r="O7" i="1"/>
  <c r="P7" i="1"/>
  <c r="Q7" i="1"/>
  <c r="R7" i="1"/>
  <c r="S7" i="1"/>
  <c r="T7" i="1"/>
  <c r="U7" i="1"/>
  <c r="C8" i="1"/>
  <c r="D8" i="1"/>
  <c r="H8" i="1"/>
  <c r="J8" i="1"/>
  <c r="M8" i="1"/>
  <c r="N8" i="1"/>
  <c r="O8" i="1"/>
  <c r="P8" i="1"/>
  <c r="Q8" i="1"/>
  <c r="R8" i="1"/>
  <c r="S8" i="1"/>
  <c r="T8" i="1"/>
  <c r="U8" i="1"/>
  <c r="C9" i="1"/>
  <c r="N9" i="1"/>
  <c r="O9" i="1"/>
  <c r="P9" i="1"/>
  <c r="Q9" i="1"/>
  <c r="R9" i="1"/>
  <c r="S9" i="1"/>
  <c r="T9" i="1"/>
  <c r="U9" i="1"/>
  <c r="H10" i="1"/>
  <c r="J10" i="1"/>
  <c r="C11" i="1"/>
  <c r="D11" i="1"/>
  <c r="H12" i="1"/>
  <c r="J12" i="1"/>
  <c r="C13" i="1"/>
  <c r="D13" i="1"/>
  <c r="H14" i="1"/>
  <c r="D15" i="1"/>
  <c r="B12" i="2"/>
  <c r="G12" i="2"/>
  <c r="I12" i="2"/>
  <c r="B13" i="2"/>
  <c r="G13" i="2"/>
  <c r="I13" i="2"/>
  <c r="B14" i="2"/>
  <c r="G14" i="2"/>
  <c r="I14" i="2"/>
  <c r="B15" i="2"/>
  <c r="G15" i="2"/>
  <c r="I15" i="2"/>
  <c r="B17" i="2"/>
  <c r="D17" i="2"/>
  <c r="E17" i="2"/>
  <c r="G17" i="2"/>
  <c r="P22" i="2"/>
  <c r="Q22" i="2"/>
  <c r="B23" i="2"/>
  <c r="E23" i="2"/>
  <c r="I23" i="2"/>
  <c r="B24" i="2"/>
  <c r="E24" i="2"/>
  <c r="I24" i="2"/>
  <c r="M24" i="2"/>
  <c r="B26" i="2"/>
  <c r="I27" i="2"/>
  <c r="M27" i="2"/>
  <c r="B28" i="2"/>
  <c r="I28" i="2"/>
  <c r="M28" i="2"/>
  <c r="B29" i="2"/>
  <c r="E29" i="2"/>
  <c r="I29" i="2"/>
  <c r="M29" i="2"/>
  <c r="I30" i="2"/>
  <c r="M30" i="2"/>
  <c r="B31" i="2"/>
  <c r="I31" i="2"/>
  <c r="M31" i="2"/>
  <c r="I32" i="2"/>
  <c r="M32" i="2"/>
  <c r="E34" i="2"/>
  <c r="I34" i="2"/>
  <c r="P39" i="2"/>
  <c r="Q39" i="2"/>
  <c r="B40" i="2"/>
  <c r="B41" i="2"/>
  <c r="M41" i="2"/>
  <c r="B44" i="2"/>
  <c r="I44" i="2"/>
  <c r="M44" i="2"/>
  <c r="B45" i="2"/>
  <c r="I45" i="2"/>
  <c r="M45" i="2"/>
  <c r="B46" i="2"/>
  <c r="I46" i="2"/>
  <c r="M46" i="2"/>
  <c r="B47" i="2"/>
  <c r="I47" i="2"/>
  <c r="M47" i="2"/>
  <c r="B48" i="2"/>
  <c r="I48" i="2"/>
  <c r="M48" i="2"/>
  <c r="B49" i="2"/>
  <c r="I49" i="2"/>
  <c r="M49" i="2"/>
  <c r="P59" i="2"/>
  <c r="Q59" i="2"/>
  <c r="P60" i="2"/>
  <c r="Q60" i="2"/>
  <c r="P61" i="2"/>
  <c r="Q61" i="2"/>
  <c r="P62" i="2"/>
  <c r="Q62" i="2"/>
  <c r="P63" i="2"/>
  <c r="Q63" i="2"/>
  <c r="P64" i="2"/>
  <c r="Q64" i="2"/>
  <c r="P65" i="2"/>
  <c r="Q65" i="2"/>
  <c r="P66" i="2"/>
  <c r="Q66" i="2"/>
  <c r="P67" i="2"/>
  <c r="Q67" i="2"/>
  <c r="P68" i="2"/>
  <c r="Q68" i="2"/>
  <c r="P69" i="2"/>
  <c r="Q69" i="2"/>
  <c r="P70" i="2"/>
  <c r="R70" i="2"/>
  <c r="P71" i="2"/>
  <c r="R71" i="2"/>
  <c r="P72" i="2"/>
  <c r="R72" i="2"/>
  <c r="P73" i="2"/>
  <c r="R73" i="2"/>
  <c r="P74" i="2"/>
  <c r="R74" i="2"/>
  <c r="P75" i="2"/>
  <c r="R75" i="2"/>
  <c r="P76" i="2"/>
  <c r="R76" i="2"/>
  <c r="P77" i="2"/>
  <c r="R77" i="2"/>
  <c r="P78" i="2"/>
  <c r="R78" i="2"/>
  <c r="P79" i="2"/>
  <c r="R79" i="2"/>
  <c r="P80" i="2"/>
  <c r="R80" i="2"/>
  <c r="P81" i="2"/>
  <c r="R81" i="2"/>
  <c r="P82" i="2"/>
  <c r="R82" i="2"/>
  <c r="P83" i="2"/>
  <c r="R83" i="2"/>
  <c r="P84" i="2"/>
  <c r="R84" i="2"/>
  <c r="P85" i="2"/>
  <c r="R85" i="2"/>
  <c r="M4" i="3"/>
  <c r="M5" i="3"/>
  <c r="M6" i="3"/>
  <c r="M7" i="3"/>
  <c r="L9" i="3"/>
  <c r="L10" i="3"/>
  <c r="C16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L45" i="3"/>
  <c r="M45" i="3"/>
  <c r="L46" i="3"/>
  <c r="M46" i="3"/>
  <c r="L47" i="3"/>
  <c r="M47" i="3"/>
  <c r="L48" i="3"/>
  <c r="M48" i="3"/>
  <c r="L49" i="3"/>
  <c r="M49" i="3"/>
  <c r="L50" i="3"/>
  <c r="M50" i="3"/>
  <c r="L51" i="3"/>
  <c r="M51" i="3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/>
  <c r="L60" i="3"/>
  <c r="M60" i="3"/>
  <c r="L61" i="3"/>
  <c r="M61" i="3"/>
  <c r="L62" i="3"/>
  <c r="M62" i="3"/>
  <c r="L63" i="3"/>
  <c r="M63" i="3"/>
  <c r="L64" i="3"/>
  <c r="M64" i="3"/>
  <c r="L65" i="3"/>
  <c r="M65" i="3"/>
  <c r="L66" i="3"/>
  <c r="M66" i="3"/>
  <c r="L67" i="3"/>
  <c r="M67" i="3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/>
  <c r="L76" i="3"/>
  <c r="M76" i="3"/>
  <c r="L77" i="3"/>
  <c r="M77" i="3"/>
  <c r="L78" i="3"/>
  <c r="M78" i="3"/>
  <c r="L79" i="3"/>
  <c r="M79" i="3"/>
  <c r="L80" i="3"/>
  <c r="M80" i="3"/>
  <c r="J7" i="4"/>
  <c r="L26" i="4"/>
  <c r="C33" i="4"/>
  <c r="L45" i="4" s="1"/>
  <c r="M45" i="4" s="1"/>
  <c r="L41" i="4"/>
  <c r="M41" i="4" s="1"/>
  <c r="L46" i="4"/>
  <c r="M46" i="4"/>
  <c r="L51" i="4"/>
  <c r="M51" i="4" s="1"/>
  <c r="L52" i="4"/>
  <c r="M52" i="4" s="1"/>
  <c r="L53" i="4"/>
  <c r="M53" i="4" s="1"/>
  <c r="L56" i="4"/>
  <c r="M56" i="4"/>
  <c r="L61" i="4"/>
  <c r="M61" i="4" s="1"/>
  <c r="L62" i="4"/>
  <c r="M62" i="4" s="1"/>
  <c r="L63" i="4"/>
  <c r="M63" i="4" s="1"/>
  <c r="L66" i="4"/>
  <c r="M66" i="4"/>
  <c r="L71" i="4"/>
  <c r="M71" i="4" s="1"/>
  <c r="L72" i="4"/>
  <c r="M72" i="4" s="1"/>
  <c r="L73" i="4"/>
  <c r="M73" i="4" s="1"/>
  <c r="L76" i="4"/>
  <c r="M76" i="4"/>
  <c r="L81" i="4"/>
  <c r="M81" i="4" s="1"/>
  <c r="L82" i="4"/>
  <c r="M82" i="4" s="1"/>
  <c r="L83" i="4"/>
  <c r="M83" i="4" s="1"/>
  <c r="L86" i="4"/>
  <c r="M86" i="4"/>
  <c r="L91" i="4"/>
  <c r="M91" i="4" s="1"/>
  <c r="L92" i="4"/>
  <c r="M92" i="4" s="1"/>
  <c r="L93" i="4"/>
  <c r="M93" i="4" s="1"/>
  <c r="L96" i="4"/>
  <c r="M96" i="4"/>
  <c r="P6" i="5"/>
  <c r="P6" i="5" a="1"/>
  <c r="Q6" i="5"/>
  <c r="R6" i="5"/>
  <c r="S6" i="5"/>
  <c r="T6" i="5"/>
  <c r="U6" i="5"/>
  <c r="V6" i="5"/>
  <c r="W6" i="5"/>
  <c r="AD6" i="5"/>
  <c r="P7" i="5"/>
  <c r="Q7" i="5"/>
  <c r="R7" i="5"/>
  <c r="S7" i="5"/>
  <c r="T7" i="5"/>
  <c r="U7" i="5"/>
  <c r="V7" i="5"/>
  <c r="W7" i="5"/>
  <c r="AD7" i="5"/>
  <c r="P8" i="5"/>
  <c r="Q8" i="5"/>
  <c r="R8" i="5"/>
  <c r="S8" i="5"/>
  <c r="T8" i="5"/>
  <c r="U8" i="5"/>
  <c r="V8" i="5"/>
  <c r="W8" i="5"/>
  <c r="P9" i="5"/>
  <c r="Q9" i="5"/>
  <c r="R9" i="5"/>
  <c r="S9" i="5"/>
  <c r="T9" i="5"/>
  <c r="U9" i="5"/>
  <c r="V9" i="5"/>
  <c r="W9" i="5"/>
  <c r="P10" i="5"/>
  <c r="Q10" i="5"/>
  <c r="R10" i="5"/>
  <c r="S10" i="5"/>
  <c r="T10" i="5"/>
  <c r="U10" i="5"/>
  <c r="V10" i="5"/>
  <c r="W10" i="5"/>
  <c r="P11" i="5"/>
  <c r="Q11" i="5"/>
  <c r="R11" i="5"/>
  <c r="S11" i="5"/>
  <c r="T11" i="5"/>
  <c r="U11" i="5"/>
  <c r="V11" i="5"/>
  <c r="W11" i="5"/>
  <c r="P12" i="5"/>
  <c r="Q12" i="5"/>
  <c r="R12" i="5"/>
  <c r="S12" i="5"/>
  <c r="T12" i="5"/>
  <c r="U12" i="5"/>
  <c r="V12" i="5"/>
  <c r="W12" i="5"/>
  <c r="AB12" i="5"/>
  <c r="AC12" i="5"/>
  <c r="AD12" i="5"/>
  <c r="AE12" i="5"/>
  <c r="AF12" i="5"/>
  <c r="AG12" i="5"/>
  <c r="AH12" i="5"/>
  <c r="AI12" i="5"/>
  <c r="P13" i="5"/>
  <c r="Q13" i="5"/>
  <c r="R13" i="5"/>
  <c r="S13" i="5"/>
  <c r="T13" i="5"/>
  <c r="U13" i="5"/>
  <c r="V13" i="5"/>
  <c r="W13" i="5"/>
  <c r="D14" i="5"/>
  <c r="AB16" i="5"/>
  <c r="AC16" i="5"/>
  <c r="AD16" i="5"/>
  <c r="AE16" i="5"/>
  <c r="AF16" i="5"/>
  <c r="AG16" i="5"/>
  <c r="AH16" i="5"/>
  <c r="AI16" i="5"/>
  <c r="AB18" i="5"/>
  <c r="AC18" i="5"/>
  <c r="AD18" i="5"/>
  <c r="AE18" i="5"/>
  <c r="AF18" i="5"/>
  <c r="AG18" i="5"/>
  <c r="AH18" i="5"/>
  <c r="AI18" i="5"/>
  <c r="B21" i="5"/>
  <c r="M21" i="5" s="1"/>
  <c r="D21" i="5"/>
  <c r="D21" i="5" a="1"/>
  <c r="E21" i="5"/>
  <c r="F21" i="5"/>
  <c r="G21" i="5"/>
  <c r="H21" i="5"/>
  <c r="I21" i="5"/>
  <c r="J21" i="5"/>
  <c r="L21" i="5"/>
  <c r="B22" i="5"/>
  <c r="D22" i="5"/>
  <c r="E22" i="5"/>
  <c r="F22" i="5"/>
  <c r="G22" i="5"/>
  <c r="H22" i="5"/>
  <c r="I22" i="5"/>
  <c r="J22" i="5"/>
  <c r="L22" i="5"/>
  <c r="M22" i="5"/>
  <c r="B23" i="5"/>
  <c r="D23" i="5"/>
  <c r="E23" i="5"/>
  <c r="F23" i="5"/>
  <c r="G23" i="5"/>
  <c r="H23" i="5"/>
  <c r="I23" i="5"/>
  <c r="J23" i="5"/>
  <c r="L23" i="5"/>
  <c r="M23" i="5"/>
  <c r="B24" i="5"/>
  <c r="D24" i="5"/>
  <c r="E24" i="5"/>
  <c r="F24" i="5"/>
  <c r="G24" i="5"/>
  <c r="H24" i="5"/>
  <c r="I24" i="5"/>
  <c r="J24" i="5"/>
  <c r="L24" i="5"/>
  <c r="M24" i="5"/>
  <c r="B25" i="5"/>
  <c r="D25" i="5"/>
  <c r="E25" i="5"/>
  <c r="F25" i="5"/>
  <c r="G25" i="5"/>
  <c r="H25" i="5"/>
  <c r="I25" i="5"/>
  <c r="J25" i="5"/>
  <c r="L25" i="5"/>
  <c r="M25" i="5"/>
  <c r="B26" i="5"/>
  <c r="D26" i="5"/>
  <c r="E26" i="5"/>
  <c r="F26" i="5"/>
  <c r="G26" i="5"/>
  <c r="H26" i="5"/>
  <c r="I26" i="5"/>
  <c r="J26" i="5"/>
  <c r="L26" i="5"/>
  <c r="M26" i="5"/>
  <c r="B27" i="5"/>
  <c r="D27" i="5"/>
  <c r="E27" i="5"/>
  <c r="F27" i="5"/>
  <c r="G27" i="5"/>
  <c r="H27" i="5"/>
  <c r="I27" i="5"/>
  <c r="J27" i="5"/>
  <c r="L27" i="5"/>
  <c r="M27" i="5"/>
  <c r="B28" i="5"/>
  <c r="D28" i="5"/>
  <c r="E28" i="5"/>
  <c r="F28" i="5"/>
  <c r="G28" i="5"/>
  <c r="H28" i="5"/>
  <c r="I28" i="5"/>
  <c r="J28" i="5"/>
  <c r="L28" i="5"/>
  <c r="M28" i="5"/>
  <c r="B29" i="5"/>
  <c r="D29" i="5"/>
  <c r="E29" i="5"/>
  <c r="F29" i="5"/>
  <c r="G29" i="5"/>
  <c r="H29" i="5"/>
  <c r="I29" i="5"/>
  <c r="J29" i="5"/>
  <c r="L29" i="5"/>
  <c r="M29" i="5"/>
  <c r="B30" i="5"/>
  <c r="M30" i="5" s="1"/>
  <c r="D30" i="5"/>
  <c r="E30" i="5"/>
  <c r="F30" i="5"/>
  <c r="G30" i="5"/>
  <c r="H30" i="5"/>
  <c r="I30" i="5"/>
  <c r="J30" i="5"/>
  <c r="L30" i="5"/>
  <c r="B31" i="5"/>
  <c r="D31" i="5"/>
  <c r="E31" i="5"/>
  <c r="F31" i="5"/>
  <c r="G31" i="5"/>
  <c r="H31" i="5"/>
  <c r="I31" i="5"/>
  <c r="J31" i="5"/>
  <c r="L31" i="5"/>
  <c r="M31" i="5"/>
  <c r="B32" i="5"/>
  <c r="D32" i="5"/>
  <c r="E32" i="5"/>
  <c r="F32" i="5"/>
  <c r="G32" i="5"/>
  <c r="H32" i="5"/>
  <c r="I32" i="5"/>
  <c r="J32" i="5"/>
  <c r="L32" i="5"/>
  <c r="M32" i="5"/>
  <c r="B33" i="5"/>
  <c r="D33" i="5"/>
  <c r="E33" i="5"/>
  <c r="F33" i="5"/>
  <c r="G33" i="5"/>
  <c r="H33" i="5"/>
  <c r="I33" i="5"/>
  <c r="J33" i="5"/>
  <c r="L33" i="5"/>
  <c r="M33" i="5"/>
  <c r="B34" i="5"/>
  <c r="M34" i="5" s="1"/>
  <c r="D34" i="5"/>
  <c r="E34" i="5"/>
  <c r="F34" i="5"/>
  <c r="G34" i="5"/>
  <c r="H34" i="5"/>
  <c r="I34" i="5"/>
  <c r="J34" i="5"/>
  <c r="L34" i="5"/>
  <c r="B35" i="5"/>
  <c r="D35" i="5"/>
  <c r="E35" i="5"/>
  <c r="F35" i="5"/>
  <c r="G35" i="5"/>
  <c r="H35" i="5"/>
  <c r="I35" i="5"/>
  <c r="J35" i="5"/>
  <c r="L35" i="5"/>
  <c r="M35" i="5"/>
  <c r="B36" i="5"/>
  <c r="M36" i="5" s="1"/>
  <c r="D36" i="5"/>
  <c r="E36" i="5"/>
  <c r="F36" i="5"/>
  <c r="G36" i="5"/>
  <c r="H36" i="5"/>
  <c r="I36" i="5"/>
  <c r="J36" i="5"/>
  <c r="L36" i="5"/>
  <c r="B37" i="5"/>
  <c r="D37" i="5"/>
  <c r="E37" i="5"/>
  <c r="F37" i="5"/>
  <c r="G37" i="5"/>
  <c r="H37" i="5"/>
  <c r="I37" i="5"/>
  <c r="J37" i="5"/>
  <c r="L37" i="5"/>
  <c r="M37" i="5"/>
  <c r="B38" i="5"/>
  <c r="M38" i="5" s="1"/>
  <c r="D38" i="5"/>
  <c r="E38" i="5"/>
  <c r="F38" i="5"/>
  <c r="G38" i="5"/>
  <c r="H38" i="5"/>
  <c r="I38" i="5"/>
  <c r="J38" i="5"/>
  <c r="L38" i="5"/>
  <c r="B39" i="5"/>
  <c r="D39" i="5"/>
  <c r="E39" i="5"/>
  <c r="F39" i="5"/>
  <c r="G39" i="5"/>
  <c r="H39" i="5"/>
  <c r="I39" i="5"/>
  <c r="J39" i="5"/>
  <c r="L39" i="5"/>
  <c r="M39" i="5"/>
  <c r="B40" i="5"/>
  <c r="M40" i="5" s="1"/>
  <c r="D40" i="5"/>
  <c r="E40" i="5"/>
  <c r="F40" i="5"/>
  <c r="G40" i="5"/>
  <c r="H40" i="5"/>
  <c r="I40" i="5"/>
  <c r="J40" i="5"/>
  <c r="L40" i="5"/>
  <c r="B41" i="5"/>
  <c r="D41" i="5"/>
  <c r="E41" i="5"/>
  <c r="F41" i="5"/>
  <c r="G41" i="5"/>
  <c r="H41" i="5"/>
  <c r="I41" i="5"/>
  <c r="J41" i="5"/>
  <c r="L41" i="5"/>
  <c r="M41" i="5"/>
  <c r="B42" i="5"/>
  <c r="M42" i="5" s="1"/>
  <c r="D42" i="5"/>
  <c r="E42" i="5"/>
  <c r="F42" i="5"/>
  <c r="G42" i="5"/>
  <c r="H42" i="5"/>
  <c r="I42" i="5"/>
  <c r="J42" i="5"/>
  <c r="L42" i="5"/>
  <c r="B43" i="5"/>
  <c r="D43" i="5"/>
  <c r="E43" i="5"/>
  <c r="F43" i="5"/>
  <c r="G43" i="5"/>
  <c r="H43" i="5"/>
  <c r="I43" i="5"/>
  <c r="J43" i="5"/>
  <c r="L43" i="5"/>
  <c r="M43" i="5"/>
  <c r="B44" i="5"/>
  <c r="M44" i="5" s="1"/>
  <c r="D44" i="5"/>
  <c r="E44" i="5"/>
  <c r="F44" i="5"/>
  <c r="G44" i="5"/>
  <c r="H44" i="5"/>
  <c r="I44" i="5"/>
  <c r="J44" i="5"/>
  <c r="L44" i="5"/>
  <c r="B45" i="5"/>
  <c r="D45" i="5"/>
  <c r="E45" i="5"/>
  <c r="F45" i="5"/>
  <c r="G45" i="5"/>
  <c r="H45" i="5"/>
  <c r="I45" i="5"/>
  <c r="J45" i="5"/>
  <c r="L45" i="5"/>
  <c r="M45" i="5"/>
  <c r="B46" i="5"/>
  <c r="M46" i="5" s="1"/>
  <c r="D46" i="5"/>
  <c r="E46" i="5"/>
  <c r="F46" i="5"/>
  <c r="G46" i="5"/>
  <c r="H46" i="5"/>
  <c r="I46" i="5"/>
  <c r="J46" i="5"/>
  <c r="L46" i="5"/>
  <c r="B47" i="5"/>
  <c r="D47" i="5"/>
  <c r="E47" i="5"/>
  <c r="F47" i="5"/>
  <c r="G47" i="5"/>
  <c r="H47" i="5"/>
  <c r="I47" i="5"/>
  <c r="J47" i="5"/>
  <c r="L47" i="5"/>
  <c r="M47" i="5"/>
  <c r="B48" i="5"/>
  <c r="M48" i="5" s="1"/>
  <c r="D48" i="5"/>
  <c r="E48" i="5"/>
  <c r="F48" i="5"/>
  <c r="G48" i="5"/>
  <c r="H48" i="5"/>
  <c r="I48" i="5"/>
  <c r="J48" i="5"/>
  <c r="L48" i="5"/>
  <c r="B49" i="5"/>
  <c r="D49" i="5"/>
  <c r="E49" i="5"/>
  <c r="F49" i="5"/>
  <c r="G49" i="5"/>
  <c r="H49" i="5"/>
  <c r="I49" i="5"/>
  <c r="J49" i="5"/>
  <c r="L49" i="5"/>
  <c r="M49" i="5"/>
  <c r="B50" i="5"/>
  <c r="M50" i="5" s="1"/>
  <c r="D50" i="5"/>
  <c r="E50" i="5"/>
  <c r="F50" i="5"/>
  <c r="G50" i="5"/>
  <c r="H50" i="5"/>
  <c r="I50" i="5"/>
  <c r="J50" i="5"/>
  <c r="L50" i="5"/>
  <c r="B51" i="5"/>
  <c r="D51" i="5"/>
  <c r="E51" i="5"/>
  <c r="F51" i="5"/>
  <c r="G51" i="5"/>
  <c r="H51" i="5"/>
  <c r="I51" i="5"/>
  <c r="J51" i="5"/>
  <c r="L51" i="5"/>
  <c r="M51" i="5"/>
  <c r="B52" i="5"/>
  <c r="M52" i="5" s="1"/>
  <c r="D52" i="5"/>
  <c r="E52" i="5"/>
  <c r="F52" i="5"/>
  <c r="G52" i="5"/>
  <c r="H52" i="5"/>
  <c r="I52" i="5"/>
  <c r="J52" i="5"/>
  <c r="L52" i="5"/>
  <c r="B53" i="5"/>
  <c r="D53" i="5"/>
  <c r="E53" i="5"/>
  <c r="F53" i="5"/>
  <c r="G53" i="5"/>
  <c r="H53" i="5"/>
  <c r="I53" i="5"/>
  <c r="J53" i="5"/>
  <c r="L53" i="5"/>
  <c r="M53" i="5"/>
  <c r="B54" i="5"/>
  <c r="M54" i="5" s="1"/>
  <c r="D54" i="5"/>
  <c r="E54" i="5"/>
  <c r="F54" i="5"/>
  <c r="G54" i="5"/>
  <c r="H54" i="5"/>
  <c r="I54" i="5"/>
  <c r="J54" i="5"/>
  <c r="L54" i="5"/>
  <c r="B55" i="5"/>
  <c r="D55" i="5"/>
  <c r="E55" i="5"/>
  <c r="F55" i="5"/>
  <c r="G55" i="5"/>
  <c r="H55" i="5"/>
  <c r="I55" i="5"/>
  <c r="J55" i="5"/>
  <c r="L55" i="5"/>
  <c r="M55" i="5"/>
  <c r="B56" i="5"/>
  <c r="M56" i="5" s="1"/>
  <c r="D56" i="5"/>
  <c r="E56" i="5"/>
  <c r="F56" i="5"/>
  <c r="G56" i="5"/>
  <c r="H56" i="5"/>
  <c r="I56" i="5"/>
  <c r="J56" i="5"/>
  <c r="L56" i="5"/>
  <c r="B57" i="5"/>
  <c r="D57" i="5"/>
  <c r="E57" i="5"/>
  <c r="F57" i="5"/>
  <c r="G57" i="5"/>
  <c r="H57" i="5"/>
  <c r="I57" i="5"/>
  <c r="J57" i="5"/>
  <c r="L57" i="5"/>
  <c r="M57" i="5"/>
  <c r="B58" i="5"/>
  <c r="M58" i="5" s="1"/>
  <c r="D58" i="5"/>
  <c r="E58" i="5"/>
  <c r="F58" i="5"/>
  <c r="G58" i="5"/>
  <c r="H58" i="5"/>
  <c r="I58" i="5"/>
  <c r="J58" i="5"/>
  <c r="L58" i="5"/>
  <c r="B59" i="5"/>
  <c r="D59" i="5"/>
  <c r="E59" i="5"/>
  <c r="F59" i="5"/>
  <c r="G59" i="5"/>
  <c r="H59" i="5"/>
  <c r="I59" i="5"/>
  <c r="J59" i="5"/>
  <c r="L59" i="5"/>
  <c r="M59" i="5"/>
  <c r="B60" i="5"/>
  <c r="M60" i="5" s="1"/>
  <c r="D60" i="5"/>
  <c r="E60" i="5"/>
  <c r="F60" i="5"/>
  <c r="G60" i="5"/>
  <c r="H60" i="5"/>
  <c r="I60" i="5"/>
  <c r="J60" i="5"/>
  <c r="L60" i="5"/>
  <c r="B61" i="5"/>
  <c r="D61" i="5"/>
  <c r="E61" i="5"/>
  <c r="F61" i="5"/>
  <c r="G61" i="5"/>
  <c r="H61" i="5"/>
  <c r="I61" i="5"/>
  <c r="J61" i="5"/>
  <c r="L61" i="5"/>
  <c r="M61" i="5"/>
  <c r="B62" i="5"/>
  <c r="D62" i="5"/>
  <c r="E62" i="5"/>
  <c r="F62" i="5"/>
  <c r="G62" i="5"/>
  <c r="H62" i="5"/>
  <c r="I62" i="5"/>
  <c r="J62" i="5"/>
  <c r="L62" i="5"/>
  <c r="M62" i="5"/>
  <c r="B63" i="5"/>
  <c r="D63" i="5"/>
  <c r="E63" i="5"/>
  <c r="F63" i="5"/>
  <c r="G63" i="5"/>
  <c r="H63" i="5"/>
  <c r="I63" i="5"/>
  <c r="J63" i="5"/>
  <c r="L63" i="5"/>
  <c r="M63" i="5"/>
  <c r="B64" i="5"/>
  <c r="D64" i="5"/>
  <c r="E64" i="5"/>
  <c r="F64" i="5"/>
  <c r="G64" i="5"/>
  <c r="H64" i="5"/>
  <c r="I64" i="5"/>
  <c r="J64" i="5"/>
  <c r="L64" i="5"/>
  <c r="M64" i="5"/>
  <c r="B65" i="5"/>
  <c r="D65" i="5"/>
  <c r="E65" i="5"/>
  <c r="F65" i="5"/>
  <c r="G65" i="5"/>
  <c r="H65" i="5"/>
  <c r="I65" i="5"/>
  <c r="J65" i="5"/>
  <c r="L65" i="5"/>
  <c r="M65" i="5"/>
  <c r="B66" i="5"/>
  <c r="M66" i="5" s="1"/>
  <c r="D66" i="5"/>
  <c r="E66" i="5"/>
  <c r="F66" i="5"/>
  <c r="G66" i="5"/>
  <c r="H66" i="5"/>
  <c r="I66" i="5"/>
  <c r="J66" i="5"/>
  <c r="L66" i="5"/>
  <c r="B67" i="5"/>
  <c r="D67" i="5"/>
  <c r="E67" i="5"/>
  <c r="F67" i="5"/>
  <c r="G67" i="5"/>
  <c r="H67" i="5"/>
  <c r="I67" i="5"/>
  <c r="J67" i="5"/>
  <c r="L67" i="5"/>
  <c r="M67" i="5"/>
  <c r="B68" i="5"/>
  <c r="D68" i="5"/>
  <c r="E68" i="5"/>
  <c r="F68" i="5"/>
  <c r="G68" i="5"/>
  <c r="H68" i="5"/>
  <c r="I68" i="5"/>
  <c r="J68" i="5"/>
  <c r="L68" i="5"/>
  <c r="M68" i="5"/>
  <c r="B69" i="5"/>
  <c r="D69" i="5"/>
  <c r="E69" i="5"/>
  <c r="F69" i="5"/>
  <c r="G69" i="5"/>
  <c r="H69" i="5"/>
  <c r="I69" i="5"/>
  <c r="J69" i="5"/>
  <c r="L69" i="5"/>
  <c r="M69" i="5"/>
  <c r="B70" i="5"/>
  <c r="M70" i="5" s="1"/>
  <c r="D70" i="5"/>
  <c r="E70" i="5"/>
  <c r="F70" i="5"/>
  <c r="G70" i="5"/>
  <c r="H70" i="5"/>
  <c r="I70" i="5"/>
  <c r="J70" i="5"/>
  <c r="L70" i="5"/>
  <c r="B71" i="5"/>
  <c r="D71" i="5"/>
  <c r="E71" i="5"/>
  <c r="F71" i="5"/>
  <c r="G71" i="5"/>
  <c r="H71" i="5"/>
  <c r="I71" i="5"/>
  <c r="J71" i="5"/>
  <c r="L71" i="5"/>
  <c r="M71" i="5"/>
  <c r="B72" i="5"/>
  <c r="M72" i="5" s="1"/>
  <c r="D72" i="5"/>
  <c r="E72" i="5"/>
  <c r="F72" i="5"/>
  <c r="G72" i="5"/>
  <c r="H72" i="5"/>
  <c r="I72" i="5"/>
  <c r="J72" i="5"/>
  <c r="L72" i="5"/>
  <c r="B73" i="5"/>
  <c r="D73" i="5"/>
  <c r="E73" i="5"/>
  <c r="F73" i="5"/>
  <c r="G73" i="5"/>
  <c r="H73" i="5"/>
  <c r="I73" i="5"/>
  <c r="J73" i="5"/>
  <c r="L73" i="5"/>
  <c r="M73" i="5"/>
  <c r="B74" i="5"/>
  <c r="M74" i="5" s="1"/>
  <c r="D74" i="5"/>
  <c r="E74" i="5"/>
  <c r="F74" i="5"/>
  <c r="G74" i="5"/>
  <c r="H74" i="5"/>
  <c r="I74" i="5"/>
  <c r="J74" i="5"/>
  <c r="L74" i="5"/>
  <c r="B75" i="5"/>
  <c r="D75" i="5"/>
  <c r="E75" i="5"/>
  <c r="F75" i="5"/>
  <c r="G75" i="5"/>
  <c r="H75" i="5"/>
  <c r="I75" i="5"/>
  <c r="J75" i="5"/>
  <c r="L75" i="5"/>
  <c r="M75" i="5"/>
  <c r="B76" i="5"/>
  <c r="M76" i="5" s="1"/>
  <c r="D76" i="5"/>
  <c r="E76" i="5"/>
  <c r="F76" i="5"/>
  <c r="G76" i="5"/>
  <c r="H76" i="5"/>
  <c r="I76" i="5"/>
  <c r="J76" i="5"/>
  <c r="L76" i="5"/>
  <c r="B77" i="5"/>
  <c r="D77" i="5"/>
  <c r="E77" i="5"/>
  <c r="F77" i="5"/>
  <c r="G77" i="5"/>
  <c r="H77" i="5"/>
  <c r="I77" i="5"/>
  <c r="J77" i="5"/>
  <c r="L77" i="5"/>
  <c r="M77" i="5"/>
  <c r="B78" i="5"/>
  <c r="M78" i="5" s="1"/>
  <c r="D78" i="5"/>
  <c r="E78" i="5"/>
  <c r="F78" i="5"/>
  <c r="G78" i="5"/>
  <c r="H78" i="5"/>
  <c r="I78" i="5"/>
  <c r="J78" i="5"/>
  <c r="L78" i="5"/>
  <c r="B79" i="5"/>
  <c r="D79" i="5"/>
  <c r="E79" i="5"/>
  <c r="F79" i="5"/>
  <c r="G79" i="5"/>
  <c r="H79" i="5"/>
  <c r="I79" i="5"/>
  <c r="J79" i="5"/>
  <c r="L79" i="5"/>
  <c r="M79" i="5"/>
  <c r="B80" i="5"/>
  <c r="M80" i="5" s="1"/>
  <c r="D80" i="5"/>
  <c r="E80" i="5"/>
  <c r="F80" i="5"/>
  <c r="G80" i="5"/>
  <c r="H80" i="5"/>
  <c r="I80" i="5"/>
  <c r="J80" i="5"/>
  <c r="L80" i="5"/>
  <c r="M6" i="5" l="1"/>
  <c r="L94" i="4"/>
  <c r="M94" i="4" s="1"/>
  <c r="L84" i="4"/>
  <c r="M84" i="4" s="1"/>
  <c r="L74" i="4"/>
  <c r="M74" i="4" s="1"/>
  <c r="L64" i="4"/>
  <c r="M64" i="4" s="1"/>
  <c r="L54" i="4"/>
  <c r="M54" i="4" s="1"/>
  <c r="L44" i="4"/>
  <c r="M44" i="4" s="1"/>
  <c r="L9" i="5"/>
  <c r="L43" i="4"/>
  <c r="M43" i="4" s="1"/>
  <c r="L42" i="4"/>
  <c r="M42" i="4" s="1"/>
  <c r="L90" i="4"/>
  <c r="M90" i="4" s="1"/>
  <c r="L80" i="4"/>
  <c r="M80" i="4" s="1"/>
  <c r="L70" i="4"/>
  <c r="M70" i="4" s="1"/>
  <c r="L60" i="4"/>
  <c r="M60" i="4" s="1"/>
  <c r="L50" i="4"/>
  <c r="M50" i="4" s="1"/>
  <c r="L40" i="4"/>
  <c r="M40" i="4" s="1"/>
  <c r="L89" i="4"/>
  <c r="M89" i="4" s="1"/>
  <c r="L79" i="4"/>
  <c r="M79" i="4" s="1"/>
  <c r="L69" i="4"/>
  <c r="M69" i="4" s="1"/>
  <c r="L59" i="4"/>
  <c r="M59" i="4" s="1"/>
  <c r="L49" i="4"/>
  <c r="M49" i="4" s="1"/>
  <c r="L39" i="4"/>
  <c r="M39" i="4" s="1"/>
  <c r="L88" i="4"/>
  <c r="M88" i="4" s="1"/>
  <c r="L78" i="4"/>
  <c r="M78" i="4" s="1"/>
  <c r="L68" i="4"/>
  <c r="M68" i="4" s="1"/>
  <c r="L58" i="4"/>
  <c r="M58" i="4" s="1"/>
  <c r="L48" i="4"/>
  <c r="M48" i="4" s="1"/>
  <c r="L38" i="4"/>
  <c r="M38" i="4" s="1"/>
  <c r="L97" i="4"/>
  <c r="M97" i="4" s="1"/>
  <c r="L87" i="4"/>
  <c r="M87" i="4" s="1"/>
  <c r="L77" i="4"/>
  <c r="M77" i="4" s="1"/>
  <c r="L67" i="4"/>
  <c r="M67" i="4" s="1"/>
  <c r="L57" i="4"/>
  <c r="M57" i="4" s="1"/>
  <c r="L47" i="4"/>
  <c r="M47" i="4" s="1"/>
  <c r="L95" i="4"/>
  <c r="M95" i="4" s="1"/>
  <c r="L85" i="4"/>
  <c r="M85" i="4" s="1"/>
  <c r="L75" i="4"/>
  <c r="M75" i="4" s="1"/>
  <c r="L65" i="4"/>
  <c r="M65" i="4" s="1"/>
  <c r="L55" i="4"/>
  <c r="M55" i="4" s="1"/>
  <c r="M23" i="4" l="1"/>
  <c r="L10" i="5"/>
  <c r="M5" i="5"/>
  <c r="M7" i="5"/>
  <c r="M22" i="4" l="1"/>
  <c r="M24" i="4"/>
  <c r="L27" i="4"/>
</calcChain>
</file>

<file path=xl/sharedStrings.xml><?xml version="1.0" encoding="utf-8"?>
<sst xmlns="http://schemas.openxmlformats.org/spreadsheetml/2006/main" count="323" uniqueCount="142">
  <si>
    <t>Equity3.XLS</t>
  </si>
  <si>
    <t>Performance Measurement</t>
  </si>
  <si>
    <t>Performance Measures using Swiss Ln Xs Returns</t>
  </si>
  <si>
    <t>Excess Returns</t>
  </si>
  <si>
    <t>Four Performance Measures</t>
  </si>
  <si>
    <t>Index</t>
  </si>
  <si>
    <t>UBS</t>
  </si>
  <si>
    <t>CS</t>
  </si>
  <si>
    <t>Zurich Ins</t>
  </si>
  <si>
    <t>Winterthur</t>
  </si>
  <si>
    <t>Roche</t>
  </si>
  <si>
    <t>Sandoz</t>
  </si>
  <si>
    <t>Ciba-Geigy</t>
  </si>
  <si>
    <t>Swissair</t>
  </si>
  <si>
    <t>Mean</t>
  </si>
  <si>
    <t>ShareA</t>
  </si>
  <si>
    <t>Sharpe</t>
  </si>
  <si>
    <t>Treynor</t>
  </si>
  <si>
    <t>Total Risk (Mth)</t>
  </si>
  <si>
    <t>Jensen</t>
  </si>
  <si>
    <t>Spec Risk (Mth)</t>
  </si>
  <si>
    <t>Appraisal</t>
  </si>
  <si>
    <t>Alpha</t>
  </si>
  <si>
    <t>Beta</t>
  </si>
  <si>
    <t>Corr (Share, Index)</t>
  </si>
  <si>
    <t>Mth</t>
  </si>
  <si>
    <t>Active-Passive Exercise (Treynor-Black)</t>
  </si>
  <si>
    <t>Exp Rew</t>
  </si>
  <si>
    <t>Risk-free rate</t>
  </si>
  <si>
    <t>Share 1</t>
  </si>
  <si>
    <t>Factor</t>
  </si>
  <si>
    <t>Equity risk premium</t>
  </si>
  <si>
    <t>Share 2</t>
  </si>
  <si>
    <t>Equity market risk</t>
  </si>
  <si>
    <t>Share 3</t>
  </si>
  <si>
    <t>RRA value (A)</t>
  </si>
  <si>
    <t>Share 4</t>
  </si>
  <si>
    <t>A: Find Optimal Active Portfolio</t>
  </si>
  <si>
    <t>Spec Risk</t>
  </si>
  <si>
    <t>Rew / Var</t>
  </si>
  <si>
    <t>Weight</t>
  </si>
  <si>
    <t>Optimal Active Portfolio</t>
  </si>
  <si>
    <t>B: Find Optimal Risky Portfolio</t>
  </si>
  <si>
    <t>Active</t>
  </si>
  <si>
    <t>Passive</t>
  </si>
  <si>
    <t>Solve Prob2 : optimal risky weights</t>
  </si>
  <si>
    <t>For data table</t>
  </si>
  <si>
    <t>Return above CAPM</t>
  </si>
  <si>
    <t>Return above Rf</t>
  </si>
  <si>
    <t>wt active</t>
  </si>
  <si>
    <t>w act</t>
  </si>
  <si>
    <t>Return</t>
  </si>
  <si>
    <t>wt passive</t>
  </si>
  <si>
    <t>w pass</t>
  </si>
  <si>
    <t>Optimal risky portfolio</t>
  </si>
  <si>
    <t>risky portfolio</t>
  </si>
  <si>
    <t>Xs return</t>
  </si>
  <si>
    <t>Spec risk</t>
  </si>
  <si>
    <t>Total risk</t>
  </si>
  <si>
    <t>corr(a,p)</t>
  </si>
  <si>
    <t>Sharpe ratio</t>
  </si>
  <si>
    <t>C: Find Optimal Portfolio</t>
  </si>
  <si>
    <t>Solve Prob1 : split between risk-free and risky</t>
  </si>
  <si>
    <t>Risk-free</t>
  </si>
  <si>
    <t>w riskless</t>
  </si>
  <si>
    <t>Risky</t>
  </si>
  <si>
    <t>w risky</t>
  </si>
  <si>
    <t>Optimal portfolio</t>
  </si>
  <si>
    <t>optimal</t>
  </si>
  <si>
    <t>Style Analysis</t>
  </si>
  <si>
    <t>Solver - Style Model</t>
  </si>
  <si>
    <t xml:space="preserve">Mean Error </t>
  </si>
  <si>
    <t>Target cell</t>
  </si>
  <si>
    <t>M5</t>
  </si>
  <si>
    <t>EV*10,000</t>
  </si>
  <si>
    <t>Changing cells</t>
  </si>
  <si>
    <t>D16..J16</t>
  </si>
  <si>
    <t>Error Variance</t>
  </si>
  <si>
    <t>Constraints</t>
  </si>
  <si>
    <t>C15..J15 &gt;= 0</t>
  </si>
  <si>
    <t>Active Std Deviation</t>
  </si>
  <si>
    <t>C17..J17 &lt;= 1</t>
  </si>
  <si>
    <t>Aset Variance</t>
  </si>
  <si>
    <t>Style R-sqd</t>
  </si>
  <si>
    <t>Style Weights</t>
  </si>
  <si>
    <t>Index1</t>
  </si>
  <si>
    <t>Index2</t>
  </si>
  <si>
    <t>Index3</t>
  </si>
  <si>
    <t>Index4</t>
  </si>
  <si>
    <t>Index5</t>
  </si>
  <si>
    <t>Index6</t>
  </si>
  <si>
    <t>Index7</t>
  </si>
  <si>
    <t>Index8</t>
  </si>
  <si>
    <t>min</t>
  </si>
  <si>
    <t>weight</t>
  </si>
  <si>
    <t>max</t>
  </si>
  <si>
    <t>FundA</t>
  </si>
  <si>
    <t>Style</t>
  </si>
  <si>
    <t>Error</t>
  </si>
  <si>
    <t>Rolling Period Style Analysis - Exposure</t>
  </si>
  <si>
    <t>Solver - Exposure Model</t>
  </si>
  <si>
    <t>M22</t>
  </si>
  <si>
    <t>ExpObs</t>
  </si>
  <si>
    <t>D33..J33</t>
  </si>
  <si>
    <t>SMonth</t>
  </si>
  <si>
    <t>C32..J32 &gt;= 0</t>
  </si>
  <si>
    <t>EMonth</t>
  </si>
  <si>
    <t>C34..J34 &lt;= 1</t>
  </si>
  <si>
    <t>Exposure Weights</t>
  </si>
  <si>
    <t>exp1</t>
  </si>
  <si>
    <t>mths 1-24</t>
  </si>
  <si>
    <t>exp2</t>
  </si>
  <si>
    <t>mths 7-30</t>
  </si>
  <si>
    <t>exp3</t>
  </si>
  <si>
    <t>mths 13-36</t>
  </si>
  <si>
    <t>exp4</t>
  </si>
  <si>
    <t>mths 19-42</t>
  </si>
  <si>
    <t>exp5</t>
  </si>
  <si>
    <t>mths 25-48</t>
  </si>
  <si>
    <t>exp6</t>
  </si>
  <si>
    <t>mths 31-54</t>
  </si>
  <si>
    <t>exp7</t>
  </si>
  <si>
    <t>mths 37-60</t>
  </si>
  <si>
    <t>Carry out Style Analysis for each chosen sub-period</t>
  </si>
  <si>
    <t>Style R-sqrd</t>
  </si>
  <si>
    <t>Exposure</t>
  </si>
  <si>
    <t>Confidence Intervals for Style Weights (see Lobosco &amp; DiBartolomeo, 1997)</t>
  </si>
  <si>
    <t>Solver - Style Model for Confidence Intervals</t>
  </si>
  <si>
    <t>Correlation Matrix for Style Index Returns</t>
  </si>
  <si>
    <t>Confidence Intervals for Style Weights</t>
  </si>
  <si>
    <t>M6</t>
  </si>
  <si>
    <t>Active Std Deviation for Style</t>
  </si>
  <si>
    <t>E14..J14</t>
  </si>
  <si>
    <t>Observations</t>
  </si>
  <si>
    <t>Non-zero style weights</t>
  </si>
  <si>
    <t>j *</t>
  </si>
  <si>
    <t>non-zero</t>
  </si>
  <si>
    <t>Index ASD</t>
  </si>
  <si>
    <t>Weight (SE)</t>
  </si>
  <si>
    <t>Index Returns for Style Analysis</t>
  </si>
  <si>
    <t>T-statistic</t>
  </si>
  <si>
    <t>Indexj*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</si>
</sst>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000"/>
    <numFmt numFmtId="173" formatCode="0.0%"/>
    <numFmt numFmtId="174" formatCode="0.000"/>
    <numFmt numFmtId="179" formatCode="0.0"/>
  </numFmts>
  <fonts count="5" x14ac:knownFonts="1">
    <font>
      <sz val="10"/>
      <name val="Times New Roman"/>
    </font>
    <font>
      <b/>
      <sz val="10"/>
      <name val="Times New Roman"/>
    </font>
    <font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172" fontId="3" fillId="0" borderId="0" xfId="1" applyNumberFormat="1" applyFont="1"/>
    <xf numFmtId="1" fontId="3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73" fontId="0" fillId="0" borderId="0" xfId="0" applyNumberFormat="1"/>
    <xf numFmtId="173" fontId="1" fillId="0" borderId="0" xfId="0" applyNumberFormat="1" applyFont="1"/>
    <xf numFmtId="174" fontId="3" fillId="0" borderId="0" xfId="1" applyNumberFormat="1" applyFont="1"/>
    <xf numFmtId="174" fontId="3" fillId="0" borderId="0" xfId="1" applyNumberFormat="1" applyFont="1" applyAlignment="1">
      <alignment horizontal="right"/>
    </xf>
    <xf numFmtId="0" fontId="0" fillId="0" borderId="0" xfId="0" quotePrefix="1" applyAlignment="1">
      <alignment horizontal="left"/>
    </xf>
    <xf numFmtId="174" fontId="1" fillId="0" borderId="0" xfId="1" applyNumberFormat="1" applyFont="1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right"/>
    </xf>
    <xf numFmtId="172" fontId="1" fillId="0" borderId="0" xfId="0" applyNumberFormat="1" applyFont="1"/>
    <xf numFmtId="2" fontId="0" fillId="0" borderId="0" xfId="0" applyNumberFormat="1"/>
    <xf numFmtId="174" fontId="0" fillId="0" borderId="0" xfId="0" applyNumberFormat="1"/>
    <xf numFmtId="10" fontId="0" fillId="0" borderId="0" xfId="2" applyNumberFormat="1" applyFont="1"/>
    <xf numFmtId="0" fontId="0" fillId="0" borderId="0" xfId="0" applyNumberFormat="1"/>
    <xf numFmtId="174" fontId="2" fillId="0" borderId="0" xfId="1" applyNumberFormat="1" applyFont="1"/>
    <xf numFmtId="10" fontId="0" fillId="0" borderId="0" xfId="0" applyNumberFormat="1"/>
    <xf numFmtId="174" fontId="1" fillId="0" borderId="0" xfId="0" applyNumberFormat="1" applyFont="1"/>
    <xf numFmtId="0" fontId="1" fillId="0" borderId="0" xfId="0" applyFont="1" applyAlignment="1"/>
    <xf numFmtId="0" fontId="1" fillId="0" borderId="0" xfId="0" applyFont="1" applyAlignment="1">
      <alignment horizontal="right"/>
    </xf>
    <xf numFmtId="172" fontId="0" fillId="0" borderId="0" xfId="0" applyNumberFormat="1"/>
    <xf numFmtId="0" fontId="2" fillId="0" borderId="0" xfId="0" applyFont="1"/>
    <xf numFmtId="1" fontId="0" fillId="0" borderId="0" xfId="0" applyNumberFormat="1"/>
    <xf numFmtId="179" fontId="1" fillId="0" borderId="0" xfId="0" applyNumberFormat="1" applyFont="1"/>
    <xf numFmtId="2" fontId="1" fillId="0" borderId="0" xfId="0" applyNumberFormat="1" applyFont="1"/>
    <xf numFmtId="173" fontId="2" fillId="0" borderId="0" xfId="0" applyNumberFormat="1" applyFont="1"/>
    <xf numFmtId="2" fontId="2" fillId="0" borderId="0" xfId="0" applyNumberFormat="1" applyFont="1"/>
    <xf numFmtId="10" fontId="1" fillId="0" borderId="0" xfId="0" applyNumberFormat="1" applyFont="1"/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right"/>
    </xf>
    <xf numFmtId="0" fontId="0" fillId="0" borderId="0" xfId="0" applyAlignment="1">
      <alignment horizontal="centerContinuous"/>
    </xf>
    <xf numFmtId="172" fontId="0" fillId="0" borderId="0" xfId="0" applyNumberFormat="1" applyBorder="1"/>
    <xf numFmtId="10" fontId="0" fillId="0" borderId="0" xfId="0" applyNumberFormat="1" applyBorder="1"/>
    <xf numFmtId="0" fontId="0" fillId="0" borderId="0" xfId="0" applyBorder="1"/>
    <xf numFmtId="2" fontId="1" fillId="0" borderId="0" xfId="0" applyNumberFormat="1" applyFont="1" applyBorder="1"/>
    <xf numFmtId="173" fontId="1" fillId="0" borderId="0" xfId="0" applyNumberFormat="1" applyFont="1" applyBorder="1"/>
    <xf numFmtId="173" fontId="0" fillId="0" borderId="0" xfId="0" applyNumberFormat="1" applyBorder="1"/>
    <xf numFmtId="174" fontId="1" fillId="0" borderId="0" xfId="1" applyNumberFormat="1" applyFont="1" applyBorder="1"/>
    <xf numFmtId="174" fontId="2" fillId="0" borderId="0" xfId="1" applyNumberFormat="1" applyFont="1" applyBorder="1"/>
  </cellXfs>
  <cellStyles count="3">
    <cellStyle name="Normal" xfId="0" builtinId="0"/>
    <cellStyle name="Normal_Style" xfId="1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Active-Passive Exercise</a:t>
            </a:r>
          </a:p>
        </c:rich>
      </c:tx>
      <c:layout>
        <c:manualLayout>
          <c:xMode val="edge"/>
          <c:yMode val="edge"/>
          <c:x val="0.4151724137931034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827586206896552E-2"/>
          <c:y val="0.1425339366515837"/>
          <c:w val="0.85931034482758617"/>
          <c:h val="0.71153846153846156"/>
        </c:manualLayout>
      </c:layout>
      <c:scatterChart>
        <c:scatterStyle val="lineMarker"/>
        <c:varyColors val="0"/>
        <c:ser>
          <c:idx val="0"/>
          <c:order val="0"/>
          <c:tx>
            <c:v>Problem2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1400" b="1" i="0" u="none" strike="noStrike" baseline="0">
                        <a:solidFill>
                          <a:srgbClr val="000000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en-GB"/>
                      <a:t>Passive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99-42CD-8D48-380676E14E0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1400" b="1" i="0" u="none" strike="noStrike" baseline="0">
                        <a:solidFill>
                          <a:srgbClr val="000000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en-GB"/>
                      <a:t>Active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99-42CD-8D48-380676E14E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AP!$P$59:$P$85</c:f>
              <c:numCache>
                <c:formatCode>0.0%</c:formatCode>
                <c:ptCount val="27"/>
                <c:pt idx="0">
                  <c:v>0.2</c:v>
                </c:pt>
                <c:pt idx="1">
                  <c:v>0.20691381897710148</c:v>
                </c:pt>
                <c:pt idx="2">
                  <c:v>0.21660633527356873</c:v>
                </c:pt>
                <c:pt idx="3">
                  <c:v>0.22872456796520754</c:v>
                </c:pt>
                <c:pt idx="4">
                  <c:v>0.24290574100742093</c:v>
                </c:pt>
                <c:pt idx="5">
                  <c:v>0.25881096876122911</c:v>
                </c:pt>
                <c:pt idx="6">
                  <c:v>0.27614250596595191</c:v>
                </c:pt>
                <c:pt idx="7">
                  <c:v>0.29464876915482585</c:v>
                </c:pt>
                <c:pt idx="8">
                  <c:v>0.31412220271897401</c:v>
                </c:pt>
                <c:pt idx="9">
                  <c:v>0.33439387977481705</c:v>
                </c:pt>
                <c:pt idx="10">
                  <c:v>0.355327205451479</c:v>
                </c:pt>
                <c:pt idx="11">
                  <c:v>0.34876496914937855</c:v>
                </c:pt>
                <c:pt idx="12">
                  <c:v>0.32551397120608666</c:v>
                </c:pt>
                <c:pt idx="13">
                  <c:v>0.30226297326279478</c:v>
                </c:pt>
                <c:pt idx="14">
                  <c:v>0.27901197531950284</c:v>
                </c:pt>
                <c:pt idx="15">
                  <c:v>0.25576097737621095</c:v>
                </c:pt>
                <c:pt idx="16">
                  <c:v>0.23250997943291904</c:v>
                </c:pt>
                <c:pt idx="17">
                  <c:v>0.20925898148962715</c:v>
                </c:pt>
                <c:pt idx="18">
                  <c:v>0.18600798354633524</c:v>
                </c:pt>
                <c:pt idx="19">
                  <c:v>0.16275698560304333</c:v>
                </c:pt>
                <c:pt idx="20">
                  <c:v>0.13950598765975142</c:v>
                </c:pt>
                <c:pt idx="21">
                  <c:v>0.11625498971645952</c:v>
                </c:pt>
                <c:pt idx="22">
                  <c:v>9.3003991773167621E-2</c:v>
                </c:pt>
                <c:pt idx="23">
                  <c:v>6.9752993829875723E-2</c:v>
                </c:pt>
                <c:pt idx="24">
                  <c:v>4.6501995886583797E-2</c:v>
                </c:pt>
                <c:pt idx="25">
                  <c:v>2.3250997943291898E-2</c:v>
                </c:pt>
                <c:pt idx="26">
                  <c:v>0</c:v>
                </c:pt>
              </c:numCache>
            </c:numRef>
          </c:xVal>
          <c:yVal>
            <c:numRef>
              <c:f>AP!$Q$59:$Q$85</c:f>
              <c:numCache>
                <c:formatCode>0.0%</c:formatCode>
                <c:ptCount val="27"/>
                <c:pt idx="0">
                  <c:v>0.15000000000000002</c:v>
                </c:pt>
                <c:pt idx="1">
                  <c:v>0.15588199798824223</c:v>
                </c:pt>
                <c:pt idx="2">
                  <c:v>0.16176399597648444</c:v>
                </c:pt>
                <c:pt idx="3">
                  <c:v>0.16764599396472668</c:v>
                </c:pt>
                <c:pt idx="4">
                  <c:v>0.17352799195296889</c:v>
                </c:pt>
                <c:pt idx="5">
                  <c:v>0.1794099899412111</c:v>
                </c:pt>
                <c:pt idx="6">
                  <c:v>0.18529198792945334</c:v>
                </c:pt>
                <c:pt idx="7">
                  <c:v>0.19117398591769555</c:v>
                </c:pt>
                <c:pt idx="8">
                  <c:v>0.19705598390593776</c:v>
                </c:pt>
                <c:pt idx="9">
                  <c:v>0.20293798189418003</c:v>
                </c:pt>
                <c:pt idx="10">
                  <c:v>0.20881997988242224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99-42CD-8D48-380676E14E0C}"/>
            </c:ext>
          </c:extLst>
        </c:ser>
        <c:ser>
          <c:idx val="1"/>
          <c:order val="1"/>
          <c:tx>
            <c:v>Problem1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26"/>
              <c:tx>
                <c:rich>
                  <a:bodyPr/>
                  <a:lstStyle/>
                  <a:p>
                    <a:pPr>
                      <a:defRPr sz="1400" b="1" i="0" u="none" strike="noStrike" baseline="0">
                        <a:solidFill>
                          <a:srgbClr val="000000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en-GB"/>
                      <a:t>Risk-Free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99-42CD-8D48-380676E14E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AP!$P$59:$P$85</c:f>
              <c:numCache>
                <c:formatCode>0.0%</c:formatCode>
                <c:ptCount val="27"/>
                <c:pt idx="0">
                  <c:v>0.2</c:v>
                </c:pt>
                <c:pt idx="1">
                  <c:v>0.20691381897710148</c:v>
                </c:pt>
                <c:pt idx="2">
                  <c:v>0.21660633527356873</c:v>
                </c:pt>
                <c:pt idx="3">
                  <c:v>0.22872456796520754</c:v>
                </c:pt>
                <c:pt idx="4">
                  <c:v>0.24290574100742093</c:v>
                </c:pt>
                <c:pt idx="5">
                  <c:v>0.25881096876122911</c:v>
                </c:pt>
                <c:pt idx="6">
                  <c:v>0.27614250596595191</c:v>
                </c:pt>
                <c:pt idx="7">
                  <c:v>0.29464876915482585</c:v>
                </c:pt>
                <c:pt idx="8">
                  <c:v>0.31412220271897401</c:v>
                </c:pt>
                <c:pt idx="9">
                  <c:v>0.33439387977481705</c:v>
                </c:pt>
                <c:pt idx="10">
                  <c:v>0.355327205451479</c:v>
                </c:pt>
                <c:pt idx="11">
                  <c:v>0.34876496914937855</c:v>
                </c:pt>
                <c:pt idx="12">
                  <c:v>0.32551397120608666</c:v>
                </c:pt>
                <c:pt idx="13">
                  <c:v>0.30226297326279478</c:v>
                </c:pt>
                <c:pt idx="14">
                  <c:v>0.27901197531950284</c:v>
                </c:pt>
                <c:pt idx="15">
                  <c:v>0.25576097737621095</c:v>
                </c:pt>
                <c:pt idx="16">
                  <c:v>0.23250997943291904</c:v>
                </c:pt>
                <c:pt idx="17">
                  <c:v>0.20925898148962715</c:v>
                </c:pt>
                <c:pt idx="18">
                  <c:v>0.18600798354633524</c:v>
                </c:pt>
                <c:pt idx="19">
                  <c:v>0.16275698560304333</c:v>
                </c:pt>
                <c:pt idx="20">
                  <c:v>0.13950598765975142</c:v>
                </c:pt>
                <c:pt idx="21">
                  <c:v>0.11625498971645952</c:v>
                </c:pt>
                <c:pt idx="22">
                  <c:v>9.3003991773167621E-2</c:v>
                </c:pt>
                <c:pt idx="23">
                  <c:v>6.9752993829875723E-2</c:v>
                </c:pt>
                <c:pt idx="24">
                  <c:v>4.6501995886583797E-2</c:v>
                </c:pt>
                <c:pt idx="25">
                  <c:v>2.3250997943291898E-2</c:v>
                </c:pt>
                <c:pt idx="26">
                  <c:v>0</c:v>
                </c:pt>
              </c:numCache>
            </c:numRef>
          </c:xVal>
          <c:yVal>
            <c:numRef>
              <c:f>AP!$R$59:$R$85</c:f>
              <c:numCache>
                <c:formatCode>General</c:formatCode>
                <c:ptCount val="27"/>
                <c:pt idx="11" formatCode="0.0%">
                  <c:v>0.21894417567666338</c:v>
                </c:pt>
                <c:pt idx="12" formatCode="0.0%">
                  <c:v>0.20901456396488582</c:v>
                </c:pt>
                <c:pt idx="13" formatCode="0.0%">
                  <c:v>0.19908495225310829</c:v>
                </c:pt>
                <c:pt idx="14" formatCode="0.0%">
                  <c:v>0.18915534054133068</c:v>
                </c:pt>
                <c:pt idx="15" formatCode="0.0%">
                  <c:v>0.17922572882955315</c:v>
                </c:pt>
                <c:pt idx="16" formatCode="0.0%">
                  <c:v>0.16929611711777559</c:v>
                </c:pt>
                <c:pt idx="17" formatCode="0.0%">
                  <c:v>0.15936650540599803</c:v>
                </c:pt>
                <c:pt idx="18" formatCode="0.0%">
                  <c:v>0.1494368936942205</c:v>
                </c:pt>
                <c:pt idx="19" formatCode="0.0%">
                  <c:v>0.13950728198244292</c:v>
                </c:pt>
                <c:pt idx="20" formatCode="0.0%">
                  <c:v>0.12957767027066536</c:v>
                </c:pt>
                <c:pt idx="21" formatCode="0.0%">
                  <c:v>0.1196480585588878</c:v>
                </c:pt>
                <c:pt idx="22" formatCode="0.0%">
                  <c:v>0.10971844684711024</c:v>
                </c:pt>
                <c:pt idx="23" formatCode="0.0%">
                  <c:v>9.9788835135332682E-2</c:v>
                </c:pt>
                <c:pt idx="24" formatCode="0.0%">
                  <c:v>8.9859223423555123E-2</c:v>
                </c:pt>
                <c:pt idx="25" formatCode="0.0%">
                  <c:v>7.9929611711777565E-2</c:v>
                </c:pt>
                <c:pt idx="26" formatCode="0.0%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99-42CD-8D48-380676E14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183839"/>
        <c:axId val="1"/>
      </c:scatterChart>
      <c:valAx>
        <c:axId val="877183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risk</a:t>
                </a:r>
              </a:p>
            </c:rich>
          </c:tx>
          <c:layout>
            <c:manualLayout>
              <c:xMode val="edge"/>
              <c:yMode val="edge"/>
              <c:x val="0.47448275862068967"/>
              <c:y val="0.9083710407239818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return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1968325791855204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7718383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9241379310344828"/>
          <c:y val="0.95248868778280538"/>
          <c:w val="0.44689655172413795"/>
          <c:h val="3.959276018099547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horizontalDpi="4294967292" verticalDpi="300" r:id="rId1"/>
  <headerFooter alignWithMargins="0">
    <oddHeader>&amp;A</oddHeader>
    <oddFooter>Page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72552-8BBB-4B45-AA8B-5D1541E555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1"/>
  <sheetViews>
    <sheetView tabSelected="1" workbookViewId="0"/>
  </sheetViews>
  <sheetFormatPr defaultRowHeight="13" x14ac:dyDescent="0.3"/>
  <cols>
    <col min="2" max="2" width="15.69921875" customWidth="1"/>
    <col min="5" max="5" width="5.796875" customWidth="1"/>
    <col min="6" max="6" width="9.796875" customWidth="1"/>
    <col min="9" max="9" width="5.796875" customWidth="1"/>
    <col min="11" max="11" width="5.796875" customWidth="1"/>
    <col min="12" max="12" width="8.69921875" customWidth="1"/>
    <col min="16" max="16" width="10.796875" customWidth="1"/>
    <col min="17" max="17" width="11.796875" customWidth="1"/>
    <col min="19" max="19" width="9.296875" customWidth="1"/>
    <col min="20" max="20" width="11.296875" customWidth="1"/>
  </cols>
  <sheetData>
    <row r="1" spans="1:21" x14ac:dyDescent="0.3">
      <c r="A1" s="12" t="s">
        <v>0</v>
      </c>
      <c r="L1" s="12" t="s">
        <v>0</v>
      </c>
    </row>
    <row r="2" spans="1:21" x14ac:dyDescent="0.3">
      <c r="A2" s="1" t="s">
        <v>1</v>
      </c>
      <c r="L2" s="12" t="s">
        <v>2</v>
      </c>
    </row>
    <row r="3" spans="1:21" x14ac:dyDescent="0.3">
      <c r="A3" s="1"/>
    </row>
    <row r="4" spans="1:21" x14ac:dyDescent="0.3">
      <c r="B4" s="22" t="s">
        <v>3</v>
      </c>
      <c r="F4" s="1" t="s">
        <v>4</v>
      </c>
      <c r="M4" s="23" t="s">
        <v>5</v>
      </c>
      <c r="N4" s="33" t="s">
        <v>6</v>
      </c>
      <c r="O4" s="33" t="s">
        <v>7</v>
      </c>
      <c r="P4" s="23" t="s">
        <v>8</v>
      </c>
      <c r="Q4" s="33" t="s">
        <v>9</v>
      </c>
      <c r="R4" s="23" t="s">
        <v>10</v>
      </c>
      <c r="S4" s="23" t="s">
        <v>11</v>
      </c>
      <c r="T4" s="23" t="s">
        <v>12</v>
      </c>
      <c r="U4" s="23" t="s">
        <v>13</v>
      </c>
    </row>
    <row r="6" spans="1:21" x14ac:dyDescent="0.3">
      <c r="B6" t="s">
        <v>14</v>
      </c>
      <c r="C6" s="20">
        <f t="shared" ref="C6:D6" si="0">AVERAGE(C20:C79)</f>
        <v>1.2694999999999996E-2</v>
      </c>
      <c r="D6" s="20">
        <f t="shared" si="0"/>
        <v>7.7816666666666642E-3</v>
      </c>
      <c r="H6" s="23" t="s">
        <v>15</v>
      </c>
      <c r="J6" s="23" t="s">
        <v>5</v>
      </c>
      <c r="K6" s="23"/>
      <c r="L6" s="1" t="s">
        <v>16</v>
      </c>
      <c r="M6" s="24">
        <f t="shared" ref="M6:N6" si="1">PortfolioSharpeRatio(M20:M79)</f>
        <v>0.12279116637583048</v>
      </c>
      <c r="N6" s="24">
        <f t="shared" si="1"/>
        <v>0.15383363686578214</v>
      </c>
      <c r="O6" s="24">
        <f t="shared" ref="O6:U6" si="2">PortfolioSharpeRatio(O20:O79)</f>
        <v>6.2692554270290649E-2</v>
      </c>
      <c r="P6" s="24">
        <f t="shared" si="2"/>
        <v>1.0021747390624704E-2</v>
      </c>
      <c r="Q6" s="24">
        <f t="shared" si="2"/>
        <v>-4.8503795182670353E-2</v>
      </c>
      <c r="R6" s="24">
        <f t="shared" si="2"/>
        <v>0.33936782200865212</v>
      </c>
      <c r="S6" s="24">
        <f t="shared" si="2"/>
        <v>0.11024406684292432</v>
      </c>
      <c r="T6" s="24">
        <f t="shared" si="2"/>
        <v>3.0983941901943503E-3</v>
      </c>
      <c r="U6" s="24">
        <f t="shared" si="2"/>
        <v>-9.8552863542814614E-4</v>
      </c>
    </row>
    <row r="7" spans="1:21" x14ac:dyDescent="0.3">
      <c r="L7" s="1" t="s">
        <v>17</v>
      </c>
      <c r="M7" s="24">
        <f t="shared" ref="M7:N7" si="3">PortfolioTreynorRatio(M20:M79,$M20:$M79)</f>
        <v>5.7133333333333342E-3</v>
      </c>
      <c r="N7" s="24">
        <f t="shared" si="3"/>
        <v>8.8402229270314048E-3</v>
      </c>
      <c r="O7" s="24">
        <f t="shared" ref="O7:U7" si="4">PortfolioTreynorRatio(O20:O79,$M20:$M79)</f>
        <v>3.751778600083279E-3</v>
      </c>
      <c r="P7" s="24">
        <f t="shared" si="4"/>
        <v>6.2818501463036622E-4</v>
      </c>
      <c r="Q7" s="24">
        <f t="shared" si="4"/>
        <v>-3.2042878589111628E-3</v>
      </c>
      <c r="R7" s="24">
        <f t="shared" si="4"/>
        <v>2.2091227233649525E-2</v>
      </c>
      <c r="S7" s="24">
        <f t="shared" si="4"/>
        <v>6.7489304570815681E-3</v>
      </c>
      <c r="T7" s="24">
        <f t="shared" si="4"/>
        <v>1.7845503830019106E-4</v>
      </c>
      <c r="U7" s="24">
        <f t="shared" si="4"/>
        <v>-8.1890109294777537E-5</v>
      </c>
    </row>
    <row r="8" spans="1:21" x14ac:dyDescent="0.3">
      <c r="B8" s="10" t="s">
        <v>18</v>
      </c>
      <c r="C8" s="20">
        <f t="shared" ref="C8:D8" si="5">STDEV(C20:C79)</f>
        <v>8.1687545313358714E-2</v>
      </c>
      <c r="D8" s="20">
        <f t="shared" si="5"/>
        <v>3.738269558737746E-2</v>
      </c>
      <c r="F8" t="s">
        <v>16</v>
      </c>
      <c r="H8" s="35">
        <f>C6/C8</f>
        <v>0.15540924814549334</v>
      </c>
      <c r="J8" s="35">
        <f>D6/D8</f>
        <v>0.2081622671772819</v>
      </c>
      <c r="K8" s="24"/>
      <c r="L8" s="1" t="s">
        <v>19</v>
      </c>
      <c r="M8" s="20">
        <f t="shared" ref="M8:N8" si="6">PortfolioAlpha(M20:M79,$M20:$M79)</f>
        <v>0</v>
      </c>
      <c r="N8" s="20">
        <f t="shared" si="6"/>
        <v>3.5223782395081681E-3</v>
      </c>
      <c r="O8" s="20">
        <f t="shared" ref="O8:U8" si="7">PortfolioAlpha(O20:O79,$M20:$M79)</f>
        <v>-2.4712586644343709E-3</v>
      </c>
      <c r="P8" s="20">
        <f t="shared" si="7"/>
        <v>-5.7609310460969478E-3</v>
      </c>
      <c r="Q8" s="20">
        <f t="shared" si="7"/>
        <v>-9.9122162380162263E-3</v>
      </c>
      <c r="R8" s="20">
        <f t="shared" si="7"/>
        <v>1.4853457475328622E-2</v>
      </c>
      <c r="S8" s="20">
        <f t="shared" si="7"/>
        <v>1.0869099442050055E-3</v>
      </c>
      <c r="T8" s="20">
        <f t="shared" si="7"/>
        <v>-6.4098770117994768E-3</v>
      </c>
      <c r="U8" s="20">
        <f t="shared" si="7"/>
        <v>-6.015305106630355E-3</v>
      </c>
    </row>
    <row r="9" spans="1:21" x14ac:dyDescent="0.3">
      <c r="B9" s="10" t="s">
        <v>20</v>
      </c>
      <c r="C9" s="20">
        <f>SQRT(C8^2-(C13*D8)^2)</f>
        <v>5.9392739364323439E-2</v>
      </c>
      <c r="D9" s="20">
        <v>0</v>
      </c>
      <c r="L9" s="1" t="s">
        <v>21</v>
      </c>
      <c r="M9" s="24"/>
      <c r="N9" s="24">
        <f>PortfolioAppraisalRatio(N20:N79,$M20:$M79)</f>
        <v>9.1926353561151058E-2</v>
      </c>
      <c r="O9" s="24">
        <f t="shared" ref="O9:U9" si="8">PortfolioAppraisalRatio(O20:O79,$M20:$M79)</f>
        <v>-5.1677155405126705E-2</v>
      </c>
      <c r="P9" s="24">
        <f t="shared" si="8"/>
        <v>-0.12004039478419931</v>
      </c>
      <c r="Q9" s="24">
        <f t="shared" si="8"/>
        <v>-0.18853471577503453</v>
      </c>
      <c r="R9" s="24">
        <f t="shared" si="8"/>
        <v>0.35670038082163813</v>
      </c>
      <c r="S9" s="24">
        <f t="shared" si="8"/>
        <v>2.5809344121460159E-2</v>
      </c>
      <c r="T9" s="24">
        <f t="shared" si="8"/>
        <v>-0.16165967948011076</v>
      </c>
      <c r="U9" s="24">
        <f t="shared" si="8"/>
        <v>-8.3463124642724582E-2</v>
      </c>
    </row>
    <row r="10" spans="1:21" x14ac:dyDescent="0.3">
      <c r="F10" t="s">
        <v>17</v>
      </c>
      <c r="H10" s="35">
        <f>C6/C13</f>
        <v>8.4619081594150998E-3</v>
      </c>
      <c r="J10" s="35">
        <f>D6/D13</f>
        <v>7.7816666666666642E-3</v>
      </c>
    </row>
    <row r="11" spans="1:21" x14ac:dyDescent="0.3">
      <c r="B11" s="10" t="s">
        <v>22</v>
      </c>
      <c r="C11" s="20">
        <f t="shared" ref="C11:D11" si="9">INTERCEPT(C20:C79,$D$20:$D$79)</f>
        <v>1.0205340908637662E-3</v>
      </c>
      <c r="D11" s="20">
        <f t="shared" si="9"/>
        <v>0</v>
      </c>
      <c r="G11" s="10"/>
      <c r="H11" s="24"/>
      <c r="K11" s="24"/>
    </row>
    <row r="12" spans="1:21" x14ac:dyDescent="0.3">
      <c r="F12" t="s">
        <v>19</v>
      </c>
      <c r="H12" s="36">
        <f>C11</f>
        <v>1.0205340908637662E-3</v>
      </c>
      <c r="J12" s="36">
        <f>D11</f>
        <v>0</v>
      </c>
    </row>
    <row r="13" spans="1:21" x14ac:dyDescent="0.3">
      <c r="B13" t="s">
        <v>23</v>
      </c>
      <c r="C13" s="15">
        <f t="shared" ref="C13:D13" si="10">SLOPE(C20:C79,$D$20:$D$79)</f>
        <v>1.5002526334293724</v>
      </c>
      <c r="D13" s="15">
        <f t="shared" si="10"/>
        <v>1</v>
      </c>
    </row>
    <row r="14" spans="1:21" x14ac:dyDescent="0.3">
      <c r="F14" t="s">
        <v>21</v>
      </c>
      <c r="H14" s="35">
        <f>C11/C9</f>
        <v>1.7182808905372528E-2</v>
      </c>
      <c r="I14" s="24"/>
      <c r="J14" s="37"/>
      <c r="K14" s="20"/>
    </row>
    <row r="15" spans="1:21" x14ac:dyDescent="0.3">
      <c r="B15" s="25" t="s">
        <v>24</v>
      </c>
      <c r="D15" s="15">
        <f>CORREL(C20:C79,D20:D79)</f>
        <v>0.68656105755793895</v>
      </c>
    </row>
    <row r="16" spans="1:21" x14ac:dyDescent="0.3">
      <c r="C16" s="22"/>
    </row>
    <row r="18" spans="1:21" x14ac:dyDescent="0.3">
      <c r="A18" s="1" t="s">
        <v>25</v>
      </c>
      <c r="C18" s="23" t="s">
        <v>15</v>
      </c>
      <c r="D18" s="23" t="s">
        <v>5</v>
      </c>
      <c r="L18" s="1" t="s">
        <v>25</v>
      </c>
      <c r="M18" s="23" t="s">
        <v>5</v>
      </c>
      <c r="N18" s="33" t="s">
        <v>6</v>
      </c>
      <c r="O18" s="33" t="s">
        <v>7</v>
      </c>
      <c r="P18" s="23" t="s">
        <v>8</v>
      </c>
      <c r="Q18" s="33" t="s">
        <v>9</v>
      </c>
      <c r="R18" s="23" t="s">
        <v>10</v>
      </c>
      <c r="S18" s="23" t="s">
        <v>11</v>
      </c>
      <c r="T18" s="23" t="s">
        <v>12</v>
      </c>
      <c r="U18" s="23" t="s">
        <v>13</v>
      </c>
    </row>
    <row r="20" spans="1:21" x14ac:dyDescent="0.3">
      <c r="A20" s="26">
        <v>1</v>
      </c>
      <c r="B20" s="26"/>
      <c r="C20" s="20">
        <v>-0.1242</v>
      </c>
      <c r="D20" s="20">
        <v>-5.2000000000000005E-2</v>
      </c>
      <c r="L20" s="26">
        <v>1</v>
      </c>
      <c r="M20" s="24">
        <v>-5.91E-2</v>
      </c>
      <c r="N20" s="24">
        <v>-4.8599999999999997E-2</v>
      </c>
      <c r="O20" s="24">
        <v>-7.2999999999999995E-2</v>
      </c>
      <c r="P20" s="24">
        <v>-7.9500000000000001E-2</v>
      </c>
      <c r="Q20" s="24">
        <v>-8.5400000000000004E-2</v>
      </c>
      <c r="R20" s="24">
        <v>-5.1200000000000002E-2</v>
      </c>
      <c r="S20" s="24">
        <v>-0.1085</v>
      </c>
      <c r="T20" s="24">
        <v>-9.6199999999999994E-2</v>
      </c>
      <c r="U20" s="24">
        <v>-0.1091</v>
      </c>
    </row>
    <row r="21" spans="1:21" x14ac:dyDescent="0.3">
      <c r="A21" s="26">
        <v>2</v>
      </c>
      <c r="B21" s="26"/>
      <c r="C21" s="20">
        <v>6.9400000000000003E-2</v>
      </c>
      <c r="D21" s="20">
        <v>9.0700000000000003E-2</v>
      </c>
      <c r="L21" s="26">
        <v>2</v>
      </c>
      <c r="M21" s="24">
        <v>2.8500000000000001E-2</v>
      </c>
      <c r="N21" s="24">
        <v>7.5800000000000006E-2</v>
      </c>
      <c r="O21" s="24">
        <v>7.4800000000000005E-2</v>
      </c>
      <c r="P21" s="24">
        <v>7.6200000000000004E-2</v>
      </c>
      <c r="Q21" s="24">
        <v>-2.1999999999999999E-2</v>
      </c>
      <c r="R21" s="24">
        <v>9.4600000000000004E-2</v>
      </c>
      <c r="S21" s="24">
        <v>-1.2999999999999999E-2</v>
      </c>
      <c r="T21" s="24">
        <v>7.9000000000000008E-3</v>
      </c>
      <c r="U21" s="24">
        <v>3.5700000000000003E-2</v>
      </c>
    </row>
    <row r="22" spans="1:21" x14ac:dyDescent="0.3">
      <c r="A22" s="26">
        <v>3</v>
      </c>
      <c r="B22" s="26"/>
      <c r="C22" s="20">
        <v>9.8500000000000004E-2</v>
      </c>
      <c r="D22" s="20">
        <v>1.84E-2</v>
      </c>
      <c r="L22" s="26">
        <v>3</v>
      </c>
      <c r="M22" s="24">
        <v>-3.5000000000000001E-3</v>
      </c>
      <c r="N22" s="24">
        <v>5.1299999999999998E-2</v>
      </c>
      <c r="O22" s="24">
        <v>1.9E-3</v>
      </c>
      <c r="P22" s="24">
        <v>-1.5100000000000001E-2</v>
      </c>
      <c r="Q22" s="24">
        <v>-1.12E-2</v>
      </c>
      <c r="R22" s="24">
        <v>-6.1699999999999998E-2</v>
      </c>
      <c r="S22" s="24">
        <v>1.54E-2</v>
      </c>
      <c r="T22" s="24">
        <v>-1.32E-2</v>
      </c>
      <c r="U22" s="24">
        <v>0</v>
      </c>
    </row>
    <row r="23" spans="1:21" x14ac:dyDescent="0.3">
      <c r="A23" s="26">
        <v>4</v>
      </c>
      <c r="B23" s="26"/>
      <c r="C23" s="20">
        <v>-0.12529999999999999</v>
      </c>
      <c r="D23" s="20">
        <v>-7.6899999999999996E-2</v>
      </c>
      <c r="L23" s="26">
        <v>4</v>
      </c>
      <c r="M23" s="24">
        <v>-2.9899999999999999E-2</v>
      </c>
      <c r="N23" s="24">
        <v>-6.0999999999999999E-2</v>
      </c>
      <c r="O23" s="24">
        <v>-8.8200000000000001E-2</v>
      </c>
      <c r="P23" s="24">
        <v>-2.6800000000000001E-2</v>
      </c>
      <c r="Q23" s="24">
        <v>-1.7100000000000001E-2</v>
      </c>
      <c r="R23" s="24">
        <v>-4.5999999999999999E-2</v>
      </c>
      <c r="S23" s="24">
        <v>-1.95E-2</v>
      </c>
      <c r="T23" s="24">
        <v>-3.3399999999999999E-2</v>
      </c>
      <c r="U23" s="24">
        <v>-5.4199999999999998E-2</v>
      </c>
    </row>
    <row r="24" spans="1:21" x14ac:dyDescent="0.3">
      <c r="A24" s="26">
        <v>5</v>
      </c>
      <c r="B24" s="26"/>
      <c r="C24" s="20">
        <v>-9.0700000000000003E-2</v>
      </c>
      <c r="D24" s="20">
        <v>-6.4399999999999999E-2</v>
      </c>
      <c r="L24" s="26">
        <v>5</v>
      </c>
      <c r="M24" s="24">
        <v>-6.1000000000000004E-3</v>
      </c>
      <c r="N24" s="24">
        <v>-2.0799999999999999E-2</v>
      </c>
      <c r="O24" s="24">
        <v>-2.47E-2</v>
      </c>
      <c r="P24" s="24">
        <v>-0.12889999999999999</v>
      </c>
      <c r="Q24" s="24">
        <v>-0.16189999999999999</v>
      </c>
      <c r="R24" s="24">
        <v>-2.76E-2</v>
      </c>
      <c r="S24" s="24">
        <v>-7.5200000000000003E-2</v>
      </c>
      <c r="T24" s="24">
        <v>-0.10929999999999999</v>
      </c>
      <c r="U24" s="24">
        <v>5.1999999999999998E-3</v>
      </c>
    </row>
    <row r="25" spans="1:21" x14ac:dyDescent="0.3">
      <c r="A25" s="26">
        <v>6</v>
      </c>
      <c r="B25" s="26"/>
      <c r="C25" s="20">
        <v>-3.7400000000000003E-2</v>
      </c>
      <c r="D25" s="20">
        <v>-4.4499999999999998E-2</v>
      </c>
      <c r="L25" s="26">
        <v>6</v>
      </c>
      <c r="M25" s="24">
        <v>-1.77E-2</v>
      </c>
      <c r="N25" s="24">
        <v>-7.4300000000000005E-2</v>
      </c>
      <c r="O25" s="24">
        <v>-4.6399999999999997E-2</v>
      </c>
      <c r="P25" s="24">
        <v>-1.24E-2</v>
      </c>
      <c r="Q25" s="24">
        <v>-4.2799999999999998E-2</v>
      </c>
      <c r="R25" s="24">
        <v>1.4200000000000001E-2</v>
      </c>
      <c r="S25" s="24">
        <v>3.3399999999999999E-2</v>
      </c>
      <c r="T25" s="24">
        <v>-9.3200000000000005E-2</v>
      </c>
      <c r="U25" s="24">
        <v>-7.7700000000000005E-2</v>
      </c>
    </row>
    <row r="26" spans="1:21" x14ac:dyDescent="0.3">
      <c r="A26" s="26">
        <v>7</v>
      </c>
      <c r="B26" s="26"/>
      <c r="C26" s="20">
        <v>9.2200000000000004E-2</v>
      </c>
      <c r="D26" s="20">
        <v>9.69E-2</v>
      </c>
      <c r="L26" s="26">
        <v>7</v>
      </c>
      <c r="M26" s="24">
        <v>-3.8199999999999998E-2</v>
      </c>
      <c r="N26" s="24">
        <v>-0.1124</v>
      </c>
      <c r="O26" s="24">
        <v>-4.87E-2</v>
      </c>
      <c r="P26" s="24">
        <v>-0.12809999999999999</v>
      </c>
      <c r="Q26" s="24">
        <v>-6.9199999999999998E-2</v>
      </c>
      <c r="R26" s="24">
        <v>7.0000000000000001E-3</v>
      </c>
      <c r="S26" s="24">
        <v>-1.8499999999999999E-2</v>
      </c>
      <c r="T26" s="24">
        <v>-6.8999999999999999E-3</v>
      </c>
      <c r="U26" s="24">
        <v>-4.4999999999999998E-2</v>
      </c>
    </row>
    <row r="27" spans="1:21" x14ac:dyDescent="0.3">
      <c r="A27" s="26">
        <v>8</v>
      </c>
      <c r="B27" s="26"/>
      <c r="C27" s="20">
        <v>0.1207</v>
      </c>
      <c r="D27" s="20">
        <v>4.0100000000000004E-2</v>
      </c>
      <c r="L27" s="26">
        <v>8</v>
      </c>
      <c r="M27" s="24">
        <v>0.11459999999999999</v>
      </c>
      <c r="N27" s="24">
        <v>0.1661</v>
      </c>
      <c r="O27" s="24">
        <v>0.14419999999999999</v>
      </c>
      <c r="P27" s="24">
        <v>0.2467</v>
      </c>
      <c r="Q27" s="24">
        <v>0.26629999999999998</v>
      </c>
      <c r="R27" s="24">
        <v>9.0200000000000002E-2</v>
      </c>
      <c r="S27" s="24">
        <v>9.9000000000000005E-2</v>
      </c>
      <c r="T27" s="24">
        <v>0.17249999999999999</v>
      </c>
      <c r="U27" s="24">
        <v>5.1999999999999998E-2</v>
      </c>
    </row>
    <row r="28" spans="1:21" x14ac:dyDescent="0.3">
      <c r="A28" s="26">
        <v>9</v>
      </c>
      <c r="B28" s="26"/>
      <c r="C28" s="20">
        <v>7.1900000000000006E-2</v>
      </c>
      <c r="D28" s="20">
        <v>4.3099999999999999E-2</v>
      </c>
      <c r="L28" s="26">
        <v>9</v>
      </c>
      <c r="M28" s="24">
        <v>1.5800000000000002E-2</v>
      </c>
      <c r="N28" s="24">
        <v>-5.5999999999999999E-3</v>
      </c>
      <c r="O28" s="24">
        <v>1.2200000000000001E-2</v>
      </c>
      <c r="P28" s="24">
        <v>-1.6899999999999998E-2</v>
      </c>
      <c r="Q28" s="24">
        <v>5.8700000000000002E-2</v>
      </c>
      <c r="R28" s="24">
        <v>6.4000000000000003E-3</v>
      </c>
      <c r="S28" s="24">
        <v>0.03</v>
      </c>
      <c r="T28" s="24">
        <v>1.47E-2</v>
      </c>
      <c r="U28" s="24">
        <v>-8.5699999999999998E-2</v>
      </c>
    </row>
    <row r="29" spans="1:21" x14ac:dyDescent="0.3">
      <c r="A29" s="26">
        <v>10</v>
      </c>
      <c r="B29" s="26"/>
      <c r="C29" s="20">
        <v>5.4100000000000002E-2</v>
      </c>
      <c r="D29" s="20">
        <v>3.6900000000000002E-2</v>
      </c>
      <c r="L29" s="26">
        <v>10</v>
      </c>
      <c r="M29" s="24">
        <v>-1.95E-2</v>
      </c>
      <c r="N29" s="24">
        <v>2.8E-3</v>
      </c>
      <c r="O29" s="24">
        <v>-4.0399999999999998E-2</v>
      </c>
      <c r="P29" s="24">
        <v>3.4299999999999997E-2</v>
      </c>
      <c r="Q29" s="24">
        <v>3.44E-2</v>
      </c>
      <c r="R29" s="24">
        <v>-6.4000000000000003E-3</v>
      </c>
      <c r="S29" s="24">
        <v>-8.3299999999999999E-2</v>
      </c>
      <c r="T29" s="24">
        <v>-7.2400000000000006E-2</v>
      </c>
      <c r="U29" s="24">
        <v>-6.3E-3</v>
      </c>
    </row>
    <row r="30" spans="1:21" x14ac:dyDescent="0.3">
      <c r="A30" s="26">
        <v>11</v>
      </c>
      <c r="B30" s="26"/>
      <c r="C30" s="20">
        <v>-0.1217</v>
      </c>
      <c r="D30" s="20">
        <v>-5.9999999999999984E-4</v>
      </c>
      <c r="L30" s="26">
        <v>11</v>
      </c>
      <c r="M30" s="24">
        <v>-0.13220000000000001</v>
      </c>
      <c r="N30" s="24">
        <v>-0.14280000000000001</v>
      </c>
      <c r="O30" s="24">
        <v>-0.12280000000000001</v>
      </c>
      <c r="P30" s="24">
        <v>-0.13450000000000001</v>
      </c>
      <c r="Q30" s="24">
        <v>-0.13020000000000001</v>
      </c>
      <c r="R30" s="24">
        <v>-0.1032</v>
      </c>
      <c r="S30" s="24">
        <v>-0.15</v>
      </c>
      <c r="T30" s="24">
        <v>-0.19059999999999999</v>
      </c>
      <c r="U30" s="24">
        <v>-0.1069</v>
      </c>
    </row>
    <row r="31" spans="1:21" x14ac:dyDescent="0.3">
      <c r="A31" s="26">
        <v>12</v>
      </c>
      <c r="B31" s="26"/>
      <c r="C31" s="20">
        <v>4.0299999999999996E-2</v>
      </c>
      <c r="D31" s="20">
        <v>2.2499999999999999E-2</v>
      </c>
      <c r="L31" s="26">
        <v>12</v>
      </c>
      <c r="M31" s="24">
        <v>-0.1167</v>
      </c>
      <c r="N31" s="24">
        <v>-0.1046</v>
      </c>
      <c r="O31" s="24">
        <v>-0.12509999999999999</v>
      </c>
      <c r="P31" s="24">
        <v>-0.1699</v>
      </c>
      <c r="Q31" s="24">
        <v>-0.123</v>
      </c>
      <c r="R31" s="24">
        <v>-0.1477</v>
      </c>
      <c r="S31" s="24">
        <v>-8.0199999999999994E-2</v>
      </c>
      <c r="T31" s="24">
        <v>-9.2700000000000005E-2</v>
      </c>
      <c r="U31" s="24">
        <v>-0.14080000000000001</v>
      </c>
    </row>
    <row r="32" spans="1:21" x14ac:dyDescent="0.3">
      <c r="A32" s="26">
        <v>13</v>
      </c>
      <c r="B32" s="26"/>
      <c r="C32" s="20">
        <v>-3.5200000000000002E-2</v>
      </c>
      <c r="D32" s="20">
        <v>7.0999999999999995E-3</v>
      </c>
      <c r="L32" s="26">
        <v>13</v>
      </c>
      <c r="M32" s="24">
        <v>3.7999999999999999E-2</v>
      </c>
      <c r="N32" s="24">
        <v>-1.46E-2</v>
      </c>
      <c r="O32" s="24">
        <v>-0.02</v>
      </c>
      <c r="P32" s="24">
        <v>7.4999999999999997E-2</v>
      </c>
      <c r="Q32" s="24">
        <v>4.2700000000000002E-2</v>
      </c>
      <c r="R32" s="24">
        <v>7.4999999999999997E-2</v>
      </c>
      <c r="S32" s="24">
        <v>3.49E-2</v>
      </c>
      <c r="T32" s="24">
        <v>-2.1299999999999999E-2</v>
      </c>
      <c r="U32" s="24">
        <v>1.6400000000000001E-2</v>
      </c>
    </row>
    <row r="33" spans="1:21" x14ac:dyDescent="0.3">
      <c r="A33" s="26">
        <v>14</v>
      </c>
      <c r="B33" s="26"/>
      <c r="C33" s="20">
        <v>-1.77E-2</v>
      </c>
      <c r="D33" s="20">
        <v>-1.49E-2</v>
      </c>
      <c r="L33" s="26">
        <v>14</v>
      </c>
      <c r="M33" s="24">
        <v>-2.5600000000000001E-2</v>
      </c>
      <c r="N33" s="24">
        <v>3.7000000000000002E-3</v>
      </c>
      <c r="O33" s="24">
        <v>-3.7900000000000003E-2</v>
      </c>
      <c r="P33" s="24">
        <v>5.0999999999999997E-2</v>
      </c>
      <c r="Q33" s="24">
        <v>8.1900000000000001E-2</v>
      </c>
      <c r="R33" s="24">
        <v>0</v>
      </c>
      <c r="S33" s="24">
        <v>-3.3999999999999998E-3</v>
      </c>
      <c r="T33" s="24">
        <v>2.5999999999999999E-2</v>
      </c>
      <c r="U33" s="24">
        <v>-0.10489999999999999</v>
      </c>
    </row>
    <row r="34" spans="1:21" x14ac:dyDescent="0.3">
      <c r="A34" s="26">
        <v>15</v>
      </c>
      <c r="B34" s="26"/>
      <c r="C34" s="20">
        <v>0.1333</v>
      </c>
      <c r="D34" s="20">
        <v>9.1999999999999998E-3</v>
      </c>
      <c r="L34" s="26">
        <v>15</v>
      </c>
      <c r="M34" s="24">
        <v>3.5000000000000001E-3</v>
      </c>
      <c r="N34" s="24">
        <v>1.11E-2</v>
      </c>
      <c r="O34" s="24">
        <v>-9.3899999999999997E-2</v>
      </c>
      <c r="P34" s="24">
        <v>3.3099999999999997E-2</v>
      </c>
      <c r="Q34" s="24">
        <v>-1.35E-2</v>
      </c>
      <c r="R34" s="24">
        <v>3.8699999999999998E-2</v>
      </c>
      <c r="S34" s="24">
        <v>1.46E-2</v>
      </c>
      <c r="T34" s="24">
        <v>5.0900000000000001E-2</v>
      </c>
      <c r="U34" s="24">
        <v>8.9999999999999993E-3</v>
      </c>
    </row>
    <row r="35" spans="1:21" x14ac:dyDescent="0.3">
      <c r="A35" s="26">
        <v>16</v>
      </c>
      <c r="B35" s="26"/>
      <c r="C35" s="20">
        <v>4.6800000000000001E-2</v>
      </c>
      <c r="D35" s="20">
        <v>1.9400000000000001E-2</v>
      </c>
      <c r="L35" s="26">
        <v>16</v>
      </c>
      <c r="M35" s="24">
        <v>2.5600000000000001E-2</v>
      </c>
      <c r="N35" s="24">
        <v>9.4799999999999995E-2</v>
      </c>
      <c r="O35" s="24">
        <v>8.3599999999999994E-2</v>
      </c>
      <c r="P35" s="24">
        <v>7.1499999999999994E-2</v>
      </c>
      <c r="Q35" s="24">
        <v>4.1099999999999998E-2</v>
      </c>
      <c r="R35" s="24">
        <v>-5.8200000000000002E-2</v>
      </c>
      <c r="S35" s="24">
        <v>0.1278</v>
      </c>
      <c r="T35" s="24">
        <v>-8.0999999999999996E-3</v>
      </c>
      <c r="U35" s="24">
        <v>-5.3600000000000002E-2</v>
      </c>
    </row>
    <row r="36" spans="1:21" x14ac:dyDescent="0.3">
      <c r="A36" s="26">
        <v>17</v>
      </c>
      <c r="B36" s="26"/>
      <c r="C36" s="20">
        <v>3.9900000000000005E-2</v>
      </c>
      <c r="D36" s="20">
        <v>1.0200000000000001E-2</v>
      </c>
      <c r="L36" s="26">
        <v>17</v>
      </c>
      <c r="M36" s="24">
        <v>9.9900000000000003E-2</v>
      </c>
      <c r="N36" s="24">
        <v>0.12659999999999999</v>
      </c>
      <c r="O36" s="24">
        <v>0.1203</v>
      </c>
      <c r="P36" s="24">
        <v>-2.3E-3</v>
      </c>
      <c r="Q36" s="24">
        <v>3.95E-2</v>
      </c>
      <c r="R36" s="24">
        <v>0.1157</v>
      </c>
      <c r="S36" s="24">
        <v>7.3899999999999993E-2</v>
      </c>
      <c r="T36" s="24">
        <v>0.15040000000000001</v>
      </c>
      <c r="U36" s="24">
        <v>0.26419999999999999</v>
      </c>
    </row>
    <row r="37" spans="1:21" x14ac:dyDescent="0.3">
      <c r="A37" s="26">
        <v>18</v>
      </c>
      <c r="B37" s="26"/>
      <c r="C37" s="20">
        <v>0.2079</v>
      </c>
      <c r="D37" s="20">
        <v>5.9799999999999992E-2</v>
      </c>
      <c r="L37" s="26">
        <v>18</v>
      </c>
      <c r="M37" s="24">
        <v>3.9600000000000003E-2</v>
      </c>
      <c r="N37" s="24">
        <v>3.2500000000000001E-2</v>
      </c>
      <c r="O37" s="24">
        <v>1.11E-2</v>
      </c>
      <c r="P37" s="24">
        <v>3.9300000000000002E-2</v>
      </c>
      <c r="Q37" s="24">
        <v>3.7999999999999999E-2</v>
      </c>
      <c r="R37" s="24">
        <v>8.3799999999999999E-2</v>
      </c>
      <c r="S37" s="24">
        <v>5.5100000000000003E-2</v>
      </c>
      <c r="T37" s="24">
        <v>-1.7600000000000001E-2</v>
      </c>
      <c r="U37" s="24">
        <v>-3.73E-2</v>
      </c>
    </row>
    <row r="38" spans="1:21" x14ac:dyDescent="0.3">
      <c r="A38" s="26">
        <v>19</v>
      </c>
      <c r="B38" s="26"/>
      <c r="C38" s="20">
        <v>-0.1235</v>
      </c>
      <c r="D38" s="20">
        <v>-2.1299999999999999E-2</v>
      </c>
      <c r="L38" s="26">
        <v>19</v>
      </c>
      <c r="M38" s="24">
        <v>4.3E-3</v>
      </c>
      <c r="N38" s="24">
        <v>5.7000000000000002E-3</v>
      </c>
      <c r="O38" s="24">
        <v>0.1444</v>
      </c>
      <c r="P38" s="24">
        <v>1.78E-2</v>
      </c>
      <c r="Q38" s="24">
        <v>-4.3900000000000002E-2</v>
      </c>
      <c r="R38" s="24">
        <v>0</v>
      </c>
      <c r="S38" s="24">
        <v>1.7299999999999999E-2</v>
      </c>
      <c r="T38" s="24">
        <v>-1.7899999999999999E-2</v>
      </c>
      <c r="U38" s="24">
        <v>7.7000000000000002E-3</v>
      </c>
    </row>
    <row r="39" spans="1:21" x14ac:dyDescent="0.3">
      <c r="A39" s="26">
        <v>20</v>
      </c>
      <c r="B39" s="26"/>
      <c r="C39" s="20">
        <v>9.4799999999999995E-2</v>
      </c>
      <c r="D39" s="20">
        <v>3.7600000000000001E-2</v>
      </c>
      <c r="L39" s="26">
        <v>20</v>
      </c>
      <c r="M39" s="24">
        <v>4.1599999999999998E-2</v>
      </c>
      <c r="N39" s="24">
        <v>7.1199999999999999E-2</v>
      </c>
      <c r="O39" s="24">
        <v>-2.0299999999999999E-2</v>
      </c>
      <c r="P39" s="24">
        <v>6.1100000000000002E-2</v>
      </c>
      <c r="Q39" s="24">
        <v>4.3299999999999998E-2</v>
      </c>
      <c r="R39" s="24">
        <v>2.2200000000000001E-2</v>
      </c>
      <c r="S39" s="24">
        <v>0.1057</v>
      </c>
      <c r="T39" s="24">
        <v>8.0600000000000005E-2</v>
      </c>
      <c r="U39" s="24">
        <v>-4.6199999999999998E-2</v>
      </c>
    </row>
    <row r="40" spans="1:21" x14ac:dyDescent="0.3">
      <c r="A40" s="26">
        <v>21</v>
      </c>
      <c r="B40" s="26"/>
      <c r="C40" s="20">
        <v>-4.7600000000000003E-2</v>
      </c>
      <c r="D40" s="20">
        <v>-6.8999999999999999E-3</v>
      </c>
      <c r="L40" s="26">
        <v>21</v>
      </c>
      <c r="M40" s="24">
        <v>-3.5999999999999997E-2</v>
      </c>
      <c r="N40" s="24">
        <v>-7.4499999999999997E-2</v>
      </c>
      <c r="O40" s="24">
        <v>-7.6799999999999993E-2</v>
      </c>
      <c r="P40" s="24">
        <v>-6.1699999999999998E-2</v>
      </c>
      <c r="Q40" s="24">
        <v>-7.8299999999999995E-2</v>
      </c>
      <c r="R40" s="24">
        <v>-3.5900000000000001E-2</v>
      </c>
      <c r="S40" s="24">
        <v>-8.7300000000000003E-2</v>
      </c>
      <c r="T40" s="24">
        <v>0</v>
      </c>
      <c r="U40" s="24">
        <v>6.4500000000000002E-2</v>
      </c>
    </row>
    <row r="41" spans="1:21" x14ac:dyDescent="0.3">
      <c r="A41" s="26">
        <v>22</v>
      </c>
      <c r="B41" s="26"/>
      <c r="C41" s="20">
        <v>0.1187</v>
      </c>
      <c r="D41" s="20">
        <v>7.9600000000000004E-2</v>
      </c>
      <c r="L41" s="26">
        <v>22</v>
      </c>
      <c r="M41" s="24">
        <v>2.8899999999999999E-2</v>
      </c>
      <c r="N41" s="24">
        <v>3.4500000000000003E-2</v>
      </c>
      <c r="O41" s="24">
        <v>9.3799999999999994E-2</v>
      </c>
      <c r="P41" s="24">
        <v>4.1599999999999998E-2</v>
      </c>
      <c r="Q41" s="24">
        <v>2.3900000000000001E-2</v>
      </c>
      <c r="R41" s="24">
        <v>4.0000000000000001E-3</v>
      </c>
      <c r="S41" s="24">
        <v>7.3899999999999993E-2</v>
      </c>
      <c r="T41" s="24">
        <v>0</v>
      </c>
      <c r="U41" s="24">
        <v>-7.6E-3</v>
      </c>
    </row>
    <row r="42" spans="1:21" x14ac:dyDescent="0.3">
      <c r="A42" s="26">
        <v>23</v>
      </c>
      <c r="B42" s="26"/>
      <c r="C42" s="20">
        <v>-1.8499999999999999E-2</v>
      </c>
      <c r="D42" s="20">
        <v>3.6499999999999998E-2</v>
      </c>
      <c r="L42" s="26">
        <v>23</v>
      </c>
      <c r="M42" s="24">
        <v>8.0000000000000004E-4</v>
      </c>
      <c r="N42" s="24">
        <v>0</v>
      </c>
      <c r="O42" s="24">
        <v>9.7999999999999997E-3</v>
      </c>
      <c r="P42" s="24">
        <v>-6.5299999999999997E-2</v>
      </c>
      <c r="Q42" s="24">
        <v>-1.29E-2</v>
      </c>
      <c r="R42" s="24">
        <v>5.7000000000000002E-2</v>
      </c>
      <c r="S42" s="24">
        <v>4.0000000000000001E-3</v>
      </c>
      <c r="T42" s="24">
        <v>5.0900000000000001E-2</v>
      </c>
      <c r="U42" s="24">
        <v>-2.2800000000000001E-2</v>
      </c>
    </row>
    <row r="43" spans="1:21" x14ac:dyDescent="0.3">
      <c r="A43" s="26">
        <v>24</v>
      </c>
      <c r="B43" s="26"/>
      <c r="C43" s="20">
        <v>2.3300000000000001E-2</v>
      </c>
      <c r="D43" s="20">
        <v>-4.1700000000000001E-2</v>
      </c>
      <c r="L43" s="26">
        <v>24</v>
      </c>
      <c r="M43" s="24">
        <v>-3.9899999999999998E-2</v>
      </c>
      <c r="N43" s="24">
        <v>-7.22E-2</v>
      </c>
      <c r="O43" s="24">
        <v>-4.8999999999999998E-3</v>
      </c>
      <c r="P43" s="24">
        <v>-4.0599999999999997E-2</v>
      </c>
      <c r="Q43" s="24">
        <v>-6.83E-2</v>
      </c>
      <c r="R43" s="24">
        <v>-3.1300000000000001E-2</v>
      </c>
      <c r="S43" s="24">
        <v>-9.2700000000000005E-2</v>
      </c>
      <c r="T43" s="24">
        <v>-6.4999999999999997E-3</v>
      </c>
      <c r="U43" s="24">
        <v>-8.5900000000000004E-2</v>
      </c>
    </row>
    <row r="44" spans="1:21" x14ac:dyDescent="0.3">
      <c r="A44" s="26">
        <v>25</v>
      </c>
      <c r="B44" s="26"/>
      <c r="C44" s="20">
        <v>-0.1462</v>
      </c>
      <c r="D44" s="20">
        <v>-6.9000000000000006E-2</v>
      </c>
      <c r="L44" s="26">
        <v>25</v>
      </c>
      <c r="M44" s="24">
        <v>2.3E-3</v>
      </c>
      <c r="N44" s="24">
        <v>-3.2899999999999999E-2</v>
      </c>
      <c r="O44" s="24">
        <v>-6.5799999999999997E-2</v>
      </c>
      <c r="P44" s="24">
        <v>-3.9899999999999998E-2</v>
      </c>
      <c r="Q44" s="24">
        <v>-3.6600000000000001E-2</v>
      </c>
      <c r="R44" s="24">
        <v>7.3800000000000004E-2</v>
      </c>
      <c r="S44" s="24">
        <v>7.1099999999999997E-2</v>
      </c>
      <c r="T44" s="24">
        <v>5.1900000000000002E-2</v>
      </c>
      <c r="U44" s="24">
        <v>-0.1026</v>
      </c>
    </row>
    <row r="45" spans="1:21" x14ac:dyDescent="0.3">
      <c r="A45" s="26">
        <v>26</v>
      </c>
      <c r="B45" s="26"/>
      <c r="C45" s="20">
        <v>0.05</v>
      </c>
      <c r="D45" s="20">
        <v>1.0700000000000001E-2</v>
      </c>
      <c r="L45" s="26">
        <v>26</v>
      </c>
      <c r="M45" s="24">
        <v>-3.6900000000000002E-2</v>
      </c>
      <c r="N45" s="24">
        <v>2.7900000000000001E-2</v>
      </c>
      <c r="O45" s="24">
        <v>-9.4E-2</v>
      </c>
      <c r="P45" s="24">
        <v>1.2200000000000001E-2</v>
      </c>
      <c r="Q45" s="24">
        <v>0</v>
      </c>
      <c r="R45" s="24">
        <v>1.15E-2</v>
      </c>
      <c r="S45" s="24">
        <v>-1.66E-2</v>
      </c>
      <c r="T45" s="24">
        <v>-6.7900000000000002E-2</v>
      </c>
      <c r="U45" s="24">
        <v>0</v>
      </c>
    </row>
    <row r="46" spans="1:21" x14ac:dyDescent="0.3">
      <c r="A46" s="26">
        <v>27</v>
      </c>
      <c r="B46" s="26"/>
      <c r="C46" s="20">
        <v>-2.8000000000000001E-2</v>
      </c>
      <c r="D46" s="20">
        <v>-5.1200000000000002E-2</v>
      </c>
      <c r="L46" s="26">
        <v>27</v>
      </c>
      <c r="M46" s="24">
        <v>1.38E-2</v>
      </c>
      <c r="N46" s="24">
        <v>8.7300000000000003E-2</v>
      </c>
      <c r="O46" s="24">
        <v>2.8999999999999998E-3</v>
      </c>
      <c r="P46" s="24">
        <v>4.3499999999999997E-2</v>
      </c>
      <c r="Q46" s="24">
        <v>4.0899999999999999E-2</v>
      </c>
      <c r="R46" s="24">
        <v>-2.86E-2</v>
      </c>
      <c r="S46" s="24">
        <v>3.7999999999999999E-2</v>
      </c>
      <c r="T46" s="24">
        <v>5.62E-2</v>
      </c>
      <c r="U46" s="24">
        <v>-3.8100000000000002E-2</v>
      </c>
    </row>
    <row r="47" spans="1:21" x14ac:dyDescent="0.3">
      <c r="A47" s="26">
        <v>28</v>
      </c>
      <c r="B47" s="26"/>
      <c r="C47" s="20">
        <v>-8.14E-2</v>
      </c>
      <c r="D47" s="20">
        <v>-2.6199999999999998E-2</v>
      </c>
      <c r="L47" s="26">
        <v>28</v>
      </c>
      <c r="M47" s="24">
        <v>5.3100000000000001E-2</v>
      </c>
      <c r="N47" s="24">
        <v>4.7100000000000003E-2</v>
      </c>
      <c r="O47" s="24">
        <v>9.4799999999999995E-2</v>
      </c>
      <c r="P47" s="24">
        <v>1.6199999999999999E-2</v>
      </c>
      <c r="Q47" s="24">
        <v>1.1299999999999999E-2</v>
      </c>
      <c r="R47" s="24">
        <v>2.7E-2</v>
      </c>
      <c r="S47" s="24">
        <v>4.8800000000000003E-2</v>
      </c>
      <c r="T47" s="24">
        <v>1.26E-2</v>
      </c>
      <c r="U47" s="24">
        <v>6.93E-2</v>
      </c>
    </row>
    <row r="48" spans="1:21" x14ac:dyDescent="0.3">
      <c r="A48" s="26">
        <v>29</v>
      </c>
      <c r="B48" s="26"/>
      <c r="C48" s="20">
        <v>0.12520000000000001</v>
      </c>
      <c r="D48" s="20">
        <v>5.5300000000000002E-2</v>
      </c>
      <c r="L48" s="26">
        <v>29</v>
      </c>
      <c r="M48" s="24">
        <v>3.7199999999999997E-2</v>
      </c>
      <c r="N48" s="24">
        <v>3.9699999999999999E-2</v>
      </c>
      <c r="O48" s="24">
        <v>8.1299999999999997E-2</v>
      </c>
      <c r="P48" s="24">
        <v>1.14E-2</v>
      </c>
      <c r="Q48" s="24">
        <v>5.4999999999999997E-3</v>
      </c>
      <c r="R48" s="24">
        <v>-1.1900000000000001E-2</v>
      </c>
      <c r="S48" s="24">
        <v>1.9400000000000001E-2</v>
      </c>
      <c r="T48" s="24">
        <v>5.57E-2</v>
      </c>
      <c r="U48" s="24">
        <v>-1.8499999999999999E-2</v>
      </c>
    </row>
    <row r="49" spans="1:21" x14ac:dyDescent="0.3">
      <c r="A49" s="26">
        <v>30</v>
      </c>
      <c r="B49" s="26"/>
      <c r="C49" s="20">
        <v>0.13100000000000001</v>
      </c>
      <c r="D49" s="20">
        <v>5.1000000000000004E-2</v>
      </c>
      <c r="L49" s="26">
        <v>30</v>
      </c>
      <c r="M49" s="24">
        <v>-1.0200000000000001E-2</v>
      </c>
      <c r="N49" s="24">
        <v>-5.3400000000000003E-2</v>
      </c>
      <c r="O49" s="24">
        <v>-6.08E-2</v>
      </c>
      <c r="P49" s="24">
        <v>-6.08E-2</v>
      </c>
      <c r="Q49" s="24">
        <v>-3.5900000000000001E-2</v>
      </c>
      <c r="R49" s="24">
        <v>5.0700000000000002E-2</v>
      </c>
      <c r="S49" s="24">
        <v>-3.8100000000000002E-2</v>
      </c>
      <c r="T49" s="24">
        <v>2.35E-2</v>
      </c>
      <c r="U49" s="24">
        <v>0.19819999999999999</v>
      </c>
    </row>
    <row r="50" spans="1:21" x14ac:dyDescent="0.3">
      <c r="A50" s="26">
        <v>31</v>
      </c>
      <c r="B50" s="26"/>
      <c r="C50" s="20">
        <v>-6.2099999999999995E-2</v>
      </c>
      <c r="D50" s="20">
        <v>-7.2899999999999993E-2</v>
      </c>
      <c r="L50" s="26">
        <v>31</v>
      </c>
      <c r="M50" s="24">
        <v>2.3199999999999998E-2</v>
      </c>
      <c r="N50" s="24">
        <v>1.0800000000000001E-2</v>
      </c>
      <c r="O50" s="24">
        <v>2.58E-2</v>
      </c>
      <c r="P50" s="24">
        <v>3.8399999999999997E-2</v>
      </c>
      <c r="Q50" s="24">
        <v>-2.29E-2</v>
      </c>
      <c r="R50" s="24">
        <v>-6.8999999999999999E-3</v>
      </c>
      <c r="S50" s="24">
        <v>3.9600000000000003E-2</v>
      </c>
      <c r="T50" s="24">
        <v>2.3E-2</v>
      </c>
      <c r="U50" s="24">
        <v>7.8700000000000006E-2</v>
      </c>
    </row>
    <row r="51" spans="1:21" x14ac:dyDescent="0.3">
      <c r="A51" s="26">
        <v>32</v>
      </c>
      <c r="B51" s="26"/>
      <c r="C51" s="20">
        <v>6.59E-2</v>
      </c>
      <c r="D51" s="20">
        <v>1.5099999999999999E-2</v>
      </c>
      <c r="L51" s="26">
        <v>32</v>
      </c>
      <c r="M51" s="24">
        <v>1.9599999999999999E-2</v>
      </c>
      <c r="N51" s="24">
        <v>1.8599999999999998E-2</v>
      </c>
      <c r="O51" s="24">
        <v>-5.1000000000000004E-3</v>
      </c>
      <c r="P51" s="24">
        <v>-3.2399999999999998E-2</v>
      </c>
      <c r="Q51" s="24">
        <v>-1.17E-2</v>
      </c>
      <c r="R51" s="24">
        <v>6.7199999999999996E-2</v>
      </c>
      <c r="S51" s="24">
        <v>0.1065</v>
      </c>
      <c r="T51" s="24">
        <v>-1E-4</v>
      </c>
      <c r="U51" s="24">
        <v>5.11E-2</v>
      </c>
    </row>
    <row r="52" spans="1:21" x14ac:dyDescent="0.3">
      <c r="A52" s="26">
        <v>33</v>
      </c>
      <c r="B52" s="26"/>
      <c r="C52" s="20">
        <v>-4.7500000000000001E-2</v>
      </c>
      <c r="D52" s="20">
        <v>-6.9999999999999993E-3</v>
      </c>
      <c r="L52" s="26">
        <v>33</v>
      </c>
      <c r="M52" s="24">
        <v>-2.76E-2</v>
      </c>
      <c r="N52" s="24">
        <v>-6.7900000000000002E-2</v>
      </c>
      <c r="O52" s="24">
        <v>-9.0999999999999998E-2</v>
      </c>
      <c r="P52" s="24">
        <v>-9.6799999999999997E-2</v>
      </c>
      <c r="Q52" s="24">
        <v>-8.6099999999999996E-2</v>
      </c>
      <c r="R52" s="24">
        <v>0.10630000000000001</v>
      </c>
      <c r="S52" s="24">
        <v>3.78E-2</v>
      </c>
      <c r="T52" s="24">
        <v>-5.6800000000000003E-2</v>
      </c>
      <c r="U52" s="24">
        <v>-0.18060000000000001</v>
      </c>
    </row>
    <row r="53" spans="1:21" x14ac:dyDescent="0.3">
      <c r="A53" s="26">
        <v>34</v>
      </c>
      <c r="B53" s="26"/>
      <c r="C53" s="20">
        <v>4.1700000000000001E-2</v>
      </c>
      <c r="D53" s="20">
        <v>-6.1999999999999998E-3</v>
      </c>
      <c r="L53" s="26">
        <v>34</v>
      </c>
      <c r="M53" s="24">
        <v>-2.8199999999999999E-2</v>
      </c>
      <c r="N53" s="24">
        <v>-1.8200000000000001E-2</v>
      </c>
      <c r="O53" s="24">
        <v>0</v>
      </c>
      <c r="P53" s="24">
        <v>5.4300000000000001E-2</v>
      </c>
      <c r="Q53" s="24">
        <v>-3.8899999999999997E-2</v>
      </c>
      <c r="R53" s="24">
        <v>0</v>
      </c>
      <c r="S53" s="24">
        <v>-5.6300000000000003E-2</v>
      </c>
      <c r="T53" s="24">
        <v>-3.0000000000000001E-3</v>
      </c>
      <c r="U53" s="24">
        <v>-5.9299999999999999E-2</v>
      </c>
    </row>
    <row r="54" spans="1:21" x14ac:dyDescent="0.3">
      <c r="A54" s="26">
        <v>35</v>
      </c>
      <c r="B54" s="26"/>
      <c r="C54" s="20">
        <v>-0.11849999999999999</v>
      </c>
      <c r="D54" s="20">
        <v>-2.8799999999999999E-2</v>
      </c>
      <c r="L54" s="26">
        <v>35</v>
      </c>
      <c r="M54" s="24">
        <v>-3.5099999999999999E-2</v>
      </c>
      <c r="N54" s="24">
        <v>-1.5699999999999999E-2</v>
      </c>
      <c r="O54" s="24">
        <v>-7.1199999999999999E-2</v>
      </c>
      <c r="P54" s="24">
        <v>-4.6399999999999997E-2</v>
      </c>
      <c r="Q54" s="24">
        <v>-8.7900000000000006E-2</v>
      </c>
      <c r="R54" s="24">
        <v>0</v>
      </c>
      <c r="S54" s="24">
        <v>-4.5600000000000002E-2</v>
      </c>
      <c r="T54" s="24">
        <v>-4.2299999999999997E-2</v>
      </c>
      <c r="U54" s="24">
        <v>-9.9000000000000005E-2</v>
      </c>
    </row>
    <row r="55" spans="1:21" x14ac:dyDescent="0.3">
      <c r="A55" s="26">
        <v>36</v>
      </c>
      <c r="B55" s="26"/>
      <c r="C55" s="20">
        <v>-1.9999999999999966E-4</v>
      </c>
      <c r="D55" s="20">
        <v>2.3E-3</v>
      </c>
      <c r="L55" s="26">
        <v>36</v>
      </c>
      <c r="M55" s="24">
        <v>4.3299999999999998E-2</v>
      </c>
      <c r="N55" s="24">
        <v>0.129</v>
      </c>
      <c r="O55" s="24">
        <v>0.19939999999999999</v>
      </c>
      <c r="P55" s="24">
        <v>3.2399999999999998E-2</v>
      </c>
      <c r="Q55" s="24">
        <v>8.14E-2</v>
      </c>
      <c r="R55" s="24">
        <v>5.5E-2</v>
      </c>
      <c r="S55" s="24">
        <v>4.0399999999999998E-2</v>
      </c>
      <c r="T55" s="24">
        <v>-1.26E-2</v>
      </c>
      <c r="U55" s="24">
        <v>-6.9900000000000004E-2</v>
      </c>
    </row>
    <row r="56" spans="1:21" x14ac:dyDescent="0.3">
      <c r="A56" s="26">
        <v>37</v>
      </c>
      <c r="B56" s="26"/>
      <c r="C56" s="20">
        <v>4.5100000000000001E-2</v>
      </c>
      <c r="D56" s="20">
        <v>3.3000000000000002E-2</v>
      </c>
      <c r="L56" s="26">
        <v>37</v>
      </c>
      <c r="M56" s="24">
        <v>4.8999999999999998E-3</v>
      </c>
      <c r="N56" s="24">
        <v>5.7799999999999997E-2</v>
      </c>
      <c r="O56" s="24">
        <v>1.7899999999999999E-2</v>
      </c>
      <c r="P56" s="24">
        <v>5.2299999999999999E-2</v>
      </c>
      <c r="Q56" s="24">
        <v>-3.7699999999999997E-2</v>
      </c>
      <c r="R56" s="24">
        <v>3.7000000000000002E-3</v>
      </c>
      <c r="S56" s="24">
        <v>3.5000000000000001E-3</v>
      </c>
      <c r="T56" s="24">
        <v>-3.0300000000000001E-2</v>
      </c>
      <c r="U56" s="24">
        <v>0</v>
      </c>
    </row>
    <row r="57" spans="1:21" x14ac:dyDescent="0.3">
      <c r="A57" s="26">
        <v>38</v>
      </c>
      <c r="B57" s="26"/>
      <c r="C57" s="20">
        <v>-2.5700000000000001E-2</v>
      </c>
      <c r="D57" s="20">
        <v>2.4E-2</v>
      </c>
      <c r="L57" s="26">
        <v>38</v>
      </c>
      <c r="M57" s="24">
        <v>-3.8999999999999998E-3</v>
      </c>
      <c r="N57" s="24">
        <v>-1.9400000000000001E-2</v>
      </c>
      <c r="O57" s="24">
        <v>-4.2799999999999998E-2</v>
      </c>
      <c r="P57" s="24">
        <v>-6.9699999999999998E-2</v>
      </c>
      <c r="Q57" s="24">
        <v>-6.7599999999999993E-2</v>
      </c>
      <c r="R57" s="24">
        <v>7.4000000000000003E-3</v>
      </c>
      <c r="S57" s="24">
        <v>5.6300000000000003E-2</v>
      </c>
      <c r="T57" s="24">
        <v>3.3E-3</v>
      </c>
      <c r="U57" s="24">
        <v>-0.10100000000000001</v>
      </c>
    </row>
    <row r="58" spans="1:21" x14ac:dyDescent="0.3">
      <c r="A58" s="26">
        <v>39</v>
      </c>
      <c r="B58" s="26"/>
      <c r="C58" s="20">
        <v>5.91E-2</v>
      </c>
      <c r="D58" s="20">
        <v>3.2299999999999995E-2</v>
      </c>
      <c r="L58" s="26">
        <v>39</v>
      </c>
      <c r="M58" s="24">
        <v>7.6100000000000001E-2</v>
      </c>
      <c r="N58" s="24">
        <v>6.6799999999999998E-2</v>
      </c>
      <c r="O58" s="24">
        <v>0.1181</v>
      </c>
      <c r="P58" s="24">
        <v>8.5599999999999996E-2</v>
      </c>
      <c r="Q58" s="24">
        <v>0.10680000000000001</v>
      </c>
      <c r="R58" s="24">
        <v>6.6199999999999995E-2</v>
      </c>
      <c r="S58" s="24">
        <v>4.6699999999999998E-2</v>
      </c>
      <c r="T58" s="24">
        <v>0.1002</v>
      </c>
      <c r="U58" s="24">
        <v>7.6600000000000001E-2</v>
      </c>
    </row>
    <row r="59" spans="1:21" x14ac:dyDescent="0.3">
      <c r="A59" s="26">
        <v>40</v>
      </c>
      <c r="B59" s="26"/>
      <c r="C59" s="20">
        <v>0.1227</v>
      </c>
      <c r="D59" s="20">
        <v>-7.4999999999999997E-3</v>
      </c>
      <c r="L59" s="26">
        <v>40</v>
      </c>
      <c r="M59" s="24">
        <v>2.01E-2</v>
      </c>
      <c r="N59" s="24">
        <v>4.8800000000000003E-2</v>
      </c>
      <c r="O59" s="24">
        <v>0</v>
      </c>
      <c r="P59" s="24">
        <v>9.3600000000000003E-2</v>
      </c>
      <c r="Q59" s="24">
        <v>9.3100000000000002E-2</v>
      </c>
      <c r="R59" s="24">
        <v>4.3099999999999999E-2</v>
      </c>
      <c r="S59" s="24">
        <v>1.5900000000000001E-2</v>
      </c>
      <c r="T59" s="24">
        <v>-3.0000000000000001E-3</v>
      </c>
      <c r="U59" s="24">
        <v>0.16669999999999999</v>
      </c>
    </row>
    <row r="60" spans="1:21" x14ac:dyDescent="0.3">
      <c r="A60" s="26">
        <v>41</v>
      </c>
      <c r="B60" s="26"/>
      <c r="C60" s="20">
        <v>2.01E-2</v>
      </c>
      <c r="D60" s="20">
        <v>4.6699999999999998E-2</v>
      </c>
      <c r="L60" s="26">
        <v>41</v>
      </c>
      <c r="M60" s="24">
        <v>1.7299999999999999E-2</v>
      </c>
      <c r="N60" s="24">
        <v>3.8699999999999998E-2</v>
      </c>
      <c r="O60" s="24">
        <v>4.7000000000000002E-3</v>
      </c>
      <c r="P60" s="24">
        <v>8.9999999999999993E-3</v>
      </c>
      <c r="Q60" s="24">
        <v>3.7900000000000003E-2</v>
      </c>
      <c r="R60" s="24">
        <v>3.6299999999999999E-2</v>
      </c>
      <c r="S60" s="24">
        <v>-7.2099999999999997E-2</v>
      </c>
      <c r="T60" s="24">
        <v>-4.9299999999999997E-2</v>
      </c>
      <c r="U60" s="24">
        <v>2.6800000000000001E-2</v>
      </c>
    </row>
    <row r="61" spans="1:21" x14ac:dyDescent="0.3">
      <c r="A61" s="26">
        <v>42</v>
      </c>
      <c r="B61" s="26"/>
      <c r="C61" s="20">
        <v>0.1009</v>
      </c>
      <c r="D61" s="20">
        <v>7.3000000000000001E-3</v>
      </c>
      <c r="L61" s="26">
        <v>42</v>
      </c>
      <c r="M61" s="24">
        <v>4.41E-2</v>
      </c>
      <c r="N61" s="24">
        <v>1.2800000000000001E-2</v>
      </c>
      <c r="O61" s="24">
        <v>8.4199999999999997E-2</v>
      </c>
      <c r="P61" s="24">
        <v>4.02E-2</v>
      </c>
      <c r="Q61" s="24">
        <v>5.7700000000000001E-2</v>
      </c>
      <c r="R61" s="24">
        <v>5.2600000000000001E-2</v>
      </c>
      <c r="S61" s="24">
        <v>1.6799999999999999E-2</v>
      </c>
      <c r="T61" s="24">
        <v>1.4200000000000001E-2</v>
      </c>
      <c r="U61" s="24">
        <v>0.1002</v>
      </c>
    </row>
    <row r="62" spans="1:21" x14ac:dyDescent="0.3">
      <c r="A62" s="26">
        <v>43</v>
      </c>
      <c r="B62" s="26"/>
      <c r="C62" s="20">
        <v>-3.7000000000000002E-3</v>
      </c>
      <c r="D62" s="20">
        <v>5.8999999999999999E-3</v>
      </c>
      <c r="L62" s="26">
        <v>43</v>
      </c>
      <c r="M62" s="24">
        <v>-1.7999999999999999E-2</v>
      </c>
      <c r="N62" s="24">
        <v>-1.78E-2</v>
      </c>
      <c r="O62" s="24">
        <v>5.6000000000000001E-2</v>
      </c>
      <c r="P62" s="24">
        <v>-3.8600000000000002E-2</v>
      </c>
      <c r="Q62" s="24">
        <v>-2.3E-2</v>
      </c>
      <c r="R62" s="24">
        <v>3.6299999999999999E-2</v>
      </c>
      <c r="S62" s="24">
        <v>1.3299999999999999E-2</v>
      </c>
      <c r="T62" s="24">
        <v>-3.73E-2</v>
      </c>
      <c r="U62" s="24">
        <v>3.5400000000000001E-2</v>
      </c>
    </row>
    <row r="63" spans="1:21" x14ac:dyDescent="0.3">
      <c r="A63" s="26">
        <v>44</v>
      </c>
      <c r="B63" s="26"/>
      <c r="C63" s="20">
        <v>-2.2399999999999996E-2</v>
      </c>
      <c r="D63" s="20">
        <v>-2.0999999999999999E-3</v>
      </c>
      <c r="L63" s="26">
        <v>44</v>
      </c>
      <c r="M63" s="24">
        <v>5.6000000000000001E-2</v>
      </c>
      <c r="N63" s="24">
        <v>7.0699999999999999E-2</v>
      </c>
      <c r="O63" s="24">
        <v>6.9400000000000003E-2</v>
      </c>
      <c r="P63" s="24">
        <v>-4.4999999999999997E-3</v>
      </c>
      <c r="Q63" s="24">
        <v>-5.8799999999999998E-2</v>
      </c>
      <c r="R63" s="24">
        <v>0.152</v>
      </c>
      <c r="S63" s="24">
        <v>7.8600000000000003E-2</v>
      </c>
      <c r="T63" s="24">
        <v>8.2299999999999998E-2</v>
      </c>
      <c r="U63" s="24">
        <v>8.3099999999999993E-2</v>
      </c>
    </row>
    <row r="64" spans="1:21" x14ac:dyDescent="0.3">
      <c r="A64" s="26">
        <v>45</v>
      </c>
      <c r="B64" s="26"/>
      <c r="C64" s="20">
        <v>-0.1087</v>
      </c>
      <c r="D64" s="20">
        <v>2.93E-2</v>
      </c>
      <c r="L64" s="26">
        <v>45</v>
      </c>
      <c r="M64" s="24">
        <v>4.82E-2</v>
      </c>
      <c r="N64" s="24">
        <v>0.1</v>
      </c>
      <c r="O64" s="24">
        <v>3.7900000000000003E-2</v>
      </c>
      <c r="P64" s="24">
        <v>9.8699999999999996E-2</v>
      </c>
      <c r="Q64" s="24">
        <v>3.1300000000000001E-2</v>
      </c>
      <c r="R64" s="24">
        <v>8.2500000000000004E-2</v>
      </c>
      <c r="S64" s="24">
        <v>3.0000000000000001E-3</v>
      </c>
      <c r="T64" s="24">
        <v>7.4499999999999997E-2</v>
      </c>
      <c r="U64" s="24">
        <v>5.2600000000000001E-2</v>
      </c>
    </row>
    <row r="65" spans="1:21" x14ac:dyDescent="0.3">
      <c r="A65" s="26">
        <v>46</v>
      </c>
      <c r="B65" s="26"/>
      <c r="C65" s="20">
        <v>-2.0299999999999999E-2</v>
      </c>
      <c r="D65" s="20">
        <v>5.9999999999999993E-3</v>
      </c>
      <c r="L65" s="26">
        <v>46</v>
      </c>
      <c r="M65" s="24">
        <v>1.78E-2</v>
      </c>
      <c r="N65" s="24">
        <v>8.8999999999999996E-2</v>
      </c>
      <c r="O65" s="24">
        <v>6.59E-2</v>
      </c>
      <c r="P65" s="24">
        <v>-2.86E-2</v>
      </c>
      <c r="Q65" s="24">
        <v>-1.52E-2</v>
      </c>
      <c r="R65" s="24">
        <v>-3.1699999999999999E-2</v>
      </c>
      <c r="S65" s="24">
        <v>-2.7300000000000001E-2</v>
      </c>
      <c r="T65" s="24">
        <v>-1.4E-3</v>
      </c>
      <c r="U65" s="24">
        <v>0.1072</v>
      </c>
    </row>
    <row r="66" spans="1:21" x14ac:dyDescent="0.3">
      <c r="A66" s="26">
        <v>47</v>
      </c>
      <c r="B66" s="26"/>
      <c r="C66" s="20">
        <v>2.53E-2</v>
      </c>
      <c r="D66" s="20">
        <v>1.9599999999999999E-2</v>
      </c>
      <c r="L66" s="26">
        <v>47</v>
      </c>
      <c r="M66" s="24">
        <v>3.4000000000000002E-2</v>
      </c>
      <c r="N66" s="24">
        <v>1.6999999999999999E-3</v>
      </c>
      <c r="O66" s="24">
        <v>4.2500000000000003E-2</v>
      </c>
      <c r="P66" s="24">
        <v>2.7699999999999999E-2</v>
      </c>
      <c r="Q66" s="24">
        <v>0.1231</v>
      </c>
      <c r="R66" s="24">
        <v>4.24E-2</v>
      </c>
      <c r="S66" s="24">
        <v>9.0399999999999994E-2</v>
      </c>
      <c r="T66" s="24">
        <v>3.7499999999999999E-2</v>
      </c>
      <c r="U66" s="24">
        <v>-1.03E-2</v>
      </c>
    </row>
    <row r="67" spans="1:21" x14ac:dyDescent="0.3">
      <c r="A67" s="26">
        <v>48</v>
      </c>
      <c r="B67" s="26"/>
      <c r="C67" s="20">
        <v>-3.0300000000000001E-2</v>
      </c>
      <c r="D67" s="20">
        <v>-2.6000000000000003E-3</v>
      </c>
      <c r="L67" s="26">
        <v>48</v>
      </c>
      <c r="M67" s="24">
        <v>-4.3E-3</v>
      </c>
      <c r="N67" s="24">
        <v>5.0000000000000001E-3</v>
      </c>
      <c r="O67" s="24">
        <v>-3.3999999999999998E-3</v>
      </c>
      <c r="P67" s="24">
        <v>1.23E-2</v>
      </c>
      <c r="Q67" s="24">
        <v>-4.7899999999999998E-2</v>
      </c>
      <c r="R67" s="24">
        <v>3.2500000000000001E-2</v>
      </c>
      <c r="S67" s="24">
        <v>-3.4299999999999997E-2</v>
      </c>
      <c r="T67" s="24">
        <v>-4.02E-2</v>
      </c>
      <c r="U67" s="24">
        <v>-0.14610000000000001</v>
      </c>
    </row>
    <row r="68" spans="1:21" x14ac:dyDescent="0.3">
      <c r="A68" s="26">
        <v>49</v>
      </c>
      <c r="B68" s="26"/>
      <c r="C68" s="20">
        <v>4.2599999999999999E-2</v>
      </c>
      <c r="D68" s="20">
        <v>-2.9999999999999992E-4</v>
      </c>
      <c r="L68" s="26">
        <v>49</v>
      </c>
      <c r="M68" s="24">
        <v>8.8800000000000004E-2</v>
      </c>
      <c r="N68" s="24">
        <v>8.2100000000000006E-2</v>
      </c>
      <c r="O68" s="24">
        <v>0.16159999999999999</v>
      </c>
      <c r="P68" s="24">
        <v>9.2100000000000001E-2</v>
      </c>
      <c r="Q68" s="24">
        <v>0.17269999999999999</v>
      </c>
      <c r="R68" s="24">
        <v>0.1024</v>
      </c>
      <c r="S68" s="24">
        <v>0.1242</v>
      </c>
      <c r="T68" s="24">
        <v>0.1157</v>
      </c>
      <c r="U68" s="24">
        <v>6.1100000000000002E-2</v>
      </c>
    </row>
    <row r="69" spans="1:21" x14ac:dyDescent="0.3">
      <c r="A69" s="26">
        <v>50</v>
      </c>
      <c r="B69" s="26"/>
      <c r="C69" s="20">
        <v>8.9899999999999994E-2</v>
      </c>
      <c r="D69" s="20">
        <v>3.6899999999999995E-2</v>
      </c>
      <c r="L69" s="26">
        <v>50</v>
      </c>
      <c r="M69" s="24">
        <v>1.8800000000000001E-2</v>
      </c>
      <c r="N69" s="24">
        <v>6.1000000000000004E-3</v>
      </c>
      <c r="O69" s="24">
        <v>5.2699999999999997E-2</v>
      </c>
      <c r="P69" s="24">
        <v>5.62E-2</v>
      </c>
      <c r="Q69" s="24">
        <v>2.9399999999999999E-2</v>
      </c>
      <c r="R69" s="24">
        <v>9.8000000000000004E-2</v>
      </c>
      <c r="S69" s="24">
        <v>0</v>
      </c>
      <c r="T69" s="24">
        <v>3.1300000000000001E-2</v>
      </c>
      <c r="U69" s="24">
        <v>8.3500000000000005E-2</v>
      </c>
    </row>
    <row r="70" spans="1:21" x14ac:dyDescent="0.3">
      <c r="A70" s="26">
        <v>51</v>
      </c>
      <c r="B70" s="26"/>
      <c r="C70" s="20">
        <v>-4.2599999999999999E-2</v>
      </c>
      <c r="D70" s="20">
        <v>-1.6899999999999998E-2</v>
      </c>
      <c r="L70" s="26">
        <v>51</v>
      </c>
      <c r="M70" s="24">
        <v>7.5499999999999998E-2</v>
      </c>
      <c r="N70" s="24">
        <v>3.1199999999999999E-2</v>
      </c>
      <c r="O70" s="24">
        <v>2.5000000000000001E-2</v>
      </c>
      <c r="P70" s="24">
        <v>6.0900000000000003E-2</v>
      </c>
      <c r="Q70" s="24">
        <v>2.5000000000000001E-2</v>
      </c>
      <c r="R70" s="24">
        <v>6.88E-2</v>
      </c>
      <c r="S70" s="24">
        <v>0.1474</v>
      </c>
      <c r="T70" s="24">
        <v>0.1394</v>
      </c>
      <c r="U70" s="24">
        <v>3.5799999999999998E-2</v>
      </c>
    </row>
    <row r="71" spans="1:21" x14ac:dyDescent="0.3">
      <c r="A71" s="26">
        <v>52</v>
      </c>
      <c r="B71" s="26"/>
      <c r="C71" s="20">
        <v>-6.7299999999999999E-2</v>
      </c>
      <c r="D71" s="20">
        <v>-1.72E-2</v>
      </c>
      <c r="L71" s="26">
        <v>52</v>
      </c>
      <c r="M71" s="24">
        <v>7.9699999999999993E-2</v>
      </c>
      <c r="N71" s="24">
        <v>9.8199999999999996E-2</v>
      </c>
      <c r="O71" s="24">
        <v>2.3099999999999999E-2</v>
      </c>
      <c r="P71" s="24">
        <v>4.9500000000000002E-2</v>
      </c>
      <c r="Q71" s="24">
        <v>-1.1599999999999999E-2</v>
      </c>
      <c r="R71" s="24">
        <v>0.1174</v>
      </c>
      <c r="S71" s="24">
        <v>1.38E-2</v>
      </c>
      <c r="T71" s="24">
        <v>2.6599999999999999E-2</v>
      </c>
      <c r="U71" s="24">
        <v>7.6899999999999996E-2</v>
      </c>
    </row>
    <row r="72" spans="1:21" x14ac:dyDescent="0.3">
      <c r="A72" s="26">
        <v>53</v>
      </c>
      <c r="B72" s="26"/>
      <c r="C72" s="20">
        <v>-4.65E-2</v>
      </c>
      <c r="D72" s="20">
        <v>-1.2699999999999999E-2</v>
      </c>
      <c r="L72" s="26">
        <v>53</v>
      </c>
      <c r="M72" s="24">
        <v>-7.8399999999999997E-2</v>
      </c>
      <c r="N72" s="24">
        <v>-8.8099999999999998E-2</v>
      </c>
      <c r="O72" s="24">
        <v>-0.15379999999999999</v>
      </c>
      <c r="P72" s="24">
        <v>-8.8099999999999998E-2</v>
      </c>
      <c r="Q72" s="24">
        <v>-0.12939999999999999</v>
      </c>
      <c r="R72" s="24">
        <v>-5.0599999999999999E-2</v>
      </c>
      <c r="S72" s="24">
        <v>-0.11990000000000001</v>
      </c>
      <c r="T72" s="24">
        <v>-9.74E-2</v>
      </c>
      <c r="U72" s="24">
        <v>-2.9700000000000001E-2</v>
      </c>
    </row>
    <row r="73" spans="1:21" x14ac:dyDescent="0.3">
      <c r="A73" s="26">
        <v>54</v>
      </c>
      <c r="B73" s="26"/>
      <c r="C73" s="20">
        <v>5.1899999999999995E-2</v>
      </c>
      <c r="D73" s="20">
        <v>4.2500000000000003E-2</v>
      </c>
      <c r="L73" s="26">
        <v>54</v>
      </c>
      <c r="M73" s="24">
        <v>-2.4799999999999999E-2</v>
      </c>
      <c r="N73" s="24">
        <v>-0.12759999999999999</v>
      </c>
      <c r="O73" s="24">
        <v>-2.0400000000000001E-2</v>
      </c>
      <c r="P73" s="24">
        <v>-9.4399999999999998E-2</v>
      </c>
      <c r="Q73" s="24">
        <v>-5.4100000000000002E-2</v>
      </c>
      <c r="R73" s="24">
        <v>4.2999999999999997E-2</v>
      </c>
      <c r="S73" s="24">
        <v>7.7000000000000002E-3</v>
      </c>
      <c r="T73" s="24">
        <v>4.48E-2</v>
      </c>
      <c r="U73" s="24">
        <v>-7.9699999999999993E-2</v>
      </c>
    </row>
    <row r="74" spans="1:21" x14ac:dyDescent="0.3">
      <c r="A74" s="26">
        <v>55</v>
      </c>
      <c r="B74" s="26"/>
      <c r="C74" s="20">
        <v>-9.1399999999999995E-2</v>
      </c>
      <c r="D74" s="20">
        <v>1.3500000000000002E-2</v>
      </c>
      <c r="L74" s="26">
        <v>55</v>
      </c>
      <c r="M74" s="24">
        <v>-1.52E-2</v>
      </c>
      <c r="N74" s="24">
        <v>-5.8999999999999999E-3</v>
      </c>
      <c r="O74" s="24">
        <v>-3.3599999999999998E-2</v>
      </c>
      <c r="P74" s="24">
        <v>-2.2100000000000002E-2</v>
      </c>
      <c r="Q74" s="24">
        <v>-2.86E-2</v>
      </c>
      <c r="R74" s="24">
        <v>-5.8999999999999999E-3</v>
      </c>
      <c r="S74" s="24">
        <v>-5.3600000000000002E-2</v>
      </c>
      <c r="T74" s="24">
        <v>-3.1899999999999998E-2</v>
      </c>
      <c r="U74" s="24">
        <v>6.7000000000000002E-3</v>
      </c>
    </row>
    <row r="75" spans="1:21" x14ac:dyDescent="0.3">
      <c r="A75" s="26">
        <v>56</v>
      </c>
      <c r="B75" s="26"/>
      <c r="C75" s="20">
        <v>6.7199999999999996E-2</v>
      </c>
      <c r="D75" s="20">
        <v>4.2999999999999991E-3</v>
      </c>
      <c r="L75" s="26">
        <v>56</v>
      </c>
      <c r="M75" s="24">
        <v>-3.7000000000000002E-3</v>
      </c>
      <c r="N75" s="24">
        <v>2.5399999999999999E-2</v>
      </c>
      <c r="O75" s="24">
        <v>2.64E-2</v>
      </c>
      <c r="P75" s="24">
        <v>4.5900000000000003E-2</v>
      </c>
      <c r="Q75" s="24">
        <v>1.47E-2</v>
      </c>
      <c r="R75" s="24">
        <v>1.4200000000000001E-2</v>
      </c>
      <c r="S75" s="24">
        <v>-2.9700000000000001E-2</v>
      </c>
      <c r="T75" s="24">
        <v>-1.1000000000000001E-3</v>
      </c>
      <c r="U75" s="24">
        <v>4.6300000000000001E-2</v>
      </c>
    </row>
    <row r="76" spans="1:21" x14ac:dyDescent="0.3">
      <c r="A76" s="26">
        <v>57</v>
      </c>
      <c r="B76" s="26"/>
      <c r="C76" s="20">
        <v>7.9000000000000001E-2</v>
      </c>
      <c r="D76" s="20">
        <v>1.2400000000000001E-2</v>
      </c>
      <c r="L76" s="26">
        <v>57</v>
      </c>
      <c r="M76" s="24">
        <v>-3.7900000000000003E-2</v>
      </c>
      <c r="N76" s="24">
        <v>-2.76E-2</v>
      </c>
      <c r="O76" s="24">
        <v>-0.08</v>
      </c>
      <c r="P76" s="24">
        <v>-2.0899999999999998E-2</v>
      </c>
      <c r="Q76" s="24">
        <v>7.1999999999999998E-3</v>
      </c>
      <c r="R76" s="24">
        <v>-8.2000000000000007E-3</v>
      </c>
      <c r="S76" s="24">
        <v>-2.8E-3</v>
      </c>
      <c r="T76" s="24">
        <v>-7.4999999999999997E-2</v>
      </c>
      <c r="U76" s="24">
        <v>-2.2800000000000001E-2</v>
      </c>
    </row>
    <row r="77" spans="1:21" x14ac:dyDescent="0.3">
      <c r="A77" s="26">
        <v>58</v>
      </c>
      <c r="B77" s="26"/>
      <c r="C77" s="20">
        <v>-4.7899999999999998E-2</v>
      </c>
      <c r="D77" s="20">
        <v>1.2300000000000002E-2</v>
      </c>
      <c r="L77" s="26">
        <v>58</v>
      </c>
      <c r="M77" s="24">
        <v>-1.0200000000000001E-2</v>
      </c>
      <c r="N77" s="24">
        <v>1.9E-2</v>
      </c>
      <c r="O77" s="24">
        <v>2.3300000000000001E-2</v>
      </c>
      <c r="P77" s="24">
        <v>-3.8E-3</v>
      </c>
      <c r="Q77" s="24">
        <v>5.0299999999999997E-2</v>
      </c>
      <c r="R77" s="24">
        <v>-0.108</v>
      </c>
      <c r="S77" s="24">
        <v>-1.11E-2</v>
      </c>
      <c r="T77" s="24">
        <v>-3.56E-2</v>
      </c>
      <c r="U77" s="24">
        <v>-2.8500000000000001E-2</v>
      </c>
    </row>
    <row r="78" spans="1:21" x14ac:dyDescent="0.3">
      <c r="A78" s="26">
        <v>59</v>
      </c>
      <c r="B78" s="26"/>
      <c r="C78" s="20">
        <v>9.0299999999999991E-2</v>
      </c>
      <c r="D78" s="20">
        <v>3.4800000000000005E-2</v>
      </c>
      <c r="L78" s="26">
        <v>59</v>
      </c>
      <c r="M78" s="24">
        <v>2.41E-2</v>
      </c>
      <c r="N78" s="24">
        <v>-8.5000000000000006E-3</v>
      </c>
      <c r="O78" s="24">
        <v>-3.32E-2</v>
      </c>
      <c r="P78" s="24">
        <v>-1.5299999999999999E-2</v>
      </c>
      <c r="Q78" s="24">
        <v>-5.4800000000000001E-2</v>
      </c>
      <c r="R78" s="24">
        <v>5.7299999999999997E-2</v>
      </c>
      <c r="S78" s="24">
        <v>2.8199999999999999E-2</v>
      </c>
      <c r="T78" s="24">
        <v>2.93E-2</v>
      </c>
      <c r="U78" s="24">
        <v>0.1734</v>
      </c>
    </row>
    <row r="79" spans="1:21" x14ac:dyDescent="0.3">
      <c r="A79" s="26">
        <v>60</v>
      </c>
      <c r="B79" s="26"/>
      <c r="C79" s="20">
        <v>7.4500000000000011E-2</v>
      </c>
      <c r="D79" s="20">
        <v>7.4999999999999997E-3</v>
      </c>
      <c r="L79" s="26">
        <v>60</v>
      </c>
      <c r="M79" s="24">
        <v>-3.7400000000000003E-2</v>
      </c>
      <c r="N79" s="24">
        <v>2.2100000000000002E-2</v>
      </c>
      <c r="O79" s="24">
        <v>-4.7199999999999999E-2</v>
      </c>
      <c r="P79" s="24">
        <v>-9.2999999999999999E-2</v>
      </c>
      <c r="Q79" s="24">
        <v>-4.3400000000000001E-2</v>
      </c>
      <c r="R79" s="24">
        <v>-3.3300000000000003E-2</v>
      </c>
      <c r="S79" s="24">
        <v>-6.8400000000000002E-2</v>
      </c>
      <c r="T79" s="24">
        <v>-9.9000000000000005E-2</v>
      </c>
      <c r="U79" s="24">
        <v>-1.9300000000000001E-2</v>
      </c>
    </row>
    <row r="81" spans="13:21" x14ac:dyDescent="0.3">
      <c r="M81" s="23" t="s">
        <v>5</v>
      </c>
      <c r="N81" s="33" t="s">
        <v>6</v>
      </c>
      <c r="O81" s="33" t="s">
        <v>7</v>
      </c>
      <c r="P81" s="23" t="s">
        <v>8</v>
      </c>
      <c r="Q81" s="33" t="s">
        <v>9</v>
      </c>
      <c r="R81" s="23" t="s">
        <v>10</v>
      </c>
      <c r="S81" s="23" t="s">
        <v>11</v>
      </c>
      <c r="T81" s="23" t="s">
        <v>12</v>
      </c>
      <c r="U81" s="23" t="s">
        <v>13</v>
      </c>
    </row>
  </sheetData>
  <printOptions headings="1" gridLines="1"/>
  <pageMargins left="0.75" right="0.75" top="1" bottom="1" header="0.5" footer="0.5"/>
  <pageSetup paperSize="9" scale="67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6"/>
  <sheetViews>
    <sheetView workbookViewId="0"/>
  </sheetViews>
  <sheetFormatPr defaultRowHeight="13" x14ac:dyDescent="0.3"/>
  <cols>
    <col min="1" max="1" width="23.19921875" customWidth="1"/>
    <col min="3" max="3" width="5" customWidth="1"/>
    <col min="4" max="4" width="11.19921875" customWidth="1"/>
    <col min="6" max="6" width="4.796875" customWidth="1"/>
    <col min="9" max="9" width="9.296875" customWidth="1"/>
    <col min="10" max="10" width="7.296875" customWidth="1"/>
  </cols>
  <sheetData>
    <row r="1" spans="1:9" x14ac:dyDescent="0.3">
      <c r="A1" s="12" t="s">
        <v>0</v>
      </c>
    </row>
    <row r="2" spans="1:9" x14ac:dyDescent="0.3">
      <c r="A2" s="1" t="s">
        <v>26</v>
      </c>
    </row>
    <row r="3" spans="1:9" x14ac:dyDescent="0.3">
      <c r="E3" t="s">
        <v>27</v>
      </c>
    </row>
    <row r="4" spans="1:9" x14ac:dyDescent="0.3">
      <c r="A4" t="s">
        <v>28</v>
      </c>
      <c r="B4" s="7">
        <v>7.0000000000000007E-2</v>
      </c>
      <c r="D4" t="s">
        <v>29</v>
      </c>
      <c r="E4" s="7">
        <v>0.01</v>
      </c>
      <c r="G4" s="10" t="s">
        <v>30</v>
      </c>
      <c r="H4" s="27">
        <v>1</v>
      </c>
    </row>
    <row r="5" spans="1:9" x14ac:dyDescent="0.3">
      <c r="A5" s="10" t="s">
        <v>31</v>
      </c>
      <c r="B5" s="7">
        <v>0.08</v>
      </c>
      <c r="D5" t="s">
        <v>32</v>
      </c>
      <c r="E5" s="7">
        <v>1.4999999999999999E-2</v>
      </c>
    </row>
    <row r="6" spans="1:9" x14ac:dyDescent="0.3">
      <c r="A6" t="s">
        <v>33</v>
      </c>
      <c r="B6" s="7">
        <v>0.2</v>
      </c>
      <c r="D6" t="s">
        <v>34</v>
      </c>
      <c r="E6" s="7">
        <v>-0.02</v>
      </c>
    </row>
    <row r="7" spans="1:9" x14ac:dyDescent="0.3">
      <c r="A7" t="s">
        <v>35</v>
      </c>
      <c r="B7" s="27">
        <v>3</v>
      </c>
      <c r="D7" t="s">
        <v>36</v>
      </c>
      <c r="E7" s="7">
        <v>-5.0000000000000001E-3</v>
      </c>
    </row>
    <row r="9" spans="1:9" x14ac:dyDescent="0.3">
      <c r="A9" s="12" t="s">
        <v>37</v>
      </c>
    </row>
    <row r="11" spans="1:9" x14ac:dyDescent="0.3">
      <c r="B11" s="4" t="s">
        <v>27</v>
      </c>
      <c r="C11" s="4"/>
      <c r="D11" s="4" t="s">
        <v>23</v>
      </c>
      <c r="E11" s="13" t="s">
        <v>38</v>
      </c>
      <c r="F11" s="4"/>
      <c r="G11" s="4" t="s">
        <v>39</v>
      </c>
      <c r="I11" s="4" t="s">
        <v>40</v>
      </c>
    </row>
    <row r="12" spans="1:9" x14ac:dyDescent="0.3">
      <c r="A12" s="10" t="s">
        <v>29</v>
      </c>
      <c r="B12" s="29">
        <f>E4*$H$4</f>
        <v>0.01</v>
      </c>
      <c r="D12" s="38">
        <v>1.1299999999999999</v>
      </c>
      <c r="E12" s="39">
        <v>0.13</v>
      </c>
      <c r="G12" s="16">
        <f t="shared" ref="G12:G15" si="0">B12/(E12^2)</f>
        <v>0.59171597633136086</v>
      </c>
      <c r="I12" s="6">
        <f t="shared" ref="I12:I15" si="1">G12/$G$17</f>
        <v>0.98201737055955762</v>
      </c>
    </row>
    <row r="13" spans="1:9" x14ac:dyDescent="0.3">
      <c r="A13" s="10" t="s">
        <v>32</v>
      </c>
      <c r="B13" s="29">
        <f t="shared" ref="B13:B15" si="2">E5*$H$4</f>
        <v>1.4999999999999999E-2</v>
      </c>
      <c r="D13" s="38">
        <v>1.1299999999999999</v>
      </c>
      <c r="E13" s="39">
        <v>0.16</v>
      </c>
      <c r="G13" s="16">
        <f t="shared" si="0"/>
        <v>0.5859375</v>
      </c>
      <c r="I13" s="6">
        <f t="shared" si="1"/>
        <v>0.97242735717518713</v>
      </c>
    </row>
    <row r="14" spans="1:9" x14ac:dyDescent="0.3">
      <c r="A14" s="10" t="s">
        <v>34</v>
      </c>
      <c r="B14" s="29">
        <f t="shared" si="2"/>
        <v>-0.02</v>
      </c>
      <c r="D14" s="38">
        <v>1.04</v>
      </c>
      <c r="E14" s="39">
        <v>0.25</v>
      </c>
      <c r="G14" s="16">
        <f t="shared" si="0"/>
        <v>-0.32</v>
      </c>
      <c r="I14" s="6">
        <f t="shared" si="1"/>
        <v>-0.53107499399860891</v>
      </c>
    </row>
    <row r="15" spans="1:9" x14ac:dyDescent="0.3">
      <c r="A15" s="10" t="s">
        <v>36</v>
      </c>
      <c r="B15" s="29">
        <f t="shared" si="2"/>
        <v>-5.0000000000000001E-3</v>
      </c>
      <c r="D15" s="38">
        <v>0.91</v>
      </c>
      <c r="E15" s="39">
        <v>0.14000000000000001</v>
      </c>
      <c r="G15" s="16">
        <f t="shared" si="0"/>
        <v>-0.25510204081632648</v>
      </c>
      <c r="I15" s="6">
        <f t="shared" si="1"/>
        <v>-0.42336973373613579</v>
      </c>
    </row>
    <row r="17" spans="1:17" x14ac:dyDescent="0.3">
      <c r="A17" s="1" t="s">
        <v>41</v>
      </c>
      <c r="B17" s="29">
        <f>SUMPRODUCT(B12:B15,$I$12:$I$15)</f>
        <v>3.7144932611876243E-2</v>
      </c>
      <c r="D17" s="15">
        <f>SUMPRODUCT(D12:D15,$I$12:$I$15)</f>
        <v>1.2709380908818246</v>
      </c>
      <c r="E17" s="29">
        <f>SQRT(SUMSQ(E12*I12,E13*I13,E14*I14,E15*I15))</f>
        <v>0.24828628173901207</v>
      </c>
      <c r="G17" s="16">
        <f>SUM(G12:G15)</f>
        <v>0.60255143551503432</v>
      </c>
    </row>
    <row r="20" spans="1:17" x14ac:dyDescent="0.3">
      <c r="A20" s="12" t="s">
        <v>42</v>
      </c>
    </row>
    <row r="21" spans="1:17" x14ac:dyDescent="0.3">
      <c r="A21" s="12"/>
    </row>
    <row r="22" spans="1:17" x14ac:dyDescent="0.3">
      <c r="A22" s="12"/>
      <c r="B22" s="23" t="s">
        <v>43</v>
      </c>
      <c r="E22" s="23" t="s">
        <v>44</v>
      </c>
      <c r="G22" s="12" t="s">
        <v>45</v>
      </c>
      <c r="L22" s="1" t="s">
        <v>46</v>
      </c>
      <c r="P22" s="6">
        <f>M32</f>
        <v>0.2</v>
      </c>
      <c r="Q22" s="6">
        <f>M28</f>
        <v>0.15000000000000002</v>
      </c>
    </row>
    <row r="23" spans="1:17" x14ac:dyDescent="0.3">
      <c r="A23" s="5" t="s">
        <v>47</v>
      </c>
      <c r="B23" s="29">
        <f>B17</f>
        <v>3.7144932611876243E-2</v>
      </c>
      <c r="C23" s="34" t="s">
        <v>48</v>
      </c>
      <c r="D23" s="34"/>
      <c r="E23" s="6">
        <f>E24-B4</f>
        <v>8.0000000000000016E-2</v>
      </c>
      <c r="G23" s="10" t="s">
        <v>49</v>
      </c>
      <c r="I23" s="40">
        <f>Prob2OptimalRiskyWeight1(B24,E24,B4,B29,E29,B31,B7)</f>
        <v>0.32805378642337862</v>
      </c>
      <c r="L23" t="s">
        <v>50</v>
      </c>
      <c r="M23" s="7">
        <v>0</v>
      </c>
      <c r="O23" s="6">
        <v>0</v>
      </c>
      <c r="P23" s="6">
        <f t="dataTable" ref="P23:Q33" dt2D="0" dtr="0" r1="M23"/>
        <v>0.2</v>
      </c>
      <c r="Q23" s="6">
        <v>0.15000000000000002</v>
      </c>
    </row>
    <row r="24" spans="1:17" x14ac:dyDescent="0.3">
      <c r="A24" s="10" t="s">
        <v>51</v>
      </c>
      <c r="B24" s="6">
        <f>B4+B26*B5+B23</f>
        <v>0.20881997988242224</v>
      </c>
      <c r="C24" s="28"/>
      <c r="E24" s="6">
        <f>B4+E26*B5</f>
        <v>0.15000000000000002</v>
      </c>
      <c r="G24" s="10" t="s">
        <v>52</v>
      </c>
      <c r="I24" s="6">
        <f>1-I23</f>
        <v>0.67194621357662143</v>
      </c>
      <c r="L24" t="s">
        <v>53</v>
      </c>
      <c r="M24" s="6">
        <f>1-M23</f>
        <v>1</v>
      </c>
      <c r="O24" s="6">
        <v>0.1</v>
      </c>
      <c r="P24" s="6">
        <v>0.20691381897710148</v>
      </c>
      <c r="Q24" s="6">
        <v>0.15588199798824223</v>
      </c>
    </row>
    <row r="25" spans="1:17" x14ac:dyDescent="0.3">
      <c r="O25" s="6">
        <v>0.2</v>
      </c>
      <c r="P25" s="6">
        <v>0.21660633527356873</v>
      </c>
      <c r="Q25" s="6">
        <v>0.16176399597648444</v>
      </c>
    </row>
    <row r="26" spans="1:17" x14ac:dyDescent="0.3">
      <c r="A26" s="10" t="s">
        <v>23</v>
      </c>
      <c r="B26" s="30">
        <f>D17</f>
        <v>1.2709380908818246</v>
      </c>
      <c r="E26" s="30">
        <v>1</v>
      </c>
      <c r="G26" s="1" t="s">
        <v>54</v>
      </c>
      <c r="L26" s="1" t="s">
        <v>55</v>
      </c>
      <c r="O26" s="6">
        <v>0.3</v>
      </c>
      <c r="P26" s="6">
        <v>0.22872456796520754</v>
      </c>
      <c r="Q26" s="6">
        <v>0.16764599396472668</v>
      </c>
    </row>
    <row r="27" spans="1:17" x14ac:dyDescent="0.3">
      <c r="G27" s="10" t="s">
        <v>56</v>
      </c>
      <c r="I27" s="6">
        <f>I29+I30*B5</f>
        <v>9.929611711777557E-2</v>
      </c>
      <c r="L27" s="10" t="s">
        <v>56</v>
      </c>
      <c r="M27" s="6">
        <f>M29+M30*B5</f>
        <v>0.08</v>
      </c>
      <c r="O27" s="6">
        <v>0.4</v>
      </c>
      <c r="P27" s="6">
        <v>0.24290574100742093</v>
      </c>
      <c r="Q27" s="6">
        <v>0.17352799195296889</v>
      </c>
    </row>
    <row r="28" spans="1:17" x14ac:dyDescent="0.3">
      <c r="A28" s="10" t="s">
        <v>57</v>
      </c>
      <c r="B28" s="29">
        <f>E17</f>
        <v>0.24828628173901207</v>
      </c>
      <c r="C28" s="31"/>
      <c r="E28" s="29">
        <v>0</v>
      </c>
      <c r="G28" t="s">
        <v>51</v>
      </c>
      <c r="I28" s="6">
        <f>B4+I27</f>
        <v>0.16929611711777559</v>
      </c>
      <c r="L28" t="s">
        <v>51</v>
      </c>
      <c r="M28" s="6">
        <f>B4+M27</f>
        <v>0.15000000000000002</v>
      </c>
      <c r="O28" s="6">
        <v>0.5</v>
      </c>
      <c r="P28" s="6">
        <v>0.25881096876122911</v>
      </c>
      <c r="Q28" s="6">
        <v>0.1794099899412111</v>
      </c>
    </row>
    <row r="29" spans="1:17" x14ac:dyDescent="0.3">
      <c r="A29" s="5" t="s">
        <v>58</v>
      </c>
      <c r="B29" s="6">
        <f>SQRT((B26*B6)^2+B28^2)</f>
        <v>0.355327205451479</v>
      </c>
      <c r="C29" s="16"/>
      <c r="E29" s="6">
        <f>E26*B6</f>
        <v>0.2</v>
      </c>
      <c r="G29" t="s">
        <v>22</v>
      </c>
      <c r="I29" s="6">
        <f>I23*B23</f>
        <v>1.218553578976724E-2</v>
      </c>
      <c r="L29" t="s">
        <v>22</v>
      </c>
      <c r="M29" s="6">
        <f>M23*B23</f>
        <v>0</v>
      </c>
      <c r="O29" s="6">
        <v>0.6</v>
      </c>
      <c r="P29" s="6">
        <v>0.27614250596595191</v>
      </c>
      <c r="Q29" s="6">
        <v>0.18529198792945334</v>
      </c>
    </row>
    <row r="30" spans="1:17" x14ac:dyDescent="0.3">
      <c r="B30" s="31"/>
      <c r="G30" s="10" t="s">
        <v>23</v>
      </c>
      <c r="I30" s="15">
        <f>I23*B26+I24*E26</f>
        <v>1.0888822666001041</v>
      </c>
      <c r="L30" s="10" t="s">
        <v>23</v>
      </c>
      <c r="M30" s="15">
        <f>M23*B26+M24*E26</f>
        <v>1</v>
      </c>
      <c r="O30" s="6">
        <v>0.7</v>
      </c>
      <c r="P30" s="6">
        <v>0.29464876915482585</v>
      </c>
      <c r="Q30" s="6">
        <v>0.19117398591769555</v>
      </c>
    </row>
    <row r="31" spans="1:17" x14ac:dyDescent="0.3">
      <c r="A31" s="10" t="s">
        <v>59</v>
      </c>
      <c r="B31" s="15">
        <f>B26*B6/B29</f>
        <v>0.71536210646576848</v>
      </c>
      <c r="G31" s="10" t="s">
        <v>57</v>
      </c>
      <c r="I31" s="6">
        <f>I23*B28</f>
        <v>8.1451254841464676E-2</v>
      </c>
      <c r="L31" s="10" t="s">
        <v>57</v>
      </c>
      <c r="M31" s="6">
        <f>M23*B28</f>
        <v>0</v>
      </c>
      <c r="O31" s="6">
        <v>0.8</v>
      </c>
      <c r="P31" s="6">
        <v>0.31412220271897401</v>
      </c>
      <c r="Q31" s="6">
        <v>0.19705598390593776</v>
      </c>
    </row>
    <row r="32" spans="1:17" x14ac:dyDescent="0.3">
      <c r="G32" s="10" t="s">
        <v>58</v>
      </c>
      <c r="I32" s="6">
        <f>SQRT((I30*B6)^2+I31^2)</f>
        <v>0.23250997943291904</v>
      </c>
      <c r="J32" s="37"/>
      <c r="L32" s="10" t="s">
        <v>58</v>
      </c>
      <c r="M32" s="6">
        <f>SQRT((M30*B6)^2+M31^2)</f>
        <v>0.2</v>
      </c>
      <c r="O32" s="6">
        <v>0.9</v>
      </c>
      <c r="P32" s="6">
        <v>0.33439387977481705</v>
      </c>
      <c r="Q32" s="6">
        <v>0.20293798189418003</v>
      </c>
    </row>
    <row r="33" spans="1:17" x14ac:dyDescent="0.3">
      <c r="A33" s="10"/>
      <c r="O33" s="6">
        <v>1</v>
      </c>
      <c r="P33" s="6">
        <v>0.355327205451479</v>
      </c>
      <c r="Q33" s="6">
        <v>0.20881997988242224</v>
      </c>
    </row>
    <row r="34" spans="1:17" x14ac:dyDescent="0.3">
      <c r="C34" s="32" t="s">
        <v>60</v>
      </c>
      <c r="E34" s="15">
        <f>E23/E29</f>
        <v>0.40000000000000008</v>
      </c>
      <c r="G34" s="32" t="s">
        <v>60</v>
      </c>
      <c r="I34" s="15">
        <f>I27/I32</f>
        <v>0.42706174315594603</v>
      </c>
    </row>
    <row r="37" spans="1:17" x14ac:dyDescent="0.3">
      <c r="A37" s="12" t="s">
        <v>61</v>
      </c>
    </row>
    <row r="39" spans="1:17" x14ac:dyDescent="0.3">
      <c r="A39" s="12" t="s">
        <v>62</v>
      </c>
      <c r="L39" s="1" t="s">
        <v>46</v>
      </c>
      <c r="P39" s="6">
        <f>M49</f>
        <v>0.23250997943291904</v>
      </c>
      <c r="Q39" s="6">
        <f>M45</f>
        <v>0.16929611711777559</v>
      </c>
    </row>
    <row r="40" spans="1:17" x14ac:dyDescent="0.3">
      <c r="A40" s="10" t="s">
        <v>63</v>
      </c>
      <c r="B40" s="6">
        <f>1-B41</f>
        <v>0.387751378532182</v>
      </c>
      <c r="L40" s="10" t="s">
        <v>64</v>
      </c>
      <c r="M40" s="7">
        <v>0</v>
      </c>
      <c r="O40" s="6">
        <v>-0.5</v>
      </c>
      <c r="P40" s="6">
        <f t="dataTable" ref="P40:Q55" dt2D="0" dtr="0" r1="M40"/>
        <v>0.34876496914937855</v>
      </c>
      <c r="Q40" s="6">
        <v>0.21894417567666338</v>
      </c>
    </row>
    <row r="41" spans="1:17" x14ac:dyDescent="0.3">
      <c r="A41" s="10" t="s">
        <v>65</v>
      </c>
      <c r="B41" s="40">
        <f>Prob1OptimalRiskyWeight(I28,B4,I32,B7)</f>
        <v>0.612248621467818</v>
      </c>
      <c r="L41" s="10" t="s">
        <v>66</v>
      </c>
      <c r="M41" s="6">
        <f>1-M40</f>
        <v>1</v>
      </c>
      <c r="O41" s="6">
        <v>-0.4</v>
      </c>
      <c r="P41" s="6">
        <v>0.32551397120608666</v>
      </c>
      <c r="Q41" s="6">
        <v>0.20901456396488582</v>
      </c>
    </row>
    <row r="42" spans="1:17" x14ac:dyDescent="0.3">
      <c r="O42" s="6">
        <v>-0.3</v>
      </c>
      <c r="P42" s="6">
        <v>0.30226297326279478</v>
      </c>
      <c r="Q42" s="6">
        <v>0.19908495225310829</v>
      </c>
    </row>
    <row r="43" spans="1:17" x14ac:dyDescent="0.3">
      <c r="G43" s="12" t="s">
        <v>67</v>
      </c>
      <c r="L43" s="12" t="s">
        <v>68</v>
      </c>
      <c r="O43" s="6">
        <v>-0.2</v>
      </c>
      <c r="P43" s="6">
        <v>0.27901197531950284</v>
      </c>
      <c r="Q43" s="6">
        <v>0.18915534054133068</v>
      </c>
    </row>
    <row r="44" spans="1:17" x14ac:dyDescent="0.3">
      <c r="A44" t="s">
        <v>63</v>
      </c>
      <c r="B44" s="6">
        <f>B40</f>
        <v>0.387751378532182</v>
      </c>
      <c r="G44" s="10" t="s">
        <v>56</v>
      </c>
      <c r="I44" s="6">
        <f>I45-B4</f>
        <v>6.0793910822465103E-2</v>
      </c>
      <c r="L44" s="10" t="s">
        <v>56</v>
      </c>
      <c r="M44" s="6">
        <f>M45-B4</f>
        <v>9.9296117117775584E-2</v>
      </c>
      <c r="O44" s="6">
        <v>-0.1</v>
      </c>
      <c r="P44" s="6">
        <v>0.25576097737621095</v>
      </c>
      <c r="Q44" s="6">
        <v>0.17922572882955315</v>
      </c>
    </row>
    <row r="45" spans="1:17" x14ac:dyDescent="0.3">
      <c r="A45" t="s">
        <v>29</v>
      </c>
      <c r="B45" s="6">
        <f t="shared" ref="B45:B48" si="3">I12*$I$23*$B$41</f>
        <v>0.19723865877712038</v>
      </c>
      <c r="G45" s="10" t="s">
        <v>51</v>
      </c>
      <c r="I45" s="6">
        <f>B40*B4+B41*(B4+I27)</f>
        <v>0.13079391082246511</v>
      </c>
      <c r="L45" s="10" t="s">
        <v>51</v>
      </c>
      <c r="M45" s="6">
        <f>M40*B4+M41*(B4+I27)</f>
        <v>0.16929611711777559</v>
      </c>
      <c r="O45" s="6">
        <v>-1.1102230246251565E-16</v>
      </c>
      <c r="P45" s="6">
        <v>0.23250997943291904</v>
      </c>
      <c r="Q45" s="6">
        <v>0.16929611711777559</v>
      </c>
    </row>
    <row r="46" spans="1:17" x14ac:dyDescent="0.3">
      <c r="A46" t="s">
        <v>32</v>
      </c>
      <c r="B46" s="6">
        <f t="shared" si="3"/>
        <v>0.19531250000000011</v>
      </c>
      <c r="G46" t="s">
        <v>22</v>
      </c>
      <c r="I46" s="6">
        <f>B41*I29</f>
        <v>7.4605774891317519E-3</v>
      </c>
      <c r="L46" t="s">
        <v>22</v>
      </c>
      <c r="M46" s="6">
        <f>M41*I29</f>
        <v>1.218553578976724E-2</v>
      </c>
      <c r="O46" s="6">
        <v>9.9999999999999867E-2</v>
      </c>
      <c r="P46" s="6">
        <v>0.20925898148962715</v>
      </c>
      <c r="Q46" s="6">
        <v>0.15936650540599803</v>
      </c>
    </row>
    <row r="47" spans="1:17" x14ac:dyDescent="0.3">
      <c r="A47" t="s">
        <v>34</v>
      </c>
      <c r="B47" s="6">
        <f t="shared" si="3"/>
        <v>-0.10666666666666673</v>
      </c>
      <c r="G47" s="10" t="s">
        <v>23</v>
      </c>
      <c r="I47" s="15">
        <f>B41*I30</f>
        <v>0.66666666666666685</v>
      </c>
      <c r="L47" s="10" t="s">
        <v>23</v>
      </c>
      <c r="M47" s="15">
        <f>M41*I30</f>
        <v>1.0888822666001041</v>
      </c>
      <c r="O47" s="6">
        <v>0.2</v>
      </c>
      <c r="P47" s="6">
        <v>0.18600798354633524</v>
      </c>
      <c r="Q47" s="6">
        <v>0.1494368936942205</v>
      </c>
    </row>
    <row r="48" spans="1:17" x14ac:dyDescent="0.3">
      <c r="A48" t="s">
        <v>36</v>
      </c>
      <c r="B48" s="6">
        <f t="shared" si="3"/>
        <v>-8.5034013605442202E-2</v>
      </c>
      <c r="G48" s="10" t="s">
        <v>57</v>
      </c>
      <c r="I48" s="6">
        <f>B41*I31</f>
        <v>4.9868418493510681E-2</v>
      </c>
      <c r="L48" s="10" t="s">
        <v>57</v>
      </c>
      <c r="M48" s="6">
        <f>M41*I31</f>
        <v>8.1451254841464676E-2</v>
      </c>
      <c r="O48" s="6">
        <v>0.3</v>
      </c>
      <c r="P48" s="6">
        <v>0.16275698560304333</v>
      </c>
      <c r="Q48" s="6">
        <v>0.13950728198244292</v>
      </c>
    </row>
    <row r="49" spans="1:17" x14ac:dyDescent="0.3">
      <c r="A49" t="s">
        <v>44</v>
      </c>
      <c r="B49" s="6">
        <f>I24*B41</f>
        <v>0.41139814296280647</v>
      </c>
      <c r="G49" s="10" t="s">
        <v>58</v>
      </c>
      <c r="I49" s="6">
        <f>B41*I32</f>
        <v>0.14235391438531539</v>
      </c>
      <c r="L49" s="10" t="s">
        <v>58</v>
      </c>
      <c r="M49" s="6">
        <f>M41*I32</f>
        <v>0.23250997943291904</v>
      </c>
      <c r="O49" s="6">
        <v>0.4</v>
      </c>
      <c r="P49" s="6">
        <v>0.13950598765975142</v>
      </c>
      <c r="Q49" s="6">
        <v>0.12957767027066536</v>
      </c>
    </row>
    <row r="50" spans="1:17" x14ac:dyDescent="0.3">
      <c r="O50" s="6">
        <v>0.5</v>
      </c>
      <c r="P50" s="6">
        <v>0.11625498971645952</v>
      </c>
      <c r="Q50" s="6">
        <v>0.1196480585588878</v>
      </c>
    </row>
    <row r="51" spans="1:17" x14ac:dyDescent="0.3">
      <c r="O51" s="6">
        <v>0.6</v>
      </c>
      <c r="P51" s="6">
        <v>9.3003991773167621E-2</v>
      </c>
      <c r="Q51" s="6">
        <v>0.10971844684711024</v>
      </c>
    </row>
    <row r="52" spans="1:17" x14ac:dyDescent="0.3">
      <c r="O52" s="6">
        <v>0.7</v>
      </c>
      <c r="P52" s="6">
        <v>6.9752993829875723E-2</v>
      </c>
      <c r="Q52" s="6">
        <v>9.9788835135332682E-2</v>
      </c>
    </row>
    <row r="53" spans="1:17" x14ac:dyDescent="0.3">
      <c r="O53" s="6">
        <v>0.8</v>
      </c>
      <c r="P53" s="6">
        <v>4.6501995886583797E-2</v>
      </c>
      <c r="Q53" s="6">
        <v>8.9859223423555123E-2</v>
      </c>
    </row>
    <row r="54" spans="1:17" x14ac:dyDescent="0.3">
      <c r="O54" s="6">
        <v>0.9</v>
      </c>
      <c r="P54" s="6">
        <v>2.3250997943291898E-2</v>
      </c>
      <c r="Q54" s="6">
        <v>7.9929611711777565E-2</v>
      </c>
    </row>
    <row r="55" spans="1:17" x14ac:dyDescent="0.3">
      <c r="O55" s="6">
        <v>1</v>
      </c>
      <c r="P55" s="6">
        <v>0</v>
      </c>
      <c r="Q55" s="6">
        <v>7.0000000000000007E-2</v>
      </c>
    </row>
    <row r="59" spans="1:17" x14ac:dyDescent="0.3">
      <c r="P59" s="6">
        <f t="shared" ref="P59:Q69" si="4">P23</f>
        <v>0.2</v>
      </c>
      <c r="Q59" s="6">
        <f t="shared" si="4"/>
        <v>0.15000000000000002</v>
      </c>
    </row>
    <row r="60" spans="1:17" x14ac:dyDescent="0.3">
      <c r="P60" s="6">
        <f t="shared" si="4"/>
        <v>0.20691381897710148</v>
      </c>
      <c r="Q60" s="6">
        <f t="shared" si="4"/>
        <v>0.15588199798824223</v>
      </c>
    </row>
    <row r="61" spans="1:17" x14ac:dyDescent="0.3">
      <c r="P61" s="6">
        <f t="shared" si="4"/>
        <v>0.21660633527356873</v>
      </c>
      <c r="Q61" s="6">
        <f t="shared" si="4"/>
        <v>0.16176399597648444</v>
      </c>
    </row>
    <row r="62" spans="1:17" x14ac:dyDescent="0.3">
      <c r="P62" s="6">
        <f t="shared" si="4"/>
        <v>0.22872456796520754</v>
      </c>
      <c r="Q62" s="6">
        <f t="shared" si="4"/>
        <v>0.16764599396472668</v>
      </c>
    </row>
    <row r="63" spans="1:17" x14ac:dyDescent="0.3">
      <c r="P63" s="6">
        <f t="shared" si="4"/>
        <v>0.24290574100742093</v>
      </c>
      <c r="Q63" s="6">
        <f t="shared" si="4"/>
        <v>0.17352799195296889</v>
      </c>
    </row>
    <row r="64" spans="1:17" x14ac:dyDescent="0.3">
      <c r="P64" s="6">
        <f t="shared" si="4"/>
        <v>0.25881096876122911</v>
      </c>
      <c r="Q64" s="6">
        <f t="shared" si="4"/>
        <v>0.1794099899412111</v>
      </c>
    </row>
    <row r="65" spans="16:18" x14ac:dyDescent="0.3">
      <c r="P65" s="6">
        <f t="shared" si="4"/>
        <v>0.27614250596595191</v>
      </c>
      <c r="Q65" s="6">
        <f t="shared" si="4"/>
        <v>0.18529198792945334</v>
      </c>
    </row>
    <row r="66" spans="16:18" x14ac:dyDescent="0.3">
      <c r="P66" s="6">
        <f t="shared" si="4"/>
        <v>0.29464876915482585</v>
      </c>
      <c r="Q66" s="6">
        <f t="shared" si="4"/>
        <v>0.19117398591769555</v>
      </c>
    </row>
    <row r="67" spans="16:18" x14ac:dyDescent="0.3">
      <c r="P67" s="6">
        <f t="shared" si="4"/>
        <v>0.31412220271897401</v>
      </c>
      <c r="Q67" s="6">
        <f t="shared" si="4"/>
        <v>0.19705598390593776</v>
      </c>
    </row>
    <row r="68" spans="16:18" x14ac:dyDescent="0.3">
      <c r="P68" s="6">
        <f t="shared" si="4"/>
        <v>0.33439387977481705</v>
      </c>
      <c r="Q68" s="6">
        <f t="shared" si="4"/>
        <v>0.20293798189418003</v>
      </c>
    </row>
    <row r="69" spans="16:18" x14ac:dyDescent="0.3">
      <c r="P69" s="6">
        <f t="shared" si="4"/>
        <v>0.355327205451479</v>
      </c>
      <c r="Q69" s="6">
        <f t="shared" si="4"/>
        <v>0.20881997988242224</v>
      </c>
    </row>
    <row r="70" spans="16:18" x14ac:dyDescent="0.3">
      <c r="P70" s="6">
        <f t="shared" ref="P70:P85" si="5">P40</f>
        <v>0.34876496914937855</v>
      </c>
      <c r="R70" s="6">
        <f t="shared" ref="R70:R85" si="6">Q40</f>
        <v>0.21894417567666338</v>
      </c>
    </row>
    <row r="71" spans="16:18" x14ac:dyDescent="0.3">
      <c r="P71" s="6">
        <f t="shared" si="5"/>
        <v>0.32551397120608666</v>
      </c>
      <c r="R71" s="6">
        <f t="shared" si="6"/>
        <v>0.20901456396488582</v>
      </c>
    </row>
    <row r="72" spans="16:18" x14ac:dyDescent="0.3">
      <c r="P72" s="6">
        <f t="shared" si="5"/>
        <v>0.30226297326279478</v>
      </c>
      <c r="R72" s="6">
        <f t="shared" si="6"/>
        <v>0.19908495225310829</v>
      </c>
    </row>
    <row r="73" spans="16:18" x14ac:dyDescent="0.3">
      <c r="P73" s="6">
        <f t="shared" si="5"/>
        <v>0.27901197531950284</v>
      </c>
      <c r="R73" s="6">
        <f t="shared" si="6"/>
        <v>0.18915534054133068</v>
      </c>
    </row>
    <row r="74" spans="16:18" x14ac:dyDescent="0.3">
      <c r="P74" s="6">
        <f t="shared" si="5"/>
        <v>0.25576097737621095</v>
      </c>
      <c r="R74" s="6">
        <f t="shared" si="6"/>
        <v>0.17922572882955315</v>
      </c>
    </row>
    <row r="75" spans="16:18" x14ac:dyDescent="0.3">
      <c r="P75" s="6">
        <f t="shared" si="5"/>
        <v>0.23250997943291904</v>
      </c>
      <c r="R75" s="6">
        <f t="shared" si="6"/>
        <v>0.16929611711777559</v>
      </c>
    </row>
    <row r="76" spans="16:18" x14ac:dyDescent="0.3">
      <c r="P76" s="6">
        <f t="shared" si="5"/>
        <v>0.20925898148962715</v>
      </c>
      <c r="R76" s="6">
        <f t="shared" si="6"/>
        <v>0.15936650540599803</v>
      </c>
    </row>
    <row r="77" spans="16:18" x14ac:dyDescent="0.3">
      <c r="P77" s="6">
        <f t="shared" si="5"/>
        <v>0.18600798354633524</v>
      </c>
      <c r="R77" s="6">
        <f t="shared" si="6"/>
        <v>0.1494368936942205</v>
      </c>
    </row>
    <row r="78" spans="16:18" x14ac:dyDescent="0.3">
      <c r="P78" s="6">
        <f t="shared" si="5"/>
        <v>0.16275698560304333</v>
      </c>
      <c r="R78" s="6">
        <f t="shared" si="6"/>
        <v>0.13950728198244292</v>
      </c>
    </row>
    <row r="79" spans="16:18" x14ac:dyDescent="0.3">
      <c r="P79" s="6">
        <f t="shared" si="5"/>
        <v>0.13950598765975142</v>
      </c>
      <c r="R79" s="6">
        <f t="shared" si="6"/>
        <v>0.12957767027066536</v>
      </c>
    </row>
    <row r="80" spans="16:18" x14ac:dyDescent="0.3">
      <c r="P80" s="6">
        <f t="shared" si="5"/>
        <v>0.11625498971645952</v>
      </c>
      <c r="R80" s="6">
        <f t="shared" si="6"/>
        <v>0.1196480585588878</v>
      </c>
    </row>
    <row r="81" spans="16:18" x14ac:dyDescent="0.3">
      <c r="P81" s="6">
        <f t="shared" si="5"/>
        <v>9.3003991773167621E-2</v>
      </c>
      <c r="R81" s="6">
        <f t="shared" si="6"/>
        <v>0.10971844684711024</v>
      </c>
    </row>
    <row r="82" spans="16:18" x14ac:dyDescent="0.3">
      <c r="P82" s="6">
        <f t="shared" si="5"/>
        <v>6.9752993829875723E-2</v>
      </c>
      <c r="R82" s="6">
        <f t="shared" si="6"/>
        <v>9.9788835135332682E-2</v>
      </c>
    </row>
    <row r="83" spans="16:18" x14ac:dyDescent="0.3">
      <c r="P83" s="6">
        <f t="shared" si="5"/>
        <v>4.6501995886583797E-2</v>
      </c>
      <c r="R83" s="6">
        <f t="shared" si="6"/>
        <v>8.9859223423555123E-2</v>
      </c>
    </row>
    <row r="84" spans="16:18" x14ac:dyDescent="0.3">
      <c r="P84" s="6">
        <f t="shared" si="5"/>
        <v>2.3250997943291898E-2</v>
      </c>
      <c r="R84" s="6">
        <f t="shared" si="6"/>
        <v>7.9929611711777565E-2</v>
      </c>
    </row>
    <row r="85" spans="16:18" x14ac:dyDescent="0.3">
      <c r="P85" s="6">
        <f t="shared" si="5"/>
        <v>0</v>
      </c>
      <c r="R85" s="6">
        <f t="shared" si="6"/>
        <v>7.0000000000000007E-2</v>
      </c>
    </row>
    <row r="86" spans="16:18" x14ac:dyDescent="0.3">
      <c r="P86" s="6"/>
    </row>
  </sheetData>
  <printOptions headings="1" gridLines="1"/>
  <pageMargins left="0.75" right="0.75" top="1" bottom="1" header="0.5" footer="0.5"/>
  <pageSetup paperSize="9" scale="94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0"/>
  <sheetViews>
    <sheetView workbookViewId="0"/>
  </sheetViews>
  <sheetFormatPr defaultRowHeight="13" x14ac:dyDescent="0.3"/>
  <cols>
    <col min="1" max="10" width="7.296875" customWidth="1"/>
    <col min="11" max="11" width="5.796875" customWidth="1"/>
    <col min="16" max="16" width="11.19921875" customWidth="1"/>
  </cols>
  <sheetData>
    <row r="1" spans="1:17" x14ac:dyDescent="0.3">
      <c r="A1" s="12" t="s">
        <v>0</v>
      </c>
    </row>
    <row r="2" spans="1:17" x14ac:dyDescent="0.3">
      <c r="A2" s="1" t="s">
        <v>69</v>
      </c>
    </row>
    <row r="3" spans="1:17" x14ac:dyDescent="0.3">
      <c r="A3" s="1"/>
      <c r="B3" s="1" t="s">
        <v>70</v>
      </c>
      <c r="P3" s="18"/>
      <c r="Q3" s="18"/>
    </row>
    <row r="4" spans="1:17" x14ac:dyDescent="0.3">
      <c r="A4" s="1"/>
      <c r="J4" s="10" t="s">
        <v>71</v>
      </c>
      <c r="M4" s="2">
        <f>AVERAGE(M21:M80)</f>
        <v>-7.3114999999999986E-3</v>
      </c>
      <c r="P4" s="18"/>
      <c r="Q4" s="18"/>
    </row>
    <row r="5" spans="1:17" x14ac:dyDescent="0.3">
      <c r="A5" s="1"/>
      <c r="B5" s="1" t="s">
        <v>72</v>
      </c>
      <c r="D5" s="10" t="s">
        <v>73</v>
      </c>
      <c r="J5" s="10" t="s">
        <v>74</v>
      </c>
      <c r="M5" s="2">
        <f>M6*10000</f>
        <v>8.3971125364406785</v>
      </c>
      <c r="P5" s="18"/>
      <c r="Q5" s="18"/>
    </row>
    <row r="6" spans="1:17" x14ac:dyDescent="0.3">
      <c r="A6" s="1"/>
      <c r="B6" s="1" t="s">
        <v>75</v>
      </c>
      <c r="D6" s="10" t="s">
        <v>76</v>
      </c>
      <c r="J6" s="12" t="s">
        <v>77</v>
      </c>
      <c r="M6" s="2">
        <f>VAR(M21:M80)</f>
        <v>8.3971125364406792E-4</v>
      </c>
      <c r="P6" s="18"/>
      <c r="Q6" s="18"/>
    </row>
    <row r="7" spans="1:17" x14ac:dyDescent="0.3">
      <c r="A7" s="1"/>
      <c r="B7" s="1" t="s">
        <v>78</v>
      </c>
      <c r="D7" s="10" t="s">
        <v>79</v>
      </c>
      <c r="J7" t="s">
        <v>80</v>
      </c>
      <c r="M7" s="17">
        <f>SQRT(M6)</f>
        <v>2.8977771716335747E-2</v>
      </c>
      <c r="P7" s="18"/>
      <c r="Q7" s="18"/>
    </row>
    <row r="8" spans="1:17" x14ac:dyDescent="0.3">
      <c r="A8" s="1"/>
      <c r="D8" s="10" t="s">
        <v>81</v>
      </c>
      <c r="P8" s="18"/>
      <c r="Q8" s="18"/>
    </row>
    <row r="9" spans="1:17" x14ac:dyDescent="0.3">
      <c r="A9" s="1"/>
      <c r="I9" t="s">
        <v>82</v>
      </c>
      <c r="K9" s="10"/>
      <c r="L9" s="2">
        <f>VAR(B21:B80)</f>
        <v>2.7075152542372885E-3</v>
      </c>
      <c r="P9" s="18"/>
      <c r="Q9" s="18"/>
    </row>
    <row r="10" spans="1:17" x14ac:dyDescent="0.3">
      <c r="A10" s="1"/>
      <c r="I10" s="10" t="s">
        <v>83</v>
      </c>
      <c r="L10" s="6">
        <f>1-(M6/L9)</f>
        <v>0.6898590867290918</v>
      </c>
      <c r="P10" s="18"/>
      <c r="Q10" s="18"/>
    </row>
    <row r="11" spans="1:17" x14ac:dyDescent="0.3">
      <c r="A11" s="1"/>
      <c r="P11" s="18"/>
      <c r="Q11" s="18"/>
    </row>
    <row r="12" spans="1:17" x14ac:dyDescent="0.3">
      <c r="A12" s="1"/>
      <c r="B12" s="1" t="s">
        <v>84</v>
      </c>
      <c r="P12" s="18"/>
      <c r="Q12" s="18"/>
    </row>
    <row r="13" spans="1:17" x14ac:dyDescent="0.3">
      <c r="A13" s="1"/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4" t="s">
        <v>90</v>
      </c>
      <c r="I13" s="4" t="s">
        <v>91</v>
      </c>
      <c r="J13" s="4" t="s">
        <v>92</v>
      </c>
      <c r="P13" s="18"/>
      <c r="Q13" s="18"/>
    </row>
    <row r="14" spans="1:17" x14ac:dyDescent="0.3">
      <c r="A14" s="1"/>
      <c r="D14" s="6"/>
      <c r="E14" s="6"/>
      <c r="L14" s="10"/>
      <c r="P14" s="18"/>
      <c r="Q14" s="18"/>
    </row>
    <row r="15" spans="1:17" x14ac:dyDescent="0.3">
      <c r="A15" s="1"/>
      <c r="B15" s="5" t="s">
        <v>93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P15" s="18"/>
      <c r="Q15" s="18"/>
    </row>
    <row r="16" spans="1:17" x14ac:dyDescent="0.3">
      <c r="A16" s="1"/>
      <c r="B16" s="5" t="s">
        <v>94</v>
      </c>
      <c r="C16" s="7">
        <f>1-SUM(D16:J16)</f>
        <v>8.9999999999999969E-2</v>
      </c>
      <c r="D16" s="6">
        <v>0.13</v>
      </c>
      <c r="E16" s="6">
        <v>0.13</v>
      </c>
      <c r="F16" s="6">
        <v>0.13</v>
      </c>
      <c r="G16" s="6">
        <v>0.13</v>
      </c>
      <c r="H16" s="6">
        <v>0.13</v>
      </c>
      <c r="I16" s="6">
        <v>0.13</v>
      </c>
      <c r="J16" s="6">
        <v>0.13</v>
      </c>
      <c r="P16" s="18"/>
      <c r="Q16" s="18"/>
    </row>
    <row r="17" spans="1:17" x14ac:dyDescent="0.3">
      <c r="A17" s="1"/>
      <c r="B17" s="5" t="s">
        <v>95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Q17" s="18"/>
    </row>
    <row r="18" spans="1:17" x14ac:dyDescent="0.3">
      <c r="A18" s="1"/>
      <c r="Q18" s="18"/>
    </row>
    <row r="19" spans="1:17" x14ac:dyDescent="0.3">
      <c r="A19" s="10" t="s">
        <v>25</v>
      </c>
      <c r="B19" s="4" t="s">
        <v>96</v>
      </c>
      <c r="C19" s="4" t="s">
        <v>85</v>
      </c>
      <c r="D19" s="4" t="s">
        <v>86</v>
      </c>
      <c r="E19" s="4" t="s">
        <v>87</v>
      </c>
      <c r="F19" s="4" t="s">
        <v>88</v>
      </c>
      <c r="G19" s="4" t="s">
        <v>89</v>
      </c>
      <c r="H19" s="4" t="s">
        <v>90</v>
      </c>
      <c r="I19" s="4" t="s">
        <v>91</v>
      </c>
      <c r="J19" s="4" t="s">
        <v>92</v>
      </c>
      <c r="L19" s="4" t="s">
        <v>97</v>
      </c>
      <c r="M19" s="4" t="s">
        <v>98</v>
      </c>
      <c r="Q19" s="18"/>
    </row>
    <row r="20" spans="1:17" x14ac:dyDescent="0.3">
      <c r="Q20" s="18"/>
    </row>
    <row r="21" spans="1:17" x14ac:dyDescent="0.3">
      <c r="A21" s="3">
        <v>1</v>
      </c>
      <c r="B21" s="8">
        <v>-0.02</v>
      </c>
      <c r="C21" s="8">
        <v>8.0000000000000002E-3</v>
      </c>
      <c r="D21" s="8">
        <v>-3.2000000000000001E-2</v>
      </c>
      <c r="E21" s="9">
        <v>4.2999999999999997E-2</v>
      </c>
      <c r="F21" s="9">
        <v>3.2000000000000001E-2</v>
      </c>
      <c r="G21" s="8">
        <v>9.7000000000000003E-2</v>
      </c>
      <c r="H21" s="8">
        <v>0.11</v>
      </c>
      <c r="I21" s="8">
        <v>2.5999999999999999E-2</v>
      </c>
      <c r="J21" s="8">
        <v>0.111</v>
      </c>
      <c r="L21" s="41">
        <f t="shared" ref="L21:L22" si="0">SUMPRODUCT($C$16:$J$16,C21:J21)</f>
        <v>5.1029999999999999E-2</v>
      </c>
      <c r="M21" s="41">
        <f t="shared" ref="M21:M22" si="1">B21-L21</f>
        <v>-7.1029999999999996E-2</v>
      </c>
      <c r="Q21" s="18"/>
    </row>
    <row r="22" spans="1:17" x14ac:dyDescent="0.3">
      <c r="A22" s="3">
        <v>2</v>
      </c>
      <c r="B22" s="8">
        <v>0</v>
      </c>
      <c r="C22" s="8">
        <v>8.9999999999999993E-3</v>
      </c>
      <c r="D22" s="8">
        <v>0</v>
      </c>
      <c r="E22" s="9">
        <v>-1.2999999999999999E-2</v>
      </c>
      <c r="F22" s="9">
        <v>2.7E-2</v>
      </c>
      <c r="G22" s="8">
        <v>7.0000000000000001E-3</v>
      </c>
      <c r="H22" s="8">
        <v>4.9000000000000002E-2</v>
      </c>
      <c r="I22" s="8">
        <v>6.6000000000000003E-2</v>
      </c>
      <c r="J22" s="8">
        <v>-1.9E-2</v>
      </c>
      <c r="L22" s="42">
        <f t="shared" si="0"/>
        <v>1.602E-2</v>
      </c>
      <c r="M22" s="42">
        <f t="shared" si="1"/>
        <v>-1.602E-2</v>
      </c>
      <c r="Q22" s="18"/>
    </row>
    <row r="23" spans="1:17" x14ac:dyDescent="0.3">
      <c r="A23" s="3">
        <v>3</v>
      </c>
      <c r="B23" s="8">
        <v>-3.0000000000000001E-3</v>
      </c>
      <c r="C23" s="8">
        <v>1.0999999999999999E-2</v>
      </c>
      <c r="D23" s="8">
        <v>2.3E-2</v>
      </c>
      <c r="E23" s="9">
        <v>1.7999999999999999E-2</v>
      </c>
      <c r="F23" s="9">
        <v>3.2000000000000001E-2</v>
      </c>
      <c r="G23" s="8">
        <v>-5.0999999999999997E-2</v>
      </c>
      <c r="H23" s="8">
        <v>-0.125</v>
      </c>
      <c r="I23" s="8">
        <v>-7.5999999999999998E-2</v>
      </c>
      <c r="J23" s="8">
        <v>-0.10299999999999999</v>
      </c>
      <c r="L23" s="42">
        <f t="shared" ref="L23:L38" si="2">SUMPRODUCT($C$16:$J$16,C23:J23)</f>
        <v>-3.567E-2</v>
      </c>
      <c r="M23" s="42">
        <f t="shared" ref="M23:M38" si="3">B23-L23</f>
        <v>3.2669999999999998E-2</v>
      </c>
      <c r="P23" s="18"/>
      <c r="Q23" s="18"/>
    </row>
    <row r="24" spans="1:17" x14ac:dyDescent="0.3">
      <c r="A24" s="3">
        <v>4</v>
      </c>
      <c r="B24" s="8">
        <v>7.0000000000000001E-3</v>
      </c>
      <c r="C24" s="8">
        <v>1.0999999999999999E-2</v>
      </c>
      <c r="D24" s="8">
        <v>2.7E-2</v>
      </c>
      <c r="E24" s="9">
        <v>1.4999999999999999E-2</v>
      </c>
      <c r="F24" s="9">
        <v>6.0000000000000001E-3</v>
      </c>
      <c r="G24" s="8">
        <v>0.03</v>
      </c>
      <c r="H24" s="8">
        <v>-1E-3</v>
      </c>
      <c r="I24" s="8">
        <v>-3.3000000000000002E-2</v>
      </c>
      <c r="J24" s="8">
        <v>2.1000000000000001E-2</v>
      </c>
      <c r="L24" s="42">
        <f t="shared" si="2"/>
        <v>9.4399999999999987E-3</v>
      </c>
      <c r="M24" s="42">
        <f t="shared" si="3"/>
        <v>-2.4399999999999986E-3</v>
      </c>
      <c r="P24" s="18"/>
      <c r="Q24" s="18"/>
    </row>
    <row r="25" spans="1:17" x14ac:dyDescent="0.3">
      <c r="A25" s="3">
        <v>5</v>
      </c>
      <c r="B25" s="8">
        <v>3.0000000000000001E-3</v>
      </c>
      <c r="C25" s="8">
        <v>0.01</v>
      </c>
      <c r="D25" s="8">
        <v>-7.0000000000000001E-3</v>
      </c>
      <c r="E25" s="9">
        <v>2.1000000000000001E-2</v>
      </c>
      <c r="F25" s="9">
        <v>2.5000000000000001E-2</v>
      </c>
      <c r="G25" s="8">
        <v>3.5999999999999997E-2</v>
      </c>
      <c r="H25" s="8">
        <v>3.4000000000000002E-2</v>
      </c>
      <c r="I25" s="8">
        <v>1.2E-2</v>
      </c>
      <c r="J25" s="8">
        <v>1.0999999999999999E-2</v>
      </c>
      <c r="L25" s="42">
        <f t="shared" si="2"/>
        <v>1.806E-2</v>
      </c>
      <c r="M25" s="42">
        <f t="shared" si="3"/>
        <v>-1.506E-2</v>
      </c>
      <c r="P25" s="18"/>
      <c r="Q25" s="18"/>
    </row>
    <row r="26" spans="1:17" x14ac:dyDescent="0.3">
      <c r="A26" s="3">
        <v>6</v>
      </c>
      <c r="B26" s="8">
        <v>7.0000000000000001E-3</v>
      </c>
      <c r="C26" s="8">
        <v>0.01</v>
      </c>
      <c r="D26" s="8">
        <v>2.4E-2</v>
      </c>
      <c r="E26" s="9">
        <v>-5.6000000000000001E-2</v>
      </c>
      <c r="F26" s="9">
        <v>-4.9000000000000002E-2</v>
      </c>
      <c r="G26" s="8">
        <v>0.02</v>
      </c>
      <c r="H26" s="8">
        <v>0</v>
      </c>
      <c r="I26" s="8">
        <v>2.7E-2</v>
      </c>
      <c r="J26" s="8">
        <v>-2.5999999999999999E-2</v>
      </c>
      <c r="L26" s="42">
        <f t="shared" si="2"/>
        <v>-6.8999999999999999E-3</v>
      </c>
      <c r="M26" s="42">
        <f t="shared" si="3"/>
        <v>1.3899999999999999E-2</v>
      </c>
    </row>
    <row r="27" spans="1:17" x14ac:dyDescent="0.3">
      <c r="A27" s="3">
        <v>7</v>
      </c>
      <c r="B27" s="8">
        <v>3.6999999999999998E-2</v>
      </c>
      <c r="C27" s="8">
        <v>0.01</v>
      </c>
      <c r="D27" s="8">
        <v>0.03</v>
      </c>
      <c r="E27" s="9">
        <v>2.5999999999999999E-2</v>
      </c>
      <c r="F27" s="9">
        <v>8.9999999999999993E-3</v>
      </c>
      <c r="G27" s="8">
        <v>-1.6E-2</v>
      </c>
      <c r="H27" s="8">
        <v>-9.8000000000000004E-2</v>
      </c>
      <c r="I27" s="8">
        <v>-8.5999999999999993E-2</v>
      </c>
      <c r="J27" s="8">
        <v>1.9E-2</v>
      </c>
      <c r="L27" s="42">
        <f t="shared" si="2"/>
        <v>-1.4179999999999998E-2</v>
      </c>
      <c r="M27" s="42">
        <f t="shared" si="3"/>
        <v>5.1179999999999996E-2</v>
      </c>
    </row>
    <row r="28" spans="1:17" x14ac:dyDescent="0.3">
      <c r="A28" s="3">
        <v>8</v>
      </c>
      <c r="B28" s="8">
        <v>3.0000000000000001E-3</v>
      </c>
      <c r="C28" s="8">
        <v>0.01</v>
      </c>
      <c r="D28" s="8">
        <v>1.4E-2</v>
      </c>
      <c r="E28" s="9">
        <v>6.7000000000000004E-2</v>
      </c>
      <c r="F28" s="9">
        <v>5.7000000000000002E-2</v>
      </c>
      <c r="G28" s="8">
        <v>7.5999999999999998E-2</v>
      </c>
      <c r="H28" s="8">
        <v>1.0999999999999999E-2</v>
      </c>
      <c r="I28" s="8">
        <v>4.4999999999999998E-2</v>
      </c>
      <c r="J28" s="8">
        <v>-3.0000000000000001E-3</v>
      </c>
      <c r="L28" s="42">
        <f t="shared" si="2"/>
        <v>3.5610000000000003E-2</v>
      </c>
      <c r="M28" s="42">
        <f t="shared" si="3"/>
        <v>-3.261E-2</v>
      </c>
    </row>
    <row r="29" spans="1:17" x14ac:dyDescent="0.3">
      <c r="A29" s="3">
        <v>9</v>
      </c>
      <c r="B29" s="8">
        <v>0.01</v>
      </c>
      <c r="C29" s="8">
        <v>8.9999999999999993E-3</v>
      </c>
      <c r="D29" s="8">
        <v>7.0000000000000001E-3</v>
      </c>
      <c r="E29" s="9">
        <v>-3.4000000000000002E-2</v>
      </c>
      <c r="F29" s="9">
        <v>1.0999999999999999E-2</v>
      </c>
      <c r="G29" s="8">
        <v>0.06</v>
      </c>
      <c r="H29" s="8">
        <v>-3.6999999999999998E-2</v>
      </c>
      <c r="I29" s="8">
        <v>0.105</v>
      </c>
      <c r="J29" s="8">
        <v>2.1000000000000001E-2</v>
      </c>
      <c r="L29" s="42">
        <f t="shared" si="2"/>
        <v>1.8100000000000002E-2</v>
      </c>
      <c r="M29" s="42">
        <f t="shared" si="3"/>
        <v>-8.1000000000000013E-3</v>
      </c>
    </row>
    <row r="30" spans="1:17" x14ac:dyDescent="0.3">
      <c r="A30" s="3">
        <v>10</v>
      </c>
      <c r="B30" s="8">
        <v>0.01</v>
      </c>
      <c r="C30" s="8">
        <v>8.9999999999999993E-3</v>
      </c>
      <c r="D30" s="8">
        <v>2.3E-2</v>
      </c>
      <c r="E30" s="9">
        <v>7.0999999999999994E-2</v>
      </c>
      <c r="F30" s="9">
        <v>7.0000000000000007E-2</v>
      </c>
      <c r="G30" s="8">
        <v>7.6999999999999999E-2</v>
      </c>
      <c r="H30" s="8">
        <v>1.7000000000000001E-2</v>
      </c>
      <c r="I30" s="8">
        <v>-3.0000000000000001E-3</v>
      </c>
      <c r="J30" s="8">
        <v>0.02</v>
      </c>
      <c r="L30" s="42">
        <f t="shared" si="2"/>
        <v>3.6560000000000002E-2</v>
      </c>
      <c r="M30" s="42">
        <f t="shared" si="3"/>
        <v>-2.656E-2</v>
      </c>
    </row>
    <row r="31" spans="1:17" x14ac:dyDescent="0.3">
      <c r="A31" s="3">
        <v>11</v>
      </c>
      <c r="B31" s="8">
        <v>6.0000000000000001E-3</v>
      </c>
      <c r="C31" s="8">
        <v>8.9999999999999993E-3</v>
      </c>
      <c r="D31" s="8">
        <v>-4.0000000000000001E-3</v>
      </c>
      <c r="E31" s="9">
        <v>4.9000000000000002E-2</v>
      </c>
      <c r="F31" s="9">
        <v>2.7E-2</v>
      </c>
      <c r="G31" s="8">
        <v>4.8000000000000001E-2</v>
      </c>
      <c r="H31" s="8">
        <v>4.4999999999999998E-2</v>
      </c>
      <c r="I31" s="8">
        <v>-4.0000000000000001E-3</v>
      </c>
      <c r="J31" s="8">
        <v>-4.2999999999999997E-2</v>
      </c>
      <c r="L31" s="42">
        <f t="shared" si="2"/>
        <v>1.6150000000000005E-2</v>
      </c>
      <c r="M31" s="42">
        <f t="shared" si="3"/>
        <v>-1.0150000000000005E-2</v>
      </c>
    </row>
    <row r="32" spans="1:17" x14ac:dyDescent="0.3">
      <c r="A32" s="3">
        <v>12</v>
      </c>
      <c r="B32" s="8">
        <v>-0.01</v>
      </c>
      <c r="C32" s="8">
        <v>8.9999999999999993E-3</v>
      </c>
      <c r="D32" s="8">
        <v>2E-3</v>
      </c>
      <c r="E32" s="9">
        <v>-1.4999999999999999E-2</v>
      </c>
      <c r="F32" s="9">
        <v>-1.2999999999999999E-2</v>
      </c>
      <c r="G32" s="8">
        <v>0.127</v>
      </c>
      <c r="H32" s="8">
        <v>7.4999999999999997E-2</v>
      </c>
      <c r="I32" s="8">
        <v>8.2000000000000003E-2</v>
      </c>
      <c r="J32" s="8">
        <v>0.03</v>
      </c>
      <c r="L32" s="42">
        <f t="shared" si="2"/>
        <v>3.8250000000000006E-2</v>
      </c>
      <c r="M32" s="42">
        <f t="shared" si="3"/>
        <v>-4.8250000000000008E-2</v>
      </c>
    </row>
    <row r="33" spans="1:13" x14ac:dyDescent="0.3">
      <c r="A33" s="3">
        <v>13</v>
      </c>
      <c r="B33" s="8">
        <v>-1.2999999999999999E-2</v>
      </c>
      <c r="C33" s="8">
        <v>8.9999999999999993E-3</v>
      </c>
      <c r="D33" s="8">
        <v>-0.02</v>
      </c>
      <c r="E33" s="9">
        <v>1.9E-2</v>
      </c>
      <c r="F33" s="9">
        <v>3.4000000000000002E-2</v>
      </c>
      <c r="G33" s="8">
        <v>5.8000000000000003E-2</v>
      </c>
      <c r="H33" s="8">
        <v>3.3000000000000002E-2</v>
      </c>
      <c r="I33" s="8">
        <v>5.5E-2</v>
      </c>
      <c r="J33" s="8">
        <v>7.6999999999999999E-2</v>
      </c>
      <c r="L33" s="42">
        <f t="shared" si="2"/>
        <v>3.4090000000000002E-2</v>
      </c>
      <c r="M33" s="42">
        <f t="shared" si="3"/>
        <v>-4.709E-2</v>
      </c>
    </row>
    <row r="34" spans="1:13" x14ac:dyDescent="0.3">
      <c r="A34" s="3">
        <v>14</v>
      </c>
      <c r="B34" s="8">
        <v>3.2000000000000001E-2</v>
      </c>
      <c r="C34" s="8">
        <v>0.01</v>
      </c>
      <c r="D34" s="8">
        <v>4.2000000000000003E-2</v>
      </c>
      <c r="E34" s="9">
        <v>7.9000000000000001E-2</v>
      </c>
      <c r="F34" s="9">
        <v>6.9000000000000006E-2</v>
      </c>
      <c r="G34" s="8">
        <v>7.3999999999999996E-2</v>
      </c>
      <c r="H34" s="8">
        <v>3.5000000000000003E-2</v>
      </c>
      <c r="I34" s="8">
        <v>7.9000000000000001E-2</v>
      </c>
      <c r="J34" s="8">
        <v>-5.3999999999999999E-2</v>
      </c>
      <c r="L34" s="42">
        <f t="shared" si="2"/>
        <v>4.3020000000000003E-2</v>
      </c>
      <c r="M34" s="42">
        <f t="shared" si="3"/>
        <v>-1.1020000000000002E-2</v>
      </c>
    </row>
    <row r="35" spans="1:13" x14ac:dyDescent="0.3">
      <c r="A35" s="3">
        <v>15</v>
      </c>
      <c r="B35" s="8">
        <v>7.8E-2</v>
      </c>
      <c r="C35" s="8">
        <v>0.01</v>
      </c>
      <c r="D35" s="8">
        <v>9.9000000000000005E-2</v>
      </c>
      <c r="E35" s="9">
        <v>8.4000000000000005E-2</v>
      </c>
      <c r="F35" s="9">
        <v>5.8000000000000003E-2</v>
      </c>
      <c r="G35" s="8">
        <v>5.8999999999999997E-2</v>
      </c>
      <c r="H35" s="8">
        <v>4.4999999999999998E-2</v>
      </c>
      <c r="I35" s="8">
        <v>0.17299999999999999</v>
      </c>
      <c r="J35" s="8">
        <v>4.2000000000000003E-2</v>
      </c>
      <c r="L35" s="42">
        <f t="shared" si="2"/>
        <v>7.3700000000000015E-2</v>
      </c>
      <c r="M35" s="42">
        <f t="shared" si="3"/>
        <v>4.2999999999999844E-3</v>
      </c>
    </row>
    <row r="36" spans="1:13" x14ac:dyDescent="0.3">
      <c r="A36" s="3">
        <v>16</v>
      </c>
      <c r="B36" s="8">
        <v>2.9000000000000001E-2</v>
      </c>
      <c r="C36" s="8">
        <v>8.9999999999999993E-3</v>
      </c>
      <c r="D36" s="8">
        <v>6.7000000000000004E-2</v>
      </c>
      <c r="E36" s="9">
        <v>-2E-3</v>
      </c>
      <c r="F36" s="9">
        <v>5.8000000000000003E-2</v>
      </c>
      <c r="G36" s="8">
        <v>8.6999999999999994E-2</v>
      </c>
      <c r="H36" s="8">
        <v>-5.0999999999999997E-2</v>
      </c>
      <c r="I36" s="8">
        <v>8.0000000000000002E-3</v>
      </c>
      <c r="J36" s="8">
        <v>7.6999999999999999E-2</v>
      </c>
      <c r="L36" s="42">
        <f t="shared" si="2"/>
        <v>3.2530000000000003E-2</v>
      </c>
      <c r="M36" s="42">
        <f t="shared" si="3"/>
        <v>-3.5300000000000019E-3</v>
      </c>
    </row>
    <row r="37" spans="1:13" x14ac:dyDescent="0.3">
      <c r="A37" s="3">
        <v>17</v>
      </c>
      <c r="B37" s="8">
        <v>-1.0999999999999999E-2</v>
      </c>
      <c r="C37" s="8">
        <v>8.0000000000000002E-3</v>
      </c>
      <c r="D37" s="8">
        <v>-1.4999999999999999E-2</v>
      </c>
      <c r="E37" s="9">
        <v>-3.2000000000000001E-2</v>
      </c>
      <c r="F37" s="9">
        <v>-8.0000000000000002E-3</v>
      </c>
      <c r="G37" s="8">
        <v>-5.7000000000000002E-2</v>
      </c>
      <c r="H37" s="8">
        <v>9.7000000000000003E-2</v>
      </c>
      <c r="I37" s="8">
        <v>0.06</v>
      </c>
      <c r="J37" s="8">
        <v>2.4E-2</v>
      </c>
      <c r="L37" s="42">
        <f t="shared" si="2"/>
        <v>9.6900000000000007E-3</v>
      </c>
      <c r="M37" s="42">
        <f t="shared" si="3"/>
        <v>-2.069E-2</v>
      </c>
    </row>
    <row r="38" spans="1:13" x14ac:dyDescent="0.3">
      <c r="A38" s="3">
        <v>18</v>
      </c>
      <c r="B38" s="8">
        <v>-0.02</v>
      </c>
      <c r="C38" s="8">
        <v>8.0000000000000002E-3</v>
      </c>
      <c r="D38" s="8">
        <v>-1.2999999999999999E-2</v>
      </c>
      <c r="E38" s="9">
        <v>3.3000000000000002E-2</v>
      </c>
      <c r="F38" s="9">
        <v>3.3000000000000002E-2</v>
      </c>
      <c r="G38" s="8">
        <v>-1.4E-2</v>
      </c>
      <c r="H38" s="8">
        <v>-1.4999999999999999E-2</v>
      </c>
      <c r="I38" s="8">
        <v>5.0999999999999997E-2</v>
      </c>
      <c r="J38" s="8">
        <v>-7.0000000000000007E-2</v>
      </c>
      <c r="L38" s="42">
        <f t="shared" si="2"/>
        <v>1.3699999999999997E-3</v>
      </c>
      <c r="M38" s="42">
        <f t="shared" si="3"/>
        <v>-2.137E-2</v>
      </c>
    </row>
    <row r="39" spans="1:13" x14ac:dyDescent="0.3">
      <c r="A39" s="3">
        <v>19</v>
      </c>
      <c r="B39" s="8">
        <v>-3.0000000000000001E-3</v>
      </c>
      <c r="C39" s="8">
        <v>8.0000000000000002E-3</v>
      </c>
      <c r="D39" s="8">
        <v>-5.0000000000000001E-3</v>
      </c>
      <c r="E39" s="9">
        <v>-5.1999999999999998E-2</v>
      </c>
      <c r="F39" s="9">
        <v>-1.7000000000000001E-2</v>
      </c>
      <c r="G39" s="8">
        <v>7.5999999999999998E-2</v>
      </c>
      <c r="H39" s="8">
        <v>-3.1E-2</v>
      </c>
      <c r="I39" s="8">
        <v>0.16700000000000001</v>
      </c>
      <c r="J39" s="8">
        <v>-4.3999999999999997E-2</v>
      </c>
      <c r="L39" s="42">
        <f t="shared" ref="L39:L54" si="4">SUMPRODUCT($C$16:$J$16,C39:J39)</f>
        <v>1.2940000000000004E-2</v>
      </c>
      <c r="M39" s="42">
        <f t="shared" ref="M39:M54" si="5">B39-L39</f>
        <v>-1.5940000000000003E-2</v>
      </c>
    </row>
    <row r="40" spans="1:13" x14ac:dyDescent="0.3">
      <c r="A40" s="3">
        <v>20</v>
      </c>
      <c r="B40" s="8">
        <v>6.0000000000000001E-3</v>
      </c>
      <c r="C40" s="8">
        <v>8.0000000000000002E-3</v>
      </c>
      <c r="D40" s="8">
        <v>4.0000000000000001E-3</v>
      </c>
      <c r="E40" s="9">
        <v>6.9000000000000006E-2</v>
      </c>
      <c r="F40" s="9">
        <v>2.5999999999999999E-2</v>
      </c>
      <c r="G40" s="8">
        <v>0.14099999999999999</v>
      </c>
      <c r="H40" s="8">
        <v>8.2000000000000003E-2</v>
      </c>
      <c r="I40" s="8">
        <v>7.8E-2</v>
      </c>
      <c r="J40" s="8">
        <v>7.0999999999999994E-2</v>
      </c>
      <c r="L40" s="42">
        <f t="shared" si="4"/>
        <v>6.1950000000000005E-2</v>
      </c>
      <c r="M40" s="42">
        <f t="shared" si="5"/>
        <v>-5.5950000000000007E-2</v>
      </c>
    </row>
    <row r="41" spans="1:13" x14ac:dyDescent="0.3">
      <c r="A41" s="3">
        <v>21</v>
      </c>
      <c r="B41" s="8">
        <v>-9.2999999999999999E-2</v>
      </c>
      <c r="C41" s="8">
        <v>8.0000000000000002E-3</v>
      </c>
      <c r="D41" s="8">
        <v>-0.04</v>
      </c>
      <c r="E41" s="9">
        <v>-0.06</v>
      </c>
      <c r="F41" s="9">
        <v>-2.3E-2</v>
      </c>
      <c r="G41" s="8">
        <v>-3.3000000000000002E-2</v>
      </c>
      <c r="H41" s="8">
        <v>-6.8000000000000005E-2</v>
      </c>
      <c r="I41" s="8">
        <v>4.4999999999999998E-2</v>
      </c>
      <c r="J41" s="8">
        <v>8.7999999999999995E-2</v>
      </c>
      <c r="L41" s="42">
        <f t="shared" si="4"/>
        <v>-1.111E-2</v>
      </c>
      <c r="M41" s="42">
        <f t="shared" si="5"/>
        <v>-8.1890000000000004E-2</v>
      </c>
    </row>
    <row r="42" spans="1:13" x14ac:dyDescent="0.3">
      <c r="A42" s="3">
        <v>22</v>
      </c>
      <c r="B42" s="8">
        <v>0.01</v>
      </c>
      <c r="C42" s="8">
        <v>8.0000000000000002E-3</v>
      </c>
      <c r="D42" s="8">
        <v>-4.4999999999999998E-2</v>
      </c>
      <c r="E42" s="9">
        <v>5.1999999999999998E-2</v>
      </c>
      <c r="F42" s="9">
        <v>4.2999999999999997E-2</v>
      </c>
      <c r="G42" s="8">
        <v>3.5999999999999997E-2</v>
      </c>
      <c r="H42" s="8">
        <v>9.6000000000000002E-2</v>
      </c>
      <c r="I42" s="8">
        <v>-9.1999999999999998E-2</v>
      </c>
      <c r="J42" s="8">
        <v>0.16500000000000001</v>
      </c>
      <c r="L42" s="42">
        <f t="shared" si="4"/>
        <v>3.3869999999999997E-2</v>
      </c>
      <c r="M42" s="42">
        <f t="shared" si="5"/>
        <v>-2.3869999999999995E-2</v>
      </c>
    </row>
    <row r="43" spans="1:13" x14ac:dyDescent="0.3">
      <c r="A43" s="3">
        <v>23</v>
      </c>
      <c r="B43" s="8">
        <v>-6.0000000000000001E-3</v>
      </c>
      <c r="C43" s="8">
        <v>8.9999999999999993E-3</v>
      </c>
      <c r="D43" s="8">
        <v>-6.0000000000000001E-3</v>
      </c>
      <c r="E43" s="9">
        <v>6.0000000000000001E-3</v>
      </c>
      <c r="F43" s="9">
        <v>3.5000000000000003E-2</v>
      </c>
      <c r="G43" s="8">
        <v>3.2000000000000001E-2</v>
      </c>
      <c r="H43" s="8">
        <v>-6.0000000000000001E-3</v>
      </c>
      <c r="I43" s="8">
        <v>2.4E-2</v>
      </c>
      <c r="J43" s="8">
        <v>-2E-3</v>
      </c>
      <c r="L43" s="42">
        <f t="shared" si="4"/>
        <v>1.1600000000000003E-2</v>
      </c>
      <c r="M43" s="42">
        <f t="shared" si="5"/>
        <v>-1.7600000000000005E-2</v>
      </c>
    </row>
    <row r="44" spans="1:13" x14ac:dyDescent="0.3">
      <c r="A44" s="3">
        <v>24</v>
      </c>
      <c r="B44" s="8">
        <v>6.0999999999999999E-2</v>
      </c>
      <c r="C44" s="8">
        <v>8.9999999999999993E-3</v>
      </c>
      <c r="D44" s="8">
        <v>1.7999999999999999E-2</v>
      </c>
      <c r="E44" s="9">
        <v>2.9000000000000001E-2</v>
      </c>
      <c r="F44" s="9">
        <v>2.8000000000000001E-2</v>
      </c>
      <c r="G44" s="8">
        <v>-6.0000000000000001E-3</v>
      </c>
      <c r="H44" s="8">
        <v>-5.1999999999999998E-2</v>
      </c>
      <c r="I44" s="8">
        <v>4.5999999999999999E-2</v>
      </c>
      <c r="J44" s="8">
        <v>5.0999999999999997E-2</v>
      </c>
      <c r="L44" s="42">
        <f t="shared" si="4"/>
        <v>1.5630000000000002E-2</v>
      </c>
      <c r="M44" s="42">
        <f t="shared" si="5"/>
        <v>4.5369999999999994E-2</v>
      </c>
    </row>
    <row r="45" spans="1:13" x14ac:dyDescent="0.3">
      <c r="A45" s="3">
        <v>25</v>
      </c>
      <c r="B45" s="8">
        <v>3.0000000000000001E-3</v>
      </c>
      <c r="C45" s="8">
        <v>8.9999999999999993E-3</v>
      </c>
      <c r="D45" s="8">
        <v>0.06</v>
      </c>
      <c r="E45" s="9">
        <v>0.08</v>
      </c>
      <c r="F45" s="9">
        <v>8.5999999999999993E-2</v>
      </c>
      <c r="G45" s="8">
        <v>-2.4E-2</v>
      </c>
      <c r="H45" s="8">
        <v>9.1999999999999998E-2</v>
      </c>
      <c r="I45" s="8">
        <v>0.13900000000000001</v>
      </c>
      <c r="J45" s="8">
        <v>-3.4000000000000002E-2</v>
      </c>
      <c r="L45" s="42">
        <f t="shared" si="4"/>
        <v>5.2679999999999998E-2</v>
      </c>
      <c r="M45" s="42">
        <f t="shared" si="5"/>
        <v>-4.9679999999999995E-2</v>
      </c>
    </row>
    <row r="46" spans="1:13" x14ac:dyDescent="0.3">
      <c r="A46" s="3">
        <v>26</v>
      </c>
      <c r="B46" s="8">
        <v>5.7000000000000002E-2</v>
      </c>
      <c r="C46" s="8">
        <v>8.9999999999999993E-3</v>
      </c>
      <c r="D46" s="8">
        <v>3.1E-2</v>
      </c>
      <c r="E46" s="9">
        <v>9.7000000000000003E-2</v>
      </c>
      <c r="F46" s="9">
        <v>9.0999999999999998E-2</v>
      </c>
      <c r="G46" s="8">
        <v>-2.1000000000000001E-2</v>
      </c>
      <c r="H46" s="8">
        <v>3.2000000000000001E-2</v>
      </c>
      <c r="I46" s="8">
        <v>-6.0000000000000001E-3</v>
      </c>
      <c r="J46" s="8">
        <v>9.8000000000000004E-2</v>
      </c>
      <c r="L46" s="42">
        <f t="shared" si="4"/>
        <v>4.267E-2</v>
      </c>
      <c r="M46" s="42">
        <f t="shared" si="5"/>
        <v>1.4330000000000002E-2</v>
      </c>
    </row>
    <row r="47" spans="1:13" x14ac:dyDescent="0.3">
      <c r="A47" s="3">
        <v>27</v>
      </c>
      <c r="B47" s="8">
        <v>8.9999999999999993E-3</v>
      </c>
      <c r="C47" s="8">
        <v>8.9999999999999993E-3</v>
      </c>
      <c r="D47" s="8">
        <v>6.9000000000000006E-2</v>
      </c>
      <c r="E47" s="9">
        <v>1.2E-2</v>
      </c>
      <c r="F47" s="9">
        <v>6.6000000000000003E-2</v>
      </c>
      <c r="G47" s="8">
        <v>8.0000000000000002E-3</v>
      </c>
      <c r="H47" s="8">
        <v>-1.4999999999999999E-2</v>
      </c>
      <c r="I47" s="8">
        <v>7.0999999999999994E-2</v>
      </c>
      <c r="J47" s="8">
        <v>6.0000000000000001E-3</v>
      </c>
      <c r="L47" s="42">
        <f t="shared" si="4"/>
        <v>2.9020000000000001E-2</v>
      </c>
      <c r="M47" s="42">
        <f t="shared" si="5"/>
        <v>-2.0020000000000003E-2</v>
      </c>
    </row>
    <row r="48" spans="1:13" x14ac:dyDescent="0.3">
      <c r="A48" s="3">
        <v>28</v>
      </c>
      <c r="B48" s="8">
        <v>0.02</v>
      </c>
      <c r="C48" s="8">
        <v>8.0000000000000002E-3</v>
      </c>
      <c r="D48" s="8">
        <v>1.0999999999999999E-2</v>
      </c>
      <c r="E48" s="9">
        <v>2.9000000000000001E-2</v>
      </c>
      <c r="F48" s="9">
        <v>3.5000000000000003E-2</v>
      </c>
      <c r="G48" s="8">
        <v>-1.2999999999999999E-2</v>
      </c>
      <c r="H48" s="8">
        <v>-4.7E-2</v>
      </c>
      <c r="I48" s="8">
        <v>0.125</v>
      </c>
      <c r="J48" s="8">
        <v>-1.9E-2</v>
      </c>
      <c r="L48" s="42">
        <f t="shared" si="4"/>
        <v>1.6449999999999999E-2</v>
      </c>
      <c r="M48" s="42">
        <f t="shared" si="5"/>
        <v>3.5500000000000011E-3</v>
      </c>
    </row>
    <row r="49" spans="1:13" x14ac:dyDescent="0.3">
      <c r="A49" s="3">
        <v>29</v>
      </c>
      <c r="B49" s="8">
        <v>2.1000000000000001E-2</v>
      </c>
      <c r="C49" s="8">
        <v>8.0000000000000002E-3</v>
      </c>
      <c r="D49" s="8">
        <v>3.5000000000000003E-2</v>
      </c>
      <c r="E49" s="9">
        <v>7.6999999999999999E-2</v>
      </c>
      <c r="F49" s="9">
        <v>7.5999999999999998E-2</v>
      </c>
      <c r="G49" s="8">
        <v>-0.02</v>
      </c>
      <c r="H49" s="8">
        <v>3.1E-2</v>
      </c>
      <c r="I49" s="8">
        <v>1.2E-2</v>
      </c>
      <c r="J49" s="8">
        <v>8.2000000000000003E-2</v>
      </c>
      <c r="L49" s="42">
        <f t="shared" si="4"/>
        <v>3.8809999999999997E-2</v>
      </c>
      <c r="M49" s="42">
        <f t="shared" si="5"/>
        <v>-1.7809999999999996E-2</v>
      </c>
    </row>
    <row r="50" spans="1:13" x14ac:dyDescent="0.3">
      <c r="A50" s="3">
        <v>30</v>
      </c>
      <c r="B50" s="8">
        <v>3.7999999999999999E-2</v>
      </c>
      <c r="C50" s="8">
        <v>7.0000000000000001E-3</v>
      </c>
      <c r="D50" s="8">
        <v>0</v>
      </c>
      <c r="E50" s="9">
        <v>3.9E-2</v>
      </c>
      <c r="F50" s="9">
        <v>0.113</v>
      </c>
      <c r="G50" s="8">
        <v>4.2000000000000003E-2</v>
      </c>
      <c r="H50" s="8">
        <v>0.06</v>
      </c>
      <c r="I50" s="8">
        <v>-6.6000000000000003E-2</v>
      </c>
      <c r="J50" s="8">
        <v>5.6000000000000001E-2</v>
      </c>
      <c r="L50" s="42">
        <f t="shared" si="4"/>
        <v>3.2349999999999997E-2</v>
      </c>
      <c r="M50" s="42">
        <f t="shared" si="5"/>
        <v>5.6500000000000022E-3</v>
      </c>
    </row>
    <row r="51" spans="1:13" x14ac:dyDescent="0.3">
      <c r="A51" s="3">
        <v>31</v>
      </c>
      <c r="B51" s="8">
        <v>4.5999999999999999E-2</v>
      </c>
      <c r="C51" s="8">
        <v>7.0000000000000001E-3</v>
      </c>
      <c r="D51" s="8">
        <v>-2.3E-2</v>
      </c>
      <c r="E51" s="9">
        <v>3.5999999999999997E-2</v>
      </c>
      <c r="F51" s="9">
        <v>9.0999999999999998E-2</v>
      </c>
      <c r="G51" s="8">
        <v>0.05</v>
      </c>
      <c r="H51" s="8">
        <v>5.8000000000000003E-2</v>
      </c>
      <c r="I51" s="8">
        <v>-0.02</v>
      </c>
      <c r="J51" s="8">
        <v>0.127</v>
      </c>
      <c r="L51" s="42">
        <f t="shared" si="4"/>
        <v>4.2099999999999999E-2</v>
      </c>
      <c r="M51" s="42">
        <f t="shared" si="5"/>
        <v>3.9000000000000007E-3</v>
      </c>
    </row>
    <row r="52" spans="1:13" x14ac:dyDescent="0.3">
      <c r="A52" s="3">
        <v>32</v>
      </c>
      <c r="B52" s="8">
        <v>2.1000000000000001E-2</v>
      </c>
      <c r="C52" s="8">
        <v>7.0000000000000001E-3</v>
      </c>
      <c r="D52" s="8">
        <v>-5.1999999999999998E-2</v>
      </c>
      <c r="E52" s="9">
        <v>-4.4999999999999998E-2</v>
      </c>
      <c r="F52" s="9">
        <v>-3.3000000000000002E-2</v>
      </c>
      <c r="G52" s="8">
        <v>1.0999999999999999E-2</v>
      </c>
      <c r="H52" s="8">
        <v>1.9E-2</v>
      </c>
      <c r="I52" s="8">
        <v>9.8000000000000004E-2</v>
      </c>
      <c r="J52" s="8">
        <v>4.7E-2</v>
      </c>
      <c r="L52" s="42">
        <f t="shared" si="4"/>
        <v>6.4800000000000023E-3</v>
      </c>
      <c r="M52" s="42">
        <f t="shared" si="5"/>
        <v>1.4519999999999998E-2</v>
      </c>
    </row>
    <row r="53" spans="1:13" x14ac:dyDescent="0.3">
      <c r="A53" s="3">
        <v>33</v>
      </c>
      <c r="B53" s="8">
        <v>3.2000000000000001E-2</v>
      </c>
      <c r="C53" s="8">
        <v>8.0000000000000002E-3</v>
      </c>
      <c r="D53" s="8">
        <v>3.0000000000000001E-3</v>
      </c>
      <c r="E53" s="9">
        <v>5.3999999999999999E-2</v>
      </c>
      <c r="F53" s="9">
        <v>5.5E-2</v>
      </c>
      <c r="G53" s="8">
        <v>-2.9000000000000001E-2</v>
      </c>
      <c r="H53" s="8">
        <v>-2.4E-2</v>
      </c>
      <c r="I53" s="8">
        <v>-0.04</v>
      </c>
      <c r="J53" s="8">
        <v>5.7000000000000002E-2</v>
      </c>
      <c r="L53" s="42">
        <f t="shared" si="4"/>
        <v>1.0599999999999998E-2</v>
      </c>
      <c r="M53" s="42">
        <f t="shared" si="5"/>
        <v>2.1400000000000002E-2</v>
      </c>
    </row>
    <row r="54" spans="1:13" x14ac:dyDescent="0.3">
      <c r="A54" s="3">
        <v>34</v>
      </c>
      <c r="B54" s="8">
        <v>-0.28799999999999998</v>
      </c>
      <c r="C54" s="8">
        <v>8.0000000000000002E-3</v>
      </c>
      <c r="D54" s="8">
        <v>1.7000000000000001E-2</v>
      </c>
      <c r="E54" s="9">
        <v>-0.25700000000000001</v>
      </c>
      <c r="F54" s="9">
        <v>-0.23100000000000001</v>
      </c>
      <c r="G54" s="8">
        <v>-0.217</v>
      </c>
      <c r="H54" s="8">
        <v>-0.252</v>
      </c>
      <c r="I54" s="8">
        <v>-0.124</v>
      </c>
      <c r="J54" s="8">
        <v>-0.46600000000000003</v>
      </c>
      <c r="L54" s="42">
        <f t="shared" si="4"/>
        <v>-0.19818</v>
      </c>
      <c r="M54" s="42">
        <f t="shared" si="5"/>
        <v>-8.9819999999999983E-2</v>
      </c>
    </row>
    <row r="55" spans="1:13" x14ac:dyDescent="0.3">
      <c r="A55" s="3">
        <v>35</v>
      </c>
      <c r="B55" s="8">
        <v>-6.2E-2</v>
      </c>
      <c r="C55" s="8">
        <v>8.0000000000000002E-3</v>
      </c>
      <c r="D55" s="8">
        <v>7.0000000000000007E-2</v>
      </c>
      <c r="E55" s="9">
        <v>-9.2999999999999999E-2</v>
      </c>
      <c r="F55" s="9">
        <v>-0.14399999999999999</v>
      </c>
      <c r="G55" s="8">
        <v>-0.1</v>
      </c>
      <c r="H55" s="8">
        <v>-0.14299999999999999</v>
      </c>
      <c r="I55" s="8">
        <v>-2.9000000000000001E-2</v>
      </c>
      <c r="J55" s="8">
        <v>-3.3000000000000002E-2</v>
      </c>
      <c r="L55" s="42">
        <f t="shared" ref="L55:L70" si="6">SUMPRODUCT($C$16:$J$16,C55:J55)</f>
        <v>-6.0640000000000006E-2</v>
      </c>
      <c r="M55" s="42">
        <f t="shared" ref="M55:M70" si="7">B55-L55</f>
        <v>-1.3599999999999932E-3</v>
      </c>
    </row>
    <row r="56" spans="1:13" x14ac:dyDescent="0.3">
      <c r="A56" s="3">
        <v>36</v>
      </c>
      <c r="B56" s="8">
        <v>4.5999999999999999E-2</v>
      </c>
      <c r="C56" s="8">
        <v>7.0000000000000001E-3</v>
      </c>
      <c r="D56" s="8">
        <v>-2.5000000000000001E-2</v>
      </c>
      <c r="E56" s="9">
        <v>8.7999999999999995E-2</v>
      </c>
      <c r="F56" s="9">
        <v>5.7000000000000002E-2</v>
      </c>
      <c r="G56" s="8">
        <v>1E-3</v>
      </c>
      <c r="H56" s="8">
        <v>0.05</v>
      </c>
      <c r="I56" s="8">
        <v>-2E-3</v>
      </c>
      <c r="J56" s="8">
        <v>1.7999999999999999E-2</v>
      </c>
      <c r="L56" s="42">
        <f t="shared" si="6"/>
        <v>2.4940000000000004E-2</v>
      </c>
      <c r="M56" s="42">
        <f t="shared" si="7"/>
        <v>2.1059999999999995E-2</v>
      </c>
    </row>
    <row r="57" spans="1:13" x14ac:dyDescent="0.3">
      <c r="A57" s="3">
        <v>37</v>
      </c>
      <c r="B57" s="8">
        <v>6.3E-2</v>
      </c>
      <c r="C57" s="8">
        <v>7.0000000000000001E-3</v>
      </c>
      <c r="D57" s="8">
        <v>8.0000000000000002E-3</v>
      </c>
      <c r="E57" s="9">
        <v>4.9000000000000002E-2</v>
      </c>
      <c r="F57" s="9">
        <v>7.4999999999999997E-2</v>
      </c>
      <c r="G57" s="8">
        <v>-0.02</v>
      </c>
      <c r="H57" s="8">
        <v>0.108</v>
      </c>
      <c r="I57" s="8">
        <v>0.114</v>
      </c>
      <c r="J57" s="8">
        <v>3.9E-2</v>
      </c>
      <c r="L57" s="42">
        <f t="shared" si="6"/>
        <v>4.9119999999999997E-2</v>
      </c>
      <c r="M57" s="42">
        <f t="shared" si="7"/>
        <v>1.3880000000000003E-2</v>
      </c>
    </row>
    <row r="58" spans="1:13" x14ac:dyDescent="0.3">
      <c r="A58" s="3">
        <v>38</v>
      </c>
      <c r="B58" s="8">
        <v>5.3999999999999999E-2</v>
      </c>
      <c r="C58" s="8">
        <v>7.0000000000000001E-3</v>
      </c>
      <c r="D58" s="8">
        <v>2.5000000000000001E-2</v>
      </c>
      <c r="E58" s="9">
        <v>-8.9999999999999993E-3</v>
      </c>
      <c r="F58" s="9">
        <v>4.0000000000000001E-3</v>
      </c>
      <c r="G58" s="8">
        <v>0.107</v>
      </c>
      <c r="H58" s="8">
        <v>3.9E-2</v>
      </c>
      <c r="I58" s="8">
        <v>7.6999999999999999E-2</v>
      </c>
      <c r="J58" s="8">
        <v>4.0000000000000001E-3</v>
      </c>
      <c r="L58" s="42">
        <f t="shared" si="6"/>
        <v>3.2739999999999998E-2</v>
      </c>
      <c r="M58" s="42">
        <f t="shared" si="7"/>
        <v>2.1260000000000001E-2</v>
      </c>
    </row>
    <row r="59" spans="1:13" x14ac:dyDescent="0.3">
      <c r="A59" s="3">
        <v>39</v>
      </c>
      <c r="B59" s="8">
        <v>-1.9E-2</v>
      </c>
      <c r="C59" s="8">
        <v>7.0000000000000001E-3</v>
      </c>
      <c r="D59" s="8">
        <v>3.1E-2</v>
      </c>
      <c r="E59" s="9">
        <v>-1.0999999999999999E-2</v>
      </c>
      <c r="F59" s="9">
        <v>1.2E-2</v>
      </c>
      <c r="G59" s="8">
        <v>-4.3999999999999997E-2</v>
      </c>
      <c r="H59" s="8">
        <v>-8.7999999999999995E-2</v>
      </c>
      <c r="I59" s="8">
        <v>7.0000000000000001E-3</v>
      </c>
      <c r="J59" s="8">
        <v>5.7000000000000002E-2</v>
      </c>
      <c r="L59" s="42">
        <f t="shared" si="6"/>
        <v>-4.0500000000000024E-3</v>
      </c>
      <c r="M59" s="42">
        <f t="shared" si="7"/>
        <v>-1.4949999999999998E-2</v>
      </c>
    </row>
    <row r="60" spans="1:13" x14ac:dyDescent="0.3">
      <c r="A60" s="3">
        <v>40</v>
      </c>
      <c r="B60" s="8">
        <v>2.4E-2</v>
      </c>
      <c r="C60" s="8">
        <v>7.0000000000000001E-3</v>
      </c>
      <c r="D60" s="8">
        <v>8.0000000000000002E-3</v>
      </c>
      <c r="E60" s="9">
        <v>3.7999999999999999E-2</v>
      </c>
      <c r="F60" s="9">
        <v>3.3000000000000002E-2</v>
      </c>
      <c r="G60" s="8">
        <v>8.9999999999999993E-3</v>
      </c>
      <c r="H60" s="8">
        <v>1.7000000000000001E-2</v>
      </c>
      <c r="I60" s="8">
        <v>1.6E-2</v>
      </c>
      <c r="J60" s="8">
        <v>5.6000000000000001E-2</v>
      </c>
      <c r="L60" s="42">
        <f t="shared" si="6"/>
        <v>2.3640000000000001E-2</v>
      </c>
      <c r="M60" s="42">
        <f t="shared" si="7"/>
        <v>3.5999999999999921E-4</v>
      </c>
    </row>
    <row r="61" spans="1:13" x14ac:dyDescent="0.3">
      <c r="A61" s="3">
        <v>41</v>
      </c>
      <c r="B61" s="8">
        <v>-1E-3</v>
      </c>
      <c r="C61" s="8">
        <v>7.0000000000000001E-3</v>
      </c>
      <c r="D61" s="8">
        <v>-6.0000000000000001E-3</v>
      </c>
      <c r="E61" s="9">
        <v>-6.0000000000000001E-3</v>
      </c>
      <c r="F61" s="9">
        <v>2.3E-2</v>
      </c>
      <c r="G61" s="8">
        <v>7.0000000000000001E-3</v>
      </c>
      <c r="H61" s="8">
        <v>2.8000000000000001E-2</v>
      </c>
      <c r="I61" s="8">
        <v>-1.4999999999999999E-2</v>
      </c>
      <c r="J61" s="8">
        <v>0.112</v>
      </c>
      <c r="L61" s="42">
        <f t="shared" si="6"/>
        <v>1.9220000000000001E-2</v>
      </c>
      <c r="M61" s="42">
        <f t="shared" si="7"/>
        <v>-2.0220000000000002E-2</v>
      </c>
    </row>
    <row r="62" spans="1:13" x14ac:dyDescent="0.3">
      <c r="A62" s="3">
        <v>42</v>
      </c>
      <c r="B62" s="8">
        <v>0.06</v>
      </c>
      <c r="C62" s="8">
        <v>6.0000000000000001E-3</v>
      </c>
      <c r="D62" s="8">
        <v>3.0000000000000001E-3</v>
      </c>
      <c r="E62" s="9">
        <v>4.4999999999999998E-2</v>
      </c>
      <c r="F62" s="9">
        <v>4.3999999999999997E-2</v>
      </c>
      <c r="G62" s="8">
        <v>8.4000000000000005E-2</v>
      </c>
      <c r="H62" s="8">
        <v>0.125</v>
      </c>
      <c r="I62" s="8">
        <v>3.7999999999999999E-2</v>
      </c>
      <c r="J62" s="8">
        <v>8.5000000000000006E-2</v>
      </c>
      <c r="L62" s="42">
        <f t="shared" si="6"/>
        <v>5.5660000000000001E-2</v>
      </c>
      <c r="M62" s="42">
        <f t="shared" si="7"/>
        <v>4.3399999999999966E-3</v>
      </c>
    </row>
    <row r="63" spans="1:13" x14ac:dyDescent="0.3">
      <c r="A63" s="3">
        <v>43</v>
      </c>
      <c r="B63" s="8">
        <v>-2.1999999999999999E-2</v>
      </c>
      <c r="C63" s="8">
        <v>7.0000000000000001E-3</v>
      </c>
      <c r="D63" s="8">
        <v>-8.9999999999999993E-3</v>
      </c>
      <c r="E63" s="9">
        <v>1E-3</v>
      </c>
      <c r="F63" s="9">
        <v>1.9E-2</v>
      </c>
      <c r="G63" s="8">
        <v>-7.0000000000000001E-3</v>
      </c>
      <c r="H63" s="8">
        <v>-4.0000000000000001E-3</v>
      </c>
      <c r="I63" s="8">
        <v>4.1000000000000002E-2</v>
      </c>
      <c r="J63" s="8">
        <v>4.8000000000000001E-2</v>
      </c>
      <c r="L63" s="42">
        <f t="shared" si="6"/>
        <v>1.2200000000000001E-2</v>
      </c>
      <c r="M63" s="42">
        <f t="shared" si="7"/>
        <v>-3.4200000000000001E-2</v>
      </c>
    </row>
    <row r="64" spans="1:13" x14ac:dyDescent="0.3">
      <c r="A64" s="3">
        <v>44</v>
      </c>
      <c r="B64" s="8">
        <v>-2.1999999999999999E-2</v>
      </c>
      <c r="C64" s="8">
        <v>8.0000000000000002E-3</v>
      </c>
      <c r="D64" s="8">
        <v>1.0999999999999999E-2</v>
      </c>
      <c r="E64" s="9">
        <v>-0.05</v>
      </c>
      <c r="F64" s="9">
        <v>-4.2999999999999997E-2</v>
      </c>
      <c r="G64" s="8">
        <v>-1.2E-2</v>
      </c>
      <c r="H64" s="8">
        <v>-1.7000000000000001E-2</v>
      </c>
      <c r="I64" s="8">
        <v>-6.6000000000000003E-2</v>
      </c>
      <c r="J64" s="8">
        <v>-3.3000000000000002E-2</v>
      </c>
      <c r="L64" s="42">
        <f t="shared" si="6"/>
        <v>-2.6580000000000006E-2</v>
      </c>
      <c r="M64" s="42">
        <f t="shared" si="7"/>
        <v>4.5800000000000077E-3</v>
      </c>
    </row>
    <row r="65" spans="1:13" x14ac:dyDescent="0.3">
      <c r="A65" s="3">
        <v>45</v>
      </c>
      <c r="B65" s="8">
        <v>5.0000000000000001E-3</v>
      </c>
      <c r="C65" s="8">
        <v>8.9999999999999993E-3</v>
      </c>
      <c r="D65" s="8">
        <v>-4.0000000000000001E-3</v>
      </c>
      <c r="E65" s="9">
        <v>4.4999999999999998E-2</v>
      </c>
      <c r="F65" s="9">
        <v>1.7000000000000001E-2</v>
      </c>
      <c r="G65" s="8">
        <v>6.0999999999999999E-2</v>
      </c>
      <c r="H65" s="8">
        <v>0.04</v>
      </c>
      <c r="I65" s="8">
        <v>3.7999999999999999E-2</v>
      </c>
      <c r="J65" s="8">
        <v>-0.02</v>
      </c>
      <c r="L65" s="42">
        <f t="shared" si="6"/>
        <v>2.3819999999999997E-2</v>
      </c>
      <c r="M65" s="42">
        <f t="shared" si="7"/>
        <v>-1.8819999999999996E-2</v>
      </c>
    </row>
    <row r="66" spans="1:13" x14ac:dyDescent="0.3">
      <c r="A66" s="3">
        <v>46</v>
      </c>
      <c r="B66" s="8">
        <v>2.9000000000000001E-2</v>
      </c>
      <c r="C66" s="8">
        <v>0.01</v>
      </c>
      <c r="D66" s="8">
        <v>4.1000000000000002E-2</v>
      </c>
      <c r="E66" s="9">
        <v>1.7999999999999999E-2</v>
      </c>
      <c r="F66" s="9">
        <v>0.03</v>
      </c>
      <c r="G66" s="8">
        <v>4.8000000000000001E-2</v>
      </c>
      <c r="H66" s="8">
        <v>-1.7999999999999999E-2</v>
      </c>
      <c r="I66" s="8">
        <v>0.03</v>
      </c>
      <c r="J66" s="8">
        <v>2.5000000000000001E-2</v>
      </c>
      <c r="L66" s="42">
        <f t="shared" si="6"/>
        <v>2.3520000000000003E-2</v>
      </c>
      <c r="M66" s="42">
        <f t="shared" si="7"/>
        <v>5.4799999999999988E-3</v>
      </c>
    </row>
    <row r="67" spans="1:13" x14ac:dyDescent="0.3">
      <c r="A67" s="3">
        <v>47</v>
      </c>
      <c r="B67" s="8">
        <v>-4.5999999999999999E-2</v>
      </c>
      <c r="C67" s="8">
        <v>0.01</v>
      </c>
      <c r="D67" s="8">
        <v>1E-3</v>
      </c>
      <c r="E67" s="9">
        <v>-2.9000000000000001E-2</v>
      </c>
      <c r="F67" s="9">
        <v>-2.4E-2</v>
      </c>
      <c r="G67" s="8">
        <v>-3.9E-2</v>
      </c>
      <c r="H67" s="8">
        <v>-6.3E-2</v>
      </c>
      <c r="I67" s="8">
        <v>4.8000000000000001E-2</v>
      </c>
      <c r="J67" s="8">
        <v>-4.7E-2</v>
      </c>
      <c r="L67" s="42">
        <f t="shared" si="6"/>
        <v>-1.899E-2</v>
      </c>
      <c r="M67" s="42">
        <f t="shared" si="7"/>
        <v>-2.7009999999999999E-2</v>
      </c>
    </row>
    <row r="68" spans="1:13" x14ac:dyDescent="0.3">
      <c r="A68" s="3">
        <v>48</v>
      </c>
      <c r="B68" s="8">
        <v>3.6999999999999998E-2</v>
      </c>
      <c r="C68" s="8">
        <v>0.01</v>
      </c>
      <c r="D68" s="8">
        <v>-7.0000000000000001E-3</v>
      </c>
      <c r="E68" s="9">
        <v>4.0000000000000001E-3</v>
      </c>
      <c r="F68" s="9">
        <v>-0.03</v>
      </c>
      <c r="G68" s="8">
        <v>4.2000000000000003E-2</v>
      </c>
      <c r="H68" s="8">
        <v>4.2000000000000003E-2</v>
      </c>
      <c r="I68" s="8">
        <v>2.8000000000000001E-2</v>
      </c>
      <c r="J68" s="8">
        <v>2.5000000000000001E-2</v>
      </c>
      <c r="L68" s="42">
        <f t="shared" si="6"/>
        <v>1.4420000000000002E-2</v>
      </c>
      <c r="M68" s="42">
        <f t="shared" si="7"/>
        <v>2.2579999999999996E-2</v>
      </c>
    </row>
    <row r="69" spans="1:13" x14ac:dyDescent="0.3">
      <c r="A69" s="3">
        <v>49</v>
      </c>
      <c r="B69" s="8">
        <v>0.10100000000000001</v>
      </c>
      <c r="C69" s="8">
        <v>1.0999999999999999E-2</v>
      </c>
      <c r="D69" s="8">
        <v>1.7999999999999999E-2</v>
      </c>
      <c r="E69" s="9">
        <v>0.14799999999999999</v>
      </c>
      <c r="F69" s="9">
        <v>9.8000000000000004E-2</v>
      </c>
      <c r="G69" s="8">
        <v>1.9E-2</v>
      </c>
      <c r="H69" s="8">
        <v>0.107</v>
      </c>
      <c r="I69" s="8">
        <v>3.1E-2</v>
      </c>
      <c r="J69" s="8">
        <v>0.14299999999999999</v>
      </c>
      <c r="L69" s="42">
        <f t="shared" si="6"/>
        <v>7.4310000000000001E-2</v>
      </c>
      <c r="M69" s="42">
        <f t="shared" si="7"/>
        <v>2.6690000000000005E-2</v>
      </c>
    </row>
    <row r="70" spans="1:13" x14ac:dyDescent="0.3">
      <c r="A70" s="3">
        <v>50</v>
      </c>
      <c r="B70" s="8">
        <v>-1.2999999999999999E-2</v>
      </c>
      <c r="C70" s="8">
        <v>1.0999999999999999E-2</v>
      </c>
      <c r="D70" s="8">
        <v>2.5999999999999999E-2</v>
      </c>
      <c r="E70" s="9">
        <v>-2.1000000000000001E-2</v>
      </c>
      <c r="F70" s="9">
        <v>3.3000000000000002E-2</v>
      </c>
      <c r="G70" s="8">
        <v>0</v>
      </c>
      <c r="H70" s="8">
        <v>-0.02</v>
      </c>
      <c r="I70" s="8">
        <v>2.8000000000000001E-2</v>
      </c>
      <c r="J70" s="8">
        <v>-7.8E-2</v>
      </c>
      <c r="L70" s="42">
        <f t="shared" si="6"/>
        <v>-3.1700000000000009E-3</v>
      </c>
      <c r="M70" s="42">
        <f t="shared" si="7"/>
        <v>-9.8299999999999985E-3</v>
      </c>
    </row>
    <row r="71" spans="1:13" x14ac:dyDescent="0.3">
      <c r="A71" s="3">
        <v>51</v>
      </c>
      <c r="B71" s="8">
        <v>3.1E-2</v>
      </c>
      <c r="C71" s="8">
        <v>0.01</v>
      </c>
      <c r="D71" s="8">
        <v>-2E-3</v>
      </c>
      <c r="E71" s="9">
        <v>0.04</v>
      </c>
      <c r="F71" s="9">
        <v>3.4000000000000002E-2</v>
      </c>
      <c r="G71" s="8">
        <v>3.9E-2</v>
      </c>
      <c r="H71" s="8">
        <v>5.8000000000000003E-2</v>
      </c>
      <c r="I71" s="8">
        <v>-2E-3</v>
      </c>
      <c r="J71" s="8">
        <v>4.4999999999999998E-2</v>
      </c>
      <c r="L71" s="42">
        <f t="shared" ref="L71:L80" si="8">SUMPRODUCT($C$16:$J$16,C71:J71)</f>
        <v>2.8460000000000003E-2</v>
      </c>
      <c r="M71" s="42">
        <f t="shared" ref="M71:M80" si="9">B71-L71</f>
        <v>2.5399999999999971E-3</v>
      </c>
    </row>
    <row r="72" spans="1:13" x14ac:dyDescent="0.3">
      <c r="A72" s="3">
        <v>52</v>
      </c>
      <c r="B72" s="8">
        <v>3.2000000000000001E-2</v>
      </c>
      <c r="C72" s="8">
        <v>1.0999999999999999E-2</v>
      </c>
      <c r="D72" s="8">
        <v>-1.6E-2</v>
      </c>
      <c r="E72" s="9">
        <v>2.4E-2</v>
      </c>
      <c r="F72" s="9">
        <v>7.0000000000000001E-3</v>
      </c>
      <c r="G72" s="8">
        <v>3.7999999999999999E-2</v>
      </c>
      <c r="H72" s="8">
        <v>5.0999999999999997E-2</v>
      </c>
      <c r="I72" s="8">
        <v>3.0000000000000001E-3</v>
      </c>
      <c r="J72" s="8">
        <v>2.4E-2</v>
      </c>
      <c r="L72" s="42">
        <f t="shared" si="8"/>
        <v>1.8019999999999998E-2</v>
      </c>
      <c r="M72" s="42">
        <f t="shared" si="9"/>
        <v>1.3980000000000003E-2</v>
      </c>
    </row>
    <row r="73" spans="1:13" x14ac:dyDescent="0.3">
      <c r="A73" s="3">
        <v>53</v>
      </c>
      <c r="B73" s="8">
        <v>8.0000000000000002E-3</v>
      </c>
      <c r="C73" s="8">
        <v>1.0999999999999999E-2</v>
      </c>
      <c r="D73" s="8">
        <v>8.0000000000000002E-3</v>
      </c>
      <c r="E73" s="9">
        <v>2E-3</v>
      </c>
      <c r="F73" s="9">
        <v>1.0999999999999999E-2</v>
      </c>
      <c r="G73" s="8">
        <v>3.6999999999999998E-2</v>
      </c>
      <c r="H73" s="8">
        <v>0.11700000000000001</v>
      </c>
      <c r="I73" s="8">
        <v>2.1999999999999999E-2</v>
      </c>
      <c r="J73" s="8">
        <v>1.6E-2</v>
      </c>
      <c r="L73" s="42">
        <f t="shared" si="8"/>
        <v>2.8680000000000004E-2</v>
      </c>
      <c r="M73" s="42">
        <f t="shared" si="9"/>
        <v>-2.0680000000000004E-2</v>
      </c>
    </row>
    <row r="74" spans="1:13" x14ac:dyDescent="0.3">
      <c r="A74" s="3">
        <v>54</v>
      </c>
      <c r="B74" s="8">
        <v>0.03</v>
      </c>
      <c r="C74" s="8">
        <v>1.0999999999999999E-2</v>
      </c>
      <c r="D74" s="8">
        <v>-2.3E-2</v>
      </c>
      <c r="E74" s="9">
        <v>2.1000000000000001E-2</v>
      </c>
      <c r="F74" s="9">
        <v>-3.0000000000000001E-3</v>
      </c>
      <c r="G74" s="8">
        <v>0.06</v>
      </c>
      <c r="H74" s="8">
        <v>8.9999999999999993E-3</v>
      </c>
      <c r="I74" s="8">
        <v>-3.5999999999999997E-2</v>
      </c>
      <c r="J74" s="8">
        <v>-4.2000000000000003E-2</v>
      </c>
      <c r="L74" s="42">
        <f t="shared" si="8"/>
        <v>-8.3000000000000174E-4</v>
      </c>
      <c r="M74" s="42">
        <f t="shared" si="9"/>
        <v>3.083E-2</v>
      </c>
    </row>
    <row r="75" spans="1:13" x14ac:dyDescent="0.3">
      <c r="A75" s="3">
        <v>55</v>
      </c>
      <c r="B75" s="8">
        <v>6.4000000000000001E-2</v>
      </c>
      <c r="C75" s="8">
        <v>1.2E-2</v>
      </c>
      <c r="D75" s="8">
        <v>3.9E-2</v>
      </c>
      <c r="E75" s="9">
        <v>7.0999999999999994E-2</v>
      </c>
      <c r="F75" s="9">
        <v>0.03</v>
      </c>
      <c r="G75" s="8">
        <v>2.5000000000000001E-2</v>
      </c>
      <c r="H75" s="8">
        <v>1.4999999999999999E-2</v>
      </c>
      <c r="I75" s="8">
        <v>5.3999999999999999E-2</v>
      </c>
      <c r="J75" s="8">
        <v>2.5999999999999999E-2</v>
      </c>
      <c r="L75" s="42">
        <f t="shared" si="8"/>
        <v>3.4880000000000001E-2</v>
      </c>
      <c r="M75" s="42">
        <f t="shared" si="9"/>
        <v>2.912E-2</v>
      </c>
    </row>
    <row r="76" spans="1:13" x14ac:dyDescent="0.3">
      <c r="A76" s="3">
        <v>56</v>
      </c>
      <c r="B76" s="8">
        <v>0.02</v>
      </c>
      <c r="C76" s="8">
        <v>1.0999999999999999E-2</v>
      </c>
      <c r="D76" s="8">
        <v>2.1999999999999999E-2</v>
      </c>
      <c r="E76" s="9">
        <v>4.2999999999999997E-2</v>
      </c>
      <c r="F76" s="9">
        <v>1E-3</v>
      </c>
      <c r="G76" s="8">
        <v>5.7000000000000002E-2</v>
      </c>
      <c r="H76" s="8">
        <v>8.1000000000000003E-2</v>
      </c>
      <c r="I76" s="8">
        <v>-1.4999999999999999E-2</v>
      </c>
      <c r="J76" s="8">
        <v>0.122</v>
      </c>
      <c r="L76" s="42">
        <f t="shared" si="8"/>
        <v>4.1419999999999998E-2</v>
      </c>
      <c r="M76" s="42">
        <f t="shared" si="9"/>
        <v>-2.1419999999999998E-2</v>
      </c>
    </row>
    <row r="77" spans="1:13" x14ac:dyDescent="0.3">
      <c r="A77" s="3">
        <v>57</v>
      </c>
      <c r="B77" s="8">
        <v>-0.02</v>
      </c>
      <c r="C77" s="8">
        <v>1.0999999999999999E-2</v>
      </c>
      <c r="D77" s="8">
        <v>-1.4E-2</v>
      </c>
      <c r="E77" s="9">
        <v>-3.4000000000000002E-2</v>
      </c>
      <c r="F77" s="9">
        <v>-1.4E-2</v>
      </c>
      <c r="G77" s="8">
        <v>8.9999999999999993E-3</v>
      </c>
      <c r="H77" s="8">
        <v>-3.5000000000000003E-2</v>
      </c>
      <c r="I77" s="8">
        <v>0.04</v>
      </c>
      <c r="J77" s="8">
        <v>-2E-3</v>
      </c>
      <c r="L77" s="42">
        <f t="shared" si="8"/>
        <v>-5.5100000000000001E-3</v>
      </c>
      <c r="M77" s="42">
        <f t="shared" si="9"/>
        <v>-1.4489999999999999E-2</v>
      </c>
    </row>
    <row r="78" spans="1:13" x14ac:dyDescent="0.3">
      <c r="A78" s="3">
        <v>58</v>
      </c>
      <c r="B78" s="8">
        <v>-4.3999999999999997E-2</v>
      </c>
      <c r="C78" s="8">
        <v>8.9999999999999993E-3</v>
      </c>
      <c r="D78" s="8">
        <v>-8.9999999999999993E-3</v>
      </c>
      <c r="E78" s="9">
        <v>-6.4000000000000001E-2</v>
      </c>
      <c r="F78" s="9">
        <v>-0.109</v>
      </c>
      <c r="G78" s="8">
        <v>-2.5999999999999999E-2</v>
      </c>
      <c r="H78" s="8">
        <v>0</v>
      </c>
      <c r="I78" s="8">
        <v>-5.0000000000000001E-3</v>
      </c>
      <c r="J78" s="8">
        <v>-6.0000000000000001E-3</v>
      </c>
      <c r="L78" s="42">
        <f t="shared" si="8"/>
        <v>-2.7660000000000004E-2</v>
      </c>
      <c r="M78" s="42">
        <f t="shared" si="9"/>
        <v>-1.6339999999999993E-2</v>
      </c>
    </row>
    <row r="79" spans="1:13" x14ac:dyDescent="0.3">
      <c r="A79" s="3">
        <v>59</v>
      </c>
      <c r="B79" s="8">
        <v>5.2999999999999999E-2</v>
      </c>
      <c r="C79" s="8">
        <v>1.2E-2</v>
      </c>
      <c r="D79" s="8">
        <v>-7.0000000000000001E-3</v>
      </c>
      <c r="E79" s="9">
        <v>6.6000000000000003E-2</v>
      </c>
      <c r="F79" s="9">
        <v>5.0000000000000001E-3</v>
      </c>
      <c r="G79" s="8">
        <v>7.2999999999999995E-2</v>
      </c>
      <c r="H79" s="8">
        <v>2.5000000000000001E-2</v>
      </c>
      <c r="I79" s="8">
        <v>5.7000000000000002E-2</v>
      </c>
      <c r="J79" s="8">
        <v>3.0000000000000001E-3</v>
      </c>
      <c r="L79" s="42">
        <f t="shared" si="8"/>
        <v>2.9940000000000001E-2</v>
      </c>
      <c r="M79" s="42">
        <f t="shared" si="9"/>
        <v>2.3059999999999997E-2</v>
      </c>
    </row>
    <row r="80" spans="1:13" x14ac:dyDescent="0.3">
      <c r="A80" s="3">
        <v>60</v>
      </c>
      <c r="B80" s="8">
        <v>5.8999999999999997E-2</v>
      </c>
      <c r="C80" s="8">
        <v>1.2E-2</v>
      </c>
      <c r="D80" s="8">
        <v>1.0999999999999999E-2</v>
      </c>
      <c r="E80" s="9">
        <v>6.8000000000000005E-2</v>
      </c>
      <c r="F80" s="9">
        <v>2.4E-2</v>
      </c>
      <c r="G80" s="8">
        <v>7.5999999999999998E-2</v>
      </c>
      <c r="H80" s="8">
        <v>-5.0000000000000001E-3</v>
      </c>
      <c r="I80" s="8">
        <v>-2.1000000000000001E-2</v>
      </c>
      <c r="J80" s="8">
        <v>1.0999999999999999E-2</v>
      </c>
      <c r="L80" s="42">
        <f t="shared" si="8"/>
        <v>2.24E-2</v>
      </c>
      <c r="M80" s="42">
        <f t="shared" si="9"/>
        <v>3.6599999999999994E-2</v>
      </c>
    </row>
  </sheetData>
  <printOptions headings="1" gridLines="1"/>
  <pageMargins left="0.75" right="0.75" top="1" bottom="1" header="0.5" footer="0.5"/>
  <pageSetup paperSize="9" scale="65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7"/>
  <sheetViews>
    <sheetView workbookViewId="0"/>
  </sheetViews>
  <sheetFormatPr defaultRowHeight="13" x14ac:dyDescent="0.3"/>
  <cols>
    <col min="1" max="10" width="7.296875" customWidth="1"/>
    <col min="11" max="11" width="5.796875" customWidth="1"/>
  </cols>
  <sheetData>
    <row r="1" spans="1:13" x14ac:dyDescent="0.3">
      <c r="A1" s="12" t="s">
        <v>0</v>
      </c>
    </row>
    <row r="2" spans="1:13" x14ac:dyDescent="0.3">
      <c r="A2" s="1" t="s">
        <v>99</v>
      </c>
    </row>
    <row r="3" spans="1:13" x14ac:dyDescent="0.3">
      <c r="A3" s="1"/>
      <c r="B3" s="12" t="s">
        <v>100</v>
      </c>
    </row>
    <row r="4" spans="1:13" x14ac:dyDescent="0.3">
      <c r="A4" s="1"/>
    </row>
    <row r="5" spans="1:13" x14ac:dyDescent="0.3">
      <c r="A5" s="1"/>
      <c r="B5" s="1" t="s">
        <v>72</v>
      </c>
      <c r="E5" s="10" t="s">
        <v>101</v>
      </c>
      <c r="H5" s="1" t="s">
        <v>102</v>
      </c>
      <c r="J5">
        <v>24</v>
      </c>
    </row>
    <row r="6" spans="1:13" x14ac:dyDescent="0.3">
      <c r="A6" s="1"/>
      <c r="B6" s="1" t="s">
        <v>75</v>
      </c>
      <c r="E6" s="10" t="s">
        <v>103</v>
      </c>
      <c r="H6" s="1" t="s">
        <v>104</v>
      </c>
      <c r="J6" s="1">
        <v>1</v>
      </c>
    </row>
    <row r="7" spans="1:13" x14ac:dyDescent="0.3">
      <c r="A7" s="1"/>
      <c r="B7" s="1" t="s">
        <v>78</v>
      </c>
      <c r="E7" s="10" t="s">
        <v>105</v>
      </c>
      <c r="H7" s="1" t="s">
        <v>106</v>
      </c>
      <c r="J7">
        <f>J6+J5-1</f>
        <v>24</v>
      </c>
      <c r="M7" s="10"/>
    </row>
    <row r="8" spans="1:13" x14ac:dyDescent="0.3">
      <c r="A8" s="1"/>
      <c r="E8" s="10" t="s">
        <v>107</v>
      </c>
      <c r="M8" s="10"/>
    </row>
    <row r="9" spans="1:13" x14ac:dyDescent="0.3">
      <c r="A9" s="1"/>
      <c r="B9" s="12" t="s">
        <v>108</v>
      </c>
      <c r="M9" s="10"/>
    </row>
    <row r="10" spans="1:13" x14ac:dyDescent="0.3">
      <c r="A10" s="1"/>
      <c r="C10" s="4" t="s">
        <v>85</v>
      </c>
      <c r="D10" s="4" t="s">
        <v>86</v>
      </c>
      <c r="E10" s="4" t="s">
        <v>87</v>
      </c>
      <c r="F10" s="4" t="s">
        <v>88</v>
      </c>
      <c r="G10" s="4" t="s">
        <v>89</v>
      </c>
      <c r="H10" s="4" t="s">
        <v>90</v>
      </c>
      <c r="I10" s="4" t="s">
        <v>91</v>
      </c>
      <c r="J10" s="4" t="s">
        <v>92</v>
      </c>
      <c r="M10" s="10"/>
    </row>
    <row r="12" spans="1:13" x14ac:dyDescent="0.3">
      <c r="B12" t="s">
        <v>109</v>
      </c>
      <c r="C12" s="6"/>
      <c r="D12" s="6"/>
      <c r="E12" s="6"/>
      <c r="F12" s="6"/>
      <c r="G12" s="6"/>
      <c r="H12" s="6"/>
      <c r="I12" s="6"/>
      <c r="J12" s="6"/>
      <c r="L12" t="s">
        <v>110</v>
      </c>
    </row>
    <row r="13" spans="1:13" x14ac:dyDescent="0.3">
      <c r="B13" t="s">
        <v>111</v>
      </c>
      <c r="C13" s="6"/>
      <c r="D13" s="6"/>
      <c r="E13" s="6"/>
      <c r="F13" s="6"/>
      <c r="G13" s="6"/>
      <c r="H13" s="6"/>
      <c r="I13" s="6"/>
      <c r="J13" s="6"/>
      <c r="L13" s="10" t="s">
        <v>112</v>
      </c>
    </row>
    <row r="14" spans="1:13" x14ac:dyDescent="0.3">
      <c r="B14" t="s">
        <v>113</v>
      </c>
      <c r="C14" s="6"/>
      <c r="D14" s="6"/>
      <c r="E14" s="6"/>
      <c r="F14" s="6"/>
      <c r="G14" s="6"/>
      <c r="H14" s="6"/>
      <c r="I14" s="6"/>
      <c r="J14" s="6"/>
      <c r="L14" s="10" t="s">
        <v>114</v>
      </c>
    </row>
    <row r="15" spans="1:13" x14ac:dyDescent="0.3">
      <c r="B15" t="s">
        <v>115</v>
      </c>
      <c r="C15" s="6"/>
      <c r="D15" s="6"/>
      <c r="E15" s="6"/>
      <c r="F15" s="6"/>
      <c r="G15" s="6"/>
      <c r="H15" s="6"/>
      <c r="I15" s="6"/>
      <c r="J15" s="6"/>
      <c r="L15" s="10" t="s">
        <v>116</v>
      </c>
    </row>
    <row r="16" spans="1:13" x14ac:dyDescent="0.3">
      <c r="B16" t="s">
        <v>117</v>
      </c>
      <c r="C16" s="6"/>
      <c r="D16" s="6"/>
      <c r="E16" s="6"/>
      <c r="F16" s="6"/>
      <c r="G16" s="6"/>
      <c r="H16" s="6"/>
      <c r="I16" s="6"/>
      <c r="J16" s="6"/>
      <c r="L16" s="10" t="s">
        <v>118</v>
      </c>
    </row>
    <row r="17" spans="1:13" x14ac:dyDescent="0.3">
      <c r="B17" t="s">
        <v>119</v>
      </c>
      <c r="C17" s="6"/>
      <c r="D17" s="6"/>
      <c r="E17" s="6"/>
      <c r="F17" s="6"/>
      <c r="G17" s="6"/>
      <c r="H17" s="6"/>
      <c r="I17" s="6"/>
      <c r="J17" s="6"/>
      <c r="L17" s="10" t="s">
        <v>120</v>
      </c>
    </row>
    <row r="18" spans="1:13" x14ac:dyDescent="0.3">
      <c r="B18" t="s">
        <v>121</v>
      </c>
      <c r="C18" s="6"/>
      <c r="D18" s="6"/>
      <c r="E18" s="6"/>
      <c r="F18" s="6"/>
      <c r="G18" s="6"/>
      <c r="H18" s="6"/>
      <c r="I18" s="6"/>
      <c r="J18" s="6"/>
      <c r="L18" s="10" t="s">
        <v>122</v>
      </c>
    </row>
    <row r="20" spans="1:13" x14ac:dyDescent="0.3">
      <c r="B20" s="1" t="s">
        <v>123</v>
      </c>
    </row>
    <row r="22" spans="1:13" x14ac:dyDescent="0.3">
      <c r="J22" s="10" t="s">
        <v>74</v>
      </c>
      <c r="M22" s="2">
        <f>M23*10000</f>
        <v>10.387375635869562</v>
      </c>
    </row>
    <row r="23" spans="1:13" x14ac:dyDescent="0.3">
      <c r="J23" s="12" t="s">
        <v>77</v>
      </c>
      <c r="M23" s="14">
        <f>VAR(INDEX($M$38:$M$97,J6,1):INDEX($M$38:$M$97,J7,1))</f>
        <v>1.0387375635869563E-3</v>
      </c>
    </row>
    <row r="24" spans="1:13" x14ac:dyDescent="0.3">
      <c r="J24" s="10" t="s">
        <v>80</v>
      </c>
      <c r="M24" s="20">
        <f>SQRT(M23)</f>
        <v>3.2229451804009268E-2</v>
      </c>
    </row>
    <row r="26" spans="1:13" x14ac:dyDescent="0.3">
      <c r="I26" t="s">
        <v>82</v>
      </c>
      <c r="L26" s="14">
        <f>VAR(INDEX($B$38:$B$97,J6,1):INDEX($B$38:$B$97,J7,1))</f>
        <v>9.9217391304347812E-4</v>
      </c>
    </row>
    <row r="27" spans="1:13" x14ac:dyDescent="0.3">
      <c r="A27" s="1"/>
      <c r="I27" s="10" t="s">
        <v>124</v>
      </c>
      <c r="L27" s="6">
        <f>1-(M23/L26)</f>
        <v>-4.6930936130587186E-2</v>
      </c>
    </row>
    <row r="28" spans="1:13" x14ac:dyDescent="0.3">
      <c r="A28" s="1"/>
      <c r="B28" s="12" t="s">
        <v>84</v>
      </c>
      <c r="I28" s="10"/>
      <c r="L28" s="6"/>
    </row>
    <row r="29" spans="1:13" x14ac:dyDescent="0.3">
      <c r="A29" s="1"/>
      <c r="B29" s="12"/>
      <c r="I29" s="10"/>
      <c r="L29" s="6"/>
    </row>
    <row r="30" spans="1:13" x14ac:dyDescent="0.3">
      <c r="A30" s="1"/>
      <c r="C30" s="4" t="s">
        <v>85</v>
      </c>
      <c r="D30" s="4" t="s">
        <v>86</v>
      </c>
      <c r="E30" s="4" t="s">
        <v>87</v>
      </c>
      <c r="F30" s="4" t="s">
        <v>88</v>
      </c>
      <c r="G30" s="4" t="s">
        <v>89</v>
      </c>
      <c r="H30" s="4" t="s">
        <v>90</v>
      </c>
      <c r="I30" s="4" t="s">
        <v>91</v>
      </c>
      <c r="J30" s="4" t="s">
        <v>92</v>
      </c>
    </row>
    <row r="31" spans="1:13" x14ac:dyDescent="0.3">
      <c r="A31" s="1"/>
      <c r="D31" s="6"/>
      <c r="E31" s="6"/>
    </row>
    <row r="32" spans="1:13" x14ac:dyDescent="0.3">
      <c r="A32" s="1"/>
      <c r="B32" s="5" t="s">
        <v>93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3" x14ac:dyDescent="0.3">
      <c r="A33" s="1"/>
      <c r="B33" s="5" t="s">
        <v>94</v>
      </c>
      <c r="C33" s="7">
        <f>1-SUM(D33:J33)</f>
        <v>8.9999999999999969E-2</v>
      </c>
      <c r="D33" s="6">
        <v>0.13</v>
      </c>
      <c r="E33" s="6">
        <v>0.13</v>
      </c>
      <c r="F33" s="6">
        <v>0.13</v>
      </c>
      <c r="G33" s="6">
        <v>0.13</v>
      </c>
      <c r="H33" s="6">
        <v>0.13</v>
      </c>
      <c r="I33" s="6">
        <v>0.13</v>
      </c>
      <c r="J33" s="6">
        <v>0.13</v>
      </c>
    </row>
    <row r="34" spans="1:13" x14ac:dyDescent="0.3">
      <c r="A34" s="1"/>
      <c r="B34" s="5" t="s">
        <v>95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</row>
    <row r="35" spans="1:13" x14ac:dyDescent="0.3">
      <c r="A35" s="1"/>
    </row>
    <row r="36" spans="1:13" x14ac:dyDescent="0.3">
      <c r="A36" s="10" t="s">
        <v>25</v>
      </c>
      <c r="B36" s="4" t="s">
        <v>96</v>
      </c>
      <c r="C36" s="4" t="s">
        <v>85</v>
      </c>
      <c r="D36" s="4" t="s">
        <v>86</v>
      </c>
      <c r="E36" s="4" t="s">
        <v>87</v>
      </c>
      <c r="F36" s="4" t="s">
        <v>88</v>
      </c>
      <c r="G36" s="4" t="s">
        <v>89</v>
      </c>
      <c r="H36" s="4" t="s">
        <v>90</v>
      </c>
      <c r="I36" s="4" t="s">
        <v>91</v>
      </c>
      <c r="J36" s="4" t="s">
        <v>92</v>
      </c>
      <c r="L36" s="13" t="s">
        <v>125</v>
      </c>
      <c r="M36" s="4" t="s">
        <v>98</v>
      </c>
    </row>
    <row r="38" spans="1:13" x14ac:dyDescent="0.3">
      <c r="A38" s="3">
        <v>1</v>
      </c>
      <c r="B38" s="8">
        <v>-0.02</v>
      </c>
      <c r="C38" s="8">
        <v>8.0000000000000002E-3</v>
      </c>
      <c r="D38" s="8">
        <v>-3.2000000000000001E-2</v>
      </c>
      <c r="E38" s="8">
        <v>4.2999999999999997E-2</v>
      </c>
      <c r="F38" s="8">
        <v>3.2000000000000001E-2</v>
      </c>
      <c r="G38" s="8">
        <v>9.7000000000000003E-2</v>
      </c>
      <c r="H38" s="8">
        <v>0.11</v>
      </c>
      <c r="I38" s="8">
        <v>2.5999999999999999E-2</v>
      </c>
      <c r="J38" s="8">
        <v>0.111</v>
      </c>
      <c r="L38" s="41">
        <f t="shared" ref="L38:L39" si="0">SUMPRODUCT($C$33:$J$33,C38:J38)</f>
        <v>5.1029999999999999E-2</v>
      </c>
      <c r="M38" s="41">
        <f t="shared" ref="M38:M39" si="1">B38-L38</f>
        <v>-7.1029999999999996E-2</v>
      </c>
    </row>
    <row r="39" spans="1:13" x14ac:dyDescent="0.3">
      <c r="A39" s="3">
        <v>2</v>
      </c>
      <c r="B39" s="8">
        <v>0</v>
      </c>
      <c r="C39" s="8">
        <v>8.9999999999999993E-3</v>
      </c>
      <c r="D39" s="8">
        <v>0</v>
      </c>
      <c r="E39" s="8">
        <v>-1.2999999999999999E-2</v>
      </c>
      <c r="F39" s="8">
        <v>2.7E-2</v>
      </c>
      <c r="G39" s="8">
        <v>7.0000000000000001E-3</v>
      </c>
      <c r="H39" s="8">
        <v>4.9000000000000002E-2</v>
      </c>
      <c r="I39" s="8">
        <v>6.6000000000000003E-2</v>
      </c>
      <c r="J39" s="8">
        <v>-1.9E-2</v>
      </c>
      <c r="L39" s="42">
        <f t="shared" si="0"/>
        <v>1.602E-2</v>
      </c>
      <c r="M39" s="42">
        <f t="shared" si="1"/>
        <v>-1.602E-2</v>
      </c>
    </row>
    <row r="40" spans="1:13" x14ac:dyDescent="0.3">
      <c r="A40" s="3">
        <v>3</v>
      </c>
      <c r="B40" s="8">
        <v>-3.0000000000000001E-3</v>
      </c>
      <c r="C40" s="8">
        <v>1.0999999999999999E-2</v>
      </c>
      <c r="D40" s="8">
        <v>2.3E-2</v>
      </c>
      <c r="E40" s="8">
        <v>1.7999999999999999E-2</v>
      </c>
      <c r="F40" s="8">
        <v>3.2000000000000001E-2</v>
      </c>
      <c r="G40" s="8">
        <v>-5.0999999999999997E-2</v>
      </c>
      <c r="H40" s="8">
        <v>-0.125</v>
      </c>
      <c r="I40" s="8">
        <v>-7.5999999999999998E-2</v>
      </c>
      <c r="J40" s="8">
        <v>-0.10299999999999999</v>
      </c>
      <c r="L40" s="42">
        <f t="shared" ref="L40:L55" si="2">SUMPRODUCT($C$33:$J$33,C40:J40)</f>
        <v>-3.567E-2</v>
      </c>
      <c r="M40" s="42">
        <f t="shared" ref="M40:M55" si="3">B40-L40</f>
        <v>3.2669999999999998E-2</v>
      </c>
    </row>
    <row r="41" spans="1:13" x14ac:dyDescent="0.3">
      <c r="A41" s="3">
        <v>4</v>
      </c>
      <c r="B41" s="8">
        <v>7.0000000000000001E-3</v>
      </c>
      <c r="C41" s="8">
        <v>1.0999999999999999E-2</v>
      </c>
      <c r="D41" s="8">
        <v>2.7E-2</v>
      </c>
      <c r="E41" s="8">
        <v>1.4999999999999999E-2</v>
      </c>
      <c r="F41" s="8">
        <v>6.0000000000000001E-3</v>
      </c>
      <c r="G41" s="8">
        <v>0.03</v>
      </c>
      <c r="H41" s="8">
        <v>-1E-3</v>
      </c>
      <c r="I41" s="8">
        <v>-3.3000000000000002E-2</v>
      </c>
      <c r="J41" s="8">
        <v>2.1000000000000001E-2</v>
      </c>
      <c r="L41" s="42">
        <f t="shared" si="2"/>
        <v>9.4399999999999987E-3</v>
      </c>
      <c r="M41" s="42">
        <f t="shared" si="3"/>
        <v>-2.4399999999999986E-3</v>
      </c>
    </row>
    <row r="42" spans="1:13" x14ac:dyDescent="0.3">
      <c r="A42" s="3">
        <v>5</v>
      </c>
      <c r="B42" s="8">
        <v>3.0000000000000001E-3</v>
      </c>
      <c r="C42" s="8">
        <v>0.01</v>
      </c>
      <c r="D42" s="8">
        <v>-7.0000000000000001E-3</v>
      </c>
      <c r="E42" s="8">
        <v>2.1000000000000001E-2</v>
      </c>
      <c r="F42" s="8">
        <v>2.5000000000000001E-2</v>
      </c>
      <c r="G42" s="8">
        <v>3.5999999999999997E-2</v>
      </c>
      <c r="H42" s="8">
        <v>3.4000000000000002E-2</v>
      </c>
      <c r="I42" s="8">
        <v>1.2E-2</v>
      </c>
      <c r="J42" s="8">
        <v>1.0999999999999999E-2</v>
      </c>
      <c r="L42" s="42">
        <f t="shared" si="2"/>
        <v>1.806E-2</v>
      </c>
      <c r="M42" s="42">
        <f t="shared" si="3"/>
        <v>-1.506E-2</v>
      </c>
    </row>
    <row r="43" spans="1:13" x14ac:dyDescent="0.3">
      <c r="A43" s="3">
        <v>6</v>
      </c>
      <c r="B43" s="8">
        <v>7.0000000000000001E-3</v>
      </c>
      <c r="C43" s="8">
        <v>0.01</v>
      </c>
      <c r="D43" s="8">
        <v>2.4E-2</v>
      </c>
      <c r="E43" s="8">
        <v>-5.6000000000000001E-2</v>
      </c>
      <c r="F43" s="8">
        <v>-4.9000000000000002E-2</v>
      </c>
      <c r="G43" s="8">
        <v>0.02</v>
      </c>
      <c r="H43" s="8">
        <v>0</v>
      </c>
      <c r="I43" s="8">
        <v>2.7E-2</v>
      </c>
      <c r="J43" s="8">
        <v>-2.5999999999999999E-2</v>
      </c>
      <c r="L43" s="42">
        <f t="shared" si="2"/>
        <v>-6.8999999999999999E-3</v>
      </c>
      <c r="M43" s="42">
        <f t="shared" si="3"/>
        <v>1.3899999999999999E-2</v>
      </c>
    </row>
    <row r="44" spans="1:13" x14ac:dyDescent="0.3">
      <c r="A44" s="3">
        <v>7</v>
      </c>
      <c r="B44" s="8">
        <v>3.6999999999999998E-2</v>
      </c>
      <c r="C44" s="8">
        <v>0.01</v>
      </c>
      <c r="D44" s="8">
        <v>0.03</v>
      </c>
      <c r="E44" s="8">
        <v>2.5999999999999999E-2</v>
      </c>
      <c r="F44" s="8">
        <v>8.9999999999999993E-3</v>
      </c>
      <c r="G44" s="8">
        <v>-1.6E-2</v>
      </c>
      <c r="H44" s="8">
        <v>-9.8000000000000004E-2</v>
      </c>
      <c r="I44" s="8">
        <v>-8.5999999999999993E-2</v>
      </c>
      <c r="J44" s="8">
        <v>1.9E-2</v>
      </c>
      <c r="L44" s="42">
        <f t="shared" si="2"/>
        <v>-1.4179999999999998E-2</v>
      </c>
      <c r="M44" s="42">
        <f t="shared" si="3"/>
        <v>5.1179999999999996E-2</v>
      </c>
    </row>
    <row r="45" spans="1:13" x14ac:dyDescent="0.3">
      <c r="A45" s="3">
        <v>8</v>
      </c>
      <c r="B45" s="8">
        <v>3.0000000000000001E-3</v>
      </c>
      <c r="C45" s="8">
        <v>0.01</v>
      </c>
      <c r="D45" s="8">
        <v>1.4E-2</v>
      </c>
      <c r="E45" s="8">
        <v>6.7000000000000004E-2</v>
      </c>
      <c r="F45" s="8">
        <v>5.7000000000000002E-2</v>
      </c>
      <c r="G45" s="8">
        <v>7.5999999999999998E-2</v>
      </c>
      <c r="H45" s="8">
        <v>1.0999999999999999E-2</v>
      </c>
      <c r="I45" s="8">
        <v>4.4999999999999998E-2</v>
      </c>
      <c r="J45" s="8">
        <v>-3.0000000000000001E-3</v>
      </c>
      <c r="L45" s="42">
        <f t="shared" si="2"/>
        <v>3.5610000000000003E-2</v>
      </c>
      <c r="M45" s="42">
        <f t="shared" si="3"/>
        <v>-3.261E-2</v>
      </c>
    </row>
    <row r="46" spans="1:13" x14ac:dyDescent="0.3">
      <c r="A46" s="3">
        <v>9</v>
      </c>
      <c r="B46" s="8">
        <v>0.01</v>
      </c>
      <c r="C46" s="8">
        <v>8.9999999999999993E-3</v>
      </c>
      <c r="D46" s="8">
        <v>7.0000000000000001E-3</v>
      </c>
      <c r="E46" s="8">
        <v>-3.4000000000000002E-2</v>
      </c>
      <c r="F46" s="8">
        <v>1.0999999999999999E-2</v>
      </c>
      <c r="G46" s="8">
        <v>0.06</v>
      </c>
      <c r="H46" s="8">
        <v>-3.6999999999999998E-2</v>
      </c>
      <c r="I46" s="8">
        <v>0.105</v>
      </c>
      <c r="J46" s="8">
        <v>2.1000000000000001E-2</v>
      </c>
      <c r="L46" s="42">
        <f t="shared" si="2"/>
        <v>1.8100000000000002E-2</v>
      </c>
      <c r="M46" s="42">
        <f t="shared" si="3"/>
        <v>-8.1000000000000013E-3</v>
      </c>
    </row>
    <row r="47" spans="1:13" x14ac:dyDescent="0.3">
      <c r="A47" s="3">
        <v>10</v>
      </c>
      <c r="B47" s="8">
        <v>0.01</v>
      </c>
      <c r="C47" s="8">
        <v>8.9999999999999993E-3</v>
      </c>
      <c r="D47" s="8">
        <v>2.3E-2</v>
      </c>
      <c r="E47" s="8">
        <v>7.0999999999999994E-2</v>
      </c>
      <c r="F47" s="8">
        <v>7.0000000000000007E-2</v>
      </c>
      <c r="G47" s="8">
        <v>7.6999999999999999E-2</v>
      </c>
      <c r="H47" s="8">
        <v>1.7000000000000001E-2</v>
      </c>
      <c r="I47" s="8">
        <v>-3.0000000000000001E-3</v>
      </c>
      <c r="J47" s="8">
        <v>0.02</v>
      </c>
      <c r="L47" s="42">
        <f t="shared" si="2"/>
        <v>3.6560000000000002E-2</v>
      </c>
      <c r="M47" s="42">
        <f t="shared" si="3"/>
        <v>-2.656E-2</v>
      </c>
    </row>
    <row r="48" spans="1:13" x14ac:dyDescent="0.3">
      <c r="A48" s="3">
        <v>11</v>
      </c>
      <c r="B48" s="8">
        <v>6.0000000000000001E-3</v>
      </c>
      <c r="C48" s="8">
        <v>8.9999999999999993E-3</v>
      </c>
      <c r="D48" s="8">
        <v>-4.0000000000000001E-3</v>
      </c>
      <c r="E48" s="8">
        <v>4.9000000000000002E-2</v>
      </c>
      <c r="F48" s="8">
        <v>2.7E-2</v>
      </c>
      <c r="G48" s="8">
        <v>4.8000000000000001E-2</v>
      </c>
      <c r="H48" s="8">
        <v>4.4999999999999998E-2</v>
      </c>
      <c r="I48" s="8">
        <v>-4.0000000000000001E-3</v>
      </c>
      <c r="J48" s="8">
        <v>-4.2999999999999997E-2</v>
      </c>
      <c r="L48" s="42">
        <f t="shared" si="2"/>
        <v>1.6150000000000005E-2</v>
      </c>
      <c r="M48" s="42">
        <f t="shared" si="3"/>
        <v>-1.0150000000000005E-2</v>
      </c>
    </row>
    <row r="49" spans="1:13" x14ac:dyDescent="0.3">
      <c r="A49" s="3">
        <v>12</v>
      </c>
      <c r="B49" s="8">
        <v>-0.01</v>
      </c>
      <c r="C49" s="8">
        <v>8.9999999999999993E-3</v>
      </c>
      <c r="D49" s="8">
        <v>2E-3</v>
      </c>
      <c r="E49" s="8">
        <v>-1.4999999999999999E-2</v>
      </c>
      <c r="F49" s="8">
        <v>-1.2999999999999999E-2</v>
      </c>
      <c r="G49" s="8">
        <v>0.127</v>
      </c>
      <c r="H49" s="8">
        <v>7.4999999999999997E-2</v>
      </c>
      <c r="I49" s="8">
        <v>8.2000000000000003E-2</v>
      </c>
      <c r="J49" s="8">
        <v>0.03</v>
      </c>
      <c r="L49" s="42">
        <f t="shared" si="2"/>
        <v>3.8250000000000006E-2</v>
      </c>
      <c r="M49" s="42">
        <f t="shared" si="3"/>
        <v>-4.8250000000000008E-2</v>
      </c>
    </row>
    <row r="50" spans="1:13" x14ac:dyDescent="0.3">
      <c r="A50" s="3">
        <v>13</v>
      </c>
      <c r="B50" s="8">
        <v>-1.2999999999999999E-2</v>
      </c>
      <c r="C50" s="8">
        <v>8.9999999999999993E-3</v>
      </c>
      <c r="D50" s="8">
        <v>-0.02</v>
      </c>
      <c r="E50" s="8">
        <v>1.9E-2</v>
      </c>
      <c r="F50" s="8">
        <v>3.4000000000000002E-2</v>
      </c>
      <c r="G50" s="8">
        <v>5.8000000000000003E-2</v>
      </c>
      <c r="H50" s="8">
        <v>3.3000000000000002E-2</v>
      </c>
      <c r="I50" s="8">
        <v>5.5E-2</v>
      </c>
      <c r="J50" s="8">
        <v>7.6999999999999999E-2</v>
      </c>
      <c r="L50" s="42">
        <f t="shared" si="2"/>
        <v>3.4090000000000002E-2</v>
      </c>
      <c r="M50" s="42">
        <f t="shared" si="3"/>
        <v>-4.709E-2</v>
      </c>
    </row>
    <row r="51" spans="1:13" x14ac:dyDescent="0.3">
      <c r="A51" s="3">
        <v>14</v>
      </c>
      <c r="B51" s="8">
        <v>3.2000000000000001E-2</v>
      </c>
      <c r="C51" s="8">
        <v>0.01</v>
      </c>
      <c r="D51" s="8">
        <v>4.2000000000000003E-2</v>
      </c>
      <c r="E51" s="8">
        <v>7.9000000000000001E-2</v>
      </c>
      <c r="F51" s="8">
        <v>6.9000000000000006E-2</v>
      </c>
      <c r="G51" s="8">
        <v>7.3999999999999996E-2</v>
      </c>
      <c r="H51" s="8">
        <v>3.5000000000000003E-2</v>
      </c>
      <c r="I51" s="8">
        <v>7.9000000000000001E-2</v>
      </c>
      <c r="J51" s="8">
        <v>-5.3999999999999999E-2</v>
      </c>
      <c r="L51" s="42">
        <f t="shared" si="2"/>
        <v>4.3020000000000003E-2</v>
      </c>
      <c r="M51" s="42">
        <f t="shared" si="3"/>
        <v>-1.1020000000000002E-2</v>
      </c>
    </row>
    <row r="52" spans="1:13" x14ac:dyDescent="0.3">
      <c r="A52" s="3">
        <v>15</v>
      </c>
      <c r="B52" s="8">
        <v>7.8E-2</v>
      </c>
      <c r="C52" s="8">
        <v>0.01</v>
      </c>
      <c r="D52" s="8">
        <v>9.9000000000000005E-2</v>
      </c>
      <c r="E52" s="8">
        <v>8.4000000000000005E-2</v>
      </c>
      <c r="F52" s="8">
        <v>5.8000000000000003E-2</v>
      </c>
      <c r="G52" s="8">
        <v>5.8999999999999997E-2</v>
      </c>
      <c r="H52" s="8">
        <v>4.4999999999999998E-2</v>
      </c>
      <c r="I52" s="8">
        <v>0.17299999999999999</v>
      </c>
      <c r="J52" s="8">
        <v>4.2000000000000003E-2</v>
      </c>
      <c r="L52" s="42">
        <f t="shared" si="2"/>
        <v>7.3700000000000015E-2</v>
      </c>
      <c r="M52" s="42">
        <f t="shared" si="3"/>
        <v>4.2999999999999844E-3</v>
      </c>
    </row>
    <row r="53" spans="1:13" x14ac:dyDescent="0.3">
      <c r="A53" s="3">
        <v>16</v>
      </c>
      <c r="B53" s="8">
        <v>2.9000000000000001E-2</v>
      </c>
      <c r="C53" s="8">
        <v>8.9999999999999993E-3</v>
      </c>
      <c r="D53" s="8">
        <v>6.7000000000000004E-2</v>
      </c>
      <c r="E53" s="8">
        <v>-2E-3</v>
      </c>
      <c r="F53" s="8">
        <v>5.8000000000000003E-2</v>
      </c>
      <c r="G53" s="8">
        <v>8.6999999999999994E-2</v>
      </c>
      <c r="H53" s="8">
        <v>-5.0999999999999997E-2</v>
      </c>
      <c r="I53" s="8">
        <v>8.0000000000000002E-3</v>
      </c>
      <c r="J53" s="8">
        <v>7.6999999999999999E-2</v>
      </c>
      <c r="L53" s="42">
        <f t="shared" si="2"/>
        <v>3.2530000000000003E-2</v>
      </c>
      <c r="M53" s="42">
        <f t="shared" si="3"/>
        <v>-3.5300000000000019E-3</v>
      </c>
    </row>
    <row r="54" spans="1:13" x14ac:dyDescent="0.3">
      <c r="A54" s="3">
        <v>17</v>
      </c>
      <c r="B54" s="8">
        <v>-1.0999999999999999E-2</v>
      </c>
      <c r="C54" s="8">
        <v>8.0000000000000002E-3</v>
      </c>
      <c r="D54" s="8">
        <v>-1.4999999999999999E-2</v>
      </c>
      <c r="E54" s="8">
        <v>-3.2000000000000001E-2</v>
      </c>
      <c r="F54" s="8">
        <v>-8.0000000000000002E-3</v>
      </c>
      <c r="G54" s="8">
        <v>-5.7000000000000002E-2</v>
      </c>
      <c r="H54" s="8">
        <v>9.7000000000000003E-2</v>
      </c>
      <c r="I54" s="8">
        <v>0.06</v>
      </c>
      <c r="J54" s="8">
        <v>2.4E-2</v>
      </c>
      <c r="L54" s="42">
        <f t="shared" si="2"/>
        <v>9.6900000000000007E-3</v>
      </c>
      <c r="M54" s="42">
        <f t="shared" si="3"/>
        <v>-2.069E-2</v>
      </c>
    </row>
    <row r="55" spans="1:13" x14ac:dyDescent="0.3">
      <c r="A55" s="3">
        <v>18</v>
      </c>
      <c r="B55" s="8">
        <v>-0.02</v>
      </c>
      <c r="C55" s="8">
        <v>8.0000000000000002E-3</v>
      </c>
      <c r="D55" s="8">
        <v>-1.2999999999999999E-2</v>
      </c>
      <c r="E55" s="8">
        <v>3.3000000000000002E-2</v>
      </c>
      <c r="F55" s="8">
        <v>3.3000000000000002E-2</v>
      </c>
      <c r="G55" s="8">
        <v>-1.4E-2</v>
      </c>
      <c r="H55" s="8">
        <v>-1.4999999999999999E-2</v>
      </c>
      <c r="I55" s="8">
        <v>5.0999999999999997E-2</v>
      </c>
      <c r="J55" s="8">
        <v>-7.0000000000000007E-2</v>
      </c>
      <c r="L55" s="42">
        <f t="shared" si="2"/>
        <v>1.3699999999999997E-3</v>
      </c>
      <c r="M55" s="42">
        <f t="shared" si="3"/>
        <v>-2.137E-2</v>
      </c>
    </row>
    <row r="56" spans="1:13" x14ac:dyDescent="0.3">
      <c r="A56" s="3">
        <v>19</v>
      </c>
      <c r="B56" s="8">
        <v>-3.0000000000000001E-3</v>
      </c>
      <c r="C56" s="8">
        <v>8.0000000000000002E-3</v>
      </c>
      <c r="D56" s="8">
        <v>-5.0000000000000001E-3</v>
      </c>
      <c r="E56" s="8">
        <v>-5.1999999999999998E-2</v>
      </c>
      <c r="F56" s="8">
        <v>-1.7000000000000001E-2</v>
      </c>
      <c r="G56" s="8">
        <v>7.5999999999999998E-2</v>
      </c>
      <c r="H56" s="8">
        <v>-3.1E-2</v>
      </c>
      <c r="I56" s="8">
        <v>0.16700000000000001</v>
      </c>
      <c r="J56" s="8">
        <v>-4.3999999999999997E-2</v>
      </c>
      <c r="L56" s="42">
        <f t="shared" ref="L56:L71" si="4">SUMPRODUCT($C$33:$J$33,C56:J56)</f>
        <v>1.2940000000000004E-2</v>
      </c>
      <c r="M56" s="42">
        <f t="shared" ref="M56:M71" si="5">B56-L56</f>
        <v>-1.5940000000000003E-2</v>
      </c>
    </row>
    <row r="57" spans="1:13" x14ac:dyDescent="0.3">
      <c r="A57" s="3">
        <v>20</v>
      </c>
      <c r="B57" s="8">
        <v>6.0000000000000001E-3</v>
      </c>
      <c r="C57" s="8">
        <v>8.0000000000000002E-3</v>
      </c>
      <c r="D57" s="8">
        <v>4.0000000000000001E-3</v>
      </c>
      <c r="E57" s="8">
        <v>6.9000000000000006E-2</v>
      </c>
      <c r="F57" s="8">
        <v>2.5999999999999999E-2</v>
      </c>
      <c r="G57" s="8">
        <v>0.14099999999999999</v>
      </c>
      <c r="H57" s="8">
        <v>8.2000000000000003E-2</v>
      </c>
      <c r="I57" s="8">
        <v>7.8E-2</v>
      </c>
      <c r="J57" s="8">
        <v>7.0999999999999994E-2</v>
      </c>
      <c r="L57" s="42">
        <f t="shared" si="4"/>
        <v>6.1950000000000005E-2</v>
      </c>
      <c r="M57" s="42">
        <f t="shared" si="5"/>
        <v>-5.5950000000000007E-2</v>
      </c>
    </row>
    <row r="58" spans="1:13" x14ac:dyDescent="0.3">
      <c r="A58" s="3">
        <v>21</v>
      </c>
      <c r="B58" s="8">
        <v>-9.2999999999999999E-2</v>
      </c>
      <c r="C58" s="8">
        <v>8.0000000000000002E-3</v>
      </c>
      <c r="D58" s="8">
        <v>-0.04</v>
      </c>
      <c r="E58" s="8">
        <v>-0.06</v>
      </c>
      <c r="F58" s="8">
        <v>-2.3E-2</v>
      </c>
      <c r="G58" s="8">
        <v>-3.3000000000000002E-2</v>
      </c>
      <c r="H58" s="8">
        <v>-6.8000000000000005E-2</v>
      </c>
      <c r="I58" s="8">
        <v>4.4999999999999998E-2</v>
      </c>
      <c r="J58" s="8">
        <v>8.7999999999999995E-2</v>
      </c>
      <c r="L58" s="42">
        <f t="shared" si="4"/>
        <v>-1.111E-2</v>
      </c>
      <c r="M58" s="42">
        <f t="shared" si="5"/>
        <v>-8.1890000000000004E-2</v>
      </c>
    </row>
    <row r="59" spans="1:13" x14ac:dyDescent="0.3">
      <c r="A59" s="3">
        <v>22</v>
      </c>
      <c r="B59" s="8">
        <v>0.01</v>
      </c>
      <c r="C59" s="8">
        <v>8.0000000000000002E-3</v>
      </c>
      <c r="D59" s="8">
        <v>-4.4999999999999998E-2</v>
      </c>
      <c r="E59" s="8">
        <v>5.1999999999999998E-2</v>
      </c>
      <c r="F59" s="8">
        <v>4.2999999999999997E-2</v>
      </c>
      <c r="G59" s="8">
        <v>3.5999999999999997E-2</v>
      </c>
      <c r="H59" s="8">
        <v>9.6000000000000002E-2</v>
      </c>
      <c r="I59" s="8">
        <v>-9.1999999999999998E-2</v>
      </c>
      <c r="J59" s="8">
        <v>0.16500000000000001</v>
      </c>
      <c r="L59" s="42">
        <f t="shared" si="4"/>
        <v>3.3869999999999997E-2</v>
      </c>
      <c r="M59" s="42">
        <f t="shared" si="5"/>
        <v>-2.3869999999999995E-2</v>
      </c>
    </row>
    <row r="60" spans="1:13" x14ac:dyDescent="0.3">
      <c r="A60" s="3">
        <v>23</v>
      </c>
      <c r="B60" s="8">
        <v>-6.0000000000000001E-3</v>
      </c>
      <c r="C60" s="8">
        <v>8.9999999999999993E-3</v>
      </c>
      <c r="D60" s="8">
        <v>-6.0000000000000001E-3</v>
      </c>
      <c r="E60" s="8">
        <v>6.0000000000000001E-3</v>
      </c>
      <c r="F60" s="8">
        <v>3.5000000000000003E-2</v>
      </c>
      <c r="G60" s="8">
        <v>3.2000000000000001E-2</v>
      </c>
      <c r="H60" s="8">
        <v>-6.0000000000000001E-3</v>
      </c>
      <c r="I60" s="8">
        <v>2.4E-2</v>
      </c>
      <c r="J60" s="8">
        <v>-2E-3</v>
      </c>
      <c r="L60" s="42">
        <f t="shared" si="4"/>
        <v>1.1600000000000003E-2</v>
      </c>
      <c r="M60" s="42">
        <f t="shared" si="5"/>
        <v>-1.7600000000000005E-2</v>
      </c>
    </row>
    <row r="61" spans="1:13" x14ac:dyDescent="0.3">
      <c r="A61" s="3">
        <v>24</v>
      </c>
      <c r="B61" s="8">
        <v>6.0999999999999999E-2</v>
      </c>
      <c r="C61" s="8">
        <v>8.9999999999999993E-3</v>
      </c>
      <c r="D61" s="8">
        <v>1.7999999999999999E-2</v>
      </c>
      <c r="E61" s="8">
        <v>2.9000000000000001E-2</v>
      </c>
      <c r="F61" s="8">
        <v>2.8000000000000001E-2</v>
      </c>
      <c r="G61" s="8">
        <v>-6.0000000000000001E-3</v>
      </c>
      <c r="H61" s="8">
        <v>-5.1999999999999998E-2</v>
      </c>
      <c r="I61" s="8">
        <v>4.5999999999999999E-2</v>
      </c>
      <c r="J61" s="8">
        <v>5.0999999999999997E-2</v>
      </c>
      <c r="L61" s="42">
        <f t="shared" si="4"/>
        <v>1.5630000000000002E-2</v>
      </c>
      <c r="M61" s="42">
        <f t="shared" si="5"/>
        <v>4.5369999999999994E-2</v>
      </c>
    </row>
    <row r="62" spans="1:13" x14ac:dyDescent="0.3">
      <c r="A62" s="3">
        <v>25</v>
      </c>
      <c r="B62" s="8">
        <v>3.0000000000000001E-3</v>
      </c>
      <c r="C62" s="8">
        <v>8.9999999999999993E-3</v>
      </c>
      <c r="D62" s="8">
        <v>0.06</v>
      </c>
      <c r="E62" s="8">
        <v>0.08</v>
      </c>
      <c r="F62" s="8">
        <v>8.5999999999999993E-2</v>
      </c>
      <c r="G62" s="8">
        <v>-2.4E-2</v>
      </c>
      <c r="H62" s="8">
        <v>9.1999999999999998E-2</v>
      </c>
      <c r="I62" s="8">
        <v>0.13900000000000001</v>
      </c>
      <c r="J62" s="8">
        <v>-3.4000000000000002E-2</v>
      </c>
      <c r="L62" s="42">
        <f t="shared" si="4"/>
        <v>5.2679999999999998E-2</v>
      </c>
      <c r="M62" s="42">
        <f t="shared" si="5"/>
        <v>-4.9679999999999995E-2</v>
      </c>
    </row>
    <row r="63" spans="1:13" x14ac:dyDescent="0.3">
      <c r="A63" s="3">
        <v>26</v>
      </c>
      <c r="B63" s="8">
        <v>5.7000000000000002E-2</v>
      </c>
      <c r="C63" s="8">
        <v>8.9999999999999993E-3</v>
      </c>
      <c r="D63" s="8">
        <v>3.1E-2</v>
      </c>
      <c r="E63" s="8">
        <v>9.7000000000000003E-2</v>
      </c>
      <c r="F63" s="8">
        <v>9.0999999999999998E-2</v>
      </c>
      <c r="G63" s="8">
        <v>-2.1000000000000001E-2</v>
      </c>
      <c r="H63" s="8">
        <v>3.2000000000000001E-2</v>
      </c>
      <c r="I63" s="8">
        <v>-6.0000000000000001E-3</v>
      </c>
      <c r="J63" s="8">
        <v>9.8000000000000004E-2</v>
      </c>
      <c r="L63" s="42">
        <f t="shared" si="4"/>
        <v>4.267E-2</v>
      </c>
      <c r="M63" s="42">
        <f t="shared" si="5"/>
        <v>1.4330000000000002E-2</v>
      </c>
    </row>
    <row r="64" spans="1:13" x14ac:dyDescent="0.3">
      <c r="A64" s="3">
        <v>27</v>
      </c>
      <c r="B64" s="8">
        <v>8.9999999999999993E-3</v>
      </c>
      <c r="C64" s="8">
        <v>8.9999999999999993E-3</v>
      </c>
      <c r="D64" s="8">
        <v>6.9000000000000006E-2</v>
      </c>
      <c r="E64" s="8">
        <v>1.2E-2</v>
      </c>
      <c r="F64" s="8">
        <v>6.6000000000000003E-2</v>
      </c>
      <c r="G64" s="8">
        <v>8.0000000000000002E-3</v>
      </c>
      <c r="H64" s="8">
        <v>-1.4999999999999999E-2</v>
      </c>
      <c r="I64" s="8">
        <v>7.0999999999999994E-2</v>
      </c>
      <c r="J64" s="8">
        <v>6.0000000000000001E-3</v>
      </c>
      <c r="L64" s="42">
        <f t="shared" si="4"/>
        <v>2.9020000000000001E-2</v>
      </c>
      <c r="M64" s="42">
        <f t="shared" si="5"/>
        <v>-2.0020000000000003E-2</v>
      </c>
    </row>
    <row r="65" spans="1:13" x14ac:dyDescent="0.3">
      <c r="A65" s="3">
        <v>28</v>
      </c>
      <c r="B65" s="8">
        <v>0.02</v>
      </c>
      <c r="C65" s="8">
        <v>8.0000000000000002E-3</v>
      </c>
      <c r="D65" s="8">
        <v>1.0999999999999999E-2</v>
      </c>
      <c r="E65" s="8">
        <v>2.9000000000000001E-2</v>
      </c>
      <c r="F65" s="8">
        <v>3.5000000000000003E-2</v>
      </c>
      <c r="G65" s="8">
        <v>-1.2999999999999999E-2</v>
      </c>
      <c r="H65" s="8">
        <v>-4.7E-2</v>
      </c>
      <c r="I65" s="8">
        <v>0.125</v>
      </c>
      <c r="J65" s="8">
        <v>-1.9E-2</v>
      </c>
      <c r="L65" s="42">
        <f t="shared" si="4"/>
        <v>1.6449999999999999E-2</v>
      </c>
      <c r="M65" s="42">
        <f t="shared" si="5"/>
        <v>3.5500000000000011E-3</v>
      </c>
    </row>
    <row r="66" spans="1:13" x14ac:dyDescent="0.3">
      <c r="A66" s="3">
        <v>29</v>
      </c>
      <c r="B66" s="8">
        <v>2.1000000000000001E-2</v>
      </c>
      <c r="C66" s="8">
        <v>8.0000000000000002E-3</v>
      </c>
      <c r="D66" s="8">
        <v>3.5000000000000003E-2</v>
      </c>
      <c r="E66" s="8">
        <v>7.6999999999999999E-2</v>
      </c>
      <c r="F66" s="8">
        <v>7.5999999999999998E-2</v>
      </c>
      <c r="G66" s="8">
        <v>-0.02</v>
      </c>
      <c r="H66" s="8">
        <v>3.1E-2</v>
      </c>
      <c r="I66" s="8">
        <v>1.2E-2</v>
      </c>
      <c r="J66" s="8">
        <v>8.2000000000000003E-2</v>
      </c>
      <c r="L66" s="42">
        <f t="shared" si="4"/>
        <v>3.8809999999999997E-2</v>
      </c>
      <c r="M66" s="42">
        <f t="shared" si="5"/>
        <v>-1.7809999999999996E-2</v>
      </c>
    </row>
    <row r="67" spans="1:13" x14ac:dyDescent="0.3">
      <c r="A67" s="3">
        <v>30</v>
      </c>
      <c r="B67" s="8">
        <v>3.7999999999999999E-2</v>
      </c>
      <c r="C67" s="8">
        <v>7.0000000000000001E-3</v>
      </c>
      <c r="D67" s="8">
        <v>0</v>
      </c>
      <c r="E67" s="8">
        <v>3.9E-2</v>
      </c>
      <c r="F67" s="8">
        <v>0.113</v>
      </c>
      <c r="G67" s="8">
        <v>4.2000000000000003E-2</v>
      </c>
      <c r="H67" s="8">
        <v>0.06</v>
      </c>
      <c r="I67" s="8">
        <v>-6.6000000000000003E-2</v>
      </c>
      <c r="J67" s="8">
        <v>5.6000000000000001E-2</v>
      </c>
      <c r="L67" s="42">
        <f t="shared" si="4"/>
        <v>3.2349999999999997E-2</v>
      </c>
      <c r="M67" s="42">
        <f t="shared" si="5"/>
        <v>5.6500000000000022E-3</v>
      </c>
    </row>
    <row r="68" spans="1:13" x14ac:dyDescent="0.3">
      <c r="A68" s="3">
        <v>31</v>
      </c>
      <c r="B68" s="8">
        <v>4.5999999999999999E-2</v>
      </c>
      <c r="C68" s="8">
        <v>7.0000000000000001E-3</v>
      </c>
      <c r="D68" s="8">
        <v>-2.3E-2</v>
      </c>
      <c r="E68" s="8">
        <v>3.5999999999999997E-2</v>
      </c>
      <c r="F68" s="8">
        <v>9.0999999999999998E-2</v>
      </c>
      <c r="G68" s="8">
        <v>0.05</v>
      </c>
      <c r="H68" s="8">
        <v>5.8000000000000003E-2</v>
      </c>
      <c r="I68" s="8">
        <v>-0.02</v>
      </c>
      <c r="J68" s="8">
        <v>0.127</v>
      </c>
      <c r="L68" s="42">
        <f t="shared" si="4"/>
        <v>4.2099999999999999E-2</v>
      </c>
      <c r="M68" s="42">
        <f t="shared" si="5"/>
        <v>3.9000000000000007E-3</v>
      </c>
    </row>
    <row r="69" spans="1:13" x14ac:dyDescent="0.3">
      <c r="A69" s="3">
        <v>32</v>
      </c>
      <c r="B69" s="8">
        <v>2.1000000000000001E-2</v>
      </c>
      <c r="C69" s="8">
        <v>7.0000000000000001E-3</v>
      </c>
      <c r="D69" s="8">
        <v>-5.1999999999999998E-2</v>
      </c>
      <c r="E69" s="8">
        <v>-4.4999999999999998E-2</v>
      </c>
      <c r="F69" s="8">
        <v>-3.3000000000000002E-2</v>
      </c>
      <c r="G69" s="8">
        <v>1.0999999999999999E-2</v>
      </c>
      <c r="H69" s="8">
        <v>1.9E-2</v>
      </c>
      <c r="I69" s="8">
        <v>9.8000000000000004E-2</v>
      </c>
      <c r="J69" s="8">
        <v>4.7E-2</v>
      </c>
      <c r="L69" s="42">
        <f t="shared" si="4"/>
        <v>6.4800000000000023E-3</v>
      </c>
      <c r="M69" s="42">
        <f t="shared" si="5"/>
        <v>1.4519999999999998E-2</v>
      </c>
    </row>
    <row r="70" spans="1:13" x14ac:dyDescent="0.3">
      <c r="A70" s="3">
        <v>33</v>
      </c>
      <c r="B70" s="8">
        <v>3.2000000000000001E-2</v>
      </c>
      <c r="C70" s="8">
        <v>8.0000000000000002E-3</v>
      </c>
      <c r="D70" s="8">
        <v>3.0000000000000001E-3</v>
      </c>
      <c r="E70" s="8">
        <v>5.3999999999999999E-2</v>
      </c>
      <c r="F70" s="8">
        <v>5.5E-2</v>
      </c>
      <c r="G70" s="8">
        <v>-2.9000000000000001E-2</v>
      </c>
      <c r="H70" s="8">
        <v>-2.4E-2</v>
      </c>
      <c r="I70" s="8">
        <v>-0.04</v>
      </c>
      <c r="J70" s="8">
        <v>5.7000000000000002E-2</v>
      </c>
      <c r="L70" s="42">
        <f t="shared" si="4"/>
        <v>1.0599999999999998E-2</v>
      </c>
      <c r="M70" s="42">
        <f t="shared" si="5"/>
        <v>2.1400000000000002E-2</v>
      </c>
    </row>
    <row r="71" spans="1:13" x14ac:dyDescent="0.3">
      <c r="A71" s="3">
        <v>34</v>
      </c>
      <c r="B71" s="8">
        <v>-0.28799999999999998</v>
      </c>
      <c r="C71" s="8">
        <v>8.0000000000000002E-3</v>
      </c>
      <c r="D71" s="8">
        <v>1.7000000000000001E-2</v>
      </c>
      <c r="E71" s="8">
        <v>-0.25700000000000001</v>
      </c>
      <c r="F71" s="8">
        <v>-0.23100000000000001</v>
      </c>
      <c r="G71" s="8">
        <v>-0.217</v>
      </c>
      <c r="H71" s="8">
        <v>-0.252</v>
      </c>
      <c r="I71" s="8">
        <v>-0.124</v>
      </c>
      <c r="J71" s="8">
        <v>-0.46600000000000003</v>
      </c>
      <c r="L71" s="42">
        <f t="shared" si="4"/>
        <v>-0.19818</v>
      </c>
      <c r="M71" s="42">
        <f t="shared" si="5"/>
        <v>-8.9819999999999983E-2</v>
      </c>
    </row>
    <row r="72" spans="1:13" x14ac:dyDescent="0.3">
      <c r="A72" s="3">
        <v>35</v>
      </c>
      <c r="B72" s="8">
        <v>-6.2E-2</v>
      </c>
      <c r="C72" s="8">
        <v>8.0000000000000002E-3</v>
      </c>
      <c r="D72" s="8">
        <v>7.0000000000000007E-2</v>
      </c>
      <c r="E72" s="8">
        <v>-9.2999999999999999E-2</v>
      </c>
      <c r="F72" s="8">
        <v>-0.14399999999999999</v>
      </c>
      <c r="G72" s="8">
        <v>-0.1</v>
      </c>
      <c r="H72" s="8">
        <v>-0.14299999999999999</v>
      </c>
      <c r="I72" s="8">
        <v>-2.9000000000000001E-2</v>
      </c>
      <c r="J72" s="8">
        <v>-3.3000000000000002E-2</v>
      </c>
      <c r="L72" s="42">
        <f t="shared" ref="L72:L87" si="6">SUMPRODUCT($C$33:$J$33,C72:J72)</f>
        <v>-6.0640000000000006E-2</v>
      </c>
      <c r="M72" s="42">
        <f t="shared" ref="M72:M87" si="7">B72-L72</f>
        <v>-1.3599999999999932E-3</v>
      </c>
    </row>
    <row r="73" spans="1:13" x14ac:dyDescent="0.3">
      <c r="A73" s="3">
        <v>36</v>
      </c>
      <c r="B73" s="8">
        <v>4.5999999999999999E-2</v>
      </c>
      <c r="C73" s="8">
        <v>7.0000000000000001E-3</v>
      </c>
      <c r="D73" s="8">
        <v>-2.5000000000000001E-2</v>
      </c>
      <c r="E73" s="8">
        <v>8.7999999999999995E-2</v>
      </c>
      <c r="F73" s="8">
        <v>5.7000000000000002E-2</v>
      </c>
      <c r="G73" s="8">
        <v>1E-3</v>
      </c>
      <c r="H73" s="8">
        <v>0.05</v>
      </c>
      <c r="I73" s="8">
        <v>-2E-3</v>
      </c>
      <c r="J73" s="8">
        <v>1.7999999999999999E-2</v>
      </c>
      <c r="L73" s="42">
        <f t="shared" si="6"/>
        <v>2.4940000000000004E-2</v>
      </c>
      <c r="M73" s="42">
        <f t="shared" si="7"/>
        <v>2.1059999999999995E-2</v>
      </c>
    </row>
    <row r="74" spans="1:13" x14ac:dyDescent="0.3">
      <c r="A74" s="3">
        <v>37</v>
      </c>
      <c r="B74" s="8">
        <v>6.3E-2</v>
      </c>
      <c r="C74" s="8">
        <v>7.0000000000000001E-3</v>
      </c>
      <c r="D74" s="8">
        <v>8.0000000000000002E-3</v>
      </c>
      <c r="E74" s="8">
        <v>4.9000000000000002E-2</v>
      </c>
      <c r="F74" s="8">
        <v>7.4999999999999997E-2</v>
      </c>
      <c r="G74" s="8">
        <v>-0.02</v>
      </c>
      <c r="H74" s="8">
        <v>0.108</v>
      </c>
      <c r="I74" s="8">
        <v>0.114</v>
      </c>
      <c r="J74" s="8">
        <v>3.9E-2</v>
      </c>
      <c r="L74" s="42">
        <f t="shared" si="6"/>
        <v>4.9119999999999997E-2</v>
      </c>
      <c r="M74" s="42">
        <f t="shared" si="7"/>
        <v>1.3880000000000003E-2</v>
      </c>
    </row>
    <row r="75" spans="1:13" x14ac:dyDescent="0.3">
      <c r="A75" s="3">
        <v>38</v>
      </c>
      <c r="B75" s="8">
        <v>5.3999999999999999E-2</v>
      </c>
      <c r="C75" s="8">
        <v>7.0000000000000001E-3</v>
      </c>
      <c r="D75" s="8">
        <v>2.5000000000000001E-2</v>
      </c>
      <c r="E75" s="8">
        <v>-8.9999999999999993E-3</v>
      </c>
      <c r="F75" s="8">
        <v>4.0000000000000001E-3</v>
      </c>
      <c r="G75" s="8">
        <v>0.107</v>
      </c>
      <c r="H75" s="8">
        <v>3.9E-2</v>
      </c>
      <c r="I75" s="8">
        <v>7.6999999999999999E-2</v>
      </c>
      <c r="J75" s="8">
        <v>4.0000000000000001E-3</v>
      </c>
      <c r="L75" s="42">
        <f t="shared" si="6"/>
        <v>3.2739999999999998E-2</v>
      </c>
      <c r="M75" s="42">
        <f t="shared" si="7"/>
        <v>2.1260000000000001E-2</v>
      </c>
    </row>
    <row r="76" spans="1:13" x14ac:dyDescent="0.3">
      <c r="A76" s="3">
        <v>39</v>
      </c>
      <c r="B76" s="8">
        <v>-1.9E-2</v>
      </c>
      <c r="C76" s="8">
        <v>7.0000000000000001E-3</v>
      </c>
      <c r="D76" s="8">
        <v>3.1E-2</v>
      </c>
      <c r="E76" s="8">
        <v>-1.0999999999999999E-2</v>
      </c>
      <c r="F76" s="8">
        <v>1.2E-2</v>
      </c>
      <c r="G76" s="8">
        <v>-4.3999999999999997E-2</v>
      </c>
      <c r="H76" s="8">
        <v>-8.7999999999999995E-2</v>
      </c>
      <c r="I76" s="8">
        <v>7.0000000000000001E-3</v>
      </c>
      <c r="J76" s="8">
        <v>5.7000000000000002E-2</v>
      </c>
      <c r="L76" s="42">
        <f t="shared" si="6"/>
        <v>-4.0500000000000024E-3</v>
      </c>
      <c r="M76" s="42">
        <f t="shared" si="7"/>
        <v>-1.4949999999999998E-2</v>
      </c>
    </row>
    <row r="77" spans="1:13" x14ac:dyDescent="0.3">
      <c r="A77" s="3">
        <v>40</v>
      </c>
      <c r="B77" s="8">
        <v>2.4E-2</v>
      </c>
      <c r="C77" s="8">
        <v>7.0000000000000001E-3</v>
      </c>
      <c r="D77" s="8">
        <v>8.0000000000000002E-3</v>
      </c>
      <c r="E77" s="8">
        <v>3.7999999999999999E-2</v>
      </c>
      <c r="F77" s="8">
        <v>3.3000000000000002E-2</v>
      </c>
      <c r="G77" s="8">
        <v>8.9999999999999993E-3</v>
      </c>
      <c r="H77" s="8">
        <v>1.7000000000000001E-2</v>
      </c>
      <c r="I77" s="8">
        <v>1.6E-2</v>
      </c>
      <c r="J77" s="8">
        <v>5.6000000000000001E-2</v>
      </c>
      <c r="L77" s="42">
        <f t="shared" si="6"/>
        <v>2.3640000000000001E-2</v>
      </c>
      <c r="M77" s="42">
        <f t="shared" si="7"/>
        <v>3.5999999999999921E-4</v>
      </c>
    </row>
    <row r="78" spans="1:13" x14ac:dyDescent="0.3">
      <c r="A78" s="3">
        <v>41</v>
      </c>
      <c r="B78" s="8">
        <v>-1E-3</v>
      </c>
      <c r="C78" s="8">
        <v>7.0000000000000001E-3</v>
      </c>
      <c r="D78" s="8">
        <v>-6.0000000000000001E-3</v>
      </c>
      <c r="E78" s="8">
        <v>-6.0000000000000001E-3</v>
      </c>
      <c r="F78" s="8">
        <v>2.3E-2</v>
      </c>
      <c r="G78" s="8">
        <v>7.0000000000000001E-3</v>
      </c>
      <c r="H78" s="8">
        <v>2.8000000000000001E-2</v>
      </c>
      <c r="I78" s="8">
        <v>-1.4999999999999999E-2</v>
      </c>
      <c r="J78" s="8">
        <v>0.112</v>
      </c>
      <c r="L78" s="42">
        <f t="shared" si="6"/>
        <v>1.9220000000000001E-2</v>
      </c>
      <c r="M78" s="42">
        <f t="shared" si="7"/>
        <v>-2.0220000000000002E-2</v>
      </c>
    </row>
    <row r="79" spans="1:13" x14ac:dyDescent="0.3">
      <c r="A79" s="3">
        <v>42</v>
      </c>
      <c r="B79" s="8">
        <v>0.06</v>
      </c>
      <c r="C79" s="8">
        <v>6.0000000000000001E-3</v>
      </c>
      <c r="D79" s="8">
        <v>3.0000000000000001E-3</v>
      </c>
      <c r="E79" s="8">
        <v>4.4999999999999998E-2</v>
      </c>
      <c r="F79" s="8">
        <v>4.3999999999999997E-2</v>
      </c>
      <c r="G79" s="8">
        <v>8.4000000000000005E-2</v>
      </c>
      <c r="H79" s="8">
        <v>0.125</v>
      </c>
      <c r="I79" s="8">
        <v>3.7999999999999999E-2</v>
      </c>
      <c r="J79" s="8">
        <v>8.5000000000000006E-2</v>
      </c>
      <c r="L79" s="42">
        <f t="shared" si="6"/>
        <v>5.5660000000000001E-2</v>
      </c>
      <c r="M79" s="42">
        <f t="shared" si="7"/>
        <v>4.3399999999999966E-3</v>
      </c>
    </row>
    <row r="80" spans="1:13" x14ac:dyDescent="0.3">
      <c r="A80" s="3">
        <v>43</v>
      </c>
      <c r="B80" s="8">
        <v>-2.1999999999999999E-2</v>
      </c>
      <c r="C80" s="8">
        <v>7.0000000000000001E-3</v>
      </c>
      <c r="D80" s="8">
        <v>-8.9999999999999993E-3</v>
      </c>
      <c r="E80" s="8">
        <v>1E-3</v>
      </c>
      <c r="F80" s="8">
        <v>1.9E-2</v>
      </c>
      <c r="G80" s="8">
        <v>-7.0000000000000001E-3</v>
      </c>
      <c r="H80" s="8">
        <v>-4.0000000000000001E-3</v>
      </c>
      <c r="I80" s="8">
        <v>4.1000000000000002E-2</v>
      </c>
      <c r="J80" s="8">
        <v>4.8000000000000001E-2</v>
      </c>
      <c r="L80" s="42">
        <f t="shared" si="6"/>
        <v>1.2200000000000001E-2</v>
      </c>
      <c r="M80" s="42">
        <f t="shared" si="7"/>
        <v>-3.4200000000000001E-2</v>
      </c>
    </row>
    <row r="81" spans="1:13" x14ac:dyDescent="0.3">
      <c r="A81" s="3">
        <v>44</v>
      </c>
      <c r="B81" s="8">
        <v>-2.1999999999999999E-2</v>
      </c>
      <c r="C81" s="8">
        <v>8.0000000000000002E-3</v>
      </c>
      <c r="D81" s="8">
        <v>1.0999999999999999E-2</v>
      </c>
      <c r="E81" s="8">
        <v>-0.05</v>
      </c>
      <c r="F81" s="8">
        <v>-4.2999999999999997E-2</v>
      </c>
      <c r="G81" s="8">
        <v>-1.2E-2</v>
      </c>
      <c r="H81" s="8">
        <v>-1.7000000000000001E-2</v>
      </c>
      <c r="I81" s="8">
        <v>-6.6000000000000003E-2</v>
      </c>
      <c r="J81" s="8">
        <v>-3.3000000000000002E-2</v>
      </c>
      <c r="L81" s="42">
        <f t="shared" si="6"/>
        <v>-2.6580000000000006E-2</v>
      </c>
      <c r="M81" s="42">
        <f t="shared" si="7"/>
        <v>4.5800000000000077E-3</v>
      </c>
    </row>
    <row r="82" spans="1:13" x14ac:dyDescent="0.3">
      <c r="A82" s="3">
        <v>45</v>
      </c>
      <c r="B82" s="8">
        <v>5.0000000000000001E-3</v>
      </c>
      <c r="C82" s="8">
        <v>8.9999999999999993E-3</v>
      </c>
      <c r="D82" s="8">
        <v>-4.0000000000000001E-3</v>
      </c>
      <c r="E82" s="8">
        <v>4.4999999999999998E-2</v>
      </c>
      <c r="F82" s="8">
        <v>1.7000000000000001E-2</v>
      </c>
      <c r="G82" s="8">
        <v>6.0999999999999999E-2</v>
      </c>
      <c r="H82" s="8">
        <v>0.04</v>
      </c>
      <c r="I82" s="8">
        <v>3.7999999999999999E-2</v>
      </c>
      <c r="J82" s="8">
        <v>-0.02</v>
      </c>
      <c r="L82" s="42">
        <f t="shared" si="6"/>
        <v>2.3819999999999997E-2</v>
      </c>
      <c r="M82" s="42">
        <f t="shared" si="7"/>
        <v>-1.8819999999999996E-2</v>
      </c>
    </row>
    <row r="83" spans="1:13" x14ac:dyDescent="0.3">
      <c r="A83" s="3">
        <v>46</v>
      </c>
      <c r="B83" s="8">
        <v>2.9000000000000001E-2</v>
      </c>
      <c r="C83" s="8">
        <v>0.01</v>
      </c>
      <c r="D83" s="8">
        <v>4.1000000000000002E-2</v>
      </c>
      <c r="E83" s="8">
        <v>1.7999999999999999E-2</v>
      </c>
      <c r="F83" s="8">
        <v>0.03</v>
      </c>
      <c r="G83" s="8">
        <v>4.8000000000000001E-2</v>
      </c>
      <c r="H83" s="8">
        <v>-1.7999999999999999E-2</v>
      </c>
      <c r="I83" s="8">
        <v>0.03</v>
      </c>
      <c r="J83" s="8">
        <v>2.5000000000000001E-2</v>
      </c>
      <c r="L83" s="42">
        <f t="shared" si="6"/>
        <v>2.3520000000000003E-2</v>
      </c>
      <c r="M83" s="42">
        <f t="shared" si="7"/>
        <v>5.4799999999999988E-3</v>
      </c>
    </row>
    <row r="84" spans="1:13" x14ac:dyDescent="0.3">
      <c r="A84" s="3">
        <v>47</v>
      </c>
      <c r="B84" s="8">
        <v>-4.5999999999999999E-2</v>
      </c>
      <c r="C84" s="8">
        <v>0.01</v>
      </c>
      <c r="D84" s="8">
        <v>1E-3</v>
      </c>
      <c r="E84" s="8">
        <v>-2.9000000000000001E-2</v>
      </c>
      <c r="F84" s="8">
        <v>-2.4E-2</v>
      </c>
      <c r="G84" s="8">
        <v>-3.9E-2</v>
      </c>
      <c r="H84" s="8">
        <v>-6.3E-2</v>
      </c>
      <c r="I84" s="8">
        <v>4.8000000000000001E-2</v>
      </c>
      <c r="J84" s="8">
        <v>-4.7E-2</v>
      </c>
      <c r="L84" s="42">
        <f t="shared" si="6"/>
        <v>-1.899E-2</v>
      </c>
      <c r="M84" s="42">
        <f t="shared" si="7"/>
        <v>-2.7009999999999999E-2</v>
      </c>
    </row>
    <row r="85" spans="1:13" x14ac:dyDescent="0.3">
      <c r="A85" s="3">
        <v>48</v>
      </c>
      <c r="B85" s="8">
        <v>3.6999999999999998E-2</v>
      </c>
      <c r="C85" s="8">
        <v>0.01</v>
      </c>
      <c r="D85" s="8">
        <v>-7.0000000000000001E-3</v>
      </c>
      <c r="E85" s="8">
        <v>4.0000000000000001E-3</v>
      </c>
      <c r="F85" s="8">
        <v>-0.03</v>
      </c>
      <c r="G85" s="8">
        <v>4.2000000000000003E-2</v>
      </c>
      <c r="H85" s="8">
        <v>4.2000000000000003E-2</v>
      </c>
      <c r="I85" s="8">
        <v>2.8000000000000001E-2</v>
      </c>
      <c r="J85" s="8">
        <v>2.5000000000000001E-2</v>
      </c>
      <c r="L85" s="42">
        <f t="shared" si="6"/>
        <v>1.4420000000000002E-2</v>
      </c>
      <c r="M85" s="42">
        <f t="shared" si="7"/>
        <v>2.2579999999999996E-2</v>
      </c>
    </row>
    <row r="86" spans="1:13" x14ac:dyDescent="0.3">
      <c r="A86" s="3">
        <v>49</v>
      </c>
      <c r="B86" s="8">
        <v>0.10100000000000001</v>
      </c>
      <c r="C86" s="8">
        <v>1.0999999999999999E-2</v>
      </c>
      <c r="D86" s="8">
        <v>1.7999999999999999E-2</v>
      </c>
      <c r="E86" s="8">
        <v>0.14799999999999999</v>
      </c>
      <c r="F86" s="8">
        <v>9.8000000000000004E-2</v>
      </c>
      <c r="G86" s="8">
        <v>1.9E-2</v>
      </c>
      <c r="H86" s="8">
        <v>0.107</v>
      </c>
      <c r="I86" s="8">
        <v>3.1E-2</v>
      </c>
      <c r="J86" s="8">
        <v>0.14299999999999999</v>
      </c>
      <c r="L86" s="42">
        <f t="shared" si="6"/>
        <v>7.4310000000000001E-2</v>
      </c>
      <c r="M86" s="42">
        <f t="shared" si="7"/>
        <v>2.6690000000000005E-2</v>
      </c>
    </row>
    <row r="87" spans="1:13" x14ac:dyDescent="0.3">
      <c r="A87" s="3">
        <v>50</v>
      </c>
      <c r="B87" s="8">
        <v>-1.2999999999999999E-2</v>
      </c>
      <c r="C87" s="8">
        <v>1.0999999999999999E-2</v>
      </c>
      <c r="D87" s="8">
        <v>2.5999999999999999E-2</v>
      </c>
      <c r="E87" s="8">
        <v>-2.1000000000000001E-2</v>
      </c>
      <c r="F87" s="8">
        <v>3.3000000000000002E-2</v>
      </c>
      <c r="G87" s="8">
        <v>0</v>
      </c>
      <c r="H87" s="8">
        <v>-0.02</v>
      </c>
      <c r="I87" s="8">
        <v>2.8000000000000001E-2</v>
      </c>
      <c r="J87" s="8">
        <v>-7.8E-2</v>
      </c>
      <c r="L87" s="42">
        <f t="shared" si="6"/>
        <v>-3.1700000000000009E-3</v>
      </c>
      <c r="M87" s="42">
        <f t="shared" si="7"/>
        <v>-9.8299999999999985E-3</v>
      </c>
    </row>
    <row r="88" spans="1:13" x14ac:dyDescent="0.3">
      <c r="A88" s="3">
        <v>51</v>
      </c>
      <c r="B88" s="8">
        <v>3.1E-2</v>
      </c>
      <c r="C88" s="8">
        <v>0.01</v>
      </c>
      <c r="D88" s="8">
        <v>-2E-3</v>
      </c>
      <c r="E88" s="8">
        <v>0.04</v>
      </c>
      <c r="F88" s="8">
        <v>3.4000000000000002E-2</v>
      </c>
      <c r="G88" s="8">
        <v>3.9E-2</v>
      </c>
      <c r="H88" s="8">
        <v>5.8000000000000003E-2</v>
      </c>
      <c r="I88" s="8">
        <v>-2E-3</v>
      </c>
      <c r="J88" s="8">
        <v>4.4999999999999998E-2</v>
      </c>
      <c r="L88" s="42">
        <f t="shared" ref="L88:L97" si="8">SUMPRODUCT($C$33:$J$33,C88:J88)</f>
        <v>2.8460000000000003E-2</v>
      </c>
      <c r="M88" s="42">
        <f t="shared" ref="M88:M97" si="9">B88-L88</f>
        <v>2.5399999999999971E-3</v>
      </c>
    </row>
    <row r="89" spans="1:13" x14ac:dyDescent="0.3">
      <c r="A89" s="3">
        <v>52</v>
      </c>
      <c r="B89" s="8">
        <v>3.2000000000000001E-2</v>
      </c>
      <c r="C89" s="8">
        <v>1.0999999999999999E-2</v>
      </c>
      <c r="D89" s="8">
        <v>-1.6E-2</v>
      </c>
      <c r="E89" s="8">
        <v>2.4E-2</v>
      </c>
      <c r="F89" s="8">
        <v>7.0000000000000001E-3</v>
      </c>
      <c r="G89" s="8">
        <v>3.7999999999999999E-2</v>
      </c>
      <c r="H89" s="8">
        <v>5.0999999999999997E-2</v>
      </c>
      <c r="I89" s="8">
        <v>3.0000000000000001E-3</v>
      </c>
      <c r="J89" s="8">
        <v>2.4E-2</v>
      </c>
      <c r="L89" s="42">
        <f t="shared" si="8"/>
        <v>1.8019999999999998E-2</v>
      </c>
      <c r="M89" s="42">
        <f t="shared" si="9"/>
        <v>1.3980000000000003E-2</v>
      </c>
    </row>
    <row r="90" spans="1:13" x14ac:dyDescent="0.3">
      <c r="A90" s="3">
        <v>53</v>
      </c>
      <c r="B90" s="8">
        <v>8.0000000000000002E-3</v>
      </c>
      <c r="C90" s="8">
        <v>1.0999999999999999E-2</v>
      </c>
      <c r="D90" s="8">
        <v>8.0000000000000002E-3</v>
      </c>
      <c r="E90" s="8">
        <v>2E-3</v>
      </c>
      <c r="F90" s="8">
        <v>1.0999999999999999E-2</v>
      </c>
      <c r="G90" s="8">
        <v>3.6999999999999998E-2</v>
      </c>
      <c r="H90" s="8">
        <v>0.11700000000000001</v>
      </c>
      <c r="I90" s="8">
        <v>2.1999999999999999E-2</v>
      </c>
      <c r="J90" s="8">
        <v>1.6E-2</v>
      </c>
      <c r="L90" s="42">
        <f t="shared" si="8"/>
        <v>2.8680000000000004E-2</v>
      </c>
      <c r="M90" s="42">
        <f t="shared" si="9"/>
        <v>-2.0680000000000004E-2</v>
      </c>
    </row>
    <row r="91" spans="1:13" x14ac:dyDescent="0.3">
      <c r="A91" s="3">
        <v>54</v>
      </c>
      <c r="B91" s="8">
        <v>0.03</v>
      </c>
      <c r="C91" s="8">
        <v>1.0999999999999999E-2</v>
      </c>
      <c r="D91" s="8">
        <v>-2.3E-2</v>
      </c>
      <c r="E91" s="8">
        <v>2.1000000000000001E-2</v>
      </c>
      <c r="F91" s="8">
        <v>-3.0000000000000001E-3</v>
      </c>
      <c r="G91" s="8">
        <v>0.06</v>
      </c>
      <c r="H91" s="8">
        <v>8.9999999999999993E-3</v>
      </c>
      <c r="I91" s="8">
        <v>-3.5999999999999997E-2</v>
      </c>
      <c r="J91" s="8">
        <v>-4.2000000000000003E-2</v>
      </c>
      <c r="L91" s="42">
        <f t="shared" si="8"/>
        <v>-8.3000000000000174E-4</v>
      </c>
      <c r="M91" s="42">
        <f t="shared" si="9"/>
        <v>3.083E-2</v>
      </c>
    </row>
    <row r="92" spans="1:13" x14ac:dyDescent="0.3">
      <c r="A92" s="3">
        <v>55</v>
      </c>
      <c r="B92" s="8">
        <v>6.4000000000000001E-2</v>
      </c>
      <c r="C92" s="8">
        <v>1.2E-2</v>
      </c>
      <c r="D92" s="8">
        <v>3.9E-2</v>
      </c>
      <c r="E92" s="8">
        <v>7.0999999999999994E-2</v>
      </c>
      <c r="F92" s="8">
        <v>0.03</v>
      </c>
      <c r="G92" s="8">
        <v>2.5000000000000001E-2</v>
      </c>
      <c r="H92" s="8">
        <v>1.4999999999999999E-2</v>
      </c>
      <c r="I92" s="8">
        <v>5.3999999999999999E-2</v>
      </c>
      <c r="J92" s="8">
        <v>2.5999999999999999E-2</v>
      </c>
      <c r="L92" s="42">
        <f t="shared" si="8"/>
        <v>3.4880000000000001E-2</v>
      </c>
      <c r="M92" s="42">
        <f t="shared" si="9"/>
        <v>2.912E-2</v>
      </c>
    </row>
    <row r="93" spans="1:13" x14ac:dyDescent="0.3">
      <c r="A93" s="3">
        <v>56</v>
      </c>
      <c r="B93" s="8">
        <v>0.02</v>
      </c>
      <c r="C93" s="8">
        <v>1.0999999999999999E-2</v>
      </c>
      <c r="D93" s="8">
        <v>2.1999999999999999E-2</v>
      </c>
      <c r="E93" s="8">
        <v>4.2999999999999997E-2</v>
      </c>
      <c r="F93" s="8">
        <v>1E-3</v>
      </c>
      <c r="G93" s="8">
        <v>5.7000000000000002E-2</v>
      </c>
      <c r="H93" s="8">
        <v>8.1000000000000003E-2</v>
      </c>
      <c r="I93" s="8">
        <v>-1.4999999999999999E-2</v>
      </c>
      <c r="J93" s="8">
        <v>0.122</v>
      </c>
      <c r="L93" s="42">
        <f t="shared" si="8"/>
        <v>4.1419999999999998E-2</v>
      </c>
      <c r="M93" s="42">
        <f t="shared" si="9"/>
        <v>-2.1419999999999998E-2</v>
      </c>
    </row>
    <row r="94" spans="1:13" x14ac:dyDescent="0.3">
      <c r="A94" s="3">
        <v>57</v>
      </c>
      <c r="B94" s="8">
        <v>-0.02</v>
      </c>
      <c r="C94" s="8">
        <v>1.0999999999999999E-2</v>
      </c>
      <c r="D94" s="8">
        <v>-1.4E-2</v>
      </c>
      <c r="E94" s="8">
        <v>-3.4000000000000002E-2</v>
      </c>
      <c r="F94" s="8">
        <v>-1.4E-2</v>
      </c>
      <c r="G94" s="8">
        <v>8.9999999999999993E-3</v>
      </c>
      <c r="H94" s="8">
        <v>-3.5000000000000003E-2</v>
      </c>
      <c r="I94" s="8">
        <v>0.04</v>
      </c>
      <c r="J94" s="8">
        <v>-2E-3</v>
      </c>
      <c r="L94" s="42">
        <f t="shared" si="8"/>
        <v>-5.5100000000000001E-3</v>
      </c>
      <c r="M94" s="42">
        <f t="shared" si="9"/>
        <v>-1.4489999999999999E-2</v>
      </c>
    </row>
    <row r="95" spans="1:13" x14ac:dyDescent="0.3">
      <c r="A95" s="3">
        <v>58</v>
      </c>
      <c r="B95" s="8">
        <v>-4.3999999999999997E-2</v>
      </c>
      <c r="C95" s="8">
        <v>8.9999999999999993E-3</v>
      </c>
      <c r="D95" s="8">
        <v>-8.9999999999999993E-3</v>
      </c>
      <c r="E95" s="8">
        <v>-6.4000000000000001E-2</v>
      </c>
      <c r="F95" s="8">
        <v>-0.109</v>
      </c>
      <c r="G95" s="8">
        <v>-2.5999999999999999E-2</v>
      </c>
      <c r="H95" s="8">
        <v>0</v>
      </c>
      <c r="I95" s="8">
        <v>-5.0000000000000001E-3</v>
      </c>
      <c r="J95" s="8">
        <v>-6.0000000000000001E-3</v>
      </c>
      <c r="L95" s="42">
        <f t="shared" si="8"/>
        <v>-2.7660000000000004E-2</v>
      </c>
      <c r="M95" s="42">
        <f t="shared" si="9"/>
        <v>-1.6339999999999993E-2</v>
      </c>
    </row>
    <row r="96" spans="1:13" x14ac:dyDescent="0.3">
      <c r="A96" s="3">
        <v>59</v>
      </c>
      <c r="B96" s="8">
        <v>5.2999999999999999E-2</v>
      </c>
      <c r="C96" s="8">
        <v>1.2E-2</v>
      </c>
      <c r="D96" s="8">
        <v>-7.0000000000000001E-3</v>
      </c>
      <c r="E96" s="8">
        <v>6.6000000000000003E-2</v>
      </c>
      <c r="F96" s="8">
        <v>5.0000000000000001E-3</v>
      </c>
      <c r="G96" s="8">
        <v>7.2999999999999995E-2</v>
      </c>
      <c r="H96" s="8">
        <v>2.5000000000000001E-2</v>
      </c>
      <c r="I96" s="8">
        <v>5.7000000000000002E-2</v>
      </c>
      <c r="J96" s="8">
        <v>3.0000000000000001E-3</v>
      </c>
      <c r="L96" s="42">
        <f t="shared" si="8"/>
        <v>2.9940000000000001E-2</v>
      </c>
      <c r="M96" s="42">
        <f t="shared" si="9"/>
        <v>2.3059999999999997E-2</v>
      </c>
    </row>
    <row r="97" spans="1:13" x14ac:dyDescent="0.3">
      <c r="A97" s="3">
        <v>60</v>
      </c>
      <c r="B97" s="8">
        <v>5.8999999999999997E-2</v>
      </c>
      <c r="C97" s="8">
        <v>1.2E-2</v>
      </c>
      <c r="D97" s="8">
        <v>1.0999999999999999E-2</v>
      </c>
      <c r="E97" s="8">
        <v>6.8000000000000005E-2</v>
      </c>
      <c r="F97" s="8">
        <v>2.4E-2</v>
      </c>
      <c r="G97" s="8">
        <v>7.5999999999999998E-2</v>
      </c>
      <c r="H97" s="8">
        <v>-5.0000000000000001E-3</v>
      </c>
      <c r="I97" s="8">
        <v>-2.1000000000000001E-2</v>
      </c>
      <c r="J97" s="8">
        <v>1.0999999999999999E-2</v>
      </c>
      <c r="L97" s="42">
        <f t="shared" si="8"/>
        <v>2.24E-2</v>
      </c>
      <c r="M97" s="42">
        <f t="shared" si="9"/>
        <v>3.6599999999999994E-2</v>
      </c>
    </row>
  </sheetData>
  <printOptions headings="1" gridLines="1"/>
  <pageMargins left="0.75" right="0.75" top="1" bottom="1" header="0.5" footer="0.5"/>
  <pageSetup paperSize="9" scale="94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80"/>
  <sheetViews>
    <sheetView workbookViewId="0"/>
  </sheetViews>
  <sheetFormatPr defaultRowHeight="13" x14ac:dyDescent="0.3"/>
  <cols>
    <col min="1" max="3" width="7.296875" customWidth="1"/>
    <col min="4" max="4" width="8.296875" customWidth="1"/>
    <col min="5" max="10" width="7.296875" customWidth="1"/>
    <col min="11" max="11" width="5.796875" customWidth="1"/>
    <col min="15" max="23" width="7.296875" customWidth="1"/>
    <col min="27" max="27" width="12" customWidth="1"/>
  </cols>
  <sheetData>
    <row r="1" spans="1:35" x14ac:dyDescent="0.3">
      <c r="A1" s="12" t="s">
        <v>0</v>
      </c>
      <c r="N1" s="1" t="s">
        <v>0</v>
      </c>
      <c r="Z1" s="1" t="s">
        <v>0</v>
      </c>
    </row>
    <row r="2" spans="1:35" x14ac:dyDescent="0.3">
      <c r="A2" s="12" t="s">
        <v>126</v>
      </c>
    </row>
    <row r="3" spans="1:35" x14ac:dyDescent="0.3">
      <c r="A3" s="1"/>
      <c r="B3" s="12" t="s">
        <v>127</v>
      </c>
      <c r="O3" s="1" t="s">
        <v>128</v>
      </c>
      <c r="AA3" s="12" t="s">
        <v>129</v>
      </c>
    </row>
    <row r="4" spans="1:35" x14ac:dyDescent="0.3">
      <c r="A4" s="1"/>
    </row>
    <row r="5" spans="1:35" x14ac:dyDescent="0.3">
      <c r="A5" s="1"/>
      <c r="B5" s="1" t="s">
        <v>72</v>
      </c>
      <c r="D5" s="10" t="s">
        <v>130</v>
      </c>
      <c r="J5" s="10" t="s">
        <v>74</v>
      </c>
      <c r="M5" s="2">
        <f>M6*10000</f>
        <v>34.165280151343964</v>
      </c>
      <c r="P5" s="4" t="s">
        <v>85</v>
      </c>
      <c r="Q5" s="4" t="s">
        <v>86</v>
      </c>
      <c r="R5" s="4" t="s">
        <v>87</v>
      </c>
      <c r="S5" s="4" t="s">
        <v>88</v>
      </c>
      <c r="T5" s="4" t="s">
        <v>89</v>
      </c>
      <c r="U5" s="4" t="s">
        <v>90</v>
      </c>
      <c r="V5" s="4" t="s">
        <v>91</v>
      </c>
      <c r="W5" s="4" t="s">
        <v>92</v>
      </c>
      <c r="AA5" s="10" t="s">
        <v>131</v>
      </c>
      <c r="AD5" s="20">
        <v>2.5376692108376508E-2</v>
      </c>
    </row>
    <row r="6" spans="1:35" x14ac:dyDescent="0.3">
      <c r="A6" s="1"/>
      <c r="B6" s="1" t="s">
        <v>75</v>
      </c>
      <c r="D6" s="10" t="s">
        <v>132</v>
      </c>
      <c r="J6" s="12" t="s">
        <v>77</v>
      </c>
      <c r="M6" s="2">
        <f>VAR(M21:M80)</f>
        <v>3.4165280151343962E-3</v>
      </c>
      <c r="P6" s="15">
        <f t="array" ref="P6:W13">CorrMatrix(P21:W80)</f>
        <v>0.99999999999999978</v>
      </c>
      <c r="Q6" s="15">
        <v>0.22443034892584288</v>
      </c>
      <c r="R6" s="15">
        <v>0.18564849407012055</v>
      </c>
      <c r="S6" s="15">
        <v>-1.4981970856736006E-2</v>
      </c>
      <c r="T6" s="15">
        <v>0.16092709711533684</v>
      </c>
      <c r="U6" s="15">
        <v>-4.2783727824997439E-2</v>
      </c>
      <c r="V6" s="15">
        <v>-5.6354475836646434E-2</v>
      </c>
      <c r="W6" s="15">
        <v>-0.12921877737374257</v>
      </c>
      <c r="X6" s="4" t="s">
        <v>85</v>
      </c>
      <c r="AA6" t="s">
        <v>133</v>
      </c>
      <c r="AD6">
        <f>COUNT(P21:P80)</f>
        <v>60</v>
      </c>
    </row>
    <row r="7" spans="1:35" x14ac:dyDescent="0.3">
      <c r="A7" s="1"/>
      <c r="B7" s="1" t="s">
        <v>78</v>
      </c>
      <c r="D7" s="10"/>
      <c r="J7" t="s">
        <v>80</v>
      </c>
      <c r="M7" s="17">
        <f>SQRT(M6)</f>
        <v>5.845107368675443E-2</v>
      </c>
      <c r="P7" s="15">
        <v>0.22443034892584288</v>
      </c>
      <c r="Q7" s="15">
        <v>1</v>
      </c>
      <c r="R7" s="15">
        <v>0.10873208396759101</v>
      </c>
      <c r="S7" s="15">
        <v>9.8498246054707875E-2</v>
      </c>
      <c r="T7" s="15">
        <v>-9.1705916043780394E-2</v>
      </c>
      <c r="U7" s="15">
        <v>-0.23663552049659223</v>
      </c>
      <c r="V7" s="15">
        <v>0.14960956612255874</v>
      </c>
      <c r="W7" s="15">
        <v>-0.15301158307537752</v>
      </c>
      <c r="X7" s="4" t="s">
        <v>86</v>
      </c>
      <c r="AA7" s="10" t="s">
        <v>134</v>
      </c>
      <c r="AD7" s="26">
        <f>SUM(AB12:AI12)</f>
        <v>6</v>
      </c>
    </row>
    <row r="8" spans="1:35" x14ac:dyDescent="0.3">
      <c r="A8" s="1"/>
      <c r="D8" s="10"/>
      <c r="P8" s="15">
        <v>0.18564849407012055</v>
      </c>
      <c r="Q8" s="15">
        <v>0.10873208396759101</v>
      </c>
      <c r="R8" s="15">
        <v>1</v>
      </c>
      <c r="S8" s="15">
        <v>0.86261774722772133</v>
      </c>
      <c r="T8" s="15">
        <v>0.52568074882820837</v>
      </c>
      <c r="U8" s="15">
        <v>0.63327499480738658</v>
      </c>
      <c r="V8" s="15">
        <v>0.19010032114489075</v>
      </c>
      <c r="W8" s="15">
        <v>0.62330417711015251</v>
      </c>
      <c r="X8" s="4" t="s">
        <v>87</v>
      </c>
    </row>
    <row r="9" spans="1:35" x14ac:dyDescent="0.3">
      <c r="A9" t="s">
        <v>135</v>
      </c>
      <c r="B9" s="1">
        <v>8</v>
      </c>
      <c r="I9" t="s">
        <v>82</v>
      </c>
      <c r="K9" s="10"/>
      <c r="L9" s="2">
        <f>VAR(B21:B80)</f>
        <v>7.1330463276836143E-3</v>
      </c>
      <c r="P9" s="15">
        <v>-1.4981970856736006E-2</v>
      </c>
      <c r="Q9" s="15">
        <v>9.8498246054707875E-2</v>
      </c>
      <c r="R9" s="15">
        <v>0.86261774722772133</v>
      </c>
      <c r="S9" s="15">
        <v>1</v>
      </c>
      <c r="T9" s="15">
        <v>0.4797248206084872</v>
      </c>
      <c r="U9" s="15">
        <v>0.57639432433378113</v>
      </c>
      <c r="V9" s="15">
        <v>0.23766556652597384</v>
      </c>
      <c r="W9" s="15">
        <v>0.61274216557484062</v>
      </c>
      <c r="X9" s="4" t="s">
        <v>88</v>
      </c>
      <c r="AB9" s="4" t="s">
        <v>85</v>
      </c>
      <c r="AC9" s="4" t="s">
        <v>86</v>
      </c>
      <c r="AD9" s="4" t="s">
        <v>87</v>
      </c>
      <c r="AE9" s="4" t="s">
        <v>88</v>
      </c>
      <c r="AF9" s="4" t="s">
        <v>89</v>
      </c>
      <c r="AG9" s="4" t="s">
        <v>90</v>
      </c>
      <c r="AH9" s="4" t="s">
        <v>91</v>
      </c>
      <c r="AI9" s="4" t="s">
        <v>92</v>
      </c>
    </row>
    <row r="10" spans="1:35" x14ac:dyDescent="0.3">
      <c r="A10" s="1"/>
      <c r="I10" s="10" t="s">
        <v>83</v>
      </c>
      <c r="L10" s="6">
        <f>1-(M6/L9)</f>
        <v>0.52102820335335187</v>
      </c>
      <c r="P10" s="15">
        <v>0.16092709711533684</v>
      </c>
      <c r="Q10" s="15">
        <v>-9.1705916043780394E-2</v>
      </c>
      <c r="R10" s="15">
        <v>0.52568074882820837</v>
      </c>
      <c r="S10" s="15">
        <v>0.4797248206084872</v>
      </c>
      <c r="T10" s="15">
        <v>1</v>
      </c>
      <c r="U10" s="15">
        <v>0.61367352160856314</v>
      </c>
      <c r="V10" s="15">
        <v>0.34478060619862633</v>
      </c>
      <c r="W10" s="15">
        <v>0.51848644030074209</v>
      </c>
      <c r="X10" s="4" t="s">
        <v>89</v>
      </c>
    </row>
    <row r="11" spans="1:35" x14ac:dyDescent="0.3">
      <c r="A11" s="1"/>
      <c r="P11" s="15">
        <v>-4.2783727824997439E-2</v>
      </c>
      <c r="Q11" s="15">
        <v>-0.23663552049659223</v>
      </c>
      <c r="R11" s="15">
        <v>0.63327499480738658</v>
      </c>
      <c r="S11" s="15">
        <v>0.57639432433378113</v>
      </c>
      <c r="T11" s="15">
        <v>0.61367352160856314</v>
      </c>
      <c r="U11" s="15">
        <v>1</v>
      </c>
      <c r="V11" s="15">
        <v>0.31437706888102795</v>
      </c>
      <c r="W11" s="15">
        <v>0.62576076661077862</v>
      </c>
      <c r="X11" s="4" t="s">
        <v>90</v>
      </c>
      <c r="AA11" t="s">
        <v>40</v>
      </c>
      <c r="AB11" s="6">
        <v>-4.4408920985006262E-16</v>
      </c>
      <c r="AC11" s="6">
        <v>0.15834987895075583</v>
      </c>
      <c r="AD11" s="6">
        <v>0.46781264907170628</v>
      </c>
      <c r="AE11" s="6">
        <v>1.4155520231951064E-2</v>
      </c>
      <c r="AF11" s="6">
        <v>0.13178895092177581</v>
      </c>
      <c r="AG11" s="6">
        <v>0</v>
      </c>
      <c r="AH11" s="6">
        <v>6.3151015342782058E-2</v>
      </c>
      <c r="AI11" s="6">
        <v>0.16474198548102945</v>
      </c>
    </row>
    <row r="12" spans="1:35" x14ac:dyDescent="0.3">
      <c r="A12" s="1"/>
      <c r="B12" s="1" t="s">
        <v>84</v>
      </c>
      <c r="P12" s="15">
        <v>-5.6354475836646434E-2</v>
      </c>
      <c r="Q12" s="15">
        <v>0.14960956612255874</v>
      </c>
      <c r="R12" s="15">
        <v>0.19010032114489075</v>
      </c>
      <c r="S12" s="15">
        <v>0.23766556652597384</v>
      </c>
      <c r="T12" s="15">
        <v>0.34478060619862633</v>
      </c>
      <c r="U12" s="15">
        <v>0.31437706888102795</v>
      </c>
      <c r="V12" s="15">
        <v>0.99999999999999989</v>
      </c>
      <c r="W12" s="15">
        <v>0.1431996424338883</v>
      </c>
      <c r="X12" s="4" t="s">
        <v>91</v>
      </c>
      <c r="AA12" t="s">
        <v>136</v>
      </c>
      <c r="AB12" s="26">
        <f t="shared" ref="AB12:AI12" si="0">IF(AB11&gt;0,1,0)</f>
        <v>0</v>
      </c>
      <c r="AC12" s="26">
        <f t="shared" si="0"/>
        <v>1</v>
      </c>
      <c r="AD12" s="26">
        <f t="shared" si="0"/>
        <v>1</v>
      </c>
      <c r="AE12" s="26">
        <f t="shared" si="0"/>
        <v>1</v>
      </c>
      <c r="AF12" s="26">
        <f t="shared" si="0"/>
        <v>1</v>
      </c>
      <c r="AG12" s="26">
        <f t="shared" si="0"/>
        <v>0</v>
      </c>
      <c r="AH12" s="26">
        <f t="shared" si="0"/>
        <v>1</v>
      </c>
      <c r="AI12" s="26">
        <f t="shared" si="0"/>
        <v>1</v>
      </c>
    </row>
    <row r="13" spans="1:35" x14ac:dyDescent="0.3">
      <c r="A13" s="1"/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4" t="s">
        <v>90</v>
      </c>
      <c r="I13" s="4" t="s">
        <v>91</v>
      </c>
      <c r="J13" s="4" t="s">
        <v>92</v>
      </c>
      <c r="P13" s="15">
        <v>-0.12921877737374257</v>
      </c>
      <c r="Q13" s="15">
        <v>-0.15301158307537752</v>
      </c>
      <c r="R13" s="15">
        <v>0.62330417711015251</v>
      </c>
      <c r="S13" s="15">
        <v>0.61274216557484062</v>
      </c>
      <c r="T13" s="15">
        <v>0.51848644030074209</v>
      </c>
      <c r="U13" s="15">
        <v>0.62576076661077862</v>
      </c>
      <c r="V13" s="15">
        <v>0.1431996424338883</v>
      </c>
      <c r="W13" s="15">
        <v>0.99999999999999989</v>
      </c>
      <c r="X13" s="4" t="s">
        <v>92</v>
      </c>
    </row>
    <row r="14" spans="1:35" x14ac:dyDescent="0.3">
      <c r="A14" s="10" t="s">
        <v>40</v>
      </c>
      <c r="D14" s="7">
        <f>1-SUM(E14:J14)</f>
        <v>0.18623702693359512</v>
      </c>
      <c r="E14" s="6">
        <v>-0.29546655747917944</v>
      </c>
      <c r="F14" s="6">
        <v>0.23036260667240951</v>
      </c>
      <c r="G14" s="6">
        <v>0.41430724513692863</v>
      </c>
      <c r="H14" s="6">
        <v>0.22762855859697073</v>
      </c>
      <c r="I14" s="6">
        <v>0.33964223965838475</v>
      </c>
      <c r="J14" s="6">
        <v>-0.10271111951910926</v>
      </c>
      <c r="L14" s="10"/>
      <c r="AA14" t="s">
        <v>137</v>
      </c>
      <c r="AB14" s="20">
        <v>2.2693352141401918E-2</v>
      </c>
      <c r="AC14" s="20">
        <v>2.4720384848223538E-2</v>
      </c>
      <c r="AD14" s="20">
        <v>2.6889464189778375E-2</v>
      </c>
      <c r="AE14" s="20">
        <v>2.7366403996340251E-2</v>
      </c>
      <c r="AF14" s="20">
        <v>4.2072752064364644E-2</v>
      </c>
      <c r="AG14" s="20">
        <v>4.2077196095409435E-2</v>
      </c>
      <c r="AH14" s="20">
        <v>5.2726396063894516E-2</v>
      </c>
      <c r="AI14" s="20">
        <v>5.845107368675443E-2</v>
      </c>
    </row>
    <row r="15" spans="1:35" x14ac:dyDescent="0.3">
      <c r="D15" s="6"/>
      <c r="E15" s="6"/>
      <c r="F15" s="6"/>
      <c r="G15" s="6"/>
      <c r="H15" s="6"/>
      <c r="I15" s="6"/>
      <c r="J15" s="6"/>
    </row>
    <row r="16" spans="1:35" x14ac:dyDescent="0.3">
      <c r="A16" t="s">
        <v>137</v>
      </c>
      <c r="C16" s="20">
        <v>2.2693352141401918E-2</v>
      </c>
      <c r="D16" s="20">
        <v>2.4720384848223538E-2</v>
      </c>
      <c r="E16" s="20">
        <v>2.6889464189778375E-2</v>
      </c>
      <c r="F16" s="20">
        <v>2.7366403996340251E-2</v>
      </c>
      <c r="G16" s="20">
        <v>4.2072752064364644E-2</v>
      </c>
      <c r="H16" s="20">
        <v>4.2077196095409435E-2</v>
      </c>
      <c r="I16" s="20">
        <v>5.2726396063894516E-2</v>
      </c>
      <c r="J16" s="20">
        <v>5.845107368675443E-2</v>
      </c>
      <c r="AA16" t="s">
        <v>138</v>
      </c>
      <c r="AB16" s="31">
        <f>$AD$5/(AB14*SQRT($AD$6-$AD$7-1))</f>
        <v>0.1536025492152569</v>
      </c>
      <c r="AC16" s="20">
        <f t="shared" ref="AC16:AI16" si="1">$AD$5/(AC14*SQRT($AD$6-$AD$7-1))</f>
        <v>0.14100738158246504</v>
      </c>
      <c r="AD16" s="20">
        <f t="shared" si="1"/>
        <v>0.12963280765125476</v>
      </c>
      <c r="AE16" s="20">
        <f t="shared" si="1"/>
        <v>0.12737357599577201</v>
      </c>
      <c r="AF16" s="20">
        <f t="shared" si="1"/>
        <v>8.2850694763826907E-2</v>
      </c>
      <c r="AG16" s="20">
        <f t="shared" si="1"/>
        <v>8.2841944393227646E-2</v>
      </c>
      <c r="AH16" s="20">
        <f t="shared" si="1"/>
        <v>6.6110278710017636E-2</v>
      </c>
      <c r="AI16" s="20">
        <f t="shared" si="1"/>
        <v>5.9635461237878835E-2</v>
      </c>
    </row>
    <row r="17" spans="1:35" x14ac:dyDescent="0.3">
      <c r="D17" s="6"/>
      <c r="E17" s="6"/>
      <c r="F17" s="6"/>
      <c r="G17" s="6"/>
      <c r="H17" s="6"/>
      <c r="I17" s="6"/>
      <c r="J17" s="6"/>
      <c r="O17" s="1" t="s">
        <v>139</v>
      </c>
    </row>
    <row r="18" spans="1:35" x14ac:dyDescent="0.3">
      <c r="AA18" t="s">
        <v>140</v>
      </c>
      <c r="AB18" s="15">
        <f>AB11/AB16</f>
        <v>-2.8911578103285312E-15</v>
      </c>
      <c r="AC18" s="15">
        <f t="shared" ref="AC18:AI18" si="2">AC11/AC16</f>
        <v>1.1229899965070156</v>
      </c>
      <c r="AD18" s="15">
        <f t="shared" si="2"/>
        <v>3.6087519629308757</v>
      </c>
      <c r="AE18" s="15">
        <f t="shared" si="2"/>
        <v>0.11113388409869986</v>
      </c>
      <c r="AF18" s="15">
        <f t="shared" si="2"/>
        <v>1.5906800938417192</v>
      </c>
      <c r="AG18" s="15">
        <f t="shared" si="2"/>
        <v>0</v>
      </c>
      <c r="AH18" s="15">
        <f t="shared" si="2"/>
        <v>0.95523746949826183</v>
      </c>
      <c r="AI18" s="15">
        <f t="shared" si="2"/>
        <v>2.7624836307359653</v>
      </c>
    </row>
    <row r="19" spans="1:35" x14ac:dyDescent="0.3">
      <c r="A19" s="10" t="s">
        <v>25</v>
      </c>
      <c r="B19" s="13" t="s">
        <v>141</v>
      </c>
      <c r="D19" s="4" t="s">
        <v>86</v>
      </c>
      <c r="E19" s="4" t="s">
        <v>87</v>
      </c>
      <c r="F19" s="4" t="s">
        <v>88</v>
      </c>
      <c r="G19" s="4" t="s">
        <v>89</v>
      </c>
      <c r="H19" s="4" t="s">
        <v>90</v>
      </c>
      <c r="I19" s="4" t="s">
        <v>91</v>
      </c>
      <c r="J19" s="4" t="s">
        <v>92</v>
      </c>
      <c r="L19" s="4" t="s">
        <v>97</v>
      </c>
      <c r="M19" s="4" t="s">
        <v>98</v>
      </c>
      <c r="O19" s="10" t="s">
        <v>25</v>
      </c>
      <c r="P19" s="4" t="s">
        <v>85</v>
      </c>
      <c r="Q19" s="4" t="s">
        <v>86</v>
      </c>
      <c r="R19" s="4" t="s">
        <v>87</v>
      </c>
      <c r="S19" s="4" t="s">
        <v>88</v>
      </c>
      <c r="T19" s="4" t="s">
        <v>89</v>
      </c>
      <c r="U19" s="4" t="s">
        <v>90</v>
      </c>
      <c r="V19" s="4" t="s">
        <v>91</v>
      </c>
      <c r="W19" s="4" t="s">
        <v>92</v>
      </c>
    </row>
    <row r="21" spans="1:35" x14ac:dyDescent="0.3">
      <c r="A21" s="3">
        <v>1</v>
      </c>
      <c r="B21" s="21">
        <f t="shared" ref="B21:B52" si="3">INDEX($P$21:$W$80,A21,$B$9)</f>
        <v>0.111</v>
      </c>
      <c r="C21" s="16"/>
      <c r="D21" s="16">
        <f t="array" ref="D21:J80">StyleSubMatrix(P21:W80,B9)</f>
        <v>8.0000000000000002E-3</v>
      </c>
      <c r="E21" s="16">
        <v>-3.2000000000000001E-2</v>
      </c>
      <c r="F21" s="16">
        <v>4.2999999999999997E-2</v>
      </c>
      <c r="G21" s="16">
        <v>3.2000000000000001E-2</v>
      </c>
      <c r="H21" s="16">
        <v>9.7000000000000003E-2</v>
      </c>
      <c r="I21" s="16">
        <v>0.11</v>
      </c>
      <c r="J21" s="16">
        <v>2.5999999999999999E-2</v>
      </c>
      <c r="L21" s="11">
        <f t="shared" ref="L21:L22" si="4">SUMPRODUCT($D$14:$J$14,D21:J21)</f>
        <v>9.0878377424929477E-2</v>
      </c>
      <c r="M21" s="11">
        <f t="shared" ref="M21:M36" si="5">B21-L21</f>
        <v>2.0121622575070525E-2</v>
      </c>
      <c r="O21" s="3">
        <v>1</v>
      </c>
      <c r="P21" s="8">
        <v>8.0000000000000002E-3</v>
      </c>
      <c r="Q21" s="8">
        <v>-3.2000000000000001E-2</v>
      </c>
      <c r="R21" s="9">
        <v>4.2999999999999997E-2</v>
      </c>
      <c r="S21" s="9">
        <v>3.2000000000000001E-2</v>
      </c>
      <c r="T21" s="8">
        <v>9.7000000000000003E-2</v>
      </c>
      <c r="U21" s="8">
        <v>0.11</v>
      </c>
      <c r="V21" s="8">
        <v>2.5999999999999999E-2</v>
      </c>
      <c r="W21" s="8">
        <v>0.111</v>
      </c>
    </row>
    <row r="22" spans="1:35" x14ac:dyDescent="0.3">
      <c r="A22" s="3">
        <v>2</v>
      </c>
      <c r="B22" s="16">
        <f t="shared" si="3"/>
        <v>-1.9E-2</v>
      </c>
      <c r="C22" s="16"/>
      <c r="D22" s="16">
        <v>8.9999999999999993E-3</v>
      </c>
      <c r="E22" s="16">
        <v>0</v>
      </c>
      <c r="F22" s="16">
        <v>-1.2999999999999999E-2</v>
      </c>
      <c r="G22" s="16">
        <v>2.7E-2</v>
      </c>
      <c r="H22" s="16">
        <v>7.0000000000000001E-3</v>
      </c>
      <c r="I22" s="16">
        <v>4.9000000000000002E-2</v>
      </c>
      <c r="J22" s="16">
        <v>6.6000000000000003E-2</v>
      </c>
      <c r="L22" s="19">
        <f t="shared" si="4"/>
        <v>2.132465073953654E-2</v>
      </c>
      <c r="M22" s="19">
        <f t="shared" si="5"/>
        <v>-4.032465073953654E-2</v>
      </c>
      <c r="O22" s="3">
        <v>2</v>
      </c>
      <c r="P22" s="8">
        <v>8.9999999999999993E-3</v>
      </c>
      <c r="Q22" s="8">
        <v>0</v>
      </c>
      <c r="R22" s="9">
        <v>-1.2999999999999999E-2</v>
      </c>
      <c r="S22" s="9">
        <v>2.7E-2</v>
      </c>
      <c r="T22" s="8">
        <v>7.0000000000000001E-3</v>
      </c>
      <c r="U22" s="8">
        <v>4.9000000000000002E-2</v>
      </c>
      <c r="V22" s="8">
        <v>6.6000000000000003E-2</v>
      </c>
      <c r="W22" s="8">
        <v>-1.9E-2</v>
      </c>
    </row>
    <row r="23" spans="1:35" x14ac:dyDescent="0.3">
      <c r="A23" s="3">
        <v>3</v>
      </c>
      <c r="B23" s="16">
        <f t="shared" si="3"/>
        <v>-0.10299999999999999</v>
      </c>
      <c r="C23" s="16"/>
      <c r="D23" s="16">
        <v>1.0999999999999999E-2</v>
      </c>
      <c r="E23" s="16">
        <v>2.3E-2</v>
      </c>
      <c r="F23" s="16">
        <v>1.7999999999999999E-2</v>
      </c>
      <c r="G23" s="16">
        <v>3.2000000000000001E-2</v>
      </c>
      <c r="H23" s="16">
        <v>-5.0999999999999997E-2</v>
      </c>
      <c r="I23" s="16">
        <v>-0.125</v>
      </c>
      <c r="J23" s="16">
        <v>-7.5999999999999998E-2</v>
      </c>
      <c r="L23" s="19">
        <f t="shared" ref="L23:L38" si="6">SUMPRODUCT($D$14:$J$14,D23:J23)</f>
        <v>-3.3601056123557786E-2</v>
      </c>
      <c r="M23" s="19">
        <f t="shared" si="5"/>
        <v>-6.9398943876442215E-2</v>
      </c>
      <c r="O23" s="3">
        <v>3</v>
      </c>
      <c r="P23" s="8">
        <v>1.0999999999999999E-2</v>
      </c>
      <c r="Q23" s="8">
        <v>2.3E-2</v>
      </c>
      <c r="R23" s="9">
        <v>1.7999999999999999E-2</v>
      </c>
      <c r="S23" s="9">
        <v>3.2000000000000001E-2</v>
      </c>
      <c r="T23" s="8">
        <v>-5.0999999999999997E-2</v>
      </c>
      <c r="U23" s="8">
        <v>-0.125</v>
      </c>
      <c r="V23" s="8">
        <v>-7.5999999999999998E-2</v>
      </c>
      <c r="W23" s="8">
        <v>-0.10299999999999999</v>
      </c>
    </row>
    <row r="24" spans="1:35" x14ac:dyDescent="0.3">
      <c r="A24" s="3">
        <v>4</v>
      </c>
      <c r="B24" s="16">
        <f t="shared" si="3"/>
        <v>2.1000000000000001E-2</v>
      </c>
      <c r="C24" s="16"/>
      <c r="D24" s="16">
        <v>1.0999999999999999E-2</v>
      </c>
      <c r="E24" s="16">
        <v>2.7E-2</v>
      </c>
      <c r="F24" s="16">
        <v>1.4999999999999999E-2</v>
      </c>
      <c r="G24" s="16">
        <v>6.0000000000000001E-3</v>
      </c>
      <c r="H24" s="16">
        <v>0.03</v>
      </c>
      <c r="I24" s="16">
        <v>-1E-3</v>
      </c>
      <c r="J24" s="16">
        <v>-3.3000000000000002E-2</v>
      </c>
      <c r="L24" s="19">
        <f t="shared" si="6"/>
        <v>9.89097427762076E-3</v>
      </c>
      <c r="M24" s="19">
        <f t="shared" si="5"/>
        <v>1.1109025722379241E-2</v>
      </c>
      <c r="O24" s="3">
        <v>4</v>
      </c>
      <c r="P24" s="8">
        <v>1.0999999999999999E-2</v>
      </c>
      <c r="Q24" s="8">
        <v>2.7E-2</v>
      </c>
      <c r="R24" s="9">
        <v>1.4999999999999999E-2</v>
      </c>
      <c r="S24" s="9">
        <v>6.0000000000000001E-3</v>
      </c>
      <c r="T24" s="8">
        <v>0.03</v>
      </c>
      <c r="U24" s="8">
        <v>-1E-3</v>
      </c>
      <c r="V24" s="8">
        <v>-3.3000000000000002E-2</v>
      </c>
      <c r="W24" s="8">
        <v>2.1000000000000001E-2</v>
      </c>
    </row>
    <row r="25" spans="1:35" x14ac:dyDescent="0.3">
      <c r="A25" s="3">
        <v>5</v>
      </c>
      <c r="B25" s="16">
        <f t="shared" si="3"/>
        <v>1.0999999999999999E-2</v>
      </c>
      <c r="C25" s="16"/>
      <c r="D25" s="16">
        <v>0.01</v>
      </c>
      <c r="E25" s="16">
        <v>-7.0000000000000001E-3</v>
      </c>
      <c r="F25" s="16">
        <v>2.1000000000000001E-2</v>
      </c>
      <c r="G25" s="16">
        <v>2.5000000000000001E-2</v>
      </c>
      <c r="H25" s="16">
        <v>3.5999999999999997E-2</v>
      </c>
      <c r="I25" s="16">
        <v>3.4000000000000002E-2</v>
      </c>
      <c r="J25" s="16">
        <v>1.2E-2</v>
      </c>
      <c r="L25" s="19">
        <f t="shared" si="6"/>
        <v>3.7635862863880737E-2</v>
      </c>
      <c r="M25" s="19">
        <f t="shared" si="5"/>
        <v>-2.6635862863880738E-2</v>
      </c>
      <c r="O25" s="3">
        <v>5</v>
      </c>
      <c r="P25" s="8">
        <v>0.01</v>
      </c>
      <c r="Q25" s="8">
        <v>-7.0000000000000001E-3</v>
      </c>
      <c r="R25" s="9">
        <v>2.1000000000000001E-2</v>
      </c>
      <c r="S25" s="9">
        <v>2.5000000000000001E-2</v>
      </c>
      <c r="T25" s="8">
        <v>3.5999999999999997E-2</v>
      </c>
      <c r="U25" s="8">
        <v>3.4000000000000002E-2</v>
      </c>
      <c r="V25" s="8">
        <v>1.2E-2</v>
      </c>
      <c r="W25" s="8">
        <v>1.0999999999999999E-2</v>
      </c>
    </row>
    <row r="26" spans="1:35" x14ac:dyDescent="0.3">
      <c r="A26" s="3">
        <v>6</v>
      </c>
      <c r="B26" s="16">
        <f t="shared" si="3"/>
        <v>-2.5999999999999999E-2</v>
      </c>
      <c r="C26" s="16"/>
      <c r="D26" s="16">
        <v>0.01</v>
      </c>
      <c r="E26" s="16">
        <v>2.4E-2</v>
      </c>
      <c r="F26" s="16">
        <v>-5.6000000000000001E-2</v>
      </c>
      <c r="G26" s="16">
        <v>-4.9000000000000002E-2</v>
      </c>
      <c r="H26" s="16">
        <v>0.02</v>
      </c>
      <c r="I26" s="16">
        <v>0</v>
      </c>
      <c r="J26" s="16">
        <v>2.7E-2</v>
      </c>
      <c r="L26" s="19">
        <f t="shared" si="6"/>
        <v>-3.6650817150605336E-2</v>
      </c>
      <c r="M26" s="19">
        <f t="shared" si="5"/>
        <v>1.0650817150605337E-2</v>
      </c>
      <c r="O26" s="3">
        <v>6</v>
      </c>
      <c r="P26" s="8">
        <v>0.01</v>
      </c>
      <c r="Q26" s="8">
        <v>2.4E-2</v>
      </c>
      <c r="R26" s="9">
        <v>-5.6000000000000001E-2</v>
      </c>
      <c r="S26" s="9">
        <v>-4.9000000000000002E-2</v>
      </c>
      <c r="T26" s="8">
        <v>0.02</v>
      </c>
      <c r="U26" s="8">
        <v>0</v>
      </c>
      <c r="V26" s="8">
        <v>2.7E-2</v>
      </c>
      <c r="W26" s="8">
        <v>-2.5999999999999999E-2</v>
      </c>
    </row>
    <row r="27" spans="1:35" x14ac:dyDescent="0.3">
      <c r="A27" s="3">
        <v>7</v>
      </c>
      <c r="B27" s="16">
        <f t="shared" si="3"/>
        <v>1.9E-2</v>
      </c>
      <c r="C27" s="16"/>
      <c r="D27" s="16">
        <v>0.01</v>
      </c>
      <c r="E27" s="16">
        <v>0.03</v>
      </c>
      <c r="F27" s="16">
        <v>2.5999999999999999E-2</v>
      </c>
      <c r="G27" s="16">
        <v>8.9999999999999993E-3</v>
      </c>
      <c r="H27" s="16">
        <v>-1.6E-2</v>
      </c>
      <c r="I27" s="16">
        <v>-9.8000000000000004E-2</v>
      </c>
      <c r="J27" s="16">
        <v>-8.5999999999999993E-2</v>
      </c>
      <c r="L27" s="19">
        <f t="shared" si="6"/>
        <v>-2.5377273620754266E-2</v>
      </c>
      <c r="M27" s="19">
        <f t="shared" si="5"/>
        <v>4.4377273620754262E-2</v>
      </c>
      <c r="O27" s="3">
        <v>7</v>
      </c>
      <c r="P27" s="8">
        <v>0.01</v>
      </c>
      <c r="Q27" s="8">
        <v>0.03</v>
      </c>
      <c r="R27" s="9">
        <v>2.5999999999999999E-2</v>
      </c>
      <c r="S27" s="9">
        <v>8.9999999999999993E-3</v>
      </c>
      <c r="T27" s="8">
        <v>-1.6E-2</v>
      </c>
      <c r="U27" s="8">
        <v>-9.8000000000000004E-2</v>
      </c>
      <c r="V27" s="8">
        <v>-8.5999999999999993E-2</v>
      </c>
      <c r="W27" s="8">
        <v>1.9E-2</v>
      </c>
    </row>
    <row r="28" spans="1:35" x14ac:dyDescent="0.3">
      <c r="A28" s="3">
        <v>8</v>
      </c>
      <c r="B28" s="16">
        <f t="shared" si="3"/>
        <v>-3.0000000000000001E-3</v>
      </c>
      <c r="C28" s="16"/>
      <c r="D28" s="16">
        <v>0.01</v>
      </c>
      <c r="E28" s="16">
        <v>1.4E-2</v>
      </c>
      <c r="F28" s="16">
        <v>6.7000000000000004E-2</v>
      </c>
      <c r="G28" s="16">
        <v>5.7000000000000002E-2</v>
      </c>
      <c r="H28" s="16">
        <v>7.5999999999999998E-2</v>
      </c>
      <c r="I28" s="16">
        <v>1.0999999999999999E-2</v>
      </c>
      <c r="J28" s="16">
        <v>4.4999999999999998E-2</v>
      </c>
      <c r="L28" s="19">
        <f t="shared" si="6"/>
        <v>5.3189480795735898E-2</v>
      </c>
      <c r="M28" s="19">
        <f t="shared" si="5"/>
        <v>-5.6189480795735901E-2</v>
      </c>
      <c r="O28" s="3">
        <v>8</v>
      </c>
      <c r="P28" s="8">
        <v>0.01</v>
      </c>
      <c r="Q28" s="8">
        <v>1.4E-2</v>
      </c>
      <c r="R28" s="9">
        <v>6.7000000000000004E-2</v>
      </c>
      <c r="S28" s="9">
        <v>5.7000000000000002E-2</v>
      </c>
      <c r="T28" s="8">
        <v>7.5999999999999998E-2</v>
      </c>
      <c r="U28" s="8">
        <v>1.0999999999999999E-2</v>
      </c>
      <c r="V28" s="8">
        <v>4.4999999999999998E-2</v>
      </c>
      <c r="W28" s="8">
        <v>-3.0000000000000001E-3</v>
      </c>
    </row>
    <row r="29" spans="1:35" x14ac:dyDescent="0.3">
      <c r="A29" s="3">
        <v>9</v>
      </c>
      <c r="B29" s="16">
        <f t="shared" si="3"/>
        <v>2.1000000000000001E-2</v>
      </c>
      <c r="C29" s="16"/>
      <c r="D29" s="16">
        <v>8.9999999999999993E-3</v>
      </c>
      <c r="E29" s="16">
        <v>7.0000000000000001E-3</v>
      </c>
      <c r="F29" s="16">
        <v>-3.4000000000000002E-2</v>
      </c>
      <c r="G29" s="16">
        <v>1.0999999999999999E-2</v>
      </c>
      <c r="H29" s="16">
        <v>0.06</v>
      </c>
      <c r="I29" s="16">
        <v>-3.6999999999999998E-2</v>
      </c>
      <c r="J29" s="16">
        <v>0.105</v>
      </c>
      <c r="L29" s="19">
        <f t="shared" si="6"/>
        <v>-1.3360798491356072E-2</v>
      </c>
      <c r="M29" s="19">
        <f t="shared" si="5"/>
        <v>3.4360798491356072E-2</v>
      </c>
      <c r="O29" s="3">
        <v>9</v>
      </c>
      <c r="P29" s="8">
        <v>8.9999999999999993E-3</v>
      </c>
      <c r="Q29" s="8">
        <v>7.0000000000000001E-3</v>
      </c>
      <c r="R29" s="9">
        <v>-3.4000000000000002E-2</v>
      </c>
      <c r="S29" s="9">
        <v>1.0999999999999999E-2</v>
      </c>
      <c r="T29" s="8">
        <v>0.06</v>
      </c>
      <c r="U29" s="8">
        <v>-3.6999999999999998E-2</v>
      </c>
      <c r="V29" s="8">
        <v>0.105</v>
      </c>
      <c r="W29" s="8">
        <v>2.1000000000000001E-2</v>
      </c>
    </row>
    <row r="30" spans="1:35" x14ac:dyDescent="0.3">
      <c r="A30" s="3">
        <v>10</v>
      </c>
      <c r="B30" s="16">
        <f t="shared" si="3"/>
        <v>0.02</v>
      </c>
      <c r="C30" s="16"/>
      <c r="D30" s="16">
        <v>8.9999999999999993E-3</v>
      </c>
      <c r="E30" s="16">
        <v>2.3E-2</v>
      </c>
      <c r="F30" s="16">
        <v>7.0999999999999994E-2</v>
      </c>
      <c r="G30" s="16">
        <v>7.0000000000000007E-2</v>
      </c>
      <c r="H30" s="16">
        <v>7.6999999999999999E-2</v>
      </c>
      <c r="I30" s="16">
        <v>1.7000000000000001E-2</v>
      </c>
      <c r="J30" s="16">
        <v>-3.0000000000000001E-3</v>
      </c>
      <c r="L30" s="19">
        <f t="shared" si="6"/>
        <v>6.3847105098423923E-2</v>
      </c>
      <c r="M30" s="19">
        <f t="shared" si="5"/>
        <v>-4.3847105098423919E-2</v>
      </c>
      <c r="O30" s="3">
        <v>10</v>
      </c>
      <c r="P30" s="8">
        <v>8.9999999999999993E-3</v>
      </c>
      <c r="Q30" s="8">
        <v>2.3E-2</v>
      </c>
      <c r="R30" s="9">
        <v>7.0999999999999994E-2</v>
      </c>
      <c r="S30" s="9">
        <v>7.0000000000000007E-2</v>
      </c>
      <c r="T30" s="8">
        <v>7.6999999999999999E-2</v>
      </c>
      <c r="U30" s="8">
        <v>1.7000000000000001E-2</v>
      </c>
      <c r="V30" s="8">
        <v>-3.0000000000000001E-3</v>
      </c>
      <c r="W30" s="8">
        <v>0.02</v>
      </c>
    </row>
    <row r="31" spans="1:35" x14ac:dyDescent="0.3">
      <c r="A31" s="3">
        <v>11</v>
      </c>
      <c r="B31" s="16">
        <f t="shared" si="3"/>
        <v>-4.2999999999999997E-2</v>
      </c>
      <c r="C31" s="16"/>
      <c r="D31" s="16">
        <v>8.9999999999999993E-3</v>
      </c>
      <c r="E31" s="16">
        <v>-4.0000000000000001E-3</v>
      </c>
      <c r="F31" s="16">
        <v>4.9000000000000002E-2</v>
      </c>
      <c r="G31" s="16">
        <v>2.7E-2</v>
      </c>
      <c r="H31" s="16">
        <v>4.8000000000000001E-2</v>
      </c>
      <c r="I31" s="16">
        <v>4.4999999999999998E-2</v>
      </c>
      <c r="J31" s="16">
        <v>-4.0000000000000001E-3</v>
      </c>
      <c r="L31" s="19">
        <f t="shared" si="6"/>
        <v>5.1952978893322559E-2</v>
      </c>
      <c r="M31" s="19">
        <f t="shared" si="5"/>
        <v>-9.4952978893322548E-2</v>
      </c>
      <c r="O31" s="3">
        <v>11</v>
      </c>
      <c r="P31" s="8">
        <v>8.9999999999999993E-3</v>
      </c>
      <c r="Q31" s="8">
        <v>-4.0000000000000001E-3</v>
      </c>
      <c r="R31" s="9">
        <v>4.9000000000000002E-2</v>
      </c>
      <c r="S31" s="9">
        <v>2.7E-2</v>
      </c>
      <c r="T31" s="8">
        <v>4.8000000000000001E-2</v>
      </c>
      <c r="U31" s="8">
        <v>4.4999999999999998E-2</v>
      </c>
      <c r="V31" s="8">
        <v>-4.0000000000000001E-3</v>
      </c>
      <c r="W31" s="8">
        <v>-4.2999999999999997E-2</v>
      </c>
    </row>
    <row r="32" spans="1:35" x14ac:dyDescent="0.3">
      <c r="A32" s="3">
        <v>12</v>
      </c>
      <c r="B32" s="16">
        <f t="shared" si="3"/>
        <v>0.03</v>
      </c>
      <c r="C32" s="16"/>
      <c r="D32" s="16">
        <v>8.9999999999999993E-3</v>
      </c>
      <c r="E32" s="16">
        <v>2E-3</v>
      </c>
      <c r="F32" s="16">
        <v>-1.4999999999999999E-2</v>
      </c>
      <c r="G32" s="16">
        <v>-1.2999999999999999E-2</v>
      </c>
      <c r="H32" s="16">
        <v>0.127</v>
      </c>
      <c r="I32" s="16">
        <v>7.4999999999999997E-2</v>
      </c>
      <c r="J32" s="16">
        <v>8.2000000000000003E-2</v>
      </c>
      <c r="L32" s="19">
        <f t="shared" si="6"/>
        <v>3.8203449956204963E-2</v>
      </c>
      <c r="M32" s="19">
        <f t="shared" si="5"/>
        <v>-8.203449956204964E-3</v>
      </c>
      <c r="O32" s="3">
        <v>12</v>
      </c>
      <c r="P32" s="8">
        <v>8.9999999999999993E-3</v>
      </c>
      <c r="Q32" s="8">
        <v>2E-3</v>
      </c>
      <c r="R32" s="9">
        <v>-1.4999999999999999E-2</v>
      </c>
      <c r="S32" s="9">
        <v>-1.2999999999999999E-2</v>
      </c>
      <c r="T32" s="8">
        <v>0.127</v>
      </c>
      <c r="U32" s="8">
        <v>7.4999999999999997E-2</v>
      </c>
      <c r="V32" s="8">
        <v>8.2000000000000003E-2</v>
      </c>
      <c r="W32" s="8">
        <v>0.03</v>
      </c>
    </row>
    <row r="33" spans="1:23" x14ac:dyDescent="0.3">
      <c r="A33" s="3">
        <v>13</v>
      </c>
      <c r="B33" s="16">
        <f t="shared" si="3"/>
        <v>7.6999999999999999E-2</v>
      </c>
      <c r="C33" s="16"/>
      <c r="D33" s="16">
        <v>8.9999999999999993E-3</v>
      </c>
      <c r="E33" s="16">
        <v>-0.02</v>
      </c>
      <c r="F33" s="16">
        <v>1.9E-2</v>
      </c>
      <c r="G33" s="16">
        <v>3.4000000000000002E-2</v>
      </c>
      <c r="H33" s="16">
        <v>5.8000000000000003E-2</v>
      </c>
      <c r="I33" s="16">
        <v>3.3000000000000002E-2</v>
      </c>
      <c r="J33" s="16">
        <v>5.5E-2</v>
      </c>
      <c r="L33" s="19">
        <f t="shared" si="6"/>
        <v>4.4810338987217285E-2</v>
      </c>
      <c r="M33" s="19">
        <f t="shared" si="5"/>
        <v>3.2189661012782714E-2</v>
      </c>
      <c r="O33" s="3">
        <v>13</v>
      </c>
      <c r="P33" s="8">
        <v>8.9999999999999993E-3</v>
      </c>
      <c r="Q33" s="8">
        <v>-0.02</v>
      </c>
      <c r="R33" s="9">
        <v>1.9E-2</v>
      </c>
      <c r="S33" s="9">
        <v>3.4000000000000002E-2</v>
      </c>
      <c r="T33" s="8">
        <v>5.8000000000000003E-2</v>
      </c>
      <c r="U33" s="8">
        <v>3.3000000000000002E-2</v>
      </c>
      <c r="V33" s="8">
        <v>5.5E-2</v>
      </c>
      <c r="W33" s="8">
        <v>7.6999999999999999E-2</v>
      </c>
    </row>
    <row r="34" spans="1:23" x14ac:dyDescent="0.3">
      <c r="A34" s="3">
        <v>14</v>
      </c>
      <c r="B34" s="16">
        <f t="shared" si="3"/>
        <v>-5.3999999999999999E-2</v>
      </c>
      <c r="C34" s="16"/>
      <c r="D34" s="16">
        <v>0.01</v>
      </c>
      <c r="E34" s="16">
        <v>4.2000000000000003E-2</v>
      </c>
      <c r="F34" s="16">
        <v>7.9000000000000001E-2</v>
      </c>
      <c r="G34" s="16">
        <v>6.9000000000000006E-2</v>
      </c>
      <c r="H34" s="16">
        <v>7.3999999999999996E-2</v>
      </c>
      <c r="I34" s="16">
        <v>3.5000000000000003E-2</v>
      </c>
      <c r="J34" s="16">
        <v>7.9000000000000001E-2</v>
      </c>
      <c r="L34" s="19">
        <f t="shared" si="6"/>
        <v>5.6856433978988506E-2</v>
      </c>
      <c r="M34" s="19">
        <f t="shared" si="5"/>
        <v>-0.11085643397898851</v>
      </c>
      <c r="O34" s="3">
        <v>14</v>
      </c>
      <c r="P34" s="8">
        <v>0.01</v>
      </c>
      <c r="Q34" s="8">
        <v>4.2000000000000003E-2</v>
      </c>
      <c r="R34" s="9">
        <v>7.9000000000000001E-2</v>
      </c>
      <c r="S34" s="9">
        <v>6.9000000000000006E-2</v>
      </c>
      <c r="T34" s="8">
        <v>7.3999999999999996E-2</v>
      </c>
      <c r="U34" s="8">
        <v>3.5000000000000003E-2</v>
      </c>
      <c r="V34" s="8">
        <v>7.9000000000000001E-2</v>
      </c>
      <c r="W34" s="8">
        <v>-5.3999999999999999E-2</v>
      </c>
    </row>
    <row r="35" spans="1:23" x14ac:dyDescent="0.3">
      <c r="A35" s="3">
        <v>15</v>
      </c>
      <c r="B35" s="16">
        <f t="shared" si="3"/>
        <v>4.2000000000000003E-2</v>
      </c>
      <c r="C35" s="16"/>
      <c r="D35" s="16">
        <v>0.01</v>
      </c>
      <c r="E35" s="16">
        <v>9.9000000000000005E-2</v>
      </c>
      <c r="F35" s="16">
        <v>8.4000000000000005E-2</v>
      </c>
      <c r="G35" s="16">
        <v>5.8000000000000003E-2</v>
      </c>
      <c r="H35" s="16">
        <v>5.8999999999999997E-2</v>
      </c>
      <c r="I35" s="16">
        <v>4.4999999999999998E-2</v>
      </c>
      <c r="J35" s="16">
        <v>0.17299999999999999</v>
      </c>
      <c r="L35" s="19">
        <f t="shared" si="6"/>
        <v>2.6936422322364133E-2</v>
      </c>
      <c r="M35" s="19">
        <f t="shared" si="5"/>
        <v>1.5063577677635869E-2</v>
      </c>
      <c r="O35" s="3">
        <v>15</v>
      </c>
      <c r="P35" s="8">
        <v>0.01</v>
      </c>
      <c r="Q35" s="8">
        <v>9.9000000000000005E-2</v>
      </c>
      <c r="R35" s="9">
        <v>8.4000000000000005E-2</v>
      </c>
      <c r="S35" s="9">
        <v>5.8000000000000003E-2</v>
      </c>
      <c r="T35" s="8">
        <v>5.8999999999999997E-2</v>
      </c>
      <c r="U35" s="8">
        <v>4.4999999999999998E-2</v>
      </c>
      <c r="V35" s="8">
        <v>0.17299999999999999</v>
      </c>
      <c r="W35" s="8">
        <v>4.2000000000000003E-2</v>
      </c>
    </row>
    <row r="36" spans="1:23" x14ac:dyDescent="0.3">
      <c r="A36" s="3">
        <v>16</v>
      </c>
      <c r="B36" s="16">
        <f t="shared" si="3"/>
        <v>7.6999999999999999E-2</v>
      </c>
      <c r="C36" s="16"/>
      <c r="D36" s="16">
        <v>8.9999999999999993E-3</v>
      </c>
      <c r="E36" s="16">
        <v>6.7000000000000004E-2</v>
      </c>
      <c r="F36" s="16">
        <v>-2E-3</v>
      </c>
      <c r="G36" s="16">
        <v>5.8000000000000003E-2</v>
      </c>
      <c r="H36" s="16">
        <v>8.6999999999999994E-2</v>
      </c>
      <c r="I36" s="16">
        <v>-5.0999999999999997E-2</v>
      </c>
      <c r="J36" s="16">
        <v>8.0000000000000002E-3</v>
      </c>
      <c r="L36" s="19">
        <f t="shared" si="6"/>
        <v>7.1092103151003316E-3</v>
      </c>
      <c r="M36" s="19">
        <f t="shared" si="5"/>
        <v>6.9890789684899673E-2</v>
      </c>
      <c r="O36" s="3">
        <v>16</v>
      </c>
      <c r="P36" s="8">
        <v>8.9999999999999993E-3</v>
      </c>
      <c r="Q36" s="8">
        <v>6.7000000000000004E-2</v>
      </c>
      <c r="R36" s="9">
        <v>-2E-3</v>
      </c>
      <c r="S36" s="9">
        <v>5.8000000000000003E-2</v>
      </c>
      <c r="T36" s="8">
        <v>8.6999999999999994E-2</v>
      </c>
      <c r="U36" s="8">
        <v>-5.0999999999999997E-2</v>
      </c>
      <c r="V36" s="8">
        <v>8.0000000000000002E-3</v>
      </c>
      <c r="W36" s="8">
        <v>7.6999999999999999E-2</v>
      </c>
    </row>
    <row r="37" spans="1:23" x14ac:dyDescent="0.3">
      <c r="A37" s="3">
        <v>17</v>
      </c>
      <c r="B37" s="16">
        <f t="shared" si="3"/>
        <v>2.4E-2</v>
      </c>
      <c r="C37" s="16"/>
      <c r="D37" s="16">
        <v>8.0000000000000002E-3</v>
      </c>
      <c r="E37" s="16">
        <v>-1.4999999999999999E-2</v>
      </c>
      <c r="F37" s="16">
        <v>-3.2000000000000001E-2</v>
      </c>
      <c r="G37" s="16">
        <v>-8.0000000000000002E-3</v>
      </c>
      <c r="H37" s="16">
        <v>-5.7000000000000002E-2</v>
      </c>
      <c r="I37" s="16">
        <v>9.7000000000000003E-2</v>
      </c>
      <c r="J37" s="16">
        <v>0.06</v>
      </c>
      <c r="L37" s="19">
        <f t="shared" si="6"/>
        <v>9.043635438733353E-3</v>
      </c>
      <c r="M37" s="19">
        <f t="shared" ref="M37:M52" si="7">B37-L37</f>
        <v>1.4956364561266648E-2</v>
      </c>
      <c r="O37" s="3">
        <v>17</v>
      </c>
      <c r="P37" s="8">
        <v>8.0000000000000002E-3</v>
      </c>
      <c r="Q37" s="8">
        <v>-1.4999999999999999E-2</v>
      </c>
      <c r="R37" s="9">
        <v>-3.2000000000000001E-2</v>
      </c>
      <c r="S37" s="9">
        <v>-8.0000000000000002E-3</v>
      </c>
      <c r="T37" s="8">
        <v>-5.7000000000000002E-2</v>
      </c>
      <c r="U37" s="8">
        <v>9.7000000000000003E-2</v>
      </c>
      <c r="V37" s="8">
        <v>0.06</v>
      </c>
      <c r="W37" s="8">
        <v>2.4E-2</v>
      </c>
    </row>
    <row r="38" spans="1:23" x14ac:dyDescent="0.3">
      <c r="A38" s="3">
        <v>18</v>
      </c>
      <c r="B38" s="16">
        <f t="shared" si="3"/>
        <v>-7.0000000000000007E-2</v>
      </c>
      <c r="C38" s="16"/>
      <c r="D38" s="16">
        <v>8.0000000000000002E-3</v>
      </c>
      <c r="E38" s="16">
        <v>-1.2999999999999999E-2</v>
      </c>
      <c r="F38" s="16">
        <v>3.3000000000000002E-2</v>
      </c>
      <c r="G38" s="16">
        <v>3.3000000000000002E-2</v>
      </c>
      <c r="H38" s="16">
        <v>-1.4E-2</v>
      </c>
      <c r="I38" s="16">
        <v>-1.4999999999999999E-2</v>
      </c>
      <c r="J38" s="16">
        <v>5.0999999999999997E-2</v>
      </c>
      <c r="L38" s="19">
        <f t="shared" si="6"/>
        <v>1.3085366061698319E-2</v>
      </c>
      <c r="M38" s="19">
        <f t="shared" si="7"/>
        <v>-8.3085366061698321E-2</v>
      </c>
      <c r="O38" s="3">
        <v>18</v>
      </c>
      <c r="P38" s="8">
        <v>8.0000000000000002E-3</v>
      </c>
      <c r="Q38" s="8">
        <v>-1.2999999999999999E-2</v>
      </c>
      <c r="R38" s="9">
        <v>3.3000000000000002E-2</v>
      </c>
      <c r="S38" s="9">
        <v>3.3000000000000002E-2</v>
      </c>
      <c r="T38" s="8">
        <v>-1.4E-2</v>
      </c>
      <c r="U38" s="8">
        <v>-1.4999999999999999E-2</v>
      </c>
      <c r="V38" s="8">
        <v>5.0999999999999997E-2</v>
      </c>
      <c r="W38" s="8">
        <v>-7.0000000000000007E-2</v>
      </c>
    </row>
    <row r="39" spans="1:23" x14ac:dyDescent="0.3">
      <c r="A39" s="3">
        <v>19</v>
      </c>
      <c r="B39" s="16">
        <f t="shared" si="3"/>
        <v>-4.3999999999999997E-2</v>
      </c>
      <c r="C39" s="16"/>
      <c r="D39" s="16">
        <v>8.0000000000000002E-3</v>
      </c>
      <c r="E39" s="16">
        <v>-5.0000000000000001E-3</v>
      </c>
      <c r="F39" s="16">
        <v>-5.1999999999999998E-2</v>
      </c>
      <c r="G39" s="16">
        <v>-1.7000000000000001E-2</v>
      </c>
      <c r="H39" s="16">
        <v>7.5999999999999998E-2</v>
      </c>
      <c r="I39" s="16">
        <v>-3.1E-2</v>
      </c>
      <c r="J39" s="16">
        <v>0.16700000000000001</v>
      </c>
      <c r="L39" s="19">
        <f t="shared" ref="L39:L54" si="8">SUMPRODUCT($D$14:$J$14,D39:J39)</f>
        <v>-2.6436745647159823E-2</v>
      </c>
      <c r="M39" s="19">
        <f t="shared" si="7"/>
        <v>-1.7563254352840174E-2</v>
      </c>
      <c r="O39" s="3">
        <v>19</v>
      </c>
      <c r="P39" s="8">
        <v>8.0000000000000002E-3</v>
      </c>
      <c r="Q39" s="8">
        <v>-5.0000000000000001E-3</v>
      </c>
      <c r="R39" s="9">
        <v>-5.1999999999999998E-2</v>
      </c>
      <c r="S39" s="9">
        <v>-1.7000000000000001E-2</v>
      </c>
      <c r="T39" s="8">
        <v>7.5999999999999998E-2</v>
      </c>
      <c r="U39" s="8">
        <v>-3.1E-2</v>
      </c>
      <c r="V39" s="8">
        <v>0.16700000000000001</v>
      </c>
      <c r="W39" s="8">
        <v>-4.3999999999999997E-2</v>
      </c>
    </row>
    <row r="40" spans="1:23" x14ac:dyDescent="0.3">
      <c r="A40" s="3">
        <v>20</v>
      </c>
      <c r="B40" s="16">
        <f t="shared" si="3"/>
        <v>7.0999999999999994E-2</v>
      </c>
      <c r="C40" s="16"/>
      <c r="D40" s="16">
        <v>8.0000000000000002E-3</v>
      </c>
      <c r="E40" s="16">
        <v>4.0000000000000001E-3</v>
      </c>
      <c r="F40" s="16">
        <v>6.9000000000000006E-2</v>
      </c>
      <c r="G40" s="16">
        <v>2.5999999999999999E-2</v>
      </c>
      <c r="H40" s="16">
        <v>0.14099999999999999</v>
      </c>
      <c r="I40" s="16">
        <v>8.2000000000000003E-2</v>
      </c>
      <c r="J40" s="16">
        <v>7.8E-2</v>
      </c>
      <c r="L40" s="19">
        <f t="shared" si="8"/>
        <v>7.8909861311178331E-2</v>
      </c>
      <c r="M40" s="19">
        <f t="shared" si="7"/>
        <v>-7.9098613111783372E-3</v>
      </c>
      <c r="O40" s="3">
        <v>20</v>
      </c>
      <c r="P40" s="8">
        <v>8.0000000000000002E-3</v>
      </c>
      <c r="Q40" s="8">
        <v>4.0000000000000001E-3</v>
      </c>
      <c r="R40" s="9">
        <v>6.9000000000000006E-2</v>
      </c>
      <c r="S40" s="9">
        <v>2.5999999999999999E-2</v>
      </c>
      <c r="T40" s="8">
        <v>0.14099999999999999</v>
      </c>
      <c r="U40" s="8">
        <v>8.2000000000000003E-2</v>
      </c>
      <c r="V40" s="8">
        <v>7.8E-2</v>
      </c>
      <c r="W40" s="8">
        <v>7.0999999999999994E-2</v>
      </c>
    </row>
    <row r="41" spans="1:23" x14ac:dyDescent="0.3">
      <c r="A41" s="3">
        <v>21</v>
      </c>
      <c r="B41" s="16">
        <f t="shared" si="3"/>
        <v>8.7999999999999995E-2</v>
      </c>
      <c r="C41" s="16"/>
      <c r="D41" s="16">
        <v>8.0000000000000002E-3</v>
      </c>
      <c r="E41" s="16">
        <v>-0.04</v>
      </c>
      <c r="F41" s="16">
        <v>-0.06</v>
      </c>
      <c r="G41" s="16">
        <v>-2.3E-2</v>
      </c>
      <c r="H41" s="16">
        <v>-3.3000000000000002E-2</v>
      </c>
      <c r="I41" s="16">
        <v>-6.8000000000000005E-2</v>
      </c>
      <c r="J41" s="16">
        <v>4.4999999999999998E-2</v>
      </c>
      <c r="L41" s="19">
        <f t="shared" si="8"/>
        <v>-4.5271679632688105E-2</v>
      </c>
      <c r="M41" s="19">
        <f t="shared" si="7"/>
        <v>0.1332716796326881</v>
      </c>
      <c r="O41" s="3">
        <v>21</v>
      </c>
      <c r="P41" s="8">
        <v>8.0000000000000002E-3</v>
      </c>
      <c r="Q41" s="8">
        <v>-0.04</v>
      </c>
      <c r="R41" s="9">
        <v>-0.06</v>
      </c>
      <c r="S41" s="9">
        <v>-2.3E-2</v>
      </c>
      <c r="T41" s="8">
        <v>-3.3000000000000002E-2</v>
      </c>
      <c r="U41" s="8">
        <v>-6.8000000000000005E-2</v>
      </c>
      <c r="V41" s="8">
        <v>4.4999999999999998E-2</v>
      </c>
      <c r="W41" s="8">
        <v>8.7999999999999995E-2</v>
      </c>
    </row>
    <row r="42" spans="1:23" x14ac:dyDescent="0.3">
      <c r="A42" s="3">
        <v>22</v>
      </c>
      <c r="B42" s="16">
        <f t="shared" si="3"/>
        <v>0.16500000000000001</v>
      </c>
      <c r="C42" s="16"/>
      <c r="D42" s="16">
        <v>8.0000000000000002E-3</v>
      </c>
      <c r="E42" s="16">
        <v>-4.4999999999999998E-2</v>
      </c>
      <c r="F42" s="16">
        <v>5.1999999999999998E-2</v>
      </c>
      <c r="G42" s="16">
        <v>4.2999999999999997E-2</v>
      </c>
      <c r="H42" s="16">
        <v>3.5999999999999997E-2</v>
      </c>
      <c r="I42" s="16">
        <v>9.6000000000000002E-2</v>
      </c>
      <c r="J42" s="16">
        <v>-9.1999999999999998E-2</v>
      </c>
      <c r="L42" s="19">
        <f t="shared" si="8"/>
        <v>9.4829664502338984E-2</v>
      </c>
      <c r="M42" s="19">
        <f t="shared" si="7"/>
        <v>7.0170335497661024E-2</v>
      </c>
      <c r="O42" s="3">
        <v>22</v>
      </c>
      <c r="P42" s="8">
        <v>8.0000000000000002E-3</v>
      </c>
      <c r="Q42" s="8">
        <v>-4.4999999999999998E-2</v>
      </c>
      <c r="R42" s="9">
        <v>5.1999999999999998E-2</v>
      </c>
      <c r="S42" s="9">
        <v>4.2999999999999997E-2</v>
      </c>
      <c r="T42" s="8">
        <v>3.5999999999999997E-2</v>
      </c>
      <c r="U42" s="8">
        <v>9.6000000000000002E-2</v>
      </c>
      <c r="V42" s="8">
        <v>-9.1999999999999998E-2</v>
      </c>
      <c r="W42" s="8">
        <v>0.16500000000000001</v>
      </c>
    </row>
    <row r="43" spans="1:23" x14ac:dyDescent="0.3">
      <c r="A43" s="3">
        <v>23</v>
      </c>
      <c r="B43" s="16">
        <f t="shared" si="3"/>
        <v>-2E-3</v>
      </c>
      <c r="C43" s="16"/>
      <c r="D43" s="16">
        <v>8.9999999999999993E-3</v>
      </c>
      <c r="E43" s="16">
        <v>-6.0000000000000001E-3</v>
      </c>
      <c r="F43" s="16">
        <v>6.0000000000000001E-3</v>
      </c>
      <c r="G43" s="16">
        <v>3.5000000000000003E-2</v>
      </c>
      <c r="H43" s="16">
        <v>3.2000000000000001E-2</v>
      </c>
      <c r="I43" s="16">
        <v>-6.0000000000000001E-3</v>
      </c>
      <c r="J43" s="16">
        <v>2.4E-2</v>
      </c>
      <c r="L43" s="19">
        <f t="shared" si="8"/>
        <v>2.2113055375798527E-2</v>
      </c>
      <c r="M43" s="19">
        <f t="shared" si="7"/>
        <v>-2.4113055375798526E-2</v>
      </c>
      <c r="O43" s="3">
        <v>23</v>
      </c>
      <c r="P43" s="8">
        <v>8.9999999999999993E-3</v>
      </c>
      <c r="Q43" s="8">
        <v>-6.0000000000000001E-3</v>
      </c>
      <c r="R43" s="9">
        <v>6.0000000000000001E-3</v>
      </c>
      <c r="S43" s="9">
        <v>3.5000000000000003E-2</v>
      </c>
      <c r="T43" s="8">
        <v>3.2000000000000001E-2</v>
      </c>
      <c r="U43" s="8">
        <v>-6.0000000000000001E-3</v>
      </c>
      <c r="V43" s="8">
        <v>2.4E-2</v>
      </c>
      <c r="W43" s="8">
        <v>-2E-3</v>
      </c>
    </row>
    <row r="44" spans="1:23" x14ac:dyDescent="0.3">
      <c r="A44" s="3">
        <v>24</v>
      </c>
      <c r="B44" s="16">
        <f t="shared" si="3"/>
        <v>5.0999999999999997E-2</v>
      </c>
      <c r="C44" s="16"/>
      <c r="D44" s="16">
        <v>8.9999999999999993E-3</v>
      </c>
      <c r="E44" s="16">
        <v>1.7999999999999999E-2</v>
      </c>
      <c r="F44" s="16">
        <v>2.9000000000000001E-2</v>
      </c>
      <c r="G44" s="16">
        <v>2.8000000000000001E-2</v>
      </c>
      <c r="H44" s="16">
        <v>-6.0000000000000001E-3</v>
      </c>
      <c r="I44" s="16">
        <v>-5.1999999999999998E-2</v>
      </c>
      <c r="J44" s="16">
        <v>4.5999999999999999E-2</v>
      </c>
      <c r="L44" s="19">
        <f t="shared" si="8"/>
        <v>-9.1130256465858511E-3</v>
      </c>
      <c r="M44" s="19">
        <f t="shared" si="7"/>
        <v>6.0113025646585848E-2</v>
      </c>
      <c r="O44" s="3">
        <v>24</v>
      </c>
      <c r="P44" s="8">
        <v>8.9999999999999993E-3</v>
      </c>
      <c r="Q44" s="8">
        <v>1.7999999999999999E-2</v>
      </c>
      <c r="R44" s="9">
        <v>2.9000000000000001E-2</v>
      </c>
      <c r="S44" s="9">
        <v>2.8000000000000001E-2</v>
      </c>
      <c r="T44" s="8">
        <v>-6.0000000000000001E-3</v>
      </c>
      <c r="U44" s="8">
        <v>-5.1999999999999998E-2</v>
      </c>
      <c r="V44" s="8">
        <v>4.5999999999999999E-2</v>
      </c>
      <c r="W44" s="8">
        <v>5.0999999999999997E-2</v>
      </c>
    </row>
    <row r="45" spans="1:23" x14ac:dyDescent="0.3">
      <c r="A45" s="3">
        <v>25</v>
      </c>
      <c r="B45" s="16">
        <f t="shared" si="3"/>
        <v>-3.4000000000000002E-2</v>
      </c>
      <c r="C45" s="16"/>
      <c r="D45" s="16">
        <v>8.9999999999999993E-3</v>
      </c>
      <c r="E45" s="16">
        <v>0.06</v>
      </c>
      <c r="F45" s="16">
        <v>0.08</v>
      </c>
      <c r="G45" s="16">
        <v>8.5999999999999993E-2</v>
      </c>
      <c r="H45" s="16">
        <v>-2.4E-2</v>
      </c>
      <c r="I45" s="16">
        <v>9.1999999999999998E-2</v>
      </c>
      <c r="J45" s="16">
        <v>0.13900000000000001</v>
      </c>
      <c r="L45" s="19">
        <f t="shared" si="8"/>
        <v>4.9514726438308107E-2</v>
      </c>
      <c r="M45" s="19">
        <f t="shared" si="7"/>
        <v>-8.3514726438308109E-2</v>
      </c>
      <c r="O45" s="3">
        <v>25</v>
      </c>
      <c r="P45" s="8">
        <v>8.9999999999999993E-3</v>
      </c>
      <c r="Q45" s="8">
        <v>0.06</v>
      </c>
      <c r="R45" s="9">
        <v>0.08</v>
      </c>
      <c r="S45" s="9">
        <v>8.5999999999999993E-2</v>
      </c>
      <c r="T45" s="8">
        <v>-2.4E-2</v>
      </c>
      <c r="U45" s="8">
        <v>9.1999999999999998E-2</v>
      </c>
      <c r="V45" s="8">
        <v>0.13900000000000001</v>
      </c>
      <c r="W45" s="8">
        <v>-3.4000000000000002E-2</v>
      </c>
    </row>
    <row r="46" spans="1:23" x14ac:dyDescent="0.3">
      <c r="A46" s="3">
        <v>26</v>
      </c>
      <c r="B46" s="16">
        <f t="shared" si="3"/>
        <v>9.8000000000000004E-2</v>
      </c>
      <c r="C46" s="16"/>
      <c r="D46" s="16">
        <v>8.9999999999999993E-3</v>
      </c>
      <c r="E46" s="16">
        <v>3.1E-2</v>
      </c>
      <c r="F46" s="16">
        <v>9.7000000000000003E-2</v>
      </c>
      <c r="G46" s="16">
        <v>9.0999999999999998E-2</v>
      </c>
      <c r="H46" s="16">
        <v>-2.1000000000000001E-2</v>
      </c>
      <c r="I46" s="16">
        <v>3.2000000000000001E-2</v>
      </c>
      <c r="J46" s="16">
        <v>-6.0000000000000001E-3</v>
      </c>
      <c r="L46" s="19">
        <f t="shared" si="8"/>
        <v>5.9268420770878606E-2</v>
      </c>
      <c r="M46" s="19">
        <f t="shared" si="7"/>
        <v>3.8731579229121398E-2</v>
      </c>
      <c r="O46" s="3">
        <v>26</v>
      </c>
      <c r="P46" s="8">
        <v>8.9999999999999993E-3</v>
      </c>
      <c r="Q46" s="8">
        <v>3.1E-2</v>
      </c>
      <c r="R46" s="9">
        <v>9.7000000000000003E-2</v>
      </c>
      <c r="S46" s="9">
        <v>9.0999999999999998E-2</v>
      </c>
      <c r="T46" s="8">
        <v>-2.1000000000000001E-2</v>
      </c>
      <c r="U46" s="8">
        <v>3.2000000000000001E-2</v>
      </c>
      <c r="V46" s="8">
        <v>-6.0000000000000001E-3</v>
      </c>
      <c r="W46" s="8">
        <v>9.8000000000000004E-2</v>
      </c>
    </row>
    <row r="47" spans="1:23" x14ac:dyDescent="0.3">
      <c r="A47" s="3">
        <v>27</v>
      </c>
      <c r="B47" s="16">
        <f t="shared" si="3"/>
        <v>6.0000000000000001E-3</v>
      </c>
      <c r="C47" s="16"/>
      <c r="D47" s="16">
        <v>8.9999999999999993E-3</v>
      </c>
      <c r="E47" s="16">
        <v>6.9000000000000006E-2</v>
      </c>
      <c r="F47" s="16">
        <v>1.2E-2</v>
      </c>
      <c r="G47" s="16">
        <v>6.6000000000000003E-2</v>
      </c>
      <c r="H47" s="16">
        <v>8.0000000000000002E-3</v>
      </c>
      <c r="I47" s="16">
        <v>-1.4999999999999999E-2</v>
      </c>
      <c r="J47" s="16">
        <v>7.0999999999999994E-2</v>
      </c>
      <c r="L47" s="19">
        <f t="shared" si="8"/>
        <v>8.314756234884136E-4</v>
      </c>
      <c r="M47" s="19">
        <f t="shared" si="7"/>
        <v>5.1685243765115865E-3</v>
      </c>
      <c r="O47" s="3">
        <v>27</v>
      </c>
      <c r="P47" s="8">
        <v>8.9999999999999993E-3</v>
      </c>
      <c r="Q47" s="8">
        <v>6.9000000000000006E-2</v>
      </c>
      <c r="R47" s="9">
        <v>1.2E-2</v>
      </c>
      <c r="S47" s="9">
        <v>6.6000000000000003E-2</v>
      </c>
      <c r="T47" s="8">
        <v>8.0000000000000002E-3</v>
      </c>
      <c r="U47" s="8">
        <v>-1.4999999999999999E-2</v>
      </c>
      <c r="V47" s="8">
        <v>7.0999999999999994E-2</v>
      </c>
      <c r="W47" s="8">
        <v>6.0000000000000001E-3</v>
      </c>
    </row>
    <row r="48" spans="1:23" x14ac:dyDescent="0.3">
      <c r="A48" s="3">
        <v>28</v>
      </c>
      <c r="B48" s="16">
        <f t="shared" si="3"/>
        <v>-1.9E-2</v>
      </c>
      <c r="C48" s="16"/>
      <c r="D48" s="16">
        <v>8.0000000000000002E-3</v>
      </c>
      <c r="E48" s="16">
        <v>1.0999999999999999E-2</v>
      </c>
      <c r="F48" s="16">
        <v>2.9000000000000001E-2</v>
      </c>
      <c r="G48" s="16">
        <v>3.5000000000000003E-2</v>
      </c>
      <c r="H48" s="16">
        <v>-1.2999999999999999E-2</v>
      </c>
      <c r="I48" s="16">
        <v>-4.7E-2</v>
      </c>
      <c r="J48" s="16">
        <v>0.125</v>
      </c>
      <c r="L48" s="19">
        <f t="shared" si="8"/>
        <v>-1.2340213209103194E-2</v>
      </c>
      <c r="M48" s="19">
        <f t="shared" si="7"/>
        <v>-6.6597867908968055E-3</v>
      </c>
      <c r="O48" s="3">
        <v>28</v>
      </c>
      <c r="P48" s="8">
        <v>8.0000000000000002E-3</v>
      </c>
      <c r="Q48" s="8">
        <v>1.0999999999999999E-2</v>
      </c>
      <c r="R48" s="9">
        <v>2.9000000000000001E-2</v>
      </c>
      <c r="S48" s="9">
        <v>3.5000000000000003E-2</v>
      </c>
      <c r="T48" s="8">
        <v>-1.2999999999999999E-2</v>
      </c>
      <c r="U48" s="8">
        <v>-4.7E-2</v>
      </c>
      <c r="V48" s="8">
        <v>0.125</v>
      </c>
      <c r="W48" s="8">
        <v>-1.9E-2</v>
      </c>
    </row>
    <row r="49" spans="1:23" x14ac:dyDescent="0.3">
      <c r="A49" s="3">
        <v>29</v>
      </c>
      <c r="B49" s="16">
        <f t="shared" si="3"/>
        <v>8.2000000000000003E-2</v>
      </c>
      <c r="C49" s="16"/>
      <c r="D49" s="16">
        <v>8.0000000000000002E-3</v>
      </c>
      <c r="E49" s="16">
        <v>3.5000000000000003E-2</v>
      </c>
      <c r="F49" s="16">
        <v>7.6999999999999999E-2</v>
      </c>
      <c r="G49" s="16">
        <v>7.5999999999999998E-2</v>
      </c>
      <c r="H49" s="16">
        <v>-0.02</v>
      </c>
      <c r="I49" s="16">
        <v>3.1E-2</v>
      </c>
      <c r="J49" s="16">
        <v>1.2E-2</v>
      </c>
      <c r="L49" s="19">
        <f t="shared" si="8"/>
        <v>4.5117642871120786E-2</v>
      </c>
      <c r="M49" s="19">
        <f t="shared" si="7"/>
        <v>3.6882357128879217E-2</v>
      </c>
      <c r="O49" s="3">
        <v>29</v>
      </c>
      <c r="P49" s="8">
        <v>8.0000000000000002E-3</v>
      </c>
      <c r="Q49" s="8">
        <v>3.5000000000000003E-2</v>
      </c>
      <c r="R49" s="9">
        <v>7.6999999999999999E-2</v>
      </c>
      <c r="S49" s="9">
        <v>7.5999999999999998E-2</v>
      </c>
      <c r="T49" s="8">
        <v>-0.02</v>
      </c>
      <c r="U49" s="8">
        <v>3.1E-2</v>
      </c>
      <c r="V49" s="8">
        <v>1.2E-2</v>
      </c>
      <c r="W49" s="8">
        <v>8.2000000000000003E-2</v>
      </c>
    </row>
    <row r="50" spans="1:23" x14ac:dyDescent="0.3">
      <c r="A50" s="3">
        <v>30</v>
      </c>
      <c r="B50" s="16">
        <f t="shared" si="3"/>
        <v>5.6000000000000001E-2</v>
      </c>
      <c r="C50" s="16"/>
      <c r="D50" s="16">
        <v>7.0000000000000001E-3</v>
      </c>
      <c r="E50" s="16">
        <v>0</v>
      </c>
      <c r="F50" s="16">
        <v>3.9E-2</v>
      </c>
      <c r="G50" s="16">
        <v>0.113</v>
      </c>
      <c r="H50" s="16">
        <v>4.2000000000000003E-2</v>
      </c>
      <c r="I50" s="16">
        <v>0.06</v>
      </c>
      <c r="J50" s="16">
        <v>-6.6000000000000003E-2</v>
      </c>
      <c r="L50" s="19">
        <f t="shared" si="8"/>
        <v>9.3822387278069144E-2</v>
      </c>
      <c r="M50" s="19">
        <f t="shared" si="7"/>
        <v>-3.7822387278069143E-2</v>
      </c>
      <c r="O50" s="3">
        <v>30</v>
      </c>
      <c r="P50" s="8">
        <v>7.0000000000000001E-3</v>
      </c>
      <c r="Q50" s="8">
        <v>0</v>
      </c>
      <c r="R50" s="9">
        <v>3.9E-2</v>
      </c>
      <c r="S50" s="9">
        <v>0.113</v>
      </c>
      <c r="T50" s="8">
        <v>4.2000000000000003E-2</v>
      </c>
      <c r="U50" s="8">
        <v>0.06</v>
      </c>
      <c r="V50" s="8">
        <v>-6.6000000000000003E-2</v>
      </c>
      <c r="W50" s="8">
        <v>5.6000000000000001E-2</v>
      </c>
    </row>
    <row r="51" spans="1:23" x14ac:dyDescent="0.3">
      <c r="A51" s="3">
        <v>31</v>
      </c>
      <c r="B51" s="16">
        <f t="shared" si="3"/>
        <v>0.127</v>
      </c>
      <c r="C51" s="16"/>
      <c r="D51" s="16">
        <v>7.0000000000000001E-3</v>
      </c>
      <c r="E51" s="16">
        <v>-2.3E-2</v>
      </c>
      <c r="F51" s="16">
        <v>3.5999999999999997E-2</v>
      </c>
      <c r="G51" s="16">
        <v>9.0999999999999998E-2</v>
      </c>
      <c r="H51" s="16">
        <v>0.05</v>
      </c>
      <c r="I51" s="16">
        <v>5.8000000000000003E-2</v>
      </c>
      <c r="J51" s="16">
        <v>-0.02</v>
      </c>
      <c r="L51" s="19">
        <f t="shared" si="8"/>
        <v>8.7229303378640571E-2</v>
      </c>
      <c r="M51" s="19">
        <f t="shared" si="7"/>
        <v>3.977069662135943E-2</v>
      </c>
      <c r="O51" s="3">
        <v>31</v>
      </c>
      <c r="P51" s="8">
        <v>7.0000000000000001E-3</v>
      </c>
      <c r="Q51" s="8">
        <v>-2.3E-2</v>
      </c>
      <c r="R51" s="9">
        <v>3.5999999999999997E-2</v>
      </c>
      <c r="S51" s="9">
        <v>9.0999999999999998E-2</v>
      </c>
      <c r="T51" s="8">
        <v>0.05</v>
      </c>
      <c r="U51" s="8">
        <v>5.8000000000000003E-2</v>
      </c>
      <c r="V51" s="8">
        <v>-0.02</v>
      </c>
      <c r="W51" s="8">
        <v>0.127</v>
      </c>
    </row>
    <row r="52" spans="1:23" x14ac:dyDescent="0.3">
      <c r="A52" s="3">
        <v>32</v>
      </c>
      <c r="B52" s="16">
        <f t="shared" si="3"/>
        <v>4.7E-2</v>
      </c>
      <c r="C52" s="16"/>
      <c r="D52" s="16">
        <v>7.0000000000000001E-3</v>
      </c>
      <c r="E52" s="16">
        <v>-5.1999999999999998E-2</v>
      </c>
      <c r="F52" s="16">
        <v>-4.4999999999999998E-2</v>
      </c>
      <c r="G52" s="16">
        <v>-3.3000000000000002E-2</v>
      </c>
      <c r="H52" s="16">
        <v>1.0999999999999999E-2</v>
      </c>
      <c r="I52" s="16">
        <v>1.9E-2</v>
      </c>
      <c r="J52" s="16">
        <v>9.8000000000000004E-2</v>
      </c>
      <c r="L52" s="19">
        <f t="shared" si="8"/>
        <v>-8.479109227121296E-3</v>
      </c>
      <c r="M52" s="19">
        <f t="shared" si="7"/>
        <v>5.5479109227121293E-2</v>
      </c>
      <c r="O52" s="3">
        <v>32</v>
      </c>
      <c r="P52" s="8">
        <v>7.0000000000000001E-3</v>
      </c>
      <c r="Q52" s="8">
        <v>-5.1999999999999998E-2</v>
      </c>
      <c r="R52" s="9">
        <v>-4.4999999999999998E-2</v>
      </c>
      <c r="S52" s="9">
        <v>-3.3000000000000002E-2</v>
      </c>
      <c r="T52" s="8">
        <v>1.0999999999999999E-2</v>
      </c>
      <c r="U52" s="8">
        <v>1.9E-2</v>
      </c>
      <c r="V52" s="8">
        <v>9.8000000000000004E-2</v>
      </c>
      <c r="W52" s="8">
        <v>4.7E-2</v>
      </c>
    </row>
    <row r="53" spans="1:23" x14ac:dyDescent="0.3">
      <c r="A53" s="3">
        <v>33</v>
      </c>
      <c r="B53" s="16">
        <f t="shared" ref="B53:B80" si="9">INDEX($P$21:$W$80,A53,$B$9)</f>
        <v>5.7000000000000002E-2</v>
      </c>
      <c r="C53" s="16"/>
      <c r="D53" s="16">
        <v>8.0000000000000002E-3</v>
      </c>
      <c r="E53" s="16">
        <v>3.0000000000000001E-3</v>
      </c>
      <c r="F53" s="16">
        <v>5.3999999999999999E-2</v>
      </c>
      <c r="G53" s="16">
        <v>5.5E-2</v>
      </c>
      <c r="H53" s="16">
        <v>-2.9000000000000001E-2</v>
      </c>
      <c r="I53" s="16">
        <v>-2.4E-2</v>
      </c>
      <c r="J53" s="16">
        <v>-0.04</v>
      </c>
      <c r="L53" s="19">
        <f t="shared" si="8"/>
        <v>2.5185778615523395E-2</v>
      </c>
      <c r="M53" s="19">
        <f t="shared" ref="M53:M68" si="10">B53-L53</f>
        <v>3.1814221384476607E-2</v>
      </c>
      <c r="O53" s="3">
        <v>33</v>
      </c>
      <c r="P53" s="8">
        <v>8.0000000000000002E-3</v>
      </c>
      <c r="Q53" s="8">
        <v>3.0000000000000001E-3</v>
      </c>
      <c r="R53" s="9">
        <v>5.3999999999999999E-2</v>
      </c>
      <c r="S53" s="9">
        <v>5.5E-2</v>
      </c>
      <c r="T53" s="8">
        <v>-2.9000000000000001E-2</v>
      </c>
      <c r="U53" s="8">
        <v>-2.4E-2</v>
      </c>
      <c r="V53" s="8">
        <v>-0.04</v>
      </c>
      <c r="W53" s="8">
        <v>5.7000000000000002E-2</v>
      </c>
    </row>
    <row r="54" spans="1:23" x14ac:dyDescent="0.3">
      <c r="A54" s="3">
        <v>34</v>
      </c>
      <c r="B54" s="16">
        <f t="shared" si="9"/>
        <v>-0.46600000000000003</v>
      </c>
      <c r="C54" s="16"/>
      <c r="D54" s="16">
        <v>8.0000000000000002E-3</v>
      </c>
      <c r="E54" s="16">
        <v>1.7000000000000001E-2</v>
      </c>
      <c r="F54" s="16">
        <v>-0.25700000000000001</v>
      </c>
      <c r="G54" s="16">
        <v>-0.23100000000000001</v>
      </c>
      <c r="H54" s="16">
        <v>-0.217</v>
      </c>
      <c r="I54" s="16">
        <v>-0.252</v>
      </c>
      <c r="J54" s="16">
        <v>-0.124</v>
      </c>
      <c r="L54" s="19">
        <f t="shared" si="8"/>
        <v>-0.28069026159220317</v>
      </c>
      <c r="M54" s="19">
        <f t="shared" si="10"/>
        <v>-0.18530973840779685</v>
      </c>
      <c r="O54" s="3">
        <v>34</v>
      </c>
      <c r="P54" s="8">
        <v>8.0000000000000002E-3</v>
      </c>
      <c r="Q54" s="8">
        <v>1.7000000000000001E-2</v>
      </c>
      <c r="R54" s="9">
        <v>-0.25700000000000001</v>
      </c>
      <c r="S54" s="9">
        <v>-0.23100000000000001</v>
      </c>
      <c r="T54" s="8">
        <v>-0.217</v>
      </c>
      <c r="U54" s="8">
        <v>-0.252</v>
      </c>
      <c r="V54" s="8">
        <v>-0.124</v>
      </c>
      <c r="W54" s="8">
        <v>-0.46600000000000003</v>
      </c>
    </row>
    <row r="55" spans="1:23" x14ac:dyDescent="0.3">
      <c r="A55" s="3">
        <v>35</v>
      </c>
      <c r="B55" s="16">
        <f t="shared" si="9"/>
        <v>-3.3000000000000002E-2</v>
      </c>
      <c r="C55" s="16"/>
      <c r="D55" s="16">
        <v>8.0000000000000002E-3</v>
      </c>
      <c r="E55" s="16">
        <v>7.0000000000000007E-2</v>
      </c>
      <c r="F55" s="16">
        <v>-9.2999999999999999E-2</v>
      </c>
      <c r="G55" s="16">
        <v>-0.14399999999999999</v>
      </c>
      <c r="H55" s="16">
        <v>-0.1</v>
      </c>
      <c r="I55" s="16">
        <v>-0.14299999999999999</v>
      </c>
      <c r="J55" s="16">
        <v>-2.9000000000000001E-2</v>
      </c>
      <c r="L55" s="19">
        <f t="shared" ref="L55:L70" si="11">SUMPRODUCT($D$14:$J$14,D55:J55)</f>
        <v>-0.16862980219311752</v>
      </c>
      <c r="M55" s="19">
        <f t="shared" si="10"/>
        <v>0.13562980219311752</v>
      </c>
      <c r="O55" s="3">
        <v>35</v>
      </c>
      <c r="P55" s="8">
        <v>8.0000000000000002E-3</v>
      </c>
      <c r="Q55" s="8">
        <v>7.0000000000000007E-2</v>
      </c>
      <c r="R55" s="9">
        <v>-9.2999999999999999E-2</v>
      </c>
      <c r="S55" s="9">
        <v>-0.14399999999999999</v>
      </c>
      <c r="T55" s="8">
        <v>-0.1</v>
      </c>
      <c r="U55" s="8">
        <v>-0.14299999999999999</v>
      </c>
      <c r="V55" s="8">
        <v>-2.9000000000000001E-2</v>
      </c>
      <c r="W55" s="8">
        <v>-3.3000000000000002E-2</v>
      </c>
    </row>
    <row r="56" spans="1:23" x14ac:dyDescent="0.3">
      <c r="A56" s="3">
        <v>36</v>
      </c>
      <c r="B56" s="16">
        <f t="shared" si="9"/>
        <v>1.7999999999999999E-2</v>
      </c>
      <c r="C56" s="16"/>
      <c r="D56" s="16">
        <v>7.0000000000000001E-3</v>
      </c>
      <c r="E56" s="16">
        <v>-2.5000000000000001E-2</v>
      </c>
      <c r="F56" s="16">
        <v>8.7999999999999995E-2</v>
      </c>
      <c r="G56" s="16">
        <v>5.7000000000000002E-2</v>
      </c>
      <c r="H56" s="16">
        <v>1E-3</v>
      </c>
      <c r="I56" s="16">
        <v>0.05</v>
      </c>
      <c r="J56" s="16">
        <v>-2E-3</v>
      </c>
      <c r="L56" s="19">
        <f t="shared" si="11"/>
        <v>6.9992908266046039E-2</v>
      </c>
      <c r="M56" s="19">
        <f t="shared" si="10"/>
        <v>-5.1992908266046037E-2</v>
      </c>
      <c r="O56" s="3">
        <v>36</v>
      </c>
      <c r="P56" s="8">
        <v>7.0000000000000001E-3</v>
      </c>
      <c r="Q56" s="8">
        <v>-2.5000000000000001E-2</v>
      </c>
      <c r="R56" s="9">
        <v>8.7999999999999995E-2</v>
      </c>
      <c r="S56" s="9">
        <v>5.7000000000000002E-2</v>
      </c>
      <c r="T56" s="8">
        <v>1E-3</v>
      </c>
      <c r="U56" s="8">
        <v>0.05</v>
      </c>
      <c r="V56" s="8">
        <v>-2E-3</v>
      </c>
      <c r="W56" s="8">
        <v>1.7999999999999999E-2</v>
      </c>
    </row>
    <row r="57" spans="1:23" x14ac:dyDescent="0.3">
      <c r="A57" s="3">
        <v>37</v>
      </c>
      <c r="B57" s="16">
        <f t="shared" si="9"/>
        <v>3.9E-2</v>
      </c>
      <c r="C57" s="16"/>
      <c r="D57" s="16">
        <v>7.0000000000000001E-3</v>
      </c>
      <c r="E57" s="16">
        <v>8.0000000000000002E-3</v>
      </c>
      <c r="F57" s="16">
        <v>4.9000000000000002E-2</v>
      </c>
      <c r="G57" s="16">
        <v>7.4999999999999997E-2</v>
      </c>
      <c r="H57" s="16">
        <v>-0.02</v>
      </c>
      <c r="I57" s="16">
        <v>0.108</v>
      </c>
      <c r="J57" s="16">
        <v>0.114</v>
      </c>
      <c r="L57" s="19">
        <f t="shared" si="11"/>
        <v>6.1720460926907125E-2</v>
      </c>
      <c r="M57" s="19">
        <f t="shared" si="10"/>
        <v>-2.2720460926907125E-2</v>
      </c>
      <c r="O57" s="3">
        <v>37</v>
      </c>
      <c r="P57" s="8">
        <v>7.0000000000000001E-3</v>
      </c>
      <c r="Q57" s="8">
        <v>8.0000000000000002E-3</v>
      </c>
      <c r="R57" s="9">
        <v>4.9000000000000002E-2</v>
      </c>
      <c r="S57" s="9">
        <v>7.4999999999999997E-2</v>
      </c>
      <c r="T57" s="8">
        <v>-0.02</v>
      </c>
      <c r="U57" s="8">
        <v>0.108</v>
      </c>
      <c r="V57" s="8">
        <v>0.114</v>
      </c>
      <c r="W57" s="8">
        <v>3.9E-2</v>
      </c>
    </row>
    <row r="58" spans="1:23" x14ac:dyDescent="0.3">
      <c r="A58" s="3">
        <v>38</v>
      </c>
      <c r="B58" s="16">
        <f t="shared" si="9"/>
        <v>4.0000000000000001E-3</v>
      </c>
      <c r="C58" s="16"/>
      <c r="D58" s="16">
        <v>7.0000000000000001E-3</v>
      </c>
      <c r="E58" s="16">
        <v>2.5000000000000001E-2</v>
      </c>
      <c r="F58" s="16">
        <v>-8.9999999999999993E-3</v>
      </c>
      <c r="G58" s="16">
        <v>4.0000000000000001E-3</v>
      </c>
      <c r="H58" s="16">
        <v>0.107</v>
      </c>
      <c r="I58" s="16">
        <v>3.9E-2</v>
      </c>
      <c r="J58" s="16">
        <v>7.6999999999999999E-2</v>
      </c>
      <c r="L58" s="19">
        <f t="shared" si="11"/>
        <v>2.3194507685633164E-2</v>
      </c>
      <c r="M58" s="19">
        <f t="shared" si="10"/>
        <v>-1.9194507685633164E-2</v>
      </c>
      <c r="O58" s="3">
        <v>38</v>
      </c>
      <c r="P58" s="8">
        <v>7.0000000000000001E-3</v>
      </c>
      <c r="Q58" s="8">
        <v>2.5000000000000001E-2</v>
      </c>
      <c r="R58" s="9">
        <v>-8.9999999999999993E-3</v>
      </c>
      <c r="S58" s="9">
        <v>4.0000000000000001E-3</v>
      </c>
      <c r="T58" s="8">
        <v>0.107</v>
      </c>
      <c r="U58" s="8">
        <v>3.9E-2</v>
      </c>
      <c r="V58" s="8">
        <v>7.6999999999999999E-2</v>
      </c>
      <c r="W58" s="8">
        <v>4.0000000000000001E-3</v>
      </c>
    </row>
    <row r="59" spans="1:23" x14ac:dyDescent="0.3">
      <c r="A59" s="3">
        <v>39</v>
      </c>
      <c r="B59" s="16">
        <f t="shared" si="9"/>
        <v>5.7000000000000002E-2</v>
      </c>
      <c r="C59" s="16"/>
      <c r="D59" s="16">
        <v>7.0000000000000001E-3</v>
      </c>
      <c r="E59" s="16">
        <v>3.1E-2</v>
      </c>
      <c r="F59" s="16">
        <v>-1.0999999999999999E-2</v>
      </c>
      <c r="G59" s="16">
        <v>1.2E-2</v>
      </c>
      <c r="H59" s="16">
        <v>-4.3999999999999997E-2</v>
      </c>
      <c r="I59" s="16">
        <v>-8.7999999999999995E-2</v>
      </c>
      <c r="J59" s="16">
        <v>7.0000000000000001E-3</v>
      </c>
      <c r="L59" s="19">
        <f t="shared" si="11"/>
        <v>-4.6041257329911094E-2</v>
      </c>
      <c r="M59" s="19">
        <f t="shared" si="10"/>
        <v>0.1030412573299111</v>
      </c>
      <c r="O59" s="3">
        <v>39</v>
      </c>
      <c r="P59" s="8">
        <v>7.0000000000000001E-3</v>
      </c>
      <c r="Q59" s="8">
        <v>3.1E-2</v>
      </c>
      <c r="R59" s="9">
        <v>-1.0999999999999999E-2</v>
      </c>
      <c r="S59" s="9">
        <v>1.2E-2</v>
      </c>
      <c r="T59" s="8">
        <v>-4.3999999999999997E-2</v>
      </c>
      <c r="U59" s="8">
        <v>-8.7999999999999995E-2</v>
      </c>
      <c r="V59" s="8">
        <v>7.0000000000000001E-3</v>
      </c>
      <c r="W59" s="8">
        <v>5.7000000000000002E-2</v>
      </c>
    </row>
    <row r="60" spans="1:23" x14ac:dyDescent="0.3">
      <c r="A60" s="3">
        <v>40</v>
      </c>
      <c r="B60" s="16">
        <f t="shared" si="9"/>
        <v>5.6000000000000001E-2</v>
      </c>
      <c r="C60" s="16"/>
      <c r="D60" s="16">
        <v>7.0000000000000001E-3</v>
      </c>
      <c r="E60" s="16">
        <v>8.0000000000000002E-3</v>
      </c>
      <c r="F60" s="16">
        <v>3.7999999999999999E-2</v>
      </c>
      <c r="G60" s="16">
        <v>3.3000000000000002E-2</v>
      </c>
      <c r="H60" s="16">
        <v>8.9999999999999993E-3</v>
      </c>
      <c r="I60" s="16">
        <v>1.7000000000000001E-2</v>
      </c>
      <c r="J60" s="16">
        <v>1.6E-2</v>
      </c>
      <c r="L60" s="19">
        <f t="shared" si="11"/>
        <v>2.7545042061031463E-2</v>
      </c>
      <c r="M60" s="19">
        <f t="shared" si="10"/>
        <v>2.8454957938968538E-2</v>
      </c>
      <c r="O60" s="3">
        <v>40</v>
      </c>
      <c r="P60" s="8">
        <v>7.0000000000000001E-3</v>
      </c>
      <c r="Q60" s="8">
        <v>8.0000000000000002E-3</v>
      </c>
      <c r="R60" s="9">
        <v>3.7999999999999999E-2</v>
      </c>
      <c r="S60" s="9">
        <v>3.3000000000000002E-2</v>
      </c>
      <c r="T60" s="8">
        <v>8.9999999999999993E-3</v>
      </c>
      <c r="U60" s="8">
        <v>1.7000000000000001E-2</v>
      </c>
      <c r="V60" s="8">
        <v>1.6E-2</v>
      </c>
      <c r="W60" s="8">
        <v>5.6000000000000001E-2</v>
      </c>
    </row>
    <row r="61" spans="1:23" x14ac:dyDescent="0.3">
      <c r="A61" s="3">
        <v>41</v>
      </c>
      <c r="B61" s="16">
        <f t="shared" si="9"/>
        <v>0.112</v>
      </c>
      <c r="C61" s="16"/>
      <c r="D61" s="16">
        <v>7.0000000000000001E-3</v>
      </c>
      <c r="E61" s="16">
        <v>-6.0000000000000001E-3</v>
      </c>
      <c r="F61" s="16">
        <v>-6.0000000000000001E-3</v>
      </c>
      <c r="G61" s="16">
        <v>2.3E-2</v>
      </c>
      <c r="H61" s="16">
        <v>7.0000000000000001E-3</v>
      </c>
      <c r="I61" s="16">
        <v>2.8000000000000001E-2</v>
      </c>
      <c r="J61" s="16">
        <v>-1.4999999999999999E-2</v>
      </c>
      <c r="L61" s="19">
        <f t="shared" si="11"/>
        <v>2.3867398944925351E-2</v>
      </c>
      <c r="M61" s="19">
        <f t="shared" si="10"/>
        <v>8.8132601055074644E-2</v>
      </c>
      <c r="O61" s="3">
        <v>41</v>
      </c>
      <c r="P61" s="8">
        <v>7.0000000000000001E-3</v>
      </c>
      <c r="Q61" s="8">
        <v>-6.0000000000000001E-3</v>
      </c>
      <c r="R61" s="9">
        <v>-6.0000000000000001E-3</v>
      </c>
      <c r="S61" s="9">
        <v>2.3E-2</v>
      </c>
      <c r="T61" s="8">
        <v>7.0000000000000001E-3</v>
      </c>
      <c r="U61" s="8">
        <v>2.8000000000000001E-2</v>
      </c>
      <c r="V61" s="8">
        <v>-1.4999999999999999E-2</v>
      </c>
      <c r="W61" s="8">
        <v>0.112</v>
      </c>
    </row>
    <row r="62" spans="1:23" x14ac:dyDescent="0.3">
      <c r="A62" s="3">
        <v>42</v>
      </c>
      <c r="B62" s="16">
        <f t="shared" si="9"/>
        <v>8.5000000000000006E-2</v>
      </c>
      <c r="C62" s="16"/>
      <c r="D62" s="16">
        <v>6.0000000000000001E-3</v>
      </c>
      <c r="E62" s="16">
        <v>3.0000000000000001E-3</v>
      </c>
      <c r="F62" s="16">
        <v>4.4999999999999998E-2</v>
      </c>
      <c r="G62" s="16">
        <v>4.3999999999999997E-2</v>
      </c>
      <c r="H62" s="16">
        <v>8.4000000000000005E-2</v>
      </c>
      <c r="I62" s="16">
        <v>0.125</v>
      </c>
      <c r="J62" s="16">
        <v>3.7999999999999999E-2</v>
      </c>
      <c r="L62" s="19">
        <f t="shared" si="11"/>
        <v>8.6499914913164791E-2</v>
      </c>
      <c r="M62" s="19">
        <f t="shared" si="10"/>
        <v>-1.4999149131647849E-3</v>
      </c>
      <c r="O62" s="3">
        <v>42</v>
      </c>
      <c r="P62" s="8">
        <v>6.0000000000000001E-3</v>
      </c>
      <c r="Q62" s="8">
        <v>3.0000000000000001E-3</v>
      </c>
      <c r="R62" s="9">
        <v>4.4999999999999998E-2</v>
      </c>
      <c r="S62" s="9">
        <v>4.3999999999999997E-2</v>
      </c>
      <c r="T62" s="8">
        <v>8.4000000000000005E-2</v>
      </c>
      <c r="U62" s="8">
        <v>0.125</v>
      </c>
      <c r="V62" s="8">
        <v>3.7999999999999999E-2</v>
      </c>
      <c r="W62" s="8">
        <v>8.5000000000000006E-2</v>
      </c>
    </row>
    <row r="63" spans="1:23" x14ac:dyDescent="0.3">
      <c r="A63" s="3">
        <v>43</v>
      </c>
      <c r="B63" s="16">
        <f t="shared" si="9"/>
        <v>4.8000000000000001E-2</v>
      </c>
      <c r="C63" s="16"/>
      <c r="D63" s="16">
        <v>7.0000000000000001E-3</v>
      </c>
      <c r="E63" s="16">
        <v>-8.9999999999999993E-3</v>
      </c>
      <c r="F63" s="16">
        <v>1E-3</v>
      </c>
      <c r="G63" s="16">
        <v>1.9E-2</v>
      </c>
      <c r="H63" s="16">
        <v>-7.0000000000000001E-3</v>
      </c>
      <c r="I63" s="16">
        <v>-4.0000000000000001E-3</v>
      </c>
      <c r="J63" s="16">
        <v>4.1000000000000002E-2</v>
      </c>
      <c r="L63" s="19">
        <f t="shared" si="11"/>
        <v>4.90193370102602E-3</v>
      </c>
      <c r="M63" s="19">
        <f t="shared" si="10"/>
        <v>4.3098066298973982E-2</v>
      </c>
      <c r="O63" s="3">
        <v>43</v>
      </c>
      <c r="P63" s="8">
        <v>7.0000000000000001E-3</v>
      </c>
      <c r="Q63" s="8">
        <v>-8.9999999999999993E-3</v>
      </c>
      <c r="R63" s="9">
        <v>1E-3</v>
      </c>
      <c r="S63" s="9">
        <v>1.9E-2</v>
      </c>
      <c r="T63" s="8">
        <v>-7.0000000000000001E-3</v>
      </c>
      <c r="U63" s="8">
        <v>-4.0000000000000001E-3</v>
      </c>
      <c r="V63" s="8">
        <v>4.1000000000000002E-2</v>
      </c>
      <c r="W63" s="8">
        <v>4.8000000000000001E-2</v>
      </c>
    </row>
    <row r="64" spans="1:23" x14ac:dyDescent="0.3">
      <c r="A64" s="3">
        <v>44</v>
      </c>
      <c r="B64" s="16">
        <f t="shared" si="9"/>
        <v>-3.3000000000000002E-2</v>
      </c>
      <c r="C64" s="16"/>
      <c r="D64" s="16">
        <v>8.0000000000000002E-3</v>
      </c>
      <c r="E64" s="16">
        <v>1.0999999999999999E-2</v>
      </c>
      <c r="F64" s="16">
        <v>-0.05</v>
      </c>
      <c r="G64" s="16">
        <v>-4.2999999999999997E-2</v>
      </c>
      <c r="H64" s="16">
        <v>-1.2E-2</v>
      </c>
      <c r="I64" s="16">
        <v>-1.7000000000000001E-2</v>
      </c>
      <c r="J64" s="16">
        <v>-6.6000000000000003E-2</v>
      </c>
      <c r="L64" s="19">
        <f t="shared" si="11"/>
        <v>-3.2820104680405603E-2</v>
      </c>
      <c r="M64" s="19">
        <f t="shared" si="10"/>
        <v>-1.7989531959439892E-4</v>
      </c>
      <c r="O64" s="3">
        <v>44</v>
      </c>
      <c r="P64" s="8">
        <v>8.0000000000000002E-3</v>
      </c>
      <c r="Q64" s="8">
        <v>1.0999999999999999E-2</v>
      </c>
      <c r="R64" s="9">
        <v>-0.05</v>
      </c>
      <c r="S64" s="9">
        <v>-4.2999999999999997E-2</v>
      </c>
      <c r="T64" s="8">
        <v>-1.2E-2</v>
      </c>
      <c r="U64" s="8">
        <v>-1.7000000000000001E-2</v>
      </c>
      <c r="V64" s="8">
        <v>-6.6000000000000003E-2</v>
      </c>
      <c r="W64" s="8">
        <v>-3.3000000000000002E-2</v>
      </c>
    </row>
    <row r="65" spans="1:23" x14ac:dyDescent="0.3">
      <c r="A65" s="3">
        <v>45</v>
      </c>
      <c r="B65" s="16">
        <f t="shared" si="9"/>
        <v>-0.02</v>
      </c>
      <c r="C65" s="16"/>
      <c r="D65" s="16">
        <v>8.9999999999999993E-3</v>
      </c>
      <c r="E65" s="16">
        <v>-4.0000000000000001E-3</v>
      </c>
      <c r="F65" s="16">
        <v>4.4999999999999998E-2</v>
      </c>
      <c r="G65" s="16">
        <v>1.7000000000000001E-2</v>
      </c>
      <c r="H65" s="16">
        <v>6.0999999999999999E-2</v>
      </c>
      <c r="I65" s="16">
        <v>0.04</v>
      </c>
      <c r="J65" s="16">
        <v>3.7999999999999999E-2</v>
      </c>
      <c r="L65" s="19">
        <f t="shared" si="11"/>
        <v>4.3835549058929744E-2</v>
      </c>
      <c r="M65" s="19">
        <f t="shared" si="10"/>
        <v>-6.3835549058929741E-2</v>
      </c>
      <c r="O65" s="3">
        <v>45</v>
      </c>
      <c r="P65" s="8">
        <v>8.9999999999999993E-3</v>
      </c>
      <c r="Q65" s="8">
        <v>-4.0000000000000001E-3</v>
      </c>
      <c r="R65" s="9">
        <v>4.4999999999999998E-2</v>
      </c>
      <c r="S65" s="9">
        <v>1.7000000000000001E-2</v>
      </c>
      <c r="T65" s="8">
        <v>6.0999999999999999E-2</v>
      </c>
      <c r="U65" s="8">
        <v>0.04</v>
      </c>
      <c r="V65" s="8">
        <v>3.7999999999999999E-2</v>
      </c>
      <c r="W65" s="8">
        <v>-0.02</v>
      </c>
    </row>
    <row r="66" spans="1:23" x14ac:dyDescent="0.3">
      <c r="A66" s="3">
        <v>46</v>
      </c>
      <c r="B66" s="16">
        <f t="shared" si="9"/>
        <v>2.5000000000000001E-2</v>
      </c>
      <c r="C66" s="16"/>
      <c r="D66" s="16">
        <v>0.01</v>
      </c>
      <c r="E66" s="16">
        <v>4.1000000000000002E-2</v>
      </c>
      <c r="F66" s="16">
        <v>1.7999999999999999E-2</v>
      </c>
      <c r="G66" s="16">
        <v>0.03</v>
      </c>
      <c r="H66" s="16">
        <v>4.8000000000000001E-2</v>
      </c>
      <c r="I66" s="16">
        <v>-1.7999999999999999E-2</v>
      </c>
      <c r="J66" s="16">
        <v>0.03</v>
      </c>
      <c r="L66" s="19">
        <f t="shared" si="11"/>
        <v>8.0552626001312178E-3</v>
      </c>
      <c r="M66" s="19">
        <f t="shared" si="10"/>
        <v>1.6944737399868785E-2</v>
      </c>
      <c r="O66" s="3">
        <v>46</v>
      </c>
      <c r="P66" s="8">
        <v>0.01</v>
      </c>
      <c r="Q66" s="8">
        <v>4.1000000000000002E-2</v>
      </c>
      <c r="R66" s="9">
        <v>1.7999999999999999E-2</v>
      </c>
      <c r="S66" s="9">
        <v>0.03</v>
      </c>
      <c r="T66" s="8">
        <v>4.8000000000000001E-2</v>
      </c>
      <c r="U66" s="8">
        <v>-1.7999999999999999E-2</v>
      </c>
      <c r="V66" s="8">
        <v>0.03</v>
      </c>
      <c r="W66" s="8">
        <v>2.5000000000000001E-2</v>
      </c>
    </row>
    <row r="67" spans="1:23" x14ac:dyDescent="0.3">
      <c r="A67" s="3">
        <v>47</v>
      </c>
      <c r="B67" s="16">
        <f t="shared" si="9"/>
        <v>-4.7E-2</v>
      </c>
      <c r="C67" s="16"/>
      <c r="D67" s="16">
        <v>0.01</v>
      </c>
      <c r="E67" s="16">
        <v>1E-3</v>
      </c>
      <c r="F67" s="16">
        <v>-2.9000000000000001E-2</v>
      </c>
      <c r="G67" s="16">
        <v>-2.4E-2</v>
      </c>
      <c r="H67" s="16">
        <v>-3.9E-2</v>
      </c>
      <c r="I67" s="16">
        <v>-6.3E-2</v>
      </c>
      <c r="J67" s="16">
        <v>4.8000000000000001E-2</v>
      </c>
      <c r="L67" s="19">
        <f t="shared" si="11"/>
        <v>-5.0262094385606734E-2</v>
      </c>
      <c r="M67" s="19">
        <f t="shared" si="10"/>
        <v>3.2620943856067341E-3</v>
      </c>
      <c r="O67" s="3">
        <v>47</v>
      </c>
      <c r="P67" s="8">
        <v>0.01</v>
      </c>
      <c r="Q67" s="8">
        <v>1E-3</v>
      </c>
      <c r="R67" s="9">
        <v>-2.9000000000000001E-2</v>
      </c>
      <c r="S67" s="9">
        <v>-2.4E-2</v>
      </c>
      <c r="T67" s="8">
        <v>-3.9E-2</v>
      </c>
      <c r="U67" s="8">
        <v>-6.3E-2</v>
      </c>
      <c r="V67" s="8">
        <v>4.8000000000000001E-2</v>
      </c>
      <c r="W67" s="8">
        <v>-4.7E-2</v>
      </c>
    </row>
    <row r="68" spans="1:23" x14ac:dyDescent="0.3">
      <c r="A68" s="3">
        <v>48</v>
      </c>
      <c r="B68" s="16">
        <f t="shared" si="9"/>
        <v>2.5000000000000001E-2</v>
      </c>
      <c r="C68" s="16"/>
      <c r="D68" s="16">
        <v>0.01</v>
      </c>
      <c r="E68" s="16">
        <v>-7.0000000000000001E-3</v>
      </c>
      <c r="F68" s="16">
        <v>4.0000000000000001E-3</v>
      </c>
      <c r="G68" s="16">
        <v>-0.03</v>
      </c>
      <c r="H68" s="16">
        <v>4.2000000000000003E-2</v>
      </c>
      <c r="I68" s="16">
        <v>4.2000000000000003E-2</v>
      </c>
      <c r="J68" s="16">
        <v>2.8000000000000001E-2</v>
      </c>
      <c r="L68" s="19">
        <f t="shared" si="11"/>
        <v>1.3372331424461859E-2</v>
      </c>
      <c r="M68" s="19">
        <f t="shared" si="10"/>
        <v>1.1627668575538142E-2</v>
      </c>
      <c r="O68" s="3">
        <v>48</v>
      </c>
      <c r="P68" s="8">
        <v>0.01</v>
      </c>
      <c r="Q68" s="8">
        <v>-7.0000000000000001E-3</v>
      </c>
      <c r="R68" s="9">
        <v>4.0000000000000001E-3</v>
      </c>
      <c r="S68" s="9">
        <v>-0.03</v>
      </c>
      <c r="T68" s="8">
        <v>4.2000000000000003E-2</v>
      </c>
      <c r="U68" s="8">
        <v>4.2000000000000003E-2</v>
      </c>
      <c r="V68" s="8">
        <v>2.8000000000000001E-2</v>
      </c>
      <c r="W68" s="8">
        <v>2.5000000000000001E-2</v>
      </c>
    </row>
    <row r="69" spans="1:23" x14ac:dyDescent="0.3">
      <c r="A69" s="3">
        <v>49</v>
      </c>
      <c r="B69" s="16">
        <f t="shared" si="9"/>
        <v>0.14299999999999999</v>
      </c>
      <c r="C69" s="16"/>
      <c r="D69" s="16">
        <v>1.0999999999999999E-2</v>
      </c>
      <c r="E69" s="16">
        <v>1.7999999999999999E-2</v>
      </c>
      <c r="F69" s="16">
        <v>0.14799999999999999</v>
      </c>
      <c r="G69" s="16">
        <v>9.8000000000000004E-2</v>
      </c>
      <c r="H69" s="16">
        <v>1.9E-2</v>
      </c>
      <c r="I69" s="16">
        <v>0.107</v>
      </c>
      <c r="J69" s="16">
        <v>3.1E-2</v>
      </c>
      <c r="L69" s="19">
        <f t="shared" si="11"/>
        <v>0.10890860262427716</v>
      </c>
      <c r="M69" s="19">
        <f t="shared" ref="M69:M80" si="12">B69-L69</f>
        <v>3.4091397375722823E-2</v>
      </c>
      <c r="O69" s="3">
        <v>49</v>
      </c>
      <c r="P69" s="8">
        <v>1.0999999999999999E-2</v>
      </c>
      <c r="Q69" s="8">
        <v>1.7999999999999999E-2</v>
      </c>
      <c r="R69" s="9">
        <v>0.14799999999999999</v>
      </c>
      <c r="S69" s="9">
        <v>9.8000000000000004E-2</v>
      </c>
      <c r="T69" s="8">
        <v>1.9E-2</v>
      </c>
      <c r="U69" s="8">
        <v>0.107</v>
      </c>
      <c r="V69" s="8">
        <v>3.1E-2</v>
      </c>
      <c r="W69" s="8">
        <v>0.14299999999999999</v>
      </c>
    </row>
    <row r="70" spans="1:23" x14ac:dyDescent="0.3">
      <c r="A70" s="3">
        <v>50</v>
      </c>
      <c r="B70" s="16">
        <f t="shared" si="9"/>
        <v>-7.8E-2</v>
      </c>
      <c r="C70" s="16"/>
      <c r="D70" s="16">
        <v>1.0999999999999999E-2</v>
      </c>
      <c r="E70" s="16">
        <v>2.5999999999999999E-2</v>
      </c>
      <c r="F70" s="16">
        <v>-2.1000000000000001E-2</v>
      </c>
      <c r="G70" s="16">
        <v>3.3000000000000002E-2</v>
      </c>
      <c r="H70" s="16">
        <v>0</v>
      </c>
      <c r="I70" s="16">
        <v>-0.02</v>
      </c>
      <c r="J70" s="16">
        <v>2.8000000000000001E-2</v>
      </c>
      <c r="L70" s="19">
        <f t="shared" si="11"/>
        <v>-6.4677549884938268E-3</v>
      </c>
      <c r="M70" s="19">
        <f t="shared" si="12"/>
        <v>-7.1532245011506179E-2</v>
      </c>
      <c r="O70" s="3">
        <v>50</v>
      </c>
      <c r="P70" s="8">
        <v>1.0999999999999999E-2</v>
      </c>
      <c r="Q70" s="8">
        <v>2.5999999999999999E-2</v>
      </c>
      <c r="R70" s="9">
        <v>-2.1000000000000001E-2</v>
      </c>
      <c r="S70" s="9">
        <v>3.3000000000000002E-2</v>
      </c>
      <c r="T70" s="8">
        <v>0</v>
      </c>
      <c r="U70" s="8">
        <v>-0.02</v>
      </c>
      <c r="V70" s="8">
        <v>2.8000000000000001E-2</v>
      </c>
      <c r="W70" s="8">
        <v>-7.8E-2</v>
      </c>
    </row>
    <row r="71" spans="1:23" x14ac:dyDescent="0.3">
      <c r="A71" s="3">
        <v>51</v>
      </c>
      <c r="B71" s="16">
        <f t="shared" si="9"/>
        <v>4.4999999999999998E-2</v>
      </c>
      <c r="C71" s="16"/>
      <c r="D71" s="16">
        <v>0.01</v>
      </c>
      <c r="E71" s="16">
        <v>-2E-3</v>
      </c>
      <c r="F71" s="16">
        <v>0.04</v>
      </c>
      <c r="G71" s="16">
        <v>3.4000000000000002E-2</v>
      </c>
      <c r="H71" s="16">
        <v>3.9E-2</v>
      </c>
      <c r="I71" s="16">
        <v>5.8000000000000003E-2</v>
      </c>
      <c r="J71" s="16">
        <v>-2E-3</v>
      </c>
      <c r="L71" s="19">
        <f t="shared" ref="L71:L80" si="13">SUMPRODUCT($D$14:$J$14,D71:J71)</f>
        <v>5.4536439910352653E-2</v>
      </c>
      <c r="M71" s="19">
        <f t="shared" si="12"/>
        <v>-9.5364399103526551E-3</v>
      </c>
      <c r="O71" s="3">
        <v>51</v>
      </c>
      <c r="P71" s="8">
        <v>0.01</v>
      </c>
      <c r="Q71" s="8">
        <v>-2E-3</v>
      </c>
      <c r="R71" s="9">
        <v>0.04</v>
      </c>
      <c r="S71" s="9">
        <v>3.4000000000000002E-2</v>
      </c>
      <c r="T71" s="8">
        <v>3.9E-2</v>
      </c>
      <c r="U71" s="8">
        <v>5.8000000000000003E-2</v>
      </c>
      <c r="V71" s="8">
        <v>-2E-3</v>
      </c>
      <c r="W71" s="8">
        <v>4.4999999999999998E-2</v>
      </c>
    </row>
    <row r="72" spans="1:23" x14ac:dyDescent="0.3">
      <c r="A72" s="3">
        <v>52</v>
      </c>
      <c r="B72" s="16">
        <f t="shared" si="9"/>
        <v>2.4E-2</v>
      </c>
      <c r="C72" s="16"/>
      <c r="D72" s="16">
        <v>1.0999999999999999E-2</v>
      </c>
      <c r="E72" s="16">
        <v>-1.6E-2</v>
      </c>
      <c r="F72" s="16">
        <v>2.4E-2</v>
      </c>
      <c r="G72" s="16">
        <v>7.0000000000000001E-3</v>
      </c>
      <c r="H72" s="16">
        <v>3.7999999999999999E-2</v>
      </c>
      <c r="I72" s="16">
        <v>5.0999999999999997E-2</v>
      </c>
      <c r="J72" s="16">
        <v>3.0000000000000001E-3</v>
      </c>
      <c r="L72" s="19">
        <f t="shared" si="13"/>
        <v>4.0868431582737924E-2</v>
      </c>
      <c r="M72" s="19">
        <f t="shared" si="12"/>
        <v>-1.6868431582737924E-2</v>
      </c>
      <c r="O72" s="3">
        <v>52</v>
      </c>
      <c r="P72" s="8">
        <v>1.0999999999999999E-2</v>
      </c>
      <c r="Q72" s="8">
        <v>-1.6E-2</v>
      </c>
      <c r="R72" s="9">
        <v>2.4E-2</v>
      </c>
      <c r="S72" s="9">
        <v>7.0000000000000001E-3</v>
      </c>
      <c r="T72" s="8">
        <v>3.7999999999999999E-2</v>
      </c>
      <c r="U72" s="8">
        <v>5.0999999999999997E-2</v>
      </c>
      <c r="V72" s="8">
        <v>3.0000000000000001E-3</v>
      </c>
      <c r="W72" s="8">
        <v>2.4E-2</v>
      </c>
    </row>
    <row r="73" spans="1:23" x14ac:dyDescent="0.3">
      <c r="A73" s="3">
        <v>53</v>
      </c>
      <c r="B73" s="16">
        <f t="shared" si="9"/>
        <v>1.6E-2</v>
      </c>
      <c r="C73" s="16"/>
      <c r="D73" s="16">
        <v>1.0999999999999999E-2</v>
      </c>
      <c r="E73" s="16">
        <v>8.0000000000000002E-3</v>
      </c>
      <c r="F73" s="16">
        <v>2E-3</v>
      </c>
      <c r="G73" s="16">
        <v>1.0999999999999999E-2</v>
      </c>
      <c r="H73" s="16">
        <v>3.6999999999999998E-2</v>
      </c>
      <c r="I73" s="16">
        <v>0.11700000000000001</v>
      </c>
      <c r="J73" s="16">
        <v>2.1999999999999999E-2</v>
      </c>
      <c r="L73" s="19">
        <f t="shared" si="13"/>
        <v>5.0603733824985675E-2</v>
      </c>
      <c r="M73" s="19">
        <f t="shared" si="12"/>
        <v>-3.4603733824985675E-2</v>
      </c>
      <c r="O73" s="3">
        <v>53</v>
      </c>
      <c r="P73" s="8">
        <v>1.0999999999999999E-2</v>
      </c>
      <c r="Q73" s="8">
        <v>8.0000000000000002E-3</v>
      </c>
      <c r="R73" s="9">
        <v>2E-3</v>
      </c>
      <c r="S73" s="9">
        <v>1.0999999999999999E-2</v>
      </c>
      <c r="T73" s="8">
        <v>3.6999999999999998E-2</v>
      </c>
      <c r="U73" s="8">
        <v>0.11700000000000001</v>
      </c>
      <c r="V73" s="8">
        <v>2.1999999999999999E-2</v>
      </c>
      <c r="W73" s="8">
        <v>1.6E-2</v>
      </c>
    </row>
    <row r="74" spans="1:23" x14ac:dyDescent="0.3">
      <c r="A74" s="3">
        <v>54</v>
      </c>
      <c r="B74" s="16">
        <f t="shared" si="9"/>
        <v>-4.2000000000000003E-2</v>
      </c>
      <c r="C74" s="16"/>
      <c r="D74" s="16">
        <v>1.0999999999999999E-2</v>
      </c>
      <c r="E74" s="16">
        <v>-2.3E-2</v>
      </c>
      <c r="F74" s="16">
        <v>2.1000000000000001E-2</v>
      </c>
      <c r="G74" s="16">
        <v>-3.0000000000000001E-3</v>
      </c>
      <c r="H74" s="16">
        <v>0.06</v>
      </c>
      <c r="I74" s="16">
        <v>8.9999999999999993E-3</v>
      </c>
      <c r="J74" s="16">
        <v>-3.5999999999999997E-2</v>
      </c>
      <c r="L74" s="19">
        <f t="shared" si="13"/>
        <v>3.2851125098432125E-2</v>
      </c>
      <c r="M74" s="19">
        <f t="shared" si="12"/>
        <v>-7.4851125098432128E-2</v>
      </c>
      <c r="O74" s="3">
        <v>54</v>
      </c>
      <c r="P74" s="8">
        <v>1.0999999999999999E-2</v>
      </c>
      <c r="Q74" s="8">
        <v>-2.3E-2</v>
      </c>
      <c r="R74" s="9">
        <v>2.1000000000000001E-2</v>
      </c>
      <c r="S74" s="9">
        <v>-3.0000000000000001E-3</v>
      </c>
      <c r="T74" s="8">
        <v>0.06</v>
      </c>
      <c r="U74" s="8">
        <v>8.9999999999999993E-3</v>
      </c>
      <c r="V74" s="8">
        <v>-3.5999999999999997E-2</v>
      </c>
      <c r="W74" s="8">
        <v>-4.2000000000000003E-2</v>
      </c>
    </row>
    <row r="75" spans="1:23" x14ac:dyDescent="0.3">
      <c r="A75" s="3">
        <v>55</v>
      </c>
      <c r="B75" s="16">
        <f t="shared" si="9"/>
        <v>2.5999999999999999E-2</v>
      </c>
      <c r="C75" s="16"/>
      <c r="D75" s="16">
        <v>1.2E-2</v>
      </c>
      <c r="E75" s="16">
        <v>3.9E-2</v>
      </c>
      <c r="F75" s="16">
        <v>7.0999999999999994E-2</v>
      </c>
      <c r="G75" s="16">
        <v>0.03</v>
      </c>
      <c r="H75" s="16">
        <v>2.5000000000000001E-2</v>
      </c>
      <c r="I75" s="16">
        <v>1.4999999999999999E-2</v>
      </c>
      <c r="J75" s="16">
        <v>5.3999999999999999E-2</v>
      </c>
      <c r="L75" s="19">
        <f t="shared" si="13"/>
        <v>2.4735558115132217E-2</v>
      </c>
      <c r="M75" s="19">
        <f t="shared" si="12"/>
        <v>1.2644418848677813E-3</v>
      </c>
      <c r="O75" s="3">
        <v>55</v>
      </c>
      <c r="P75" s="8">
        <v>1.2E-2</v>
      </c>
      <c r="Q75" s="8">
        <v>3.9E-2</v>
      </c>
      <c r="R75" s="9">
        <v>7.0999999999999994E-2</v>
      </c>
      <c r="S75" s="9">
        <v>0.03</v>
      </c>
      <c r="T75" s="8">
        <v>2.5000000000000001E-2</v>
      </c>
      <c r="U75" s="8">
        <v>1.4999999999999999E-2</v>
      </c>
      <c r="V75" s="8">
        <v>5.3999999999999999E-2</v>
      </c>
      <c r="W75" s="8">
        <v>2.5999999999999999E-2</v>
      </c>
    </row>
    <row r="76" spans="1:23" x14ac:dyDescent="0.3">
      <c r="A76" s="3">
        <v>56</v>
      </c>
      <c r="B76" s="16">
        <f t="shared" si="9"/>
        <v>0.122</v>
      </c>
      <c r="C76" s="16"/>
      <c r="D76" s="16">
        <v>1.0999999999999999E-2</v>
      </c>
      <c r="E76" s="16">
        <v>2.1999999999999999E-2</v>
      </c>
      <c r="F76" s="16">
        <v>4.2999999999999997E-2</v>
      </c>
      <c r="G76" s="16">
        <v>1E-3</v>
      </c>
      <c r="H76" s="16">
        <v>5.7000000000000002E-2</v>
      </c>
      <c r="I76" s="16">
        <v>8.1000000000000003E-2</v>
      </c>
      <c r="J76" s="16">
        <v>-1.4999999999999999E-2</v>
      </c>
      <c r="L76" s="19">
        <f t="shared" si="13"/>
        <v>4.7894758408921267E-2</v>
      </c>
      <c r="M76" s="19">
        <f t="shared" si="12"/>
        <v>7.410524159107873E-2</v>
      </c>
      <c r="O76" s="3">
        <v>56</v>
      </c>
      <c r="P76" s="8">
        <v>1.0999999999999999E-2</v>
      </c>
      <c r="Q76" s="8">
        <v>2.1999999999999999E-2</v>
      </c>
      <c r="R76" s="9">
        <v>4.2999999999999997E-2</v>
      </c>
      <c r="S76" s="9">
        <v>1E-3</v>
      </c>
      <c r="T76" s="8">
        <v>5.7000000000000002E-2</v>
      </c>
      <c r="U76" s="8">
        <v>8.1000000000000003E-2</v>
      </c>
      <c r="V76" s="8">
        <v>-1.4999999999999999E-2</v>
      </c>
      <c r="W76" s="8">
        <v>0.122</v>
      </c>
    </row>
    <row r="77" spans="1:23" x14ac:dyDescent="0.3">
      <c r="A77" s="3">
        <v>57</v>
      </c>
      <c r="B77" s="16">
        <f t="shared" si="9"/>
        <v>-2E-3</v>
      </c>
      <c r="C77" s="16"/>
      <c r="D77" s="16">
        <v>1.0999999999999999E-2</v>
      </c>
      <c r="E77" s="16">
        <v>-1.4E-2</v>
      </c>
      <c r="F77" s="16">
        <v>-3.4000000000000002E-2</v>
      </c>
      <c r="G77" s="16">
        <v>-1.4E-2</v>
      </c>
      <c r="H77" s="16">
        <v>8.9999999999999993E-3</v>
      </c>
      <c r="I77" s="16">
        <v>-3.5000000000000003E-2</v>
      </c>
      <c r="J77" s="16">
        <v>0.04</v>
      </c>
      <c r="L77" s="19">
        <f t="shared" si="13"/>
        <v>-2.1394757099235967E-2</v>
      </c>
      <c r="M77" s="19">
        <f t="shared" si="12"/>
        <v>1.9394757099235965E-2</v>
      </c>
      <c r="O77" s="3">
        <v>57</v>
      </c>
      <c r="P77" s="8">
        <v>1.0999999999999999E-2</v>
      </c>
      <c r="Q77" s="8">
        <v>-1.4E-2</v>
      </c>
      <c r="R77" s="9">
        <v>-3.4000000000000002E-2</v>
      </c>
      <c r="S77" s="9">
        <v>-1.4E-2</v>
      </c>
      <c r="T77" s="8">
        <v>8.9999999999999993E-3</v>
      </c>
      <c r="U77" s="8">
        <v>-3.5000000000000003E-2</v>
      </c>
      <c r="V77" s="8">
        <v>0.04</v>
      </c>
      <c r="W77" s="8">
        <v>-2E-3</v>
      </c>
    </row>
    <row r="78" spans="1:23" x14ac:dyDescent="0.3">
      <c r="A78" s="3">
        <v>58</v>
      </c>
      <c r="B78" s="16">
        <f t="shared" si="9"/>
        <v>-6.0000000000000001E-3</v>
      </c>
      <c r="C78" s="16"/>
      <c r="D78" s="16">
        <v>8.9999999999999993E-3</v>
      </c>
      <c r="E78" s="16">
        <v>-8.9999999999999993E-3</v>
      </c>
      <c r="F78" s="16">
        <v>-6.4000000000000001E-2</v>
      </c>
      <c r="G78" s="16">
        <v>-0.109</v>
      </c>
      <c r="H78" s="16">
        <v>-2.5999999999999999E-2</v>
      </c>
      <c r="I78" s="16">
        <v>0</v>
      </c>
      <c r="J78" s="16">
        <v>-5.0000000000000001E-3</v>
      </c>
      <c r="L78" s="19">
        <f t="shared" si="13"/>
        <v>-6.097215121317015E-2</v>
      </c>
      <c r="M78" s="19">
        <f t="shared" si="12"/>
        <v>5.4972151213170152E-2</v>
      </c>
      <c r="O78" s="3">
        <v>58</v>
      </c>
      <c r="P78" s="8">
        <v>8.9999999999999993E-3</v>
      </c>
      <c r="Q78" s="8">
        <v>-8.9999999999999993E-3</v>
      </c>
      <c r="R78" s="9">
        <v>-6.4000000000000001E-2</v>
      </c>
      <c r="S78" s="9">
        <v>-0.109</v>
      </c>
      <c r="T78" s="8">
        <v>-2.5999999999999999E-2</v>
      </c>
      <c r="U78" s="8">
        <v>0</v>
      </c>
      <c r="V78" s="8">
        <v>-5.0000000000000001E-3</v>
      </c>
      <c r="W78" s="8">
        <v>-6.0000000000000001E-3</v>
      </c>
    </row>
    <row r="79" spans="1:23" x14ac:dyDescent="0.3">
      <c r="A79" s="3">
        <v>59</v>
      </c>
      <c r="B79" s="16">
        <f t="shared" si="9"/>
        <v>3.0000000000000001E-3</v>
      </c>
      <c r="C79" s="16"/>
      <c r="D79" s="16">
        <v>1.2E-2</v>
      </c>
      <c r="E79" s="16">
        <v>-7.0000000000000001E-3</v>
      </c>
      <c r="F79" s="16">
        <v>6.6000000000000003E-2</v>
      </c>
      <c r="G79" s="16">
        <v>5.0000000000000001E-3</v>
      </c>
      <c r="H79" s="16">
        <v>7.2999999999999995E-2</v>
      </c>
      <c r="I79" s="16">
        <v>2.5000000000000001E-2</v>
      </c>
      <c r="J79" s="16">
        <v>5.7000000000000002E-2</v>
      </c>
      <c r="L79" s="19">
        <f t="shared" si="13"/>
        <v>4.0831985448070325E-2</v>
      </c>
      <c r="M79" s="19">
        <f t="shared" si="12"/>
        <v>-3.7831985448070322E-2</v>
      </c>
      <c r="O79" s="3">
        <v>59</v>
      </c>
      <c r="P79" s="8">
        <v>1.2E-2</v>
      </c>
      <c r="Q79" s="8">
        <v>-7.0000000000000001E-3</v>
      </c>
      <c r="R79" s="9">
        <v>6.6000000000000003E-2</v>
      </c>
      <c r="S79" s="9">
        <v>5.0000000000000001E-3</v>
      </c>
      <c r="T79" s="8">
        <v>7.2999999999999995E-2</v>
      </c>
      <c r="U79" s="8">
        <v>2.5000000000000001E-2</v>
      </c>
      <c r="V79" s="8">
        <v>5.7000000000000002E-2</v>
      </c>
      <c r="W79" s="8">
        <v>3.0000000000000001E-3</v>
      </c>
    </row>
    <row r="80" spans="1:23" x14ac:dyDescent="0.3">
      <c r="A80" s="3">
        <v>60</v>
      </c>
      <c r="B80" s="16">
        <f t="shared" si="9"/>
        <v>1.0999999999999999E-2</v>
      </c>
      <c r="C80" s="16"/>
      <c r="D80" s="16">
        <v>1.2E-2</v>
      </c>
      <c r="E80" s="16">
        <v>1.0999999999999999E-2</v>
      </c>
      <c r="F80" s="16">
        <v>6.8000000000000005E-2</v>
      </c>
      <c r="G80" s="16">
        <v>2.4E-2</v>
      </c>
      <c r="H80" s="16">
        <v>7.5999999999999998E-2</v>
      </c>
      <c r="I80" s="16">
        <v>-5.0000000000000001E-3</v>
      </c>
      <c r="J80" s="16">
        <v>-2.1000000000000001E-2</v>
      </c>
      <c r="L80" s="19">
        <f t="shared" si="13"/>
        <v>4.2351236092921449E-2</v>
      </c>
      <c r="M80" s="19">
        <f t="shared" si="12"/>
        <v>-3.1351236092921453E-2</v>
      </c>
      <c r="O80" s="3">
        <v>60</v>
      </c>
      <c r="P80" s="8">
        <v>1.2E-2</v>
      </c>
      <c r="Q80" s="8">
        <v>1.0999999999999999E-2</v>
      </c>
      <c r="R80" s="9">
        <v>6.8000000000000005E-2</v>
      </c>
      <c r="S80" s="9">
        <v>2.4E-2</v>
      </c>
      <c r="T80" s="8">
        <v>7.5999999999999998E-2</v>
      </c>
      <c r="U80" s="8">
        <v>-5.0000000000000001E-3</v>
      </c>
      <c r="V80" s="8">
        <v>-2.1000000000000001E-2</v>
      </c>
      <c r="W80" s="8">
        <v>1.0999999999999999E-2</v>
      </c>
    </row>
  </sheetData>
  <printOptions headings="1" gridLines="1"/>
  <pageMargins left="0.75" right="0.75" top="1" bottom="1" header="0.5" footer="0.5"/>
  <pageSetup paperSize="9" scale="49" orientation="landscape" horizontalDpi="300" verticalDpi="300" r:id="rId1"/>
  <headerFooter alignWithMargins="0">
    <oddHeader>&amp;L&amp;F&amp;C&amp;A</oddHeader>
    <oddFooter>Prepared by Mike Staunton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7" baseType="lpstr">
      <vt:lpstr>4Measures</vt:lpstr>
      <vt:lpstr>AP</vt:lpstr>
      <vt:lpstr>Style1</vt:lpstr>
      <vt:lpstr>Style2</vt:lpstr>
      <vt:lpstr>Style3</vt:lpstr>
      <vt:lpstr>Chart1</vt:lpstr>
      <vt:lpstr>asd3</vt:lpstr>
      <vt:lpstr>change1</vt:lpstr>
      <vt:lpstr>change2</vt:lpstr>
      <vt:lpstr>change3</vt:lpstr>
      <vt:lpstr>chart1s</vt:lpstr>
      <vt:lpstr>chart2e</vt:lpstr>
      <vt:lpstr>con1max</vt:lpstr>
      <vt:lpstr>con1min</vt:lpstr>
      <vt:lpstr>con2max</vt:lpstr>
      <vt:lpstr>con2min</vt:lpstr>
      <vt:lpstr>constraint1</vt:lpstr>
      <vt:lpstr>constraint2</vt:lpstr>
      <vt:lpstr>exp0</vt:lpstr>
      <vt:lpstr>exp17</vt:lpstr>
      <vt:lpstr>jstar3</vt:lpstr>
      <vt:lpstr>s3out</vt:lpstr>
      <vt:lpstr>s3vol</vt:lpstr>
      <vt:lpstr>smonth2</vt:lpstr>
      <vt:lpstr>target1</vt:lpstr>
      <vt:lpstr>target2</vt:lpstr>
      <vt:lpstr>target3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8</dc:title>
  <dc:creator>Mary Jackson and Mike Staunton</dc:creator>
  <cp:lastModifiedBy>Carina Negreanu</cp:lastModifiedBy>
  <cp:lastPrinted>1999-10-12T08:45:51Z</cp:lastPrinted>
  <dcterms:created xsi:type="dcterms:W3CDTF">1997-06-13T13:38:33Z</dcterms:created>
  <dcterms:modified xsi:type="dcterms:W3CDTF">2020-01-27T11:31:35Z</dcterms:modified>
</cp:coreProperties>
</file>