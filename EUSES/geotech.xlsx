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CCC2D8-A699-443A-B52B-D30878DF8257}" xr6:coauthVersionLast="45" xr6:coauthVersionMax="45" xr10:uidLastSave="{00000000-0000-0000-0000-000000000000}"/>
  <bookViews>
    <workbookView xWindow="380" yWindow="380" windowWidth="28800" windowHeight="15460"/>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 i="2" l="1"/>
  <c r="D2" i="2"/>
  <c r="CP3" i="2" s="1"/>
  <c r="N3" i="3" s="1"/>
  <c r="E2" i="2"/>
  <c r="CQ3" i="2" s="1"/>
  <c r="O3" i="3" s="1"/>
  <c r="F2" i="2"/>
  <c r="G2" i="2"/>
  <c r="H2" i="2"/>
  <c r="I2" i="2"/>
  <c r="AZ10" i="2" s="1"/>
  <c r="J2" i="2"/>
  <c r="K2" i="2"/>
  <c r="L2" i="2"/>
  <c r="BC5" i="2" s="1"/>
  <c r="M2" i="2"/>
  <c r="DG4" i="2" s="1"/>
  <c r="N2" i="2"/>
  <c r="DH4" i="2" s="1"/>
  <c r="O2" i="2"/>
  <c r="DI4" i="2" s="1"/>
  <c r="P2" i="2"/>
  <c r="BG14" i="2" s="1"/>
  <c r="Q2" i="2"/>
  <c r="BH5" i="2" s="1"/>
  <c r="R2" i="2"/>
  <c r="DL3" i="2" s="1"/>
  <c r="S2" i="2"/>
  <c r="DM3" i="2" s="1"/>
  <c r="T2" i="2"/>
  <c r="BK6" i="2" s="1"/>
  <c r="U2" i="2"/>
  <c r="BL6" i="2" s="1"/>
  <c r="V2" i="2"/>
  <c r="BM33" i="2" s="1"/>
  <c r="W2" i="2"/>
  <c r="BN10" i="2" s="1"/>
  <c r="X2" i="2"/>
  <c r="BO10" i="2" s="1"/>
  <c r="Y2" i="2"/>
  <c r="Z2" i="2"/>
  <c r="AA2" i="2"/>
  <c r="AB2" i="2"/>
  <c r="AC2" i="2"/>
  <c r="BT10" i="2" s="1"/>
  <c r="AD2" i="2"/>
  <c r="AE2" i="2"/>
  <c r="AF2" i="2"/>
  <c r="BW5" i="2" s="1"/>
  <c r="AG2" i="2"/>
  <c r="EA4" i="2" s="1"/>
  <c r="AH2" i="2"/>
  <c r="EB4" i="2" s="1"/>
  <c r="AI2" i="2"/>
  <c r="EC4" i="2" s="1"/>
  <c r="AJ2" i="2"/>
  <c r="CT7" i="2" s="1"/>
  <c r="R7" i="3" s="1"/>
  <c r="AK2" i="2"/>
  <c r="CU7" i="2" s="1"/>
  <c r="S7" i="3" s="1"/>
  <c r="AL2" i="2"/>
  <c r="EF3" i="2" s="1"/>
  <c r="AM2" i="2"/>
  <c r="EG3" i="2" s="1"/>
  <c r="AN2" i="2"/>
  <c r="CE6" i="2" s="1"/>
  <c r="AO2" i="2"/>
  <c r="CF6" i="2" s="1"/>
  <c r="AP2" i="2"/>
  <c r="CG33" i="2" s="1"/>
  <c r="AQ2" i="2"/>
  <c r="CH10" i="2" s="1"/>
  <c r="AR2" i="2"/>
  <c r="CI10" i="2" s="1"/>
  <c r="CR3" i="2"/>
  <c r="CS3" i="2"/>
  <c r="CT3" i="2"/>
  <c r="CY3" i="2"/>
  <c r="CZ3" i="2"/>
  <c r="DA3" i="2"/>
  <c r="DB3" i="2"/>
  <c r="DC3" i="2"/>
  <c r="DD3" i="2"/>
  <c r="DE3" i="2"/>
  <c r="DF3" i="2"/>
  <c r="DG3" i="2"/>
  <c r="DH3" i="2"/>
  <c r="DI3" i="2"/>
  <c r="DJ3" i="2"/>
  <c r="DK3" i="2"/>
  <c r="DS3" i="2"/>
  <c r="DT3" i="2"/>
  <c r="DU3" i="2"/>
  <c r="DV3" i="2"/>
  <c r="DW3" i="2"/>
  <c r="DX3" i="2"/>
  <c r="DY3" i="2"/>
  <c r="DZ3" i="2"/>
  <c r="EA3" i="2"/>
  <c r="EB3" i="2"/>
  <c r="EC3" i="2"/>
  <c r="ED3" i="2"/>
  <c r="EE3" i="2"/>
  <c r="CP4" i="2"/>
  <c r="CY4" i="2"/>
  <c r="CZ4" i="2"/>
  <c r="DA4" i="2"/>
  <c r="DB4" i="2"/>
  <c r="DC4" i="2"/>
  <c r="DD4" i="2"/>
  <c r="DE4" i="2"/>
  <c r="DF4" i="2"/>
  <c r="DK4" i="2"/>
  <c r="DS4" i="2"/>
  <c r="DT4" i="2"/>
  <c r="DU4" i="2"/>
  <c r="DV4" i="2"/>
  <c r="DW4" i="2"/>
  <c r="DX4" i="2"/>
  <c r="DY4" i="2"/>
  <c r="DZ4" i="2"/>
  <c r="EE4" i="2"/>
  <c r="AV5" i="2"/>
  <c r="AW5" i="2"/>
  <c r="AX5" i="2"/>
  <c r="AY5" i="2"/>
  <c r="AZ5" i="2"/>
  <c r="BA5" i="2"/>
  <c r="BB5" i="2"/>
  <c r="BG5" i="2"/>
  <c r="BJ5" i="2"/>
  <c r="BN5" i="2"/>
  <c r="BP5" i="2"/>
  <c r="BQ5" i="2"/>
  <c r="BR5" i="2"/>
  <c r="BS5" i="2"/>
  <c r="BT5" i="2"/>
  <c r="BU5" i="2"/>
  <c r="BV5" i="2"/>
  <c r="CA5" i="2"/>
  <c r="CD5" i="2"/>
  <c r="CH5" i="2"/>
  <c r="CP5" i="2"/>
  <c r="N5" i="3" s="1"/>
  <c r="CQ5" i="2"/>
  <c r="O5" i="3" s="1"/>
  <c r="CR5" i="2"/>
  <c r="P5" i="3" s="1"/>
  <c r="CS5" i="2"/>
  <c r="CT5" i="2"/>
  <c r="CU5" i="2"/>
  <c r="AU6" i="2"/>
  <c r="AV6" i="2"/>
  <c r="AW6" i="2"/>
  <c r="AX6" i="2"/>
  <c r="AY6" i="2"/>
  <c r="AZ6" i="2"/>
  <c r="BA6" i="2"/>
  <c r="BB6" i="2"/>
  <c r="BD6" i="2"/>
  <c r="BE6" i="2"/>
  <c r="BF6" i="2"/>
  <c r="BG6" i="2"/>
  <c r="BH6" i="2"/>
  <c r="BI6" i="2"/>
  <c r="BJ6" i="2"/>
  <c r="BO6" i="2"/>
  <c r="BP6" i="2"/>
  <c r="BQ6" i="2"/>
  <c r="BR6" i="2"/>
  <c r="BS6" i="2"/>
  <c r="BT6" i="2"/>
  <c r="BU6" i="2"/>
  <c r="BV6" i="2"/>
  <c r="BX6" i="2"/>
  <c r="BY6" i="2"/>
  <c r="BZ6" i="2"/>
  <c r="CA6" i="2"/>
  <c r="CB6" i="2"/>
  <c r="CC6" i="2"/>
  <c r="CD6" i="2"/>
  <c r="CI6" i="2"/>
  <c r="CR6" i="2"/>
  <c r="CS6" i="2"/>
  <c r="AV7" i="2"/>
  <c r="AW7" i="2"/>
  <c r="AX7" i="2"/>
  <c r="AY7" i="2"/>
  <c r="AZ7" i="2"/>
  <c r="BA7" i="2"/>
  <c r="BB7" i="2"/>
  <c r="BF7" i="2"/>
  <c r="BI7" i="2"/>
  <c r="BP7" i="2"/>
  <c r="BQ7" i="2"/>
  <c r="BR7" i="2"/>
  <c r="BS7" i="2"/>
  <c r="BT7" i="2"/>
  <c r="BU7" i="2"/>
  <c r="BV7" i="2"/>
  <c r="BZ7" i="2"/>
  <c r="CC7" i="2"/>
  <c r="CP7" i="2"/>
  <c r="CQ7" i="2"/>
  <c r="O7" i="3" s="1"/>
  <c r="CR7" i="2"/>
  <c r="P7" i="3" s="1"/>
  <c r="CS7" i="2"/>
  <c r="AU8" i="2"/>
  <c r="AV8" i="2"/>
  <c r="AW8" i="2"/>
  <c r="AX8" i="2"/>
  <c r="AY8" i="2"/>
  <c r="AZ8" i="2"/>
  <c r="BA8" i="2"/>
  <c r="BB8" i="2"/>
  <c r="BD8" i="2"/>
  <c r="BE8" i="2"/>
  <c r="BF8" i="2"/>
  <c r="BG8" i="2"/>
  <c r="BH8" i="2"/>
  <c r="BI8" i="2"/>
  <c r="BJ8" i="2"/>
  <c r="BO8" i="2"/>
  <c r="BP8" i="2"/>
  <c r="BQ8" i="2"/>
  <c r="BR8" i="2"/>
  <c r="BS8" i="2"/>
  <c r="BT8" i="2"/>
  <c r="BU8" i="2"/>
  <c r="BV8" i="2"/>
  <c r="BX8" i="2"/>
  <c r="BY8" i="2"/>
  <c r="BZ8" i="2"/>
  <c r="CA8" i="2"/>
  <c r="CB8" i="2"/>
  <c r="CC8" i="2"/>
  <c r="CD8" i="2"/>
  <c r="CI8" i="2"/>
  <c r="CP8" i="2"/>
  <c r="CQ8" i="2"/>
  <c r="CR8" i="2"/>
  <c r="CQ9" i="2"/>
  <c r="O9" i="3" s="1"/>
  <c r="CR9" i="2"/>
  <c r="P9" i="3" s="1"/>
  <c r="CS9" i="2"/>
  <c r="AV10" i="2"/>
  <c r="AW10" i="2"/>
  <c r="AX10" i="2"/>
  <c r="AY10" i="2"/>
  <c r="BA10" i="2"/>
  <c r="BB10" i="2"/>
  <c r="BC10" i="2"/>
  <c r="BD10" i="2"/>
  <c r="BE10" i="2"/>
  <c r="BF10" i="2"/>
  <c r="BG10" i="2"/>
  <c r="BH10" i="2"/>
  <c r="BI10" i="2"/>
  <c r="BJ10" i="2"/>
  <c r="BK10" i="2"/>
  <c r="BL10" i="2"/>
  <c r="BP10" i="2"/>
  <c r="BQ10" i="2"/>
  <c r="BR10" i="2"/>
  <c r="BS10" i="2"/>
  <c r="BU10" i="2"/>
  <c r="BV10" i="2"/>
  <c r="BW10" i="2"/>
  <c r="BX10" i="2"/>
  <c r="BY10" i="2"/>
  <c r="BZ10" i="2"/>
  <c r="CA10" i="2"/>
  <c r="CB10" i="2"/>
  <c r="CC10" i="2"/>
  <c r="CD10" i="2"/>
  <c r="CE10" i="2"/>
  <c r="CF10" i="2"/>
  <c r="CP10" i="2"/>
  <c r="CQ10" i="2"/>
  <c r="CS10" i="2"/>
  <c r="CT10" i="2"/>
  <c r="AU11" i="2"/>
  <c r="AV11" i="2"/>
  <c r="AW11" i="2"/>
  <c r="AX11" i="2"/>
  <c r="AY11" i="2"/>
  <c r="AZ11" i="2"/>
  <c r="BA11" i="2"/>
  <c r="BB11" i="2"/>
  <c r="BC11" i="2"/>
  <c r="BD11" i="2"/>
  <c r="BH11" i="2"/>
  <c r="BI11" i="2"/>
  <c r="BO11" i="2"/>
  <c r="BP11" i="2"/>
  <c r="BQ11" i="2"/>
  <c r="BR11" i="2"/>
  <c r="BS11" i="2"/>
  <c r="BT11" i="2"/>
  <c r="BU11" i="2"/>
  <c r="BV11" i="2"/>
  <c r="BW11" i="2"/>
  <c r="BX11" i="2"/>
  <c r="CB11" i="2"/>
  <c r="CC11" i="2"/>
  <c r="CI11" i="2"/>
  <c r="CP11" i="2"/>
  <c r="CQ11" i="2"/>
  <c r="AU12" i="2"/>
  <c r="AV12" i="2"/>
  <c r="AW12" i="2"/>
  <c r="AX12" i="2"/>
  <c r="AY12" i="2"/>
  <c r="AZ12" i="2"/>
  <c r="BA12" i="2"/>
  <c r="BB12" i="2"/>
  <c r="BD12" i="2"/>
  <c r="BF12" i="2"/>
  <c r="BG12" i="2"/>
  <c r="BH12" i="2"/>
  <c r="BI12" i="2"/>
  <c r="BJ12" i="2"/>
  <c r="BL12" i="2"/>
  <c r="BN12" i="2"/>
  <c r="BO12" i="2"/>
  <c r="BP12" i="2"/>
  <c r="BQ12" i="2"/>
  <c r="BR12" i="2"/>
  <c r="BS12" i="2"/>
  <c r="BT12" i="2"/>
  <c r="BU12" i="2"/>
  <c r="BV12" i="2"/>
  <c r="BX12" i="2"/>
  <c r="BZ12" i="2"/>
  <c r="CA12" i="2"/>
  <c r="CB12" i="2"/>
  <c r="CC12" i="2"/>
  <c r="CD12" i="2"/>
  <c r="CF12" i="2"/>
  <c r="CH12" i="2"/>
  <c r="CI12" i="2"/>
  <c r="AU13" i="2"/>
  <c r="AV13" i="2"/>
  <c r="AW13" i="2"/>
  <c r="AX13" i="2"/>
  <c r="AY13" i="2"/>
  <c r="AZ13" i="2"/>
  <c r="BA13" i="2"/>
  <c r="BB13" i="2"/>
  <c r="BC13" i="2"/>
  <c r="BD13" i="2"/>
  <c r="BE13" i="2"/>
  <c r="BF13" i="2"/>
  <c r="BG13" i="2"/>
  <c r="BH13" i="2"/>
  <c r="BI13" i="2"/>
  <c r="BJ13" i="2"/>
  <c r="BO13" i="2"/>
  <c r="BP13" i="2"/>
  <c r="BQ13" i="2"/>
  <c r="BR13" i="2"/>
  <c r="BS13" i="2"/>
  <c r="BT13" i="2"/>
  <c r="BU13" i="2"/>
  <c r="BV13" i="2"/>
  <c r="BW13" i="2"/>
  <c r="BX13" i="2"/>
  <c r="BY13" i="2"/>
  <c r="BZ13" i="2"/>
  <c r="CA13" i="2"/>
  <c r="CB13" i="2"/>
  <c r="CC13" i="2"/>
  <c r="CD13" i="2"/>
  <c r="CI13" i="2"/>
  <c r="AU14" i="2"/>
  <c r="AV14" i="2"/>
  <c r="AW14" i="2"/>
  <c r="AX14" i="2"/>
  <c r="AY14" i="2"/>
  <c r="AZ14" i="2"/>
  <c r="BA14" i="2"/>
  <c r="BB14" i="2"/>
  <c r="BC14" i="2"/>
  <c r="BD14" i="2"/>
  <c r="BE14" i="2"/>
  <c r="BF14" i="2"/>
  <c r="BH14" i="2"/>
  <c r="BJ14" i="2"/>
  <c r="BO14" i="2"/>
  <c r="BP14" i="2"/>
  <c r="BQ14" i="2"/>
  <c r="BR14" i="2"/>
  <c r="BS14" i="2"/>
  <c r="BT14" i="2"/>
  <c r="BU14" i="2"/>
  <c r="BV14" i="2"/>
  <c r="BW14" i="2"/>
  <c r="BX14" i="2"/>
  <c r="BY14" i="2"/>
  <c r="BZ14" i="2"/>
  <c r="CB14" i="2"/>
  <c r="CD14" i="2"/>
  <c r="CI14" i="2"/>
  <c r="AU15" i="2"/>
  <c r="AV15" i="2"/>
  <c r="AW15" i="2"/>
  <c r="AX15" i="2"/>
  <c r="AY15" i="2"/>
  <c r="AZ15" i="2"/>
  <c r="BA15" i="2"/>
  <c r="BB15" i="2"/>
  <c r="BD15" i="2"/>
  <c r="BE15" i="2"/>
  <c r="BF15" i="2"/>
  <c r="BH15" i="2"/>
  <c r="BI15" i="2"/>
  <c r="BJ15" i="2"/>
  <c r="BL15" i="2"/>
  <c r="BN15" i="2"/>
  <c r="BO15" i="2"/>
  <c r="BP15" i="2"/>
  <c r="BQ15" i="2"/>
  <c r="BR15" i="2"/>
  <c r="BS15" i="2"/>
  <c r="BT15" i="2"/>
  <c r="BU15" i="2"/>
  <c r="BV15" i="2"/>
  <c r="BX15" i="2"/>
  <c r="BY15" i="2"/>
  <c r="BZ15" i="2"/>
  <c r="CB15" i="2"/>
  <c r="CC15" i="2"/>
  <c r="CD15" i="2"/>
  <c r="CF15" i="2"/>
  <c r="CH15" i="2"/>
  <c r="CI15" i="2"/>
  <c r="AU16" i="2"/>
  <c r="CL16" i="2" s="1"/>
  <c r="B16" i="2" s="1"/>
  <c r="AV16" i="2"/>
  <c r="AW16" i="2"/>
  <c r="AX16" i="2"/>
  <c r="AY16" i="2"/>
  <c r="AZ16" i="2"/>
  <c r="BA16" i="2"/>
  <c r="BB16" i="2"/>
  <c r="BC16" i="2"/>
  <c r="BD16" i="2"/>
  <c r="BE16" i="2"/>
  <c r="BF16" i="2"/>
  <c r="BG16" i="2"/>
  <c r="BH16" i="2"/>
  <c r="BI16" i="2"/>
  <c r="BJ16" i="2"/>
  <c r="BK16" i="2"/>
  <c r="BL16" i="2"/>
  <c r="BM16" i="2"/>
  <c r="BN16" i="2"/>
  <c r="BO16" i="2"/>
  <c r="BP16" i="2"/>
  <c r="BQ16" i="2"/>
  <c r="BR16" i="2"/>
  <c r="BS16" i="2"/>
  <c r="BT16" i="2"/>
  <c r="BU16" i="2"/>
  <c r="BV16" i="2"/>
  <c r="BW16" i="2"/>
  <c r="BX16" i="2"/>
  <c r="BY16" i="2"/>
  <c r="BZ16" i="2"/>
  <c r="CA16" i="2"/>
  <c r="CB16" i="2"/>
  <c r="CC16" i="2"/>
  <c r="CD16" i="2"/>
  <c r="CE16" i="2"/>
  <c r="CF16" i="2"/>
  <c r="CG16" i="2"/>
  <c r="CH16" i="2"/>
  <c r="CI16" i="2"/>
  <c r="AU17" i="2"/>
  <c r="AV17" i="2"/>
  <c r="AW17" i="2"/>
  <c r="AX17" i="2"/>
  <c r="AY17" i="2"/>
  <c r="AZ17" i="2"/>
  <c r="BA17" i="2"/>
  <c r="BB17" i="2"/>
  <c r="BC17" i="2"/>
  <c r="BD17" i="2"/>
  <c r="BE17" i="2"/>
  <c r="BF17" i="2"/>
  <c r="BG17" i="2"/>
  <c r="BH17" i="2"/>
  <c r="BI17" i="2"/>
  <c r="BJ17" i="2"/>
  <c r="BO17" i="2"/>
  <c r="BP17" i="2"/>
  <c r="BQ17" i="2"/>
  <c r="BR17" i="2"/>
  <c r="BS17" i="2"/>
  <c r="BT17" i="2"/>
  <c r="BU17" i="2"/>
  <c r="BV17" i="2"/>
  <c r="BW17" i="2"/>
  <c r="BX17" i="2"/>
  <c r="BY17" i="2"/>
  <c r="BZ17" i="2"/>
  <c r="CA17" i="2"/>
  <c r="CB17" i="2"/>
  <c r="CC17" i="2"/>
  <c r="CD17" i="2"/>
  <c r="CI17" i="2"/>
  <c r="AU18" i="2"/>
  <c r="AV18" i="2"/>
  <c r="AW18" i="2"/>
  <c r="AX18" i="2"/>
  <c r="AY18" i="2"/>
  <c r="AZ18" i="2"/>
  <c r="BA18" i="2"/>
  <c r="BB18" i="2"/>
  <c r="BC18" i="2"/>
  <c r="BD18" i="2"/>
  <c r="BE18" i="2"/>
  <c r="BF18" i="2"/>
  <c r="BH18" i="2"/>
  <c r="BI18" i="2"/>
  <c r="BJ18" i="2"/>
  <c r="BO18" i="2"/>
  <c r="BP18" i="2"/>
  <c r="BQ18" i="2"/>
  <c r="BR18" i="2"/>
  <c r="BS18" i="2"/>
  <c r="BT18" i="2"/>
  <c r="BU18" i="2"/>
  <c r="BV18" i="2"/>
  <c r="BW18" i="2"/>
  <c r="BX18" i="2"/>
  <c r="BY18" i="2"/>
  <c r="BZ18" i="2"/>
  <c r="CB18" i="2"/>
  <c r="CC18" i="2"/>
  <c r="CD18" i="2"/>
  <c r="CI18" i="2"/>
  <c r="CL19" i="2"/>
  <c r="B19" i="2" s="1"/>
  <c r="CM19" i="2"/>
  <c r="CL20" i="2"/>
  <c r="CM20" i="2"/>
  <c r="AV21" i="2"/>
  <c r="AW21" i="2"/>
  <c r="AX21" i="2"/>
  <c r="AY21" i="2"/>
  <c r="AZ21" i="2"/>
  <c r="BA21" i="2"/>
  <c r="BB21" i="2"/>
  <c r="BC21" i="2"/>
  <c r="BD21" i="2"/>
  <c r="BE21" i="2"/>
  <c r="BF21" i="2"/>
  <c r="BG21" i="2"/>
  <c r="BH21" i="2"/>
  <c r="BI21" i="2"/>
  <c r="BJ21" i="2"/>
  <c r="BK21" i="2"/>
  <c r="BL21" i="2"/>
  <c r="BN21" i="2"/>
  <c r="BP21" i="2"/>
  <c r="BQ21" i="2"/>
  <c r="BR21" i="2"/>
  <c r="BS21" i="2"/>
  <c r="BT21" i="2"/>
  <c r="BU21" i="2"/>
  <c r="BV21" i="2"/>
  <c r="BW21" i="2"/>
  <c r="BX21" i="2"/>
  <c r="BY21" i="2"/>
  <c r="BZ21" i="2"/>
  <c r="CA21" i="2"/>
  <c r="CB21" i="2"/>
  <c r="CC21" i="2"/>
  <c r="CD21" i="2"/>
  <c r="CE21" i="2"/>
  <c r="CF21" i="2"/>
  <c r="CH21" i="2"/>
  <c r="AV22" i="2"/>
  <c r="AW22" i="2"/>
  <c r="AX22" i="2"/>
  <c r="AY22" i="2"/>
  <c r="AZ22" i="2"/>
  <c r="BA22" i="2"/>
  <c r="BB22" i="2"/>
  <c r="BC22" i="2"/>
  <c r="BD22" i="2"/>
  <c r="BE22" i="2"/>
  <c r="BF22" i="2"/>
  <c r="BG22" i="2"/>
  <c r="BH22" i="2"/>
  <c r="BI22" i="2"/>
  <c r="BN22" i="2"/>
  <c r="BP22" i="2"/>
  <c r="BQ22" i="2"/>
  <c r="BR22" i="2"/>
  <c r="BS22" i="2"/>
  <c r="BT22" i="2"/>
  <c r="BU22" i="2"/>
  <c r="BV22" i="2"/>
  <c r="BW22" i="2"/>
  <c r="BX22" i="2"/>
  <c r="BY22" i="2"/>
  <c r="BZ22" i="2"/>
  <c r="CA22" i="2"/>
  <c r="CB22" i="2"/>
  <c r="CC22" i="2"/>
  <c r="CH22" i="2"/>
  <c r="AU23" i="2"/>
  <c r="AV23" i="2"/>
  <c r="AW23" i="2"/>
  <c r="AX23" i="2"/>
  <c r="AY23" i="2"/>
  <c r="AZ23" i="2"/>
  <c r="BA23" i="2"/>
  <c r="BB23" i="2"/>
  <c r="BC23" i="2"/>
  <c r="BD23" i="2"/>
  <c r="BF23" i="2"/>
  <c r="BG23" i="2"/>
  <c r="BH23" i="2"/>
  <c r="BI23" i="2"/>
  <c r="BN23" i="2"/>
  <c r="BO23" i="2"/>
  <c r="BP23" i="2"/>
  <c r="BQ23" i="2"/>
  <c r="BR23" i="2"/>
  <c r="BS23" i="2"/>
  <c r="BT23" i="2"/>
  <c r="BU23" i="2"/>
  <c r="BV23" i="2"/>
  <c r="BW23" i="2"/>
  <c r="BX23" i="2"/>
  <c r="BZ23" i="2"/>
  <c r="CA23" i="2"/>
  <c r="CB23" i="2"/>
  <c r="CC23" i="2"/>
  <c r="CH23" i="2"/>
  <c r="CI23" i="2"/>
  <c r="CP23" i="2"/>
  <c r="AU24" i="2"/>
  <c r="AV24" i="2"/>
  <c r="AW24" i="2"/>
  <c r="AX24" i="2"/>
  <c r="AY24" i="2"/>
  <c r="AZ24" i="2"/>
  <c r="BA24" i="2"/>
  <c r="BB24" i="2"/>
  <c r="BC24" i="2"/>
  <c r="BD24" i="2"/>
  <c r="BE24" i="2"/>
  <c r="BF24" i="2"/>
  <c r="BG24" i="2"/>
  <c r="BH24" i="2"/>
  <c r="BI24" i="2"/>
  <c r="BJ24" i="2"/>
  <c r="BL24" i="2"/>
  <c r="BN24" i="2"/>
  <c r="BO24" i="2"/>
  <c r="BP24" i="2"/>
  <c r="BQ24" i="2"/>
  <c r="BR24" i="2"/>
  <c r="BS24" i="2"/>
  <c r="BT24" i="2"/>
  <c r="BU24" i="2"/>
  <c r="BV24" i="2"/>
  <c r="BW24" i="2"/>
  <c r="BX24" i="2"/>
  <c r="BY24" i="2"/>
  <c r="BZ24" i="2"/>
  <c r="CA24" i="2"/>
  <c r="CB24" i="2"/>
  <c r="CC24" i="2"/>
  <c r="CD24" i="2"/>
  <c r="CF24" i="2"/>
  <c r="CH24" i="2"/>
  <c r="CI24" i="2"/>
  <c r="CP24" i="2"/>
  <c r="CQ24" i="2"/>
  <c r="CR24" i="2"/>
  <c r="CS24" i="2"/>
  <c r="CT24" i="2"/>
  <c r="AU25" i="2"/>
  <c r="AV25" i="2"/>
  <c r="AW25" i="2"/>
  <c r="AX25" i="2"/>
  <c r="AY25" i="2"/>
  <c r="AZ25" i="2"/>
  <c r="BA25" i="2"/>
  <c r="BB25" i="2"/>
  <c r="BC25" i="2"/>
  <c r="BD25" i="2"/>
  <c r="BE25" i="2"/>
  <c r="BF25" i="2"/>
  <c r="BG25" i="2"/>
  <c r="BH25" i="2"/>
  <c r="BI25" i="2"/>
  <c r="BJ25" i="2"/>
  <c r="BL25" i="2"/>
  <c r="BN25" i="2"/>
  <c r="BP25" i="2"/>
  <c r="BQ25" i="2"/>
  <c r="BR25" i="2"/>
  <c r="BS25" i="2"/>
  <c r="BT25" i="2"/>
  <c r="BU25" i="2"/>
  <c r="BV25" i="2"/>
  <c r="BW25" i="2"/>
  <c r="BX25" i="2"/>
  <c r="BY25" i="2"/>
  <c r="BZ25" i="2"/>
  <c r="CA25" i="2"/>
  <c r="CB25" i="2"/>
  <c r="CC25" i="2"/>
  <c r="CF25" i="2"/>
  <c r="CH25" i="2"/>
  <c r="CP25" i="2"/>
  <c r="CQ25" i="2"/>
  <c r="CS25" i="2"/>
  <c r="AU26" i="2"/>
  <c r="AV26" i="2"/>
  <c r="AW26" i="2"/>
  <c r="AX26" i="2"/>
  <c r="AY26" i="2"/>
  <c r="AZ26" i="2"/>
  <c r="BA26" i="2"/>
  <c r="BB26" i="2"/>
  <c r="BC26" i="2"/>
  <c r="BD26" i="2"/>
  <c r="BE26" i="2"/>
  <c r="BF26" i="2"/>
  <c r="BG26" i="2"/>
  <c r="BH26" i="2"/>
  <c r="BI26" i="2"/>
  <c r="BJ26" i="2"/>
  <c r="BL26" i="2"/>
  <c r="BN26" i="2"/>
  <c r="BO26" i="2"/>
  <c r="BP26" i="2"/>
  <c r="BQ26" i="2"/>
  <c r="BR26" i="2"/>
  <c r="BS26" i="2"/>
  <c r="BT26" i="2"/>
  <c r="BU26" i="2"/>
  <c r="BV26" i="2"/>
  <c r="BW26" i="2"/>
  <c r="BX26" i="2"/>
  <c r="BY26" i="2"/>
  <c r="BZ26" i="2"/>
  <c r="CA26" i="2"/>
  <c r="CB26" i="2"/>
  <c r="CC26" i="2"/>
  <c r="CD26" i="2"/>
  <c r="CF26" i="2"/>
  <c r="CH26" i="2"/>
  <c r="CI26" i="2"/>
  <c r="CP26" i="2"/>
  <c r="CQ26" i="2"/>
  <c r="CR26" i="2"/>
  <c r="CS26" i="2"/>
  <c r="CT26" i="2"/>
  <c r="CU26" i="2"/>
  <c r="AU27" i="2"/>
  <c r="AV27" i="2"/>
  <c r="AW27" i="2"/>
  <c r="AX27" i="2"/>
  <c r="AY27" i="2"/>
  <c r="AZ27" i="2"/>
  <c r="BA27" i="2"/>
  <c r="BB27" i="2"/>
  <c r="BC27" i="2"/>
  <c r="BD27" i="2"/>
  <c r="BE27" i="2"/>
  <c r="BF27" i="2"/>
  <c r="BH27" i="2"/>
  <c r="BI27" i="2"/>
  <c r="BJ27" i="2"/>
  <c r="BN27" i="2"/>
  <c r="BO27" i="2"/>
  <c r="BP27" i="2"/>
  <c r="BQ27" i="2"/>
  <c r="BR27" i="2"/>
  <c r="BS27" i="2"/>
  <c r="BT27" i="2"/>
  <c r="BU27" i="2"/>
  <c r="BV27" i="2"/>
  <c r="BW27" i="2"/>
  <c r="BX27" i="2"/>
  <c r="BY27" i="2"/>
  <c r="BZ27" i="2"/>
  <c r="CB27" i="2"/>
  <c r="CC27" i="2"/>
  <c r="CD27" i="2"/>
  <c r="CH27" i="2"/>
  <c r="CI27" i="2"/>
  <c r="CR27" i="2"/>
  <c r="CS27" i="2"/>
  <c r="AU28" i="2"/>
  <c r="AV28" i="2"/>
  <c r="AW28" i="2"/>
  <c r="AX28" i="2"/>
  <c r="AY28" i="2"/>
  <c r="AZ28" i="2"/>
  <c r="BA28" i="2"/>
  <c r="BB28" i="2"/>
  <c r="BD28" i="2"/>
  <c r="BE28" i="2"/>
  <c r="BF28" i="2"/>
  <c r="BG28" i="2"/>
  <c r="BH28" i="2"/>
  <c r="BI28" i="2"/>
  <c r="BJ28" i="2"/>
  <c r="BL28" i="2"/>
  <c r="BN28" i="2"/>
  <c r="BO28" i="2"/>
  <c r="BP28" i="2"/>
  <c r="BQ28" i="2"/>
  <c r="BR28" i="2"/>
  <c r="BS28" i="2"/>
  <c r="BT28" i="2"/>
  <c r="BU28" i="2"/>
  <c r="BV28" i="2"/>
  <c r="BX28" i="2"/>
  <c r="BY28" i="2"/>
  <c r="BZ28" i="2"/>
  <c r="CA28" i="2"/>
  <c r="CB28" i="2"/>
  <c r="CC28" i="2"/>
  <c r="CD28" i="2"/>
  <c r="CF28" i="2"/>
  <c r="CH28" i="2"/>
  <c r="CI28" i="2"/>
  <c r="CP28" i="2"/>
  <c r="CQ28" i="2"/>
  <c r="CR28" i="2"/>
  <c r="CS28" i="2"/>
  <c r="CT28" i="2"/>
  <c r="CU28" i="2"/>
  <c r="AU29" i="2"/>
  <c r="AV29" i="2"/>
  <c r="AW29" i="2"/>
  <c r="AX29" i="2"/>
  <c r="AY29" i="2"/>
  <c r="AZ29" i="2"/>
  <c r="BA29" i="2"/>
  <c r="BB29" i="2"/>
  <c r="BC29" i="2"/>
  <c r="BD29" i="2"/>
  <c r="BE29" i="2"/>
  <c r="BF29" i="2"/>
  <c r="BG29" i="2"/>
  <c r="BH29" i="2"/>
  <c r="BI29" i="2"/>
  <c r="BJ29" i="2"/>
  <c r="BN29" i="2"/>
  <c r="BO29" i="2"/>
  <c r="BP29" i="2"/>
  <c r="BQ29" i="2"/>
  <c r="BR29" i="2"/>
  <c r="BS29" i="2"/>
  <c r="BT29" i="2"/>
  <c r="BU29" i="2"/>
  <c r="BV29" i="2"/>
  <c r="BW29" i="2"/>
  <c r="BX29" i="2"/>
  <c r="BY29" i="2"/>
  <c r="BZ29" i="2"/>
  <c r="CB29" i="2"/>
  <c r="CC29" i="2"/>
  <c r="CD29" i="2"/>
  <c r="CH29" i="2"/>
  <c r="CI29" i="2"/>
  <c r="CP29" i="2"/>
  <c r="CQ29" i="2"/>
  <c r="CR29" i="2"/>
  <c r="CL30" i="2"/>
  <c r="CM30" i="2"/>
  <c r="CQ30" i="2"/>
  <c r="CS30" i="2"/>
  <c r="AU31" i="2"/>
  <c r="AV31" i="2"/>
  <c r="AW31" i="2"/>
  <c r="AX31" i="2"/>
  <c r="AY31" i="2"/>
  <c r="AZ31" i="2"/>
  <c r="BA31" i="2"/>
  <c r="BB31" i="2"/>
  <c r="BC31" i="2"/>
  <c r="BD31" i="2"/>
  <c r="BE31" i="2"/>
  <c r="BF31" i="2"/>
  <c r="BG31" i="2"/>
  <c r="BH31" i="2"/>
  <c r="BI31" i="2"/>
  <c r="BJ31" i="2"/>
  <c r="BN31" i="2"/>
  <c r="BO31" i="2"/>
  <c r="BP31" i="2"/>
  <c r="BQ31" i="2"/>
  <c r="BR31" i="2"/>
  <c r="BS31" i="2"/>
  <c r="BT31" i="2"/>
  <c r="BU31" i="2"/>
  <c r="BV31" i="2"/>
  <c r="BW31" i="2"/>
  <c r="BX31" i="2"/>
  <c r="BY31" i="2"/>
  <c r="BZ31" i="2"/>
  <c r="CA31" i="2"/>
  <c r="CB31" i="2"/>
  <c r="CC31" i="2"/>
  <c r="CD31" i="2"/>
  <c r="CH31" i="2"/>
  <c r="CI31" i="2"/>
  <c r="CP31" i="2"/>
  <c r="CQ31" i="2"/>
  <c r="CR31" i="2"/>
  <c r="CS31" i="2"/>
  <c r="CT31" i="2"/>
  <c r="AU32" i="2"/>
  <c r="AV32" i="2"/>
  <c r="AW32" i="2"/>
  <c r="AX32" i="2"/>
  <c r="AY32" i="2"/>
  <c r="AZ32" i="2"/>
  <c r="BA32" i="2"/>
  <c r="BB32" i="2"/>
  <c r="BC32" i="2"/>
  <c r="BD32" i="2"/>
  <c r="BE32" i="2"/>
  <c r="BF32" i="2"/>
  <c r="BG32" i="2"/>
  <c r="BH32" i="2"/>
  <c r="BI32" i="2"/>
  <c r="BJ32" i="2"/>
  <c r="BN32" i="2"/>
  <c r="BO32" i="2"/>
  <c r="BP32" i="2"/>
  <c r="BQ32" i="2"/>
  <c r="BR32" i="2"/>
  <c r="BS32" i="2"/>
  <c r="BT32" i="2"/>
  <c r="BU32" i="2"/>
  <c r="BV32" i="2"/>
  <c r="BW32" i="2"/>
  <c r="BX32" i="2"/>
  <c r="BY32" i="2"/>
  <c r="BZ32" i="2"/>
  <c r="CA32" i="2"/>
  <c r="CB32" i="2"/>
  <c r="CC32" i="2"/>
  <c r="CD32" i="2"/>
  <c r="CH32" i="2"/>
  <c r="CI32" i="2"/>
  <c r="AU33" i="2"/>
  <c r="AV33" i="2"/>
  <c r="AW33" i="2"/>
  <c r="AX33" i="2"/>
  <c r="AY33" i="2"/>
  <c r="AZ33" i="2"/>
  <c r="BA33" i="2"/>
  <c r="BB33" i="2"/>
  <c r="BC33" i="2"/>
  <c r="BD33" i="2"/>
  <c r="BE33" i="2"/>
  <c r="BF33" i="2"/>
  <c r="BG33" i="2"/>
  <c r="BH33" i="2"/>
  <c r="BI33" i="2"/>
  <c r="BJ33" i="2"/>
  <c r="BL33" i="2"/>
  <c r="BN33" i="2"/>
  <c r="BO33" i="2"/>
  <c r="BP33" i="2"/>
  <c r="BQ33" i="2"/>
  <c r="BR33" i="2"/>
  <c r="BS33" i="2"/>
  <c r="BT33" i="2"/>
  <c r="BU33" i="2"/>
  <c r="BV33" i="2"/>
  <c r="BW33" i="2"/>
  <c r="BX33" i="2"/>
  <c r="BY33" i="2"/>
  <c r="BZ33" i="2"/>
  <c r="CA33" i="2"/>
  <c r="CB33" i="2"/>
  <c r="CC33" i="2"/>
  <c r="CD33" i="2"/>
  <c r="CF33" i="2"/>
  <c r="CH33" i="2"/>
  <c r="CI33" i="2"/>
  <c r="AU34" i="2"/>
  <c r="AV34" i="2"/>
  <c r="AW34" i="2"/>
  <c r="AX34" i="2"/>
  <c r="AY34" i="2"/>
  <c r="AZ34" i="2"/>
  <c r="BA34" i="2"/>
  <c r="BB34" i="2"/>
  <c r="BC34" i="2"/>
  <c r="BD34" i="2"/>
  <c r="BE34" i="2"/>
  <c r="BF34" i="2"/>
  <c r="BG34" i="2"/>
  <c r="BH34" i="2"/>
  <c r="BI34" i="2"/>
  <c r="BJ34" i="2"/>
  <c r="BN34" i="2"/>
  <c r="BO34" i="2"/>
  <c r="BP34" i="2"/>
  <c r="BQ34" i="2"/>
  <c r="BR34" i="2"/>
  <c r="BS34" i="2"/>
  <c r="BT34" i="2"/>
  <c r="BU34" i="2"/>
  <c r="BV34" i="2"/>
  <c r="BW34" i="2"/>
  <c r="BX34" i="2"/>
  <c r="BY34" i="2"/>
  <c r="BZ34" i="2"/>
  <c r="CA34" i="2"/>
  <c r="CB34" i="2"/>
  <c r="CC34" i="2"/>
  <c r="CD34" i="2"/>
  <c r="CH34" i="2"/>
  <c r="CI34" i="2"/>
  <c r="AU35" i="2"/>
  <c r="AV35" i="2"/>
  <c r="AW35" i="2"/>
  <c r="AX35" i="2"/>
  <c r="AY35" i="2"/>
  <c r="AZ35" i="2"/>
  <c r="BA35" i="2"/>
  <c r="BB35" i="2"/>
  <c r="BC35" i="2"/>
  <c r="BD35" i="2"/>
  <c r="BE35" i="2"/>
  <c r="BF35" i="2"/>
  <c r="BG35" i="2"/>
  <c r="BH35" i="2"/>
  <c r="BI35" i="2"/>
  <c r="BJ35" i="2"/>
  <c r="BL35" i="2"/>
  <c r="BN35" i="2"/>
  <c r="BO35" i="2"/>
  <c r="BP35" i="2"/>
  <c r="BQ35" i="2"/>
  <c r="BR35" i="2"/>
  <c r="BS35" i="2"/>
  <c r="BT35" i="2"/>
  <c r="BU35" i="2"/>
  <c r="BV35" i="2"/>
  <c r="BW35" i="2"/>
  <c r="BX35" i="2"/>
  <c r="BY35" i="2"/>
  <c r="BZ35" i="2"/>
  <c r="CA35" i="2"/>
  <c r="CB35" i="2"/>
  <c r="CC35" i="2"/>
  <c r="CD35" i="2"/>
  <c r="CF35" i="2"/>
  <c r="CH35" i="2"/>
  <c r="CI35" i="2"/>
  <c r="AU36" i="2"/>
  <c r="AV36" i="2"/>
  <c r="AW36" i="2"/>
  <c r="AX36" i="2"/>
  <c r="AY36" i="2"/>
  <c r="AZ36" i="2"/>
  <c r="BA36" i="2"/>
  <c r="BB36" i="2"/>
  <c r="BC36" i="2"/>
  <c r="BD36" i="2"/>
  <c r="BE36" i="2"/>
  <c r="BF36" i="2"/>
  <c r="BG36" i="2"/>
  <c r="BH36" i="2"/>
  <c r="BI36" i="2"/>
  <c r="BJ36" i="2"/>
  <c r="BL36" i="2"/>
  <c r="BN36" i="2"/>
  <c r="BO36" i="2"/>
  <c r="BP36" i="2"/>
  <c r="BQ36" i="2"/>
  <c r="BR36" i="2"/>
  <c r="BS36" i="2"/>
  <c r="BT36" i="2"/>
  <c r="BU36" i="2"/>
  <c r="BV36" i="2"/>
  <c r="BW36" i="2"/>
  <c r="BX36" i="2"/>
  <c r="BY36" i="2"/>
  <c r="BZ36" i="2"/>
  <c r="CA36" i="2"/>
  <c r="CB36" i="2"/>
  <c r="CC36" i="2"/>
  <c r="CD36" i="2"/>
  <c r="CF36" i="2"/>
  <c r="CH36" i="2"/>
  <c r="CI36" i="2"/>
  <c r="CL37" i="2"/>
  <c r="CM37" i="2"/>
  <c r="AU38" i="2"/>
  <c r="AV38" i="2"/>
  <c r="AW38" i="2"/>
  <c r="AX38" i="2"/>
  <c r="AY38" i="2"/>
  <c r="AZ38" i="2"/>
  <c r="BA38" i="2"/>
  <c r="BB38" i="2"/>
  <c r="BC38" i="2"/>
  <c r="BD38" i="2"/>
  <c r="BE38" i="2"/>
  <c r="BF38" i="2"/>
  <c r="BG38" i="2"/>
  <c r="BH38" i="2"/>
  <c r="BI38" i="2"/>
  <c r="BJ38" i="2"/>
  <c r="BN38" i="2"/>
  <c r="BO38" i="2"/>
  <c r="BP38" i="2"/>
  <c r="BQ38" i="2"/>
  <c r="BR38" i="2"/>
  <c r="BS38" i="2"/>
  <c r="BT38" i="2"/>
  <c r="BU38" i="2"/>
  <c r="BV38" i="2"/>
  <c r="BW38" i="2"/>
  <c r="BX38" i="2"/>
  <c r="BY38" i="2"/>
  <c r="BZ38" i="2"/>
  <c r="CA38" i="2"/>
  <c r="CB38" i="2"/>
  <c r="CC38" i="2"/>
  <c r="CD38" i="2"/>
  <c r="CH38" i="2"/>
  <c r="CI38" i="2"/>
  <c r="AU39" i="2"/>
  <c r="AV39" i="2"/>
  <c r="AW39" i="2"/>
  <c r="AX39" i="2"/>
  <c r="AY39" i="2"/>
  <c r="AZ39" i="2"/>
  <c r="BA39" i="2"/>
  <c r="BB39" i="2"/>
  <c r="BC39" i="2"/>
  <c r="BD39" i="2"/>
  <c r="BE39" i="2"/>
  <c r="BF39" i="2"/>
  <c r="BG39" i="2"/>
  <c r="BH39" i="2"/>
  <c r="BI39" i="2"/>
  <c r="BJ39" i="2"/>
  <c r="BN39" i="2"/>
  <c r="BO39" i="2"/>
  <c r="BP39" i="2"/>
  <c r="BQ39" i="2"/>
  <c r="BR39" i="2"/>
  <c r="BS39" i="2"/>
  <c r="BT39" i="2"/>
  <c r="BU39" i="2"/>
  <c r="BV39" i="2"/>
  <c r="BW39" i="2"/>
  <c r="BX39" i="2"/>
  <c r="BY39" i="2"/>
  <c r="BZ39" i="2"/>
  <c r="CA39" i="2"/>
  <c r="CB39" i="2"/>
  <c r="CC39" i="2"/>
  <c r="CD39" i="2"/>
  <c r="CH39" i="2"/>
  <c r="CI39" i="2"/>
  <c r="AU40" i="2"/>
  <c r="AV40" i="2"/>
  <c r="AW40" i="2"/>
  <c r="AX40" i="2"/>
  <c r="AY40" i="2"/>
  <c r="AZ40" i="2"/>
  <c r="BA40" i="2"/>
  <c r="BB40" i="2"/>
  <c r="BC40" i="2"/>
  <c r="BD40" i="2"/>
  <c r="BE40" i="2"/>
  <c r="BF40" i="2"/>
  <c r="BG40" i="2"/>
  <c r="BH40" i="2"/>
  <c r="BI40" i="2"/>
  <c r="BJ40" i="2"/>
  <c r="BL40" i="2"/>
  <c r="BN40" i="2"/>
  <c r="BO40" i="2"/>
  <c r="BP40" i="2"/>
  <c r="BQ40" i="2"/>
  <c r="BR40" i="2"/>
  <c r="BS40" i="2"/>
  <c r="BT40" i="2"/>
  <c r="BU40" i="2"/>
  <c r="BV40" i="2"/>
  <c r="BW40" i="2"/>
  <c r="BX40" i="2"/>
  <c r="BY40" i="2"/>
  <c r="BZ40" i="2"/>
  <c r="CA40" i="2"/>
  <c r="CB40" i="2"/>
  <c r="CC40" i="2"/>
  <c r="CD40" i="2"/>
  <c r="CF40" i="2"/>
  <c r="CH40" i="2"/>
  <c r="CI40" i="2"/>
  <c r="AU41" i="2"/>
  <c r="CL41" i="2" s="1"/>
  <c r="B41" i="2" s="1"/>
  <c r="AV41" i="2"/>
  <c r="AW41" i="2"/>
  <c r="AX41" i="2"/>
  <c r="AY41" i="2"/>
  <c r="AZ41" i="2"/>
  <c r="BA41" i="2"/>
  <c r="BB41" i="2"/>
  <c r="BC41" i="2"/>
  <c r="BD41" i="2"/>
  <c r="BE41" i="2"/>
  <c r="BF41" i="2"/>
  <c r="BG41" i="2"/>
  <c r="BH41" i="2"/>
  <c r="BI41" i="2"/>
  <c r="BJ41" i="2"/>
  <c r="BK41" i="2"/>
  <c r="BL41" i="2"/>
  <c r="BM41" i="2"/>
  <c r="BN41" i="2"/>
  <c r="BO41" i="2"/>
  <c r="BP41" i="2"/>
  <c r="BQ41" i="2"/>
  <c r="BR41" i="2"/>
  <c r="BS41" i="2"/>
  <c r="BT41" i="2"/>
  <c r="BU41" i="2"/>
  <c r="BV41" i="2"/>
  <c r="BW41" i="2"/>
  <c r="BX41" i="2"/>
  <c r="BY41" i="2"/>
  <c r="BZ41" i="2"/>
  <c r="CA41" i="2"/>
  <c r="CB41" i="2"/>
  <c r="CC41" i="2"/>
  <c r="CD41" i="2"/>
  <c r="CE41" i="2"/>
  <c r="CF41" i="2"/>
  <c r="CG41" i="2"/>
  <c r="CH41" i="2"/>
  <c r="CI41" i="2"/>
  <c r="AU42" i="2"/>
  <c r="AV42" i="2"/>
  <c r="AW42" i="2"/>
  <c r="AX42" i="2"/>
  <c r="AY42" i="2"/>
  <c r="AZ42" i="2"/>
  <c r="BA42" i="2"/>
  <c r="BB42" i="2"/>
  <c r="BC42" i="2"/>
  <c r="BD42" i="2"/>
  <c r="BE42" i="2"/>
  <c r="BF42" i="2"/>
  <c r="BG42" i="2"/>
  <c r="BH42" i="2"/>
  <c r="BI42" i="2"/>
  <c r="BJ42" i="2"/>
  <c r="BN42" i="2"/>
  <c r="BO42" i="2"/>
  <c r="BP42" i="2"/>
  <c r="BQ42" i="2"/>
  <c r="BR42" i="2"/>
  <c r="BS42" i="2"/>
  <c r="BT42" i="2"/>
  <c r="BU42" i="2"/>
  <c r="BV42" i="2"/>
  <c r="BW42" i="2"/>
  <c r="BX42" i="2"/>
  <c r="BY42" i="2"/>
  <c r="BZ42" i="2"/>
  <c r="CA42" i="2"/>
  <c r="CB42" i="2"/>
  <c r="CC42" i="2"/>
  <c r="CD42" i="2"/>
  <c r="CH42" i="2"/>
  <c r="CI42" i="2"/>
  <c r="AU43" i="2"/>
  <c r="AV43" i="2"/>
  <c r="AW43" i="2"/>
  <c r="AX43" i="2"/>
  <c r="AY43" i="2"/>
  <c r="AZ43" i="2"/>
  <c r="BA43" i="2"/>
  <c r="BB43" i="2"/>
  <c r="BC43" i="2"/>
  <c r="BD43" i="2"/>
  <c r="BE43" i="2"/>
  <c r="BF43" i="2"/>
  <c r="BG43" i="2"/>
  <c r="BH43" i="2"/>
  <c r="BI43" i="2"/>
  <c r="BJ43" i="2"/>
  <c r="BN43" i="2"/>
  <c r="BO43" i="2"/>
  <c r="BP43" i="2"/>
  <c r="BQ43" i="2"/>
  <c r="BR43" i="2"/>
  <c r="BS43" i="2"/>
  <c r="BT43" i="2"/>
  <c r="BU43" i="2"/>
  <c r="BV43" i="2"/>
  <c r="BW43" i="2"/>
  <c r="BX43" i="2"/>
  <c r="BY43" i="2"/>
  <c r="BZ43" i="2"/>
  <c r="CA43" i="2"/>
  <c r="CB43" i="2"/>
  <c r="CC43" i="2"/>
  <c r="CD43" i="2"/>
  <c r="CH43" i="2"/>
  <c r="CI43" i="2"/>
  <c r="AU44" i="2"/>
  <c r="AV44" i="2"/>
  <c r="AW44" i="2"/>
  <c r="AX44" i="2"/>
  <c r="AY44" i="2"/>
  <c r="AZ44" i="2"/>
  <c r="BA44" i="2"/>
  <c r="BB44" i="2"/>
  <c r="BC44" i="2"/>
  <c r="BD44" i="2"/>
  <c r="BE44" i="2"/>
  <c r="BF44" i="2"/>
  <c r="BG44" i="2"/>
  <c r="BH44" i="2"/>
  <c r="BI44" i="2"/>
  <c r="BJ44" i="2"/>
  <c r="BL44" i="2"/>
  <c r="BN44" i="2"/>
  <c r="BO44" i="2"/>
  <c r="BP44" i="2"/>
  <c r="BQ44" i="2"/>
  <c r="BR44" i="2"/>
  <c r="BS44" i="2"/>
  <c r="BT44" i="2"/>
  <c r="BU44" i="2"/>
  <c r="BV44" i="2"/>
  <c r="BW44" i="2"/>
  <c r="BX44" i="2"/>
  <c r="BY44" i="2"/>
  <c r="BZ44" i="2"/>
  <c r="CA44" i="2"/>
  <c r="CB44" i="2"/>
  <c r="CC44" i="2"/>
  <c r="CD44" i="2"/>
  <c r="CF44" i="2"/>
  <c r="CH44" i="2"/>
  <c r="CI44" i="2"/>
  <c r="AU45" i="2"/>
  <c r="CL45" i="2" s="1"/>
  <c r="B45" i="2" s="1"/>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CD45" i="2"/>
  <c r="CE45" i="2"/>
  <c r="CF45" i="2"/>
  <c r="CG45" i="2"/>
  <c r="CH45" i="2"/>
  <c r="CI45" i="2"/>
  <c r="M2" i="3"/>
  <c r="H3" i="3"/>
  <c r="I3" i="3"/>
  <c r="M3" i="3"/>
  <c r="P3" i="3"/>
  <c r="Q3" i="3"/>
  <c r="R3" i="3"/>
  <c r="H4" i="3"/>
  <c r="M4" i="3"/>
  <c r="N4" i="3"/>
  <c r="H5" i="3"/>
  <c r="M5" i="3"/>
  <c r="Q5" i="3"/>
  <c r="R5" i="3"/>
  <c r="S5" i="3"/>
  <c r="H6" i="3"/>
  <c r="M6" i="3"/>
  <c r="P6" i="3"/>
  <c r="Q6" i="3"/>
  <c r="H7" i="3"/>
  <c r="M7" i="3"/>
  <c r="N7" i="3"/>
  <c r="Q7" i="3"/>
  <c r="H8" i="3"/>
  <c r="M8" i="3"/>
  <c r="N8" i="3"/>
  <c r="O8" i="3"/>
  <c r="P8" i="3"/>
  <c r="H9" i="3"/>
  <c r="M9" i="3"/>
  <c r="Q9" i="3"/>
  <c r="H10" i="3"/>
  <c r="M10" i="3"/>
  <c r="N10" i="3"/>
  <c r="O10" i="3"/>
  <c r="Q10" i="3"/>
  <c r="R10" i="3"/>
  <c r="H11" i="3"/>
  <c r="N11" i="3"/>
  <c r="O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I17" i="3" l="1"/>
  <c r="K17" i="3" s="1"/>
  <c r="B81" i="2"/>
  <c r="I42" i="3"/>
  <c r="K42" i="3" s="1"/>
  <c r="I46" i="3"/>
  <c r="K46" i="3" s="1"/>
  <c r="B77" i="2"/>
  <c r="CL40" i="2"/>
  <c r="B40" i="2" s="1"/>
  <c r="CM34" i="2"/>
  <c r="CE33" i="2"/>
  <c r="BK33" i="2"/>
  <c r="CL33" i="2" s="1"/>
  <c r="B33" i="2" s="1"/>
  <c r="CG28" i="2"/>
  <c r="BM28" i="2"/>
  <c r="CG12" i="2"/>
  <c r="BM12" i="2"/>
  <c r="CE12" i="2"/>
  <c r="BK12" i="2"/>
  <c r="BK28" i="2"/>
  <c r="CG36" i="2"/>
  <c r="BM36" i="2"/>
  <c r="CG32" i="2"/>
  <c r="BM32" i="2"/>
  <c r="CQ27" i="2"/>
  <c r="CE26" i="2"/>
  <c r="BK26" i="2"/>
  <c r="CM26" i="2" s="1"/>
  <c r="CR25" i="2"/>
  <c r="CE24" i="2"/>
  <c r="BK24" i="2"/>
  <c r="CI7" i="2"/>
  <c r="BO7" i="2"/>
  <c r="AU7" i="2"/>
  <c r="BM26" i="2"/>
  <c r="CE28" i="2"/>
  <c r="CG44" i="2"/>
  <c r="BM44" i="2"/>
  <c r="CL44" i="2" s="1"/>
  <c r="B44" i="2" s="1"/>
  <c r="CG40" i="2"/>
  <c r="BM40" i="2"/>
  <c r="CF32" i="2"/>
  <c r="BL32" i="2"/>
  <c r="CL32" i="2" s="1"/>
  <c r="B32" i="2" s="1"/>
  <c r="CP27" i="2"/>
  <c r="CG15" i="2"/>
  <c r="BM15" i="2"/>
  <c r="AU9" i="2"/>
  <c r="BW8" i="2"/>
  <c r="BC8" i="2"/>
  <c r="CH7" i="2"/>
  <c r="BN7" i="2"/>
  <c r="BW6" i="2"/>
  <c r="BC6" i="2"/>
  <c r="CM6" i="2" s="1"/>
  <c r="CI5" i="2"/>
  <c r="BO5" i="2"/>
  <c r="AU5" i="2"/>
  <c r="CE32" i="2"/>
  <c r="CG7" i="2"/>
  <c r="BM7" i="2"/>
  <c r="DR4" i="2"/>
  <c r="CX4" i="2"/>
  <c r="BM24" i="2"/>
  <c r="CM24" i="2" s="1"/>
  <c r="CE36" i="2"/>
  <c r="BK36" i="2"/>
  <c r="CM36" i="2" s="1"/>
  <c r="BK32" i="2"/>
  <c r="CE44" i="2"/>
  <c r="BK44" i="2"/>
  <c r="CM44" i="2" s="1"/>
  <c r="CE40" i="2"/>
  <c r="BK40" i="2"/>
  <c r="CM40" i="2" s="1"/>
  <c r="CE15" i="2"/>
  <c r="BK15" i="2"/>
  <c r="CH11" i="2"/>
  <c r="BN11" i="2"/>
  <c r="CF7" i="2"/>
  <c r="BL7" i="2"/>
  <c r="CG5" i="2"/>
  <c r="BM5" i="2"/>
  <c r="DQ4" i="2"/>
  <c r="CS4" i="2"/>
  <c r="Q4" i="3" s="1"/>
  <c r="BM23" i="2"/>
  <c r="CG11" i="2"/>
  <c r="BM11" i="2"/>
  <c r="CE7" i="2"/>
  <c r="BK7" i="2"/>
  <c r="CF5" i="2"/>
  <c r="BL5" i="2"/>
  <c r="DP4" i="2"/>
  <c r="CR4" i="2"/>
  <c r="P4" i="3" s="1"/>
  <c r="CP9" i="2"/>
  <c r="N9" i="3" s="1"/>
  <c r="CG23" i="2"/>
  <c r="CG35" i="2"/>
  <c r="BM35" i="2"/>
  <c r="CI25" i="2"/>
  <c r="BO25" i="2"/>
  <c r="CM25" i="2" s="1"/>
  <c r="CF23" i="2"/>
  <c r="BL23" i="2"/>
  <c r="CH18" i="2"/>
  <c r="BN18" i="2"/>
  <c r="CH14" i="2"/>
  <c r="BN14" i="2"/>
  <c r="BY12" i="2"/>
  <c r="BE12" i="2"/>
  <c r="CF11" i="2"/>
  <c r="BL11" i="2"/>
  <c r="CD7" i="2"/>
  <c r="BJ7" i="2"/>
  <c r="CQ6" i="2"/>
  <c r="O6" i="3" s="1"/>
  <c r="CE5" i="2"/>
  <c r="BK5" i="2"/>
  <c r="EI4" i="2"/>
  <c r="DO4" i="2"/>
  <c r="CQ4" i="2"/>
  <c r="O4" i="3" s="1"/>
  <c r="BM29" i="2"/>
  <c r="BM27" i="2"/>
  <c r="BM18" i="2"/>
  <c r="CG14" i="2"/>
  <c r="BM14" i="2"/>
  <c r="CE11" i="2"/>
  <c r="BK11" i="2"/>
  <c r="CL11" i="2" s="1"/>
  <c r="B11" i="2" s="1"/>
  <c r="CP6" i="2"/>
  <c r="N6" i="3" s="1"/>
  <c r="EH4" i="2"/>
  <c r="DN4" i="2"/>
  <c r="CG43" i="2"/>
  <c r="BM43" i="2"/>
  <c r="CG39" i="2"/>
  <c r="BM39" i="2"/>
  <c r="CG29" i="2"/>
  <c r="CG27" i="2"/>
  <c r="CE23" i="2"/>
  <c r="BK23" i="2"/>
  <c r="CG18" i="2"/>
  <c r="CF43" i="2"/>
  <c r="BL43" i="2"/>
  <c r="CF39" i="2"/>
  <c r="BL39" i="2"/>
  <c r="CE35" i="2"/>
  <c r="BK35" i="2"/>
  <c r="CL35" i="2" s="1"/>
  <c r="B35" i="2" s="1"/>
  <c r="CF29" i="2"/>
  <c r="BL29" i="2"/>
  <c r="BW28" i="2"/>
  <c r="BC28" i="2"/>
  <c r="CL28" i="2" s="1"/>
  <c r="B28" i="2" s="1"/>
  <c r="CF27" i="2"/>
  <c r="BL27" i="2"/>
  <c r="CV26" i="2"/>
  <c r="CG25" i="2"/>
  <c r="BM25" i="2"/>
  <c r="CD23" i="2"/>
  <c r="BJ23" i="2"/>
  <c r="CI22" i="2"/>
  <c r="BO22" i="2"/>
  <c r="AU22" i="2"/>
  <c r="CF18" i="2"/>
  <c r="BL18" i="2"/>
  <c r="CA15" i="2"/>
  <c r="BG15" i="2"/>
  <c r="CF14" i="2"/>
  <c r="BL14" i="2"/>
  <c r="CM13" i="2"/>
  <c r="BW12" i="2"/>
  <c r="BC12" i="2"/>
  <c r="CM12" i="2" s="1"/>
  <c r="CD11" i="2"/>
  <c r="BJ11" i="2"/>
  <c r="CR10" i="2"/>
  <c r="P10" i="3" s="1"/>
  <c r="CB7" i="2"/>
  <c r="BH7" i="2"/>
  <c r="CC5" i="2"/>
  <c r="BI5" i="2"/>
  <c r="EG4" i="2"/>
  <c r="DM4" i="2"/>
  <c r="DR3" i="2"/>
  <c r="CX3" i="2"/>
  <c r="CE43" i="2"/>
  <c r="BK43" i="2"/>
  <c r="CM43" i="2" s="1"/>
  <c r="CE39" i="2"/>
  <c r="BK39" i="2"/>
  <c r="CL39" i="2" s="1"/>
  <c r="B39" i="2" s="1"/>
  <c r="CE29" i="2"/>
  <c r="BK29" i="2"/>
  <c r="CM29" i="2" s="1"/>
  <c r="CE27" i="2"/>
  <c r="BK27" i="2"/>
  <c r="CU24" i="2"/>
  <c r="CE18" i="2"/>
  <c r="BK18" i="2"/>
  <c r="CE14" i="2"/>
  <c r="BK14" i="2"/>
  <c r="CA7" i="2"/>
  <c r="BG7" i="2"/>
  <c r="CB5" i="2"/>
  <c r="EF4" i="2"/>
  <c r="DL4" i="2"/>
  <c r="DQ3" i="2"/>
  <c r="CU3" i="2"/>
  <c r="S3" i="3" s="1"/>
  <c r="BM22" i="2"/>
  <c r="DP3" i="2"/>
  <c r="CG34" i="2"/>
  <c r="BM34" i="2"/>
  <c r="CG31" i="2"/>
  <c r="BM31" i="2"/>
  <c r="CD25" i="2"/>
  <c r="CF22" i="2"/>
  <c r="BL22" i="2"/>
  <c r="CH17" i="2"/>
  <c r="BN17" i="2"/>
  <c r="CC14" i="2"/>
  <c r="BI14" i="2"/>
  <c r="CL14" i="2" s="1"/>
  <c r="B14" i="2" s="1"/>
  <c r="CH13" i="2"/>
  <c r="BN13" i="2"/>
  <c r="CA11" i="2"/>
  <c r="BG11" i="2"/>
  <c r="CH8" i="2"/>
  <c r="BN8" i="2"/>
  <c r="BY7" i="2"/>
  <c r="BE7" i="2"/>
  <c r="CH6" i="2"/>
  <c r="BN6" i="2"/>
  <c r="BZ5" i="2"/>
  <c r="BF5" i="2"/>
  <c r="ED4" i="2"/>
  <c r="DJ4" i="2"/>
  <c r="EI3" i="2"/>
  <c r="DO3" i="2"/>
  <c r="CG24" i="2"/>
  <c r="BK25" i="2"/>
  <c r="CL25" i="2" s="1"/>
  <c r="B25" i="2" s="1"/>
  <c r="CG42" i="2"/>
  <c r="CG38" i="2"/>
  <c r="BM38" i="2"/>
  <c r="CF34" i="2"/>
  <c r="BL34" i="2"/>
  <c r="CM33" i="2"/>
  <c r="CF31" i="2"/>
  <c r="BL31" i="2"/>
  <c r="CE22" i="2"/>
  <c r="BK22" i="2"/>
  <c r="CG17" i="2"/>
  <c r="BM17" i="2"/>
  <c r="CM17" i="2" s="1"/>
  <c r="BW15" i="2"/>
  <c r="BC15" i="2"/>
  <c r="CL15" i="2" s="1"/>
  <c r="B15" i="2" s="1"/>
  <c r="CG13" i="2"/>
  <c r="BM13" i="2"/>
  <c r="BZ11" i="2"/>
  <c r="BF11" i="2"/>
  <c r="CG8" i="2"/>
  <c r="BM8" i="2"/>
  <c r="BX7" i="2"/>
  <c r="BD7" i="2"/>
  <c r="CG6" i="2"/>
  <c r="BM6" i="2"/>
  <c r="BY5" i="2"/>
  <c r="BE5" i="2"/>
  <c r="EH3" i="2"/>
  <c r="DN3" i="2"/>
  <c r="CG26" i="2"/>
  <c r="CE25" i="2"/>
  <c r="CG22" i="2"/>
  <c r="BM42" i="2"/>
  <c r="CM45" i="2"/>
  <c r="CF42" i="2"/>
  <c r="BL42" i="2"/>
  <c r="CM41" i="2"/>
  <c r="CF38" i="2"/>
  <c r="BL38" i="2"/>
  <c r="CE34" i="2"/>
  <c r="BK34" i="2"/>
  <c r="CL34" i="2" s="1"/>
  <c r="B34" i="2" s="1"/>
  <c r="CE31" i="2"/>
  <c r="BK31" i="2"/>
  <c r="CM31" i="2" s="1"/>
  <c r="CR30" i="2"/>
  <c r="CA29" i="2"/>
  <c r="CA27" i="2"/>
  <c r="BG27" i="2"/>
  <c r="CM27" i="2" s="1"/>
  <c r="BY23" i="2"/>
  <c r="BE23" i="2"/>
  <c r="CM23" i="2" s="1"/>
  <c r="CD22" i="2"/>
  <c r="BJ22" i="2"/>
  <c r="CI21" i="2"/>
  <c r="BO21" i="2"/>
  <c r="AU21" i="2"/>
  <c r="CA18" i="2"/>
  <c r="BG18" i="2"/>
  <c r="CM18" i="2" s="1"/>
  <c r="CF17" i="2"/>
  <c r="BL17" i="2"/>
  <c r="CM16" i="2"/>
  <c r="CA14" i="2"/>
  <c r="CF13" i="2"/>
  <c r="BL13" i="2"/>
  <c r="CP12" i="2"/>
  <c r="N12" i="3" s="1"/>
  <c r="BY11" i="2"/>
  <c r="BE11" i="2"/>
  <c r="CM11" i="2" s="1"/>
  <c r="AU10" i="2"/>
  <c r="CF8" i="2"/>
  <c r="BL8" i="2"/>
  <c r="BW7" i="2"/>
  <c r="BC7" i="2"/>
  <c r="CV5" i="2"/>
  <c r="T5" i="3" s="1"/>
  <c r="BX5" i="2"/>
  <c r="BD5" i="2"/>
  <c r="CE42" i="2"/>
  <c r="BK42" i="2"/>
  <c r="CL42" i="2" s="1"/>
  <c r="B42" i="2" s="1"/>
  <c r="CE38" i="2"/>
  <c r="BK38" i="2"/>
  <c r="CL38" i="2" s="1"/>
  <c r="B38" i="2" s="1"/>
  <c r="CE17" i="2"/>
  <c r="BK17" i="2"/>
  <c r="CL17" i="2" s="1"/>
  <c r="B17" i="2" s="1"/>
  <c r="CE13" i="2"/>
  <c r="BK13" i="2"/>
  <c r="CL13" i="2" s="1"/>
  <c r="B13" i="2" s="1"/>
  <c r="CE8" i="2"/>
  <c r="BK8" i="2"/>
  <c r="CM8" i="2" s="1"/>
  <c r="CP30" i="2"/>
  <c r="CG21" i="2"/>
  <c r="BM21" i="2"/>
  <c r="CG10" i="2"/>
  <c r="BM10" i="2"/>
  <c r="I26" i="3" l="1"/>
  <c r="K26" i="3" s="1"/>
  <c r="I45" i="3"/>
  <c r="K45" i="3" s="1"/>
  <c r="B78" i="2"/>
  <c r="I18" i="3"/>
  <c r="K18" i="3" s="1"/>
  <c r="B37" i="2"/>
  <c r="I39" i="3"/>
  <c r="K39" i="3" s="1"/>
  <c r="I29" i="3"/>
  <c r="K29" i="3" s="1"/>
  <c r="I36" i="3"/>
  <c r="K36" i="3" s="1"/>
  <c r="I14" i="3"/>
  <c r="K14" i="3" s="1"/>
  <c r="I15" i="3"/>
  <c r="K15" i="3" s="1"/>
  <c r="I43" i="3"/>
  <c r="K43" i="3" s="1"/>
  <c r="B80" i="2"/>
  <c r="I40" i="3"/>
  <c r="K40" i="3" s="1"/>
  <c r="I35" i="3"/>
  <c r="K35" i="3" s="1"/>
  <c r="I12" i="3"/>
  <c r="K12" i="3" s="1"/>
  <c r="I16" i="3"/>
  <c r="K16" i="3" s="1"/>
  <c r="I34" i="3"/>
  <c r="K34" i="3" s="1"/>
  <c r="I33" i="3"/>
  <c r="K33" i="3" s="1"/>
  <c r="CL21" i="2"/>
  <c r="B21" i="2" s="1"/>
  <c r="CM21" i="2"/>
  <c r="EJ4" i="2"/>
  <c r="N19" i="3" s="1"/>
  <c r="CL26" i="2"/>
  <c r="B26" i="2" s="1"/>
  <c r="CL31" i="2"/>
  <c r="B31" i="2" s="1"/>
  <c r="CM15" i="2"/>
  <c r="CL24" i="2"/>
  <c r="B24" i="2" s="1"/>
  <c r="CL43" i="2"/>
  <c r="B43" i="2" s="1"/>
  <c r="CL29" i="2"/>
  <c r="B29" i="2" s="1"/>
  <c r="CM38" i="2"/>
  <c r="CM35" i="2"/>
  <c r="EJ3" i="2"/>
  <c r="N18" i="3" s="1"/>
  <c r="CM14" i="2"/>
  <c r="CL27" i="2"/>
  <c r="B27" i="2" s="1"/>
  <c r="CL6" i="2"/>
  <c r="B6" i="2" s="1"/>
  <c r="CL18" i="2"/>
  <c r="B18" i="2" s="1"/>
  <c r="CL22" i="2"/>
  <c r="B22" i="2" s="1"/>
  <c r="CM22" i="2"/>
  <c r="CM39" i="2"/>
  <c r="CL5" i="2"/>
  <c r="B5" i="2" s="1"/>
  <c r="CM5" i="2"/>
  <c r="CL23" i="2"/>
  <c r="B23" i="2" s="1"/>
  <c r="CL10" i="2"/>
  <c r="B10" i="2" s="1"/>
  <c r="CM10" i="2"/>
  <c r="CM7" i="2"/>
  <c r="CL7" i="2"/>
  <c r="B7" i="2" s="1"/>
  <c r="CM42" i="2"/>
  <c r="CL36" i="2"/>
  <c r="B36" i="2" s="1"/>
  <c r="CL8" i="2"/>
  <c r="B8" i="2" s="1"/>
  <c r="I41" i="3"/>
  <c r="K41" i="3" s="1"/>
  <c r="CM28" i="2"/>
  <c r="CL12" i="2"/>
  <c r="B12" i="2" s="1"/>
  <c r="CM32" i="2"/>
  <c r="CL9" i="2"/>
  <c r="CM9" i="2"/>
  <c r="I25" i="3" l="1"/>
  <c r="K25" i="3" s="1"/>
  <c r="I32" i="3"/>
  <c r="K32" i="3" s="1"/>
  <c r="B30" i="2"/>
  <c r="B9" i="2"/>
  <c r="I11" i="3"/>
  <c r="K11" i="3" s="1"/>
  <c r="I27" i="3"/>
  <c r="K27" i="3" s="1"/>
  <c r="I24" i="3"/>
  <c r="K24" i="3" s="1"/>
  <c r="B20" i="2"/>
  <c r="I22" i="3"/>
  <c r="K22" i="3" s="1"/>
  <c r="B4" i="2"/>
  <c r="I6" i="3"/>
  <c r="K6" i="3" s="1"/>
  <c r="I8" i="3"/>
  <c r="K8" i="3" s="1"/>
  <c r="I23" i="3"/>
  <c r="I19" i="3"/>
  <c r="K19" i="3" s="1"/>
  <c r="I7" i="3"/>
  <c r="K7" i="3" s="1"/>
  <c r="B82" i="2"/>
  <c r="I38" i="3"/>
  <c r="K38" i="3" s="1"/>
  <c r="I28" i="3"/>
  <c r="I13" i="3"/>
  <c r="K13" i="3" s="1"/>
  <c r="I9" i="3"/>
  <c r="K9" i="3" s="1"/>
  <c r="B86" i="2"/>
  <c r="I30" i="3"/>
  <c r="K30" i="3" s="1"/>
  <c r="I37" i="3"/>
  <c r="K37" i="3" s="1"/>
  <c r="I44" i="3"/>
  <c r="K44" i="3" s="1"/>
  <c r="B79" i="2"/>
  <c r="Q12" i="3" l="1"/>
  <c r="K28" i="3"/>
  <c r="K23" i="3"/>
  <c r="Q11" i="3"/>
  <c r="B87" i="2"/>
  <c r="B46" i="2"/>
  <c r="I5" i="3"/>
  <c r="B84" i="2"/>
  <c r="I21" i="3"/>
  <c r="K21" i="3" s="1"/>
  <c r="C20" i="2"/>
  <c r="B71" i="2" s="1"/>
  <c r="B85" i="2"/>
  <c r="I10" i="3"/>
  <c r="K10" i="3" s="1"/>
  <c r="C9" i="2"/>
  <c r="B72" i="2" s="1"/>
  <c r="B83" i="2"/>
  <c r="I31" i="3"/>
  <c r="K31" i="3" s="1"/>
  <c r="C30" i="2"/>
  <c r="B70" i="2" s="1"/>
  <c r="C16" i="2" l="1"/>
  <c r="C41" i="2"/>
  <c r="B68" i="2" s="1"/>
  <c r="C45" i="2"/>
  <c r="B64" i="2" s="1"/>
  <c r="C38" i="2"/>
  <c r="C25" i="2"/>
  <c r="C39" i="2"/>
  <c r="C11" i="2"/>
  <c r="C15" i="2"/>
  <c r="C33" i="2"/>
  <c r="C28" i="2"/>
  <c r="C34" i="2"/>
  <c r="C40" i="2"/>
  <c r="C44" i="2"/>
  <c r="B65" i="2" s="1"/>
  <c r="C17" i="2"/>
  <c r="C35" i="2"/>
  <c r="C32" i="2"/>
  <c r="C14" i="2"/>
  <c r="C13" i="2"/>
  <c r="C42" i="2"/>
  <c r="B67" i="2" s="1"/>
  <c r="C22" i="2"/>
  <c r="C31" i="2"/>
  <c r="C18" i="2"/>
  <c r="C10" i="2"/>
  <c r="C6" i="2"/>
  <c r="C26" i="2"/>
  <c r="C27" i="2"/>
  <c r="C21" i="2"/>
  <c r="C8" i="2"/>
  <c r="B73" i="2" s="1"/>
  <c r="C5" i="2"/>
  <c r="C24" i="2"/>
  <c r="C43" i="2"/>
  <c r="B66" i="2" s="1"/>
  <c r="C37" i="2"/>
  <c r="B69" i="2" s="1"/>
  <c r="C23" i="2"/>
  <c r="C12" i="2"/>
  <c r="C29" i="2"/>
  <c r="C7" i="2"/>
  <c r="C36" i="2"/>
  <c r="C4" i="2"/>
  <c r="B74" i="2" s="1"/>
  <c r="I52" i="3"/>
  <c r="R22" i="3" s="1"/>
  <c r="K5" i="3"/>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<sst xmlns="http://schemas.openxmlformats.org/spreadsheetml/2006/main" count="247" uniqueCount="131">
  <si>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</si>
  <si>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</si>
  <si>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</si>
  <si>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</si>
  <si>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</si>
  <si>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</si>
  <si>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</si>
  <si>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</si>
  <si>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</si>
  <si>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</si>
  <si>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</si>
  <si>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</si>
  <si>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</si>
  <si>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</si>
  <si>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</si>
  <si>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</si>
  <si>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</si>
  <si>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</si>
  <si>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</si>
  <si>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</si>
  <si>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</si>
  <si>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</si>
  <si>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</si>
  <si>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</si>
  <si>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</si>
  <si>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</si>
  <si>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</si>
  <si>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</si>
  <si>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</si>
  <si>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</si>
  <si>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</si>
  <si>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</si>
  <si>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</si>
  <si>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</si>
  <si>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family val="1"/>
      </rPr>
      <t xml:space="preserve"> </t>
    </r>
    <r>
      <rPr>
        <b/>
        <sz val="7"/>
        <rFont val="Times New Roman"/>
        <family val="1"/>
      </rPr>
      <t xml:space="preserve"> </t>
    </r>
    <r>
      <rPr>
        <b/>
        <sz val="12"/>
        <rFont val="Times New Roman"/>
        <family val="1"/>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</si>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</sst>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amily val="1"/>
    </font>
    <font>
      <b/>
      <sz val="10"/>
      <name val="Arial"/>
      <family val="2"/>
    </font>
    <font>
      <b/>
      <sz val="12"/>
      <name val="Times New Roman"/>
      <family val="1"/>
    </font>
    <font>
      <sz val="12"/>
      <name val="Times New Roman"/>
      <family val="1"/>
    </font>
    <font>
      <b/>
      <sz val="12"/>
      <name val="Arial"/>
      <family val="2"/>
    </font>
    <font>
      <b/>
      <sz val="7"/>
      <name val="Times New Roman"/>
      <family val="1"/>
    </font>
    <font>
      <sz val="12"/>
      <name val="Arial"/>
      <family val="2"/>
    </font>
    <font>
      <sz val="12"/>
      <name val="Times"/>
    </font>
    <font>
      <b/>
      <sz val="14"/>
      <name val="Arial"/>
      <family val="2"/>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6501553038767592"/>
          <c:y val="2.8847094501605837E-2"/>
        </c:manualLayout>
      </c:layout>
      <c:overlay val="0"/>
      <c:spPr>
        <a:noFill/>
        <a:ln w="25400">
          <a:noFill/>
        </a:ln>
      </c:spPr>
    </c:title>
    <c:autoTitleDeleted val="0"/>
    <c:plotArea>
      <c:layout>
        <c:manualLayout>
          <c:layoutTarget val="inner"/>
          <c:xMode val="edge"/>
          <c:yMode val="edge"/>
          <c:x val="0.2169506623128486"/>
          <c:y val="0.10937856665192214"/>
          <c:w val="0.6793564535197959"/>
          <c:h val="0.8233441555666666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7DF2-4772-8146-E25F4BB64C58}"/>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7DF2-4772-8146-E25F4BB64C58}"/>
            </c:ext>
          </c:extLst>
        </c:ser>
        <c:dLbls>
          <c:showLegendKey val="0"/>
          <c:showVal val="1"/>
          <c:showCatName val="0"/>
          <c:showSerName val="0"/>
          <c:showPercent val="0"/>
          <c:showBubbleSize val="0"/>
        </c:dLbls>
        <c:gapWidth val="150"/>
        <c:axId val="791514783"/>
        <c:axId val="1"/>
      </c:barChart>
      <c:catAx>
        <c:axId val="7915147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en-US"/>
          </a:p>
        </c:txPr>
        <c:crossAx val="791514783"/>
        <c:crosses val="autoZero"/>
        <c:crossBetween val="between"/>
      </c:valAx>
      <c:spPr>
        <a:solidFill>
          <a:srgbClr val="C0C0C0"/>
        </a:solidFill>
        <a:ln w="12700">
          <a:solidFill>
            <a:srgbClr val="808080"/>
          </a:solidFill>
          <a:prstDash val="solid"/>
        </a:ln>
      </c:spPr>
    </c:plotArea>
    <c:legend>
      <c:legendPos val="r"/>
      <c:layout>
        <c:manualLayout>
          <c:xMode val="edge"/>
          <c:yMode val="edge"/>
          <c:x val="0.92718695462899892"/>
          <c:y val="0.49040060652729928"/>
          <c:w val="6.4135049807812899E-2"/>
          <c:h val="6.13000758159124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774066708274719"/>
          <c:y val="5.2221052121607735E-2"/>
          <c:w val="0.65037005324950914"/>
          <c:h val="0.882535780855170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00"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2.7196652719665274E-2</c:v>
                </c:pt>
                <c:pt idx="1">
                  <c:v>2.615062761506276E-2</c:v>
                </c:pt>
                <c:pt idx="2">
                  <c:v>4.8117154811715482E-2</c:v>
                </c:pt>
                <c:pt idx="3">
                  <c:v>3.0334728033472803E-2</c:v>
                </c:pt>
                <c:pt idx="4">
                  <c:v>5.4393305439330547E-2</c:v>
                </c:pt>
                <c:pt idx="5">
                  <c:v>6.903765690376569E-2</c:v>
                </c:pt>
                <c:pt idx="6">
                  <c:v>0.17573221757322174</c:v>
                </c:pt>
                <c:pt idx="7">
                  <c:v>0.12343096234309624</c:v>
                </c:pt>
                <c:pt idx="8">
                  <c:v>0.27510460251046026</c:v>
                </c:pt>
                <c:pt idx="9">
                  <c:v>3.0334728033472803E-2</c:v>
                </c:pt>
                <c:pt idx="10">
                  <c:v>0.14016736401673641</c:v>
                </c:pt>
              </c:numCache>
            </c:numRef>
          </c:val>
          <c:extLst>
            <c:ext xmlns:c16="http://schemas.microsoft.com/office/drawing/2014/chart" uri="{C3380CC4-5D6E-409C-BE32-E72D297353CC}">
              <c16:uniqueId val="{00000000-78B7-4E9D-AD32-B6E61E57E0D3}"/>
            </c:ext>
          </c:extLst>
        </c:ser>
        <c:dLbls>
          <c:showLegendKey val="0"/>
          <c:showVal val="1"/>
          <c:showCatName val="0"/>
          <c:showSerName val="0"/>
          <c:showPercent val="0"/>
          <c:showBubbleSize val="0"/>
        </c:dLbls>
        <c:gapWidth val="150"/>
        <c:axId val="791513583"/>
        <c:axId val="1"/>
      </c:barChart>
      <c:catAx>
        <c:axId val="7915135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Geneva"/>
                <a:ea typeface="Geneva"/>
                <a:cs typeface="Geneva"/>
              </a:defRPr>
            </a:pPr>
            <a:endParaRPr lang="en-US"/>
          </a:p>
        </c:txPr>
        <c:crossAx val="7915135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2344961679202344"/>
          <c:y val="3.0514128026546128E-2"/>
        </c:manualLayout>
      </c:layout>
      <c:overlay val="0"/>
      <c:spPr>
        <a:noFill/>
        <a:ln w="25400">
          <a:noFill/>
        </a:ln>
      </c:spPr>
    </c:title>
    <c:autoTitleDeleted val="0"/>
    <c:plotArea>
      <c:layout>
        <c:manualLayout>
          <c:layoutTarget val="inner"/>
          <c:xMode val="edge"/>
          <c:yMode val="edge"/>
          <c:x val="0.29478952416488213"/>
          <c:y val="0.12066950628679604"/>
          <c:w val="0.66122927989761748"/>
          <c:h val="0.79614134032897621"/>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FB70-487F-BD49-2654B3783398}"/>
            </c:ext>
          </c:extLst>
        </c:ser>
        <c:dLbls>
          <c:showLegendKey val="0"/>
          <c:showVal val="1"/>
          <c:showCatName val="0"/>
          <c:showSerName val="0"/>
          <c:showPercent val="0"/>
          <c:showBubbleSize val="0"/>
        </c:dLbls>
        <c:gapWidth val="150"/>
        <c:axId val="699784015"/>
        <c:axId val="1"/>
      </c:barChart>
      <c:catAx>
        <c:axId val="699784015"/>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699784015"/>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Geneva"/>
                <a:ea typeface="Geneva"/>
                <a:cs typeface="Geneva"/>
              </a:defRPr>
            </a:pPr>
            <a:r>
              <a:rPr lang="en-GB"/>
              <a:t>Sum of Extents of Each Outcome</a:t>
            </a:r>
          </a:p>
        </c:rich>
      </c:tx>
      <c:layout>
        <c:manualLayout>
          <c:xMode val="edge"/>
          <c:yMode val="edge"/>
          <c:x val="0.34446541176635054"/>
          <c:y val="2.742495883957569E-2"/>
        </c:manualLayout>
      </c:layout>
      <c:overlay val="0"/>
      <c:spPr>
        <a:noFill/>
        <a:ln w="25400">
          <a:noFill/>
        </a:ln>
      </c:spPr>
    </c:title>
    <c:autoTitleDeleted val="0"/>
    <c:plotArea>
      <c:layout>
        <c:manualLayout>
          <c:layoutTarget val="inner"/>
          <c:xMode val="edge"/>
          <c:yMode val="edge"/>
          <c:x val="0.24256857530143533"/>
          <c:y val="9.6966818754214049E-2"/>
          <c:w val="0.63662979242681539"/>
          <c:h val="0.84429694713265158"/>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99FF-4940-9CD0-6039B69FC2B6}"/>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25" b="0" i="0" u="none" strike="noStrike" baseline="0">
                    <a:solidFill>
                      <a:srgbClr val="000000"/>
                    </a:solidFill>
                    <a:latin typeface="Geneva"/>
                    <a:ea typeface="Geneva"/>
                    <a:cs typeface="Genev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99FF-4940-9CD0-6039B69FC2B6}"/>
            </c:ext>
          </c:extLst>
        </c:ser>
        <c:dLbls>
          <c:showLegendKey val="0"/>
          <c:showVal val="1"/>
          <c:showCatName val="0"/>
          <c:showSerName val="0"/>
          <c:showPercent val="0"/>
          <c:showBubbleSize val="0"/>
        </c:dLbls>
        <c:gapWidth val="150"/>
        <c:axId val="791513183"/>
        <c:axId val="1"/>
      </c:barChart>
      <c:catAx>
        <c:axId val="791513183"/>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Geneva"/>
                <a:ea typeface="Geneva"/>
                <a:cs typeface="Geneva"/>
              </a:defRPr>
            </a:pPr>
            <a:endParaRPr lang="en-US"/>
          </a:p>
        </c:txPr>
        <c:crossAx val="791513183"/>
        <c:crosses val="autoZero"/>
        <c:crossBetween val="between"/>
      </c:valAx>
      <c:spPr>
        <a:solidFill>
          <a:srgbClr val="C0C0C0"/>
        </a:solidFill>
        <a:ln w="12700">
          <a:solidFill>
            <a:srgbClr val="808080"/>
          </a:solidFill>
          <a:prstDash val="solid"/>
        </a:ln>
      </c:spPr>
    </c:plotArea>
    <c:legend>
      <c:legendPos val="r"/>
      <c:layout>
        <c:manualLayout>
          <c:xMode val="edge"/>
          <c:yMode val="edge"/>
          <c:x val="0.91436630243738082"/>
          <c:y val="0.4936492591123624"/>
          <c:w val="7.5746320911972365E-2"/>
          <c:h val="5.1911529232053985E-2"/>
        </c:manualLayout>
      </c:layout>
      <c:overlay val="0"/>
      <c:spPr>
        <a:solidFill>
          <a:srgbClr val="FFFFFF"/>
        </a:solidFill>
        <a:ln w="3175">
          <a:solidFill>
            <a:srgbClr val="000000"/>
          </a:solidFill>
          <a:prstDash val="solid"/>
        </a:ln>
      </c:spPr>
      <c:txPr>
        <a:bodyPr/>
        <a:lstStyle/>
        <a:p>
          <a:pPr>
            <a:defRPr sz="755" b="0" i="0" u="none" strike="noStrike" baseline="0">
              <a:solidFill>
                <a:srgbClr val="000000"/>
              </a:solidFill>
              <a:latin typeface="Geneva"/>
              <a:ea typeface="Geneva"/>
              <a:cs typeface="Geneva"/>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Geneva"/>
          <a:ea typeface="Geneva"/>
          <a:cs typeface="Geneva"/>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577850</xdr:colOff>
      <xdr:row>2</xdr:row>
      <xdr:rowOff>63500</xdr:rowOff>
    </xdr:from>
    <xdr:to>
      <xdr:col>5</xdr:col>
      <xdr:colOff>635000</xdr:colOff>
      <xdr:row>7</xdr:row>
      <xdr:rowOff>76200</xdr:rowOff>
    </xdr:to>
    <xdr:sp macro="" textlink="">
      <xdr:nvSpPr>
        <xdr:cNvPr id="2049" name="Text Box 1">
          <a:extLst>
            <a:ext uri="{FF2B5EF4-FFF2-40B4-BE49-F238E27FC236}">
              <a16:creationId xmlns:a16="http://schemas.microsoft.com/office/drawing/2014/main" id="{FE19C192-EA1B-4B54-BA66-F565FFBAF992}"/>
            </a:ext>
          </a:extLst>
        </xdr:cNvPr>
        <xdr:cNvSpPr txBox="1">
          <a:spLocks noChangeArrowheads="1"/>
        </xdr:cNvSpPr>
      </xdr:nvSpPr>
      <xdr:spPr bwMode="auto">
        <a:xfrm>
          <a:off x="1377950" y="431800"/>
          <a:ext cx="3327400" cy="10033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lnSpc>
              <a:spcPts val="1100"/>
            </a:lnSpc>
            <a:defRPr sz="1000"/>
          </a:pPr>
          <a:r>
            <a:rPr lang="en-GB" sz="1200" b="1" i="0" u="none" strike="noStrike" baseline="0">
              <a:solidFill>
                <a:srgbClr val="000000"/>
              </a:solidFill>
              <a:latin typeface="Arial"/>
              <a:cs typeface="Arial"/>
            </a:rPr>
            <a:t>Directions - Data Input</a:t>
          </a: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900"/>
            </a:lnSpc>
            <a:defRPr sz="1000"/>
          </a:pPr>
          <a:r>
            <a:rPr lang="en-GB" sz="1000" b="0" i="0" u="none" strike="noStrike" baseline="0">
              <a:solidFill>
                <a:srgbClr val="000000"/>
              </a:solidFill>
              <a:latin typeface="Arial"/>
              <a:cs typeface="Arial"/>
            </a:rPr>
            <a:t>Enter Name at cell D9 (grey area)</a:t>
          </a:r>
        </a:p>
        <a:p>
          <a:pPr algn="l" rtl="0">
            <a:lnSpc>
              <a:spcPts val="1000"/>
            </a:lnSpc>
            <a:defRPr sz="1000"/>
          </a:pPr>
          <a:endParaRPr lang="en-GB" sz="1000" b="0" i="0" u="none" strike="noStrike" baseline="0">
            <a:solidFill>
              <a:srgbClr val="000000"/>
            </a:solidFill>
            <a:latin typeface="Arial"/>
            <a:cs typeface="Arial"/>
          </a:endParaRPr>
        </a:p>
        <a:p>
          <a:pPr algn="l" rtl="0">
            <a:lnSpc>
              <a:spcPts val="900"/>
            </a:lnSpc>
            <a:defRPr sz="1000"/>
          </a:pPr>
          <a:r>
            <a:rPr lang="en-GB" sz="1000" b="0" i="0" u="none" strike="noStrike" baseline="0">
              <a:solidFill>
                <a:srgbClr val="000000"/>
              </a:solidFill>
              <a:latin typeface="Arial"/>
              <a:cs typeface="Arial"/>
            </a:rPr>
            <a:t>Place an X in column D next to course that has been taken. </a:t>
          </a:r>
        </a:p>
        <a:p>
          <a:pPr algn="l" rtl="0">
            <a:lnSpc>
              <a:spcPts val="900"/>
            </a:lnSpc>
            <a:defRPr sz="1000"/>
          </a:pPr>
          <a:r>
            <a:rPr lang="en-GB"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419100</xdr:colOff>
      <xdr:row>36</xdr:row>
      <xdr:rowOff>120650</xdr:rowOff>
    </xdr:to>
    <xdr:sp macro="" textlink="">
      <xdr:nvSpPr>
        <xdr:cNvPr id="2052" name="Text Box 4">
          <a:extLst>
            <a:ext uri="{FF2B5EF4-FFF2-40B4-BE49-F238E27FC236}">
              <a16:creationId xmlns:a16="http://schemas.microsoft.com/office/drawing/2014/main" id="{0FF54653-22CB-4D1A-9F76-E72270F5B877}"/>
            </a:ext>
          </a:extLst>
        </xdr:cNvPr>
        <xdr:cNvSpPr txBox="1">
          <a:spLocks noChangeArrowheads="1"/>
        </xdr:cNvSpPr>
      </xdr:nvSpPr>
      <xdr:spPr bwMode="auto">
        <a:xfrm>
          <a:off x="24650700" y="6076950"/>
          <a:ext cx="1981200" cy="11303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How to Interpret Civil Engineering Distribution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12</xdr:col>
      <xdr:colOff>139700</xdr:colOff>
      <xdr:row>22</xdr:row>
      <xdr:rowOff>171450</xdr:rowOff>
    </xdr:from>
    <xdr:to>
      <xdr:col>19</xdr:col>
      <xdr:colOff>717550</xdr:colOff>
      <xdr:row>49</xdr:row>
      <xdr:rowOff>107950</xdr:rowOff>
    </xdr:to>
    <xdr:graphicFrame macro="">
      <xdr:nvGraphicFramePr>
        <xdr:cNvPr id="2060" name="Chart 12">
          <a:extLst>
            <a:ext uri="{FF2B5EF4-FFF2-40B4-BE49-F238E27FC236}">
              <a16:creationId xmlns:a16="http://schemas.microsoft.com/office/drawing/2014/main" id="{8935B0A1-CDBC-43B0-BD5A-2AD54B327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107950</xdr:colOff>
      <xdr:row>14</xdr:row>
      <xdr:rowOff>0</xdr:rowOff>
    </xdr:from>
    <xdr:to>
      <xdr:col>20</xdr:col>
      <xdr:colOff>139700</xdr:colOff>
      <xdr:row>20</xdr:row>
      <xdr:rowOff>76200</xdr:rowOff>
    </xdr:to>
    <xdr:sp macro="" textlink="">
      <xdr:nvSpPr>
        <xdr:cNvPr id="2061" name="Text Box 13">
          <a:extLst>
            <a:ext uri="{FF2B5EF4-FFF2-40B4-BE49-F238E27FC236}">
              <a16:creationId xmlns:a16="http://schemas.microsoft.com/office/drawing/2014/main" id="{A58632B2-8243-41E2-822D-04BFC3E9BEB7}"/>
            </a:ext>
          </a:extLst>
        </xdr:cNvPr>
        <xdr:cNvSpPr txBox="1">
          <a:spLocks noChangeArrowheads="1"/>
        </xdr:cNvSpPr>
      </xdr:nvSpPr>
      <xdr:spPr bwMode="auto">
        <a:xfrm>
          <a:off x="18916650" y="2743200"/>
          <a:ext cx="5035550" cy="12700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45</xdr:row>
      <xdr:rowOff>127000</xdr:rowOff>
    </xdr:from>
    <xdr:to>
      <xdr:col>0</xdr:col>
      <xdr:colOff>4311650</xdr:colOff>
      <xdr:row>56</xdr:row>
      <xdr:rowOff>95250</xdr:rowOff>
    </xdr:to>
    <xdr:sp macro="" textlink="">
      <xdr:nvSpPr>
        <xdr:cNvPr id="1025" name="Text Box 1">
          <a:extLst>
            <a:ext uri="{FF2B5EF4-FFF2-40B4-BE49-F238E27FC236}">
              <a16:creationId xmlns:a16="http://schemas.microsoft.com/office/drawing/2014/main" id="{B4D2D06C-27C4-4AF8-A987-2B52648D32FE}"/>
            </a:ext>
          </a:extLst>
        </xdr:cNvPr>
        <xdr:cNvSpPr txBox="1">
          <a:spLocks noChangeArrowheads="1"/>
        </xdr:cNvSpPr>
      </xdr:nvSpPr>
      <xdr:spPr bwMode="auto">
        <a:xfrm>
          <a:off x="127000" y="9410700"/>
          <a:ext cx="4184650" cy="191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0" bIns="0" anchor="t" upright="1"/>
        <a:lstStyle/>
        <a:p>
          <a:pPr algn="l" rtl="0">
            <a:defRPr sz="1000"/>
          </a:pPr>
          <a:r>
            <a:rPr lang="en-GB" sz="1200" b="1" i="0" u="none" strike="noStrike" baseline="0">
              <a:solidFill>
                <a:srgbClr val="000000"/>
              </a:solidFill>
              <a:latin typeface="Arial"/>
              <a:cs typeface="Arial"/>
            </a:rPr>
            <a:t>How to interpret Sum and Percentage of outcomes: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Sum </a:t>
          </a:r>
          <a:r>
            <a:rPr lang="en-GB"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en-GB" sz="10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Percentage</a:t>
          </a:r>
          <a:r>
            <a:rPr lang="en-GB"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1733550</xdr:colOff>
      <xdr:row>16</xdr:row>
      <xdr:rowOff>88900</xdr:rowOff>
    </xdr:from>
    <xdr:to>
      <xdr:col>100</xdr:col>
      <xdr:colOff>127000</xdr:colOff>
      <xdr:row>21</xdr:row>
      <xdr:rowOff>139700</xdr:rowOff>
    </xdr:to>
    <xdr:sp macro="" textlink="">
      <xdr:nvSpPr>
        <xdr:cNvPr id="1026" name="Text Box 2">
          <a:extLst>
            <a:ext uri="{FF2B5EF4-FFF2-40B4-BE49-F238E27FC236}">
              <a16:creationId xmlns:a16="http://schemas.microsoft.com/office/drawing/2014/main" id="{95E5499C-D499-4505-87C5-9E439B574790}"/>
            </a:ext>
          </a:extLst>
        </xdr:cNvPr>
        <xdr:cNvSpPr txBox="1">
          <a:spLocks noChangeArrowheads="1"/>
        </xdr:cNvSpPr>
      </xdr:nvSpPr>
      <xdr:spPr bwMode="auto">
        <a:xfrm>
          <a:off x="35629850" y="3848100"/>
          <a:ext cx="4438650" cy="1003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How to Interpret Civil Engineering Distribution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209550</xdr:colOff>
      <xdr:row>45</xdr:row>
      <xdr:rowOff>215900</xdr:rowOff>
    </xdr:from>
    <xdr:to>
      <xdr:col>32</xdr:col>
      <xdr:colOff>165100</xdr:colOff>
      <xdr:row>75</xdr:row>
      <xdr:rowOff>120650</xdr:rowOff>
    </xdr:to>
    <xdr:graphicFrame macro="">
      <xdr:nvGraphicFramePr>
        <xdr:cNvPr id="1029" name="Chart 5">
          <a:extLst>
            <a:ext uri="{FF2B5EF4-FFF2-40B4-BE49-F238E27FC236}">
              <a16:creationId xmlns:a16="http://schemas.microsoft.com/office/drawing/2014/main" id="{3E4ABED3-0E9F-43DD-83F2-F813E01C6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107950</xdr:rowOff>
    </xdr:from>
    <xdr:to>
      <xdr:col>32</xdr:col>
      <xdr:colOff>69850</xdr:colOff>
      <xdr:row>105</xdr:row>
      <xdr:rowOff>82550</xdr:rowOff>
    </xdr:to>
    <xdr:graphicFrame macro="">
      <xdr:nvGraphicFramePr>
        <xdr:cNvPr id="1030" name="Chart 6">
          <a:extLst>
            <a:ext uri="{FF2B5EF4-FFF2-40B4-BE49-F238E27FC236}">
              <a16:creationId xmlns:a16="http://schemas.microsoft.com/office/drawing/2014/main" id="{14C1797B-326D-44A4-857C-7870E4065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3536950</xdr:colOff>
      <xdr:row>93</xdr:row>
      <xdr:rowOff>63500</xdr:rowOff>
    </xdr:from>
    <xdr:to>
      <xdr:col>14</xdr:col>
      <xdr:colOff>241300</xdr:colOff>
      <xdr:row>134</xdr:row>
      <xdr:rowOff>38100</xdr:rowOff>
    </xdr:to>
    <xdr:graphicFrame macro="">
      <xdr:nvGraphicFramePr>
        <xdr:cNvPr id="1032" name="Chart 8">
          <a:extLst>
            <a:ext uri="{FF2B5EF4-FFF2-40B4-BE49-F238E27FC236}">
              <a16:creationId xmlns:a16="http://schemas.microsoft.com/office/drawing/2014/main" id="{307FB081-397F-418E-AC5E-9176D9BCC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52"/>
  <sheetViews>
    <sheetView tabSelected="1" topLeftCell="I1" zoomScale="75" workbookViewId="0">
      <selection activeCell="L1" sqref="L1:U21"/>
    </sheetView>
  </sheetViews>
  <sheetFormatPr defaultColWidth="11.453125" defaultRowHeight="12.5" x14ac:dyDescent="0.25"/>
  <cols>
    <col min="1" max="3" width="11.453125" customWidth="1"/>
    <col min="4" max="4" width="12.453125" customWidth="1"/>
    <col min="5" max="7" width="11.453125" customWidth="1"/>
    <col min="8" max="8" width="84.81640625" customWidth="1"/>
    <col min="9" max="9" width="14.6328125" customWidth="1"/>
    <col min="10" max="10" width="13" customWidth="1"/>
    <col min="11" max="11" width="17" customWidth="1"/>
    <col min="12" max="12" width="12.81640625" customWidth="1"/>
    <col min="13" max="13" width="33" customWidth="1"/>
    <col min="14" max="18" width="12.81640625" customWidth="1"/>
    <col min="19" max="19" width="9.453125" customWidth="1"/>
    <col min="20" max="20" width="10.90625" customWidth="1"/>
  </cols>
  <sheetData>
    <row r="1" spans="2:20" ht="13" thickBot="1" x14ac:dyDescent="0.3"/>
    <row r="2" spans="2:20" ht="16" thickBot="1" x14ac:dyDescent="0.4">
      <c r="H2" s="20"/>
      <c r="M2" s="38" t="str">
        <f>'Data Analysis'!A2</f>
        <v>Geotech</v>
      </c>
      <c r="N2" s="23"/>
      <c r="O2" s="23"/>
      <c r="P2" s="23"/>
      <c r="Q2" s="23"/>
      <c r="R2" s="23"/>
      <c r="S2" s="23"/>
      <c r="T2" s="24"/>
    </row>
    <row r="3" spans="2:20" ht="15.5" x14ac:dyDescent="0.3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 thickBot="1" x14ac:dyDescent="0.4">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5" x14ac:dyDescent="0.3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5" x14ac:dyDescent="0.3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5" x14ac:dyDescent="0.3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5" x14ac:dyDescent="0.3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5" x14ac:dyDescent="0.3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5" x14ac:dyDescent="0.3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5" x14ac:dyDescent="0.3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 thickBot="1" x14ac:dyDescent="0.4">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5" x14ac:dyDescent="0.3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5" x14ac:dyDescent="0.3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5" x14ac:dyDescent="0.3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5" x14ac:dyDescent="0.35">
      <c r="B16" s="61"/>
      <c r="C16" s="40" t="s">
        <v>54</v>
      </c>
      <c r="D16" s="85"/>
      <c r="E16" s="73"/>
      <c r="F16" s="75"/>
      <c r="H16" s="30" t="str">
        <f>'Data Analysis'!A15</f>
        <v xml:space="preserve"> f.  Design</v>
      </c>
      <c r="I16" s="31">
        <f>'Data Analysis'!B15</f>
        <v>55</v>
      </c>
      <c r="J16" s="96">
        <v>32.4</v>
      </c>
      <c r="K16" s="99" t="str">
        <f t="shared" si="0"/>
        <v>Over</v>
      </c>
    </row>
    <row r="17" spans="2:18" ht="16" thickBot="1" x14ac:dyDescent="0.4">
      <c r="B17" s="61"/>
      <c r="C17" s="40" t="s">
        <v>112</v>
      </c>
      <c r="D17" s="85" t="s">
        <v>77</v>
      </c>
      <c r="E17" s="73"/>
      <c r="F17" s="75"/>
      <c r="H17" s="30" t="str">
        <f>'Data Analysis'!A16</f>
        <v xml:space="preserve"> g. Construction Materials</v>
      </c>
      <c r="I17" s="31">
        <f>'Data Analysis'!B16</f>
        <v>28</v>
      </c>
      <c r="J17" s="96">
        <v>7.2</v>
      </c>
      <c r="K17" s="99" t="str">
        <f t="shared" si="0"/>
        <v>Over</v>
      </c>
    </row>
    <row r="18" spans="2:18" ht="15.5" x14ac:dyDescent="0.3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 thickBot="1" x14ac:dyDescent="0.4">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5" x14ac:dyDescent="0.35">
      <c r="B20" s="61"/>
      <c r="C20" s="40" t="s">
        <v>76</v>
      </c>
      <c r="D20" s="85"/>
      <c r="E20" s="73"/>
      <c r="F20" s="75"/>
      <c r="H20" s="30" t="str">
        <f>'Data Analysis'!A19</f>
        <v xml:space="preserve"> j.</v>
      </c>
      <c r="I20" s="32"/>
      <c r="J20" s="95"/>
      <c r="K20" s="99"/>
    </row>
    <row r="21" spans="2:18" ht="15.5" x14ac:dyDescent="0.3">
      <c r="B21" s="61"/>
      <c r="C21" s="40" t="s">
        <v>78</v>
      </c>
      <c r="D21" s="85"/>
      <c r="E21" s="74"/>
      <c r="F21" s="75"/>
      <c r="H21" s="25" t="str">
        <f>'Data Analysis'!A20</f>
        <v>4.     Understanding and application of:</v>
      </c>
      <c r="I21" s="29">
        <f>'Data Analysis'!B20</f>
        <v>118</v>
      </c>
      <c r="J21" s="95">
        <v>32.22</v>
      </c>
      <c r="K21" s="98" t="str">
        <f t="shared" si="0"/>
        <v>Over</v>
      </c>
    </row>
    <row r="22" spans="2:18" ht="15.5" x14ac:dyDescent="0.35">
      <c r="B22" s="61"/>
      <c r="C22" s="40" t="s">
        <v>79</v>
      </c>
      <c r="D22" s="85"/>
      <c r="E22" s="74"/>
      <c r="F22" s="75"/>
      <c r="H22" s="30" t="str">
        <f>'Data Analysis'!A21</f>
        <v>a.  Biology</v>
      </c>
      <c r="I22" s="31">
        <f>'Data Analysis'!B21</f>
        <v>1</v>
      </c>
      <c r="J22" s="96">
        <v>1.8</v>
      </c>
      <c r="K22" s="99" t="str">
        <f t="shared" si="0"/>
        <v>Under</v>
      </c>
      <c r="P22" s="84" t="s">
        <v>11</v>
      </c>
      <c r="R22" s="84">
        <f>I52</f>
        <v>956</v>
      </c>
    </row>
    <row r="23" spans="2:18" ht="15.5" x14ac:dyDescent="0.35">
      <c r="B23" s="61"/>
      <c r="C23" s="40" t="s">
        <v>116</v>
      </c>
      <c r="D23" s="85"/>
      <c r="E23" s="74"/>
      <c r="F23" s="75"/>
      <c r="H23" s="30" t="str">
        <f>'Data Analysis'!A22</f>
        <v>b.  Chemistry</v>
      </c>
      <c r="I23" s="31">
        <f>'Data Analysis'!B22</f>
        <v>11</v>
      </c>
      <c r="J23" s="96">
        <v>5.4</v>
      </c>
      <c r="K23" s="99" t="str">
        <f t="shared" si="0"/>
        <v>Over</v>
      </c>
    </row>
    <row r="24" spans="2:18" ht="15.5" x14ac:dyDescent="0.35">
      <c r="B24" s="61"/>
      <c r="C24" s="40" t="s">
        <v>122</v>
      </c>
      <c r="D24" s="85" t="s">
        <v>77</v>
      </c>
      <c r="E24" s="74"/>
      <c r="F24" s="75"/>
      <c r="H24" s="30" t="str">
        <f>'Data Analysis'!A23</f>
        <v>c.  Geology</v>
      </c>
      <c r="I24" s="31">
        <f>'Data Analysis'!B23</f>
        <v>12</v>
      </c>
      <c r="J24" s="96">
        <v>4.5</v>
      </c>
      <c r="K24" s="99" t="str">
        <f t="shared" si="0"/>
        <v>Over</v>
      </c>
    </row>
    <row r="25" spans="2:18" ht="15.5" x14ac:dyDescent="0.35">
      <c r="B25" s="61"/>
      <c r="C25" s="40" t="s">
        <v>114</v>
      </c>
      <c r="D25" s="85" t="s">
        <v>77</v>
      </c>
      <c r="E25" s="74"/>
      <c r="F25" s="75"/>
      <c r="H25" s="30" t="str">
        <f>'Data Analysis'!A24</f>
        <v>d.  Physics</v>
      </c>
      <c r="I25" s="31">
        <f>'Data Analysis'!B24</f>
        <v>26</v>
      </c>
      <c r="J25" s="96">
        <v>3.6</v>
      </c>
      <c r="K25" s="99" t="str">
        <f t="shared" si="0"/>
        <v>Over</v>
      </c>
    </row>
    <row r="26" spans="2:18" ht="15.5" x14ac:dyDescent="0.35">
      <c r="B26" s="61"/>
      <c r="C26" s="40" t="s">
        <v>117</v>
      </c>
      <c r="D26" s="85" t="s">
        <v>77</v>
      </c>
      <c r="E26" s="74"/>
      <c r="F26" s="75"/>
      <c r="H26" s="30" t="str">
        <f>'Data Analysis'!A25</f>
        <v>e.  Differential and Integral Calculus</v>
      </c>
      <c r="I26" s="31">
        <f>'Data Analysis'!B25</f>
        <v>22</v>
      </c>
      <c r="J26" s="96">
        <v>5.4</v>
      </c>
      <c r="K26" s="99" t="str">
        <f t="shared" si="0"/>
        <v>Over</v>
      </c>
    </row>
    <row r="27" spans="2:18" ht="15.5" x14ac:dyDescent="0.35">
      <c r="B27" s="61"/>
      <c r="C27" s="40" t="s">
        <v>118</v>
      </c>
      <c r="D27" s="85" t="s">
        <v>77</v>
      </c>
      <c r="E27" s="73"/>
      <c r="F27" s="75"/>
      <c r="H27" s="30" t="str">
        <f>'Data Analysis'!A26</f>
        <v>f.  Differential Equations</v>
      </c>
      <c r="I27" s="31">
        <f>'Data Analysis'!B26</f>
        <v>15</v>
      </c>
      <c r="J27" s="96">
        <v>1.8</v>
      </c>
      <c r="K27" s="99" t="str">
        <f t="shared" si="0"/>
        <v>Over</v>
      </c>
    </row>
    <row r="28" spans="2:18" ht="15.5" x14ac:dyDescent="0.35">
      <c r="B28" s="61"/>
      <c r="C28" s="40" t="s">
        <v>109</v>
      </c>
      <c r="D28" s="85" t="s">
        <v>77</v>
      </c>
      <c r="E28" s="73"/>
      <c r="F28" s="75"/>
      <c r="H28" s="30" t="str">
        <f>'Data Analysis'!A27</f>
        <v>g.  Probability and Statistics</v>
      </c>
      <c r="I28" s="31">
        <f>'Data Analysis'!B27</f>
        <v>16</v>
      </c>
      <c r="J28" s="96">
        <v>7.2</v>
      </c>
      <c r="K28" s="99" t="str">
        <f t="shared" si="0"/>
        <v>Over</v>
      </c>
    </row>
    <row r="29" spans="2:18" ht="15.5" x14ac:dyDescent="0.35">
      <c r="B29" s="61"/>
      <c r="C29" s="40" t="s">
        <v>105</v>
      </c>
      <c r="D29" s="85"/>
      <c r="E29" s="73"/>
      <c r="F29" s="75"/>
      <c r="H29" s="30" t="str">
        <f>'Data Analysis'!A28</f>
        <v>h.  Linear Algebra</v>
      </c>
      <c r="I29" s="31">
        <f>'Data Analysis'!B28</f>
        <v>13</v>
      </c>
      <c r="J29" s="96">
        <v>1.8</v>
      </c>
      <c r="K29" s="99" t="str">
        <f t="shared" si="0"/>
        <v>Over</v>
      </c>
    </row>
    <row r="30" spans="2:18" ht="15.5" x14ac:dyDescent="0.35">
      <c r="B30" s="61"/>
      <c r="C30" s="40" t="s">
        <v>106</v>
      </c>
      <c r="D30" s="85"/>
      <c r="E30" s="73"/>
      <c r="F30" s="75"/>
      <c r="H30" s="30" t="str">
        <f>'Data Analysis'!A29</f>
        <v>i.  Higher Mathematics</v>
      </c>
      <c r="I30" s="31">
        <f>'Data Analysis'!B29</f>
        <v>2</v>
      </c>
      <c r="J30" s="96">
        <v>0.72</v>
      </c>
      <c r="K30" s="99" t="str">
        <f t="shared" si="0"/>
        <v>Over</v>
      </c>
    </row>
    <row r="31" spans="2:18" ht="15.5" x14ac:dyDescent="0.3">
      <c r="B31" s="61"/>
      <c r="C31" s="40" t="s">
        <v>111</v>
      </c>
      <c r="D31" s="85"/>
      <c r="E31" s="73"/>
      <c r="F31" s="75"/>
      <c r="H31" s="25" t="str">
        <f>'Data Analysis'!A30</f>
        <v>5.    Understanding of engineering design process, including the following:</v>
      </c>
      <c r="I31" s="29">
        <f>'Data Analysis'!B30</f>
        <v>168</v>
      </c>
      <c r="J31" s="95">
        <v>117.9</v>
      </c>
      <c r="K31" s="98" t="str">
        <f t="shared" si="0"/>
        <v>Over</v>
      </c>
    </row>
    <row r="32" spans="2:18" ht="15.5" x14ac:dyDescent="0.35">
      <c r="B32" s="61"/>
      <c r="C32" s="40" t="s">
        <v>82</v>
      </c>
      <c r="D32" s="85"/>
      <c r="E32" s="73"/>
      <c r="F32" s="75"/>
      <c r="H32" s="30" t="str">
        <f>'Data Analysis'!A31</f>
        <v>a.  Ability to perform design.</v>
      </c>
      <c r="I32" s="31">
        <f>'Data Analysis'!B31</f>
        <v>47</v>
      </c>
      <c r="J32" s="96">
        <v>50.4</v>
      </c>
      <c r="K32" s="99" t="str">
        <f t="shared" si="0"/>
        <v>Under</v>
      </c>
    </row>
    <row r="33" spans="2:11" ht="15.5" x14ac:dyDescent="0.35">
      <c r="B33" s="61"/>
      <c r="C33" s="40" t="s">
        <v>80</v>
      </c>
      <c r="D33" s="85"/>
      <c r="E33" s="73"/>
      <c r="F33" s="75"/>
      <c r="H33" s="30" t="str">
        <f>'Data Analysis'!A32</f>
        <v>b.  Multidisciplinary aspects.</v>
      </c>
      <c r="I33" s="31">
        <f>'Data Analysis'!B32</f>
        <v>20</v>
      </c>
      <c r="J33" s="96">
        <v>8.1</v>
      </c>
      <c r="K33" s="99" t="str">
        <f t="shared" si="0"/>
        <v>Over</v>
      </c>
    </row>
    <row r="34" spans="2:11" ht="15.5" x14ac:dyDescent="0.35">
      <c r="B34" s="61"/>
      <c r="C34" s="40" t="s">
        <v>107</v>
      </c>
      <c r="D34" s="85"/>
      <c r="E34" s="73"/>
      <c r="F34" s="75"/>
      <c r="H34" s="30" t="str">
        <f>'Data Analysis'!A33</f>
        <v>c.  Collaboration skills.</v>
      </c>
      <c r="I34" s="31">
        <f>'Data Analysis'!B33</f>
        <v>27</v>
      </c>
      <c r="J34" s="96">
        <v>21.6</v>
      </c>
      <c r="K34" s="99" t="str">
        <f t="shared" si="0"/>
        <v>Over</v>
      </c>
    </row>
    <row r="35" spans="2:11" ht="15.5" x14ac:dyDescent="0.35">
      <c r="B35" s="61"/>
      <c r="C35" s="40" t="s">
        <v>81</v>
      </c>
      <c r="D35" s="85"/>
      <c r="E35" s="73"/>
      <c r="F35" s="75"/>
      <c r="H35" s="30" t="str">
        <f>'Data Analysis'!A34</f>
        <v>d.  Communication skills.</v>
      </c>
      <c r="I35" s="31">
        <f>'Data Analysis'!B34</f>
        <v>38</v>
      </c>
      <c r="J35" s="96">
        <v>21.6</v>
      </c>
      <c r="K35" s="99" t="str">
        <f t="shared" si="0"/>
        <v>Over</v>
      </c>
    </row>
    <row r="36" spans="2:11" ht="15.5" x14ac:dyDescent="0.35">
      <c r="B36" s="61"/>
      <c r="C36" s="40" t="s">
        <v>83</v>
      </c>
      <c r="D36" s="85"/>
      <c r="E36" s="73"/>
      <c r="F36" s="75"/>
      <c r="H36" s="30" t="str">
        <f>'Data Analysis'!A35</f>
        <v>e.  Consideration of cost.</v>
      </c>
      <c r="I36" s="31">
        <f>'Data Analysis'!B35</f>
        <v>26</v>
      </c>
      <c r="J36" s="96">
        <v>8.1</v>
      </c>
      <c r="K36" s="99" t="str">
        <f t="shared" si="0"/>
        <v>Over</v>
      </c>
    </row>
    <row r="37" spans="2:11" ht="15.5" x14ac:dyDescent="0.35">
      <c r="B37" s="61"/>
      <c r="C37" s="40" t="s">
        <v>119</v>
      </c>
      <c r="D37" s="85"/>
      <c r="E37" s="73"/>
      <c r="F37" s="75"/>
      <c r="H37" s="30" t="str">
        <f>'Data Analysis'!A36</f>
        <v xml:space="preserve">f.   Consideration of time management. </v>
      </c>
      <c r="I37" s="31">
        <f>'Data Analysis'!B36</f>
        <v>10</v>
      </c>
      <c r="J37" s="96">
        <v>8.1</v>
      </c>
      <c r="K37" s="99" t="str">
        <f t="shared" si="0"/>
        <v>Over</v>
      </c>
    </row>
    <row r="38" spans="2:11" ht="15.5" x14ac:dyDescent="0.3">
      <c r="B38" s="61"/>
      <c r="C38" s="40" t="s">
        <v>110</v>
      </c>
      <c r="D38" s="85"/>
      <c r="E38" s="73"/>
      <c r="F38" s="75"/>
      <c r="H38" s="25" t="str">
        <f>'Data Analysis'!A37</f>
        <v>6.    Demonstration of an ability to:</v>
      </c>
      <c r="I38" s="29">
        <f>'Data Analysis'!B37</f>
        <v>66</v>
      </c>
      <c r="J38" s="95">
        <v>37.799999999999997</v>
      </c>
      <c r="K38" s="98" t="str">
        <f t="shared" si="0"/>
        <v>Over</v>
      </c>
    </row>
    <row r="39" spans="2:11" ht="15.5" x14ac:dyDescent="0.35">
      <c r="B39" s="61"/>
      <c r="C39" s="40" t="s">
        <v>35</v>
      </c>
      <c r="D39" s="85"/>
      <c r="E39" s="73"/>
      <c r="F39" s="75"/>
      <c r="H39" s="30" t="str">
        <f>'Data Analysis'!A38</f>
        <v>a.  Setup experiments.</v>
      </c>
      <c r="I39" s="31">
        <f>'Data Analysis'!B38</f>
        <v>18</v>
      </c>
      <c r="J39" s="96">
        <v>9</v>
      </c>
      <c r="K39" s="99" t="str">
        <f t="shared" si="0"/>
        <v>Over</v>
      </c>
    </row>
    <row r="40" spans="2:11" ht="15.5" x14ac:dyDescent="0.35">
      <c r="B40" s="61"/>
      <c r="C40" s="40" t="s">
        <v>120</v>
      </c>
      <c r="D40" s="85" t="s">
        <v>77</v>
      </c>
      <c r="E40" s="73"/>
      <c r="F40" s="75"/>
      <c r="H40" s="30" t="str">
        <f>'Data Analysis'!A39</f>
        <v>b. Gather and analyze data.</v>
      </c>
      <c r="I40" s="31">
        <f>'Data Analysis'!B39</f>
        <v>23</v>
      </c>
      <c r="J40" s="96">
        <v>14.4</v>
      </c>
      <c r="K40" s="99" t="str">
        <f t="shared" si="0"/>
        <v>Over</v>
      </c>
    </row>
    <row r="41" spans="2:11" ht="15.5" x14ac:dyDescent="0.3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5" x14ac:dyDescent="0.3">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5" x14ac:dyDescent="0.3">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5" x14ac:dyDescent="0.3">
      <c r="B44" s="61"/>
      <c r="C44" s="40" t="s">
        <v>104</v>
      </c>
      <c r="D44" s="85"/>
      <c r="E44" s="73"/>
      <c r="F44" s="75"/>
      <c r="H44" s="25" t="str">
        <f>'Data Analysis'!A43</f>
        <v>9.     An ability to learn independently.</v>
      </c>
      <c r="I44" s="29">
        <f>'Data Analysis'!B43</f>
        <v>46</v>
      </c>
      <c r="J44" s="95">
        <v>27</v>
      </c>
      <c r="K44" s="98" t="str">
        <f t="shared" si="0"/>
        <v>Over</v>
      </c>
    </row>
    <row r="45" spans="2:11" ht="15" x14ac:dyDescent="0.3">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5.5" thickBot="1" x14ac:dyDescent="0.35">
      <c r="B46" s="61"/>
      <c r="C46" s="92"/>
      <c r="D46" s="34"/>
      <c r="E46" s="34"/>
      <c r="F46" s="62"/>
      <c r="H46" s="26" t="str">
        <f>'Data Analysis'!A45</f>
        <v>11.  Understanding of the civil engineering profession in a societal and global context.</v>
      </c>
      <c r="I46" s="33">
        <f>'Data Analysis'!B45</f>
        <v>26</v>
      </c>
      <c r="J46" s="97">
        <v>5.4</v>
      </c>
      <c r="K46" s="100" t="str">
        <f t="shared" si="0"/>
        <v>Over</v>
      </c>
    </row>
    <row r="47" spans="2:11" ht="15.5" x14ac:dyDescent="0.35">
      <c r="B47" s="61"/>
      <c r="C47" s="34"/>
      <c r="D47" s="34"/>
      <c r="E47" s="34"/>
      <c r="F47" s="62"/>
      <c r="I47" s="80" t="s">
        <v>90</v>
      </c>
      <c r="J47" s="34"/>
    </row>
    <row r="48" spans="2:11" ht="15.5" x14ac:dyDescent="0.35">
      <c r="B48" s="61"/>
      <c r="C48" s="34"/>
      <c r="D48" s="34"/>
      <c r="E48" s="34"/>
      <c r="F48" s="62"/>
      <c r="H48" s="77" t="s">
        <v>89</v>
      </c>
      <c r="I48" s="79" t="s">
        <v>41</v>
      </c>
      <c r="K48" s="83"/>
    </row>
    <row r="49" spans="2:15" ht="18.5" thickBot="1" x14ac:dyDescent="0.45">
      <c r="B49" s="63"/>
      <c r="C49" s="64"/>
      <c r="D49" s="64"/>
      <c r="E49" s="64"/>
      <c r="F49" s="65"/>
      <c r="O49" s="81" t="str">
        <f>IF(I48="Y","INCLUDES ALL EXTENTS","ONLY CONSIDERS 4 AND 5 EXTENTS")</f>
        <v>INCLUDES ALL EXTENTS</v>
      </c>
    </row>
    <row r="52" spans="2:15" x14ac:dyDescent="0.25">
      <c r="I52" s="21">
        <f>SUM(I5+I9+I10+I21+I31+I38+I42+I43+I44+I46+I45)</f>
        <v>956</v>
      </c>
      <c r="J52" s="22">
        <f>SUM(J5+J10+J9+J21+J31+J38+J42+J43+J44+J45+J46)</f>
        <v>507.42</v>
      </c>
    </row>
  </sheetData>
  <phoneticPr fontId="0" type="noConversion"/>
  <printOptions horizontalCentered="1" verticalCentered="1"/>
  <pageMargins left="0.75" right="0.75" top="1" bottom="1"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K87"/>
  <sheetViews>
    <sheetView topLeftCell="E1" zoomScale="75" workbookViewId="0">
      <selection activeCell="AP27" sqref="AP27"/>
    </sheetView>
  </sheetViews>
  <sheetFormatPr defaultColWidth="8.81640625" defaultRowHeight="12.5" x14ac:dyDescent="0.25"/>
  <cols>
    <col min="1" max="1" width="86.1796875" customWidth="1"/>
    <col min="2" max="2" width="9.81640625" style="1" customWidth="1"/>
    <col min="3" max="3" width="9.81640625" bestFit="1" customWidth="1"/>
    <col min="4" max="4" width="4" style="1" customWidth="1"/>
    <col min="5" max="37" width="3.81640625" style="1" customWidth="1"/>
    <col min="38" max="38" width="3.36328125" style="1" customWidth="1"/>
    <col min="39" max="43" width="3.6328125" customWidth="1"/>
    <col min="44" max="44" width="5.6328125" style="1" customWidth="1"/>
    <col min="45" max="76" width="3.81640625" customWidth="1"/>
    <col min="77" max="79" width="6.81640625" customWidth="1"/>
    <col min="80" max="87" width="3.81640625" customWidth="1"/>
    <col min="88" max="88" width="4.1796875" customWidth="1"/>
    <col min="89" max="89" width="6.6328125" customWidth="1"/>
    <col min="90" max="91" width="8.81640625" customWidth="1"/>
    <col min="92" max="92" width="36.6328125" customWidth="1"/>
  </cols>
  <sheetData>
    <row r="1" spans="1:141" s="3" customFormat="1" ht="67" customHeight="1" thickBot="1" x14ac:dyDescent="0.4">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9" customHeight="1" thickBot="1" x14ac:dyDescent="0.4">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5">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35">
      <c r="A4" s="41" t="s">
        <v>34</v>
      </c>
      <c r="B4" s="51">
        <f>SUM(B5:B7)</f>
        <v>134</v>
      </c>
      <c r="C4" s="13">
        <f>B4/$B$46</f>
        <v>0.14016736401673641</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3">
      <c r="A5" s="42" t="s">
        <v>85</v>
      </c>
      <c r="B5" s="52">
        <f>IF('input-output'!$I$48="Y", 'Data Analysis'!CL5,'Data Analysis'!CM5)</f>
        <v>73</v>
      </c>
      <c r="C5" s="53">
        <f t="shared" ref="C5:C18" si="0">B5/$B$46</f>
        <v>7.6359832635983269E-2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3">
      <c r="A6" s="42" t="s">
        <v>86</v>
      </c>
      <c r="B6" s="78">
        <f>IF('input-output'!$I$48="Y", 'Data Analysis'!CL6,'Data Analysis'!CM6)</f>
        <v>41</v>
      </c>
      <c r="C6" s="53">
        <f t="shared" si="0"/>
        <v>4.288702928870293E-2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3">
      <c r="A7" s="42" t="s">
        <v>91</v>
      </c>
      <c r="B7" s="78">
        <f>IF('input-output'!$I$48="Y", 'Data Analysis'!CL7,'Data Analysis'!CM7)</f>
        <v>20</v>
      </c>
      <c r="C7" s="53">
        <f t="shared" si="0"/>
        <v>2.0920502092050208E-2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35">
      <c r="A8" s="43" t="s">
        <v>128</v>
      </c>
      <c r="B8" s="54">
        <f>IF('input-output'!$I$48="Y", 'Data Analysis'!CL8,'Data Analysis'!CM8)</f>
        <v>29</v>
      </c>
      <c r="C8" s="13">
        <f t="shared" si="0"/>
        <v>3.0334728033472803E-2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35">
      <c r="A9" s="43" t="s">
        <v>0</v>
      </c>
      <c r="B9" s="54">
        <f>SUM(B10:B19)</f>
        <v>263</v>
      </c>
      <c r="C9" s="13">
        <f t="shared" si="0"/>
        <v>0.27510460251046026</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3">
      <c r="A10" s="42" t="s">
        <v>92</v>
      </c>
      <c r="B10" s="78">
        <f>IF('input-output'!$I$48="Y", 'Data Analysis'!CL10,'Data Analysis'!CM10)</f>
        <v>34</v>
      </c>
      <c r="C10" s="53">
        <f t="shared" si="0"/>
        <v>3.5564853556485358E-2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3">
      <c r="A11" s="42" t="s">
        <v>93</v>
      </c>
      <c r="B11" s="78">
        <f>IF('input-output'!$I$48="Y", 'Data Analysis'!CL11,'Data Analysis'!CM11)</f>
        <v>23</v>
      </c>
      <c r="C11" s="53">
        <f t="shared" si="0"/>
        <v>2.4058577405857741E-2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3">
      <c r="A12" s="42" t="s">
        <v>95</v>
      </c>
      <c r="B12" s="78">
        <f>IF('input-output'!$I$48="Y", 'Data Analysis'!CL12,'Data Analysis'!CM12)</f>
        <v>49</v>
      </c>
      <c r="C12" s="53">
        <f t="shared" si="0"/>
        <v>5.1255230125523014E-2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5">
      <c r="A13" s="44" t="s">
        <v>96</v>
      </c>
      <c r="B13" s="78">
        <f>IF('input-output'!$I$48="Y", 'Data Analysis'!CL13,'Data Analysis'!CM13)</f>
        <v>22</v>
      </c>
      <c r="C13" s="53">
        <f t="shared" si="0"/>
        <v>2.3012552301255231E-2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5">
      <c r="A14" s="42" t="s">
        <v>103</v>
      </c>
      <c r="B14" s="78">
        <f>IF('input-output'!$I$48="Y", 'Data Analysis'!CL14,'Data Analysis'!CM14)</f>
        <v>16</v>
      </c>
      <c r="C14" s="53">
        <f t="shared" si="0"/>
        <v>1.6736401673640166E-2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5">
      <c r="A15" s="42" t="s">
        <v>97</v>
      </c>
      <c r="B15" s="78">
        <f>IF('input-output'!$I$48="Y", 'Data Analysis'!CL15,'Data Analysis'!CM15)</f>
        <v>55</v>
      </c>
      <c r="C15" s="53">
        <f t="shared" si="0"/>
        <v>5.7531380753138073E-2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5">
      <c r="A16" s="42" t="s">
        <v>99</v>
      </c>
      <c r="B16" s="78">
        <f>IF('input-output'!$I$48="Y", 'Data Analysis'!CL16,'Data Analysis'!CM16)</f>
        <v>28</v>
      </c>
      <c r="C16" s="53">
        <f t="shared" si="0"/>
        <v>2.9288702928870293E-2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5">
      <c r="A17" s="42" t="s">
        <v>100</v>
      </c>
      <c r="B17" s="78">
        <f>IF('input-output'!$I$48="Y", 'Data Analysis'!CL17,'Data Analysis'!CM17)</f>
        <v>11</v>
      </c>
      <c r="C17" s="53">
        <f t="shared" si="0"/>
        <v>1.1506276150627616E-2</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5">
      <c r="A18" s="42" t="s">
        <v>101</v>
      </c>
      <c r="B18" s="78">
        <f>IF('input-output'!$I$48="Y", 'Data Analysis'!CL18,'Data Analysis'!CM18)</f>
        <v>25</v>
      </c>
      <c r="C18" s="53">
        <f t="shared" si="0"/>
        <v>2.615062761506276E-2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5">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35">
      <c r="A20" s="43" t="s">
        <v>6</v>
      </c>
      <c r="B20" s="54">
        <f>SUM(B21:B29)</f>
        <v>118</v>
      </c>
      <c r="C20" s="13">
        <f t="shared" ref="C20:C45" si="47">B20/$B$46</f>
        <v>0.12343096234309624</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5">
      <c r="A21" s="42" t="s">
        <v>7</v>
      </c>
      <c r="B21" s="78">
        <f>IF('input-output'!$I$48="Y", 'Data Analysis'!CL21,'Data Analysis'!CM21)</f>
        <v>1</v>
      </c>
      <c r="C21" s="53">
        <f t="shared" si="47"/>
        <v>1.0460251046025104E-3</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5">
      <c r="A22" s="42" t="s">
        <v>8</v>
      </c>
      <c r="B22" s="78">
        <f>IF('input-output'!$I$48="Y", 'Data Analysis'!CL22,'Data Analysis'!CM22)</f>
        <v>11</v>
      </c>
      <c r="C22" s="53">
        <f t="shared" si="47"/>
        <v>1.1506276150627616E-2</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35">
      <c r="A23" s="42" t="s">
        <v>9</v>
      </c>
      <c r="B23" s="78">
        <f>IF('input-output'!$I$48="Y", 'Data Analysis'!CL23,'Data Analysis'!CM23)</f>
        <v>12</v>
      </c>
      <c r="C23" s="53">
        <f t="shared" si="47"/>
        <v>1.2552301255230125E-2</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3">
      <c r="A24" s="42" t="s">
        <v>12</v>
      </c>
      <c r="B24" s="78">
        <f>IF('input-output'!$I$48="Y", 'Data Analysis'!CL24,'Data Analysis'!CM24)</f>
        <v>26</v>
      </c>
      <c r="C24" s="53">
        <f t="shared" si="47"/>
        <v>2.7196652719665274E-2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3">
      <c r="A25" s="42" t="s">
        <v>13</v>
      </c>
      <c r="B25" s="78">
        <f>IF('input-output'!$I$48="Y", 'Data Analysis'!CL25,'Data Analysis'!CM25)</f>
        <v>22</v>
      </c>
      <c r="C25" s="53">
        <f t="shared" si="47"/>
        <v>2.3012552301255231E-2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3">
      <c r="A26" s="42" t="s">
        <v>14</v>
      </c>
      <c r="B26" s="78">
        <f>IF('input-output'!$I$48="Y", 'Data Analysis'!CL26,'Data Analysis'!CM26)</f>
        <v>15</v>
      </c>
      <c r="C26" s="53">
        <f t="shared" si="47"/>
        <v>1.5690376569037656E-2</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3">
      <c r="A27" s="42" t="s">
        <v>15</v>
      </c>
      <c r="B27" s="78">
        <f>IF('input-output'!$I$48="Y", 'Data Analysis'!CL27,'Data Analysis'!CM27)</f>
        <v>16</v>
      </c>
      <c r="C27" s="53">
        <f t="shared" si="47"/>
        <v>1.6736401673640166E-2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3">
      <c r="A28" s="42" t="s">
        <v>16</v>
      </c>
      <c r="B28" s="78">
        <f>IF('input-output'!$I$48="Y", 'Data Analysis'!CL28,'Data Analysis'!CM28)</f>
        <v>13</v>
      </c>
      <c r="C28" s="53">
        <f t="shared" si="47"/>
        <v>1.3598326359832637E-2</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3">
      <c r="A29" s="42" t="s">
        <v>17</v>
      </c>
      <c r="B29" s="78">
        <f>IF('input-output'!$I$48="Y", 'Data Analysis'!CL29,'Data Analysis'!CM29)</f>
        <v>2</v>
      </c>
      <c r="C29" s="53">
        <f t="shared" si="47"/>
        <v>2.0920502092050207E-3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35">
      <c r="A30" s="43" t="s">
        <v>18</v>
      </c>
      <c r="B30" s="54">
        <f>SUM(B31:B36)</f>
        <v>168</v>
      </c>
      <c r="C30" s="13">
        <f t="shared" si="47"/>
        <v>0.17573221757322174</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3">
      <c r="A31" s="42" t="s">
        <v>19</v>
      </c>
      <c r="B31" s="78">
        <f>IF('input-output'!$I$48="Y", 'Data Analysis'!CL31,'Data Analysis'!CM31)</f>
        <v>47</v>
      </c>
      <c r="C31" s="53">
        <f t="shared" si="47"/>
        <v>4.9163179916317995E-2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6"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5">
      <c r="A32" s="42" t="s">
        <v>20</v>
      </c>
      <c r="B32" s="78">
        <f>IF('input-output'!$I$48="Y", 'Data Analysis'!CL32,'Data Analysis'!CM32)</f>
        <v>20</v>
      </c>
      <c r="C32" s="53">
        <f t="shared" si="47"/>
        <v>2.0920502092050208E-2</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3</v>
      </c>
      <c r="BC32" s="1">
        <f t="shared" si="86"/>
        <v>2</v>
      </c>
      <c r="BD32" s="1">
        <f t="shared" si="86"/>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20</v>
      </c>
      <c r="CM32" s="1">
        <f t="shared" si="8"/>
        <v>5</v>
      </c>
    </row>
    <row r="33" spans="1:91" ht="15" customHeight="1" x14ac:dyDescent="0.25">
      <c r="A33" s="42" t="s">
        <v>21</v>
      </c>
      <c r="B33" s="78">
        <f>IF('input-output'!$I$48="Y", 'Data Analysis'!CL33,'Data Analysis'!CM33)</f>
        <v>27</v>
      </c>
      <c r="C33" s="53">
        <f t="shared" si="47"/>
        <v>2.8242677824267783E-2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4</v>
      </c>
      <c r="AV33" s="1">
        <f t="shared" si="86"/>
        <v>0</v>
      </c>
      <c r="AW33" s="1">
        <f t="shared" si="86"/>
        <v>0</v>
      </c>
      <c r="AX33" s="1">
        <f t="shared" si="86"/>
        <v>0</v>
      </c>
      <c r="AY33" s="1">
        <f t="shared" si="86"/>
        <v>3</v>
      </c>
      <c r="AZ33" s="1">
        <f t="shared" si="86"/>
        <v>2</v>
      </c>
      <c r="BA33" s="1">
        <f t="shared" si="86"/>
        <v>0</v>
      </c>
      <c r="BB33" s="1">
        <f t="shared" si="86"/>
        <v>3</v>
      </c>
      <c r="BC33" s="1">
        <f t="shared" si="86"/>
        <v>0</v>
      </c>
      <c r="BD33" s="1">
        <f t="shared" si="86"/>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5">
      <c r="A34" s="42" t="s">
        <v>22</v>
      </c>
      <c r="B34" s="78">
        <f>IF('input-output'!$I$48="Y", 'Data Analysis'!CL34,'Data Analysis'!CM34)</f>
        <v>38</v>
      </c>
      <c r="C34" s="53">
        <f t="shared" si="47"/>
        <v>3.9748953974895397E-2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4</v>
      </c>
      <c r="AV34" s="1">
        <f t="shared" si="86"/>
        <v>0</v>
      </c>
      <c r="AW34" s="1">
        <f t="shared" si="86"/>
        <v>0</v>
      </c>
      <c r="AX34" s="1">
        <f t="shared" si="86"/>
        <v>0</v>
      </c>
      <c r="AY34" s="1">
        <f t="shared" si="86"/>
        <v>3</v>
      </c>
      <c r="AZ34" s="1">
        <f t="shared" si="86"/>
        <v>2</v>
      </c>
      <c r="BA34" s="1">
        <f t="shared" si="86"/>
        <v>0</v>
      </c>
      <c r="BB34" s="1">
        <f t="shared" si="86"/>
        <v>2</v>
      </c>
      <c r="BC34" s="1">
        <f t="shared" si="86"/>
        <v>0</v>
      </c>
      <c r="BD34" s="1">
        <f t="shared" si="86"/>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5">
      <c r="A35" s="42" t="s">
        <v>23</v>
      </c>
      <c r="B35" s="78">
        <f>IF('input-output'!$I$48="Y", 'Data Analysis'!CL35,'Data Analysis'!CM35)</f>
        <v>26</v>
      </c>
      <c r="C35" s="53">
        <f t="shared" si="47"/>
        <v>2.7196652719665274E-2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2</v>
      </c>
      <c r="BA35" s="1">
        <f t="shared" si="86"/>
        <v>0</v>
      </c>
      <c r="BB35" s="1">
        <f t="shared" si="86"/>
        <v>2</v>
      </c>
      <c r="BC35" s="1">
        <f t="shared" si="86"/>
        <v>2</v>
      </c>
      <c r="BD35" s="1">
        <f t="shared" si="86"/>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L35" s="1">
        <f t="shared" si="7"/>
        <v>26</v>
      </c>
      <c r="CM35" s="1">
        <f t="shared" si="8"/>
        <v>10</v>
      </c>
    </row>
    <row r="36" spans="1:91" ht="15" customHeight="1" x14ac:dyDescent="0.25">
      <c r="A36" s="42" t="s">
        <v>24</v>
      </c>
      <c r="B36" s="78">
        <f>IF('input-output'!$I$48="Y", 'Data Analysis'!CL36,'Data Analysis'!CM36)</f>
        <v>10</v>
      </c>
      <c r="C36" s="53">
        <f t="shared" si="47"/>
        <v>1.0460251046025104E-2</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2</v>
      </c>
      <c r="BA36" s="1">
        <f t="shared" si="86"/>
        <v>0</v>
      </c>
      <c r="BB36" s="1">
        <f t="shared" si="86"/>
        <v>0</v>
      </c>
      <c r="BC36" s="1">
        <f t="shared" si="86"/>
        <v>2</v>
      </c>
      <c r="BD36" s="1">
        <f t="shared" si="86"/>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L36" s="1">
        <f t="shared" si="7"/>
        <v>10</v>
      </c>
      <c r="CM36" s="1">
        <f t="shared" si="8"/>
        <v>5</v>
      </c>
    </row>
    <row r="37" spans="1:91" ht="15" customHeight="1" x14ac:dyDescent="0.35">
      <c r="A37" s="43" t="s">
        <v>25</v>
      </c>
      <c r="B37" s="54">
        <f>SUM(B38:B40)</f>
        <v>66</v>
      </c>
      <c r="C37" s="13">
        <f t="shared" si="47"/>
        <v>6.903765690376569E-2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5">
      <c r="A38" s="42" t="s">
        <v>26</v>
      </c>
      <c r="B38" s="78">
        <f>IF('input-output'!$I$48="Y", 'Data Analysis'!CL38,'Data Analysis'!CM38)</f>
        <v>18</v>
      </c>
      <c r="C38" s="53">
        <f t="shared" si="47"/>
        <v>1.8828451882845189E-2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3</v>
      </c>
      <c r="AV38" s="1">
        <f t="shared" si="93"/>
        <v>0</v>
      </c>
      <c r="AW38" s="1">
        <f t="shared" si="93"/>
        <v>0</v>
      </c>
      <c r="AX38" s="1">
        <f t="shared" si="93"/>
        <v>0</v>
      </c>
      <c r="AY38" s="1">
        <f t="shared" si="93"/>
        <v>0</v>
      </c>
      <c r="AZ38" s="1">
        <f t="shared" si="93"/>
        <v>2</v>
      </c>
      <c r="BA38" s="1">
        <f t="shared" si="93"/>
        <v>0</v>
      </c>
      <c r="BB38" s="1">
        <f t="shared" si="93"/>
        <v>0</v>
      </c>
      <c r="BC38" s="1">
        <f t="shared" si="93"/>
        <v>0</v>
      </c>
      <c r="BD38" s="1">
        <f t="shared" si="93"/>
        <v>0</v>
      </c>
      <c r="BE38" s="1">
        <f t="shared" ref="BE38:BN45" si="94">IF(N$2="x",N38,0)</f>
        <v>0</v>
      </c>
      <c r="BF38" s="1">
        <f t="shared" si="94"/>
        <v>0</v>
      </c>
      <c r="BG38" s="1">
        <f t="shared" si="94"/>
        <v>0</v>
      </c>
      <c r="BH38" s="1">
        <f t="shared" si="94"/>
        <v>0</v>
      </c>
      <c r="BI38" s="1">
        <f t="shared" si="94"/>
        <v>5</v>
      </c>
      <c r="BJ38" s="1">
        <f t="shared" si="94"/>
        <v>0</v>
      </c>
      <c r="BK38" s="1">
        <f t="shared" si="94"/>
        <v>0</v>
      </c>
      <c r="BL38" s="1">
        <f t="shared" si="94"/>
        <v>0</v>
      </c>
      <c r="BM38" s="1">
        <f t="shared" si="94"/>
        <v>3</v>
      </c>
      <c r="BN38" s="1">
        <f t="shared" si="94"/>
        <v>0</v>
      </c>
      <c r="BO38" s="1">
        <f t="shared" ref="BO38:BX45"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5</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I45" si="99">IF(AQ$2="x",AQ38,0)</f>
        <v>0</v>
      </c>
      <c r="CI38" s="1">
        <f t="shared" si="99"/>
        <v>0</v>
      </c>
      <c r="CL38" s="1">
        <f t="shared" si="7"/>
        <v>18</v>
      </c>
      <c r="CM38" s="1">
        <f t="shared" si="8"/>
        <v>10</v>
      </c>
    </row>
    <row r="39" spans="1:91" ht="15" customHeight="1" x14ac:dyDescent="0.25">
      <c r="A39" s="42" t="s">
        <v>27</v>
      </c>
      <c r="B39" s="78">
        <f>IF('input-output'!$I$48="Y", 'Data Analysis'!CL39,'Data Analysis'!CM39)</f>
        <v>23</v>
      </c>
      <c r="C39" s="53">
        <f t="shared" si="47"/>
        <v>2.4058577405857741E-2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3</v>
      </c>
      <c r="AV39" s="1">
        <f t="shared" si="93"/>
        <v>0</v>
      </c>
      <c r="AW39" s="1">
        <f t="shared" si="93"/>
        <v>0</v>
      </c>
      <c r="AX39" s="1">
        <f t="shared" si="93"/>
        <v>0</v>
      </c>
      <c r="AY39" s="1">
        <f t="shared" si="93"/>
        <v>3</v>
      </c>
      <c r="AZ39" s="1">
        <f t="shared" si="93"/>
        <v>2</v>
      </c>
      <c r="BA39" s="1">
        <f t="shared" si="93"/>
        <v>0</v>
      </c>
      <c r="BB39" s="1">
        <f t="shared" si="93"/>
        <v>0</v>
      </c>
      <c r="BC39" s="1">
        <f t="shared" si="93"/>
        <v>0</v>
      </c>
      <c r="BD39" s="1">
        <f t="shared" si="93"/>
        <v>2</v>
      </c>
      <c r="BE39" s="1">
        <f t="shared" si="94"/>
        <v>0</v>
      </c>
      <c r="BF39" s="1">
        <f t="shared" si="94"/>
        <v>0</v>
      </c>
      <c r="BG39" s="1">
        <f t="shared" si="94"/>
        <v>0</v>
      </c>
      <c r="BH39" s="1">
        <f t="shared" si="94"/>
        <v>0</v>
      </c>
      <c r="BI39" s="1">
        <f t="shared" si="94"/>
        <v>5</v>
      </c>
      <c r="BJ39" s="1">
        <f t="shared" si="94"/>
        <v>0</v>
      </c>
      <c r="BK39" s="1">
        <f t="shared" si="94"/>
        <v>0</v>
      </c>
      <c r="BL39" s="1">
        <f t="shared" si="94"/>
        <v>0</v>
      </c>
      <c r="BM39" s="1">
        <f t="shared" si="94"/>
        <v>3</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5</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L39" s="1">
        <f t="shared" si="7"/>
        <v>23</v>
      </c>
      <c r="CM39" s="1">
        <f t="shared" si="8"/>
        <v>10</v>
      </c>
    </row>
    <row r="40" spans="1:91" ht="15" customHeight="1" x14ac:dyDescent="0.25">
      <c r="A40" s="42" t="s">
        <v>28</v>
      </c>
      <c r="B40" s="78">
        <f>IF('input-output'!$I$48="Y", 'Data Analysis'!CL40,'Data Analysis'!CM40)</f>
        <v>25</v>
      </c>
      <c r="C40" s="53">
        <f t="shared" si="47"/>
        <v>2.615062761506276E-2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3</v>
      </c>
      <c r="AV40" s="1">
        <f t="shared" si="93"/>
        <v>0</v>
      </c>
      <c r="AW40" s="1">
        <f t="shared" si="93"/>
        <v>0</v>
      </c>
      <c r="AX40" s="1">
        <f t="shared" si="93"/>
        <v>0</v>
      </c>
      <c r="AY40" s="1">
        <f t="shared" si="93"/>
        <v>3</v>
      </c>
      <c r="AZ40" s="1">
        <f t="shared" si="93"/>
        <v>2</v>
      </c>
      <c r="BA40" s="1">
        <f t="shared" si="93"/>
        <v>0</v>
      </c>
      <c r="BB40" s="1">
        <f t="shared" si="93"/>
        <v>0</v>
      </c>
      <c r="BC40" s="1">
        <f t="shared" si="93"/>
        <v>0</v>
      </c>
      <c r="BD40" s="1">
        <f t="shared" si="93"/>
        <v>2</v>
      </c>
      <c r="BE40" s="1">
        <f t="shared" si="94"/>
        <v>0</v>
      </c>
      <c r="BF40" s="1">
        <f t="shared" si="94"/>
        <v>0</v>
      </c>
      <c r="BG40" s="1">
        <f t="shared" si="94"/>
        <v>0</v>
      </c>
      <c r="BH40" s="1">
        <f t="shared" si="94"/>
        <v>0</v>
      </c>
      <c r="BI40" s="1">
        <f t="shared" si="94"/>
        <v>4</v>
      </c>
      <c r="BJ40" s="1">
        <f t="shared" si="94"/>
        <v>3</v>
      </c>
      <c r="BK40" s="1">
        <f t="shared" si="94"/>
        <v>0</v>
      </c>
      <c r="BL40" s="1">
        <f t="shared" si="94"/>
        <v>0</v>
      </c>
      <c r="BM40" s="1">
        <f t="shared" si="94"/>
        <v>3</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5</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L40" s="1">
        <f t="shared" si="7"/>
        <v>25</v>
      </c>
      <c r="CM40" s="1">
        <f t="shared" si="8"/>
        <v>9</v>
      </c>
    </row>
    <row r="41" spans="1:91" ht="15" customHeight="1" x14ac:dyDescent="0.35">
      <c r="A41" s="43" t="s">
        <v>29</v>
      </c>
      <c r="B41" s="54">
        <f>IF('input-output'!$I$48="Y", 'Data Analysis'!CL41,'Data Analysis'!CM41)</f>
        <v>52</v>
      </c>
      <c r="C41" s="13">
        <f t="shared" si="47"/>
        <v>5.4393305439330547E-2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3</v>
      </c>
      <c r="AZ41" s="1">
        <f t="shared" si="93"/>
        <v>4</v>
      </c>
      <c r="BA41" s="1">
        <f t="shared" si="93"/>
        <v>0</v>
      </c>
      <c r="BB41" s="1">
        <f t="shared" si="93"/>
        <v>4</v>
      </c>
      <c r="BC41" s="1">
        <f t="shared" si="93"/>
        <v>5</v>
      </c>
      <c r="BD41" s="1">
        <f t="shared" si="93"/>
        <v>3</v>
      </c>
      <c r="BE41" s="1">
        <f t="shared" si="94"/>
        <v>0</v>
      </c>
      <c r="BF41" s="1">
        <f t="shared" si="94"/>
        <v>0</v>
      </c>
      <c r="BG41" s="1">
        <f t="shared" si="94"/>
        <v>0</v>
      </c>
      <c r="BH41" s="1">
        <f t="shared" si="94"/>
        <v>0</v>
      </c>
      <c r="BI41" s="1">
        <f t="shared" si="94"/>
        <v>5</v>
      </c>
      <c r="BJ41" s="1">
        <f t="shared" si="94"/>
        <v>3</v>
      </c>
      <c r="BK41" s="1">
        <f t="shared" si="94"/>
        <v>5</v>
      </c>
      <c r="BL41" s="1">
        <f t="shared" si="94"/>
        <v>5</v>
      </c>
      <c r="BM41" s="1">
        <f t="shared" si="94"/>
        <v>5</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5</v>
      </c>
      <c r="BZ41" s="1">
        <f t="shared" si="96"/>
        <v>5</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L41" s="1">
        <f t="shared" si="7"/>
        <v>52</v>
      </c>
      <c r="CM41" s="1">
        <f t="shared" si="8"/>
        <v>43</v>
      </c>
    </row>
    <row r="42" spans="1:91" ht="15" customHeight="1" x14ac:dyDescent="0.35">
      <c r="A42" s="43" t="s">
        <v>30</v>
      </c>
      <c r="B42" s="54">
        <f>IF('input-output'!$I$48="Y", 'Data Analysis'!CL42,'Data Analysis'!CM42)</f>
        <v>29</v>
      </c>
      <c r="C42" s="13">
        <f t="shared" si="47"/>
        <v>3.0334728033472803E-2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3</v>
      </c>
      <c r="AV42" s="1">
        <f t="shared" si="93"/>
        <v>0</v>
      </c>
      <c r="AW42" s="1">
        <f t="shared" si="93"/>
        <v>0</v>
      </c>
      <c r="AX42" s="1">
        <f t="shared" si="93"/>
        <v>0</v>
      </c>
      <c r="AY42" s="1">
        <f t="shared" si="93"/>
        <v>0</v>
      </c>
      <c r="AZ42" s="1">
        <f t="shared" si="93"/>
        <v>2</v>
      </c>
      <c r="BA42" s="1">
        <f t="shared" si="93"/>
        <v>0</v>
      </c>
      <c r="BB42" s="1">
        <f t="shared" si="93"/>
        <v>3</v>
      </c>
      <c r="BC42" s="1">
        <f t="shared" si="93"/>
        <v>0</v>
      </c>
      <c r="BD42" s="1">
        <f t="shared" si="93"/>
        <v>4</v>
      </c>
      <c r="BE42" s="1">
        <f t="shared" si="94"/>
        <v>0</v>
      </c>
      <c r="BF42" s="1">
        <f t="shared" si="94"/>
        <v>0</v>
      </c>
      <c r="BG42" s="1">
        <f t="shared" si="94"/>
        <v>0</v>
      </c>
      <c r="BH42" s="1">
        <f t="shared" si="94"/>
        <v>0</v>
      </c>
      <c r="BI42" s="1">
        <f t="shared" si="94"/>
        <v>3</v>
      </c>
      <c r="BJ42" s="1">
        <f t="shared" si="94"/>
        <v>0</v>
      </c>
      <c r="BK42" s="1">
        <f t="shared" si="94"/>
        <v>3</v>
      </c>
      <c r="BL42" s="1">
        <f t="shared" si="94"/>
        <v>3</v>
      </c>
      <c r="BM42" s="1">
        <f t="shared" si="94"/>
        <v>2</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3</v>
      </c>
      <c r="BZ42" s="1">
        <f t="shared" si="96"/>
        <v>3</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L42" s="1">
        <f t="shared" si="7"/>
        <v>29</v>
      </c>
      <c r="CM42" s="1">
        <f t="shared" si="8"/>
        <v>4</v>
      </c>
    </row>
    <row r="43" spans="1:91" ht="15" customHeight="1" x14ac:dyDescent="0.35">
      <c r="A43" s="43" t="s">
        <v>33</v>
      </c>
      <c r="B43" s="54">
        <f>IF('input-output'!$I$48="Y", 'Data Analysis'!CL43,'Data Analysis'!CM43)</f>
        <v>46</v>
      </c>
      <c r="C43" s="13">
        <f t="shared" si="47"/>
        <v>4.8117154811715482E-2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3</v>
      </c>
      <c r="AV43" s="1">
        <f t="shared" si="93"/>
        <v>4</v>
      </c>
      <c r="AW43" s="1">
        <f t="shared" si="93"/>
        <v>4</v>
      </c>
      <c r="AX43" s="1">
        <f t="shared" si="93"/>
        <v>4</v>
      </c>
      <c r="AY43" s="1">
        <f t="shared" si="93"/>
        <v>3</v>
      </c>
      <c r="AZ43" s="1">
        <f t="shared" si="93"/>
        <v>2</v>
      </c>
      <c r="BA43" s="1">
        <f t="shared" si="93"/>
        <v>0</v>
      </c>
      <c r="BB43" s="1">
        <f t="shared" si="93"/>
        <v>3</v>
      </c>
      <c r="BC43" s="1">
        <f t="shared" si="93"/>
        <v>3</v>
      </c>
      <c r="BD43" s="1">
        <f t="shared" si="93"/>
        <v>4</v>
      </c>
      <c r="BE43" s="1">
        <f t="shared" si="94"/>
        <v>0</v>
      </c>
      <c r="BF43" s="1">
        <f t="shared" si="94"/>
        <v>0</v>
      </c>
      <c r="BG43" s="1">
        <f t="shared" si="94"/>
        <v>0</v>
      </c>
      <c r="BH43" s="1">
        <f t="shared" si="94"/>
        <v>0</v>
      </c>
      <c r="BI43" s="1">
        <f t="shared" si="94"/>
        <v>5</v>
      </c>
      <c r="BJ43" s="1">
        <f t="shared" si="94"/>
        <v>3</v>
      </c>
      <c r="BK43" s="1">
        <f t="shared" si="94"/>
        <v>1</v>
      </c>
      <c r="BL43" s="1">
        <f t="shared" si="94"/>
        <v>1</v>
      </c>
      <c r="BM43" s="1">
        <f t="shared" si="94"/>
        <v>0</v>
      </c>
      <c r="BN43" s="1">
        <f t="shared" si="94"/>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3</v>
      </c>
      <c r="BZ43" s="1">
        <f t="shared" si="96"/>
        <v>3</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L43" s="1">
        <f t="shared" si="7"/>
        <v>46</v>
      </c>
      <c r="CM43" s="1">
        <f t="shared" si="8"/>
        <v>21</v>
      </c>
    </row>
    <row r="44" spans="1:91" ht="15" customHeight="1" x14ac:dyDescent="0.35">
      <c r="A44" s="43" t="s">
        <v>48</v>
      </c>
      <c r="B44" s="54">
        <f>IF('input-output'!$I$48="Y", 'Data Analysis'!CL44,'Data Analysis'!CM44)</f>
        <v>25</v>
      </c>
      <c r="C44" s="13">
        <f t="shared" si="47"/>
        <v>2.615062761506276E-2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3</v>
      </c>
      <c r="AZ44" s="1">
        <f t="shared" si="93"/>
        <v>2</v>
      </c>
      <c r="BA44" s="1">
        <f t="shared" si="93"/>
        <v>0</v>
      </c>
      <c r="BB44" s="1">
        <f t="shared" si="93"/>
        <v>3</v>
      </c>
      <c r="BC44" s="1">
        <f t="shared" si="93"/>
        <v>0</v>
      </c>
      <c r="BD44" s="1">
        <f t="shared" si="93"/>
        <v>3</v>
      </c>
      <c r="BE44" s="1">
        <f t="shared" si="94"/>
        <v>0</v>
      </c>
      <c r="BF44" s="1">
        <f t="shared" si="94"/>
        <v>0</v>
      </c>
      <c r="BG44" s="1">
        <f t="shared" si="94"/>
        <v>0</v>
      </c>
      <c r="BH44" s="1">
        <f t="shared" si="94"/>
        <v>0</v>
      </c>
      <c r="BI44" s="1">
        <f t="shared" si="94"/>
        <v>2</v>
      </c>
      <c r="BJ44" s="1">
        <f t="shared" si="94"/>
        <v>0</v>
      </c>
      <c r="BK44" s="1">
        <f t="shared" si="94"/>
        <v>3</v>
      </c>
      <c r="BL44" s="1">
        <f t="shared" si="94"/>
        <v>3</v>
      </c>
      <c r="BM44" s="1">
        <f t="shared" si="94"/>
        <v>0</v>
      </c>
      <c r="BN44" s="1">
        <f t="shared" si="94"/>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3</v>
      </c>
      <c r="BZ44" s="1">
        <f t="shared" si="96"/>
        <v>3</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L44" s="1">
        <f t="shared" si="7"/>
        <v>25</v>
      </c>
      <c r="CM44" s="1">
        <f t="shared" si="8"/>
        <v>0</v>
      </c>
    </row>
    <row r="45" spans="1:91" ht="15" customHeight="1" thickBot="1" x14ac:dyDescent="0.4">
      <c r="A45" s="45" t="s">
        <v>49</v>
      </c>
      <c r="B45" s="54">
        <f>IF('input-output'!$I$48="Y", 'Data Analysis'!CL45,'Data Analysis'!CM45)</f>
        <v>26</v>
      </c>
      <c r="C45" s="12">
        <f t="shared" si="47"/>
        <v>2.7196652719665274E-2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3</v>
      </c>
      <c r="AZ45" s="1">
        <f t="shared" si="93"/>
        <v>2</v>
      </c>
      <c r="BA45" s="1">
        <f t="shared" si="93"/>
        <v>0</v>
      </c>
      <c r="BB45" s="1">
        <f t="shared" si="93"/>
        <v>3</v>
      </c>
      <c r="BC45" s="1">
        <f t="shared" si="93"/>
        <v>0</v>
      </c>
      <c r="BD45" s="1">
        <f t="shared" si="93"/>
        <v>5</v>
      </c>
      <c r="BE45" s="1">
        <f t="shared" si="94"/>
        <v>0</v>
      </c>
      <c r="BF45" s="1">
        <f t="shared" si="94"/>
        <v>0</v>
      </c>
      <c r="BG45" s="1">
        <f t="shared" si="94"/>
        <v>0</v>
      </c>
      <c r="BH45" s="1">
        <f t="shared" si="94"/>
        <v>0</v>
      </c>
      <c r="BI45" s="1">
        <f t="shared" si="94"/>
        <v>3</v>
      </c>
      <c r="BJ45" s="1">
        <f t="shared" si="94"/>
        <v>0</v>
      </c>
      <c r="BK45" s="1">
        <f t="shared" si="94"/>
        <v>2</v>
      </c>
      <c r="BL45" s="1">
        <f t="shared" si="94"/>
        <v>2</v>
      </c>
      <c r="BM45" s="1">
        <f t="shared" si="94"/>
        <v>2</v>
      </c>
      <c r="BN45" s="1">
        <f t="shared" si="94"/>
        <v>0</v>
      </c>
      <c r="BO45" s="1">
        <f t="shared" si="95"/>
        <v>0</v>
      </c>
      <c r="BP45" s="1">
        <f t="shared" si="95"/>
        <v>0</v>
      </c>
      <c r="BQ45" s="1">
        <f t="shared" si="95"/>
        <v>0</v>
      </c>
      <c r="BR45" s="1">
        <f t="shared" si="95"/>
        <v>0</v>
      </c>
      <c r="BS45" s="1">
        <f t="shared" si="95"/>
        <v>0</v>
      </c>
      <c r="BT45" s="1">
        <f t="shared" si="95"/>
        <v>0</v>
      </c>
      <c r="BU45" s="1">
        <f t="shared" si="95"/>
        <v>0</v>
      </c>
      <c r="BV45" s="1">
        <f t="shared" si="95"/>
        <v>0</v>
      </c>
      <c r="BW45" s="1">
        <f t="shared" si="95"/>
        <v>0</v>
      </c>
      <c r="BX45" s="1">
        <f t="shared" si="95"/>
        <v>0</v>
      </c>
      <c r="BY45" s="1">
        <f t="shared" si="96"/>
        <v>1</v>
      </c>
      <c r="BZ45" s="1">
        <f t="shared" si="96"/>
        <v>3</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L45" s="1">
        <f t="shared" si="7"/>
        <v>26</v>
      </c>
      <c r="CM45" s="1">
        <f t="shared" si="8"/>
        <v>5</v>
      </c>
    </row>
    <row r="46" spans="1:91" ht="28" customHeight="1" x14ac:dyDescent="0.35">
      <c r="A46" s="18"/>
      <c r="B46" s="19">
        <f>SUM(B4+B8+B9+B20+B30+B37+B41+B42+B43+B44+B45)</f>
        <v>956</v>
      </c>
      <c r="D46"/>
    </row>
    <row r="64" spans="1:2" x14ac:dyDescent="0.25">
      <c r="A64" s="58" t="s">
        <v>66</v>
      </c>
      <c r="B64" s="57">
        <f>C45</f>
        <v>2.7196652719665274E-2</v>
      </c>
    </row>
    <row r="65" spans="1:3" x14ac:dyDescent="0.25">
      <c r="A65" t="s">
        <v>55</v>
      </c>
      <c r="B65" s="57">
        <f>C44</f>
        <v>2.615062761506276E-2</v>
      </c>
    </row>
    <row r="66" spans="1:3" x14ac:dyDescent="0.25">
      <c r="A66" t="s">
        <v>67</v>
      </c>
      <c r="B66" s="57">
        <f>C43</f>
        <v>4.8117154811715482E-2</v>
      </c>
    </row>
    <row r="67" spans="1:3" x14ac:dyDescent="0.25">
      <c r="A67" t="s">
        <v>68</v>
      </c>
      <c r="B67" s="57">
        <f>C42</f>
        <v>3.0334728033472803E-2</v>
      </c>
    </row>
    <row r="68" spans="1:3" x14ac:dyDescent="0.25">
      <c r="A68" t="s">
        <v>69</v>
      </c>
      <c r="B68" s="57">
        <f>C41</f>
        <v>5.4393305439330547E-2</v>
      </c>
    </row>
    <row r="69" spans="1:3" x14ac:dyDescent="0.25">
      <c r="A69" t="s">
        <v>72</v>
      </c>
      <c r="B69" s="57">
        <f>C37</f>
        <v>6.903765690376569E-2</v>
      </c>
    </row>
    <row r="70" spans="1:3" x14ac:dyDescent="0.25">
      <c r="A70" t="s">
        <v>73</v>
      </c>
      <c r="B70" s="57">
        <f>C30</f>
        <v>0.17573221757322174</v>
      </c>
    </row>
    <row r="71" spans="1:3" x14ac:dyDescent="0.25">
      <c r="A71" t="s">
        <v>56</v>
      </c>
      <c r="B71" s="57">
        <f>C20</f>
        <v>0.12343096234309624</v>
      </c>
    </row>
    <row r="72" spans="1:3" x14ac:dyDescent="0.25">
      <c r="A72" t="s">
        <v>57</v>
      </c>
      <c r="B72" s="57">
        <f>C9</f>
        <v>0.27510460251046026</v>
      </c>
    </row>
    <row r="73" spans="1:3" x14ac:dyDescent="0.25">
      <c r="A73" t="s">
        <v>64</v>
      </c>
      <c r="B73" s="57">
        <f>C8</f>
        <v>3.0334728033472803E-2</v>
      </c>
    </row>
    <row r="74" spans="1:3" x14ac:dyDescent="0.25">
      <c r="A74" t="s">
        <v>65</v>
      </c>
      <c r="B74" s="57">
        <f>C4</f>
        <v>0.14016736401673641</v>
      </c>
    </row>
    <row r="77" spans="1:3" x14ac:dyDescent="0.25">
      <c r="A77" s="58" t="s">
        <v>66</v>
      </c>
      <c r="B77" s="82">
        <f>B45</f>
        <v>26</v>
      </c>
      <c r="C77">
        <v>5</v>
      </c>
    </row>
    <row r="78" spans="1:3" x14ac:dyDescent="0.25">
      <c r="A78" t="s">
        <v>55</v>
      </c>
      <c r="B78" s="82">
        <f>B44</f>
        <v>25</v>
      </c>
      <c r="C78">
        <v>8</v>
      </c>
    </row>
    <row r="79" spans="1:3" x14ac:dyDescent="0.25">
      <c r="A79" t="s">
        <v>67</v>
      </c>
      <c r="B79" s="82">
        <f>B43</f>
        <v>46</v>
      </c>
      <c r="C79">
        <v>27</v>
      </c>
    </row>
    <row r="80" spans="1:3" x14ac:dyDescent="0.25">
      <c r="A80" t="s">
        <v>68</v>
      </c>
      <c r="B80" s="82">
        <f>B42</f>
        <v>29</v>
      </c>
      <c r="C80">
        <v>14</v>
      </c>
    </row>
    <row r="81" spans="1:3" x14ac:dyDescent="0.25">
      <c r="A81" t="s">
        <v>69</v>
      </c>
      <c r="B81" s="82">
        <f>B41</f>
        <v>52</v>
      </c>
      <c r="C81">
        <v>14</v>
      </c>
    </row>
    <row r="82" spans="1:3" x14ac:dyDescent="0.25">
      <c r="A82" t="s">
        <v>72</v>
      </c>
      <c r="B82" s="82">
        <f>B37</f>
        <v>66</v>
      </c>
      <c r="C82">
        <v>38</v>
      </c>
    </row>
    <row r="83" spans="1:3" x14ac:dyDescent="0.25">
      <c r="A83" t="s">
        <v>73</v>
      </c>
      <c r="B83" s="82">
        <f>B30</f>
        <v>168</v>
      </c>
      <c r="C83">
        <v>118</v>
      </c>
    </row>
    <row r="84" spans="1:3" x14ac:dyDescent="0.25">
      <c r="A84" t="s">
        <v>56</v>
      </c>
      <c r="B84" s="82">
        <f>B20</f>
        <v>118</v>
      </c>
      <c r="C84">
        <v>32</v>
      </c>
    </row>
    <row r="85" spans="1:3" x14ac:dyDescent="0.25">
      <c r="A85" t="s">
        <v>57</v>
      </c>
      <c r="B85" s="82">
        <f>B9</f>
        <v>263</v>
      </c>
      <c r="C85">
        <v>124</v>
      </c>
    </row>
    <row r="86" spans="1:3" x14ac:dyDescent="0.25">
      <c r="A86" t="s">
        <v>64</v>
      </c>
      <c r="B86" s="82">
        <f>B8</f>
        <v>29</v>
      </c>
      <c r="C86">
        <v>22</v>
      </c>
    </row>
    <row r="87" spans="1:3" x14ac:dyDescent="0.25">
      <c r="A87" t="s">
        <v>65</v>
      </c>
      <c r="B87" s="82">
        <f>B4</f>
        <v>134</v>
      </c>
      <c r="C87">
        <v>106</v>
      </c>
    </row>
  </sheetData>
  <phoneticPr fontId="0" type="noConversion"/>
  <printOptions gridLines="1"/>
  <pageMargins left="0.75" right="0.75" top="1"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input-output</vt:lpstr>
      <vt:lpstr>Data Analysis</vt:lpstr>
      <vt:lpstr>'Data Analysis'!Print_Area</vt:lpstr>
      <vt:lpstr>'input-output'!Print_Area</vt:lpstr>
      <vt:lpstr>'Data Analysis'!Print_Titles</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Carina Negreanu</cp:lastModifiedBy>
  <cp:lastPrinted>2003-01-16T19:27:10Z</cp:lastPrinted>
  <dcterms:created xsi:type="dcterms:W3CDTF">2001-01-15T18:18:19Z</dcterms:created>
  <dcterms:modified xsi:type="dcterms:W3CDTF">2020-01-27T11:38:33Z</dcterms:modified>
</cp:coreProperties>
</file>