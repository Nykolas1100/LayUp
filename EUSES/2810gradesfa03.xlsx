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85A03A-B6A1-40B2-AD0A-5CA0E12B05AE}" xr6:coauthVersionLast="45" xr6:coauthVersionMax="45" xr10:uidLastSave="{00000000-0000-0000-0000-000000000000}"/>
  <bookViews>
    <workbookView xWindow="3420" yWindow="3420" windowWidth="28800" windowHeight="15460" firstSheet="1" activeTab="3"/>
  </bookViews>
  <sheets>
    <sheet name="exam stats" sheetId="5" r:id="rId1"/>
    <sheet name="2810 info 9am" sheetId="1" r:id="rId2"/>
    <sheet name="2810 info 10am" sheetId="2" r:id="rId3"/>
    <sheet name="9 am grades" sheetId="4" r:id="rId4"/>
    <sheet name="10 am grad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5" i="4" l="1"/>
  <c r="Q12" i="4"/>
  <c r="Q36" i="4"/>
  <c r="R12" i="4"/>
  <c r="R3" i="3"/>
  <c r="P21" i="3"/>
  <c r="O21" i="3"/>
  <c r="O35" i="4"/>
  <c r="C21" i="3"/>
  <c r="Q21" i="3" s="1"/>
  <c r="S21" i="3" s="1"/>
  <c r="D21" i="3"/>
  <c r="E21" i="3"/>
  <c r="F21" i="3"/>
  <c r="G21" i="3"/>
  <c r="H21" i="3"/>
  <c r="I21" i="3"/>
  <c r="J21" i="3"/>
  <c r="K21" i="3"/>
  <c r="L21" i="3"/>
  <c r="M21" i="3"/>
  <c r="N21" i="3"/>
  <c r="B21" i="3"/>
  <c r="N35" i="4"/>
  <c r="Q22" i="3"/>
  <c r="R6" i="3" s="1"/>
  <c r="S6" i="3" s="1"/>
  <c r="O10" i="5"/>
  <c r="P10" i="5"/>
  <c r="Q10" i="5"/>
  <c r="Q9" i="5"/>
  <c r="Q8" i="5"/>
  <c r="Q7" i="5"/>
  <c r="Q6" i="5"/>
  <c r="Q5" i="5"/>
  <c r="B36" i="5"/>
  <c r="C36" i="5"/>
  <c r="D36" i="5"/>
  <c r="E36" i="5"/>
  <c r="F36" i="5"/>
  <c r="A36" i="5"/>
  <c r="E35" i="5"/>
  <c r="F35" i="5"/>
  <c r="L35" i="4"/>
  <c r="M35" i="4"/>
  <c r="K35" i="4"/>
  <c r="R2" i="3"/>
  <c r="I19" i="5"/>
  <c r="J19" i="5"/>
  <c r="K19" i="5"/>
  <c r="K18" i="5"/>
  <c r="K17" i="5"/>
  <c r="K16" i="5"/>
  <c r="K15" i="5"/>
  <c r="K14" i="5"/>
  <c r="C35" i="5"/>
  <c r="D35" i="5"/>
  <c r="J35" i="4"/>
  <c r="I35" i="4"/>
  <c r="H35" i="4"/>
  <c r="Q9" i="4"/>
  <c r="R9" i="4"/>
  <c r="G35" i="4"/>
  <c r="F35" i="4"/>
  <c r="Q26" i="4"/>
  <c r="R26" i="4"/>
  <c r="E35" i="4"/>
  <c r="Q35" i="4" s="1"/>
  <c r="R35" i="4" s="1"/>
  <c r="B35" i="5"/>
  <c r="A35" i="5"/>
  <c r="K6" i="5"/>
  <c r="K7" i="5"/>
  <c r="K8" i="5"/>
  <c r="K9" i="5"/>
  <c r="K5" i="5"/>
  <c r="J10" i="5"/>
  <c r="I10" i="5"/>
  <c r="K10" i="5" s="1"/>
  <c r="Q3" i="4"/>
  <c r="R3" i="4"/>
  <c r="Q4" i="4"/>
  <c r="R4" i="4"/>
  <c r="Q5" i="4"/>
  <c r="R5" i="4"/>
  <c r="Q6" i="4"/>
  <c r="R6" i="4"/>
  <c r="Q7" i="4"/>
  <c r="R7" i="4" s="1"/>
  <c r="Q8" i="4"/>
  <c r="R8" i="4" s="1"/>
  <c r="Q10" i="4"/>
  <c r="R10" i="4" s="1"/>
  <c r="Q11" i="4"/>
  <c r="R11" i="4" s="1"/>
  <c r="Q13" i="4"/>
  <c r="Q14" i="4"/>
  <c r="R14" i="4" s="1"/>
  <c r="Q15" i="4"/>
  <c r="R15" i="4"/>
  <c r="Q16" i="4"/>
  <c r="R16" i="4"/>
  <c r="Q17" i="4"/>
  <c r="R17" i="4"/>
  <c r="Q18" i="4"/>
  <c r="R18" i="4" s="1"/>
  <c r="Q19" i="4"/>
  <c r="R19" i="4"/>
  <c r="Q20" i="4"/>
  <c r="R20" i="4" s="1"/>
  <c r="Q21" i="4"/>
  <c r="R21" i="4"/>
  <c r="Q22" i="4"/>
  <c r="R22" i="4"/>
  <c r="Q23" i="4"/>
  <c r="R23" i="4"/>
  <c r="Q24" i="4"/>
  <c r="Q25" i="4"/>
  <c r="Q27" i="4"/>
  <c r="R27" i="4"/>
  <c r="Q28" i="4"/>
  <c r="R28" i="4"/>
  <c r="Q29" i="4"/>
  <c r="R29" i="4"/>
  <c r="Q30" i="4"/>
  <c r="R30" i="4"/>
  <c r="Q31" i="4"/>
  <c r="R31" i="4"/>
  <c r="Q32" i="4"/>
  <c r="R32" i="4"/>
  <c r="Q33" i="4"/>
  <c r="Q34" i="4"/>
  <c r="R34" i="4" s="1"/>
  <c r="B35" i="4"/>
  <c r="C35" i="4"/>
  <c r="D35" i="4"/>
  <c r="Q2" i="4"/>
  <c r="R2" i="4"/>
  <c r="Q3" i="3"/>
  <c r="S3" i="3"/>
  <c r="R4" i="3"/>
  <c r="Q4" i="3"/>
  <c r="S4" i="3"/>
  <c r="R5" i="3"/>
  <c r="Q5" i="3"/>
  <c r="S5" i="3"/>
  <c r="Q6" i="3"/>
  <c r="Q7" i="3"/>
  <c r="S7" i="3"/>
  <c r="Q8" i="3"/>
  <c r="Q9" i="3"/>
  <c r="R9" i="3"/>
  <c r="S9" i="3"/>
  <c r="R10" i="3"/>
  <c r="Q10" i="3"/>
  <c r="S10" i="3"/>
  <c r="R11" i="3"/>
  <c r="Q11" i="3"/>
  <c r="S11" i="3"/>
  <c r="Q12" i="3"/>
  <c r="R12" i="3"/>
  <c r="S12" i="3"/>
  <c r="R13" i="3"/>
  <c r="Q13" i="3"/>
  <c r="S13" i="3" s="1"/>
  <c r="R14" i="3"/>
  <c r="Q14" i="3"/>
  <c r="S14" i="3" s="1"/>
  <c r="R15" i="3"/>
  <c r="Q15" i="3"/>
  <c r="S15" i="3" s="1"/>
  <c r="R16" i="3"/>
  <c r="Q16" i="3"/>
  <c r="S16" i="3"/>
  <c r="R17" i="3"/>
  <c r="S17" i="3"/>
  <c r="Q18" i="3"/>
  <c r="Q19" i="3"/>
  <c r="R19" i="3"/>
  <c r="S19" i="3"/>
  <c r="Q20" i="3"/>
  <c r="R20" i="3"/>
  <c r="S20" i="3"/>
  <c r="R21" i="3"/>
  <c r="Q2" i="3"/>
  <c r="S2" i="3" s="1"/>
  <c r="Q17" i="3"/>
  <c r="L18" i="5" l="1"/>
  <c r="R6" i="5"/>
  <c r="R9" i="5"/>
  <c r="L7" i="5"/>
  <c r="R5" i="5"/>
  <c r="R8" i="5"/>
  <c r="R7" i="5"/>
  <c r="L6" i="5"/>
  <c r="L17" i="5"/>
  <c r="L16" i="5"/>
  <c r="L14" i="5"/>
  <c r="L15" i="5"/>
  <c r="L8" i="5"/>
  <c r="L5" i="5"/>
  <c r="L9" i="5"/>
  <c r="R18" i="3"/>
  <c r="S18" i="3" s="1"/>
  <c r="R8" i="3"/>
  <c r="S8" i="3" s="1"/>
</calcChain>
</file>

<file path=xl/sharedStrings.xml><?xml version="1.0" encoding="utf-8"?>
<sst xmlns="http://schemas.openxmlformats.org/spreadsheetml/2006/main" count="325" uniqueCount="236">
  <si>
    <t>Michele</t>
  </si>
  <si>
    <t>Anderson</t>
  </si>
  <si>
    <t>Andrew</t>
  </si>
  <si>
    <t>Austin</t>
  </si>
  <si>
    <t>Lindsey</t>
  </si>
  <si>
    <t>Cain</t>
  </si>
  <si>
    <t>Daren</t>
  </si>
  <si>
    <t>Clary</t>
  </si>
  <si>
    <t>David</t>
  </si>
  <si>
    <t>Constantine</t>
  </si>
  <si>
    <t>Amanda</t>
  </si>
  <si>
    <t>Dietz</t>
  </si>
  <si>
    <t>Gordon</t>
  </si>
  <si>
    <t>Eberlin</t>
  </si>
  <si>
    <t>Whitney</t>
  </si>
  <si>
    <t>Edwards</t>
  </si>
  <si>
    <t>Alexis</t>
  </si>
  <si>
    <t>Funk</t>
  </si>
  <si>
    <t>Chris</t>
  </si>
  <si>
    <t>Holloway</t>
  </si>
  <si>
    <t>Nicholas</t>
  </si>
  <si>
    <t>Hudson</t>
  </si>
  <si>
    <t>Patrick</t>
  </si>
  <si>
    <t>Jackson</t>
  </si>
  <si>
    <t>Jean</t>
  </si>
  <si>
    <t>Jean-Jacques</t>
  </si>
  <si>
    <t>Jason</t>
  </si>
  <si>
    <t>Jenkins</t>
  </si>
  <si>
    <t>Julie</t>
  </si>
  <si>
    <t>Kleinschmidt</t>
  </si>
  <si>
    <t>Matthew</t>
  </si>
  <si>
    <t>Kollross</t>
  </si>
  <si>
    <t>Benjamin</t>
  </si>
  <si>
    <t>Krischon</t>
  </si>
  <si>
    <t>Pascal</t>
  </si>
  <si>
    <t>Matla</t>
  </si>
  <si>
    <t>Angela</t>
  </si>
  <si>
    <t>Peterson</t>
  </si>
  <si>
    <t>Douglas</t>
  </si>
  <si>
    <t>Robinson</t>
  </si>
  <si>
    <t>Janet</t>
  </si>
  <si>
    <t>Rodriguez</t>
  </si>
  <si>
    <t>Brad</t>
  </si>
  <si>
    <t>Schaffer</t>
  </si>
  <si>
    <t>Jeremy</t>
  </si>
  <si>
    <t>Sievers</t>
  </si>
  <si>
    <t>Stark</t>
  </si>
  <si>
    <t>Christina</t>
  </si>
  <si>
    <t>Swais</t>
  </si>
  <si>
    <t>Jenna</t>
  </si>
  <si>
    <t>Tabor</t>
  </si>
  <si>
    <t>Adam</t>
  </si>
  <si>
    <t>Testa</t>
  </si>
  <si>
    <t>Michael</t>
  </si>
  <si>
    <t>Trogman</t>
  </si>
  <si>
    <t>Wapiennik</t>
  </si>
  <si>
    <t>Clifton</t>
  </si>
  <si>
    <t>Wingfield</t>
  </si>
  <si>
    <t>Jing</t>
  </si>
  <si>
    <t>Zhou</t>
  </si>
  <si>
    <t>Wahida</t>
  </si>
  <si>
    <t>Ali</t>
  </si>
  <si>
    <t>Cole</t>
  </si>
  <si>
    <t>Beebe</t>
  </si>
  <si>
    <t>Sharyne</t>
  </si>
  <si>
    <t>Connell</t>
  </si>
  <si>
    <t>Fletcher</t>
  </si>
  <si>
    <t>Lamont</t>
  </si>
  <si>
    <t>Harris</t>
  </si>
  <si>
    <t>Tyler</t>
  </si>
  <si>
    <t>Haycraft</t>
  </si>
  <si>
    <t>Brent</t>
  </si>
  <si>
    <t>Heaberlin</t>
  </si>
  <si>
    <t>Molly</t>
  </si>
  <si>
    <t>Henderson</t>
  </si>
  <si>
    <t>Holt</t>
  </si>
  <si>
    <t>Illias</t>
  </si>
  <si>
    <t>Katsivalis</t>
  </si>
  <si>
    <t>Lacy</t>
  </si>
  <si>
    <t>Nelson</t>
  </si>
  <si>
    <t>Christopher</t>
  </si>
  <si>
    <t>Peters</t>
  </si>
  <si>
    <t>Tennia</t>
  </si>
  <si>
    <t>Phillips</t>
  </si>
  <si>
    <t>Dan</t>
  </si>
  <si>
    <t>Radick</t>
  </si>
  <si>
    <t>Jennifer</t>
  </si>
  <si>
    <t>Rich</t>
  </si>
  <si>
    <t>Tashia</t>
  </si>
  <si>
    <t>Spillman</t>
  </si>
  <si>
    <t>Jonathan</t>
  </si>
  <si>
    <t>Vish</t>
  </si>
  <si>
    <t>Daryl</t>
  </si>
  <si>
    <t>Wiese</t>
  </si>
  <si>
    <t>581-8079</t>
  </si>
  <si>
    <t>umc7@aol.com</t>
  </si>
  <si>
    <t>581-5344</t>
  </si>
  <si>
    <t>581-2148</t>
  </si>
  <si>
    <t>581-3259</t>
  </si>
  <si>
    <t>juliejk02@hotmail.com</t>
  </si>
  <si>
    <t>xxkozxxl@aol.com</t>
  </si>
  <si>
    <t>345-8278</t>
  </si>
  <si>
    <t>345-8279</t>
  </si>
  <si>
    <t>wap83@aol.com</t>
  </si>
  <si>
    <t>581-.947</t>
  </si>
  <si>
    <t>bazoomba18@msn.com</t>
  </si>
  <si>
    <t>581-2879</t>
  </si>
  <si>
    <t>swais2384@yahoo.com</t>
  </si>
  <si>
    <t>581-2031</t>
  </si>
  <si>
    <t>348-07289</t>
  </si>
  <si>
    <t>mdkollross@eiu.edu</t>
  </si>
  <si>
    <t>581-6859</t>
  </si>
  <si>
    <t>makaueli610@yahoo.com</t>
  </si>
  <si>
    <t>345-0643</t>
  </si>
  <si>
    <t>pjcm81@hotmail.com</t>
  </si>
  <si>
    <t>348-0728</t>
  </si>
  <si>
    <t>basement_37@yahoo.com</t>
  </si>
  <si>
    <t>454-9298</t>
  </si>
  <si>
    <t>quickshot99@yahoo.com</t>
  </si>
  <si>
    <t>345-6915</t>
  </si>
  <si>
    <t>cuadf3@eiu.edu</t>
  </si>
  <si>
    <t>581-8117</t>
  </si>
  <si>
    <t>cumnh@eiu.edu</t>
  </si>
  <si>
    <t>345-1103</t>
  </si>
  <si>
    <t>jjen3575@yahoo.com</t>
  </si>
  <si>
    <t>581-2956</t>
  </si>
  <si>
    <t>cubas11@eiu.edu</t>
  </si>
  <si>
    <t>345-1281</t>
  </si>
  <si>
    <t>quest_TMN@yahoo.com</t>
  </si>
  <si>
    <t>345-4414</t>
  </si>
  <si>
    <t>waveland3422@sbcglobal.net</t>
  </si>
  <si>
    <t>234-3173</t>
  </si>
  <si>
    <t>imagining_you@hotmail.com</t>
  </si>
  <si>
    <t>adamtesta@hotmail.com</t>
  </si>
  <si>
    <t>549-3631</t>
  </si>
  <si>
    <t>teddyjeanjacques@hotmail.com</t>
  </si>
  <si>
    <t>581-8074</t>
  </si>
  <si>
    <t>justttme@aol.com</t>
  </si>
  <si>
    <t>348-6725</t>
  </si>
  <si>
    <t>lazyboy42@hotmail.com</t>
  </si>
  <si>
    <t>581-2291</t>
  </si>
  <si>
    <t>bak6674@hotmail.com</t>
  </si>
  <si>
    <t>581-3557</t>
  </si>
  <si>
    <t>cudpc2@eiu.edu</t>
  </si>
  <si>
    <t>cumpt@eiu.edu</t>
  </si>
  <si>
    <t>345-2854</t>
  </si>
  <si>
    <t>doubleh211@netzero.net</t>
  </si>
  <si>
    <t>348-3821</t>
  </si>
  <si>
    <t>cuwde1@pen.eiu.edu</t>
  </si>
  <si>
    <t>348-7065</t>
  </si>
  <si>
    <t>holloway@consolidated.net</t>
  </si>
  <si>
    <t>581-3166</t>
  </si>
  <si>
    <t>babydoll3201@hotmail.com</t>
  </si>
  <si>
    <t>581-2902</t>
  </si>
  <si>
    <t>tharris142@hotmail.com</t>
  </si>
  <si>
    <t>581-8097</t>
  </si>
  <si>
    <t>lacyn@hotmail.com</t>
  </si>
  <si>
    <t>581-3877</t>
  </si>
  <si>
    <t>wahida_abubakar@hotmail.com</t>
  </si>
  <si>
    <t>ikats116@hotmail.com</t>
  </si>
  <si>
    <t>581-8027</t>
  </si>
  <si>
    <t>t_haycraft@hotmail.com</t>
  </si>
  <si>
    <t>345-3281</t>
  </si>
  <si>
    <t>dodge82@hotmail.com</t>
  </si>
  <si>
    <t>581-5287</t>
  </si>
  <si>
    <t>flutteringbutterfly04@yahoo.com</t>
  </si>
  <si>
    <t>skconnell@eiu.edu</t>
  </si>
  <si>
    <t>348-5157</t>
  </si>
  <si>
    <t>581-8134</t>
  </si>
  <si>
    <t>birdiee09@yahoo.com</t>
  </si>
  <si>
    <t>708-250-6299</t>
  </si>
  <si>
    <t>cpeters16@hotmail.com</t>
  </si>
  <si>
    <t>581-8130</t>
  </si>
  <si>
    <t>btphilli2@yahoo.com</t>
  </si>
  <si>
    <t>454-4548</t>
  </si>
  <si>
    <t>crbb2432@aol.com</t>
  </si>
  <si>
    <t>497-3755</t>
  </si>
  <si>
    <t>honeyalmondeyez@aol.com</t>
  </si>
  <si>
    <t>348-6661</t>
  </si>
  <si>
    <t>heabs27@yahoo.com</t>
  </si>
  <si>
    <t>345-5454</t>
  </si>
  <si>
    <t>d_radick@hotmail.com</t>
  </si>
  <si>
    <t>348-7716</t>
  </si>
  <si>
    <t>jav3@wiu.edu</t>
  </si>
  <si>
    <t>345-5924</t>
  </si>
  <si>
    <t>jsievers76@hotmail.com</t>
  </si>
  <si>
    <t>m_anderson18@hotmail.com</t>
  </si>
  <si>
    <t>code</t>
  </si>
  <si>
    <t>PC1</t>
  </si>
  <si>
    <t>Pc1</t>
  </si>
  <si>
    <t>mooch0777@aol.com</t>
  </si>
  <si>
    <t>zj0124@hotmail.com</t>
  </si>
  <si>
    <t>Hw1</t>
  </si>
  <si>
    <t>ex1</t>
  </si>
  <si>
    <t>e</t>
  </si>
  <si>
    <t>poss</t>
  </si>
  <si>
    <t>total</t>
  </si>
  <si>
    <t>%</t>
  </si>
  <si>
    <t>hw1</t>
  </si>
  <si>
    <t>tot</t>
  </si>
  <si>
    <t>9am</t>
  </si>
  <si>
    <t>10am</t>
  </si>
  <si>
    <t>A</t>
  </si>
  <si>
    <t>B</t>
  </si>
  <si>
    <t>C</t>
  </si>
  <si>
    <t>D</t>
  </si>
  <si>
    <t>F</t>
  </si>
  <si>
    <t>Pc2</t>
  </si>
  <si>
    <t>Pc3</t>
  </si>
  <si>
    <t>pc3</t>
  </si>
  <si>
    <t>hw2</t>
  </si>
  <si>
    <t>w 10/1</t>
  </si>
  <si>
    <t>w 9/24</t>
  </si>
  <si>
    <t>hw3</t>
  </si>
  <si>
    <t>pc4</t>
  </si>
  <si>
    <t>w</t>
  </si>
  <si>
    <t>ex2</t>
  </si>
  <si>
    <t>2-9am</t>
  </si>
  <si>
    <t>2-10am</t>
  </si>
  <si>
    <t>a</t>
  </si>
  <si>
    <t>exam1</t>
  </si>
  <si>
    <t>exam2</t>
  </si>
  <si>
    <t>w 10/21</t>
  </si>
  <si>
    <t>pc5</t>
  </si>
  <si>
    <t>hw4</t>
  </si>
  <si>
    <t>ex3</t>
  </si>
  <si>
    <t>wf 11/07</t>
  </si>
  <si>
    <t>3-9am</t>
  </si>
  <si>
    <t>3-10am</t>
  </si>
  <si>
    <t>exam3</t>
  </si>
  <si>
    <t>proj</t>
  </si>
  <si>
    <t>pro</t>
  </si>
  <si>
    <t>hw5</t>
  </si>
  <si>
    <t>final</t>
  </si>
  <si>
    <t>FINAL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</si>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</sst>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</font>
    <font>
      <u/>
      <sz val="10"/>
      <color indexed="12"/>
      <name val="Arial"/>
    </font>
    <font>
      <u/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1" applyAlignment="1" applyProtection="1"/>
    <xf numFmtId="0" fontId="2" fillId="0" borderId="0" xfId="1" applyFont="1" applyAlignment="1" applyProtection="1"/>
    <xf numFmtId="0" fontId="3" fillId="0" borderId="0" xfId="0" applyFont="1"/>
    <xf numFmtId="0" fontId="4" fillId="0" borderId="0" xfId="0" applyFont="1"/>
    <xf numFmtId="0" fontId="0" fillId="0" borderId="0" xfId="0" applyFill="1"/>
    <xf numFmtId="0" fontId="1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6" fillId="0" borderId="0" xfId="0" applyFont="1" applyFill="1"/>
    <xf numFmtId="0" fontId="8" fillId="0" borderId="0" xfId="0" applyFont="1" applyFill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9" fillId="3" borderId="0" xfId="0" applyFont="1" applyFill="1" applyBorder="1"/>
    <xf numFmtId="0" fontId="9" fillId="3" borderId="5" xfId="0" applyFont="1" applyFill="1" applyBorder="1"/>
    <xf numFmtId="0" fontId="4" fillId="3" borderId="0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16" fontId="4" fillId="3" borderId="4" xfId="0" applyNumberFormat="1" applyFont="1" applyFill="1" applyBorder="1"/>
    <xf numFmtId="0" fontId="5" fillId="3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azoomba18@msn.com" TargetMode="External"/><Relationship Id="rId13" Type="http://schemas.openxmlformats.org/officeDocument/2006/relationships/hyperlink" Target="mailto:pjcm81@hotmail.com" TargetMode="External"/><Relationship Id="rId18" Type="http://schemas.openxmlformats.org/officeDocument/2006/relationships/hyperlink" Target="mailto:cubas11@eiu.edu" TargetMode="External"/><Relationship Id="rId26" Type="http://schemas.openxmlformats.org/officeDocument/2006/relationships/hyperlink" Target="mailto:bak6674@hotmail.com" TargetMode="External"/><Relationship Id="rId3" Type="http://schemas.openxmlformats.org/officeDocument/2006/relationships/hyperlink" Target="mailto:m_anderson18@hotmail.com" TargetMode="External"/><Relationship Id="rId21" Type="http://schemas.openxmlformats.org/officeDocument/2006/relationships/hyperlink" Target="mailto:imagining_you@hotmail.com" TargetMode="External"/><Relationship Id="rId7" Type="http://schemas.openxmlformats.org/officeDocument/2006/relationships/hyperlink" Target="mailto:wap83@aol.com" TargetMode="External"/><Relationship Id="rId12" Type="http://schemas.openxmlformats.org/officeDocument/2006/relationships/hyperlink" Target="mailto:makaueli610@yahoo.com" TargetMode="External"/><Relationship Id="rId17" Type="http://schemas.openxmlformats.org/officeDocument/2006/relationships/hyperlink" Target="mailto:jjen3575@yahoo.com" TargetMode="External"/><Relationship Id="rId25" Type="http://schemas.openxmlformats.org/officeDocument/2006/relationships/hyperlink" Target="mailto:lazyboy42@hotmail.com" TargetMode="External"/><Relationship Id="rId2" Type="http://schemas.openxmlformats.org/officeDocument/2006/relationships/hyperlink" Target="mailto:mooch0777@aol.com" TargetMode="External"/><Relationship Id="rId16" Type="http://schemas.openxmlformats.org/officeDocument/2006/relationships/hyperlink" Target="mailto:cuadf3@eiu.edu" TargetMode="External"/><Relationship Id="rId20" Type="http://schemas.openxmlformats.org/officeDocument/2006/relationships/hyperlink" Target="mailto:waveland3422@sbcglobal.net" TargetMode="External"/><Relationship Id="rId29" Type="http://schemas.openxmlformats.org/officeDocument/2006/relationships/hyperlink" Target="mailto:doubleh211@netzero.net" TargetMode="External"/><Relationship Id="rId1" Type="http://schemas.openxmlformats.org/officeDocument/2006/relationships/hyperlink" Target="mailto:umc7@aol.com" TargetMode="External"/><Relationship Id="rId6" Type="http://schemas.openxmlformats.org/officeDocument/2006/relationships/hyperlink" Target="mailto:xxkozxxl@aol.com" TargetMode="External"/><Relationship Id="rId11" Type="http://schemas.openxmlformats.org/officeDocument/2006/relationships/hyperlink" Target="mailto:mdkollross@eiu.edu" TargetMode="External"/><Relationship Id="rId24" Type="http://schemas.openxmlformats.org/officeDocument/2006/relationships/hyperlink" Target="mailto:justttme@aol.com" TargetMode="External"/><Relationship Id="rId32" Type="http://schemas.openxmlformats.org/officeDocument/2006/relationships/hyperlink" Target="mailto:jsievers76@hotmail.com" TargetMode="External"/><Relationship Id="rId5" Type="http://schemas.openxmlformats.org/officeDocument/2006/relationships/hyperlink" Target="mailto:xxkozxxl@aol.com" TargetMode="External"/><Relationship Id="rId15" Type="http://schemas.openxmlformats.org/officeDocument/2006/relationships/hyperlink" Target="mailto:quickshot99@yahoo.com" TargetMode="External"/><Relationship Id="rId23" Type="http://schemas.openxmlformats.org/officeDocument/2006/relationships/hyperlink" Target="mailto:teddyjeanjacques@hotmail.com" TargetMode="External"/><Relationship Id="rId28" Type="http://schemas.openxmlformats.org/officeDocument/2006/relationships/hyperlink" Target="mailto:cumpt@eiu.edu" TargetMode="External"/><Relationship Id="rId10" Type="http://schemas.openxmlformats.org/officeDocument/2006/relationships/hyperlink" Target="mailto:zj0124@hotmail.com" TargetMode="External"/><Relationship Id="rId19" Type="http://schemas.openxmlformats.org/officeDocument/2006/relationships/hyperlink" Target="mailto:quest_TMN@yahoo.com" TargetMode="External"/><Relationship Id="rId31" Type="http://schemas.openxmlformats.org/officeDocument/2006/relationships/hyperlink" Target="mailto:holloway@consolidated.net" TargetMode="External"/><Relationship Id="rId4" Type="http://schemas.openxmlformats.org/officeDocument/2006/relationships/hyperlink" Target="mailto:juliejk02@hotmail.com" TargetMode="External"/><Relationship Id="rId9" Type="http://schemas.openxmlformats.org/officeDocument/2006/relationships/hyperlink" Target="mailto:swais2384@yahoo.com" TargetMode="External"/><Relationship Id="rId14" Type="http://schemas.openxmlformats.org/officeDocument/2006/relationships/hyperlink" Target="mailto:basement_37@yahoo.com" TargetMode="External"/><Relationship Id="rId22" Type="http://schemas.openxmlformats.org/officeDocument/2006/relationships/hyperlink" Target="mailto:adamtesta@hotmail.com" TargetMode="External"/><Relationship Id="rId27" Type="http://schemas.openxmlformats.org/officeDocument/2006/relationships/hyperlink" Target="mailto:cudpc2@eiu.edu" TargetMode="External"/><Relationship Id="rId30" Type="http://schemas.openxmlformats.org/officeDocument/2006/relationships/hyperlink" Target="mailto:cuwde1@pen.eiu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odge82@hotmail.com" TargetMode="External"/><Relationship Id="rId13" Type="http://schemas.openxmlformats.org/officeDocument/2006/relationships/hyperlink" Target="mailto:btphilli2@yahoo.com" TargetMode="External"/><Relationship Id="rId18" Type="http://schemas.openxmlformats.org/officeDocument/2006/relationships/hyperlink" Target="mailto:jav3@wiu.edu" TargetMode="External"/><Relationship Id="rId3" Type="http://schemas.openxmlformats.org/officeDocument/2006/relationships/hyperlink" Target="mailto:tharris142@hotmail.com" TargetMode="External"/><Relationship Id="rId7" Type="http://schemas.openxmlformats.org/officeDocument/2006/relationships/hyperlink" Target="mailto:t_haycraft@hotmail.com" TargetMode="External"/><Relationship Id="rId12" Type="http://schemas.openxmlformats.org/officeDocument/2006/relationships/hyperlink" Target="mailto:cpeters16@hotmail.com" TargetMode="External"/><Relationship Id="rId17" Type="http://schemas.openxmlformats.org/officeDocument/2006/relationships/hyperlink" Target="mailto:d_radick@hotmail.com" TargetMode="External"/><Relationship Id="rId2" Type="http://schemas.openxmlformats.org/officeDocument/2006/relationships/hyperlink" Target="mailto:babydoll3201@hotmail.com" TargetMode="External"/><Relationship Id="rId16" Type="http://schemas.openxmlformats.org/officeDocument/2006/relationships/hyperlink" Target="mailto:heabs27@yahoo.com" TargetMode="External"/><Relationship Id="rId1" Type="http://schemas.openxmlformats.org/officeDocument/2006/relationships/hyperlink" Target="mailto:cumnh@eiu.edu" TargetMode="External"/><Relationship Id="rId6" Type="http://schemas.openxmlformats.org/officeDocument/2006/relationships/hyperlink" Target="mailto:ikats116@hotmail.com" TargetMode="External"/><Relationship Id="rId11" Type="http://schemas.openxmlformats.org/officeDocument/2006/relationships/hyperlink" Target="mailto:birdiee09@yahoo.com" TargetMode="External"/><Relationship Id="rId5" Type="http://schemas.openxmlformats.org/officeDocument/2006/relationships/hyperlink" Target="mailto:wahida_abubakar@hotmail.com" TargetMode="External"/><Relationship Id="rId15" Type="http://schemas.openxmlformats.org/officeDocument/2006/relationships/hyperlink" Target="mailto:honeyalmondeyez@aol.com" TargetMode="External"/><Relationship Id="rId10" Type="http://schemas.openxmlformats.org/officeDocument/2006/relationships/hyperlink" Target="mailto:skconnell@eiu.edu" TargetMode="External"/><Relationship Id="rId4" Type="http://schemas.openxmlformats.org/officeDocument/2006/relationships/hyperlink" Target="mailto:lacyn@hotmail.com" TargetMode="External"/><Relationship Id="rId9" Type="http://schemas.openxmlformats.org/officeDocument/2006/relationships/hyperlink" Target="mailto:flutteringbutterfly04@yahoo.com" TargetMode="External"/><Relationship Id="rId14" Type="http://schemas.openxmlformats.org/officeDocument/2006/relationships/hyperlink" Target="mailto:crbb2432@ao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I1" sqref="I1"/>
    </sheetView>
  </sheetViews>
  <sheetFormatPr defaultRowHeight="12.5" x14ac:dyDescent="0.25"/>
  <cols>
    <col min="1" max="1" width="4.54296875" bestFit="1" customWidth="1"/>
    <col min="2" max="2" width="5.1796875" customWidth="1"/>
    <col min="3" max="3" width="6.1796875" bestFit="1" customWidth="1"/>
    <col min="4" max="4" width="7.1796875" bestFit="1" customWidth="1"/>
    <col min="5" max="6" width="7.1796875" customWidth="1"/>
    <col min="7" max="7" width="2.54296875" customWidth="1"/>
    <col min="8" max="8" width="2.26953125" customWidth="1"/>
    <col min="9" max="9" width="2.81640625" customWidth="1"/>
    <col min="10" max="10" width="3" bestFit="1" customWidth="1"/>
    <col min="11" max="11" width="3.54296875" customWidth="1"/>
    <col min="12" max="12" width="5.1796875" customWidth="1"/>
    <col min="13" max="13" width="2.7265625" customWidth="1"/>
    <col min="14" max="14" width="2.26953125" customWidth="1"/>
    <col min="15" max="16" width="4" customWidth="1"/>
    <col min="17" max="17" width="3.26953125" customWidth="1"/>
    <col min="18" max="18" width="5.1796875" customWidth="1"/>
  </cols>
  <sheetData>
    <row r="1" spans="1:18" ht="13" x14ac:dyDescent="0.3">
      <c r="A1" t="s">
        <v>200</v>
      </c>
      <c r="B1" t="s">
        <v>201</v>
      </c>
      <c r="C1" s="8" t="s">
        <v>217</v>
      </c>
      <c r="D1" s="8" t="s">
        <v>218</v>
      </c>
      <c r="E1" s="14" t="s">
        <v>227</v>
      </c>
      <c r="F1" s="24" t="s">
        <v>228</v>
      </c>
    </row>
    <row r="2" spans="1:18" ht="13.5" thickBot="1" x14ac:dyDescent="0.35">
      <c r="A2">
        <v>52</v>
      </c>
      <c r="B2">
        <v>44</v>
      </c>
      <c r="C2" s="8">
        <v>50</v>
      </c>
      <c r="D2" s="8">
        <v>50</v>
      </c>
      <c r="E2" s="13">
        <v>50</v>
      </c>
      <c r="F2" s="20">
        <v>49</v>
      </c>
    </row>
    <row r="3" spans="1:18" ht="13" x14ac:dyDescent="0.3">
      <c r="A3">
        <v>50</v>
      </c>
      <c r="B3">
        <v>40</v>
      </c>
      <c r="C3" s="8">
        <v>50</v>
      </c>
      <c r="D3" s="11">
        <v>50</v>
      </c>
      <c r="E3" s="13">
        <v>49</v>
      </c>
      <c r="F3" s="20">
        <v>47</v>
      </c>
      <c r="H3" t="s">
        <v>220</v>
      </c>
      <c r="N3" s="14" t="s">
        <v>229</v>
      </c>
      <c r="O3" s="15"/>
      <c r="P3" s="15"/>
      <c r="Q3" s="15"/>
      <c r="R3" s="16"/>
    </row>
    <row r="4" spans="1:18" ht="13" x14ac:dyDescent="0.3">
      <c r="A4">
        <v>50</v>
      </c>
      <c r="B4">
        <v>38</v>
      </c>
      <c r="C4" s="8">
        <v>50</v>
      </c>
      <c r="D4" s="11">
        <v>47</v>
      </c>
      <c r="E4" s="13">
        <v>49</v>
      </c>
      <c r="F4" s="20">
        <v>47</v>
      </c>
      <c r="I4" s="3">
        <v>9</v>
      </c>
      <c r="J4" s="3">
        <v>10</v>
      </c>
      <c r="K4" s="3"/>
      <c r="L4" s="3" t="s">
        <v>197</v>
      </c>
      <c r="N4" s="13"/>
      <c r="O4" s="17">
        <v>9</v>
      </c>
      <c r="P4" s="17">
        <v>10</v>
      </c>
      <c r="Q4" s="17"/>
      <c r="R4" s="18" t="s">
        <v>197</v>
      </c>
    </row>
    <row r="5" spans="1:18" ht="13" x14ac:dyDescent="0.3">
      <c r="A5">
        <v>50</v>
      </c>
      <c r="B5">
        <v>34</v>
      </c>
      <c r="C5" s="8">
        <v>49</v>
      </c>
      <c r="D5" s="8">
        <v>46</v>
      </c>
      <c r="E5" s="13">
        <v>48</v>
      </c>
      <c r="F5" s="20">
        <v>46</v>
      </c>
      <c r="H5" s="4" t="s">
        <v>202</v>
      </c>
      <c r="I5">
        <v>6</v>
      </c>
      <c r="J5">
        <v>0</v>
      </c>
      <c r="K5">
        <f t="shared" ref="K5:K10" si="0">SUM(I5:J5)</f>
        <v>6</v>
      </c>
      <c r="L5">
        <f>K5/$K$10</f>
        <v>0.125</v>
      </c>
      <c r="N5" s="13" t="s">
        <v>202</v>
      </c>
      <c r="O5" s="19">
        <v>14</v>
      </c>
      <c r="P5" s="19">
        <v>4</v>
      </c>
      <c r="Q5" s="19">
        <f t="shared" ref="Q5:Q10" si="1">SUM(O5:P5)</f>
        <v>18</v>
      </c>
      <c r="R5" s="20">
        <f>Q5/$K$10</f>
        <v>0.375</v>
      </c>
    </row>
    <row r="6" spans="1:18" ht="13" x14ac:dyDescent="0.3">
      <c r="A6">
        <v>48</v>
      </c>
      <c r="B6">
        <v>34</v>
      </c>
      <c r="C6" s="8">
        <v>49</v>
      </c>
      <c r="D6" s="8">
        <v>44</v>
      </c>
      <c r="E6" s="13">
        <v>48</v>
      </c>
      <c r="F6" s="20">
        <v>44</v>
      </c>
      <c r="H6" s="4" t="s">
        <v>203</v>
      </c>
      <c r="I6">
        <v>11</v>
      </c>
      <c r="J6">
        <v>2</v>
      </c>
      <c r="K6">
        <f t="shared" si="0"/>
        <v>13</v>
      </c>
      <c r="L6">
        <f>K6/$K$10</f>
        <v>0.27083333333333331</v>
      </c>
      <c r="N6" s="13" t="s">
        <v>203</v>
      </c>
      <c r="O6" s="19">
        <v>12</v>
      </c>
      <c r="P6" s="19">
        <v>6</v>
      </c>
      <c r="Q6" s="19">
        <f t="shared" si="1"/>
        <v>18</v>
      </c>
      <c r="R6" s="20">
        <f>Q6/$K$10</f>
        <v>0.375</v>
      </c>
    </row>
    <row r="7" spans="1:18" ht="13" x14ac:dyDescent="0.3">
      <c r="A7">
        <v>46</v>
      </c>
      <c r="B7">
        <v>32</v>
      </c>
      <c r="C7" s="8">
        <v>49</v>
      </c>
      <c r="D7" s="8">
        <v>35</v>
      </c>
      <c r="E7" s="13">
        <v>48</v>
      </c>
      <c r="F7" s="20">
        <v>44</v>
      </c>
      <c r="H7" s="4" t="s">
        <v>204</v>
      </c>
      <c r="I7">
        <v>4</v>
      </c>
      <c r="J7">
        <v>1</v>
      </c>
      <c r="K7">
        <f t="shared" si="0"/>
        <v>5</v>
      </c>
      <c r="L7">
        <f>K7/$K$10</f>
        <v>0.10416666666666667</v>
      </c>
      <c r="N7" s="13" t="s">
        <v>204</v>
      </c>
      <c r="O7" s="19">
        <v>1</v>
      </c>
      <c r="P7" s="19">
        <v>3</v>
      </c>
      <c r="Q7" s="19">
        <f t="shared" si="1"/>
        <v>4</v>
      </c>
      <c r="R7" s="20">
        <f>Q7/$K$10</f>
        <v>8.3333333333333329E-2</v>
      </c>
    </row>
    <row r="8" spans="1:18" ht="13" x14ac:dyDescent="0.3">
      <c r="A8">
        <v>44</v>
      </c>
      <c r="B8">
        <v>32</v>
      </c>
      <c r="C8" s="8">
        <v>48</v>
      </c>
      <c r="D8" s="8">
        <v>34</v>
      </c>
      <c r="E8" s="13">
        <v>48</v>
      </c>
      <c r="F8" s="20">
        <v>43</v>
      </c>
      <c r="H8" s="4" t="s">
        <v>205</v>
      </c>
      <c r="I8">
        <v>4</v>
      </c>
      <c r="J8">
        <v>7</v>
      </c>
      <c r="K8">
        <f t="shared" si="0"/>
        <v>11</v>
      </c>
      <c r="L8">
        <f>K8/$K$10</f>
        <v>0.22916666666666666</v>
      </c>
      <c r="N8" s="13" t="s">
        <v>205</v>
      </c>
      <c r="O8" s="19">
        <v>0</v>
      </c>
      <c r="P8" s="19">
        <v>1</v>
      </c>
      <c r="Q8" s="19">
        <f t="shared" si="1"/>
        <v>1</v>
      </c>
      <c r="R8" s="20">
        <f>Q8/$K$10</f>
        <v>2.0833333333333332E-2</v>
      </c>
    </row>
    <row r="9" spans="1:18" ht="13" x14ac:dyDescent="0.3">
      <c r="A9">
        <v>44</v>
      </c>
      <c r="B9">
        <v>32</v>
      </c>
      <c r="C9" s="8">
        <v>47</v>
      </c>
      <c r="D9" s="8">
        <v>32</v>
      </c>
      <c r="E9" s="13">
        <v>47</v>
      </c>
      <c r="F9" s="20">
        <v>41</v>
      </c>
      <c r="H9" s="4" t="s">
        <v>206</v>
      </c>
      <c r="I9" s="3">
        <v>7</v>
      </c>
      <c r="J9" s="3">
        <v>6</v>
      </c>
      <c r="K9" s="3">
        <f t="shared" si="0"/>
        <v>13</v>
      </c>
      <c r="L9">
        <f>K9/$K$10</f>
        <v>0.27083333333333331</v>
      </c>
      <c r="N9" s="13" t="s">
        <v>206</v>
      </c>
      <c r="O9" s="17">
        <v>0</v>
      </c>
      <c r="P9" s="17">
        <v>0</v>
      </c>
      <c r="Q9" s="17">
        <f t="shared" si="1"/>
        <v>0</v>
      </c>
      <c r="R9" s="20">
        <f>Q9/$K$10</f>
        <v>0</v>
      </c>
    </row>
    <row r="10" spans="1:18" ht="13.5" thickBot="1" x14ac:dyDescent="0.35">
      <c r="A10">
        <v>44</v>
      </c>
      <c r="B10">
        <v>32</v>
      </c>
      <c r="C10" s="8">
        <v>47</v>
      </c>
      <c r="D10" s="8">
        <v>30</v>
      </c>
      <c r="E10" s="13">
        <v>47</v>
      </c>
      <c r="F10" s="20">
        <v>41</v>
      </c>
      <c r="I10">
        <f>SUM(I5:I9)</f>
        <v>32</v>
      </c>
      <c r="J10">
        <f>SUM(J5:J9)</f>
        <v>16</v>
      </c>
      <c r="K10">
        <f t="shared" si="0"/>
        <v>48</v>
      </c>
      <c r="N10" s="21"/>
      <c r="O10" s="22">
        <f>SUM(O5:O9)</f>
        <v>27</v>
      </c>
      <c r="P10" s="22">
        <f>SUM(P5:P9)</f>
        <v>14</v>
      </c>
      <c r="Q10" s="22">
        <f t="shared" si="1"/>
        <v>41</v>
      </c>
      <c r="R10" s="23"/>
    </row>
    <row r="11" spans="1:18" ht="13" x14ac:dyDescent="0.3">
      <c r="A11">
        <v>42</v>
      </c>
      <c r="B11">
        <v>32</v>
      </c>
      <c r="C11" s="8">
        <v>46</v>
      </c>
      <c r="D11" s="8">
        <v>29</v>
      </c>
      <c r="E11" s="13">
        <v>47</v>
      </c>
      <c r="F11" s="20">
        <v>41</v>
      </c>
    </row>
    <row r="12" spans="1:18" ht="13" x14ac:dyDescent="0.3">
      <c r="A12">
        <v>42</v>
      </c>
      <c r="B12">
        <v>32</v>
      </c>
      <c r="C12" s="8">
        <v>46</v>
      </c>
      <c r="D12" s="8">
        <v>29</v>
      </c>
      <c r="E12" s="13">
        <v>46</v>
      </c>
      <c r="F12" s="20">
        <v>38</v>
      </c>
      <c r="H12" s="4" t="s">
        <v>221</v>
      </c>
    </row>
    <row r="13" spans="1:18" ht="13" x14ac:dyDescent="0.3">
      <c r="A13">
        <v>42</v>
      </c>
      <c r="B13">
        <v>30</v>
      </c>
      <c r="C13" s="8">
        <v>46</v>
      </c>
      <c r="D13" s="8">
        <v>28</v>
      </c>
      <c r="E13" s="13">
        <v>46</v>
      </c>
      <c r="F13" s="20">
        <v>37</v>
      </c>
      <c r="I13" s="3">
        <v>9</v>
      </c>
      <c r="J13" s="3">
        <v>10</v>
      </c>
      <c r="K13" s="3"/>
      <c r="L13" s="3" t="s">
        <v>197</v>
      </c>
    </row>
    <row r="14" spans="1:18" ht="13" x14ac:dyDescent="0.3">
      <c r="A14">
        <v>42</v>
      </c>
      <c r="B14">
        <v>28</v>
      </c>
      <c r="C14" s="8">
        <v>45</v>
      </c>
      <c r="D14" s="8">
        <v>27</v>
      </c>
      <c r="E14" s="13">
        <v>46</v>
      </c>
      <c r="F14" s="20">
        <v>36</v>
      </c>
      <c r="H14" s="4" t="s">
        <v>202</v>
      </c>
      <c r="I14" s="8">
        <v>14</v>
      </c>
      <c r="J14" s="8">
        <v>4</v>
      </c>
      <c r="K14">
        <f t="shared" ref="K14:K19" si="2">SUM(I14:J14)</f>
        <v>18</v>
      </c>
      <c r="L14">
        <f>K14/$K$10</f>
        <v>0.375</v>
      </c>
    </row>
    <row r="15" spans="1:18" ht="13" x14ac:dyDescent="0.3">
      <c r="A15">
        <v>40</v>
      </c>
      <c r="B15">
        <v>26</v>
      </c>
      <c r="C15" s="8">
        <v>45</v>
      </c>
      <c r="D15" s="8">
        <v>26</v>
      </c>
      <c r="E15" s="13">
        <v>45</v>
      </c>
      <c r="F15" s="20">
        <v>32</v>
      </c>
      <c r="H15" s="4" t="s">
        <v>203</v>
      </c>
      <c r="I15" s="8">
        <v>5</v>
      </c>
      <c r="J15" s="8">
        <v>1</v>
      </c>
      <c r="K15">
        <f t="shared" si="2"/>
        <v>6</v>
      </c>
      <c r="L15">
        <f>K15/$K$10</f>
        <v>0.125</v>
      </c>
    </row>
    <row r="16" spans="1:18" ht="13" x14ac:dyDescent="0.3">
      <c r="A16">
        <v>40</v>
      </c>
      <c r="B16">
        <v>26</v>
      </c>
      <c r="C16" s="8">
        <v>42</v>
      </c>
      <c r="D16" s="11">
        <v>25</v>
      </c>
      <c r="E16" s="13">
        <v>44</v>
      </c>
      <c r="F16" s="20"/>
      <c r="H16" s="4" t="s">
        <v>204</v>
      </c>
      <c r="I16" s="8">
        <v>4</v>
      </c>
      <c r="J16" s="8">
        <v>1</v>
      </c>
      <c r="K16">
        <f t="shared" si="2"/>
        <v>5</v>
      </c>
      <c r="L16">
        <f>K16/$K$10</f>
        <v>0.10416666666666667</v>
      </c>
    </row>
    <row r="17" spans="1:12" ht="13" x14ac:dyDescent="0.3">
      <c r="A17">
        <v>40</v>
      </c>
      <c r="B17">
        <v>26</v>
      </c>
      <c r="C17" s="8">
        <v>41</v>
      </c>
      <c r="D17" s="8"/>
      <c r="E17" s="13">
        <v>44</v>
      </c>
      <c r="F17" s="20"/>
      <c r="H17" s="4" t="s">
        <v>205</v>
      </c>
      <c r="I17" s="8">
        <v>3</v>
      </c>
      <c r="J17" s="8">
        <v>3</v>
      </c>
      <c r="K17">
        <f t="shared" si="2"/>
        <v>6</v>
      </c>
      <c r="L17">
        <f>K17/$K$10</f>
        <v>0.125</v>
      </c>
    </row>
    <row r="18" spans="1:12" ht="13" x14ac:dyDescent="0.3">
      <c r="A18">
        <v>40</v>
      </c>
      <c r="B18">
        <v>24</v>
      </c>
      <c r="C18" s="8">
        <v>40</v>
      </c>
      <c r="D18" s="11"/>
      <c r="E18" s="13">
        <v>43</v>
      </c>
      <c r="F18" s="20"/>
      <c r="H18" s="4" t="s">
        <v>206</v>
      </c>
      <c r="I18" s="9">
        <v>2</v>
      </c>
      <c r="J18" s="9">
        <v>6</v>
      </c>
      <c r="K18" s="3">
        <f t="shared" si="2"/>
        <v>8</v>
      </c>
      <c r="L18">
        <f>K18/$K$10</f>
        <v>0.16666666666666666</v>
      </c>
    </row>
    <row r="19" spans="1:12" ht="13" x14ac:dyDescent="0.3">
      <c r="A19">
        <v>38</v>
      </c>
      <c r="B19">
        <v>22</v>
      </c>
      <c r="C19" s="8">
        <v>40</v>
      </c>
      <c r="D19" s="12"/>
      <c r="E19" s="13">
        <v>43</v>
      </c>
      <c r="F19" s="25"/>
      <c r="I19">
        <f>SUM(I14:I18)</f>
        <v>28</v>
      </c>
      <c r="J19">
        <f>SUM(J14:J18)</f>
        <v>15</v>
      </c>
      <c r="K19">
        <f t="shared" si="2"/>
        <v>43</v>
      </c>
    </row>
    <row r="20" spans="1:12" ht="13" x14ac:dyDescent="0.3">
      <c r="A20">
        <v>38</v>
      </c>
      <c r="C20" s="8">
        <v>40</v>
      </c>
      <c r="D20" s="11"/>
      <c r="E20" s="13">
        <v>43</v>
      </c>
      <c r="F20" s="20"/>
    </row>
    <row r="21" spans="1:12" ht="13" x14ac:dyDescent="0.3">
      <c r="A21">
        <v>36</v>
      </c>
      <c r="C21" s="8">
        <v>39</v>
      </c>
      <c r="D21" s="8"/>
      <c r="E21" s="13">
        <v>43</v>
      </c>
      <c r="F21" s="20"/>
    </row>
    <row r="22" spans="1:12" ht="13" x14ac:dyDescent="0.3">
      <c r="A22">
        <v>36</v>
      </c>
      <c r="C22" s="8">
        <v>37</v>
      </c>
      <c r="D22" s="8"/>
      <c r="E22" s="13">
        <v>43</v>
      </c>
      <c r="F22" s="20"/>
    </row>
    <row r="23" spans="1:12" ht="13" x14ac:dyDescent="0.3">
      <c r="A23">
        <v>34</v>
      </c>
      <c r="C23" s="8">
        <v>37</v>
      </c>
      <c r="D23" s="8"/>
      <c r="E23" s="13">
        <v>42</v>
      </c>
      <c r="F23" s="20"/>
    </row>
    <row r="24" spans="1:12" ht="13" x14ac:dyDescent="0.3">
      <c r="A24">
        <v>34</v>
      </c>
      <c r="C24" s="8">
        <v>36</v>
      </c>
      <c r="D24" s="8"/>
      <c r="E24" s="13">
        <v>42</v>
      </c>
      <c r="F24" s="20"/>
    </row>
    <row r="25" spans="1:12" ht="13" x14ac:dyDescent="0.3">
      <c r="A25">
        <v>32</v>
      </c>
      <c r="C25" s="8">
        <v>33</v>
      </c>
      <c r="D25" s="8"/>
      <c r="E25" s="13">
        <v>42</v>
      </c>
      <c r="F25" s="20"/>
    </row>
    <row r="26" spans="1:12" ht="13" x14ac:dyDescent="0.3">
      <c r="A26">
        <v>30</v>
      </c>
      <c r="C26" s="8">
        <v>32</v>
      </c>
      <c r="D26" s="8"/>
      <c r="E26" s="13">
        <v>42</v>
      </c>
      <c r="F26" s="20"/>
    </row>
    <row r="27" spans="1:12" ht="13" x14ac:dyDescent="0.3">
      <c r="A27">
        <v>26</v>
      </c>
      <c r="C27" s="8">
        <v>30</v>
      </c>
      <c r="D27" s="8"/>
      <c r="E27" s="13">
        <v>42</v>
      </c>
      <c r="F27" s="20"/>
    </row>
    <row r="28" spans="1:12" ht="13" x14ac:dyDescent="0.3">
      <c r="A28">
        <v>26</v>
      </c>
      <c r="C28" s="8">
        <v>27</v>
      </c>
      <c r="D28" s="8"/>
      <c r="E28" s="13">
        <v>39</v>
      </c>
      <c r="F28" s="20"/>
    </row>
    <row r="29" spans="1:12" ht="13" x14ac:dyDescent="0.3">
      <c r="A29">
        <v>26</v>
      </c>
      <c r="C29" s="8">
        <v>27</v>
      </c>
      <c r="D29" s="8"/>
      <c r="E29" s="13"/>
      <c r="F29" s="20"/>
    </row>
    <row r="30" spans="1:12" ht="13" x14ac:dyDescent="0.3">
      <c r="A30">
        <v>26</v>
      </c>
      <c r="C30" s="11"/>
      <c r="D30" s="8"/>
      <c r="E30" s="13"/>
      <c r="F30" s="20"/>
    </row>
    <row r="31" spans="1:12" ht="13" x14ac:dyDescent="0.3">
      <c r="A31">
        <v>26</v>
      </c>
      <c r="C31" s="11"/>
      <c r="D31" s="8"/>
      <c r="E31" s="13"/>
      <c r="F31" s="20"/>
    </row>
    <row r="32" spans="1:12" ht="13" x14ac:dyDescent="0.3">
      <c r="A32">
        <v>16</v>
      </c>
      <c r="C32" s="11"/>
      <c r="D32" s="8"/>
      <c r="E32" s="13"/>
      <c r="F32" s="20"/>
    </row>
    <row r="33" spans="1:6" ht="13" x14ac:dyDescent="0.3">
      <c r="A33">
        <v>14</v>
      </c>
      <c r="C33" s="8"/>
      <c r="D33" s="8"/>
      <c r="E33" s="13"/>
      <c r="F33" s="20"/>
    </row>
    <row r="34" spans="1:6" ht="13" x14ac:dyDescent="0.3">
      <c r="C34" s="8"/>
      <c r="D34" s="8"/>
      <c r="E34" s="13"/>
      <c r="F34" s="20"/>
    </row>
    <row r="35" spans="1:6" ht="13" x14ac:dyDescent="0.3">
      <c r="A35">
        <f t="shared" ref="A35:F35" si="3">AVERAGE(A2:A34)</f>
        <v>37.3125</v>
      </c>
      <c r="B35">
        <f t="shared" si="3"/>
        <v>31.333333333333332</v>
      </c>
      <c r="C35" s="8">
        <f t="shared" si="3"/>
        <v>41.714285714285715</v>
      </c>
      <c r="D35" s="8">
        <f t="shared" si="3"/>
        <v>35.466666666666669</v>
      </c>
      <c r="E35" s="13">
        <f t="shared" si="3"/>
        <v>45.037037037037038</v>
      </c>
      <c r="F35" s="20">
        <f t="shared" si="3"/>
        <v>41.857142857142854</v>
      </c>
    </row>
    <row r="36" spans="1:6" ht="13.5" thickBot="1" x14ac:dyDescent="0.35">
      <c r="A36">
        <f t="shared" ref="A36:F36" si="4">STDEVP(A2:A33)</f>
        <v>9.4948588062171844</v>
      </c>
      <c r="B36">
        <f t="shared" si="4"/>
        <v>5.4569018479149669</v>
      </c>
      <c r="C36">
        <f t="shared" si="4"/>
        <v>6.999271099076485</v>
      </c>
      <c r="D36">
        <f t="shared" si="4"/>
        <v>8.9208868517778104</v>
      </c>
      <c r="E36" s="21">
        <f t="shared" si="4"/>
        <v>2.7952536687575127</v>
      </c>
      <c r="F36" s="23">
        <f t="shared" si="4"/>
        <v>4.6576686819717441</v>
      </c>
    </row>
    <row r="37" spans="1:6" x14ac:dyDescent="0.25">
      <c r="E37" s="10"/>
      <c r="F37" s="10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"/>
  <sheetViews>
    <sheetView topLeftCell="A13" workbookViewId="0">
      <selection activeCell="G32" sqref="G32"/>
    </sheetView>
  </sheetViews>
  <sheetFormatPr defaultRowHeight="12.5" x14ac:dyDescent="0.25"/>
  <cols>
    <col min="2" max="2" width="12.26953125" bestFit="1" customWidth="1"/>
  </cols>
  <sheetData>
    <row r="2" spans="1:4" x14ac:dyDescent="0.25">
      <c r="A2" t="s">
        <v>0</v>
      </c>
      <c r="B2" t="s">
        <v>1</v>
      </c>
      <c r="C2" t="s">
        <v>97</v>
      </c>
      <c r="D2" s="1" t="s">
        <v>186</v>
      </c>
    </row>
    <row r="3" spans="1:4" x14ac:dyDescent="0.25">
      <c r="A3" t="s">
        <v>2</v>
      </c>
      <c r="B3" t="s">
        <v>3</v>
      </c>
      <c r="C3" t="s">
        <v>115</v>
      </c>
      <c r="D3" s="1" t="s">
        <v>116</v>
      </c>
    </row>
    <row r="4" spans="1:4" x14ac:dyDescent="0.25">
      <c r="A4" t="s">
        <v>4</v>
      </c>
      <c r="B4" t="s">
        <v>5</v>
      </c>
      <c r="C4" t="s">
        <v>131</v>
      </c>
      <c r="D4" s="1" t="s">
        <v>132</v>
      </c>
    </row>
    <row r="5" spans="1:4" x14ac:dyDescent="0.25">
      <c r="A5" t="s">
        <v>6</v>
      </c>
      <c r="B5" t="s">
        <v>7</v>
      </c>
      <c r="C5" t="s">
        <v>142</v>
      </c>
      <c r="D5" s="1" t="s">
        <v>143</v>
      </c>
    </row>
    <row r="6" spans="1:4" x14ac:dyDescent="0.25">
      <c r="A6" t="s">
        <v>8</v>
      </c>
      <c r="B6" t="s">
        <v>9</v>
      </c>
      <c r="C6" s="2" t="s">
        <v>101</v>
      </c>
      <c r="D6" s="1" t="s">
        <v>100</v>
      </c>
    </row>
    <row r="7" spans="1:4" x14ac:dyDescent="0.25">
      <c r="A7" t="s">
        <v>10</v>
      </c>
      <c r="B7" t="s">
        <v>11</v>
      </c>
      <c r="C7" t="s">
        <v>96</v>
      </c>
      <c r="D7" s="1" t="s">
        <v>190</v>
      </c>
    </row>
    <row r="8" spans="1:4" x14ac:dyDescent="0.25">
      <c r="A8" t="s">
        <v>12</v>
      </c>
      <c r="B8" t="s">
        <v>13</v>
      </c>
      <c r="C8" t="s">
        <v>129</v>
      </c>
      <c r="D8" s="1" t="s">
        <v>130</v>
      </c>
    </row>
    <row r="9" spans="1:4" x14ac:dyDescent="0.25">
      <c r="A9" t="s">
        <v>14</v>
      </c>
      <c r="B9" t="s">
        <v>15</v>
      </c>
      <c r="C9" t="s">
        <v>147</v>
      </c>
      <c r="D9" s="1" t="s">
        <v>148</v>
      </c>
    </row>
    <row r="10" spans="1:4" x14ac:dyDescent="0.25">
      <c r="A10" t="s">
        <v>16</v>
      </c>
      <c r="B10" t="s">
        <v>17</v>
      </c>
      <c r="C10" t="s">
        <v>119</v>
      </c>
      <c r="D10" s="1" t="s">
        <v>120</v>
      </c>
    </row>
    <row r="11" spans="1:4" x14ac:dyDescent="0.25">
      <c r="A11" t="s">
        <v>18</v>
      </c>
      <c r="B11" t="s">
        <v>19</v>
      </c>
      <c r="C11" t="s">
        <v>149</v>
      </c>
      <c r="D11" s="1" t="s">
        <v>150</v>
      </c>
    </row>
    <row r="12" spans="1:4" x14ac:dyDescent="0.25">
      <c r="A12" t="s">
        <v>20</v>
      </c>
      <c r="B12" t="s">
        <v>21</v>
      </c>
      <c r="C12" t="s">
        <v>127</v>
      </c>
      <c r="D12" s="1" t="s">
        <v>128</v>
      </c>
    </row>
    <row r="13" spans="1:4" x14ac:dyDescent="0.25">
      <c r="A13" t="s">
        <v>22</v>
      </c>
      <c r="B13" t="s">
        <v>23</v>
      </c>
      <c r="C13" t="s">
        <v>117</v>
      </c>
      <c r="D13" s="1" t="s">
        <v>118</v>
      </c>
    </row>
    <row r="14" spans="1:4" x14ac:dyDescent="0.25">
      <c r="A14" t="s">
        <v>24</v>
      </c>
      <c r="B14" t="s">
        <v>25</v>
      </c>
      <c r="C14" t="s">
        <v>134</v>
      </c>
      <c r="D14" s="1" t="s">
        <v>135</v>
      </c>
    </row>
    <row r="15" spans="1:4" x14ac:dyDescent="0.25">
      <c r="A15" t="s">
        <v>26</v>
      </c>
      <c r="B15" t="s">
        <v>27</v>
      </c>
      <c r="C15" t="s">
        <v>123</v>
      </c>
      <c r="D15" s="1" t="s">
        <v>124</v>
      </c>
    </row>
    <row r="16" spans="1:4" x14ac:dyDescent="0.25">
      <c r="A16" t="s">
        <v>28</v>
      </c>
      <c r="B16" t="s">
        <v>29</v>
      </c>
      <c r="C16" t="s">
        <v>98</v>
      </c>
      <c r="D16" s="1" t="s">
        <v>99</v>
      </c>
    </row>
    <row r="17" spans="1:4" x14ac:dyDescent="0.25">
      <c r="A17" t="s">
        <v>30</v>
      </c>
      <c r="B17" t="s">
        <v>31</v>
      </c>
      <c r="C17" t="s">
        <v>109</v>
      </c>
      <c r="D17" s="1" t="s">
        <v>110</v>
      </c>
    </row>
    <row r="18" spans="1:4" x14ac:dyDescent="0.25">
      <c r="A18" t="s">
        <v>32</v>
      </c>
      <c r="B18" t="s">
        <v>33</v>
      </c>
      <c r="C18" t="s">
        <v>140</v>
      </c>
      <c r="D18" s="1" t="s">
        <v>141</v>
      </c>
    </row>
    <row r="19" spans="1:4" x14ac:dyDescent="0.25">
      <c r="A19" t="s">
        <v>34</v>
      </c>
      <c r="B19" t="s">
        <v>35</v>
      </c>
      <c r="C19" t="s">
        <v>113</v>
      </c>
      <c r="D19" s="1" t="s">
        <v>114</v>
      </c>
    </row>
    <row r="20" spans="1:4" x14ac:dyDescent="0.25">
      <c r="A20" t="s">
        <v>36</v>
      </c>
      <c r="B20" t="s">
        <v>37</v>
      </c>
      <c r="C20" t="s">
        <v>136</v>
      </c>
      <c r="D20" s="1" t="s">
        <v>137</v>
      </c>
    </row>
    <row r="21" spans="1:4" x14ac:dyDescent="0.25">
      <c r="A21" t="s">
        <v>38</v>
      </c>
      <c r="B21" t="s">
        <v>39</v>
      </c>
      <c r="C21" t="s">
        <v>138</v>
      </c>
      <c r="D21" s="1" t="s">
        <v>139</v>
      </c>
    </row>
    <row r="22" spans="1:4" x14ac:dyDescent="0.25">
      <c r="A22" t="s">
        <v>40</v>
      </c>
      <c r="B22" t="s">
        <v>41</v>
      </c>
      <c r="C22" t="s">
        <v>104</v>
      </c>
      <c r="D22" s="1" t="s">
        <v>105</v>
      </c>
    </row>
    <row r="23" spans="1:4" x14ac:dyDescent="0.25">
      <c r="A23" t="s">
        <v>42</v>
      </c>
      <c r="B23" t="s">
        <v>43</v>
      </c>
      <c r="C23" t="s">
        <v>125</v>
      </c>
      <c r="D23" s="1" t="s">
        <v>126</v>
      </c>
    </row>
    <row r="24" spans="1:4" x14ac:dyDescent="0.25">
      <c r="A24" t="s">
        <v>44</v>
      </c>
      <c r="B24" t="s">
        <v>45</v>
      </c>
      <c r="C24" t="s">
        <v>184</v>
      </c>
      <c r="D24" s="1" t="s">
        <v>185</v>
      </c>
    </row>
    <row r="25" spans="1:4" x14ac:dyDescent="0.25">
      <c r="A25" t="s">
        <v>30</v>
      </c>
      <c r="B25" t="s">
        <v>46</v>
      </c>
      <c r="C25" t="s">
        <v>111</v>
      </c>
      <c r="D25" s="1" t="s">
        <v>112</v>
      </c>
    </row>
    <row r="26" spans="1:4" x14ac:dyDescent="0.25">
      <c r="A26" t="s">
        <v>47</v>
      </c>
      <c r="B26" t="s">
        <v>48</v>
      </c>
      <c r="C26" t="s">
        <v>106</v>
      </c>
      <c r="D26" s="1" t="s">
        <v>107</v>
      </c>
    </row>
    <row r="27" spans="1:4" x14ac:dyDescent="0.25">
      <c r="A27" t="s">
        <v>49</v>
      </c>
      <c r="B27" t="s">
        <v>50</v>
      </c>
      <c r="C27" t="s">
        <v>145</v>
      </c>
      <c r="D27" s="1" t="s">
        <v>146</v>
      </c>
    </row>
    <row r="28" spans="1:4" x14ac:dyDescent="0.25">
      <c r="A28" t="s">
        <v>51</v>
      </c>
      <c r="B28" t="s">
        <v>52</v>
      </c>
      <c r="C28" t="s">
        <v>129</v>
      </c>
      <c r="D28" s="1" t="s">
        <v>133</v>
      </c>
    </row>
    <row r="29" spans="1:4" x14ac:dyDescent="0.25">
      <c r="A29" t="s">
        <v>53</v>
      </c>
      <c r="B29" t="s">
        <v>54</v>
      </c>
      <c r="C29" t="s">
        <v>140</v>
      </c>
      <c r="D29" s="1" t="s">
        <v>144</v>
      </c>
    </row>
    <row r="30" spans="1:4" x14ac:dyDescent="0.25">
      <c r="A30" t="s">
        <v>30</v>
      </c>
      <c r="B30" t="s">
        <v>55</v>
      </c>
      <c r="C30" t="s">
        <v>102</v>
      </c>
      <c r="D30" s="1" t="s">
        <v>103</v>
      </c>
    </row>
    <row r="31" spans="1:4" x14ac:dyDescent="0.25">
      <c r="A31" t="s">
        <v>56</v>
      </c>
      <c r="B31" t="s">
        <v>57</v>
      </c>
      <c r="C31" t="s">
        <v>94</v>
      </c>
      <c r="D31" s="1" t="s">
        <v>95</v>
      </c>
    </row>
    <row r="32" spans="1:4" x14ac:dyDescent="0.25">
      <c r="A32" t="s">
        <v>58</v>
      </c>
      <c r="B32" t="s">
        <v>59</v>
      </c>
      <c r="C32" t="s">
        <v>108</v>
      </c>
      <c r="D32" s="1" t="s">
        <v>191</v>
      </c>
    </row>
  </sheetData>
  <phoneticPr fontId="1" type="noConversion"/>
  <hyperlinks>
    <hyperlink ref="D31" r:id="rId1"/>
    <hyperlink ref="D7" r:id="rId2"/>
    <hyperlink ref="D2" r:id="rId3"/>
    <hyperlink ref="D16" r:id="rId4"/>
    <hyperlink ref="C6" r:id="rId5" display="xxkozxxl@aol.com"/>
    <hyperlink ref="D6" r:id="rId6"/>
    <hyperlink ref="D30" r:id="rId7"/>
    <hyperlink ref="D22" r:id="rId8"/>
    <hyperlink ref="D26" r:id="rId9"/>
    <hyperlink ref="D32" r:id="rId10"/>
    <hyperlink ref="D17" r:id="rId11"/>
    <hyperlink ref="D25" r:id="rId12"/>
    <hyperlink ref="D19" r:id="rId13"/>
    <hyperlink ref="D3" r:id="rId14"/>
    <hyperlink ref="D13" r:id="rId15"/>
    <hyperlink ref="D10" r:id="rId16"/>
    <hyperlink ref="D15" r:id="rId17"/>
    <hyperlink ref="D23" r:id="rId18"/>
    <hyperlink ref="D12" r:id="rId19"/>
    <hyperlink ref="D8" r:id="rId20"/>
    <hyperlink ref="D4" r:id="rId21"/>
    <hyperlink ref="D28" r:id="rId22"/>
    <hyperlink ref="D14" r:id="rId23"/>
    <hyperlink ref="D20" r:id="rId24"/>
    <hyperlink ref="D21" r:id="rId25"/>
    <hyperlink ref="D18" r:id="rId26"/>
    <hyperlink ref="D5" r:id="rId27"/>
    <hyperlink ref="D29" r:id="rId28"/>
    <hyperlink ref="D27" r:id="rId29"/>
    <hyperlink ref="D9" r:id="rId30"/>
    <hyperlink ref="D11" r:id="rId31"/>
    <hyperlink ref="D24" r:id="rId32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workbookViewId="0">
      <selection activeCell="A19" sqref="A19"/>
    </sheetView>
  </sheetViews>
  <sheetFormatPr defaultRowHeight="12.5" x14ac:dyDescent="0.25"/>
  <cols>
    <col min="1" max="1" width="10.453125" bestFit="1" customWidth="1"/>
    <col min="2" max="2" width="9.81640625" bestFit="1" customWidth="1"/>
    <col min="3" max="3" width="12.1796875" bestFit="1" customWidth="1"/>
  </cols>
  <sheetData>
    <row r="2" spans="1:4" x14ac:dyDescent="0.25">
      <c r="A2" t="s">
        <v>60</v>
      </c>
      <c r="B2" t="s">
        <v>61</v>
      </c>
      <c r="C2" t="s">
        <v>157</v>
      </c>
      <c r="D2" s="1" t="s">
        <v>158</v>
      </c>
    </row>
    <row r="3" spans="1:4" x14ac:dyDescent="0.25">
      <c r="A3" t="s">
        <v>62</v>
      </c>
      <c r="B3" t="s">
        <v>63</v>
      </c>
      <c r="C3" t="s">
        <v>174</v>
      </c>
      <c r="D3" s="1" t="s">
        <v>175</v>
      </c>
    </row>
    <row r="4" spans="1:4" x14ac:dyDescent="0.25">
      <c r="A4" t="s">
        <v>64</v>
      </c>
      <c r="B4" t="s">
        <v>65</v>
      </c>
      <c r="C4" t="s">
        <v>167</v>
      </c>
      <c r="D4" s="1" t="s">
        <v>166</v>
      </c>
    </row>
    <row r="5" spans="1:4" x14ac:dyDescent="0.25">
      <c r="A5" t="s">
        <v>47</v>
      </c>
      <c r="B5" t="s">
        <v>66</v>
      </c>
      <c r="C5" t="s">
        <v>176</v>
      </c>
      <c r="D5" s="1" t="s">
        <v>177</v>
      </c>
    </row>
    <row r="6" spans="1:4" x14ac:dyDescent="0.25">
      <c r="A6" t="s">
        <v>67</v>
      </c>
      <c r="B6" t="s">
        <v>68</v>
      </c>
      <c r="C6" t="s">
        <v>153</v>
      </c>
      <c r="D6" s="1" t="s">
        <v>154</v>
      </c>
    </row>
    <row r="7" spans="1:4" x14ac:dyDescent="0.25">
      <c r="A7" t="s">
        <v>69</v>
      </c>
      <c r="B7" t="s">
        <v>70</v>
      </c>
      <c r="C7" t="s">
        <v>160</v>
      </c>
      <c r="D7" s="1" t="s">
        <v>161</v>
      </c>
    </row>
    <row r="8" spans="1:4" x14ac:dyDescent="0.25">
      <c r="A8" t="s">
        <v>71</v>
      </c>
      <c r="B8" t="s">
        <v>72</v>
      </c>
      <c r="C8" t="s">
        <v>178</v>
      </c>
      <c r="D8" s="1" t="s">
        <v>179</v>
      </c>
    </row>
    <row r="9" spans="1:4" x14ac:dyDescent="0.25">
      <c r="A9" t="s">
        <v>73</v>
      </c>
      <c r="B9" t="s">
        <v>74</v>
      </c>
      <c r="C9" t="s">
        <v>121</v>
      </c>
      <c r="D9" s="1" t="s">
        <v>122</v>
      </c>
    </row>
    <row r="10" spans="1:4" x14ac:dyDescent="0.25">
      <c r="A10" t="s">
        <v>20</v>
      </c>
      <c r="B10" t="s">
        <v>75</v>
      </c>
      <c r="C10" t="s">
        <v>168</v>
      </c>
      <c r="D10" s="1" t="s">
        <v>169</v>
      </c>
    </row>
    <row r="11" spans="1:4" x14ac:dyDescent="0.25">
      <c r="A11" t="s">
        <v>76</v>
      </c>
      <c r="B11" t="s">
        <v>77</v>
      </c>
      <c r="D11" s="1" t="s">
        <v>159</v>
      </c>
    </row>
    <row r="12" spans="1:4" x14ac:dyDescent="0.25">
      <c r="A12" t="s">
        <v>78</v>
      </c>
      <c r="B12" t="s">
        <v>79</v>
      </c>
      <c r="C12" t="s">
        <v>155</v>
      </c>
      <c r="D12" s="1" t="s">
        <v>156</v>
      </c>
    </row>
    <row r="13" spans="1:4" x14ac:dyDescent="0.25">
      <c r="A13" t="s">
        <v>80</v>
      </c>
      <c r="B13" t="s">
        <v>81</v>
      </c>
      <c r="C13" t="s">
        <v>170</v>
      </c>
      <c r="D13" s="1" t="s">
        <v>171</v>
      </c>
    </row>
    <row r="14" spans="1:4" x14ac:dyDescent="0.25">
      <c r="A14" t="s">
        <v>82</v>
      </c>
      <c r="B14" t="s">
        <v>83</v>
      </c>
      <c r="C14" t="s">
        <v>172</v>
      </c>
      <c r="D14" s="1" t="s">
        <v>173</v>
      </c>
    </row>
    <row r="15" spans="1:4" x14ac:dyDescent="0.25">
      <c r="A15" t="s">
        <v>84</v>
      </c>
      <c r="B15" t="s">
        <v>85</v>
      </c>
      <c r="C15" t="s">
        <v>180</v>
      </c>
      <c r="D15" s="1" t="s">
        <v>181</v>
      </c>
    </row>
    <row r="16" spans="1:4" x14ac:dyDescent="0.25">
      <c r="A16" t="s">
        <v>86</v>
      </c>
      <c r="B16" t="s">
        <v>87</v>
      </c>
      <c r="C16" t="s">
        <v>151</v>
      </c>
      <c r="D16" s="1" t="s">
        <v>152</v>
      </c>
    </row>
    <row r="17" spans="1:4" x14ac:dyDescent="0.25">
      <c r="A17" t="s">
        <v>88</v>
      </c>
      <c r="B17" t="s">
        <v>89</v>
      </c>
      <c r="C17" t="s">
        <v>164</v>
      </c>
      <c r="D17" s="1" t="s">
        <v>165</v>
      </c>
    </row>
    <row r="18" spans="1:4" x14ac:dyDescent="0.25">
      <c r="A18" t="s">
        <v>90</v>
      </c>
      <c r="B18" t="s">
        <v>91</v>
      </c>
      <c r="C18" t="s">
        <v>182</v>
      </c>
      <c r="D18" s="1" t="s">
        <v>183</v>
      </c>
    </row>
    <row r="19" spans="1:4" x14ac:dyDescent="0.25">
      <c r="A19" t="s">
        <v>92</v>
      </c>
      <c r="B19" t="s">
        <v>93</v>
      </c>
      <c r="C19" t="s">
        <v>162</v>
      </c>
      <c r="D19" s="1" t="s">
        <v>163</v>
      </c>
    </row>
  </sheetData>
  <phoneticPr fontId="1" type="noConversion"/>
  <hyperlinks>
    <hyperlink ref="D9" r:id="rId1"/>
    <hyperlink ref="D16" r:id="rId2"/>
    <hyperlink ref="D6" r:id="rId3"/>
    <hyperlink ref="D12" r:id="rId4"/>
    <hyperlink ref="D2" r:id="rId5"/>
    <hyperlink ref="D11" r:id="rId6"/>
    <hyperlink ref="D7" r:id="rId7"/>
    <hyperlink ref="D19" r:id="rId8"/>
    <hyperlink ref="D17" r:id="rId9"/>
    <hyperlink ref="D4" r:id="rId10"/>
    <hyperlink ref="D10" r:id="rId11"/>
    <hyperlink ref="D13" r:id="rId12"/>
    <hyperlink ref="D14" r:id="rId13"/>
    <hyperlink ref="D3" r:id="rId14"/>
    <hyperlink ref="D5" r:id="rId15"/>
    <hyperlink ref="D8" r:id="rId16"/>
    <hyperlink ref="D15" r:id="rId17"/>
    <hyperlink ref="D18" r:id="rId18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1" sqref="T1"/>
    </sheetView>
  </sheetViews>
  <sheetFormatPr defaultRowHeight="12.5" x14ac:dyDescent="0.25"/>
  <cols>
    <col min="1" max="1" width="5" bestFit="1" customWidth="1"/>
    <col min="2" max="2" width="4.54296875" bestFit="1" customWidth="1"/>
    <col min="3" max="3" width="4.26953125" bestFit="1" customWidth="1"/>
    <col min="4" max="4" width="4" bestFit="1" customWidth="1"/>
    <col min="5" max="6" width="4" customWidth="1"/>
    <col min="7" max="17" width="4.26953125" customWidth="1"/>
    <col min="18" max="18" width="5" bestFit="1" customWidth="1"/>
    <col min="19" max="19" width="5" customWidth="1"/>
  </cols>
  <sheetData>
    <row r="1" spans="1:19" x14ac:dyDescent="0.25">
      <c r="A1" t="s">
        <v>187</v>
      </c>
      <c r="B1" t="s">
        <v>188</v>
      </c>
      <c r="C1" t="s">
        <v>198</v>
      </c>
      <c r="D1" t="s">
        <v>193</v>
      </c>
      <c r="E1" t="s">
        <v>207</v>
      </c>
      <c r="F1" t="s">
        <v>208</v>
      </c>
      <c r="G1" t="s">
        <v>210</v>
      </c>
      <c r="H1" t="s">
        <v>213</v>
      </c>
      <c r="I1" t="s">
        <v>214</v>
      </c>
      <c r="J1" t="s">
        <v>216</v>
      </c>
      <c r="K1" t="s">
        <v>223</v>
      </c>
      <c r="L1" t="s">
        <v>224</v>
      </c>
      <c r="M1" t="s">
        <v>225</v>
      </c>
      <c r="N1" t="s">
        <v>230</v>
      </c>
      <c r="O1" t="s">
        <v>232</v>
      </c>
      <c r="P1" t="s">
        <v>234</v>
      </c>
      <c r="Q1" t="s">
        <v>199</v>
      </c>
      <c r="R1" t="s">
        <v>195</v>
      </c>
      <c r="S1" t="s">
        <v>197</v>
      </c>
    </row>
    <row r="2" spans="1:19" x14ac:dyDescent="0.25">
      <c r="A2">
        <v>9</v>
      </c>
      <c r="B2">
        <v>9</v>
      </c>
      <c r="C2">
        <v>20</v>
      </c>
      <c r="D2">
        <v>40</v>
      </c>
      <c r="E2">
        <v>8</v>
      </c>
      <c r="F2">
        <v>5</v>
      </c>
      <c r="G2">
        <v>10</v>
      </c>
      <c r="H2">
        <v>10</v>
      </c>
      <c r="I2">
        <v>8</v>
      </c>
      <c r="J2">
        <v>47</v>
      </c>
      <c r="K2">
        <v>10</v>
      </c>
      <c r="L2">
        <v>28</v>
      </c>
      <c r="M2">
        <v>49</v>
      </c>
      <c r="N2">
        <v>75</v>
      </c>
      <c r="O2">
        <v>24</v>
      </c>
      <c r="P2">
        <v>82</v>
      </c>
      <c r="Q2">
        <f t="shared" ref="Q2:Q15" si="0">SUM(B2:P2)</f>
        <v>425</v>
      </c>
      <c r="R2">
        <f t="shared" ref="R2:R8" si="1">Q2/$Q$36</f>
        <v>0.85</v>
      </c>
      <c r="S2" t="s">
        <v>203</v>
      </c>
    </row>
    <row r="3" spans="1:19" x14ac:dyDescent="0.25">
      <c r="A3">
        <v>125</v>
      </c>
      <c r="B3">
        <v>11</v>
      </c>
      <c r="C3">
        <v>20</v>
      </c>
      <c r="D3">
        <v>42</v>
      </c>
      <c r="E3">
        <v>10</v>
      </c>
      <c r="F3">
        <v>4</v>
      </c>
      <c r="G3">
        <v>10</v>
      </c>
      <c r="H3">
        <v>11</v>
      </c>
      <c r="I3">
        <v>7</v>
      </c>
      <c r="J3">
        <v>37</v>
      </c>
      <c r="K3">
        <v>10</v>
      </c>
      <c r="L3">
        <v>28</v>
      </c>
      <c r="M3">
        <v>42</v>
      </c>
      <c r="N3">
        <v>88</v>
      </c>
      <c r="O3">
        <v>18</v>
      </c>
      <c r="P3">
        <v>63</v>
      </c>
      <c r="Q3">
        <f t="shared" si="0"/>
        <v>401</v>
      </c>
      <c r="R3">
        <f t="shared" si="1"/>
        <v>0.80200000000000005</v>
      </c>
      <c r="S3" t="s">
        <v>203</v>
      </c>
    </row>
    <row r="4" spans="1:19" x14ac:dyDescent="0.25">
      <c r="A4">
        <v>216</v>
      </c>
      <c r="B4">
        <v>8</v>
      </c>
      <c r="C4">
        <v>20</v>
      </c>
      <c r="D4">
        <v>38</v>
      </c>
      <c r="E4">
        <v>8</v>
      </c>
      <c r="F4">
        <v>6</v>
      </c>
      <c r="G4">
        <v>10</v>
      </c>
      <c r="H4">
        <v>12</v>
      </c>
      <c r="I4">
        <v>9</v>
      </c>
      <c r="J4">
        <v>40</v>
      </c>
      <c r="K4">
        <v>10</v>
      </c>
      <c r="L4">
        <v>27</v>
      </c>
      <c r="M4">
        <v>49</v>
      </c>
      <c r="N4">
        <v>99</v>
      </c>
      <c r="O4">
        <v>25</v>
      </c>
      <c r="P4">
        <v>59</v>
      </c>
      <c r="Q4">
        <f t="shared" si="0"/>
        <v>420</v>
      </c>
      <c r="R4">
        <f t="shared" si="1"/>
        <v>0.84</v>
      </c>
      <c r="S4" t="s">
        <v>203</v>
      </c>
    </row>
    <row r="5" spans="1:19" x14ac:dyDescent="0.25">
      <c r="A5">
        <v>720</v>
      </c>
      <c r="B5">
        <v>9</v>
      </c>
      <c r="C5">
        <v>20</v>
      </c>
      <c r="D5">
        <v>26</v>
      </c>
      <c r="E5">
        <v>4</v>
      </c>
      <c r="F5">
        <v>5</v>
      </c>
      <c r="G5">
        <v>10</v>
      </c>
      <c r="H5">
        <v>3</v>
      </c>
      <c r="I5">
        <v>4</v>
      </c>
      <c r="J5">
        <v>37</v>
      </c>
      <c r="K5">
        <v>10</v>
      </c>
      <c r="L5">
        <v>21</v>
      </c>
      <c r="M5">
        <v>50</v>
      </c>
      <c r="N5">
        <v>85</v>
      </c>
      <c r="P5">
        <v>8</v>
      </c>
      <c r="Q5">
        <f t="shared" si="0"/>
        <v>292</v>
      </c>
      <c r="R5">
        <f t="shared" si="1"/>
        <v>0.58399999999999996</v>
      </c>
      <c r="S5" t="s">
        <v>206</v>
      </c>
    </row>
    <row r="6" spans="1:19" x14ac:dyDescent="0.25">
      <c r="A6">
        <v>800</v>
      </c>
      <c r="B6">
        <v>10</v>
      </c>
      <c r="C6">
        <v>20</v>
      </c>
      <c r="D6">
        <v>52</v>
      </c>
      <c r="E6">
        <v>10</v>
      </c>
      <c r="F6">
        <v>5</v>
      </c>
      <c r="G6">
        <v>10</v>
      </c>
      <c r="H6">
        <v>15</v>
      </c>
      <c r="I6">
        <v>10</v>
      </c>
      <c r="J6">
        <v>50</v>
      </c>
      <c r="K6">
        <v>10</v>
      </c>
      <c r="L6">
        <v>29</v>
      </c>
      <c r="M6">
        <v>46</v>
      </c>
      <c r="N6">
        <v>85</v>
      </c>
      <c r="O6">
        <v>24</v>
      </c>
      <c r="P6">
        <v>104</v>
      </c>
      <c r="Q6">
        <f t="shared" si="0"/>
        <v>480</v>
      </c>
      <c r="R6">
        <f t="shared" si="1"/>
        <v>0.96</v>
      </c>
      <c r="S6" t="s">
        <v>202</v>
      </c>
    </row>
    <row r="7" spans="1:19" x14ac:dyDescent="0.25">
      <c r="A7">
        <v>927</v>
      </c>
      <c r="B7">
        <v>8</v>
      </c>
      <c r="C7">
        <v>20</v>
      </c>
      <c r="D7">
        <v>40</v>
      </c>
      <c r="E7">
        <v>8</v>
      </c>
      <c r="F7">
        <v>2</v>
      </c>
      <c r="G7">
        <v>10</v>
      </c>
      <c r="H7">
        <v>13</v>
      </c>
      <c r="I7">
        <v>6</v>
      </c>
      <c r="J7">
        <v>39</v>
      </c>
      <c r="K7">
        <v>10</v>
      </c>
      <c r="L7">
        <v>27</v>
      </c>
      <c r="M7">
        <v>45</v>
      </c>
      <c r="N7">
        <v>85</v>
      </c>
      <c r="O7">
        <v>10</v>
      </c>
      <c r="P7">
        <v>76</v>
      </c>
      <c r="Q7">
        <f t="shared" si="0"/>
        <v>399</v>
      </c>
      <c r="R7">
        <f t="shared" si="1"/>
        <v>0.79800000000000004</v>
      </c>
      <c r="S7" t="s">
        <v>203</v>
      </c>
    </row>
    <row r="8" spans="1:19" x14ac:dyDescent="0.25">
      <c r="A8">
        <v>1000</v>
      </c>
      <c r="B8">
        <v>10</v>
      </c>
      <c r="C8">
        <v>20</v>
      </c>
      <c r="D8">
        <v>48</v>
      </c>
      <c r="E8">
        <v>10</v>
      </c>
      <c r="F8">
        <v>9</v>
      </c>
      <c r="G8">
        <v>10</v>
      </c>
      <c r="H8">
        <v>13</v>
      </c>
      <c r="I8">
        <v>10</v>
      </c>
      <c r="J8">
        <v>46</v>
      </c>
      <c r="K8">
        <v>10</v>
      </c>
      <c r="L8">
        <v>30</v>
      </c>
      <c r="M8">
        <v>47</v>
      </c>
      <c r="N8">
        <v>88</v>
      </c>
      <c r="O8">
        <v>25</v>
      </c>
      <c r="P8">
        <v>96</v>
      </c>
      <c r="Q8">
        <f t="shared" si="0"/>
        <v>472</v>
      </c>
      <c r="R8">
        <f t="shared" si="1"/>
        <v>0.94399999999999995</v>
      </c>
      <c r="S8" t="s">
        <v>202</v>
      </c>
    </row>
    <row r="9" spans="1:19" x14ac:dyDescent="0.25">
      <c r="A9">
        <v>1221</v>
      </c>
      <c r="B9">
        <v>10</v>
      </c>
      <c r="D9">
        <v>26</v>
      </c>
      <c r="E9">
        <v>10</v>
      </c>
      <c r="F9">
        <v>8</v>
      </c>
      <c r="G9" t="s">
        <v>194</v>
      </c>
      <c r="H9">
        <v>8</v>
      </c>
      <c r="I9">
        <v>8</v>
      </c>
      <c r="J9">
        <v>49</v>
      </c>
      <c r="K9">
        <v>10</v>
      </c>
      <c r="L9">
        <v>21</v>
      </c>
      <c r="M9">
        <v>43</v>
      </c>
      <c r="N9">
        <v>88</v>
      </c>
      <c r="P9">
        <v>69</v>
      </c>
      <c r="Q9">
        <f>SUM(B9:P9)</f>
        <v>350</v>
      </c>
      <c r="R9">
        <f>Q9/($Q$36-10)</f>
        <v>0.7142857142857143</v>
      </c>
      <c r="S9" t="s">
        <v>204</v>
      </c>
    </row>
    <row r="10" spans="1:19" x14ac:dyDescent="0.25">
      <c r="A10">
        <v>1303</v>
      </c>
      <c r="B10">
        <v>8</v>
      </c>
      <c r="C10">
        <v>20</v>
      </c>
      <c r="D10">
        <v>42</v>
      </c>
      <c r="E10">
        <v>2</v>
      </c>
      <c r="F10">
        <v>3</v>
      </c>
      <c r="H10">
        <v>10</v>
      </c>
      <c r="I10">
        <v>5</v>
      </c>
      <c r="J10">
        <v>27</v>
      </c>
      <c r="K10">
        <v>10</v>
      </c>
      <c r="L10">
        <v>23</v>
      </c>
      <c r="M10">
        <v>47</v>
      </c>
      <c r="N10">
        <v>88</v>
      </c>
      <c r="O10">
        <v>22</v>
      </c>
      <c r="P10">
        <v>49</v>
      </c>
      <c r="Q10">
        <f t="shared" si="0"/>
        <v>356</v>
      </c>
      <c r="R10">
        <f t="shared" ref="R10:R23" si="2">Q10/$Q$36</f>
        <v>0.71199999999999997</v>
      </c>
      <c r="S10" t="s">
        <v>204</v>
      </c>
    </row>
    <row r="11" spans="1:19" x14ac:dyDescent="0.25">
      <c r="A11">
        <v>1532</v>
      </c>
      <c r="B11">
        <v>5</v>
      </c>
      <c r="C11">
        <v>20</v>
      </c>
      <c r="D11">
        <v>36</v>
      </c>
      <c r="E11">
        <v>2</v>
      </c>
      <c r="F11">
        <v>4</v>
      </c>
      <c r="G11">
        <v>10</v>
      </c>
      <c r="H11">
        <v>11</v>
      </c>
      <c r="I11">
        <v>7</v>
      </c>
      <c r="J11">
        <v>33</v>
      </c>
      <c r="K11">
        <v>10</v>
      </c>
      <c r="L11">
        <v>28</v>
      </c>
      <c r="M11">
        <v>43</v>
      </c>
      <c r="N11">
        <v>88</v>
      </c>
      <c r="O11">
        <v>24</v>
      </c>
      <c r="P11">
        <v>53</v>
      </c>
      <c r="Q11">
        <f t="shared" si="0"/>
        <v>374</v>
      </c>
      <c r="R11">
        <f t="shared" si="2"/>
        <v>0.748</v>
      </c>
      <c r="S11" t="s">
        <v>204</v>
      </c>
    </row>
    <row r="12" spans="1:19" x14ac:dyDescent="0.25">
      <c r="A12">
        <v>2146</v>
      </c>
      <c r="B12">
        <v>8</v>
      </c>
      <c r="C12">
        <v>20</v>
      </c>
      <c r="D12">
        <v>34</v>
      </c>
      <c r="E12">
        <v>8</v>
      </c>
      <c r="F12">
        <v>9</v>
      </c>
      <c r="G12">
        <v>10</v>
      </c>
      <c r="H12">
        <v>10</v>
      </c>
      <c r="I12">
        <v>10</v>
      </c>
      <c r="J12">
        <v>40</v>
      </c>
      <c r="K12" t="s">
        <v>219</v>
      </c>
      <c r="L12" t="s">
        <v>194</v>
      </c>
      <c r="N12">
        <v>65</v>
      </c>
      <c r="O12">
        <v>22</v>
      </c>
      <c r="P12" t="s">
        <v>235</v>
      </c>
      <c r="Q12">
        <f>SUM(B12:P12)</f>
        <v>236</v>
      </c>
      <c r="R12">
        <f>Q12/($Q$36-30-50-100)</f>
        <v>0.73750000000000004</v>
      </c>
      <c r="S12" t="s">
        <v>204</v>
      </c>
    </row>
    <row r="13" spans="1:19" s="7" customFormat="1" x14ac:dyDescent="0.25">
      <c r="A13" s="7">
        <v>2155</v>
      </c>
      <c r="B13" s="7">
        <v>8</v>
      </c>
      <c r="C13" s="7">
        <v>20</v>
      </c>
      <c r="D13" s="7">
        <v>32</v>
      </c>
      <c r="E13" s="7">
        <v>4</v>
      </c>
      <c r="F13" s="7">
        <v>4</v>
      </c>
      <c r="G13" s="7">
        <v>10</v>
      </c>
      <c r="Q13" s="7">
        <f t="shared" si="0"/>
        <v>78</v>
      </c>
      <c r="S13" s="7" t="s">
        <v>215</v>
      </c>
    </row>
    <row r="14" spans="1:19" x14ac:dyDescent="0.25">
      <c r="A14">
        <v>2228</v>
      </c>
      <c r="B14">
        <v>10</v>
      </c>
      <c r="C14">
        <v>20</v>
      </c>
      <c r="D14">
        <v>44</v>
      </c>
      <c r="E14">
        <v>10</v>
      </c>
      <c r="F14">
        <v>7</v>
      </c>
      <c r="G14">
        <v>10</v>
      </c>
      <c r="H14">
        <v>13</v>
      </c>
      <c r="I14">
        <v>10</v>
      </c>
      <c r="J14">
        <v>49</v>
      </c>
      <c r="K14">
        <v>10</v>
      </c>
      <c r="L14">
        <v>29</v>
      </c>
      <c r="M14">
        <v>46</v>
      </c>
      <c r="N14">
        <v>85</v>
      </c>
      <c r="O14">
        <v>22</v>
      </c>
      <c r="P14">
        <v>98</v>
      </c>
      <c r="Q14">
        <f t="shared" si="0"/>
        <v>463</v>
      </c>
      <c r="R14">
        <f t="shared" si="2"/>
        <v>0.92600000000000005</v>
      </c>
      <c r="S14" t="s">
        <v>202</v>
      </c>
    </row>
    <row r="15" spans="1:19" x14ac:dyDescent="0.25">
      <c r="A15">
        <v>2323</v>
      </c>
      <c r="B15">
        <v>8</v>
      </c>
      <c r="C15">
        <v>20</v>
      </c>
      <c r="D15">
        <v>26</v>
      </c>
      <c r="E15">
        <v>8</v>
      </c>
      <c r="F15">
        <v>5</v>
      </c>
      <c r="G15">
        <v>10</v>
      </c>
      <c r="H15">
        <v>14</v>
      </c>
      <c r="I15">
        <v>7</v>
      </c>
      <c r="J15">
        <v>45</v>
      </c>
      <c r="K15">
        <v>10</v>
      </c>
      <c r="L15">
        <v>27</v>
      </c>
      <c r="M15">
        <v>39</v>
      </c>
      <c r="N15">
        <v>88</v>
      </c>
      <c r="O15">
        <v>18</v>
      </c>
      <c r="P15">
        <v>73</v>
      </c>
      <c r="Q15">
        <f t="shared" si="0"/>
        <v>398</v>
      </c>
      <c r="R15">
        <f t="shared" si="2"/>
        <v>0.79600000000000004</v>
      </c>
      <c r="S15" t="s">
        <v>203</v>
      </c>
    </row>
    <row r="16" spans="1:19" x14ac:dyDescent="0.25">
      <c r="A16">
        <v>2345</v>
      </c>
      <c r="B16">
        <v>9</v>
      </c>
      <c r="C16">
        <v>20</v>
      </c>
      <c r="D16">
        <v>38</v>
      </c>
      <c r="E16">
        <v>6</v>
      </c>
      <c r="F16">
        <v>2</v>
      </c>
      <c r="G16">
        <v>10</v>
      </c>
      <c r="H16">
        <v>13</v>
      </c>
      <c r="I16">
        <v>6</v>
      </c>
      <c r="J16">
        <v>41</v>
      </c>
      <c r="K16">
        <v>10</v>
      </c>
      <c r="L16">
        <v>23</v>
      </c>
      <c r="M16">
        <v>43</v>
      </c>
      <c r="N16">
        <v>85</v>
      </c>
      <c r="O16">
        <v>18</v>
      </c>
      <c r="P16">
        <v>67</v>
      </c>
      <c r="Q16">
        <f>SUM(B16:P16)</f>
        <v>391</v>
      </c>
      <c r="R16">
        <f t="shared" si="2"/>
        <v>0.78200000000000003</v>
      </c>
      <c r="S16" t="s">
        <v>204</v>
      </c>
    </row>
    <row r="17" spans="1:19" x14ac:dyDescent="0.25">
      <c r="A17">
        <v>2424</v>
      </c>
      <c r="B17">
        <v>10</v>
      </c>
      <c r="C17">
        <v>20</v>
      </c>
      <c r="D17">
        <v>46</v>
      </c>
      <c r="E17">
        <v>6</v>
      </c>
      <c r="F17">
        <v>9</v>
      </c>
      <c r="G17">
        <v>10</v>
      </c>
      <c r="H17">
        <v>11</v>
      </c>
      <c r="I17">
        <v>8</v>
      </c>
      <c r="J17">
        <v>46</v>
      </c>
      <c r="K17">
        <v>10</v>
      </c>
      <c r="L17">
        <v>27</v>
      </c>
      <c r="M17">
        <v>43</v>
      </c>
      <c r="N17">
        <v>82</v>
      </c>
      <c r="O17">
        <v>22</v>
      </c>
      <c r="P17">
        <v>63</v>
      </c>
      <c r="Q17">
        <f t="shared" ref="Q17:Q36" si="3">SUM(B17:P17)</f>
        <v>413</v>
      </c>
      <c r="R17">
        <f t="shared" si="2"/>
        <v>0.82599999999999996</v>
      </c>
      <c r="S17" t="s">
        <v>203</v>
      </c>
    </row>
    <row r="18" spans="1:19" x14ac:dyDescent="0.25">
      <c r="A18">
        <v>3647</v>
      </c>
      <c r="B18">
        <v>10</v>
      </c>
      <c r="C18">
        <v>20</v>
      </c>
      <c r="D18">
        <v>50</v>
      </c>
      <c r="E18">
        <v>10</v>
      </c>
      <c r="F18">
        <v>8</v>
      </c>
      <c r="G18">
        <v>10</v>
      </c>
      <c r="H18">
        <v>14</v>
      </c>
      <c r="I18">
        <v>10</v>
      </c>
      <c r="J18">
        <v>46</v>
      </c>
      <c r="K18">
        <v>10</v>
      </c>
      <c r="L18">
        <v>27</v>
      </c>
      <c r="M18">
        <v>48</v>
      </c>
      <c r="N18">
        <v>98</v>
      </c>
      <c r="O18">
        <v>20</v>
      </c>
      <c r="P18">
        <v>85</v>
      </c>
      <c r="Q18">
        <f t="shared" si="3"/>
        <v>466</v>
      </c>
      <c r="R18">
        <f t="shared" si="2"/>
        <v>0.93200000000000005</v>
      </c>
      <c r="S18" t="s">
        <v>202</v>
      </c>
    </row>
    <row r="19" spans="1:19" x14ac:dyDescent="0.25">
      <c r="A19">
        <v>3821</v>
      </c>
      <c r="B19">
        <v>9</v>
      </c>
      <c r="C19">
        <v>20</v>
      </c>
      <c r="D19">
        <v>42</v>
      </c>
      <c r="E19">
        <v>10</v>
      </c>
      <c r="F19">
        <v>8</v>
      </c>
      <c r="G19">
        <v>10</v>
      </c>
      <c r="H19">
        <v>11</v>
      </c>
      <c r="I19">
        <v>10</v>
      </c>
      <c r="J19">
        <v>48</v>
      </c>
      <c r="K19">
        <v>10</v>
      </c>
      <c r="L19">
        <v>28</v>
      </c>
      <c r="M19">
        <v>43</v>
      </c>
      <c r="N19">
        <v>95</v>
      </c>
      <c r="O19">
        <v>20</v>
      </c>
      <c r="P19">
        <v>93</v>
      </c>
      <c r="Q19">
        <f t="shared" si="3"/>
        <v>457</v>
      </c>
      <c r="R19">
        <f t="shared" si="2"/>
        <v>0.91400000000000003</v>
      </c>
      <c r="S19" t="s">
        <v>202</v>
      </c>
    </row>
    <row r="20" spans="1:19" x14ac:dyDescent="0.25">
      <c r="A20">
        <v>4015</v>
      </c>
      <c r="B20">
        <v>8</v>
      </c>
      <c r="C20">
        <v>20</v>
      </c>
      <c r="D20">
        <v>40</v>
      </c>
      <c r="E20">
        <v>10</v>
      </c>
      <c r="F20">
        <v>5</v>
      </c>
      <c r="G20">
        <v>10</v>
      </c>
      <c r="H20">
        <v>12</v>
      </c>
      <c r="I20">
        <v>8</v>
      </c>
      <c r="J20">
        <v>30</v>
      </c>
      <c r="K20">
        <v>10</v>
      </c>
      <c r="L20">
        <v>27</v>
      </c>
      <c r="M20">
        <v>48</v>
      </c>
      <c r="N20">
        <v>98</v>
      </c>
      <c r="O20">
        <v>15</v>
      </c>
      <c r="P20">
        <v>77</v>
      </c>
      <c r="Q20">
        <f t="shared" si="3"/>
        <v>418</v>
      </c>
      <c r="R20">
        <f t="shared" si="2"/>
        <v>0.83599999999999997</v>
      </c>
      <c r="S20" t="s">
        <v>203</v>
      </c>
    </row>
    <row r="21" spans="1:19" x14ac:dyDescent="0.25">
      <c r="A21">
        <v>4788</v>
      </c>
      <c r="B21">
        <v>9</v>
      </c>
      <c r="C21">
        <v>20</v>
      </c>
      <c r="D21">
        <v>36</v>
      </c>
      <c r="E21">
        <v>6</v>
      </c>
      <c r="F21">
        <v>8</v>
      </c>
      <c r="G21">
        <v>10</v>
      </c>
      <c r="H21">
        <v>13</v>
      </c>
      <c r="I21">
        <v>8</v>
      </c>
      <c r="J21">
        <v>42</v>
      </c>
      <c r="K21">
        <v>10</v>
      </c>
      <c r="L21">
        <v>17</v>
      </c>
      <c r="M21">
        <v>48</v>
      </c>
      <c r="N21">
        <v>81</v>
      </c>
      <c r="O21">
        <v>23</v>
      </c>
      <c r="P21">
        <v>68</v>
      </c>
      <c r="Q21">
        <f t="shared" si="3"/>
        <v>399</v>
      </c>
      <c r="R21">
        <f t="shared" si="2"/>
        <v>0.79800000000000004</v>
      </c>
      <c r="S21" t="s">
        <v>203</v>
      </c>
    </row>
    <row r="22" spans="1:19" s="7" customFormat="1" x14ac:dyDescent="0.25">
      <c r="A22" s="7">
        <v>4860</v>
      </c>
      <c r="B22" s="7">
        <v>5</v>
      </c>
      <c r="C22" s="7">
        <v>20</v>
      </c>
      <c r="D22" s="7">
        <v>14</v>
      </c>
      <c r="E22" s="7">
        <v>6</v>
      </c>
      <c r="F22" s="7">
        <v>1</v>
      </c>
      <c r="Q22" s="7">
        <f t="shared" si="3"/>
        <v>46</v>
      </c>
      <c r="R22" s="7">
        <f t="shared" si="2"/>
        <v>9.1999999999999998E-2</v>
      </c>
      <c r="S22" s="7" t="s">
        <v>215</v>
      </c>
    </row>
    <row r="23" spans="1:19" x14ac:dyDescent="0.25">
      <c r="A23">
        <v>5527</v>
      </c>
      <c r="B23">
        <v>9</v>
      </c>
      <c r="C23">
        <v>20</v>
      </c>
      <c r="D23">
        <v>50</v>
      </c>
      <c r="E23">
        <v>8</v>
      </c>
      <c r="F23">
        <v>4</v>
      </c>
      <c r="G23">
        <v>10</v>
      </c>
      <c r="H23">
        <v>12</v>
      </c>
      <c r="I23">
        <v>8</v>
      </c>
      <c r="J23">
        <v>36</v>
      </c>
      <c r="K23">
        <v>10</v>
      </c>
      <c r="L23">
        <v>21</v>
      </c>
      <c r="M23">
        <v>46</v>
      </c>
      <c r="N23">
        <v>81</v>
      </c>
      <c r="O23">
        <v>24</v>
      </c>
      <c r="P23">
        <v>59</v>
      </c>
      <c r="Q23">
        <f t="shared" si="3"/>
        <v>398</v>
      </c>
      <c r="R23">
        <f t="shared" si="2"/>
        <v>0.79600000000000004</v>
      </c>
      <c r="S23" t="s">
        <v>203</v>
      </c>
    </row>
    <row r="24" spans="1:19" s="7" customFormat="1" x14ac:dyDescent="0.25">
      <c r="A24" s="7">
        <v>5555</v>
      </c>
      <c r="B24" s="7">
        <v>5</v>
      </c>
      <c r="C24" s="7">
        <v>20</v>
      </c>
      <c r="D24" s="7">
        <v>26</v>
      </c>
      <c r="E24" s="7">
        <v>6</v>
      </c>
      <c r="F24" s="7">
        <v>3</v>
      </c>
      <c r="G24" s="7">
        <v>10</v>
      </c>
      <c r="Q24" s="7">
        <f t="shared" si="3"/>
        <v>70</v>
      </c>
      <c r="S24" s="7" t="s">
        <v>215</v>
      </c>
    </row>
    <row r="25" spans="1:19" x14ac:dyDescent="0.25">
      <c r="A25">
        <v>7171</v>
      </c>
      <c r="B25">
        <v>8</v>
      </c>
      <c r="C25">
        <v>20</v>
      </c>
      <c r="D25">
        <v>42</v>
      </c>
      <c r="E25">
        <v>10</v>
      </c>
      <c r="F25">
        <v>7</v>
      </c>
      <c r="G25">
        <v>10</v>
      </c>
      <c r="H25">
        <v>12</v>
      </c>
      <c r="I25">
        <v>10</v>
      </c>
      <c r="J25">
        <v>50</v>
      </c>
      <c r="K25">
        <v>10</v>
      </c>
      <c r="L25">
        <v>23</v>
      </c>
      <c r="M25">
        <v>42</v>
      </c>
      <c r="N25">
        <v>88</v>
      </c>
      <c r="O25">
        <v>18</v>
      </c>
      <c r="P25">
        <v>80</v>
      </c>
      <c r="Q25">
        <f t="shared" si="3"/>
        <v>430</v>
      </c>
      <c r="R25">
        <v>0.86</v>
      </c>
      <c r="S25" t="s">
        <v>203</v>
      </c>
    </row>
    <row r="26" spans="1:19" x14ac:dyDescent="0.25">
      <c r="A26">
        <v>7578</v>
      </c>
      <c r="B26">
        <v>4</v>
      </c>
      <c r="C26">
        <v>20</v>
      </c>
      <c r="D26" t="s">
        <v>194</v>
      </c>
      <c r="E26">
        <v>6</v>
      </c>
      <c r="Q26">
        <f>SUM(B26:P26)</f>
        <v>30</v>
      </c>
      <c r="R26">
        <f>Q26/($Q$36-50)</f>
        <v>6.6666666666666666E-2</v>
      </c>
      <c r="S26" s="7" t="s">
        <v>206</v>
      </c>
    </row>
    <row r="27" spans="1:19" x14ac:dyDescent="0.25">
      <c r="A27">
        <v>8082</v>
      </c>
      <c r="D27">
        <v>16</v>
      </c>
      <c r="F27">
        <v>0</v>
      </c>
      <c r="Q27">
        <f t="shared" si="3"/>
        <v>16</v>
      </c>
      <c r="R27">
        <f t="shared" ref="R27:R35" si="4">Q27/$Q$36</f>
        <v>3.2000000000000001E-2</v>
      </c>
      <c r="S27" t="s">
        <v>206</v>
      </c>
    </row>
    <row r="28" spans="1:19" x14ac:dyDescent="0.25">
      <c r="A28">
        <v>8383</v>
      </c>
      <c r="B28">
        <v>6</v>
      </c>
      <c r="C28">
        <v>20</v>
      </c>
      <c r="D28">
        <v>26</v>
      </c>
      <c r="E28">
        <v>10</v>
      </c>
      <c r="F28">
        <v>5</v>
      </c>
      <c r="G28">
        <v>10</v>
      </c>
      <c r="H28">
        <v>11</v>
      </c>
      <c r="I28">
        <v>6</v>
      </c>
      <c r="J28">
        <v>47</v>
      </c>
      <c r="K28">
        <v>10</v>
      </c>
      <c r="L28">
        <v>28</v>
      </c>
      <c r="M28">
        <v>42</v>
      </c>
      <c r="N28">
        <v>88</v>
      </c>
      <c r="O28">
        <v>18</v>
      </c>
      <c r="P28">
        <v>50</v>
      </c>
      <c r="Q28">
        <f t="shared" si="3"/>
        <v>377</v>
      </c>
      <c r="R28">
        <f t="shared" si="4"/>
        <v>0.754</v>
      </c>
      <c r="S28" t="s">
        <v>204</v>
      </c>
    </row>
    <row r="29" spans="1:19" x14ac:dyDescent="0.25">
      <c r="A29">
        <v>8783</v>
      </c>
      <c r="B29">
        <v>8</v>
      </c>
      <c r="C29">
        <v>20</v>
      </c>
      <c r="D29">
        <v>44</v>
      </c>
      <c r="E29">
        <v>6</v>
      </c>
      <c r="F29">
        <v>8</v>
      </c>
      <c r="G29">
        <v>10</v>
      </c>
      <c r="H29">
        <v>9</v>
      </c>
      <c r="I29">
        <v>9</v>
      </c>
      <c r="J29" t="s">
        <v>219</v>
      </c>
      <c r="K29">
        <v>10</v>
      </c>
      <c r="L29">
        <v>22</v>
      </c>
      <c r="M29">
        <v>42</v>
      </c>
      <c r="N29">
        <v>83</v>
      </c>
      <c r="O29">
        <v>15</v>
      </c>
      <c r="P29">
        <v>69</v>
      </c>
      <c r="Q29">
        <f t="shared" si="3"/>
        <v>355</v>
      </c>
      <c r="R29">
        <f t="shared" si="4"/>
        <v>0.71</v>
      </c>
      <c r="S29" t="s">
        <v>204</v>
      </c>
    </row>
    <row r="30" spans="1:19" x14ac:dyDescent="0.25">
      <c r="A30">
        <v>8845</v>
      </c>
      <c r="B30">
        <v>5</v>
      </c>
      <c r="C30">
        <v>20</v>
      </c>
      <c r="D30">
        <v>30</v>
      </c>
      <c r="E30">
        <v>6</v>
      </c>
      <c r="F30">
        <v>6</v>
      </c>
      <c r="G30">
        <v>10</v>
      </c>
      <c r="H30">
        <v>9</v>
      </c>
      <c r="I30">
        <v>6</v>
      </c>
      <c r="J30">
        <v>32</v>
      </c>
      <c r="K30">
        <v>10</v>
      </c>
      <c r="L30">
        <v>28</v>
      </c>
      <c r="M30">
        <v>42</v>
      </c>
      <c r="N30">
        <v>75</v>
      </c>
      <c r="O30">
        <v>22</v>
      </c>
      <c r="P30">
        <v>54</v>
      </c>
      <c r="Q30">
        <f t="shared" si="3"/>
        <v>355</v>
      </c>
      <c r="R30">
        <f t="shared" si="4"/>
        <v>0.71</v>
      </c>
      <c r="S30" t="s">
        <v>204</v>
      </c>
    </row>
    <row r="31" spans="1:19" x14ac:dyDescent="0.25">
      <c r="A31">
        <v>9077</v>
      </c>
      <c r="B31">
        <v>7</v>
      </c>
      <c r="C31">
        <v>20</v>
      </c>
      <c r="D31">
        <v>40</v>
      </c>
      <c r="E31">
        <v>10</v>
      </c>
      <c r="F31">
        <v>7</v>
      </c>
      <c r="G31">
        <v>10</v>
      </c>
      <c r="H31">
        <v>11</v>
      </c>
      <c r="I31">
        <v>7</v>
      </c>
      <c r="J31">
        <v>40</v>
      </c>
      <c r="K31">
        <v>10</v>
      </c>
      <c r="L31">
        <v>30</v>
      </c>
      <c r="M31">
        <v>44</v>
      </c>
      <c r="N31">
        <v>98</v>
      </c>
      <c r="O31">
        <v>25</v>
      </c>
      <c r="P31">
        <v>81</v>
      </c>
      <c r="Q31">
        <f t="shared" si="3"/>
        <v>440</v>
      </c>
      <c r="R31">
        <f t="shared" si="4"/>
        <v>0.88</v>
      </c>
      <c r="S31" t="s">
        <v>203</v>
      </c>
    </row>
    <row r="32" spans="1:19" x14ac:dyDescent="0.25">
      <c r="A32">
        <v>9243</v>
      </c>
      <c r="B32">
        <v>11</v>
      </c>
      <c r="C32">
        <v>20</v>
      </c>
      <c r="D32">
        <v>50</v>
      </c>
      <c r="E32">
        <v>10</v>
      </c>
      <c r="F32">
        <v>6</v>
      </c>
      <c r="G32">
        <v>10</v>
      </c>
      <c r="H32">
        <v>12</v>
      </c>
      <c r="I32">
        <v>10</v>
      </c>
      <c r="J32">
        <v>49</v>
      </c>
      <c r="K32">
        <v>10</v>
      </c>
      <c r="L32">
        <v>30</v>
      </c>
      <c r="M32">
        <v>48</v>
      </c>
      <c r="N32">
        <v>99</v>
      </c>
      <c r="O32">
        <v>25</v>
      </c>
      <c r="P32">
        <v>74</v>
      </c>
      <c r="Q32">
        <f t="shared" si="3"/>
        <v>464</v>
      </c>
      <c r="R32">
        <f t="shared" si="4"/>
        <v>0.92800000000000005</v>
      </c>
      <c r="S32" t="s">
        <v>202</v>
      </c>
    </row>
    <row r="33" spans="1:19" x14ac:dyDescent="0.25">
      <c r="A33">
        <v>9668</v>
      </c>
      <c r="B33">
        <v>8</v>
      </c>
      <c r="C33">
        <v>20</v>
      </c>
      <c r="D33">
        <v>34</v>
      </c>
      <c r="E33">
        <v>6</v>
      </c>
      <c r="F33">
        <v>3</v>
      </c>
      <c r="H33">
        <v>9</v>
      </c>
      <c r="I33">
        <v>6</v>
      </c>
      <c r="J33">
        <v>45</v>
      </c>
      <c r="K33">
        <v>10</v>
      </c>
      <c r="L33">
        <v>21</v>
      </c>
      <c r="M33">
        <v>44</v>
      </c>
      <c r="N33">
        <v>83</v>
      </c>
      <c r="O33">
        <v>15</v>
      </c>
      <c r="P33">
        <v>75</v>
      </c>
      <c r="Q33">
        <f t="shared" si="3"/>
        <v>379</v>
      </c>
      <c r="R33">
        <v>0.76</v>
      </c>
      <c r="S33" t="s">
        <v>204</v>
      </c>
    </row>
    <row r="34" spans="1:19" x14ac:dyDescent="0.25">
      <c r="A34">
        <v>9779</v>
      </c>
      <c r="B34">
        <v>9</v>
      </c>
      <c r="C34">
        <v>20</v>
      </c>
      <c r="D34">
        <v>44</v>
      </c>
      <c r="E34">
        <v>10</v>
      </c>
      <c r="F34">
        <v>8</v>
      </c>
      <c r="G34">
        <v>10</v>
      </c>
      <c r="H34">
        <v>15</v>
      </c>
      <c r="I34">
        <v>7</v>
      </c>
      <c r="J34">
        <v>50</v>
      </c>
      <c r="K34">
        <v>10</v>
      </c>
      <c r="L34">
        <v>29</v>
      </c>
      <c r="M34">
        <v>47</v>
      </c>
      <c r="N34">
        <v>85</v>
      </c>
      <c r="O34">
        <v>24</v>
      </c>
      <c r="P34">
        <v>95</v>
      </c>
      <c r="Q34">
        <f t="shared" si="3"/>
        <v>463</v>
      </c>
      <c r="R34">
        <f t="shared" si="4"/>
        <v>0.92600000000000005</v>
      </c>
      <c r="S34" t="s">
        <v>202</v>
      </c>
    </row>
    <row r="35" spans="1:19" x14ac:dyDescent="0.25">
      <c r="B35">
        <f t="shared" ref="B35:K35" si="5">AVERAGE(B2:B34)</f>
        <v>8.1875</v>
      </c>
      <c r="C35">
        <f t="shared" si="5"/>
        <v>20</v>
      </c>
      <c r="D35">
        <f t="shared" si="5"/>
        <v>37.3125</v>
      </c>
      <c r="E35">
        <f t="shared" si="5"/>
        <v>7.625</v>
      </c>
      <c r="F35">
        <f t="shared" si="5"/>
        <v>5.4375</v>
      </c>
      <c r="G35">
        <f t="shared" si="5"/>
        <v>10</v>
      </c>
      <c r="H35">
        <f t="shared" si="5"/>
        <v>11.321428571428571</v>
      </c>
      <c r="I35">
        <f t="shared" si="5"/>
        <v>7.8571428571428568</v>
      </c>
      <c r="J35">
        <f t="shared" si="5"/>
        <v>42.25925925925926</v>
      </c>
      <c r="K35">
        <f t="shared" si="5"/>
        <v>10</v>
      </c>
      <c r="L35">
        <f>AVERAGE(L2:L34)</f>
        <v>25.888888888888889</v>
      </c>
      <c r="M35">
        <f>AVERAGE(M2:M34)</f>
        <v>45.037037037037038</v>
      </c>
      <c r="N35">
        <f>AVERAGE(N2:N34)</f>
        <v>86.642857142857139</v>
      </c>
      <c r="O35">
        <f>AVERAGE(O2:O34)</f>
        <v>20.692307692307693</v>
      </c>
      <c r="P35">
        <f>AVERAGE(P2:P34)</f>
        <v>71.111111111111114</v>
      </c>
      <c r="Q35">
        <f t="shared" si="3"/>
        <v>409.3725325600326</v>
      </c>
      <c r="R35">
        <f t="shared" si="4"/>
        <v>0.81874506512006517</v>
      </c>
    </row>
    <row r="36" spans="1:19" x14ac:dyDescent="0.25">
      <c r="B36">
        <v>10</v>
      </c>
      <c r="C36">
        <v>20</v>
      </c>
      <c r="D36">
        <v>50</v>
      </c>
      <c r="E36">
        <v>10</v>
      </c>
      <c r="F36">
        <v>10</v>
      </c>
      <c r="G36">
        <v>10</v>
      </c>
      <c r="H36">
        <v>15</v>
      </c>
      <c r="I36">
        <v>10</v>
      </c>
      <c r="J36">
        <v>50</v>
      </c>
      <c r="K36">
        <v>10</v>
      </c>
      <c r="L36">
        <v>30</v>
      </c>
      <c r="M36">
        <v>50</v>
      </c>
      <c r="N36">
        <v>100</v>
      </c>
      <c r="O36">
        <v>25</v>
      </c>
      <c r="P36">
        <v>100</v>
      </c>
      <c r="Q36">
        <f t="shared" si="3"/>
        <v>500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RowHeight="12.5" x14ac:dyDescent="0.25"/>
  <cols>
    <col min="1" max="1" width="5" bestFit="1" customWidth="1"/>
    <col min="2" max="2" width="4.26953125" bestFit="1" customWidth="1"/>
    <col min="3" max="3" width="4.54296875" bestFit="1" customWidth="1"/>
    <col min="4" max="4" width="4" bestFit="1" customWidth="1"/>
    <col min="5" max="5" width="4" customWidth="1"/>
    <col min="6" max="15" width="4.1796875" customWidth="1"/>
    <col min="16" max="16" width="4.26953125" customWidth="1"/>
    <col min="17" max="17" width="4.54296875" bestFit="1" customWidth="1"/>
    <col min="18" max="18" width="5" bestFit="1" customWidth="1"/>
    <col min="19" max="19" width="5" customWidth="1"/>
  </cols>
  <sheetData>
    <row r="1" spans="1:20" x14ac:dyDescent="0.25">
      <c r="A1" t="s">
        <v>187</v>
      </c>
      <c r="B1" t="s">
        <v>189</v>
      </c>
      <c r="C1" t="s">
        <v>192</v>
      </c>
      <c r="D1" t="s">
        <v>193</v>
      </c>
      <c r="E1" t="s">
        <v>207</v>
      </c>
      <c r="F1" t="s">
        <v>209</v>
      </c>
      <c r="G1" t="s">
        <v>210</v>
      </c>
      <c r="H1" t="s">
        <v>213</v>
      </c>
      <c r="I1" t="s">
        <v>214</v>
      </c>
      <c r="J1" t="s">
        <v>216</v>
      </c>
      <c r="K1" t="s">
        <v>223</v>
      </c>
      <c r="L1" t="s">
        <v>224</v>
      </c>
      <c r="M1" t="s">
        <v>225</v>
      </c>
      <c r="N1" t="s">
        <v>231</v>
      </c>
      <c r="O1" t="s">
        <v>232</v>
      </c>
      <c r="P1" t="s">
        <v>233</v>
      </c>
      <c r="Q1" t="s">
        <v>196</v>
      </c>
      <c r="R1" t="s">
        <v>195</v>
      </c>
      <c r="S1" t="s">
        <v>197</v>
      </c>
    </row>
    <row r="2" spans="1:20" x14ac:dyDescent="0.25">
      <c r="A2">
        <v>163</v>
      </c>
      <c r="B2">
        <v>6</v>
      </c>
      <c r="C2">
        <v>20</v>
      </c>
      <c r="D2">
        <v>32</v>
      </c>
      <c r="E2">
        <v>6</v>
      </c>
      <c r="F2">
        <v>2</v>
      </c>
      <c r="G2" t="s">
        <v>194</v>
      </c>
      <c r="H2">
        <v>13</v>
      </c>
      <c r="I2">
        <v>6</v>
      </c>
      <c r="J2">
        <v>27</v>
      </c>
      <c r="K2">
        <v>10</v>
      </c>
      <c r="L2">
        <v>26</v>
      </c>
      <c r="M2">
        <v>32</v>
      </c>
      <c r="N2">
        <v>80</v>
      </c>
      <c r="O2">
        <v>21</v>
      </c>
      <c r="P2">
        <v>67</v>
      </c>
      <c r="Q2">
        <f>SUM(B2:P2)</f>
        <v>348</v>
      </c>
      <c r="R2">
        <f>$Q$22-10</f>
        <v>490</v>
      </c>
      <c r="S2">
        <f>Q2/R2</f>
        <v>0.71020408163265303</v>
      </c>
      <c r="T2" t="s">
        <v>204</v>
      </c>
    </row>
    <row r="3" spans="1:20" x14ac:dyDescent="0.25">
      <c r="A3">
        <v>425</v>
      </c>
      <c r="B3">
        <v>6</v>
      </c>
      <c r="C3">
        <v>20</v>
      </c>
      <c r="D3">
        <v>26</v>
      </c>
      <c r="E3">
        <v>4</v>
      </c>
      <c r="F3">
        <v>3</v>
      </c>
      <c r="G3">
        <v>10</v>
      </c>
      <c r="H3">
        <v>9</v>
      </c>
      <c r="I3">
        <v>5</v>
      </c>
      <c r="J3">
        <v>34</v>
      </c>
      <c r="K3" t="s">
        <v>219</v>
      </c>
      <c r="L3">
        <v>21</v>
      </c>
      <c r="M3">
        <v>43</v>
      </c>
      <c r="N3">
        <v>84</v>
      </c>
      <c r="O3">
        <v>24</v>
      </c>
      <c r="P3">
        <v>52</v>
      </c>
      <c r="Q3">
        <f t="shared" ref="Q3:Q22" si="0">SUM(B3:P3)</f>
        <v>341</v>
      </c>
      <c r="R3">
        <f>$Q$22-10</f>
        <v>490</v>
      </c>
      <c r="S3">
        <f t="shared" ref="S3:S21" si="1">Q3/R3</f>
        <v>0.69591836734693879</v>
      </c>
      <c r="T3" t="s">
        <v>204</v>
      </c>
    </row>
    <row r="4" spans="1:20" s="7" customFormat="1" x14ac:dyDescent="0.25">
      <c r="A4" s="7">
        <v>507</v>
      </c>
      <c r="C4" s="7">
        <v>20</v>
      </c>
      <c r="D4" s="7">
        <v>32</v>
      </c>
      <c r="E4" s="7">
        <v>4</v>
      </c>
      <c r="K4" s="7" t="s">
        <v>219</v>
      </c>
      <c r="Q4" s="7">
        <f t="shared" si="0"/>
        <v>56</v>
      </c>
      <c r="R4" s="7">
        <f t="shared" ref="R4:R21" si="2">$Q$22</f>
        <v>500</v>
      </c>
      <c r="S4" s="7">
        <f t="shared" si="1"/>
        <v>0.112</v>
      </c>
      <c r="T4" s="7" t="s">
        <v>226</v>
      </c>
    </row>
    <row r="5" spans="1:20" x14ac:dyDescent="0.25">
      <c r="A5">
        <v>989</v>
      </c>
      <c r="B5">
        <v>10</v>
      </c>
      <c r="C5">
        <v>20</v>
      </c>
      <c r="D5">
        <v>38</v>
      </c>
      <c r="E5">
        <v>10</v>
      </c>
      <c r="F5">
        <v>6</v>
      </c>
      <c r="G5">
        <v>10</v>
      </c>
      <c r="H5">
        <v>14</v>
      </c>
      <c r="I5">
        <v>8</v>
      </c>
      <c r="J5">
        <v>50</v>
      </c>
      <c r="K5">
        <v>10</v>
      </c>
      <c r="L5">
        <v>28</v>
      </c>
      <c r="M5">
        <v>46</v>
      </c>
      <c r="N5">
        <v>85</v>
      </c>
      <c r="O5">
        <v>18</v>
      </c>
      <c r="P5">
        <v>82</v>
      </c>
      <c r="Q5">
        <f t="shared" si="0"/>
        <v>435</v>
      </c>
      <c r="R5">
        <f t="shared" si="2"/>
        <v>500</v>
      </c>
      <c r="S5">
        <f t="shared" si="1"/>
        <v>0.87</v>
      </c>
      <c r="T5" t="s">
        <v>203</v>
      </c>
    </row>
    <row r="6" spans="1:20" x14ac:dyDescent="0.25">
      <c r="A6">
        <v>1031</v>
      </c>
      <c r="B6">
        <v>9</v>
      </c>
      <c r="C6">
        <v>15</v>
      </c>
      <c r="D6">
        <v>22</v>
      </c>
      <c r="H6">
        <v>4</v>
      </c>
      <c r="I6">
        <v>6</v>
      </c>
      <c r="J6">
        <v>26</v>
      </c>
      <c r="K6">
        <v>10</v>
      </c>
      <c r="L6">
        <v>30</v>
      </c>
      <c r="M6" t="s">
        <v>194</v>
      </c>
      <c r="N6">
        <v>80</v>
      </c>
      <c r="O6">
        <v>18</v>
      </c>
      <c r="P6">
        <v>34</v>
      </c>
      <c r="Q6">
        <f t="shared" si="0"/>
        <v>254</v>
      </c>
      <c r="R6">
        <f>$Q$22-50</f>
        <v>450</v>
      </c>
      <c r="S6">
        <f t="shared" si="1"/>
        <v>0.56444444444444442</v>
      </c>
      <c r="T6" t="s">
        <v>206</v>
      </c>
    </row>
    <row r="7" spans="1:20" x14ac:dyDescent="0.25">
      <c r="A7">
        <v>1106</v>
      </c>
      <c r="B7">
        <v>7</v>
      </c>
      <c r="C7">
        <v>20</v>
      </c>
      <c r="D7">
        <v>32</v>
      </c>
      <c r="E7">
        <v>6</v>
      </c>
      <c r="F7">
        <v>2</v>
      </c>
      <c r="G7">
        <v>10</v>
      </c>
      <c r="H7">
        <v>6</v>
      </c>
      <c r="I7">
        <v>6</v>
      </c>
      <c r="J7">
        <v>30</v>
      </c>
      <c r="K7" t="s">
        <v>219</v>
      </c>
      <c r="L7">
        <v>24</v>
      </c>
      <c r="M7">
        <v>41</v>
      </c>
      <c r="N7">
        <v>65</v>
      </c>
      <c r="O7">
        <v>10</v>
      </c>
      <c r="P7">
        <v>65</v>
      </c>
      <c r="Q7">
        <f t="shared" si="0"/>
        <v>324</v>
      </c>
      <c r="R7">
        <v>490</v>
      </c>
      <c r="S7">
        <f t="shared" si="1"/>
        <v>0.66122448979591841</v>
      </c>
      <c r="T7" t="s">
        <v>205</v>
      </c>
    </row>
    <row r="8" spans="1:20" x14ac:dyDescent="0.25">
      <c r="A8">
        <v>2727</v>
      </c>
      <c r="B8">
        <v>9</v>
      </c>
      <c r="C8">
        <v>20</v>
      </c>
      <c r="D8" t="s">
        <v>194</v>
      </c>
      <c r="E8">
        <v>4</v>
      </c>
      <c r="F8">
        <v>4</v>
      </c>
      <c r="G8">
        <v>10</v>
      </c>
      <c r="H8">
        <v>10</v>
      </c>
      <c r="I8">
        <v>10</v>
      </c>
      <c r="J8">
        <v>29</v>
      </c>
      <c r="K8">
        <v>10</v>
      </c>
      <c r="L8">
        <v>28</v>
      </c>
      <c r="M8">
        <v>44</v>
      </c>
      <c r="N8">
        <v>84</v>
      </c>
      <c r="O8">
        <v>24</v>
      </c>
      <c r="P8">
        <v>49</v>
      </c>
      <c r="Q8">
        <f t="shared" si="0"/>
        <v>335</v>
      </c>
      <c r="R8">
        <f>$Q$22-50</f>
        <v>450</v>
      </c>
      <c r="S8">
        <f t="shared" si="1"/>
        <v>0.74444444444444446</v>
      </c>
      <c r="T8" t="s">
        <v>204</v>
      </c>
    </row>
    <row r="9" spans="1:20" x14ac:dyDescent="0.25">
      <c r="A9">
        <v>2895</v>
      </c>
      <c r="B9">
        <v>10</v>
      </c>
      <c r="C9">
        <v>20</v>
      </c>
      <c r="D9">
        <v>32</v>
      </c>
      <c r="E9">
        <v>6</v>
      </c>
      <c r="F9">
        <v>5</v>
      </c>
      <c r="G9">
        <v>10</v>
      </c>
      <c r="H9">
        <v>14</v>
      </c>
      <c r="I9">
        <v>8</v>
      </c>
      <c r="J9">
        <v>46</v>
      </c>
      <c r="K9">
        <v>10</v>
      </c>
      <c r="L9">
        <v>15</v>
      </c>
      <c r="M9">
        <v>41</v>
      </c>
      <c r="N9">
        <v>73</v>
      </c>
      <c r="O9">
        <v>15</v>
      </c>
      <c r="P9">
        <v>93</v>
      </c>
      <c r="Q9">
        <f t="shared" si="0"/>
        <v>398</v>
      </c>
      <c r="R9">
        <f t="shared" si="2"/>
        <v>500</v>
      </c>
      <c r="S9">
        <f t="shared" si="1"/>
        <v>0.79600000000000004</v>
      </c>
      <c r="T9" t="s">
        <v>203</v>
      </c>
    </row>
    <row r="10" spans="1:20" s="7" customFormat="1" x14ac:dyDescent="0.25">
      <c r="A10" s="7">
        <v>3426</v>
      </c>
      <c r="B10" s="7">
        <v>9</v>
      </c>
      <c r="C10" s="7">
        <v>20</v>
      </c>
      <c r="D10" s="7">
        <v>24</v>
      </c>
      <c r="E10" s="7">
        <v>4</v>
      </c>
      <c r="F10" s="7">
        <v>1</v>
      </c>
      <c r="Q10" s="7">
        <f t="shared" si="0"/>
        <v>58</v>
      </c>
      <c r="R10" s="7">
        <f t="shared" si="2"/>
        <v>500</v>
      </c>
      <c r="S10" s="7">
        <f t="shared" si="1"/>
        <v>0.11600000000000001</v>
      </c>
      <c r="T10" s="7" t="s">
        <v>222</v>
      </c>
    </row>
    <row r="11" spans="1:20" x14ac:dyDescent="0.25">
      <c r="A11">
        <v>3675</v>
      </c>
      <c r="B11">
        <v>7</v>
      </c>
      <c r="C11">
        <v>20</v>
      </c>
      <c r="D11">
        <v>34</v>
      </c>
      <c r="E11">
        <v>6</v>
      </c>
      <c r="F11">
        <v>2</v>
      </c>
      <c r="G11">
        <v>10</v>
      </c>
      <c r="H11">
        <v>10</v>
      </c>
      <c r="I11">
        <v>7</v>
      </c>
      <c r="J11" s="5">
        <v>47</v>
      </c>
      <c r="K11" s="5">
        <v>10</v>
      </c>
      <c r="L11" s="5">
        <v>29</v>
      </c>
      <c r="M11" s="5">
        <v>47</v>
      </c>
      <c r="N11" s="5">
        <v>84</v>
      </c>
      <c r="O11" s="5">
        <v>24</v>
      </c>
      <c r="P11" s="5">
        <v>98</v>
      </c>
      <c r="Q11">
        <f t="shared" si="0"/>
        <v>435</v>
      </c>
      <c r="R11">
        <f t="shared" si="2"/>
        <v>500</v>
      </c>
      <c r="S11">
        <f t="shared" si="1"/>
        <v>0.87</v>
      </c>
      <c r="T11" t="s">
        <v>203</v>
      </c>
    </row>
    <row r="12" spans="1:20" x14ac:dyDescent="0.25">
      <c r="A12">
        <v>3718</v>
      </c>
      <c r="B12">
        <v>7</v>
      </c>
      <c r="C12">
        <v>20</v>
      </c>
      <c r="D12">
        <v>26</v>
      </c>
      <c r="E12">
        <v>6</v>
      </c>
      <c r="F12">
        <v>5</v>
      </c>
      <c r="G12">
        <v>10</v>
      </c>
      <c r="H12">
        <v>9</v>
      </c>
      <c r="I12">
        <v>6</v>
      </c>
      <c r="J12" s="5">
        <v>50</v>
      </c>
      <c r="K12" s="5">
        <v>10</v>
      </c>
      <c r="L12" s="5">
        <v>19</v>
      </c>
      <c r="M12" s="5">
        <v>49</v>
      </c>
      <c r="N12" s="5">
        <v>95</v>
      </c>
      <c r="O12" s="5">
        <v>25</v>
      </c>
      <c r="P12" s="5">
        <v>77</v>
      </c>
      <c r="Q12">
        <f t="shared" si="0"/>
        <v>414</v>
      </c>
      <c r="R12">
        <f t="shared" si="2"/>
        <v>500</v>
      </c>
      <c r="S12">
        <f t="shared" si="1"/>
        <v>0.82799999999999996</v>
      </c>
      <c r="T12" t="s">
        <v>203</v>
      </c>
    </row>
    <row r="13" spans="1:20" x14ac:dyDescent="0.25">
      <c r="A13">
        <v>4245</v>
      </c>
      <c r="B13">
        <v>7</v>
      </c>
      <c r="C13">
        <v>18</v>
      </c>
      <c r="D13">
        <v>30</v>
      </c>
      <c r="E13">
        <v>4</v>
      </c>
      <c r="F13">
        <v>5</v>
      </c>
      <c r="G13">
        <v>10</v>
      </c>
      <c r="H13">
        <v>10</v>
      </c>
      <c r="I13">
        <v>5</v>
      </c>
      <c r="J13" s="5">
        <v>25</v>
      </c>
      <c r="K13" s="5">
        <v>10</v>
      </c>
      <c r="L13" s="5">
        <v>20</v>
      </c>
      <c r="M13" s="5">
        <v>41</v>
      </c>
      <c r="N13" s="5">
        <v>80</v>
      </c>
      <c r="O13" s="5">
        <v>10</v>
      </c>
      <c r="P13" s="5">
        <v>58</v>
      </c>
      <c r="Q13">
        <f t="shared" si="0"/>
        <v>333</v>
      </c>
      <c r="R13">
        <f t="shared" si="2"/>
        <v>500</v>
      </c>
      <c r="S13">
        <f t="shared" si="1"/>
        <v>0.66600000000000004</v>
      </c>
      <c r="T13" t="s">
        <v>205</v>
      </c>
    </row>
    <row r="14" spans="1:20" x14ac:dyDescent="0.25">
      <c r="A14">
        <v>4535</v>
      </c>
      <c r="B14">
        <v>8</v>
      </c>
      <c r="C14">
        <v>20</v>
      </c>
      <c r="D14">
        <v>34</v>
      </c>
      <c r="E14">
        <v>4</v>
      </c>
      <c r="F14">
        <v>3</v>
      </c>
      <c r="G14">
        <v>10</v>
      </c>
      <c r="H14">
        <v>14</v>
      </c>
      <c r="I14">
        <v>7</v>
      </c>
      <c r="J14">
        <v>32</v>
      </c>
      <c r="K14" s="5">
        <v>10</v>
      </c>
      <c r="L14" s="5">
        <v>27</v>
      </c>
      <c r="M14" s="5">
        <v>36</v>
      </c>
      <c r="N14" s="5">
        <v>80</v>
      </c>
      <c r="O14" s="5">
        <v>23</v>
      </c>
      <c r="P14" s="5">
        <v>50</v>
      </c>
      <c r="Q14">
        <f t="shared" si="0"/>
        <v>358</v>
      </c>
      <c r="R14">
        <f t="shared" si="2"/>
        <v>500</v>
      </c>
      <c r="S14">
        <f t="shared" si="1"/>
        <v>0.71599999999999997</v>
      </c>
      <c r="T14" t="s">
        <v>204</v>
      </c>
    </row>
    <row r="15" spans="1:20" s="6" customFormat="1" ht="10" x14ac:dyDescent="0.2">
      <c r="A15" s="6">
        <v>4582</v>
      </c>
      <c r="B15" s="6">
        <v>11</v>
      </c>
      <c r="C15" s="6">
        <v>20</v>
      </c>
      <c r="D15" s="6">
        <v>26</v>
      </c>
      <c r="E15" s="6">
        <v>4</v>
      </c>
      <c r="Q15" s="6">
        <f t="shared" si="0"/>
        <v>61</v>
      </c>
      <c r="R15" s="6">
        <f t="shared" si="2"/>
        <v>500</v>
      </c>
      <c r="S15" s="6">
        <f t="shared" si="1"/>
        <v>0.122</v>
      </c>
      <c r="T15" s="6" t="s">
        <v>212</v>
      </c>
    </row>
    <row r="16" spans="1:20" x14ac:dyDescent="0.25">
      <c r="A16">
        <v>5151</v>
      </c>
      <c r="B16">
        <v>9</v>
      </c>
      <c r="C16">
        <v>20</v>
      </c>
      <c r="D16">
        <v>44</v>
      </c>
      <c r="E16">
        <v>10</v>
      </c>
      <c r="F16">
        <v>7</v>
      </c>
      <c r="G16">
        <v>10</v>
      </c>
      <c r="H16">
        <v>15</v>
      </c>
      <c r="I16">
        <v>10</v>
      </c>
      <c r="J16">
        <v>44</v>
      </c>
      <c r="K16" s="5">
        <v>10</v>
      </c>
      <c r="L16" s="5">
        <v>29</v>
      </c>
      <c r="M16" s="5">
        <v>47</v>
      </c>
      <c r="N16" s="5">
        <v>90</v>
      </c>
      <c r="O16" s="5">
        <v>24</v>
      </c>
      <c r="P16" s="5">
        <v>93</v>
      </c>
      <c r="Q16">
        <f t="shared" si="0"/>
        <v>462</v>
      </c>
      <c r="R16">
        <f t="shared" si="2"/>
        <v>500</v>
      </c>
      <c r="S16">
        <f t="shared" si="1"/>
        <v>0.92400000000000004</v>
      </c>
      <c r="T16" t="s">
        <v>202</v>
      </c>
    </row>
    <row r="17" spans="1:20" s="7" customFormat="1" x14ac:dyDescent="0.25">
      <c r="A17" s="6">
        <v>8504</v>
      </c>
      <c r="D17" s="7">
        <v>28</v>
      </c>
      <c r="Q17" s="7">
        <f t="shared" si="0"/>
        <v>28</v>
      </c>
      <c r="R17" s="7">
        <f t="shared" si="2"/>
        <v>500</v>
      </c>
      <c r="S17" s="7">
        <f t="shared" si="1"/>
        <v>5.6000000000000001E-2</v>
      </c>
      <c r="T17" s="7" t="s">
        <v>211</v>
      </c>
    </row>
    <row r="18" spans="1:20" x14ac:dyDescent="0.25">
      <c r="A18">
        <v>8547</v>
      </c>
      <c r="B18">
        <v>8</v>
      </c>
      <c r="C18">
        <v>20</v>
      </c>
      <c r="D18">
        <v>32</v>
      </c>
      <c r="E18">
        <v>6</v>
      </c>
      <c r="F18">
        <v>3</v>
      </c>
      <c r="G18">
        <v>10</v>
      </c>
      <c r="H18">
        <v>11</v>
      </c>
      <c r="I18">
        <v>9</v>
      </c>
      <c r="J18">
        <v>29</v>
      </c>
      <c r="K18" s="5">
        <v>10</v>
      </c>
      <c r="L18" s="5">
        <v>22</v>
      </c>
      <c r="M18" s="5">
        <v>37</v>
      </c>
      <c r="N18" s="5">
        <v>84</v>
      </c>
      <c r="O18" s="5">
        <v>18</v>
      </c>
      <c r="P18" s="5">
        <v>18</v>
      </c>
      <c r="Q18">
        <f t="shared" si="0"/>
        <v>317</v>
      </c>
      <c r="R18">
        <f>$Q$22</f>
        <v>500</v>
      </c>
      <c r="S18">
        <f t="shared" si="1"/>
        <v>0.63400000000000001</v>
      </c>
      <c r="T18" t="s">
        <v>205</v>
      </c>
    </row>
    <row r="19" spans="1:20" x14ac:dyDescent="0.25">
      <c r="A19">
        <v>8684</v>
      </c>
      <c r="B19">
        <v>6</v>
      </c>
      <c r="C19">
        <v>20</v>
      </c>
      <c r="D19">
        <v>40</v>
      </c>
      <c r="E19">
        <v>8</v>
      </c>
      <c r="F19">
        <v>2</v>
      </c>
      <c r="G19">
        <v>10</v>
      </c>
      <c r="H19">
        <v>10</v>
      </c>
      <c r="I19">
        <v>8</v>
      </c>
      <c r="J19">
        <v>35</v>
      </c>
      <c r="K19" s="5">
        <v>10</v>
      </c>
      <c r="L19" s="5">
        <v>19</v>
      </c>
      <c r="M19" s="5">
        <v>38</v>
      </c>
      <c r="N19" s="5">
        <v>80</v>
      </c>
      <c r="O19" s="5">
        <v>22</v>
      </c>
      <c r="P19" s="5">
        <v>52</v>
      </c>
      <c r="Q19">
        <f t="shared" si="0"/>
        <v>360</v>
      </c>
      <c r="R19">
        <f t="shared" si="2"/>
        <v>500</v>
      </c>
      <c r="S19">
        <f t="shared" si="1"/>
        <v>0.72</v>
      </c>
      <c r="T19" t="s">
        <v>204</v>
      </c>
    </row>
    <row r="20" spans="1:20" x14ac:dyDescent="0.25">
      <c r="A20">
        <v>9932</v>
      </c>
      <c r="B20">
        <v>5</v>
      </c>
      <c r="C20">
        <v>10</v>
      </c>
      <c r="D20">
        <v>32</v>
      </c>
      <c r="E20">
        <v>2</v>
      </c>
      <c r="F20">
        <v>2</v>
      </c>
      <c r="G20">
        <v>10</v>
      </c>
      <c r="H20">
        <v>11</v>
      </c>
      <c r="I20">
        <v>2</v>
      </c>
      <c r="J20">
        <v>28</v>
      </c>
      <c r="K20" s="5">
        <v>10</v>
      </c>
      <c r="L20" s="5">
        <v>25</v>
      </c>
      <c r="M20" s="5">
        <v>44</v>
      </c>
      <c r="N20" s="5">
        <v>70</v>
      </c>
      <c r="O20" s="5">
        <v>19</v>
      </c>
      <c r="P20" s="5">
        <v>35</v>
      </c>
      <c r="Q20">
        <f t="shared" si="0"/>
        <v>305</v>
      </c>
      <c r="R20">
        <f t="shared" si="2"/>
        <v>500</v>
      </c>
      <c r="S20">
        <f t="shared" si="1"/>
        <v>0.61</v>
      </c>
      <c r="T20" t="s">
        <v>205</v>
      </c>
    </row>
    <row r="21" spans="1:20" x14ac:dyDescent="0.25">
      <c r="B21">
        <f>AVERAGE(B3:B20)</f>
        <v>8</v>
      </c>
      <c r="C21">
        <f t="shared" ref="C21:P21" si="3">AVERAGE(C3:C20)</f>
        <v>19</v>
      </c>
      <c r="D21">
        <f t="shared" si="3"/>
        <v>31.294117647058822</v>
      </c>
      <c r="E21">
        <f t="shared" si="3"/>
        <v>5.5</v>
      </c>
      <c r="F21">
        <f t="shared" si="3"/>
        <v>3.5714285714285716</v>
      </c>
      <c r="G21">
        <f t="shared" si="3"/>
        <v>10</v>
      </c>
      <c r="H21">
        <f t="shared" si="3"/>
        <v>10.5</v>
      </c>
      <c r="I21">
        <f t="shared" si="3"/>
        <v>6.9285714285714288</v>
      </c>
      <c r="J21">
        <f t="shared" si="3"/>
        <v>36.071428571428569</v>
      </c>
      <c r="K21">
        <f t="shared" si="3"/>
        <v>10</v>
      </c>
      <c r="L21">
        <f t="shared" si="3"/>
        <v>24</v>
      </c>
      <c r="M21">
        <f t="shared" si="3"/>
        <v>42.615384615384613</v>
      </c>
      <c r="N21">
        <f t="shared" si="3"/>
        <v>81</v>
      </c>
      <c r="O21">
        <f t="shared" si="3"/>
        <v>19.571428571428573</v>
      </c>
      <c r="P21">
        <f t="shared" si="3"/>
        <v>61.142857142857146</v>
      </c>
      <c r="Q21">
        <f t="shared" si="0"/>
        <v>369.1952165481577</v>
      </c>
      <c r="R21">
        <f t="shared" si="2"/>
        <v>500</v>
      </c>
      <c r="S21">
        <f t="shared" si="1"/>
        <v>0.73839043309631536</v>
      </c>
    </row>
    <row r="22" spans="1:20" x14ac:dyDescent="0.25">
      <c r="A22" t="s">
        <v>195</v>
      </c>
      <c r="B22">
        <v>10</v>
      </c>
      <c r="C22">
        <v>20</v>
      </c>
      <c r="D22">
        <v>50</v>
      </c>
      <c r="E22">
        <v>10</v>
      </c>
      <c r="F22">
        <v>10</v>
      </c>
      <c r="G22">
        <v>10</v>
      </c>
      <c r="H22">
        <v>15</v>
      </c>
      <c r="I22">
        <v>10</v>
      </c>
      <c r="J22">
        <v>50</v>
      </c>
      <c r="K22">
        <v>10</v>
      </c>
      <c r="L22">
        <v>30</v>
      </c>
      <c r="M22">
        <v>50</v>
      </c>
      <c r="N22">
        <v>100</v>
      </c>
      <c r="O22">
        <v>25</v>
      </c>
      <c r="P22">
        <v>100</v>
      </c>
      <c r="Q22">
        <f t="shared" si="0"/>
        <v>500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 stats</vt:lpstr>
      <vt:lpstr>2810 info 9am</vt:lpstr>
      <vt:lpstr>2810 info 10am</vt:lpstr>
      <vt:lpstr>9 am grades</vt:lpstr>
      <vt:lpstr>10 am grades</vt:lpstr>
    </vt:vector>
  </TitlesOfParts>
  <Company>Eastern Illinois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Wilson</dc:creator>
  <cp:lastModifiedBy>Carina Negreanu</cp:lastModifiedBy>
  <cp:lastPrinted>2003-12-15T19:55:13Z</cp:lastPrinted>
  <dcterms:created xsi:type="dcterms:W3CDTF">2003-09-03T16:08:15Z</dcterms:created>
  <dcterms:modified xsi:type="dcterms:W3CDTF">2020-01-27T11:12:09Z</dcterms:modified>
</cp:coreProperties>
</file>