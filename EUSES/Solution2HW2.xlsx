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2A0FB5-425E-40FF-BB64-07A512FFE61C}" xr6:coauthVersionLast="45" xr6:coauthVersionMax="45" xr10:uidLastSave="{00000000-0000-0000-0000-000000000000}"/>
  <bookViews>
    <workbookView xWindow="3800" yWindow="3800" windowWidth="28800" windowHeight="15460" activeTab="2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1" l="1"/>
  <c r="K4" i="1"/>
  <c r="J5" i="1"/>
  <c r="K5" i="1"/>
  <c r="J6" i="1"/>
  <c r="K6" i="1"/>
  <c r="J7" i="1"/>
  <c r="K7" i="1"/>
  <c r="J8" i="1"/>
  <c r="K8" i="1"/>
  <c r="J9" i="1"/>
  <c r="K9" i="1"/>
  <c r="J10" i="1"/>
  <c r="K10" i="1"/>
  <c r="C11" i="1"/>
  <c r="J11" i="1" s="1"/>
  <c r="D11" i="1"/>
  <c r="K11" i="1" s="1"/>
  <c r="E11" i="1"/>
  <c r="F11" i="1"/>
  <c r="G11" i="1"/>
  <c r="H11" i="1"/>
  <c r="I11" i="1"/>
  <c r="F18" i="1"/>
  <c r="F19" i="1"/>
  <c r="K18" i="1" s="1"/>
  <c r="F23" i="1"/>
  <c r="F24" i="1"/>
  <c r="F25" i="1"/>
  <c r="F26" i="1"/>
  <c r="F27" i="1"/>
  <c r="F28" i="1"/>
  <c r="F29" i="1"/>
  <c r="F43" i="1"/>
  <c r="F50" i="1" s="1"/>
  <c r="I52" i="1" s="1"/>
  <c r="I53" i="1" s="1"/>
  <c r="F44" i="1"/>
  <c r="F45" i="1"/>
  <c r="F46" i="1"/>
  <c r="F47" i="1"/>
  <c r="F48" i="1"/>
  <c r="F49" i="1"/>
  <c r="F59" i="1"/>
  <c r="F60" i="1"/>
  <c r="F61" i="1"/>
  <c r="F62" i="1"/>
  <c r="F63" i="1"/>
  <c r="F64" i="1"/>
  <c r="F65" i="1"/>
  <c r="F66" i="1" s="1"/>
  <c r="E68" i="1" s="1"/>
  <c r="B201" i="1"/>
  <c r="C201" i="1"/>
  <c r="E222" i="1"/>
  <c r="E227" i="1" s="1"/>
  <c r="E223" i="1"/>
  <c r="E224" i="1"/>
  <c r="E225" i="1"/>
  <c r="E5" i="2"/>
  <c r="H5" i="2"/>
  <c r="K5" i="2"/>
  <c r="P5" i="2"/>
  <c r="S5" i="2"/>
  <c r="E6" i="2"/>
  <c r="E12" i="2" s="1"/>
  <c r="F6" i="2" s="1"/>
  <c r="B80" i="2" s="1"/>
  <c r="H6" i="2"/>
  <c r="I6" i="2" s="1"/>
  <c r="B81" i="2" s="1"/>
  <c r="K6" i="2"/>
  <c r="P6" i="2"/>
  <c r="P12" i="2" s="1"/>
  <c r="Q6" i="2" s="1"/>
  <c r="B83" i="2" s="1"/>
  <c r="S6" i="2"/>
  <c r="S12" i="2" s="1"/>
  <c r="T6" i="2" s="1"/>
  <c r="B84" i="2" s="1"/>
  <c r="E7" i="2"/>
  <c r="H7" i="2"/>
  <c r="H12" i="2" s="1"/>
  <c r="K7" i="2"/>
  <c r="K12" i="2" s="1"/>
  <c r="L6" i="2" s="1"/>
  <c r="B82" i="2" s="1"/>
  <c r="P7" i="2"/>
  <c r="S7" i="2"/>
  <c r="E8" i="2"/>
  <c r="H8" i="2"/>
  <c r="K8" i="2"/>
  <c r="P8" i="2"/>
  <c r="S8" i="2"/>
  <c r="E9" i="2"/>
  <c r="H9" i="2"/>
  <c r="K9" i="2"/>
  <c r="P9" i="2"/>
  <c r="S9" i="2"/>
  <c r="E10" i="2"/>
  <c r="H10" i="2"/>
  <c r="K10" i="2"/>
  <c r="P10" i="2"/>
  <c r="S10" i="2"/>
  <c r="E11" i="2"/>
  <c r="H11" i="2"/>
  <c r="K11" i="2"/>
  <c r="P11" i="2"/>
  <c r="S11" i="2"/>
  <c r="E15" i="2"/>
  <c r="H15" i="2"/>
  <c r="K15" i="2"/>
  <c r="P15" i="2"/>
  <c r="S15" i="2"/>
  <c r="E16" i="2"/>
  <c r="E22" i="2" s="1"/>
  <c r="H16" i="2"/>
  <c r="H22" i="2" s="1"/>
  <c r="I16" i="2" s="1"/>
  <c r="B86" i="2" s="1"/>
  <c r="K16" i="2"/>
  <c r="K22" i="2" s="1"/>
  <c r="P16" i="2"/>
  <c r="P22" i="2" s="1"/>
  <c r="S16" i="2"/>
  <c r="E17" i="2"/>
  <c r="H17" i="2"/>
  <c r="K17" i="2"/>
  <c r="P17" i="2"/>
  <c r="S17" i="2"/>
  <c r="E18" i="2"/>
  <c r="H18" i="2"/>
  <c r="K18" i="2"/>
  <c r="P18" i="2"/>
  <c r="S18" i="2"/>
  <c r="E19" i="2"/>
  <c r="H19" i="2"/>
  <c r="K19" i="2"/>
  <c r="P19" i="2"/>
  <c r="S19" i="2"/>
  <c r="E20" i="2"/>
  <c r="H20" i="2"/>
  <c r="K20" i="2"/>
  <c r="P20" i="2"/>
  <c r="S20" i="2"/>
  <c r="E21" i="2"/>
  <c r="H21" i="2"/>
  <c r="K21" i="2"/>
  <c r="P21" i="2"/>
  <c r="S21" i="2"/>
  <c r="E25" i="2"/>
  <c r="H25" i="2"/>
  <c r="H32" i="2" s="1"/>
  <c r="K25" i="2"/>
  <c r="K32" i="2" s="1"/>
  <c r="P25" i="2"/>
  <c r="P32" i="2" s="1"/>
  <c r="Q26" i="2" s="1"/>
  <c r="E83" i="2" s="1"/>
  <c r="E26" i="2"/>
  <c r="E32" i="2" s="1"/>
  <c r="H26" i="2"/>
  <c r="I26" i="2" s="1"/>
  <c r="E81" i="2" s="1"/>
  <c r="K26" i="2"/>
  <c r="L26" i="2" s="1"/>
  <c r="E82" i="2" s="1"/>
  <c r="P26" i="2"/>
  <c r="E27" i="2"/>
  <c r="H27" i="2"/>
  <c r="K27" i="2"/>
  <c r="P27" i="2"/>
  <c r="E28" i="2"/>
  <c r="H28" i="2"/>
  <c r="K28" i="2"/>
  <c r="P28" i="2"/>
  <c r="E29" i="2"/>
  <c r="H29" i="2"/>
  <c r="K29" i="2"/>
  <c r="P29" i="2"/>
  <c r="E30" i="2"/>
  <c r="H30" i="2"/>
  <c r="K30" i="2"/>
  <c r="P30" i="2"/>
  <c r="E31" i="2"/>
  <c r="H31" i="2"/>
  <c r="K31" i="2"/>
  <c r="P31" i="2"/>
  <c r="E44" i="2"/>
  <c r="H44" i="2"/>
  <c r="K44" i="2"/>
  <c r="E45" i="2"/>
  <c r="H45" i="2"/>
  <c r="K45" i="2"/>
  <c r="K51" i="2" s="1"/>
  <c r="L45" i="2" s="1"/>
  <c r="E86" i="2" s="1"/>
  <c r="E46" i="2"/>
  <c r="H46" i="2"/>
  <c r="H51" i="2" s="1"/>
  <c r="I45" i="2" s="1"/>
  <c r="E85" i="2" s="1"/>
  <c r="K46" i="2"/>
  <c r="E47" i="2"/>
  <c r="E51" i="2" s="1"/>
  <c r="F45" i="2" s="1"/>
  <c r="E84" i="2" s="1"/>
  <c r="H47" i="2"/>
  <c r="K47" i="2"/>
  <c r="E48" i="2"/>
  <c r="H48" i="2"/>
  <c r="K48" i="2"/>
  <c r="E49" i="2"/>
  <c r="H49" i="2"/>
  <c r="K49" i="2"/>
  <c r="E50" i="2"/>
  <c r="H50" i="2"/>
  <c r="K50" i="2"/>
  <c r="E54" i="2"/>
  <c r="E61" i="2" s="1"/>
  <c r="F55" i="2" s="1"/>
  <c r="E87" i="2" s="1"/>
  <c r="H54" i="2"/>
  <c r="H61" i="2" s="1"/>
  <c r="I55" i="2" s="1"/>
  <c r="E88" i="2" s="1"/>
  <c r="E55" i="2"/>
  <c r="H55" i="2"/>
  <c r="E56" i="2"/>
  <c r="H56" i="2"/>
  <c r="E57" i="2"/>
  <c r="H57" i="2"/>
  <c r="E58" i="2"/>
  <c r="H58" i="2"/>
  <c r="E59" i="2"/>
  <c r="H59" i="2"/>
  <c r="E60" i="2"/>
  <c r="H60" i="2"/>
  <c r="E64" i="2"/>
  <c r="E71" i="2" s="1"/>
  <c r="F65" i="2" s="1"/>
  <c r="E89" i="2" s="1"/>
  <c r="E65" i="2"/>
  <c r="E66" i="2"/>
  <c r="E67" i="2"/>
  <c r="E68" i="2"/>
  <c r="E69" i="2"/>
  <c r="E70" i="2"/>
  <c r="F13" i="3"/>
  <c r="F14" i="3"/>
  <c r="F20" i="3" s="1"/>
  <c r="G14" i="3" s="1"/>
  <c r="B312" i="3" s="1"/>
  <c r="F15" i="3"/>
  <c r="F16" i="3"/>
  <c r="F17" i="3"/>
  <c r="F18" i="3"/>
  <c r="F19" i="3"/>
  <c r="F23" i="3"/>
  <c r="F24" i="3"/>
  <c r="F25" i="3"/>
  <c r="F30" i="3" s="1"/>
  <c r="G24" i="3" s="1"/>
  <c r="B313" i="3" s="1"/>
  <c r="F26" i="3"/>
  <c r="F27" i="3"/>
  <c r="F28" i="3"/>
  <c r="F29" i="3"/>
  <c r="F33" i="3"/>
  <c r="F40" i="3" s="1"/>
  <c r="F34" i="3"/>
  <c r="F35" i="3"/>
  <c r="F36" i="3"/>
  <c r="F37" i="3"/>
  <c r="F38" i="3"/>
  <c r="F39" i="3"/>
  <c r="F43" i="3"/>
  <c r="F44" i="3"/>
  <c r="F45" i="3"/>
  <c r="F50" i="3" s="1"/>
  <c r="G44" i="3" s="1"/>
  <c r="B315" i="3" s="1"/>
  <c r="F46" i="3"/>
  <c r="F47" i="3"/>
  <c r="F48" i="3"/>
  <c r="F49" i="3"/>
  <c r="F53" i="3"/>
  <c r="F60" i="3" s="1"/>
  <c r="G54" i="3" s="1"/>
  <c r="B316" i="3" s="1"/>
  <c r="F54" i="3"/>
  <c r="F55" i="3"/>
  <c r="F56" i="3"/>
  <c r="F57" i="3"/>
  <c r="F58" i="3"/>
  <c r="F59" i="3"/>
  <c r="F63" i="3"/>
  <c r="F64" i="3"/>
  <c r="F65" i="3"/>
  <c r="F66" i="3"/>
  <c r="F67" i="3"/>
  <c r="F68" i="3"/>
  <c r="F69" i="3"/>
  <c r="F70" i="3"/>
  <c r="G64" i="3" s="1"/>
  <c r="B317" i="3" s="1"/>
  <c r="F73" i="3"/>
  <c r="F80" i="3" s="1"/>
  <c r="G74" i="3" s="1"/>
  <c r="B318" i="3" s="1"/>
  <c r="F74" i="3"/>
  <c r="F75" i="3"/>
  <c r="F76" i="3"/>
  <c r="F77" i="3"/>
  <c r="F78" i="3"/>
  <c r="F79" i="3"/>
  <c r="F83" i="3"/>
  <c r="F84" i="3"/>
  <c r="G84" i="3" s="1"/>
  <c r="B319" i="3" s="1"/>
  <c r="F85" i="3"/>
  <c r="F86" i="3"/>
  <c r="F87" i="3"/>
  <c r="F88" i="3"/>
  <c r="F89" i="3"/>
  <c r="F90" i="3"/>
  <c r="F93" i="3"/>
  <c r="F100" i="3" s="1"/>
  <c r="G94" i="3" s="1"/>
  <c r="B320" i="3" s="1"/>
  <c r="F94" i="3"/>
  <c r="F95" i="3"/>
  <c r="F96" i="3"/>
  <c r="F97" i="3"/>
  <c r="F98" i="3"/>
  <c r="F99" i="3"/>
  <c r="F103" i="3"/>
  <c r="F110" i="3" s="1"/>
  <c r="F104" i="3"/>
  <c r="G104" i="3" s="1"/>
  <c r="B321" i="3" s="1"/>
  <c r="F105" i="3"/>
  <c r="F106" i="3"/>
  <c r="F107" i="3"/>
  <c r="F108" i="3"/>
  <c r="F109" i="3"/>
  <c r="F113" i="3"/>
  <c r="F114" i="3"/>
  <c r="F115" i="3"/>
  <c r="F116" i="3"/>
  <c r="F117" i="3"/>
  <c r="F118" i="3"/>
  <c r="F119" i="3"/>
  <c r="F120" i="3"/>
  <c r="G114" i="3" s="1"/>
  <c r="E312" i="3" s="1"/>
  <c r="F123" i="3"/>
  <c r="F124" i="3"/>
  <c r="F125" i="3"/>
  <c r="F130" i="3" s="1"/>
  <c r="G124" i="3" s="1"/>
  <c r="E313" i="3" s="1"/>
  <c r="F126" i="3"/>
  <c r="F127" i="3"/>
  <c r="F128" i="3"/>
  <c r="F129" i="3"/>
  <c r="F133" i="3"/>
  <c r="F134" i="3"/>
  <c r="F135" i="3"/>
  <c r="F136" i="3"/>
  <c r="F137" i="3"/>
  <c r="F138" i="3"/>
  <c r="F140" i="3" s="1"/>
  <c r="G134" i="3" s="1"/>
  <c r="E314" i="3" s="1"/>
  <c r="F139" i="3"/>
  <c r="F143" i="3"/>
  <c r="F150" i="3" s="1"/>
  <c r="F144" i="3"/>
  <c r="F145" i="3"/>
  <c r="F146" i="3"/>
  <c r="F147" i="3"/>
  <c r="F148" i="3"/>
  <c r="F149" i="3"/>
  <c r="F153" i="3"/>
  <c r="F154" i="3"/>
  <c r="G154" i="3" s="1"/>
  <c r="E316" i="3" s="1"/>
  <c r="F155" i="3"/>
  <c r="F156" i="3"/>
  <c r="F157" i="3"/>
  <c r="F158" i="3"/>
  <c r="F159" i="3"/>
  <c r="F160" i="3"/>
  <c r="F163" i="3"/>
  <c r="F170" i="3" s="1"/>
  <c r="F164" i="3"/>
  <c r="F165" i="3"/>
  <c r="F166" i="3"/>
  <c r="F167" i="3"/>
  <c r="F168" i="3"/>
  <c r="F169" i="3"/>
  <c r="F173" i="3"/>
  <c r="F174" i="3"/>
  <c r="F175" i="3"/>
  <c r="F176" i="3"/>
  <c r="F177" i="3"/>
  <c r="F178" i="3"/>
  <c r="F179" i="3"/>
  <c r="F180" i="3"/>
  <c r="G174" i="3" s="1"/>
  <c r="E318" i="3" s="1"/>
  <c r="F183" i="3"/>
  <c r="F190" i="3" s="1"/>
  <c r="F184" i="3"/>
  <c r="G184" i="3" s="1"/>
  <c r="E319" i="3" s="1"/>
  <c r="F185" i="3"/>
  <c r="F186" i="3"/>
  <c r="F187" i="3"/>
  <c r="F188" i="3"/>
  <c r="F189" i="3"/>
  <c r="F193" i="3"/>
  <c r="F200" i="3" s="1"/>
  <c r="G194" i="3" s="1"/>
  <c r="E320" i="3" s="1"/>
  <c r="F194" i="3"/>
  <c r="F195" i="3"/>
  <c r="F196" i="3"/>
  <c r="F197" i="3"/>
  <c r="F198" i="3"/>
  <c r="F199" i="3"/>
  <c r="F203" i="3"/>
  <c r="F210" i="3" s="1"/>
  <c r="G204" i="3" s="1"/>
  <c r="E321" i="3" s="1"/>
  <c r="F204" i="3"/>
  <c r="F205" i="3"/>
  <c r="F206" i="3"/>
  <c r="F207" i="3"/>
  <c r="F208" i="3"/>
  <c r="F209" i="3"/>
  <c r="F213" i="3"/>
  <c r="F220" i="3" s="1"/>
  <c r="G214" i="3" s="1"/>
  <c r="H312" i="3" s="1"/>
  <c r="F214" i="3"/>
  <c r="F215" i="3"/>
  <c r="F216" i="3"/>
  <c r="F217" i="3"/>
  <c r="F218" i="3"/>
  <c r="F219" i="3"/>
  <c r="F223" i="3"/>
  <c r="F224" i="3"/>
  <c r="F225" i="3"/>
  <c r="F230" i="3" s="1"/>
  <c r="G224" i="3" s="1"/>
  <c r="H313" i="3" s="1"/>
  <c r="F226" i="3"/>
  <c r="F227" i="3"/>
  <c r="F228" i="3"/>
  <c r="F229" i="3"/>
  <c r="F233" i="3"/>
  <c r="F240" i="3" s="1"/>
  <c r="F234" i="3"/>
  <c r="G234" i="3" s="1"/>
  <c r="H314" i="3" s="1"/>
  <c r="F235" i="3"/>
  <c r="F236" i="3"/>
  <c r="F237" i="3"/>
  <c r="F238" i="3"/>
  <c r="F239" i="3"/>
  <c r="F243" i="3"/>
  <c r="F244" i="3"/>
  <c r="F245" i="3"/>
  <c r="F246" i="3"/>
  <c r="F250" i="3" s="1"/>
  <c r="G244" i="3" s="1"/>
  <c r="H315" i="3" s="1"/>
  <c r="F247" i="3"/>
  <c r="F248" i="3"/>
  <c r="F249" i="3"/>
  <c r="F253" i="3"/>
  <c r="F260" i="3" s="1"/>
  <c r="G254" i="3" s="1"/>
  <c r="H316" i="3" s="1"/>
  <c r="F254" i="3"/>
  <c r="F255" i="3"/>
  <c r="F256" i="3"/>
  <c r="F257" i="3"/>
  <c r="F258" i="3"/>
  <c r="F259" i="3"/>
  <c r="F263" i="3"/>
  <c r="F264" i="3"/>
  <c r="F265" i="3"/>
  <c r="F266" i="3"/>
  <c r="F267" i="3"/>
  <c r="F268" i="3"/>
  <c r="F269" i="3"/>
  <c r="F270" i="3"/>
  <c r="G264" i="3" s="1"/>
  <c r="H317" i="3" s="1"/>
  <c r="F273" i="3"/>
  <c r="F280" i="3" s="1"/>
  <c r="G274" i="3" s="1"/>
  <c r="H318" i="3" s="1"/>
  <c r="F274" i="3"/>
  <c r="F275" i="3"/>
  <c r="F276" i="3"/>
  <c r="F277" i="3"/>
  <c r="F278" i="3"/>
  <c r="F279" i="3"/>
  <c r="F283" i="3"/>
  <c r="F284" i="3"/>
  <c r="G284" i="3" s="1"/>
  <c r="H319" i="3" s="1"/>
  <c r="F285" i="3"/>
  <c r="F286" i="3"/>
  <c r="F287" i="3"/>
  <c r="F288" i="3"/>
  <c r="F289" i="3"/>
  <c r="F290" i="3"/>
  <c r="F293" i="3"/>
  <c r="F300" i="3" s="1"/>
  <c r="G294" i="3" s="1"/>
  <c r="H320" i="3" s="1"/>
  <c r="F294" i="3"/>
  <c r="F295" i="3"/>
  <c r="F296" i="3"/>
  <c r="F297" i="3"/>
  <c r="F298" i="3"/>
  <c r="F299" i="3"/>
  <c r="F303" i="3"/>
  <c r="F310" i="3" s="1"/>
  <c r="F304" i="3"/>
  <c r="F305" i="3"/>
  <c r="F306" i="3"/>
  <c r="F307" i="3"/>
  <c r="F308" i="3"/>
  <c r="F309" i="3"/>
  <c r="G144" i="3" l="1"/>
  <c r="E315" i="3" s="1"/>
  <c r="G34" i="3"/>
  <c r="B314" i="3" s="1"/>
  <c r="K12" i="1"/>
  <c r="D16" i="1"/>
  <c r="G304" i="3"/>
  <c r="H321" i="3" s="1"/>
  <c r="G164" i="3"/>
  <c r="E317" i="3" s="1"/>
  <c r="Q16" i="2"/>
  <c r="B88" i="2" s="1"/>
  <c r="F26" i="2"/>
  <c r="E80" i="2" s="1"/>
  <c r="L16" i="2"/>
  <c r="B87" i="2" s="1"/>
  <c r="F16" i="2"/>
  <c r="B85" i="2" s="1"/>
  <c r="S22" i="2"/>
  <c r="T16" i="2" s="1"/>
  <c r="B89" i="2" s="1"/>
</calcChain>
</file>

<file path=xl/sharedStrings.xml><?xml version="1.0" encoding="utf-8"?>
<sst xmlns="http://schemas.openxmlformats.org/spreadsheetml/2006/main" count="648" uniqueCount="152">
  <si>
    <t>Adade, Aaron</t>
  </si>
  <si>
    <t>STAT 464</t>
  </si>
  <si>
    <t>Homework</t>
  </si>
  <si>
    <t>Due: 9/19/03</t>
  </si>
  <si>
    <t>Diagnosis</t>
  </si>
  <si>
    <t>x1</t>
  </si>
  <si>
    <t>x2</t>
  </si>
  <si>
    <t>x3</t>
  </si>
  <si>
    <t>x4</t>
  </si>
  <si>
    <t>x5</t>
  </si>
  <si>
    <t>x6</t>
  </si>
  <si>
    <t>x7</t>
  </si>
  <si>
    <t>Sum(x1-x7)</t>
  </si>
  <si>
    <t>(Prev)(X2)</t>
  </si>
  <si>
    <t>y1</t>
  </si>
  <si>
    <t>y2</t>
  </si>
  <si>
    <t>y3</t>
  </si>
  <si>
    <t>y4</t>
  </si>
  <si>
    <t>y5</t>
  </si>
  <si>
    <t>y6</t>
  </si>
  <si>
    <t>y7</t>
  </si>
  <si>
    <t>Sum(y1-y7)</t>
  </si>
  <si>
    <t>Ans. 3.83</t>
  </si>
  <si>
    <t>Pr(x5/y4) = 0.10</t>
  </si>
  <si>
    <t>Ans. 3.84</t>
  </si>
  <si>
    <t>Pr(x2) =</t>
  </si>
  <si>
    <t>Ans. 3.85</t>
  </si>
  <si>
    <t>Ans. 3.86</t>
  </si>
  <si>
    <t>Product</t>
  </si>
  <si>
    <t>probability = 0.002646</t>
  </si>
  <si>
    <t>probability = 0.001008</t>
  </si>
  <si>
    <t>Ans. 3.87</t>
  </si>
  <si>
    <t>Sensitivity</t>
  </si>
  <si>
    <t>Ans. 3.88</t>
  </si>
  <si>
    <t>Ans. 3.89</t>
  </si>
  <si>
    <t>Ans. 3.90</t>
  </si>
  <si>
    <t>Specificity</t>
  </si>
  <si>
    <t>x1x3</t>
  </si>
  <si>
    <t>x1x4</t>
  </si>
  <si>
    <t>x1x5</t>
  </si>
  <si>
    <t>x1x6</t>
  </si>
  <si>
    <t>x1x7</t>
  </si>
  <si>
    <t>x2x3</t>
  </si>
  <si>
    <t>x2x4</t>
  </si>
  <si>
    <t>x2x5</t>
  </si>
  <si>
    <t>x2x6</t>
  </si>
  <si>
    <t>x2x7</t>
  </si>
  <si>
    <t>x3x4</t>
  </si>
  <si>
    <t>x3x5</t>
  </si>
  <si>
    <t>x3x6</t>
  </si>
  <si>
    <t>x3x7</t>
  </si>
  <si>
    <t>x4x5</t>
  </si>
  <si>
    <t>x4x6</t>
  </si>
  <si>
    <t>x4x7</t>
  </si>
  <si>
    <t>x5x6</t>
  </si>
  <si>
    <t>x5x7</t>
  </si>
  <si>
    <t>x6x7</t>
  </si>
  <si>
    <t>PV+</t>
  </si>
  <si>
    <t>x1x3x4</t>
  </si>
  <si>
    <t>x1x3x5</t>
  </si>
  <si>
    <t>x1x3x6</t>
  </si>
  <si>
    <t>x1x3x7</t>
  </si>
  <si>
    <t>x2x3x4</t>
  </si>
  <si>
    <t>x2x3x5</t>
  </si>
  <si>
    <t>x2x3x6</t>
  </si>
  <si>
    <t>x2x3x7</t>
  </si>
  <si>
    <t>x3x4x5</t>
  </si>
  <si>
    <t>x3x4x6</t>
  </si>
  <si>
    <t>x3x4x7</t>
  </si>
  <si>
    <t>x4x5x6</t>
  </si>
  <si>
    <t>x4x5x7</t>
  </si>
  <si>
    <t>x5x6x7</t>
  </si>
  <si>
    <t>x1x4x5</t>
  </si>
  <si>
    <t>x1x4x6</t>
  </si>
  <si>
    <t>x1x4x7</t>
  </si>
  <si>
    <t>x2x4x5</t>
  </si>
  <si>
    <t>x2x4x6</t>
  </si>
  <si>
    <t>x2x4x7</t>
  </si>
  <si>
    <t>x1x5x6</t>
  </si>
  <si>
    <t>x1x5x7</t>
  </si>
  <si>
    <t>x2x5x6</t>
  </si>
  <si>
    <t>x2x5x7</t>
  </si>
  <si>
    <t>x1x6x7</t>
  </si>
  <si>
    <t>x2x6x7</t>
  </si>
  <si>
    <t>x3x5x6</t>
  </si>
  <si>
    <t>x3x5x7</t>
  </si>
  <si>
    <t>x4x6x7</t>
  </si>
  <si>
    <t>Aadae, Aaron</t>
  </si>
  <si>
    <t>CMMS score</t>
  </si>
  <si>
    <t>Nondemented</t>
  </si>
  <si>
    <t>Demented</t>
  </si>
  <si>
    <t>(0 - 5)</t>
  </si>
  <si>
    <t>(6 - 10)</t>
  </si>
  <si>
    <t>(11 - 15)</t>
  </si>
  <si>
    <t>(16 - 20)</t>
  </si>
  <si>
    <t>(21 - 25)</t>
  </si>
  <si>
    <t>(26 - 30)</t>
  </si>
  <si>
    <t>Ans. 3.98</t>
  </si>
  <si>
    <t>Ans. 3.99</t>
  </si>
  <si>
    <t>Ans. 3.100</t>
  </si>
  <si>
    <t>Cutoff</t>
  </si>
  <si>
    <t>1-specificity</t>
  </si>
  <si>
    <t>Ans. 3.101</t>
  </si>
  <si>
    <t>calcalue</t>
  </si>
  <si>
    <t>Area</t>
  </si>
  <si>
    <t>Ans. 3.103</t>
  </si>
  <si>
    <t>Area means the probability that for a randomly selected pair of nondemented or demented</t>
  </si>
  <si>
    <t xml:space="preserve">individuals, the CMMS test correctly identified people with Alzheimer's disease and   </t>
  </si>
  <si>
    <t xml:space="preserve">senile dementia. </t>
  </si>
  <si>
    <t>Ans. 3.102</t>
  </si>
  <si>
    <t>The best values as the cotoff for identifying people with dementia at 70% sensitivity and 70%</t>
  </si>
  <si>
    <r>
      <t>specificity will be :</t>
    </r>
    <r>
      <rPr>
        <b/>
        <sz val="10"/>
        <rFont val="Arial"/>
        <family val="2"/>
      </rPr>
      <t xml:space="preserve"> sensitivity  =  0.75  and specificity  =  0.7391 </t>
    </r>
  </si>
  <si>
    <t xml:space="preserve">Pr(x1*x6*x4*155)  </t>
  </si>
  <si>
    <t>Pr(E)</t>
  </si>
  <si>
    <t>Ans =</t>
  </si>
  <si>
    <t>0.0004/0.0412</t>
  </si>
  <si>
    <r>
      <t>The most likely diagnosis will be Y7</t>
    </r>
    <r>
      <rPr>
        <sz val="10"/>
        <rFont val="Arial"/>
      </rPr>
      <t xml:space="preserve"> (Ventricular septal defect with pulmonary hypertension)</t>
    </r>
  </si>
  <si>
    <r>
      <t>Second most likely diagnosis will be Y3</t>
    </r>
    <r>
      <rPr>
        <sz val="10"/>
        <rFont val="Arial"/>
      </rPr>
      <t xml:space="preserve"> (Ventricular septal defect with valvular pulmonary stenosis)  </t>
    </r>
  </si>
  <si>
    <t xml:space="preserve">Specificity  </t>
  </si>
  <si>
    <t>Pr(1-x7)/Pr(1-Y2)</t>
  </si>
  <si>
    <t>Y2 = 0.126</t>
  </si>
  <si>
    <t>1-Y2</t>
  </si>
  <si>
    <t>X7</t>
  </si>
  <si>
    <t>X7*Prev</t>
  </si>
  <si>
    <t xml:space="preserve">Specificity </t>
  </si>
  <si>
    <t xml:space="preserve">(1-0.4333-0.126+0.7*0.126)/0.874  = </t>
  </si>
  <si>
    <t>Pr</t>
  </si>
  <si>
    <t>Pr*x1*x7</t>
  </si>
  <si>
    <t>0.441/0.2362</t>
  </si>
  <si>
    <t>Prev</t>
  </si>
  <si>
    <t>Diagn</t>
  </si>
  <si>
    <t>Pr*x1*x3</t>
  </si>
  <si>
    <t>Pr*x1*x4</t>
  </si>
  <si>
    <t>Pr*x1*x5</t>
  </si>
  <si>
    <t>Pr*x1*x6</t>
  </si>
  <si>
    <t>Pr*x2*x3</t>
  </si>
  <si>
    <t>Pr*x2*x4</t>
  </si>
  <si>
    <t>Pr*x2*x5</t>
  </si>
  <si>
    <t>Pr*x2*x6</t>
  </si>
  <si>
    <t>Pr*x2*x7</t>
  </si>
  <si>
    <t>Homework #2</t>
  </si>
  <si>
    <t>The tow symptons that can be used to maximize the predictive value positive to diagnose</t>
  </si>
  <si>
    <t>atrial septal defect without pulmonary stenosis or pulmonary hypertension (not necessarily</t>
  </si>
  <si>
    <r>
      <t xml:space="preserve">including EKG axis more than 110 degrees) are   1. </t>
    </r>
    <r>
      <rPr>
        <b/>
        <sz val="10"/>
        <rFont val="Arial"/>
        <family val="2"/>
      </rPr>
      <t>X2</t>
    </r>
    <r>
      <rPr>
        <sz val="10"/>
        <rFont val="Arial"/>
      </rPr>
      <t xml:space="preserve"> = age &gt; 20 years old</t>
    </r>
  </si>
  <si>
    <r>
      <t xml:space="preserve">and 2. </t>
    </r>
    <r>
      <rPr>
        <b/>
        <sz val="10"/>
        <rFont val="Arial"/>
        <family val="2"/>
      </rPr>
      <t>X6</t>
    </r>
    <r>
      <rPr>
        <sz val="10"/>
        <rFont val="Arial"/>
      </rPr>
      <t xml:space="preserve"> = repeated respiratory infections.</t>
    </r>
  </si>
  <si>
    <t>P*x1x3x4</t>
  </si>
  <si>
    <t>x3x6x7</t>
  </si>
  <si>
    <t>The three symptons that can be used to maximize the predictive value positive to diagnose</t>
  </si>
  <si>
    <r>
      <t xml:space="preserve">         2. </t>
    </r>
    <r>
      <rPr>
        <b/>
        <sz val="10"/>
        <rFont val="Arial"/>
        <family val="2"/>
      </rPr>
      <t>X6</t>
    </r>
    <r>
      <rPr>
        <sz val="10"/>
        <rFont val="Arial"/>
      </rPr>
      <t xml:space="preserve"> = repeated respiratory infections.</t>
    </r>
  </si>
  <si>
    <r>
      <t>and    3.</t>
    </r>
    <r>
      <rPr>
        <b/>
        <sz val="10"/>
        <rFont val="Arial"/>
        <family val="2"/>
      </rPr>
      <t xml:space="preserve"> X7</t>
    </r>
    <r>
      <rPr>
        <sz val="10"/>
        <rFont val="Arial"/>
      </rPr>
      <t xml:space="preserve"> = EKG axis more than 110 degrees</t>
    </r>
  </si>
  <si>
    <r>
      <t>with a</t>
    </r>
    <r>
      <rPr>
        <b/>
        <sz val="10"/>
        <rFont val="Arial"/>
        <family val="2"/>
      </rPr>
      <t xml:space="preserve"> PV+  = 0.756</t>
    </r>
  </si>
  <si>
    <r>
      <t xml:space="preserve">with a </t>
    </r>
    <r>
      <rPr>
        <b/>
        <sz val="10"/>
        <rFont val="Arial"/>
        <family val="2"/>
      </rPr>
      <t>PV+ = 0.604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</si>
</sst>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5"/>
  <sheetViews>
    <sheetView topLeftCell="A7" workbookViewId="0">
      <selection activeCell="A3" sqref="A3:I10"/>
    </sheetView>
  </sheetViews>
  <sheetFormatPr defaultRowHeight="12.5" x14ac:dyDescent="0.25"/>
  <cols>
    <col min="1" max="1" width="9" customWidth="1"/>
    <col min="3" max="3" width="6.7265625" customWidth="1"/>
    <col min="4" max="4" width="6.453125" customWidth="1"/>
    <col min="5" max="5" width="6.26953125" customWidth="1"/>
    <col min="6" max="6" width="7.54296875" customWidth="1"/>
    <col min="7" max="7" width="6.81640625" customWidth="1"/>
    <col min="8" max="8" width="5.7265625" customWidth="1"/>
    <col min="9" max="9" width="6.7265625" customWidth="1"/>
    <col min="12" max="12" width="8.1796875" customWidth="1"/>
  </cols>
  <sheetData>
    <row r="1" spans="1:11" ht="13" x14ac:dyDescent="0.3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</row>
    <row r="3" spans="1:11" x14ac:dyDescent="0.25">
      <c r="A3" s="3" t="s">
        <v>130</v>
      </c>
      <c r="B3" s="3" t="s">
        <v>129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</row>
    <row r="4" spans="1:11" x14ac:dyDescent="0.25">
      <c r="A4" t="s">
        <v>14</v>
      </c>
      <c r="B4">
        <v>0.155</v>
      </c>
      <c r="C4">
        <v>0.49</v>
      </c>
      <c r="D4">
        <v>0.5</v>
      </c>
      <c r="E4">
        <v>0.01</v>
      </c>
      <c r="F4">
        <v>0.1</v>
      </c>
      <c r="G4">
        <v>0.05</v>
      </c>
      <c r="H4">
        <v>0.05</v>
      </c>
      <c r="I4">
        <v>0.01</v>
      </c>
      <c r="J4">
        <f t="shared" ref="J4:J11" si="0">SUM(C4:I4)</f>
        <v>1.2100000000000002</v>
      </c>
      <c r="K4">
        <f>B4*D4</f>
        <v>7.7499999999999999E-2</v>
      </c>
    </row>
    <row r="5" spans="1:11" x14ac:dyDescent="0.25">
      <c r="A5" t="s">
        <v>15</v>
      </c>
      <c r="B5">
        <v>0.126</v>
      </c>
      <c r="C5">
        <v>0.5</v>
      </c>
      <c r="D5">
        <v>0.5</v>
      </c>
      <c r="E5">
        <v>0.02</v>
      </c>
      <c r="F5">
        <v>0.5</v>
      </c>
      <c r="G5">
        <v>0.02</v>
      </c>
      <c r="H5">
        <v>0.4</v>
      </c>
      <c r="I5">
        <v>0.7</v>
      </c>
      <c r="J5">
        <f t="shared" si="0"/>
        <v>2.6399999999999997</v>
      </c>
      <c r="K5">
        <f t="shared" ref="K5:K11" si="1">B5*D5</f>
        <v>6.3E-2</v>
      </c>
    </row>
    <row r="6" spans="1:11" x14ac:dyDescent="0.25">
      <c r="A6" t="s">
        <v>16</v>
      </c>
      <c r="B6">
        <v>8.4000000000000005E-2</v>
      </c>
      <c r="C6">
        <v>0.55000000000000004</v>
      </c>
      <c r="D6">
        <v>0.05</v>
      </c>
      <c r="E6">
        <v>0.25</v>
      </c>
      <c r="F6">
        <v>0.9</v>
      </c>
      <c r="G6">
        <v>0.05</v>
      </c>
      <c r="H6">
        <v>0.1</v>
      </c>
      <c r="I6">
        <v>0.95</v>
      </c>
      <c r="J6">
        <f t="shared" si="0"/>
        <v>2.85</v>
      </c>
      <c r="K6">
        <f t="shared" si="1"/>
        <v>4.2000000000000006E-3</v>
      </c>
    </row>
    <row r="7" spans="1:11" x14ac:dyDescent="0.25">
      <c r="A7" s="2" t="s">
        <v>17</v>
      </c>
      <c r="B7" s="2">
        <v>0.02</v>
      </c>
      <c r="C7" s="2">
        <v>0.45</v>
      </c>
      <c r="D7" s="2">
        <v>0.45</v>
      </c>
      <c r="E7" s="2">
        <v>0.01</v>
      </c>
      <c r="F7" s="2">
        <v>0.95</v>
      </c>
      <c r="G7" s="2">
        <v>0.1</v>
      </c>
      <c r="H7" s="2">
        <v>0.1</v>
      </c>
      <c r="I7" s="2">
        <v>0.95</v>
      </c>
      <c r="J7" s="2">
        <f t="shared" si="0"/>
        <v>3.01</v>
      </c>
      <c r="K7">
        <f t="shared" si="1"/>
        <v>9.0000000000000011E-3</v>
      </c>
    </row>
    <row r="8" spans="1:11" x14ac:dyDescent="0.25">
      <c r="A8" t="s">
        <v>18</v>
      </c>
      <c r="B8">
        <v>9.8000000000000004E-2</v>
      </c>
      <c r="C8">
        <v>0.1</v>
      </c>
      <c r="D8">
        <v>0</v>
      </c>
      <c r="E8">
        <v>0.2</v>
      </c>
      <c r="F8">
        <v>0.7</v>
      </c>
      <c r="G8">
        <v>0.01</v>
      </c>
      <c r="H8">
        <v>0.05</v>
      </c>
      <c r="I8">
        <v>0.4</v>
      </c>
      <c r="J8">
        <f t="shared" si="0"/>
        <v>1.46</v>
      </c>
      <c r="K8">
        <f t="shared" si="1"/>
        <v>0</v>
      </c>
    </row>
    <row r="9" spans="1:11" x14ac:dyDescent="0.25">
      <c r="A9" t="s">
        <v>19</v>
      </c>
      <c r="B9">
        <v>0.39100000000000001</v>
      </c>
      <c r="C9">
        <v>0.7</v>
      </c>
      <c r="D9">
        <v>0.15</v>
      </c>
      <c r="E9">
        <v>0.01</v>
      </c>
      <c r="F9">
        <v>0.3</v>
      </c>
      <c r="G9">
        <v>0.01</v>
      </c>
      <c r="H9">
        <v>0.15</v>
      </c>
      <c r="I9">
        <v>0.3</v>
      </c>
      <c r="J9">
        <f t="shared" si="0"/>
        <v>1.6199999999999999</v>
      </c>
      <c r="K9">
        <f t="shared" si="1"/>
        <v>5.8650000000000001E-2</v>
      </c>
    </row>
    <row r="10" spans="1:11" x14ac:dyDescent="0.25">
      <c r="A10" t="s">
        <v>20</v>
      </c>
      <c r="B10">
        <v>0.126</v>
      </c>
      <c r="C10">
        <v>0.6</v>
      </c>
      <c r="D10">
        <v>0.1</v>
      </c>
      <c r="E10">
        <v>0.3</v>
      </c>
      <c r="F10">
        <v>0.7</v>
      </c>
      <c r="G10">
        <v>0.1</v>
      </c>
      <c r="H10">
        <v>0.2</v>
      </c>
      <c r="I10">
        <v>0.7</v>
      </c>
      <c r="J10">
        <f t="shared" si="0"/>
        <v>2.7</v>
      </c>
      <c r="K10">
        <f t="shared" si="1"/>
        <v>1.26E-2</v>
      </c>
    </row>
    <row r="11" spans="1:11" x14ac:dyDescent="0.25">
      <c r="A11" t="s">
        <v>21</v>
      </c>
      <c r="C11">
        <f t="shared" ref="C11:I11" si="2">SUM(C4:C10)</f>
        <v>3.39</v>
      </c>
      <c r="D11">
        <f t="shared" si="2"/>
        <v>1.75</v>
      </c>
      <c r="E11">
        <f t="shared" si="2"/>
        <v>0.8</v>
      </c>
      <c r="F11">
        <f t="shared" si="2"/>
        <v>4.1500000000000004</v>
      </c>
      <c r="G11">
        <f t="shared" si="2"/>
        <v>0.34000000000000008</v>
      </c>
      <c r="H11">
        <f t="shared" si="2"/>
        <v>1.05</v>
      </c>
      <c r="I11">
        <f t="shared" si="2"/>
        <v>4.01</v>
      </c>
      <c r="J11">
        <f t="shared" si="0"/>
        <v>15.49</v>
      </c>
      <c r="K11">
        <f t="shared" si="1"/>
        <v>0</v>
      </c>
    </row>
    <row r="12" spans="1:11" ht="13" x14ac:dyDescent="0.3">
      <c r="K12" s="1">
        <f>SUM(K4:K11)</f>
        <v>0.22495000000000004</v>
      </c>
    </row>
    <row r="14" spans="1:11" ht="13" x14ac:dyDescent="0.3">
      <c r="A14" s="1" t="s">
        <v>22</v>
      </c>
      <c r="C14" s="1" t="s">
        <v>23</v>
      </c>
      <c r="D14" s="1"/>
    </row>
    <row r="16" spans="1:11" ht="13" x14ac:dyDescent="0.3">
      <c r="A16" s="1" t="s">
        <v>24</v>
      </c>
      <c r="C16" s="1" t="s">
        <v>25</v>
      </c>
      <c r="D16" s="1">
        <f>SUM(K4:K11)</f>
        <v>0.22495000000000004</v>
      </c>
    </row>
    <row r="18" spans="1:11" ht="13" x14ac:dyDescent="0.3">
      <c r="A18" s="1" t="s">
        <v>26</v>
      </c>
      <c r="C18" s="2" t="s">
        <v>112</v>
      </c>
      <c r="D18" s="2"/>
      <c r="E18" s="2"/>
      <c r="F18" s="2">
        <f>B4*C4*F4*H4</f>
        <v>3.797500000000001E-4</v>
      </c>
      <c r="G18" s="1"/>
      <c r="H18" t="s">
        <v>114</v>
      </c>
      <c r="I18" t="s">
        <v>115</v>
      </c>
      <c r="K18" s="1">
        <f>F18/F19</f>
        <v>9.2091303161659973E-3</v>
      </c>
    </row>
    <row r="19" spans="1:11" ht="13" x14ac:dyDescent="0.3">
      <c r="C19" s="2" t="s">
        <v>113</v>
      </c>
      <c r="D19" s="2"/>
      <c r="E19" s="2"/>
      <c r="F19" s="2">
        <f>(F18)+(B5*C5*F5*H5)+(B6*C6*F6*H6)+(B7*C7*F7*H7)+(B8*C8*F8*H8)+(B9*C9*F9*H9)+(B10*C10*F10*H10)</f>
        <v>4.1236250000000002E-2</v>
      </c>
      <c r="G19" s="1"/>
    </row>
    <row r="21" spans="1:11" ht="13" x14ac:dyDescent="0.3">
      <c r="A21" s="1" t="s">
        <v>27</v>
      </c>
    </row>
    <row r="22" spans="1:11" x14ac:dyDescent="0.25">
      <c r="A22" t="s">
        <v>130</v>
      </c>
      <c r="B22" t="s">
        <v>129</v>
      </c>
      <c r="C22" t="s">
        <v>6</v>
      </c>
      <c r="D22" t="s">
        <v>7</v>
      </c>
      <c r="E22" t="s">
        <v>11</v>
      </c>
      <c r="F22" t="s">
        <v>28</v>
      </c>
    </row>
    <row r="23" spans="1:11" x14ac:dyDescent="0.25">
      <c r="A23" t="s">
        <v>14</v>
      </c>
      <c r="B23">
        <v>0.155</v>
      </c>
      <c r="C23">
        <v>0.5</v>
      </c>
      <c r="D23">
        <v>0.01</v>
      </c>
      <c r="E23">
        <v>0.01</v>
      </c>
      <c r="F23">
        <f>B23*C23*D23*E23</f>
        <v>7.7500000000000003E-6</v>
      </c>
      <c r="H23">
        <v>5.0000000000000002E-5</v>
      </c>
      <c r="J23">
        <v>7.7500000000000003E-6</v>
      </c>
    </row>
    <row r="24" spans="1:11" x14ac:dyDescent="0.25">
      <c r="A24" t="s">
        <v>15</v>
      </c>
      <c r="B24">
        <v>0.126</v>
      </c>
      <c r="C24">
        <v>0.5</v>
      </c>
      <c r="D24">
        <v>0.02</v>
      </c>
      <c r="E24">
        <v>0.7</v>
      </c>
      <c r="F24">
        <f t="shared" ref="F24:F29" si="3">B24*C24*D24*E24</f>
        <v>8.8199999999999997E-4</v>
      </c>
      <c r="H24">
        <v>7.0000000000000001E-3</v>
      </c>
      <c r="J24">
        <v>8.8199999999999997E-4</v>
      </c>
    </row>
    <row r="25" spans="1:11" ht="13" x14ac:dyDescent="0.3">
      <c r="A25" t="s">
        <v>16</v>
      </c>
      <c r="B25">
        <v>8.4000000000000005E-2</v>
      </c>
      <c r="C25">
        <v>0.05</v>
      </c>
      <c r="D25">
        <v>0.25</v>
      </c>
      <c r="E25">
        <v>0.95</v>
      </c>
      <c r="F25">
        <f t="shared" si="3"/>
        <v>9.9750000000000012E-4</v>
      </c>
      <c r="H25">
        <v>1.1875E-2</v>
      </c>
      <c r="J25" s="1">
        <v>1.008E-3</v>
      </c>
      <c r="K25">
        <v>2</v>
      </c>
    </row>
    <row r="26" spans="1:11" x14ac:dyDescent="0.25">
      <c r="A26" s="2" t="s">
        <v>17</v>
      </c>
      <c r="B26" s="2">
        <v>0.02</v>
      </c>
      <c r="C26" s="2">
        <v>0.45</v>
      </c>
      <c r="D26" s="2">
        <v>0.01</v>
      </c>
      <c r="E26" s="2">
        <v>0.95</v>
      </c>
      <c r="F26">
        <f t="shared" si="3"/>
        <v>8.5500000000000005E-5</v>
      </c>
      <c r="H26">
        <v>4.2750000000000002E-3</v>
      </c>
      <c r="J26">
        <v>8.0000000000000007E-5</v>
      </c>
    </row>
    <row r="27" spans="1:11" x14ac:dyDescent="0.25">
      <c r="A27" t="s">
        <v>18</v>
      </c>
      <c r="B27">
        <v>9.8000000000000004E-2</v>
      </c>
      <c r="C27">
        <v>0</v>
      </c>
      <c r="D27">
        <v>0.2</v>
      </c>
      <c r="E27">
        <v>0.4</v>
      </c>
      <c r="F27">
        <f t="shared" si="3"/>
        <v>0</v>
      </c>
      <c r="H27">
        <v>0</v>
      </c>
      <c r="J27">
        <v>0</v>
      </c>
    </row>
    <row r="28" spans="1:11" x14ac:dyDescent="0.25">
      <c r="A28" t="s">
        <v>19</v>
      </c>
      <c r="B28">
        <v>0.39100000000000001</v>
      </c>
      <c r="C28">
        <v>0.15</v>
      </c>
      <c r="D28">
        <v>0.01</v>
      </c>
      <c r="E28">
        <v>0.3</v>
      </c>
      <c r="F28">
        <f t="shared" si="3"/>
        <v>1.7594999999999999E-4</v>
      </c>
      <c r="H28">
        <v>4.4999999999999999E-4</v>
      </c>
      <c r="J28">
        <v>1.9550000000000001E-4</v>
      </c>
    </row>
    <row r="29" spans="1:11" ht="13" x14ac:dyDescent="0.3">
      <c r="A29" t="s">
        <v>20</v>
      </c>
      <c r="B29">
        <v>0.126</v>
      </c>
      <c r="C29">
        <v>0.1</v>
      </c>
      <c r="D29">
        <v>0.3</v>
      </c>
      <c r="E29">
        <v>0.7</v>
      </c>
      <c r="F29">
        <f t="shared" si="3"/>
        <v>2.6459999999999999E-3</v>
      </c>
      <c r="H29">
        <v>2.1000000000000001E-2</v>
      </c>
      <c r="J29" s="1">
        <v>2.6459999999999999E-3</v>
      </c>
      <c r="K29">
        <v>1</v>
      </c>
    </row>
    <row r="31" spans="1:11" ht="13" x14ac:dyDescent="0.3">
      <c r="A31" s="1" t="s">
        <v>116</v>
      </c>
    </row>
    <row r="32" spans="1:11" x14ac:dyDescent="0.25">
      <c r="B32" t="s">
        <v>29</v>
      </c>
    </row>
    <row r="33" spans="1:6" ht="13" x14ac:dyDescent="0.3">
      <c r="A33" s="1" t="s">
        <v>117</v>
      </c>
    </row>
    <row r="34" spans="1:6" ht="13" x14ac:dyDescent="0.3">
      <c r="B34" t="s">
        <v>30</v>
      </c>
      <c r="F34" s="1"/>
    </row>
    <row r="35" spans="1:6" ht="13" x14ac:dyDescent="0.3">
      <c r="F35" s="1"/>
    </row>
    <row r="36" spans="1:6" ht="13" x14ac:dyDescent="0.3">
      <c r="A36" s="1" t="s">
        <v>31</v>
      </c>
      <c r="B36" t="s">
        <v>32</v>
      </c>
      <c r="D36">
        <v>0.7</v>
      </c>
      <c r="F36" s="1"/>
    </row>
    <row r="37" spans="1:6" ht="13" x14ac:dyDescent="0.3">
      <c r="A37" s="1"/>
      <c r="F37" s="1"/>
    </row>
    <row r="38" spans="1:6" ht="13" x14ac:dyDescent="0.3">
      <c r="F38" s="1"/>
    </row>
    <row r="39" spans="1:6" ht="13" x14ac:dyDescent="0.3">
      <c r="A39" s="1" t="s">
        <v>33</v>
      </c>
      <c r="B39" t="s">
        <v>118</v>
      </c>
      <c r="D39" t="s">
        <v>119</v>
      </c>
      <c r="F39" s="1"/>
    </row>
    <row r="40" spans="1:6" ht="13" x14ac:dyDescent="0.3">
      <c r="A40" s="1"/>
      <c r="C40" t="s">
        <v>120</v>
      </c>
      <c r="F40" s="1"/>
    </row>
    <row r="41" spans="1:6" ht="13" x14ac:dyDescent="0.3">
      <c r="A41" s="1"/>
      <c r="C41" t="s">
        <v>121</v>
      </c>
      <c r="D41">
        <v>0.874</v>
      </c>
      <c r="F41" s="1"/>
    </row>
    <row r="42" spans="1:6" ht="13" x14ac:dyDescent="0.3">
      <c r="A42" s="1"/>
      <c r="C42" t="s">
        <v>122</v>
      </c>
      <c r="D42" t="s">
        <v>129</v>
      </c>
      <c r="E42" t="s">
        <v>11</v>
      </c>
      <c r="F42" s="1" t="s">
        <v>123</v>
      </c>
    </row>
    <row r="43" spans="1:6" ht="13" x14ac:dyDescent="0.3">
      <c r="A43" s="1"/>
      <c r="D43">
        <v>0.155</v>
      </c>
      <c r="E43">
        <v>0.01</v>
      </c>
      <c r="F43" s="2">
        <f>E43*D43</f>
        <v>1.5499999999999999E-3</v>
      </c>
    </row>
    <row r="44" spans="1:6" ht="13" x14ac:dyDescent="0.3">
      <c r="A44" s="1"/>
      <c r="D44">
        <v>0.126</v>
      </c>
      <c r="E44">
        <v>0.7</v>
      </c>
      <c r="F44" s="2">
        <f t="shared" ref="F44:F49" si="4">E44*D44</f>
        <v>8.8200000000000001E-2</v>
      </c>
    </row>
    <row r="45" spans="1:6" ht="13" x14ac:dyDescent="0.3">
      <c r="A45" s="1"/>
      <c r="D45">
        <v>8.4000000000000005E-2</v>
      </c>
      <c r="E45">
        <v>0.95</v>
      </c>
      <c r="F45" s="2">
        <f t="shared" si="4"/>
        <v>7.9799999999999996E-2</v>
      </c>
    </row>
    <row r="46" spans="1:6" ht="13" x14ac:dyDescent="0.3">
      <c r="A46" s="1"/>
      <c r="D46" s="2">
        <v>0.02</v>
      </c>
      <c r="E46" s="2">
        <v>0.95</v>
      </c>
      <c r="F46" s="2">
        <f t="shared" si="4"/>
        <v>1.9E-2</v>
      </c>
    </row>
    <row r="47" spans="1:6" ht="13" x14ac:dyDescent="0.3">
      <c r="A47" s="1"/>
      <c r="D47">
        <v>9.8000000000000004E-2</v>
      </c>
      <c r="E47">
        <v>0.4</v>
      </c>
      <c r="F47" s="2">
        <f t="shared" si="4"/>
        <v>3.9200000000000006E-2</v>
      </c>
    </row>
    <row r="48" spans="1:6" ht="13" x14ac:dyDescent="0.3">
      <c r="A48" s="1"/>
      <c r="D48">
        <v>0.39100000000000001</v>
      </c>
      <c r="E48">
        <v>0.3</v>
      </c>
      <c r="F48" s="2">
        <f t="shared" si="4"/>
        <v>0.1173</v>
      </c>
    </row>
    <row r="49" spans="1:11" ht="13" x14ac:dyDescent="0.3">
      <c r="A49" s="1"/>
      <c r="D49">
        <v>0.126</v>
      </c>
      <c r="E49">
        <v>0.7</v>
      </c>
      <c r="F49" s="2">
        <f t="shared" si="4"/>
        <v>8.8200000000000001E-2</v>
      </c>
    </row>
    <row r="50" spans="1:11" ht="13" x14ac:dyDescent="0.3">
      <c r="A50" s="1"/>
      <c r="F50" s="1">
        <f>SUM(F43:F49)</f>
        <v>0.43324999999999997</v>
      </c>
    </row>
    <row r="51" spans="1:11" ht="13" x14ac:dyDescent="0.3">
      <c r="A51" s="1"/>
      <c r="F51" s="1"/>
    </row>
    <row r="52" spans="1:11" ht="13" x14ac:dyDescent="0.3">
      <c r="A52" s="1"/>
      <c r="B52" t="s">
        <v>124</v>
      </c>
      <c r="D52" t="s">
        <v>125</v>
      </c>
      <c r="F52" s="1"/>
      <c r="I52">
        <f>1-F50-D44+E44*D44</f>
        <v>0.52895000000000003</v>
      </c>
    </row>
    <row r="53" spans="1:11" ht="13" x14ac:dyDescent="0.3">
      <c r="A53" s="1"/>
      <c r="F53" s="1"/>
      <c r="I53" s="1">
        <f>I52/D41</f>
        <v>0.60520594965675056</v>
      </c>
    </row>
    <row r="54" spans="1:11" ht="13" x14ac:dyDescent="0.3">
      <c r="A54" s="1"/>
      <c r="F54" s="1"/>
    </row>
    <row r="55" spans="1:11" ht="13" x14ac:dyDescent="0.3">
      <c r="A55" s="1" t="s">
        <v>0</v>
      </c>
      <c r="B55" s="1"/>
      <c r="C55" s="1"/>
      <c r="D55" s="1" t="s">
        <v>1</v>
      </c>
      <c r="E55" s="1"/>
      <c r="F55" s="1"/>
      <c r="G55" s="1" t="s">
        <v>2</v>
      </c>
      <c r="H55" s="1"/>
      <c r="I55" s="1"/>
      <c r="J55" s="1" t="s">
        <v>3</v>
      </c>
      <c r="K55" s="1"/>
    </row>
    <row r="56" spans="1:11" ht="13" x14ac:dyDescent="0.3">
      <c r="F56" s="1"/>
    </row>
    <row r="57" spans="1:11" ht="13" x14ac:dyDescent="0.3">
      <c r="A57" s="1" t="s">
        <v>34</v>
      </c>
    </row>
    <row r="58" spans="1:11" ht="13" x14ac:dyDescent="0.3">
      <c r="A58" s="1"/>
      <c r="B58" t="s">
        <v>4</v>
      </c>
      <c r="C58" t="s">
        <v>126</v>
      </c>
      <c r="D58" t="s">
        <v>5</v>
      </c>
      <c r="E58" t="s">
        <v>11</v>
      </c>
      <c r="F58" t="s">
        <v>127</v>
      </c>
    </row>
    <row r="59" spans="1:11" x14ac:dyDescent="0.25">
      <c r="B59" t="s">
        <v>14</v>
      </c>
      <c r="C59">
        <v>0.155</v>
      </c>
      <c r="D59">
        <v>0.49</v>
      </c>
      <c r="E59">
        <v>0.01</v>
      </c>
      <c r="F59">
        <f>C59*D59*E59</f>
        <v>7.5950000000000008E-4</v>
      </c>
    </row>
    <row r="60" spans="1:11" x14ac:dyDescent="0.25">
      <c r="B60" t="s">
        <v>15</v>
      </c>
      <c r="C60">
        <v>0.126</v>
      </c>
      <c r="D60">
        <v>0.5</v>
      </c>
      <c r="E60">
        <v>0.7</v>
      </c>
      <c r="F60">
        <f t="shared" ref="F60:F65" si="5">C60*D60*E60</f>
        <v>4.41E-2</v>
      </c>
    </row>
    <row r="61" spans="1:11" x14ac:dyDescent="0.25">
      <c r="B61" t="s">
        <v>16</v>
      </c>
      <c r="C61">
        <v>8.4000000000000005E-2</v>
      </c>
      <c r="D61">
        <v>0.55000000000000004</v>
      </c>
      <c r="E61">
        <v>0.95</v>
      </c>
      <c r="F61">
        <f t="shared" si="5"/>
        <v>4.3890000000000005E-2</v>
      </c>
    </row>
    <row r="62" spans="1:11" ht="13" x14ac:dyDescent="0.3">
      <c r="A62" s="1"/>
      <c r="B62" s="2" t="s">
        <v>17</v>
      </c>
      <c r="C62" s="2">
        <v>0.02</v>
      </c>
      <c r="D62" s="2">
        <v>0.45</v>
      </c>
      <c r="E62" s="2">
        <v>0.95</v>
      </c>
      <c r="F62">
        <f t="shared" si="5"/>
        <v>8.5500000000000003E-3</v>
      </c>
      <c r="G62" s="2"/>
      <c r="H62" s="2"/>
      <c r="I62" s="2"/>
    </row>
    <row r="63" spans="1:11" ht="13" x14ac:dyDescent="0.3">
      <c r="A63" s="1"/>
      <c r="B63" t="s">
        <v>18</v>
      </c>
      <c r="C63">
        <v>9.8000000000000004E-2</v>
      </c>
      <c r="D63">
        <v>0.1</v>
      </c>
      <c r="E63">
        <v>0.4</v>
      </c>
      <c r="F63">
        <f t="shared" si="5"/>
        <v>3.9200000000000007E-3</v>
      </c>
      <c r="G63" s="1"/>
      <c r="I63" s="2"/>
    </row>
    <row r="64" spans="1:11" ht="13" x14ac:dyDescent="0.3">
      <c r="A64" s="1"/>
      <c r="B64" t="s">
        <v>19</v>
      </c>
      <c r="C64">
        <v>0.39100000000000001</v>
      </c>
      <c r="D64">
        <v>0.7</v>
      </c>
      <c r="E64">
        <v>0.3</v>
      </c>
      <c r="F64">
        <f t="shared" si="5"/>
        <v>8.2110000000000002E-2</v>
      </c>
    </row>
    <row r="65" spans="1:9" ht="13" x14ac:dyDescent="0.3">
      <c r="A65" s="1"/>
      <c r="B65" t="s">
        <v>20</v>
      </c>
      <c r="C65">
        <v>0.126</v>
      </c>
      <c r="D65">
        <v>0.6</v>
      </c>
      <c r="E65">
        <v>0.7</v>
      </c>
      <c r="F65">
        <f t="shared" si="5"/>
        <v>5.2919999999999995E-2</v>
      </c>
    </row>
    <row r="66" spans="1:9" ht="13" x14ac:dyDescent="0.3">
      <c r="A66" s="1"/>
      <c r="E66" s="2"/>
      <c r="F66" s="1">
        <f>SUM(F59:F65)</f>
        <v>0.23624950000000003</v>
      </c>
    </row>
    <row r="67" spans="1:9" ht="13" x14ac:dyDescent="0.3">
      <c r="A67" s="1"/>
      <c r="E67" s="2"/>
    </row>
    <row r="68" spans="1:9" ht="25.5" x14ac:dyDescent="0.3">
      <c r="A68" s="1"/>
      <c r="B68" t="s">
        <v>57</v>
      </c>
      <c r="C68" s="3" t="s">
        <v>128</v>
      </c>
      <c r="E68" s="1">
        <f>F60/F66</f>
        <v>0.18666706172923114</v>
      </c>
    </row>
    <row r="69" spans="1:9" ht="13" x14ac:dyDescent="0.3">
      <c r="A69" s="1"/>
      <c r="C69" s="3"/>
      <c r="E69" s="1"/>
    </row>
    <row r="70" spans="1:9" ht="13" x14ac:dyDescent="0.3">
      <c r="A70" s="1"/>
      <c r="C70" s="3"/>
      <c r="E70" s="1"/>
    </row>
    <row r="71" spans="1:9" x14ac:dyDescent="0.25">
      <c r="A71" s="3"/>
      <c r="B71" s="3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84" spans="1:12" x14ac:dyDescent="0.25">
      <c r="C84" s="2"/>
      <c r="D84" s="2"/>
      <c r="F84" s="2"/>
      <c r="H84" s="2"/>
    </row>
    <row r="85" spans="1:12" ht="13" x14ac:dyDescent="0.3">
      <c r="B85" s="1"/>
    </row>
    <row r="86" spans="1:12" ht="13" x14ac:dyDescent="0.3">
      <c r="A86" s="1"/>
    </row>
    <row r="87" spans="1:12" ht="13" x14ac:dyDescent="0.3">
      <c r="A87" s="1"/>
      <c r="G87" s="1"/>
      <c r="I87" s="4"/>
      <c r="J87" s="4"/>
      <c r="K87" s="1"/>
      <c r="L87" s="1"/>
    </row>
    <row r="88" spans="1:12" x14ac:dyDescent="0.25">
      <c r="E88" s="3"/>
    </row>
    <row r="89" spans="1:12" x14ac:dyDescent="0.25">
      <c r="A89" s="2"/>
      <c r="B89" s="2"/>
    </row>
    <row r="90" spans="1:12" x14ac:dyDescent="0.25">
      <c r="A90" s="2"/>
      <c r="B90" s="2"/>
    </row>
    <row r="91" spans="1:12" x14ac:dyDescent="0.25">
      <c r="A91" s="2"/>
      <c r="B91" s="2"/>
    </row>
    <row r="92" spans="1:12" ht="13" x14ac:dyDescent="0.3">
      <c r="A92" s="2"/>
      <c r="B92" s="2"/>
      <c r="G92" s="1"/>
      <c r="I92" s="1"/>
      <c r="J92" s="1"/>
      <c r="K92" s="1"/>
    </row>
    <row r="93" spans="1:12" x14ac:dyDescent="0.25">
      <c r="A93" s="2"/>
      <c r="B93" s="2"/>
      <c r="C93" s="2"/>
      <c r="D93" s="2"/>
      <c r="F93" s="2"/>
      <c r="H93" s="2"/>
    </row>
    <row r="94" spans="1:12" x14ac:dyDescent="0.25">
      <c r="A94" s="2"/>
      <c r="B94" s="2"/>
    </row>
    <row r="95" spans="1:12" ht="13" x14ac:dyDescent="0.3">
      <c r="A95" s="2"/>
      <c r="B95" s="2"/>
      <c r="G95" s="1"/>
      <c r="I95" s="1"/>
      <c r="J95" s="1"/>
      <c r="K95" s="1"/>
    </row>
    <row r="96" spans="1:12" x14ac:dyDescent="0.25">
      <c r="A96" s="2"/>
      <c r="B96" s="2"/>
    </row>
    <row r="97" spans="1:11" ht="13" x14ac:dyDescent="0.3">
      <c r="A97" s="2"/>
      <c r="B97" s="2"/>
      <c r="C97" s="2"/>
      <c r="D97" s="1"/>
      <c r="F97" s="1"/>
      <c r="G97" s="1"/>
      <c r="H97" s="1"/>
      <c r="I97" s="1"/>
      <c r="J97" s="1"/>
      <c r="K97" s="1"/>
    </row>
    <row r="98" spans="1:11" x14ac:dyDescent="0.25">
      <c r="A98" s="2"/>
      <c r="B98" s="2"/>
    </row>
    <row r="99" spans="1:11" ht="13" x14ac:dyDescent="0.3">
      <c r="A99" s="2"/>
      <c r="B99" s="2"/>
      <c r="E99" s="2"/>
      <c r="G99" s="1"/>
      <c r="I99" s="1"/>
      <c r="J99" s="1"/>
      <c r="K99" s="1"/>
    </row>
    <row r="100" spans="1:11" ht="13" x14ac:dyDescent="0.3">
      <c r="A100" s="2"/>
      <c r="B100" s="2"/>
      <c r="E100" s="2"/>
      <c r="G100" s="1"/>
      <c r="I100" s="1"/>
      <c r="J100" s="1"/>
      <c r="K100" s="1"/>
    </row>
    <row r="101" spans="1:11" ht="13" x14ac:dyDescent="0.3">
      <c r="A101" s="2"/>
      <c r="B101" s="2"/>
      <c r="E101" s="2"/>
      <c r="G101" s="1"/>
      <c r="I101" s="1"/>
      <c r="J101" s="1"/>
      <c r="K101" s="1"/>
    </row>
    <row r="102" spans="1:11" ht="13" x14ac:dyDescent="0.3">
      <c r="A102" s="2"/>
      <c r="B102" s="2"/>
      <c r="C102" s="2"/>
      <c r="D102" s="2"/>
      <c r="E102" s="2"/>
      <c r="F102" s="2"/>
      <c r="G102" s="1"/>
      <c r="H102" s="2"/>
      <c r="I102" s="1"/>
      <c r="J102" s="1"/>
      <c r="K102" s="1"/>
    </row>
    <row r="103" spans="1:11" ht="13" x14ac:dyDescent="0.3">
      <c r="A103" s="2"/>
      <c r="B103" s="2"/>
      <c r="E103" s="2"/>
      <c r="G103" s="1"/>
      <c r="I103" s="1"/>
      <c r="J103" s="1"/>
      <c r="K103" s="1"/>
    </row>
    <row r="104" spans="1:11" ht="13" x14ac:dyDescent="0.3">
      <c r="A104" s="2"/>
      <c r="B104" s="2"/>
      <c r="E104" s="2"/>
      <c r="G104" s="1"/>
      <c r="I104" s="1"/>
      <c r="J104" s="1"/>
      <c r="K104" s="1"/>
    </row>
    <row r="105" spans="1:11" ht="13" x14ac:dyDescent="0.3">
      <c r="A105" s="2"/>
      <c r="B105" s="2"/>
      <c r="E105" s="1"/>
      <c r="G105" s="1"/>
      <c r="I105" s="1"/>
      <c r="J105" s="1"/>
      <c r="K105" s="1"/>
    </row>
    <row r="106" spans="1:11" ht="13" x14ac:dyDescent="0.3">
      <c r="A106" s="2"/>
      <c r="B106" s="2"/>
      <c r="C106" s="2"/>
      <c r="D106" s="2"/>
      <c r="E106" s="2"/>
      <c r="F106" s="2"/>
      <c r="G106" s="1"/>
      <c r="H106" s="1"/>
      <c r="I106" s="1"/>
      <c r="J106" s="1"/>
      <c r="K106" s="1"/>
    </row>
    <row r="107" spans="1:11" ht="13" x14ac:dyDescent="0.3">
      <c r="A107" s="2"/>
      <c r="B107" s="2"/>
      <c r="E107" s="2"/>
      <c r="G107" s="1"/>
      <c r="I107" s="1"/>
      <c r="J107" s="1"/>
      <c r="K107" s="1"/>
    </row>
    <row r="108" spans="1:11" ht="13" x14ac:dyDescent="0.3">
      <c r="A108" s="2"/>
      <c r="B108" s="2"/>
      <c r="E108" s="2"/>
      <c r="G108" s="1"/>
      <c r="I108" s="1"/>
      <c r="J108" s="1"/>
      <c r="K108" s="1"/>
    </row>
    <row r="109" spans="1:11" ht="13" x14ac:dyDescent="0.3">
      <c r="A109" s="2"/>
      <c r="B109" s="2"/>
      <c r="E109" s="2"/>
      <c r="G109" s="1"/>
      <c r="I109" s="1"/>
      <c r="J109" s="1"/>
      <c r="K109" s="1"/>
    </row>
    <row r="110" spans="1:11" ht="13" x14ac:dyDescent="0.3">
      <c r="A110" s="2"/>
      <c r="B110" s="2"/>
      <c r="E110" s="2"/>
      <c r="G110" s="1"/>
      <c r="I110" s="1"/>
      <c r="J110" s="1"/>
      <c r="K110" s="1"/>
    </row>
    <row r="111" spans="1:11" ht="13" x14ac:dyDescent="0.3">
      <c r="A111" s="2"/>
      <c r="B111" s="2"/>
      <c r="C111" s="2"/>
      <c r="D111" s="2"/>
      <c r="E111" s="2"/>
      <c r="F111" s="2"/>
      <c r="G111" s="1"/>
      <c r="H111" s="2"/>
      <c r="I111" s="1"/>
      <c r="J111" s="1"/>
      <c r="K111" s="1"/>
    </row>
    <row r="112" spans="1:11" ht="13" x14ac:dyDescent="0.3">
      <c r="A112" s="2"/>
      <c r="B112" s="2"/>
      <c r="E112" s="2"/>
      <c r="G112" s="1"/>
      <c r="I112" s="1"/>
      <c r="J112" s="1"/>
      <c r="K112" s="1"/>
    </row>
    <row r="113" spans="1:11" ht="13" x14ac:dyDescent="0.3">
      <c r="A113" s="2"/>
      <c r="B113" s="2"/>
      <c r="E113" s="2"/>
      <c r="G113" s="1"/>
      <c r="I113" s="1"/>
      <c r="J113" s="1"/>
      <c r="K113" s="1"/>
    </row>
    <row r="114" spans="1:11" ht="13" x14ac:dyDescent="0.3">
      <c r="A114" s="2"/>
      <c r="B114" s="2"/>
      <c r="E114" s="2"/>
      <c r="G114" s="1"/>
      <c r="I114" s="1"/>
      <c r="J114" s="1"/>
      <c r="K114" s="1"/>
    </row>
    <row r="115" spans="1:11" ht="13" x14ac:dyDescent="0.3">
      <c r="A115" s="2"/>
      <c r="B115" s="2"/>
      <c r="C115" s="2"/>
      <c r="D115" s="2"/>
      <c r="E115" s="2"/>
      <c r="F115" s="2"/>
      <c r="G115" s="1"/>
      <c r="H115" s="1"/>
      <c r="I115" s="1"/>
      <c r="J115" s="1"/>
      <c r="K115" s="1"/>
    </row>
    <row r="116" spans="1:11" ht="13" x14ac:dyDescent="0.3">
      <c r="A116" s="2"/>
      <c r="B116" s="2"/>
      <c r="E116" s="2"/>
      <c r="G116" s="1"/>
      <c r="I116" s="1"/>
      <c r="J116" s="1"/>
      <c r="K116" s="1"/>
    </row>
    <row r="117" spans="1:11" ht="13" x14ac:dyDescent="0.3">
      <c r="A117" s="2"/>
      <c r="B117" s="2"/>
      <c r="E117" s="2"/>
      <c r="G117" s="1"/>
      <c r="I117" s="1"/>
      <c r="J117" s="1"/>
      <c r="K117" s="1"/>
    </row>
    <row r="118" spans="1:11" ht="13" x14ac:dyDescent="0.3">
      <c r="A118" s="2"/>
      <c r="B118" s="2"/>
      <c r="E118" s="2"/>
      <c r="G118" s="1"/>
      <c r="I118" s="1"/>
      <c r="J118" s="1"/>
      <c r="K118" s="1"/>
    </row>
    <row r="119" spans="1:11" ht="13" x14ac:dyDescent="0.3">
      <c r="A119" s="2"/>
      <c r="B119" s="2"/>
      <c r="E119" s="2"/>
      <c r="G119" s="1"/>
      <c r="I119" s="1"/>
      <c r="J119" s="1"/>
      <c r="K119" s="1"/>
    </row>
    <row r="120" spans="1:11" ht="13" x14ac:dyDescent="0.3">
      <c r="A120" s="2"/>
      <c r="B120" s="2"/>
      <c r="C120" s="2"/>
      <c r="D120" s="2"/>
      <c r="E120" s="2"/>
      <c r="F120" s="2"/>
      <c r="G120" s="1"/>
      <c r="H120" s="2"/>
      <c r="I120" s="1"/>
      <c r="J120" s="1"/>
      <c r="K120" s="1"/>
    </row>
    <row r="121" spans="1:11" ht="13" x14ac:dyDescent="0.3">
      <c r="A121" s="2"/>
      <c r="B121" s="2"/>
      <c r="E121" s="2"/>
      <c r="G121" s="1"/>
      <c r="I121" s="1"/>
      <c r="J121" s="1"/>
      <c r="K121" s="1"/>
    </row>
    <row r="122" spans="1:11" ht="13" x14ac:dyDescent="0.3">
      <c r="A122" s="2"/>
      <c r="B122" s="2"/>
      <c r="E122" s="2"/>
      <c r="G122" s="1"/>
      <c r="I122" s="1"/>
      <c r="J122" s="1"/>
      <c r="K122" s="1"/>
    </row>
    <row r="123" spans="1:11" ht="13" x14ac:dyDescent="0.3">
      <c r="A123" s="2"/>
      <c r="B123" s="2"/>
      <c r="E123" s="2"/>
      <c r="G123" s="1"/>
      <c r="I123" s="1"/>
      <c r="J123" s="1"/>
      <c r="K123" s="1"/>
    </row>
    <row r="124" spans="1:11" ht="13" x14ac:dyDescent="0.3">
      <c r="A124" s="2"/>
      <c r="B124" s="2"/>
      <c r="C124" s="2"/>
      <c r="D124" s="2"/>
      <c r="E124" s="2"/>
      <c r="F124" s="2"/>
      <c r="G124" s="1"/>
      <c r="H124" s="1"/>
      <c r="I124" s="1"/>
      <c r="J124" s="1"/>
      <c r="K124" s="1"/>
    </row>
    <row r="125" spans="1:11" ht="13" x14ac:dyDescent="0.3">
      <c r="A125" s="2"/>
      <c r="B125" s="2"/>
      <c r="E125" s="2"/>
      <c r="G125" s="1"/>
      <c r="I125" s="1"/>
      <c r="J125" s="1"/>
      <c r="K125" s="1"/>
    </row>
    <row r="126" spans="1:11" ht="13" x14ac:dyDescent="0.3">
      <c r="A126" s="2"/>
      <c r="B126" s="2"/>
      <c r="E126" s="2"/>
      <c r="G126" s="1"/>
      <c r="I126" s="1"/>
      <c r="J126" s="1"/>
      <c r="K126" s="1"/>
    </row>
    <row r="127" spans="1:11" ht="13" x14ac:dyDescent="0.3">
      <c r="A127" s="2"/>
      <c r="B127" s="2"/>
      <c r="E127" s="2"/>
      <c r="G127" s="1"/>
      <c r="I127" s="1"/>
      <c r="J127" s="1"/>
      <c r="K127" s="1"/>
    </row>
    <row r="128" spans="1:11" ht="13" x14ac:dyDescent="0.3">
      <c r="A128" s="2"/>
      <c r="B128" s="2"/>
      <c r="E128" s="2"/>
      <c r="G128" s="1"/>
      <c r="I128" s="1"/>
      <c r="J128" s="1"/>
      <c r="K128" s="1"/>
    </row>
    <row r="129" spans="1:11" ht="13" x14ac:dyDescent="0.3">
      <c r="A129" s="2"/>
      <c r="B129" s="2"/>
      <c r="C129" s="2"/>
      <c r="D129" s="2"/>
      <c r="E129" s="2"/>
      <c r="F129" s="2"/>
      <c r="G129" s="1"/>
      <c r="H129" s="2"/>
      <c r="I129" s="1"/>
      <c r="J129" s="1"/>
      <c r="K129" s="1"/>
    </row>
    <row r="130" spans="1:11" ht="13" x14ac:dyDescent="0.3">
      <c r="A130" s="2"/>
      <c r="B130" s="2"/>
      <c r="E130" s="2"/>
      <c r="G130" s="1"/>
      <c r="I130" s="1"/>
      <c r="J130" s="1"/>
      <c r="K130" s="1"/>
    </row>
    <row r="131" spans="1:11" ht="13" x14ac:dyDescent="0.3">
      <c r="A131" s="2"/>
      <c r="B131" s="2"/>
      <c r="E131" s="2"/>
      <c r="G131" s="1"/>
      <c r="I131" s="1"/>
      <c r="J131" s="1"/>
      <c r="K131" s="1"/>
    </row>
    <row r="132" spans="1:11" ht="13" x14ac:dyDescent="0.3">
      <c r="A132" s="2"/>
      <c r="B132" s="2"/>
      <c r="E132" s="2"/>
      <c r="G132" s="1"/>
      <c r="I132" s="1"/>
      <c r="J132" s="1"/>
      <c r="K132" s="1"/>
    </row>
    <row r="133" spans="1:11" ht="13" x14ac:dyDescent="0.3">
      <c r="A133" s="2"/>
      <c r="B133" s="2"/>
      <c r="C133" s="2"/>
      <c r="D133" s="2"/>
      <c r="E133" s="2"/>
      <c r="F133" s="2"/>
      <c r="G133" s="1"/>
      <c r="H133" s="1"/>
      <c r="I133" s="1"/>
      <c r="J133" s="1"/>
      <c r="K133" s="1"/>
    </row>
    <row r="134" spans="1:11" ht="13" x14ac:dyDescent="0.3">
      <c r="A134" s="2"/>
      <c r="B134" s="2"/>
      <c r="C134" s="2"/>
      <c r="D134" s="2"/>
      <c r="E134" s="2"/>
      <c r="F134" s="2"/>
      <c r="G134" s="1"/>
      <c r="H134" s="1"/>
      <c r="I134" s="1"/>
      <c r="J134" s="1"/>
      <c r="K134" s="1"/>
    </row>
    <row r="135" spans="1:11" ht="13" x14ac:dyDescent="0.3">
      <c r="A135" s="2"/>
      <c r="B135" s="2"/>
      <c r="C135" s="2"/>
      <c r="D135" s="2"/>
      <c r="E135" s="2"/>
      <c r="F135" s="2"/>
      <c r="G135" s="1"/>
      <c r="H135" s="1"/>
      <c r="I135" s="1"/>
      <c r="J135" s="1"/>
      <c r="K135" s="1"/>
    </row>
    <row r="138" spans="1:11" ht="13" x14ac:dyDescent="0.3">
      <c r="B138" s="1"/>
    </row>
    <row r="139" spans="1:11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2" spans="1:11" ht="13" x14ac:dyDescent="0.3">
      <c r="A142" s="1"/>
    </row>
    <row r="143" spans="1:11" ht="13" x14ac:dyDescent="0.3">
      <c r="A143" s="1"/>
      <c r="J143" s="1"/>
      <c r="K143" s="1"/>
    </row>
    <row r="144" spans="1:11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" x14ac:dyDescent="0.3">
      <c r="A145" s="1"/>
      <c r="C145" s="1"/>
      <c r="D145" s="2"/>
      <c r="E145" s="1"/>
      <c r="F145" s="2"/>
      <c r="G145" s="2"/>
      <c r="H145" s="1"/>
      <c r="I145" s="1"/>
      <c r="J145" s="2"/>
    </row>
    <row r="146" spans="1:10" ht="13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3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</row>
    <row r="159" spans="1:10" x14ac:dyDescent="0.25">
      <c r="E159" s="2"/>
    </row>
    <row r="160" spans="1:10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77" spans="1:11" x14ac:dyDescent="0.25">
      <c r="E177" s="2"/>
    </row>
    <row r="178" spans="1:11" x14ac:dyDescent="0.25">
      <c r="E178" s="2"/>
    </row>
    <row r="179" spans="1:11" x14ac:dyDescent="0.25">
      <c r="E179" s="2"/>
    </row>
    <row r="182" spans="1:11" ht="13" x14ac:dyDescent="0.3">
      <c r="A182" s="1"/>
    </row>
    <row r="192" spans="1:11" ht="13" x14ac:dyDescent="0.3">
      <c r="A192" s="1" t="s">
        <v>87</v>
      </c>
      <c r="B192" s="1"/>
      <c r="C192" s="1" t="s">
        <v>1</v>
      </c>
      <c r="D192" s="1"/>
      <c r="E192" s="1" t="s">
        <v>2</v>
      </c>
      <c r="F192" s="1"/>
      <c r="G192" s="1" t="s">
        <v>3</v>
      </c>
      <c r="H192" s="1"/>
      <c r="I192" s="1"/>
      <c r="J192" s="1"/>
      <c r="K192" s="1"/>
    </row>
    <row r="194" spans="1:11" ht="13" x14ac:dyDescent="0.3">
      <c r="A194" s="1" t="s">
        <v>88</v>
      </c>
      <c r="B194" s="1" t="s">
        <v>89</v>
      </c>
      <c r="C194" s="1" t="s">
        <v>90</v>
      </c>
      <c r="D194" s="1"/>
      <c r="E194" s="1"/>
      <c r="F194" s="1"/>
      <c r="G194" s="1"/>
      <c r="H194" s="1"/>
      <c r="I194" s="1"/>
      <c r="J194" s="1"/>
      <c r="K194" s="1"/>
    </row>
    <row r="195" spans="1:11" x14ac:dyDescent="0.25">
      <c r="A195" s="2" t="s">
        <v>91</v>
      </c>
      <c r="B195" s="2">
        <v>0</v>
      </c>
      <c r="C195" s="2">
        <v>2</v>
      </c>
      <c r="E195">
        <v>0.125</v>
      </c>
      <c r="F195">
        <v>1</v>
      </c>
    </row>
    <row r="196" spans="1:11" x14ac:dyDescent="0.25">
      <c r="A196" s="2" t="s">
        <v>92</v>
      </c>
      <c r="B196" s="2">
        <v>0</v>
      </c>
      <c r="C196" s="2">
        <v>1</v>
      </c>
      <c r="E196">
        <v>0.1875</v>
      </c>
      <c r="F196">
        <v>1</v>
      </c>
    </row>
    <row r="197" spans="1:11" x14ac:dyDescent="0.25">
      <c r="A197" s="2" t="s">
        <v>93</v>
      </c>
      <c r="B197" s="2">
        <v>3</v>
      </c>
      <c r="C197" s="2">
        <v>4</v>
      </c>
      <c r="E197">
        <v>0.4375</v>
      </c>
      <c r="F197">
        <v>0.93479999999999996</v>
      </c>
    </row>
    <row r="198" spans="1:11" x14ac:dyDescent="0.25">
      <c r="A198" s="2" t="s">
        <v>94</v>
      </c>
      <c r="B198" s="2">
        <v>9</v>
      </c>
      <c r="C198" s="2">
        <v>5</v>
      </c>
      <c r="E198">
        <v>0.75</v>
      </c>
      <c r="F198">
        <v>0.73909999999999998</v>
      </c>
    </row>
    <row r="199" spans="1:11" x14ac:dyDescent="0.25">
      <c r="A199" t="s">
        <v>95</v>
      </c>
      <c r="B199">
        <v>16</v>
      </c>
      <c r="C199">
        <v>3</v>
      </c>
      <c r="E199">
        <v>0.9375</v>
      </c>
      <c r="F199">
        <v>0.39129999999999998</v>
      </c>
    </row>
    <row r="200" spans="1:11" x14ac:dyDescent="0.25">
      <c r="A200" t="s">
        <v>96</v>
      </c>
      <c r="B200">
        <v>18</v>
      </c>
      <c r="C200">
        <v>1</v>
      </c>
      <c r="E200">
        <v>1</v>
      </c>
      <c r="F200">
        <v>0</v>
      </c>
    </row>
    <row r="201" spans="1:11" ht="13" x14ac:dyDescent="0.3">
      <c r="B201" s="1">
        <f>SUM(B195:B200)</f>
        <v>46</v>
      </c>
      <c r="C201" s="1">
        <f>SUM(C195:C200)</f>
        <v>16</v>
      </c>
    </row>
    <row r="203" spans="1:11" ht="13" x14ac:dyDescent="0.3">
      <c r="A203" s="1" t="s">
        <v>97</v>
      </c>
      <c r="B203" t="s">
        <v>32</v>
      </c>
      <c r="C203" s="1">
        <v>0.75</v>
      </c>
    </row>
    <row r="205" spans="1:11" ht="13" x14ac:dyDescent="0.3">
      <c r="A205" s="1" t="s">
        <v>98</v>
      </c>
      <c r="B205" t="s">
        <v>36</v>
      </c>
      <c r="C205" s="1">
        <v>0.73909999999999998</v>
      </c>
    </row>
    <row r="207" spans="1:11" ht="13" x14ac:dyDescent="0.3">
      <c r="A207" s="1" t="s">
        <v>99</v>
      </c>
    </row>
    <row r="208" spans="1:11" ht="13" x14ac:dyDescent="0.3">
      <c r="A208" s="1" t="s">
        <v>100</v>
      </c>
      <c r="B208" s="1" t="s">
        <v>32</v>
      </c>
      <c r="C208" s="1" t="s">
        <v>36</v>
      </c>
      <c r="D208" s="1"/>
      <c r="E208" s="1" t="s">
        <v>32</v>
      </c>
      <c r="F208" s="1" t="s">
        <v>101</v>
      </c>
      <c r="G208" s="1"/>
      <c r="H208" s="1"/>
      <c r="I208" s="1"/>
      <c r="J208" s="1"/>
      <c r="K208" s="1"/>
    </row>
    <row r="209" spans="1:11" ht="13" x14ac:dyDescent="0.3">
      <c r="A209" s="1">
        <v>0</v>
      </c>
      <c r="B209" s="2">
        <v>0</v>
      </c>
      <c r="C209" s="2">
        <v>1</v>
      </c>
      <c r="D209" s="2"/>
      <c r="E209" s="2">
        <v>0</v>
      </c>
      <c r="F209" s="2">
        <v>0</v>
      </c>
      <c r="G209" s="2"/>
      <c r="H209" s="2"/>
      <c r="I209" s="1"/>
      <c r="J209" s="1"/>
      <c r="K209" s="1"/>
    </row>
    <row r="210" spans="1:11" ht="13" x14ac:dyDescent="0.3">
      <c r="A210" s="1">
        <v>5</v>
      </c>
      <c r="B210">
        <v>0.125</v>
      </c>
      <c r="C210">
        <v>1</v>
      </c>
      <c r="D210" s="1"/>
      <c r="E210">
        <v>0.125</v>
      </c>
      <c r="F210">
        <v>0</v>
      </c>
    </row>
    <row r="211" spans="1:11" ht="13" x14ac:dyDescent="0.3">
      <c r="A211" s="1">
        <v>10</v>
      </c>
      <c r="B211">
        <v>0.1875</v>
      </c>
      <c r="C211">
        <v>1</v>
      </c>
      <c r="D211" s="1"/>
      <c r="E211">
        <v>0.1875</v>
      </c>
      <c r="F211">
        <v>0</v>
      </c>
    </row>
    <row r="212" spans="1:11" ht="13" x14ac:dyDescent="0.3">
      <c r="A212" s="1">
        <v>15</v>
      </c>
      <c r="B212">
        <v>0.4375</v>
      </c>
      <c r="C212">
        <v>0.93479999999999996</v>
      </c>
      <c r="E212">
        <v>0.4375</v>
      </c>
      <c r="F212">
        <v>6.25E-2</v>
      </c>
    </row>
    <row r="213" spans="1:11" ht="13" x14ac:dyDescent="0.3">
      <c r="A213" s="1">
        <v>20</v>
      </c>
      <c r="B213" s="1">
        <v>0.75</v>
      </c>
      <c r="C213" s="1">
        <v>0.73909999999999998</v>
      </c>
      <c r="E213">
        <v>0.75</v>
      </c>
      <c r="F213">
        <v>0.26090000000000002</v>
      </c>
    </row>
    <row r="214" spans="1:11" ht="13" x14ac:dyDescent="0.3">
      <c r="A214" s="1">
        <v>25</v>
      </c>
      <c r="B214">
        <v>0.9375</v>
      </c>
      <c r="C214">
        <v>0.39129999999999998</v>
      </c>
      <c r="E214">
        <v>0.9375</v>
      </c>
      <c r="F214">
        <v>0.60870000000000002</v>
      </c>
    </row>
    <row r="215" spans="1:11" ht="13" x14ac:dyDescent="0.3">
      <c r="A215" s="1">
        <v>30</v>
      </c>
      <c r="B215">
        <v>1</v>
      </c>
      <c r="C215">
        <v>0</v>
      </c>
      <c r="E215">
        <v>1</v>
      </c>
      <c r="F215">
        <v>1</v>
      </c>
    </row>
    <row r="217" spans="1:11" ht="13" x14ac:dyDescent="0.3">
      <c r="A217" s="1" t="s">
        <v>102</v>
      </c>
    </row>
    <row r="218" spans="1:11" ht="13" x14ac:dyDescent="0.3">
      <c r="B218" s="1" t="s">
        <v>32</v>
      </c>
      <c r="C218" s="1" t="s">
        <v>103</v>
      </c>
      <c r="E218" t="s">
        <v>104</v>
      </c>
    </row>
    <row r="219" spans="1:11" x14ac:dyDescent="0.25">
      <c r="B219" s="2">
        <v>0</v>
      </c>
      <c r="C219" s="2">
        <v>0</v>
      </c>
      <c r="E219">
        <v>0</v>
      </c>
    </row>
    <row r="220" spans="1:11" x14ac:dyDescent="0.25">
      <c r="B220">
        <v>0.125</v>
      </c>
      <c r="C220">
        <v>0</v>
      </c>
      <c r="E220">
        <v>0</v>
      </c>
    </row>
    <row r="221" spans="1:11" x14ac:dyDescent="0.25">
      <c r="B221">
        <v>0.1875</v>
      </c>
      <c r="C221">
        <v>0</v>
      </c>
      <c r="E221">
        <v>0</v>
      </c>
    </row>
    <row r="222" spans="1:11" x14ac:dyDescent="0.25">
      <c r="B222">
        <v>0.4375</v>
      </c>
      <c r="C222">
        <v>6.25E-2</v>
      </c>
      <c r="E222">
        <f>(B222-B221)*(C222+C221)/2</f>
        <v>7.8125E-3</v>
      </c>
    </row>
    <row r="223" spans="1:11" x14ac:dyDescent="0.25">
      <c r="B223">
        <v>0.75</v>
      </c>
      <c r="C223">
        <v>0.26090000000000002</v>
      </c>
      <c r="E223">
        <f>(B223-B222)*(C223+C221)/2</f>
        <v>4.0765625E-2</v>
      </c>
    </row>
    <row r="224" spans="1:11" x14ac:dyDescent="0.25">
      <c r="B224">
        <v>0.9375</v>
      </c>
      <c r="C224">
        <v>0.60870000000000002</v>
      </c>
      <c r="E224">
        <f>(B224-B223)*(C224+C223)/2</f>
        <v>8.1525E-2</v>
      </c>
    </row>
    <row r="225" spans="1:5" x14ac:dyDescent="0.25">
      <c r="B225">
        <v>1</v>
      </c>
      <c r="C225">
        <v>1</v>
      </c>
      <c r="E225">
        <f>(B225-B224)*(C225+C224)/2</f>
        <v>5.0271875000000001E-2</v>
      </c>
    </row>
    <row r="227" spans="1:5" ht="13" x14ac:dyDescent="0.3">
      <c r="A227" s="1" t="s">
        <v>105</v>
      </c>
      <c r="C227" s="1" t="s">
        <v>104</v>
      </c>
      <c r="E227" s="1">
        <f>SUM(E219:E225)</f>
        <v>0.18037499999999998</v>
      </c>
    </row>
    <row r="229" spans="1:5" x14ac:dyDescent="0.25">
      <c r="A229" t="s">
        <v>106</v>
      </c>
    </row>
    <row r="230" spans="1:5" x14ac:dyDescent="0.25">
      <c r="A230" t="s">
        <v>107</v>
      </c>
    </row>
    <row r="231" spans="1:5" x14ac:dyDescent="0.25">
      <c r="A231" t="s">
        <v>108</v>
      </c>
    </row>
    <row r="233" spans="1:5" ht="13" x14ac:dyDescent="0.3">
      <c r="A233" s="1" t="s">
        <v>109</v>
      </c>
    </row>
    <row r="234" spans="1:5" x14ac:dyDescent="0.25">
      <c r="A234" t="s">
        <v>110</v>
      </c>
    </row>
    <row r="235" spans="1:5" ht="13" x14ac:dyDescent="0.3">
      <c r="A235" t="s">
        <v>111</v>
      </c>
    </row>
  </sheetData>
  <phoneticPr fontId="0" type="noConversion"/>
  <pageMargins left="0.75" right="0.75" top="1" bottom="1" header="0.5" footer="0.5"/>
  <pageSetup orientation="portrait" horizontalDpi="204" verticalDpi="196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"/>
  <sheetViews>
    <sheetView workbookViewId="0">
      <selection activeCell="H97" sqref="H97"/>
    </sheetView>
  </sheetViews>
  <sheetFormatPr defaultRowHeight="12.5" x14ac:dyDescent="0.25"/>
  <cols>
    <col min="6" max="6" width="10" customWidth="1"/>
  </cols>
  <sheetData>
    <row r="1" spans="1:22" s="1" customFormat="1" ht="26" x14ac:dyDescent="0.3">
      <c r="A1" s="4" t="s">
        <v>0</v>
      </c>
      <c r="D1" s="1" t="s">
        <v>1</v>
      </c>
      <c r="F1" s="4" t="s">
        <v>140</v>
      </c>
      <c r="I1" s="4" t="s">
        <v>3</v>
      </c>
      <c r="N1" s="4" t="s">
        <v>0</v>
      </c>
      <c r="Q1" s="1" t="s">
        <v>1</v>
      </c>
      <c r="S1" s="4" t="s">
        <v>140</v>
      </c>
      <c r="V1" s="4" t="s">
        <v>3</v>
      </c>
    </row>
    <row r="3" spans="1:22" ht="13" x14ac:dyDescent="0.3">
      <c r="A3" s="1" t="s">
        <v>35</v>
      </c>
      <c r="C3" s="3"/>
      <c r="F3" s="1"/>
    </row>
    <row r="4" spans="1:22" x14ac:dyDescent="0.25">
      <c r="A4" s="3" t="s">
        <v>130</v>
      </c>
      <c r="B4" s="3" t="s">
        <v>129</v>
      </c>
      <c r="C4" t="s">
        <v>5</v>
      </c>
      <c r="D4" t="s">
        <v>7</v>
      </c>
      <c r="E4" t="s">
        <v>131</v>
      </c>
      <c r="F4" t="s">
        <v>57</v>
      </c>
      <c r="G4" t="s">
        <v>8</v>
      </c>
      <c r="H4" t="s">
        <v>132</v>
      </c>
      <c r="J4" t="s">
        <v>9</v>
      </c>
      <c r="K4" t="s">
        <v>133</v>
      </c>
      <c r="O4" t="s">
        <v>10</v>
      </c>
      <c r="P4" t="s">
        <v>134</v>
      </c>
      <c r="R4" t="s">
        <v>11</v>
      </c>
      <c r="S4" t="s">
        <v>127</v>
      </c>
    </row>
    <row r="5" spans="1:22" x14ac:dyDescent="0.25">
      <c r="A5" t="s">
        <v>14</v>
      </c>
      <c r="B5">
        <v>0.155</v>
      </c>
      <c r="C5">
        <v>0.49</v>
      </c>
      <c r="D5">
        <v>0.01</v>
      </c>
      <c r="E5">
        <f>B5*C5*D5</f>
        <v>7.5950000000000008E-4</v>
      </c>
      <c r="G5">
        <v>0.1</v>
      </c>
      <c r="H5">
        <f>B5*C5*G5</f>
        <v>7.5950000000000011E-3</v>
      </c>
      <c r="J5">
        <v>0.05</v>
      </c>
      <c r="K5">
        <f>B5*C5*J5</f>
        <v>3.7975000000000005E-3</v>
      </c>
      <c r="O5">
        <v>0.05</v>
      </c>
      <c r="P5">
        <f>B5*C5*O5</f>
        <v>3.7975000000000005E-3</v>
      </c>
      <c r="R5">
        <v>0.01</v>
      </c>
      <c r="S5">
        <f>B5*C5*R5</f>
        <v>7.5950000000000008E-4</v>
      </c>
    </row>
    <row r="6" spans="1:22" s="1" customFormat="1" ht="13" x14ac:dyDescent="0.3">
      <c r="A6" s="1" t="s">
        <v>15</v>
      </c>
      <c r="B6" s="1">
        <v>0.126</v>
      </c>
      <c r="C6" s="1">
        <v>0.5</v>
      </c>
      <c r="D6" s="1">
        <v>0.02</v>
      </c>
      <c r="E6" s="1">
        <f t="shared" ref="E6:E11" si="0">B6*C6*D6</f>
        <v>1.2600000000000001E-3</v>
      </c>
      <c r="F6" s="1">
        <f>E6/E12</f>
        <v>3.0704372936288426E-2</v>
      </c>
      <c r="G6" s="1">
        <v>0.5</v>
      </c>
      <c r="H6" s="1">
        <f t="shared" ref="H6:H11" si="1">B6*C6*G6</f>
        <v>3.15E-2</v>
      </c>
      <c r="I6" s="1">
        <f>H6/H12</f>
        <v>0.13629578348441251</v>
      </c>
      <c r="J6" s="1">
        <v>0.02</v>
      </c>
      <c r="K6" s="1">
        <f t="shared" ref="K6:K11" si="2">B6*C6*J6</f>
        <v>1.2600000000000001E-3</v>
      </c>
      <c r="L6" s="1">
        <f>K6/K12</f>
        <v>6.7515070328198257E-2</v>
      </c>
      <c r="O6" s="1">
        <v>0.4</v>
      </c>
      <c r="P6" s="1">
        <f t="shared" ref="P6:P11" si="3">B6*C6*O6</f>
        <v>2.52E-2</v>
      </c>
      <c r="Q6" s="1">
        <f>P6/P12</f>
        <v>0.27636882077152963</v>
      </c>
      <c r="R6" s="1">
        <v>0.7</v>
      </c>
      <c r="S6" s="1">
        <f t="shared" ref="S6:S11" si="4">B6*C6*R6</f>
        <v>4.41E-2</v>
      </c>
      <c r="T6" s="1">
        <f>S6/S12</f>
        <v>0.18666706172923114</v>
      </c>
    </row>
    <row r="7" spans="1:22" x14ac:dyDescent="0.25">
      <c r="A7" t="s">
        <v>16</v>
      </c>
      <c r="B7">
        <v>8.4000000000000005E-2</v>
      </c>
      <c r="C7">
        <v>0.55000000000000004</v>
      </c>
      <c r="D7">
        <v>0.25</v>
      </c>
      <c r="E7">
        <f t="shared" si="0"/>
        <v>1.1550000000000001E-2</v>
      </c>
      <c r="G7">
        <v>0.9</v>
      </c>
      <c r="H7">
        <f t="shared" si="1"/>
        <v>4.1580000000000006E-2</v>
      </c>
      <c r="J7">
        <v>0.05</v>
      </c>
      <c r="K7">
        <f t="shared" si="2"/>
        <v>2.3100000000000004E-3</v>
      </c>
      <c r="O7">
        <v>0.1</v>
      </c>
      <c r="P7">
        <f t="shared" si="3"/>
        <v>4.6200000000000008E-3</v>
      </c>
      <c r="R7">
        <v>0.95</v>
      </c>
      <c r="S7">
        <f t="shared" si="4"/>
        <v>4.3890000000000005E-2</v>
      </c>
    </row>
    <row r="8" spans="1:22" x14ac:dyDescent="0.25">
      <c r="A8" s="2" t="s">
        <v>17</v>
      </c>
      <c r="B8" s="2">
        <v>0.02</v>
      </c>
      <c r="C8" s="2">
        <v>0.45</v>
      </c>
      <c r="D8" s="2">
        <v>0.01</v>
      </c>
      <c r="E8">
        <f t="shared" si="0"/>
        <v>9.0000000000000006E-5</v>
      </c>
      <c r="F8" s="2"/>
      <c r="G8" s="2">
        <v>0.95</v>
      </c>
      <c r="H8">
        <f t="shared" si="1"/>
        <v>8.5500000000000003E-3</v>
      </c>
      <c r="I8" s="2"/>
      <c r="J8" s="2">
        <v>0.1</v>
      </c>
      <c r="K8">
        <f t="shared" si="2"/>
        <v>9.0000000000000019E-4</v>
      </c>
      <c r="L8" s="2"/>
      <c r="M8" s="2"/>
      <c r="N8" s="2"/>
      <c r="O8" s="2">
        <v>0.1</v>
      </c>
      <c r="P8">
        <f t="shared" si="3"/>
        <v>9.0000000000000019E-4</v>
      </c>
      <c r="R8" s="2">
        <v>0.95</v>
      </c>
      <c r="S8">
        <f t="shared" si="4"/>
        <v>8.5500000000000003E-3</v>
      </c>
    </row>
    <row r="9" spans="1:22" x14ac:dyDescent="0.25">
      <c r="A9" t="s">
        <v>18</v>
      </c>
      <c r="B9">
        <v>9.8000000000000004E-2</v>
      </c>
      <c r="C9">
        <v>0.1</v>
      </c>
      <c r="D9">
        <v>0.2</v>
      </c>
      <c r="E9">
        <f t="shared" si="0"/>
        <v>1.9600000000000004E-3</v>
      </c>
      <c r="G9">
        <v>0.7</v>
      </c>
      <c r="H9">
        <f t="shared" si="1"/>
        <v>6.8600000000000006E-3</v>
      </c>
      <c r="J9">
        <v>0.01</v>
      </c>
      <c r="K9">
        <f t="shared" si="2"/>
        <v>9.800000000000001E-5</v>
      </c>
      <c r="O9">
        <v>0.05</v>
      </c>
      <c r="P9">
        <f t="shared" si="3"/>
        <v>4.9000000000000009E-4</v>
      </c>
      <c r="R9">
        <v>0.4</v>
      </c>
      <c r="S9">
        <f t="shared" si="4"/>
        <v>3.9200000000000007E-3</v>
      </c>
    </row>
    <row r="10" spans="1:22" x14ac:dyDescent="0.25">
      <c r="A10" t="s">
        <v>19</v>
      </c>
      <c r="B10">
        <v>0.39100000000000001</v>
      </c>
      <c r="C10">
        <v>0.7</v>
      </c>
      <c r="D10">
        <v>0.01</v>
      </c>
      <c r="E10">
        <f t="shared" si="0"/>
        <v>2.7369999999999998E-3</v>
      </c>
      <c r="G10">
        <v>0.3</v>
      </c>
      <c r="H10">
        <f t="shared" si="1"/>
        <v>8.2110000000000002E-2</v>
      </c>
      <c r="J10">
        <v>0.01</v>
      </c>
      <c r="K10">
        <f t="shared" si="2"/>
        <v>2.7369999999999998E-3</v>
      </c>
      <c r="O10">
        <v>0.15</v>
      </c>
      <c r="P10">
        <f t="shared" si="3"/>
        <v>4.1055000000000001E-2</v>
      </c>
      <c r="R10">
        <v>0.3</v>
      </c>
      <c r="S10">
        <f t="shared" si="4"/>
        <v>8.2110000000000002E-2</v>
      </c>
    </row>
    <row r="11" spans="1:22" x14ac:dyDescent="0.25">
      <c r="A11" t="s">
        <v>20</v>
      </c>
      <c r="B11">
        <v>0.126</v>
      </c>
      <c r="C11">
        <v>0.6</v>
      </c>
      <c r="D11">
        <v>0.3</v>
      </c>
      <c r="E11">
        <f t="shared" si="0"/>
        <v>2.2679999999999999E-2</v>
      </c>
      <c r="G11">
        <v>0.7</v>
      </c>
      <c r="H11">
        <f t="shared" si="1"/>
        <v>5.2919999999999995E-2</v>
      </c>
      <c r="J11">
        <v>0.1</v>
      </c>
      <c r="K11">
        <f t="shared" si="2"/>
        <v>7.5600000000000007E-3</v>
      </c>
      <c r="O11">
        <v>0.2</v>
      </c>
      <c r="P11">
        <f t="shared" si="3"/>
        <v>1.5120000000000001E-2</v>
      </c>
      <c r="R11">
        <v>0.7</v>
      </c>
      <c r="S11">
        <f t="shared" si="4"/>
        <v>5.2919999999999995E-2</v>
      </c>
    </row>
    <row r="12" spans="1:22" s="1" customFormat="1" ht="13" x14ac:dyDescent="0.3">
      <c r="E12" s="1">
        <f>SUM(E5:E11)</f>
        <v>4.1036500000000004E-2</v>
      </c>
      <c r="H12" s="1">
        <f>SUM(H5:H11)</f>
        <v>0.23111500000000001</v>
      </c>
      <c r="K12" s="1">
        <f>SUM(K5:K11)</f>
        <v>1.8662500000000002E-2</v>
      </c>
      <c r="P12" s="1">
        <f>SUM(P5:P11)</f>
        <v>9.11825E-2</v>
      </c>
      <c r="S12" s="1">
        <f>SUM(S5:S11)</f>
        <v>0.23624950000000003</v>
      </c>
    </row>
    <row r="14" spans="1:22" x14ac:dyDescent="0.25">
      <c r="B14" s="3" t="s">
        <v>129</v>
      </c>
      <c r="C14" t="s">
        <v>6</v>
      </c>
      <c r="D14" t="s">
        <v>7</v>
      </c>
      <c r="E14" t="s">
        <v>135</v>
      </c>
      <c r="F14" t="s">
        <v>57</v>
      </c>
      <c r="G14" t="s">
        <v>8</v>
      </c>
      <c r="H14" t="s">
        <v>136</v>
      </c>
      <c r="I14" t="s">
        <v>57</v>
      </c>
      <c r="J14" t="s">
        <v>9</v>
      </c>
      <c r="K14" t="s">
        <v>137</v>
      </c>
      <c r="L14" t="s">
        <v>57</v>
      </c>
      <c r="O14" t="s">
        <v>10</v>
      </c>
      <c r="P14" t="s">
        <v>138</v>
      </c>
      <c r="Q14" t="s">
        <v>57</v>
      </c>
      <c r="R14" t="s">
        <v>11</v>
      </c>
      <c r="S14" t="s">
        <v>139</v>
      </c>
      <c r="T14" t="s">
        <v>57</v>
      </c>
    </row>
    <row r="15" spans="1:22" x14ac:dyDescent="0.25">
      <c r="B15">
        <v>0.155</v>
      </c>
      <c r="C15">
        <v>0.5</v>
      </c>
      <c r="D15">
        <v>0.01</v>
      </c>
      <c r="E15">
        <f>B15*C15*D15</f>
        <v>7.7499999999999997E-4</v>
      </c>
      <c r="G15">
        <v>0.1</v>
      </c>
      <c r="H15">
        <f>B15*C15*G15</f>
        <v>7.7499999999999999E-3</v>
      </c>
      <c r="J15">
        <v>0.05</v>
      </c>
      <c r="K15">
        <f>B15*C15*J15</f>
        <v>3.875E-3</v>
      </c>
      <c r="O15">
        <v>0.05</v>
      </c>
      <c r="P15">
        <f>B15*C15*O15</f>
        <v>3.875E-3</v>
      </c>
      <c r="R15">
        <v>0.01</v>
      </c>
      <c r="S15">
        <f>B15*C15*R15</f>
        <v>7.7499999999999997E-4</v>
      </c>
    </row>
    <row r="16" spans="1:22" s="1" customFormat="1" ht="13" x14ac:dyDescent="0.3">
      <c r="B16" s="1">
        <v>0.126</v>
      </c>
      <c r="C16" s="1">
        <v>0.5</v>
      </c>
      <c r="D16" s="1">
        <v>0.02</v>
      </c>
      <c r="E16" s="1">
        <f t="shared" ref="E16:E70" si="5">B16*C16*D16</f>
        <v>1.2600000000000001E-3</v>
      </c>
      <c r="F16" s="1">
        <f>E16/E22</f>
        <v>0.16707551548100513</v>
      </c>
      <c r="G16" s="1">
        <v>0.5</v>
      </c>
      <c r="H16" s="1">
        <f t="shared" ref="H16:H60" si="6">B16*C16*G16</f>
        <v>3.15E-2</v>
      </c>
      <c r="I16" s="1">
        <f>H16/H22</f>
        <v>0.40387204307968461</v>
      </c>
      <c r="J16" s="1">
        <v>0.02</v>
      </c>
      <c r="K16" s="1">
        <f t="shared" ref="K16:K50" si="7">B16*C16*J16</f>
        <v>1.2600000000000001E-3</v>
      </c>
      <c r="L16" s="1">
        <f>K16/K22</f>
        <v>0.15571896434530061</v>
      </c>
      <c r="O16" s="1">
        <v>0.4</v>
      </c>
      <c r="P16" s="1">
        <f t="shared" ref="P16:P31" si="8">B16*C16*O16</f>
        <v>2.52E-2</v>
      </c>
      <c r="Q16" s="1">
        <f>P16/P22</f>
        <v>0.60413545100389565</v>
      </c>
      <c r="R16" s="1">
        <v>0.7</v>
      </c>
      <c r="S16" s="1">
        <f t="shared" ref="S16:S21" si="9">B16*C16*R16</f>
        <v>4.41E-2</v>
      </c>
      <c r="T16" s="1">
        <f>S16/S22</f>
        <v>0.52606465465823704</v>
      </c>
    </row>
    <row r="17" spans="1:19" x14ac:dyDescent="0.25">
      <c r="B17">
        <v>8.4000000000000005E-2</v>
      </c>
      <c r="C17">
        <v>0.05</v>
      </c>
      <c r="D17">
        <v>0.25</v>
      </c>
      <c r="E17">
        <f t="shared" si="5"/>
        <v>1.0500000000000002E-3</v>
      </c>
      <c r="G17">
        <v>0.9</v>
      </c>
      <c r="H17">
        <f t="shared" si="6"/>
        <v>3.7800000000000008E-3</v>
      </c>
      <c r="J17">
        <v>0.05</v>
      </c>
      <c r="K17">
        <f t="shared" si="7"/>
        <v>2.1000000000000004E-4</v>
      </c>
      <c r="O17">
        <v>0.1</v>
      </c>
      <c r="P17">
        <f t="shared" si="8"/>
        <v>4.2000000000000007E-4</v>
      </c>
      <c r="R17">
        <v>0.95</v>
      </c>
      <c r="S17">
        <f t="shared" si="9"/>
        <v>3.9900000000000005E-3</v>
      </c>
    </row>
    <row r="18" spans="1:19" x14ac:dyDescent="0.25">
      <c r="B18" s="2">
        <v>0.02</v>
      </c>
      <c r="C18" s="2">
        <v>0.45</v>
      </c>
      <c r="D18" s="2">
        <v>0.01</v>
      </c>
      <c r="E18">
        <f t="shared" si="5"/>
        <v>9.0000000000000006E-5</v>
      </c>
      <c r="G18" s="2">
        <v>0.95</v>
      </c>
      <c r="H18">
        <f t="shared" si="6"/>
        <v>8.5500000000000003E-3</v>
      </c>
      <c r="J18" s="2">
        <v>0.1</v>
      </c>
      <c r="K18">
        <f t="shared" si="7"/>
        <v>9.0000000000000019E-4</v>
      </c>
      <c r="O18" s="2">
        <v>0.1</v>
      </c>
      <c r="P18">
        <f t="shared" si="8"/>
        <v>9.0000000000000019E-4</v>
      </c>
      <c r="R18" s="2">
        <v>0.95</v>
      </c>
      <c r="S18">
        <f t="shared" si="9"/>
        <v>8.5500000000000003E-3</v>
      </c>
    </row>
    <row r="19" spans="1:19" x14ac:dyDescent="0.25">
      <c r="B19">
        <v>9.8000000000000004E-2</v>
      </c>
      <c r="C19">
        <v>0</v>
      </c>
      <c r="D19">
        <v>0.2</v>
      </c>
      <c r="E19">
        <f t="shared" si="5"/>
        <v>0</v>
      </c>
      <c r="G19">
        <v>0.7</v>
      </c>
      <c r="H19">
        <f t="shared" si="6"/>
        <v>0</v>
      </c>
      <c r="J19">
        <v>0.01</v>
      </c>
      <c r="K19">
        <f t="shared" si="7"/>
        <v>0</v>
      </c>
      <c r="O19">
        <v>0.05</v>
      </c>
      <c r="P19">
        <f t="shared" si="8"/>
        <v>0</v>
      </c>
      <c r="R19">
        <v>0.4</v>
      </c>
      <c r="S19">
        <f t="shared" si="9"/>
        <v>0</v>
      </c>
    </row>
    <row r="20" spans="1:19" ht="13" x14ac:dyDescent="0.3">
      <c r="A20" s="1"/>
      <c r="B20">
        <v>0.39100000000000001</v>
      </c>
      <c r="C20">
        <v>0.15</v>
      </c>
      <c r="D20">
        <v>0.01</v>
      </c>
      <c r="E20">
        <f t="shared" si="5"/>
        <v>5.865E-4</v>
      </c>
      <c r="G20">
        <v>0.3</v>
      </c>
      <c r="H20">
        <f t="shared" si="6"/>
        <v>1.7595E-2</v>
      </c>
      <c r="J20">
        <v>0.01</v>
      </c>
      <c r="K20">
        <f t="shared" si="7"/>
        <v>5.865E-4</v>
      </c>
      <c r="O20">
        <v>0.15</v>
      </c>
      <c r="P20">
        <f t="shared" si="8"/>
        <v>8.7974999999999998E-3</v>
      </c>
      <c r="R20">
        <v>0.3</v>
      </c>
      <c r="S20">
        <f t="shared" si="9"/>
        <v>1.7595E-2</v>
      </c>
    </row>
    <row r="21" spans="1:19" ht="13" x14ac:dyDescent="0.3">
      <c r="A21" s="1"/>
      <c r="B21">
        <v>0.126</v>
      </c>
      <c r="C21">
        <v>0.1</v>
      </c>
      <c r="D21">
        <v>0.3</v>
      </c>
      <c r="E21">
        <f t="shared" si="5"/>
        <v>3.7799999999999999E-3</v>
      </c>
      <c r="G21">
        <v>0.7</v>
      </c>
      <c r="H21">
        <f t="shared" si="6"/>
        <v>8.8199999999999997E-3</v>
      </c>
      <c r="I21" s="1"/>
      <c r="J21">
        <v>0.1</v>
      </c>
      <c r="K21">
        <f t="shared" si="7"/>
        <v>1.2600000000000001E-3</v>
      </c>
      <c r="L21" s="4"/>
      <c r="M21" s="4"/>
      <c r="N21" s="4"/>
      <c r="O21">
        <v>0.2</v>
      </c>
      <c r="P21">
        <f t="shared" si="8"/>
        <v>2.5200000000000001E-3</v>
      </c>
      <c r="R21">
        <v>0.7</v>
      </c>
      <c r="S21">
        <f t="shared" si="9"/>
        <v>8.8199999999999997E-3</v>
      </c>
    </row>
    <row r="22" spans="1:19" s="1" customFormat="1" ht="13" x14ac:dyDescent="0.3">
      <c r="E22" s="1">
        <f>SUM(E15:E21)</f>
        <v>7.5414999999999996E-3</v>
      </c>
      <c r="H22" s="1">
        <f>SUM(H15:H21)</f>
        <v>7.7994999999999995E-2</v>
      </c>
      <c r="K22" s="1">
        <f>SUM(K15:K21)</f>
        <v>8.0915000000000015E-3</v>
      </c>
      <c r="P22" s="1">
        <f>SUM(P15:P21)</f>
        <v>4.1712500000000007E-2</v>
      </c>
      <c r="S22" s="1">
        <f>SUM(S15:S21)</f>
        <v>8.3829999999999988E-2</v>
      </c>
    </row>
    <row r="23" spans="1:19" x14ac:dyDescent="0.25">
      <c r="F23" s="3"/>
    </row>
    <row r="24" spans="1:19" x14ac:dyDescent="0.25">
      <c r="A24" s="2"/>
      <c r="B24" s="3" t="s">
        <v>129</v>
      </c>
      <c r="C24" t="s">
        <v>7</v>
      </c>
      <c r="D24" t="s">
        <v>8</v>
      </c>
      <c r="F24" t="s">
        <v>57</v>
      </c>
      <c r="G24" t="s">
        <v>9</v>
      </c>
      <c r="I24" t="s">
        <v>57</v>
      </c>
      <c r="J24" t="s">
        <v>10</v>
      </c>
      <c r="L24" t="s">
        <v>57</v>
      </c>
      <c r="O24" t="s">
        <v>11</v>
      </c>
      <c r="Q24" t="s">
        <v>57</v>
      </c>
    </row>
    <row r="25" spans="1:19" x14ac:dyDescent="0.25">
      <c r="A25" s="2"/>
      <c r="B25">
        <v>0.155</v>
      </c>
      <c r="C25">
        <v>0.01</v>
      </c>
      <c r="D25">
        <v>0.1</v>
      </c>
      <c r="E25">
        <f t="shared" si="5"/>
        <v>1.55E-4</v>
      </c>
      <c r="G25">
        <v>0.05</v>
      </c>
      <c r="H25">
        <f t="shared" si="6"/>
        <v>7.75E-5</v>
      </c>
      <c r="J25">
        <v>0.05</v>
      </c>
      <c r="K25">
        <f t="shared" si="7"/>
        <v>7.75E-5</v>
      </c>
      <c r="O25">
        <v>0.01</v>
      </c>
      <c r="P25">
        <f t="shared" si="8"/>
        <v>1.5500000000000001E-5</v>
      </c>
    </row>
    <row r="26" spans="1:19" s="1" customFormat="1" ht="13" x14ac:dyDescent="0.3">
      <c r="B26" s="1">
        <v>0.126</v>
      </c>
      <c r="C26" s="1">
        <v>0.02</v>
      </c>
      <c r="D26" s="1">
        <v>0.5</v>
      </c>
      <c r="E26" s="1">
        <f t="shared" si="5"/>
        <v>1.2600000000000001E-3</v>
      </c>
      <c r="F26" s="1">
        <f>E26/E32</f>
        <v>2.0369232758899417E-2</v>
      </c>
      <c r="G26" s="1">
        <v>0.02</v>
      </c>
      <c r="H26" s="1">
        <f t="shared" si="6"/>
        <v>5.0400000000000005E-5</v>
      </c>
      <c r="I26" s="1">
        <f>H26/H32</f>
        <v>9.6681373489353531E-3</v>
      </c>
      <c r="J26" s="1">
        <v>0.4</v>
      </c>
      <c r="K26" s="1">
        <f t="shared" si="7"/>
        <v>1.008E-3</v>
      </c>
      <c r="L26" s="1">
        <f>K26/K32</f>
        <v>8.1738566331495274E-2</v>
      </c>
      <c r="O26" s="1">
        <v>0.7</v>
      </c>
      <c r="P26" s="1">
        <f t="shared" si="8"/>
        <v>1.7639999999999999E-3</v>
      </c>
      <c r="Q26" s="1">
        <f>P26/P32</f>
        <v>3.0735723308794701E-2</v>
      </c>
    </row>
    <row r="27" spans="1:19" ht="13" x14ac:dyDescent="0.3">
      <c r="A27" s="2"/>
      <c r="B27">
        <v>8.4000000000000005E-2</v>
      </c>
      <c r="C27">
        <v>0.25</v>
      </c>
      <c r="D27">
        <v>0.9</v>
      </c>
      <c r="E27">
        <f t="shared" si="5"/>
        <v>1.89E-2</v>
      </c>
      <c r="G27">
        <v>0.05</v>
      </c>
      <c r="H27">
        <f t="shared" si="6"/>
        <v>1.0500000000000002E-3</v>
      </c>
      <c r="I27" s="1"/>
      <c r="J27">
        <v>0.1</v>
      </c>
      <c r="K27">
        <f t="shared" si="7"/>
        <v>2.1000000000000003E-3</v>
      </c>
      <c r="L27" s="1"/>
      <c r="M27" s="1"/>
      <c r="N27" s="1"/>
      <c r="O27">
        <v>0.95</v>
      </c>
      <c r="P27">
        <f t="shared" si="8"/>
        <v>1.9949999999999999E-2</v>
      </c>
    </row>
    <row r="28" spans="1:19" x14ac:dyDescent="0.25">
      <c r="A28" s="2"/>
      <c r="B28" s="2">
        <v>0.02</v>
      </c>
      <c r="C28" s="2">
        <v>0.01</v>
      </c>
      <c r="D28" s="2">
        <v>0.95</v>
      </c>
      <c r="E28">
        <f t="shared" si="5"/>
        <v>1.9000000000000001E-4</v>
      </c>
      <c r="G28" s="2">
        <v>0.1</v>
      </c>
      <c r="H28">
        <f t="shared" si="6"/>
        <v>2.0000000000000002E-5</v>
      </c>
      <c r="J28" s="2">
        <v>0.1</v>
      </c>
      <c r="K28">
        <f t="shared" si="7"/>
        <v>2.0000000000000002E-5</v>
      </c>
      <c r="O28" s="2">
        <v>0.95</v>
      </c>
      <c r="P28">
        <f t="shared" si="8"/>
        <v>1.9000000000000001E-4</v>
      </c>
      <c r="R28" s="2"/>
    </row>
    <row r="29" spans="1:19" x14ac:dyDescent="0.25">
      <c r="A29" s="2"/>
      <c r="B29">
        <v>9.8000000000000004E-2</v>
      </c>
      <c r="C29">
        <v>0.2</v>
      </c>
      <c r="D29">
        <v>0.7</v>
      </c>
      <c r="E29">
        <f t="shared" si="5"/>
        <v>1.3720000000000001E-2</v>
      </c>
      <c r="G29">
        <v>0.01</v>
      </c>
      <c r="H29">
        <f t="shared" si="6"/>
        <v>1.9600000000000002E-4</v>
      </c>
      <c r="J29">
        <v>0.05</v>
      </c>
      <c r="K29">
        <f t="shared" si="7"/>
        <v>9.8000000000000019E-4</v>
      </c>
      <c r="O29">
        <v>0.4</v>
      </c>
      <c r="P29">
        <f t="shared" si="8"/>
        <v>7.8400000000000015E-3</v>
      </c>
    </row>
    <row r="30" spans="1:19" ht="13" x14ac:dyDescent="0.3">
      <c r="A30" s="2"/>
      <c r="B30">
        <v>0.39100000000000001</v>
      </c>
      <c r="C30">
        <v>0.01</v>
      </c>
      <c r="D30">
        <v>0.3</v>
      </c>
      <c r="E30">
        <f t="shared" si="5"/>
        <v>1.173E-3</v>
      </c>
      <c r="G30">
        <v>0.01</v>
      </c>
      <c r="H30">
        <f t="shared" si="6"/>
        <v>3.9100000000000002E-5</v>
      </c>
      <c r="I30" s="1"/>
      <c r="J30">
        <v>0.15</v>
      </c>
      <c r="K30">
        <f t="shared" si="7"/>
        <v>5.865E-4</v>
      </c>
      <c r="L30" s="1"/>
      <c r="M30" s="1"/>
      <c r="N30" s="1"/>
      <c r="O30">
        <v>0.3</v>
      </c>
      <c r="P30">
        <f t="shared" si="8"/>
        <v>1.173E-3</v>
      </c>
    </row>
    <row r="31" spans="1:19" x14ac:dyDescent="0.25">
      <c r="A31" s="2"/>
      <c r="B31">
        <v>0.126</v>
      </c>
      <c r="C31">
        <v>0.3</v>
      </c>
      <c r="D31">
        <v>0.7</v>
      </c>
      <c r="E31">
        <f t="shared" si="5"/>
        <v>2.6459999999999997E-2</v>
      </c>
      <c r="G31">
        <v>0.1</v>
      </c>
      <c r="H31">
        <f t="shared" si="6"/>
        <v>3.7800000000000004E-3</v>
      </c>
      <c r="J31">
        <v>0.2</v>
      </c>
      <c r="K31">
        <f t="shared" si="7"/>
        <v>7.5600000000000007E-3</v>
      </c>
      <c r="O31">
        <v>0.7</v>
      </c>
      <c r="P31">
        <f t="shared" si="8"/>
        <v>2.6459999999999997E-2</v>
      </c>
    </row>
    <row r="32" spans="1:19" s="1" customFormat="1" ht="13" x14ac:dyDescent="0.3">
      <c r="E32" s="1">
        <f>SUM(E25:E31)</f>
        <v>6.1857999999999996E-2</v>
      </c>
      <c r="H32" s="1">
        <f>SUM(H25:H31)</f>
        <v>5.2130000000000006E-3</v>
      </c>
      <c r="K32" s="1">
        <f>SUM(K25:K31)</f>
        <v>1.2332000000000003E-2</v>
      </c>
      <c r="P32" s="1">
        <f>SUM(P25:P31)</f>
        <v>5.7392499999999999E-2</v>
      </c>
    </row>
    <row r="33" spans="1:18" s="1" customFormat="1" ht="13" x14ac:dyDescent="0.3"/>
    <row r="34" spans="1:18" s="1" customFormat="1" ht="13" x14ac:dyDescent="0.3"/>
    <row r="35" spans="1:18" s="1" customFormat="1" ht="13" x14ac:dyDescent="0.3"/>
    <row r="36" spans="1:18" s="1" customFormat="1" ht="13" x14ac:dyDescent="0.3"/>
    <row r="37" spans="1:18" s="1" customFormat="1" ht="13" x14ac:dyDescent="0.3"/>
    <row r="38" spans="1:18" s="1" customFormat="1" ht="13" x14ac:dyDescent="0.3"/>
    <row r="39" spans="1:18" s="1" customFormat="1" ht="26" x14ac:dyDescent="0.3">
      <c r="A39" s="4" t="s">
        <v>0</v>
      </c>
      <c r="D39" s="1" t="s">
        <v>1</v>
      </c>
      <c r="F39" s="4" t="s">
        <v>140</v>
      </c>
      <c r="I39" s="4" t="s">
        <v>3</v>
      </c>
    </row>
    <row r="40" spans="1:18" s="1" customFormat="1" ht="13" x14ac:dyDescent="0.3"/>
    <row r="41" spans="1:18" s="1" customFormat="1" ht="13" x14ac:dyDescent="0.3"/>
    <row r="42" spans="1:18" ht="13" x14ac:dyDescent="0.3">
      <c r="A42" s="2"/>
      <c r="B42" s="2"/>
      <c r="C42" s="2"/>
      <c r="D42" s="1"/>
      <c r="G42" s="1"/>
      <c r="I42" s="1"/>
      <c r="J42" s="1"/>
      <c r="L42" s="1"/>
      <c r="M42" s="1"/>
      <c r="N42" s="1"/>
    </row>
    <row r="43" spans="1:18" x14ac:dyDescent="0.25">
      <c r="A43" s="2"/>
      <c r="B43" s="3" t="s">
        <v>129</v>
      </c>
      <c r="C43" t="s">
        <v>8</v>
      </c>
      <c r="D43" t="s">
        <v>9</v>
      </c>
      <c r="F43" t="s">
        <v>57</v>
      </c>
      <c r="G43" t="s">
        <v>10</v>
      </c>
      <c r="I43" t="s">
        <v>57</v>
      </c>
      <c r="J43" t="s">
        <v>11</v>
      </c>
      <c r="L43" t="s">
        <v>57</v>
      </c>
    </row>
    <row r="44" spans="1:18" ht="13" x14ac:dyDescent="0.3">
      <c r="A44" s="2"/>
      <c r="B44">
        <v>0.155</v>
      </c>
      <c r="C44">
        <v>0.1</v>
      </c>
      <c r="D44">
        <v>0.05</v>
      </c>
      <c r="E44">
        <f t="shared" si="5"/>
        <v>7.7500000000000008E-4</v>
      </c>
      <c r="F44" s="2"/>
      <c r="G44">
        <v>0.05</v>
      </c>
      <c r="H44">
        <f t="shared" si="6"/>
        <v>7.7500000000000008E-4</v>
      </c>
      <c r="I44" s="1"/>
      <c r="J44">
        <v>0.01</v>
      </c>
      <c r="K44">
        <f t="shared" si="7"/>
        <v>1.55E-4</v>
      </c>
      <c r="L44" s="1"/>
      <c r="M44" s="1"/>
      <c r="N44" s="1"/>
    </row>
    <row r="45" spans="1:18" s="1" customFormat="1" ht="13" x14ac:dyDescent="0.3">
      <c r="B45" s="1">
        <v>0.126</v>
      </c>
      <c r="C45" s="1">
        <v>0.5</v>
      </c>
      <c r="D45" s="1">
        <v>0.02</v>
      </c>
      <c r="E45" s="1">
        <f t="shared" si="5"/>
        <v>1.2600000000000001E-3</v>
      </c>
      <c r="F45" s="1">
        <f>E45/E51</f>
        <v>6.8500598021093831E-2</v>
      </c>
      <c r="G45" s="1">
        <v>0.4</v>
      </c>
      <c r="H45" s="1">
        <f t="shared" si="6"/>
        <v>2.52E-2</v>
      </c>
      <c r="I45" s="1">
        <f>H45/H51</f>
        <v>0.34008097165991902</v>
      </c>
      <c r="J45" s="1">
        <v>0.7</v>
      </c>
      <c r="K45" s="1">
        <f t="shared" si="7"/>
        <v>4.41E-2</v>
      </c>
      <c r="L45" s="1">
        <f>K45/K51</f>
        <v>0.17060291301572567</v>
      </c>
    </row>
    <row r="46" spans="1:18" ht="13" x14ac:dyDescent="0.3">
      <c r="A46" s="2"/>
      <c r="B46">
        <v>8.4000000000000005E-2</v>
      </c>
      <c r="C46">
        <v>0.9</v>
      </c>
      <c r="D46">
        <v>0.05</v>
      </c>
      <c r="E46">
        <f t="shared" si="5"/>
        <v>3.7800000000000004E-3</v>
      </c>
      <c r="F46" s="2"/>
      <c r="G46">
        <v>0.1</v>
      </c>
      <c r="H46">
        <f t="shared" si="6"/>
        <v>7.5600000000000007E-3</v>
      </c>
      <c r="I46" s="1"/>
      <c r="J46">
        <v>0.95</v>
      </c>
      <c r="K46">
        <f t="shared" si="7"/>
        <v>7.1819999999999995E-2</v>
      </c>
      <c r="L46" s="1"/>
      <c r="M46" s="1"/>
      <c r="N46" s="1"/>
    </row>
    <row r="47" spans="1:18" ht="13" x14ac:dyDescent="0.3">
      <c r="A47" s="2"/>
      <c r="B47" s="2">
        <v>0.02</v>
      </c>
      <c r="C47" s="2">
        <v>0.95</v>
      </c>
      <c r="D47" s="2">
        <v>0.1</v>
      </c>
      <c r="E47">
        <f t="shared" si="5"/>
        <v>1.9E-3</v>
      </c>
      <c r="F47" s="2"/>
      <c r="G47" s="2">
        <v>0.1</v>
      </c>
      <c r="H47">
        <f t="shared" si="6"/>
        <v>1.9E-3</v>
      </c>
      <c r="I47" s="1"/>
      <c r="J47" s="2">
        <v>0.95</v>
      </c>
      <c r="K47">
        <f t="shared" si="7"/>
        <v>1.805E-2</v>
      </c>
      <c r="L47" s="1"/>
      <c r="M47" s="1"/>
      <c r="N47" s="1"/>
      <c r="O47" s="2"/>
      <c r="R47" s="2"/>
    </row>
    <row r="48" spans="1:18" ht="13" x14ac:dyDescent="0.3">
      <c r="A48" s="2"/>
      <c r="B48">
        <v>9.8000000000000004E-2</v>
      </c>
      <c r="C48">
        <v>0.7</v>
      </c>
      <c r="D48">
        <v>0.01</v>
      </c>
      <c r="E48">
        <f t="shared" si="5"/>
        <v>6.8599999999999998E-4</v>
      </c>
      <c r="F48" s="2"/>
      <c r="G48">
        <v>0.05</v>
      </c>
      <c r="H48">
        <f t="shared" si="6"/>
        <v>3.4299999999999999E-3</v>
      </c>
      <c r="I48" s="1"/>
      <c r="J48">
        <v>0.4</v>
      </c>
      <c r="K48">
        <f t="shared" si="7"/>
        <v>2.7439999999999999E-2</v>
      </c>
      <c r="L48" s="1"/>
      <c r="M48" s="1"/>
      <c r="N48" s="1"/>
    </row>
    <row r="49" spans="1:18" ht="13" x14ac:dyDescent="0.3">
      <c r="A49" s="2"/>
      <c r="B49">
        <v>0.39100000000000001</v>
      </c>
      <c r="C49">
        <v>0.3</v>
      </c>
      <c r="D49">
        <v>0.01</v>
      </c>
      <c r="E49">
        <f t="shared" si="5"/>
        <v>1.173E-3</v>
      </c>
      <c r="F49" s="2"/>
      <c r="G49">
        <v>0.15</v>
      </c>
      <c r="H49">
        <f t="shared" si="6"/>
        <v>1.7595E-2</v>
      </c>
      <c r="I49" s="1"/>
      <c r="J49">
        <v>0.3</v>
      </c>
      <c r="K49">
        <f t="shared" si="7"/>
        <v>3.5189999999999999E-2</v>
      </c>
      <c r="L49" s="1"/>
      <c r="M49" s="1"/>
      <c r="N49" s="1"/>
    </row>
    <row r="50" spans="1:18" ht="13" x14ac:dyDescent="0.3">
      <c r="A50" s="2"/>
      <c r="B50">
        <v>0.126</v>
      </c>
      <c r="C50">
        <v>0.7</v>
      </c>
      <c r="D50">
        <v>0.1</v>
      </c>
      <c r="E50">
        <f t="shared" si="5"/>
        <v>8.8199999999999997E-3</v>
      </c>
      <c r="F50" s="1"/>
      <c r="G50">
        <v>0.2</v>
      </c>
      <c r="H50">
        <f t="shared" si="6"/>
        <v>1.7639999999999999E-2</v>
      </c>
      <c r="I50" s="1"/>
      <c r="J50">
        <v>0.7</v>
      </c>
      <c r="K50">
        <f t="shared" si="7"/>
        <v>6.1739999999999996E-2</v>
      </c>
      <c r="L50" s="1"/>
      <c r="M50" s="1"/>
      <c r="N50" s="1"/>
    </row>
    <row r="51" spans="1:18" s="1" customFormat="1" ht="13" x14ac:dyDescent="0.3">
      <c r="E51" s="1">
        <f>SUM(E44:E50)</f>
        <v>1.8394000000000001E-2</v>
      </c>
      <c r="H51" s="1">
        <f>SUM(H44:H50)</f>
        <v>7.4099999999999999E-2</v>
      </c>
      <c r="K51" s="1">
        <f>SUM(K44:K50)</f>
        <v>0.25849499999999997</v>
      </c>
    </row>
    <row r="52" spans="1:18" ht="13" x14ac:dyDescent="0.3">
      <c r="A52" s="2"/>
      <c r="B52" s="2"/>
      <c r="C52" s="2"/>
      <c r="D52" s="2"/>
      <c r="F52" s="2"/>
      <c r="G52" s="2"/>
      <c r="I52" s="1"/>
      <c r="J52" s="1"/>
      <c r="K52" s="1"/>
      <c r="L52" s="1"/>
      <c r="M52" s="1"/>
      <c r="N52" s="1"/>
    </row>
    <row r="53" spans="1:18" ht="13" x14ac:dyDescent="0.3">
      <c r="A53" s="2"/>
      <c r="B53" s="3" t="s">
        <v>129</v>
      </c>
      <c r="C53" t="s">
        <v>9</v>
      </c>
      <c r="D53" t="s">
        <v>10</v>
      </c>
      <c r="F53" s="2" t="s">
        <v>57</v>
      </c>
      <c r="G53" t="s">
        <v>11</v>
      </c>
      <c r="I53" s="1" t="s">
        <v>57</v>
      </c>
      <c r="L53" s="1"/>
      <c r="M53" s="1"/>
      <c r="N53" s="1"/>
    </row>
    <row r="54" spans="1:18" ht="13" x14ac:dyDescent="0.3">
      <c r="A54" s="2"/>
      <c r="B54">
        <v>0.155</v>
      </c>
      <c r="C54">
        <v>0.05</v>
      </c>
      <c r="D54">
        <v>0.05</v>
      </c>
      <c r="E54">
        <f t="shared" si="5"/>
        <v>3.8750000000000004E-4</v>
      </c>
      <c r="F54" s="2"/>
      <c r="G54">
        <v>0.01</v>
      </c>
      <c r="H54">
        <f t="shared" si="6"/>
        <v>7.75E-5</v>
      </c>
      <c r="I54" s="1"/>
      <c r="L54" s="1"/>
      <c r="M54" s="1"/>
      <c r="N54" s="1"/>
    </row>
    <row r="55" spans="1:18" s="1" customFormat="1" ht="13" x14ac:dyDescent="0.3">
      <c r="B55" s="1">
        <v>0.126</v>
      </c>
      <c r="C55" s="1">
        <v>0.02</v>
      </c>
      <c r="D55" s="1">
        <v>0.4</v>
      </c>
      <c r="E55" s="1">
        <f t="shared" si="5"/>
        <v>1.008E-3</v>
      </c>
      <c r="F55" s="1">
        <f>E55/E61</f>
        <v>0.19493328176368208</v>
      </c>
      <c r="G55" s="1">
        <v>0.7</v>
      </c>
      <c r="H55" s="1">
        <f t="shared" si="6"/>
        <v>1.7639999999999999E-3</v>
      </c>
      <c r="I55" s="1">
        <f>H55/H61</f>
        <v>9.7369801010128876E-2</v>
      </c>
    </row>
    <row r="56" spans="1:18" ht="13" x14ac:dyDescent="0.3">
      <c r="A56" s="2"/>
      <c r="B56">
        <v>8.4000000000000005E-2</v>
      </c>
      <c r="C56">
        <v>0.05</v>
      </c>
      <c r="D56">
        <v>0.1</v>
      </c>
      <c r="E56">
        <f t="shared" si="5"/>
        <v>4.2000000000000007E-4</v>
      </c>
      <c r="F56" s="2"/>
      <c r="G56">
        <v>0.95</v>
      </c>
      <c r="H56">
        <f t="shared" si="6"/>
        <v>3.9900000000000005E-3</v>
      </c>
      <c r="I56" s="1"/>
      <c r="L56" s="1"/>
      <c r="M56" s="1"/>
      <c r="N56" s="1"/>
    </row>
    <row r="57" spans="1:18" ht="13" x14ac:dyDescent="0.3">
      <c r="A57" s="2"/>
      <c r="B57" s="2">
        <v>0.02</v>
      </c>
      <c r="C57" s="2">
        <v>0.1</v>
      </c>
      <c r="D57" s="2">
        <v>0.1</v>
      </c>
      <c r="E57">
        <f t="shared" si="5"/>
        <v>2.0000000000000001E-4</v>
      </c>
      <c r="F57" s="2"/>
      <c r="G57" s="2">
        <v>0.95</v>
      </c>
      <c r="H57">
        <f t="shared" si="6"/>
        <v>1.9E-3</v>
      </c>
      <c r="I57" s="1"/>
      <c r="J57" s="2"/>
      <c r="K57" s="2"/>
      <c r="L57" s="1"/>
      <c r="M57" s="1"/>
      <c r="N57" s="1"/>
      <c r="O57" s="2"/>
      <c r="R57" s="2"/>
    </row>
    <row r="58" spans="1:18" ht="13" x14ac:dyDescent="0.3">
      <c r="A58" s="2"/>
      <c r="B58">
        <v>9.8000000000000004E-2</v>
      </c>
      <c r="C58">
        <v>0.01</v>
      </c>
      <c r="D58">
        <v>0.05</v>
      </c>
      <c r="E58">
        <f t="shared" si="5"/>
        <v>4.8999999999999998E-5</v>
      </c>
      <c r="F58" s="2"/>
      <c r="G58">
        <v>0.4</v>
      </c>
      <c r="H58">
        <f t="shared" si="6"/>
        <v>3.9199999999999999E-4</v>
      </c>
      <c r="I58" s="1"/>
      <c r="L58" s="1"/>
      <c r="M58" s="1"/>
      <c r="N58" s="1"/>
    </row>
    <row r="59" spans="1:18" ht="13" x14ac:dyDescent="0.3">
      <c r="A59" s="2"/>
      <c r="B59">
        <v>0.39100000000000001</v>
      </c>
      <c r="C59">
        <v>0.01</v>
      </c>
      <c r="D59">
        <v>0.15</v>
      </c>
      <c r="E59">
        <f t="shared" si="5"/>
        <v>5.865E-4</v>
      </c>
      <c r="F59" s="2"/>
      <c r="G59">
        <v>0.3</v>
      </c>
      <c r="H59">
        <f t="shared" si="6"/>
        <v>1.173E-3</v>
      </c>
      <c r="I59" s="1"/>
      <c r="L59" s="1"/>
      <c r="M59" s="1"/>
      <c r="N59" s="1"/>
    </row>
    <row r="60" spans="1:18" ht="13" x14ac:dyDescent="0.3">
      <c r="A60" s="2"/>
      <c r="B60">
        <v>0.126</v>
      </c>
      <c r="C60">
        <v>0.1</v>
      </c>
      <c r="D60">
        <v>0.2</v>
      </c>
      <c r="E60">
        <f t="shared" si="5"/>
        <v>2.5200000000000001E-3</v>
      </c>
      <c r="F60" s="2"/>
      <c r="G60">
        <v>0.7</v>
      </c>
      <c r="H60">
        <f t="shared" si="6"/>
        <v>8.8199999999999997E-3</v>
      </c>
      <c r="I60" s="1"/>
      <c r="L60" s="1"/>
      <c r="M60" s="1"/>
      <c r="N60" s="1"/>
    </row>
    <row r="61" spans="1:18" s="1" customFormat="1" ht="13" x14ac:dyDescent="0.3">
      <c r="E61" s="1">
        <f>SUM(E54:E60)</f>
        <v>5.1710000000000002E-3</v>
      </c>
      <c r="H61" s="1">
        <f>SUM(H54:H60)</f>
        <v>1.8116500000000001E-2</v>
      </c>
    </row>
    <row r="62" spans="1:18" ht="13" x14ac:dyDescent="0.3">
      <c r="A62" s="2"/>
      <c r="B62" s="2"/>
      <c r="C62" s="2"/>
      <c r="D62" s="2"/>
      <c r="F62" s="2"/>
      <c r="G62" s="2"/>
      <c r="H62" s="2"/>
      <c r="I62" s="1"/>
      <c r="J62" s="1"/>
      <c r="K62" s="1"/>
      <c r="L62" s="1"/>
      <c r="M62" s="1"/>
      <c r="N62" s="1"/>
    </row>
    <row r="63" spans="1:18" ht="13" x14ac:dyDescent="0.3">
      <c r="A63" s="2"/>
      <c r="B63" s="3" t="s">
        <v>129</v>
      </c>
      <c r="C63" t="s">
        <v>10</v>
      </c>
      <c r="D63" t="s">
        <v>11</v>
      </c>
      <c r="F63" s="2" t="s">
        <v>57</v>
      </c>
      <c r="I63" s="1"/>
      <c r="L63" s="1"/>
      <c r="M63" s="1"/>
      <c r="N63" s="1"/>
    </row>
    <row r="64" spans="1:18" ht="13" x14ac:dyDescent="0.3">
      <c r="A64" s="2"/>
      <c r="B64">
        <v>0.155</v>
      </c>
      <c r="C64">
        <v>0.05</v>
      </c>
      <c r="D64">
        <v>0.01</v>
      </c>
      <c r="E64">
        <f t="shared" si="5"/>
        <v>7.75E-5</v>
      </c>
      <c r="F64" s="2"/>
      <c r="I64" s="1"/>
      <c r="L64" s="1"/>
      <c r="M64" s="1"/>
      <c r="N64" s="1"/>
    </row>
    <row r="65" spans="1:18" s="1" customFormat="1" ht="13" x14ac:dyDescent="0.3">
      <c r="B65" s="1">
        <v>0.126</v>
      </c>
      <c r="C65" s="1">
        <v>0.4</v>
      </c>
      <c r="D65" s="1">
        <v>0.7</v>
      </c>
      <c r="E65" s="1">
        <f t="shared" si="5"/>
        <v>3.5279999999999999E-2</v>
      </c>
      <c r="F65" s="1">
        <f>E65/E71</f>
        <v>0.42798653443726681</v>
      </c>
    </row>
    <row r="66" spans="1:18" ht="13" x14ac:dyDescent="0.3">
      <c r="A66" s="2"/>
      <c r="B66">
        <v>8.4000000000000005E-2</v>
      </c>
      <c r="C66">
        <v>0.1</v>
      </c>
      <c r="D66">
        <v>0.95</v>
      </c>
      <c r="E66">
        <f t="shared" si="5"/>
        <v>7.980000000000001E-3</v>
      </c>
      <c r="F66" s="2"/>
      <c r="I66" s="1"/>
      <c r="L66" s="1"/>
      <c r="M66" s="1"/>
      <c r="N66" s="1"/>
    </row>
    <row r="67" spans="1:18" ht="13" x14ac:dyDescent="0.3">
      <c r="A67" s="2"/>
      <c r="B67" s="2">
        <v>0.02</v>
      </c>
      <c r="C67" s="2">
        <v>0.1</v>
      </c>
      <c r="D67" s="2">
        <v>0.95</v>
      </c>
      <c r="E67">
        <f t="shared" si="5"/>
        <v>1.9E-3</v>
      </c>
      <c r="F67" s="2"/>
      <c r="G67" s="2"/>
      <c r="H67" s="2"/>
      <c r="I67" s="1"/>
      <c r="J67" s="2"/>
      <c r="K67" s="2"/>
      <c r="L67" s="1"/>
      <c r="M67" s="1"/>
      <c r="N67" s="1"/>
      <c r="O67" s="2"/>
      <c r="R67" s="2"/>
    </row>
    <row r="68" spans="1:18" ht="13" x14ac:dyDescent="0.3">
      <c r="A68" s="2"/>
      <c r="B68">
        <v>9.8000000000000004E-2</v>
      </c>
      <c r="C68">
        <v>0.05</v>
      </c>
      <c r="D68">
        <v>0.4</v>
      </c>
      <c r="E68">
        <f t="shared" si="5"/>
        <v>1.9600000000000004E-3</v>
      </c>
      <c r="F68" s="2"/>
      <c r="I68" s="1"/>
      <c r="L68" s="1"/>
      <c r="M68" s="1"/>
      <c r="N68" s="1"/>
    </row>
    <row r="69" spans="1:18" ht="13" x14ac:dyDescent="0.3">
      <c r="A69" s="2"/>
      <c r="B69">
        <v>0.39100000000000001</v>
      </c>
      <c r="C69">
        <v>0.15</v>
      </c>
      <c r="D69">
        <v>0.3</v>
      </c>
      <c r="E69">
        <f t="shared" si="5"/>
        <v>1.7595E-2</v>
      </c>
      <c r="F69" s="2"/>
      <c r="I69" s="1"/>
      <c r="L69" s="1"/>
      <c r="M69" s="1"/>
      <c r="N69" s="1"/>
    </row>
    <row r="70" spans="1:18" ht="13" x14ac:dyDescent="0.3">
      <c r="A70" s="2"/>
      <c r="B70">
        <v>0.126</v>
      </c>
      <c r="C70">
        <v>0.2</v>
      </c>
      <c r="D70">
        <v>0.7</v>
      </c>
      <c r="E70">
        <f t="shared" si="5"/>
        <v>1.7639999999999999E-2</v>
      </c>
      <c r="F70" s="2"/>
      <c r="I70" s="1"/>
      <c r="L70" s="1"/>
      <c r="M70" s="1"/>
      <c r="N70" s="1"/>
    </row>
    <row r="71" spans="1:18" ht="13" x14ac:dyDescent="0.3">
      <c r="A71" s="2"/>
      <c r="B71" s="2"/>
      <c r="C71" s="2"/>
      <c r="D71" s="2"/>
      <c r="E71" s="1">
        <f>SUM(E64:E70)</f>
        <v>8.2432500000000006E-2</v>
      </c>
      <c r="F71" s="2"/>
      <c r="G71" s="2"/>
      <c r="H71" s="2"/>
      <c r="I71" s="1"/>
      <c r="J71" s="1"/>
      <c r="K71" s="1"/>
      <c r="L71" s="1"/>
      <c r="M71" s="1"/>
      <c r="N71" s="1"/>
    </row>
    <row r="72" spans="1:18" ht="13" x14ac:dyDescent="0.3">
      <c r="A72" s="2"/>
      <c r="B72" s="2"/>
      <c r="C72" s="2"/>
      <c r="D72" s="2"/>
      <c r="E72" s="1"/>
      <c r="F72" s="2"/>
      <c r="G72" s="2"/>
      <c r="H72" s="2"/>
      <c r="I72" s="1"/>
      <c r="J72" s="1"/>
      <c r="K72" s="1"/>
      <c r="L72" s="1"/>
      <c r="M72" s="1"/>
      <c r="N72" s="1"/>
    </row>
    <row r="73" spans="1:18" ht="13" x14ac:dyDescent="0.3">
      <c r="A73" s="2"/>
      <c r="B73" s="2"/>
      <c r="C73" s="2"/>
      <c r="D73" s="2"/>
      <c r="E73" s="1"/>
      <c r="F73" s="2"/>
      <c r="G73" s="2"/>
      <c r="H73" s="2"/>
      <c r="I73" s="1"/>
      <c r="J73" s="1"/>
      <c r="K73" s="1"/>
      <c r="L73" s="1"/>
      <c r="M73" s="1"/>
      <c r="N73" s="1"/>
    </row>
    <row r="74" spans="1:18" ht="13" x14ac:dyDescent="0.3">
      <c r="A74" s="2"/>
      <c r="B74" s="2"/>
      <c r="C74" s="2"/>
      <c r="D74" s="2"/>
      <c r="E74" s="1"/>
      <c r="F74" s="2"/>
      <c r="G74" s="2"/>
      <c r="H74" s="2"/>
      <c r="I74" s="1"/>
      <c r="J74" s="1"/>
      <c r="K74" s="1"/>
      <c r="L74" s="1"/>
      <c r="M74" s="1"/>
      <c r="N74" s="1"/>
    </row>
    <row r="75" spans="1:18" ht="13" x14ac:dyDescent="0.3">
      <c r="A75" s="2"/>
      <c r="B75" s="2"/>
      <c r="C75" s="2"/>
      <c r="D75" s="2"/>
      <c r="E75" s="1"/>
      <c r="F75" s="2"/>
      <c r="G75" s="2"/>
      <c r="H75" s="2"/>
      <c r="I75" s="1"/>
      <c r="J75" s="1"/>
      <c r="K75" s="1"/>
      <c r="L75" s="1"/>
      <c r="M75" s="1"/>
      <c r="N75" s="1"/>
    </row>
    <row r="76" spans="1:18" ht="26" x14ac:dyDescent="0.3">
      <c r="A76" s="4" t="s">
        <v>0</v>
      </c>
      <c r="B76" s="1"/>
      <c r="C76" s="1"/>
      <c r="D76" s="1" t="s">
        <v>1</v>
      </c>
      <c r="E76" s="1"/>
      <c r="F76" s="4" t="s">
        <v>140</v>
      </c>
      <c r="G76" s="1"/>
      <c r="H76" s="1"/>
      <c r="I76" s="4" t="s">
        <v>3</v>
      </c>
      <c r="J76" s="1"/>
      <c r="K76" s="1"/>
      <c r="L76" s="1"/>
      <c r="M76" s="1"/>
      <c r="N76" s="1"/>
    </row>
    <row r="77" spans="1:18" ht="13" x14ac:dyDescent="0.3">
      <c r="A77" s="2"/>
      <c r="B77" s="2"/>
      <c r="C77" s="2"/>
      <c r="D77" s="2"/>
      <c r="E77" s="1"/>
      <c r="F77" s="2"/>
      <c r="G77" s="2"/>
      <c r="H77" s="2"/>
      <c r="I77" s="1"/>
      <c r="J77" s="1"/>
      <c r="K77" s="1"/>
      <c r="L77" s="1"/>
      <c r="M77" s="1"/>
      <c r="N77" s="1"/>
    </row>
    <row r="78" spans="1:18" ht="13" x14ac:dyDescent="0.3">
      <c r="A78" s="2"/>
      <c r="B78" s="2"/>
      <c r="F78" s="2"/>
      <c r="I78" s="1"/>
      <c r="L78" s="1"/>
      <c r="M78" s="1"/>
      <c r="N78" s="1"/>
    </row>
    <row r="79" spans="1:18" s="1" customFormat="1" ht="13" x14ac:dyDescent="0.3">
      <c r="B79" s="1" t="s">
        <v>57</v>
      </c>
      <c r="E79" s="1" t="s">
        <v>57</v>
      </c>
    </row>
    <row r="80" spans="1:18" ht="13" x14ac:dyDescent="0.3">
      <c r="A80" s="2" t="s">
        <v>37</v>
      </c>
      <c r="B80" s="2">
        <f>F6</f>
        <v>3.0704372936288426E-2</v>
      </c>
      <c r="D80" t="s">
        <v>47</v>
      </c>
      <c r="E80">
        <f>F26</f>
        <v>2.0369232758899417E-2</v>
      </c>
      <c r="F80" s="2"/>
      <c r="I80" s="1"/>
      <c r="L80" s="1"/>
      <c r="M80" s="1"/>
      <c r="N80" s="1"/>
    </row>
    <row r="81" spans="1:18" ht="13" x14ac:dyDescent="0.3">
      <c r="A81" s="2" t="s">
        <v>38</v>
      </c>
      <c r="B81" s="2">
        <f>I6</f>
        <v>0.13629578348441251</v>
      </c>
      <c r="D81" t="s">
        <v>48</v>
      </c>
      <c r="E81">
        <f>I26</f>
        <v>9.6681373489353531E-3</v>
      </c>
      <c r="F81" s="2"/>
      <c r="I81" s="1"/>
      <c r="L81" s="1"/>
      <c r="M81" s="1"/>
      <c r="N81" s="1"/>
    </row>
    <row r="82" spans="1:18" ht="13" x14ac:dyDescent="0.3">
      <c r="A82" s="2" t="s">
        <v>39</v>
      </c>
      <c r="B82" s="2">
        <f>L6</f>
        <v>6.7515070328198257E-2</v>
      </c>
      <c r="C82" s="2"/>
      <c r="D82" s="2" t="s">
        <v>49</v>
      </c>
      <c r="E82" s="2">
        <f>L26</f>
        <v>8.1738566331495274E-2</v>
      </c>
      <c r="F82" s="2"/>
      <c r="G82" s="2"/>
      <c r="H82" s="2"/>
      <c r="I82" s="1"/>
      <c r="J82" s="2"/>
      <c r="K82" s="2"/>
      <c r="L82" s="1"/>
      <c r="M82" s="1"/>
      <c r="N82" s="1"/>
      <c r="O82" s="2"/>
      <c r="R82" s="2"/>
    </row>
    <row r="83" spans="1:18" ht="13" x14ac:dyDescent="0.3">
      <c r="A83" s="2" t="s">
        <v>40</v>
      </c>
      <c r="B83" s="2">
        <f>Q6</f>
        <v>0.27636882077152963</v>
      </c>
      <c r="D83" s="2" t="s">
        <v>50</v>
      </c>
      <c r="E83">
        <f>Q26</f>
        <v>3.0735723308794701E-2</v>
      </c>
      <c r="F83" s="2"/>
      <c r="I83" s="1"/>
      <c r="L83" s="1"/>
      <c r="M83" s="1"/>
      <c r="N83" s="1"/>
    </row>
    <row r="84" spans="1:18" ht="13" x14ac:dyDescent="0.3">
      <c r="A84" s="2" t="s">
        <v>41</v>
      </c>
      <c r="B84" s="2">
        <f>T6</f>
        <v>0.18666706172923114</v>
      </c>
      <c r="D84" s="2" t="s">
        <v>51</v>
      </c>
      <c r="E84">
        <f>F45</f>
        <v>6.8500598021093831E-2</v>
      </c>
      <c r="F84" s="2"/>
      <c r="I84" s="1"/>
      <c r="L84" s="1"/>
      <c r="M84" s="1"/>
      <c r="N84" s="1"/>
    </row>
    <row r="85" spans="1:18" ht="13" x14ac:dyDescent="0.3">
      <c r="A85" s="2" t="s">
        <v>42</v>
      </c>
      <c r="B85" s="2">
        <f>F16</f>
        <v>0.16707551548100513</v>
      </c>
      <c r="D85" s="2" t="s">
        <v>52</v>
      </c>
      <c r="E85">
        <f>I45</f>
        <v>0.34008097165991902</v>
      </c>
      <c r="F85" s="2"/>
      <c r="I85" s="1"/>
      <c r="L85" s="1"/>
      <c r="M85" s="1"/>
      <c r="N85" s="1"/>
    </row>
    <row r="86" spans="1:18" ht="13" x14ac:dyDescent="0.3">
      <c r="A86" s="2" t="s">
        <v>43</v>
      </c>
      <c r="B86" s="2">
        <f>I16</f>
        <v>0.40387204307968461</v>
      </c>
      <c r="C86" s="2"/>
      <c r="D86" s="2" t="s">
        <v>53</v>
      </c>
      <c r="E86" s="2">
        <f>L45</f>
        <v>0.17060291301572567</v>
      </c>
      <c r="F86" s="2"/>
      <c r="G86" s="2"/>
      <c r="H86" s="2"/>
      <c r="I86" s="1"/>
      <c r="J86" s="1"/>
      <c r="K86" s="1"/>
      <c r="L86" s="1"/>
      <c r="M86" s="1"/>
      <c r="N86" s="1"/>
    </row>
    <row r="87" spans="1:18" x14ac:dyDescent="0.25">
      <c r="A87" s="2" t="s">
        <v>44</v>
      </c>
      <c r="B87">
        <f>L16</f>
        <v>0.15571896434530061</v>
      </c>
      <c r="D87" s="2" t="s">
        <v>54</v>
      </c>
      <c r="E87">
        <f>F55</f>
        <v>0.19493328176368208</v>
      </c>
    </row>
    <row r="88" spans="1:18" ht="13" x14ac:dyDescent="0.3">
      <c r="A88" s="2" t="s">
        <v>45</v>
      </c>
      <c r="B88" s="1">
        <f>Q16</f>
        <v>0.60413545100389565</v>
      </c>
      <c r="D88" s="2" t="s">
        <v>55</v>
      </c>
      <c r="E88">
        <f>I55</f>
        <v>9.7369801010128876E-2</v>
      </c>
    </row>
    <row r="89" spans="1:18" x14ac:dyDescent="0.25">
      <c r="A89" s="2" t="s">
        <v>46</v>
      </c>
      <c r="B89" s="2">
        <f>T16</f>
        <v>0.52606465465823704</v>
      </c>
      <c r="D89" s="2" t="s">
        <v>56</v>
      </c>
      <c r="E89">
        <f>F65</f>
        <v>0.42798653443726681</v>
      </c>
    </row>
    <row r="91" spans="1:18" x14ac:dyDescent="0.25">
      <c r="B91" t="s">
        <v>141</v>
      </c>
    </row>
    <row r="92" spans="1:18" x14ac:dyDescent="0.25">
      <c r="B92" t="s">
        <v>142</v>
      </c>
    </row>
    <row r="93" spans="1:18" ht="13" x14ac:dyDescent="0.3">
      <c r="B93" t="s">
        <v>143</v>
      </c>
      <c r="F93" s="1"/>
    </row>
    <row r="94" spans="1:18" ht="13" x14ac:dyDescent="0.3">
      <c r="F94" t="s">
        <v>144</v>
      </c>
    </row>
    <row r="95" spans="1:18" ht="13" x14ac:dyDescent="0.3">
      <c r="B95" t="s">
        <v>151</v>
      </c>
    </row>
  </sheetData>
  <phoneticPr fontId="0" type="noConversion"/>
  <pageMargins left="0.75" right="0.75" top="1" bottom="1" header="0.5" footer="0.5"/>
  <pageSetup orientation="landscape" horizontalDpi="204" verticalDpi="196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8"/>
  <sheetViews>
    <sheetView tabSelected="1" topLeftCell="A314" workbookViewId="0">
      <selection activeCell="G333" sqref="G333"/>
    </sheetView>
  </sheetViews>
  <sheetFormatPr defaultRowHeight="12.5" x14ac:dyDescent="0.25"/>
  <cols>
    <col min="2" max="2" width="8.1796875" customWidth="1"/>
    <col min="4" max="4" width="9.26953125" customWidth="1"/>
    <col min="6" max="6" width="9.7265625" customWidth="1"/>
    <col min="8" max="8" width="7.453125" customWidth="1"/>
    <col min="9" max="9" width="8.453125" customWidth="1"/>
  </cols>
  <sheetData>
    <row r="1" spans="1:9" s="1" customFormat="1" ht="13" x14ac:dyDescent="0.3">
      <c r="A1" s="1" t="s">
        <v>0</v>
      </c>
      <c r="C1" s="1" t="s">
        <v>1</v>
      </c>
      <c r="E1" s="1" t="s">
        <v>140</v>
      </c>
      <c r="G1" s="1" t="s">
        <v>3</v>
      </c>
    </row>
    <row r="2" spans="1:9" s="1" customFormat="1" ht="13" x14ac:dyDescent="0.3"/>
    <row r="3" spans="1:9" x14ac:dyDescent="0.25">
      <c r="A3" s="3" t="s">
        <v>130</v>
      </c>
      <c r="B3" s="3" t="s">
        <v>129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A4" t="s">
        <v>14</v>
      </c>
      <c r="B4">
        <v>0.155</v>
      </c>
      <c r="C4">
        <v>0.49</v>
      </c>
      <c r="D4">
        <v>0.5</v>
      </c>
      <c r="E4">
        <v>0.01</v>
      </c>
      <c r="F4">
        <v>0.1</v>
      </c>
      <c r="G4">
        <v>0.05</v>
      </c>
      <c r="H4">
        <v>0.05</v>
      </c>
      <c r="I4">
        <v>0.01</v>
      </c>
    </row>
    <row r="5" spans="1:9" x14ac:dyDescent="0.25">
      <c r="A5" t="s">
        <v>15</v>
      </c>
      <c r="B5">
        <v>0.126</v>
      </c>
      <c r="C5">
        <v>0.5</v>
      </c>
      <c r="D5">
        <v>0.5</v>
      </c>
      <c r="E5">
        <v>0.02</v>
      </c>
      <c r="F5">
        <v>0.5</v>
      </c>
      <c r="G5">
        <v>0.02</v>
      </c>
      <c r="H5">
        <v>0.4</v>
      </c>
      <c r="I5">
        <v>0.7</v>
      </c>
    </row>
    <row r="6" spans="1:9" x14ac:dyDescent="0.25">
      <c r="A6" t="s">
        <v>16</v>
      </c>
      <c r="B6">
        <v>8.4000000000000005E-2</v>
      </c>
      <c r="C6">
        <v>0.55000000000000004</v>
      </c>
      <c r="D6">
        <v>0.05</v>
      </c>
      <c r="E6">
        <v>0.25</v>
      </c>
      <c r="F6">
        <v>0.9</v>
      </c>
      <c r="G6">
        <v>0.05</v>
      </c>
      <c r="H6">
        <v>0.1</v>
      </c>
      <c r="I6">
        <v>0.95</v>
      </c>
    </row>
    <row r="7" spans="1:9" x14ac:dyDescent="0.25">
      <c r="A7" s="2" t="s">
        <v>17</v>
      </c>
      <c r="B7" s="2">
        <v>0.02</v>
      </c>
      <c r="C7" s="2">
        <v>0.45</v>
      </c>
      <c r="D7" s="2">
        <v>0.45</v>
      </c>
      <c r="E7" s="2">
        <v>0.01</v>
      </c>
      <c r="F7" s="2">
        <v>0.95</v>
      </c>
      <c r="G7" s="2">
        <v>0.1</v>
      </c>
      <c r="H7" s="2">
        <v>0.1</v>
      </c>
      <c r="I7" s="2">
        <v>0.95</v>
      </c>
    </row>
    <row r="8" spans="1:9" x14ac:dyDescent="0.25">
      <c r="A8" t="s">
        <v>18</v>
      </c>
      <c r="B8">
        <v>9.8000000000000004E-2</v>
      </c>
      <c r="C8">
        <v>0.1</v>
      </c>
      <c r="D8">
        <v>0</v>
      </c>
      <c r="E8">
        <v>0.2</v>
      </c>
      <c r="F8">
        <v>0.7</v>
      </c>
      <c r="G8">
        <v>0.01</v>
      </c>
      <c r="H8">
        <v>0.05</v>
      </c>
      <c r="I8">
        <v>0.4</v>
      </c>
    </row>
    <row r="9" spans="1:9" x14ac:dyDescent="0.25">
      <c r="A9" t="s">
        <v>19</v>
      </c>
      <c r="B9">
        <v>0.39100000000000001</v>
      </c>
      <c r="C9">
        <v>0.7</v>
      </c>
      <c r="D9">
        <v>0.15</v>
      </c>
      <c r="E9">
        <v>0.01</v>
      </c>
      <c r="F9">
        <v>0.3</v>
      </c>
      <c r="G9">
        <v>0.01</v>
      </c>
      <c r="H9">
        <v>0.15</v>
      </c>
      <c r="I9">
        <v>0.3</v>
      </c>
    </row>
    <row r="10" spans="1:9" x14ac:dyDescent="0.25">
      <c r="A10" t="s">
        <v>20</v>
      </c>
      <c r="B10">
        <v>0.126</v>
      </c>
      <c r="C10">
        <v>0.6</v>
      </c>
      <c r="D10">
        <v>0.1</v>
      </c>
      <c r="E10">
        <v>0.3</v>
      </c>
      <c r="F10">
        <v>0.7</v>
      </c>
      <c r="G10">
        <v>0.1</v>
      </c>
      <c r="H10">
        <v>0.2</v>
      </c>
      <c r="I10">
        <v>0.7</v>
      </c>
    </row>
    <row r="12" spans="1:9" ht="13" x14ac:dyDescent="0.3">
      <c r="A12" s="3" t="s">
        <v>130</v>
      </c>
      <c r="B12" s="3" t="s">
        <v>129</v>
      </c>
      <c r="C12" t="s">
        <v>5</v>
      </c>
      <c r="D12" t="s">
        <v>7</v>
      </c>
      <c r="E12" t="s">
        <v>8</v>
      </c>
      <c r="F12" t="s">
        <v>145</v>
      </c>
      <c r="G12" s="1" t="s">
        <v>57</v>
      </c>
    </row>
    <row r="13" spans="1:9" x14ac:dyDescent="0.25">
      <c r="A13" t="s">
        <v>14</v>
      </c>
      <c r="B13">
        <v>0.155</v>
      </c>
      <c r="C13">
        <v>0.49</v>
      </c>
      <c r="D13">
        <v>0.01</v>
      </c>
      <c r="E13">
        <v>0.1</v>
      </c>
      <c r="F13">
        <f>B13*C13*D13*E13</f>
        <v>7.5950000000000017E-5</v>
      </c>
    </row>
    <row r="14" spans="1:9" s="1" customFormat="1" ht="13" x14ac:dyDescent="0.3">
      <c r="A14" s="1" t="s">
        <v>15</v>
      </c>
      <c r="B14" s="1">
        <v>0.126</v>
      </c>
      <c r="C14" s="1">
        <v>0.5</v>
      </c>
      <c r="D14" s="1">
        <v>0.02</v>
      </c>
      <c r="E14" s="1">
        <v>0.5</v>
      </c>
      <c r="F14" s="1">
        <f t="shared" ref="F14:F77" si="0">B14*C14*D14*E14</f>
        <v>6.3000000000000003E-4</v>
      </c>
      <c r="G14" s="1">
        <f>F14/F20</f>
        <v>2.153437552874583E-2</v>
      </c>
    </row>
    <row r="15" spans="1:9" x14ac:dyDescent="0.25">
      <c r="A15" t="s">
        <v>16</v>
      </c>
      <c r="B15">
        <v>8.4000000000000005E-2</v>
      </c>
      <c r="C15">
        <v>0.55000000000000004</v>
      </c>
      <c r="D15">
        <v>0.25</v>
      </c>
      <c r="E15">
        <v>0.9</v>
      </c>
      <c r="F15">
        <f t="shared" si="0"/>
        <v>1.0395000000000001E-2</v>
      </c>
    </row>
    <row r="16" spans="1:9" x14ac:dyDescent="0.25">
      <c r="A16" s="2" t="s">
        <v>17</v>
      </c>
      <c r="B16" s="2">
        <v>0.02</v>
      </c>
      <c r="C16" s="2">
        <v>0.45</v>
      </c>
      <c r="D16" s="2">
        <v>0.01</v>
      </c>
      <c r="E16" s="2">
        <v>0.95</v>
      </c>
      <c r="F16">
        <f t="shared" si="0"/>
        <v>8.5500000000000005E-5</v>
      </c>
    </row>
    <row r="17" spans="1:7" x14ac:dyDescent="0.25">
      <c r="A17" t="s">
        <v>18</v>
      </c>
      <c r="B17">
        <v>9.8000000000000004E-2</v>
      </c>
      <c r="C17">
        <v>0.1</v>
      </c>
      <c r="D17">
        <v>0.2</v>
      </c>
      <c r="E17">
        <v>0.7</v>
      </c>
      <c r="F17">
        <f t="shared" si="0"/>
        <v>1.3720000000000002E-3</v>
      </c>
    </row>
    <row r="18" spans="1:7" x14ac:dyDescent="0.25">
      <c r="A18" t="s">
        <v>19</v>
      </c>
      <c r="B18">
        <v>0.39100000000000001</v>
      </c>
      <c r="C18">
        <v>0.7</v>
      </c>
      <c r="D18">
        <v>0.01</v>
      </c>
      <c r="E18">
        <v>0.3</v>
      </c>
      <c r="F18">
        <f t="shared" si="0"/>
        <v>8.2109999999999995E-4</v>
      </c>
    </row>
    <row r="19" spans="1:7" x14ac:dyDescent="0.25">
      <c r="A19" t="s">
        <v>20</v>
      </c>
      <c r="B19">
        <v>0.126</v>
      </c>
      <c r="C19">
        <v>0.6</v>
      </c>
      <c r="D19">
        <v>0.3</v>
      </c>
      <c r="E19">
        <v>0.7</v>
      </c>
      <c r="F19">
        <f t="shared" si="0"/>
        <v>1.5875999999999998E-2</v>
      </c>
    </row>
    <row r="20" spans="1:7" ht="13" x14ac:dyDescent="0.3">
      <c r="F20" s="1">
        <f>SUM(F13:F19)</f>
        <v>2.9255549999999998E-2</v>
      </c>
    </row>
    <row r="22" spans="1:7" x14ac:dyDescent="0.25">
      <c r="A22" s="3" t="s">
        <v>130</v>
      </c>
      <c r="B22" s="3" t="s">
        <v>129</v>
      </c>
      <c r="C22" t="s">
        <v>5</v>
      </c>
      <c r="D22" t="s">
        <v>7</v>
      </c>
      <c r="E22" t="s">
        <v>9</v>
      </c>
    </row>
    <row r="23" spans="1:7" x14ac:dyDescent="0.25">
      <c r="A23" t="s">
        <v>14</v>
      </c>
      <c r="B23">
        <v>0.155</v>
      </c>
      <c r="C23">
        <v>0.49</v>
      </c>
      <c r="D23">
        <v>0.01</v>
      </c>
      <c r="E23">
        <v>0.05</v>
      </c>
      <c r="F23">
        <f t="shared" si="0"/>
        <v>3.7975000000000008E-5</v>
      </c>
    </row>
    <row r="24" spans="1:7" s="1" customFormat="1" ht="13" x14ac:dyDescent="0.3">
      <c r="A24" s="1" t="s">
        <v>15</v>
      </c>
      <c r="B24" s="1">
        <v>0.126</v>
      </c>
      <c r="C24" s="1">
        <v>0.5</v>
      </c>
      <c r="D24" s="1">
        <v>0.02</v>
      </c>
      <c r="E24" s="1">
        <v>0.02</v>
      </c>
      <c r="F24" s="1">
        <f t="shared" si="0"/>
        <v>2.5200000000000003E-5</v>
      </c>
      <c r="G24" s="1">
        <f>F24/F30</f>
        <v>8.5001745571560844E-3</v>
      </c>
    </row>
    <row r="25" spans="1:7" x14ac:dyDescent="0.25">
      <c r="A25" t="s">
        <v>16</v>
      </c>
      <c r="B25">
        <v>8.4000000000000005E-2</v>
      </c>
      <c r="C25">
        <v>0.55000000000000004</v>
      </c>
      <c r="D25">
        <v>0.25</v>
      </c>
      <c r="E25">
        <v>0.05</v>
      </c>
      <c r="F25">
        <f t="shared" si="0"/>
        <v>5.7750000000000011E-4</v>
      </c>
    </row>
    <row r="26" spans="1:7" x14ac:dyDescent="0.25">
      <c r="A26" s="2" t="s">
        <v>17</v>
      </c>
      <c r="B26" s="2">
        <v>0.02</v>
      </c>
      <c r="C26" s="2">
        <v>0.45</v>
      </c>
      <c r="D26" s="2">
        <v>0.01</v>
      </c>
      <c r="E26" s="2">
        <v>0.1</v>
      </c>
      <c r="F26">
        <f t="shared" si="0"/>
        <v>9.0000000000000002E-6</v>
      </c>
    </row>
    <row r="27" spans="1:7" x14ac:dyDescent="0.25">
      <c r="A27" t="s">
        <v>18</v>
      </c>
      <c r="B27">
        <v>9.8000000000000004E-2</v>
      </c>
      <c r="C27">
        <v>0.1</v>
      </c>
      <c r="D27">
        <v>0.2</v>
      </c>
      <c r="E27">
        <v>0.01</v>
      </c>
      <c r="F27">
        <f t="shared" si="0"/>
        <v>1.9600000000000005E-5</v>
      </c>
    </row>
    <row r="28" spans="1:7" x14ac:dyDescent="0.25">
      <c r="A28" t="s">
        <v>19</v>
      </c>
      <c r="B28">
        <v>0.39100000000000001</v>
      </c>
      <c r="C28">
        <v>0.7</v>
      </c>
      <c r="D28">
        <v>0.01</v>
      </c>
      <c r="E28">
        <v>0.01</v>
      </c>
      <c r="F28">
        <f t="shared" si="0"/>
        <v>2.7370000000000001E-5</v>
      </c>
    </row>
    <row r="29" spans="1:7" x14ac:dyDescent="0.25">
      <c r="A29" t="s">
        <v>20</v>
      </c>
      <c r="B29">
        <v>0.126</v>
      </c>
      <c r="C29">
        <v>0.6</v>
      </c>
      <c r="D29">
        <v>0.3</v>
      </c>
      <c r="E29">
        <v>0.1</v>
      </c>
      <c r="F29">
        <f t="shared" si="0"/>
        <v>2.2680000000000001E-3</v>
      </c>
    </row>
    <row r="30" spans="1:7" ht="13" x14ac:dyDescent="0.3">
      <c r="F30" s="1">
        <f>SUM(F23:F29)</f>
        <v>2.9646450000000001E-3</v>
      </c>
    </row>
    <row r="32" spans="1:7" x14ac:dyDescent="0.25">
      <c r="A32" s="3" t="s">
        <v>130</v>
      </c>
      <c r="B32" s="3" t="s">
        <v>129</v>
      </c>
      <c r="C32" t="s">
        <v>5</v>
      </c>
      <c r="D32" t="s">
        <v>7</v>
      </c>
      <c r="E32" t="s">
        <v>10</v>
      </c>
    </row>
    <row r="33" spans="1:7" x14ac:dyDescent="0.25">
      <c r="A33" t="s">
        <v>14</v>
      </c>
      <c r="B33">
        <v>0.155</v>
      </c>
      <c r="C33">
        <v>0.49</v>
      </c>
      <c r="D33">
        <v>0.01</v>
      </c>
      <c r="E33">
        <v>0.05</v>
      </c>
      <c r="F33">
        <f t="shared" si="0"/>
        <v>3.7975000000000008E-5</v>
      </c>
    </row>
    <row r="34" spans="1:7" s="1" customFormat="1" ht="13" x14ac:dyDescent="0.3">
      <c r="A34" s="1" t="s">
        <v>15</v>
      </c>
      <c r="B34" s="1">
        <v>0.126</v>
      </c>
      <c r="C34" s="1">
        <v>0.5</v>
      </c>
      <c r="D34" s="1">
        <v>0.02</v>
      </c>
      <c r="E34" s="1">
        <v>0.4</v>
      </c>
      <c r="F34" s="1">
        <f t="shared" si="0"/>
        <v>5.04E-4</v>
      </c>
      <c r="G34" s="1">
        <f>F34/F40</f>
        <v>7.4660859710911368E-2</v>
      </c>
    </row>
    <row r="35" spans="1:7" x14ac:dyDescent="0.25">
      <c r="A35" t="s">
        <v>16</v>
      </c>
      <c r="B35">
        <v>8.4000000000000005E-2</v>
      </c>
      <c r="C35">
        <v>0.55000000000000004</v>
      </c>
      <c r="D35">
        <v>0.25</v>
      </c>
      <c r="E35">
        <v>0.1</v>
      </c>
      <c r="F35">
        <f t="shared" si="0"/>
        <v>1.1550000000000002E-3</v>
      </c>
    </row>
    <row r="36" spans="1:7" x14ac:dyDescent="0.25">
      <c r="A36" s="2" t="s">
        <v>17</v>
      </c>
      <c r="B36" s="2">
        <v>0.02</v>
      </c>
      <c r="C36" s="2">
        <v>0.45</v>
      </c>
      <c r="D36" s="2">
        <v>0.01</v>
      </c>
      <c r="E36" s="2">
        <v>0.1</v>
      </c>
      <c r="F36">
        <f t="shared" si="0"/>
        <v>9.0000000000000002E-6</v>
      </c>
    </row>
    <row r="37" spans="1:7" x14ac:dyDescent="0.25">
      <c r="A37" t="s">
        <v>18</v>
      </c>
      <c r="B37">
        <v>9.8000000000000004E-2</v>
      </c>
      <c r="C37">
        <v>0.1</v>
      </c>
      <c r="D37">
        <v>0.2</v>
      </c>
      <c r="E37">
        <v>0.05</v>
      </c>
      <c r="F37">
        <f t="shared" si="0"/>
        <v>9.8000000000000024E-5</v>
      </c>
    </row>
    <row r="38" spans="1:7" x14ac:dyDescent="0.25">
      <c r="A38" t="s">
        <v>19</v>
      </c>
      <c r="B38">
        <v>0.39100000000000001</v>
      </c>
      <c r="C38">
        <v>0.7</v>
      </c>
      <c r="D38">
        <v>0.01</v>
      </c>
      <c r="E38">
        <v>0.15</v>
      </c>
      <c r="F38">
        <f t="shared" si="0"/>
        <v>4.1054999999999998E-4</v>
      </c>
    </row>
    <row r="39" spans="1:7" x14ac:dyDescent="0.25">
      <c r="A39" t="s">
        <v>20</v>
      </c>
      <c r="B39">
        <v>0.126</v>
      </c>
      <c r="C39">
        <v>0.6</v>
      </c>
      <c r="D39">
        <v>0.3</v>
      </c>
      <c r="E39">
        <v>0.2</v>
      </c>
      <c r="F39">
        <f t="shared" si="0"/>
        <v>4.5360000000000001E-3</v>
      </c>
    </row>
    <row r="40" spans="1:7" ht="13" x14ac:dyDescent="0.3">
      <c r="F40" s="1">
        <f>SUM(F33:F39)</f>
        <v>6.7505250000000003E-3</v>
      </c>
    </row>
    <row r="42" spans="1:7" x14ac:dyDescent="0.25">
      <c r="A42" s="3" t="s">
        <v>130</v>
      </c>
      <c r="B42" s="3" t="s">
        <v>129</v>
      </c>
      <c r="C42" t="s">
        <v>5</v>
      </c>
      <c r="D42" t="s">
        <v>7</v>
      </c>
      <c r="E42" t="s">
        <v>11</v>
      </c>
    </row>
    <row r="43" spans="1:7" x14ac:dyDescent="0.25">
      <c r="A43" t="s">
        <v>14</v>
      </c>
      <c r="B43">
        <v>0.155</v>
      </c>
      <c r="C43">
        <v>0.49</v>
      </c>
      <c r="D43">
        <v>0.01</v>
      </c>
      <c r="E43">
        <v>0.01</v>
      </c>
      <c r="F43">
        <f t="shared" si="0"/>
        <v>7.595000000000001E-6</v>
      </c>
    </row>
    <row r="44" spans="1:7" s="1" customFormat="1" ht="13" x14ac:dyDescent="0.3">
      <c r="A44" s="1" t="s">
        <v>15</v>
      </c>
      <c r="B44" s="1">
        <v>0.126</v>
      </c>
      <c r="C44" s="1">
        <v>0.5</v>
      </c>
      <c r="D44" s="1">
        <v>0.02</v>
      </c>
      <c r="E44" s="1">
        <v>0.7</v>
      </c>
      <c r="F44" s="1">
        <f t="shared" si="0"/>
        <v>8.8199999999999997E-4</v>
      </c>
      <c r="G44" s="1">
        <f>F44/F50</f>
        <v>2.9970747938364239E-2</v>
      </c>
    </row>
    <row r="45" spans="1:7" x14ac:dyDescent="0.25">
      <c r="A45" t="s">
        <v>16</v>
      </c>
      <c r="B45">
        <v>8.4000000000000005E-2</v>
      </c>
      <c r="C45">
        <v>0.55000000000000004</v>
      </c>
      <c r="D45">
        <v>0.25</v>
      </c>
      <c r="E45">
        <v>0.95</v>
      </c>
      <c r="F45">
        <f t="shared" si="0"/>
        <v>1.0972500000000001E-2</v>
      </c>
    </row>
    <row r="46" spans="1:7" x14ac:dyDescent="0.25">
      <c r="A46" s="2" t="s">
        <v>17</v>
      </c>
      <c r="B46" s="2">
        <v>0.02</v>
      </c>
      <c r="C46" s="2">
        <v>0.45</v>
      </c>
      <c r="D46" s="2">
        <v>0.01</v>
      </c>
      <c r="E46" s="2">
        <v>0.95</v>
      </c>
      <c r="F46">
        <f t="shared" si="0"/>
        <v>8.5500000000000005E-5</v>
      </c>
    </row>
    <row r="47" spans="1:7" x14ac:dyDescent="0.25">
      <c r="A47" t="s">
        <v>18</v>
      </c>
      <c r="B47">
        <v>9.8000000000000004E-2</v>
      </c>
      <c r="C47">
        <v>0.1</v>
      </c>
      <c r="D47">
        <v>0.2</v>
      </c>
      <c r="E47">
        <v>0.4</v>
      </c>
      <c r="F47">
        <f t="shared" si="0"/>
        <v>7.8400000000000019E-4</v>
      </c>
    </row>
    <row r="48" spans="1:7" x14ac:dyDescent="0.25">
      <c r="A48" t="s">
        <v>19</v>
      </c>
      <c r="B48">
        <v>0.39100000000000001</v>
      </c>
      <c r="C48">
        <v>0.7</v>
      </c>
      <c r="D48">
        <v>0.01</v>
      </c>
      <c r="E48">
        <v>0.3</v>
      </c>
      <c r="F48">
        <f t="shared" si="0"/>
        <v>8.2109999999999995E-4</v>
      </c>
    </row>
    <row r="49" spans="1:7" x14ac:dyDescent="0.25">
      <c r="A49" t="s">
        <v>20</v>
      </c>
      <c r="B49">
        <v>0.126</v>
      </c>
      <c r="C49">
        <v>0.6</v>
      </c>
      <c r="D49">
        <v>0.3</v>
      </c>
      <c r="E49">
        <v>0.7</v>
      </c>
      <c r="F49">
        <f t="shared" si="0"/>
        <v>1.5875999999999998E-2</v>
      </c>
    </row>
    <row r="50" spans="1:7" ht="13" x14ac:dyDescent="0.3">
      <c r="F50" s="1">
        <f>SUM(F43:F49)</f>
        <v>2.9428694999999998E-2</v>
      </c>
    </row>
    <row r="52" spans="1:7" x14ac:dyDescent="0.25">
      <c r="A52" s="3" t="s">
        <v>130</v>
      </c>
      <c r="B52" s="3" t="s">
        <v>129</v>
      </c>
      <c r="C52" t="s">
        <v>5</v>
      </c>
      <c r="D52" t="s">
        <v>8</v>
      </c>
      <c r="E52" t="s">
        <v>9</v>
      </c>
    </row>
    <row r="53" spans="1:7" x14ac:dyDescent="0.25">
      <c r="A53" t="s">
        <v>14</v>
      </c>
      <c r="B53">
        <v>0.155</v>
      </c>
      <c r="C53">
        <v>0.49</v>
      </c>
      <c r="D53">
        <v>0.1</v>
      </c>
      <c r="E53">
        <v>0.05</v>
      </c>
      <c r="F53">
        <f t="shared" si="0"/>
        <v>3.797500000000001E-4</v>
      </c>
    </row>
    <row r="54" spans="1:7" s="1" customFormat="1" ht="13" x14ac:dyDescent="0.3">
      <c r="A54" s="1" t="s">
        <v>15</v>
      </c>
      <c r="B54" s="1">
        <v>0.126</v>
      </c>
      <c r="C54" s="1">
        <v>0.5</v>
      </c>
      <c r="D54" s="1">
        <v>0.5</v>
      </c>
      <c r="E54" s="1">
        <v>0.02</v>
      </c>
      <c r="F54" s="1">
        <f t="shared" si="0"/>
        <v>6.3000000000000003E-4</v>
      </c>
      <c r="G54" s="1">
        <f>F54/F60</f>
        <v>6.2219456913026085E-2</v>
      </c>
    </row>
    <row r="55" spans="1:7" x14ac:dyDescent="0.25">
      <c r="A55" t="s">
        <v>16</v>
      </c>
      <c r="B55">
        <v>8.4000000000000005E-2</v>
      </c>
      <c r="C55">
        <v>0.55000000000000004</v>
      </c>
      <c r="D55">
        <v>0.9</v>
      </c>
      <c r="E55">
        <v>0.05</v>
      </c>
      <c r="F55">
        <f t="shared" si="0"/>
        <v>2.0790000000000006E-3</v>
      </c>
    </row>
    <row r="56" spans="1:7" x14ac:dyDescent="0.25">
      <c r="A56" s="2" t="s">
        <v>17</v>
      </c>
      <c r="B56" s="2">
        <v>0.02</v>
      </c>
      <c r="C56" s="2">
        <v>0.45</v>
      </c>
      <c r="D56" s="2">
        <v>0.95</v>
      </c>
      <c r="E56" s="2">
        <v>0.1</v>
      </c>
      <c r="F56">
        <f t="shared" si="0"/>
        <v>8.5500000000000007E-4</v>
      </c>
    </row>
    <row r="57" spans="1:7" x14ac:dyDescent="0.25">
      <c r="A57" t="s">
        <v>18</v>
      </c>
      <c r="B57">
        <v>9.8000000000000004E-2</v>
      </c>
      <c r="C57">
        <v>0.1</v>
      </c>
      <c r="D57">
        <v>0.7</v>
      </c>
      <c r="E57">
        <v>0.01</v>
      </c>
      <c r="F57">
        <f t="shared" si="0"/>
        <v>6.8600000000000014E-5</v>
      </c>
    </row>
    <row r="58" spans="1:7" x14ac:dyDescent="0.25">
      <c r="A58" t="s">
        <v>19</v>
      </c>
      <c r="B58">
        <v>0.39100000000000001</v>
      </c>
      <c r="C58">
        <v>0.7</v>
      </c>
      <c r="D58">
        <v>0.3</v>
      </c>
      <c r="E58">
        <v>0.01</v>
      </c>
      <c r="F58">
        <f t="shared" si="0"/>
        <v>8.2110000000000006E-4</v>
      </c>
    </row>
    <row r="59" spans="1:7" x14ac:dyDescent="0.25">
      <c r="A59" t="s">
        <v>20</v>
      </c>
      <c r="B59">
        <v>0.126</v>
      </c>
      <c r="C59">
        <v>0.6</v>
      </c>
      <c r="D59">
        <v>0.7</v>
      </c>
      <c r="E59">
        <v>0.1</v>
      </c>
      <c r="F59">
        <f t="shared" si="0"/>
        <v>5.2919999999999998E-3</v>
      </c>
    </row>
    <row r="60" spans="1:7" ht="13" x14ac:dyDescent="0.3">
      <c r="F60" s="1">
        <f>SUM(F53:F59)</f>
        <v>1.0125450000000001E-2</v>
      </c>
    </row>
    <row r="62" spans="1:7" x14ac:dyDescent="0.25">
      <c r="A62" s="3" t="s">
        <v>130</v>
      </c>
      <c r="B62" s="3" t="s">
        <v>129</v>
      </c>
      <c r="C62" t="s">
        <v>5</v>
      </c>
      <c r="D62" t="s">
        <v>8</v>
      </c>
      <c r="E62" t="s">
        <v>10</v>
      </c>
    </row>
    <row r="63" spans="1:7" x14ac:dyDescent="0.25">
      <c r="A63" t="s">
        <v>14</v>
      </c>
      <c r="B63">
        <v>0.155</v>
      </c>
      <c r="C63">
        <v>0.49</v>
      </c>
      <c r="D63">
        <v>0.1</v>
      </c>
      <c r="E63">
        <v>0.05</v>
      </c>
      <c r="F63">
        <f t="shared" si="0"/>
        <v>3.797500000000001E-4</v>
      </c>
    </row>
    <row r="64" spans="1:7" s="1" customFormat="1" ht="13" x14ac:dyDescent="0.3">
      <c r="A64" s="1" t="s">
        <v>15</v>
      </c>
      <c r="B64" s="1">
        <v>0.126</v>
      </c>
      <c r="C64" s="1">
        <v>0.5</v>
      </c>
      <c r="D64" s="1">
        <v>0.5</v>
      </c>
      <c r="E64" s="1">
        <v>0.4</v>
      </c>
      <c r="F64" s="1">
        <f t="shared" si="0"/>
        <v>1.26E-2</v>
      </c>
      <c r="G64" s="1">
        <f>F64/F70</f>
        <v>0.30555639758707448</v>
      </c>
    </row>
    <row r="65" spans="1:7" x14ac:dyDescent="0.25">
      <c r="A65" t="s">
        <v>16</v>
      </c>
      <c r="B65">
        <v>8.4000000000000005E-2</v>
      </c>
      <c r="C65">
        <v>0.55000000000000004</v>
      </c>
      <c r="D65">
        <v>0.9</v>
      </c>
      <c r="E65">
        <v>0.1</v>
      </c>
      <c r="F65">
        <f t="shared" si="0"/>
        <v>4.1580000000000011E-3</v>
      </c>
    </row>
    <row r="66" spans="1:7" x14ac:dyDescent="0.25">
      <c r="A66" s="2" t="s">
        <v>17</v>
      </c>
      <c r="B66" s="2">
        <v>0.02</v>
      </c>
      <c r="C66" s="2">
        <v>0.45</v>
      </c>
      <c r="D66" s="2">
        <v>0.95</v>
      </c>
      <c r="E66" s="2">
        <v>0.1</v>
      </c>
      <c r="F66">
        <f t="shared" si="0"/>
        <v>8.5500000000000007E-4</v>
      </c>
    </row>
    <row r="67" spans="1:7" x14ac:dyDescent="0.25">
      <c r="A67" t="s">
        <v>18</v>
      </c>
      <c r="B67">
        <v>9.8000000000000004E-2</v>
      </c>
      <c r="C67">
        <v>0.1</v>
      </c>
      <c r="D67">
        <v>0.7</v>
      </c>
      <c r="E67">
        <v>0.05</v>
      </c>
      <c r="F67">
        <f t="shared" si="0"/>
        <v>3.4300000000000004E-4</v>
      </c>
    </row>
    <row r="68" spans="1:7" x14ac:dyDescent="0.25">
      <c r="A68" t="s">
        <v>19</v>
      </c>
      <c r="B68">
        <v>0.39100000000000001</v>
      </c>
      <c r="C68">
        <v>0.7</v>
      </c>
      <c r="D68">
        <v>0.3</v>
      </c>
      <c r="E68">
        <v>0.15</v>
      </c>
      <c r="F68">
        <f t="shared" si="0"/>
        <v>1.2316499999999999E-2</v>
      </c>
    </row>
    <row r="69" spans="1:7" x14ac:dyDescent="0.25">
      <c r="A69" t="s">
        <v>20</v>
      </c>
      <c r="B69">
        <v>0.126</v>
      </c>
      <c r="C69">
        <v>0.6</v>
      </c>
      <c r="D69">
        <v>0.7</v>
      </c>
      <c r="E69">
        <v>0.2</v>
      </c>
      <c r="F69">
        <f t="shared" si="0"/>
        <v>1.0584E-2</v>
      </c>
    </row>
    <row r="70" spans="1:7" ht="13" x14ac:dyDescent="0.3">
      <c r="F70" s="1">
        <f>SUM(F63:F69)</f>
        <v>4.1236250000000002E-2</v>
      </c>
    </row>
    <row r="72" spans="1:7" x14ac:dyDescent="0.25">
      <c r="A72" s="3" t="s">
        <v>130</v>
      </c>
      <c r="B72" s="3" t="s">
        <v>129</v>
      </c>
      <c r="C72" t="s">
        <v>5</v>
      </c>
      <c r="D72" t="s">
        <v>8</v>
      </c>
      <c r="E72" t="s">
        <v>11</v>
      </c>
    </row>
    <row r="73" spans="1:7" x14ac:dyDescent="0.25">
      <c r="A73" t="s">
        <v>14</v>
      </c>
      <c r="B73">
        <v>0.155</v>
      </c>
      <c r="C73">
        <v>0.49</v>
      </c>
      <c r="D73">
        <v>0.1</v>
      </c>
      <c r="E73">
        <v>0.01</v>
      </c>
      <c r="F73">
        <f t="shared" si="0"/>
        <v>7.5950000000000017E-5</v>
      </c>
    </row>
    <row r="74" spans="1:7" s="1" customFormat="1" ht="13" x14ac:dyDescent="0.3">
      <c r="A74" s="1" t="s">
        <v>15</v>
      </c>
      <c r="B74" s="1">
        <v>0.126</v>
      </c>
      <c r="C74" s="1">
        <v>0.5</v>
      </c>
      <c r="D74" s="1">
        <v>0.5</v>
      </c>
      <c r="E74" s="1">
        <v>0.7</v>
      </c>
      <c r="F74" s="1">
        <f t="shared" si="0"/>
        <v>2.205E-2</v>
      </c>
      <c r="G74" s="1">
        <f>F74/F80</f>
        <v>0.16434319181310042</v>
      </c>
    </row>
    <row r="75" spans="1:7" x14ac:dyDescent="0.25">
      <c r="A75" t="s">
        <v>16</v>
      </c>
      <c r="B75">
        <v>8.4000000000000005E-2</v>
      </c>
      <c r="C75">
        <v>0.55000000000000004</v>
      </c>
      <c r="D75">
        <v>0.9</v>
      </c>
      <c r="E75">
        <v>0.95</v>
      </c>
      <c r="F75">
        <f t="shared" si="0"/>
        <v>3.9501000000000001E-2</v>
      </c>
    </row>
    <row r="76" spans="1:7" x14ac:dyDescent="0.25">
      <c r="A76" s="2" t="s">
        <v>17</v>
      </c>
      <c r="B76" s="2">
        <v>0.02</v>
      </c>
      <c r="C76" s="2">
        <v>0.45</v>
      </c>
      <c r="D76" s="2">
        <v>0.95</v>
      </c>
      <c r="E76" s="2">
        <v>0.95</v>
      </c>
      <c r="F76">
        <f t="shared" si="0"/>
        <v>8.1224999999999995E-3</v>
      </c>
    </row>
    <row r="77" spans="1:7" x14ac:dyDescent="0.25">
      <c r="A77" t="s">
        <v>18</v>
      </c>
      <c r="B77">
        <v>9.8000000000000004E-2</v>
      </c>
      <c r="C77">
        <v>0.1</v>
      </c>
      <c r="D77">
        <v>0.7</v>
      </c>
      <c r="E77">
        <v>0.4</v>
      </c>
      <c r="F77">
        <f t="shared" si="0"/>
        <v>2.7440000000000003E-3</v>
      </c>
    </row>
    <row r="78" spans="1:7" x14ac:dyDescent="0.25">
      <c r="A78" t="s">
        <v>19</v>
      </c>
      <c r="B78">
        <v>0.39100000000000001</v>
      </c>
      <c r="C78">
        <v>0.7</v>
      </c>
      <c r="D78">
        <v>0.3</v>
      </c>
      <c r="E78">
        <v>0.3</v>
      </c>
      <c r="F78">
        <f t="shared" ref="F78:F139" si="1">B78*C78*D78*E78</f>
        <v>2.4632999999999999E-2</v>
      </c>
    </row>
    <row r="79" spans="1:7" x14ac:dyDescent="0.25">
      <c r="A79" t="s">
        <v>20</v>
      </c>
      <c r="B79">
        <v>0.126</v>
      </c>
      <c r="C79">
        <v>0.6</v>
      </c>
      <c r="D79">
        <v>0.7</v>
      </c>
      <c r="E79">
        <v>0.7</v>
      </c>
      <c r="F79">
        <f t="shared" si="1"/>
        <v>3.7043999999999994E-2</v>
      </c>
    </row>
    <row r="80" spans="1:7" ht="13" x14ac:dyDescent="0.3">
      <c r="F80" s="1">
        <f>SUM(F73:F79)</f>
        <v>0.13417045</v>
      </c>
    </row>
    <row r="82" spans="1:7" x14ac:dyDescent="0.25">
      <c r="A82" s="3" t="s">
        <v>130</v>
      </c>
      <c r="B82" s="3" t="s">
        <v>129</v>
      </c>
      <c r="C82" t="s">
        <v>5</v>
      </c>
      <c r="D82" t="s">
        <v>9</v>
      </c>
      <c r="E82" t="s">
        <v>10</v>
      </c>
    </row>
    <row r="83" spans="1:7" x14ac:dyDescent="0.25">
      <c r="A83" t="s">
        <v>14</v>
      </c>
      <c r="B83">
        <v>0.155</v>
      </c>
      <c r="C83">
        <v>0.49</v>
      </c>
      <c r="D83">
        <v>0.05</v>
      </c>
      <c r="E83">
        <v>0.05</v>
      </c>
      <c r="F83">
        <f t="shared" si="1"/>
        <v>1.8987500000000005E-4</v>
      </c>
    </row>
    <row r="84" spans="1:7" s="1" customFormat="1" ht="13" x14ac:dyDescent="0.3">
      <c r="A84" s="1" t="s">
        <v>15</v>
      </c>
      <c r="B84" s="1">
        <v>0.126</v>
      </c>
      <c r="C84" s="1">
        <v>0.5</v>
      </c>
      <c r="D84" s="1">
        <v>0.02</v>
      </c>
      <c r="E84" s="1">
        <v>0.4</v>
      </c>
      <c r="F84" s="1">
        <f t="shared" si="1"/>
        <v>5.04E-4</v>
      </c>
      <c r="G84" s="1">
        <f>F84/F90</f>
        <v>0.17129311004052916</v>
      </c>
    </row>
    <row r="85" spans="1:7" x14ac:dyDescent="0.25">
      <c r="A85" t="s">
        <v>16</v>
      </c>
      <c r="B85">
        <v>8.4000000000000005E-2</v>
      </c>
      <c r="C85">
        <v>0.55000000000000004</v>
      </c>
      <c r="D85">
        <v>0.05</v>
      </c>
      <c r="E85">
        <v>0.1</v>
      </c>
      <c r="F85">
        <f t="shared" si="1"/>
        <v>2.3100000000000006E-4</v>
      </c>
    </row>
    <row r="86" spans="1:7" x14ac:dyDescent="0.25">
      <c r="A86" s="2" t="s">
        <v>17</v>
      </c>
      <c r="B86" s="2">
        <v>0.02</v>
      </c>
      <c r="C86" s="2">
        <v>0.45</v>
      </c>
      <c r="D86" s="2">
        <v>0.1</v>
      </c>
      <c r="E86" s="2">
        <v>0.1</v>
      </c>
      <c r="F86">
        <f t="shared" si="1"/>
        <v>9.0000000000000019E-5</v>
      </c>
    </row>
    <row r="87" spans="1:7" x14ac:dyDescent="0.25">
      <c r="A87" t="s">
        <v>18</v>
      </c>
      <c r="B87">
        <v>9.8000000000000004E-2</v>
      </c>
      <c r="C87">
        <v>0.1</v>
      </c>
      <c r="D87">
        <v>0.01</v>
      </c>
      <c r="E87">
        <v>0.05</v>
      </c>
      <c r="F87">
        <f t="shared" si="1"/>
        <v>4.9000000000000005E-6</v>
      </c>
    </row>
    <row r="88" spans="1:7" x14ac:dyDescent="0.25">
      <c r="A88" t="s">
        <v>19</v>
      </c>
      <c r="B88">
        <v>0.39100000000000001</v>
      </c>
      <c r="C88">
        <v>0.7</v>
      </c>
      <c r="D88">
        <v>0.01</v>
      </c>
      <c r="E88">
        <v>0.15</v>
      </c>
      <c r="F88">
        <f t="shared" si="1"/>
        <v>4.1054999999999998E-4</v>
      </c>
    </row>
    <row r="89" spans="1:7" x14ac:dyDescent="0.25">
      <c r="A89" t="s">
        <v>20</v>
      </c>
      <c r="B89">
        <v>0.126</v>
      </c>
      <c r="C89">
        <v>0.6</v>
      </c>
      <c r="D89">
        <v>0.1</v>
      </c>
      <c r="E89">
        <v>0.2</v>
      </c>
      <c r="F89">
        <f t="shared" si="1"/>
        <v>1.5120000000000003E-3</v>
      </c>
    </row>
    <row r="90" spans="1:7" ht="13" x14ac:dyDescent="0.3">
      <c r="F90" s="1">
        <f>SUM(F83:F89)</f>
        <v>2.9423250000000004E-3</v>
      </c>
    </row>
    <row r="92" spans="1:7" x14ac:dyDescent="0.25">
      <c r="A92" s="3" t="s">
        <v>130</v>
      </c>
      <c r="B92" s="3" t="s">
        <v>129</v>
      </c>
      <c r="C92" t="s">
        <v>5</v>
      </c>
      <c r="D92" t="s">
        <v>9</v>
      </c>
      <c r="E92" t="s">
        <v>11</v>
      </c>
    </row>
    <row r="93" spans="1:7" x14ac:dyDescent="0.25">
      <c r="A93" t="s">
        <v>14</v>
      </c>
      <c r="B93">
        <v>0.155</v>
      </c>
      <c r="C93">
        <v>0.49</v>
      </c>
      <c r="D93">
        <v>0.05</v>
      </c>
      <c r="E93">
        <v>0.01</v>
      </c>
      <c r="F93">
        <f t="shared" si="1"/>
        <v>3.7975000000000008E-5</v>
      </c>
    </row>
    <row r="94" spans="1:7" s="1" customFormat="1" ht="13" x14ac:dyDescent="0.3">
      <c r="A94" s="1" t="s">
        <v>15</v>
      </c>
      <c r="B94" s="1">
        <v>0.126</v>
      </c>
      <c r="C94" s="1">
        <v>0.5</v>
      </c>
      <c r="D94" s="1">
        <v>0.02</v>
      </c>
      <c r="E94" s="1">
        <v>0.7</v>
      </c>
      <c r="F94" s="1">
        <f t="shared" si="1"/>
        <v>8.8199999999999997E-4</v>
      </c>
      <c r="G94" s="1">
        <f>F94/F100</f>
        <v>8.7138866453759345E-2</v>
      </c>
    </row>
    <row r="95" spans="1:7" x14ac:dyDescent="0.25">
      <c r="A95" t="s">
        <v>16</v>
      </c>
      <c r="B95">
        <v>8.4000000000000005E-2</v>
      </c>
      <c r="C95">
        <v>0.55000000000000004</v>
      </c>
      <c r="D95">
        <v>0.05</v>
      </c>
      <c r="E95">
        <v>0.95</v>
      </c>
      <c r="F95">
        <f t="shared" si="1"/>
        <v>2.1945000000000003E-3</v>
      </c>
    </row>
    <row r="96" spans="1:7" x14ac:dyDescent="0.25">
      <c r="A96" s="2" t="s">
        <v>17</v>
      </c>
      <c r="B96" s="2">
        <v>0.02</v>
      </c>
      <c r="C96" s="2">
        <v>0.45</v>
      </c>
      <c r="D96" s="2">
        <v>0.1</v>
      </c>
      <c r="E96" s="2">
        <v>0.95</v>
      </c>
      <c r="F96">
        <f t="shared" si="1"/>
        <v>8.5500000000000018E-4</v>
      </c>
    </row>
    <row r="97" spans="1:7" x14ac:dyDescent="0.25">
      <c r="A97" t="s">
        <v>18</v>
      </c>
      <c r="B97">
        <v>9.8000000000000004E-2</v>
      </c>
      <c r="C97">
        <v>0.1</v>
      </c>
      <c r="D97">
        <v>0.01</v>
      </c>
      <c r="E97">
        <v>0.4</v>
      </c>
      <c r="F97">
        <f t="shared" si="1"/>
        <v>3.9200000000000004E-5</v>
      </c>
    </row>
    <row r="98" spans="1:7" x14ac:dyDescent="0.25">
      <c r="A98" t="s">
        <v>19</v>
      </c>
      <c r="B98">
        <v>0.39100000000000001</v>
      </c>
      <c r="C98">
        <v>0.7</v>
      </c>
      <c r="D98">
        <v>0.01</v>
      </c>
      <c r="E98">
        <v>0.3</v>
      </c>
      <c r="F98">
        <f t="shared" si="1"/>
        <v>8.2109999999999995E-4</v>
      </c>
    </row>
    <row r="99" spans="1:7" x14ac:dyDescent="0.25">
      <c r="A99" t="s">
        <v>20</v>
      </c>
      <c r="B99">
        <v>0.126</v>
      </c>
      <c r="C99">
        <v>0.6</v>
      </c>
      <c r="D99">
        <v>0.1</v>
      </c>
      <c r="E99">
        <v>0.7</v>
      </c>
      <c r="F99">
        <f t="shared" si="1"/>
        <v>5.2919999999999998E-3</v>
      </c>
    </row>
    <row r="100" spans="1:7" ht="13" x14ac:dyDescent="0.3">
      <c r="F100" s="1">
        <f>SUM(F93:F99)</f>
        <v>1.0121775E-2</v>
      </c>
    </row>
    <row r="102" spans="1:7" x14ac:dyDescent="0.25">
      <c r="A102" s="3" t="s">
        <v>130</v>
      </c>
      <c r="B102" s="3" t="s">
        <v>129</v>
      </c>
      <c r="C102" t="s">
        <v>5</v>
      </c>
      <c r="D102" t="s">
        <v>10</v>
      </c>
      <c r="E102" t="s">
        <v>11</v>
      </c>
    </row>
    <row r="103" spans="1:7" x14ac:dyDescent="0.25">
      <c r="A103" t="s">
        <v>14</v>
      </c>
      <c r="B103">
        <v>0.155</v>
      </c>
      <c r="C103">
        <v>0.49</v>
      </c>
      <c r="D103">
        <v>0.05</v>
      </c>
      <c r="E103">
        <v>0.01</v>
      </c>
      <c r="F103">
        <f t="shared" si="1"/>
        <v>3.7975000000000008E-5</v>
      </c>
    </row>
    <row r="104" spans="1:7" s="1" customFormat="1" ht="13" x14ac:dyDescent="0.3">
      <c r="A104" s="1" t="s">
        <v>15</v>
      </c>
      <c r="B104" s="1">
        <v>0.126</v>
      </c>
      <c r="C104" s="1">
        <v>0.5</v>
      </c>
      <c r="D104" s="1">
        <v>0.4</v>
      </c>
      <c r="E104" s="1">
        <v>0.7</v>
      </c>
      <c r="F104" s="1">
        <f t="shared" si="1"/>
        <v>1.7639999999999999E-2</v>
      </c>
      <c r="G104" s="1">
        <f>F104/F110</f>
        <v>0.38332430616181867</v>
      </c>
    </row>
    <row r="105" spans="1:7" x14ac:dyDescent="0.25">
      <c r="A105" t="s">
        <v>16</v>
      </c>
      <c r="B105">
        <v>8.4000000000000005E-2</v>
      </c>
      <c r="C105">
        <v>0.55000000000000004</v>
      </c>
      <c r="D105">
        <v>0.1</v>
      </c>
      <c r="E105">
        <v>0.95</v>
      </c>
      <c r="F105">
        <f t="shared" si="1"/>
        <v>4.3890000000000005E-3</v>
      </c>
    </row>
    <row r="106" spans="1:7" x14ac:dyDescent="0.25">
      <c r="A106" s="2" t="s">
        <v>17</v>
      </c>
      <c r="B106" s="2">
        <v>0.02</v>
      </c>
      <c r="C106" s="2">
        <v>0.45</v>
      </c>
      <c r="D106" s="2">
        <v>0.1</v>
      </c>
      <c r="E106" s="2">
        <v>0.95</v>
      </c>
      <c r="F106">
        <f t="shared" si="1"/>
        <v>8.5500000000000018E-4</v>
      </c>
    </row>
    <row r="107" spans="1:7" x14ac:dyDescent="0.25">
      <c r="A107" t="s">
        <v>18</v>
      </c>
      <c r="B107">
        <v>9.8000000000000004E-2</v>
      </c>
      <c r="C107">
        <v>0.1</v>
      </c>
      <c r="D107">
        <v>0.05</v>
      </c>
      <c r="E107">
        <v>0.4</v>
      </c>
      <c r="F107">
        <f t="shared" si="1"/>
        <v>1.9600000000000005E-4</v>
      </c>
    </row>
    <row r="108" spans="1:7" x14ac:dyDescent="0.25">
      <c r="A108" t="s">
        <v>19</v>
      </c>
      <c r="B108">
        <v>0.39100000000000001</v>
      </c>
      <c r="C108">
        <v>0.7</v>
      </c>
      <c r="D108">
        <v>0.15</v>
      </c>
      <c r="E108">
        <v>0.3</v>
      </c>
      <c r="F108">
        <f t="shared" si="1"/>
        <v>1.2316499999999999E-2</v>
      </c>
    </row>
    <row r="109" spans="1:7" x14ac:dyDescent="0.25">
      <c r="A109" t="s">
        <v>20</v>
      </c>
      <c r="B109">
        <v>0.126</v>
      </c>
      <c r="C109">
        <v>0.6</v>
      </c>
      <c r="D109">
        <v>0.2</v>
      </c>
      <c r="E109">
        <v>0.7</v>
      </c>
      <c r="F109">
        <f t="shared" si="1"/>
        <v>1.0584E-2</v>
      </c>
    </row>
    <row r="110" spans="1:7" ht="13" x14ac:dyDescent="0.3">
      <c r="F110" s="1">
        <f>SUM(F103:F109)</f>
        <v>4.6018475000000003E-2</v>
      </c>
    </row>
    <row r="112" spans="1:7" x14ac:dyDescent="0.25">
      <c r="A112" s="3" t="s">
        <v>130</v>
      </c>
      <c r="B112" s="3" t="s">
        <v>129</v>
      </c>
      <c r="C112" t="s">
        <v>6</v>
      </c>
      <c r="D112" t="s">
        <v>7</v>
      </c>
      <c r="E112" t="s">
        <v>8</v>
      </c>
    </row>
    <row r="113" spans="1:7" x14ac:dyDescent="0.25">
      <c r="A113" t="s">
        <v>14</v>
      </c>
      <c r="B113">
        <v>0.155</v>
      </c>
      <c r="C113">
        <v>0.5</v>
      </c>
      <c r="D113">
        <v>0.01</v>
      </c>
      <c r="E113">
        <v>0.1</v>
      </c>
      <c r="F113">
        <f t="shared" si="1"/>
        <v>7.75E-5</v>
      </c>
    </row>
    <row r="114" spans="1:7" s="1" customFormat="1" ht="13" x14ac:dyDescent="0.3">
      <c r="A114" s="1" t="s">
        <v>15</v>
      </c>
      <c r="B114" s="1">
        <v>0.126</v>
      </c>
      <c r="C114" s="1">
        <v>0.5</v>
      </c>
      <c r="D114" s="1">
        <v>0.02</v>
      </c>
      <c r="E114" s="1">
        <v>0.5</v>
      </c>
      <c r="F114" s="1">
        <f t="shared" si="1"/>
        <v>6.3000000000000003E-4</v>
      </c>
      <c r="G114" s="1">
        <f>F114/F120</f>
        <v>0.13815940964264958</v>
      </c>
    </row>
    <row r="115" spans="1:7" x14ac:dyDescent="0.25">
      <c r="A115" t="s">
        <v>16</v>
      </c>
      <c r="B115">
        <v>8.4000000000000005E-2</v>
      </c>
      <c r="C115">
        <v>0.05</v>
      </c>
      <c r="D115">
        <v>0.25</v>
      </c>
      <c r="E115">
        <v>0.9</v>
      </c>
      <c r="F115">
        <f t="shared" si="1"/>
        <v>9.450000000000002E-4</v>
      </c>
    </row>
    <row r="116" spans="1:7" x14ac:dyDescent="0.25">
      <c r="A116" s="2" t="s">
        <v>17</v>
      </c>
      <c r="B116" s="2">
        <v>0.02</v>
      </c>
      <c r="C116" s="2">
        <v>0.45</v>
      </c>
      <c r="D116" s="2">
        <v>0.01</v>
      </c>
      <c r="E116" s="2">
        <v>0.95</v>
      </c>
      <c r="F116">
        <f t="shared" si="1"/>
        <v>8.5500000000000005E-5</v>
      </c>
    </row>
    <row r="117" spans="1:7" x14ac:dyDescent="0.25">
      <c r="A117" t="s">
        <v>18</v>
      </c>
      <c r="B117">
        <v>9.8000000000000004E-2</v>
      </c>
      <c r="C117">
        <v>0</v>
      </c>
      <c r="D117">
        <v>0.2</v>
      </c>
      <c r="E117">
        <v>0.7</v>
      </c>
      <c r="F117">
        <f t="shared" si="1"/>
        <v>0</v>
      </c>
    </row>
    <row r="118" spans="1:7" x14ac:dyDescent="0.25">
      <c r="A118" t="s">
        <v>19</v>
      </c>
      <c r="B118">
        <v>0.39100000000000001</v>
      </c>
      <c r="C118">
        <v>0.15</v>
      </c>
      <c r="D118">
        <v>0.01</v>
      </c>
      <c r="E118">
        <v>0.3</v>
      </c>
      <c r="F118">
        <f t="shared" si="1"/>
        <v>1.7594999999999999E-4</v>
      </c>
    </row>
    <row r="119" spans="1:7" x14ac:dyDescent="0.25">
      <c r="A119" t="s">
        <v>20</v>
      </c>
      <c r="B119">
        <v>0.126</v>
      </c>
      <c r="C119">
        <v>0.1</v>
      </c>
      <c r="D119">
        <v>0.3</v>
      </c>
      <c r="E119">
        <v>0.7</v>
      </c>
      <c r="F119">
        <f t="shared" si="1"/>
        <v>2.6459999999999999E-3</v>
      </c>
    </row>
    <row r="120" spans="1:7" ht="13" x14ac:dyDescent="0.3">
      <c r="F120" s="1">
        <f>SUM(F113:F119)</f>
        <v>4.5599500000000001E-3</v>
      </c>
    </row>
    <row r="122" spans="1:7" x14ac:dyDescent="0.25">
      <c r="A122" s="3" t="s">
        <v>130</v>
      </c>
      <c r="B122" s="3" t="s">
        <v>129</v>
      </c>
      <c r="C122" t="s">
        <v>6</v>
      </c>
      <c r="D122" t="s">
        <v>7</v>
      </c>
      <c r="E122" t="s">
        <v>9</v>
      </c>
    </row>
    <row r="123" spans="1:7" x14ac:dyDescent="0.25">
      <c r="A123" t="s">
        <v>14</v>
      </c>
      <c r="B123">
        <v>0.155</v>
      </c>
      <c r="C123">
        <v>0.5</v>
      </c>
      <c r="D123">
        <v>0.01</v>
      </c>
      <c r="E123">
        <v>0.05</v>
      </c>
      <c r="F123">
        <f t="shared" si="1"/>
        <v>3.875E-5</v>
      </c>
    </row>
    <row r="124" spans="1:7" s="1" customFormat="1" ht="13" x14ac:dyDescent="0.3">
      <c r="A124" s="1" t="s">
        <v>15</v>
      </c>
      <c r="B124" s="1">
        <v>0.126</v>
      </c>
      <c r="C124" s="1">
        <v>0.5</v>
      </c>
      <c r="D124" s="1">
        <v>0.02</v>
      </c>
      <c r="E124" s="1">
        <v>0.02</v>
      </c>
      <c r="F124" s="1">
        <f t="shared" si="1"/>
        <v>2.5200000000000003E-5</v>
      </c>
      <c r="G124" s="1">
        <f>F124/F130</f>
        <v>4.9478220747474558E-2</v>
      </c>
    </row>
    <row r="125" spans="1:7" x14ac:dyDescent="0.25">
      <c r="A125" t="s">
        <v>16</v>
      </c>
      <c r="B125">
        <v>8.4000000000000005E-2</v>
      </c>
      <c r="C125">
        <v>0.05</v>
      </c>
      <c r="D125">
        <v>0.25</v>
      </c>
      <c r="E125">
        <v>0.05</v>
      </c>
      <c r="F125">
        <f t="shared" si="1"/>
        <v>5.2500000000000009E-5</v>
      </c>
    </row>
    <row r="126" spans="1:7" x14ac:dyDescent="0.25">
      <c r="A126" s="2" t="s">
        <v>17</v>
      </c>
      <c r="B126" s="2">
        <v>0.02</v>
      </c>
      <c r="C126" s="2">
        <v>0.45</v>
      </c>
      <c r="D126" s="2">
        <v>0.01</v>
      </c>
      <c r="E126" s="2">
        <v>0.1</v>
      </c>
      <c r="F126">
        <f t="shared" si="1"/>
        <v>9.0000000000000002E-6</v>
      </c>
    </row>
    <row r="127" spans="1:7" x14ac:dyDescent="0.25">
      <c r="A127" t="s">
        <v>18</v>
      </c>
      <c r="B127">
        <v>9.8000000000000004E-2</v>
      </c>
      <c r="C127">
        <v>0</v>
      </c>
      <c r="D127">
        <v>0.2</v>
      </c>
      <c r="E127">
        <v>0.01</v>
      </c>
      <c r="F127">
        <f t="shared" si="1"/>
        <v>0</v>
      </c>
    </row>
    <row r="128" spans="1:7" x14ac:dyDescent="0.25">
      <c r="A128" t="s">
        <v>19</v>
      </c>
      <c r="B128">
        <v>0.39100000000000001</v>
      </c>
      <c r="C128">
        <v>0.15</v>
      </c>
      <c r="D128">
        <v>0.01</v>
      </c>
      <c r="E128">
        <v>0.01</v>
      </c>
      <c r="F128">
        <f t="shared" si="1"/>
        <v>5.8649999999999998E-6</v>
      </c>
    </row>
    <row r="129" spans="1:7" x14ac:dyDescent="0.25">
      <c r="A129" t="s">
        <v>20</v>
      </c>
      <c r="B129">
        <v>0.126</v>
      </c>
      <c r="C129">
        <v>0.1</v>
      </c>
      <c r="D129">
        <v>0.3</v>
      </c>
      <c r="E129">
        <v>0.1</v>
      </c>
      <c r="F129">
        <f t="shared" si="1"/>
        <v>3.7800000000000003E-4</v>
      </c>
    </row>
    <row r="130" spans="1:7" ht="13" x14ac:dyDescent="0.3">
      <c r="F130" s="1">
        <f>SUM(F123:F129)</f>
        <v>5.0931499999999998E-4</v>
      </c>
    </row>
    <row r="132" spans="1:7" x14ac:dyDescent="0.25">
      <c r="A132" s="3" t="s">
        <v>130</v>
      </c>
      <c r="B132" s="3" t="s">
        <v>129</v>
      </c>
      <c r="C132" t="s">
        <v>6</v>
      </c>
      <c r="D132" t="s">
        <v>7</v>
      </c>
      <c r="E132" t="s">
        <v>10</v>
      </c>
    </row>
    <row r="133" spans="1:7" x14ac:dyDescent="0.25">
      <c r="A133" t="s">
        <v>14</v>
      </c>
      <c r="B133">
        <v>0.155</v>
      </c>
      <c r="C133">
        <v>0.5</v>
      </c>
      <c r="D133">
        <v>0.01</v>
      </c>
      <c r="E133">
        <v>0.05</v>
      </c>
      <c r="F133">
        <f t="shared" si="1"/>
        <v>3.875E-5</v>
      </c>
    </row>
    <row r="134" spans="1:7" s="1" customFormat="1" ht="13" x14ac:dyDescent="0.3">
      <c r="A134" s="1" t="s">
        <v>15</v>
      </c>
      <c r="B134" s="1">
        <v>0.126</v>
      </c>
      <c r="C134" s="1">
        <v>0.5</v>
      </c>
      <c r="D134" s="1">
        <v>0.02</v>
      </c>
      <c r="E134" s="1">
        <v>0.4</v>
      </c>
      <c r="F134" s="1">
        <f t="shared" si="1"/>
        <v>5.04E-4</v>
      </c>
      <c r="G134" s="1">
        <f>F134/F140</f>
        <v>0.33583767845541318</v>
      </c>
    </row>
    <row r="135" spans="1:7" x14ac:dyDescent="0.25">
      <c r="A135" t="s">
        <v>16</v>
      </c>
      <c r="B135">
        <v>8.4000000000000005E-2</v>
      </c>
      <c r="C135">
        <v>0.05</v>
      </c>
      <c r="D135">
        <v>0.25</v>
      </c>
      <c r="E135">
        <v>0.1</v>
      </c>
      <c r="F135">
        <f t="shared" si="1"/>
        <v>1.0500000000000002E-4</v>
      </c>
    </row>
    <row r="136" spans="1:7" x14ac:dyDescent="0.25">
      <c r="A136" s="2" t="s">
        <v>17</v>
      </c>
      <c r="B136" s="2">
        <v>0.02</v>
      </c>
      <c r="C136" s="2">
        <v>0.45</v>
      </c>
      <c r="D136" s="2">
        <v>0.01</v>
      </c>
      <c r="E136" s="2">
        <v>0.1</v>
      </c>
      <c r="F136">
        <f t="shared" si="1"/>
        <v>9.0000000000000002E-6</v>
      </c>
    </row>
    <row r="137" spans="1:7" x14ac:dyDescent="0.25">
      <c r="A137" t="s">
        <v>18</v>
      </c>
      <c r="B137">
        <v>9.8000000000000004E-2</v>
      </c>
      <c r="C137">
        <v>0</v>
      </c>
      <c r="D137">
        <v>0.2</v>
      </c>
      <c r="E137">
        <v>0.05</v>
      </c>
      <c r="F137">
        <f t="shared" si="1"/>
        <v>0</v>
      </c>
    </row>
    <row r="138" spans="1:7" x14ac:dyDescent="0.25">
      <c r="A138" t="s">
        <v>19</v>
      </c>
      <c r="B138">
        <v>0.39100000000000001</v>
      </c>
      <c r="C138">
        <v>0.15</v>
      </c>
      <c r="D138">
        <v>0.01</v>
      </c>
      <c r="E138">
        <v>0.15</v>
      </c>
      <c r="F138">
        <f t="shared" si="1"/>
        <v>8.7974999999999997E-5</v>
      </c>
    </row>
    <row r="139" spans="1:7" x14ac:dyDescent="0.25">
      <c r="A139" t="s">
        <v>20</v>
      </c>
      <c r="B139">
        <v>0.126</v>
      </c>
      <c r="C139">
        <v>0.1</v>
      </c>
      <c r="D139">
        <v>0.3</v>
      </c>
      <c r="E139">
        <v>0.2</v>
      </c>
      <c r="F139">
        <f t="shared" si="1"/>
        <v>7.5600000000000005E-4</v>
      </c>
    </row>
    <row r="140" spans="1:7" ht="13" x14ac:dyDescent="0.3">
      <c r="F140" s="1">
        <f>SUM(F133:F139)</f>
        <v>1.5007250000000001E-3</v>
      </c>
    </row>
    <row r="142" spans="1:7" x14ac:dyDescent="0.25">
      <c r="A142" s="3" t="s">
        <v>130</v>
      </c>
      <c r="B142" s="3" t="s">
        <v>129</v>
      </c>
      <c r="C142" t="s">
        <v>6</v>
      </c>
      <c r="D142" t="s">
        <v>7</v>
      </c>
      <c r="E142" t="s">
        <v>11</v>
      </c>
    </row>
    <row r="143" spans="1:7" x14ac:dyDescent="0.25">
      <c r="A143" t="s">
        <v>14</v>
      </c>
      <c r="B143">
        <v>0.155</v>
      </c>
      <c r="C143">
        <v>0.5</v>
      </c>
      <c r="D143">
        <v>0.01</v>
      </c>
      <c r="E143">
        <v>0.01</v>
      </c>
      <c r="F143">
        <f t="shared" ref="F143:F205" si="2">B143*C143*D143*E143</f>
        <v>7.7500000000000003E-6</v>
      </c>
    </row>
    <row r="144" spans="1:7" s="1" customFormat="1" ht="13" x14ac:dyDescent="0.3">
      <c r="A144" s="1" t="s">
        <v>15</v>
      </c>
      <c r="B144" s="1">
        <v>0.126</v>
      </c>
      <c r="C144" s="1">
        <v>0.5</v>
      </c>
      <c r="D144" s="1">
        <v>0.02</v>
      </c>
      <c r="E144" s="1">
        <v>0.7</v>
      </c>
      <c r="F144" s="1">
        <f t="shared" si="2"/>
        <v>8.8199999999999997E-4</v>
      </c>
      <c r="G144" s="1">
        <f>F144/F150</f>
        <v>0.18395311489769955</v>
      </c>
    </row>
    <row r="145" spans="1:7" x14ac:dyDescent="0.25">
      <c r="A145" t="s">
        <v>16</v>
      </c>
      <c r="B145">
        <v>8.4000000000000005E-2</v>
      </c>
      <c r="C145">
        <v>0.05</v>
      </c>
      <c r="D145">
        <v>0.25</v>
      </c>
      <c r="E145">
        <v>0.95</v>
      </c>
      <c r="F145">
        <f t="shared" si="2"/>
        <v>9.9750000000000012E-4</v>
      </c>
    </row>
    <row r="146" spans="1:7" x14ac:dyDescent="0.25">
      <c r="A146" s="2" t="s">
        <v>17</v>
      </c>
      <c r="B146" s="2">
        <v>0.02</v>
      </c>
      <c r="C146" s="2">
        <v>0.45</v>
      </c>
      <c r="D146" s="2">
        <v>0.01</v>
      </c>
      <c r="E146" s="2">
        <v>0.95</v>
      </c>
      <c r="F146">
        <f t="shared" si="2"/>
        <v>8.5500000000000005E-5</v>
      </c>
    </row>
    <row r="147" spans="1:7" x14ac:dyDescent="0.25">
      <c r="A147" t="s">
        <v>18</v>
      </c>
      <c r="B147">
        <v>9.8000000000000004E-2</v>
      </c>
      <c r="C147">
        <v>0</v>
      </c>
      <c r="D147">
        <v>0.2</v>
      </c>
      <c r="E147">
        <v>0.4</v>
      </c>
      <c r="F147">
        <f t="shared" si="2"/>
        <v>0</v>
      </c>
    </row>
    <row r="148" spans="1:7" x14ac:dyDescent="0.25">
      <c r="A148" t="s">
        <v>19</v>
      </c>
      <c r="B148">
        <v>0.39100000000000001</v>
      </c>
      <c r="C148">
        <v>0.15</v>
      </c>
      <c r="D148">
        <v>0.01</v>
      </c>
      <c r="E148">
        <v>0.3</v>
      </c>
      <c r="F148">
        <f t="shared" si="2"/>
        <v>1.7594999999999999E-4</v>
      </c>
    </row>
    <row r="149" spans="1:7" x14ac:dyDescent="0.25">
      <c r="A149" t="s">
        <v>20</v>
      </c>
      <c r="B149">
        <v>0.126</v>
      </c>
      <c r="C149">
        <v>0.1</v>
      </c>
      <c r="D149">
        <v>0.3</v>
      </c>
      <c r="E149">
        <v>0.7</v>
      </c>
      <c r="F149">
        <f t="shared" si="2"/>
        <v>2.6459999999999999E-3</v>
      </c>
    </row>
    <row r="150" spans="1:7" ht="13" x14ac:dyDescent="0.3">
      <c r="F150" s="1">
        <f>SUM(F143:F149)</f>
        <v>4.7946999999999998E-3</v>
      </c>
    </row>
    <row r="152" spans="1:7" x14ac:dyDescent="0.25">
      <c r="A152" s="3" t="s">
        <v>130</v>
      </c>
      <c r="B152" s="3" t="s">
        <v>129</v>
      </c>
      <c r="C152" t="s">
        <v>6</v>
      </c>
      <c r="D152" t="s">
        <v>8</v>
      </c>
      <c r="E152" t="s">
        <v>9</v>
      </c>
    </row>
    <row r="153" spans="1:7" x14ac:dyDescent="0.25">
      <c r="A153" t="s">
        <v>14</v>
      </c>
      <c r="B153">
        <v>0.155</v>
      </c>
      <c r="C153">
        <v>0.5</v>
      </c>
      <c r="D153">
        <v>0.1</v>
      </c>
      <c r="E153">
        <v>0.05</v>
      </c>
      <c r="F153">
        <f t="shared" si="2"/>
        <v>3.8750000000000004E-4</v>
      </c>
    </row>
    <row r="154" spans="1:7" s="1" customFormat="1" ht="12" customHeight="1" x14ac:dyDescent="0.3">
      <c r="A154" s="1" t="s">
        <v>15</v>
      </c>
      <c r="B154" s="1">
        <v>0.126</v>
      </c>
      <c r="C154" s="1">
        <v>0.5</v>
      </c>
      <c r="D154" s="1">
        <v>0.5</v>
      </c>
      <c r="E154" s="1">
        <v>0.02</v>
      </c>
      <c r="F154" s="1">
        <f t="shared" si="2"/>
        <v>6.3000000000000003E-4</v>
      </c>
      <c r="G154" s="1">
        <f>F154/F160</f>
        <v>0.20195867861321709</v>
      </c>
    </row>
    <row r="155" spans="1:7" x14ac:dyDescent="0.25">
      <c r="A155" t="s">
        <v>16</v>
      </c>
      <c r="B155">
        <v>8.4000000000000005E-2</v>
      </c>
      <c r="C155">
        <v>0.05</v>
      </c>
      <c r="D155">
        <v>0.9</v>
      </c>
      <c r="E155">
        <v>0.05</v>
      </c>
      <c r="F155">
        <f t="shared" si="2"/>
        <v>1.8900000000000004E-4</v>
      </c>
    </row>
    <row r="156" spans="1:7" x14ac:dyDescent="0.25">
      <c r="A156" s="2" t="s">
        <v>17</v>
      </c>
      <c r="B156" s="2">
        <v>0.02</v>
      </c>
      <c r="C156" s="2">
        <v>0.45</v>
      </c>
      <c r="D156" s="2">
        <v>0.95</v>
      </c>
      <c r="E156" s="2">
        <v>0.1</v>
      </c>
      <c r="F156">
        <f t="shared" si="2"/>
        <v>8.5500000000000007E-4</v>
      </c>
    </row>
    <row r="157" spans="1:7" x14ac:dyDescent="0.25">
      <c r="A157" t="s">
        <v>18</v>
      </c>
      <c r="B157">
        <v>9.8000000000000004E-2</v>
      </c>
      <c r="C157">
        <v>0</v>
      </c>
      <c r="D157">
        <v>0.7</v>
      </c>
      <c r="E157">
        <v>0.01</v>
      </c>
      <c r="F157">
        <f t="shared" si="2"/>
        <v>0</v>
      </c>
    </row>
    <row r="158" spans="1:7" x14ac:dyDescent="0.25">
      <c r="A158" t="s">
        <v>19</v>
      </c>
      <c r="B158">
        <v>0.39100000000000001</v>
      </c>
      <c r="C158">
        <v>0.15</v>
      </c>
      <c r="D158">
        <v>0.3</v>
      </c>
      <c r="E158">
        <v>0.01</v>
      </c>
      <c r="F158">
        <f t="shared" si="2"/>
        <v>1.7594999999999999E-4</v>
      </c>
    </row>
    <row r="159" spans="1:7" x14ac:dyDescent="0.25">
      <c r="A159" t="s">
        <v>20</v>
      </c>
      <c r="B159">
        <v>0.126</v>
      </c>
      <c r="C159">
        <v>0.1</v>
      </c>
      <c r="D159">
        <v>0.7</v>
      </c>
      <c r="E159">
        <v>0.1</v>
      </c>
      <c r="F159">
        <f t="shared" si="2"/>
        <v>8.8199999999999997E-4</v>
      </c>
    </row>
    <row r="160" spans="1:7" ht="13" x14ac:dyDescent="0.3">
      <c r="F160" s="1">
        <f>SUM(F153:F159)</f>
        <v>3.1194499999999997E-3</v>
      </c>
    </row>
    <row r="162" spans="1:7" x14ac:dyDescent="0.25">
      <c r="A162" s="3" t="s">
        <v>130</v>
      </c>
      <c r="B162" s="3" t="s">
        <v>129</v>
      </c>
      <c r="C162" t="s">
        <v>6</v>
      </c>
      <c r="D162" t="s">
        <v>8</v>
      </c>
      <c r="E162" t="s">
        <v>10</v>
      </c>
    </row>
    <row r="163" spans="1:7" x14ac:dyDescent="0.25">
      <c r="A163" t="s">
        <v>14</v>
      </c>
      <c r="B163">
        <v>0.155</v>
      </c>
      <c r="C163">
        <v>0.5</v>
      </c>
      <c r="D163">
        <v>0.1</v>
      </c>
      <c r="E163">
        <v>0.05</v>
      </c>
      <c r="F163">
        <f t="shared" si="2"/>
        <v>3.8750000000000004E-4</v>
      </c>
    </row>
    <row r="164" spans="1:7" s="1" customFormat="1" ht="12" customHeight="1" x14ac:dyDescent="0.3">
      <c r="A164" s="1" t="s">
        <v>15</v>
      </c>
      <c r="B164" s="1">
        <v>0.126</v>
      </c>
      <c r="C164" s="1">
        <v>0.5</v>
      </c>
      <c r="D164" s="1">
        <v>0.5</v>
      </c>
      <c r="E164" s="1">
        <v>0.4</v>
      </c>
      <c r="F164" s="1">
        <f t="shared" si="2"/>
        <v>1.26E-2</v>
      </c>
      <c r="G164" s="1">
        <f>F164/F170</f>
        <v>0.67655547352171286</v>
      </c>
    </row>
    <row r="165" spans="1:7" x14ac:dyDescent="0.25">
      <c r="A165" t="s">
        <v>16</v>
      </c>
      <c r="B165">
        <v>8.4000000000000005E-2</v>
      </c>
      <c r="C165">
        <v>0.05</v>
      </c>
      <c r="D165">
        <v>0.9</v>
      </c>
      <c r="E165">
        <v>0.1</v>
      </c>
      <c r="F165">
        <f t="shared" si="2"/>
        <v>3.7800000000000008E-4</v>
      </c>
    </row>
    <row r="166" spans="1:7" x14ac:dyDescent="0.25">
      <c r="A166" s="2" t="s">
        <v>17</v>
      </c>
      <c r="B166" s="2">
        <v>0.02</v>
      </c>
      <c r="C166" s="2">
        <v>0.45</v>
      </c>
      <c r="D166" s="2">
        <v>0.95</v>
      </c>
      <c r="E166" s="2">
        <v>0.1</v>
      </c>
      <c r="F166">
        <f t="shared" si="2"/>
        <v>8.5500000000000007E-4</v>
      </c>
    </row>
    <row r="167" spans="1:7" x14ac:dyDescent="0.25">
      <c r="A167" t="s">
        <v>18</v>
      </c>
      <c r="B167">
        <v>9.8000000000000004E-2</v>
      </c>
      <c r="C167">
        <v>0</v>
      </c>
      <c r="D167">
        <v>0.7</v>
      </c>
      <c r="E167">
        <v>0.05</v>
      </c>
      <c r="F167">
        <f t="shared" si="2"/>
        <v>0</v>
      </c>
    </row>
    <row r="168" spans="1:7" x14ac:dyDescent="0.25">
      <c r="A168" t="s">
        <v>19</v>
      </c>
      <c r="B168">
        <v>0.39100000000000001</v>
      </c>
      <c r="C168">
        <v>0.15</v>
      </c>
      <c r="D168">
        <v>0.3</v>
      </c>
      <c r="E168">
        <v>0.15</v>
      </c>
      <c r="F168">
        <f t="shared" si="2"/>
        <v>2.6392499999999997E-3</v>
      </c>
    </row>
    <row r="169" spans="1:7" x14ac:dyDescent="0.25">
      <c r="A169" t="s">
        <v>20</v>
      </c>
      <c r="B169">
        <v>0.126</v>
      </c>
      <c r="C169">
        <v>0.1</v>
      </c>
      <c r="D169">
        <v>0.7</v>
      </c>
      <c r="E169">
        <v>0.2</v>
      </c>
      <c r="F169">
        <f t="shared" si="2"/>
        <v>1.7639999999999999E-3</v>
      </c>
    </row>
    <row r="170" spans="1:7" ht="13" x14ac:dyDescent="0.3">
      <c r="F170" s="1">
        <f>SUM(F163:F169)</f>
        <v>1.8623750000000001E-2</v>
      </c>
    </row>
    <row r="172" spans="1:7" x14ac:dyDescent="0.25">
      <c r="A172" s="3" t="s">
        <v>130</v>
      </c>
      <c r="B172" s="3" t="s">
        <v>129</v>
      </c>
      <c r="C172" t="s">
        <v>6</v>
      </c>
      <c r="D172" t="s">
        <v>8</v>
      </c>
      <c r="E172" t="s">
        <v>11</v>
      </c>
    </row>
    <row r="173" spans="1:7" x14ac:dyDescent="0.25">
      <c r="A173" t="s">
        <v>14</v>
      </c>
      <c r="B173">
        <v>0.155</v>
      </c>
      <c r="C173">
        <v>0.5</v>
      </c>
      <c r="D173">
        <v>0.1</v>
      </c>
      <c r="E173">
        <v>0.01</v>
      </c>
      <c r="F173">
        <f t="shared" si="2"/>
        <v>7.75E-5</v>
      </c>
    </row>
    <row r="174" spans="1:7" s="1" customFormat="1" ht="13" x14ac:dyDescent="0.3">
      <c r="A174" s="1" t="s">
        <v>15</v>
      </c>
      <c r="B174" s="1">
        <v>0.126</v>
      </c>
      <c r="C174" s="1">
        <v>0.5</v>
      </c>
      <c r="D174" s="1">
        <v>0.5</v>
      </c>
      <c r="E174" s="1">
        <v>0.7</v>
      </c>
      <c r="F174" s="1">
        <f t="shared" si="2"/>
        <v>2.205E-2</v>
      </c>
      <c r="G174" s="1">
        <f>F174/F180</f>
        <v>0.48682482033845914</v>
      </c>
    </row>
    <row r="175" spans="1:7" x14ac:dyDescent="0.25">
      <c r="A175" t="s">
        <v>16</v>
      </c>
      <c r="B175">
        <v>8.4000000000000005E-2</v>
      </c>
      <c r="C175">
        <v>0.05</v>
      </c>
      <c r="D175">
        <v>0.9</v>
      </c>
      <c r="E175">
        <v>0.95</v>
      </c>
      <c r="F175">
        <f t="shared" si="2"/>
        <v>3.5910000000000004E-3</v>
      </c>
    </row>
    <row r="176" spans="1:7" x14ac:dyDescent="0.25">
      <c r="A176" s="2" t="s">
        <v>17</v>
      </c>
      <c r="B176" s="2">
        <v>0.02</v>
      </c>
      <c r="C176" s="2">
        <v>0.45</v>
      </c>
      <c r="D176" s="2">
        <v>0.95</v>
      </c>
      <c r="E176" s="2">
        <v>0.95</v>
      </c>
      <c r="F176">
        <f t="shared" si="2"/>
        <v>8.1224999999999995E-3</v>
      </c>
    </row>
    <row r="177" spans="1:7" x14ac:dyDescent="0.25">
      <c r="A177" t="s">
        <v>18</v>
      </c>
      <c r="B177">
        <v>9.8000000000000004E-2</v>
      </c>
      <c r="C177">
        <v>0</v>
      </c>
      <c r="D177">
        <v>0.7</v>
      </c>
      <c r="E177">
        <v>0.4</v>
      </c>
      <c r="F177">
        <f t="shared" si="2"/>
        <v>0</v>
      </c>
    </row>
    <row r="178" spans="1:7" x14ac:dyDescent="0.25">
      <c r="A178" t="s">
        <v>19</v>
      </c>
      <c r="B178">
        <v>0.39100000000000001</v>
      </c>
      <c r="C178">
        <v>0.15</v>
      </c>
      <c r="D178">
        <v>0.3</v>
      </c>
      <c r="E178">
        <v>0.3</v>
      </c>
      <c r="F178">
        <f t="shared" si="2"/>
        <v>5.2784999999999993E-3</v>
      </c>
    </row>
    <row r="179" spans="1:7" x14ac:dyDescent="0.25">
      <c r="A179" t="s">
        <v>20</v>
      </c>
      <c r="B179">
        <v>0.126</v>
      </c>
      <c r="C179">
        <v>0.1</v>
      </c>
      <c r="D179">
        <v>0.7</v>
      </c>
      <c r="E179">
        <v>0.7</v>
      </c>
      <c r="F179">
        <f t="shared" si="2"/>
        <v>6.1739999999999998E-3</v>
      </c>
    </row>
    <row r="180" spans="1:7" ht="13" x14ac:dyDescent="0.3">
      <c r="F180" s="1">
        <f>SUM(F173:F179)</f>
        <v>4.52935E-2</v>
      </c>
    </row>
    <row r="182" spans="1:7" x14ac:dyDescent="0.25">
      <c r="A182" s="3" t="s">
        <v>130</v>
      </c>
      <c r="B182" s="3" t="s">
        <v>129</v>
      </c>
      <c r="C182" t="s">
        <v>6</v>
      </c>
      <c r="D182" t="s">
        <v>9</v>
      </c>
      <c r="E182" t="s">
        <v>10</v>
      </c>
    </row>
    <row r="183" spans="1:7" x14ac:dyDescent="0.25">
      <c r="A183" t="s">
        <v>14</v>
      </c>
      <c r="B183">
        <v>0.155</v>
      </c>
      <c r="C183">
        <v>0.5</v>
      </c>
      <c r="D183">
        <v>0.05</v>
      </c>
      <c r="E183">
        <v>0.05</v>
      </c>
      <c r="F183">
        <f t="shared" si="2"/>
        <v>1.9375000000000002E-4</v>
      </c>
    </row>
    <row r="184" spans="1:7" s="1" customFormat="1" ht="13" x14ac:dyDescent="0.3">
      <c r="A184" s="1" t="s">
        <v>15</v>
      </c>
      <c r="B184" s="1">
        <v>0.126</v>
      </c>
      <c r="C184" s="1">
        <v>0.5</v>
      </c>
      <c r="D184" s="1">
        <v>0.02</v>
      </c>
      <c r="E184" s="1">
        <v>0.4</v>
      </c>
      <c r="F184" s="1">
        <f t="shared" si="2"/>
        <v>5.04E-4</v>
      </c>
      <c r="G184" s="1">
        <f>F184/F190</f>
        <v>0.4387473067966659</v>
      </c>
    </row>
    <row r="185" spans="1:7" x14ac:dyDescent="0.25">
      <c r="A185" t="s">
        <v>16</v>
      </c>
      <c r="B185">
        <v>8.4000000000000005E-2</v>
      </c>
      <c r="C185">
        <v>0.05</v>
      </c>
      <c r="D185">
        <v>0.05</v>
      </c>
      <c r="E185">
        <v>0.1</v>
      </c>
      <c r="F185">
        <f t="shared" si="2"/>
        <v>2.1000000000000006E-5</v>
      </c>
    </row>
    <row r="186" spans="1:7" x14ac:dyDescent="0.25">
      <c r="A186" s="2" t="s">
        <v>17</v>
      </c>
      <c r="B186" s="2">
        <v>0.02</v>
      </c>
      <c r="C186" s="2">
        <v>0.45</v>
      </c>
      <c r="D186" s="2">
        <v>0.1</v>
      </c>
      <c r="E186" s="2">
        <v>0.1</v>
      </c>
      <c r="F186">
        <f t="shared" si="2"/>
        <v>9.0000000000000019E-5</v>
      </c>
    </row>
    <row r="187" spans="1:7" x14ac:dyDescent="0.25">
      <c r="A187" t="s">
        <v>18</v>
      </c>
      <c r="B187">
        <v>9.8000000000000004E-2</v>
      </c>
      <c r="C187">
        <v>0</v>
      </c>
      <c r="D187">
        <v>0.01</v>
      </c>
      <c r="E187">
        <v>0.05</v>
      </c>
      <c r="F187">
        <f t="shared" si="2"/>
        <v>0</v>
      </c>
    </row>
    <row r="188" spans="1:7" x14ac:dyDescent="0.25">
      <c r="A188" t="s">
        <v>19</v>
      </c>
      <c r="B188">
        <v>0.39100000000000001</v>
      </c>
      <c r="C188">
        <v>0.15</v>
      </c>
      <c r="D188">
        <v>0.01</v>
      </c>
      <c r="E188">
        <v>0.15</v>
      </c>
      <c r="F188">
        <f t="shared" si="2"/>
        <v>8.7974999999999997E-5</v>
      </c>
    </row>
    <row r="189" spans="1:7" x14ac:dyDescent="0.25">
      <c r="A189" t="s">
        <v>20</v>
      </c>
      <c r="B189">
        <v>0.126</v>
      </c>
      <c r="C189">
        <v>0.1</v>
      </c>
      <c r="D189">
        <v>0.1</v>
      </c>
      <c r="E189">
        <v>0.2</v>
      </c>
      <c r="F189">
        <f t="shared" si="2"/>
        <v>2.52E-4</v>
      </c>
    </row>
    <row r="190" spans="1:7" ht="13" x14ac:dyDescent="0.3">
      <c r="F190" s="1">
        <f>SUM(F183:F189)</f>
        <v>1.148725E-3</v>
      </c>
    </row>
    <row r="192" spans="1:7" x14ac:dyDescent="0.25">
      <c r="A192" s="3" t="s">
        <v>130</v>
      </c>
      <c r="B192" s="3" t="s">
        <v>129</v>
      </c>
      <c r="C192" t="s">
        <v>6</v>
      </c>
      <c r="D192" t="s">
        <v>9</v>
      </c>
      <c r="E192" t="s">
        <v>11</v>
      </c>
    </row>
    <row r="193" spans="1:7" x14ac:dyDescent="0.25">
      <c r="A193" t="s">
        <v>14</v>
      </c>
      <c r="B193">
        <v>0.155</v>
      </c>
      <c r="C193">
        <v>0.5</v>
      </c>
      <c r="D193">
        <v>0.05</v>
      </c>
      <c r="E193">
        <v>0.01</v>
      </c>
      <c r="F193">
        <f t="shared" si="2"/>
        <v>3.875E-5</v>
      </c>
    </row>
    <row r="194" spans="1:7" s="1" customFormat="1" ht="13" x14ac:dyDescent="0.3">
      <c r="A194" s="1" t="s">
        <v>15</v>
      </c>
      <c r="B194" s="1">
        <v>0.126</v>
      </c>
      <c r="C194" s="1">
        <v>0.5</v>
      </c>
      <c r="D194" s="1">
        <v>0.02</v>
      </c>
      <c r="E194" s="1">
        <v>0.7</v>
      </c>
      <c r="F194" s="1">
        <f t="shared" si="2"/>
        <v>8.8199999999999997E-4</v>
      </c>
      <c r="G194" s="1">
        <f>F194/F200</f>
        <v>0.29078201239614926</v>
      </c>
    </row>
    <row r="195" spans="1:7" x14ac:dyDescent="0.25">
      <c r="A195" t="s">
        <v>16</v>
      </c>
      <c r="B195">
        <v>8.4000000000000005E-2</v>
      </c>
      <c r="C195">
        <v>0.05</v>
      </c>
      <c r="D195">
        <v>0.05</v>
      </c>
      <c r="E195">
        <v>0.95</v>
      </c>
      <c r="F195">
        <f t="shared" si="2"/>
        <v>1.9950000000000002E-4</v>
      </c>
    </row>
    <row r="196" spans="1:7" x14ac:dyDescent="0.25">
      <c r="A196" s="2" t="s">
        <v>17</v>
      </c>
      <c r="B196" s="2">
        <v>0.02</v>
      </c>
      <c r="C196" s="2">
        <v>0.45</v>
      </c>
      <c r="D196" s="2">
        <v>0.1</v>
      </c>
      <c r="E196" s="2">
        <v>0.95</v>
      </c>
      <c r="F196">
        <f t="shared" si="2"/>
        <v>8.5500000000000018E-4</v>
      </c>
    </row>
    <row r="197" spans="1:7" x14ac:dyDescent="0.25">
      <c r="A197" t="s">
        <v>18</v>
      </c>
      <c r="B197">
        <v>9.8000000000000004E-2</v>
      </c>
      <c r="C197">
        <v>0</v>
      </c>
      <c r="D197">
        <v>0.01</v>
      </c>
      <c r="E197">
        <v>0.4</v>
      </c>
      <c r="F197">
        <f t="shared" si="2"/>
        <v>0</v>
      </c>
    </row>
    <row r="198" spans="1:7" x14ac:dyDescent="0.25">
      <c r="A198" t="s">
        <v>19</v>
      </c>
      <c r="B198">
        <v>0.39100000000000001</v>
      </c>
      <c r="C198">
        <v>0.15</v>
      </c>
      <c r="D198">
        <v>0.01</v>
      </c>
      <c r="E198">
        <v>0.3</v>
      </c>
      <c r="F198">
        <f t="shared" si="2"/>
        <v>1.7594999999999999E-4</v>
      </c>
    </row>
    <row r="199" spans="1:7" x14ac:dyDescent="0.25">
      <c r="A199" t="s">
        <v>20</v>
      </c>
      <c r="B199">
        <v>0.126</v>
      </c>
      <c r="C199">
        <v>0.1</v>
      </c>
      <c r="D199">
        <v>0.1</v>
      </c>
      <c r="E199">
        <v>0.7</v>
      </c>
      <c r="F199">
        <f t="shared" si="2"/>
        <v>8.8199999999999997E-4</v>
      </c>
    </row>
    <row r="200" spans="1:7" ht="13" x14ac:dyDescent="0.3">
      <c r="F200" s="1">
        <f>SUM(F193:F199)</f>
        <v>3.0332000000000002E-3</v>
      </c>
    </row>
    <row r="202" spans="1:7" x14ac:dyDescent="0.25">
      <c r="A202" s="3" t="s">
        <v>130</v>
      </c>
      <c r="B202" s="3" t="s">
        <v>129</v>
      </c>
      <c r="C202" t="s">
        <v>6</v>
      </c>
      <c r="D202" t="s">
        <v>10</v>
      </c>
      <c r="E202" t="s">
        <v>11</v>
      </c>
    </row>
    <row r="203" spans="1:7" x14ac:dyDescent="0.25">
      <c r="A203" t="s">
        <v>14</v>
      </c>
      <c r="B203">
        <v>0.155</v>
      </c>
      <c r="C203">
        <v>0.5</v>
      </c>
      <c r="D203">
        <v>0.05</v>
      </c>
      <c r="E203">
        <v>0.01</v>
      </c>
      <c r="F203">
        <f t="shared" si="2"/>
        <v>3.875E-5</v>
      </c>
    </row>
    <row r="204" spans="1:7" s="1" customFormat="1" ht="13" x14ac:dyDescent="0.3">
      <c r="A204" s="1" t="s">
        <v>15</v>
      </c>
      <c r="B204" s="1">
        <v>0.126</v>
      </c>
      <c r="C204" s="1">
        <v>0.5</v>
      </c>
      <c r="D204" s="1">
        <v>0.4</v>
      </c>
      <c r="E204" s="1">
        <v>0.7</v>
      </c>
      <c r="F204" s="1">
        <f t="shared" si="2"/>
        <v>1.7639999999999999E-2</v>
      </c>
      <c r="G204" s="1">
        <f>F204/F210</f>
        <v>0.75591360987315726</v>
      </c>
    </row>
    <row r="205" spans="1:7" x14ac:dyDescent="0.25">
      <c r="A205" t="s">
        <v>16</v>
      </c>
      <c r="B205">
        <v>8.4000000000000005E-2</v>
      </c>
      <c r="C205">
        <v>0.05</v>
      </c>
      <c r="D205">
        <v>0.1</v>
      </c>
      <c r="E205">
        <v>0.95</v>
      </c>
      <c r="F205">
        <f t="shared" si="2"/>
        <v>3.9900000000000005E-4</v>
      </c>
    </row>
    <row r="206" spans="1:7" x14ac:dyDescent="0.25">
      <c r="A206" s="2" t="s">
        <v>17</v>
      </c>
      <c r="B206" s="2">
        <v>0.02</v>
      </c>
      <c r="C206" s="2">
        <v>0.45</v>
      </c>
      <c r="D206" s="2">
        <v>0.1</v>
      </c>
      <c r="E206" s="2">
        <v>0.95</v>
      </c>
      <c r="F206">
        <f t="shared" ref="F206:F269" si="3">B206*C206*D206*E206</f>
        <v>8.5500000000000018E-4</v>
      </c>
    </row>
    <row r="207" spans="1:7" x14ac:dyDescent="0.25">
      <c r="A207" t="s">
        <v>18</v>
      </c>
      <c r="B207">
        <v>9.8000000000000004E-2</v>
      </c>
      <c r="C207">
        <v>0</v>
      </c>
      <c r="D207">
        <v>0.05</v>
      </c>
      <c r="E207">
        <v>0.4</v>
      </c>
      <c r="F207">
        <f t="shared" si="3"/>
        <v>0</v>
      </c>
    </row>
    <row r="208" spans="1:7" x14ac:dyDescent="0.25">
      <c r="A208" t="s">
        <v>19</v>
      </c>
      <c r="B208">
        <v>0.39100000000000001</v>
      </c>
      <c r="C208">
        <v>0.15</v>
      </c>
      <c r="D208">
        <v>0.15</v>
      </c>
      <c r="E208">
        <v>0.3</v>
      </c>
      <c r="F208">
        <f t="shared" si="3"/>
        <v>2.6392499999999997E-3</v>
      </c>
    </row>
    <row r="209" spans="1:7" x14ac:dyDescent="0.25">
      <c r="A209" t="s">
        <v>20</v>
      </c>
      <c r="B209">
        <v>0.126</v>
      </c>
      <c r="C209">
        <v>0.1</v>
      </c>
      <c r="D209">
        <v>0.2</v>
      </c>
      <c r="E209">
        <v>0.7</v>
      </c>
      <c r="F209">
        <f t="shared" si="3"/>
        <v>1.7639999999999999E-3</v>
      </c>
    </row>
    <row r="210" spans="1:7" s="1" customFormat="1" ht="13" x14ac:dyDescent="0.3">
      <c r="F210" s="1">
        <f>SUM(F203:F209)</f>
        <v>2.3336000000000003E-2</v>
      </c>
    </row>
    <row r="212" spans="1:7" x14ac:dyDescent="0.25">
      <c r="A212" s="3" t="s">
        <v>130</v>
      </c>
      <c r="B212" s="3" t="s">
        <v>129</v>
      </c>
      <c r="C212" t="s">
        <v>7</v>
      </c>
      <c r="D212" t="s">
        <v>8</v>
      </c>
      <c r="E212" t="s">
        <v>9</v>
      </c>
    </row>
    <row r="213" spans="1:7" x14ac:dyDescent="0.25">
      <c r="A213" t="s">
        <v>14</v>
      </c>
      <c r="B213">
        <v>0.155</v>
      </c>
      <c r="C213">
        <v>0.01</v>
      </c>
      <c r="D213">
        <v>0.1</v>
      </c>
      <c r="E213">
        <v>0.05</v>
      </c>
      <c r="F213">
        <f t="shared" si="3"/>
        <v>7.7500000000000003E-6</v>
      </c>
    </row>
    <row r="214" spans="1:7" s="1" customFormat="1" ht="13" x14ac:dyDescent="0.3">
      <c r="A214" s="1" t="s">
        <v>15</v>
      </c>
      <c r="B214" s="1">
        <v>0.126</v>
      </c>
      <c r="C214" s="1">
        <v>0.02</v>
      </c>
      <c r="D214" s="1">
        <v>0.5</v>
      </c>
      <c r="E214" s="1">
        <v>0.02</v>
      </c>
      <c r="F214" s="1">
        <f t="shared" si="3"/>
        <v>2.5200000000000003E-5</v>
      </c>
      <c r="G214" s="1">
        <f>F214/F220</f>
        <v>6.645779929744613E-3</v>
      </c>
    </row>
    <row r="215" spans="1:7" x14ac:dyDescent="0.25">
      <c r="A215" t="s">
        <v>16</v>
      </c>
      <c r="B215">
        <v>8.4000000000000005E-2</v>
      </c>
      <c r="C215">
        <v>0.25</v>
      </c>
      <c r="D215">
        <v>0.9</v>
      </c>
      <c r="E215">
        <v>0.05</v>
      </c>
      <c r="F215">
        <f t="shared" si="3"/>
        <v>9.4500000000000009E-4</v>
      </c>
    </row>
    <row r="216" spans="1:7" x14ac:dyDescent="0.25">
      <c r="A216" s="2" t="s">
        <v>17</v>
      </c>
      <c r="B216" s="2">
        <v>0.02</v>
      </c>
      <c r="C216" s="2">
        <v>0.01</v>
      </c>
      <c r="D216" s="2">
        <v>0.95</v>
      </c>
      <c r="E216" s="2">
        <v>0.1</v>
      </c>
      <c r="F216">
        <f t="shared" si="3"/>
        <v>1.9000000000000001E-5</v>
      </c>
    </row>
    <row r="217" spans="1:7" x14ac:dyDescent="0.25">
      <c r="A217" t="s">
        <v>18</v>
      </c>
      <c r="B217">
        <v>9.8000000000000004E-2</v>
      </c>
      <c r="C217">
        <v>0.2</v>
      </c>
      <c r="D217">
        <v>0.7</v>
      </c>
      <c r="E217">
        <v>0.01</v>
      </c>
      <c r="F217">
        <f t="shared" si="3"/>
        <v>1.3720000000000003E-4</v>
      </c>
    </row>
    <row r="218" spans="1:7" x14ac:dyDescent="0.25">
      <c r="A218" t="s">
        <v>19</v>
      </c>
      <c r="B218">
        <v>0.39100000000000001</v>
      </c>
      <c r="C218">
        <v>0.01</v>
      </c>
      <c r="D218">
        <v>0.3</v>
      </c>
      <c r="E218">
        <v>0.01</v>
      </c>
      <c r="F218">
        <f t="shared" si="3"/>
        <v>1.173E-5</v>
      </c>
    </row>
    <row r="219" spans="1:7" x14ac:dyDescent="0.25">
      <c r="A219" t="s">
        <v>20</v>
      </c>
      <c r="B219">
        <v>0.126</v>
      </c>
      <c r="C219">
        <v>0.3</v>
      </c>
      <c r="D219">
        <v>0.7</v>
      </c>
      <c r="E219">
        <v>0.1</v>
      </c>
      <c r="F219">
        <f t="shared" si="3"/>
        <v>2.6459999999999999E-3</v>
      </c>
    </row>
    <row r="220" spans="1:7" ht="13" x14ac:dyDescent="0.3">
      <c r="F220" s="1">
        <f>SUM(F213:F219)</f>
        <v>3.7918800000000001E-3</v>
      </c>
    </row>
    <row r="222" spans="1:7" x14ac:dyDescent="0.25">
      <c r="A222" s="3" t="s">
        <v>130</v>
      </c>
      <c r="B222" s="3" t="s">
        <v>129</v>
      </c>
      <c r="C222" t="s">
        <v>7</v>
      </c>
      <c r="D222" t="s">
        <v>8</v>
      </c>
      <c r="E222" t="s">
        <v>10</v>
      </c>
    </row>
    <row r="223" spans="1:7" x14ac:dyDescent="0.25">
      <c r="A223" t="s">
        <v>14</v>
      </c>
      <c r="B223">
        <v>0.155</v>
      </c>
      <c r="C223">
        <v>0.01</v>
      </c>
      <c r="D223">
        <v>0.1</v>
      </c>
      <c r="E223">
        <v>0.05</v>
      </c>
      <c r="F223">
        <f t="shared" si="3"/>
        <v>7.7500000000000003E-6</v>
      </c>
    </row>
    <row r="224" spans="1:7" s="1" customFormat="1" ht="13" x14ac:dyDescent="0.3">
      <c r="A224" s="1" t="s">
        <v>15</v>
      </c>
      <c r="B224" s="1">
        <v>0.126</v>
      </c>
      <c r="C224" s="1">
        <v>0.02</v>
      </c>
      <c r="D224" s="1">
        <v>0.5</v>
      </c>
      <c r="E224" s="1">
        <v>0.4</v>
      </c>
      <c r="F224" s="1">
        <f t="shared" si="3"/>
        <v>5.04E-4</v>
      </c>
      <c r="G224" s="1">
        <f>F224/F230</f>
        <v>5.8777566562095471E-2</v>
      </c>
    </row>
    <row r="225" spans="1:7" x14ac:dyDescent="0.25">
      <c r="A225" t="s">
        <v>16</v>
      </c>
      <c r="B225">
        <v>8.4000000000000005E-2</v>
      </c>
      <c r="C225">
        <v>0.25</v>
      </c>
      <c r="D225">
        <v>0.9</v>
      </c>
      <c r="E225">
        <v>0.1</v>
      </c>
      <c r="F225">
        <f t="shared" si="3"/>
        <v>1.8900000000000002E-3</v>
      </c>
    </row>
    <row r="226" spans="1:7" x14ac:dyDescent="0.25">
      <c r="A226" s="2" t="s">
        <v>17</v>
      </c>
      <c r="B226" s="2">
        <v>0.02</v>
      </c>
      <c r="C226" s="2">
        <v>0.01</v>
      </c>
      <c r="D226" s="2">
        <v>0.95</v>
      </c>
      <c r="E226" s="2">
        <v>0.1</v>
      </c>
      <c r="F226">
        <f t="shared" si="3"/>
        <v>1.9000000000000001E-5</v>
      </c>
    </row>
    <row r="227" spans="1:7" x14ac:dyDescent="0.25">
      <c r="A227" t="s">
        <v>18</v>
      </c>
      <c r="B227">
        <v>9.8000000000000004E-2</v>
      </c>
      <c r="C227">
        <v>0.2</v>
      </c>
      <c r="D227">
        <v>0.7</v>
      </c>
      <c r="E227">
        <v>0.05</v>
      </c>
      <c r="F227">
        <f t="shared" si="3"/>
        <v>6.8600000000000009E-4</v>
      </c>
    </row>
    <row r="228" spans="1:7" x14ac:dyDescent="0.25">
      <c r="A228" t="s">
        <v>19</v>
      </c>
      <c r="B228">
        <v>0.39100000000000001</v>
      </c>
      <c r="C228">
        <v>0.01</v>
      </c>
      <c r="D228">
        <v>0.3</v>
      </c>
      <c r="E228">
        <v>0.15</v>
      </c>
      <c r="F228">
        <f t="shared" si="3"/>
        <v>1.7594999999999999E-4</v>
      </c>
    </row>
    <row r="229" spans="1:7" x14ac:dyDescent="0.25">
      <c r="A229" t="s">
        <v>20</v>
      </c>
      <c r="B229">
        <v>0.126</v>
      </c>
      <c r="C229">
        <v>0.3</v>
      </c>
      <c r="D229">
        <v>0.7</v>
      </c>
      <c r="E229">
        <v>0.2</v>
      </c>
      <c r="F229">
        <f t="shared" si="3"/>
        <v>5.2919999999999998E-3</v>
      </c>
    </row>
    <row r="230" spans="1:7" ht="13" x14ac:dyDescent="0.3">
      <c r="F230" s="1">
        <f>SUM(F223:F229)</f>
        <v>8.5746999999999993E-3</v>
      </c>
    </row>
    <row r="232" spans="1:7" x14ac:dyDescent="0.25">
      <c r="A232" s="3" t="s">
        <v>130</v>
      </c>
      <c r="B232" s="3" t="s">
        <v>129</v>
      </c>
      <c r="C232" t="s">
        <v>7</v>
      </c>
      <c r="D232" t="s">
        <v>8</v>
      </c>
      <c r="E232" t="s">
        <v>11</v>
      </c>
    </row>
    <row r="233" spans="1:7" x14ac:dyDescent="0.25">
      <c r="A233" t="s">
        <v>14</v>
      </c>
      <c r="B233">
        <v>0.155</v>
      </c>
      <c r="C233">
        <v>0.01</v>
      </c>
      <c r="D233">
        <v>0.1</v>
      </c>
      <c r="E233">
        <v>0.01</v>
      </c>
      <c r="F233">
        <f t="shared" si="3"/>
        <v>1.55E-6</v>
      </c>
    </row>
    <row r="234" spans="1:7" s="1" customFormat="1" ht="13" x14ac:dyDescent="0.3">
      <c r="A234" s="1" t="s">
        <v>15</v>
      </c>
      <c r="B234" s="1">
        <v>0.126</v>
      </c>
      <c r="C234" s="1">
        <v>0.02</v>
      </c>
      <c r="D234" s="1">
        <v>0.5</v>
      </c>
      <c r="E234" s="1">
        <v>0.7</v>
      </c>
      <c r="F234" s="1">
        <f t="shared" si="3"/>
        <v>8.8199999999999997E-4</v>
      </c>
      <c r="G234" s="1">
        <f>F234/F240</f>
        <v>2.033150495782135E-2</v>
      </c>
    </row>
    <row r="235" spans="1:7" x14ac:dyDescent="0.25">
      <c r="A235" t="s">
        <v>16</v>
      </c>
      <c r="B235">
        <v>8.4000000000000005E-2</v>
      </c>
      <c r="C235">
        <v>0.25</v>
      </c>
      <c r="D235">
        <v>0.9</v>
      </c>
      <c r="E235">
        <v>0.95</v>
      </c>
      <c r="F235">
        <f t="shared" si="3"/>
        <v>1.7954999999999999E-2</v>
      </c>
    </row>
    <row r="236" spans="1:7" x14ac:dyDescent="0.25">
      <c r="A236" s="2" t="s">
        <v>17</v>
      </c>
      <c r="B236" s="2">
        <v>0.02</v>
      </c>
      <c r="C236" s="2">
        <v>0.01</v>
      </c>
      <c r="D236" s="2">
        <v>0.95</v>
      </c>
      <c r="E236" s="2">
        <v>0.95</v>
      </c>
      <c r="F236">
        <f t="shared" si="3"/>
        <v>1.805E-4</v>
      </c>
    </row>
    <row r="237" spans="1:7" x14ac:dyDescent="0.25">
      <c r="A237" t="s">
        <v>18</v>
      </c>
      <c r="B237">
        <v>9.8000000000000004E-2</v>
      </c>
      <c r="C237">
        <v>0.2</v>
      </c>
      <c r="D237">
        <v>0.7</v>
      </c>
      <c r="E237">
        <v>0.4</v>
      </c>
      <c r="F237">
        <f t="shared" si="3"/>
        <v>5.4880000000000007E-3</v>
      </c>
    </row>
    <row r="238" spans="1:7" x14ac:dyDescent="0.25">
      <c r="A238" t="s">
        <v>19</v>
      </c>
      <c r="B238">
        <v>0.39100000000000001</v>
      </c>
      <c r="C238">
        <v>0.01</v>
      </c>
      <c r="D238">
        <v>0.3</v>
      </c>
      <c r="E238">
        <v>0.3</v>
      </c>
      <c r="F238">
        <f t="shared" si="3"/>
        <v>3.5189999999999999E-4</v>
      </c>
    </row>
    <row r="239" spans="1:7" x14ac:dyDescent="0.25">
      <c r="A239" t="s">
        <v>20</v>
      </c>
      <c r="B239">
        <v>0.126</v>
      </c>
      <c r="C239">
        <v>0.3</v>
      </c>
      <c r="D239">
        <v>0.7</v>
      </c>
      <c r="E239">
        <v>0.7</v>
      </c>
      <c r="F239">
        <f t="shared" si="3"/>
        <v>1.8521999999999997E-2</v>
      </c>
    </row>
    <row r="240" spans="1:7" ht="13" x14ac:dyDescent="0.3">
      <c r="F240" s="1">
        <f>SUM(F233:F239)</f>
        <v>4.3380949999999995E-2</v>
      </c>
    </row>
    <row r="242" spans="1:7" x14ac:dyDescent="0.25">
      <c r="A242" s="3" t="s">
        <v>130</v>
      </c>
      <c r="B242" s="3" t="s">
        <v>129</v>
      </c>
      <c r="C242" t="s">
        <v>7</v>
      </c>
      <c r="D242" t="s">
        <v>9</v>
      </c>
      <c r="E242" t="s">
        <v>10</v>
      </c>
    </row>
    <row r="243" spans="1:7" x14ac:dyDescent="0.25">
      <c r="A243" t="s">
        <v>14</v>
      </c>
      <c r="B243">
        <v>0.155</v>
      </c>
      <c r="C243">
        <v>0.01</v>
      </c>
      <c r="D243">
        <v>0.05</v>
      </c>
      <c r="E243">
        <v>0.05</v>
      </c>
      <c r="F243">
        <f t="shared" si="3"/>
        <v>3.8750000000000002E-6</v>
      </c>
    </row>
    <row r="244" spans="1:7" s="1" customFormat="1" ht="13" x14ac:dyDescent="0.3">
      <c r="A244" s="1" t="s">
        <v>15</v>
      </c>
      <c r="B244" s="1">
        <v>0.126</v>
      </c>
      <c r="C244" s="1">
        <v>0.02</v>
      </c>
      <c r="D244" s="1">
        <v>0.02</v>
      </c>
      <c r="E244" s="1">
        <v>0.4</v>
      </c>
      <c r="F244" s="1">
        <f t="shared" si="3"/>
        <v>2.0160000000000003E-5</v>
      </c>
      <c r="G244" s="1">
        <f>F244/F250</f>
        <v>2.2333000997008971E-2</v>
      </c>
    </row>
    <row r="245" spans="1:7" x14ac:dyDescent="0.25">
      <c r="A245" t="s">
        <v>16</v>
      </c>
      <c r="B245">
        <v>8.4000000000000005E-2</v>
      </c>
      <c r="C245">
        <v>0.25</v>
      </c>
      <c r="D245">
        <v>0.05</v>
      </c>
      <c r="E245">
        <v>0.1</v>
      </c>
      <c r="F245">
        <f t="shared" si="3"/>
        <v>1.0500000000000002E-4</v>
      </c>
    </row>
    <row r="246" spans="1:7" x14ac:dyDescent="0.25">
      <c r="A246" s="2" t="s">
        <v>17</v>
      </c>
      <c r="B246" s="2">
        <v>0.02</v>
      </c>
      <c r="C246" s="2">
        <v>0.01</v>
      </c>
      <c r="D246" s="2">
        <v>0.1</v>
      </c>
      <c r="E246" s="2">
        <v>0.1</v>
      </c>
      <c r="F246">
        <f t="shared" si="3"/>
        <v>2.0000000000000003E-6</v>
      </c>
    </row>
    <row r="247" spans="1:7" x14ac:dyDescent="0.25">
      <c r="A247" t="s">
        <v>18</v>
      </c>
      <c r="B247">
        <v>9.8000000000000004E-2</v>
      </c>
      <c r="C247">
        <v>0.2</v>
      </c>
      <c r="D247">
        <v>0.01</v>
      </c>
      <c r="E247">
        <v>0.05</v>
      </c>
      <c r="F247">
        <f t="shared" si="3"/>
        <v>9.800000000000001E-6</v>
      </c>
    </row>
    <row r="248" spans="1:7" x14ac:dyDescent="0.25">
      <c r="A248" t="s">
        <v>19</v>
      </c>
      <c r="B248">
        <v>0.39100000000000001</v>
      </c>
      <c r="C248">
        <v>0.01</v>
      </c>
      <c r="D248">
        <v>0.01</v>
      </c>
      <c r="E248">
        <v>0.15</v>
      </c>
      <c r="F248">
        <f t="shared" si="3"/>
        <v>5.8649999999999998E-6</v>
      </c>
    </row>
    <row r="249" spans="1:7" x14ac:dyDescent="0.25">
      <c r="A249" t="s">
        <v>20</v>
      </c>
      <c r="B249">
        <v>0.126</v>
      </c>
      <c r="C249">
        <v>0.3</v>
      </c>
      <c r="D249">
        <v>0.1</v>
      </c>
      <c r="E249">
        <v>0.2</v>
      </c>
      <c r="F249">
        <f t="shared" si="3"/>
        <v>7.5600000000000016E-4</v>
      </c>
    </row>
    <row r="250" spans="1:7" ht="13" x14ac:dyDescent="0.3">
      <c r="F250" s="1">
        <f>SUM(F243:F249)</f>
        <v>9.027000000000002E-4</v>
      </c>
    </row>
    <row r="252" spans="1:7" x14ac:dyDescent="0.25">
      <c r="A252" s="3" t="s">
        <v>130</v>
      </c>
      <c r="B252" s="3" t="s">
        <v>129</v>
      </c>
      <c r="C252" t="s">
        <v>7</v>
      </c>
      <c r="D252" t="s">
        <v>9</v>
      </c>
      <c r="E252" t="s">
        <v>11</v>
      </c>
    </row>
    <row r="253" spans="1:7" x14ac:dyDescent="0.25">
      <c r="A253" t="s">
        <v>14</v>
      </c>
      <c r="B253">
        <v>0.155</v>
      </c>
      <c r="C253">
        <v>0.01</v>
      </c>
      <c r="D253">
        <v>0.05</v>
      </c>
      <c r="E253">
        <v>0.01</v>
      </c>
      <c r="F253">
        <f t="shared" si="3"/>
        <v>7.7499999999999999E-7</v>
      </c>
    </row>
    <row r="254" spans="1:7" s="1" customFormat="1" ht="13" x14ac:dyDescent="0.3">
      <c r="A254" s="1" t="s">
        <v>15</v>
      </c>
      <c r="B254" s="1">
        <v>0.126</v>
      </c>
      <c r="C254" s="1">
        <v>0.02</v>
      </c>
      <c r="D254" s="1">
        <v>0.02</v>
      </c>
      <c r="E254" s="1">
        <v>0.7</v>
      </c>
      <c r="F254" s="1">
        <f t="shared" si="3"/>
        <v>3.5280000000000001E-5</v>
      </c>
      <c r="G254" s="1">
        <f>F254/F260</f>
        <v>9.3119380471060539E-3</v>
      </c>
    </row>
    <row r="255" spans="1:7" x14ac:dyDescent="0.25">
      <c r="A255" t="s">
        <v>16</v>
      </c>
      <c r="B255">
        <v>8.4000000000000005E-2</v>
      </c>
      <c r="C255">
        <v>0.25</v>
      </c>
      <c r="D255">
        <v>0.05</v>
      </c>
      <c r="E255">
        <v>0.95</v>
      </c>
      <c r="F255">
        <f t="shared" si="3"/>
        <v>9.9750000000000012E-4</v>
      </c>
    </row>
    <row r="256" spans="1:7" x14ac:dyDescent="0.25">
      <c r="A256" s="2" t="s">
        <v>17</v>
      </c>
      <c r="B256" s="2">
        <v>0.02</v>
      </c>
      <c r="C256" s="2">
        <v>0.01</v>
      </c>
      <c r="D256" s="2">
        <v>0.1</v>
      </c>
      <c r="E256" s="2">
        <v>0.95</v>
      </c>
      <c r="F256">
        <f t="shared" si="3"/>
        <v>1.9000000000000001E-5</v>
      </c>
    </row>
    <row r="257" spans="1:7" x14ac:dyDescent="0.25">
      <c r="A257" t="s">
        <v>18</v>
      </c>
      <c r="B257">
        <v>9.8000000000000004E-2</v>
      </c>
      <c r="C257">
        <v>0.2</v>
      </c>
      <c r="D257">
        <v>0.01</v>
      </c>
      <c r="E257">
        <v>0.4</v>
      </c>
      <c r="F257">
        <f t="shared" si="3"/>
        <v>7.8400000000000008E-5</v>
      </c>
    </row>
    <row r="258" spans="1:7" x14ac:dyDescent="0.25">
      <c r="A258" t="s">
        <v>19</v>
      </c>
      <c r="B258">
        <v>0.39100000000000001</v>
      </c>
      <c r="C258">
        <v>0.01</v>
      </c>
      <c r="D258">
        <v>0.01</v>
      </c>
      <c r="E258">
        <v>0.3</v>
      </c>
      <c r="F258">
        <f t="shared" si="3"/>
        <v>1.173E-5</v>
      </c>
    </row>
    <row r="259" spans="1:7" x14ac:dyDescent="0.25">
      <c r="A259" t="s">
        <v>20</v>
      </c>
      <c r="B259">
        <v>0.126</v>
      </c>
      <c r="C259">
        <v>0.3</v>
      </c>
      <c r="D259">
        <v>0.1</v>
      </c>
      <c r="E259">
        <v>0.7</v>
      </c>
      <c r="F259">
        <f t="shared" si="3"/>
        <v>2.6459999999999999E-3</v>
      </c>
    </row>
    <row r="260" spans="1:7" ht="13" x14ac:dyDescent="0.3">
      <c r="F260" s="1">
        <f>SUM(F253:F259)</f>
        <v>3.788685E-3</v>
      </c>
    </row>
    <row r="262" spans="1:7" x14ac:dyDescent="0.25">
      <c r="A262" s="3" t="s">
        <v>130</v>
      </c>
      <c r="B262" s="3" t="s">
        <v>129</v>
      </c>
      <c r="C262" t="s">
        <v>7</v>
      </c>
      <c r="D262" t="s">
        <v>10</v>
      </c>
      <c r="E262" t="s">
        <v>11</v>
      </c>
    </row>
    <row r="263" spans="1:7" x14ac:dyDescent="0.25">
      <c r="A263" t="s">
        <v>14</v>
      </c>
      <c r="B263">
        <v>0.155</v>
      </c>
      <c r="C263">
        <v>0.01</v>
      </c>
      <c r="D263">
        <v>0.05</v>
      </c>
      <c r="E263">
        <v>0.01</v>
      </c>
      <c r="F263">
        <f t="shared" si="3"/>
        <v>7.7499999999999999E-7</v>
      </c>
    </row>
    <row r="264" spans="1:7" s="1" customFormat="1" ht="13" x14ac:dyDescent="0.3">
      <c r="A264" s="1" t="s">
        <v>15</v>
      </c>
      <c r="B264" s="1">
        <v>0.126</v>
      </c>
      <c r="C264" s="1">
        <v>0.02</v>
      </c>
      <c r="D264" s="1">
        <v>0.4</v>
      </c>
      <c r="E264" s="1">
        <v>0.7</v>
      </c>
      <c r="F264" s="1">
        <f t="shared" si="3"/>
        <v>7.0559999999999991E-4</v>
      </c>
      <c r="G264" s="1">
        <f>F264/F270</f>
        <v>8.2234647289001289E-2</v>
      </c>
    </row>
    <row r="265" spans="1:7" x14ac:dyDescent="0.25">
      <c r="A265" t="s">
        <v>16</v>
      </c>
      <c r="B265">
        <v>8.4000000000000005E-2</v>
      </c>
      <c r="C265">
        <v>0.25</v>
      </c>
      <c r="D265">
        <v>0.1</v>
      </c>
      <c r="E265">
        <v>0.95</v>
      </c>
      <c r="F265">
        <f t="shared" si="3"/>
        <v>1.9950000000000002E-3</v>
      </c>
    </row>
    <row r="266" spans="1:7" x14ac:dyDescent="0.25">
      <c r="A266" s="2" t="s">
        <v>17</v>
      </c>
      <c r="B266" s="2">
        <v>0.02</v>
      </c>
      <c r="C266" s="2">
        <v>0.01</v>
      </c>
      <c r="D266" s="2">
        <v>0.1</v>
      </c>
      <c r="E266" s="2">
        <v>0.95</v>
      </c>
      <c r="F266">
        <f t="shared" si="3"/>
        <v>1.9000000000000001E-5</v>
      </c>
    </row>
    <row r="267" spans="1:7" x14ac:dyDescent="0.25">
      <c r="A267" t="s">
        <v>18</v>
      </c>
      <c r="B267">
        <v>9.8000000000000004E-2</v>
      </c>
      <c r="C267">
        <v>0.2</v>
      </c>
      <c r="D267">
        <v>0.05</v>
      </c>
      <c r="E267">
        <v>0.4</v>
      </c>
      <c r="F267">
        <f t="shared" si="3"/>
        <v>3.920000000000001E-4</v>
      </c>
    </row>
    <row r="268" spans="1:7" x14ac:dyDescent="0.25">
      <c r="A268" t="s">
        <v>19</v>
      </c>
      <c r="B268">
        <v>0.39100000000000001</v>
      </c>
      <c r="C268">
        <v>0.01</v>
      </c>
      <c r="D268">
        <v>0.15</v>
      </c>
      <c r="E268">
        <v>0.3</v>
      </c>
      <c r="F268">
        <f t="shared" si="3"/>
        <v>1.7594999999999999E-4</v>
      </c>
    </row>
    <row r="269" spans="1:7" x14ac:dyDescent="0.25">
      <c r="A269" t="s">
        <v>20</v>
      </c>
      <c r="B269">
        <v>0.126</v>
      </c>
      <c r="C269">
        <v>0.3</v>
      </c>
      <c r="D269">
        <v>0.2</v>
      </c>
      <c r="E269">
        <v>0.7</v>
      </c>
      <c r="F269">
        <f t="shared" si="3"/>
        <v>5.2919999999999998E-3</v>
      </c>
    </row>
    <row r="270" spans="1:7" ht="13" x14ac:dyDescent="0.3">
      <c r="F270" s="1">
        <f>SUM(F263:F269)</f>
        <v>8.5803249999999998E-3</v>
      </c>
    </row>
    <row r="272" spans="1:7" x14ac:dyDescent="0.25">
      <c r="A272" s="3" t="s">
        <v>130</v>
      </c>
      <c r="B272" s="3" t="s">
        <v>129</v>
      </c>
      <c r="C272" t="s">
        <v>8</v>
      </c>
      <c r="D272" t="s">
        <v>9</v>
      </c>
      <c r="E272" t="s">
        <v>10</v>
      </c>
    </row>
    <row r="273" spans="1:7" s="1" customFormat="1" ht="13" x14ac:dyDescent="0.3">
      <c r="A273" s="1" t="s">
        <v>14</v>
      </c>
      <c r="B273" s="1">
        <v>0.155</v>
      </c>
      <c r="C273" s="1">
        <v>0.1</v>
      </c>
      <c r="D273" s="1">
        <v>0.05</v>
      </c>
      <c r="E273" s="1">
        <v>0.05</v>
      </c>
      <c r="F273" s="1">
        <f t="shared" ref="F273:F309" si="4">B273*C273*D273*E273</f>
        <v>3.8750000000000007E-5</v>
      </c>
    </row>
    <row r="274" spans="1:7" x14ac:dyDescent="0.25">
      <c r="A274" t="s">
        <v>15</v>
      </c>
      <c r="B274">
        <v>0.126</v>
      </c>
      <c r="C274">
        <v>0.5</v>
      </c>
      <c r="D274">
        <v>0.02</v>
      </c>
      <c r="E274">
        <v>0.4</v>
      </c>
      <c r="F274">
        <f t="shared" si="4"/>
        <v>5.04E-4</v>
      </c>
      <c r="G274">
        <f>F274/F280</f>
        <v>0.1633711507293355</v>
      </c>
    </row>
    <row r="275" spans="1:7" x14ac:dyDescent="0.25">
      <c r="A275" t="s">
        <v>16</v>
      </c>
      <c r="B275">
        <v>8.4000000000000005E-2</v>
      </c>
      <c r="C275">
        <v>0.9</v>
      </c>
      <c r="D275">
        <v>0.05</v>
      </c>
      <c r="E275">
        <v>0.1</v>
      </c>
      <c r="F275">
        <f t="shared" si="4"/>
        <v>3.7800000000000008E-4</v>
      </c>
    </row>
    <row r="276" spans="1:7" x14ac:dyDescent="0.25">
      <c r="A276" s="2" t="s">
        <v>17</v>
      </c>
      <c r="B276" s="2">
        <v>0.02</v>
      </c>
      <c r="C276" s="2">
        <v>0.95</v>
      </c>
      <c r="D276" s="2">
        <v>0.1</v>
      </c>
      <c r="E276" s="2">
        <v>0.1</v>
      </c>
      <c r="F276">
        <f t="shared" si="4"/>
        <v>1.9000000000000001E-4</v>
      </c>
    </row>
    <row r="277" spans="1:7" x14ac:dyDescent="0.25">
      <c r="A277" t="s">
        <v>18</v>
      </c>
      <c r="B277">
        <v>9.8000000000000004E-2</v>
      </c>
      <c r="C277">
        <v>0.7</v>
      </c>
      <c r="D277">
        <v>0.01</v>
      </c>
      <c r="E277">
        <v>0.05</v>
      </c>
      <c r="F277">
        <f t="shared" si="4"/>
        <v>3.43E-5</v>
      </c>
    </row>
    <row r="278" spans="1:7" x14ac:dyDescent="0.25">
      <c r="A278" t="s">
        <v>19</v>
      </c>
      <c r="B278">
        <v>0.39100000000000001</v>
      </c>
      <c r="C278">
        <v>0.3</v>
      </c>
      <c r="D278">
        <v>0.01</v>
      </c>
      <c r="E278">
        <v>0.15</v>
      </c>
      <c r="F278">
        <f t="shared" si="4"/>
        <v>1.7594999999999999E-4</v>
      </c>
    </row>
    <row r="279" spans="1:7" x14ac:dyDescent="0.25">
      <c r="A279" t="s">
        <v>20</v>
      </c>
      <c r="B279">
        <v>0.126</v>
      </c>
      <c r="C279">
        <v>0.7</v>
      </c>
      <c r="D279">
        <v>0.1</v>
      </c>
      <c r="E279">
        <v>0.2</v>
      </c>
      <c r="F279">
        <f t="shared" si="4"/>
        <v>1.7639999999999999E-3</v>
      </c>
    </row>
    <row r="280" spans="1:7" ht="13" x14ac:dyDescent="0.3">
      <c r="F280" s="1">
        <f>SUM(F273:F279)</f>
        <v>3.0850000000000001E-3</v>
      </c>
    </row>
    <row r="282" spans="1:7" x14ac:dyDescent="0.25">
      <c r="A282" s="3" t="s">
        <v>130</v>
      </c>
      <c r="B282" s="3" t="s">
        <v>129</v>
      </c>
      <c r="C282" t="s">
        <v>8</v>
      </c>
      <c r="D282" t="s">
        <v>9</v>
      </c>
      <c r="E282" t="s">
        <v>11</v>
      </c>
    </row>
    <row r="283" spans="1:7" x14ac:dyDescent="0.25">
      <c r="A283" t="s">
        <v>14</v>
      </c>
      <c r="B283">
        <v>0.155</v>
      </c>
      <c r="C283">
        <v>0.1</v>
      </c>
      <c r="D283">
        <v>0.05</v>
      </c>
      <c r="E283">
        <v>0.01</v>
      </c>
      <c r="F283">
        <f t="shared" si="4"/>
        <v>7.7500000000000003E-6</v>
      </c>
    </row>
    <row r="284" spans="1:7" s="1" customFormat="1" ht="13" x14ac:dyDescent="0.3">
      <c r="A284" s="1" t="s">
        <v>15</v>
      </c>
      <c r="B284" s="1">
        <v>0.126</v>
      </c>
      <c r="C284" s="1">
        <v>0.5</v>
      </c>
      <c r="D284" s="1">
        <v>0.02</v>
      </c>
      <c r="E284" s="1">
        <v>0.7</v>
      </c>
      <c r="F284" s="1">
        <f t="shared" si="4"/>
        <v>8.8199999999999997E-4</v>
      </c>
      <c r="G284" s="1">
        <f>F284/F290</f>
        <v>6.7400017575968293E-2</v>
      </c>
    </row>
    <row r="285" spans="1:7" x14ac:dyDescent="0.25">
      <c r="A285" t="s">
        <v>16</v>
      </c>
      <c r="B285">
        <v>8.4000000000000005E-2</v>
      </c>
      <c r="C285">
        <v>0.9</v>
      </c>
      <c r="D285">
        <v>0.05</v>
      </c>
      <c r="E285">
        <v>0.95</v>
      </c>
      <c r="F285">
        <f t="shared" si="4"/>
        <v>3.591E-3</v>
      </c>
    </row>
    <row r="286" spans="1:7" x14ac:dyDescent="0.25">
      <c r="A286" s="2" t="s">
        <v>17</v>
      </c>
      <c r="B286" s="2">
        <v>0.02</v>
      </c>
      <c r="C286" s="2">
        <v>0.95</v>
      </c>
      <c r="D286" s="2">
        <v>0.1</v>
      </c>
      <c r="E286" s="2">
        <v>0.95</v>
      </c>
      <c r="F286">
        <f t="shared" si="4"/>
        <v>1.805E-3</v>
      </c>
    </row>
    <row r="287" spans="1:7" x14ac:dyDescent="0.25">
      <c r="A287" t="s">
        <v>18</v>
      </c>
      <c r="B287">
        <v>9.8000000000000004E-2</v>
      </c>
      <c r="C287">
        <v>0.7</v>
      </c>
      <c r="D287">
        <v>0.01</v>
      </c>
      <c r="E287">
        <v>0.4</v>
      </c>
      <c r="F287">
        <f t="shared" si="4"/>
        <v>2.744E-4</v>
      </c>
    </row>
    <row r="288" spans="1:7" x14ac:dyDescent="0.25">
      <c r="A288" t="s">
        <v>19</v>
      </c>
      <c r="B288">
        <v>0.39100000000000001</v>
      </c>
      <c r="C288">
        <v>0.3</v>
      </c>
      <c r="D288">
        <v>0.01</v>
      </c>
      <c r="E288">
        <v>0.3</v>
      </c>
      <c r="F288">
        <f t="shared" si="4"/>
        <v>3.5189999999999999E-4</v>
      </c>
    </row>
    <row r="289" spans="1:7" x14ac:dyDescent="0.25">
      <c r="A289" t="s">
        <v>20</v>
      </c>
      <c r="B289">
        <v>0.126</v>
      </c>
      <c r="C289">
        <v>0.7</v>
      </c>
      <c r="D289">
        <v>0.1</v>
      </c>
      <c r="E289">
        <v>0.7</v>
      </c>
      <c r="F289">
        <f t="shared" si="4"/>
        <v>6.1739999999999998E-3</v>
      </c>
    </row>
    <row r="290" spans="1:7" ht="13" x14ac:dyDescent="0.3">
      <c r="F290" s="1">
        <f>SUM(F283:F289)</f>
        <v>1.308605E-2</v>
      </c>
    </row>
    <row r="292" spans="1:7" x14ac:dyDescent="0.25">
      <c r="A292" s="3" t="s">
        <v>130</v>
      </c>
      <c r="B292" s="3" t="s">
        <v>129</v>
      </c>
      <c r="C292" t="s">
        <v>8</v>
      </c>
      <c r="D292" t="s">
        <v>10</v>
      </c>
      <c r="E292" t="s">
        <v>11</v>
      </c>
    </row>
    <row r="293" spans="1:7" x14ac:dyDescent="0.25">
      <c r="A293" t="s">
        <v>14</v>
      </c>
      <c r="B293">
        <v>0.155</v>
      </c>
      <c r="C293">
        <v>0.1</v>
      </c>
      <c r="D293">
        <v>0.05</v>
      </c>
      <c r="E293">
        <v>0.01</v>
      </c>
      <c r="F293">
        <f t="shared" si="4"/>
        <v>7.7500000000000003E-6</v>
      </c>
    </row>
    <row r="294" spans="1:7" s="1" customFormat="1" ht="13" x14ac:dyDescent="0.3">
      <c r="A294" s="1" t="s">
        <v>15</v>
      </c>
      <c r="B294" s="1">
        <v>0.126</v>
      </c>
      <c r="C294" s="1">
        <v>0.5</v>
      </c>
      <c r="D294" s="1">
        <v>0.4</v>
      </c>
      <c r="E294" s="1">
        <v>0.7</v>
      </c>
      <c r="F294" s="1">
        <f t="shared" si="4"/>
        <v>1.7639999999999999E-2</v>
      </c>
      <c r="G294" s="1">
        <f>F294/F300</f>
        <v>0.38656023842264137</v>
      </c>
    </row>
    <row r="295" spans="1:7" x14ac:dyDescent="0.25">
      <c r="A295" t="s">
        <v>16</v>
      </c>
      <c r="B295">
        <v>8.4000000000000005E-2</v>
      </c>
      <c r="C295">
        <v>0.9</v>
      </c>
      <c r="D295">
        <v>0.1</v>
      </c>
      <c r="E295">
        <v>0.95</v>
      </c>
      <c r="F295">
        <f t="shared" si="4"/>
        <v>7.182E-3</v>
      </c>
    </row>
    <row r="296" spans="1:7" x14ac:dyDescent="0.25">
      <c r="A296" s="2" t="s">
        <v>17</v>
      </c>
      <c r="B296" s="2">
        <v>0.02</v>
      </c>
      <c r="C296" s="2">
        <v>0.95</v>
      </c>
      <c r="D296" s="2">
        <v>0.1</v>
      </c>
      <c r="E296" s="2">
        <v>0.95</v>
      </c>
      <c r="F296">
        <f t="shared" si="4"/>
        <v>1.805E-3</v>
      </c>
    </row>
    <row r="297" spans="1:7" x14ac:dyDescent="0.25">
      <c r="A297" t="s">
        <v>18</v>
      </c>
      <c r="B297">
        <v>9.8000000000000004E-2</v>
      </c>
      <c r="C297">
        <v>0.7</v>
      </c>
      <c r="D297">
        <v>0.05</v>
      </c>
      <c r="E297">
        <v>0.4</v>
      </c>
      <c r="F297">
        <f t="shared" si="4"/>
        <v>1.372E-3</v>
      </c>
    </row>
    <row r="298" spans="1:7" x14ac:dyDescent="0.25">
      <c r="A298" t="s">
        <v>19</v>
      </c>
      <c r="B298">
        <v>0.39100000000000001</v>
      </c>
      <c r="C298">
        <v>0.3</v>
      </c>
      <c r="D298">
        <v>0.15</v>
      </c>
      <c r="E298">
        <v>0.3</v>
      </c>
      <c r="F298">
        <f t="shared" si="4"/>
        <v>5.2784999999999993E-3</v>
      </c>
    </row>
    <row r="299" spans="1:7" x14ac:dyDescent="0.25">
      <c r="A299" t="s">
        <v>20</v>
      </c>
      <c r="B299">
        <v>0.126</v>
      </c>
      <c r="C299">
        <v>0.7</v>
      </c>
      <c r="D299">
        <v>0.2</v>
      </c>
      <c r="E299">
        <v>0.7</v>
      </c>
      <c r="F299">
        <f t="shared" si="4"/>
        <v>1.2348E-2</v>
      </c>
    </row>
    <row r="300" spans="1:7" ht="13" x14ac:dyDescent="0.3">
      <c r="F300" s="1">
        <f>SUM(F293:F299)</f>
        <v>4.563325E-2</v>
      </c>
    </row>
    <row r="302" spans="1:7" x14ac:dyDescent="0.25">
      <c r="A302" s="3" t="s">
        <v>130</v>
      </c>
      <c r="B302" s="3" t="s">
        <v>129</v>
      </c>
      <c r="C302" t="s">
        <v>9</v>
      </c>
      <c r="D302" t="s">
        <v>10</v>
      </c>
      <c r="E302" t="s">
        <v>11</v>
      </c>
    </row>
    <row r="303" spans="1:7" x14ac:dyDescent="0.25">
      <c r="A303" t="s">
        <v>14</v>
      </c>
      <c r="B303">
        <v>0.155</v>
      </c>
      <c r="C303">
        <v>0.05</v>
      </c>
      <c r="D303">
        <v>0.05</v>
      </c>
      <c r="E303">
        <v>0.01</v>
      </c>
      <c r="F303">
        <f t="shared" si="4"/>
        <v>3.8750000000000002E-6</v>
      </c>
    </row>
    <row r="304" spans="1:7" s="1" customFormat="1" ht="13" x14ac:dyDescent="0.3">
      <c r="A304" s="1" t="s">
        <v>15</v>
      </c>
      <c r="B304" s="1">
        <v>0.126</v>
      </c>
      <c r="C304" s="1">
        <v>0.02</v>
      </c>
      <c r="D304" s="1">
        <v>0.4</v>
      </c>
      <c r="E304" s="1">
        <v>0.7</v>
      </c>
      <c r="F304" s="1">
        <f t="shared" si="4"/>
        <v>7.0559999999999991E-4</v>
      </c>
      <c r="G304" s="1">
        <f>F304/F310</f>
        <v>0.21657292378051118</v>
      </c>
    </row>
    <row r="305" spans="1:8" x14ac:dyDescent="0.25">
      <c r="A305" t="s">
        <v>16</v>
      </c>
      <c r="B305">
        <v>8.4000000000000005E-2</v>
      </c>
      <c r="C305">
        <v>0.05</v>
      </c>
      <c r="D305">
        <v>0.1</v>
      </c>
      <c r="E305">
        <v>0.95</v>
      </c>
      <c r="F305">
        <f t="shared" si="4"/>
        <v>3.9900000000000005E-4</v>
      </c>
    </row>
    <row r="306" spans="1:8" x14ac:dyDescent="0.25">
      <c r="A306" s="2" t="s">
        <v>17</v>
      </c>
      <c r="B306" s="2">
        <v>0.02</v>
      </c>
      <c r="C306" s="2">
        <v>0.1</v>
      </c>
      <c r="D306" s="2">
        <v>0.1</v>
      </c>
      <c r="E306" s="2">
        <v>0.95</v>
      </c>
      <c r="F306">
        <f t="shared" si="4"/>
        <v>1.9000000000000001E-4</v>
      </c>
    </row>
    <row r="307" spans="1:8" x14ac:dyDescent="0.25">
      <c r="A307" t="s">
        <v>18</v>
      </c>
      <c r="B307">
        <v>9.8000000000000004E-2</v>
      </c>
      <c r="C307">
        <v>0.01</v>
      </c>
      <c r="D307">
        <v>0.05</v>
      </c>
      <c r="E307">
        <v>0.4</v>
      </c>
      <c r="F307">
        <f t="shared" si="4"/>
        <v>1.9600000000000002E-5</v>
      </c>
    </row>
    <row r="308" spans="1:8" x14ac:dyDescent="0.25">
      <c r="A308" t="s">
        <v>19</v>
      </c>
      <c r="B308">
        <v>0.39100000000000001</v>
      </c>
      <c r="C308">
        <v>0.01</v>
      </c>
      <c r="D308">
        <v>0.15</v>
      </c>
      <c r="E308">
        <v>0.3</v>
      </c>
      <c r="F308">
        <f t="shared" si="4"/>
        <v>1.7594999999999999E-4</v>
      </c>
    </row>
    <row r="309" spans="1:8" x14ac:dyDescent="0.25">
      <c r="A309" t="s">
        <v>20</v>
      </c>
      <c r="B309">
        <v>0.126</v>
      </c>
      <c r="C309">
        <v>0.1</v>
      </c>
      <c r="D309">
        <v>0.2</v>
      </c>
      <c r="E309">
        <v>0.7</v>
      </c>
      <c r="F309">
        <f t="shared" si="4"/>
        <v>1.7639999999999999E-3</v>
      </c>
    </row>
    <row r="310" spans="1:8" ht="13" x14ac:dyDescent="0.3">
      <c r="F310" s="1">
        <f>SUM(F303:F309)</f>
        <v>3.2580249999999999E-3</v>
      </c>
    </row>
    <row r="311" spans="1:8" s="1" customFormat="1" ht="13" x14ac:dyDescent="0.3">
      <c r="B311" s="1" t="s">
        <v>57</v>
      </c>
      <c r="E311" s="1" t="s">
        <v>57</v>
      </c>
      <c r="H311" s="1" t="s">
        <v>57</v>
      </c>
    </row>
    <row r="312" spans="1:8" x14ac:dyDescent="0.25">
      <c r="A312" t="s">
        <v>58</v>
      </c>
      <c r="B312" s="2">
        <f>G14</f>
        <v>2.153437552874583E-2</v>
      </c>
      <c r="D312" t="s">
        <v>62</v>
      </c>
      <c r="E312" s="2">
        <f>G114</f>
        <v>0.13815940964264958</v>
      </c>
      <c r="G312" t="s">
        <v>66</v>
      </c>
      <c r="H312" s="2">
        <f>G214</f>
        <v>6.645779929744613E-3</v>
      </c>
    </row>
    <row r="313" spans="1:8" x14ac:dyDescent="0.25">
      <c r="A313" t="s">
        <v>59</v>
      </c>
      <c r="B313" s="2">
        <f>G24</f>
        <v>8.5001745571560844E-3</v>
      </c>
      <c r="D313" t="s">
        <v>63</v>
      </c>
      <c r="E313" s="2">
        <f>G124</f>
        <v>4.9478220747474558E-2</v>
      </c>
      <c r="G313" t="s">
        <v>67</v>
      </c>
      <c r="H313" s="2">
        <f>G224</f>
        <v>5.8777566562095471E-2</v>
      </c>
    </row>
    <row r="314" spans="1:8" x14ac:dyDescent="0.25">
      <c r="A314" t="s">
        <v>60</v>
      </c>
      <c r="B314" s="2">
        <f>G34</f>
        <v>7.4660859710911368E-2</v>
      </c>
      <c r="D314" t="s">
        <v>64</v>
      </c>
      <c r="E314" s="2">
        <f>G134</f>
        <v>0.33583767845541318</v>
      </c>
      <c r="G314" t="s">
        <v>68</v>
      </c>
      <c r="H314" s="2">
        <f>G234</f>
        <v>2.033150495782135E-2</v>
      </c>
    </row>
    <row r="315" spans="1:8" x14ac:dyDescent="0.25">
      <c r="A315" t="s">
        <v>61</v>
      </c>
      <c r="B315" s="2">
        <f>G44</f>
        <v>2.9970747938364239E-2</v>
      </c>
      <c r="D315" t="s">
        <v>65</v>
      </c>
      <c r="E315" s="2">
        <f>G144</f>
        <v>0.18395311489769955</v>
      </c>
      <c r="G315" t="s">
        <v>84</v>
      </c>
      <c r="H315" s="2">
        <f>G244</f>
        <v>2.2333000997008971E-2</v>
      </c>
    </row>
    <row r="316" spans="1:8" x14ac:dyDescent="0.25">
      <c r="A316" t="s">
        <v>72</v>
      </c>
      <c r="B316" s="2">
        <f>G54</f>
        <v>6.2219456913026085E-2</v>
      </c>
      <c r="D316" t="s">
        <v>75</v>
      </c>
      <c r="E316" s="2">
        <f>G154</f>
        <v>0.20195867861321709</v>
      </c>
      <c r="G316" t="s">
        <v>85</v>
      </c>
      <c r="H316" s="2">
        <f>G254</f>
        <v>9.3119380471060539E-3</v>
      </c>
    </row>
    <row r="317" spans="1:8" x14ac:dyDescent="0.25">
      <c r="A317" t="s">
        <v>73</v>
      </c>
      <c r="B317" s="2">
        <f>G64</f>
        <v>0.30555639758707448</v>
      </c>
      <c r="D317" t="s">
        <v>76</v>
      </c>
      <c r="E317" s="2">
        <f>G164</f>
        <v>0.67655547352171286</v>
      </c>
      <c r="G317" t="s">
        <v>146</v>
      </c>
      <c r="H317" s="2">
        <f>G264</f>
        <v>8.2234647289001289E-2</v>
      </c>
    </row>
    <row r="318" spans="1:8" x14ac:dyDescent="0.25">
      <c r="A318" t="s">
        <v>74</v>
      </c>
      <c r="B318" s="2">
        <f>G74</f>
        <v>0.16434319181310042</v>
      </c>
      <c r="D318" t="s">
        <v>77</v>
      </c>
      <c r="E318" s="2">
        <f>G174</f>
        <v>0.48682482033845914</v>
      </c>
      <c r="G318" t="s">
        <v>69</v>
      </c>
      <c r="H318" s="2">
        <f>G274</f>
        <v>0.1633711507293355</v>
      </c>
    </row>
    <row r="319" spans="1:8" x14ac:dyDescent="0.25">
      <c r="A319" t="s">
        <v>78</v>
      </c>
      <c r="B319" s="2">
        <f>G84</f>
        <v>0.17129311004052916</v>
      </c>
      <c r="D319" t="s">
        <v>80</v>
      </c>
      <c r="E319" s="2">
        <f>G184</f>
        <v>0.4387473067966659</v>
      </c>
      <c r="G319" t="s">
        <v>70</v>
      </c>
      <c r="H319" s="2">
        <f>G284</f>
        <v>6.7400017575968293E-2</v>
      </c>
    </row>
    <row r="320" spans="1:8" x14ac:dyDescent="0.25">
      <c r="A320" t="s">
        <v>79</v>
      </c>
      <c r="B320" s="2">
        <f>G94</f>
        <v>8.7138866453759345E-2</v>
      </c>
      <c r="D320" t="s">
        <v>81</v>
      </c>
      <c r="E320" s="2">
        <f>G194</f>
        <v>0.29078201239614926</v>
      </c>
      <c r="G320" t="s">
        <v>86</v>
      </c>
      <c r="H320" s="2">
        <f>G294</f>
        <v>0.38656023842264137</v>
      </c>
    </row>
    <row r="321" spans="1:8" ht="13" x14ac:dyDescent="0.3">
      <c r="A321" t="s">
        <v>82</v>
      </c>
      <c r="B321" s="2">
        <f>G104</f>
        <v>0.38332430616181867</v>
      </c>
      <c r="D321" t="s">
        <v>83</v>
      </c>
      <c r="E321" s="1">
        <f>G204</f>
        <v>0.75591360987315726</v>
      </c>
      <c r="G321" t="s">
        <v>71</v>
      </c>
      <c r="H321" s="2">
        <f>G304</f>
        <v>0.21657292378051118</v>
      </c>
    </row>
    <row r="323" spans="1:8" x14ac:dyDescent="0.25">
      <c r="B323" t="s">
        <v>147</v>
      </c>
    </row>
    <row r="324" spans="1:8" x14ac:dyDescent="0.25">
      <c r="B324" t="s">
        <v>142</v>
      </c>
    </row>
    <row r="325" spans="1:8" ht="13" x14ac:dyDescent="0.3">
      <c r="B325" t="s">
        <v>143</v>
      </c>
      <c r="F325" s="1"/>
    </row>
    <row r="326" spans="1:8" ht="13" x14ac:dyDescent="0.3">
      <c r="F326" t="s">
        <v>148</v>
      </c>
    </row>
    <row r="327" spans="1:8" ht="13" x14ac:dyDescent="0.3">
      <c r="F327" t="s">
        <v>149</v>
      </c>
    </row>
    <row r="328" spans="1:8" ht="13" x14ac:dyDescent="0.3">
      <c r="B328" s="2" t="s">
        <v>150</v>
      </c>
      <c r="C328" s="1"/>
    </row>
  </sheetData>
  <phoneticPr fontId="0" type="noConversion"/>
  <pageMargins left="0.75" right="0.75" top="1" bottom="1" header="0.5" footer="0.5"/>
  <pageSetup orientation="portrait" horizontalDpi="204" verticalDpi="196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2000-10-13T15:21:20Z</cp:lastPrinted>
  <dcterms:created xsi:type="dcterms:W3CDTF">2000-09-24T06:33:23Z</dcterms:created>
  <dcterms:modified xsi:type="dcterms:W3CDTF">2020-01-27T12:40:49Z</dcterms:modified>
</cp:coreProperties>
</file>