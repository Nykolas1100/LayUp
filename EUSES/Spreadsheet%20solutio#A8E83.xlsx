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CB86D1-F2BA-4731-9078-958267DBB846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E9" i="1" s="1"/>
  <c r="D10" i="1"/>
  <c r="E10" i="1"/>
  <c r="H10" i="1"/>
  <c r="G10" i="1"/>
  <c r="D11" i="1"/>
  <c r="E11" i="1"/>
  <c r="H11" i="1"/>
  <c r="G11" i="1"/>
  <c r="D12" i="1"/>
  <c r="E12" i="1"/>
  <c r="H12" i="1"/>
  <c r="G12" i="1"/>
  <c r="D13" i="1"/>
  <c r="E13" i="1"/>
  <c r="H13" i="1"/>
  <c r="G13" i="1"/>
  <c r="D14" i="1"/>
  <c r="E14" i="1" s="1"/>
  <c r="D15" i="1"/>
  <c r="E15" i="1"/>
  <c r="H15" i="1"/>
  <c r="G15" i="1"/>
  <c r="D16" i="1"/>
  <c r="E16" i="1"/>
  <c r="H16" i="1"/>
  <c r="G16" i="1"/>
  <c r="F11" i="1"/>
  <c r="F16" i="1"/>
  <c r="F15" i="1"/>
  <c r="F13" i="1"/>
  <c r="F12" i="1"/>
  <c r="F10" i="1"/>
  <c r="H9" i="1" l="1"/>
  <c r="G9" i="1"/>
  <c r="H14" i="1"/>
  <c r="G14" i="1"/>
  <c r="F14" i="1"/>
  <c r="F9" i="1"/>
</calcChain>
</file>

<file path=xl/sharedStrings.xml><?xml version="1.0" encoding="utf-8"?>
<sst xmlns="http://schemas.openxmlformats.org/spreadsheetml/2006/main" count="13" uniqueCount="12">
  <si>
    <t>Vp</t>
  </si>
  <si>
    <t>Vm</t>
  </si>
  <si>
    <t>Ep</t>
  </si>
  <si>
    <t>Em</t>
  </si>
  <si>
    <t>Parallel</t>
  </si>
  <si>
    <t>Series</t>
  </si>
  <si>
    <t>Hirsch</t>
  </si>
  <si>
    <t>X degree of bonding</t>
  </si>
  <si>
    <t>degree of bonding = 1</t>
  </si>
  <si>
    <t>degree of bonding = 0.5</t>
  </si>
  <si>
    <t>Solution:</t>
  </si>
  <si>
    <t xml:space="preserve">Problem 2 &amp;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</si>
</sst>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539126639399844"/>
          <c:y val="5.8633728669096351E-2"/>
          <c:w val="0.5621475359184025"/>
          <c:h val="0.78504047829179002"/>
        </c:manualLayout>
      </c:layout>
      <c:scatterChart>
        <c:scatterStyle val="lineMarker"/>
        <c:varyColors val="0"/>
        <c:ser>
          <c:idx val="1"/>
          <c:order val="0"/>
          <c:tx>
            <c:v>Series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Sheet1!$C$9:$C$16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Sheet1!$F$9:$F$16</c:f>
              <c:numCache>
                <c:formatCode>General</c:formatCode>
                <c:ptCount val="8"/>
                <c:pt idx="0">
                  <c:v>30000000</c:v>
                </c:pt>
                <c:pt idx="1">
                  <c:v>33328889.481402479</c:v>
                </c:pt>
                <c:pt idx="2">
                  <c:v>37488753.373987801</c:v>
                </c:pt>
                <c:pt idx="3">
                  <c:v>42835113.370266721</c:v>
                </c:pt>
                <c:pt idx="4">
                  <c:v>49960031.974420466</c:v>
                </c:pt>
                <c:pt idx="5">
                  <c:v>59928086.296444267</c:v>
                </c:pt>
                <c:pt idx="6">
                  <c:v>74865242.563385904</c:v>
                </c:pt>
                <c:pt idx="7">
                  <c:v>99720781.810929388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B-4E8F-B3D0-5432BF21F878}"/>
            </c:ext>
          </c:extLst>
        </c:ser>
        <c:ser>
          <c:idx val="2"/>
          <c:order val="1"/>
          <c:tx>
            <c:v>Hirsch's X=0.5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Sheet1!$C$9:$C$16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Sheet1!$G$9:$G$16</c:f>
              <c:numCache>
                <c:formatCode>General</c:formatCode>
                <c:ptCount val="8"/>
                <c:pt idx="0">
                  <c:v>30000000</c:v>
                </c:pt>
                <c:pt idx="1">
                  <c:v>65790066.319615163</c:v>
                </c:pt>
                <c:pt idx="2">
                  <c:v>74422173.446642548</c:v>
                </c:pt>
                <c:pt idx="3">
                  <c:v>85185063.616287068</c:v>
                </c:pt>
                <c:pt idx="4">
                  <c:v>99424232.660882249</c:v>
                </c:pt>
                <c:pt idx="5">
                  <c:v>119284976.39955717</c:v>
                </c:pt>
                <c:pt idx="6">
                  <c:v>148987480.60542667</c:v>
                </c:pt>
                <c:pt idx="7">
                  <c:v>198312096.64374018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6B-4E8F-B3D0-5432BF21F878}"/>
            </c:ext>
          </c:extLst>
        </c:ser>
        <c:ser>
          <c:idx val="3"/>
          <c:order val="2"/>
          <c:tx>
            <c:v>Hirsch X=1</c:v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Sheet1!$C$9:$C$16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Sheet1!$H$9:$H$16</c:f>
              <c:numCache>
                <c:formatCode>General</c:formatCode>
                <c:ptCount val="8"/>
                <c:pt idx="0">
                  <c:v>30000000</c:v>
                </c:pt>
                <c:pt idx="1">
                  <c:v>2527000000</c:v>
                </c:pt>
                <c:pt idx="2">
                  <c:v>5024000000</c:v>
                </c:pt>
                <c:pt idx="3">
                  <c:v>7521000000</c:v>
                </c:pt>
                <c:pt idx="4">
                  <c:v>10018000000</c:v>
                </c:pt>
                <c:pt idx="5">
                  <c:v>12515000000</c:v>
                </c:pt>
                <c:pt idx="6">
                  <c:v>15012000000</c:v>
                </c:pt>
                <c:pt idx="7">
                  <c:v>17509000000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6B-4E8F-B3D0-5432BF21F878}"/>
            </c:ext>
          </c:extLst>
        </c:ser>
        <c:ser>
          <c:idx val="0"/>
          <c:order val="3"/>
          <c:tx>
            <c:v>Parallel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Sheet1!$C$9:$C$16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Sheet1!$E$9:$E$16</c:f>
              <c:numCache>
                <c:formatCode>General</c:formatCode>
                <c:ptCount val="8"/>
                <c:pt idx="0">
                  <c:v>30000000</c:v>
                </c:pt>
                <c:pt idx="1">
                  <c:v>2527000000</c:v>
                </c:pt>
                <c:pt idx="2">
                  <c:v>5024000000</c:v>
                </c:pt>
                <c:pt idx="3">
                  <c:v>7521000000</c:v>
                </c:pt>
                <c:pt idx="4">
                  <c:v>10018000000</c:v>
                </c:pt>
                <c:pt idx="5">
                  <c:v>12515000000</c:v>
                </c:pt>
                <c:pt idx="6">
                  <c:v>15012000000</c:v>
                </c:pt>
                <c:pt idx="7">
                  <c:v>17509000000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6B-4E8F-B3D0-5432BF21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506303"/>
        <c:axId val="1"/>
      </c:scatterChart>
      <c:valAx>
        <c:axId val="1016506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Aggregate percentage </a:t>
                </a:r>
              </a:p>
            </c:rich>
          </c:tx>
          <c:layout>
            <c:manualLayout>
              <c:xMode val="edge"/>
              <c:yMode val="edge"/>
              <c:x val="0.37042563945781048"/>
              <c:y val="0.913708938426751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Modulus</a:t>
                </a:r>
              </a:p>
            </c:rich>
          </c:tx>
          <c:layout>
            <c:manualLayout>
              <c:xMode val="edge"/>
              <c:yMode val="edge"/>
              <c:x val="2.6036306926747063E-2"/>
              <c:y val="0.38111923634912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65063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422632570918085"/>
          <c:y val="0.36320337481134685"/>
          <c:w val="0.17278640051386687"/>
          <c:h val="0.177529900692541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57693180604823"/>
          <c:y val="5.8729566280683342E-2"/>
          <c:w val="0.55557369320962502"/>
          <c:h val="0.79284914478922519"/>
        </c:manualLayout>
      </c:layout>
      <c:scatterChart>
        <c:scatterStyle val="lineMarker"/>
        <c:varyColors val="0"/>
        <c:ser>
          <c:idx val="1"/>
          <c:order val="0"/>
          <c:tx>
            <c:v>Series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Sheet1!$C$9:$C$16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Sheet1!$F$9:$F$16</c:f>
              <c:numCache>
                <c:formatCode>General</c:formatCode>
                <c:ptCount val="8"/>
                <c:pt idx="0">
                  <c:v>30000000</c:v>
                </c:pt>
                <c:pt idx="1">
                  <c:v>33328889.481402479</c:v>
                </c:pt>
                <c:pt idx="2">
                  <c:v>37488753.373987801</c:v>
                </c:pt>
                <c:pt idx="3">
                  <c:v>42835113.370266721</c:v>
                </c:pt>
                <c:pt idx="4">
                  <c:v>49960031.974420466</c:v>
                </c:pt>
                <c:pt idx="5">
                  <c:v>59928086.296444267</c:v>
                </c:pt>
                <c:pt idx="6">
                  <c:v>74865242.563385904</c:v>
                </c:pt>
                <c:pt idx="7">
                  <c:v>99720781.810929388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6-47A9-8F7B-CBAC37A63A24}"/>
            </c:ext>
          </c:extLst>
        </c:ser>
        <c:ser>
          <c:idx val="2"/>
          <c:order val="1"/>
          <c:tx>
            <c:v>Hirsch's X=0.5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Sheet1!$C$9:$C$16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Sheet1!$G$9:$G$16</c:f>
              <c:numCache>
                <c:formatCode>General</c:formatCode>
                <c:ptCount val="8"/>
                <c:pt idx="0">
                  <c:v>30000000</c:v>
                </c:pt>
                <c:pt idx="1">
                  <c:v>65790066.319615163</c:v>
                </c:pt>
                <c:pt idx="2">
                  <c:v>74422173.446642548</c:v>
                </c:pt>
                <c:pt idx="3">
                  <c:v>85185063.616287068</c:v>
                </c:pt>
                <c:pt idx="4">
                  <c:v>99424232.660882249</c:v>
                </c:pt>
                <c:pt idx="5">
                  <c:v>119284976.39955717</c:v>
                </c:pt>
                <c:pt idx="6">
                  <c:v>148987480.60542667</c:v>
                </c:pt>
                <c:pt idx="7">
                  <c:v>198312096.64374018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C6-47A9-8F7B-CBAC37A63A24}"/>
            </c:ext>
          </c:extLst>
        </c:ser>
        <c:ser>
          <c:idx val="3"/>
          <c:order val="2"/>
          <c:tx>
            <c:v>Hirsch X=1</c:v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Sheet1!$C$9:$C$16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Sheet1!$H$9:$H$16</c:f>
              <c:numCache>
                <c:formatCode>General</c:formatCode>
                <c:ptCount val="8"/>
                <c:pt idx="0">
                  <c:v>30000000</c:v>
                </c:pt>
                <c:pt idx="1">
                  <c:v>2527000000</c:v>
                </c:pt>
                <c:pt idx="2">
                  <c:v>5024000000</c:v>
                </c:pt>
                <c:pt idx="3">
                  <c:v>7521000000</c:v>
                </c:pt>
                <c:pt idx="4">
                  <c:v>10018000000</c:v>
                </c:pt>
                <c:pt idx="5">
                  <c:v>12515000000</c:v>
                </c:pt>
                <c:pt idx="6">
                  <c:v>15012000000</c:v>
                </c:pt>
                <c:pt idx="7">
                  <c:v>17509000000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C6-47A9-8F7B-CBAC37A63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507135"/>
        <c:axId val="1"/>
      </c:scatterChart>
      <c:valAx>
        <c:axId val="101650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Aggregate percentage</a:t>
                </a:r>
              </a:p>
            </c:rich>
          </c:tx>
          <c:layout>
            <c:manualLayout>
              <c:xMode val="edge"/>
              <c:yMode val="edge"/>
              <c:x val="0.37727329864467563"/>
              <c:y val="0.916833784715112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Modulus</a:t>
                </a:r>
              </a:p>
            </c:rich>
          </c:tx>
          <c:layout>
            <c:manualLayout>
              <c:xMode val="edge"/>
              <c:yMode val="edge"/>
              <c:x val="2.8424700582818027E-2"/>
              <c:y val="0.39642457239461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650713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10396661031381"/>
          <c:y val="0.39153044187122227"/>
          <c:w val="0.17571633087560234"/>
          <c:h val="0.128878770449277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16</xdr:row>
      <xdr:rowOff>114300</xdr:rowOff>
    </xdr:from>
    <xdr:to>
      <xdr:col>12</xdr:col>
      <xdr:colOff>431800</xdr:colOff>
      <xdr:row>41</xdr:row>
      <xdr:rowOff>44450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5E5B1463-7E16-4534-B8D3-623CB2FC1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16</xdr:row>
      <xdr:rowOff>120650</xdr:rowOff>
    </xdr:from>
    <xdr:to>
      <xdr:col>6</xdr:col>
      <xdr:colOff>260350</xdr:colOff>
      <xdr:row>41</xdr:row>
      <xdr:rowOff>44450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124B18AD-6800-44C2-94AC-69F3B5435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A11" sqref="A11"/>
    </sheetView>
  </sheetViews>
  <sheetFormatPr defaultRowHeight="12.5" x14ac:dyDescent="0.25"/>
  <cols>
    <col min="1" max="1" width="10.81640625" bestFit="1" customWidth="1"/>
    <col min="3" max="3" width="19.81640625" customWidth="1"/>
    <col min="4" max="4" width="12" bestFit="1" customWidth="1"/>
    <col min="6" max="6" width="12" bestFit="1" customWidth="1"/>
    <col min="7" max="7" width="21.26953125" customWidth="1"/>
    <col min="8" max="8" width="19.7265625" customWidth="1"/>
  </cols>
  <sheetData>
    <row r="1" spans="1:8" ht="13" x14ac:dyDescent="0.3">
      <c r="A1" s="2" t="s">
        <v>11</v>
      </c>
      <c r="B1" s="2"/>
    </row>
    <row r="2" spans="1:8" ht="13" x14ac:dyDescent="0.3">
      <c r="A2" s="1" t="s">
        <v>10</v>
      </c>
      <c r="C2" t="s">
        <v>7</v>
      </c>
      <c r="D2">
        <v>0.5</v>
      </c>
      <c r="E2">
        <v>1</v>
      </c>
    </row>
    <row r="4" spans="1:8" x14ac:dyDescent="0.25">
      <c r="C4" t="s">
        <v>2</v>
      </c>
      <c r="D4">
        <v>25000000000</v>
      </c>
    </row>
    <row r="5" spans="1:8" x14ac:dyDescent="0.25">
      <c r="C5" t="s">
        <v>3</v>
      </c>
      <c r="D5">
        <v>30000000</v>
      </c>
    </row>
    <row r="7" spans="1:8" x14ac:dyDescent="0.25">
      <c r="G7" t="s">
        <v>9</v>
      </c>
      <c r="H7" t="s">
        <v>8</v>
      </c>
    </row>
    <row r="8" spans="1:8" x14ac:dyDescent="0.25">
      <c r="C8" t="s">
        <v>0</v>
      </c>
      <c r="D8" t="s">
        <v>1</v>
      </c>
      <c r="E8" t="s">
        <v>4</v>
      </c>
      <c r="F8" t="s">
        <v>5</v>
      </c>
      <c r="G8" t="s">
        <v>6</v>
      </c>
      <c r="H8" t="s">
        <v>6</v>
      </c>
    </row>
    <row r="9" spans="1:8" x14ac:dyDescent="0.25">
      <c r="C9">
        <v>0</v>
      </c>
      <c r="D9">
        <f>1-C9</f>
        <v>1</v>
      </c>
      <c r="E9">
        <f>$D$4*C9+$D$5*D9</f>
        <v>30000000</v>
      </c>
      <c r="F9">
        <f>$D$4*$D$5/(D9*$D$4+C9*$D$5)</f>
        <v>30000000</v>
      </c>
      <c r="G9">
        <f>1/($D$2*1/E9+(1-$D$2)*(C9/$D$4+D9/$D$5))</f>
        <v>30000000</v>
      </c>
      <c r="H9">
        <f>1/($E$2*1/E9+(1-$E$2)*(C9/$D$4+D9/$D$5))</f>
        <v>30000000</v>
      </c>
    </row>
    <row r="10" spans="1:8" x14ac:dyDescent="0.25">
      <c r="C10">
        <v>0.1</v>
      </c>
      <c r="D10">
        <f t="shared" ref="D10:D16" si="0">1-C10</f>
        <v>0.9</v>
      </c>
      <c r="E10">
        <f t="shared" ref="E10:E16" si="1">$D$4*C10+$D$5*D10</f>
        <v>2527000000</v>
      </c>
      <c r="F10">
        <f t="shared" ref="F10:F16" si="2">$D$4*$D$5/(D10*$D$4+C10*$D$5)</f>
        <v>33328889.481402479</v>
      </c>
      <c r="G10">
        <f t="shared" ref="G10:G16" si="3">1/($D$2*1/E10+(1-$D$2)*(C10/$D$4+D10/$D$5))</f>
        <v>65790066.319615163</v>
      </c>
      <c r="H10">
        <f t="shared" ref="H10:H16" si="4">1/($E$2*1/E10+(1-$E$2)*(C10/$D$4+D10/$D$5))</f>
        <v>2527000000</v>
      </c>
    </row>
    <row r="11" spans="1:8" x14ac:dyDescent="0.25">
      <c r="C11">
        <v>0.2</v>
      </c>
      <c r="D11">
        <f t="shared" si="0"/>
        <v>0.8</v>
      </c>
      <c r="E11">
        <f t="shared" si="1"/>
        <v>5024000000</v>
      </c>
      <c r="F11">
        <f>$D$4*$D$5/(D11*$D$4+C11*$D$5)</f>
        <v>37488753.373987801</v>
      </c>
      <c r="G11">
        <f t="shared" si="3"/>
        <v>74422173.446642548</v>
      </c>
      <c r="H11">
        <f t="shared" si="4"/>
        <v>5024000000</v>
      </c>
    </row>
    <row r="12" spans="1:8" x14ac:dyDescent="0.25">
      <c r="C12">
        <v>0.3</v>
      </c>
      <c r="D12">
        <f>1-C12</f>
        <v>0.7</v>
      </c>
      <c r="E12">
        <f t="shared" si="1"/>
        <v>7521000000</v>
      </c>
      <c r="F12">
        <f t="shared" si="2"/>
        <v>42835113.370266721</v>
      </c>
      <c r="G12">
        <f t="shared" si="3"/>
        <v>85185063.616287068</v>
      </c>
      <c r="H12">
        <f t="shared" si="4"/>
        <v>7521000000</v>
      </c>
    </row>
    <row r="13" spans="1:8" x14ac:dyDescent="0.25">
      <c r="C13">
        <v>0.4</v>
      </c>
      <c r="D13">
        <f t="shared" si="0"/>
        <v>0.6</v>
      </c>
      <c r="E13">
        <f t="shared" si="1"/>
        <v>10018000000</v>
      </c>
      <c r="F13">
        <f t="shared" si="2"/>
        <v>49960031.974420466</v>
      </c>
      <c r="G13">
        <f t="shared" si="3"/>
        <v>99424232.660882249</v>
      </c>
      <c r="H13">
        <f t="shared" si="4"/>
        <v>10018000000</v>
      </c>
    </row>
    <row r="14" spans="1:8" x14ac:dyDescent="0.25">
      <c r="C14">
        <v>0.5</v>
      </c>
      <c r="D14">
        <f t="shared" si="0"/>
        <v>0.5</v>
      </c>
      <c r="E14">
        <f t="shared" si="1"/>
        <v>12515000000</v>
      </c>
      <c r="F14">
        <f t="shared" si="2"/>
        <v>59928086.296444267</v>
      </c>
      <c r="G14">
        <f t="shared" si="3"/>
        <v>119284976.39955717</v>
      </c>
      <c r="H14">
        <f t="shared" si="4"/>
        <v>12515000000</v>
      </c>
    </row>
    <row r="15" spans="1:8" x14ac:dyDescent="0.25">
      <c r="C15">
        <v>0.6</v>
      </c>
      <c r="D15">
        <f t="shared" si="0"/>
        <v>0.4</v>
      </c>
      <c r="E15">
        <f t="shared" si="1"/>
        <v>15012000000</v>
      </c>
      <c r="F15">
        <f t="shared" si="2"/>
        <v>74865242.563385904</v>
      </c>
      <c r="G15">
        <f t="shared" si="3"/>
        <v>148987480.60542667</v>
      </c>
      <c r="H15">
        <f t="shared" si="4"/>
        <v>15012000000</v>
      </c>
    </row>
    <row r="16" spans="1:8" x14ac:dyDescent="0.25">
      <c r="C16">
        <v>0.7</v>
      </c>
      <c r="D16">
        <f t="shared" si="0"/>
        <v>0.30000000000000004</v>
      </c>
      <c r="E16">
        <f t="shared" si="1"/>
        <v>17509000000</v>
      </c>
      <c r="F16">
        <f t="shared" si="2"/>
        <v>99720781.810929388</v>
      </c>
      <c r="G16">
        <f t="shared" si="3"/>
        <v>198312096.64374018</v>
      </c>
      <c r="H16">
        <f t="shared" si="4"/>
        <v>17509000000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emasad</dc:creator>
  <cp:lastModifiedBy>Carina Negreanu</cp:lastModifiedBy>
  <dcterms:created xsi:type="dcterms:W3CDTF">2004-02-18T18:06:04Z</dcterms:created>
  <dcterms:modified xsi:type="dcterms:W3CDTF">2020-01-27T12:41:11Z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-1671264016</vt:i4>
  </property>
  <property fmtid="{D5CDD505-2E9C-101B-9397-08002B2CF9AE}" pid="3" name="_EmailSubject">
    <vt:lpwstr/>
  </property>
  <property fmtid="{D5CDD505-2E9C-101B-9397-08002B2CF9AE}" pid="4" name="_AuthorEmail">
    <vt:lpwstr>emasad@civil.tamu.edu</vt:lpwstr>
  </property>
  <property fmtid="{D5CDD505-2E9C-101B-9397-08002B2CF9AE}" pid="5" name="_AuthorEmailDisplayName">
    <vt:lpwstr>Masad, Eyad</vt:lpwstr>
  </property>
  <property fmtid="{D5CDD505-2E9C-101B-9397-08002B2CF9AE}" pid="6" name="_ReviewingToolsShownOnce">
    <vt:lpwstr/>
  </property>
</Properties>
</file>