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583BED-E5B8-4B84-90BB-F2CC350E068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3" l="1"/>
  <c r="E11" i="3"/>
  <c r="C12" i="3"/>
  <c r="D12" i="3"/>
  <c r="E12" i="3"/>
  <c r="E13" i="3"/>
  <c r="E14" i="3"/>
  <c r="E15" i="3"/>
  <c r="E16" i="3"/>
  <c r="E28" i="3" s="1"/>
  <c r="E17" i="3"/>
  <c r="E18" i="3"/>
  <c r="E19" i="3"/>
  <c r="E20" i="3"/>
  <c r="E21" i="3"/>
  <c r="E22" i="3"/>
  <c r="E23" i="3"/>
  <c r="E24" i="3"/>
  <c r="E25" i="3"/>
  <c r="E26" i="3"/>
  <c r="E27" i="3"/>
  <c r="C28" i="3"/>
  <c r="D28" i="3"/>
  <c r="G28" i="3"/>
  <c r="C29" i="3"/>
  <c r="D29" i="3"/>
  <c r="C31" i="3"/>
  <c r="H28" i="3" l="1"/>
  <c r="E29" i="3"/>
</calcChain>
</file>

<file path=xl/sharedStrings.xml><?xml version="1.0" encoding="utf-8"?>
<sst xmlns="http://schemas.openxmlformats.org/spreadsheetml/2006/main" count="470" uniqueCount="286">
  <si>
    <t>Grant number</t>
  </si>
  <si>
    <t>Country</t>
  </si>
  <si>
    <t>BLGET</t>
  </si>
  <si>
    <t>Regional</t>
  </si>
  <si>
    <t>Replication of Urban and City Management Course</t>
  </si>
  <si>
    <t>Adrian Ionescu</t>
  </si>
  <si>
    <t>Ukraine</t>
  </si>
  <si>
    <t>Russia</t>
  </si>
  <si>
    <t>Macedonia</t>
  </si>
  <si>
    <t>Secondary Legislation on Transitional Examination for Civil Servants</t>
  </si>
  <si>
    <t>Training Manuals and Workshops on Democratic Governance/ UNDP Bosnia-OSI-LGI Partnership</t>
  </si>
  <si>
    <t>LGI SUN Participation - 2002</t>
  </si>
  <si>
    <t>Replication of the Urban and City Management course - Hungary</t>
  </si>
  <si>
    <t>Roma PA Training in Bulgaria</t>
  </si>
  <si>
    <t>Replication of the Urban and City Management course - Poland</t>
  </si>
  <si>
    <t>Urban and city management - CD</t>
  </si>
  <si>
    <t>BLGOT</t>
  </si>
  <si>
    <t>Tajikistan</t>
  </si>
  <si>
    <t>Slovakia</t>
  </si>
  <si>
    <t>Kazakhstan</t>
  </si>
  <si>
    <t>Kyrgyzstan</t>
  </si>
  <si>
    <t>Uzbekistan</t>
  </si>
  <si>
    <t>Latvia</t>
  </si>
  <si>
    <t>LGI Summer Workshop for National Foundations - 2001</t>
  </si>
  <si>
    <t>Mongolia</t>
  </si>
  <si>
    <t>Yugoslavia</t>
  </si>
  <si>
    <t>Bulgaria</t>
  </si>
  <si>
    <t>Moldova</t>
  </si>
  <si>
    <t>Local Government program - Soros Foundation Moldova - matching funds 2001</t>
  </si>
  <si>
    <t>Kosovo</t>
  </si>
  <si>
    <t>Local Government program - KFOS - matching funds Kosovo 2001</t>
  </si>
  <si>
    <t>Bosnia-H.</t>
  </si>
  <si>
    <t>Local Government program - OSF BiH - matching funds Bosnia Herzegovina 2001</t>
  </si>
  <si>
    <t>Montenegro</t>
  </si>
  <si>
    <t>Local Government program - OSI Montenegro matching funds 2001</t>
  </si>
  <si>
    <t>Development of Internet Portal "Public Policy Forum" - Second Phase</t>
  </si>
  <si>
    <t>BLGPS</t>
  </si>
  <si>
    <t>Yugoslavia - 2nd edition -IN HOUSE project</t>
  </si>
  <si>
    <t>IN HOUSE</t>
  </si>
  <si>
    <t>LGI forum</t>
  </si>
  <si>
    <t>LGI Publications 2001</t>
  </si>
  <si>
    <t>Budapest International Workshop</t>
  </si>
  <si>
    <t>NISPAcee Research Working Group on Finance and Accounting</t>
  </si>
  <si>
    <t>Academic and Policy Paper Writing Guidelines</t>
  </si>
  <si>
    <t>Country reports for Indicators of Local Government Democratic Performance, Poland, Latvia</t>
  </si>
  <si>
    <t>Country reports for Indicators of Local Government Democratic Performance, Hungary, Romania</t>
  </si>
  <si>
    <t>Indicators of Democratic Governance -Phase 3.</t>
  </si>
  <si>
    <t>Local Economic Development along Corridor 8 - 2nd phase</t>
  </si>
  <si>
    <t>Information collection and assessment of international donor activities in the CEE and fSU countries</t>
  </si>
  <si>
    <t>Budapest Workshop 2.</t>
  </si>
  <si>
    <t>FDI forum in FRY</t>
  </si>
  <si>
    <t>LGPP capital investment funding</t>
  </si>
  <si>
    <t>Hungary</t>
  </si>
  <si>
    <t>Local Government Monitoring: Roma Pilot</t>
  </si>
  <si>
    <t>Roma Migration Potential Survey</t>
  </si>
  <si>
    <t>LGI / ECMI Book Series on Ethnopolitics and Minorities</t>
  </si>
  <si>
    <t>LGPP Housing</t>
  </si>
  <si>
    <t>LGPP Size of Local Governments</t>
  </si>
  <si>
    <t>Managing Diversity: New Public Management in Multiethnic Communities</t>
  </si>
  <si>
    <t>LGI Policy Fellowship - Performance Measurement, Team 2</t>
  </si>
  <si>
    <t>LGI Policy Fellowship - Water Management, Team 3</t>
  </si>
  <si>
    <t>Romania</t>
  </si>
  <si>
    <t>FDI task force - Romania</t>
  </si>
  <si>
    <t>FDI Forum in Caucasus</t>
  </si>
  <si>
    <t>Municipal Yearbook</t>
  </si>
  <si>
    <t>Managing Decentralization Reforms</t>
  </si>
  <si>
    <t>Innovation in regional and local government II</t>
  </si>
  <si>
    <t>Local Budget Assignments in Kazakhstan</t>
  </si>
  <si>
    <t>Indicators of Local Democratic Governance 4.</t>
  </si>
  <si>
    <t>Improving Policy Dissemination</t>
  </si>
  <si>
    <t>Local Government Policy Partnership (LGPP)</t>
  </si>
  <si>
    <t>Needs assessment and design of municipal yearbooks</t>
  </si>
  <si>
    <t>Indicators of Democratic Local Governments in CEE. A Volume of Four Country Reports</t>
  </si>
  <si>
    <t>Health Care Service Reform--Literature Review</t>
  </si>
  <si>
    <t>LED, Enabling municipalities for LED, Kosovo pilot project</t>
  </si>
  <si>
    <t>Public private partnership in urban development (last phase)  publication and follow-up</t>
  </si>
  <si>
    <t>Fellowship publications</t>
  </si>
  <si>
    <t>BLGPT</t>
  </si>
  <si>
    <t>Support for the Institute of Public Policy, Moldova</t>
  </si>
  <si>
    <t>Mentor Support for CSPD Romania</t>
  </si>
  <si>
    <t>Mentor Support for CAR, Romania</t>
  </si>
  <si>
    <t>Mentor Support for OSF, Slovakia</t>
  </si>
  <si>
    <t>Estonia</t>
  </si>
  <si>
    <t>Mentor Support for PRAXIS, Estonia</t>
  </si>
  <si>
    <t>Report of Activities of Soros Related Public Policy Centers</t>
  </si>
  <si>
    <t>Support for the Institute of Public Policy, Moldova, 2001</t>
  </si>
  <si>
    <t>Developing Successful Policy Organizations, Balkans seminar</t>
  </si>
  <si>
    <t>Croatia</t>
  </si>
  <si>
    <t>Mentor Support for ASIMS, Kyrgyzstan</t>
  </si>
  <si>
    <t>IPA/ICPS joint project</t>
  </si>
  <si>
    <t>CEE Database 2002</t>
  </si>
  <si>
    <t>Russian language database 2002</t>
  </si>
  <si>
    <t>Third workshop related policy centers</t>
  </si>
  <si>
    <t>Latvian Foundation Workshop</t>
  </si>
  <si>
    <t>Mentor Support for Viitorul Foundation, Moldova</t>
  </si>
  <si>
    <t>Mentor Support for OSF, Moldova</t>
  </si>
  <si>
    <t>Mentor Support for EDRC, Romania</t>
  </si>
  <si>
    <t>Baltic Policy Course - Trainers</t>
  </si>
  <si>
    <t>Mentor support for OSF Czech Republic</t>
  </si>
  <si>
    <t>Mentor Support for CEPOR, Croatia (OSF)</t>
  </si>
  <si>
    <t>EU simulation game preparations - Poland</t>
  </si>
  <si>
    <t>Mentor Support for OSF Romania</t>
  </si>
  <si>
    <t>Mentor Support for CERD, Zagreb</t>
  </si>
  <si>
    <t>EU simulation game - Latvia</t>
  </si>
  <si>
    <t>BLGRN</t>
  </si>
  <si>
    <t>COMIR - Consortium of Minority Resources/2001 - IN -HOUSE project</t>
  </si>
  <si>
    <t>Enhancing Active Participation of Sub-National Governments in the EU Enlargement process I</t>
  </si>
  <si>
    <t>Poland</t>
  </si>
  <si>
    <t>NISPA cee Core Activities 2001/2002</t>
  </si>
  <si>
    <t>Enhancing Active Participation of Sub-National Governments in the EU Enlargement Process (EAP) - II</t>
  </si>
  <si>
    <t>Enhancing Active Participation of Sub-National Governments in the EU Enlargement Process (EAP) - III</t>
  </si>
  <si>
    <t>Translation and Adaptation of UN habitat training materials in Albanian</t>
  </si>
  <si>
    <t>Information Exchange and Peer Assistance Program between Local Government Officials and Energy Regulators”</t>
  </si>
  <si>
    <t>EU Fellowships for Local Government Associations of Czech Republic, Hungary, Poland, Slovakia</t>
  </si>
  <si>
    <t>Enhancing Active Participation of the Baltic States’ Sub-national Governments in the Process of EU Enlargement - Phase I</t>
  </si>
  <si>
    <t xml:space="preserve">Network of  Association of Local Authorities SEE - COE </t>
  </si>
  <si>
    <t>BLGTC</t>
  </si>
  <si>
    <t>South East European Politics Journal</t>
  </si>
  <si>
    <t>Prishtina course in public administration and local governance</t>
  </si>
  <si>
    <t>Mechanisms for Participation of Roma in Policy-Making and governance in Bulgaria</t>
  </si>
  <si>
    <t>Ukraine - UCEPS-RAND CO-OPERATION</t>
  </si>
  <si>
    <t>Albania</t>
  </si>
  <si>
    <t>Developing a public information system for Tirana City administration</t>
  </si>
  <si>
    <t>Workshop "setting up Institute for Public Administration in Serbia"</t>
  </si>
  <si>
    <t>DAI Leadership Training for Macedonian Mayors</t>
  </si>
  <si>
    <t>The Organizational Model of the City of Skopje</t>
  </si>
  <si>
    <t>LGI support for Georgian Anti Corruption Council</t>
  </si>
  <si>
    <t>LGI participation in Serbia LG Program  ( SLGP - USAID/DAI)</t>
  </si>
  <si>
    <t>OSI BUDAPEST NETWORK PROGRAMS</t>
  </si>
  <si>
    <t xml:space="preserve">Program: </t>
  </si>
  <si>
    <t>OSI Budapest LGI Program</t>
  </si>
  <si>
    <t>Director:</t>
  </si>
  <si>
    <t>2001 BUDGET</t>
  </si>
  <si>
    <t>Program Code</t>
  </si>
  <si>
    <t>SUMMARY OF PROGRAMS</t>
  </si>
  <si>
    <t>Total budget</t>
  </si>
  <si>
    <t>A</t>
  </si>
  <si>
    <t>B</t>
  </si>
  <si>
    <t>D</t>
  </si>
  <si>
    <t>BLGAA</t>
  </si>
  <si>
    <t>General Admin</t>
  </si>
  <si>
    <t>BLGAB</t>
  </si>
  <si>
    <t>Program Admin</t>
  </si>
  <si>
    <t>Total Admin</t>
  </si>
  <si>
    <t>Support for Public Admin. Educ</t>
  </si>
  <si>
    <t>LGI National Found. projects</t>
  </si>
  <si>
    <t>Policy Studies &amp; Dissemination</t>
  </si>
  <si>
    <t>Policy Centres &amp; Think Tanks</t>
  </si>
  <si>
    <t>Regional Networks of Instituti</t>
  </si>
  <si>
    <t>Technical Assistance &amp; Consult</t>
  </si>
  <si>
    <t>Total Programs</t>
  </si>
  <si>
    <t>TOTAL LGI PROGRAM</t>
  </si>
  <si>
    <t>Admin % in total cost</t>
  </si>
  <si>
    <t>2001 BUDGET Execution</t>
  </si>
  <si>
    <t>Amounts Allocated</t>
  </si>
  <si>
    <t>2001 Allocations</t>
  </si>
  <si>
    <t>Total Remaining/Over-allocated</t>
  </si>
  <si>
    <t>C=A-B</t>
  </si>
  <si>
    <t>Over-allocation appears because supplmentary funds were added to LGI budget: from DFID for LGPP, from Moldova NF for IPP</t>
  </si>
  <si>
    <t>Supplementary funds</t>
  </si>
  <si>
    <t>Total remaining</t>
  </si>
  <si>
    <t>C+D</t>
  </si>
  <si>
    <t>Project Title</t>
  </si>
  <si>
    <t>Matching Funds to National Foundation - Tajikistan</t>
  </si>
  <si>
    <t>Matching Funds to National Foundation - Czech Republic</t>
  </si>
  <si>
    <t>Matching Funds to National Foundation - Slovakia</t>
  </si>
  <si>
    <t>Matching Funds to National Foundation - Kazakhstan</t>
  </si>
  <si>
    <t>Matching Funds to National Foundation - Kyrgyzstan</t>
  </si>
  <si>
    <t>Matching Funds to National Foundation - Uzbekistan</t>
  </si>
  <si>
    <t>Matching Funds to National Foundation - Latvia</t>
  </si>
  <si>
    <t>Matching Funds to National Foundation - Ukraine</t>
  </si>
  <si>
    <t>Matching Funds to National Foundation - Lithuania</t>
  </si>
  <si>
    <t>Matching Funds to National Foundation - Macedonia</t>
  </si>
  <si>
    <t>Matching Funds to National Foundation - Mongolia</t>
  </si>
  <si>
    <t>Matching Funds to National Foundation - Yugoslavia</t>
  </si>
  <si>
    <t>Matching Funds to National Foundation - Georgia</t>
  </si>
  <si>
    <t>Matching Funds to National Foundation Bulgaria</t>
  </si>
  <si>
    <t>Contribution to the "Small Towns" programs, Russia (publications and ToTs)</t>
  </si>
  <si>
    <t>Regional Network of Institutions</t>
  </si>
  <si>
    <t>Technical Assistance and Consultancy</t>
  </si>
  <si>
    <t>Enabling local environment for SME development, pilot training program in Kosovo</t>
  </si>
  <si>
    <t>LGI Policy Fellowship - Fiscal Equalization, Team 1</t>
  </si>
  <si>
    <t>Translating from Polish into English the book "Reformatory i politycy"</t>
  </si>
  <si>
    <t>The Impact Decentralization of Social Policy-Volume</t>
  </si>
  <si>
    <t>Soros Public Policy Centers Workshop-Workshop 2.</t>
  </si>
  <si>
    <t>Strengthening decentralization and local financial autonomy in Moldova</t>
  </si>
  <si>
    <t>Support for Public Administration, Education and Training</t>
  </si>
  <si>
    <t>Policy Centers and Think Tanks</t>
  </si>
  <si>
    <t>National Foundation's Matching Programs</t>
  </si>
  <si>
    <t>Georgia</t>
  </si>
  <si>
    <t>Lithuania</t>
  </si>
  <si>
    <t>Czech</t>
  </si>
  <si>
    <t>Comparative survey of local government effectiveness in Ukraine and Russia</t>
  </si>
  <si>
    <t>NISPAcee Secretariat 2000/2001</t>
  </si>
  <si>
    <t>LOGIN - Latvia</t>
  </si>
  <si>
    <t>LOGIN - Hungary</t>
  </si>
  <si>
    <t>LOGIN Regional Node - Year 2</t>
  </si>
  <si>
    <t>LOGIN - Lithuania</t>
  </si>
  <si>
    <t>Local Government Financial Management Training for Latvia</t>
  </si>
  <si>
    <t>FDI Publications</t>
  </si>
  <si>
    <t>Non-tax revenues</t>
  </si>
  <si>
    <t>Series of updates on NGO perspectives on the situation of older people</t>
  </si>
  <si>
    <t>Translation and Editing of the Book "Czech Social Reform at a Crossroads"</t>
  </si>
  <si>
    <t>Local Government NGOs partnership in social services delivery in CEE</t>
  </si>
  <si>
    <t>Impact of Decentralization of Social Policy III. - Workshop</t>
  </si>
  <si>
    <t>Series of conference on democratic governance (with CoE)</t>
  </si>
  <si>
    <t>Conference costs - Local Government Policy Partnership</t>
  </si>
  <si>
    <t>LGPP Partners Costs</t>
  </si>
  <si>
    <t>LGPP Reports on Regulation in Local Utility Sector &amp; editors</t>
  </si>
  <si>
    <t>LGPP Publication and translation of Summary Reports</t>
  </si>
  <si>
    <t>LGPP Education</t>
  </si>
  <si>
    <t>LGPP Public Perception of Local Governments</t>
  </si>
  <si>
    <t>Transparency Issues in Public Service Contracting and Pricing</t>
  </si>
  <si>
    <t>Local Government Budgeting in Transition Countries</t>
  </si>
  <si>
    <t>Local Government Budgeting in Transition Countries - Amendment</t>
  </si>
  <si>
    <t>Public Private Partnership in Urban development. Workshops and publication</t>
  </si>
  <si>
    <t>Transformation strategy for the local public enterprises in Serbia</t>
  </si>
  <si>
    <t>Minorities in Government</t>
  </si>
  <si>
    <t>NISPAcee research group: democratic governance of multiethnic communities</t>
  </si>
  <si>
    <t>The Pardubice Strategic plan: implementing equal opportunities and Roma community development</t>
  </si>
  <si>
    <t>Towards More Transparent Budgeting - YUG</t>
  </si>
  <si>
    <t>LGI policy fellowship 2001 - regionalisation</t>
  </si>
  <si>
    <t>LGI policy fellowship 2001 - democratic governance</t>
  </si>
  <si>
    <t>LGI policy fellowship 2001 - fiscal autonomy</t>
  </si>
  <si>
    <t>Shifting the Skills and Roles of Roma Clerks in the Czech Republic</t>
  </si>
  <si>
    <t>LGI Publications 2000</t>
  </si>
  <si>
    <t>Democratic Governance of Multiethnic Communities in CIS and Baltic States, and edited volume, printed in Russian and in English</t>
  </si>
  <si>
    <t>Russian Edition of "Local Governments in the CEE and fSU" - Volume I</t>
  </si>
  <si>
    <t>Local Government Brief - Russian edition</t>
  </si>
  <si>
    <t>Guide to websites for public servants</t>
  </si>
  <si>
    <t>Public Administration Legislative Reform in Serbia</t>
  </si>
  <si>
    <t>Conflict management and leadership capacity building program in Kosovo</t>
  </si>
  <si>
    <t>Support to the Institute of PA and LG of Montenegro</t>
  </si>
  <si>
    <t>CIDA - LGI co-operation in the framework of stability pact</t>
  </si>
  <si>
    <t>Forming Regional Social and Economic Policy, Ukraine</t>
  </si>
  <si>
    <t>Policy Studies and Dissemination</t>
  </si>
  <si>
    <t>Public Sector Capacity Building to Accelerate Reforms in Ukraine</t>
  </si>
  <si>
    <t>Re</t>
  </si>
  <si>
    <t>WBI/ LGI Urban Management Course</t>
  </si>
  <si>
    <t>Development of Public Management Textbook entitled "Public Management Cases: Applying Theory and Practices in the CEE European Transition Countries"</t>
  </si>
  <si>
    <t>Public Policy Experts Register and Database (Russian language)</t>
  </si>
  <si>
    <t>EU simulation game course - Hungary</t>
  </si>
  <si>
    <t>EU simulation game course - Czech Republic</t>
  </si>
  <si>
    <t>Database of experts of Public Administration from CEE and NIS</t>
  </si>
  <si>
    <t xml:space="preserve">Czech </t>
  </si>
  <si>
    <t>Regional Support Center (FPDL) - 2000</t>
  </si>
  <si>
    <t>Regional Support Center (MPSF) 2000</t>
  </si>
  <si>
    <t>Enhancing active participation of subnational governments in the EU enlargement</t>
  </si>
  <si>
    <t>Creating change networks for Decentralization in Central Asia</t>
  </si>
  <si>
    <t>Croatian Law Center Workshop</t>
  </si>
  <si>
    <t>Joint Project for Related Policy Centers Network</t>
  </si>
  <si>
    <t>Related Policy Centers Activity Report 2002</t>
  </si>
  <si>
    <t>Balkan Policy Centers Effectiveness Course</t>
  </si>
  <si>
    <t>Baltic Policy Centers Effectiveness Course</t>
  </si>
  <si>
    <t>Related Centers Quarterly Activity Report</t>
  </si>
  <si>
    <t>Related Centers Workshop # 4, Budapest</t>
  </si>
  <si>
    <t>Regional Support Center - FPDL, 2001</t>
  </si>
  <si>
    <t>Regional Support Center - MPSF, 2001</t>
  </si>
  <si>
    <t>LDA South East European network of training centers 2002</t>
  </si>
  <si>
    <t>Public policy workshop related centers</t>
  </si>
  <si>
    <t>Assessment Security and Defense in Moldova</t>
  </si>
  <si>
    <t>Mentoring program for public policy institutions from CEE and NIS</t>
  </si>
  <si>
    <t>Russian version of the building successful policy organizations course</t>
  </si>
  <si>
    <t>2001 LGI Active Projects</t>
  </si>
  <si>
    <t>Evaluation of Civil Service Training Assistance programs in CEE</t>
  </si>
  <si>
    <t>Russian translation of NISPAcee book</t>
  </si>
  <si>
    <t>NISPAcee: Better quality administration for the public</t>
  </si>
  <si>
    <t>Summer Academy of Public Administration</t>
  </si>
  <si>
    <t>LGI - SUN participation</t>
  </si>
  <si>
    <t>Support of local government reforms in St. Petersburg</t>
  </si>
  <si>
    <t>Canada-Ukraine-Baltic-Economic Management Training Program</t>
  </si>
  <si>
    <t>NISPAcee: Politico-Administrative relations 2</t>
  </si>
  <si>
    <t>Romania foundation materials</t>
  </si>
  <si>
    <t>Second Summer Academy of Ethics of Governance</t>
  </si>
  <si>
    <t>Public-Private Partnerships in urban development - Slovakia</t>
  </si>
  <si>
    <t>Public-Private Partnerships in urban development - Czech</t>
  </si>
  <si>
    <t>Public-Private Partnerships in urban development - Poland</t>
  </si>
  <si>
    <t>Public-Private Partnerships in urban development - Bulgaria</t>
  </si>
  <si>
    <t>Public-Private Partnerships in urban development - Ukraine</t>
  </si>
  <si>
    <t>LOGIN - Ukraine</t>
  </si>
  <si>
    <t>LOGIN Bulgaria - Second Year</t>
  </si>
  <si>
    <t>LOGIN Poland - Second Year</t>
  </si>
  <si>
    <t>Local Educational Initiatives: Common Problems - Innovative Solutions (Establishment of Lviv City Council for Educational Policy)</t>
  </si>
  <si>
    <t>Evaluating the performance of local government reform in Moldova's Lapushna district</t>
  </si>
  <si>
    <t>Conference on Anti-Corruption Strategies for Transition Economies - Kiev 18-22 July</t>
  </si>
  <si>
    <t>Documentation and information Service in support of administration reform in 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</si>
</sst>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0;[Red]0"/>
  </numFmts>
  <fonts count="2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0"/>
      <color indexed="8"/>
      <name val="MS Sans Serif"/>
    </font>
    <font>
      <b/>
      <sz val="10"/>
      <name val="Arial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8"/>
      <name val="Arial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u/>
      <sz val="1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</font>
    <font>
      <sz val="8"/>
      <color indexed="8"/>
      <name val="Arial"/>
    </font>
    <font>
      <sz val="8"/>
      <color indexed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9" fillId="0" borderId="0" xfId="0" applyFont="1" applyFill="1" applyBorder="1" applyAlignment="1">
      <alignment horizontal="left"/>
    </xf>
    <xf numFmtId="0" fontId="2" fillId="0" borderId="0" xfId="0" applyFont="1" applyProtection="1"/>
    <xf numFmtId="0" fontId="3" fillId="0" borderId="0" xfId="0" applyFont="1" applyProtection="1"/>
    <xf numFmtId="0" fontId="3" fillId="0" borderId="0" xfId="0" applyFont="1" applyBorder="1" applyProtection="1"/>
    <xf numFmtId="0" fontId="10" fillId="0" borderId="0" xfId="0" applyFont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/>
    </xf>
    <xf numFmtId="0" fontId="11" fillId="0" borderId="0" xfId="0" applyFont="1" applyProtection="1"/>
    <xf numFmtId="0" fontId="11" fillId="0" borderId="0" xfId="0" applyFont="1" applyBorder="1" applyAlignment="1" applyProtection="1">
      <alignment horizontal="left"/>
    </xf>
    <xf numFmtId="0" fontId="11" fillId="0" borderId="0" xfId="0" applyFont="1" applyFill="1" applyBorder="1" applyAlignment="1" applyProtection="1">
      <alignment horizontal="left"/>
    </xf>
    <xf numFmtId="0" fontId="3" fillId="0" borderId="0" xfId="0" applyFont="1" applyFill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left"/>
    </xf>
    <xf numFmtId="0" fontId="2" fillId="0" borderId="0" xfId="0" applyFont="1" applyFill="1" applyAlignment="1" applyProtection="1">
      <alignment horizontal="center"/>
    </xf>
    <xf numFmtId="0" fontId="12" fillId="0" borderId="0" xfId="0" applyFont="1" applyAlignment="1">
      <alignment horizontal="right"/>
    </xf>
    <xf numFmtId="0" fontId="13" fillId="0" borderId="0" xfId="0" applyFont="1" applyFill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3" fillId="0" borderId="0" xfId="0" applyFont="1" applyFill="1" applyAlignment="1" applyProtection="1">
      <alignment horizontal="center"/>
    </xf>
    <xf numFmtId="0" fontId="12" fillId="0" borderId="0" xfId="0" applyFont="1" applyProtection="1"/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Continuous" vertical="center" wrapText="1"/>
    </xf>
    <xf numFmtId="0" fontId="15" fillId="0" borderId="3" xfId="0" applyFont="1" applyBorder="1" applyAlignment="1" applyProtection="1">
      <alignment horizontal="centerContinuous" vertical="center" wrapText="1"/>
    </xf>
    <xf numFmtId="0" fontId="15" fillId="0" borderId="0" xfId="0" applyFont="1" applyFill="1" applyBorder="1" applyAlignment="1" applyProtection="1">
      <alignment horizontal="left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 wrapText="1"/>
    </xf>
    <xf numFmtId="0" fontId="15" fillId="0" borderId="6" xfId="0" applyFont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 wrapText="1"/>
    </xf>
    <xf numFmtId="0" fontId="15" fillId="0" borderId="9" xfId="0" applyFont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/>
    </xf>
    <xf numFmtId="0" fontId="3" fillId="0" borderId="11" xfId="0" applyFont="1" applyBorder="1" applyProtection="1"/>
    <xf numFmtId="0" fontId="3" fillId="0" borderId="12" xfId="0" applyFont="1" applyBorder="1" applyProtection="1"/>
    <xf numFmtId="0" fontId="11" fillId="0" borderId="13" xfId="0" applyFont="1" applyBorder="1" applyProtection="1"/>
    <xf numFmtId="0" fontId="3" fillId="0" borderId="10" xfId="0" quotePrefix="1" applyFont="1" applyFill="1" applyBorder="1" applyAlignment="1" applyProtection="1">
      <alignment horizontal="center"/>
    </xf>
    <xf numFmtId="173" fontId="8" fillId="0" borderId="0" xfId="1" applyNumberFormat="1" applyFont="1" applyFill="1" applyBorder="1" applyProtection="1">
      <protection locked="0"/>
    </xf>
    <xf numFmtId="173" fontId="3" fillId="2" borderId="14" xfId="1" applyNumberFormat="1" applyFont="1" applyFill="1" applyBorder="1" applyProtection="1">
      <protection locked="0"/>
    </xf>
    <xf numFmtId="173" fontId="3" fillId="2" borderId="11" xfId="1" applyNumberFormat="1" applyFont="1" applyFill="1" applyBorder="1" applyProtection="1">
      <protection locked="0"/>
    </xf>
    <xf numFmtId="173" fontId="11" fillId="0" borderId="13" xfId="1" applyNumberFormat="1" applyFont="1" applyFill="1" applyBorder="1" applyProtection="1"/>
    <xf numFmtId="173" fontId="3" fillId="0" borderId="0" xfId="1" applyNumberFormat="1" applyFont="1" applyFill="1" applyBorder="1" applyAlignment="1" applyProtection="1">
      <alignment horizontal="left"/>
    </xf>
    <xf numFmtId="173" fontId="3" fillId="0" borderId="11" xfId="1" applyNumberFormat="1" applyFont="1" applyFill="1" applyBorder="1" applyProtection="1">
      <protection locked="0"/>
    </xf>
    <xf numFmtId="173" fontId="11" fillId="0" borderId="0" xfId="1" applyNumberFormat="1" applyFont="1" applyBorder="1" applyAlignment="1" applyProtection="1">
      <alignment horizontal="left"/>
    </xf>
    <xf numFmtId="173" fontId="11" fillId="0" borderId="0" xfId="1" applyNumberFormat="1" applyFont="1" applyFill="1" applyBorder="1" applyAlignment="1" applyProtection="1">
      <alignment horizontal="left"/>
    </xf>
    <xf numFmtId="0" fontId="3" fillId="0" borderId="10" xfId="0" quotePrefix="1" applyFont="1" applyFill="1" applyBorder="1" applyAlignment="1">
      <alignment horizontal="center"/>
    </xf>
    <xf numFmtId="0" fontId="3" fillId="0" borderId="11" xfId="0" applyFont="1" applyFill="1" applyBorder="1"/>
    <xf numFmtId="0" fontId="3" fillId="0" borderId="10" xfId="0" applyFont="1" applyFill="1" applyBorder="1" applyAlignment="1">
      <alignment horizontal="center"/>
    </xf>
    <xf numFmtId="0" fontId="15" fillId="0" borderId="11" xfId="0" applyFont="1" applyFill="1" applyBorder="1"/>
    <xf numFmtId="173" fontId="15" fillId="0" borderId="0" xfId="1" applyNumberFormat="1" applyFont="1" applyFill="1" applyBorder="1" applyProtection="1">
      <protection locked="0"/>
    </xf>
    <xf numFmtId="173" fontId="15" fillId="0" borderId="14" xfId="1" applyNumberFormat="1" applyFont="1" applyFill="1" applyBorder="1" applyProtection="1">
      <protection locked="0"/>
    </xf>
    <xf numFmtId="173" fontId="15" fillId="0" borderId="13" xfId="1" applyNumberFormat="1" applyFont="1" applyFill="1" applyBorder="1" applyProtection="1">
      <protection locked="0"/>
    </xf>
    <xf numFmtId="0" fontId="14" fillId="0" borderId="15" xfId="0" applyFont="1" applyFill="1" applyBorder="1" applyAlignment="1" applyProtection="1">
      <alignment horizontal="left"/>
      <protection locked="0"/>
    </xf>
    <xf numFmtId="0" fontId="3" fillId="0" borderId="14" xfId="0" quotePrefix="1" applyFont="1" applyFill="1" applyBorder="1" applyProtection="1">
      <protection locked="0"/>
    </xf>
    <xf numFmtId="0" fontId="3" fillId="2" borderId="15" xfId="0" applyFont="1" applyFill="1" applyBorder="1" applyAlignment="1" applyProtection="1">
      <alignment horizontal="center"/>
      <protection locked="0"/>
    </xf>
    <xf numFmtId="0" fontId="3" fillId="2" borderId="14" xfId="0" applyFont="1" applyFill="1" applyBorder="1" applyProtection="1">
      <protection locked="0"/>
    </xf>
    <xf numFmtId="0" fontId="3" fillId="0" borderId="11" xfId="0" applyFont="1" applyFill="1" applyBorder="1" applyProtection="1">
      <protection locked="0"/>
    </xf>
    <xf numFmtId="0" fontId="11" fillId="0" borderId="15" xfId="0" applyFont="1" applyFill="1" applyBorder="1" applyAlignment="1" applyProtection="1">
      <alignment horizontal="center"/>
    </xf>
    <xf numFmtId="0" fontId="15" fillId="0" borderId="14" xfId="0" applyFont="1" applyBorder="1" applyProtection="1"/>
    <xf numFmtId="173" fontId="15" fillId="0" borderId="11" xfId="1" applyNumberFormat="1" applyFont="1" applyBorder="1" applyProtection="1"/>
    <xf numFmtId="173" fontId="15" fillId="0" borderId="13" xfId="1" applyNumberFormat="1" applyFont="1" applyBorder="1" applyProtection="1"/>
    <xf numFmtId="173" fontId="15" fillId="0" borderId="0" xfId="1" applyNumberFormat="1" applyFont="1" applyFill="1" applyBorder="1" applyAlignment="1" applyProtection="1">
      <alignment horizontal="left"/>
    </xf>
    <xf numFmtId="0" fontId="11" fillId="0" borderId="16" xfId="0" applyFont="1" applyFill="1" applyBorder="1" applyAlignment="1" applyProtection="1">
      <alignment horizontal="center"/>
    </xf>
    <xf numFmtId="0" fontId="15" fillId="0" borderId="17" xfId="0" applyFont="1" applyBorder="1" applyProtection="1"/>
    <xf numFmtId="173" fontId="15" fillId="0" borderId="8" xfId="0" applyNumberFormat="1" applyFont="1" applyFill="1" applyBorder="1" applyProtection="1"/>
    <xf numFmtId="173" fontId="15" fillId="0" borderId="9" xfId="0" applyNumberFormat="1" applyFont="1" applyFill="1" applyBorder="1" applyProtection="1"/>
    <xf numFmtId="173" fontId="15" fillId="0" borderId="18" xfId="1" applyNumberFormat="1" applyFont="1" applyFill="1" applyBorder="1" applyAlignment="1" applyProtection="1">
      <alignment horizontal="left"/>
    </xf>
    <xf numFmtId="173" fontId="3" fillId="0" borderId="0" xfId="1" applyNumberFormat="1" applyFont="1" applyProtection="1"/>
    <xf numFmtId="173" fontId="11" fillId="0" borderId="0" xfId="1" applyNumberFormat="1" applyFont="1" applyProtection="1"/>
    <xf numFmtId="9" fontId="3" fillId="0" borderId="0" xfId="5" applyFont="1" applyProtection="1"/>
    <xf numFmtId="0" fontId="2" fillId="0" borderId="0" xfId="0" applyFont="1" applyFill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174" fontId="3" fillId="2" borderId="0" xfId="0" applyNumberFormat="1" applyFont="1" applyFill="1" applyBorder="1" applyProtection="1"/>
    <xf numFmtId="0" fontId="15" fillId="0" borderId="19" xfId="0" applyFont="1" applyBorder="1" applyAlignment="1" applyProtection="1">
      <alignment horizontal="left" vertical="center" wrapText="1"/>
    </xf>
    <xf numFmtId="0" fontId="15" fillId="0" borderId="3" xfId="0" applyFont="1" applyFill="1" applyBorder="1" applyAlignment="1" applyProtection="1">
      <alignment horizontal="left" vertical="center" wrapText="1"/>
    </xf>
    <xf numFmtId="0" fontId="15" fillId="0" borderId="15" xfId="0" applyFont="1" applyBorder="1" applyAlignment="1" applyProtection="1">
      <alignment horizontal="left" vertical="center" wrapText="1"/>
    </xf>
    <xf numFmtId="0" fontId="15" fillId="0" borderId="13" xfId="0" applyFont="1" applyFill="1" applyBorder="1" applyAlignment="1" applyProtection="1">
      <alignment horizontal="left" vertical="center" wrapText="1"/>
    </xf>
    <xf numFmtId="0" fontId="11" fillId="0" borderId="15" xfId="0" applyFont="1" applyBorder="1" applyAlignment="1" applyProtection="1">
      <alignment horizontal="left"/>
    </xf>
    <xf numFmtId="0" fontId="11" fillId="0" borderId="13" xfId="0" applyFont="1" applyFill="1" applyBorder="1" applyAlignment="1" applyProtection="1">
      <alignment horizontal="left"/>
    </xf>
    <xf numFmtId="173" fontId="11" fillId="0" borderId="15" xfId="1" applyNumberFormat="1" applyFont="1" applyBorder="1" applyAlignment="1" applyProtection="1">
      <alignment horizontal="left"/>
    </xf>
    <xf numFmtId="173" fontId="11" fillId="0" borderId="13" xfId="1" applyNumberFormat="1" applyFont="1" applyFill="1" applyBorder="1" applyAlignment="1" applyProtection="1">
      <alignment horizontal="left"/>
    </xf>
    <xf numFmtId="173" fontId="11" fillId="0" borderId="15" xfId="1" applyNumberFormat="1" applyFont="1" applyFill="1" applyBorder="1" applyAlignment="1" applyProtection="1">
      <alignment horizontal="left"/>
    </xf>
    <xf numFmtId="173" fontId="15" fillId="0" borderId="15" xfId="1" applyNumberFormat="1" applyFont="1" applyBorder="1" applyAlignment="1" applyProtection="1">
      <alignment horizontal="left"/>
    </xf>
    <xf numFmtId="173" fontId="15" fillId="0" borderId="16" xfId="1" applyNumberFormat="1" applyFont="1" applyBorder="1" applyAlignment="1" applyProtection="1">
      <alignment horizontal="left"/>
    </xf>
    <xf numFmtId="173" fontId="15" fillId="0" borderId="9" xfId="1" applyNumberFormat="1" applyFont="1" applyFill="1" applyBorder="1" applyAlignment="1" applyProtection="1">
      <alignment horizontal="left"/>
    </xf>
    <xf numFmtId="0" fontId="15" fillId="0" borderId="16" xfId="0" applyFont="1" applyBorder="1" applyAlignment="1" applyProtection="1">
      <alignment horizontal="left" vertical="center" wrapText="1"/>
    </xf>
    <xf numFmtId="0" fontId="15" fillId="0" borderId="9" xfId="0" applyFont="1" applyFill="1" applyBorder="1" applyAlignment="1" applyProtection="1">
      <alignment horizontal="left" vertical="center" wrapText="1"/>
    </xf>
    <xf numFmtId="0" fontId="13" fillId="0" borderId="20" xfId="0" applyNumberFormat="1" applyFont="1" applyFill="1" applyBorder="1" applyAlignment="1" applyProtection="1">
      <alignment horizontal="center" wrapText="1"/>
      <protection locked="0"/>
    </xf>
    <xf numFmtId="0" fontId="13" fillId="0" borderId="20" xfId="0" applyFont="1" applyFill="1" applyBorder="1" applyAlignment="1" applyProtection="1">
      <alignment horizontal="center" wrapText="1"/>
      <protection locked="0"/>
    </xf>
    <xf numFmtId="0" fontId="2" fillId="0" borderId="20" xfId="0" applyFont="1" applyFill="1" applyBorder="1" applyAlignment="1" applyProtection="1">
      <alignment wrapText="1"/>
      <protection locked="0"/>
    </xf>
    <xf numFmtId="172" fontId="2" fillId="0" borderId="20" xfId="2" applyNumberFormat="1" applyFont="1" applyFill="1" applyBorder="1" applyAlignment="1" applyProtection="1">
      <alignment wrapText="1"/>
      <protection locked="0"/>
    </xf>
    <xf numFmtId="0" fontId="0" fillId="0" borderId="20" xfId="0" applyFill="1" applyBorder="1" applyAlignment="1">
      <alignment wrapText="1"/>
    </xf>
    <xf numFmtId="14" fontId="2" fillId="0" borderId="20" xfId="0" applyNumberFormat="1" applyFont="1" applyFill="1" applyBorder="1" applyProtection="1">
      <protection locked="0"/>
    </xf>
    <xf numFmtId="172" fontId="2" fillId="0" borderId="20" xfId="2" applyNumberFormat="1" applyFont="1" applyFill="1" applyBorder="1" applyProtection="1">
      <protection locked="0"/>
    </xf>
    <xf numFmtId="0" fontId="2" fillId="0" borderId="20" xfId="0" applyFont="1" applyFill="1" applyBorder="1" applyProtection="1">
      <protection locked="0"/>
    </xf>
    <xf numFmtId="0" fontId="2" fillId="0" borderId="20" xfId="0" applyFont="1" applyFill="1" applyBorder="1"/>
    <xf numFmtId="14" fontId="0" fillId="0" borderId="20" xfId="0" applyNumberFormat="1" applyFill="1" applyBorder="1" applyProtection="1">
      <protection locked="0"/>
    </xf>
    <xf numFmtId="172" fontId="0" fillId="0" borderId="20" xfId="2" applyNumberFormat="1" applyFont="1" applyFill="1" applyBorder="1" applyProtection="1">
      <protection locked="0"/>
    </xf>
    <xf numFmtId="0" fontId="0" fillId="0" borderId="20" xfId="0" applyFill="1" applyBorder="1" applyProtection="1">
      <protection locked="0"/>
    </xf>
    <xf numFmtId="0" fontId="0" fillId="0" borderId="20" xfId="0" applyFill="1" applyBorder="1"/>
    <xf numFmtId="172" fontId="4" fillId="0" borderId="20" xfId="2" applyNumberFormat="1" applyFont="1" applyFill="1" applyBorder="1" applyAlignment="1" applyProtection="1">
      <alignment horizontal="right" wrapText="1"/>
      <protection locked="0"/>
    </xf>
    <xf numFmtId="0" fontId="3" fillId="0" borderId="20" xfId="0" applyFont="1" applyFill="1" applyBorder="1" applyAlignment="1">
      <alignment horizontal="left"/>
    </xf>
    <xf numFmtId="172" fontId="3" fillId="0" borderId="20" xfId="2" applyNumberFormat="1" applyFont="1" applyFill="1" applyBorder="1" applyAlignment="1">
      <alignment horizontal="left"/>
    </xf>
    <xf numFmtId="0" fontId="3" fillId="0" borderId="20" xfId="0" applyFont="1" applyFill="1" applyBorder="1" applyAlignment="1" applyProtection="1">
      <alignment horizontal="left"/>
      <protection locked="0"/>
    </xf>
    <xf numFmtId="14" fontId="14" fillId="0" borderId="20" xfId="0" applyNumberFormat="1" applyFont="1" applyFill="1" applyBorder="1" applyProtection="1">
      <protection locked="0"/>
    </xf>
    <xf numFmtId="172" fontId="14" fillId="0" borderId="20" xfId="2" applyNumberFormat="1" applyFont="1" applyFill="1" applyBorder="1" applyProtection="1">
      <protection locked="0"/>
    </xf>
    <xf numFmtId="0" fontId="14" fillId="0" borderId="20" xfId="0" applyFont="1" applyFill="1" applyBorder="1" applyProtection="1">
      <protection locked="0"/>
    </xf>
    <xf numFmtId="0" fontId="14" fillId="0" borderId="20" xfId="0" applyFont="1" applyFill="1" applyBorder="1"/>
    <xf numFmtId="14" fontId="7" fillId="0" borderId="20" xfId="0" applyNumberFormat="1" applyFont="1" applyFill="1" applyBorder="1" applyProtection="1">
      <protection locked="0"/>
    </xf>
    <xf numFmtId="172" fontId="7" fillId="0" borderId="20" xfId="2" applyNumberFormat="1" applyFont="1" applyFill="1" applyBorder="1" applyProtection="1">
      <protection locked="0"/>
    </xf>
    <xf numFmtId="0" fontId="7" fillId="0" borderId="20" xfId="0" applyFont="1" applyFill="1" applyBorder="1" applyProtection="1">
      <protection locked="0"/>
    </xf>
    <xf numFmtId="0" fontId="0" fillId="0" borderId="20" xfId="0" applyFill="1" applyBorder="1" applyAlignment="1" applyProtection="1">
      <alignment horizontal="left"/>
      <protection locked="0"/>
    </xf>
    <xf numFmtId="0" fontId="0" fillId="0" borderId="20" xfId="0" applyNumberFormat="1" applyFill="1" applyBorder="1" applyAlignment="1" applyProtection="1">
      <alignment horizontal="left"/>
      <protection locked="0"/>
    </xf>
    <xf numFmtId="0" fontId="6" fillId="0" borderId="20" xfId="0" applyFont="1" applyFill="1" applyBorder="1" applyProtection="1">
      <protection locked="0"/>
    </xf>
    <xf numFmtId="0" fontId="0" fillId="0" borderId="20" xfId="0" applyFill="1" applyBorder="1" applyAlignment="1" applyProtection="1">
      <alignment wrapText="1"/>
      <protection locked="0"/>
    </xf>
    <xf numFmtId="0" fontId="20" fillId="0" borderId="20" xfId="0" applyNumberFormat="1" applyFont="1" applyFill="1" applyBorder="1" applyAlignment="1" applyProtection="1">
      <alignment horizontal="left"/>
      <protection locked="0"/>
    </xf>
    <xf numFmtId="0" fontId="20" fillId="0" borderId="20" xfId="0" applyFont="1" applyFill="1" applyBorder="1" applyProtection="1">
      <protection locked="0"/>
    </xf>
    <xf numFmtId="0" fontId="20" fillId="0" borderId="20" xfId="0" applyFont="1" applyFill="1" applyBorder="1" applyAlignment="1" applyProtection="1">
      <alignment wrapText="1"/>
      <protection locked="0"/>
    </xf>
    <xf numFmtId="0" fontId="20" fillId="0" borderId="20" xfId="0" applyFont="1" applyFill="1" applyBorder="1" applyAlignment="1">
      <alignment horizontal="left"/>
    </xf>
    <xf numFmtId="0" fontId="20" fillId="0" borderId="20" xfId="0" applyFont="1" applyFill="1" applyBorder="1"/>
    <xf numFmtId="0" fontId="20" fillId="0" borderId="20" xfId="0" applyFont="1" applyFill="1" applyBorder="1" applyAlignment="1" applyProtection="1">
      <alignment horizontal="left"/>
      <protection locked="0"/>
    </xf>
    <xf numFmtId="0" fontId="20" fillId="0" borderId="20" xfId="0" applyFont="1" applyFill="1" applyBorder="1" applyAlignment="1">
      <alignment horizontal="left" wrapText="1"/>
    </xf>
    <xf numFmtId="0" fontId="21" fillId="0" borderId="20" xfId="3" applyNumberFormat="1" applyFont="1" applyFill="1" applyBorder="1" applyAlignment="1" applyProtection="1">
      <alignment horizontal="left" wrapText="1"/>
      <protection locked="0"/>
    </xf>
    <xf numFmtId="0" fontId="21" fillId="0" borderId="20" xfId="3" applyFont="1" applyFill="1" applyBorder="1" applyAlignment="1" applyProtection="1">
      <alignment horizontal="left" wrapText="1"/>
      <protection locked="0"/>
    </xf>
    <xf numFmtId="0" fontId="20" fillId="0" borderId="20" xfId="0" applyFont="1" applyFill="1" applyBorder="1" applyAlignment="1" applyProtection="1">
      <alignment horizontal="left" wrapText="1"/>
      <protection locked="0"/>
    </xf>
    <xf numFmtId="0" fontId="20" fillId="0" borderId="20" xfId="4" applyNumberFormat="1" applyFont="1" applyFill="1" applyBorder="1" applyAlignment="1" applyProtection="1">
      <alignment horizontal="left" vertical="top" wrapText="1"/>
      <protection locked="0"/>
    </xf>
    <xf numFmtId="0" fontId="22" fillId="0" borderId="20" xfId="0" applyFont="1" applyFill="1" applyBorder="1" applyProtection="1">
      <protection locked="0"/>
    </xf>
    <xf numFmtId="0" fontId="20" fillId="0" borderId="20" xfId="4" applyFont="1" applyFill="1" applyBorder="1" applyAlignment="1" applyProtection="1">
      <alignment horizontal="left" vertical="top" wrapText="1"/>
      <protection locked="0"/>
    </xf>
    <xf numFmtId="0" fontId="20" fillId="0" borderId="20" xfId="4" applyNumberFormat="1" applyFont="1" applyFill="1" applyBorder="1" applyAlignment="1" applyProtection="1">
      <alignment horizontal="left" wrapText="1"/>
      <protection locked="0"/>
    </xf>
    <xf numFmtId="0" fontId="20" fillId="0" borderId="20" xfId="4" applyFont="1" applyFill="1" applyBorder="1" applyAlignment="1" applyProtection="1">
      <alignment horizontal="left" wrapText="1"/>
      <protection locked="0"/>
    </xf>
    <xf numFmtId="0" fontId="21" fillId="0" borderId="20" xfId="4" applyNumberFormat="1" applyFont="1" applyFill="1" applyBorder="1" applyAlignment="1" applyProtection="1">
      <alignment horizontal="left" wrapText="1"/>
      <protection locked="0"/>
    </xf>
    <xf numFmtId="0" fontId="21" fillId="0" borderId="20" xfId="0" applyFont="1" applyFill="1" applyBorder="1" applyProtection="1">
      <protection locked="0"/>
    </xf>
    <xf numFmtId="0" fontId="21" fillId="0" borderId="20" xfId="4" applyFont="1" applyFill="1" applyBorder="1" applyAlignment="1" applyProtection="1">
      <alignment horizontal="left" wrapText="1"/>
      <protection locked="0"/>
    </xf>
    <xf numFmtId="0" fontId="21" fillId="0" borderId="20" xfId="4" applyFont="1" applyFill="1" applyBorder="1" applyAlignment="1" applyProtection="1">
      <alignment horizontal="left" vertical="top" wrapText="1"/>
      <protection locked="0"/>
    </xf>
    <xf numFmtId="0" fontId="22" fillId="0" borderId="20" xfId="0" applyNumberFormat="1" applyFont="1" applyFill="1" applyBorder="1" applyAlignment="1" applyProtection="1">
      <alignment horizontal="left"/>
      <protection locked="0"/>
    </xf>
    <xf numFmtId="0" fontId="22" fillId="0" borderId="20" xfId="0" applyFont="1" applyFill="1" applyBorder="1" applyAlignment="1" applyProtection="1">
      <alignment wrapText="1"/>
      <protection locked="0"/>
    </xf>
    <xf numFmtId="0" fontId="23" fillId="0" borderId="20" xfId="3" applyNumberFormat="1" applyFont="1" applyFill="1" applyBorder="1" applyAlignment="1" applyProtection="1">
      <alignment horizontal="left" wrapText="1"/>
      <protection locked="0"/>
    </xf>
    <xf numFmtId="0" fontId="23" fillId="0" borderId="20" xfId="3" applyFont="1" applyFill="1" applyBorder="1" applyAlignment="1" applyProtection="1">
      <alignment horizontal="left" wrapText="1"/>
      <protection locked="0"/>
    </xf>
    <xf numFmtId="0" fontId="24" fillId="0" borderId="20" xfId="0" applyNumberFormat="1" applyFont="1" applyFill="1" applyBorder="1" applyAlignment="1" applyProtection="1">
      <alignment horizontal="left"/>
      <protection locked="0"/>
    </xf>
    <xf numFmtId="0" fontId="24" fillId="0" borderId="20" xfId="0" applyFont="1" applyFill="1" applyBorder="1" applyProtection="1">
      <protection locked="0"/>
    </xf>
    <xf numFmtId="0" fontId="24" fillId="0" borderId="20" xfId="0" applyFont="1" applyFill="1" applyBorder="1" applyAlignment="1" applyProtection="1">
      <alignment wrapText="1"/>
      <protection locked="0"/>
    </xf>
    <xf numFmtId="0" fontId="19" fillId="0" borderId="21" xfId="0" applyNumberFormat="1" applyFont="1" applyFill="1" applyBorder="1" applyAlignment="1" applyProtection="1">
      <alignment horizontal="center"/>
      <protection locked="0"/>
    </xf>
    <xf numFmtId="0" fontId="19" fillId="0" borderId="22" xfId="0" applyNumberFormat="1" applyFont="1" applyFill="1" applyBorder="1" applyAlignment="1" applyProtection="1">
      <alignment horizontal="center"/>
      <protection locked="0"/>
    </xf>
    <xf numFmtId="0" fontId="19" fillId="0" borderId="23" xfId="0" applyNumberFormat="1" applyFont="1" applyFill="1" applyBorder="1" applyAlignment="1" applyProtection="1">
      <alignment horizontal="center"/>
      <protection locked="0"/>
    </xf>
    <xf numFmtId="0" fontId="18" fillId="0" borderId="20" xfId="3" applyNumberFormat="1" applyFont="1" applyFill="1" applyBorder="1" applyAlignment="1" applyProtection="1">
      <alignment horizontal="center" wrapText="1"/>
      <protection locked="0"/>
    </xf>
    <xf numFmtId="0" fontId="2" fillId="0" borderId="20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2" fillId="0" borderId="20" xfId="4" applyNumberFormat="1" applyFont="1" applyFill="1" applyBorder="1" applyAlignment="1" applyProtection="1">
      <alignment horizontal="center" wrapText="1"/>
      <protection locked="0"/>
    </xf>
    <xf numFmtId="0" fontId="17" fillId="0" borderId="20" xfId="0" applyFont="1" applyFill="1" applyBorder="1" applyAlignment="1" applyProtection="1">
      <alignment horizontal="center"/>
      <protection locked="0"/>
    </xf>
    <xf numFmtId="0" fontId="2" fillId="0" borderId="20" xfId="4" applyFont="1" applyFill="1" applyBorder="1" applyAlignment="1" applyProtection="1">
      <alignment horizontal="center" wrapText="1"/>
      <protection locked="0"/>
    </xf>
    <xf numFmtId="0" fontId="2" fillId="0" borderId="20" xfId="4" applyFont="1" applyFill="1" applyBorder="1" applyAlignment="1" applyProtection="1">
      <alignment horizontal="center" vertical="top" wrapText="1"/>
      <protection locked="0"/>
    </xf>
    <xf numFmtId="0" fontId="2" fillId="0" borderId="20" xfId="0" applyNumberFormat="1" applyFont="1" applyFill="1" applyBorder="1" applyAlignment="1" applyProtection="1">
      <alignment horizontal="center"/>
      <protection locked="0"/>
    </xf>
    <xf numFmtId="0" fontId="3" fillId="0" borderId="20" xfId="0" applyNumberFormat="1" applyFont="1" applyFill="1" applyBorder="1" applyAlignment="1" applyProtection="1">
      <alignment horizontal="center"/>
      <protection locked="0"/>
    </xf>
    <xf numFmtId="0" fontId="17" fillId="0" borderId="20" xfId="0" applyFont="1" applyFill="1" applyBorder="1" applyAlignment="1">
      <alignment horizontal="center" wrapText="1"/>
    </xf>
  </cellXfs>
  <cellStyles count="6">
    <cellStyle name="Comma" xfId="1" builtinId="3"/>
    <cellStyle name="Currency" xfId="2" builtinId="4"/>
    <cellStyle name="Normal" xfId="0" builtinId="0"/>
    <cellStyle name="Normal_grant numbers" xfId="3"/>
    <cellStyle name="Normal_Sheet1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5"/>
  <sheetViews>
    <sheetView tabSelected="1" zoomScaleNormal="100" workbookViewId="0">
      <selection activeCell="E207" sqref="E207"/>
    </sheetView>
  </sheetViews>
  <sheetFormatPr defaultColWidth="9.1796875" defaultRowHeight="12.5" outlineLevelRow="2" x14ac:dyDescent="0.25"/>
  <cols>
    <col min="1" max="1" width="13" style="111" customWidth="1"/>
    <col min="2" max="2" width="2.7265625" style="97" hidden="1" customWidth="1"/>
    <col min="3" max="3" width="0.1796875" style="97" customWidth="1"/>
    <col min="4" max="4" width="10.7265625" style="97" customWidth="1"/>
    <col min="5" max="5" width="63.26953125" style="113" customWidth="1"/>
    <col min="6" max="6" width="12.7265625" style="97" customWidth="1"/>
    <col min="7" max="7" width="16.7265625" style="96" customWidth="1"/>
    <col min="8" max="8" width="18.7265625" style="97" customWidth="1"/>
    <col min="9" max="9" width="18.26953125" style="97" customWidth="1"/>
    <col min="10" max="16384" width="9.1796875" style="98"/>
  </cols>
  <sheetData>
    <row r="1" spans="1:9" ht="31.5" customHeight="1" x14ac:dyDescent="0.5">
      <c r="A1" s="140" t="s">
        <v>263</v>
      </c>
      <c r="B1" s="141"/>
      <c r="C1" s="141"/>
      <c r="D1" s="141"/>
      <c r="E1" s="142"/>
    </row>
    <row r="2" spans="1:9" s="90" customFormat="1" ht="31" x14ac:dyDescent="0.35">
      <c r="A2" s="86" t="s">
        <v>0</v>
      </c>
      <c r="B2" s="88"/>
      <c r="C2" s="88"/>
      <c r="D2" s="87" t="s">
        <v>1</v>
      </c>
      <c r="E2" s="87" t="s">
        <v>162</v>
      </c>
      <c r="F2" s="88"/>
      <c r="G2" s="89"/>
      <c r="H2" s="88"/>
      <c r="I2" s="88"/>
    </row>
    <row r="3" spans="1:9" s="94" customFormat="1" ht="18.75" customHeight="1" outlineLevel="2" x14ac:dyDescent="0.3">
      <c r="A3" s="146" t="s">
        <v>186</v>
      </c>
      <c r="B3" s="147"/>
      <c r="C3" s="147"/>
      <c r="D3" s="148" t="s">
        <v>22</v>
      </c>
      <c r="E3" s="149" t="s">
        <v>194</v>
      </c>
      <c r="F3" s="91"/>
      <c r="G3" s="92"/>
      <c r="H3" s="93"/>
      <c r="I3" s="93"/>
    </row>
    <row r="4" spans="1:9" s="94" customFormat="1" ht="11.25" customHeight="1" outlineLevel="2" x14ac:dyDescent="0.3">
      <c r="A4" s="114">
        <v>3347</v>
      </c>
      <c r="B4" s="115"/>
      <c r="C4" s="115" t="s">
        <v>237</v>
      </c>
      <c r="D4" s="115" t="s">
        <v>3</v>
      </c>
      <c r="E4" s="116" t="s">
        <v>273</v>
      </c>
      <c r="F4" s="91"/>
      <c r="G4" s="92"/>
      <c r="H4" s="93"/>
      <c r="I4" s="93"/>
    </row>
    <row r="5" spans="1:9" s="94" customFormat="1" ht="13.5" customHeight="1" outlineLevel="2" x14ac:dyDescent="0.3">
      <c r="A5" s="114">
        <v>3393</v>
      </c>
      <c r="B5" s="115"/>
      <c r="C5" s="115">
        <v>3393</v>
      </c>
      <c r="D5" s="115" t="s">
        <v>3</v>
      </c>
      <c r="E5" s="116" t="s">
        <v>238</v>
      </c>
      <c r="F5" s="91"/>
      <c r="G5" s="92"/>
      <c r="H5" s="93"/>
      <c r="I5" s="93"/>
    </row>
    <row r="6" spans="1:9" s="94" customFormat="1" ht="21.75" customHeight="1" outlineLevel="2" x14ac:dyDescent="0.3">
      <c r="A6" s="114">
        <v>3423</v>
      </c>
      <c r="B6" s="115"/>
      <c r="C6" s="115" t="s">
        <v>237</v>
      </c>
      <c r="D6" s="115" t="s">
        <v>3</v>
      </c>
      <c r="E6" s="116" t="s">
        <v>239</v>
      </c>
      <c r="F6" s="91"/>
      <c r="G6" s="92"/>
      <c r="H6" s="93"/>
      <c r="I6" s="93"/>
    </row>
    <row r="7" spans="1:9" s="94" customFormat="1" ht="9.75" customHeight="1" outlineLevel="2" x14ac:dyDescent="0.3">
      <c r="A7" s="117">
        <v>3432</v>
      </c>
      <c r="B7" s="117"/>
      <c r="C7" s="117"/>
      <c r="D7" s="117" t="s">
        <v>3</v>
      </c>
      <c r="E7" s="117" t="s">
        <v>265</v>
      </c>
      <c r="F7" s="91"/>
      <c r="G7" s="92"/>
      <c r="H7" s="93"/>
      <c r="I7" s="93"/>
    </row>
    <row r="8" spans="1:9" outlineLevel="2" x14ac:dyDescent="0.25">
      <c r="A8" s="117">
        <v>3460</v>
      </c>
      <c r="B8" s="117"/>
      <c r="C8" s="117" t="s">
        <v>237</v>
      </c>
      <c r="D8" s="117" t="s">
        <v>3</v>
      </c>
      <c r="E8" s="117" t="s">
        <v>264</v>
      </c>
      <c r="F8" s="95"/>
    </row>
    <row r="9" spans="1:9" outlineLevel="2" x14ac:dyDescent="0.25">
      <c r="A9" s="117">
        <v>3461</v>
      </c>
      <c r="B9" s="117"/>
      <c r="C9" s="117" t="s">
        <v>3</v>
      </c>
      <c r="D9" s="117"/>
      <c r="E9" s="117" t="s">
        <v>271</v>
      </c>
      <c r="F9" s="95"/>
    </row>
    <row r="10" spans="1:9" outlineLevel="2" x14ac:dyDescent="0.25">
      <c r="A10" s="117">
        <v>3462</v>
      </c>
      <c r="B10" s="118"/>
      <c r="C10" s="118"/>
      <c r="D10" s="118" t="s">
        <v>3</v>
      </c>
      <c r="E10" s="118" t="s">
        <v>266</v>
      </c>
      <c r="F10" s="95"/>
    </row>
    <row r="11" spans="1:9" outlineLevel="2" x14ac:dyDescent="0.25">
      <c r="A11" s="117">
        <v>3476</v>
      </c>
      <c r="B11" s="118"/>
      <c r="C11" s="118"/>
      <c r="D11" s="118" t="s">
        <v>3</v>
      </c>
      <c r="E11" s="118" t="s">
        <v>4</v>
      </c>
      <c r="F11" s="95"/>
    </row>
    <row r="12" spans="1:9" outlineLevel="2" x14ac:dyDescent="0.25">
      <c r="A12" s="117">
        <v>3506</v>
      </c>
      <c r="B12" s="118"/>
      <c r="C12" s="118"/>
      <c r="D12" s="118" t="s">
        <v>6</v>
      </c>
      <c r="E12" s="118" t="s">
        <v>267</v>
      </c>
      <c r="F12" s="95"/>
    </row>
    <row r="13" spans="1:9" outlineLevel="2" x14ac:dyDescent="0.25">
      <c r="A13" s="117">
        <v>3507</v>
      </c>
      <c r="B13" s="118"/>
      <c r="C13" s="118"/>
      <c r="D13" s="118" t="s">
        <v>6</v>
      </c>
      <c r="E13" s="118" t="s">
        <v>270</v>
      </c>
      <c r="F13" s="95"/>
    </row>
    <row r="14" spans="1:9" outlineLevel="2" x14ac:dyDescent="0.25">
      <c r="A14" s="117">
        <v>3510</v>
      </c>
      <c r="B14" s="118"/>
      <c r="C14" s="118"/>
      <c r="D14" s="118" t="s">
        <v>3</v>
      </c>
      <c r="E14" s="118" t="s">
        <v>268</v>
      </c>
      <c r="F14" s="95"/>
    </row>
    <row r="15" spans="1:9" outlineLevel="2" x14ac:dyDescent="0.25">
      <c r="A15" s="117">
        <v>3511</v>
      </c>
      <c r="B15" s="118"/>
      <c r="C15" s="118"/>
      <c r="D15" s="118" t="s">
        <v>7</v>
      </c>
      <c r="E15" s="118" t="s">
        <v>269</v>
      </c>
      <c r="F15" s="95"/>
    </row>
    <row r="16" spans="1:9" outlineLevel="2" x14ac:dyDescent="0.25">
      <c r="A16" s="114">
        <v>3522</v>
      </c>
      <c r="B16" s="115"/>
      <c r="C16" s="115"/>
      <c r="D16" s="115" t="s">
        <v>8</v>
      </c>
      <c r="E16" s="116" t="s">
        <v>9</v>
      </c>
      <c r="F16" s="95"/>
    </row>
    <row r="17" spans="1:9" outlineLevel="2" x14ac:dyDescent="0.25">
      <c r="A17" s="117">
        <v>3523</v>
      </c>
      <c r="B17" s="117"/>
      <c r="C17" s="117"/>
      <c r="D17" s="119" t="s">
        <v>3</v>
      </c>
      <c r="E17" s="120" t="s">
        <v>15</v>
      </c>
      <c r="F17" s="95"/>
    </row>
    <row r="18" spans="1:9" outlineLevel="2" x14ac:dyDescent="0.25">
      <c r="A18" s="117">
        <v>3547</v>
      </c>
      <c r="B18" s="117"/>
      <c r="C18" s="117"/>
      <c r="D18" s="119" t="s">
        <v>3</v>
      </c>
      <c r="E18" s="120" t="s">
        <v>12</v>
      </c>
      <c r="F18" s="95"/>
    </row>
    <row r="19" spans="1:9" outlineLevel="2" x14ac:dyDescent="0.25">
      <c r="A19" s="117">
        <v>3548</v>
      </c>
      <c r="B19" s="117"/>
      <c r="C19" s="117"/>
      <c r="D19" s="119" t="s">
        <v>3</v>
      </c>
      <c r="E19" s="120" t="s">
        <v>14</v>
      </c>
      <c r="F19" s="95"/>
    </row>
    <row r="20" spans="1:9" ht="21.75" customHeight="1" outlineLevel="2" x14ac:dyDescent="0.25">
      <c r="A20" s="121">
        <v>3585</v>
      </c>
      <c r="B20" s="115"/>
      <c r="C20" s="122"/>
      <c r="D20" s="115" t="s">
        <v>31</v>
      </c>
      <c r="E20" s="122" t="s">
        <v>10</v>
      </c>
      <c r="F20" s="95"/>
    </row>
    <row r="21" spans="1:9" ht="11.25" customHeight="1" outlineLevel="2" x14ac:dyDescent="0.25">
      <c r="A21" s="121">
        <v>3586</v>
      </c>
      <c r="B21" s="115"/>
      <c r="C21" s="122"/>
      <c r="D21" s="115" t="s">
        <v>3</v>
      </c>
      <c r="E21" s="122" t="s">
        <v>11</v>
      </c>
      <c r="F21" s="95"/>
    </row>
    <row r="22" spans="1:9" ht="12.75" customHeight="1" outlineLevel="2" x14ac:dyDescent="0.25">
      <c r="A22" s="117">
        <v>3592</v>
      </c>
      <c r="B22" s="117"/>
      <c r="C22" s="117"/>
      <c r="D22" s="119" t="s">
        <v>26</v>
      </c>
      <c r="E22" s="120" t="s">
        <v>13</v>
      </c>
      <c r="F22" s="95"/>
    </row>
    <row r="23" spans="1:9" ht="17.25" customHeight="1" outlineLevel="2" x14ac:dyDescent="0.25">
      <c r="A23" s="152" t="s">
        <v>188</v>
      </c>
      <c r="B23" s="152"/>
      <c r="C23" s="152"/>
      <c r="D23" s="152"/>
      <c r="E23" s="152"/>
      <c r="F23" s="95"/>
    </row>
    <row r="24" spans="1:9" ht="13.5" customHeight="1" outlineLevel="2" x14ac:dyDescent="0.25">
      <c r="A24" s="114">
        <v>3463</v>
      </c>
      <c r="B24" s="115"/>
      <c r="C24" s="115"/>
      <c r="D24" s="115" t="s">
        <v>17</v>
      </c>
      <c r="E24" s="116" t="s">
        <v>163</v>
      </c>
      <c r="F24" s="95"/>
    </row>
    <row r="25" spans="1:9" outlineLevel="2" x14ac:dyDescent="0.25">
      <c r="A25" s="114">
        <v>3464</v>
      </c>
      <c r="B25" s="115"/>
      <c r="C25" s="115"/>
      <c r="D25" s="115" t="s">
        <v>244</v>
      </c>
      <c r="E25" s="116" t="s">
        <v>164</v>
      </c>
      <c r="F25" s="95"/>
    </row>
    <row r="26" spans="1:9" outlineLevel="2" x14ac:dyDescent="0.25">
      <c r="A26" s="114">
        <v>3465</v>
      </c>
      <c r="B26" s="115"/>
      <c r="C26" s="115"/>
      <c r="D26" s="115" t="s">
        <v>18</v>
      </c>
      <c r="E26" s="116" t="s">
        <v>165</v>
      </c>
      <c r="G26" s="99"/>
    </row>
    <row r="27" spans="1:9" outlineLevel="2" x14ac:dyDescent="0.25">
      <c r="A27" s="114">
        <v>3466</v>
      </c>
      <c r="B27" s="115"/>
      <c r="C27" s="115"/>
      <c r="D27" s="115" t="s">
        <v>19</v>
      </c>
      <c r="E27" s="116" t="s">
        <v>166</v>
      </c>
      <c r="F27" s="100"/>
      <c r="G27" s="101"/>
      <c r="H27" s="102"/>
      <c r="I27" s="102"/>
    </row>
    <row r="28" spans="1:9" ht="13.5" customHeight="1" outlineLevel="2" x14ac:dyDescent="0.25">
      <c r="A28" s="114">
        <v>3467</v>
      </c>
      <c r="B28" s="115"/>
      <c r="C28" s="115"/>
      <c r="D28" s="115" t="s">
        <v>20</v>
      </c>
      <c r="E28" s="116" t="s">
        <v>167</v>
      </c>
      <c r="F28" s="100"/>
      <c r="G28" s="101"/>
      <c r="H28" s="102"/>
      <c r="I28" s="102"/>
    </row>
    <row r="29" spans="1:9" outlineLevel="2" x14ac:dyDescent="0.25">
      <c r="A29" s="114">
        <v>3469</v>
      </c>
      <c r="B29" s="115"/>
      <c r="C29" s="115"/>
      <c r="D29" s="115" t="s">
        <v>21</v>
      </c>
      <c r="E29" s="116" t="s">
        <v>168</v>
      </c>
      <c r="G29" s="99"/>
    </row>
    <row r="30" spans="1:9" outlineLevel="2" x14ac:dyDescent="0.25">
      <c r="A30" s="114">
        <v>3471</v>
      </c>
      <c r="B30" s="115"/>
      <c r="C30" s="115"/>
      <c r="D30" s="115" t="s">
        <v>22</v>
      </c>
      <c r="E30" s="116" t="s">
        <v>169</v>
      </c>
      <c r="F30" s="100"/>
      <c r="G30" s="101"/>
      <c r="H30" s="102"/>
      <c r="I30" s="102"/>
    </row>
    <row r="31" spans="1:9" outlineLevel="2" x14ac:dyDescent="0.25">
      <c r="A31" s="114">
        <v>3472</v>
      </c>
      <c r="B31" s="115"/>
      <c r="C31" s="115"/>
      <c r="D31" s="115" t="s">
        <v>3</v>
      </c>
      <c r="E31" s="116" t="s">
        <v>23</v>
      </c>
      <c r="F31" s="100"/>
      <c r="G31" s="101"/>
      <c r="H31" s="102"/>
      <c r="I31" s="102"/>
    </row>
    <row r="32" spans="1:9" ht="12.75" customHeight="1" outlineLevel="1" x14ac:dyDescent="0.25">
      <c r="A32" s="114">
        <v>3477</v>
      </c>
      <c r="B32" s="115"/>
      <c r="C32" s="115"/>
      <c r="D32" s="115" t="s">
        <v>189</v>
      </c>
      <c r="E32" s="116" t="s">
        <v>175</v>
      </c>
      <c r="F32" s="100"/>
      <c r="G32" s="101"/>
      <c r="H32" s="102"/>
      <c r="I32" s="102"/>
    </row>
    <row r="33" spans="1:9" ht="14.25" customHeight="1" outlineLevel="1" x14ac:dyDescent="0.25">
      <c r="A33" s="114">
        <v>3478</v>
      </c>
      <c r="B33" s="115"/>
      <c r="C33" s="115"/>
      <c r="D33" s="115" t="s">
        <v>6</v>
      </c>
      <c r="E33" s="116" t="s">
        <v>170</v>
      </c>
      <c r="F33" s="100"/>
      <c r="G33" s="101"/>
      <c r="H33" s="102"/>
      <c r="I33" s="102"/>
    </row>
    <row r="34" spans="1:9" ht="15" customHeight="1" outlineLevel="2" x14ac:dyDescent="0.25">
      <c r="A34" s="114">
        <v>3479</v>
      </c>
      <c r="B34" s="115"/>
      <c r="C34" s="115"/>
      <c r="D34" s="115" t="s">
        <v>190</v>
      </c>
      <c r="E34" s="116" t="s">
        <v>171</v>
      </c>
      <c r="F34" s="95"/>
    </row>
    <row r="35" spans="1:9" outlineLevel="2" x14ac:dyDescent="0.25">
      <c r="A35" s="114">
        <v>3484</v>
      </c>
      <c r="B35" s="115"/>
      <c r="C35" s="115"/>
      <c r="D35" s="115" t="s">
        <v>8</v>
      </c>
      <c r="E35" s="116" t="s">
        <v>172</v>
      </c>
      <c r="F35" s="95"/>
    </row>
    <row r="36" spans="1:9" outlineLevel="2" x14ac:dyDescent="0.25">
      <c r="A36" s="114">
        <v>3485</v>
      </c>
      <c r="B36" s="115"/>
      <c r="C36" s="115"/>
      <c r="D36" s="115" t="s">
        <v>24</v>
      </c>
      <c r="E36" s="116" t="s">
        <v>173</v>
      </c>
      <c r="F36" s="95"/>
    </row>
    <row r="37" spans="1:9" outlineLevel="2" x14ac:dyDescent="0.25">
      <c r="A37" s="114">
        <v>3486</v>
      </c>
      <c r="B37" s="115"/>
      <c r="C37" s="115"/>
      <c r="D37" s="115" t="s">
        <v>25</v>
      </c>
      <c r="E37" s="116" t="s">
        <v>174</v>
      </c>
      <c r="F37" s="95"/>
    </row>
    <row r="38" spans="1:9" outlineLevel="2" x14ac:dyDescent="0.25">
      <c r="A38" s="114">
        <v>3490</v>
      </c>
      <c r="B38" s="115"/>
      <c r="C38" s="115"/>
      <c r="D38" s="115" t="s">
        <v>26</v>
      </c>
      <c r="E38" s="123" t="s">
        <v>176</v>
      </c>
      <c r="F38" s="95"/>
    </row>
    <row r="39" spans="1:9" outlineLevel="2" x14ac:dyDescent="0.25">
      <c r="A39" s="114">
        <v>3494</v>
      </c>
      <c r="B39" s="115"/>
      <c r="C39" s="115"/>
      <c r="D39" s="115" t="s">
        <v>27</v>
      </c>
      <c r="E39" s="116" t="s">
        <v>28</v>
      </c>
      <c r="F39" s="95"/>
    </row>
    <row r="40" spans="1:9" outlineLevel="2" x14ac:dyDescent="0.25">
      <c r="A40" s="114">
        <v>3495</v>
      </c>
      <c r="B40" s="115"/>
      <c r="C40" s="115"/>
      <c r="D40" s="115" t="s">
        <v>29</v>
      </c>
      <c r="E40" s="116" t="s">
        <v>30</v>
      </c>
      <c r="F40" s="95"/>
    </row>
    <row r="41" spans="1:9" ht="12.75" customHeight="1" outlineLevel="2" x14ac:dyDescent="0.25">
      <c r="A41" s="114">
        <v>3496</v>
      </c>
      <c r="B41" s="115"/>
      <c r="C41" s="115"/>
      <c r="D41" s="115" t="s">
        <v>31</v>
      </c>
      <c r="E41" s="116" t="s">
        <v>32</v>
      </c>
      <c r="F41" s="95"/>
    </row>
    <row r="42" spans="1:9" outlineLevel="2" x14ac:dyDescent="0.25">
      <c r="A42" s="114">
        <v>3497</v>
      </c>
      <c r="B42" s="115"/>
      <c r="C42" s="115"/>
      <c r="D42" s="115" t="s">
        <v>33</v>
      </c>
      <c r="E42" s="116" t="s">
        <v>34</v>
      </c>
      <c r="F42" s="95"/>
    </row>
    <row r="43" spans="1:9" outlineLevel="2" x14ac:dyDescent="0.25">
      <c r="A43" s="114">
        <v>3527</v>
      </c>
      <c r="B43" s="115"/>
      <c r="C43" s="115"/>
      <c r="D43" s="115" t="s">
        <v>22</v>
      </c>
      <c r="E43" s="116" t="s">
        <v>35</v>
      </c>
      <c r="F43" s="95"/>
    </row>
    <row r="44" spans="1:9" outlineLevel="2" x14ac:dyDescent="0.25">
      <c r="A44" s="114">
        <v>3603</v>
      </c>
      <c r="B44" s="115"/>
      <c r="C44" s="115"/>
      <c r="D44" s="115" t="s">
        <v>7</v>
      </c>
      <c r="E44" s="116" t="s">
        <v>177</v>
      </c>
      <c r="F44" s="95"/>
    </row>
    <row r="45" spans="1:9" ht="13" outlineLevel="2" x14ac:dyDescent="0.25">
      <c r="A45" s="149" t="s">
        <v>235</v>
      </c>
      <c r="B45" s="149"/>
      <c r="C45" s="149"/>
      <c r="D45" s="149"/>
      <c r="E45" s="149"/>
      <c r="F45" s="95"/>
    </row>
    <row r="46" spans="1:9" outlineLevel="2" x14ac:dyDescent="0.25">
      <c r="A46" s="124">
        <v>3351</v>
      </c>
      <c r="B46" s="125"/>
      <c r="C46" s="125"/>
      <c r="D46" s="126" t="s">
        <v>244</v>
      </c>
      <c r="E46" s="126" t="s">
        <v>224</v>
      </c>
      <c r="F46" s="95"/>
    </row>
    <row r="47" spans="1:9" outlineLevel="2" x14ac:dyDescent="0.25">
      <c r="A47" s="127">
        <v>3353</v>
      </c>
      <c r="B47" s="125"/>
      <c r="C47" s="125"/>
      <c r="D47" s="128" t="s">
        <v>3</v>
      </c>
      <c r="E47" s="126" t="s">
        <v>225</v>
      </c>
      <c r="F47" s="95"/>
    </row>
    <row r="48" spans="1:9" ht="20" outlineLevel="2" x14ac:dyDescent="0.25">
      <c r="A48" s="127">
        <v>3354</v>
      </c>
      <c r="B48" s="125"/>
      <c r="C48" s="125"/>
      <c r="D48" s="128" t="s">
        <v>3</v>
      </c>
      <c r="E48" s="126" t="s">
        <v>226</v>
      </c>
      <c r="F48" s="95"/>
    </row>
    <row r="49" spans="1:9" outlineLevel="2" x14ac:dyDescent="0.25">
      <c r="A49" s="127">
        <v>3355</v>
      </c>
      <c r="B49" s="125"/>
      <c r="C49" s="125"/>
      <c r="D49" s="128" t="s">
        <v>22</v>
      </c>
      <c r="E49" s="126" t="s">
        <v>198</v>
      </c>
      <c r="F49" s="95"/>
    </row>
    <row r="50" spans="1:9" outlineLevel="2" x14ac:dyDescent="0.25">
      <c r="A50" s="127">
        <v>3356</v>
      </c>
      <c r="B50" s="125"/>
      <c r="C50" s="125"/>
      <c r="D50" s="128" t="s">
        <v>3</v>
      </c>
      <c r="E50" s="126" t="s">
        <v>201</v>
      </c>
      <c r="F50" s="95"/>
    </row>
    <row r="51" spans="1:9" outlineLevel="2" x14ac:dyDescent="0.25">
      <c r="A51" s="127">
        <v>3359</v>
      </c>
      <c r="B51" s="125"/>
      <c r="C51" s="125"/>
      <c r="D51" s="128" t="s">
        <v>38</v>
      </c>
      <c r="E51" s="126" t="s">
        <v>206</v>
      </c>
      <c r="F51" s="95"/>
    </row>
    <row r="52" spans="1:9" outlineLevel="2" x14ac:dyDescent="0.25">
      <c r="A52" s="127">
        <v>3360</v>
      </c>
      <c r="B52" s="125"/>
      <c r="C52" s="125"/>
      <c r="D52" s="128" t="s">
        <v>191</v>
      </c>
      <c r="E52" s="126" t="s">
        <v>202</v>
      </c>
      <c r="F52" s="95"/>
    </row>
    <row r="53" spans="1:9" outlineLevel="2" x14ac:dyDescent="0.25">
      <c r="A53" s="127">
        <v>3380</v>
      </c>
      <c r="B53" s="125"/>
      <c r="C53" s="125"/>
      <c r="D53" s="128" t="s">
        <v>3</v>
      </c>
      <c r="E53" s="126" t="s">
        <v>217</v>
      </c>
      <c r="F53" s="95"/>
    </row>
    <row r="54" spans="1:9" s="106" customFormat="1" outlineLevel="2" x14ac:dyDescent="0.25">
      <c r="A54" s="127">
        <v>3382</v>
      </c>
      <c r="B54" s="125"/>
      <c r="C54" s="125"/>
      <c r="D54" s="128" t="s">
        <v>25</v>
      </c>
      <c r="E54" s="126" t="s">
        <v>220</v>
      </c>
      <c r="F54" s="103"/>
      <c r="G54" s="104"/>
      <c r="H54" s="105"/>
      <c r="I54" s="105"/>
    </row>
    <row r="55" spans="1:9" s="106" customFormat="1" outlineLevel="2" x14ac:dyDescent="0.25">
      <c r="A55" s="127">
        <v>3384</v>
      </c>
      <c r="B55" s="125"/>
      <c r="C55" s="125"/>
      <c r="D55" s="128" t="s">
        <v>3</v>
      </c>
      <c r="E55" s="126" t="s">
        <v>213</v>
      </c>
      <c r="F55" s="103"/>
      <c r="G55" s="104"/>
      <c r="H55" s="105"/>
      <c r="I55" s="105"/>
    </row>
    <row r="56" spans="1:9" outlineLevel="2" x14ac:dyDescent="0.25">
      <c r="A56" s="127">
        <v>3392</v>
      </c>
      <c r="B56" s="125"/>
      <c r="C56" s="125"/>
      <c r="D56" s="128" t="s">
        <v>3</v>
      </c>
      <c r="E56" s="126" t="s">
        <v>199</v>
      </c>
      <c r="F56" s="95"/>
    </row>
    <row r="57" spans="1:9" outlineLevel="2" x14ac:dyDescent="0.25">
      <c r="A57" s="127">
        <v>3397</v>
      </c>
      <c r="B57" s="125"/>
      <c r="C57" s="125"/>
      <c r="D57" s="128" t="s">
        <v>3</v>
      </c>
      <c r="E57" s="126" t="s">
        <v>203</v>
      </c>
      <c r="F57" s="95"/>
    </row>
    <row r="58" spans="1:9" outlineLevel="2" x14ac:dyDescent="0.25">
      <c r="A58" s="127">
        <v>3400</v>
      </c>
      <c r="B58" s="125"/>
      <c r="C58" s="125"/>
      <c r="D58" s="128" t="s">
        <v>38</v>
      </c>
      <c r="E58" s="126" t="s">
        <v>207</v>
      </c>
      <c r="F58" s="95"/>
    </row>
    <row r="59" spans="1:9" outlineLevel="2" x14ac:dyDescent="0.25">
      <c r="A59" s="127">
        <v>3401</v>
      </c>
      <c r="B59" s="125"/>
      <c r="C59" s="125"/>
      <c r="D59" s="128" t="s">
        <v>38</v>
      </c>
      <c r="E59" s="126" t="s">
        <v>208</v>
      </c>
      <c r="F59" s="95"/>
    </row>
    <row r="60" spans="1:9" outlineLevel="2" x14ac:dyDescent="0.25">
      <c r="A60" s="127">
        <v>3402</v>
      </c>
      <c r="B60" s="125"/>
      <c r="C60" s="125"/>
      <c r="D60" s="128" t="s">
        <v>38</v>
      </c>
      <c r="E60" s="126" t="s">
        <v>209</v>
      </c>
      <c r="F60" s="95"/>
    </row>
    <row r="61" spans="1:9" outlineLevel="2" x14ac:dyDescent="0.25">
      <c r="A61" s="127">
        <v>3409</v>
      </c>
      <c r="B61" s="125"/>
      <c r="C61" s="125"/>
      <c r="D61" s="128" t="s">
        <v>3</v>
      </c>
      <c r="E61" s="126" t="s">
        <v>215</v>
      </c>
      <c r="F61" s="95"/>
    </row>
    <row r="62" spans="1:9" outlineLevel="2" x14ac:dyDescent="0.25">
      <c r="A62" s="127">
        <v>3410</v>
      </c>
      <c r="B62" s="125"/>
      <c r="C62" s="125"/>
      <c r="D62" s="128" t="s">
        <v>3</v>
      </c>
      <c r="E62" s="126" t="s">
        <v>204</v>
      </c>
      <c r="F62" s="95"/>
    </row>
    <row r="63" spans="1:9" outlineLevel="2" x14ac:dyDescent="0.25">
      <c r="A63" s="127">
        <v>3411</v>
      </c>
      <c r="B63" s="125"/>
      <c r="C63" s="125"/>
      <c r="D63" s="128" t="s">
        <v>38</v>
      </c>
      <c r="E63" s="126" t="s">
        <v>210</v>
      </c>
      <c r="F63" s="95"/>
    </row>
    <row r="64" spans="1:9" outlineLevel="2" x14ac:dyDescent="0.25">
      <c r="A64" s="127">
        <v>3412</v>
      </c>
      <c r="B64" s="125"/>
      <c r="C64" s="125"/>
      <c r="D64" s="128" t="s">
        <v>38</v>
      </c>
      <c r="E64" s="126" t="s">
        <v>211</v>
      </c>
      <c r="F64" s="95"/>
    </row>
    <row r="65" spans="1:6" outlineLevel="2" x14ac:dyDescent="0.25">
      <c r="A65" s="127">
        <v>3415</v>
      </c>
      <c r="B65" s="125"/>
      <c r="C65" s="125"/>
      <c r="D65" s="128" t="s">
        <v>38</v>
      </c>
      <c r="E65" s="126" t="s">
        <v>212</v>
      </c>
      <c r="F65" s="95"/>
    </row>
    <row r="66" spans="1:6" outlineLevel="2" x14ac:dyDescent="0.25">
      <c r="A66" s="129">
        <v>3417</v>
      </c>
      <c r="B66" s="130"/>
      <c r="C66" s="130"/>
      <c r="D66" s="131" t="s">
        <v>38</v>
      </c>
      <c r="E66" s="132" t="s">
        <v>227</v>
      </c>
      <c r="F66" s="95"/>
    </row>
    <row r="67" spans="1:6" outlineLevel="2" x14ac:dyDescent="0.25">
      <c r="A67" s="129">
        <v>3418</v>
      </c>
      <c r="B67" s="130"/>
      <c r="C67" s="130"/>
      <c r="D67" s="131" t="s">
        <v>18</v>
      </c>
      <c r="E67" s="132" t="s">
        <v>274</v>
      </c>
      <c r="F67" s="95"/>
    </row>
    <row r="68" spans="1:6" ht="11.25" customHeight="1" outlineLevel="2" x14ac:dyDescent="0.25">
      <c r="A68" s="127">
        <v>3419</v>
      </c>
      <c r="B68" s="125"/>
      <c r="C68" s="125"/>
      <c r="D68" s="128" t="s">
        <v>191</v>
      </c>
      <c r="E68" s="132" t="s">
        <v>275</v>
      </c>
      <c r="F68" s="95"/>
    </row>
    <row r="69" spans="1:6" ht="12" customHeight="1" outlineLevel="2" x14ac:dyDescent="0.25">
      <c r="A69" s="127">
        <v>3420</v>
      </c>
      <c r="B69" s="125"/>
      <c r="C69" s="125"/>
      <c r="D69" s="128" t="s">
        <v>107</v>
      </c>
      <c r="E69" s="126" t="s">
        <v>276</v>
      </c>
      <c r="F69" s="95"/>
    </row>
    <row r="70" spans="1:6" outlineLevel="2" x14ac:dyDescent="0.25">
      <c r="A70" s="127">
        <v>3421</v>
      </c>
      <c r="B70" s="125"/>
      <c r="C70" s="125"/>
      <c r="D70" s="128" t="s">
        <v>26</v>
      </c>
      <c r="E70" s="126" t="s">
        <v>277</v>
      </c>
      <c r="F70" s="95"/>
    </row>
    <row r="71" spans="1:6" ht="11.25" customHeight="1" outlineLevel="2" x14ac:dyDescent="0.25">
      <c r="A71" s="127">
        <v>3422</v>
      </c>
      <c r="B71" s="125"/>
      <c r="C71" s="125"/>
      <c r="D71" s="128" t="s">
        <v>6</v>
      </c>
      <c r="E71" s="126" t="s">
        <v>278</v>
      </c>
      <c r="F71" s="95"/>
    </row>
    <row r="72" spans="1:6" outlineLevel="2" x14ac:dyDescent="0.25">
      <c r="A72" s="127">
        <v>3426</v>
      </c>
      <c r="B72" s="125"/>
      <c r="C72" s="125"/>
      <c r="D72" s="128" t="s">
        <v>38</v>
      </c>
      <c r="E72" s="126" t="s">
        <v>214</v>
      </c>
      <c r="F72" s="95"/>
    </row>
    <row r="73" spans="1:6" outlineLevel="2" x14ac:dyDescent="0.25">
      <c r="A73" s="127">
        <v>3427</v>
      </c>
      <c r="B73" s="125"/>
      <c r="C73" s="125"/>
      <c r="D73" s="128" t="s">
        <v>3</v>
      </c>
      <c r="E73" s="126" t="s">
        <v>213</v>
      </c>
      <c r="F73" s="95"/>
    </row>
    <row r="74" spans="1:6" outlineLevel="2" x14ac:dyDescent="0.25">
      <c r="A74" s="127">
        <v>3433</v>
      </c>
      <c r="B74" s="125"/>
      <c r="C74" s="125"/>
      <c r="D74" s="128" t="s">
        <v>3</v>
      </c>
      <c r="E74" s="126" t="s">
        <v>218</v>
      </c>
      <c r="F74" s="95"/>
    </row>
    <row r="75" spans="1:6" outlineLevel="2" x14ac:dyDescent="0.25">
      <c r="A75" s="127">
        <v>3434</v>
      </c>
      <c r="B75" s="125"/>
      <c r="C75" s="125"/>
      <c r="D75" s="128" t="s">
        <v>3</v>
      </c>
      <c r="E75" s="126" t="s">
        <v>221</v>
      </c>
      <c r="F75" s="95"/>
    </row>
    <row r="76" spans="1:6" outlineLevel="2" x14ac:dyDescent="0.25">
      <c r="A76" s="127">
        <v>3435</v>
      </c>
      <c r="B76" s="125"/>
      <c r="C76" s="125"/>
      <c r="D76" s="128" t="s">
        <v>3</v>
      </c>
      <c r="E76" s="126" t="s">
        <v>222</v>
      </c>
      <c r="F76" s="95"/>
    </row>
    <row r="77" spans="1:6" outlineLevel="2" x14ac:dyDescent="0.25">
      <c r="A77" s="127">
        <v>3436</v>
      </c>
      <c r="B77" s="125"/>
      <c r="C77" s="125"/>
      <c r="D77" s="128" t="s">
        <v>3</v>
      </c>
      <c r="E77" s="126" t="s">
        <v>223</v>
      </c>
      <c r="F77" s="95"/>
    </row>
    <row r="78" spans="1:6" outlineLevel="2" x14ac:dyDescent="0.25">
      <c r="A78" s="127">
        <v>3437</v>
      </c>
      <c r="B78" s="125"/>
      <c r="C78" s="125"/>
      <c r="D78" s="128" t="s">
        <v>25</v>
      </c>
      <c r="E78" s="126" t="s">
        <v>216</v>
      </c>
      <c r="F78" s="95"/>
    </row>
    <row r="79" spans="1:6" outlineLevel="2" x14ac:dyDescent="0.25">
      <c r="A79" s="127">
        <v>3443</v>
      </c>
      <c r="B79" s="125"/>
      <c r="C79" s="125"/>
      <c r="D79" s="128" t="s">
        <v>3</v>
      </c>
      <c r="E79" s="126" t="s">
        <v>228</v>
      </c>
      <c r="F79" s="95"/>
    </row>
    <row r="80" spans="1:6" outlineLevel="2" x14ac:dyDescent="0.25">
      <c r="A80" s="133">
        <v>3445</v>
      </c>
      <c r="B80" s="125"/>
      <c r="C80" s="125"/>
      <c r="D80" s="125" t="s">
        <v>3</v>
      </c>
      <c r="E80" s="134" t="s">
        <v>37</v>
      </c>
      <c r="F80" s="95"/>
    </row>
    <row r="81" spans="1:6" ht="21" customHeight="1" outlineLevel="2" x14ac:dyDescent="0.25">
      <c r="A81" s="127">
        <v>3444</v>
      </c>
      <c r="B81" s="125"/>
      <c r="C81" s="125"/>
      <c r="D81" s="128" t="s">
        <v>3</v>
      </c>
      <c r="E81" s="126" t="s">
        <v>219</v>
      </c>
      <c r="F81" s="95"/>
    </row>
    <row r="82" spans="1:6" outlineLevel="2" x14ac:dyDescent="0.25">
      <c r="A82" s="127">
        <v>3452</v>
      </c>
      <c r="B82" s="125"/>
      <c r="C82" s="125"/>
      <c r="D82" s="128" t="s">
        <v>6</v>
      </c>
      <c r="E82" s="126" t="s">
        <v>229</v>
      </c>
      <c r="F82" s="95"/>
    </row>
    <row r="83" spans="1:6" ht="12.75" customHeight="1" outlineLevel="2" x14ac:dyDescent="0.25">
      <c r="A83" s="127">
        <v>3453</v>
      </c>
      <c r="B83" s="125"/>
      <c r="C83" s="125"/>
      <c r="D83" s="128" t="s">
        <v>27</v>
      </c>
      <c r="E83" s="126" t="s">
        <v>283</v>
      </c>
      <c r="F83" s="95"/>
    </row>
    <row r="84" spans="1:6" outlineLevel="2" x14ac:dyDescent="0.25">
      <c r="A84" s="127">
        <v>3454</v>
      </c>
      <c r="B84" s="125"/>
      <c r="C84" s="125"/>
      <c r="D84" s="128" t="s">
        <v>38</v>
      </c>
      <c r="E84" s="126" t="s">
        <v>39</v>
      </c>
      <c r="F84" s="95"/>
    </row>
    <row r="85" spans="1:6" outlineLevel="2" x14ac:dyDescent="0.25">
      <c r="A85" s="127">
        <v>3455</v>
      </c>
      <c r="B85" s="125"/>
      <c r="C85" s="125"/>
      <c r="D85" s="128" t="s">
        <v>3</v>
      </c>
      <c r="E85" s="126" t="s">
        <v>200</v>
      </c>
      <c r="F85" s="95"/>
    </row>
    <row r="86" spans="1:6" outlineLevel="2" x14ac:dyDescent="0.25">
      <c r="A86" s="127">
        <v>3456</v>
      </c>
      <c r="B86" s="125"/>
      <c r="C86" s="125"/>
      <c r="D86" s="128" t="s">
        <v>3</v>
      </c>
      <c r="E86" s="126" t="s">
        <v>205</v>
      </c>
      <c r="F86" s="95"/>
    </row>
    <row r="87" spans="1:6" outlineLevel="2" x14ac:dyDescent="0.25">
      <c r="A87" s="133">
        <v>3459</v>
      </c>
      <c r="B87" s="125"/>
      <c r="C87" s="125"/>
      <c r="D87" s="125" t="s">
        <v>3</v>
      </c>
      <c r="E87" s="134" t="s">
        <v>40</v>
      </c>
      <c r="F87" s="95"/>
    </row>
    <row r="88" spans="1:6" outlineLevel="2" x14ac:dyDescent="0.25">
      <c r="A88" s="133">
        <v>3473</v>
      </c>
      <c r="B88" s="125"/>
      <c r="C88" s="125"/>
      <c r="D88" s="125" t="s">
        <v>3</v>
      </c>
      <c r="E88" s="134" t="s">
        <v>41</v>
      </c>
      <c r="F88" s="95"/>
    </row>
    <row r="89" spans="1:6" outlineLevel="2" x14ac:dyDescent="0.25">
      <c r="A89" s="133">
        <v>3474</v>
      </c>
      <c r="B89" s="125"/>
      <c r="C89" s="125"/>
      <c r="D89" s="125" t="s">
        <v>3</v>
      </c>
      <c r="E89" s="134" t="s">
        <v>42</v>
      </c>
      <c r="F89" s="95"/>
    </row>
    <row r="90" spans="1:6" outlineLevel="2" x14ac:dyDescent="0.25">
      <c r="A90" s="133">
        <v>3483</v>
      </c>
      <c r="B90" s="125"/>
      <c r="C90" s="125"/>
      <c r="D90" s="125" t="s">
        <v>38</v>
      </c>
      <c r="E90" s="134" t="s">
        <v>43</v>
      </c>
      <c r="F90" s="95"/>
    </row>
    <row r="91" spans="1:6" ht="22.5" customHeight="1" outlineLevel="2" x14ac:dyDescent="0.25">
      <c r="A91" s="133">
        <v>3488</v>
      </c>
      <c r="B91" s="125"/>
      <c r="C91" s="125"/>
      <c r="D91" s="125" t="s">
        <v>3</v>
      </c>
      <c r="E91" s="134" t="s">
        <v>44</v>
      </c>
      <c r="F91" s="95"/>
    </row>
    <row r="92" spans="1:6" outlineLevel="2" x14ac:dyDescent="0.25">
      <c r="A92" s="133">
        <v>3493</v>
      </c>
      <c r="B92" s="125"/>
      <c r="C92" s="125"/>
      <c r="D92" s="125" t="s">
        <v>29</v>
      </c>
      <c r="E92" s="134" t="s">
        <v>180</v>
      </c>
      <c r="F92" s="95"/>
    </row>
    <row r="93" spans="1:6" outlineLevel="2" x14ac:dyDescent="0.25">
      <c r="A93" s="133">
        <v>3499</v>
      </c>
      <c r="B93" s="125"/>
      <c r="C93" s="125"/>
      <c r="D93" s="125" t="s">
        <v>3</v>
      </c>
      <c r="E93" s="134" t="s">
        <v>45</v>
      </c>
      <c r="F93" s="95"/>
    </row>
    <row r="94" spans="1:6" outlineLevel="2" x14ac:dyDescent="0.25">
      <c r="A94" s="133">
        <v>3500</v>
      </c>
      <c r="B94" s="125"/>
      <c r="C94" s="125"/>
      <c r="D94" s="125" t="s">
        <v>3</v>
      </c>
      <c r="E94" s="134" t="s">
        <v>46</v>
      </c>
      <c r="F94" s="95"/>
    </row>
    <row r="95" spans="1:6" outlineLevel="2" x14ac:dyDescent="0.25">
      <c r="A95" s="133">
        <v>3502</v>
      </c>
      <c r="B95" s="125"/>
      <c r="C95" s="125"/>
      <c r="D95" s="125" t="s">
        <v>3</v>
      </c>
      <c r="E95" s="134" t="s">
        <v>47</v>
      </c>
      <c r="F95" s="95"/>
    </row>
    <row r="96" spans="1:6" ht="20.5" outlineLevel="2" x14ac:dyDescent="0.25">
      <c r="A96" s="133">
        <v>3509</v>
      </c>
      <c r="B96" s="125"/>
      <c r="C96" s="125"/>
      <c r="D96" s="125" t="s">
        <v>38</v>
      </c>
      <c r="E96" s="134" t="s">
        <v>48</v>
      </c>
      <c r="F96" s="95"/>
    </row>
    <row r="97" spans="1:6" outlineLevel="2" x14ac:dyDescent="0.25">
      <c r="A97" s="133">
        <v>3514</v>
      </c>
      <c r="B97" s="125"/>
      <c r="C97" s="125"/>
      <c r="D97" s="125" t="s">
        <v>3</v>
      </c>
      <c r="E97" s="134" t="s">
        <v>49</v>
      </c>
      <c r="F97" s="95"/>
    </row>
    <row r="98" spans="1:6" ht="14.25" customHeight="1" outlineLevel="2" x14ac:dyDescent="0.25">
      <c r="A98" s="133">
        <v>3526</v>
      </c>
      <c r="B98" s="125"/>
      <c r="C98" s="125"/>
      <c r="D98" s="125" t="s">
        <v>3</v>
      </c>
      <c r="E98" s="134" t="s">
        <v>284</v>
      </c>
      <c r="F98" s="95"/>
    </row>
    <row r="99" spans="1:6" outlineLevel="2" x14ac:dyDescent="0.25">
      <c r="A99" s="133">
        <v>3528</v>
      </c>
      <c r="B99" s="125"/>
      <c r="C99" s="125"/>
      <c r="D99" s="125" t="s">
        <v>25</v>
      </c>
      <c r="E99" s="134" t="s">
        <v>50</v>
      </c>
      <c r="F99" s="95"/>
    </row>
    <row r="100" spans="1:6" outlineLevel="2" x14ac:dyDescent="0.25">
      <c r="A100" s="133">
        <v>3529</v>
      </c>
      <c r="B100" s="125"/>
      <c r="C100" s="125"/>
      <c r="D100" s="125" t="s">
        <v>3</v>
      </c>
      <c r="E100" s="134" t="s">
        <v>51</v>
      </c>
      <c r="F100" s="95"/>
    </row>
    <row r="101" spans="1:6" outlineLevel="2" x14ac:dyDescent="0.25">
      <c r="A101" s="133">
        <v>3533</v>
      </c>
      <c r="B101" s="125"/>
      <c r="C101" s="125"/>
      <c r="D101" s="125" t="s">
        <v>52</v>
      </c>
      <c r="E101" s="134" t="s">
        <v>53</v>
      </c>
      <c r="F101" s="95"/>
    </row>
    <row r="102" spans="1:6" outlineLevel="2" x14ac:dyDescent="0.25">
      <c r="A102" s="133">
        <v>3534</v>
      </c>
      <c r="B102" s="125"/>
      <c r="C102" s="125"/>
      <c r="D102" s="125" t="s">
        <v>3</v>
      </c>
      <c r="E102" s="134" t="s">
        <v>54</v>
      </c>
      <c r="F102" s="95"/>
    </row>
    <row r="103" spans="1:6" outlineLevel="2" x14ac:dyDescent="0.25">
      <c r="A103" s="133">
        <v>3535</v>
      </c>
      <c r="B103" s="125"/>
      <c r="C103" s="125"/>
      <c r="D103" s="125" t="s">
        <v>3</v>
      </c>
      <c r="E103" s="134" t="s">
        <v>55</v>
      </c>
      <c r="F103" s="95"/>
    </row>
    <row r="104" spans="1:6" ht="15" customHeight="1" outlineLevel="2" x14ac:dyDescent="0.25">
      <c r="A104" s="133">
        <v>3536</v>
      </c>
      <c r="B104" s="125"/>
      <c r="C104" s="125"/>
      <c r="D104" s="125" t="s">
        <v>38</v>
      </c>
      <c r="E104" s="134" t="s">
        <v>56</v>
      </c>
      <c r="F104" s="95"/>
    </row>
    <row r="105" spans="1:6" outlineLevel="2" x14ac:dyDescent="0.25">
      <c r="A105" s="133">
        <v>3537</v>
      </c>
      <c r="B105" s="125"/>
      <c r="C105" s="125"/>
      <c r="D105" s="125" t="s">
        <v>38</v>
      </c>
      <c r="E105" s="134" t="s">
        <v>57</v>
      </c>
      <c r="F105" s="95"/>
    </row>
    <row r="106" spans="1:6" outlineLevel="2" x14ac:dyDescent="0.25">
      <c r="A106" s="133">
        <v>3542</v>
      </c>
      <c r="B106" s="125"/>
      <c r="C106" s="125"/>
      <c r="D106" s="125" t="s">
        <v>3</v>
      </c>
      <c r="E106" s="134" t="s">
        <v>58</v>
      </c>
      <c r="F106" s="95"/>
    </row>
    <row r="107" spans="1:6" outlineLevel="2" x14ac:dyDescent="0.25">
      <c r="A107" s="133">
        <v>3543</v>
      </c>
      <c r="B107" s="125"/>
      <c r="C107" s="125"/>
      <c r="D107" s="125" t="s">
        <v>3</v>
      </c>
      <c r="E107" s="134" t="s">
        <v>181</v>
      </c>
      <c r="F107" s="95"/>
    </row>
    <row r="108" spans="1:6" outlineLevel="2" x14ac:dyDescent="0.25">
      <c r="A108" s="133">
        <v>3544</v>
      </c>
      <c r="B108" s="125"/>
      <c r="C108" s="125"/>
      <c r="D108" s="125" t="s">
        <v>3</v>
      </c>
      <c r="E108" s="134" t="s">
        <v>59</v>
      </c>
      <c r="F108" s="95"/>
    </row>
    <row r="109" spans="1:6" outlineLevel="2" x14ac:dyDescent="0.25">
      <c r="A109" s="133">
        <v>3545</v>
      </c>
      <c r="B109" s="125"/>
      <c r="C109" s="125"/>
      <c r="D109" s="125" t="s">
        <v>3</v>
      </c>
      <c r="E109" s="134" t="s">
        <v>60</v>
      </c>
      <c r="F109" s="95"/>
    </row>
    <row r="110" spans="1:6" outlineLevel="2" x14ac:dyDescent="0.25">
      <c r="A110" s="133">
        <v>3551</v>
      </c>
      <c r="B110" s="125"/>
      <c r="C110" s="125"/>
      <c r="D110" s="125" t="s">
        <v>61</v>
      </c>
      <c r="E110" s="134" t="s">
        <v>62</v>
      </c>
      <c r="F110" s="95"/>
    </row>
    <row r="111" spans="1:6" outlineLevel="2" x14ac:dyDescent="0.25">
      <c r="A111" s="133">
        <v>3557</v>
      </c>
      <c r="B111" s="125"/>
      <c r="C111" s="125"/>
      <c r="D111" s="125" t="s">
        <v>3</v>
      </c>
      <c r="E111" s="134" t="s">
        <v>63</v>
      </c>
      <c r="F111" s="95"/>
    </row>
    <row r="112" spans="1:6" outlineLevel="2" x14ac:dyDescent="0.25">
      <c r="A112" s="133">
        <v>3561</v>
      </c>
      <c r="B112" s="125"/>
      <c r="C112" s="125"/>
      <c r="D112" s="125" t="s">
        <v>7</v>
      </c>
      <c r="E112" s="134" t="s">
        <v>66</v>
      </c>
      <c r="F112" s="95"/>
    </row>
    <row r="113" spans="1:6" outlineLevel="2" x14ac:dyDescent="0.25">
      <c r="A113" s="135">
        <v>3563</v>
      </c>
      <c r="B113" s="125"/>
      <c r="C113" s="136"/>
      <c r="D113" s="125" t="s">
        <v>19</v>
      </c>
      <c r="E113" s="136" t="s">
        <v>67</v>
      </c>
      <c r="F113" s="95"/>
    </row>
    <row r="114" spans="1:6" outlineLevel="2" x14ac:dyDescent="0.25">
      <c r="A114" s="135">
        <v>3564</v>
      </c>
      <c r="B114" s="125"/>
      <c r="C114" s="136"/>
      <c r="D114" s="125" t="s">
        <v>3</v>
      </c>
      <c r="E114" s="136" t="s">
        <v>182</v>
      </c>
      <c r="F114" s="95"/>
    </row>
    <row r="115" spans="1:6" outlineLevel="2" x14ac:dyDescent="0.25">
      <c r="A115" s="135">
        <v>3569</v>
      </c>
      <c r="B115" s="125"/>
      <c r="C115" s="125"/>
      <c r="D115" s="125" t="s">
        <v>3</v>
      </c>
      <c r="E115" s="136" t="s">
        <v>68</v>
      </c>
      <c r="F115" s="95"/>
    </row>
    <row r="116" spans="1:6" outlineLevel="2" x14ac:dyDescent="0.25">
      <c r="A116" s="135">
        <v>3572</v>
      </c>
      <c r="B116" s="125"/>
      <c r="C116" s="136"/>
      <c r="D116" s="125" t="s">
        <v>3</v>
      </c>
      <c r="E116" s="136" t="s">
        <v>69</v>
      </c>
      <c r="F116" s="95"/>
    </row>
    <row r="117" spans="1:6" ht="12" customHeight="1" outlineLevel="2" x14ac:dyDescent="0.25">
      <c r="A117" s="135">
        <v>3573</v>
      </c>
      <c r="B117" s="125"/>
      <c r="C117" s="136"/>
      <c r="D117" s="125" t="s">
        <v>38</v>
      </c>
      <c r="E117" s="136" t="s">
        <v>70</v>
      </c>
      <c r="F117" s="95"/>
    </row>
    <row r="118" spans="1:6" outlineLevel="2" x14ac:dyDescent="0.25">
      <c r="A118" s="137">
        <v>3574</v>
      </c>
      <c r="B118" s="138"/>
      <c r="C118" s="138"/>
      <c r="D118" s="138" t="s">
        <v>38</v>
      </c>
      <c r="E118" s="139" t="s">
        <v>71</v>
      </c>
      <c r="F118" s="95"/>
    </row>
    <row r="119" spans="1:6" outlineLevel="2" x14ac:dyDescent="0.25">
      <c r="A119" s="135">
        <v>3587</v>
      </c>
      <c r="B119" s="125"/>
      <c r="C119" s="136"/>
      <c r="D119" s="125" t="s">
        <v>38</v>
      </c>
      <c r="E119" s="136" t="s">
        <v>72</v>
      </c>
      <c r="F119" s="95"/>
    </row>
    <row r="120" spans="1:6" outlineLevel="2" x14ac:dyDescent="0.25">
      <c r="A120" s="133">
        <v>3593</v>
      </c>
      <c r="B120" s="125"/>
      <c r="C120" s="125"/>
      <c r="D120" s="125" t="s">
        <v>3</v>
      </c>
      <c r="E120" s="134" t="s">
        <v>183</v>
      </c>
      <c r="F120" s="95"/>
    </row>
    <row r="121" spans="1:6" outlineLevel="2" x14ac:dyDescent="0.25">
      <c r="A121" s="133">
        <v>3594</v>
      </c>
      <c r="B121" s="125"/>
      <c r="C121" s="125"/>
      <c r="D121" s="125" t="s">
        <v>3</v>
      </c>
      <c r="E121" s="134" t="s">
        <v>73</v>
      </c>
      <c r="F121" s="95"/>
    </row>
    <row r="122" spans="1:6" outlineLevel="2" x14ac:dyDescent="0.25">
      <c r="A122" s="133">
        <v>3602</v>
      </c>
      <c r="B122" s="125"/>
      <c r="C122" s="125"/>
      <c r="D122" s="125" t="s">
        <v>29</v>
      </c>
      <c r="E122" s="134" t="s">
        <v>74</v>
      </c>
      <c r="F122" s="95"/>
    </row>
    <row r="123" spans="1:6" outlineLevel="2" x14ac:dyDescent="0.25">
      <c r="A123" s="133">
        <v>3604</v>
      </c>
      <c r="B123" s="125"/>
      <c r="C123" s="125"/>
      <c r="D123" s="125" t="s">
        <v>3</v>
      </c>
      <c r="E123" s="134" t="s">
        <v>75</v>
      </c>
      <c r="F123" s="95"/>
    </row>
    <row r="124" spans="1:6" outlineLevel="2" x14ac:dyDescent="0.25">
      <c r="A124" s="133">
        <v>3605</v>
      </c>
      <c r="B124" s="125"/>
      <c r="C124" s="125"/>
      <c r="D124" s="125" t="s">
        <v>3</v>
      </c>
      <c r="E124" s="134" t="s">
        <v>76</v>
      </c>
      <c r="F124" s="95"/>
    </row>
    <row r="125" spans="1:6" ht="16.5" customHeight="1" outlineLevel="2" x14ac:dyDescent="0.3">
      <c r="A125" s="150" t="s">
        <v>187</v>
      </c>
      <c r="B125" s="151"/>
      <c r="C125" s="151"/>
      <c r="D125" s="151"/>
      <c r="E125" s="151"/>
      <c r="F125" s="95"/>
    </row>
    <row r="126" spans="1:6" outlineLevel="1" x14ac:dyDescent="0.25">
      <c r="A126" s="127">
        <v>3406</v>
      </c>
      <c r="B126" s="115"/>
      <c r="C126" s="115"/>
      <c r="D126" s="128" t="s">
        <v>3</v>
      </c>
      <c r="E126" s="126" t="s">
        <v>259</v>
      </c>
      <c r="F126" s="95"/>
    </row>
    <row r="127" spans="1:6" ht="12" customHeight="1" outlineLevel="2" x14ac:dyDescent="0.25">
      <c r="A127" s="127">
        <v>3407</v>
      </c>
      <c r="B127" s="115"/>
      <c r="C127" s="115"/>
      <c r="D127" s="128" t="s">
        <v>38</v>
      </c>
      <c r="E127" s="126" t="s">
        <v>240</v>
      </c>
      <c r="F127" s="95"/>
    </row>
    <row r="128" spans="1:6" outlineLevel="2" x14ac:dyDescent="0.25">
      <c r="A128" s="127">
        <v>3408</v>
      </c>
      <c r="B128" s="115"/>
      <c r="C128" s="115"/>
      <c r="D128" s="128" t="s">
        <v>27</v>
      </c>
      <c r="E128" s="126" t="s">
        <v>260</v>
      </c>
      <c r="F128" s="95"/>
    </row>
    <row r="129" spans="1:6" outlineLevel="2" x14ac:dyDescent="0.25">
      <c r="A129" s="127">
        <v>3428</v>
      </c>
      <c r="B129" s="115"/>
      <c r="C129" s="115"/>
      <c r="D129" s="128" t="s">
        <v>52</v>
      </c>
      <c r="E129" s="126" t="s">
        <v>241</v>
      </c>
      <c r="F129" s="95"/>
    </row>
    <row r="130" spans="1:6" outlineLevel="2" x14ac:dyDescent="0.25">
      <c r="A130" s="127">
        <v>3429</v>
      </c>
      <c r="B130" s="115"/>
      <c r="C130" s="115"/>
      <c r="D130" s="128" t="s">
        <v>191</v>
      </c>
      <c r="E130" s="126" t="s">
        <v>242</v>
      </c>
      <c r="F130" s="95"/>
    </row>
    <row r="131" spans="1:6" outlineLevel="2" x14ac:dyDescent="0.25">
      <c r="A131" s="127">
        <v>3438</v>
      </c>
      <c r="B131" s="115"/>
      <c r="C131" s="115"/>
      <c r="D131" s="128" t="s">
        <v>38</v>
      </c>
      <c r="E131" s="126" t="s">
        <v>243</v>
      </c>
      <c r="F131" s="95"/>
    </row>
    <row r="132" spans="1:6" outlineLevel="2" x14ac:dyDescent="0.25">
      <c r="A132" s="127">
        <v>3457</v>
      </c>
      <c r="B132" s="115"/>
      <c r="C132" s="115"/>
      <c r="D132" s="128" t="s">
        <v>3</v>
      </c>
      <c r="E132" s="126" t="s">
        <v>261</v>
      </c>
      <c r="F132" s="95"/>
    </row>
    <row r="133" spans="1:6" ht="12" customHeight="1" outlineLevel="2" x14ac:dyDescent="0.25">
      <c r="A133" s="127">
        <v>3458</v>
      </c>
      <c r="B133" s="115"/>
      <c r="C133" s="115"/>
      <c r="D133" s="128" t="s">
        <v>3</v>
      </c>
      <c r="E133" s="126" t="s">
        <v>262</v>
      </c>
      <c r="F133" s="95"/>
    </row>
    <row r="134" spans="1:6" outlineLevel="2" x14ac:dyDescent="0.25">
      <c r="A134" s="114">
        <v>3447</v>
      </c>
      <c r="B134" s="115"/>
      <c r="C134" s="115"/>
      <c r="D134" s="115" t="s">
        <v>3</v>
      </c>
      <c r="E134" s="116" t="s">
        <v>184</v>
      </c>
      <c r="F134" s="95"/>
    </row>
    <row r="135" spans="1:6" outlineLevel="2" x14ac:dyDescent="0.25">
      <c r="A135" s="114">
        <v>3468</v>
      </c>
      <c r="B135" s="115"/>
      <c r="C135" s="115"/>
      <c r="D135" s="115" t="s">
        <v>27</v>
      </c>
      <c r="E135" s="116" t="s">
        <v>78</v>
      </c>
      <c r="F135" s="95"/>
    </row>
    <row r="136" spans="1:6" outlineLevel="2" x14ac:dyDescent="0.25">
      <c r="A136" s="114">
        <v>3470</v>
      </c>
      <c r="B136" s="115"/>
      <c r="C136" s="115"/>
      <c r="D136" s="115" t="s">
        <v>61</v>
      </c>
      <c r="E136" s="116" t="s">
        <v>79</v>
      </c>
      <c r="F136" s="95"/>
    </row>
    <row r="137" spans="1:6" outlineLevel="2" x14ac:dyDescent="0.25">
      <c r="A137" s="114">
        <v>3475</v>
      </c>
      <c r="B137" s="115"/>
      <c r="C137" s="115"/>
      <c r="D137" s="115" t="s">
        <v>61</v>
      </c>
      <c r="E137" s="116" t="s">
        <v>80</v>
      </c>
      <c r="F137" s="95"/>
    </row>
    <row r="138" spans="1:6" outlineLevel="2" x14ac:dyDescent="0.25">
      <c r="A138" s="114">
        <v>3480</v>
      </c>
      <c r="B138" s="115"/>
      <c r="C138" s="115"/>
      <c r="D138" s="115" t="s">
        <v>18</v>
      </c>
      <c r="E138" s="116" t="s">
        <v>81</v>
      </c>
      <c r="F138" s="95"/>
    </row>
    <row r="139" spans="1:6" outlineLevel="2" x14ac:dyDescent="0.25">
      <c r="A139" s="114">
        <v>3481</v>
      </c>
      <c r="B139" s="115"/>
      <c r="C139" s="115"/>
      <c r="D139" s="115" t="s">
        <v>82</v>
      </c>
      <c r="E139" s="116" t="s">
        <v>83</v>
      </c>
      <c r="F139" s="95"/>
    </row>
    <row r="140" spans="1:6" outlineLevel="2" x14ac:dyDescent="0.25">
      <c r="A140" s="114">
        <v>3482</v>
      </c>
      <c r="B140" s="115"/>
      <c r="C140" s="115"/>
      <c r="D140" s="115" t="s">
        <v>38</v>
      </c>
      <c r="E140" s="116" t="s">
        <v>84</v>
      </c>
      <c r="F140" s="95"/>
    </row>
    <row r="141" spans="1:6" outlineLevel="2" x14ac:dyDescent="0.25">
      <c r="A141" s="114">
        <v>3489</v>
      </c>
      <c r="B141" s="115"/>
      <c r="C141" s="115"/>
      <c r="D141" s="115" t="s">
        <v>27</v>
      </c>
      <c r="E141" s="116" t="s">
        <v>85</v>
      </c>
      <c r="F141" s="95"/>
    </row>
    <row r="142" spans="1:6" outlineLevel="2" x14ac:dyDescent="0.25">
      <c r="A142" s="114">
        <v>3491</v>
      </c>
      <c r="B142" s="115"/>
      <c r="C142" s="115"/>
      <c r="D142" s="115" t="s">
        <v>3</v>
      </c>
      <c r="E142" s="116" t="s">
        <v>86</v>
      </c>
      <c r="F142" s="95"/>
    </row>
    <row r="143" spans="1:6" outlineLevel="2" x14ac:dyDescent="0.25">
      <c r="A143" s="114">
        <v>3492</v>
      </c>
      <c r="B143" s="115"/>
      <c r="C143" s="115"/>
      <c r="D143" s="115" t="s">
        <v>87</v>
      </c>
      <c r="E143" s="116" t="s">
        <v>249</v>
      </c>
      <c r="F143" s="95"/>
    </row>
    <row r="144" spans="1:6" outlineLevel="2" x14ac:dyDescent="0.25">
      <c r="A144" s="114">
        <v>3504</v>
      </c>
      <c r="B144" s="115"/>
      <c r="C144" s="115"/>
      <c r="D144" s="115" t="s">
        <v>20</v>
      </c>
      <c r="E144" s="116" t="s">
        <v>88</v>
      </c>
      <c r="F144" s="95"/>
    </row>
    <row r="145" spans="1:6" outlineLevel="2" x14ac:dyDescent="0.25">
      <c r="A145" s="114">
        <v>3505</v>
      </c>
      <c r="B145" s="115"/>
      <c r="C145" s="115"/>
      <c r="D145" s="115" t="s">
        <v>3</v>
      </c>
      <c r="E145" s="116" t="s">
        <v>89</v>
      </c>
      <c r="F145" s="95"/>
    </row>
    <row r="146" spans="1:6" outlineLevel="2" x14ac:dyDescent="0.25">
      <c r="A146" s="114">
        <v>3518</v>
      </c>
      <c r="B146" s="115"/>
      <c r="C146" s="115"/>
      <c r="D146" s="115" t="s">
        <v>38</v>
      </c>
      <c r="E146" s="116" t="s">
        <v>90</v>
      </c>
      <c r="F146" s="95"/>
    </row>
    <row r="147" spans="1:6" outlineLevel="2" x14ac:dyDescent="0.25">
      <c r="A147" s="114">
        <v>3519</v>
      </c>
      <c r="B147" s="115"/>
      <c r="C147" s="115"/>
      <c r="D147" s="115" t="s">
        <v>38</v>
      </c>
      <c r="E147" s="116" t="s">
        <v>91</v>
      </c>
      <c r="F147" s="95"/>
    </row>
    <row r="148" spans="1:6" outlineLevel="2" x14ac:dyDescent="0.25">
      <c r="A148" s="114">
        <v>3520</v>
      </c>
      <c r="B148" s="115"/>
      <c r="C148" s="115"/>
      <c r="D148" s="115" t="s">
        <v>38</v>
      </c>
      <c r="E148" s="116" t="s">
        <v>92</v>
      </c>
      <c r="F148" s="95"/>
    </row>
    <row r="149" spans="1:6" outlineLevel="2" x14ac:dyDescent="0.25">
      <c r="A149" s="114">
        <v>3521</v>
      </c>
      <c r="B149" s="115"/>
      <c r="C149" s="115"/>
      <c r="D149" s="115" t="s">
        <v>22</v>
      </c>
      <c r="E149" s="116" t="s">
        <v>93</v>
      </c>
      <c r="F149" s="95"/>
    </row>
    <row r="150" spans="1:6" outlineLevel="2" x14ac:dyDescent="0.25">
      <c r="A150" s="114">
        <v>3530</v>
      </c>
      <c r="B150" s="115"/>
      <c r="C150" s="115"/>
      <c r="D150" s="115" t="s">
        <v>27</v>
      </c>
      <c r="E150" s="116" t="s">
        <v>94</v>
      </c>
      <c r="F150" s="95"/>
    </row>
    <row r="151" spans="1:6" outlineLevel="2" x14ac:dyDescent="0.25">
      <c r="A151" s="114">
        <v>3531</v>
      </c>
      <c r="B151" s="115"/>
      <c r="C151" s="115"/>
      <c r="D151" s="115" t="s">
        <v>27</v>
      </c>
      <c r="E151" s="116" t="s">
        <v>95</v>
      </c>
      <c r="F151" s="95"/>
    </row>
    <row r="152" spans="1:6" outlineLevel="2" x14ac:dyDescent="0.25">
      <c r="A152" s="114">
        <v>3532</v>
      </c>
      <c r="B152" s="115"/>
      <c r="C152" s="115"/>
      <c r="D152" s="115" t="s">
        <v>61</v>
      </c>
      <c r="E152" s="116" t="s">
        <v>96</v>
      </c>
      <c r="F152" s="95"/>
    </row>
    <row r="153" spans="1:6" outlineLevel="2" x14ac:dyDescent="0.25">
      <c r="A153" s="114">
        <v>3546</v>
      </c>
      <c r="B153" s="115"/>
      <c r="C153" s="115"/>
      <c r="D153" s="115" t="s">
        <v>3</v>
      </c>
      <c r="E153" s="116" t="s">
        <v>250</v>
      </c>
      <c r="F153" s="95"/>
    </row>
    <row r="154" spans="1:6" ht="13.5" customHeight="1" outlineLevel="2" x14ac:dyDescent="0.25">
      <c r="A154" s="114">
        <v>3550</v>
      </c>
      <c r="B154" s="115"/>
      <c r="C154" s="115"/>
      <c r="D154" s="115" t="s">
        <v>3</v>
      </c>
      <c r="E154" s="116" t="s">
        <v>97</v>
      </c>
      <c r="F154" s="95"/>
    </row>
    <row r="155" spans="1:6" outlineLevel="2" x14ac:dyDescent="0.25">
      <c r="A155" s="114">
        <v>3553</v>
      </c>
      <c r="B155" s="115"/>
      <c r="C155" s="115"/>
      <c r="D155" s="115" t="s">
        <v>38</v>
      </c>
      <c r="E155" s="116" t="s">
        <v>251</v>
      </c>
      <c r="F155" s="95"/>
    </row>
    <row r="156" spans="1:6" outlineLevel="2" x14ac:dyDescent="0.25">
      <c r="A156" s="114">
        <v>3554</v>
      </c>
      <c r="B156" s="115"/>
      <c r="C156" s="115"/>
      <c r="D156" s="115" t="s">
        <v>38</v>
      </c>
      <c r="E156" s="116" t="s">
        <v>252</v>
      </c>
      <c r="F156" s="95"/>
    </row>
    <row r="157" spans="1:6" outlineLevel="2" x14ac:dyDescent="0.25">
      <c r="A157" s="114">
        <v>3555</v>
      </c>
      <c r="B157" s="115"/>
      <c r="C157" s="115"/>
      <c r="D157" s="115" t="s">
        <v>38</v>
      </c>
      <c r="E157" s="116" t="s">
        <v>253</v>
      </c>
      <c r="F157" s="95"/>
    </row>
    <row r="158" spans="1:6" outlineLevel="2" x14ac:dyDescent="0.25">
      <c r="A158" s="114">
        <v>3556</v>
      </c>
      <c r="B158" s="115"/>
      <c r="C158" s="115"/>
      <c r="D158" s="115" t="s">
        <v>38</v>
      </c>
      <c r="E158" s="116" t="s">
        <v>254</v>
      </c>
      <c r="F158" s="95"/>
    </row>
    <row r="159" spans="1:6" ht="11.25" customHeight="1" outlineLevel="2" x14ac:dyDescent="0.25">
      <c r="A159" s="114">
        <v>3558</v>
      </c>
      <c r="B159" s="115"/>
      <c r="C159" s="115"/>
      <c r="D159" s="115" t="s">
        <v>38</v>
      </c>
      <c r="E159" s="116" t="s">
        <v>255</v>
      </c>
      <c r="F159" s="95"/>
    </row>
    <row r="160" spans="1:6" ht="11.25" customHeight="1" outlineLevel="2" x14ac:dyDescent="0.25">
      <c r="A160" s="121">
        <v>3567</v>
      </c>
      <c r="B160" s="115"/>
      <c r="C160" s="115"/>
      <c r="D160" s="115" t="s">
        <v>191</v>
      </c>
      <c r="E160" s="122" t="s">
        <v>98</v>
      </c>
      <c r="F160" s="95"/>
    </row>
    <row r="161" spans="1:6" ht="12" customHeight="1" outlineLevel="2" x14ac:dyDescent="0.25">
      <c r="A161" s="121">
        <v>3575</v>
      </c>
      <c r="B161" s="115"/>
      <c r="C161" s="115"/>
      <c r="D161" s="115" t="s">
        <v>87</v>
      </c>
      <c r="E161" s="122" t="s">
        <v>99</v>
      </c>
      <c r="F161" s="95"/>
    </row>
    <row r="162" spans="1:6" outlineLevel="2" x14ac:dyDescent="0.25">
      <c r="A162" s="121">
        <v>3576</v>
      </c>
      <c r="B162" s="115"/>
      <c r="C162" s="115"/>
      <c r="D162" s="115" t="s">
        <v>107</v>
      </c>
      <c r="E162" s="122" t="s">
        <v>100</v>
      </c>
    </row>
    <row r="163" spans="1:6" outlineLevel="2" x14ac:dyDescent="0.25">
      <c r="A163" s="121">
        <v>3577</v>
      </c>
      <c r="B163" s="115"/>
      <c r="C163" s="115"/>
      <c r="D163" s="115" t="s">
        <v>61</v>
      </c>
      <c r="E163" s="122" t="s">
        <v>101</v>
      </c>
      <c r="F163" s="95"/>
    </row>
    <row r="164" spans="1:6" ht="12" customHeight="1" outlineLevel="2" x14ac:dyDescent="0.25">
      <c r="A164" s="121">
        <v>3578</v>
      </c>
      <c r="B164" s="115"/>
      <c r="C164" s="115"/>
      <c r="D164" s="115" t="s">
        <v>87</v>
      </c>
      <c r="E164" s="122" t="s">
        <v>102</v>
      </c>
      <c r="F164" s="95"/>
    </row>
    <row r="165" spans="1:6" ht="12.75" customHeight="1" outlineLevel="2" x14ac:dyDescent="0.25">
      <c r="A165" s="121">
        <v>3579</v>
      </c>
      <c r="B165" s="115"/>
      <c r="C165" s="115"/>
      <c r="D165" s="115" t="s">
        <v>22</v>
      </c>
      <c r="E165" s="122" t="s">
        <v>103</v>
      </c>
      <c r="F165" s="95"/>
    </row>
    <row r="166" spans="1:6" ht="18" customHeight="1" outlineLevel="2" x14ac:dyDescent="0.25">
      <c r="A166" s="143" t="s">
        <v>178</v>
      </c>
      <c r="B166" s="143"/>
      <c r="C166" s="143"/>
      <c r="D166" s="143"/>
      <c r="E166" s="143"/>
      <c r="F166" s="95"/>
    </row>
    <row r="167" spans="1:6" outlineLevel="2" x14ac:dyDescent="0.25">
      <c r="A167" s="127">
        <v>3352</v>
      </c>
      <c r="B167" s="115"/>
      <c r="C167" s="125"/>
      <c r="D167" s="128" t="s">
        <v>22</v>
      </c>
      <c r="E167" s="126" t="s">
        <v>194</v>
      </c>
      <c r="F167" s="95"/>
    </row>
    <row r="168" spans="1:6" outlineLevel="2" x14ac:dyDescent="0.25">
      <c r="A168" s="127">
        <v>3358</v>
      </c>
      <c r="B168" s="115"/>
      <c r="C168" s="125"/>
      <c r="D168" s="128" t="s">
        <v>3</v>
      </c>
      <c r="E168" s="126" t="s">
        <v>193</v>
      </c>
      <c r="F168" s="95"/>
    </row>
    <row r="169" spans="1:6" outlineLevel="2" x14ac:dyDescent="0.25">
      <c r="A169" s="127">
        <v>3361</v>
      </c>
      <c r="B169" s="115"/>
      <c r="C169" s="125"/>
      <c r="D169" s="128" t="s">
        <v>3</v>
      </c>
      <c r="E169" s="126" t="s">
        <v>245</v>
      </c>
      <c r="F169" s="95"/>
    </row>
    <row r="170" spans="1:6" outlineLevel="2" x14ac:dyDescent="0.25">
      <c r="A170" s="127">
        <v>3362</v>
      </c>
      <c r="B170" s="115"/>
      <c r="C170" s="125"/>
      <c r="D170" s="128" t="s">
        <v>3</v>
      </c>
      <c r="E170" s="126" t="s">
        <v>246</v>
      </c>
    </row>
    <row r="171" spans="1:6" outlineLevel="2" x14ac:dyDescent="0.25">
      <c r="A171" s="127">
        <v>3364</v>
      </c>
      <c r="B171" s="115"/>
      <c r="C171" s="125"/>
      <c r="D171" s="128" t="s">
        <v>52</v>
      </c>
      <c r="E171" s="126" t="s">
        <v>195</v>
      </c>
      <c r="F171" s="95"/>
    </row>
    <row r="172" spans="1:6" outlineLevel="2" x14ac:dyDescent="0.25">
      <c r="A172" s="127">
        <v>3390</v>
      </c>
      <c r="B172" s="115"/>
      <c r="C172" s="125"/>
      <c r="D172" s="128" t="s">
        <v>3</v>
      </c>
      <c r="E172" s="126" t="s">
        <v>196</v>
      </c>
      <c r="F172" s="95"/>
    </row>
    <row r="173" spans="1:6" ht="11.25" customHeight="1" outlineLevel="2" x14ac:dyDescent="0.25">
      <c r="A173" s="127">
        <v>3394</v>
      </c>
      <c r="B173" s="115"/>
      <c r="C173" s="125"/>
      <c r="D173" s="128" t="s">
        <v>190</v>
      </c>
      <c r="E173" s="126" t="s">
        <v>197</v>
      </c>
    </row>
    <row r="174" spans="1:6" outlineLevel="2" x14ac:dyDescent="0.25">
      <c r="A174" s="127">
        <v>3399</v>
      </c>
      <c r="B174" s="115"/>
      <c r="C174" s="125"/>
      <c r="D174" s="128" t="s">
        <v>3</v>
      </c>
      <c r="E174" s="126" t="s">
        <v>192</v>
      </c>
      <c r="F174" s="95"/>
    </row>
    <row r="175" spans="1:6" outlineLevel="2" x14ac:dyDescent="0.25">
      <c r="A175" s="127">
        <v>3439</v>
      </c>
      <c r="B175" s="115"/>
      <c r="C175" s="125"/>
      <c r="D175" s="128" t="s">
        <v>6</v>
      </c>
      <c r="E175" s="126" t="s">
        <v>279</v>
      </c>
      <c r="F175" s="95"/>
    </row>
    <row r="176" spans="1:6" outlineLevel="2" x14ac:dyDescent="0.25">
      <c r="A176" s="127">
        <v>3449</v>
      </c>
      <c r="B176" s="125"/>
      <c r="C176" s="125"/>
      <c r="D176" s="128" t="s">
        <v>3</v>
      </c>
      <c r="E176" s="126" t="s">
        <v>247</v>
      </c>
    </row>
    <row r="177" spans="1:9" outlineLevel="2" x14ac:dyDescent="0.25">
      <c r="A177" s="133">
        <v>3442</v>
      </c>
      <c r="B177" s="125"/>
      <c r="C177" s="125"/>
      <c r="D177" s="125" t="s">
        <v>3</v>
      </c>
      <c r="E177" s="134" t="s">
        <v>105</v>
      </c>
      <c r="F177" s="95"/>
    </row>
    <row r="178" spans="1:9" outlineLevel="2" x14ac:dyDescent="0.25">
      <c r="A178" s="133">
        <v>3449</v>
      </c>
      <c r="B178" s="125"/>
      <c r="C178" s="125"/>
      <c r="D178" s="125" t="s">
        <v>3</v>
      </c>
      <c r="E178" s="134" t="s">
        <v>106</v>
      </c>
      <c r="F178" s="95"/>
    </row>
    <row r="179" spans="1:9" outlineLevel="2" x14ac:dyDescent="0.25">
      <c r="A179" s="133">
        <v>3501</v>
      </c>
      <c r="B179" s="138"/>
      <c r="C179" s="125"/>
      <c r="D179" s="125" t="s">
        <v>3</v>
      </c>
      <c r="E179" s="134" t="s">
        <v>256</v>
      </c>
      <c r="F179" s="95"/>
    </row>
    <row r="180" spans="1:9" outlineLevel="2" x14ac:dyDescent="0.25">
      <c r="A180" s="133">
        <v>3503</v>
      </c>
      <c r="B180" s="138"/>
      <c r="C180" s="125"/>
      <c r="D180" s="125" t="s">
        <v>3</v>
      </c>
      <c r="E180" s="134" t="s">
        <v>257</v>
      </c>
      <c r="F180" s="95"/>
    </row>
    <row r="181" spans="1:9" outlineLevel="2" x14ac:dyDescent="0.25">
      <c r="A181" s="133">
        <v>3512</v>
      </c>
      <c r="B181" s="125"/>
      <c r="C181" s="125"/>
      <c r="D181" s="125" t="s">
        <v>26</v>
      </c>
      <c r="E181" s="134" t="s">
        <v>280</v>
      </c>
      <c r="F181" s="95"/>
    </row>
    <row r="182" spans="1:9" outlineLevel="2" x14ac:dyDescent="0.25">
      <c r="A182" s="133">
        <v>3513</v>
      </c>
      <c r="B182" s="138"/>
      <c r="C182" s="125"/>
      <c r="D182" s="125" t="s">
        <v>107</v>
      </c>
      <c r="E182" s="134" t="s">
        <v>281</v>
      </c>
      <c r="G182" s="99"/>
    </row>
    <row r="183" spans="1:9" outlineLevel="2" x14ac:dyDescent="0.25">
      <c r="A183" s="133">
        <v>3515</v>
      </c>
      <c r="B183" s="125"/>
      <c r="C183" s="125"/>
      <c r="D183" s="125" t="s">
        <v>3</v>
      </c>
      <c r="E183" s="134" t="s">
        <v>108</v>
      </c>
      <c r="G183" s="99"/>
    </row>
    <row r="184" spans="1:9" ht="21" customHeight="1" outlineLevel="2" x14ac:dyDescent="0.25">
      <c r="A184" s="133">
        <v>3516</v>
      </c>
      <c r="B184" s="125"/>
      <c r="C184" s="125"/>
      <c r="D184" s="125" t="s">
        <v>3</v>
      </c>
      <c r="E184" s="134" t="s">
        <v>109</v>
      </c>
      <c r="G184" s="99"/>
    </row>
    <row r="185" spans="1:9" ht="20.5" outlineLevel="2" x14ac:dyDescent="0.25">
      <c r="A185" s="133">
        <v>3517</v>
      </c>
      <c r="B185" s="125"/>
      <c r="C185" s="125"/>
      <c r="D185" s="125" t="s">
        <v>3</v>
      </c>
      <c r="E185" s="134" t="s">
        <v>110</v>
      </c>
      <c r="G185" s="99"/>
    </row>
    <row r="186" spans="1:9" ht="15.75" customHeight="1" outlineLevel="2" x14ac:dyDescent="0.25">
      <c r="A186" s="133">
        <v>3524</v>
      </c>
      <c r="B186" s="125"/>
      <c r="C186" s="125"/>
      <c r="D186" s="125" t="s">
        <v>3</v>
      </c>
      <c r="E186" s="134" t="s">
        <v>111</v>
      </c>
      <c r="G186" s="99"/>
    </row>
    <row r="187" spans="1:9" ht="13" outlineLevel="2" x14ac:dyDescent="0.3">
      <c r="A187" s="133">
        <v>3525</v>
      </c>
      <c r="B187" s="125"/>
      <c r="C187" s="125"/>
      <c r="D187" s="125" t="s">
        <v>3</v>
      </c>
      <c r="E187" s="134" t="s">
        <v>272</v>
      </c>
      <c r="F187" s="107"/>
      <c r="G187" s="108"/>
      <c r="H187" s="109"/>
      <c r="I187" s="109"/>
    </row>
    <row r="188" spans="1:9" ht="20.5" outlineLevel="2" x14ac:dyDescent="0.25">
      <c r="A188" s="133">
        <v>3541</v>
      </c>
      <c r="B188" s="125"/>
      <c r="C188" s="125"/>
      <c r="D188" s="125" t="s">
        <v>3</v>
      </c>
      <c r="E188" s="134" t="s">
        <v>112</v>
      </c>
      <c r="G188" s="99"/>
    </row>
    <row r="189" spans="1:9" ht="20.25" customHeight="1" outlineLevel="2" x14ac:dyDescent="0.25">
      <c r="A189" s="133">
        <v>3552</v>
      </c>
      <c r="B189" s="125"/>
      <c r="C189" s="125"/>
      <c r="D189" s="125" t="s">
        <v>3</v>
      </c>
      <c r="E189" s="134" t="s">
        <v>113</v>
      </c>
      <c r="F189" s="95"/>
    </row>
    <row r="190" spans="1:9" ht="20.5" outlineLevel="2" x14ac:dyDescent="0.25">
      <c r="A190" s="135">
        <v>3571</v>
      </c>
      <c r="B190" s="125"/>
      <c r="C190" s="136"/>
      <c r="D190" s="125" t="s">
        <v>3</v>
      </c>
      <c r="E190" s="136" t="s">
        <v>114</v>
      </c>
      <c r="F190" s="95"/>
    </row>
    <row r="191" spans="1:9" outlineLevel="2" x14ac:dyDescent="0.25">
      <c r="A191" s="133">
        <v>3600</v>
      </c>
      <c r="B191" s="125"/>
      <c r="C191" s="125"/>
      <c r="D191" s="125" t="s">
        <v>3</v>
      </c>
      <c r="E191" s="134" t="s">
        <v>258</v>
      </c>
    </row>
    <row r="192" spans="1:9" outlineLevel="2" x14ac:dyDescent="0.25">
      <c r="A192" s="117">
        <v>3601</v>
      </c>
      <c r="B192" s="117"/>
      <c r="C192" s="117"/>
      <c r="D192" s="117" t="s">
        <v>3</v>
      </c>
      <c r="E192" s="120" t="s">
        <v>115</v>
      </c>
    </row>
    <row r="193" spans="1:6" ht="13" outlineLevel="2" x14ac:dyDescent="0.3">
      <c r="A193" s="144" t="s">
        <v>179</v>
      </c>
      <c r="B193" s="145"/>
      <c r="C193" s="145"/>
      <c r="D193" s="145"/>
      <c r="E193" s="145"/>
    </row>
    <row r="194" spans="1:6" outlineLevel="2" x14ac:dyDescent="0.25">
      <c r="A194" s="127">
        <v>3342</v>
      </c>
      <c r="B194" s="125"/>
      <c r="C194" s="125"/>
      <c r="D194" s="128" t="s">
        <v>3</v>
      </c>
      <c r="E194" s="126" t="s">
        <v>236</v>
      </c>
      <c r="F194" s="95"/>
    </row>
    <row r="195" spans="1:6" outlineLevel="1" x14ac:dyDescent="0.25">
      <c r="A195" s="127">
        <v>3366</v>
      </c>
      <c r="B195" s="125"/>
      <c r="C195" s="125"/>
      <c r="D195" s="128" t="s">
        <v>25</v>
      </c>
      <c r="E195" s="126" t="s">
        <v>230</v>
      </c>
    </row>
    <row r="196" spans="1:6" ht="14.25" customHeight="1" outlineLevel="2" x14ac:dyDescent="0.25">
      <c r="A196" s="127">
        <v>3369</v>
      </c>
      <c r="B196" s="125"/>
      <c r="C196" s="125"/>
      <c r="D196" s="128" t="s">
        <v>29</v>
      </c>
      <c r="E196" s="126" t="s">
        <v>231</v>
      </c>
      <c r="F196" s="95"/>
    </row>
    <row r="197" spans="1:6" ht="10.5" customHeight="1" outlineLevel="2" x14ac:dyDescent="0.25">
      <c r="A197" s="127">
        <v>3370</v>
      </c>
      <c r="B197" s="125"/>
      <c r="C197" s="125"/>
      <c r="D197" s="128" t="s">
        <v>6</v>
      </c>
      <c r="E197" s="126" t="s">
        <v>285</v>
      </c>
      <c r="F197" s="95"/>
    </row>
    <row r="198" spans="1:6" ht="25.5" customHeight="1" outlineLevel="2" x14ac:dyDescent="0.25">
      <c r="A198" s="127">
        <v>3376</v>
      </c>
      <c r="B198" s="125"/>
      <c r="C198" s="125"/>
      <c r="D198" s="128" t="s">
        <v>6</v>
      </c>
      <c r="E198" s="126" t="s">
        <v>282</v>
      </c>
      <c r="F198" s="95"/>
    </row>
    <row r="199" spans="1:6" outlineLevel="2" x14ac:dyDescent="0.25">
      <c r="A199" s="127">
        <v>3404</v>
      </c>
      <c r="B199" s="125"/>
      <c r="C199" s="125"/>
      <c r="D199" s="128" t="s">
        <v>6</v>
      </c>
      <c r="E199" s="126" t="s">
        <v>234</v>
      </c>
      <c r="F199" s="95"/>
    </row>
    <row r="200" spans="1:6" outlineLevel="2" x14ac:dyDescent="0.25">
      <c r="A200" s="127">
        <v>3440</v>
      </c>
      <c r="B200" s="125"/>
      <c r="C200" s="125"/>
      <c r="D200" s="128" t="s">
        <v>33</v>
      </c>
      <c r="E200" s="126" t="s">
        <v>232</v>
      </c>
      <c r="F200" s="95"/>
    </row>
    <row r="201" spans="1:6" outlineLevel="2" x14ac:dyDescent="0.25">
      <c r="A201" s="127">
        <v>3446</v>
      </c>
      <c r="B201" s="125"/>
      <c r="C201" s="125"/>
      <c r="D201" s="128" t="s">
        <v>3</v>
      </c>
      <c r="E201" s="126" t="s">
        <v>233</v>
      </c>
      <c r="F201" s="95"/>
    </row>
    <row r="202" spans="1:6" outlineLevel="2" x14ac:dyDescent="0.25">
      <c r="A202" s="127">
        <v>3448</v>
      </c>
      <c r="B202" s="125"/>
      <c r="C202" s="125"/>
      <c r="D202" s="128" t="s">
        <v>3</v>
      </c>
      <c r="E202" s="126" t="s">
        <v>117</v>
      </c>
      <c r="F202" s="95"/>
    </row>
    <row r="203" spans="1:6" outlineLevel="2" x14ac:dyDescent="0.25">
      <c r="A203" s="127">
        <v>3450</v>
      </c>
      <c r="B203" s="125"/>
      <c r="C203" s="125"/>
      <c r="D203" s="128" t="s">
        <v>3</v>
      </c>
      <c r="E203" s="126" t="s">
        <v>248</v>
      </c>
      <c r="F203" s="95"/>
    </row>
    <row r="204" spans="1:6" outlineLevel="2" x14ac:dyDescent="0.25">
      <c r="A204" s="127">
        <v>3451</v>
      </c>
      <c r="B204" s="125"/>
      <c r="C204" s="125"/>
      <c r="D204" s="128" t="s">
        <v>29</v>
      </c>
      <c r="E204" s="126" t="s">
        <v>118</v>
      </c>
      <c r="F204" s="95"/>
    </row>
    <row r="205" spans="1:6" outlineLevel="2" x14ac:dyDescent="0.25">
      <c r="A205" s="133">
        <v>3487</v>
      </c>
      <c r="B205" s="125"/>
      <c r="C205" s="125"/>
      <c r="D205" s="125" t="s">
        <v>26</v>
      </c>
      <c r="E205" s="134" t="s">
        <v>119</v>
      </c>
    </row>
    <row r="206" spans="1:6" ht="12.75" customHeight="1" outlineLevel="2" x14ac:dyDescent="0.25">
      <c r="A206" s="133">
        <v>3508</v>
      </c>
      <c r="B206" s="125"/>
      <c r="C206" s="125"/>
      <c r="D206" s="125" t="s">
        <v>6</v>
      </c>
      <c r="E206" s="134" t="s">
        <v>120</v>
      </c>
      <c r="F206" s="95"/>
    </row>
    <row r="207" spans="1:6" outlineLevel="2" x14ac:dyDescent="0.25">
      <c r="A207" s="133">
        <v>3538</v>
      </c>
      <c r="B207" s="125"/>
      <c r="C207" s="125"/>
      <c r="D207" s="125" t="s">
        <v>121</v>
      </c>
      <c r="E207" s="134" t="s">
        <v>122</v>
      </c>
      <c r="F207" s="95"/>
    </row>
    <row r="208" spans="1:6" outlineLevel="2" x14ac:dyDescent="0.25">
      <c r="A208" s="133">
        <v>3539</v>
      </c>
      <c r="B208" s="125"/>
      <c r="C208" s="125"/>
      <c r="D208" s="125" t="s">
        <v>25</v>
      </c>
      <c r="E208" s="134" t="s">
        <v>123</v>
      </c>
      <c r="F208" s="95"/>
    </row>
    <row r="209" spans="1:6" outlineLevel="2" x14ac:dyDescent="0.25">
      <c r="A209" s="133">
        <v>3559</v>
      </c>
      <c r="B209" s="125"/>
      <c r="C209" s="115"/>
      <c r="D209" s="125" t="s">
        <v>38</v>
      </c>
      <c r="E209" s="134" t="s">
        <v>64</v>
      </c>
      <c r="F209" s="95"/>
    </row>
    <row r="210" spans="1:6" outlineLevel="2" x14ac:dyDescent="0.25">
      <c r="A210" s="133">
        <v>3560</v>
      </c>
      <c r="B210" s="125"/>
      <c r="C210" s="115"/>
      <c r="D210" s="125" t="s">
        <v>38</v>
      </c>
      <c r="E210" s="134" t="s">
        <v>65</v>
      </c>
      <c r="F210" s="95"/>
    </row>
    <row r="211" spans="1:6" outlineLevel="2" x14ac:dyDescent="0.25">
      <c r="A211" s="133">
        <v>3540</v>
      </c>
      <c r="B211" s="125"/>
      <c r="C211" s="125"/>
      <c r="D211" s="125" t="s">
        <v>8</v>
      </c>
      <c r="E211" s="134" t="s">
        <v>124</v>
      </c>
      <c r="F211" s="95"/>
    </row>
    <row r="212" spans="1:6" outlineLevel="2" x14ac:dyDescent="0.25">
      <c r="A212" s="133">
        <v>3562</v>
      </c>
      <c r="B212" s="125"/>
      <c r="C212" s="125"/>
      <c r="D212" s="125" t="s">
        <v>8</v>
      </c>
      <c r="E212" s="134" t="s">
        <v>125</v>
      </c>
      <c r="F212" s="95"/>
    </row>
    <row r="213" spans="1:6" outlineLevel="2" x14ac:dyDescent="0.25">
      <c r="A213" s="135">
        <v>3565</v>
      </c>
      <c r="B213" s="125"/>
      <c r="C213" s="136"/>
      <c r="D213" s="125" t="s">
        <v>27</v>
      </c>
      <c r="E213" s="136" t="s">
        <v>185</v>
      </c>
      <c r="F213" s="95"/>
    </row>
    <row r="214" spans="1:6" outlineLevel="2" x14ac:dyDescent="0.25">
      <c r="A214" s="135">
        <v>3566</v>
      </c>
      <c r="B214" s="125"/>
      <c r="C214" s="136"/>
      <c r="D214" s="125" t="s">
        <v>189</v>
      </c>
      <c r="E214" s="136" t="s">
        <v>126</v>
      </c>
      <c r="F214" s="95"/>
    </row>
    <row r="215" spans="1:6" ht="14.25" customHeight="1" outlineLevel="2" x14ac:dyDescent="0.25">
      <c r="A215" s="133">
        <v>3606</v>
      </c>
      <c r="B215" s="125"/>
      <c r="C215" s="125"/>
      <c r="D215" s="125" t="s">
        <v>25</v>
      </c>
      <c r="E215" s="134" t="s">
        <v>127</v>
      </c>
      <c r="F215" s="95"/>
    </row>
    <row r="216" spans="1:6" ht="18" customHeight="1" outlineLevel="2" x14ac:dyDescent="0.3">
      <c r="B216" s="112"/>
      <c r="F216" s="95"/>
    </row>
    <row r="217" spans="1:6" ht="14.25" customHeight="1" outlineLevel="2" x14ac:dyDescent="0.25">
      <c r="F217" s="95"/>
    </row>
    <row r="218" spans="1:6" outlineLevel="2" x14ac:dyDescent="0.25">
      <c r="F218" s="95"/>
    </row>
    <row r="219" spans="1:6" outlineLevel="2" x14ac:dyDescent="0.25">
      <c r="F219" s="95"/>
    </row>
    <row r="220" spans="1:6" outlineLevel="2" x14ac:dyDescent="0.25">
      <c r="F220" s="95"/>
    </row>
    <row r="221" spans="1:6" ht="13.5" customHeight="1" outlineLevel="2" x14ac:dyDescent="0.25">
      <c r="F221" s="95"/>
    </row>
    <row r="222" spans="1:6" ht="13.5" customHeight="1" outlineLevel="2" x14ac:dyDescent="0.25">
      <c r="F222" s="95"/>
    </row>
    <row r="223" spans="1:6" outlineLevel="2" x14ac:dyDescent="0.25">
      <c r="F223" s="95"/>
    </row>
    <row r="224" spans="1:6" ht="13" outlineLevel="2" x14ac:dyDescent="0.3">
      <c r="B224" s="112"/>
      <c r="F224" s="95"/>
    </row>
    <row r="225" spans="6:7" outlineLevel="2" x14ac:dyDescent="0.25">
      <c r="F225" s="95"/>
    </row>
    <row r="226" spans="6:7" outlineLevel="2" x14ac:dyDescent="0.25">
      <c r="F226" s="95"/>
    </row>
    <row r="227" spans="6:7" outlineLevel="2" x14ac:dyDescent="0.25">
      <c r="F227" s="95"/>
    </row>
    <row r="228" spans="6:7" outlineLevel="2" x14ac:dyDescent="0.25">
      <c r="F228" s="95"/>
    </row>
    <row r="229" spans="6:7" outlineLevel="2" x14ac:dyDescent="0.25">
      <c r="F229" s="95"/>
    </row>
    <row r="230" spans="6:7" outlineLevel="2" x14ac:dyDescent="0.25">
      <c r="F230" s="95"/>
    </row>
    <row r="231" spans="6:7" outlineLevel="2" x14ac:dyDescent="0.25">
      <c r="F231" s="95"/>
    </row>
    <row r="232" spans="6:7" outlineLevel="2" x14ac:dyDescent="0.25">
      <c r="F232" s="95"/>
    </row>
    <row r="233" spans="6:7" outlineLevel="2" x14ac:dyDescent="0.25">
      <c r="F233" s="95"/>
    </row>
    <row r="234" spans="6:7" outlineLevel="2" x14ac:dyDescent="0.25">
      <c r="F234" s="95"/>
    </row>
    <row r="235" spans="6:7" outlineLevel="2" x14ac:dyDescent="0.25">
      <c r="F235" s="95"/>
    </row>
    <row r="236" spans="6:7" outlineLevel="2" x14ac:dyDescent="0.25">
      <c r="F236" s="95"/>
    </row>
    <row r="237" spans="6:7" outlineLevel="2" x14ac:dyDescent="0.25">
      <c r="F237" s="95"/>
    </row>
    <row r="238" spans="6:7" outlineLevel="2" x14ac:dyDescent="0.25">
      <c r="G238" s="99"/>
    </row>
    <row r="239" spans="6:7" outlineLevel="2" x14ac:dyDescent="0.25">
      <c r="G239" s="99"/>
    </row>
    <row r="240" spans="6:7" outlineLevel="2" x14ac:dyDescent="0.25">
      <c r="G240" s="99"/>
    </row>
    <row r="241" spans="6:7" outlineLevel="2" x14ac:dyDescent="0.25">
      <c r="G241" s="99"/>
    </row>
    <row r="242" spans="6:7" outlineLevel="2" x14ac:dyDescent="0.25">
      <c r="G242" s="99"/>
    </row>
    <row r="243" spans="6:7" outlineLevel="2" x14ac:dyDescent="0.25">
      <c r="G243" s="99"/>
    </row>
    <row r="244" spans="6:7" outlineLevel="1" x14ac:dyDescent="0.25">
      <c r="G244" s="99"/>
    </row>
    <row r="245" spans="6:7" ht="18.75" customHeight="1" outlineLevel="2" x14ac:dyDescent="0.25">
      <c r="F245" s="95"/>
    </row>
    <row r="246" spans="6:7" ht="18.75" customHeight="1" outlineLevel="2" x14ac:dyDescent="0.25">
      <c r="F246" s="95"/>
    </row>
    <row r="247" spans="6:7" ht="21" customHeight="1" outlineLevel="2" x14ac:dyDescent="0.25">
      <c r="F247" s="95"/>
    </row>
    <row r="248" spans="6:7" ht="21.75" customHeight="1" outlineLevel="2" x14ac:dyDescent="0.25">
      <c r="F248" s="95"/>
    </row>
    <row r="249" spans="6:7" ht="18.75" customHeight="1" outlineLevel="2" x14ac:dyDescent="0.25">
      <c r="F249" s="95"/>
    </row>
    <row r="250" spans="6:7" ht="18.75" customHeight="1" outlineLevel="2" x14ac:dyDescent="0.25">
      <c r="F250" s="95"/>
    </row>
    <row r="251" spans="6:7" ht="18.75" customHeight="1" outlineLevel="2" x14ac:dyDescent="0.25">
      <c r="F251" s="95"/>
    </row>
    <row r="252" spans="6:7" ht="18.75" customHeight="1" outlineLevel="2" x14ac:dyDescent="0.25">
      <c r="F252" s="95"/>
    </row>
    <row r="253" spans="6:7" ht="18.75" customHeight="1" outlineLevel="2" x14ac:dyDescent="0.25">
      <c r="F253" s="95"/>
    </row>
    <row r="254" spans="6:7" ht="18.75" customHeight="1" outlineLevel="2" x14ac:dyDescent="0.25">
      <c r="F254" s="95"/>
    </row>
    <row r="255" spans="6:7" outlineLevel="2" x14ac:dyDescent="0.25">
      <c r="F255" s="95"/>
    </row>
    <row r="256" spans="6:7" outlineLevel="2" x14ac:dyDescent="0.25">
      <c r="F256" s="95"/>
    </row>
    <row r="257" spans="6:7" outlineLevel="2" x14ac:dyDescent="0.25">
      <c r="F257" s="95"/>
    </row>
    <row r="258" spans="6:7" outlineLevel="2" x14ac:dyDescent="0.25">
      <c r="F258" s="95"/>
    </row>
    <row r="259" spans="6:7" ht="18.75" customHeight="1" outlineLevel="2" x14ac:dyDescent="0.25">
      <c r="F259" s="95"/>
    </row>
    <row r="260" spans="6:7" outlineLevel="2" x14ac:dyDescent="0.25">
      <c r="F260" s="95"/>
    </row>
    <row r="261" spans="6:7" outlineLevel="2" x14ac:dyDescent="0.25">
      <c r="F261" s="95"/>
    </row>
    <row r="262" spans="6:7" outlineLevel="2" x14ac:dyDescent="0.25">
      <c r="F262" s="95"/>
    </row>
    <row r="263" spans="6:7" outlineLevel="2" x14ac:dyDescent="0.25">
      <c r="F263" s="95"/>
    </row>
    <row r="264" spans="6:7" outlineLevel="2" x14ac:dyDescent="0.25">
      <c r="F264" s="95"/>
    </row>
    <row r="265" spans="6:7" outlineLevel="2" x14ac:dyDescent="0.25">
      <c r="F265" s="95"/>
    </row>
    <row r="266" spans="6:7" outlineLevel="2" x14ac:dyDescent="0.25">
      <c r="F266" s="95"/>
    </row>
    <row r="267" spans="6:7" outlineLevel="2" x14ac:dyDescent="0.25">
      <c r="F267" s="95"/>
    </row>
    <row r="268" spans="6:7" outlineLevel="2" x14ac:dyDescent="0.25">
      <c r="F268" s="95"/>
    </row>
    <row r="269" spans="6:7" outlineLevel="2" x14ac:dyDescent="0.25">
      <c r="F269" s="95"/>
    </row>
    <row r="270" spans="6:7" outlineLevel="2" x14ac:dyDescent="0.25">
      <c r="F270" s="95"/>
    </row>
    <row r="271" spans="6:7" outlineLevel="2" x14ac:dyDescent="0.25">
      <c r="G271" s="99"/>
    </row>
    <row r="272" spans="6:7" outlineLevel="2" x14ac:dyDescent="0.25">
      <c r="G272" s="99"/>
    </row>
    <row r="273" spans="6:9" outlineLevel="2" x14ac:dyDescent="0.25">
      <c r="F273" s="95"/>
    </row>
    <row r="274" spans="6:9" outlineLevel="2" x14ac:dyDescent="0.25">
      <c r="F274" s="100"/>
      <c r="G274" s="101"/>
      <c r="H274" s="100"/>
      <c r="I274" s="110"/>
    </row>
    <row r="275" spans="6:9" outlineLevel="1" x14ac:dyDescent="0.25">
      <c r="F275" s="100"/>
      <c r="G275" s="101"/>
      <c r="H275" s="100"/>
      <c r="I275" s="110"/>
    </row>
    <row r="276" spans="6:9" ht="18.75" customHeight="1" outlineLevel="2" x14ac:dyDescent="0.25">
      <c r="F276" s="95"/>
    </row>
    <row r="277" spans="6:9" outlineLevel="2" x14ac:dyDescent="0.25">
      <c r="F277" s="95"/>
    </row>
    <row r="278" spans="6:9" outlineLevel="2" x14ac:dyDescent="0.25">
      <c r="F278" s="95"/>
    </row>
    <row r="279" spans="6:9" outlineLevel="2" x14ac:dyDescent="0.25">
      <c r="F279" s="95"/>
    </row>
    <row r="280" spans="6:9" outlineLevel="2" x14ac:dyDescent="0.25">
      <c r="F280" s="95"/>
    </row>
    <row r="281" spans="6:9" outlineLevel="2" x14ac:dyDescent="0.25">
      <c r="F281" s="95"/>
    </row>
    <row r="282" spans="6:9" outlineLevel="2" x14ac:dyDescent="0.25">
      <c r="F282" s="95"/>
    </row>
    <row r="283" spans="6:9" outlineLevel="2" x14ac:dyDescent="0.25">
      <c r="F283" s="95"/>
    </row>
    <row r="284" spans="6:9" outlineLevel="2" x14ac:dyDescent="0.25">
      <c r="F284" s="95"/>
    </row>
    <row r="285" spans="6:9" ht="18.75" customHeight="1" outlineLevel="2" x14ac:dyDescent="0.25">
      <c r="F285" s="95"/>
    </row>
    <row r="286" spans="6:9" outlineLevel="2" x14ac:dyDescent="0.25">
      <c r="F286" s="95"/>
    </row>
    <row r="287" spans="6:9" outlineLevel="2" x14ac:dyDescent="0.25">
      <c r="F287" s="95"/>
    </row>
    <row r="288" spans="6:9" outlineLevel="2" x14ac:dyDescent="0.25">
      <c r="F288" s="95"/>
    </row>
    <row r="289" spans="6:7" outlineLevel="2" x14ac:dyDescent="0.25">
      <c r="F289" s="95"/>
    </row>
    <row r="290" spans="6:7" outlineLevel="2" x14ac:dyDescent="0.25"/>
    <row r="291" spans="6:7" outlineLevel="2" x14ac:dyDescent="0.25">
      <c r="F291" s="95"/>
    </row>
    <row r="292" spans="6:7" outlineLevel="2" x14ac:dyDescent="0.25">
      <c r="F292" s="95"/>
    </row>
    <row r="293" spans="6:7" outlineLevel="2" x14ac:dyDescent="0.25">
      <c r="F293" s="95"/>
    </row>
    <row r="294" spans="6:7" outlineLevel="2" x14ac:dyDescent="0.25">
      <c r="G294" s="99"/>
    </row>
    <row r="295" spans="6:7" outlineLevel="2" x14ac:dyDescent="0.25">
      <c r="G295" s="99"/>
    </row>
    <row r="296" spans="6:7" outlineLevel="2" x14ac:dyDescent="0.25">
      <c r="F296" s="95"/>
    </row>
    <row r="297" spans="6:7" outlineLevel="1" x14ac:dyDescent="0.25">
      <c r="F297" s="95"/>
    </row>
    <row r="298" spans="6:7" outlineLevel="1" x14ac:dyDescent="0.25"/>
    <row r="299" spans="6:7" outlineLevel="1" x14ac:dyDescent="0.25"/>
    <row r="300" spans="6:7" outlineLevel="1" x14ac:dyDescent="0.25"/>
    <row r="301" spans="6:7" outlineLevel="1" x14ac:dyDescent="0.25"/>
    <row r="302" spans="6:7" outlineLevel="1" x14ac:dyDescent="0.25"/>
    <row r="303" spans="6:7" outlineLevel="1" x14ac:dyDescent="0.25"/>
    <row r="304" spans="6:7" outlineLevel="1" x14ac:dyDescent="0.25"/>
    <row r="305" spans="7:7" ht="13" outlineLevel="1" x14ac:dyDescent="0.3">
      <c r="G305" s="92"/>
    </row>
  </sheetData>
  <mergeCells count="7">
    <mergeCell ref="A1:E1"/>
    <mergeCell ref="A166:E166"/>
    <mergeCell ref="A193:E193"/>
    <mergeCell ref="A3:E3"/>
    <mergeCell ref="A125:E125"/>
    <mergeCell ref="A23:E23"/>
    <mergeCell ref="A45:E45"/>
  </mergeCells>
  <pageMargins left="0.75" right="0.75" top="1" bottom="1" header="0.5" footer="0.5"/>
  <pageSetup paperSize="9" orientation="portrait" r:id="rId1"/>
  <headerFooter alignWithMargins="0"/>
  <rowBreaks count="1" manualBreakCount="1">
    <brk id="29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3" zoomScale="60" workbookViewId="0">
      <selection activeCell="G10" sqref="G10"/>
    </sheetView>
  </sheetViews>
  <sheetFormatPr defaultRowHeight="12.5" x14ac:dyDescent="0.25"/>
  <cols>
    <col min="1" max="1" width="24" customWidth="1"/>
    <col min="2" max="2" width="40.26953125" customWidth="1"/>
    <col min="3" max="3" width="19.26953125" customWidth="1"/>
    <col min="4" max="4" width="18.7265625" customWidth="1"/>
    <col min="5" max="5" width="15.1796875" customWidth="1"/>
    <col min="6" max="6" width="2.7265625" customWidth="1"/>
    <col min="7" max="7" width="17.1796875" customWidth="1"/>
    <col min="8" max="8" width="14.54296875" customWidth="1"/>
  </cols>
  <sheetData>
    <row r="1" spans="1:8" ht="13" x14ac:dyDescent="0.3">
      <c r="A1" s="1" t="s">
        <v>128</v>
      </c>
      <c r="B1" s="2"/>
      <c r="C1" s="1" t="s">
        <v>153</v>
      </c>
      <c r="D1" s="3"/>
      <c r="E1" s="5"/>
      <c r="F1" s="6"/>
      <c r="G1" s="8"/>
      <c r="H1" s="9"/>
    </row>
    <row r="2" spans="1:8" ht="13" x14ac:dyDescent="0.3">
      <c r="A2" s="10"/>
      <c r="B2" s="2"/>
      <c r="C2" s="2"/>
      <c r="D2" s="3"/>
      <c r="E2" s="3"/>
      <c r="F2" s="6"/>
      <c r="G2" s="11"/>
      <c r="H2" s="6"/>
    </row>
    <row r="3" spans="1:8" ht="15.5" x14ac:dyDescent="0.35">
      <c r="A3" s="12"/>
      <c r="B3" s="13" t="s">
        <v>129</v>
      </c>
      <c r="C3" s="14" t="s">
        <v>130</v>
      </c>
      <c r="D3" s="15"/>
      <c r="F3" s="6"/>
      <c r="G3" s="11"/>
      <c r="H3" s="6"/>
    </row>
    <row r="4" spans="1:8" ht="15.5" x14ac:dyDescent="0.35">
      <c r="A4" s="16"/>
      <c r="B4" s="13" t="s">
        <v>131</v>
      </c>
      <c r="C4" s="14" t="s">
        <v>5</v>
      </c>
      <c r="D4" s="15"/>
      <c r="F4" s="6"/>
      <c r="G4" s="11"/>
      <c r="H4" s="6"/>
    </row>
    <row r="5" spans="1:8" ht="13.5" thickBot="1" x14ac:dyDescent="0.35">
      <c r="A5" s="16"/>
      <c r="B5" s="17"/>
      <c r="C5" s="17"/>
      <c r="D5" s="3"/>
      <c r="E5" s="7"/>
      <c r="F5" s="6"/>
      <c r="G5" s="8"/>
      <c r="H5" s="9"/>
    </row>
    <row r="6" spans="1:8" ht="13" x14ac:dyDescent="0.25">
      <c r="A6" s="18"/>
      <c r="B6" s="19"/>
      <c r="C6" s="19" t="s">
        <v>132</v>
      </c>
      <c r="D6" s="20" t="s">
        <v>155</v>
      </c>
      <c r="E6" s="21"/>
      <c r="F6" s="22"/>
      <c r="G6" s="72"/>
      <c r="H6" s="73"/>
    </row>
    <row r="7" spans="1:8" ht="39" x14ac:dyDescent="0.25">
      <c r="A7" s="23" t="s">
        <v>133</v>
      </c>
      <c r="B7" s="24" t="s">
        <v>134</v>
      </c>
      <c r="C7" s="24" t="s">
        <v>135</v>
      </c>
      <c r="D7" s="25" t="s">
        <v>154</v>
      </c>
      <c r="E7" s="26" t="s">
        <v>156</v>
      </c>
      <c r="F7" s="22"/>
      <c r="G7" s="74" t="s">
        <v>159</v>
      </c>
      <c r="H7" s="75" t="s">
        <v>160</v>
      </c>
    </row>
    <row r="8" spans="1:8" ht="13.5" thickBot="1" x14ac:dyDescent="0.3">
      <c r="A8" s="27"/>
      <c r="B8" s="28"/>
      <c r="C8" s="28" t="s">
        <v>136</v>
      </c>
      <c r="D8" s="29" t="s">
        <v>137</v>
      </c>
      <c r="E8" s="30" t="s">
        <v>157</v>
      </c>
      <c r="F8" s="22"/>
      <c r="G8" s="84" t="s">
        <v>138</v>
      </c>
      <c r="H8" s="85" t="s">
        <v>161</v>
      </c>
    </row>
    <row r="9" spans="1:8" x14ac:dyDescent="0.25">
      <c r="A9" s="31"/>
      <c r="B9" s="32"/>
      <c r="C9" s="4"/>
      <c r="D9" s="33"/>
      <c r="E9" s="34"/>
      <c r="F9" s="6"/>
      <c r="G9" s="76"/>
      <c r="H9" s="77"/>
    </row>
    <row r="10" spans="1:8" ht="13" x14ac:dyDescent="0.3">
      <c r="A10" s="35" t="s">
        <v>139</v>
      </c>
      <c r="B10" s="32" t="s">
        <v>140</v>
      </c>
      <c r="C10" s="36">
        <v>113090</v>
      </c>
      <c r="D10" s="37"/>
      <c r="E10" s="39">
        <f>SUM(D10:D10)</f>
        <v>0</v>
      </c>
      <c r="F10" s="40"/>
      <c r="G10" s="78"/>
      <c r="H10" s="79"/>
    </row>
    <row r="11" spans="1:8" ht="13" x14ac:dyDescent="0.3">
      <c r="A11" s="44" t="s">
        <v>141</v>
      </c>
      <c r="B11" s="45" t="s">
        <v>142</v>
      </c>
      <c r="C11" s="36">
        <v>655312</v>
      </c>
      <c r="D11" s="37"/>
      <c r="E11" s="39">
        <f>SUM(D11:D11)</f>
        <v>0</v>
      </c>
      <c r="F11" s="43"/>
      <c r="G11" s="80"/>
      <c r="H11" s="79"/>
    </row>
    <row r="12" spans="1:8" ht="13" x14ac:dyDescent="0.3">
      <c r="A12" s="46"/>
      <c r="B12" s="47" t="s">
        <v>143</v>
      </c>
      <c r="C12" s="48">
        <f>SUM(C10:C11)</f>
        <v>768402</v>
      </c>
      <c r="D12" s="49">
        <f>SUM(D10:D11)</f>
        <v>0</v>
      </c>
      <c r="E12" s="50">
        <f>SUM(E10:E11)</f>
        <v>0</v>
      </c>
      <c r="F12" s="43"/>
      <c r="G12" s="80"/>
      <c r="H12" s="79"/>
    </row>
    <row r="13" spans="1:8" x14ac:dyDescent="0.25">
      <c r="A13" s="51" t="s">
        <v>2</v>
      </c>
      <c r="B13" s="52" t="s">
        <v>144</v>
      </c>
      <c r="C13" s="41">
        <v>355000</v>
      </c>
      <c r="D13" s="38">
        <v>521644</v>
      </c>
      <c r="E13" s="39">
        <f t="shared" ref="E13:E18" si="0">C13-D13</f>
        <v>-166644</v>
      </c>
      <c r="F13" s="43"/>
      <c r="G13" s="80"/>
      <c r="H13" s="79"/>
    </row>
    <row r="14" spans="1:8" x14ac:dyDescent="0.25">
      <c r="A14" s="51" t="s">
        <v>16</v>
      </c>
      <c r="B14" s="52" t="s">
        <v>145</v>
      </c>
      <c r="C14" s="41">
        <v>1877000</v>
      </c>
      <c r="D14" s="38">
        <v>1853900</v>
      </c>
      <c r="E14" s="39">
        <f t="shared" si="0"/>
        <v>23100</v>
      </c>
      <c r="F14" s="43"/>
      <c r="G14" s="80"/>
      <c r="H14" s="79"/>
    </row>
    <row r="15" spans="1:8" x14ac:dyDescent="0.25">
      <c r="A15" s="51" t="s">
        <v>36</v>
      </c>
      <c r="B15" s="52" t="s">
        <v>146</v>
      </c>
      <c r="C15" s="41">
        <v>1085000</v>
      </c>
      <c r="D15" s="38">
        <v>1404525</v>
      </c>
      <c r="E15" s="39">
        <f t="shared" si="0"/>
        <v>-319525</v>
      </c>
      <c r="F15" s="43"/>
      <c r="G15" s="80">
        <v>103500</v>
      </c>
      <c r="H15" s="79"/>
    </row>
    <row r="16" spans="1:8" x14ac:dyDescent="0.25">
      <c r="A16" s="51" t="s">
        <v>77</v>
      </c>
      <c r="B16" s="52" t="s">
        <v>147</v>
      </c>
      <c r="C16" s="41">
        <v>510000</v>
      </c>
      <c r="D16" s="38">
        <v>657501</v>
      </c>
      <c r="E16" s="39">
        <f t="shared" si="0"/>
        <v>-147501</v>
      </c>
      <c r="F16" s="43"/>
      <c r="G16" s="80">
        <v>150000</v>
      </c>
      <c r="H16" s="79"/>
    </row>
    <row r="17" spans="1:8" x14ac:dyDescent="0.25">
      <c r="A17" s="51" t="s">
        <v>104</v>
      </c>
      <c r="B17" s="52" t="s">
        <v>148</v>
      </c>
      <c r="C17" s="41">
        <v>1390000</v>
      </c>
      <c r="D17" s="38">
        <v>974967</v>
      </c>
      <c r="E17" s="39">
        <f t="shared" si="0"/>
        <v>415033</v>
      </c>
      <c r="F17" s="43"/>
      <c r="G17" s="80"/>
      <c r="H17" s="79"/>
    </row>
    <row r="18" spans="1:8" x14ac:dyDescent="0.25">
      <c r="A18" s="51" t="s">
        <v>116</v>
      </c>
      <c r="B18" s="52" t="s">
        <v>149</v>
      </c>
      <c r="C18" s="41">
        <v>282000</v>
      </c>
      <c r="D18" s="38">
        <v>299189</v>
      </c>
      <c r="E18" s="39">
        <f t="shared" si="0"/>
        <v>-17189</v>
      </c>
      <c r="F18" s="43"/>
      <c r="G18" s="80"/>
      <c r="H18" s="79"/>
    </row>
    <row r="19" spans="1:8" x14ac:dyDescent="0.25">
      <c r="A19" s="53"/>
      <c r="B19" s="54"/>
      <c r="C19" s="55"/>
      <c r="D19" s="38"/>
      <c r="E19" s="39">
        <f t="shared" ref="E19:E27" si="1">SUM(D19:D19)</f>
        <v>0</v>
      </c>
      <c r="F19" s="43"/>
      <c r="G19" s="80"/>
      <c r="H19" s="79"/>
    </row>
    <row r="20" spans="1:8" x14ac:dyDescent="0.25">
      <c r="A20" s="53"/>
      <c r="B20" s="54"/>
      <c r="C20" s="55"/>
      <c r="D20" s="38"/>
      <c r="E20" s="39">
        <f t="shared" si="1"/>
        <v>0</v>
      </c>
      <c r="F20" s="43"/>
      <c r="G20" s="80"/>
      <c r="H20" s="79"/>
    </row>
    <row r="21" spans="1:8" x14ac:dyDescent="0.25">
      <c r="A21" s="53"/>
      <c r="B21" s="54"/>
      <c r="C21" s="55"/>
      <c r="D21" s="38"/>
      <c r="E21" s="39">
        <f t="shared" si="1"/>
        <v>0</v>
      </c>
      <c r="F21" s="43"/>
      <c r="G21" s="80"/>
      <c r="H21" s="79"/>
    </row>
    <row r="22" spans="1:8" x14ac:dyDescent="0.25">
      <c r="A22" s="53"/>
      <c r="B22" s="54"/>
      <c r="C22" s="55"/>
      <c r="D22" s="38"/>
      <c r="E22" s="39">
        <f t="shared" si="1"/>
        <v>0</v>
      </c>
      <c r="F22" s="43"/>
      <c r="G22" s="80"/>
      <c r="H22" s="79"/>
    </row>
    <row r="23" spans="1:8" x14ac:dyDescent="0.25">
      <c r="A23" s="53"/>
      <c r="B23" s="54"/>
      <c r="C23" s="55"/>
      <c r="D23" s="38"/>
      <c r="E23" s="39">
        <f t="shared" si="1"/>
        <v>0</v>
      </c>
      <c r="F23" s="43"/>
      <c r="G23" s="80"/>
      <c r="H23" s="79"/>
    </row>
    <row r="24" spans="1:8" x14ac:dyDescent="0.25">
      <c r="A24" s="53"/>
      <c r="B24" s="54"/>
      <c r="C24" s="55"/>
      <c r="D24" s="38"/>
      <c r="E24" s="39">
        <f t="shared" si="1"/>
        <v>0</v>
      </c>
      <c r="F24" s="43"/>
      <c r="G24" s="80"/>
      <c r="H24" s="79"/>
    </row>
    <row r="25" spans="1:8" x14ac:dyDescent="0.25">
      <c r="A25" s="53"/>
      <c r="B25" s="54"/>
      <c r="C25" s="55"/>
      <c r="D25" s="38"/>
      <c r="E25" s="39">
        <f t="shared" si="1"/>
        <v>0</v>
      </c>
      <c r="F25" s="43"/>
      <c r="G25" s="80"/>
      <c r="H25" s="79"/>
    </row>
    <row r="26" spans="1:8" x14ac:dyDescent="0.25">
      <c r="A26" s="53"/>
      <c r="B26" s="54"/>
      <c r="C26" s="55"/>
      <c r="D26" s="38"/>
      <c r="E26" s="39">
        <f t="shared" si="1"/>
        <v>0</v>
      </c>
      <c r="F26" s="43"/>
      <c r="G26" s="80"/>
      <c r="H26" s="79"/>
    </row>
    <row r="27" spans="1:8" x14ac:dyDescent="0.25">
      <c r="A27" s="53"/>
      <c r="B27" s="54"/>
      <c r="C27" s="55"/>
      <c r="D27" s="38"/>
      <c r="E27" s="39">
        <f t="shared" si="1"/>
        <v>0</v>
      </c>
      <c r="F27" s="43"/>
      <c r="G27" s="80"/>
      <c r="H27" s="79"/>
    </row>
    <row r="28" spans="1:8" ht="13" x14ac:dyDescent="0.3">
      <c r="A28" s="56"/>
      <c r="B28" s="57" t="s">
        <v>150</v>
      </c>
      <c r="C28" s="58">
        <f>SUBTOTAL(9,C13:C27)</f>
        <v>5499000</v>
      </c>
      <c r="D28" s="58">
        <f>SUBTOTAL(9,D13:D27)</f>
        <v>5711726</v>
      </c>
      <c r="E28" s="59">
        <f>SUBTOTAL(9,E13:E27)</f>
        <v>-212726</v>
      </c>
      <c r="F28" s="60"/>
      <c r="G28" s="81">
        <f>SUM(G10:G27)</f>
        <v>253500</v>
      </c>
      <c r="H28" s="79">
        <f>E28+G28</f>
        <v>40774</v>
      </c>
    </row>
    <row r="29" spans="1:8" ht="13.5" thickBot="1" x14ac:dyDescent="0.35">
      <c r="A29" s="61"/>
      <c r="B29" s="62" t="s">
        <v>151</v>
      </c>
      <c r="C29" s="63">
        <f>+C28+C12</f>
        <v>6267402</v>
      </c>
      <c r="D29" s="63">
        <f>+D28+D12</f>
        <v>5711726</v>
      </c>
      <c r="E29" s="64">
        <f>+E28+E12</f>
        <v>-212726</v>
      </c>
      <c r="F29" s="65"/>
      <c r="G29" s="82"/>
      <c r="H29" s="83"/>
    </row>
    <row r="30" spans="1:8" x14ac:dyDescent="0.25">
      <c r="A30" s="16"/>
      <c r="B30" s="3"/>
      <c r="C30" s="3"/>
      <c r="D30" s="66"/>
      <c r="E30" s="67"/>
      <c r="F30" s="40"/>
      <c r="G30" s="42"/>
      <c r="H30" s="43"/>
    </row>
    <row r="31" spans="1:8" x14ac:dyDescent="0.25">
      <c r="A31" s="16"/>
      <c r="B31" s="3" t="s">
        <v>152</v>
      </c>
      <c r="C31" s="68">
        <f>+C12/C29</f>
        <v>0.12260295414272133</v>
      </c>
      <c r="D31" s="66"/>
      <c r="E31" s="67"/>
      <c r="F31" s="40"/>
      <c r="G31" s="42"/>
      <c r="H31" s="43"/>
    </row>
    <row r="32" spans="1:8" x14ac:dyDescent="0.25">
      <c r="A32" s="16"/>
      <c r="B32" s="3"/>
      <c r="C32" s="3"/>
      <c r="D32" s="66"/>
      <c r="E32" s="67"/>
      <c r="F32" s="40"/>
      <c r="G32" s="42"/>
      <c r="H32" s="43"/>
    </row>
    <row r="33" spans="1:8" ht="13" x14ac:dyDescent="0.3">
      <c r="A33" s="69"/>
      <c r="B33" s="7" t="s">
        <v>158</v>
      </c>
      <c r="C33" s="7"/>
      <c r="D33" s="3"/>
      <c r="E33" s="7"/>
      <c r="F33" s="6"/>
      <c r="G33" s="8"/>
      <c r="H33" s="9"/>
    </row>
    <row r="34" spans="1:8" ht="13" x14ac:dyDescent="0.3">
      <c r="A34" s="70"/>
      <c r="B34" s="71"/>
      <c r="C34" s="71"/>
      <c r="D34" s="3"/>
      <c r="E34" s="7"/>
      <c r="F34" s="6"/>
      <c r="G34" s="8"/>
      <c r="H34" s="9"/>
    </row>
  </sheetData>
  <pageMargins left="0.75" right="0.75" top="1" bottom="1" header="0.5" footer="0.5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Budapest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aionescu</dc:creator>
  <cp:lastModifiedBy>Carina Negreanu</cp:lastModifiedBy>
  <cp:lastPrinted>2002-04-19T11:00:45Z</cp:lastPrinted>
  <dcterms:created xsi:type="dcterms:W3CDTF">2002-04-05T14:28:04Z</dcterms:created>
  <dcterms:modified xsi:type="dcterms:W3CDTF">2020-01-27T11:14:55Z</dcterms:modified>
</cp:coreProperties>
</file>