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79051C3-932F-43CE-9B4C-2D628FE09E81}" xr6:coauthVersionLast="45" xr6:coauthVersionMax="45" xr10:uidLastSave="{00000000-0000-0000-0000-000000000000}"/>
  <bookViews>
    <workbookView xWindow="1900" yWindow="1900" windowWidth="28800" windowHeight="15460"/>
  </bookViews>
  <sheets>
    <sheet name="NEWCU" sheetId="1" r:id="rId1"/>
  </sheets>
  <definedNames>
    <definedName name="_xlnm.Print_Area" localSheetId="0">NEWCU!$A$1:$N$61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9" i="1" l="1"/>
  <c r="L9" i="1" s="1"/>
  <c r="G9" i="1"/>
  <c r="G12" i="1" s="1"/>
  <c r="L30" i="1"/>
  <c r="L39" i="1" s="1"/>
  <c r="L41" i="1" s="1"/>
  <c r="L43" i="1" s="1"/>
  <c r="L38" i="1"/>
  <c r="K30" i="1"/>
  <c r="K38" i="1"/>
  <c r="K39" i="1"/>
  <c r="K41" i="1" s="1"/>
  <c r="K43" i="1" s="1"/>
  <c r="M30" i="1"/>
  <c r="M38" i="1"/>
  <c r="M39" i="1"/>
  <c r="M41" i="1"/>
  <c r="M43" i="1"/>
  <c r="M45" i="1" s="1"/>
  <c r="N30" i="1"/>
  <c r="N38" i="1"/>
  <c r="N39" i="1"/>
  <c r="N41" i="1" s="1"/>
  <c r="N43" i="1" s="1"/>
  <c r="H30" i="1"/>
  <c r="H44" i="1" s="1"/>
  <c r="H38" i="1"/>
  <c r="H39" i="1"/>
  <c r="H41" i="1"/>
  <c r="H43" i="1" s="1"/>
  <c r="G30" i="1"/>
  <c r="G44" i="1" s="1"/>
  <c r="G38" i="1"/>
  <c r="G39" i="1"/>
  <c r="G41" i="1" s="1"/>
  <c r="G43" i="1" s="1"/>
  <c r="I30" i="1"/>
  <c r="I44" i="1" s="1"/>
  <c r="I38" i="1"/>
  <c r="J30" i="1"/>
  <c r="J44" i="1" s="1"/>
  <c r="J38" i="1"/>
  <c r="J39" i="1"/>
  <c r="J41" i="1" s="1"/>
  <c r="J43" i="1" s="1"/>
  <c r="E30" i="1"/>
  <c r="E44" i="1" s="1"/>
  <c r="E38" i="1"/>
  <c r="E39" i="1"/>
  <c r="E41" i="1"/>
  <c r="E43" i="1" s="1"/>
  <c r="D30" i="1"/>
  <c r="D38" i="1"/>
  <c r="D39" i="1"/>
  <c r="D41" i="1"/>
  <c r="D43" i="1" s="1"/>
  <c r="C30" i="1"/>
  <c r="C38" i="1"/>
  <c r="C39" i="1"/>
  <c r="C41" i="1" s="1"/>
  <c r="C43" i="1" s="1"/>
  <c r="F30" i="1"/>
  <c r="F38" i="1"/>
  <c r="F39" i="1" s="1"/>
  <c r="F41" i="1" s="1"/>
  <c r="F43" i="1" s="1"/>
  <c r="N57" i="1"/>
  <c r="M57" i="1"/>
  <c r="L57" i="1"/>
  <c r="K57" i="1"/>
  <c r="J57" i="1"/>
  <c r="I57" i="1"/>
  <c r="H57" i="1"/>
  <c r="G57" i="1"/>
  <c r="F57" i="1"/>
  <c r="E57" i="1"/>
  <c r="D57" i="1"/>
  <c r="C57" i="1"/>
  <c r="D44" i="1"/>
  <c r="C44" i="1"/>
  <c r="C19" i="1" s="1"/>
  <c r="C18" i="1"/>
  <c r="F44" i="1"/>
  <c r="K44" i="1"/>
  <c r="M44" i="1"/>
  <c r="N44" i="1"/>
  <c r="N56" i="1"/>
  <c r="M56" i="1"/>
  <c r="L56" i="1"/>
  <c r="K56" i="1"/>
  <c r="J56" i="1"/>
  <c r="I56" i="1"/>
  <c r="H56" i="1"/>
  <c r="G56" i="1"/>
  <c r="F56" i="1"/>
  <c r="E56" i="1"/>
  <c r="D56" i="1"/>
  <c r="K12" i="1"/>
  <c r="F12" i="1"/>
  <c r="F53" i="1" s="1"/>
  <c r="E12" i="1"/>
  <c r="E53" i="1" s="1"/>
  <c r="D12" i="1"/>
  <c r="D53" i="1" s="1"/>
  <c r="C12" i="1"/>
  <c r="C52" i="1" s="1"/>
  <c r="N55" i="1"/>
  <c r="M55" i="1"/>
  <c r="L55" i="1"/>
  <c r="K55" i="1"/>
  <c r="J55" i="1"/>
  <c r="I55" i="1"/>
  <c r="H55" i="1"/>
  <c r="G55" i="1"/>
  <c r="F55" i="1"/>
  <c r="E55" i="1"/>
  <c r="D55" i="1"/>
  <c r="C49" i="1"/>
  <c r="C48" i="1"/>
  <c r="N24" i="1"/>
  <c r="M24" i="1"/>
  <c r="L24" i="1"/>
  <c r="K24" i="1"/>
  <c r="J24" i="1"/>
  <c r="I24" i="1"/>
  <c r="H24" i="1"/>
  <c r="G24" i="1"/>
  <c r="F24" i="1"/>
  <c r="E24" i="1"/>
  <c r="D24" i="1"/>
  <c r="C24" i="1"/>
  <c r="K53" i="1"/>
  <c r="F52" i="1"/>
  <c r="E52" i="1"/>
  <c r="D52" i="1"/>
  <c r="N51" i="1"/>
  <c r="M51" i="1"/>
  <c r="L51" i="1"/>
  <c r="K51" i="1"/>
  <c r="J51" i="1"/>
  <c r="I51" i="1"/>
  <c r="H51" i="1"/>
  <c r="G51" i="1"/>
  <c r="F51" i="1"/>
  <c r="E51" i="1"/>
  <c r="D51" i="1"/>
  <c r="C51" i="1"/>
  <c r="N49" i="1"/>
  <c r="M49" i="1"/>
  <c r="L49" i="1"/>
  <c r="K49" i="1"/>
  <c r="J49" i="1"/>
  <c r="I49" i="1"/>
  <c r="H49" i="1"/>
  <c r="G49" i="1"/>
  <c r="F49" i="1"/>
  <c r="E49" i="1"/>
  <c r="D49" i="1"/>
  <c r="N48" i="1"/>
  <c r="M48" i="1"/>
  <c r="L48" i="1"/>
  <c r="K48" i="1"/>
  <c r="J48" i="1"/>
  <c r="I48" i="1"/>
  <c r="H48" i="1"/>
  <c r="G48" i="1"/>
  <c r="F48" i="1"/>
  <c r="E48" i="1"/>
  <c r="D48" i="1"/>
  <c r="F45" i="1" l="1"/>
  <c r="F50" i="1"/>
  <c r="E18" i="1"/>
  <c r="N45" i="1"/>
  <c r="C50" i="1"/>
  <c r="C20" i="1"/>
  <c r="C21" i="1" s="1"/>
  <c r="C22" i="1" s="1"/>
  <c r="C45" i="1"/>
  <c r="D45" i="1"/>
  <c r="D20" i="1"/>
  <c r="E20" i="1" s="1"/>
  <c r="F20" i="1" s="1"/>
  <c r="D50" i="1"/>
  <c r="D19" i="1"/>
  <c r="E19" i="1" s="1"/>
  <c r="F19" i="1" s="1"/>
  <c r="C54" i="1"/>
  <c r="J45" i="1"/>
  <c r="G50" i="1"/>
  <c r="G20" i="1"/>
  <c r="G45" i="1"/>
  <c r="G53" i="1"/>
  <c r="G52" i="1"/>
  <c r="H45" i="1"/>
  <c r="H20" i="1"/>
  <c r="E45" i="1"/>
  <c r="E50" i="1"/>
  <c r="K45" i="1"/>
  <c r="K20" i="1"/>
  <c r="L45" i="1"/>
  <c r="L20" i="1"/>
  <c r="M20" i="1" s="1"/>
  <c r="N20" i="1" s="1"/>
  <c r="M9" i="1"/>
  <c r="L12" i="1"/>
  <c r="D18" i="1"/>
  <c r="L44" i="1"/>
  <c r="I39" i="1"/>
  <c r="I41" i="1" s="1"/>
  <c r="I43" i="1" s="1"/>
  <c r="C53" i="1"/>
  <c r="H9" i="1"/>
  <c r="L52" i="1" l="1"/>
  <c r="L53" i="1"/>
  <c r="G19" i="1"/>
  <c r="H19" i="1" s="1"/>
  <c r="I19" i="1" s="1"/>
  <c r="J19" i="1" s="1"/>
  <c r="K19" i="1" s="1"/>
  <c r="L19" i="1" s="1"/>
  <c r="M19" i="1" s="1"/>
  <c r="N19" i="1" s="1"/>
  <c r="H12" i="1"/>
  <c r="I9" i="1"/>
  <c r="I45" i="1"/>
  <c r="I20" i="1"/>
  <c r="J20" i="1" s="1"/>
  <c r="E21" i="1"/>
  <c r="E22" i="1" s="1"/>
  <c r="F18" i="1"/>
  <c r="E54" i="1"/>
  <c r="D21" i="1"/>
  <c r="D22" i="1" s="1"/>
  <c r="D54" i="1"/>
  <c r="N9" i="1"/>
  <c r="N12" i="1" s="1"/>
  <c r="M12" i="1"/>
  <c r="L50" i="1"/>
  <c r="F21" i="1" l="1"/>
  <c r="F22" i="1" s="1"/>
  <c r="F54" i="1"/>
  <c r="G18" i="1"/>
  <c r="M52" i="1"/>
  <c r="M50" i="1"/>
  <c r="M53" i="1"/>
  <c r="N52" i="1"/>
  <c r="N53" i="1"/>
  <c r="N50" i="1"/>
  <c r="J9" i="1"/>
  <c r="J12" i="1" s="1"/>
  <c r="I12" i="1"/>
  <c r="H53" i="1"/>
  <c r="H52" i="1"/>
  <c r="H50" i="1"/>
  <c r="I53" i="1" l="1"/>
  <c r="I52" i="1"/>
  <c r="I50" i="1"/>
  <c r="G21" i="1"/>
  <c r="G22" i="1" s="1"/>
  <c r="G54" i="1"/>
  <c r="H18" i="1"/>
  <c r="K52" i="1"/>
  <c r="J52" i="1"/>
  <c r="J53" i="1"/>
  <c r="J50" i="1"/>
  <c r="K50" i="1"/>
  <c r="H21" i="1" l="1"/>
  <c r="H22" i="1" s="1"/>
  <c r="I18" i="1"/>
  <c r="H54" i="1"/>
  <c r="I21" i="1" l="1"/>
  <c r="I22" i="1" s="1"/>
  <c r="J18" i="1"/>
  <c r="I54" i="1"/>
  <c r="K18" i="1" l="1"/>
  <c r="J21" i="1"/>
  <c r="J22" i="1" s="1"/>
  <c r="J54" i="1"/>
  <c r="K54" i="1" l="1"/>
  <c r="K21" i="1"/>
  <c r="K22" i="1" s="1"/>
  <c r="L18" i="1"/>
  <c r="L21" i="1" l="1"/>
  <c r="L22" i="1" s="1"/>
  <c r="M18" i="1"/>
  <c r="L54" i="1"/>
  <c r="M21" i="1" l="1"/>
  <c r="M22" i="1" s="1"/>
  <c r="N18" i="1"/>
  <c r="M54" i="1"/>
  <c r="N21" i="1" l="1"/>
  <c r="N22" i="1" s="1"/>
  <c r="N54" i="1"/>
</calcChain>
</file>

<file path=xl/sharedStrings.xml><?xml version="1.0" encoding="utf-8"?>
<sst xmlns="http://schemas.openxmlformats.org/spreadsheetml/2006/main" count="69" uniqueCount="64">
  <si>
    <t>Projected Financial Statements</t>
  </si>
  <si>
    <t>Qtr 1 Yr 1</t>
  </si>
  <si>
    <t>Qtr 2 Yr 1</t>
  </si>
  <si>
    <t>Qtr 3 Yr 1</t>
  </si>
  <si>
    <t>Qtr 4 Yr 1</t>
  </si>
  <si>
    <t>Qtr 1 Yr 2</t>
  </si>
  <si>
    <t>Qtr 2 Yr 2</t>
  </si>
  <si>
    <t>Qtr 3 Yr 2</t>
  </si>
  <si>
    <t>Qtr 4 Yr 2</t>
  </si>
  <si>
    <t>Qtr 1 Yr 3</t>
  </si>
  <si>
    <t>Qtr 2 Yr 3</t>
  </si>
  <si>
    <t>Qtr 3 Yr 3</t>
  </si>
  <si>
    <t>Qtr 4 Yr 3</t>
  </si>
  <si>
    <t>Loans</t>
  </si>
  <si>
    <t>Less ALL</t>
  </si>
  <si>
    <t>Cash</t>
  </si>
  <si>
    <t>Investments</t>
  </si>
  <si>
    <t>NCUSIF Deposit</t>
  </si>
  <si>
    <t>Other Assets</t>
  </si>
  <si>
    <t>TOTAL ASSETS</t>
  </si>
  <si>
    <t>Dividends Payable</t>
  </si>
  <si>
    <t>Payables</t>
  </si>
  <si>
    <t>Shares</t>
  </si>
  <si>
    <t>Non Member Deposits</t>
  </si>
  <si>
    <t>Reserve</t>
  </si>
  <si>
    <t>TOT LIAB/CAP</t>
  </si>
  <si>
    <t>Lns/Shrs</t>
  </si>
  <si>
    <t>Loan Int</t>
  </si>
  <si>
    <t>Inv Inc</t>
  </si>
  <si>
    <t>Other</t>
  </si>
  <si>
    <t>TOT INCOME</t>
  </si>
  <si>
    <t>Salary</t>
  </si>
  <si>
    <t>Travel</t>
  </si>
  <si>
    <t>Off. Occ.</t>
  </si>
  <si>
    <t>Off. Oper.</t>
  </si>
  <si>
    <t>PLL</t>
  </si>
  <si>
    <t>Other Expenses</t>
  </si>
  <si>
    <t>TOT EXPENSE</t>
  </si>
  <si>
    <t>NET OPER INC</t>
  </si>
  <si>
    <t>Non-oper Gain/Loss</t>
  </si>
  <si>
    <t>NET INC BEFORE DIV</t>
  </si>
  <si>
    <t>Dividends</t>
  </si>
  <si>
    <t>NET INC</t>
  </si>
  <si>
    <t>Res Xfr</t>
  </si>
  <si>
    <t>NET AFTER XFR</t>
  </si>
  <si>
    <t>Ratios</t>
  </si>
  <si>
    <t>Return on Loans</t>
  </si>
  <si>
    <t>Return on Investments</t>
  </si>
  <si>
    <t>Net Income (before tsf)</t>
  </si>
  <si>
    <t>Dividend Rate</t>
  </si>
  <si>
    <t>Cost of Funds</t>
  </si>
  <si>
    <t>PAS</t>
  </si>
  <si>
    <t>NOTES:</t>
  </si>
  <si>
    <t>Fixed Assets</t>
  </si>
  <si>
    <t xml:space="preserve"> -</t>
  </si>
  <si>
    <t>Undivided Earnings</t>
  </si>
  <si>
    <t>Net Income\Loss</t>
  </si>
  <si>
    <t>Share Growth</t>
  </si>
  <si>
    <t>Net Worth</t>
  </si>
  <si>
    <t>Member Growth</t>
  </si>
  <si>
    <t>Members</t>
  </si>
  <si>
    <t>Avg. Share Balance</t>
  </si>
  <si>
    <t xml:space="preserve"> Proposed FCU</t>
  </si>
  <si>
    <t>Record underlying assumptions for financial projections in this sections.  Projections should be compiled through such time a Net Worth of 6% is achieved.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</si>
</sst>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&quot;$&quot;#,##0"/>
  </numFmts>
  <fonts count="11">
    <font>
      <sz val="10"/>
      <name val="MS Sans Serif"/>
    </font>
    <font>
      <sz val="10"/>
      <name val="MS Sans Serif"/>
    </font>
    <font>
      <sz val="10"/>
      <name val="CG Times (WN)"/>
    </font>
    <font>
      <b/>
      <sz val="11"/>
      <name val="CG Times (WN)"/>
    </font>
    <font>
      <sz val="11"/>
      <name val="CG Times (WN)"/>
    </font>
    <font>
      <b/>
      <u/>
      <sz val="10"/>
      <name val="CG Times (WN)"/>
    </font>
    <font>
      <b/>
      <sz val="12"/>
      <name val="CG Times (WN)"/>
    </font>
    <font>
      <sz val="12"/>
      <name val="CG Times (WN)"/>
    </font>
    <font>
      <b/>
      <sz val="8"/>
      <color indexed="10"/>
      <name val="Arial"/>
      <family val="2"/>
    </font>
    <font>
      <b/>
      <sz val="10"/>
      <name val="CG Times (WN)"/>
    </font>
    <font>
      <b/>
      <i/>
      <sz val="10"/>
      <name val="CG Times (WN)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38" fontId="2" fillId="0" borderId="0" xfId="1" applyNumberFormat="1" applyFont="1"/>
    <xf numFmtId="10" fontId="2" fillId="0" borderId="0" xfId="2" applyNumberFormat="1" applyFont="1"/>
    <xf numFmtId="38" fontId="2" fillId="0" borderId="1" xfId="1" applyNumberFormat="1" applyFont="1" applyBorder="1"/>
    <xf numFmtId="38" fontId="2" fillId="0" borderId="2" xfId="1" applyNumberFormat="1" applyFont="1" applyBorder="1"/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2" fillId="0" borderId="0" xfId="0" applyFont="1" applyAlignment="1">
      <alignment horizontal="center"/>
    </xf>
    <xf numFmtId="38" fontId="2" fillId="0" borderId="0" xfId="0" applyNumberFormat="1" applyFont="1"/>
    <xf numFmtId="38" fontId="2" fillId="0" borderId="1" xfId="0" applyNumberFormat="1" applyFont="1" applyBorder="1"/>
    <xf numFmtId="38" fontId="2" fillId="0" borderId="2" xfId="0" applyNumberFormat="1" applyFont="1" applyBorder="1"/>
    <xf numFmtId="0" fontId="2" fillId="0" borderId="0" xfId="0" applyFont="1" applyAlignment="1">
      <alignment horizontal="centerContinuous"/>
    </xf>
    <xf numFmtId="38" fontId="2" fillId="2" borderId="0" xfId="1" applyNumberFormat="1" applyFont="1" applyFill="1" applyBorder="1"/>
    <xf numFmtId="38" fontId="2" fillId="2" borderId="0" xfId="1" applyNumberFormat="1" applyFont="1" applyFill="1"/>
    <xf numFmtId="38" fontId="2" fillId="2" borderId="1" xfId="1" applyNumberFormat="1" applyFont="1" applyFill="1" applyBorder="1"/>
    <xf numFmtId="38" fontId="2" fillId="2" borderId="3" xfId="1" applyNumberFormat="1" applyFont="1" applyFill="1" applyBorder="1"/>
    <xf numFmtId="38" fontId="2" fillId="3" borderId="4" xfId="1" applyNumberFormat="1" applyFont="1" applyFill="1" applyBorder="1"/>
    <xf numFmtId="38" fontId="2" fillId="3" borderId="5" xfId="1" applyNumberFormat="1" applyFont="1" applyFill="1" applyBorder="1"/>
    <xf numFmtId="38" fontId="2" fillId="3" borderId="6" xfId="1" applyNumberFormat="1" applyFont="1" applyFill="1" applyBorder="1"/>
    <xf numFmtId="0" fontId="5" fillId="0" borderId="0" xfId="0" applyFont="1"/>
    <xf numFmtId="38" fontId="2" fillId="0" borderId="0" xfId="1" applyNumberFormat="1" applyFont="1" applyFill="1" applyBorder="1" applyAlignment="1">
      <alignment horizontal="center"/>
    </xf>
    <xf numFmtId="0" fontId="6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6" fillId="0" borderId="2" xfId="0" applyFont="1" applyBorder="1" applyAlignment="1">
      <alignment horizontal="centerContinuous"/>
    </xf>
    <xf numFmtId="0" fontId="7" fillId="0" borderId="2" xfId="0" applyFont="1" applyBorder="1" applyAlignment="1">
      <alignment horizontal="centerContinuous"/>
    </xf>
    <xf numFmtId="10" fontId="2" fillId="0" borderId="0" xfId="2" applyNumberFormat="1" applyFont="1" applyAlignment="1">
      <alignment horizontal="center"/>
    </xf>
    <xf numFmtId="0" fontId="8" fillId="0" borderId="0" xfId="0" applyFont="1" applyAlignment="1">
      <alignment horizontal="center"/>
    </xf>
    <xf numFmtId="38" fontId="8" fillId="0" borderId="0" xfId="1" applyNumberFormat="1" applyFont="1" applyAlignment="1">
      <alignment horizontal="center"/>
    </xf>
    <xf numFmtId="10" fontId="2" fillId="2" borderId="7" xfId="2" applyNumberFormat="1" applyFont="1" applyFill="1" applyBorder="1"/>
    <xf numFmtId="3" fontId="2" fillId="0" borderId="0" xfId="2" applyNumberFormat="1" applyFont="1" applyBorder="1" applyAlignment="1">
      <alignment horizontal="center"/>
    </xf>
    <xf numFmtId="0" fontId="6" fillId="0" borderId="0" xfId="0" applyFont="1" applyBorder="1" applyAlignment="1">
      <alignment horizontal="centerContinuous"/>
    </xf>
    <xf numFmtId="0" fontId="9" fillId="0" borderId="0" xfId="0" applyFont="1" applyAlignment="1">
      <alignment horizontal="center"/>
    </xf>
    <xf numFmtId="0" fontId="9" fillId="0" borderId="0" xfId="0" applyFont="1"/>
    <xf numFmtId="14" fontId="9" fillId="0" borderId="1" xfId="0" applyNumberFormat="1" applyFont="1" applyBorder="1"/>
    <xf numFmtId="0" fontId="9" fillId="0" borderId="7" xfId="0" applyFont="1" applyBorder="1"/>
    <xf numFmtId="0" fontId="9" fillId="0" borderId="0" xfId="0" applyFont="1" applyBorder="1"/>
    <xf numFmtId="0" fontId="9" fillId="0" borderId="0" xfId="0" applyFont="1" applyAlignment="1">
      <alignment wrapText="1"/>
    </xf>
    <xf numFmtId="174" fontId="2" fillId="0" borderId="0" xfId="2" applyNumberFormat="1" applyFont="1"/>
    <xf numFmtId="0" fontId="10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8"/>
  <sheetViews>
    <sheetView tabSelected="1" workbookViewId="0">
      <pane xSplit="2" ySplit="4" topLeftCell="C36" activePane="bottomRight" state="frozen"/>
      <selection pane="topRight" activeCell="C1" sqref="C1"/>
      <selection pane="bottomLeft" activeCell="A5" sqref="A5"/>
      <selection pane="bottomRight" activeCell="B60" sqref="B60"/>
    </sheetView>
  </sheetViews>
  <sheetFormatPr defaultColWidth="9.1796875" defaultRowHeight="13"/>
  <cols>
    <col min="1" max="1" width="5.453125" style="8" customWidth="1"/>
    <col min="2" max="2" width="18.453125" style="1" customWidth="1"/>
    <col min="3" max="16384" width="9.1796875" style="1"/>
  </cols>
  <sheetData>
    <row r="1" spans="1:14" ht="15.5">
      <c r="B1" s="22" t="s">
        <v>62</v>
      </c>
      <c r="C1" s="6"/>
      <c r="D1" s="6"/>
      <c r="E1" s="6"/>
      <c r="F1" s="22"/>
      <c r="G1" s="22"/>
      <c r="H1" s="22"/>
      <c r="I1" s="23"/>
      <c r="J1" s="12"/>
      <c r="K1" s="12"/>
      <c r="L1" s="12"/>
      <c r="M1" s="12"/>
      <c r="N1" s="12"/>
    </row>
    <row r="2" spans="1:14" ht="16" thickBot="1">
      <c r="B2" s="31" t="s">
        <v>0</v>
      </c>
      <c r="C2" s="7"/>
      <c r="D2" s="7"/>
      <c r="E2" s="6"/>
      <c r="F2" s="24"/>
      <c r="G2" s="24"/>
      <c r="H2" s="24"/>
      <c r="I2" s="25"/>
      <c r="J2" s="12"/>
      <c r="K2" s="12"/>
      <c r="L2" s="12"/>
      <c r="M2" s="12"/>
      <c r="N2" s="12"/>
    </row>
    <row r="3" spans="1:14" ht="5.25" customHeight="1"/>
    <row r="4" spans="1:14" s="33" customFormat="1">
      <c r="A4" s="32"/>
      <c r="C4" s="34" t="s">
        <v>1</v>
      </c>
      <c r="D4" s="34" t="s">
        <v>2</v>
      </c>
      <c r="E4" s="34" t="s">
        <v>3</v>
      </c>
      <c r="F4" s="34" t="s">
        <v>4</v>
      </c>
      <c r="G4" s="34" t="s">
        <v>5</v>
      </c>
      <c r="H4" s="34" t="s">
        <v>6</v>
      </c>
      <c r="I4" s="34" t="s">
        <v>7</v>
      </c>
      <c r="J4" s="34" t="s">
        <v>8</v>
      </c>
      <c r="K4" s="34" t="s">
        <v>9</v>
      </c>
      <c r="L4" s="34" t="s">
        <v>10</v>
      </c>
      <c r="M4" s="34" t="s">
        <v>11</v>
      </c>
      <c r="N4" s="34" t="s">
        <v>12</v>
      </c>
    </row>
    <row r="5" spans="1:14">
      <c r="B5" s="33" t="s">
        <v>13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</row>
    <row r="6" spans="1:14">
      <c r="B6" s="33" t="s">
        <v>14</v>
      </c>
      <c r="C6" s="17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9">
        <v>0</v>
      </c>
    </row>
    <row r="7" spans="1:14">
      <c r="B7" s="33" t="s">
        <v>15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</row>
    <row r="8" spans="1:14">
      <c r="B8" s="33" t="s">
        <v>16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spans="1:14">
      <c r="B9" s="33" t="s">
        <v>17</v>
      </c>
      <c r="C9" s="21" t="s">
        <v>54</v>
      </c>
      <c r="D9" s="21" t="s">
        <v>54</v>
      </c>
      <c r="E9" s="21" t="s">
        <v>54</v>
      </c>
      <c r="F9" s="21" t="s">
        <v>54</v>
      </c>
      <c r="G9" s="13">
        <f>0.01*(G16+G17)</f>
        <v>0</v>
      </c>
      <c r="H9" s="13">
        <f>G9</f>
        <v>0</v>
      </c>
      <c r="I9" s="13">
        <f>H9</f>
        <v>0</v>
      </c>
      <c r="J9" s="13">
        <f>I9</f>
        <v>0</v>
      </c>
      <c r="K9" s="13">
        <f>0.01*(K16+K17)</f>
        <v>0</v>
      </c>
      <c r="L9" s="13">
        <f>K9</f>
        <v>0</v>
      </c>
      <c r="M9" s="13">
        <f>L9</f>
        <v>0</v>
      </c>
      <c r="N9" s="13">
        <f>M9</f>
        <v>0</v>
      </c>
    </row>
    <row r="10" spans="1:14">
      <c r="B10" s="33" t="s">
        <v>53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spans="1:14">
      <c r="B11" s="33" t="s">
        <v>18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</row>
    <row r="12" spans="1:14">
      <c r="B12" s="33" t="s">
        <v>19</v>
      </c>
      <c r="C12" s="14">
        <f>SUM(C5:C11)</f>
        <v>0</v>
      </c>
      <c r="D12" s="14">
        <f t="shared" ref="D12:N12" si="0">SUM(D5:D11)</f>
        <v>0</v>
      </c>
      <c r="E12" s="14">
        <f t="shared" si="0"/>
        <v>0</v>
      </c>
      <c r="F12" s="14">
        <f t="shared" si="0"/>
        <v>0</v>
      </c>
      <c r="G12" s="14">
        <f t="shared" si="0"/>
        <v>0</v>
      </c>
      <c r="H12" s="14">
        <f t="shared" si="0"/>
        <v>0</v>
      </c>
      <c r="I12" s="14">
        <f t="shared" si="0"/>
        <v>0</v>
      </c>
      <c r="J12" s="14">
        <f t="shared" si="0"/>
        <v>0</v>
      </c>
      <c r="K12" s="14">
        <f t="shared" si="0"/>
        <v>0</v>
      </c>
      <c r="L12" s="14">
        <f t="shared" si="0"/>
        <v>0</v>
      </c>
      <c r="M12" s="14">
        <f t="shared" si="0"/>
        <v>0</v>
      </c>
      <c r="N12" s="14">
        <f t="shared" si="0"/>
        <v>0</v>
      </c>
    </row>
    <row r="13" spans="1:14" ht="7.5" customHeight="1">
      <c r="B13" s="33"/>
      <c r="C13" s="2"/>
      <c r="D13" s="2"/>
      <c r="E13" s="2"/>
      <c r="F13" s="2"/>
      <c r="G13" s="2"/>
      <c r="H13" s="2"/>
      <c r="I13" s="2"/>
    </row>
    <row r="14" spans="1:14">
      <c r="B14" s="33" t="s">
        <v>20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spans="1:14">
      <c r="B15" s="33" t="s">
        <v>21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</row>
    <row r="16" spans="1:14">
      <c r="B16" s="33" t="s">
        <v>22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</row>
    <row r="17" spans="2:14">
      <c r="B17" s="33" t="s">
        <v>23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</row>
    <row r="18" spans="2:14">
      <c r="B18" s="33" t="s">
        <v>24</v>
      </c>
      <c r="C18" s="14">
        <f>C44</f>
        <v>0</v>
      </c>
      <c r="D18" s="14">
        <f>D44+C18</f>
        <v>0</v>
      </c>
      <c r="E18" s="14">
        <f t="shared" ref="E18:N18" si="1">E44+D18</f>
        <v>0</v>
      </c>
      <c r="F18" s="14">
        <f t="shared" si="1"/>
        <v>0</v>
      </c>
      <c r="G18" s="14">
        <f t="shared" si="1"/>
        <v>0</v>
      </c>
      <c r="H18" s="14">
        <f t="shared" si="1"/>
        <v>0</v>
      </c>
      <c r="I18" s="14">
        <f t="shared" si="1"/>
        <v>0</v>
      </c>
      <c r="J18" s="14">
        <f t="shared" si="1"/>
        <v>0</v>
      </c>
      <c r="K18" s="14">
        <f t="shared" si="1"/>
        <v>0</v>
      </c>
      <c r="L18" s="14">
        <f t="shared" si="1"/>
        <v>0</v>
      </c>
      <c r="M18" s="14">
        <f t="shared" si="1"/>
        <v>0</v>
      </c>
      <c r="N18" s="14">
        <f t="shared" si="1"/>
        <v>0</v>
      </c>
    </row>
    <row r="19" spans="2:14">
      <c r="B19" s="33" t="s">
        <v>55</v>
      </c>
      <c r="C19" s="14">
        <f>0-C44</f>
        <v>0</v>
      </c>
      <c r="D19" s="14">
        <f>C19-D44</f>
        <v>0</v>
      </c>
      <c r="E19" s="14">
        <f t="shared" ref="E19:N19" si="2">D19-E44</f>
        <v>0</v>
      </c>
      <c r="F19" s="14">
        <f t="shared" si="2"/>
        <v>0</v>
      </c>
      <c r="G19" s="14">
        <f>F19-G44+F20</f>
        <v>0</v>
      </c>
      <c r="H19" s="14">
        <f t="shared" si="2"/>
        <v>0</v>
      </c>
      <c r="I19" s="14">
        <f t="shared" si="2"/>
        <v>0</v>
      </c>
      <c r="J19" s="14">
        <f t="shared" si="2"/>
        <v>0</v>
      </c>
      <c r="K19" s="14">
        <f>J19-K44+J20</f>
        <v>0</v>
      </c>
      <c r="L19" s="14">
        <f t="shared" si="2"/>
        <v>0</v>
      </c>
      <c r="M19" s="14">
        <f t="shared" si="2"/>
        <v>0</v>
      </c>
      <c r="N19" s="14">
        <f t="shared" si="2"/>
        <v>0</v>
      </c>
    </row>
    <row r="20" spans="2:14">
      <c r="B20" s="33" t="s">
        <v>56</v>
      </c>
      <c r="C20" s="15">
        <f>C43</f>
        <v>0</v>
      </c>
      <c r="D20" s="15">
        <f>D43+C20</f>
        <v>0</v>
      </c>
      <c r="E20" s="15">
        <f>E43+D20</f>
        <v>0</v>
      </c>
      <c r="F20" s="15">
        <f>F43+E20</f>
        <v>0</v>
      </c>
      <c r="G20" s="15">
        <f>G43</f>
        <v>0</v>
      </c>
      <c r="H20" s="15">
        <f>H43+G20</f>
        <v>0</v>
      </c>
      <c r="I20" s="15">
        <f>I43+H20</f>
        <v>0</v>
      </c>
      <c r="J20" s="15">
        <f>J43+I20</f>
        <v>0</v>
      </c>
      <c r="K20" s="15">
        <f>K43</f>
        <v>0</v>
      </c>
      <c r="L20" s="15">
        <f>L43+K20</f>
        <v>0</v>
      </c>
      <c r="M20" s="15">
        <f>M43+L20</f>
        <v>0</v>
      </c>
      <c r="N20" s="15">
        <f>N43+M20</f>
        <v>0</v>
      </c>
    </row>
    <row r="21" spans="2:14">
      <c r="B21" s="33" t="s">
        <v>25</v>
      </c>
      <c r="C21" s="14">
        <f t="shared" ref="C21:N21" si="3">SUM(C14:C20)</f>
        <v>0</v>
      </c>
      <c r="D21" s="14">
        <f t="shared" si="3"/>
        <v>0</v>
      </c>
      <c r="E21" s="14">
        <f t="shared" si="3"/>
        <v>0</v>
      </c>
      <c r="F21" s="14">
        <f t="shared" si="3"/>
        <v>0</v>
      </c>
      <c r="G21" s="14">
        <f t="shared" si="3"/>
        <v>0</v>
      </c>
      <c r="H21" s="14">
        <f t="shared" si="3"/>
        <v>0</v>
      </c>
      <c r="I21" s="14">
        <f t="shared" si="3"/>
        <v>0</v>
      </c>
      <c r="J21" s="14">
        <f t="shared" si="3"/>
        <v>0</v>
      </c>
      <c r="K21" s="14">
        <f t="shared" si="3"/>
        <v>0</v>
      </c>
      <c r="L21" s="14">
        <f t="shared" si="3"/>
        <v>0</v>
      </c>
      <c r="M21" s="14">
        <f t="shared" si="3"/>
        <v>0</v>
      </c>
      <c r="N21" s="14">
        <f t="shared" si="3"/>
        <v>0</v>
      </c>
    </row>
    <row r="22" spans="2:14" s="27" customFormat="1" ht="10.5">
      <c r="C22" s="28" t="str">
        <f>IF(C21&lt;&gt;C12,C12-C21," ")</f>
        <v xml:space="preserve"> </v>
      </c>
      <c r="D22" s="28" t="str">
        <f t="shared" ref="D22:N22" si="4">IF(D21&lt;&gt;D12,D12-D21," ")</f>
        <v xml:space="preserve"> </v>
      </c>
      <c r="E22" s="28" t="str">
        <f t="shared" si="4"/>
        <v xml:space="preserve"> </v>
      </c>
      <c r="F22" s="28" t="str">
        <f t="shared" si="4"/>
        <v xml:space="preserve"> </v>
      </c>
      <c r="G22" s="28" t="str">
        <f t="shared" si="4"/>
        <v xml:space="preserve"> </v>
      </c>
      <c r="H22" s="28" t="str">
        <f t="shared" si="4"/>
        <v xml:space="preserve"> </v>
      </c>
      <c r="I22" s="28" t="str">
        <f t="shared" si="4"/>
        <v xml:space="preserve"> </v>
      </c>
      <c r="J22" s="28" t="str">
        <f t="shared" si="4"/>
        <v xml:space="preserve"> </v>
      </c>
      <c r="K22" s="28" t="str">
        <f t="shared" si="4"/>
        <v xml:space="preserve"> </v>
      </c>
      <c r="L22" s="28" t="str">
        <f t="shared" si="4"/>
        <v xml:space="preserve"> </v>
      </c>
      <c r="M22" s="28" t="str">
        <f t="shared" si="4"/>
        <v xml:space="preserve"> </v>
      </c>
      <c r="N22" s="28" t="str">
        <f t="shared" si="4"/>
        <v xml:space="preserve"> </v>
      </c>
    </row>
    <row r="23" spans="2:14" s="27" customFormat="1" ht="5.25" customHeight="1"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</row>
    <row r="24" spans="2:14">
      <c r="B24" s="35" t="s">
        <v>26</v>
      </c>
      <c r="C24" s="29" t="e">
        <f>C5/(C16+C17)</f>
        <v>#DIV/0!</v>
      </c>
      <c r="D24" s="29" t="e">
        <f t="shared" ref="D24:N24" si="5">D5/(D16+D17)</f>
        <v>#DIV/0!</v>
      </c>
      <c r="E24" s="29" t="e">
        <f t="shared" si="5"/>
        <v>#DIV/0!</v>
      </c>
      <c r="F24" s="29" t="e">
        <f t="shared" si="5"/>
        <v>#DIV/0!</v>
      </c>
      <c r="G24" s="29" t="e">
        <f t="shared" si="5"/>
        <v>#DIV/0!</v>
      </c>
      <c r="H24" s="29" t="e">
        <f t="shared" si="5"/>
        <v>#DIV/0!</v>
      </c>
      <c r="I24" s="29" t="e">
        <f t="shared" si="5"/>
        <v>#DIV/0!</v>
      </c>
      <c r="J24" s="29" t="e">
        <f t="shared" si="5"/>
        <v>#DIV/0!</v>
      </c>
      <c r="K24" s="29" t="e">
        <f t="shared" si="5"/>
        <v>#DIV/0!</v>
      </c>
      <c r="L24" s="29" t="e">
        <f t="shared" si="5"/>
        <v>#DIV/0!</v>
      </c>
      <c r="M24" s="29" t="e">
        <f t="shared" si="5"/>
        <v>#DIV/0!</v>
      </c>
      <c r="N24" s="29" t="e">
        <f t="shared" si="5"/>
        <v>#DIV/0!</v>
      </c>
    </row>
    <row r="25" spans="2:14">
      <c r="B25" s="36" t="s">
        <v>60</v>
      </c>
      <c r="C25" s="30">
        <v>0</v>
      </c>
      <c r="D25" s="30">
        <v>0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</row>
    <row r="26" spans="2:14" ht="8.25" customHeight="1">
      <c r="B26" s="33"/>
      <c r="C26" s="2"/>
      <c r="D26" s="2"/>
      <c r="E26" s="2"/>
      <c r="F26" s="2"/>
      <c r="G26" s="2"/>
      <c r="H26" s="2"/>
      <c r="I26" s="2"/>
    </row>
    <row r="27" spans="2:14">
      <c r="B27" s="33" t="s">
        <v>27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 spans="2:14">
      <c r="B28" s="33" t="s">
        <v>28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 spans="2:14" ht="13.5" thickBot="1">
      <c r="B29" s="33" t="s">
        <v>29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</row>
    <row r="30" spans="2:14">
      <c r="B30" s="33" t="s">
        <v>30</v>
      </c>
      <c r="C30" s="14">
        <f t="shared" ref="C30:N30" si="6">SUM(C27:C29)</f>
        <v>0</v>
      </c>
      <c r="D30" s="14">
        <f t="shared" si="6"/>
        <v>0</v>
      </c>
      <c r="E30" s="14">
        <f t="shared" si="6"/>
        <v>0</v>
      </c>
      <c r="F30" s="14">
        <f t="shared" si="6"/>
        <v>0</v>
      </c>
      <c r="G30" s="14">
        <f t="shared" si="6"/>
        <v>0</v>
      </c>
      <c r="H30" s="14">
        <f t="shared" si="6"/>
        <v>0</v>
      </c>
      <c r="I30" s="14">
        <f t="shared" si="6"/>
        <v>0</v>
      </c>
      <c r="J30" s="14">
        <f t="shared" si="6"/>
        <v>0</v>
      </c>
      <c r="K30" s="14">
        <f t="shared" si="6"/>
        <v>0</v>
      </c>
      <c r="L30" s="14">
        <f t="shared" si="6"/>
        <v>0</v>
      </c>
      <c r="M30" s="14">
        <f t="shared" si="6"/>
        <v>0</v>
      </c>
      <c r="N30" s="14">
        <f t="shared" si="6"/>
        <v>0</v>
      </c>
    </row>
    <row r="31" spans="2:14" ht="7.5" customHeight="1">
      <c r="B31" s="33"/>
      <c r="C31" s="2"/>
      <c r="D31" s="2"/>
      <c r="E31" s="2"/>
      <c r="F31" s="2"/>
      <c r="G31" s="2"/>
      <c r="H31" s="2"/>
      <c r="I31" s="2"/>
    </row>
    <row r="32" spans="2:14">
      <c r="B32" s="33" t="s">
        <v>31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</row>
    <row r="33" spans="2:14">
      <c r="B33" s="33" t="s">
        <v>32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</row>
    <row r="34" spans="2:14">
      <c r="B34" s="33" t="s">
        <v>33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</row>
    <row r="35" spans="2:14">
      <c r="B35" s="33" t="s">
        <v>34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</row>
    <row r="36" spans="2:14">
      <c r="B36" s="33" t="s">
        <v>35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</row>
    <row r="37" spans="2:14" ht="13.5" thickBot="1">
      <c r="B37" s="33" t="s">
        <v>36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</row>
    <row r="38" spans="2:14">
      <c r="B38" s="33" t="s">
        <v>37</v>
      </c>
      <c r="C38" s="14">
        <f t="shared" ref="C38:N38" si="7">SUM(C32:C37)</f>
        <v>0</v>
      </c>
      <c r="D38" s="14">
        <f t="shared" si="7"/>
        <v>0</v>
      </c>
      <c r="E38" s="14">
        <f t="shared" si="7"/>
        <v>0</v>
      </c>
      <c r="F38" s="14">
        <f t="shared" si="7"/>
        <v>0</v>
      </c>
      <c r="G38" s="14">
        <f t="shared" si="7"/>
        <v>0</v>
      </c>
      <c r="H38" s="14">
        <f t="shared" si="7"/>
        <v>0</v>
      </c>
      <c r="I38" s="14">
        <f t="shared" si="7"/>
        <v>0</v>
      </c>
      <c r="J38" s="14">
        <f t="shared" si="7"/>
        <v>0</v>
      </c>
      <c r="K38" s="14">
        <f t="shared" si="7"/>
        <v>0</v>
      </c>
      <c r="L38" s="14">
        <f t="shared" si="7"/>
        <v>0</v>
      </c>
      <c r="M38" s="14">
        <f t="shared" si="7"/>
        <v>0</v>
      </c>
      <c r="N38" s="14">
        <f t="shared" si="7"/>
        <v>0</v>
      </c>
    </row>
    <row r="39" spans="2:14">
      <c r="B39" s="33" t="s">
        <v>38</v>
      </c>
      <c r="C39" s="14">
        <f t="shared" ref="C39:N39" si="8">C30-C38</f>
        <v>0</v>
      </c>
      <c r="D39" s="14">
        <f t="shared" si="8"/>
        <v>0</v>
      </c>
      <c r="E39" s="14">
        <f t="shared" si="8"/>
        <v>0</v>
      </c>
      <c r="F39" s="14">
        <f t="shared" si="8"/>
        <v>0</v>
      </c>
      <c r="G39" s="14">
        <f t="shared" si="8"/>
        <v>0</v>
      </c>
      <c r="H39" s="14">
        <f t="shared" si="8"/>
        <v>0</v>
      </c>
      <c r="I39" s="14">
        <f t="shared" si="8"/>
        <v>0</v>
      </c>
      <c r="J39" s="14">
        <f t="shared" si="8"/>
        <v>0</v>
      </c>
      <c r="K39" s="14">
        <f t="shared" si="8"/>
        <v>0</v>
      </c>
      <c r="L39" s="14">
        <f t="shared" si="8"/>
        <v>0</v>
      </c>
      <c r="M39" s="14">
        <f t="shared" si="8"/>
        <v>0</v>
      </c>
      <c r="N39" s="14">
        <f t="shared" si="8"/>
        <v>0</v>
      </c>
    </row>
    <row r="40" spans="2:14">
      <c r="B40" s="33" t="s">
        <v>39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</row>
    <row r="41" spans="2:14" ht="13.5" customHeight="1">
      <c r="B41" s="33" t="s">
        <v>40</v>
      </c>
      <c r="C41" s="14">
        <f t="shared" ref="C41:N41" si="9">C39+C40</f>
        <v>0</v>
      </c>
      <c r="D41" s="14">
        <f t="shared" si="9"/>
        <v>0</v>
      </c>
      <c r="E41" s="14">
        <f t="shared" si="9"/>
        <v>0</v>
      </c>
      <c r="F41" s="14">
        <f t="shared" si="9"/>
        <v>0</v>
      </c>
      <c r="G41" s="14">
        <f t="shared" si="9"/>
        <v>0</v>
      </c>
      <c r="H41" s="14">
        <f t="shared" si="9"/>
        <v>0</v>
      </c>
      <c r="I41" s="14">
        <f t="shared" si="9"/>
        <v>0</v>
      </c>
      <c r="J41" s="14">
        <f t="shared" si="9"/>
        <v>0</v>
      </c>
      <c r="K41" s="14">
        <f t="shared" si="9"/>
        <v>0</v>
      </c>
      <c r="L41" s="14">
        <f t="shared" si="9"/>
        <v>0</v>
      </c>
      <c r="M41" s="14">
        <f t="shared" si="9"/>
        <v>0</v>
      </c>
      <c r="N41" s="14">
        <f t="shared" si="9"/>
        <v>0</v>
      </c>
    </row>
    <row r="42" spans="2:14" ht="13.5" thickBot="1">
      <c r="B42" s="33" t="s">
        <v>41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</row>
    <row r="43" spans="2:14">
      <c r="B43" s="33" t="s">
        <v>42</v>
      </c>
      <c r="C43" s="14">
        <f t="shared" ref="C43:N43" si="10">C41-C42</f>
        <v>0</v>
      </c>
      <c r="D43" s="14">
        <f t="shared" si="10"/>
        <v>0</v>
      </c>
      <c r="E43" s="14">
        <f t="shared" si="10"/>
        <v>0</v>
      </c>
      <c r="F43" s="14">
        <f t="shared" si="10"/>
        <v>0</v>
      </c>
      <c r="G43" s="14">
        <f t="shared" si="10"/>
        <v>0</v>
      </c>
      <c r="H43" s="14">
        <f t="shared" si="10"/>
        <v>0</v>
      </c>
      <c r="I43" s="14">
        <f t="shared" si="10"/>
        <v>0</v>
      </c>
      <c r="J43" s="14">
        <f t="shared" si="10"/>
        <v>0</v>
      </c>
      <c r="K43" s="14">
        <f t="shared" si="10"/>
        <v>0</v>
      </c>
      <c r="L43" s="14">
        <f t="shared" si="10"/>
        <v>0</v>
      </c>
      <c r="M43" s="14">
        <f t="shared" si="10"/>
        <v>0</v>
      </c>
      <c r="N43" s="14">
        <f t="shared" si="10"/>
        <v>0</v>
      </c>
    </row>
    <row r="44" spans="2:14" ht="13.5" thickBot="1">
      <c r="B44" s="33" t="s">
        <v>43</v>
      </c>
      <c r="C44" s="5">
        <f t="shared" ref="C44:N44" si="11">C30*0.1</f>
        <v>0</v>
      </c>
      <c r="D44" s="5">
        <f t="shared" si="11"/>
        <v>0</v>
      </c>
      <c r="E44" s="5">
        <f t="shared" si="11"/>
        <v>0</v>
      </c>
      <c r="F44" s="5">
        <f t="shared" si="11"/>
        <v>0</v>
      </c>
      <c r="G44" s="5">
        <f t="shared" si="11"/>
        <v>0</v>
      </c>
      <c r="H44" s="5">
        <f t="shared" si="11"/>
        <v>0</v>
      </c>
      <c r="I44" s="5">
        <f t="shared" si="11"/>
        <v>0</v>
      </c>
      <c r="J44" s="5">
        <f t="shared" si="11"/>
        <v>0</v>
      </c>
      <c r="K44" s="5">
        <f t="shared" si="11"/>
        <v>0</v>
      </c>
      <c r="L44" s="5">
        <f t="shared" si="11"/>
        <v>0</v>
      </c>
      <c r="M44" s="5">
        <f t="shared" si="11"/>
        <v>0</v>
      </c>
      <c r="N44" s="5">
        <f t="shared" si="11"/>
        <v>0</v>
      </c>
    </row>
    <row r="45" spans="2:14" ht="13.5" thickBot="1">
      <c r="B45" s="33" t="s">
        <v>44</v>
      </c>
      <c r="C45" s="16">
        <f t="shared" ref="C45:N45" si="12">C43-C44</f>
        <v>0</v>
      </c>
      <c r="D45" s="16">
        <f t="shared" si="12"/>
        <v>0</v>
      </c>
      <c r="E45" s="16">
        <f t="shared" si="12"/>
        <v>0</v>
      </c>
      <c r="F45" s="16">
        <f t="shared" si="12"/>
        <v>0</v>
      </c>
      <c r="G45" s="16">
        <f t="shared" si="12"/>
        <v>0</v>
      </c>
      <c r="H45" s="16">
        <f t="shared" si="12"/>
        <v>0</v>
      </c>
      <c r="I45" s="16">
        <f t="shared" si="12"/>
        <v>0</v>
      </c>
      <c r="J45" s="16">
        <f t="shared" si="12"/>
        <v>0</v>
      </c>
      <c r="K45" s="16">
        <f t="shared" si="12"/>
        <v>0</v>
      </c>
      <c r="L45" s="16">
        <f t="shared" si="12"/>
        <v>0</v>
      </c>
      <c r="M45" s="16">
        <f t="shared" si="12"/>
        <v>0</v>
      </c>
      <c r="N45" s="16">
        <f t="shared" si="12"/>
        <v>0</v>
      </c>
    </row>
    <row r="46" spans="2:14" ht="8.25" customHeight="1" thickTop="1">
      <c r="B46" s="3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2:14">
      <c r="B47" s="20" t="s">
        <v>45</v>
      </c>
      <c r="C47" s="2"/>
      <c r="D47" s="2"/>
      <c r="E47" s="2"/>
      <c r="F47" s="2"/>
      <c r="G47" s="2"/>
      <c r="H47" s="2"/>
      <c r="I47" s="2"/>
    </row>
    <row r="48" spans="2:14">
      <c r="B48" s="33" t="s">
        <v>46</v>
      </c>
      <c r="C48" s="3" t="e">
        <f>4*(C27/(C5))</f>
        <v>#DIV/0!</v>
      </c>
      <c r="D48" s="3" t="e">
        <f t="shared" ref="D48:N48" si="13">4*(D27/((D5+C5)/2))</f>
        <v>#DIV/0!</v>
      </c>
      <c r="E48" s="3" t="e">
        <f t="shared" si="13"/>
        <v>#DIV/0!</v>
      </c>
      <c r="F48" s="3" t="e">
        <f t="shared" si="13"/>
        <v>#DIV/0!</v>
      </c>
      <c r="G48" s="3" t="e">
        <f t="shared" si="13"/>
        <v>#DIV/0!</v>
      </c>
      <c r="H48" s="3" t="e">
        <f t="shared" si="13"/>
        <v>#DIV/0!</v>
      </c>
      <c r="I48" s="3" t="e">
        <f t="shared" si="13"/>
        <v>#DIV/0!</v>
      </c>
      <c r="J48" s="3" t="e">
        <f t="shared" si="13"/>
        <v>#DIV/0!</v>
      </c>
      <c r="K48" s="3" t="e">
        <f t="shared" si="13"/>
        <v>#DIV/0!</v>
      </c>
      <c r="L48" s="3" t="e">
        <f t="shared" si="13"/>
        <v>#DIV/0!</v>
      </c>
      <c r="M48" s="3" t="e">
        <f t="shared" si="13"/>
        <v>#DIV/0!</v>
      </c>
      <c r="N48" s="3" t="e">
        <f t="shared" si="13"/>
        <v>#DIV/0!</v>
      </c>
    </row>
    <row r="49" spans="2:14">
      <c r="B49" s="33" t="s">
        <v>47</v>
      </c>
      <c r="C49" s="3" t="e">
        <f>4*(C28/(C8))</f>
        <v>#DIV/0!</v>
      </c>
      <c r="D49" s="3" t="e">
        <f t="shared" ref="D49:N49" si="14">4*(D28/((D8+C8)/2))</f>
        <v>#DIV/0!</v>
      </c>
      <c r="E49" s="3" t="e">
        <f t="shared" si="14"/>
        <v>#DIV/0!</v>
      </c>
      <c r="F49" s="3" t="e">
        <f t="shared" si="14"/>
        <v>#DIV/0!</v>
      </c>
      <c r="G49" s="3" t="e">
        <f t="shared" si="14"/>
        <v>#DIV/0!</v>
      </c>
      <c r="H49" s="3" t="e">
        <f t="shared" si="14"/>
        <v>#DIV/0!</v>
      </c>
      <c r="I49" s="3" t="e">
        <f t="shared" si="14"/>
        <v>#DIV/0!</v>
      </c>
      <c r="J49" s="3" t="e">
        <f t="shared" si="14"/>
        <v>#DIV/0!</v>
      </c>
      <c r="K49" s="3" t="e">
        <f t="shared" si="14"/>
        <v>#DIV/0!</v>
      </c>
      <c r="L49" s="3" t="e">
        <f t="shared" si="14"/>
        <v>#DIV/0!</v>
      </c>
      <c r="M49" s="3" t="e">
        <f t="shared" si="14"/>
        <v>#DIV/0!</v>
      </c>
      <c r="N49" s="3" t="e">
        <f t="shared" si="14"/>
        <v>#DIV/0!</v>
      </c>
    </row>
    <row r="50" spans="2:14" ht="12.75" customHeight="1">
      <c r="B50" s="33" t="s">
        <v>48</v>
      </c>
      <c r="C50" s="3" t="e">
        <f>(C43/(C12))*4</f>
        <v>#DIV/0!</v>
      </c>
      <c r="D50" s="3" t="e">
        <f t="shared" ref="D50:N50" si="15">(D43/((D12+C12)/2))*4</f>
        <v>#DIV/0!</v>
      </c>
      <c r="E50" s="3" t="e">
        <f t="shared" si="15"/>
        <v>#DIV/0!</v>
      </c>
      <c r="F50" s="3" t="e">
        <f t="shared" si="15"/>
        <v>#DIV/0!</v>
      </c>
      <c r="G50" s="3" t="e">
        <f t="shared" si="15"/>
        <v>#DIV/0!</v>
      </c>
      <c r="H50" s="3" t="e">
        <f t="shared" si="15"/>
        <v>#DIV/0!</v>
      </c>
      <c r="I50" s="3" t="e">
        <f t="shared" si="15"/>
        <v>#DIV/0!</v>
      </c>
      <c r="J50" s="3" t="e">
        <f t="shared" si="15"/>
        <v>#DIV/0!</v>
      </c>
      <c r="K50" s="3" t="e">
        <f t="shared" si="15"/>
        <v>#DIV/0!</v>
      </c>
      <c r="L50" s="3" t="e">
        <f t="shared" si="15"/>
        <v>#DIV/0!</v>
      </c>
      <c r="M50" s="3" t="e">
        <f t="shared" si="15"/>
        <v>#DIV/0!</v>
      </c>
      <c r="N50" s="3" t="e">
        <f t="shared" si="15"/>
        <v>#DIV/0!</v>
      </c>
    </row>
    <row r="51" spans="2:14" ht="12.75" customHeight="1">
      <c r="B51" s="37" t="s">
        <v>49</v>
      </c>
      <c r="C51" s="3" t="e">
        <f>4*(C42/(C16))</f>
        <v>#DIV/0!</v>
      </c>
      <c r="D51" s="3" t="e">
        <f t="shared" ref="D51:N51" si="16">4*(D42/(D16+D17))</f>
        <v>#DIV/0!</v>
      </c>
      <c r="E51" s="3" t="e">
        <f t="shared" si="16"/>
        <v>#DIV/0!</v>
      </c>
      <c r="F51" s="3" t="e">
        <f t="shared" si="16"/>
        <v>#DIV/0!</v>
      </c>
      <c r="G51" s="3" t="e">
        <f t="shared" si="16"/>
        <v>#DIV/0!</v>
      </c>
      <c r="H51" s="3" t="e">
        <f t="shared" si="16"/>
        <v>#DIV/0!</v>
      </c>
      <c r="I51" s="3" t="e">
        <f t="shared" si="16"/>
        <v>#DIV/0!</v>
      </c>
      <c r="J51" s="3" t="e">
        <f t="shared" si="16"/>
        <v>#DIV/0!</v>
      </c>
      <c r="K51" s="3" t="e">
        <f t="shared" si="16"/>
        <v>#DIV/0!</v>
      </c>
      <c r="L51" s="3" t="e">
        <f t="shared" si="16"/>
        <v>#DIV/0!</v>
      </c>
      <c r="M51" s="3" t="e">
        <f t="shared" si="16"/>
        <v>#DIV/0!</v>
      </c>
      <c r="N51" s="3" t="e">
        <f t="shared" si="16"/>
        <v>#DIV/0!</v>
      </c>
    </row>
    <row r="52" spans="2:14">
      <c r="B52" s="33" t="s">
        <v>50</v>
      </c>
      <c r="C52" s="3" t="e">
        <f>(C42/(C12))*4</f>
        <v>#DIV/0!</v>
      </c>
      <c r="D52" s="3" t="e">
        <f t="shared" ref="D52:N52" si="17">(D42/((D12+C12)/2))*4</f>
        <v>#DIV/0!</v>
      </c>
      <c r="E52" s="3" t="e">
        <f t="shared" si="17"/>
        <v>#DIV/0!</v>
      </c>
      <c r="F52" s="3" t="e">
        <f t="shared" si="17"/>
        <v>#DIV/0!</v>
      </c>
      <c r="G52" s="3" t="e">
        <f t="shared" si="17"/>
        <v>#DIV/0!</v>
      </c>
      <c r="H52" s="3" t="e">
        <f t="shared" si="17"/>
        <v>#DIV/0!</v>
      </c>
      <c r="I52" s="3" t="e">
        <f t="shared" si="17"/>
        <v>#DIV/0!</v>
      </c>
      <c r="J52" s="3" t="e">
        <f t="shared" si="17"/>
        <v>#DIV/0!</v>
      </c>
      <c r="K52" s="3" t="e">
        <f t="shared" si="17"/>
        <v>#DIV/0!</v>
      </c>
      <c r="L52" s="3" t="e">
        <f t="shared" si="17"/>
        <v>#DIV/0!</v>
      </c>
      <c r="M52" s="3" t="e">
        <f t="shared" si="17"/>
        <v>#DIV/0!</v>
      </c>
      <c r="N52" s="3" t="e">
        <f t="shared" si="17"/>
        <v>#DIV/0!</v>
      </c>
    </row>
    <row r="53" spans="2:14">
      <c r="B53" s="33" t="s">
        <v>51</v>
      </c>
      <c r="C53" s="3" t="e">
        <f t="shared" ref="C53:N53" si="18">(C12-(C14+C15))/(C16+C17)</f>
        <v>#DIV/0!</v>
      </c>
      <c r="D53" s="3" t="e">
        <f t="shared" si="18"/>
        <v>#DIV/0!</v>
      </c>
      <c r="E53" s="3" t="e">
        <f t="shared" si="18"/>
        <v>#DIV/0!</v>
      </c>
      <c r="F53" s="3" t="e">
        <f t="shared" si="18"/>
        <v>#DIV/0!</v>
      </c>
      <c r="G53" s="3" t="e">
        <f t="shared" si="18"/>
        <v>#DIV/0!</v>
      </c>
      <c r="H53" s="3" t="e">
        <f t="shared" si="18"/>
        <v>#DIV/0!</v>
      </c>
      <c r="I53" s="3" t="e">
        <f t="shared" si="18"/>
        <v>#DIV/0!</v>
      </c>
      <c r="J53" s="3" t="e">
        <f t="shared" si="18"/>
        <v>#DIV/0!</v>
      </c>
      <c r="K53" s="3" t="e">
        <f t="shared" si="18"/>
        <v>#DIV/0!</v>
      </c>
      <c r="L53" s="3" t="e">
        <f t="shared" si="18"/>
        <v>#DIV/0!</v>
      </c>
      <c r="M53" s="3" t="e">
        <f t="shared" si="18"/>
        <v>#DIV/0!</v>
      </c>
      <c r="N53" s="3" t="e">
        <f t="shared" si="18"/>
        <v>#DIV/0!</v>
      </c>
    </row>
    <row r="54" spans="2:14">
      <c r="B54" s="33" t="s">
        <v>58</v>
      </c>
      <c r="C54" s="3" t="e">
        <f>SUM(C18:C20)/C12</f>
        <v>#DIV/0!</v>
      </c>
      <c r="D54" s="3" t="e">
        <f t="shared" ref="D54:N54" si="19">SUM(D18:D20)/D12</f>
        <v>#DIV/0!</v>
      </c>
      <c r="E54" s="3" t="e">
        <f t="shared" si="19"/>
        <v>#DIV/0!</v>
      </c>
      <c r="F54" s="3" t="e">
        <f t="shared" si="19"/>
        <v>#DIV/0!</v>
      </c>
      <c r="G54" s="3" t="e">
        <f t="shared" si="19"/>
        <v>#DIV/0!</v>
      </c>
      <c r="H54" s="3" t="e">
        <f t="shared" si="19"/>
        <v>#DIV/0!</v>
      </c>
      <c r="I54" s="3" t="e">
        <f t="shared" si="19"/>
        <v>#DIV/0!</v>
      </c>
      <c r="J54" s="3" t="e">
        <f t="shared" si="19"/>
        <v>#DIV/0!</v>
      </c>
      <c r="K54" s="3" t="e">
        <f t="shared" si="19"/>
        <v>#DIV/0!</v>
      </c>
      <c r="L54" s="3" t="e">
        <f t="shared" si="19"/>
        <v>#DIV/0!</v>
      </c>
      <c r="M54" s="3" t="e">
        <f t="shared" si="19"/>
        <v>#DIV/0!</v>
      </c>
      <c r="N54" s="3" t="e">
        <f t="shared" si="19"/>
        <v>#DIV/0!</v>
      </c>
    </row>
    <row r="55" spans="2:14">
      <c r="B55" s="33" t="s">
        <v>57</v>
      </c>
      <c r="C55" s="26" t="s">
        <v>54</v>
      </c>
      <c r="D55" s="3" t="e">
        <f>(D16-C16)/C16</f>
        <v>#DIV/0!</v>
      </c>
      <c r="E55" s="3" t="e">
        <f t="shared" ref="E55:N55" si="20">(E16-D16)/D16</f>
        <v>#DIV/0!</v>
      </c>
      <c r="F55" s="3" t="e">
        <f t="shared" si="20"/>
        <v>#DIV/0!</v>
      </c>
      <c r="G55" s="3" t="e">
        <f t="shared" si="20"/>
        <v>#DIV/0!</v>
      </c>
      <c r="H55" s="3" t="e">
        <f t="shared" si="20"/>
        <v>#DIV/0!</v>
      </c>
      <c r="I55" s="3" t="e">
        <f t="shared" si="20"/>
        <v>#DIV/0!</v>
      </c>
      <c r="J55" s="3" t="e">
        <f t="shared" si="20"/>
        <v>#DIV/0!</v>
      </c>
      <c r="K55" s="3" t="e">
        <f t="shared" si="20"/>
        <v>#DIV/0!</v>
      </c>
      <c r="L55" s="3" t="e">
        <f t="shared" si="20"/>
        <v>#DIV/0!</v>
      </c>
      <c r="M55" s="3" t="e">
        <f t="shared" si="20"/>
        <v>#DIV/0!</v>
      </c>
      <c r="N55" s="3" t="e">
        <f t="shared" si="20"/>
        <v>#DIV/0!</v>
      </c>
    </row>
    <row r="56" spans="2:14">
      <c r="B56" s="33" t="s">
        <v>59</v>
      </c>
      <c r="C56" s="26" t="s">
        <v>54</v>
      </c>
      <c r="D56" s="3" t="e">
        <f>(D25-C25)/C25</f>
        <v>#DIV/0!</v>
      </c>
      <c r="E56" s="3" t="e">
        <f t="shared" ref="E56:N56" si="21">(E25-D25)/D25</f>
        <v>#DIV/0!</v>
      </c>
      <c r="F56" s="3" t="e">
        <f t="shared" si="21"/>
        <v>#DIV/0!</v>
      </c>
      <c r="G56" s="3" t="e">
        <f t="shared" si="21"/>
        <v>#DIV/0!</v>
      </c>
      <c r="H56" s="3" t="e">
        <f t="shared" si="21"/>
        <v>#DIV/0!</v>
      </c>
      <c r="I56" s="3" t="e">
        <f t="shared" si="21"/>
        <v>#DIV/0!</v>
      </c>
      <c r="J56" s="3" t="e">
        <f t="shared" si="21"/>
        <v>#DIV/0!</v>
      </c>
      <c r="K56" s="3" t="e">
        <f t="shared" si="21"/>
        <v>#DIV/0!</v>
      </c>
      <c r="L56" s="3" t="e">
        <f t="shared" si="21"/>
        <v>#DIV/0!</v>
      </c>
      <c r="M56" s="3" t="e">
        <f t="shared" si="21"/>
        <v>#DIV/0!</v>
      </c>
      <c r="N56" s="3" t="e">
        <f t="shared" si="21"/>
        <v>#DIV/0!</v>
      </c>
    </row>
    <row r="57" spans="2:14">
      <c r="B57" s="33" t="s">
        <v>61</v>
      </c>
      <c r="C57" s="38" t="e">
        <f>C16/C25</f>
        <v>#DIV/0!</v>
      </c>
      <c r="D57" s="38" t="e">
        <f t="shared" ref="D57:N57" si="22">D16/D25</f>
        <v>#DIV/0!</v>
      </c>
      <c r="E57" s="38" t="e">
        <f t="shared" si="22"/>
        <v>#DIV/0!</v>
      </c>
      <c r="F57" s="38" t="e">
        <f t="shared" si="22"/>
        <v>#DIV/0!</v>
      </c>
      <c r="G57" s="38" t="e">
        <f t="shared" si="22"/>
        <v>#DIV/0!</v>
      </c>
      <c r="H57" s="38" t="e">
        <f t="shared" si="22"/>
        <v>#DIV/0!</v>
      </c>
      <c r="I57" s="38" t="e">
        <f t="shared" si="22"/>
        <v>#DIV/0!</v>
      </c>
      <c r="J57" s="38" t="e">
        <f t="shared" si="22"/>
        <v>#DIV/0!</v>
      </c>
      <c r="K57" s="38" t="e">
        <f t="shared" si="22"/>
        <v>#DIV/0!</v>
      </c>
      <c r="L57" s="38" t="e">
        <f t="shared" si="22"/>
        <v>#DIV/0!</v>
      </c>
      <c r="M57" s="38" t="e">
        <f t="shared" si="22"/>
        <v>#DIV/0!</v>
      </c>
      <c r="N57" s="38" t="e">
        <f t="shared" si="22"/>
        <v>#DIV/0!</v>
      </c>
    </row>
    <row r="58" spans="2:14">
      <c r="C58" s="3"/>
      <c r="D58" s="3"/>
      <c r="E58" s="3"/>
      <c r="F58" s="3"/>
      <c r="G58" s="3"/>
      <c r="H58" s="3"/>
      <c r="I58" s="3"/>
    </row>
    <row r="59" spans="2:14">
      <c r="B59" s="20" t="s">
        <v>52</v>
      </c>
      <c r="C59" s="3"/>
      <c r="D59" s="3"/>
      <c r="E59" s="3"/>
      <c r="F59" s="3"/>
      <c r="G59" s="3"/>
      <c r="H59" s="3"/>
      <c r="I59" s="3"/>
    </row>
    <row r="60" spans="2:14" ht="13.5">
      <c r="B60" s="39" t="s">
        <v>63</v>
      </c>
      <c r="C60" s="3"/>
      <c r="D60" s="3"/>
      <c r="E60" s="3"/>
      <c r="F60" s="3"/>
      <c r="G60" s="3"/>
      <c r="H60" s="3"/>
      <c r="I60" s="3"/>
    </row>
    <row r="61" spans="2:14">
      <c r="C61" s="3"/>
      <c r="D61" s="3"/>
      <c r="E61" s="3"/>
      <c r="F61" s="3"/>
      <c r="G61" s="3"/>
      <c r="H61" s="3"/>
      <c r="I61" s="3"/>
    </row>
    <row r="62" spans="2:14">
      <c r="C62" s="3"/>
      <c r="D62" s="3"/>
      <c r="E62" s="3"/>
      <c r="F62" s="3"/>
      <c r="G62" s="3"/>
      <c r="H62" s="3"/>
      <c r="I62" s="3"/>
    </row>
    <row r="63" spans="2:14">
      <c r="C63" s="3"/>
      <c r="D63" s="3"/>
      <c r="E63" s="3"/>
      <c r="F63" s="3"/>
      <c r="G63" s="3"/>
      <c r="H63" s="3"/>
      <c r="I63" s="3"/>
    </row>
    <row r="64" spans="2:14">
      <c r="C64" s="3"/>
      <c r="D64" s="3"/>
      <c r="E64" s="3"/>
      <c r="F64" s="3"/>
      <c r="G64" s="3"/>
      <c r="H64" s="3"/>
      <c r="I64" s="3"/>
    </row>
    <row r="65" spans="3:9">
      <c r="C65" s="3"/>
      <c r="D65" s="3"/>
      <c r="E65" s="3"/>
      <c r="F65" s="3"/>
      <c r="G65" s="3"/>
      <c r="H65" s="3"/>
      <c r="I65" s="3"/>
    </row>
    <row r="66" spans="3:9">
      <c r="C66" s="3"/>
      <c r="D66" s="3"/>
      <c r="E66" s="3"/>
      <c r="F66" s="3"/>
      <c r="G66" s="3"/>
      <c r="H66" s="3"/>
      <c r="I66" s="3"/>
    </row>
    <row r="67" spans="3:9">
      <c r="C67" s="3"/>
      <c r="D67" s="3"/>
      <c r="E67" s="3"/>
      <c r="F67" s="3"/>
      <c r="G67" s="3"/>
      <c r="H67" s="3"/>
      <c r="I67" s="3"/>
    </row>
    <row r="68" spans="3:9">
      <c r="C68" s="3"/>
      <c r="D68" s="3"/>
      <c r="E68" s="3"/>
      <c r="F68" s="3"/>
      <c r="G68" s="3"/>
      <c r="H68" s="3"/>
      <c r="I68" s="3"/>
    </row>
  </sheetData>
  <phoneticPr fontId="0" type="noConversion"/>
  <printOptions horizontalCentered="1" verticalCentered="1"/>
  <pageMargins left="0.5" right="0.5" top="0.25" bottom="0.25" header="0.5" footer="0.5"/>
  <pageSetup scale="76" orientation="landscape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NEWCU</vt:lpstr>
      <vt:lpstr>NEWCU!Print_Area</vt:lpstr>
    </vt:vector>
  </TitlesOfParts>
  <Company>NCUA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Carina Negreanu</cp:lastModifiedBy>
  <cp:lastPrinted>2000-05-09T19:23:22Z</cp:lastPrinted>
  <dcterms:created xsi:type="dcterms:W3CDTF">2000-05-09T16:23:30Z</dcterms:created>
  <dcterms:modified xsi:type="dcterms:W3CDTF">2020-01-27T11:34:47Z</dcterms:modified>
</cp:coreProperties>
</file>