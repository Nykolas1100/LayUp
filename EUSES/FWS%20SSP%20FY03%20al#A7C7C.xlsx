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636C66-FC3D-4753-815D-98FA61C72AA2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6" i="1" l="1"/>
  <c r="C94" i="1"/>
</calcChain>
</file>

<file path=xl/sharedStrings.xml><?xml version="1.0" encoding="utf-8"?>
<sst xmlns="http://schemas.openxmlformats.org/spreadsheetml/2006/main" count="377" uniqueCount="206">
  <si>
    <t>Center</t>
  </si>
  <si>
    <t>Project Title</t>
  </si>
  <si>
    <t>FY2003</t>
  </si>
  <si>
    <t>Program</t>
  </si>
  <si>
    <t>PI</t>
  </si>
  <si>
    <t>Date Contacted</t>
  </si>
  <si>
    <t>E-mail</t>
  </si>
  <si>
    <t>TEL</t>
  </si>
  <si>
    <t>BASIS Subtask</t>
  </si>
  <si>
    <t>WFRC</t>
  </si>
  <si>
    <t>Chemical Contamination of Hatchery Fish Feed</t>
  </si>
  <si>
    <t>F</t>
  </si>
  <si>
    <t>James Seelye
Frank Shipley, Lyman Thorsteinson</t>
  </si>
  <si>
    <t>CRU</t>
  </si>
  <si>
    <t>TN-Conservation of paddlefish (Polydon spathula) in Trade</t>
  </si>
  <si>
    <t>Phillip Bettoli, Shannon Fennell</t>
  </si>
  <si>
    <t>LSC</t>
  </si>
  <si>
    <t>Habitat modeling for protection of high-risk plant species in eastern US National Park and Forests</t>
  </si>
  <si>
    <t>W</t>
  </si>
  <si>
    <t>John Young</t>
  </si>
  <si>
    <t>Shorebird Monitoring and Assessment (Study C-Shorebird population and habitat sampling problems in ephemeral wetlands)</t>
  </si>
  <si>
    <t>Marsh Birds/Woodcock</t>
  </si>
  <si>
    <t>14.6, 14.7, 14.8, 14.9</t>
  </si>
  <si>
    <t>NPWRC</t>
  </si>
  <si>
    <t>Assessing accuracy of waterfowl aging techniques</t>
  </si>
  <si>
    <t>Robert Cox</t>
  </si>
  <si>
    <t>WERC</t>
  </si>
  <si>
    <t>Patterns and causes of mortality in the southern sea otter (Enhydra lutris nereis)</t>
  </si>
  <si>
    <t>James Estes</t>
  </si>
  <si>
    <t>Genetic, Physiological, and Behavioral comparisons among Wild and Hatchery populations of Spring Chinook Salmon in the Methow River, Washington</t>
  </si>
  <si>
    <t>Alec Maule, Robin Schrock, Frank Shipley, Lyman Thorsteinson</t>
  </si>
  <si>
    <t>FORT</t>
  </si>
  <si>
    <t>Development of a River System Impacts Assessment Model, Subtitle: Validate models of Klamath River flow, water quality, aquatic habitat and salmonid young-of-year production</t>
  </si>
  <si>
    <t>Samuel Williamson</t>
  </si>
  <si>
    <t>FRESC</t>
  </si>
  <si>
    <t>An evaluation of the use of isotopes in defining the geographic origin of vertebrates in North America</t>
  </si>
  <si>
    <t>Susan Haig</t>
  </si>
  <si>
    <t>Castle Rock NWR seabird study</t>
  </si>
  <si>
    <t>Walter Duffy</t>
  </si>
  <si>
    <t>14.10</t>
  </si>
  <si>
    <t>Reconsideration of genetic conservation units in Western Snowy plovers: Response to July 2002 de-listing petition</t>
  </si>
  <si>
    <t>OR-Survival of sage grouse chicks in the Northern Great Basin</t>
  </si>
  <si>
    <t>Michael Pope, Shannon Fennell</t>
  </si>
  <si>
    <t>Pintail habitat use and abundance during Spring in Southern Oregon-Northeastern California</t>
  </si>
  <si>
    <t>Joseph Fleskes</t>
  </si>
  <si>
    <t>Science Support of Wetland restoration of Cargill Salt Ponds, San Francisco Bay Estuary, Continuing studies)</t>
  </si>
  <si>
    <t>A. Keith Miles</t>
  </si>
  <si>
    <t>Development of a Species Conservation plan for greater sage-grouse in Mono County, California</t>
  </si>
  <si>
    <t>Michael Casazza</t>
  </si>
  <si>
    <t>Population Modeling for Lane Mountain milk-vetch (Astragalus jaegerianus)</t>
  </si>
  <si>
    <t>Kathryn McEachern</t>
  </si>
  <si>
    <t>Monitoring giant garter snakes in Partners for Wildlife Habitat Restoration Program Project Areas</t>
  </si>
  <si>
    <t>Glenn Wylie</t>
  </si>
  <si>
    <t>NWRC</t>
  </si>
  <si>
    <t>Effects of fire on selected habitats:  assessing the biological effects of fire</t>
  </si>
  <si>
    <t>James Grace, Clinton Jeske</t>
  </si>
  <si>
    <t>Investigations into the early life histories of the razorback sucker (Xyrauchen texansus) and bonytail (Gila elegans) in Cibola High Levee Pond, AZ</t>
  </si>
  <si>
    <t>Jeanette Carpenter, David Hamilton, Steve Hamilton, Gordon Mueller</t>
  </si>
  <si>
    <t>CERC</t>
  </si>
  <si>
    <t>Evaluation of Rio Grande water-quality conditions to endangered species</t>
  </si>
  <si>
    <t>Kevin Buhl, Steven Hamilton</t>
  </si>
  <si>
    <t>Evaluation of behavioral modification in enhancing post-release survival of captively-reared Attwater's Prairie-Chicken</t>
  </si>
  <si>
    <t>Miguel Mora-Zacarias</t>
  </si>
  <si>
    <t>Native fish community restoration in Rio Grande cutthroat trout management</t>
  </si>
  <si>
    <t>Shannon Fennell</t>
  </si>
  <si>
    <t>Effects of fire on Yuma clapper rails and California black rails</t>
  </si>
  <si>
    <t>Courtney Conway, Shannon Fennell</t>
  </si>
  <si>
    <t>PWRC</t>
  </si>
  <si>
    <t>Multiple life stage tracking of the Houston toad (Bufo houstonensis using passive and active methodologies</t>
  </si>
  <si>
    <t>Jeffrey Hatfield</t>
  </si>
  <si>
    <t>3.10</t>
  </si>
  <si>
    <t>WRD</t>
  </si>
  <si>
    <t>Assessment of Vulnerability of Eurycea associated with cretaceous limestone aquifers of South Central Texas</t>
  </si>
  <si>
    <t>Eric W. Strom</t>
  </si>
  <si>
    <t>Instream flow studies in a key southeastern Oklahoma stream</t>
  </si>
  <si>
    <t>William L. Fisher, Shannon Fennell</t>
  </si>
  <si>
    <t>Ecology of mountain lions in a priority recovery area for the endangered desert bighorn sheep:  San Andres National Wildlife Refuge</t>
  </si>
  <si>
    <t>L.C. Bender, Shannon Fennell</t>
  </si>
  <si>
    <t>GLSC</t>
  </si>
  <si>
    <t>Determination of bathythermal habitat selection by commercial, sport, and priority native species in the Treaty ceded waters of the Upper Great Lakes</t>
  </si>
  <si>
    <t>Roger A. Bergstedt</t>
  </si>
  <si>
    <t>Reproductive potential of triploid grass and black carp</t>
  </si>
  <si>
    <t>Donald Tillitt</t>
  </si>
  <si>
    <t xml:space="preserve">Potential flood storage capacity of restored wetlands in the Red River  of the North Basin </t>
  </si>
  <si>
    <t>Ned Euliss, Robert Gleason, Sheryl Hanson</t>
  </si>
  <si>
    <t>UMESC</t>
  </si>
  <si>
    <t>Science support for regional and refuge bird conservation planning</t>
  </si>
  <si>
    <t>Thomas Kelly, Melinda Knutson, John Sauer</t>
  </si>
  <si>
    <t>Chronology, distribution, and abundance of migratory shorebirds in response to habitat conditions on Swan Lake National Wildlife Refuge and surrounding public and private lands</t>
  </si>
  <si>
    <t>Ronald D. Drobney,  Shannon Fennell</t>
  </si>
  <si>
    <t>Evaluation of the magnitude and causes of mortality during the fall in relation to the impact of harvest on woodcock</t>
  </si>
  <si>
    <t>David E. Andersen,  Shannon Fennell</t>
  </si>
  <si>
    <t>Recovery information needed to prevent extinction of the federally endangered winged mapleleaf mussel</t>
  </si>
  <si>
    <t>Bruce Vondracek,  Shannon Fennell</t>
  </si>
  <si>
    <t>Lake Sturgeon (Acipenser fulvescens) movements, spawning habitat, and restoration of the Detroit River</t>
  </si>
  <si>
    <t>Bruce Manny</t>
  </si>
  <si>
    <t>Canada Lynx ecology in Minnesota</t>
  </si>
  <si>
    <t>L. David Mech</t>
  </si>
  <si>
    <t>Habitat models and conservation planning tools for management of the Cerulean Warbler and other high-priority species</t>
  </si>
  <si>
    <t>Melinda G. Knutson</t>
  </si>
  <si>
    <t>Invertebrate community diversity, abundance, and response to prescribed fire and drawdown in wetlands at Agassiz National Wildlife Refuge</t>
  </si>
  <si>
    <t>Ned H. Euliss, Jr.</t>
  </si>
  <si>
    <t>Susceptibility of vaccinated Sandhill Cranes to West Nile Virus vaccine</t>
  </si>
  <si>
    <t>Glenn Olsen</t>
  </si>
  <si>
    <t>Population estimates for migrating shorebirds in the National Wildlife Refuge System of Central North America</t>
  </si>
  <si>
    <t>Adrian Farmer</t>
  </si>
  <si>
    <t>Improving electrofishing methods used to assess and sample lake sturgeon populations</t>
  </si>
  <si>
    <t>Mark P. Gaikowski, Thomas S. Kelly</t>
  </si>
  <si>
    <t>Development of techniques to propagate freshwater mussels utilizing fish hatcheries</t>
  </si>
  <si>
    <t>James Layzer</t>
  </si>
  <si>
    <t>Provide science-based support for implementation of the Lower Mississippi River aquatic resource management plan and the Lower Mississippi Valley Geomatics Network</t>
  </si>
  <si>
    <t>Robert Delaney, Lawrence Handley, James Johnston</t>
  </si>
  <si>
    <t>Food production and avian use of former catfish production ponds managed as moist-soil impoundments in the Mississippi Alluvial Valley</t>
  </si>
  <si>
    <t>Ken Reinecke</t>
  </si>
  <si>
    <t>Identify rivers in the Lower Tennessee-Cumberland and Southern Appalachians ecosystems for mussel and aquatic snail introductions</t>
  </si>
  <si>
    <t>Steven Ahlstedt</t>
  </si>
  <si>
    <t>Survey of Dan and Roanoke river drainages in NC and VA for potentially new species of unionid mussel</t>
  </si>
  <si>
    <t>Richard J. Neves,  Shannon Fennell</t>
  </si>
  <si>
    <t>Evaluating American oystercatchers as indicators of resource conditions on the Outer Banks of North Carolina</t>
  </si>
  <si>
    <t>Theodore R.  Simons, Shannon Fennell</t>
  </si>
  <si>
    <t>FCSC</t>
  </si>
  <si>
    <t>Estimation of ecosystem-level effects and evaluation of potential control methods for the Asian Swamp Eel (Family: Synbranchidae, Genus: Monopterus)</t>
  </si>
  <si>
    <t>William Loftus</t>
  </si>
  <si>
    <t>Effects of disturbance and predation on nesting American oystercatchers</t>
  </si>
  <si>
    <t>Joe  Meyers</t>
  </si>
  <si>
    <t>Distribution and habitat preferences of langostino, Macrobranchium carcinus, in Puerto Rican stream:  effects of elevation and pool depth</t>
  </si>
  <si>
    <t>Eric P. Bergersen,    Shannon Fennell</t>
  </si>
  <si>
    <t>Woodcock radio-telemetry (migration, habitat selection, seasonal survival) with expert workshops</t>
  </si>
  <si>
    <t>David G. Krementz, Shannon Fennell</t>
  </si>
  <si>
    <t>Current distribution and control of the invasive Old World climbing fern on the Arthur R. Marshall Loxahatchee NWR and in the South Florida ecosystem</t>
  </si>
  <si>
    <t>Don Deangelis</t>
  </si>
  <si>
    <t>The development of a decision support tool and procedures for evaluating dam operation in the Southeastern United States</t>
  </si>
  <si>
    <t>Elise Irwin,         Shannon Fennell</t>
  </si>
  <si>
    <t>A behavioral comparison of wild and hatchery-reared shortnose sturgeon in the Savannah River, SC</t>
  </si>
  <si>
    <t>John J. Isely,       Shannon Fennell</t>
  </si>
  <si>
    <t>Provide field assistance for the reintroduction, augmentation, and expansion of listed and species of concern mussel populations in the Tennessee and Cumberland Rivers, and the Mobile Basin</t>
  </si>
  <si>
    <t>Carbon sequestration and natural longleaf pine ecosystems  (03-R4-02)</t>
  </si>
  <si>
    <t>James B. Grand, Shannon Fennell</t>
  </si>
  <si>
    <t>Augment and expand existing endangered and species of concern mussel populations in the upper Tennessee and Cumberland River systems, Tennessee</t>
  </si>
  <si>
    <t>Shannon Fennell, Richard J. Neves</t>
  </si>
  <si>
    <t>Ecosystem response of salt marshes to Open Marsh Water Management (OMWM) and ditch plugging:  Monitoring at FWS Region 5 Coastal Refuges</t>
  </si>
  <si>
    <t>Mat Perry, Michael Erwin</t>
  </si>
  <si>
    <t>Grassland breeding bird use of managed grasslands in Region 5</t>
  </si>
  <si>
    <t>William L. Kendall</t>
  </si>
  <si>
    <t>Winter ecology of the long-tailed duck (Clangula hyemalis) in the Chesapeake Bay</t>
  </si>
  <si>
    <t>Matthew C. Perry</t>
  </si>
  <si>
    <t>Evaluation of American woodcock populations and habitat to assess potential biases in the distribution of Singing-ground Survey routes</t>
  </si>
  <si>
    <t>Daniel G. McAuley</t>
  </si>
  <si>
    <t>FRECS</t>
  </si>
  <si>
    <t>Northeastern Regional Assessments to implement the program for regional and international shorebird monitoring</t>
  </si>
  <si>
    <t>Jon Bart</t>
  </si>
  <si>
    <t>Population dynamics of the Indiana bat (myotis sodalis) in the Champlain Valley, VT and NY</t>
  </si>
  <si>
    <t>Shannon Fennell, Therese Donovan</t>
  </si>
  <si>
    <t>Bay-wide tagging study to assess spawning migration and population size of horseshoe crabs in Delaware Bay</t>
  </si>
  <si>
    <t>David  R. Smith</t>
  </si>
  <si>
    <t>Freshwater mussel survey of Copper Creek, VA and propagation of the federally endangered purple bean (Villosa perpurpurea)</t>
  </si>
  <si>
    <t>14.30</t>
  </si>
  <si>
    <t>Restoration of Hatchery-impacted streams by removal of phosphorus</t>
  </si>
  <si>
    <t>Philip L. Sibrell</t>
  </si>
  <si>
    <t>Development of methods to determine the reproductive status of pallid sturgeon in the Missouri River</t>
  </si>
  <si>
    <t>Aaron J. Delonay, Diana Papoulias, Donald Tillitt</t>
  </si>
  <si>
    <t>Mountain plover/agricultural lands in Eastern Colorado</t>
  </si>
  <si>
    <t>Fritz Knopf, Patricia Stevens</t>
  </si>
  <si>
    <t>Fish losses associated with irrigation diversion on the Wind River Indian Reservation, WY</t>
  </si>
  <si>
    <t>Eric P. Bergersen,   Shannon Fennell</t>
  </si>
  <si>
    <t>Genetic comparison of trumpeter swan populations</t>
  </si>
  <si>
    <t>Sara Oyler-McCance, Patricia Stevens</t>
  </si>
  <si>
    <t>Riparian willow restoration along the Illinois River at Arapaho NWR, Colorado</t>
  </si>
  <si>
    <t>Gregor Auble</t>
  </si>
  <si>
    <t>Effects of ungulate browsing on post-fire recovery of cottonwoods and willows: implications for management of riparian forests</t>
  </si>
  <si>
    <t>Michael Scott</t>
  </si>
  <si>
    <t>Habitat Use, movements, survival and residency times of female northern pintails in Nebraska's Rainwater Basins during Spring migration</t>
  </si>
  <si>
    <t>NWHC</t>
  </si>
  <si>
    <t>Immunization of black-footed ferrets and prairie dogs against sylvatic plague</t>
  </si>
  <si>
    <t>Tonie Rocke</t>
  </si>
  <si>
    <t>Status survey of mussels at Marais Des Cygnes National Wildlife Refuge</t>
  </si>
  <si>
    <t>Shannon Fennell, Charles F. Rabeni</t>
  </si>
  <si>
    <t>Ecology of Avian Species:  application of landscape and population ecology to avian species in the Central US</t>
  </si>
  <si>
    <t>Patricia Stevens, F.L. Knopf</t>
  </si>
  <si>
    <t>ABSC</t>
  </si>
  <si>
    <t>Estimating numbers of polar bears in the Beaufort Sea</t>
  </si>
  <si>
    <t>Steven Amstrup</t>
  </si>
  <si>
    <t>Characterization of Beaufort Sea Flyway: long-tailed ducks and Pacific common eiders</t>
  </si>
  <si>
    <t>Margaret Petersen</t>
  </si>
  <si>
    <t>Population dynamics of black scoters breeding on the Yukon-Kuskokwim Delta</t>
  </si>
  <si>
    <t>Paul L. Flint</t>
  </si>
  <si>
    <t>Yellow-billed loons breeding in Alaska: Identifying marine habitats during Summer migration and Winter</t>
  </si>
  <si>
    <t>Joel A. Schmutz</t>
  </si>
  <si>
    <t>Sea otter foraging behavior and population status in the Aleutian Islands and the Alaska Peninsula</t>
  </si>
  <si>
    <t>James L. Bodkin</t>
  </si>
  <si>
    <t>Development of a remotely applied telemetry tag for Pacific Walrus</t>
  </si>
  <si>
    <t>Chadwick V. Jay, David F. Tessler</t>
  </si>
  <si>
    <t>Genetic differentiation of breeding and wintering bristle-thighed curlews</t>
  </si>
  <si>
    <t>Robert E. Gill</t>
  </si>
  <si>
    <t>HQ</t>
  </si>
  <si>
    <t>Behavior, Passage, and Guidance of Downstream Migrant Fishes in Hydroelectric Forebay Environments</t>
  </si>
  <si>
    <t>Stephen Rideout</t>
  </si>
  <si>
    <t xml:space="preserve"> </t>
  </si>
  <si>
    <t>Use of therapeutic agents to control mortalities associated with saprolegniasis on lake trout eggs (Salvelinus namaycush); hyrogen peroxide versus formalin</t>
  </si>
  <si>
    <t>Jeff Rach</t>
  </si>
  <si>
    <t>Jon Bart, David Andersen
Marshall Howe</t>
  </si>
  <si>
    <r>
      <t xml:space="preserve">                                                                                                                                            </t>
    </r>
    <r>
      <rPr>
        <b/>
        <sz val="11"/>
        <rFont val="Times New Roman"/>
        <family val="1"/>
      </rPr>
      <t>TOTAL</t>
    </r>
  </si>
  <si>
    <t>CRU-VT</t>
  </si>
  <si>
    <t>Funds remaining at HQ</t>
  </si>
  <si>
    <t>Patricia Stevens, Susan Skagen</t>
  </si>
  <si>
    <r>
      <t xml:space="preserve">                                                                                                                                                                                  </t>
    </r>
    <r>
      <rPr>
        <b/>
        <sz val="10"/>
        <rFont val="Times New Roman"/>
        <family val="1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</si>
</sst>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/d/yy"/>
    <numFmt numFmtId="173" formatCode="&quot;$&quot;#,##0.00"/>
  </numFmts>
  <fonts count="12" x14ac:knownFonts="1">
    <font>
      <sz val="10"/>
      <name val="Arial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Fill="1" applyAlignment="1">
      <alignment horizontal="left"/>
    </xf>
    <xf numFmtId="49" fontId="1" fillId="0" borderId="0" xfId="0" applyNumberFormat="1" applyFont="1" applyFill="1" applyAlignment="1">
      <alignment horizontal="left" vertical="top" wrapText="1"/>
    </xf>
    <xf numFmtId="0" fontId="1" fillId="0" borderId="0" xfId="0" applyFont="1" applyFill="1" applyAlignment="1">
      <alignment horizontal="right"/>
    </xf>
    <xf numFmtId="0" fontId="1" fillId="0" borderId="0" xfId="0" applyNumberFormat="1" applyFont="1" applyFill="1" applyAlignment="1">
      <alignment horizontal="right" wrapText="1"/>
    </xf>
    <xf numFmtId="0" fontId="1" fillId="0" borderId="0" xfId="0" applyFont="1" applyFill="1" applyAlignment="1">
      <alignment horizontal="center"/>
    </xf>
    <xf numFmtId="172" fontId="1" fillId="0" borderId="0" xfId="0" applyNumberFormat="1" applyFont="1" applyFill="1" applyAlignment="1">
      <alignment horizontal="center"/>
    </xf>
    <xf numFmtId="0" fontId="2" fillId="0" borderId="0" xfId="0" applyFont="1"/>
    <xf numFmtId="0" fontId="3" fillId="0" borderId="0" xfId="0" applyFont="1" applyFill="1" applyAlignment="1">
      <alignment horizontal="left"/>
    </xf>
    <xf numFmtId="49" fontId="3" fillId="0" borderId="0" xfId="0" applyNumberFormat="1" applyFont="1" applyFill="1" applyAlignment="1">
      <alignment horizontal="left" vertical="top" wrapText="1"/>
    </xf>
    <xf numFmtId="4" fontId="3" fillId="0" borderId="0" xfId="0" applyNumberFormat="1" applyFont="1" applyFill="1" applyAlignment="1">
      <alignment horizontal="right"/>
    </xf>
    <xf numFmtId="0" fontId="3" fillId="0" borderId="0" xfId="0" applyNumberFormat="1" applyFont="1" applyFill="1" applyAlignment="1">
      <alignment horizontal="right" wrapText="1"/>
    </xf>
    <xf numFmtId="15" fontId="3" fillId="0" borderId="0" xfId="0" applyNumberFormat="1" applyFont="1" applyFill="1" applyAlignment="1">
      <alignment horizontal="right"/>
    </xf>
    <xf numFmtId="172" fontId="3" fillId="0" borderId="0" xfId="0" applyNumberFormat="1" applyFont="1" applyFill="1" applyAlignment="1">
      <alignment horizontal="right"/>
    </xf>
    <xf numFmtId="0" fontId="4" fillId="0" borderId="0" xfId="0" applyFont="1"/>
    <xf numFmtId="173" fontId="3" fillId="0" borderId="0" xfId="0" applyNumberFormat="1" applyFont="1"/>
    <xf numFmtId="173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right" wrapText="1"/>
    </xf>
    <xf numFmtId="15" fontId="3" fillId="0" borderId="0" xfId="0" applyNumberFormat="1" applyFont="1"/>
    <xf numFmtId="172" fontId="3" fillId="0" borderId="0" xfId="0" applyNumberFormat="1" applyFont="1"/>
    <xf numFmtId="4" fontId="3" fillId="0" borderId="0" xfId="0" applyNumberFormat="1" applyFont="1"/>
    <xf numFmtId="4" fontId="3" fillId="0" borderId="0" xfId="0" applyNumberFormat="1" applyFont="1" applyAlignment="1">
      <alignment horizontal="right"/>
    </xf>
    <xf numFmtId="0" fontId="3" fillId="0" borderId="0" xfId="0" quotePrefix="1" applyNumberFormat="1" applyFont="1" applyAlignment="1">
      <alignment horizontal="right" wrapText="1"/>
    </xf>
    <xf numFmtId="0" fontId="3" fillId="0" borderId="0" xfId="0" applyFont="1" applyFill="1" applyAlignment="1">
      <alignment horizontal="left" wrapText="1"/>
    </xf>
    <xf numFmtId="0" fontId="3" fillId="0" borderId="0" xfId="0" quotePrefix="1" applyNumberFormat="1" applyFont="1" applyFill="1" applyAlignment="1">
      <alignment horizontal="right" wrapText="1"/>
    </xf>
    <xf numFmtId="15" fontId="1" fillId="0" borderId="0" xfId="0" applyNumberFormat="1" applyFont="1"/>
    <xf numFmtId="172" fontId="1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vertical="top" wrapText="1"/>
    </xf>
    <xf numFmtId="0" fontId="5" fillId="0" borderId="0" xfId="0" applyFont="1" applyFill="1" applyAlignment="1">
      <alignment horizontal="left"/>
    </xf>
    <xf numFmtId="49" fontId="5" fillId="0" borderId="0" xfId="0" applyNumberFormat="1" applyFont="1" applyFill="1" applyAlignment="1">
      <alignment horizontal="left" vertical="top" wrapText="1"/>
    </xf>
    <xf numFmtId="0" fontId="6" fillId="0" borderId="0" xfId="0" applyFont="1" applyFill="1" applyAlignment="1">
      <alignment horizontal="left"/>
    </xf>
    <xf numFmtId="49" fontId="6" fillId="0" borderId="0" xfId="0" applyNumberFormat="1" applyFont="1" applyFill="1" applyAlignment="1">
      <alignment horizontal="left" vertical="top" wrapText="1"/>
    </xf>
    <xf numFmtId="4" fontId="6" fillId="0" borderId="0" xfId="0" applyNumberFormat="1" applyFont="1" applyFill="1" applyAlignment="1">
      <alignment horizontal="right"/>
    </xf>
    <xf numFmtId="173" fontId="6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right" wrapText="1"/>
    </xf>
    <xf numFmtId="0" fontId="8" fillId="0" borderId="0" xfId="0" applyFont="1" applyFill="1" applyAlignment="1">
      <alignment horizontal="left"/>
    </xf>
    <xf numFmtId="49" fontId="8" fillId="0" borderId="0" xfId="0" applyNumberFormat="1" applyFont="1" applyFill="1" applyAlignment="1">
      <alignment horizontal="left" vertical="top" wrapText="1"/>
    </xf>
    <xf numFmtId="4" fontId="9" fillId="0" borderId="0" xfId="0" applyNumberFormat="1" applyFont="1" applyAlignment="1">
      <alignment horizontal="right"/>
    </xf>
    <xf numFmtId="0" fontId="9" fillId="0" borderId="0" xfId="0" applyNumberFormat="1" applyFont="1" applyAlignment="1">
      <alignment horizontal="right" wrapText="1"/>
    </xf>
    <xf numFmtId="173" fontId="8" fillId="0" borderId="0" xfId="0" applyNumberFormat="1" applyFont="1" applyFill="1" applyAlignment="1">
      <alignment horizontal="right"/>
    </xf>
    <xf numFmtId="0" fontId="10" fillId="0" borderId="0" xfId="0" applyFont="1"/>
    <xf numFmtId="4" fontId="9" fillId="0" borderId="0" xfId="0" applyNumberFormat="1" applyFont="1"/>
    <xf numFmtId="0" fontId="9" fillId="0" borderId="0" xfId="0" quotePrefix="1" applyNumberFormat="1" applyFont="1" applyAlignment="1">
      <alignment horizontal="right" wrapText="1"/>
    </xf>
    <xf numFmtId="15" fontId="9" fillId="0" borderId="0" xfId="0" applyNumberFormat="1" applyFont="1"/>
    <xf numFmtId="172" fontId="9" fillId="0" borderId="0" xfId="0" applyNumberFormat="1" applyFont="1"/>
    <xf numFmtId="4" fontId="11" fillId="0" borderId="0" xfId="0" applyNumberFormat="1" applyFont="1" applyFill="1" applyAlignment="1">
      <alignment horizontal="right"/>
    </xf>
    <xf numFmtId="0" fontId="11" fillId="0" borderId="0" xfId="0" applyNumberFormat="1" applyFont="1" applyFill="1" applyAlignment="1">
      <alignment horizontal="right" wrapText="1"/>
    </xf>
    <xf numFmtId="15" fontId="11" fillId="0" borderId="0" xfId="0" applyNumberFormat="1" applyFont="1" applyFill="1" applyAlignment="1">
      <alignment horizontal="right"/>
    </xf>
    <xf numFmtId="172" fontId="11" fillId="0" borderId="0" xfId="0" applyNumberFormat="1" applyFont="1" applyFill="1" applyAlignment="1">
      <alignment horizontal="right"/>
    </xf>
    <xf numFmtId="3" fontId="1" fillId="0" borderId="0" xfId="0" applyNumberFormat="1" applyFont="1" applyFill="1" applyAlignment="1"/>
    <xf numFmtId="3" fontId="6" fillId="0" borderId="0" xfId="0" applyNumberFormat="1" applyFont="1" applyFill="1" applyAlignment="1"/>
    <xf numFmtId="3" fontId="3" fillId="0" borderId="0" xfId="0" applyNumberFormat="1" applyFont="1" applyAlignment="1"/>
    <xf numFmtId="3" fontId="3" fillId="0" borderId="0" xfId="0" applyNumberFormat="1" applyFont="1" applyFill="1" applyAlignment="1"/>
    <xf numFmtId="3" fontId="5" fillId="0" borderId="0" xfId="0" applyNumberFormat="1" applyFont="1" applyAlignment="1"/>
    <xf numFmtId="3" fontId="8" fillId="0" borderId="0" xfId="0" applyNumberFormat="1" applyFont="1" applyFill="1" applyAlignment="1"/>
    <xf numFmtId="3" fontId="6" fillId="0" borderId="0" xfId="0" applyNumberFormat="1" applyFont="1" applyFill="1" applyAlignment="1">
      <alignment horizontal="right"/>
    </xf>
    <xf numFmtId="3" fontId="7" fillId="0" borderId="0" xfId="0" applyNumberFormat="1" applyFont="1" applyAlignment="1"/>
    <xf numFmtId="3" fontId="5" fillId="0" borderId="0" xfId="0" applyNumberFormat="1" applyFont="1" applyFill="1" applyAlignment="1"/>
    <xf numFmtId="3" fontId="1" fillId="0" borderId="0" xfId="0" applyNumberFormat="1" applyFont="1" applyAlignment="1"/>
    <xf numFmtId="49" fontId="3" fillId="0" borderId="0" xfId="0" applyNumberFormat="1" applyFont="1" applyBorder="1" applyAlignment="1">
      <alignment wrapText="1"/>
    </xf>
    <xf numFmtId="49" fontId="6" fillId="0" borderId="0" xfId="0" applyNumberFormat="1" applyFont="1" applyFill="1" applyAlignment="1">
      <alignment horizontal="left" wrapText="1"/>
    </xf>
    <xf numFmtId="49" fontId="3" fillId="0" borderId="0" xfId="0" applyNumberFormat="1" applyFont="1" applyFill="1" applyAlignment="1">
      <alignment horizontal="left" wrapText="1"/>
    </xf>
    <xf numFmtId="4" fontId="5" fillId="0" borderId="0" xfId="0" applyNumberFormat="1" applyFont="1" applyAlignment="1">
      <alignment horizontal="right"/>
    </xf>
    <xf numFmtId="3" fontId="3" fillId="0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5"/>
  <sheetViews>
    <sheetView tabSelected="1" topLeftCell="A90" zoomScale="75" workbookViewId="0">
      <selection activeCell="B97" sqref="B97"/>
    </sheetView>
  </sheetViews>
  <sheetFormatPr defaultColWidth="9.1796875" defaultRowHeight="13" x14ac:dyDescent="0.3"/>
  <cols>
    <col min="1" max="1" width="8.26953125" style="27" customWidth="1"/>
    <col min="2" max="2" width="102" style="30" customWidth="1"/>
    <col min="3" max="3" width="10.54296875" style="61" customWidth="1"/>
    <col min="4" max="4" width="7.7265625" style="29" customWidth="1"/>
    <col min="5" max="5" width="40" style="28" customWidth="1"/>
    <col min="6" max="6" width="14.81640625" style="27" hidden="1" customWidth="1"/>
    <col min="7" max="7" width="9.453125" style="26" hidden="1" customWidth="1"/>
    <col min="8" max="8" width="11.1796875" style="27" hidden="1" customWidth="1"/>
    <col min="9" max="9" width="14.1796875" style="28" customWidth="1"/>
    <col min="10" max="16384" width="9.1796875" style="7"/>
  </cols>
  <sheetData>
    <row r="1" spans="1:13" x14ac:dyDescent="0.3">
      <c r="A1" s="1" t="s">
        <v>0</v>
      </c>
      <c r="B1" s="2" t="s">
        <v>1</v>
      </c>
      <c r="C1" s="5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5" t="s">
        <v>7</v>
      </c>
      <c r="I1" s="4" t="s">
        <v>8</v>
      </c>
    </row>
    <row r="2" spans="1:13" ht="14" x14ac:dyDescent="0.3">
      <c r="A2" s="33" t="s">
        <v>16</v>
      </c>
      <c r="B2" s="34" t="s">
        <v>195</v>
      </c>
      <c r="C2" s="53">
        <v>29000</v>
      </c>
      <c r="D2" s="35" t="s">
        <v>11</v>
      </c>
      <c r="E2" s="37" t="s">
        <v>196</v>
      </c>
      <c r="F2" s="35">
        <v>65057</v>
      </c>
      <c r="G2"/>
      <c r="H2" s="36">
        <v>29000</v>
      </c>
      <c r="I2">
        <v>2.1</v>
      </c>
      <c r="K2"/>
      <c r="L2"/>
      <c r="M2"/>
    </row>
    <row r="3" spans="1:13" s="14" customFormat="1" ht="14" x14ac:dyDescent="0.3">
      <c r="A3" s="8" t="s">
        <v>16</v>
      </c>
      <c r="B3" s="9" t="s">
        <v>153</v>
      </c>
      <c r="C3" s="54">
        <v>110000</v>
      </c>
      <c r="D3" s="21" t="s">
        <v>11</v>
      </c>
      <c r="E3" s="17" t="s">
        <v>154</v>
      </c>
      <c r="F3" s="18"/>
      <c r="G3" s="19"/>
      <c r="H3" s="20"/>
      <c r="I3" s="17">
        <v>2.2000000000000002</v>
      </c>
    </row>
    <row r="4" spans="1:13" s="14" customFormat="1" ht="14" x14ac:dyDescent="0.3">
      <c r="A4" s="8" t="s">
        <v>16</v>
      </c>
      <c r="B4" s="9" t="s">
        <v>157</v>
      </c>
      <c r="C4" s="54">
        <v>28000</v>
      </c>
      <c r="D4" s="21" t="s">
        <v>11</v>
      </c>
      <c r="E4" s="17" t="s">
        <v>158</v>
      </c>
      <c r="F4" s="18"/>
      <c r="G4" s="19"/>
      <c r="H4" s="20"/>
      <c r="I4" s="17">
        <v>2.2999999999999998</v>
      </c>
    </row>
    <row r="5" spans="1:13" s="14" customFormat="1" ht="28" x14ac:dyDescent="0.3">
      <c r="A5" s="23" t="s">
        <v>120</v>
      </c>
      <c r="B5" s="9" t="s">
        <v>121</v>
      </c>
      <c r="C5" s="55">
        <v>74000</v>
      </c>
      <c r="D5" s="10" t="s">
        <v>11</v>
      </c>
      <c r="E5" s="11" t="s">
        <v>122</v>
      </c>
      <c r="F5" s="12"/>
      <c r="G5" s="13"/>
      <c r="H5" s="10"/>
      <c r="I5" s="11">
        <v>5.0999999999999996</v>
      </c>
    </row>
    <row r="6" spans="1:13" s="14" customFormat="1" ht="14" x14ac:dyDescent="0.3">
      <c r="A6" s="8" t="s">
        <v>85</v>
      </c>
      <c r="B6" s="9" t="s">
        <v>106</v>
      </c>
      <c r="C6" s="55">
        <v>50000</v>
      </c>
      <c r="D6" s="10" t="s">
        <v>11</v>
      </c>
      <c r="E6" s="11" t="s">
        <v>107</v>
      </c>
      <c r="F6" s="12"/>
      <c r="G6" s="13"/>
      <c r="H6" s="10"/>
      <c r="I6" s="11">
        <v>6.2</v>
      </c>
    </row>
    <row r="7" spans="1:13" s="14" customFormat="1" ht="28" x14ac:dyDescent="0.3">
      <c r="A7" s="8" t="s">
        <v>85</v>
      </c>
      <c r="B7" s="9" t="s">
        <v>198</v>
      </c>
      <c r="C7" s="55">
        <v>19000</v>
      </c>
      <c r="D7" s="10" t="s">
        <v>11</v>
      </c>
      <c r="E7" s="11" t="s">
        <v>199</v>
      </c>
      <c r="F7" s="12"/>
      <c r="G7" s="13"/>
      <c r="H7" s="10"/>
      <c r="I7" s="11">
        <v>6.3</v>
      </c>
    </row>
    <row r="8" spans="1:13" s="14" customFormat="1" ht="28" x14ac:dyDescent="0.3">
      <c r="A8" s="8" t="s">
        <v>31</v>
      </c>
      <c r="B8" s="9" t="s">
        <v>32</v>
      </c>
      <c r="C8" s="55">
        <v>35000</v>
      </c>
      <c r="D8" s="10" t="s">
        <v>11</v>
      </c>
      <c r="E8" s="11" t="s">
        <v>33</v>
      </c>
      <c r="F8" s="12"/>
      <c r="G8" s="13"/>
      <c r="H8" s="10"/>
      <c r="I8" s="11">
        <v>7.1</v>
      </c>
    </row>
    <row r="9" spans="1:13" s="14" customFormat="1" ht="28" x14ac:dyDescent="0.3">
      <c r="A9" s="8" t="s">
        <v>31</v>
      </c>
      <c r="B9" s="9" t="s">
        <v>56</v>
      </c>
      <c r="C9" s="55">
        <v>67000</v>
      </c>
      <c r="D9" s="10" t="s">
        <v>11</v>
      </c>
      <c r="E9" s="11" t="s">
        <v>57</v>
      </c>
      <c r="F9" s="12"/>
      <c r="G9" s="13"/>
      <c r="H9" s="10"/>
      <c r="I9" s="11">
        <v>7.2</v>
      </c>
    </row>
    <row r="10" spans="1:13" s="14" customFormat="1" ht="28" x14ac:dyDescent="0.3">
      <c r="A10" s="8" t="s">
        <v>53</v>
      </c>
      <c r="B10" s="9" t="s">
        <v>110</v>
      </c>
      <c r="C10" s="55">
        <v>75000</v>
      </c>
      <c r="D10" s="10" t="s">
        <v>11</v>
      </c>
      <c r="E10" s="11" t="s">
        <v>111</v>
      </c>
      <c r="F10" s="12"/>
      <c r="G10" s="13"/>
      <c r="H10" s="10"/>
      <c r="I10" s="11">
        <v>8.1</v>
      </c>
    </row>
    <row r="11" spans="1:13" s="14" customFormat="1" ht="14" x14ac:dyDescent="0.3">
      <c r="A11" s="8" t="s">
        <v>58</v>
      </c>
      <c r="B11" s="9" t="s">
        <v>59</v>
      </c>
      <c r="C11" s="55">
        <v>88200</v>
      </c>
      <c r="D11" s="10" t="s">
        <v>11</v>
      </c>
      <c r="E11" s="11" t="s">
        <v>60</v>
      </c>
      <c r="F11" s="12"/>
      <c r="G11" s="13"/>
      <c r="H11" s="10"/>
      <c r="I11" s="11">
        <v>9.1</v>
      </c>
    </row>
    <row r="12" spans="1:13" s="14" customFormat="1" ht="14" x14ac:dyDescent="0.3">
      <c r="A12" s="8" t="s">
        <v>58</v>
      </c>
      <c r="B12" s="9" t="s">
        <v>61</v>
      </c>
      <c r="C12" s="55">
        <v>59410</v>
      </c>
      <c r="D12" s="10" t="s">
        <v>11</v>
      </c>
      <c r="E12" s="11" t="s">
        <v>62</v>
      </c>
      <c r="F12" s="12"/>
      <c r="G12" s="13"/>
      <c r="H12" s="10"/>
      <c r="I12" s="11">
        <v>9.1999999999999993</v>
      </c>
    </row>
    <row r="13" spans="1:13" s="14" customFormat="1" ht="14" x14ac:dyDescent="0.3">
      <c r="A13" s="8" t="s">
        <v>58</v>
      </c>
      <c r="B13" s="9" t="s">
        <v>81</v>
      </c>
      <c r="C13" s="55">
        <v>39900</v>
      </c>
      <c r="D13" s="10" t="s">
        <v>11</v>
      </c>
      <c r="E13" s="11" t="s">
        <v>82</v>
      </c>
      <c r="F13" s="12"/>
      <c r="G13" s="13"/>
      <c r="H13" s="10"/>
      <c r="I13" s="11">
        <v>9.3000000000000007</v>
      </c>
    </row>
    <row r="14" spans="1:13" s="14" customFormat="1" ht="29.25" customHeight="1" x14ac:dyDescent="0.3">
      <c r="A14" s="8" t="s">
        <v>58</v>
      </c>
      <c r="B14" s="64" t="s">
        <v>159</v>
      </c>
      <c r="C14" s="55">
        <v>42000</v>
      </c>
      <c r="D14" s="10" t="s">
        <v>11</v>
      </c>
      <c r="E14" s="11" t="s">
        <v>160</v>
      </c>
      <c r="F14" s="12"/>
      <c r="G14" s="13"/>
      <c r="H14" s="10"/>
      <c r="I14" s="11">
        <v>9.4</v>
      </c>
    </row>
    <row r="15" spans="1:13" s="14" customFormat="1" ht="28" x14ac:dyDescent="0.3">
      <c r="A15" s="8" t="s">
        <v>9</v>
      </c>
      <c r="B15" s="9" t="s">
        <v>29</v>
      </c>
      <c r="C15" s="55">
        <v>48000</v>
      </c>
      <c r="D15" s="10" t="s">
        <v>11</v>
      </c>
      <c r="E15" s="11" t="s">
        <v>30</v>
      </c>
      <c r="F15" s="12"/>
      <c r="G15" s="13"/>
      <c r="H15" s="10"/>
      <c r="I15" s="11">
        <v>11.1</v>
      </c>
    </row>
    <row r="16" spans="1:13" s="14" customFormat="1" ht="28" x14ac:dyDescent="0.3">
      <c r="A16" s="8" t="s">
        <v>9</v>
      </c>
      <c r="B16" s="62" t="s">
        <v>10</v>
      </c>
      <c r="C16" s="55">
        <v>46000</v>
      </c>
      <c r="D16" s="10" t="s">
        <v>11</v>
      </c>
      <c r="E16" s="11" t="s">
        <v>12</v>
      </c>
      <c r="F16" s="12"/>
      <c r="G16" s="13"/>
      <c r="H16" s="10"/>
      <c r="I16" s="11">
        <v>11.2</v>
      </c>
    </row>
    <row r="17" spans="1:9" s="14" customFormat="1" ht="14" x14ac:dyDescent="0.3">
      <c r="A17" s="8" t="s">
        <v>26</v>
      </c>
      <c r="B17" s="9" t="s">
        <v>45</v>
      </c>
      <c r="C17" s="55">
        <v>57200</v>
      </c>
      <c r="D17" s="10" t="s">
        <v>11</v>
      </c>
      <c r="E17" s="11" t="s">
        <v>46</v>
      </c>
      <c r="F17" s="12"/>
      <c r="G17" s="13"/>
      <c r="H17" s="10"/>
      <c r="I17" s="11">
        <v>12.4</v>
      </c>
    </row>
    <row r="18" spans="1:9" s="14" customFormat="1" ht="14" x14ac:dyDescent="0.3">
      <c r="A18" s="8" t="s">
        <v>13</v>
      </c>
      <c r="B18" s="9" t="s">
        <v>63</v>
      </c>
      <c r="C18" s="55">
        <v>13500</v>
      </c>
      <c r="D18" s="10" t="s">
        <v>11</v>
      </c>
      <c r="E18" s="11" t="s">
        <v>64</v>
      </c>
      <c r="F18" s="12"/>
      <c r="G18" s="13"/>
      <c r="H18" s="10"/>
      <c r="I18" s="11">
        <v>14.11</v>
      </c>
    </row>
    <row r="19" spans="1:9" s="14" customFormat="1" ht="14" x14ac:dyDescent="0.3">
      <c r="A19" s="8" t="s">
        <v>13</v>
      </c>
      <c r="B19" s="9" t="s">
        <v>116</v>
      </c>
      <c r="C19" s="55">
        <v>10000</v>
      </c>
      <c r="D19" s="10" t="s">
        <v>11</v>
      </c>
      <c r="E19" s="11" t="s">
        <v>117</v>
      </c>
      <c r="F19" s="12"/>
      <c r="G19" s="13"/>
      <c r="H19" s="10"/>
      <c r="I19" s="11">
        <v>14.12</v>
      </c>
    </row>
    <row r="20" spans="1:9" s="14" customFormat="1" ht="28" x14ac:dyDescent="0.3">
      <c r="A20" s="8" t="s">
        <v>13</v>
      </c>
      <c r="B20" s="9" t="s">
        <v>125</v>
      </c>
      <c r="C20" s="55">
        <v>26250</v>
      </c>
      <c r="D20" s="10" t="s">
        <v>11</v>
      </c>
      <c r="E20" s="11" t="s">
        <v>126</v>
      </c>
      <c r="F20" s="12"/>
      <c r="G20" s="13"/>
      <c r="H20" s="10"/>
      <c r="I20" s="11">
        <v>14.14</v>
      </c>
    </row>
    <row r="21" spans="1:9" s="14" customFormat="1" ht="14" x14ac:dyDescent="0.3">
      <c r="A21" s="8" t="s">
        <v>13</v>
      </c>
      <c r="B21" s="9" t="s">
        <v>131</v>
      </c>
      <c r="C21" s="55">
        <v>65000</v>
      </c>
      <c r="D21" s="10" t="s">
        <v>11</v>
      </c>
      <c r="E21" s="11" t="s">
        <v>132</v>
      </c>
      <c r="F21" s="12"/>
      <c r="G21" s="13"/>
      <c r="H21" s="10"/>
      <c r="I21" s="11">
        <v>14.16</v>
      </c>
    </row>
    <row r="22" spans="1:9" s="14" customFormat="1" ht="14" x14ac:dyDescent="0.3">
      <c r="A22" s="8" t="s">
        <v>13</v>
      </c>
      <c r="B22" s="9" t="s">
        <v>133</v>
      </c>
      <c r="C22" s="55">
        <v>26000</v>
      </c>
      <c r="D22" s="10" t="s">
        <v>11</v>
      </c>
      <c r="E22" s="11" t="s">
        <v>134</v>
      </c>
      <c r="F22" s="12"/>
      <c r="G22" s="13"/>
      <c r="H22" s="10"/>
      <c r="I22" s="11">
        <v>14.17</v>
      </c>
    </row>
    <row r="23" spans="1:9" s="14" customFormat="1" ht="14" x14ac:dyDescent="0.3">
      <c r="A23" s="8" t="s">
        <v>13</v>
      </c>
      <c r="B23" s="9" t="s">
        <v>163</v>
      </c>
      <c r="C23" s="55">
        <v>27894</v>
      </c>
      <c r="D23" s="10" t="s">
        <v>11</v>
      </c>
      <c r="E23" s="11" t="s">
        <v>164</v>
      </c>
      <c r="F23" s="12"/>
      <c r="G23" s="13"/>
      <c r="H23" s="10"/>
      <c r="I23" s="11">
        <v>14.18</v>
      </c>
    </row>
    <row r="24" spans="1:9" s="14" customFormat="1" ht="14" x14ac:dyDescent="0.3">
      <c r="A24" s="8" t="s">
        <v>13</v>
      </c>
      <c r="B24" s="9" t="s">
        <v>14</v>
      </c>
      <c r="C24" s="55">
        <v>15000</v>
      </c>
      <c r="D24" s="10" t="s">
        <v>11</v>
      </c>
      <c r="E24" s="11" t="s">
        <v>15</v>
      </c>
      <c r="F24" s="12"/>
      <c r="G24" s="13"/>
      <c r="H24" s="10"/>
      <c r="I24" s="11">
        <v>14.19</v>
      </c>
    </row>
    <row r="25" spans="1:9" s="14" customFormat="1" ht="14" x14ac:dyDescent="0.3">
      <c r="A25" s="8" t="s">
        <v>13</v>
      </c>
      <c r="B25" s="9" t="s">
        <v>74</v>
      </c>
      <c r="C25" s="54">
        <v>29000</v>
      </c>
      <c r="D25" s="21" t="s">
        <v>11</v>
      </c>
      <c r="E25" s="17" t="s">
        <v>75</v>
      </c>
      <c r="F25" s="18"/>
      <c r="G25" s="19"/>
      <c r="H25" s="20"/>
      <c r="I25" s="17">
        <v>14.24</v>
      </c>
    </row>
    <row r="26" spans="1:9" s="14" customFormat="1" ht="28" x14ac:dyDescent="0.3">
      <c r="A26" s="8" t="s">
        <v>13</v>
      </c>
      <c r="B26" s="9" t="s">
        <v>138</v>
      </c>
      <c r="C26" s="55">
        <v>32440</v>
      </c>
      <c r="D26" s="10" t="s">
        <v>11</v>
      </c>
      <c r="E26" s="11" t="s">
        <v>139</v>
      </c>
      <c r="F26" s="12"/>
      <c r="G26" s="13"/>
      <c r="H26" s="10"/>
      <c r="I26" s="11">
        <v>14.27</v>
      </c>
    </row>
    <row r="27" spans="1:9" s="14" customFormat="1" ht="14" x14ac:dyDescent="0.3">
      <c r="A27" s="8" t="s">
        <v>13</v>
      </c>
      <c r="B27" s="9" t="s">
        <v>92</v>
      </c>
      <c r="C27" s="55">
        <v>40399</v>
      </c>
      <c r="D27" s="10" t="s">
        <v>11</v>
      </c>
      <c r="E27" s="11" t="s">
        <v>93</v>
      </c>
      <c r="F27" s="12"/>
      <c r="G27" s="13"/>
      <c r="H27" s="10"/>
      <c r="I27" s="11">
        <v>14.3</v>
      </c>
    </row>
    <row r="28" spans="1:9" s="14" customFormat="1" ht="14" x14ac:dyDescent="0.3">
      <c r="A28" s="8" t="s">
        <v>13</v>
      </c>
      <c r="B28" s="9" t="s">
        <v>175</v>
      </c>
      <c r="C28" s="54">
        <v>17600</v>
      </c>
      <c r="D28" s="21" t="s">
        <v>11</v>
      </c>
      <c r="E28" s="17" t="s">
        <v>176</v>
      </c>
      <c r="F28" s="18"/>
      <c r="G28" s="19"/>
      <c r="H28" s="20"/>
      <c r="I28" s="17">
        <v>14.32</v>
      </c>
    </row>
    <row r="29" spans="1:9" s="14" customFormat="1" ht="14" x14ac:dyDescent="0.3">
      <c r="A29" s="8" t="s">
        <v>13</v>
      </c>
      <c r="B29" s="9" t="s">
        <v>108</v>
      </c>
      <c r="C29" s="55">
        <v>50000</v>
      </c>
      <c r="D29" s="10" t="s">
        <v>11</v>
      </c>
      <c r="E29" s="11" t="s">
        <v>109</v>
      </c>
      <c r="F29" s="12"/>
      <c r="G29" s="13"/>
      <c r="H29" s="10"/>
      <c r="I29" s="11">
        <v>14.4</v>
      </c>
    </row>
    <row r="30" spans="1:9" s="14" customFormat="1" ht="28" x14ac:dyDescent="0.3">
      <c r="A30" s="8" t="s">
        <v>71</v>
      </c>
      <c r="B30" s="9" t="s">
        <v>114</v>
      </c>
      <c r="C30" s="55">
        <v>22500</v>
      </c>
      <c r="D30" s="10" t="s">
        <v>11</v>
      </c>
      <c r="E30" s="11" t="s">
        <v>115</v>
      </c>
      <c r="F30" s="12"/>
      <c r="G30" s="13"/>
      <c r="H30" s="10"/>
      <c r="I30" s="11">
        <v>15.2</v>
      </c>
    </row>
    <row r="31" spans="1:9" s="14" customFormat="1" ht="28" x14ac:dyDescent="0.3">
      <c r="A31" s="8" t="s">
        <v>71</v>
      </c>
      <c r="B31" s="9" t="s">
        <v>135</v>
      </c>
      <c r="C31" s="55">
        <v>23175</v>
      </c>
      <c r="D31" s="10" t="s">
        <v>11</v>
      </c>
      <c r="E31" s="11" t="s">
        <v>115</v>
      </c>
      <c r="F31" s="12"/>
      <c r="G31" s="13"/>
      <c r="H31" s="10"/>
      <c r="I31" s="11">
        <v>15.3</v>
      </c>
    </row>
    <row r="32" spans="1:9" s="14" customFormat="1" ht="14" x14ac:dyDescent="0.3">
      <c r="A32" s="8" t="s">
        <v>71</v>
      </c>
      <c r="B32" s="9" t="s">
        <v>72</v>
      </c>
      <c r="C32" s="54">
        <v>15000</v>
      </c>
      <c r="D32" s="21" t="s">
        <v>11</v>
      </c>
      <c r="E32" s="17" t="s">
        <v>73</v>
      </c>
      <c r="F32" s="18"/>
      <c r="G32" s="19"/>
      <c r="H32" s="20"/>
      <c r="I32" s="17">
        <v>15.4</v>
      </c>
    </row>
    <row r="33" spans="1:11" s="14" customFormat="1" ht="14" x14ac:dyDescent="0.3">
      <c r="A33" s="8" t="s">
        <v>78</v>
      </c>
      <c r="B33" s="9" t="s">
        <v>94</v>
      </c>
      <c r="C33" s="55">
        <v>30000</v>
      </c>
      <c r="D33" s="10" t="s">
        <v>11</v>
      </c>
      <c r="E33" s="11" t="s">
        <v>95</v>
      </c>
      <c r="F33" s="12"/>
      <c r="G33" s="13">
        <v>37721</v>
      </c>
      <c r="H33" s="10"/>
      <c r="I33" s="11">
        <v>17.100000000000001</v>
      </c>
    </row>
    <row r="34" spans="1:11" s="14" customFormat="1" ht="28" x14ac:dyDescent="0.3">
      <c r="A34" s="8" t="s">
        <v>13</v>
      </c>
      <c r="B34" s="9" t="s">
        <v>155</v>
      </c>
      <c r="C34" s="54">
        <v>24000</v>
      </c>
      <c r="D34" s="21" t="s">
        <v>11</v>
      </c>
      <c r="E34" s="17" t="s">
        <v>139</v>
      </c>
      <c r="F34" s="18"/>
      <c r="G34" s="19"/>
      <c r="H34" s="20"/>
      <c r="I34" s="22" t="s">
        <v>156</v>
      </c>
    </row>
    <row r="35" spans="1:11" s="14" customFormat="1" ht="14" x14ac:dyDescent="0.3">
      <c r="A35" s="31" t="s">
        <v>194</v>
      </c>
      <c r="B35" s="32" t="s">
        <v>203</v>
      </c>
      <c r="C35" s="54">
        <v>250464</v>
      </c>
      <c r="D35" s="21" t="s">
        <v>11</v>
      </c>
      <c r="E35" s="17"/>
      <c r="F35" s="18"/>
      <c r="G35" s="19"/>
      <c r="H35" s="20"/>
      <c r="I35" s="22"/>
    </row>
    <row r="36" spans="1:11" s="14" customFormat="1" ht="14" x14ac:dyDescent="0.3">
      <c r="A36" s="8"/>
      <c r="B36" s="9" t="s">
        <v>201</v>
      </c>
      <c r="C36" s="56">
        <f>SUM(C2:C35)</f>
        <v>1585932</v>
      </c>
      <c r="D36" s="65" t="s">
        <v>11</v>
      </c>
      <c r="E36" s="17"/>
      <c r="F36" s="18"/>
      <c r="G36" s="19"/>
      <c r="H36" s="20"/>
      <c r="I36" s="22"/>
    </row>
    <row r="37" spans="1:11" s="14" customFormat="1" ht="14" x14ac:dyDescent="0.3">
      <c r="A37" s="8"/>
      <c r="B37" s="9"/>
      <c r="C37" s="54"/>
      <c r="D37" s="21"/>
      <c r="E37" s="17"/>
      <c r="F37" s="18"/>
      <c r="G37" s="19"/>
      <c r="H37" s="20"/>
      <c r="I37" s="22"/>
    </row>
    <row r="38" spans="1:11" s="14" customFormat="1" ht="14" x14ac:dyDescent="0.3">
      <c r="A38" s="8"/>
      <c r="B38" s="9"/>
      <c r="C38" s="54"/>
      <c r="D38" s="21"/>
      <c r="E38" s="17"/>
      <c r="F38" s="18"/>
      <c r="G38" s="19"/>
      <c r="H38" s="20"/>
      <c r="I38" s="22"/>
    </row>
    <row r="39" spans="1:11" s="14" customFormat="1" ht="14" x14ac:dyDescent="0.3">
      <c r="A39" s="8" t="s">
        <v>16</v>
      </c>
      <c r="B39" s="9" t="s">
        <v>17</v>
      </c>
      <c r="C39" s="54">
        <v>25000</v>
      </c>
      <c r="D39" s="21" t="s">
        <v>18</v>
      </c>
      <c r="E39" s="17" t="s">
        <v>19</v>
      </c>
      <c r="F39" s="18"/>
      <c r="G39" s="19"/>
      <c r="H39" s="20"/>
      <c r="I39" s="17">
        <v>2.4</v>
      </c>
    </row>
    <row r="40" spans="1:11" s="14" customFormat="1" ht="28" x14ac:dyDescent="0.3">
      <c r="A40" s="8" t="s">
        <v>67</v>
      </c>
      <c r="B40" s="9" t="s">
        <v>112</v>
      </c>
      <c r="C40" s="55">
        <v>5000</v>
      </c>
      <c r="D40" s="10" t="s">
        <v>18</v>
      </c>
      <c r="E40" s="11" t="s">
        <v>113</v>
      </c>
      <c r="F40" s="12"/>
      <c r="G40" s="13"/>
      <c r="H40" s="10"/>
      <c r="I40" s="11">
        <v>3.1</v>
      </c>
    </row>
    <row r="41" spans="1:11" s="14" customFormat="1" ht="28" x14ac:dyDescent="0.3">
      <c r="A41" s="8" t="s">
        <v>67</v>
      </c>
      <c r="B41" s="9" t="s">
        <v>140</v>
      </c>
      <c r="C41" s="55">
        <v>50000</v>
      </c>
      <c r="D41" s="10" t="s">
        <v>18</v>
      </c>
      <c r="E41" s="11" t="s">
        <v>141</v>
      </c>
      <c r="F41" s="12"/>
      <c r="G41" s="13"/>
      <c r="H41" s="10"/>
      <c r="I41" s="11">
        <v>3.2</v>
      </c>
    </row>
    <row r="42" spans="1:11" s="14" customFormat="1" ht="14" x14ac:dyDescent="0.3">
      <c r="A42" s="8" t="s">
        <v>67</v>
      </c>
      <c r="B42" s="9" t="s">
        <v>142</v>
      </c>
      <c r="C42" s="55">
        <v>60000</v>
      </c>
      <c r="D42" s="10" t="s">
        <v>18</v>
      </c>
      <c r="E42" s="11" t="s">
        <v>143</v>
      </c>
      <c r="F42" s="12"/>
      <c r="G42" s="13"/>
      <c r="H42" s="10"/>
      <c r="I42" s="11">
        <v>3.3</v>
      </c>
    </row>
    <row r="43" spans="1:11" s="14" customFormat="1" ht="14" x14ac:dyDescent="0.3">
      <c r="A43" s="8" t="s">
        <v>67</v>
      </c>
      <c r="B43" s="9" t="s">
        <v>123</v>
      </c>
      <c r="C43" s="55">
        <v>20000</v>
      </c>
      <c r="D43" s="10" t="s">
        <v>18</v>
      </c>
      <c r="E43" s="11" t="s">
        <v>124</v>
      </c>
      <c r="F43" s="12"/>
      <c r="G43" s="13"/>
      <c r="H43" s="10"/>
      <c r="I43" s="11">
        <v>3.4</v>
      </c>
    </row>
    <row r="44" spans="1:11" s="14" customFormat="1" ht="14" x14ac:dyDescent="0.3">
      <c r="A44" s="8" t="s">
        <v>67</v>
      </c>
      <c r="B44" s="9" t="s">
        <v>144</v>
      </c>
      <c r="C44" s="55">
        <v>30000</v>
      </c>
      <c r="D44" s="10" t="s">
        <v>18</v>
      </c>
      <c r="E44" s="11" t="s">
        <v>145</v>
      </c>
      <c r="F44" s="12"/>
      <c r="G44" s="13"/>
      <c r="H44" s="10"/>
      <c r="I44" s="11">
        <v>3.5</v>
      </c>
    </row>
    <row r="45" spans="1:11" s="14" customFormat="1" ht="14" x14ac:dyDescent="0.3">
      <c r="A45" s="8" t="s">
        <v>67</v>
      </c>
      <c r="B45" s="9" t="s">
        <v>102</v>
      </c>
      <c r="C45" s="55">
        <v>9800</v>
      </c>
      <c r="D45" s="10" t="s">
        <v>18</v>
      </c>
      <c r="E45" s="11" t="s">
        <v>103</v>
      </c>
      <c r="F45" s="12"/>
      <c r="G45" s="13"/>
      <c r="H45" s="10"/>
      <c r="I45" s="11">
        <v>3.6</v>
      </c>
    </row>
    <row r="46" spans="1:11" s="14" customFormat="1" ht="28" x14ac:dyDescent="0.3">
      <c r="A46" s="8" t="s">
        <v>67</v>
      </c>
      <c r="B46" s="9" t="s">
        <v>146</v>
      </c>
      <c r="C46" s="54">
        <v>20000</v>
      </c>
      <c r="D46" s="21" t="s">
        <v>18</v>
      </c>
      <c r="E46" s="17" t="s">
        <v>147</v>
      </c>
      <c r="F46" s="18"/>
      <c r="G46" s="19"/>
      <c r="H46" s="20"/>
      <c r="I46" s="17">
        <v>3.7</v>
      </c>
    </row>
    <row r="47" spans="1:11" s="14" customFormat="1" ht="14" x14ac:dyDescent="0.3">
      <c r="A47" s="38" t="s">
        <v>67</v>
      </c>
      <c r="B47" s="39" t="s">
        <v>68</v>
      </c>
      <c r="C47" s="57">
        <v>16000</v>
      </c>
      <c r="D47" s="40" t="s">
        <v>18</v>
      </c>
      <c r="E47" s="41" t="s">
        <v>69</v>
      </c>
      <c r="F47" s="42"/>
      <c r="G47" s="43"/>
      <c r="H47" s="44">
        <v>16000</v>
      </c>
      <c r="I47" s="45" t="s">
        <v>70</v>
      </c>
      <c r="J47" s="43"/>
      <c r="K47" s="46"/>
    </row>
    <row r="48" spans="1:11" s="14" customFormat="1" ht="28" x14ac:dyDescent="0.3">
      <c r="A48" s="23" t="s">
        <v>31</v>
      </c>
      <c r="B48" s="9" t="s">
        <v>20</v>
      </c>
      <c r="C48" s="66">
        <v>40000</v>
      </c>
      <c r="D48" s="10" t="s">
        <v>18</v>
      </c>
      <c r="E48" s="11" t="s">
        <v>204</v>
      </c>
      <c r="F48" s="12"/>
      <c r="G48" s="13"/>
      <c r="H48" s="10"/>
      <c r="I48" s="11">
        <v>4.0999999999999996</v>
      </c>
    </row>
    <row r="49" spans="1:19" s="14" customFormat="1" ht="28" x14ac:dyDescent="0.3">
      <c r="A49" s="23" t="s">
        <v>34</v>
      </c>
      <c r="B49" s="9" t="s">
        <v>20</v>
      </c>
      <c r="C49" s="66">
        <v>40000</v>
      </c>
      <c r="D49" s="10" t="s">
        <v>18</v>
      </c>
      <c r="E49" s="11" t="s">
        <v>150</v>
      </c>
      <c r="F49" s="12"/>
      <c r="G49" s="13"/>
      <c r="H49" s="10"/>
      <c r="I49" s="11">
        <v>4.0999999999999996</v>
      </c>
    </row>
    <row r="50" spans="1:19" s="14" customFormat="1" ht="14" x14ac:dyDescent="0.3">
      <c r="A50" s="8" t="s">
        <v>34</v>
      </c>
      <c r="B50" s="9" t="s">
        <v>35</v>
      </c>
      <c r="C50" s="54">
        <v>5500</v>
      </c>
      <c r="D50" s="21" t="s">
        <v>18</v>
      </c>
      <c r="E50" s="17" t="s">
        <v>36</v>
      </c>
      <c r="F50" s="18"/>
      <c r="G50" s="19"/>
      <c r="H50" s="20"/>
      <c r="I50" s="17">
        <v>4.2</v>
      </c>
    </row>
    <row r="51" spans="1:19" s="14" customFormat="1" ht="14" x14ac:dyDescent="0.3">
      <c r="A51" s="8" t="s">
        <v>34</v>
      </c>
      <c r="B51" s="9" t="s">
        <v>40</v>
      </c>
      <c r="C51" s="55">
        <v>11000</v>
      </c>
      <c r="D51" s="10" t="s">
        <v>18</v>
      </c>
      <c r="E51" s="11" t="s">
        <v>36</v>
      </c>
      <c r="F51" s="12"/>
      <c r="G51" s="13"/>
      <c r="H51" s="10"/>
      <c r="I51" s="11">
        <v>4.3</v>
      </c>
      <c r="L51" s="47"/>
    </row>
    <row r="52" spans="1:19" s="14" customFormat="1" ht="14" x14ac:dyDescent="0.3">
      <c r="A52" s="8" t="s">
        <v>148</v>
      </c>
      <c r="B52" s="9" t="s">
        <v>149</v>
      </c>
      <c r="C52" s="54">
        <v>30000</v>
      </c>
      <c r="D52" s="21" t="s">
        <v>18</v>
      </c>
      <c r="E52" s="17" t="s">
        <v>150</v>
      </c>
      <c r="F52" s="18"/>
      <c r="G52" s="19"/>
      <c r="H52" s="20"/>
      <c r="I52" s="17">
        <v>4.4000000000000004</v>
      </c>
    </row>
    <row r="53" spans="1:19" s="14" customFormat="1" ht="28" x14ac:dyDescent="0.3">
      <c r="A53" s="8" t="s">
        <v>120</v>
      </c>
      <c r="B53" s="9" t="s">
        <v>129</v>
      </c>
      <c r="C53" s="55">
        <v>57000</v>
      </c>
      <c r="D53" s="10" t="s">
        <v>18</v>
      </c>
      <c r="E53" s="11" t="s">
        <v>130</v>
      </c>
      <c r="F53" s="12"/>
      <c r="G53" s="13"/>
      <c r="H53" s="10"/>
      <c r="I53" s="11">
        <v>5.2</v>
      </c>
      <c r="M53" s="44"/>
      <c r="N53" s="46"/>
      <c r="O53" s="43"/>
      <c r="P53" s="43"/>
      <c r="Q53" s="43"/>
      <c r="R53" s="43"/>
      <c r="S53" s="43"/>
    </row>
    <row r="54" spans="1:19" s="14" customFormat="1" ht="14" x14ac:dyDescent="0.3">
      <c r="A54" s="8" t="s">
        <v>85</v>
      </c>
      <c r="B54" s="9" t="s">
        <v>86</v>
      </c>
      <c r="C54" s="55">
        <v>71000</v>
      </c>
      <c r="D54" s="10" t="s">
        <v>18</v>
      </c>
      <c r="E54" s="11" t="s">
        <v>87</v>
      </c>
      <c r="F54" s="12"/>
      <c r="G54" s="13"/>
      <c r="H54" s="10"/>
      <c r="I54" s="11">
        <v>6.1</v>
      </c>
    </row>
    <row r="55" spans="1:19" s="14" customFormat="1" ht="14" x14ac:dyDescent="0.3">
      <c r="A55" s="8" t="s">
        <v>85</v>
      </c>
      <c r="B55" s="9" t="s">
        <v>98</v>
      </c>
      <c r="C55" s="55">
        <v>32618</v>
      </c>
      <c r="D55" s="10" t="s">
        <v>18</v>
      </c>
      <c r="E55" s="11" t="s">
        <v>99</v>
      </c>
      <c r="F55" s="12"/>
      <c r="G55" s="13"/>
      <c r="H55" s="10"/>
      <c r="I55" s="11">
        <v>6.4</v>
      </c>
    </row>
    <row r="56" spans="1:19" s="43" customFormat="1" ht="14" x14ac:dyDescent="0.3">
      <c r="A56" s="8" t="s">
        <v>31</v>
      </c>
      <c r="B56" s="9" t="s">
        <v>161</v>
      </c>
      <c r="C56" s="55">
        <v>136118</v>
      </c>
      <c r="D56" s="10" t="s">
        <v>18</v>
      </c>
      <c r="E56" s="11" t="s">
        <v>162</v>
      </c>
      <c r="F56" s="12"/>
      <c r="G56" s="13"/>
      <c r="H56" s="10"/>
      <c r="I56" s="11">
        <v>7.3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s="14" customFormat="1" ht="14" x14ac:dyDescent="0.3">
      <c r="A57" s="8" t="s">
        <v>31</v>
      </c>
      <c r="B57" s="9" t="s">
        <v>165</v>
      </c>
      <c r="C57" s="55">
        <v>22000</v>
      </c>
      <c r="D57" s="10" t="s">
        <v>18</v>
      </c>
      <c r="E57" s="11" t="s">
        <v>166</v>
      </c>
      <c r="F57" s="12"/>
      <c r="G57" s="13"/>
      <c r="H57" s="10"/>
      <c r="I57" s="11">
        <v>7.4</v>
      </c>
    </row>
    <row r="58" spans="1:19" s="14" customFormat="1" ht="14" x14ac:dyDescent="0.3">
      <c r="A58" s="8" t="s">
        <v>31</v>
      </c>
      <c r="B58" s="9" t="s">
        <v>104</v>
      </c>
      <c r="C58" s="55">
        <v>12000</v>
      </c>
      <c r="D58" s="10" t="s">
        <v>18</v>
      </c>
      <c r="E58" s="11" t="s">
        <v>105</v>
      </c>
      <c r="F58" s="12"/>
      <c r="G58" s="13"/>
      <c r="H58" s="10"/>
      <c r="I58" s="11">
        <v>7.5</v>
      </c>
    </row>
    <row r="59" spans="1:19" s="14" customFormat="1" ht="14" x14ac:dyDescent="0.3">
      <c r="A59" s="8" t="s">
        <v>31</v>
      </c>
      <c r="B59" s="9" t="s">
        <v>167</v>
      </c>
      <c r="C59" s="54">
        <v>25000</v>
      </c>
      <c r="D59" s="21" t="s">
        <v>18</v>
      </c>
      <c r="E59" s="17" t="s">
        <v>168</v>
      </c>
      <c r="F59" s="18"/>
      <c r="G59" s="19"/>
      <c r="H59" s="20"/>
      <c r="I59" s="17">
        <v>7.6</v>
      </c>
    </row>
    <row r="60" spans="1:19" s="14" customFormat="1" ht="28" x14ac:dyDescent="0.3">
      <c r="A60" s="8" t="s">
        <v>31</v>
      </c>
      <c r="B60" s="9" t="s">
        <v>169</v>
      </c>
      <c r="C60" s="54">
        <v>23000</v>
      </c>
      <c r="D60" s="21" t="s">
        <v>18</v>
      </c>
      <c r="E60" s="17" t="s">
        <v>170</v>
      </c>
      <c r="F60" s="18"/>
      <c r="G60" s="19"/>
      <c r="H60" s="20"/>
      <c r="I60" s="17">
        <v>7.7</v>
      </c>
    </row>
    <row r="61" spans="1:19" s="14" customFormat="1" ht="14" x14ac:dyDescent="0.3">
      <c r="A61" s="8" t="s">
        <v>31</v>
      </c>
      <c r="B61" s="9" t="s">
        <v>177</v>
      </c>
      <c r="C61" s="54">
        <v>18560</v>
      </c>
      <c r="D61" s="21" t="s">
        <v>18</v>
      </c>
      <c r="E61" s="17" t="s">
        <v>178</v>
      </c>
      <c r="F61" s="18"/>
      <c r="G61" s="19"/>
      <c r="H61" s="20"/>
      <c r="I61" s="17">
        <v>7.8</v>
      </c>
    </row>
    <row r="62" spans="1:19" s="14" customFormat="1" ht="14" x14ac:dyDescent="0.3">
      <c r="A62" s="8" t="s">
        <v>53</v>
      </c>
      <c r="B62" s="9" t="s">
        <v>54</v>
      </c>
      <c r="C62" s="55">
        <v>100000</v>
      </c>
      <c r="D62" s="10" t="s">
        <v>18</v>
      </c>
      <c r="E62" s="11" t="s">
        <v>55</v>
      </c>
      <c r="F62" s="12"/>
      <c r="G62" s="13"/>
      <c r="H62" s="10"/>
      <c r="I62" s="11">
        <v>8.1999999999999993</v>
      </c>
    </row>
    <row r="63" spans="1:19" s="14" customFormat="1" ht="14" x14ac:dyDescent="0.3">
      <c r="A63" s="8" t="s">
        <v>23</v>
      </c>
      <c r="B63" s="9" t="s">
        <v>83</v>
      </c>
      <c r="C63" s="55">
        <v>40000</v>
      </c>
      <c r="D63" s="10" t="s">
        <v>18</v>
      </c>
      <c r="E63" s="11" t="s">
        <v>84</v>
      </c>
      <c r="F63" s="12"/>
      <c r="G63" s="13"/>
      <c r="H63" s="10"/>
      <c r="I63" s="11">
        <v>10.1</v>
      </c>
    </row>
    <row r="64" spans="1:19" s="14" customFormat="1" ht="14" x14ac:dyDescent="0.3">
      <c r="A64" s="8" t="s">
        <v>23</v>
      </c>
      <c r="B64" s="9" t="s">
        <v>96</v>
      </c>
      <c r="C64" s="55">
        <v>50300</v>
      </c>
      <c r="D64" s="10" t="s">
        <v>18</v>
      </c>
      <c r="E64" s="11" t="s">
        <v>97</v>
      </c>
      <c r="F64" s="12"/>
      <c r="G64" s="13"/>
      <c r="H64" s="10"/>
      <c r="I64" s="11">
        <v>10.199999999999999</v>
      </c>
    </row>
    <row r="65" spans="1:23" s="14" customFormat="1" ht="28" x14ac:dyDescent="0.3">
      <c r="A65" s="8" t="s">
        <v>23</v>
      </c>
      <c r="B65" s="9" t="s">
        <v>100</v>
      </c>
      <c r="C65" s="55">
        <v>20146</v>
      </c>
      <c r="D65" s="10" t="s">
        <v>18</v>
      </c>
      <c r="E65" s="11" t="s">
        <v>101</v>
      </c>
      <c r="F65" s="12"/>
      <c r="G65" s="13"/>
      <c r="H65" s="10"/>
      <c r="I65" s="11">
        <v>10.3</v>
      </c>
    </row>
    <row r="66" spans="1:23" s="14" customFormat="1" ht="28" x14ac:dyDescent="0.3">
      <c r="A66" s="8" t="s">
        <v>23</v>
      </c>
      <c r="B66" s="9" t="s">
        <v>171</v>
      </c>
      <c r="C66" s="54">
        <v>25250</v>
      </c>
      <c r="D66" s="21" t="s">
        <v>18</v>
      </c>
      <c r="E66" s="17" t="s">
        <v>25</v>
      </c>
      <c r="F66" s="18"/>
      <c r="G66" s="19"/>
      <c r="H66" s="20"/>
      <c r="I66" s="17">
        <v>10.4</v>
      </c>
    </row>
    <row r="67" spans="1:23" s="14" customFormat="1" ht="14" x14ac:dyDescent="0.3">
      <c r="A67" s="8" t="s">
        <v>23</v>
      </c>
      <c r="B67" s="9" t="s">
        <v>24</v>
      </c>
      <c r="C67" s="54">
        <v>11674</v>
      </c>
      <c r="D67" s="21" t="s">
        <v>18</v>
      </c>
      <c r="E67" s="17" t="s">
        <v>25</v>
      </c>
      <c r="F67" s="18"/>
      <c r="G67" s="19"/>
      <c r="H67" s="20"/>
      <c r="I67" s="17">
        <v>10.5</v>
      </c>
    </row>
    <row r="68" spans="1:23" s="14" customFormat="1" ht="14" x14ac:dyDescent="0.3">
      <c r="A68" s="8" t="s">
        <v>26</v>
      </c>
      <c r="B68" s="9" t="s">
        <v>27</v>
      </c>
      <c r="C68" s="55">
        <v>80000</v>
      </c>
      <c r="D68" s="10" t="s">
        <v>18</v>
      </c>
      <c r="E68" s="11" t="s">
        <v>28</v>
      </c>
      <c r="F68" s="12"/>
      <c r="G68" s="13"/>
      <c r="H68" s="10"/>
      <c r="I68" s="11">
        <v>12.1</v>
      </c>
    </row>
    <row r="69" spans="1:23" s="14" customFormat="1" ht="14" x14ac:dyDescent="0.3">
      <c r="A69" s="8" t="s">
        <v>26</v>
      </c>
      <c r="B69" s="9" t="s">
        <v>43</v>
      </c>
      <c r="C69" s="55">
        <v>27500</v>
      </c>
      <c r="D69" s="10" t="s">
        <v>18</v>
      </c>
      <c r="E69" s="11" t="s">
        <v>44</v>
      </c>
      <c r="F69" s="12"/>
      <c r="G69" s="13"/>
      <c r="H69" s="10"/>
      <c r="I69" s="11">
        <v>12.3</v>
      </c>
      <c r="J69" s="7"/>
      <c r="K69" s="7"/>
    </row>
    <row r="70" spans="1:23" s="14" customFormat="1" ht="14" x14ac:dyDescent="0.3">
      <c r="A70" s="8" t="s">
        <v>26</v>
      </c>
      <c r="B70" s="9" t="s">
        <v>47</v>
      </c>
      <c r="C70" s="55">
        <v>31966</v>
      </c>
      <c r="D70" s="10" t="s">
        <v>18</v>
      </c>
      <c r="E70" s="11" t="s">
        <v>48</v>
      </c>
      <c r="F70" s="12"/>
      <c r="G70" s="13"/>
      <c r="H70" s="10"/>
      <c r="I70" s="11">
        <v>12.5</v>
      </c>
    </row>
    <row r="71" spans="1:23" s="14" customFormat="1" ht="14" x14ac:dyDescent="0.3">
      <c r="A71" s="8" t="s">
        <v>26</v>
      </c>
      <c r="B71" s="9" t="s">
        <v>49</v>
      </c>
      <c r="C71" s="55">
        <v>9680</v>
      </c>
      <c r="D71" s="10" t="s">
        <v>18</v>
      </c>
      <c r="E71" s="11" t="s">
        <v>50</v>
      </c>
      <c r="F71" s="12"/>
      <c r="G71" s="13"/>
      <c r="H71" s="10"/>
      <c r="I71" s="11">
        <v>12.6</v>
      </c>
    </row>
    <row r="72" spans="1:23" s="14" customFormat="1" ht="14" x14ac:dyDescent="0.3">
      <c r="A72" s="8" t="s">
        <v>26</v>
      </c>
      <c r="B72" s="9" t="s">
        <v>51</v>
      </c>
      <c r="C72" s="55">
        <v>44730</v>
      </c>
      <c r="D72" s="10" t="s">
        <v>18</v>
      </c>
      <c r="E72" s="11" t="s">
        <v>52</v>
      </c>
      <c r="F72" s="12"/>
      <c r="G72" s="13"/>
      <c r="H72" s="10"/>
      <c r="I72" s="11">
        <v>12.7</v>
      </c>
      <c r="L72" s="7"/>
    </row>
    <row r="73" spans="1:23" s="14" customFormat="1" ht="14" x14ac:dyDescent="0.3">
      <c r="A73" s="8" t="s">
        <v>179</v>
      </c>
      <c r="B73" s="9" t="s">
        <v>180</v>
      </c>
      <c r="C73" s="55">
        <v>193000</v>
      </c>
      <c r="D73" s="10" t="s">
        <v>18</v>
      </c>
      <c r="E73" s="11" t="s">
        <v>181</v>
      </c>
      <c r="F73" s="12"/>
      <c r="G73" s="13"/>
      <c r="H73" s="10"/>
      <c r="I73" s="11">
        <v>13.1</v>
      </c>
    </row>
    <row r="74" spans="1:23" s="14" customFormat="1" ht="14" x14ac:dyDescent="0.3">
      <c r="A74" s="8" t="s">
        <v>179</v>
      </c>
      <c r="B74" s="9" t="s">
        <v>182</v>
      </c>
      <c r="C74" s="55">
        <v>107300</v>
      </c>
      <c r="D74" s="10" t="s">
        <v>18</v>
      </c>
      <c r="E74" s="11" t="s">
        <v>183</v>
      </c>
      <c r="F74" s="12"/>
      <c r="G74" s="13"/>
      <c r="H74" s="10"/>
      <c r="I74" s="11">
        <v>13.2</v>
      </c>
      <c r="M74" s="7"/>
      <c r="N74" s="7"/>
      <c r="O74" s="7"/>
      <c r="P74" s="7"/>
      <c r="Q74" s="7"/>
      <c r="R74" s="7"/>
      <c r="S74" s="7"/>
    </row>
    <row r="75" spans="1:23" s="14" customFormat="1" ht="14" x14ac:dyDescent="0.3">
      <c r="A75" s="8" t="s">
        <v>179</v>
      </c>
      <c r="B75" s="9" t="s">
        <v>184</v>
      </c>
      <c r="C75" s="55">
        <v>50700</v>
      </c>
      <c r="D75" s="10" t="s">
        <v>18</v>
      </c>
      <c r="E75" s="11" t="s">
        <v>185</v>
      </c>
      <c r="F75" s="12"/>
      <c r="G75" s="13"/>
      <c r="H75" s="10"/>
      <c r="I75" s="11">
        <v>13.3</v>
      </c>
    </row>
    <row r="76" spans="1:23" s="14" customFormat="1" ht="14" x14ac:dyDescent="0.3">
      <c r="A76" s="8" t="s">
        <v>179</v>
      </c>
      <c r="B76" s="9" t="s">
        <v>190</v>
      </c>
      <c r="C76" s="54">
        <v>12000</v>
      </c>
      <c r="D76" s="16" t="s">
        <v>18</v>
      </c>
      <c r="E76" s="17" t="s">
        <v>191</v>
      </c>
      <c r="F76" s="18"/>
      <c r="G76" s="19"/>
      <c r="H76" s="15"/>
      <c r="I76" s="17">
        <v>13.4</v>
      </c>
    </row>
    <row r="77" spans="1:23" s="14" customFormat="1" ht="14" x14ac:dyDescent="0.3">
      <c r="A77" s="8" t="s">
        <v>179</v>
      </c>
      <c r="B77" s="9" t="s">
        <v>192</v>
      </c>
      <c r="C77" s="54">
        <v>17700</v>
      </c>
      <c r="D77" s="16" t="s">
        <v>18</v>
      </c>
      <c r="E77" s="17" t="s">
        <v>193</v>
      </c>
      <c r="F77" s="18"/>
      <c r="G77" s="19"/>
      <c r="H77" s="15"/>
      <c r="I77" s="17">
        <v>13.5</v>
      </c>
      <c r="T77" s="7"/>
      <c r="U77" s="7"/>
      <c r="V77" s="7"/>
      <c r="W77" s="7"/>
    </row>
    <row r="78" spans="1:23" ht="14" x14ac:dyDescent="0.3">
      <c r="A78" s="8" t="s">
        <v>179</v>
      </c>
      <c r="B78" s="9" t="s">
        <v>186</v>
      </c>
      <c r="C78" s="55">
        <v>17000</v>
      </c>
      <c r="D78" s="10" t="s">
        <v>18</v>
      </c>
      <c r="E78" s="11" t="s">
        <v>187</v>
      </c>
      <c r="F78" s="12"/>
      <c r="G78" s="13"/>
      <c r="H78" s="10"/>
      <c r="I78" s="11">
        <v>13.6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spans="1:23" s="14" customFormat="1" ht="14" x14ac:dyDescent="0.3">
      <c r="A79" s="8" t="s">
        <v>179</v>
      </c>
      <c r="B79" s="9" t="s">
        <v>188</v>
      </c>
      <c r="C79" s="54">
        <v>87300</v>
      </c>
      <c r="D79" s="16" t="s">
        <v>18</v>
      </c>
      <c r="E79" s="17" t="s">
        <v>189</v>
      </c>
      <c r="F79" s="18"/>
      <c r="G79" s="19"/>
      <c r="H79" s="15"/>
      <c r="I79" s="17">
        <v>13.7</v>
      </c>
    </row>
    <row r="80" spans="1:23" s="14" customFormat="1" ht="28" x14ac:dyDescent="0.3">
      <c r="A80" s="8" t="s">
        <v>13</v>
      </c>
      <c r="B80" s="9" t="s">
        <v>88</v>
      </c>
      <c r="C80" s="55">
        <v>30000</v>
      </c>
      <c r="D80" s="10" t="s">
        <v>18</v>
      </c>
      <c r="E80" s="11" t="s">
        <v>89</v>
      </c>
      <c r="F80" s="12"/>
      <c r="G80" s="13"/>
      <c r="H80" s="10"/>
      <c r="I80" s="11">
        <v>14.1</v>
      </c>
    </row>
    <row r="81" spans="1:14" s="14" customFormat="1" ht="14" x14ac:dyDescent="0.3">
      <c r="A81" s="8" t="s">
        <v>13</v>
      </c>
      <c r="B81" s="9" t="s">
        <v>118</v>
      </c>
      <c r="C81" s="55">
        <v>15000</v>
      </c>
      <c r="D81" s="10" t="s">
        <v>18</v>
      </c>
      <c r="E81" s="11" t="s">
        <v>119</v>
      </c>
      <c r="F81" s="12"/>
      <c r="G81" s="13"/>
      <c r="H81" s="10"/>
      <c r="I81" s="11">
        <v>14.13</v>
      </c>
    </row>
    <row r="82" spans="1:14" s="14" customFormat="1" ht="14" x14ac:dyDescent="0.3">
      <c r="A82" s="8" t="s">
        <v>13</v>
      </c>
      <c r="B82" s="9" t="s">
        <v>127</v>
      </c>
      <c r="C82" s="55">
        <v>9000</v>
      </c>
      <c r="D82" s="10" t="s">
        <v>18</v>
      </c>
      <c r="E82" s="11" t="s">
        <v>128</v>
      </c>
      <c r="F82" s="12"/>
      <c r="G82" s="13"/>
      <c r="H82" s="10"/>
      <c r="I82" s="11">
        <v>14.15</v>
      </c>
    </row>
    <row r="83" spans="1:14" s="14" customFormat="1" ht="14" x14ac:dyDescent="0.3">
      <c r="A83" s="8" t="s">
        <v>13</v>
      </c>
      <c r="B83" s="9" t="s">
        <v>90</v>
      </c>
      <c r="C83" s="55">
        <v>20000</v>
      </c>
      <c r="D83" s="10" t="s">
        <v>18</v>
      </c>
      <c r="E83" s="11" t="s">
        <v>91</v>
      </c>
      <c r="F83" s="12"/>
      <c r="G83" s="13"/>
      <c r="H83" s="10"/>
      <c r="I83" s="11">
        <v>14.2</v>
      </c>
    </row>
    <row r="84" spans="1:14" s="14" customFormat="1" ht="14" x14ac:dyDescent="0.3">
      <c r="A84" s="8" t="s">
        <v>13</v>
      </c>
      <c r="B84" s="9" t="s">
        <v>41</v>
      </c>
      <c r="C84" s="55">
        <v>51002</v>
      </c>
      <c r="D84" s="10" t="s">
        <v>18</v>
      </c>
      <c r="E84" s="11" t="s">
        <v>42</v>
      </c>
      <c r="F84" s="12"/>
      <c r="G84" s="13"/>
      <c r="H84" s="10"/>
      <c r="I84" s="11">
        <v>14.21</v>
      </c>
    </row>
    <row r="85" spans="1:14" s="14" customFormat="1" ht="14" x14ac:dyDescent="0.3">
      <c r="A85" s="8" t="s">
        <v>13</v>
      </c>
      <c r="B85" s="9" t="s">
        <v>65</v>
      </c>
      <c r="C85" s="54">
        <v>25000</v>
      </c>
      <c r="D85" s="21" t="s">
        <v>18</v>
      </c>
      <c r="E85" s="17" t="s">
        <v>66</v>
      </c>
      <c r="F85" s="18"/>
      <c r="G85" s="19"/>
      <c r="H85" s="20"/>
      <c r="I85" s="17">
        <v>14.22</v>
      </c>
    </row>
    <row r="86" spans="1:14" s="14" customFormat="1" ht="28" x14ac:dyDescent="0.3">
      <c r="A86" s="8" t="s">
        <v>13</v>
      </c>
      <c r="B86" s="9" t="s">
        <v>76</v>
      </c>
      <c r="C86" s="54">
        <v>25000</v>
      </c>
      <c r="D86" s="21" t="s">
        <v>18</v>
      </c>
      <c r="E86" s="17" t="s">
        <v>77</v>
      </c>
      <c r="F86" s="18"/>
      <c r="G86" s="19"/>
      <c r="H86" s="20"/>
      <c r="I86" s="17">
        <v>14.25</v>
      </c>
    </row>
    <row r="87" spans="1:14" s="14" customFormat="1" ht="14" x14ac:dyDescent="0.3">
      <c r="A87" s="8" t="s">
        <v>13</v>
      </c>
      <c r="B87" s="9" t="s">
        <v>136</v>
      </c>
      <c r="C87" s="55">
        <v>41715</v>
      </c>
      <c r="D87" s="10" t="s">
        <v>18</v>
      </c>
      <c r="E87" s="11" t="s">
        <v>137</v>
      </c>
      <c r="F87" s="12"/>
      <c r="G87" s="13"/>
      <c r="H87" s="10"/>
      <c r="I87" s="11">
        <v>14.26</v>
      </c>
    </row>
    <row r="88" spans="1:14" s="14" customFormat="1" ht="14" x14ac:dyDescent="0.3">
      <c r="A88" s="8" t="s">
        <v>202</v>
      </c>
      <c r="B88" s="9" t="s">
        <v>151</v>
      </c>
      <c r="C88" s="54">
        <v>40000</v>
      </c>
      <c r="D88" s="21" t="s">
        <v>18</v>
      </c>
      <c r="E88" s="17" t="s">
        <v>152</v>
      </c>
      <c r="F88" s="18"/>
      <c r="G88" s="19"/>
      <c r="H88" s="20"/>
      <c r="I88" s="17">
        <v>14.29</v>
      </c>
    </row>
    <row r="89" spans="1:14" s="14" customFormat="1" ht="28" x14ac:dyDescent="0.3">
      <c r="A89" s="33" t="s">
        <v>13</v>
      </c>
      <c r="B89" s="63" t="s">
        <v>21</v>
      </c>
      <c r="C89" s="58">
        <v>206000</v>
      </c>
      <c r="D89" s="48" t="s">
        <v>18</v>
      </c>
      <c r="E89" s="49" t="s">
        <v>200</v>
      </c>
      <c r="F89" s="36">
        <v>206000</v>
      </c>
      <c r="G89"/>
      <c r="H89" s="48">
        <v>206000</v>
      </c>
      <c r="I89" s="49" t="s">
        <v>22</v>
      </c>
      <c r="K89" s="50"/>
    </row>
    <row r="90" spans="1:14" s="14" customFormat="1" ht="28" x14ac:dyDescent="0.3">
      <c r="A90" s="8" t="s">
        <v>78</v>
      </c>
      <c r="B90" s="9" t="s">
        <v>79</v>
      </c>
      <c r="C90" s="55">
        <v>30000</v>
      </c>
      <c r="D90" s="3" t="s">
        <v>18</v>
      </c>
      <c r="E90" s="4" t="s">
        <v>80</v>
      </c>
      <c r="F90" s="25"/>
      <c r="G90" s="26"/>
      <c r="H90" s="27"/>
      <c r="I90" s="28">
        <v>17.3</v>
      </c>
    </row>
    <row r="91" spans="1:14" s="14" customFormat="1" ht="14" x14ac:dyDescent="0.3">
      <c r="A91" s="8" t="s">
        <v>172</v>
      </c>
      <c r="B91" s="9" t="s">
        <v>173</v>
      </c>
      <c r="C91" s="54">
        <v>40200</v>
      </c>
      <c r="D91" s="21" t="s">
        <v>18</v>
      </c>
      <c r="E91" s="17" t="s">
        <v>174</v>
      </c>
      <c r="F91" s="18"/>
      <c r="G91" s="19"/>
      <c r="H91" s="20"/>
      <c r="I91" s="17">
        <v>19.100000000000001</v>
      </c>
      <c r="L91" s="51"/>
    </row>
    <row r="92" spans="1:14" s="14" customFormat="1" ht="14" x14ac:dyDescent="0.3">
      <c r="A92" s="8" t="s">
        <v>13</v>
      </c>
      <c r="B92" s="9" t="s">
        <v>37</v>
      </c>
      <c r="C92" s="55">
        <v>46875</v>
      </c>
      <c r="D92" s="10" t="s">
        <v>18</v>
      </c>
      <c r="E92" s="11" t="s">
        <v>38</v>
      </c>
      <c r="F92" s="12"/>
      <c r="G92" s="13"/>
      <c r="H92" s="10"/>
      <c r="I92" s="24" t="s">
        <v>39</v>
      </c>
    </row>
    <row r="93" spans="1:14" s="14" customFormat="1" ht="14" x14ac:dyDescent="0.3">
      <c r="A93" s="31" t="s">
        <v>194</v>
      </c>
      <c r="B93" s="32" t="s">
        <v>203</v>
      </c>
      <c r="C93" s="54">
        <v>175810</v>
      </c>
      <c r="D93" s="21" t="s">
        <v>18</v>
      </c>
      <c r="E93" s="17"/>
      <c r="F93" s="18"/>
      <c r="G93" s="19"/>
      <c r="H93" s="20"/>
      <c r="I93" s="22"/>
      <c r="M93" s="48"/>
      <c r="N93" s="50"/>
    </row>
    <row r="94" spans="1:14" s="14" customFormat="1" x14ac:dyDescent="0.3">
      <c r="A94" s="27"/>
      <c r="B94" s="30" t="s">
        <v>205</v>
      </c>
      <c r="C94" s="59">
        <f>SUM(C39:C93)</f>
        <v>2441444</v>
      </c>
      <c r="D94" s="29" t="s">
        <v>18</v>
      </c>
      <c r="E94" s="28"/>
      <c r="F94" s="27"/>
      <c r="G94" s="26"/>
      <c r="H94" s="27"/>
      <c r="I94" s="28" t="s">
        <v>197</v>
      </c>
    </row>
    <row r="95" spans="1:14" s="14" customFormat="1" ht="14" x14ac:dyDescent="0.3">
      <c r="A95" s="31" t="s">
        <v>197</v>
      </c>
      <c r="B95" s="32" t="s">
        <v>197</v>
      </c>
      <c r="C95" s="60" t="s">
        <v>197</v>
      </c>
      <c r="D95" s="10"/>
      <c r="E95" s="11"/>
      <c r="F95" s="12"/>
      <c r="G95" s="13"/>
      <c r="H95" s="10"/>
      <c r="I95" s="11"/>
      <c r="J95" s="7"/>
    </row>
    <row r="96" spans="1:14" s="14" customFormat="1" ht="14" x14ac:dyDescent="0.3">
      <c r="A96" s="8"/>
      <c r="B96" s="9"/>
      <c r="C96" s="55" t="s">
        <v>197</v>
      </c>
      <c r="D96" s="10"/>
      <c r="E96" s="11"/>
      <c r="F96" s="12"/>
      <c r="G96" s="13"/>
      <c r="H96" s="10"/>
      <c r="I96" s="11"/>
    </row>
    <row r="97" spans="1:19" s="14" customFormat="1" ht="14" x14ac:dyDescent="0.3">
      <c r="A97" s="8"/>
      <c r="B97" s="9"/>
      <c r="C97" s="55"/>
      <c r="D97" s="10"/>
      <c r="E97" s="11"/>
      <c r="F97" s="12"/>
      <c r="G97" s="13"/>
      <c r="H97" s="10"/>
      <c r="I97" s="11"/>
    </row>
    <row r="98" spans="1:19" s="14" customFormat="1" ht="14" x14ac:dyDescent="0.3">
      <c r="A98" s="8"/>
      <c r="B98" s="9"/>
      <c r="C98" s="55"/>
      <c r="D98" s="10"/>
      <c r="E98" s="11"/>
      <c r="F98" s="12"/>
      <c r="G98" s="13"/>
      <c r="H98" s="10"/>
      <c r="I98" s="11"/>
    </row>
    <row r="99" spans="1:19" s="14" customFormat="1" ht="14" x14ac:dyDescent="0.3">
      <c r="A99" s="8"/>
      <c r="B99" s="9"/>
      <c r="C99" s="61" t="s">
        <v>197</v>
      </c>
      <c r="D99" s="29"/>
      <c r="E99" s="28"/>
      <c r="F99" s="25"/>
      <c r="G99" s="26"/>
      <c r="H99" s="27"/>
      <c r="I99" s="28"/>
      <c r="J99" s="7"/>
    </row>
    <row r="100" spans="1:19" s="14" customFormat="1" x14ac:dyDescent="0.3">
      <c r="A100" s="27"/>
      <c r="B100" s="30"/>
      <c r="C100" s="61"/>
      <c r="D100" s="29"/>
      <c r="E100" s="28"/>
      <c r="F100" s="25"/>
      <c r="G100" s="26"/>
      <c r="H100" s="27"/>
      <c r="I100" s="28"/>
      <c r="J100" s="7"/>
    </row>
    <row r="101" spans="1:19" s="14" customFormat="1" x14ac:dyDescent="0.3">
      <c r="A101" s="27"/>
      <c r="B101" s="30"/>
      <c r="C101" s="61"/>
      <c r="D101" s="29"/>
      <c r="E101" s="28"/>
      <c r="F101" s="27"/>
      <c r="G101" s="26"/>
      <c r="H101" s="27"/>
      <c r="I101" s="28"/>
      <c r="J101" s="7"/>
    </row>
    <row r="102" spans="1:19" s="14" customFormat="1" x14ac:dyDescent="0.3">
      <c r="A102" s="27"/>
      <c r="B102" s="30"/>
      <c r="C102" s="61"/>
      <c r="D102" s="29"/>
      <c r="E102" s="28"/>
      <c r="F102" s="27"/>
      <c r="G102" s="26"/>
      <c r="H102" s="27"/>
      <c r="I102" s="28"/>
      <c r="J102" s="7"/>
    </row>
    <row r="103" spans="1:19" s="14" customFormat="1" x14ac:dyDescent="0.3">
      <c r="A103" s="27"/>
      <c r="B103" s="30"/>
      <c r="C103" s="61"/>
      <c r="D103" s="29"/>
      <c r="E103" s="28"/>
      <c r="F103" s="27"/>
      <c r="G103" s="26"/>
      <c r="H103" s="27"/>
      <c r="I103" s="28"/>
      <c r="J103" s="7"/>
    </row>
    <row r="104" spans="1:19" s="14" customFormat="1" x14ac:dyDescent="0.3">
      <c r="A104" s="27"/>
      <c r="B104" s="30"/>
      <c r="C104" s="61"/>
      <c r="D104" s="29"/>
      <c r="E104" s="28"/>
      <c r="F104" s="27"/>
      <c r="G104" s="26"/>
      <c r="H104" s="27"/>
      <c r="I104" s="28"/>
      <c r="J104" s="7"/>
      <c r="K104" s="7"/>
    </row>
    <row r="105" spans="1:19" s="14" customFormat="1" x14ac:dyDescent="0.3">
      <c r="A105" s="27"/>
      <c r="B105" s="30"/>
      <c r="C105" s="61"/>
      <c r="D105" s="29"/>
      <c r="E105" s="28"/>
      <c r="F105" s="27"/>
      <c r="G105" s="26"/>
      <c r="H105" s="27"/>
      <c r="I105" s="28"/>
      <c r="J105" s="7"/>
      <c r="K105" s="7"/>
    </row>
    <row r="106" spans="1:19" s="14" customFormat="1" x14ac:dyDescent="0.3">
      <c r="A106" s="27"/>
      <c r="B106" s="30"/>
      <c r="C106" s="61"/>
      <c r="D106" s="29"/>
      <c r="E106" s="28"/>
      <c r="F106" s="27"/>
      <c r="G106" s="26"/>
      <c r="H106" s="27"/>
      <c r="I106" s="28"/>
      <c r="J106" s="7"/>
    </row>
    <row r="107" spans="1:19" s="14" customFormat="1" x14ac:dyDescent="0.3">
      <c r="A107" s="27"/>
      <c r="B107" s="30"/>
      <c r="C107" s="61"/>
      <c r="D107" s="29"/>
      <c r="E107" s="28"/>
      <c r="F107" s="27"/>
      <c r="G107" s="26"/>
      <c r="H107" s="27"/>
      <c r="I107" s="28"/>
      <c r="J107" s="7"/>
    </row>
    <row r="108" spans="1:19" s="14" customFormat="1" x14ac:dyDescent="0.3">
      <c r="A108" s="27"/>
      <c r="B108" s="30"/>
      <c r="C108" s="61"/>
      <c r="D108" s="29"/>
      <c r="E108" s="28"/>
      <c r="F108" s="27"/>
      <c r="G108" s="26"/>
      <c r="H108" s="27"/>
      <c r="I108" s="28"/>
      <c r="J108" s="7"/>
      <c r="L108" s="7"/>
    </row>
    <row r="109" spans="1:19" s="14" customFormat="1" x14ac:dyDescent="0.3">
      <c r="A109" s="27"/>
      <c r="B109" s="30"/>
      <c r="C109" s="61"/>
      <c r="D109" s="29"/>
      <c r="E109" s="28"/>
      <c r="F109" s="27"/>
      <c r="G109" s="26"/>
      <c r="H109" s="27"/>
      <c r="I109" s="28"/>
      <c r="J109" s="7"/>
      <c r="L109" s="7"/>
    </row>
    <row r="110" spans="1:19" s="14" customFormat="1" x14ac:dyDescent="0.3">
      <c r="A110" s="27"/>
      <c r="B110" s="30"/>
      <c r="C110" s="61"/>
      <c r="D110" s="29"/>
      <c r="E110" s="28"/>
      <c r="F110" s="27"/>
      <c r="G110" s="26"/>
      <c r="H110" s="27"/>
      <c r="I110" s="28"/>
      <c r="J110" s="7"/>
      <c r="M110" s="7"/>
      <c r="N110" s="7"/>
    </row>
    <row r="111" spans="1:19" s="14" customFormat="1" x14ac:dyDescent="0.3">
      <c r="A111" s="27"/>
      <c r="B111" s="30"/>
      <c r="C111" s="61"/>
      <c r="D111" s="29"/>
      <c r="E111" s="28"/>
      <c r="F111" s="27"/>
      <c r="G111" s="26"/>
      <c r="H111" s="27"/>
      <c r="I111" s="28"/>
      <c r="J111" s="7"/>
      <c r="M111" s="7"/>
      <c r="N111" s="7"/>
      <c r="O111" s="7"/>
      <c r="P111" s="7"/>
      <c r="Q111" s="7"/>
      <c r="R111" s="7"/>
    </row>
    <row r="112" spans="1:19" s="14" customFormat="1" x14ac:dyDescent="0.3">
      <c r="A112" s="27"/>
      <c r="B112" s="30"/>
      <c r="C112" s="61"/>
      <c r="D112" s="29"/>
      <c r="E112" s="28"/>
      <c r="F112" s="27"/>
      <c r="G112" s="26"/>
      <c r="H112" s="27"/>
      <c r="I112" s="28"/>
      <c r="J112" s="7"/>
      <c r="O112" s="7"/>
      <c r="P112" s="7"/>
      <c r="Q112" s="7"/>
      <c r="R112" s="7"/>
      <c r="S112" s="7"/>
    </row>
    <row r="113" spans="1:23" s="14" customFormat="1" x14ac:dyDescent="0.3">
      <c r="A113" s="27"/>
      <c r="B113" s="30"/>
      <c r="C113" s="61"/>
      <c r="D113" s="29"/>
      <c r="E113" s="28"/>
      <c r="F113" s="27"/>
      <c r="G113" s="26"/>
      <c r="H113" s="27"/>
      <c r="I113" s="28"/>
      <c r="J113" s="7"/>
      <c r="S113" s="7"/>
    </row>
    <row r="114" spans="1:23" s="14" customFormat="1" x14ac:dyDescent="0.3">
      <c r="A114" s="27"/>
      <c r="B114" s="30"/>
      <c r="C114" s="61"/>
      <c r="D114" s="29"/>
      <c r="E114" s="28"/>
      <c r="F114" s="27"/>
      <c r="G114" s="26"/>
      <c r="H114" s="27"/>
      <c r="I114" s="28"/>
      <c r="J114" s="7"/>
    </row>
    <row r="115" spans="1:23" s="14" customFormat="1" x14ac:dyDescent="0.3">
      <c r="A115" s="27"/>
      <c r="B115" s="30"/>
      <c r="C115" s="61"/>
      <c r="D115" s="29"/>
      <c r="E115" s="28"/>
      <c r="F115" s="27"/>
      <c r="G115" s="26"/>
      <c r="H115" s="27"/>
      <c r="I115" s="28"/>
      <c r="J115" s="7"/>
      <c r="T115" s="7"/>
      <c r="U115" s="7"/>
      <c r="V115" s="7"/>
      <c r="W115" s="7"/>
    </row>
    <row r="116" spans="1:23" x14ac:dyDescent="0.3"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23" x14ac:dyDescent="0.3"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spans="1:23" s="14" customFormat="1" x14ac:dyDescent="0.3">
      <c r="A118" s="27"/>
      <c r="B118" s="30"/>
      <c r="C118" s="61"/>
      <c r="D118" s="29"/>
      <c r="E118" s="28"/>
      <c r="F118" s="27"/>
      <c r="G118" s="26"/>
      <c r="H118" s="27"/>
      <c r="I118" s="28"/>
      <c r="J118" s="7"/>
    </row>
    <row r="119" spans="1:23" s="14" customFormat="1" x14ac:dyDescent="0.3">
      <c r="A119" s="27"/>
      <c r="B119" s="30"/>
      <c r="C119" s="61"/>
      <c r="D119" s="29"/>
      <c r="E119" s="28"/>
      <c r="F119" s="27"/>
      <c r="G119" s="26"/>
      <c r="H119" s="27"/>
      <c r="I119" s="28"/>
      <c r="J119" s="7"/>
      <c r="K119" s="7"/>
    </row>
    <row r="120" spans="1:23" s="14" customFormat="1" x14ac:dyDescent="0.3">
      <c r="A120" s="27"/>
      <c r="B120" s="30"/>
      <c r="C120" s="61"/>
      <c r="D120" s="29"/>
      <c r="E120" s="28"/>
      <c r="F120" s="27"/>
      <c r="G120" s="26"/>
      <c r="H120" s="27"/>
      <c r="I120" s="28"/>
      <c r="J120" s="7"/>
      <c r="K120" s="7"/>
    </row>
    <row r="121" spans="1:23" s="14" customFormat="1" x14ac:dyDescent="0.3">
      <c r="A121" s="27"/>
      <c r="B121" s="30"/>
      <c r="C121" s="61"/>
      <c r="D121" s="29"/>
      <c r="E121" s="28"/>
      <c r="F121" s="27"/>
      <c r="G121" s="26"/>
      <c r="H121" s="27"/>
      <c r="I121" s="28"/>
      <c r="J121" s="7"/>
      <c r="K121" s="7"/>
    </row>
    <row r="122" spans="1:23" s="14" customFormat="1" x14ac:dyDescent="0.3">
      <c r="A122" s="27"/>
      <c r="B122" s="30"/>
      <c r="C122" s="61"/>
      <c r="D122" s="29"/>
      <c r="E122" s="28"/>
      <c r="F122" s="27"/>
      <c r="G122" s="26"/>
      <c r="H122" s="27"/>
      <c r="I122" s="28"/>
      <c r="J122" s="7"/>
      <c r="K122" s="7"/>
    </row>
    <row r="123" spans="1:23" s="14" customFormat="1" x14ac:dyDescent="0.3">
      <c r="A123" s="27"/>
      <c r="B123" s="30"/>
      <c r="C123" s="61"/>
      <c r="D123" s="29"/>
      <c r="E123" s="28"/>
      <c r="F123" s="27"/>
      <c r="G123" s="26"/>
      <c r="H123" s="27"/>
      <c r="I123" s="28"/>
      <c r="J123" s="7"/>
      <c r="L123" s="7"/>
    </row>
    <row r="124" spans="1:23" s="14" customFormat="1" x14ac:dyDescent="0.3">
      <c r="A124" s="27"/>
      <c r="B124" s="30"/>
      <c r="C124" s="61"/>
      <c r="D124" s="29"/>
      <c r="E124" s="28"/>
      <c r="F124" s="27"/>
      <c r="G124" s="26"/>
      <c r="H124" s="27"/>
      <c r="I124" s="28"/>
      <c r="J124" s="7"/>
      <c r="K124" s="7"/>
      <c r="L124" s="7"/>
    </row>
    <row r="125" spans="1:23" s="14" customFormat="1" x14ac:dyDescent="0.3">
      <c r="A125" s="27"/>
      <c r="B125" s="30"/>
      <c r="C125" s="61"/>
      <c r="D125" s="29"/>
      <c r="E125" s="28"/>
      <c r="F125" s="27"/>
      <c r="G125" s="26"/>
      <c r="H125" s="27"/>
      <c r="I125" s="28"/>
      <c r="J125" s="7"/>
      <c r="K125" s="7"/>
      <c r="L125" s="7"/>
      <c r="M125" s="7"/>
      <c r="N125" s="7"/>
    </row>
    <row r="126" spans="1:23" s="14" customFormat="1" x14ac:dyDescent="0.3">
      <c r="A126" s="27"/>
      <c r="B126" s="30"/>
      <c r="C126" s="61"/>
      <c r="D126" s="29"/>
      <c r="E126" s="28"/>
      <c r="F126" s="27"/>
      <c r="G126" s="26"/>
      <c r="H126" s="27"/>
      <c r="I126" s="28"/>
      <c r="J126" s="7"/>
      <c r="K126" s="7"/>
      <c r="L126" s="7"/>
      <c r="M126" s="7"/>
      <c r="N126" s="7"/>
      <c r="O126" s="7"/>
      <c r="P126" s="7"/>
      <c r="Q126" s="7"/>
      <c r="R126" s="7"/>
    </row>
    <row r="127" spans="1:23" s="14" customFormat="1" x14ac:dyDescent="0.3">
      <c r="A127" s="27"/>
      <c r="B127" s="30"/>
      <c r="C127" s="61"/>
      <c r="D127" s="29"/>
      <c r="E127" s="28"/>
      <c r="F127" s="27"/>
      <c r="G127" s="26"/>
      <c r="H127" s="27"/>
      <c r="I127" s="28"/>
      <c r="J127" s="7"/>
      <c r="K127" s="7"/>
      <c r="M127" s="7"/>
      <c r="N127" s="7"/>
      <c r="O127" s="7"/>
      <c r="P127" s="7"/>
      <c r="Q127" s="7"/>
      <c r="R127" s="7"/>
      <c r="S127" s="7"/>
    </row>
    <row r="128" spans="1:23" s="14" customFormat="1" x14ac:dyDescent="0.3">
      <c r="A128" s="27"/>
      <c r="B128" s="30"/>
      <c r="C128" s="61"/>
      <c r="D128" s="29"/>
      <c r="E128" s="28"/>
      <c r="F128" s="27"/>
      <c r="G128" s="26"/>
      <c r="H128" s="27"/>
      <c r="I128" s="28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23" s="14" customFormat="1" x14ac:dyDescent="0.3">
      <c r="A129" s="27"/>
      <c r="B129" s="30"/>
      <c r="C129" s="61"/>
      <c r="D129" s="29"/>
      <c r="E129" s="28"/>
      <c r="F129" s="27"/>
      <c r="G129" s="26"/>
      <c r="H129" s="27"/>
      <c r="I129" s="28"/>
      <c r="J129" s="7"/>
      <c r="K129" s="7"/>
      <c r="L129" s="7"/>
      <c r="O129" s="7"/>
      <c r="P129" s="7"/>
      <c r="Q129" s="7"/>
      <c r="R129" s="7"/>
      <c r="S129" s="7"/>
    </row>
    <row r="130" spans="1:23" s="14" customFormat="1" x14ac:dyDescent="0.3">
      <c r="A130" s="27"/>
      <c r="B130" s="30"/>
      <c r="C130" s="61"/>
      <c r="D130" s="29"/>
      <c r="E130" s="28"/>
      <c r="F130" s="27"/>
      <c r="G130" s="26"/>
      <c r="H130" s="27"/>
      <c r="I130" s="28"/>
      <c r="J130" s="7"/>
      <c r="K130" s="7"/>
      <c r="L130" s="7"/>
      <c r="M130" s="7"/>
      <c r="N130" s="7"/>
      <c r="S130" s="7"/>
      <c r="T130" s="7"/>
      <c r="U130" s="7"/>
      <c r="V130" s="7"/>
      <c r="W130" s="7"/>
    </row>
    <row r="131" spans="1:23" x14ac:dyDescent="0.3">
      <c r="S131" s="14"/>
    </row>
    <row r="134" spans="1:23" x14ac:dyDescent="0.3">
      <c r="T134" s="14"/>
      <c r="U134" s="14"/>
      <c r="V134" s="14"/>
      <c r="W134" s="14"/>
    </row>
    <row r="135" spans="1:23" s="14" customFormat="1" x14ac:dyDescent="0.3">
      <c r="A135" s="27"/>
      <c r="B135" s="30"/>
      <c r="C135" s="61"/>
      <c r="D135" s="29"/>
      <c r="E135" s="28"/>
      <c r="F135" s="27"/>
      <c r="G135" s="26"/>
      <c r="H135" s="27"/>
      <c r="I135" s="2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</sheetData>
  <phoneticPr fontId="0" type="noConversion"/>
  <printOptions gridLines="1"/>
  <pageMargins left="0.5" right="0.5" top="0.75" bottom="0" header="0.5" footer="0.5"/>
  <pageSetup scale="70" orientation="landscape" horizontalDpi="4294967292" verticalDpi="0" r:id="rId1"/>
  <headerFooter alignWithMargins="0">
    <oddHeader>&amp;CFWS/SSP FY 03 Allocations
Fisheries / Wildlife Program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USGS-BRD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Warren</dc:creator>
  <cp:lastModifiedBy>Carina Negreanu</cp:lastModifiedBy>
  <cp:lastPrinted>2003-05-28T14:13:14Z</cp:lastPrinted>
  <dcterms:created xsi:type="dcterms:W3CDTF">2003-05-23T14:17:14Z</dcterms:created>
  <dcterms:modified xsi:type="dcterms:W3CDTF">2020-01-27T11:37:40Z</dcterms:modified>
</cp:coreProperties>
</file>