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6526ED-59DC-41BA-8654-EDAA1E66268C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Sheet1!$A$1:$Z$77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2" i="1" l="1"/>
  <c r="A3" i="1"/>
  <c r="Z3" i="1" s="1"/>
  <c r="A4" i="1"/>
  <c r="Z4" i="1" s="1"/>
  <c r="A5" i="1"/>
  <c r="Z5" i="1"/>
  <c r="A6" i="1"/>
  <c r="Z6" i="1" s="1"/>
  <c r="D6" i="1"/>
  <c r="D26" i="1" s="1"/>
  <c r="E6" i="1"/>
  <c r="E71" i="1" s="1"/>
  <c r="F6" i="1"/>
  <c r="F71" i="1" s="1"/>
  <c r="S6" i="1"/>
  <c r="D7" i="1"/>
  <c r="E7" i="1"/>
  <c r="F7" i="1" s="1"/>
  <c r="S7" i="1"/>
  <c r="C8" i="1"/>
  <c r="D8" i="1"/>
  <c r="E8" i="1"/>
  <c r="F8" i="1"/>
  <c r="G8" i="1" s="1"/>
  <c r="S8" i="1"/>
  <c r="S10" i="1"/>
  <c r="T10" i="1"/>
  <c r="W10" i="1"/>
  <c r="Y10" i="1"/>
  <c r="S11" i="1"/>
  <c r="Y11" i="1"/>
  <c r="S12" i="1"/>
  <c r="T12" i="1"/>
  <c r="U12" i="1"/>
  <c r="V12" i="1"/>
  <c r="X12" i="1"/>
  <c r="Y12" i="1"/>
  <c r="S13" i="1"/>
  <c r="T13" i="1"/>
  <c r="U13" i="1"/>
  <c r="V13" i="1"/>
  <c r="X13" i="1"/>
  <c r="Y13" i="1"/>
  <c r="S14" i="1"/>
  <c r="T14" i="1"/>
  <c r="U14" i="1"/>
  <c r="V14" i="1"/>
  <c r="X14" i="1"/>
  <c r="Y14" i="1"/>
  <c r="S15" i="1"/>
  <c r="T15" i="1"/>
  <c r="U15" i="1" s="1"/>
  <c r="V15" i="1"/>
  <c r="Y15" i="1"/>
  <c r="S16" i="1"/>
  <c r="T16" i="1"/>
  <c r="U16" i="1"/>
  <c r="V16" i="1"/>
  <c r="X16" i="1"/>
  <c r="Y16" i="1"/>
  <c r="S17" i="1"/>
  <c r="T17" i="1"/>
  <c r="U17" i="1"/>
  <c r="V17" i="1"/>
  <c r="X17" i="1"/>
  <c r="Y17" i="1"/>
  <c r="S18" i="1"/>
  <c r="T18" i="1"/>
  <c r="U18" i="1"/>
  <c r="V18" i="1"/>
  <c r="X18" i="1"/>
  <c r="Y18" i="1"/>
  <c r="S19" i="1"/>
  <c r="T19" i="1"/>
  <c r="U19" i="1"/>
  <c r="V19" i="1"/>
  <c r="X19" i="1"/>
  <c r="Y19" i="1"/>
  <c r="S20" i="1"/>
  <c r="T20" i="1"/>
  <c r="U20" i="1" s="1"/>
  <c r="V20" i="1"/>
  <c r="Y20" i="1"/>
  <c r="S21" i="1"/>
  <c r="T21" i="1"/>
  <c r="U21" i="1"/>
  <c r="V21" i="1"/>
  <c r="X21" i="1"/>
  <c r="Y21" i="1"/>
  <c r="S22" i="1"/>
  <c r="T22" i="1"/>
  <c r="U22" i="1"/>
  <c r="V22" i="1"/>
  <c r="X22" i="1"/>
  <c r="Y22" i="1"/>
  <c r="S23" i="1"/>
  <c r="T23" i="1"/>
  <c r="U23" i="1" s="1"/>
  <c r="V23" i="1"/>
  <c r="X23" i="1"/>
  <c r="Y23" i="1"/>
  <c r="S24" i="1"/>
  <c r="T24" i="1"/>
  <c r="X24" i="1" s="1"/>
  <c r="U24" i="1"/>
  <c r="V24" i="1"/>
  <c r="Y24" i="1"/>
  <c r="C25" i="1"/>
  <c r="C69" i="1" s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W25" i="1"/>
  <c r="V25" i="1" s="1"/>
  <c r="B26" i="1"/>
  <c r="C26" i="1"/>
  <c r="S26" i="1"/>
  <c r="B27" i="1"/>
  <c r="C27" i="1"/>
  <c r="D27" i="1"/>
  <c r="E27" i="1"/>
  <c r="S27" i="1"/>
  <c r="B28" i="1"/>
  <c r="C28" i="1"/>
  <c r="D28" i="1"/>
  <c r="E28" i="1"/>
  <c r="F28" i="1"/>
  <c r="S28" i="1"/>
  <c r="S30" i="1"/>
  <c r="Y30" i="1"/>
  <c r="S31" i="1"/>
  <c r="T31" i="1"/>
  <c r="U31" i="1" s="1"/>
  <c r="V31" i="1"/>
  <c r="X31" i="1"/>
  <c r="Y31" i="1"/>
  <c r="S32" i="1"/>
  <c r="T32" i="1"/>
  <c r="X32" i="1" s="1"/>
  <c r="U32" i="1"/>
  <c r="V32" i="1"/>
  <c r="Y32" i="1"/>
  <c r="S33" i="1"/>
  <c r="T33" i="1"/>
  <c r="U33" i="1"/>
  <c r="V33" i="1"/>
  <c r="X33" i="1"/>
  <c r="Y33" i="1"/>
  <c r="S34" i="1"/>
  <c r="T34" i="1"/>
  <c r="U34" i="1"/>
  <c r="V34" i="1"/>
  <c r="X34" i="1"/>
  <c r="Y34" i="1"/>
  <c r="S35" i="1"/>
  <c r="T35" i="1"/>
  <c r="U35" i="1"/>
  <c r="V35" i="1"/>
  <c r="X35" i="1"/>
  <c r="Y35" i="1"/>
  <c r="S36" i="1"/>
  <c r="T36" i="1"/>
  <c r="U36" i="1" s="1"/>
  <c r="V36" i="1"/>
  <c r="X36" i="1"/>
  <c r="Y36" i="1"/>
  <c r="S37" i="1"/>
  <c r="T37" i="1"/>
  <c r="X37" i="1" s="1"/>
  <c r="U37" i="1"/>
  <c r="V37" i="1"/>
  <c r="Y37" i="1"/>
  <c r="S38" i="1"/>
  <c r="T38" i="1"/>
  <c r="U38" i="1"/>
  <c r="V38" i="1"/>
  <c r="X38" i="1"/>
  <c r="Y38" i="1"/>
  <c r="S39" i="1"/>
  <c r="T39" i="1"/>
  <c r="U39" i="1"/>
  <c r="V39" i="1"/>
  <c r="X39" i="1"/>
  <c r="Y39" i="1"/>
  <c r="S40" i="1"/>
  <c r="T40" i="1"/>
  <c r="X40" i="1" s="1"/>
  <c r="U40" i="1"/>
  <c r="V40" i="1"/>
  <c r="Y40" i="1"/>
  <c r="S41" i="1"/>
  <c r="T41" i="1"/>
  <c r="U41" i="1" s="1"/>
  <c r="V41" i="1"/>
  <c r="X41" i="1"/>
  <c r="Y41" i="1"/>
  <c r="T42" i="1"/>
  <c r="X42" i="1" s="1"/>
  <c r="U42" i="1"/>
  <c r="V42" i="1"/>
  <c r="Y42" i="1"/>
  <c r="S43" i="1"/>
  <c r="T43" i="1"/>
  <c r="U43" i="1"/>
  <c r="V43" i="1"/>
  <c r="X43" i="1"/>
  <c r="Y43" i="1"/>
  <c r="S44" i="1"/>
  <c r="T44" i="1"/>
  <c r="U44" i="1" s="1"/>
  <c r="V44" i="1"/>
  <c r="Y44" i="1"/>
  <c r="S45" i="1"/>
  <c r="T45" i="1"/>
  <c r="U45" i="1"/>
  <c r="V45" i="1"/>
  <c r="X45" i="1"/>
  <c r="Y45" i="1"/>
  <c r="S46" i="1"/>
  <c r="T46" i="1"/>
  <c r="U46" i="1"/>
  <c r="V46" i="1"/>
  <c r="X46" i="1"/>
  <c r="Y46" i="1"/>
  <c r="S47" i="1"/>
  <c r="T47" i="1"/>
  <c r="X47" i="1" s="1"/>
  <c r="U47" i="1"/>
  <c r="V47" i="1"/>
  <c r="Y47" i="1"/>
  <c r="S48" i="1"/>
  <c r="T48" i="1"/>
  <c r="U48" i="1"/>
  <c r="V48" i="1"/>
  <c r="X48" i="1"/>
  <c r="Y48" i="1"/>
  <c r="S49" i="1"/>
  <c r="T49" i="1"/>
  <c r="U49" i="1" s="1"/>
  <c r="V49" i="1"/>
  <c r="Y49" i="1"/>
  <c r="S50" i="1"/>
  <c r="T50" i="1"/>
  <c r="U50" i="1"/>
  <c r="V50" i="1"/>
  <c r="X50" i="1"/>
  <c r="Y50" i="1"/>
  <c r="S51" i="1"/>
  <c r="T51" i="1"/>
  <c r="U51" i="1"/>
  <c r="V51" i="1"/>
  <c r="X51" i="1"/>
  <c r="Y51" i="1"/>
  <c r="S52" i="1"/>
  <c r="T52" i="1"/>
  <c r="X52" i="1" s="1"/>
  <c r="U52" i="1"/>
  <c r="V52" i="1"/>
  <c r="Y52" i="1"/>
  <c r="S53" i="1"/>
  <c r="T53" i="1"/>
  <c r="U53" i="1"/>
  <c r="V53" i="1"/>
  <c r="X53" i="1"/>
  <c r="Y53" i="1"/>
  <c r="S54" i="1"/>
  <c r="T54" i="1"/>
  <c r="U54" i="1" s="1"/>
  <c r="V54" i="1"/>
  <c r="Y54" i="1"/>
  <c r="S55" i="1"/>
  <c r="T55" i="1"/>
  <c r="U55" i="1"/>
  <c r="V55" i="1"/>
  <c r="X55" i="1"/>
  <c r="Y55" i="1"/>
  <c r="S56" i="1"/>
  <c r="T56" i="1"/>
  <c r="U56" i="1"/>
  <c r="V56" i="1"/>
  <c r="X56" i="1"/>
  <c r="Y56" i="1"/>
  <c r="T57" i="1"/>
  <c r="U57" i="1"/>
  <c r="V57" i="1"/>
  <c r="X57" i="1"/>
  <c r="Y57" i="1"/>
  <c r="S58" i="1"/>
  <c r="T58" i="1"/>
  <c r="U58" i="1"/>
  <c r="V58" i="1"/>
  <c r="X58" i="1"/>
  <c r="Y58" i="1"/>
  <c r="S59" i="1"/>
  <c r="T59" i="1"/>
  <c r="U59" i="1"/>
  <c r="V59" i="1"/>
  <c r="X59" i="1"/>
  <c r="Y59" i="1"/>
  <c r="S60" i="1"/>
  <c r="T60" i="1"/>
  <c r="U60" i="1" s="1"/>
  <c r="V60" i="1"/>
  <c r="Y60" i="1"/>
  <c r="S61" i="1"/>
  <c r="T61" i="1"/>
  <c r="U61" i="1"/>
  <c r="V61" i="1"/>
  <c r="X61" i="1"/>
  <c r="Y61" i="1"/>
  <c r="S62" i="1"/>
  <c r="T62" i="1"/>
  <c r="U62" i="1"/>
  <c r="V62" i="1"/>
  <c r="X62" i="1"/>
  <c r="Y62" i="1"/>
  <c r="S63" i="1"/>
  <c r="T63" i="1"/>
  <c r="U63" i="1"/>
  <c r="V63" i="1"/>
  <c r="X63" i="1"/>
  <c r="Y63" i="1"/>
  <c r="S64" i="1"/>
  <c r="T64" i="1"/>
  <c r="U64" i="1"/>
  <c r="V64" i="1"/>
  <c r="X64" i="1"/>
  <c r="Y64" i="1"/>
  <c r="S65" i="1"/>
  <c r="T65" i="1"/>
  <c r="U65" i="1" s="1"/>
  <c r="V65" i="1"/>
  <c r="Y65" i="1"/>
  <c r="S66" i="1"/>
  <c r="T66" i="1"/>
  <c r="U66" i="1"/>
  <c r="V66" i="1"/>
  <c r="X66" i="1"/>
  <c r="Y66" i="1"/>
  <c r="C67" i="1"/>
  <c r="T67" i="1" s="1"/>
  <c r="D67" i="1"/>
  <c r="D69" i="1" s="1"/>
  <c r="E67" i="1"/>
  <c r="E69" i="1" s="1"/>
  <c r="F67" i="1"/>
  <c r="F69" i="1" s="1"/>
  <c r="G67" i="1"/>
  <c r="G69" i="1" s="1"/>
  <c r="H67" i="1"/>
  <c r="I67" i="1"/>
  <c r="J67" i="1"/>
  <c r="K67" i="1"/>
  <c r="L67" i="1"/>
  <c r="M67" i="1"/>
  <c r="N67" i="1"/>
  <c r="O67" i="1"/>
  <c r="P67" i="1"/>
  <c r="Q67" i="1"/>
  <c r="R67" i="1"/>
  <c r="S67" i="1"/>
  <c r="W67" i="1"/>
  <c r="V67" i="1" s="1"/>
  <c r="H69" i="1"/>
  <c r="I69" i="1"/>
  <c r="J69" i="1"/>
  <c r="K69" i="1"/>
  <c r="L69" i="1"/>
  <c r="M69" i="1"/>
  <c r="N69" i="1"/>
  <c r="O69" i="1"/>
  <c r="P69" i="1"/>
  <c r="Q69" i="1"/>
  <c r="R69" i="1"/>
  <c r="B71" i="1"/>
  <c r="S71" i="1" s="1"/>
  <c r="C71" i="1"/>
  <c r="D71" i="1"/>
  <c r="B72" i="1"/>
  <c r="C72" i="1"/>
  <c r="D72" i="1"/>
  <c r="E72" i="1"/>
  <c r="B73" i="1"/>
  <c r="C73" i="1"/>
  <c r="D73" i="1"/>
  <c r="E73" i="1"/>
  <c r="F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F72" i="1" l="1"/>
  <c r="F27" i="1"/>
  <c r="G7" i="1"/>
  <c r="G73" i="1"/>
  <c r="G28" i="1"/>
  <c r="H8" i="1"/>
  <c r="U67" i="1"/>
  <c r="X67" i="1"/>
  <c r="X54" i="1"/>
  <c r="X49" i="1"/>
  <c r="X44" i="1"/>
  <c r="T25" i="1"/>
  <c r="G6" i="1"/>
  <c r="F26" i="1"/>
  <c r="E26" i="1"/>
  <c r="A7" i="1"/>
  <c r="X65" i="1"/>
  <c r="X60" i="1"/>
  <c r="X20" i="1"/>
  <c r="X15" i="1"/>
  <c r="C70" i="1"/>
  <c r="D70" i="1" s="1"/>
  <c r="E70" i="1" s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Z7" i="1" l="1"/>
  <c r="A8" i="1"/>
  <c r="G71" i="1"/>
  <c r="G26" i="1"/>
  <c r="H6" i="1"/>
  <c r="X25" i="1"/>
  <c r="T69" i="1"/>
  <c r="U69" i="1" s="1"/>
  <c r="U25" i="1"/>
  <c r="H73" i="1"/>
  <c r="H28" i="1"/>
  <c r="I8" i="1"/>
  <c r="G72" i="1"/>
  <c r="G27" i="1"/>
  <c r="H7" i="1"/>
  <c r="H72" i="1" l="1"/>
  <c r="H27" i="1"/>
  <c r="I7" i="1"/>
  <c r="I73" i="1"/>
  <c r="I28" i="1"/>
  <c r="J8" i="1"/>
  <c r="H71" i="1"/>
  <c r="H26" i="1"/>
  <c r="I6" i="1"/>
  <c r="Z8" i="1"/>
  <c r="A9" i="1"/>
  <c r="Z9" i="1" l="1"/>
  <c r="A10" i="1"/>
  <c r="I71" i="1"/>
  <c r="I26" i="1"/>
  <c r="J6" i="1"/>
  <c r="J73" i="1"/>
  <c r="J28" i="1"/>
  <c r="K8" i="1"/>
  <c r="I72" i="1"/>
  <c r="I27" i="1"/>
  <c r="J7" i="1"/>
  <c r="J72" i="1" l="1"/>
  <c r="J27" i="1"/>
  <c r="K7" i="1"/>
  <c r="K73" i="1"/>
  <c r="K28" i="1"/>
  <c r="L8" i="1"/>
  <c r="J71" i="1"/>
  <c r="J26" i="1"/>
  <c r="K6" i="1"/>
  <c r="Z10" i="1"/>
  <c r="A11" i="1"/>
  <c r="Z11" i="1" l="1"/>
  <c r="A12" i="1"/>
  <c r="K71" i="1"/>
  <c r="K26" i="1"/>
  <c r="L6" i="1"/>
  <c r="L73" i="1"/>
  <c r="L28" i="1"/>
  <c r="M8" i="1"/>
  <c r="K72" i="1"/>
  <c r="K27" i="1"/>
  <c r="L7" i="1"/>
  <c r="L72" i="1" l="1"/>
  <c r="L27" i="1"/>
  <c r="M7" i="1"/>
  <c r="M73" i="1"/>
  <c r="M28" i="1"/>
  <c r="N8" i="1"/>
  <c r="L71" i="1"/>
  <c r="L26" i="1"/>
  <c r="M6" i="1"/>
  <c r="Z12" i="1"/>
  <c r="A13" i="1"/>
  <c r="Z13" i="1" l="1"/>
  <c r="A14" i="1"/>
  <c r="M71" i="1"/>
  <c r="M26" i="1"/>
  <c r="N6" i="1"/>
  <c r="N73" i="1"/>
  <c r="N28" i="1"/>
  <c r="O8" i="1"/>
  <c r="M72" i="1"/>
  <c r="M27" i="1"/>
  <c r="N7" i="1"/>
  <c r="N72" i="1" l="1"/>
  <c r="N27" i="1"/>
  <c r="O7" i="1"/>
  <c r="O73" i="1"/>
  <c r="O28" i="1"/>
  <c r="P8" i="1"/>
  <c r="N71" i="1"/>
  <c r="N26" i="1"/>
  <c r="O6" i="1"/>
  <c r="Z14" i="1"/>
  <c r="A15" i="1"/>
  <c r="Z15" i="1" l="1"/>
  <c r="A16" i="1"/>
  <c r="P6" i="1"/>
  <c r="O71" i="1"/>
  <c r="O26" i="1"/>
  <c r="P73" i="1"/>
  <c r="P28" i="1"/>
  <c r="Q8" i="1"/>
  <c r="O72" i="1"/>
  <c r="O27" i="1"/>
  <c r="P7" i="1"/>
  <c r="P72" i="1" l="1"/>
  <c r="P27" i="1"/>
  <c r="Q7" i="1"/>
  <c r="Q73" i="1"/>
  <c r="Q28" i="1"/>
  <c r="R8" i="1"/>
  <c r="Q6" i="1"/>
  <c r="P71" i="1"/>
  <c r="P26" i="1"/>
  <c r="Z16" i="1"/>
  <c r="A17" i="1"/>
  <c r="Z17" i="1" l="1"/>
  <c r="A18" i="1"/>
  <c r="R6" i="1"/>
  <c r="Q71" i="1"/>
  <c r="Q26" i="1"/>
  <c r="R73" i="1"/>
  <c r="R28" i="1"/>
  <c r="R7" i="1"/>
  <c r="Q72" i="1"/>
  <c r="Q27" i="1"/>
  <c r="R72" i="1" l="1"/>
  <c r="R27" i="1"/>
  <c r="R71" i="1"/>
  <c r="R26" i="1"/>
  <c r="Z18" i="1"/>
  <c r="A19" i="1"/>
  <c r="Z19" i="1" l="1"/>
  <c r="A20" i="1"/>
  <c r="Z20" i="1" l="1"/>
  <c r="A21" i="1"/>
  <c r="Z21" i="1" l="1"/>
  <c r="A22" i="1"/>
  <c r="Z22" i="1" l="1"/>
  <c r="A23" i="1"/>
  <c r="Z23" i="1" l="1"/>
  <c r="A24" i="1"/>
  <c r="Z24" i="1" l="1"/>
  <c r="A25" i="1"/>
  <c r="Z25" i="1" l="1"/>
  <c r="A26" i="1"/>
  <c r="Z26" i="1" l="1"/>
  <c r="A27" i="1"/>
  <c r="Z27" i="1" l="1"/>
  <c r="A28" i="1"/>
  <c r="Z28" i="1" l="1"/>
  <c r="A29" i="1"/>
  <c r="Z29" i="1" l="1"/>
  <c r="A30" i="1"/>
  <c r="Z30" i="1" l="1"/>
  <c r="A31" i="1"/>
  <c r="Z31" i="1" l="1"/>
  <c r="A32" i="1"/>
  <c r="Z32" i="1" l="1"/>
  <c r="A33" i="1"/>
  <c r="A34" i="1" l="1"/>
  <c r="Z33" i="1"/>
  <c r="A35" i="1" l="1"/>
  <c r="Z34" i="1"/>
  <c r="Z35" i="1" l="1"/>
  <c r="A36" i="1"/>
  <c r="Z36" i="1" l="1"/>
  <c r="A37" i="1"/>
  <c r="Z37" i="1" l="1"/>
  <c r="A38" i="1"/>
  <c r="A39" i="1" l="1"/>
  <c r="Z38" i="1"/>
  <c r="A40" i="1" l="1"/>
  <c r="Z39" i="1"/>
  <c r="Z40" i="1" l="1"/>
  <c r="A41" i="1"/>
  <c r="Z41" i="1" l="1"/>
  <c r="A42" i="1"/>
  <c r="Z42" i="1" l="1"/>
  <c r="A43" i="1"/>
  <c r="Z43" i="1" l="1"/>
  <c r="A44" i="1"/>
  <c r="Z44" i="1" l="1"/>
  <c r="A45" i="1"/>
  <c r="A46" i="1" l="1"/>
  <c r="Z45" i="1"/>
  <c r="Z46" i="1" l="1"/>
  <c r="A47" i="1"/>
  <c r="Z47" i="1" l="1"/>
  <c r="A48" i="1"/>
  <c r="Z48" i="1" l="1"/>
  <c r="A49" i="1"/>
  <c r="Z49" i="1" l="1"/>
  <c r="A50" i="1"/>
  <c r="A51" i="1" l="1"/>
  <c r="Z50" i="1"/>
  <c r="Z51" i="1" l="1"/>
  <c r="A52" i="1"/>
  <c r="Z52" i="1" l="1"/>
  <c r="A53" i="1"/>
  <c r="Z53" i="1" l="1"/>
  <c r="A54" i="1"/>
  <c r="Z54" i="1" l="1"/>
  <c r="A55" i="1"/>
  <c r="Z55" i="1" l="1"/>
  <c r="A56" i="1"/>
  <c r="Z56" i="1" l="1"/>
  <c r="A57" i="1"/>
  <c r="Z57" i="1" l="1"/>
  <c r="A58" i="1"/>
  <c r="A59" i="1" l="1"/>
  <c r="Z58" i="1"/>
  <c r="Z59" i="1" l="1"/>
  <c r="A60" i="1"/>
  <c r="Z60" i="1" l="1"/>
  <c r="A61" i="1"/>
  <c r="Z61" i="1" l="1"/>
  <c r="A62" i="1"/>
  <c r="Z62" i="1" l="1"/>
  <c r="A63" i="1"/>
  <c r="A64" i="1" l="1"/>
  <c r="Z63" i="1"/>
  <c r="A65" i="1" l="1"/>
  <c r="Z64" i="1"/>
  <c r="A66" i="1" l="1"/>
  <c r="Z65" i="1"/>
  <c r="Z66" i="1" l="1"/>
  <c r="A67" i="1"/>
  <c r="Z67" i="1" l="1"/>
  <c r="A68" i="1"/>
  <c r="A69" i="1" l="1"/>
  <c r="Z68" i="1"/>
  <c r="A70" i="1" l="1"/>
  <c r="Z69" i="1"/>
  <c r="Z70" i="1" l="1"/>
  <c r="A71" i="1"/>
  <c r="Z71" i="1" l="1"/>
  <c r="A72" i="1"/>
  <c r="Z72" i="1" l="1"/>
  <c r="A73" i="1"/>
  <c r="Z73" i="1" l="1"/>
  <c r="A74" i="1"/>
  <c r="Z74" i="1" l="1"/>
  <c r="A75" i="1"/>
  <c r="Z75" i="1" l="1"/>
  <c r="A76" i="1"/>
  <c r="A77" i="1" l="1"/>
  <c r="Z76" i="1"/>
  <c r="A78" i="1" l="1"/>
  <c r="Z77" i="1"/>
</calcChain>
</file>

<file path=xl/sharedStrings.xml><?xml version="1.0" encoding="utf-8"?>
<sst xmlns="http://schemas.openxmlformats.org/spreadsheetml/2006/main" count="171" uniqueCount="128">
  <si>
    <t xml:space="preserve">   TERM</t>
  </si>
  <si>
    <t xml:space="preserve">   Original</t>
  </si>
  <si>
    <t xml:space="preserve"> Original</t>
  </si>
  <si>
    <t>Under  or</t>
  </si>
  <si>
    <t xml:space="preserve">  Running</t>
  </si>
  <si>
    <t>Average</t>
  </si>
  <si>
    <t xml:space="preserve">  Estimated</t>
  </si>
  <si>
    <t xml:space="preserve">    Total</t>
  </si>
  <si>
    <t xml:space="preserve">   Weekly  </t>
  </si>
  <si>
    <t xml:space="preserve">Orig. Term </t>
  </si>
  <si>
    <t xml:space="preserve">  Average</t>
  </si>
  <si>
    <t>Estimates</t>
  </si>
  <si>
    <t>Estimate</t>
  </si>
  <si>
    <t>INCOME:</t>
  </si>
  <si>
    <t xml:space="preserve">        $</t>
  </si>
  <si>
    <t xml:space="preserve">      $</t>
  </si>
  <si>
    <t xml:space="preserve">       $</t>
  </si>
  <si>
    <t>Parents</t>
  </si>
  <si>
    <t>Scholarships</t>
  </si>
  <si>
    <t>Loans</t>
  </si>
  <si>
    <t>Savings</t>
  </si>
  <si>
    <t>Work</t>
  </si>
  <si>
    <t>Gifts</t>
  </si>
  <si>
    <t>EXPENSES:</t>
  </si>
  <si>
    <t>Tuition</t>
  </si>
  <si>
    <t>Books</t>
  </si>
  <si>
    <t>Food</t>
  </si>
  <si>
    <t>Clothing</t>
  </si>
  <si>
    <t>Greek Fees</t>
  </si>
  <si>
    <t xml:space="preserve">    Insurance</t>
  </si>
  <si>
    <t>Entertainment</t>
  </si>
  <si>
    <t>Utilities</t>
  </si>
  <si>
    <t>Telephone</t>
  </si>
  <si>
    <t>Dues</t>
  </si>
  <si>
    <t>Contributions</t>
  </si>
  <si>
    <t>Hlth &amp; Other Insur.</t>
  </si>
  <si>
    <t>Misc.</t>
  </si>
  <si>
    <r>
      <t xml:space="preserve">    (Over)</t>
    </r>
    <r>
      <rPr>
        <b/>
        <sz val="12"/>
        <rFont val="Times New Roman"/>
        <family val="1"/>
      </rPr>
      <t xml:space="preserve">  </t>
    </r>
  </si>
  <si>
    <t xml:space="preserve">* Negative = -$X.xx    </t>
  </si>
  <si>
    <t>^Negative=($X.xx)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</si>
  <si>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</si>
  <si>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</si>
  <si>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</si>
  <si>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</si>
  <si>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</si>
  <si>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</si>
  <si>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</si>
  <si>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</si>
  <si>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</si>
  <si>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</si>
  <si>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</si>
  <si>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</si>
  <si>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</si>
  <si>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</si>
  <si>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</si>
  <si>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</si>
  <si>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T</t>
  </si>
  <si>
    <t>U</t>
  </si>
  <si>
    <t>V</t>
  </si>
  <si>
    <t>W</t>
  </si>
  <si>
    <t>X</t>
  </si>
  <si>
    <t>Y</t>
  </si>
  <si>
    <t>Z</t>
  </si>
  <si>
    <t>E</t>
  </si>
  <si>
    <t xml:space="preserve"> or ID</t>
  </si>
  <si>
    <r>
      <t>Your Name</t>
    </r>
    <r>
      <rPr>
        <sz val="14"/>
        <rFont val="Arial"/>
        <family val="2"/>
      </rPr>
      <t xml:space="preserve"> </t>
    </r>
  </si>
  <si>
    <t>Semester Week #</t>
  </si>
  <si>
    <t>Interest Income</t>
  </si>
  <si>
    <t>Tax Rebate</t>
  </si>
  <si>
    <t>AA1</t>
  </si>
  <si>
    <t>A/1</t>
  </si>
  <si>
    <r>
      <t>Total</t>
    </r>
    <r>
      <rPr>
        <b/>
        <sz val="12"/>
        <rFont val="Times New Roman"/>
        <family val="1"/>
      </rPr>
      <t xml:space="preserve"> Budget</t>
    </r>
  </si>
  <si>
    <t xml:space="preserve"> Cash Flow</t>
  </si>
  <si>
    <r>
      <t xml:space="preserve">    </t>
    </r>
    <r>
      <rPr>
        <b/>
        <i/>
        <u/>
        <sz val="12"/>
        <rFont val="Times New Roman"/>
        <family val="1"/>
      </rPr>
      <t>Total</t>
    </r>
  </si>
  <si>
    <t xml:space="preserve"> Original Term</t>
  </si>
  <si>
    <t xml:space="preserve">          Total </t>
  </si>
  <si>
    <t xml:space="preserve">     Cash Flow</t>
  </si>
  <si>
    <t xml:space="preserve">     Estimates</t>
  </si>
  <si>
    <t>Expenditures</t>
  </si>
  <si>
    <t>Other 1</t>
  </si>
  <si>
    <t>Other 2</t>
  </si>
  <si>
    <t>Other 3</t>
  </si>
  <si>
    <t>Other 4</t>
  </si>
  <si>
    <t>Other 5</t>
  </si>
  <si>
    <t>Child Care</t>
  </si>
  <si>
    <t>Car Payments</t>
  </si>
  <si>
    <t xml:space="preserve">   Car Parking</t>
  </si>
  <si>
    <t>Laundry/Dry Cleaning</t>
  </si>
  <si>
    <t>Transportation</t>
  </si>
  <si>
    <t>Cash on Hand</t>
  </si>
  <si>
    <t xml:space="preserve">   Car Gas &amp; Upkeep</t>
  </si>
  <si>
    <t xml:space="preserve">#Note that the final Cumulative cash flow figure (in Cell S69) equals the figure in Term Running </t>
  </si>
  <si>
    <t>Total (U68).  This is the ultimate bottom line as you now plan your term.  If it is negative, you</t>
  </si>
  <si>
    <r>
      <t>need to reconfigure your expected  figures for</t>
    </r>
    <r>
      <rPr>
        <i/>
        <u/>
        <sz val="12"/>
        <rFont val="Times New Roman"/>
        <family val="1"/>
      </rPr>
      <t xml:space="preserve"> future</t>
    </r>
    <r>
      <rPr>
        <sz val="12"/>
        <rFont val="Times New Roman"/>
      </rPr>
      <t xml:space="preserve"> income (work), spending, or debt. </t>
    </r>
  </si>
  <si>
    <t>Cash Flow</t>
  </si>
  <si>
    <t xml:space="preserve">   Average</t>
  </si>
  <si>
    <t>Other 6</t>
  </si>
  <si>
    <t>Other 7</t>
  </si>
  <si>
    <t>Other 8</t>
  </si>
  <si>
    <r>
      <t xml:space="preserve"> </t>
    </r>
    <r>
      <rPr>
        <b/>
        <i/>
        <sz val="12"/>
        <rFont val="Times New Roman"/>
        <family val="1"/>
      </rPr>
      <t xml:space="preserve"> Est</t>
    </r>
    <r>
      <rPr>
        <b/>
        <sz val="12"/>
        <rFont val="Times New Roman"/>
        <family val="1"/>
      </rPr>
      <t>.Wkly.</t>
    </r>
  </si>
  <si>
    <t>WEEKLY</t>
  </si>
  <si>
    <t>Hlth &amp; Other Insurance</t>
  </si>
  <si>
    <t>Income and Expense</t>
  </si>
  <si>
    <t>Categories</t>
  </si>
  <si>
    <t>Income Over or</t>
  </si>
  <si>
    <t xml:space="preserve">  (Under)</t>
  </si>
  <si>
    <t xml:space="preserve">      Under</t>
  </si>
  <si>
    <t>Bank Costs</t>
  </si>
  <si>
    <t>Other Interest</t>
  </si>
  <si>
    <t xml:space="preserve">Credit Card Interest  </t>
  </si>
  <si>
    <t>Week's Total  Income</t>
  </si>
  <si>
    <t>Week's Total Expenses</t>
  </si>
  <si>
    <t>*Week's Cash Flow</t>
  </si>
  <si>
    <t>^Cumulative Cash Flow</t>
  </si>
  <si>
    <t>Week's Cash Flow</t>
  </si>
  <si>
    <t>Cumulative Cash Flow#</t>
  </si>
  <si>
    <t>Week Date from</t>
  </si>
  <si>
    <t>Week Date to</t>
  </si>
  <si>
    <t xml:space="preserve"> </t>
  </si>
  <si>
    <t xml:space="preserve">      </t>
  </si>
  <si>
    <t>Expense Over or</t>
  </si>
  <si>
    <t xml:space="preserve">      Cable or Sat. TV</t>
  </si>
  <si>
    <r>
      <t xml:space="preserve">Housing </t>
    </r>
    <r>
      <rPr>
        <b/>
        <sz val="10"/>
        <rFont val="Times New Roman"/>
        <family val="1"/>
      </rPr>
      <t>(rent, upkeep, etc)</t>
    </r>
  </si>
  <si>
    <t>Hygiene &amp; Grooming</t>
  </si>
  <si>
    <r>
      <t xml:space="preserve">    </t>
    </r>
    <r>
      <rPr>
        <b/>
        <sz val="10"/>
        <rFont val="Arial"/>
        <family val="2"/>
      </rPr>
      <t>Car Insurance</t>
    </r>
  </si>
  <si>
    <t>UNL's University Foundations Program Financial Planning and Records Spreadsheet for Fall 2003</t>
  </si>
  <si>
    <t xml:space="preserve">      Other:Movies.</t>
  </si>
  <si>
    <t xml:space="preserve">   [16 wks]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</si>
</sst>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* #,##0_);_(* \(#,##0\);_(* &quot;-&quot;??_);_(@_)"/>
    <numFmt numFmtId="173" formatCode="m/d"/>
    <numFmt numFmtId="174" formatCode="&quot;$&quot;#,##0.00"/>
  </numFmts>
  <fonts count="25" x14ac:knownFonts="1">
    <font>
      <sz val="12"/>
      <name val="Times New Roman"/>
    </font>
    <font>
      <sz val="12"/>
      <name val="Times New Roman"/>
    </font>
    <font>
      <b/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0"/>
      <name val="Arial"/>
      <family val="2"/>
    </font>
    <font>
      <b/>
      <sz val="12"/>
      <color indexed="10"/>
      <name val="Times New Roman"/>
      <family val="1"/>
    </font>
    <font>
      <b/>
      <i/>
      <sz val="12"/>
      <name val="Courier"/>
      <family val="3"/>
    </font>
    <font>
      <b/>
      <i/>
      <sz val="10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6"/>
      <name val="Arial"/>
      <family val="2"/>
    </font>
    <font>
      <b/>
      <sz val="14"/>
      <name val="Times New Roman"/>
      <family val="1"/>
    </font>
    <font>
      <b/>
      <sz val="14"/>
      <name val="Arial"/>
      <family val="2"/>
    </font>
    <font>
      <b/>
      <sz val="8"/>
      <name val="Times New Roman"/>
      <family val="1"/>
    </font>
    <font>
      <b/>
      <i/>
      <u/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i/>
      <u/>
      <sz val="12"/>
      <name val="Times New Roman"/>
      <family val="1"/>
    </font>
    <font>
      <b/>
      <sz val="20"/>
      <name val="Arial"/>
      <family val="2"/>
    </font>
    <font>
      <sz val="20"/>
      <name val="Arial"/>
      <family val="2"/>
    </font>
    <font>
      <b/>
      <sz val="10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8"/>
        <bgColor indexed="10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10"/>
      </patternFill>
    </fill>
    <fill>
      <patternFill patternType="solid">
        <fgColor indexed="43"/>
        <bgColor indexed="10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3"/>
        <bgColor indexed="10"/>
      </patternFill>
    </fill>
    <fill>
      <patternFill patternType="solid">
        <fgColor indexed="22"/>
        <bgColor indexed="10"/>
      </patternFill>
    </fill>
    <fill>
      <patternFill patternType="solid">
        <fgColor indexed="14"/>
        <bgColor indexed="64"/>
      </patternFill>
    </fill>
    <fill>
      <patternFill patternType="solid">
        <fgColor indexed="9"/>
        <bgColor indexed="10"/>
      </patternFill>
    </fill>
    <fill>
      <patternFill patternType="solid">
        <fgColor indexed="33"/>
        <bgColor indexed="64"/>
      </patternFill>
    </fill>
    <fill>
      <patternFill patternType="solid">
        <fgColor indexed="14"/>
        <bgColor indexed="10"/>
      </patternFill>
    </fill>
    <fill>
      <patternFill patternType="solid">
        <fgColor indexed="45"/>
        <bgColor indexed="64"/>
      </patternFill>
    </fill>
    <fill>
      <patternFill patternType="solid">
        <fgColor indexed="45"/>
        <bgColor indexed="10"/>
      </patternFill>
    </fill>
    <fill>
      <patternFill patternType="solid">
        <fgColor indexed="27"/>
        <bgColor indexed="10"/>
      </patternFill>
    </fill>
    <fill>
      <patternFill patternType="solid">
        <fgColor indexed="42"/>
        <bgColor indexed="10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10"/>
      </patternFill>
    </fill>
  </fills>
  <borders count="79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double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ck">
        <color indexed="64"/>
      </bottom>
      <diagonal/>
    </border>
    <border>
      <left style="hair">
        <color indexed="64"/>
      </left>
      <right/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</cellStyleXfs>
  <cellXfs count="247">
    <xf numFmtId="0" fontId="0" fillId="0" borderId="0" xfId="0"/>
    <xf numFmtId="0" fontId="4" fillId="2" borderId="0" xfId="0" applyFont="1" applyFill="1" applyBorder="1"/>
    <xf numFmtId="0" fontId="4" fillId="3" borderId="0" xfId="0" applyFont="1" applyFill="1" applyBorder="1"/>
    <xf numFmtId="0" fontId="4" fillId="3" borderId="1" xfId="0" applyFont="1" applyFill="1" applyBorder="1"/>
    <xf numFmtId="168" fontId="4" fillId="4" borderId="0" xfId="3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5" borderId="3" xfId="0" applyFont="1" applyFill="1" applyBorder="1"/>
    <xf numFmtId="168" fontId="6" fillId="6" borderId="4" xfId="3" applyFont="1" applyFill="1" applyBorder="1"/>
    <xf numFmtId="168" fontId="5" fillId="7" borderId="5" xfId="3" applyFont="1" applyFill="1" applyBorder="1"/>
    <xf numFmtId="0" fontId="5" fillId="8" borderId="6" xfId="0" applyFont="1" applyFill="1" applyBorder="1"/>
    <xf numFmtId="172" fontId="5" fillId="9" borderId="7" xfId="1" applyNumberFormat="1" applyFont="1" applyFill="1" applyBorder="1" applyAlignment="1"/>
    <xf numFmtId="0" fontId="5" fillId="10" borderId="8" xfId="0" applyFont="1" applyFill="1" applyBorder="1"/>
    <xf numFmtId="168" fontId="8" fillId="7" borderId="7" xfId="3" applyFont="1" applyFill="1" applyBorder="1"/>
    <xf numFmtId="0" fontId="5" fillId="8" borderId="9" xfId="0" applyFont="1" applyFill="1" applyBorder="1"/>
    <xf numFmtId="168" fontId="5" fillId="7" borderId="7" xfId="3" applyFont="1" applyFill="1" applyBorder="1"/>
    <xf numFmtId="0" fontId="5" fillId="11" borderId="0" xfId="0" applyFont="1" applyFill="1" applyBorder="1"/>
    <xf numFmtId="173" fontId="2" fillId="11" borderId="0" xfId="4" applyNumberFormat="1" applyFont="1" applyFill="1" applyBorder="1"/>
    <xf numFmtId="0" fontId="5" fillId="11" borderId="1" xfId="0" applyFont="1" applyFill="1" applyBorder="1"/>
    <xf numFmtId="168" fontId="5" fillId="6" borderId="10" xfId="3" applyFont="1" applyFill="1" applyBorder="1"/>
    <xf numFmtId="168" fontId="5" fillId="7" borderId="11" xfId="3" applyFont="1" applyFill="1" applyBorder="1"/>
    <xf numFmtId="174" fontId="2" fillId="11" borderId="0" xfId="4" applyNumberFormat="1" applyFont="1" applyFill="1" applyBorder="1"/>
    <xf numFmtId="4" fontId="5" fillId="12" borderId="12" xfId="0" applyNumberFormat="1" applyFont="1" applyFill="1" applyBorder="1"/>
    <xf numFmtId="174" fontId="5" fillId="13" borderId="13" xfId="0" applyNumberFormat="1" applyFont="1" applyFill="1" applyBorder="1"/>
    <xf numFmtId="174" fontId="5" fillId="11" borderId="11" xfId="0" applyNumberFormat="1" applyFont="1" applyFill="1" applyBorder="1"/>
    <xf numFmtId="174" fontId="5" fillId="14" borderId="13" xfId="3" applyNumberFormat="1" applyFont="1" applyFill="1" applyBorder="1"/>
    <xf numFmtId="174" fontId="5" fillId="15" borderId="14" xfId="3" applyNumberFormat="1" applyFont="1" applyFill="1" applyBorder="1"/>
    <xf numFmtId="168" fontId="5" fillId="14" borderId="11" xfId="3" applyFont="1" applyFill="1" applyBorder="1"/>
    <xf numFmtId="0" fontId="5" fillId="16" borderId="15" xfId="0" applyFont="1" applyFill="1" applyBorder="1"/>
    <xf numFmtId="170" fontId="5" fillId="16" borderId="15" xfId="0" applyNumberFormat="1" applyFont="1" applyFill="1" applyBorder="1"/>
    <xf numFmtId="174" fontId="5" fillId="0" borderId="14" xfId="0" applyNumberFormat="1" applyFont="1" applyBorder="1"/>
    <xf numFmtId="0" fontId="0" fillId="0" borderId="0" xfId="0" applyBorder="1"/>
    <xf numFmtId="174" fontId="5" fillId="5" borderId="2" xfId="2" applyNumberFormat="1" applyFont="1" applyFill="1" applyBorder="1"/>
    <xf numFmtId="166" fontId="5" fillId="9" borderId="11" xfId="1" applyNumberFormat="1" applyFont="1" applyFill="1" applyBorder="1" applyAlignment="1"/>
    <xf numFmtId="166" fontId="5" fillId="10" borderId="16" xfId="1" applyNumberFormat="1" applyFont="1" applyFill="1" applyBorder="1" applyAlignment="1"/>
    <xf numFmtId="166" fontId="11" fillId="17" borderId="17" xfId="3" applyNumberFormat="1" applyFont="1" applyFill="1" applyBorder="1"/>
    <xf numFmtId="0" fontId="5" fillId="11" borderId="9" xfId="0" applyFont="1" applyFill="1" applyBorder="1"/>
    <xf numFmtId="0" fontId="5" fillId="11" borderId="18" xfId="0" applyFont="1" applyFill="1" applyBorder="1"/>
    <xf numFmtId="173" fontId="2" fillId="11" borderId="18" xfId="4" applyNumberFormat="1" applyFont="1" applyFill="1" applyBorder="1"/>
    <xf numFmtId="173" fontId="2" fillId="11" borderId="19" xfId="4" applyNumberFormat="1" applyFont="1" applyFill="1" applyBorder="1"/>
    <xf numFmtId="0" fontId="9" fillId="11" borderId="20" xfId="0" applyFont="1" applyFill="1" applyBorder="1"/>
    <xf numFmtId="0" fontId="9" fillId="16" borderId="21" xfId="0" applyFont="1" applyFill="1" applyBorder="1"/>
    <xf numFmtId="0" fontId="8" fillId="18" borderId="21" xfId="0" applyFont="1" applyFill="1" applyBorder="1"/>
    <xf numFmtId="0" fontId="8" fillId="16" borderId="21" xfId="0" applyFont="1" applyFill="1" applyBorder="1"/>
    <xf numFmtId="170" fontId="8" fillId="16" borderId="21" xfId="0" applyNumberFormat="1" applyFont="1" applyFill="1" applyBorder="1"/>
    <xf numFmtId="0" fontId="5" fillId="12" borderId="12" xfId="0" applyFont="1" applyFill="1" applyBorder="1"/>
    <xf numFmtId="174" fontId="5" fillId="16" borderId="21" xfId="2" applyNumberFormat="1" applyFont="1" applyFill="1" applyBorder="1"/>
    <xf numFmtId="166" fontId="5" fillId="16" borderId="22" xfId="1" applyNumberFormat="1" applyFont="1" applyFill="1" applyBorder="1" applyAlignment="1"/>
    <xf numFmtId="166" fontId="5" fillId="16" borderId="21" xfId="1" applyNumberFormat="1" applyFont="1" applyFill="1" applyBorder="1" applyAlignment="1"/>
    <xf numFmtId="174" fontId="11" fillId="19" borderId="17" xfId="3" applyNumberFormat="1" applyFont="1" applyFill="1" applyBorder="1"/>
    <xf numFmtId="174" fontId="5" fillId="19" borderId="22" xfId="3" applyNumberFormat="1" applyFont="1" applyFill="1" applyBorder="1"/>
    <xf numFmtId="174" fontId="5" fillId="5" borderId="21" xfId="2" applyNumberFormat="1" applyFont="1" applyFill="1" applyBorder="1"/>
    <xf numFmtId="174" fontId="5" fillId="9" borderId="22" xfId="1" applyNumberFormat="1" applyFont="1" applyFill="1" applyBorder="1" applyAlignment="1"/>
    <xf numFmtId="166" fontId="5" fillId="10" borderId="21" xfId="1" applyNumberFormat="1" applyFont="1" applyFill="1" applyBorder="1" applyAlignment="1"/>
    <xf numFmtId="174" fontId="5" fillId="7" borderId="22" xfId="3" applyNumberFormat="1" applyFont="1" applyFill="1" applyBorder="1"/>
    <xf numFmtId="174" fontId="5" fillId="0" borderId="23" xfId="0" applyNumberFormat="1" applyFont="1" applyBorder="1"/>
    <xf numFmtId="0" fontId="5" fillId="12" borderId="24" xfId="0" applyFont="1" applyFill="1" applyBorder="1"/>
    <xf numFmtId="174" fontId="5" fillId="7" borderId="5" xfId="3" applyNumberFormat="1" applyFont="1" applyFill="1" applyBorder="1"/>
    <xf numFmtId="174" fontId="5" fillId="0" borderId="19" xfId="0" applyNumberFormat="1" applyFont="1" applyBorder="1"/>
    <xf numFmtId="174" fontId="5" fillId="0" borderId="18" xfId="0" applyNumberFormat="1" applyFont="1" applyBorder="1"/>
    <xf numFmtId="174" fontId="5" fillId="9" borderId="25" xfId="0" applyNumberFormat="1" applyFont="1" applyFill="1" applyBorder="1" applyAlignment="1">
      <alignment horizontal="center"/>
    </xf>
    <xf numFmtId="174" fontId="5" fillId="9" borderId="25" xfId="2" applyNumberFormat="1" applyFont="1" applyFill="1" applyBorder="1"/>
    <xf numFmtId="0" fontId="5" fillId="9" borderId="26" xfId="0" applyFont="1" applyFill="1" applyBorder="1" applyAlignment="1">
      <alignment horizontal="center"/>
    </xf>
    <xf numFmtId="174" fontId="5" fillId="5" borderId="27" xfId="2" applyNumberFormat="1" applyFont="1" applyFill="1" applyBorder="1"/>
    <xf numFmtId="167" fontId="5" fillId="9" borderId="28" xfId="0" applyNumberFormat="1" applyFont="1" applyFill="1" applyBorder="1" applyAlignment="1"/>
    <xf numFmtId="166" fontId="5" fillId="10" borderId="29" xfId="1" applyNumberFormat="1" applyFont="1" applyFill="1" applyBorder="1" applyAlignment="1"/>
    <xf numFmtId="174" fontId="5" fillId="2" borderId="27" xfId="2" applyNumberFormat="1" applyFont="1" applyFill="1" applyBorder="1"/>
    <xf numFmtId="167" fontId="5" fillId="7" borderId="28" xfId="3" applyNumberFormat="1" applyFont="1" applyFill="1" applyBorder="1"/>
    <xf numFmtId="0" fontId="5" fillId="11" borderId="0" xfId="0" applyNumberFormat="1" applyFont="1" applyFill="1" applyBorder="1" applyAlignment="1">
      <alignment horizontal="center"/>
    </xf>
    <xf numFmtId="174" fontId="5" fillId="11" borderId="0" xfId="2" applyNumberFormat="1" applyFont="1" applyFill="1" applyBorder="1"/>
    <xf numFmtId="2" fontId="5" fillId="11" borderId="0" xfId="2" applyNumberFormat="1" applyFont="1" applyFill="1" applyBorder="1"/>
    <xf numFmtId="0" fontId="5" fillId="11" borderId="1" xfId="0" applyNumberFormat="1" applyFont="1" applyFill="1" applyBorder="1" applyAlignment="1">
      <alignment horizontal="center"/>
    </xf>
    <xf numFmtId="166" fontId="5" fillId="11" borderId="0" xfId="2" applyNumberFormat="1" applyFont="1" applyFill="1" applyBorder="1"/>
    <xf numFmtId="170" fontId="5" fillId="11" borderId="1" xfId="0" applyNumberFormat="1" applyFont="1" applyFill="1" applyBorder="1" applyAlignment="1"/>
    <xf numFmtId="170" fontId="5" fillId="11" borderId="30" xfId="0" applyNumberFormat="1" applyFont="1" applyFill="1" applyBorder="1" applyAlignment="1"/>
    <xf numFmtId="174" fontId="11" fillId="14" borderId="0" xfId="3" applyNumberFormat="1" applyFont="1" applyFill="1" applyBorder="1"/>
    <xf numFmtId="171" fontId="5" fillId="14" borderId="1" xfId="3" applyNumberFormat="1" applyFont="1" applyFill="1" applyBorder="1"/>
    <xf numFmtId="174" fontId="5" fillId="20" borderId="15" xfId="2" applyNumberFormat="1" applyFont="1" applyFill="1" applyBorder="1"/>
    <xf numFmtId="167" fontId="5" fillId="5" borderId="31" xfId="2" applyNumberFormat="1" applyFont="1" applyFill="1" applyBorder="1"/>
    <xf numFmtId="167" fontId="5" fillId="12" borderId="19" xfId="2" applyNumberFormat="1" applyFont="1" applyFill="1" applyBorder="1"/>
    <xf numFmtId="172" fontId="5" fillId="9" borderId="7" xfId="1" applyNumberFormat="1" applyFont="1" applyFill="1" applyBorder="1" applyAlignment="1">
      <alignment horizontal="center"/>
    </xf>
    <xf numFmtId="0" fontId="5" fillId="10" borderId="20" xfId="0" applyFont="1" applyFill="1" applyBorder="1"/>
    <xf numFmtId="168" fontId="0" fillId="0" borderId="0" xfId="3" applyFont="1" applyBorder="1"/>
    <xf numFmtId="0" fontId="13" fillId="0" borderId="0" xfId="0" applyFont="1" applyBorder="1"/>
    <xf numFmtId="168" fontId="0" fillId="0" borderId="0" xfId="3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73" fontId="2" fillId="8" borderId="19" xfId="4" applyNumberFormat="1" applyFont="1" applyFill="1" applyBorder="1" applyAlignment="1">
      <alignment horizontal="center"/>
    </xf>
    <xf numFmtId="173" fontId="2" fillId="8" borderId="15" xfId="4" applyNumberFormat="1" applyFont="1" applyFill="1" applyBorder="1" applyAlignment="1">
      <alignment horizontal="center"/>
    </xf>
    <xf numFmtId="173" fontId="2" fillId="8" borderId="13" xfId="0" applyNumberFormat="1" applyFont="1" applyFill="1" applyBorder="1" applyAlignment="1">
      <alignment horizontal="center"/>
    </xf>
    <xf numFmtId="173" fontId="2" fillId="8" borderId="18" xfId="0" applyNumberFormat="1" applyFont="1" applyFill="1" applyBorder="1" applyAlignment="1">
      <alignment horizontal="center"/>
    </xf>
    <xf numFmtId="0" fontId="14" fillId="3" borderId="0" xfId="0" applyFont="1" applyFill="1" applyBorder="1"/>
    <xf numFmtId="0" fontId="5" fillId="2" borderId="32" xfId="0" applyFont="1" applyFill="1" applyBorder="1"/>
    <xf numFmtId="0" fontId="4" fillId="2" borderId="33" xfId="0" applyFont="1" applyFill="1" applyBorder="1"/>
    <xf numFmtId="174" fontId="5" fillId="5" borderId="0" xfId="2" applyNumberFormat="1" applyFont="1" applyFill="1" applyBorder="1"/>
    <xf numFmtId="0" fontId="4" fillId="3" borderId="30" xfId="0" applyFont="1" applyFill="1" applyBorder="1"/>
    <xf numFmtId="0" fontId="5" fillId="10" borderId="12" xfId="0" applyFont="1" applyFill="1" applyBorder="1"/>
    <xf numFmtId="0" fontId="5" fillId="10" borderId="4" xfId="0" applyFont="1" applyFill="1" applyBorder="1"/>
    <xf numFmtId="168" fontId="5" fillId="6" borderId="8" xfId="3" applyFont="1" applyFill="1" applyBorder="1"/>
    <xf numFmtId="0" fontId="0" fillId="3" borderId="0" xfId="0" applyFill="1" applyBorder="1"/>
    <xf numFmtId="168" fontId="8" fillId="7" borderId="34" xfId="3" applyFont="1" applyFill="1" applyBorder="1"/>
    <xf numFmtId="168" fontId="5" fillId="7" borderId="34" xfId="3" applyFont="1" applyFill="1" applyBorder="1"/>
    <xf numFmtId="168" fontId="5" fillId="7" borderId="35" xfId="3" applyFont="1" applyFill="1" applyBorder="1"/>
    <xf numFmtId="0" fontId="0" fillId="3" borderId="36" xfId="0" applyFill="1" applyBorder="1"/>
    <xf numFmtId="168" fontId="17" fillId="4" borderId="6" xfId="3" applyFont="1" applyFill="1" applyBorder="1"/>
    <xf numFmtId="0" fontId="5" fillId="20" borderId="37" xfId="0" applyFont="1" applyFill="1" applyBorder="1"/>
    <xf numFmtId="173" fontId="2" fillId="11" borderId="0" xfId="4" applyNumberFormat="1" applyFont="1" applyFill="1" applyBorder="1" applyAlignment="1">
      <alignment horizontal="center"/>
    </xf>
    <xf numFmtId="166" fontId="11" fillId="17" borderId="38" xfId="3" applyNumberFormat="1" applyFont="1" applyFill="1" applyBorder="1"/>
    <xf numFmtId="0" fontId="5" fillId="9" borderId="39" xfId="0" applyFont="1" applyFill="1" applyBorder="1" applyAlignment="1">
      <alignment horizontal="center"/>
    </xf>
    <xf numFmtId="167" fontId="5" fillId="9" borderId="40" xfId="2" applyNumberFormat="1" applyFont="1" applyFill="1" applyBorder="1"/>
    <xf numFmtId="0" fontId="5" fillId="8" borderId="41" xfId="0" applyFont="1" applyFill="1" applyBorder="1" applyAlignment="1">
      <alignment horizontal="center"/>
    </xf>
    <xf numFmtId="0" fontId="12" fillId="12" borderId="22" xfId="0" applyFont="1" applyFill="1" applyBorder="1"/>
    <xf numFmtId="4" fontId="5" fillId="12" borderId="22" xfId="0" applyNumberFormat="1" applyFont="1" applyFill="1" applyBorder="1"/>
    <xf numFmtId="167" fontId="5" fillId="7" borderId="22" xfId="3" applyNumberFormat="1" applyFont="1" applyFill="1" applyBorder="1"/>
    <xf numFmtId="0" fontId="5" fillId="12" borderId="16" xfId="0" applyFont="1" applyFill="1" applyBorder="1"/>
    <xf numFmtId="0" fontId="5" fillId="10" borderId="3" xfId="0" applyFont="1" applyFill="1" applyBorder="1"/>
    <xf numFmtId="0" fontId="5" fillId="10" borderId="42" xfId="0" applyFont="1" applyFill="1" applyBorder="1"/>
    <xf numFmtId="0" fontId="4" fillId="2" borderId="43" xfId="0" applyFont="1" applyFill="1" applyBorder="1"/>
    <xf numFmtId="0" fontId="4" fillId="3" borderId="43" xfId="0" applyFont="1" applyFill="1" applyBorder="1"/>
    <xf numFmtId="0" fontId="4" fillId="3" borderId="44" xfId="0" applyFont="1" applyFill="1" applyBorder="1"/>
    <xf numFmtId="0" fontId="4" fillId="3" borderId="45" xfId="0" applyFont="1" applyFill="1" applyBorder="1"/>
    <xf numFmtId="168" fontId="4" fillId="4" borderId="43" xfId="3" applyFont="1" applyFill="1" applyBorder="1"/>
    <xf numFmtId="0" fontId="4" fillId="3" borderId="46" xfId="0" applyFont="1" applyFill="1" applyBorder="1"/>
    <xf numFmtId="0" fontId="14" fillId="3" borderId="30" xfId="0" applyFont="1" applyFill="1" applyBorder="1"/>
    <xf numFmtId="0" fontId="4" fillId="3" borderId="47" xfId="0" applyFont="1" applyFill="1" applyBorder="1"/>
    <xf numFmtId="0" fontId="16" fillId="2" borderId="30" xfId="0" applyFont="1" applyFill="1" applyBorder="1"/>
    <xf numFmtId="0" fontId="15" fillId="2" borderId="48" xfId="0" applyFont="1" applyFill="1" applyBorder="1"/>
    <xf numFmtId="0" fontId="5" fillId="3" borderId="47" xfId="0" applyFont="1" applyFill="1" applyBorder="1"/>
    <xf numFmtId="0" fontId="15" fillId="8" borderId="49" xfId="0" applyFont="1" applyFill="1" applyBorder="1"/>
    <xf numFmtId="0" fontId="5" fillId="8" borderId="10" xfId="0" applyFont="1" applyFill="1" applyBorder="1"/>
    <xf numFmtId="0" fontId="5" fillId="8" borderId="4" xfId="0" applyFont="1" applyFill="1" applyBorder="1"/>
    <xf numFmtId="0" fontId="5" fillId="11" borderId="30" xfId="0" applyFont="1" applyFill="1" applyBorder="1"/>
    <xf numFmtId="0" fontId="5" fillId="11" borderId="50" xfId="0" applyFont="1" applyFill="1" applyBorder="1"/>
    <xf numFmtId="4" fontId="5" fillId="12" borderId="16" xfId="0" applyNumberFormat="1" applyFont="1" applyFill="1" applyBorder="1"/>
    <xf numFmtId="0" fontId="10" fillId="12" borderId="1" xfId="0" applyFont="1" applyFill="1" applyBorder="1"/>
    <xf numFmtId="0" fontId="12" fillId="12" borderId="30" xfId="0" applyFont="1" applyFill="1" applyBorder="1"/>
    <xf numFmtId="4" fontId="5" fillId="2" borderId="16" xfId="0" applyNumberFormat="1" applyFont="1" applyFill="1" applyBorder="1"/>
    <xf numFmtId="4" fontId="5" fillId="0" borderId="16" xfId="0" applyNumberFormat="1" applyFont="1" applyBorder="1"/>
    <xf numFmtId="4" fontId="5" fillId="0" borderId="4" xfId="0" applyNumberFormat="1" applyFont="1" applyBorder="1"/>
    <xf numFmtId="0" fontId="5" fillId="16" borderId="51" xfId="0" applyFont="1" applyFill="1" applyBorder="1" applyAlignment="1">
      <alignment horizontal="center"/>
    </xf>
    <xf numFmtId="0" fontId="5" fillId="16" borderId="47" xfId="0" applyFont="1" applyFill="1" applyBorder="1" applyAlignment="1">
      <alignment horizontal="center"/>
    </xf>
    <xf numFmtId="173" fontId="5" fillId="8" borderId="10" xfId="0" applyNumberFormat="1" applyFont="1" applyFill="1" applyBorder="1"/>
    <xf numFmtId="0" fontId="5" fillId="16" borderId="50" xfId="0" applyFont="1" applyFill="1" applyBorder="1" applyAlignment="1">
      <alignment horizontal="center"/>
    </xf>
    <xf numFmtId="173" fontId="5" fillId="8" borderId="4" xfId="0" applyNumberFormat="1" applyFont="1" applyFill="1" applyBorder="1"/>
    <xf numFmtId="0" fontId="5" fillId="11" borderId="4" xfId="0" applyFont="1" applyFill="1" applyBorder="1"/>
    <xf numFmtId="0" fontId="0" fillId="12" borderId="30" xfId="0" applyFill="1" applyBorder="1"/>
    <xf numFmtId="0" fontId="5" fillId="12" borderId="4" xfId="0" applyFont="1" applyFill="1" applyBorder="1"/>
    <xf numFmtId="0" fontId="12" fillId="12" borderId="16" xfId="0" applyFont="1" applyFill="1" applyBorder="1"/>
    <xf numFmtId="0" fontId="5" fillId="0" borderId="16" xfId="0" applyFont="1" applyBorder="1"/>
    <xf numFmtId="0" fontId="5" fillId="9" borderId="52" xfId="0" applyFont="1" applyFill="1" applyBorder="1" applyAlignment="1">
      <alignment horizontal="center"/>
    </xf>
    <xf numFmtId="0" fontId="5" fillId="11" borderId="30" xfId="0" applyNumberFormat="1" applyFont="1" applyFill="1" applyBorder="1" applyAlignment="1">
      <alignment horizontal="center"/>
    </xf>
    <xf numFmtId="0" fontId="5" fillId="20" borderId="10" xfId="0" applyFont="1" applyFill="1" applyBorder="1"/>
    <xf numFmtId="0" fontId="5" fillId="5" borderId="8" xfId="0" applyFont="1" applyFill="1" applyBorder="1"/>
    <xf numFmtId="0" fontId="5" fillId="10" borderId="16" xfId="0" applyFont="1" applyFill="1" applyBorder="1"/>
    <xf numFmtId="0" fontId="5" fillId="0" borderId="4" xfId="0" applyFont="1" applyBorder="1"/>
    <xf numFmtId="0" fontId="5" fillId="9" borderId="53" xfId="0" applyFont="1" applyFill="1" applyBorder="1" applyAlignment="1">
      <alignment horizontal="center"/>
    </xf>
    <xf numFmtId="0" fontId="5" fillId="8" borderId="36" xfId="0" applyFont="1" applyFill="1" applyBorder="1" applyAlignment="1">
      <alignment horizontal="center"/>
    </xf>
    <xf numFmtId="174" fontId="5" fillId="2" borderId="23" xfId="0" applyNumberFormat="1" applyFont="1" applyFill="1" applyBorder="1"/>
    <xf numFmtId="174" fontId="12" fillId="2" borderId="14" xfId="0" applyNumberFormat="1" applyFont="1" applyFill="1" applyBorder="1"/>
    <xf numFmtId="174" fontId="5" fillId="2" borderId="14" xfId="0" applyNumberFormat="1" applyFont="1" applyFill="1" applyBorder="1"/>
    <xf numFmtId="174" fontId="9" fillId="16" borderId="13" xfId="0" applyNumberFormat="1" applyFont="1" applyFill="1" applyBorder="1"/>
    <xf numFmtId="174" fontId="5" fillId="2" borderId="0" xfId="0" applyNumberFormat="1" applyFont="1" applyFill="1" applyBorder="1"/>
    <xf numFmtId="174" fontId="20" fillId="0" borderId="0" xfId="0" applyNumberFormat="1" applyFont="1" applyBorder="1"/>
    <xf numFmtId="174" fontId="20" fillId="0" borderId="14" xfId="0" applyNumberFormat="1" applyFont="1" applyBorder="1"/>
    <xf numFmtId="174" fontId="5" fillId="2" borderId="18" xfId="0" applyNumberFormat="1" applyFont="1" applyFill="1" applyBorder="1"/>
    <xf numFmtId="174" fontId="12" fillId="2" borderId="23" xfId="0" applyNumberFormat="1" applyFont="1" applyFill="1" applyBorder="1"/>
    <xf numFmtId="174" fontId="5" fillId="7" borderId="12" xfId="3" applyNumberFormat="1" applyFont="1" applyFill="1" applyBorder="1"/>
    <xf numFmtId="0" fontId="0" fillId="0" borderId="54" xfId="0" applyBorder="1"/>
    <xf numFmtId="0" fontId="0" fillId="0" borderId="55" xfId="0" applyBorder="1"/>
    <xf numFmtId="168" fontId="0" fillId="0" borderId="55" xfId="3" applyFont="1" applyBorder="1"/>
    <xf numFmtId="0" fontId="0" fillId="0" borderId="34" xfId="0" applyBorder="1"/>
    <xf numFmtId="0" fontId="0" fillId="0" borderId="4" xfId="0" applyBorder="1"/>
    <xf numFmtId="0" fontId="13" fillId="0" borderId="8" xfId="0" applyFont="1" applyBorder="1"/>
    <xf numFmtId="174" fontId="5" fillId="2" borderId="17" xfId="2" applyNumberFormat="1" applyFont="1" applyFill="1" applyBorder="1"/>
    <xf numFmtId="174" fontId="5" fillId="2" borderId="14" xfId="1" applyNumberFormat="1" applyFont="1" applyFill="1" applyBorder="1" applyAlignment="1"/>
    <xf numFmtId="174" fontId="5" fillId="2" borderId="56" xfId="2" applyNumberFormat="1" applyFont="1" applyFill="1" applyBorder="1"/>
    <xf numFmtId="0" fontId="5" fillId="13" borderId="0" xfId="0" applyFont="1" applyFill="1"/>
    <xf numFmtId="0" fontId="5" fillId="9" borderId="0" xfId="0" applyFont="1" applyFill="1"/>
    <xf numFmtId="0" fontId="5" fillId="8" borderId="1" xfId="0" applyFont="1" applyFill="1" applyBorder="1"/>
    <xf numFmtId="0" fontId="6" fillId="10" borderId="8" xfId="0" applyFont="1" applyFill="1" applyBorder="1"/>
    <xf numFmtId="174" fontId="5" fillId="2" borderId="14" xfId="2" applyNumberFormat="1" applyFont="1" applyFill="1" applyBorder="1"/>
    <xf numFmtId="0" fontId="5" fillId="9" borderId="7" xfId="0" applyFont="1" applyFill="1" applyBorder="1"/>
    <xf numFmtId="0" fontId="5" fillId="3" borderId="30" xfId="0" applyFont="1" applyFill="1" applyBorder="1"/>
    <xf numFmtId="0" fontId="0" fillId="0" borderId="1" xfId="0" applyBorder="1"/>
    <xf numFmtId="0" fontId="5" fillId="8" borderId="57" xfId="0" applyFont="1" applyFill="1" applyBorder="1" applyAlignment="1">
      <alignment horizontal="center"/>
    </xf>
    <xf numFmtId="0" fontId="5" fillId="12" borderId="47" xfId="0" applyFont="1" applyFill="1" applyBorder="1"/>
    <xf numFmtId="0" fontId="5" fillId="12" borderId="47" xfId="0" applyFont="1" applyFill="1" applyBorder="1" applyAlignment="1">
      <alignment horizontal="center"/>
    </xf>
    <xf numFmtId="0" fontId="0" fillId="8" borderId="5" xfId="0" applyFill="1" applyBorder="1"/>
    <xf numFmtId="167" fontId="5" fillId="9" borderId="58" xfId="0" applyNumberFormat="1" applyFont="1" applyFill="1" applyBorder="1" applyAlignment="1"/>
    <xf numFmtId="0" fontId="22" fillId="2" borderId="45" xfId="0" applyFont="1" applyFill="1" applyBorder="1"/>
    <xf numFmtId="0" fontId="22" fillId="2" borderId="43" xfId="0" applyFont="1" applyFill="1" applyBorder="1"/>
    <xf numFmtId="0" fontId="23" fillId="2" borderId="43" xfId="0" applyFont="1" applyFill="1" applyBorder="1"/>
    <xf numFmtId="0" fontId="5" fillId="0" borderId="0" xfId="0" applyFont="1" applyBorder="1" applyAlignment="1">
      <alignment horizontal="center"/>
    </xf>
    <xf numFmtId="0" fontId="0" fillId="0" borderId="14" xfId="0" applyBorder="1"/>
    <xf numFmtId="0" fontId="5" fillId="12" borderId="22" xfId="0" applyFont="1" applyFill="1" applyBorder="1"/>
    <xf numFmtId="174" fontId="5" fillId="9" borderId="40" xfId="0" applyNumberFormat="1" applyFont="1" applyFill="1" applyBorder="1" applyAlignment="1">
      <alignment horizontal="center"/>
    </xf>
    <xf numFmtId="174" fontId="5" fillId="2" borderId="21" xfId="0" applyNumberFormat="1" applyFont="1" applyFill="1" applyBorder="1"/>
    <xf numFmtId="0" fontId="5" fillId="0" borderId="55" xfId="0" applyFont="1" applyBorder="1" applyAlignment="1">
      <alignment horizontal="center"/>
    </xf>
    <xf numFmtId="0" fontId="2" fillId="0" borderId="55" xfId="0" applyFont="1" applyBorder="1"/>
    <xf numFmtId="168" fontId="6" fillId="6" borderId="8" xfId="3" applyFont="1" applyFill="1" applyBorder="1"/>
    <xf numFmtId="174" fontId="5" fillId="13" borderId="59" xfId="0" applyNumberFormat="1" applyFont="1" applyFill="1" applyBorder="1"/>
    <xf numFmtId="174" fontId="5" fillId="9" borderId="60" xfId="0" applyNumberFormat="1" applyFont="1" applyFill="1" applyBorder="1"/>
    <xf numFmtId="174" fontId="5" fillId="10" borderId="61" xfId="0" applyNumberFormat="1" applyFont="1" applyFill="1" applyBorder="1"/>
    <xf numFmtId="167" fontId="5" fillId="7" borderId="60" xfId="3" applyNumberFormat="1" applyFont="1" applyFill="1" applyBorder="1"/>
    <xf numFmtId="4" fontId="5" fillId="9" borderId="60" xfId="0" applyNumberFormat="1" applyFont="1" applyFill="1" applyBorder="1"/>
    <xf numFmtId="0" fontId="2" fillId="20" borderId="62" xfId="0" applyFont="1" applyFill="1" applyBorder="1" applyAlignment="1">
      <alignment horizontal="center"/>
    </xf>
    <xf numFmtId="0" fontId="2" fillId="20" borderId="63" xfId="0" applyFont="1" applyFill="1" applyBorder="1"/>
    <xf numFmtId="0" fontId="2" fillId="20" borderId="64" xfId="0" applyFont="1" applyFill="1" applyBorder="1"/>
    <xf numFmtId="0" fontId="2" fillId="20" borderId="65" xfId="0" applyFont="1" applyFill="1" applyBorder="1"/>
    <xf numFmtId="0" fontId="2" fillId="20" borderId="66" xfId="0" applyFont="1" applyFill="1" applyBorder="1"/>
    <xf numFmtId="0" fontId="5" fillId="20" borderId="20" xfId="0" applyFont="1" applyFill="1" applyBorder="1"/>
    <xf numFmtId="0" fontId="5" fillId="20" borderId="67" xfId="0" applyFont="1" applyFill="1" applyBorder="1" applyAlignment="1">
      <alignment horizontal="center"/>
    </xf>
    <xf numFmtId="0" fontId="5" fillId="20" borderId="68" xfId="0" applyFont="1" applyFill="1" applyBorder="1" applyAlignment="1">
      <alignment horizontal="center"/>
    </xf>
    <xf numFmtId="0" fontId="5" fillId="20" borderId="69" xfId="0" applyFont="1" applyFill="1" applyBorder="1" applyAlignment="1">
      <alignment horizontal="center"/>
    </xf>
    <xf numFmtId="0" fontId="5" fillId="20" borderId="70" xfId="0" applyFont="1" applyFill="1" applyBorder="1" applyAlignment="1">
      <alignment horizontal="center"/>
    </xf>
    <xf numFmtId="0" fontId="5" fillId="20" borderId="71" xfId="0" applyFont="1" applyFill="1" applyBorder="1"/>
    <xf numFmtId="0" fontId="2" fillId="20" borderId="72" xfId="0" applyFont="1" applyFill="1" applyBorder="1" applyAlignment="1">
      <alignment horizontal="center"/>
    </xf>
    <xf numFmtId="0" fontId="2" fillId="20" borderId="73" xfId="0" applyFont="1" applyFill="1" applyBorder="1" applyAlignment="1">
      <alignment horizontal="center"/>
    </xf>
    <xf numFmtId="0" fontId="2" fillId="20" borderId="74" xfId="0" applyFont="1" applyFill="1" applyBorder="1" applyAlignment="1">
      <alignment horizontal="center"/>
    </xf>
    <xf numFmtId="0" fontId="2" fillId="20" borderId="75" xfId="0" applyFont="1" applyFill="1" applyBorder="1" applyAlignment="1">
      <alignment horizontal="center"/>
    </xf>
    <xf numFmtId="168" fontId="2" fillId="21" borderId="73" xfId="3" applyFont="1" applyFill="1" applyBorder="1" applyAlignment="1">
      <alignment horizontal="center"/>
    </xf>
    <xf numFmtId="0" fontId="6" fillId="13" borderId="76" xfId="0" applyFont="1" applyFill="1" applyBorder="1"/>
    <xf numFmtId="0" fontId="5" fillId="13" borderId="0" xfId="0" applyFont="1" applyFill="1" applyBorder="1"/>
    <xf numFmtId="0" fontId="18" fillId="13" borderId="0" xfId="0" applyFont="1" applyFill="1" applyBorder="1"/>
    <xf numFmtId="168" fontId="5" fillId="22" borderId="0" xfId="3" applyFont="1" applyFill="1" applyBorder="1"/>
    <xf numFmtId="0" fontId="6" fillId="13" borderId="0" xfId="0" applyFont="1" applyFill="1" applyBorder="1"/>
    <xf numFmtId="174" fontId="5" fillId="23" borderId="40" xfId="3" applyNumberFormat="1" applyFont="1" applyFill="1" applyBorder="1"/>
    <xf numFmtId="0" fontId="19" fillId="9" borderId="11" xfId="0" applyFont="1" applyFill="1" applyBorder="1"/>
    <xf numFmtId="173" fontId="5" fillId="8" borderId="13" xfId="0" applyNumberFormat="1" applyFont="1" applyFill="1" applyBorder="1" applyAlignment="1">
      <alignment horizontal="center"/>
    </xf>
    <xf numFmtId="173" fontId="5" fillId="8" borderId="18" xfId="0" applyNumberFormat="1" applyFont="1" applyFill="1" applyBorder="1" applyAlignment="1">
      <alignment horizontal="center"/>
    </xf>
    <xf numFmtId="0" fontId="5" fillId="10" borderId="18" xfId="0" applyFont="1" applyFill="1" applyBorder="1" applyAlignment="1">
      <alignment horizontal="center"/>
    </xf>
    <xf numFmtId="173" fontId="5" fillId="10" borderId="14" xfId="0" applyNumberFormat="1" applyFont="1" applyFill="1" applyBorder="1" applyAlignment="1">
      <alignment horizontal="center"/>
    </xf>
    <xf numFmtId="173" fontId="5" fillId="10" borderId="3" xfId="0" applyNumberFormat="1" applyFont="1" applyFill="1" applyBorder="1" applyAlignment="1">
      <alignment horizontal="center"/>
    </xf>
    <xf numFmtId="0" fontId="5" fillId="24" borderId="3" xfId="0" applyFont="1" applyFill="1" applyBorder="1"/>
    <xf numFmtId="0" fontId="5" fillId="24" borderId="0" xfId="0" applyFont="1" applyFill="1"/>
    <xf numFmtId="0" fontId="5" fillId="24" borderId="77" xfId="0" applyFont="1" applyFill="1" applyBorder="1"/>
    <xf numFmtId="174" fontId="5" fillId="25" borderId="23" xfId="0" applyNumberFormat="1" applyFont="1" applyFill="1" applyBorder="1"/>
    <xf numFmtId="170" fontId="5" fillId="25" borderId="22" xfId="1" applyNumberFormat="1" applyFont="1" applyFill="1" applyBorder="1" applyAlignment="1"/>
    <xf numFmtId="170" fontId="5" fillId="25" borderId="23" xfId="0" applyNumberFormat="1" applyFont="1" applyFill="1" applyBorder="1"/>
    <xf numFmtId="170" fontId="5" fillId="26" borderId="22" xfId="3" applyNumberFormat="1" applyFont="1" applyFill="1" applyBorder="1"/>
    <xf numFmtId="168" fontId="2" fillId="26" borderId="17" xfId="3" applyFont="1" applyFill="1" applyBorder="1"/>
    <xf numFmtId="4" fontId="5" fillId="25" borderId="12" xfId="0" applyNumberFormat="1" applyFont="1" applyFill="1" applyBorder="1"/>
    <xf numFmtId="0" fontId="9" fillId="25" borderId="10" xfId="0" applyFont="1" applyFill="1" applyBorder="1"/>
    <xf numFmtId="0" fontId="9" fillId="25" borderId="78" xfId="0" applyFont="1" applyFill="1" applyBorder="1"/>
    <xf numFmtId="0" fontId="5" fillId="25" borderId="12" xfId="0" applyFont="1" applyFill="1" applyBorder="1"/>
    <xf numFmtId="0" fontId="5" fillId="0" borderId="26" xfId="0" applyFont="1" applyBorder="1" applyAlignment="1">
      <alignment horizontal="center"/>
    </xf>
    <xf numFmtId="0" fontId="0" fillId="3" borderId="0" xfId="0" applyFill="1"/>
  </cellXfs>
  <cellStyles count="5">
    <cellStyle name="Comma" xfId="1" builtinId="3"/>
    <cellStyle name="Currency" xfId="2" builtinId="4"/>
    <cellStyle name="Currency [0]" xfId="3" builtinId="7"/>
    <cellStyle name="Normal" xfId="0" builtinId="0"/>
    <cellStyle name="Normal_Sheet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1"/>
  <sheetViews>
    <sheetView tabSelected="1" zoomScaleNormal="100" workbookViewId="0">
      <pane xSplit="3990" ySplit="6750" topLeftCell="A27" activePane="topRight"/>
      <selection activeCell="W31" sqref="W31"/>
      <selection pane="topRight" activeCell="C7" sqref="C7"/>
      <selection pane="bottomLeft" activeCell="A18" sqref="A18"/>
      <selection pane="bottomRight" activeCell="F18" sqref="F18"/>
    </sheetView>
  </sheetViews>
  <sheetFormatPr defaultRowHeight="15.5" x14ac:dyDescent="0.35"/>
  <cols>
    <col min="1" max="1" width="4.33203125" customWidth="1"/>
    <col min="2" max="2" width="25.25" customWidth="1"/>
    <col min="3" max="3" width="10.83203125" bestFit="1" customWidth="1"/>
    <col min="4" max="4" width="10.5" bestFit="1" customWidth="1"/>
    <col min="5" max="6" width="10.33203125" customWidth="1"/>
    <col min="7" max="7" width="11.58203125" customWidth="1"/>
    <col min="8" max="8" width="10.58203125" customWidth="1"/>
    <col min="9" max="9" width="10.5" customWidth="1"/>
    <col min="10" max="11" width="10.75" customWidth="1"/>
    <col min="12" max="12" width="11.08203125" customWidth="1"/>
    <col min="13" max="13" width="10.33203125" customWidth="1"/>
    <col min="14" max="14" width="10.83203125" customWidth="1"/>
    <col min="15" max="16" width="10.25" customWidth="1"/>
    <col min="17" max="17" width="10.33203125" customWidth="1"/>
    <col min="18" max="18" width="11" customWidth="1"/>
    <col min="19" max="19" width="23.33203125" customWidth="1"/>
    <col min="20" max="20" width="11.5" customWidth="1"/>
    <col min="21" max="21" width="10" customWidth="1"/>
    <col min="22" max="22" width="10.58203125" customWidth="1"/>
    <col min="23" max="23" width="13.83203125" customWidth="1"/>
    <col min="24" max="24" width="16.08203125" customWidth="1"/>
    <col min="25" max="25" width="29.58203125" customWidth="1"/>
    <col min="26" max="26" width="8" customWidth="1"/>
  </cols>
  <sheetData>
    <row r="1" spans="1:26" s="85" customFormat="1" ht="16.5" thickTop="1" thickBot="1" x14ac:dyDescent="0.4">
      <c r="A1" s="214" t="s">
        <v>70</v>
      </c>
      <c r="B1" s="216" t="s">
        <v>40</v>
      </c>
      <c r="C1" s="217" t="s">
        <v>41</v>
      </c>
      <c r="D1" s="217" t="s">
        <v>42</v>
      </c>
      <c r="E1" s="217" t="s">
        <v>63</v>
      </c>
      <c r="F1" s="217" t="s">
        <v>43</v>
      </c>
      <c r="G1" s="217" t="s">
        <v>44</v>
      </c>
      <c r="H1" s="217" t="s">
        <v>45</v>
      </c>
      <c r="I1" s="217" t="s">
        <v>46</v>
      </c>
      <c r="J1" s="217" t="s">
        <v>47</v>
      </c>
      <c r="K1" s="217" t="s">
        <v>48</v>
      </c>
      <c r="L1" s="217" t="s">
        <v>49</v>
      </c>
      <c r="M1" s="217" t="s">
        <v>50</v>
      </c>
      <c r="N1" s="218" t="s">
        <v>51</v>
      </c>
      <c r="O1" s="217" t="s">
        <v>52</v>
      </c>
      <c r="P1" s="217" t="s">
        <v>53</v>
      </c>
      <c r="Q1" s="217" t="s">
        <v>54</v>
      </c>
      <c r="R1" s="217" t="s">
        <v>55</v>
      </c>
      <c r="S1" s="219" t="s">
        <v>56</v>
      </c>
      <c r="T1" s="216" t="s">
        <v>57</v>
      </c>
      <c r="U1" s="217" t="s">
        <v>58</v>
      </c>
      <c r="V1" s="217" t="s">
        <v>59</v>
      </c>
      <c r="W1" s="220" t="s">
        <v>60</v>
      </c>
      <c r="X1" s="217" t="s">
        <v>61</v>
      </c>
      <c r="Y1" s="217" t="s">
        <v>62</v>
      </c>
      <c r="Z1" s="205" t="s">
        <v>69</v>
      </c>
    </row>
    <row r="2" spans="1:26" ht="25.5" thickTop="1" x14ac:dyDescent="0.5">
      <c r="A2" s="215">
        <v>2</v>
      </c>
      <c r="B2" s="189" t="s">
        <v>125</v>
      </c>
      <c r="C2" s="190"/>
      <c r="D2" s="190"/>
      <c r="E2" s="190"/>
      <c r="F2" s="190"/>
      <c r="G2" s="190"/>
      <c r="H2" s="191"/>
      <c r="I2" s="191"/>
      <c r="J2" s="191"/>
      <c r="K2" s="191"/>
      <c r="L2" s="191"/>
      <c r="M2" s="191"/>
      <c r="O2" s="117"/>
      <c r="P2" s="117"/>
      <c r="Q2" s="117"/>
      <c r="R2" s="191"/>
      <c r="S2" s="119"/>
      <c r="T2" s="118"/>
      <c r="U2" s="118"/>
      <c r="V2" s="120"/>
      <c r="W2" s="121"/>
      <c r="X2" s="118"/>
      <c r="Y2" s="122"/>
      <c r="Z2" s="206">
        <f>A2</f>
        <v>2</v>
      </c>
    </row>
    <row r="3" spans="1:26" ht="20" x14ac:dyDescent="0.4">
      <c r="A3" s="210">
        <f>A2+1</f>
        <v>3</v>
      </c>
      <c r="B3" s="123"/>
      <c r="C3" s="91"/>
      <c r="D3" s="91"/>
      <c r="E3" s="91"/>
      <c r="F3" s="91"/>
      <c r="G3" s="9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2"/>
      <c r="U3" s="2"/>
      <c r="V3" s="95"/>
      <c r="W3" s="4"/>
      <c r="X3" s="2"/>
      <c r="Y3" s="124"/>
      <c r="Z3" s="206">
        <f t="shared" ref="Z3:Z66" si="0">A3</f>
        <v>3</v>
      </c>
    </row>
    <row r="4" spans="1:26" ht="18" x14ac:dyDescent="0.4">
      <c r="A4" s="210">
        <f t="shared" ref="A4:A67" si="1">A3+1</f>
        <v>4</v>
      </c>
      <c r="B4" s="125" t="s">
        <v>65</v>
      </c>
      <c r="C4" s="1"/>
      <c r="D4" s="1"/>
      <c r="E4" s="1"/>
      <c r="F4" s="1"/>
      <c r="G4" s="1"/>
      <c r="H4" s="1"/>
      <c r="I4" s="93"/>
      <c r="J4" s="2"/>
      <c r="K4" s="2"/>
      <c r="L4" s="2"/>
      <c r="M4" s="2"/>
      <c r="N4" s="2"/>
      <c r="O4" s="2"/>
      <c r="P4" s="2"/>
      <c r="Q4" s="2"/>
      <c r="R4" s="2"/>
      <c r="S4" s="3"/>
      <c r="T4" s="2"/>
      <c r="U4" s="2"/>
      <c r="V4" s="95"/>
      <c r="W4" s="4"/>
      <c r="X4" s="2"/>
      <c r="Y4" s="124"/>
      <c r="Z4" s="206">
        <f t="shared" si="0"/>
        <v>4</v>
      </c>
    </row>
    <row r="5" spans="1:26" ht="17.5" x14ac:dyDescent="0.35">
      <c r="A5" s="210">
        <f t="shared" si="1"/>
        <v>5</v>
      </c>
      <c r="B5" s="126" t="s">
        <v>64</v>
      </c>
      <c r="C5" s="92"/>
      <c r="D5" s="92"/>
      <c r="E5" s="92"/>
      <c r="F5" s="92"/>
      <c r="G5" s="92"/>
      <c r="H5" s="92"/>
      <c r="I5" s="92"/>
      <c r="J5" s="5"/>
      <c r="K5" s="5"/>
      <c r="L5" s="5"/>
      <c r="M5" s="5"/>
      <c r="N5" s="5"/>
      <c r="O5" s="5"/>
      <c r="P5" s="5"/>
      <c r="Q5" s="5"/>
      <c r="R5" s="5"/>
      <c r="S5" s="6"/>
      <c r="T5" s="99"/>
      <c r="U5" s="99"/>
      <c r="V5" s="103"/>
      <c r="W5" s="99"/>
      <c r="X5" s="104"/>
      <c r="Y5" s="127"/>
      <c r="Z5" s="206">
        <f t="shared" si="0"/>
        <v>5</v>
      </c>
    </row>
    <row r="6" spans="1:26" ht="17.5" x14ac:dyDescent="0.35">
      <c r="A6" s="210">
        <f t="shared" si="1"/>
        <v>6</v>
      </c>
      <c r="B6" s="128" t="s">
        <v>66</v>
      </c>
      <c r="C6" s="184">
        <v>1</v>
      </c>
      <c r="D6" s="184">
        <f>C6+1</f>
        <v>2</v>
      </c>
      <c r="E6" s="184">
        <f t="shared" ref="E6:R6" si="2">D6+1</f>
        <v>3</v>
      </c>
      <c r="F6" s="184">
        <f t="shared" si="2"/>
        <v>4</v>
      </c>
      <c r="G6" s="184">
        <f t="shared" si="2"/>
        <v>5</v>
      </c>
      <c r="H6" s="184">
        <f t="shared" si="2"/>
        <v>6</v>
      </c>
      <c r="I6" s="184">
        <f t="shared" si="2"/>
        <v>7</v>
      </c>
      <c r="J6" s="184">
        <f t="shared" si="2"/>
        <v>8</v>
      </c>
      <c r="K6" s="184">
        <f t="shared" si="2"/>
        <v>9</v>
      </c>
      <c r="L6" s="184">
        <f t="shared" si="2"/>
        <v>10</v>
      </c>
      <c r="M6" s="184">
        <f t="shared" si="2"/>
        <v>11</v>
      </c>
      <c r="N6" s="184">
        <f t="shared" si="2"/>
        <v>12</v>
      </c>
      <c r="O6" s="184">
        <f t="shared" si="2"/>
        <v>13</v>
      </c>
      <c r="P6" s="184">
        <f t="shared" si="2"/>
        <v>14</v>
      </c>
      <c r="Q6" s="184">
        <f t="shared" si="2"/>
        <v>15</v>
      </c>
      <c r="R6" s="184">
        <f t="shared" si="2"/>
        <v>16</v>
      </c>
      <c r="S6" s="178" t="str">
        <f>B6</f>
        <v>Semester Week #</v>
      </c>
      <c r="T6" s="233" t="s">
        <v>0</v>
      </c>
      <c r="U6" s="80" t="s">
        <v>100</v>
      </c>
      <c r="V6" s="8" t="s">
        <v>1</v>
      </c>
      <c r="W6" s="221" t="s">
        <v>2</v>
      </c>
      <c r="X6" s="187" t="s">
        <v>104</v>
      </c>
      <c r="Y6" s="186" t="s">
        <v>102</v>
      </c>
      <c r="Z6" s="206">
        <f t="shared" si="0"/>
        <v>6</v>
      </c>
    </row>
    <row r="7" spans="1:26" ht="15.75" customHeight="1" x14ac:dyDescent="0.35">
      <c r="A7" s="210">
        <f t="shared" si="1"/>
        <v>7</v>
      </c>
      <c r="B7" s="129" t="s">
        <v>116</v>
      </c>
      <c r="C7" s="89">
        <v>37998</v>
      </c>
      <c r="D7" s="88">
        <f>C7+7</f>
        <v>38005</v>
      </c>
      <c r="E7" s="88">
        <f t="shared" ref="E7:R7" si="3">D7+7</f>
        <v>38012</v>
      </c>
      <c r="F7" s="88">
        <f t="shared" si="3"/>
        <v>38019</v>
      </c>
      <c r="G7" s="88">
        <f t="shared" si="3"/>
        <v>38026</v>
      </c>
      <c r="H7" s="88">
        <f t="shared" si="3"/>
        <v>38033</v>
      </c>
      <c r="I7" s="88">
        <f t="shared" si="3"/>
        <v>38040</v>
      </c>
      <c r="J7" s="88">
        <f t="shared" si="3"/>
        <v>38047</v>
      </c>
      <c r="K7" s="88">
        <f t="shared" si="3"/>
        <v>38054</v>
      </c>
      <c r="L7" s="88">
        <f t="shared" si="3"/>
        <v>38061</v>
      </c>
      <c r="M7" s="88">
        <f t="shared" si="3"/>
        <v>38068</v>
      </c>
      <c r="N7" s="88">
        <f t="shared" si="3"/>
        <v>38075</v>
      </c>
      <c r="O7" s="88">
        <f t="shared" si="3"/>
        <v>38082</v>
      </c>
      <c r="P7" s="88">
        <f t="shared" si="3"/>
        <v>38089</v>
      </c>
      <c r="Q7" s="88">
        <f t="shared" si="3"/>
        <v>38096</v>
      </c>
      <c r="R7" s="88">
        <f t="shared" si="3"/>
        <v>38103</v>
      </c>
      <c r="S7" s="10" t="str">
        <f>B7</f>
        <v>Week Date from</v>
      </c>
      <c r="T7" s="234" t="s">
        <v>94</v>
      </c>
      <c r="U7" s="11" t="s">
        <v>5</v>
      </c>
      <c r="V7" s="179" t="s">
        <v>6</v>
      </c>
      <c r="W7" s="222" t="s">
        <v>0</v>
      </c>
      <c r="X7" s="100" t="s">
        <v>105</v>
      </c>
      <c r="Y7" s="186" t="s">
        <v>103</v>
      </c>
      <c r="Z7" s="206">
        <f t="shared" si="0"/>
        <v>7</v>
      </c>
    </row>
    <row r="8" spans="1:26" x14ac:dyDescent="0.35">
      <c r="A8" s="210">
        <f t="shared" si="1"/>
        <v>8</v>
      </c>
      <c r="B8" s="130" t="s">
        <v>117</v>
      </c>
      <c r="C8" s="90">
        <f>C7+6</f>
        <v>38004</v>
      </c>
      <c r="D8" s="87">
        <f>C8+7</f>
        <v>38011</v>
      </c>
      <c r="E8" s="87">
        <f t="shared" ref="E8:R8" si="4">D8+7</f>
        <v>38018</v>
      </c>
      <c r="F8" s="87">
        <f t="shared" si="4"/>
        <v>38025</v>
      </c>
      <c r="G8" s="87">
        <f t="shared" si="4"/>
        <v>38032</v>
      </c>
      <c r="H8" s="87">
        <f t="shared" si="4"/>
        <v>38039</v>
      </c>
      <c r="I8" s="87">
        <f t="shared" si="4"/>
        <v>38046</v>
      </c>
      <c r="J8" s="87">
        <f t="shared" si="4"/>
        <v>38053</v>
      </c>
      <c r="K8" s="87">
        <f t="shared" si="4"/>
        <v>38060</v>
      </c>
      <c r="L8" s="87">
        <f t="shared" si="4"/>
        <v>38067</v>
      </c>
      <c r="M8" s="87">
        <f t="shared" si="4"/>
        <v>38074</v>
      </c>
      <c r="N8" s="87">
        <f t="shared" si="4"/>
        <v>38081</v>
      </c>
      <c r="O8" s="87">
        <f t="shared" si="4"/>
        <v>38088</v>
      </c>
      <c r="P8" s="87">
        <f t="shared" si="4"/>
        <v>38095</v>
      </c>
      <c r="Q8" s="87">
        <f t="shared" si="4"/>
        <v>38102</v>
      </c>
      <c r="R8" s="87">
        <f t="shared" si="4"/>
        <v>38109</v>
      </c>
      <c r="S8" s="14" t="str">
        <f>B8</f>
        <v>Week Date to</v>
      </c>
      <c r="T8" s="233" t="s">
        <v>4</v>
      </c>
      <c r="U8" s="177" t="s">
        <v>94</v>
      </c>
      <c r="V8" s="12" t="s">
        <v>8</v>
      </c>
      <c r="W8" s="223" t="s">
        <v>71</v>
      </c>
      <c r="X8" s="101" t="s">
        <v>9</v>
      </c>
      <c r="Y8" s="185"/>
      <c r="Z8" s="206">
        <f t="shared" si="0"/>
        <v>8</v>
      </c>
    </row>
    <row r="9" spans="1:26" ht="16" thickBot="1" x14ac:dyDescent="0.4">
      <c r="A9" s="210">
        <f t="shared" si="1"/>
        <v>9</v>
      </c>
      <c r="B9" s="131"/>
      <c r="C9" s="1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8"/>
      <c r="T9" s="235" t="s">
        <v>7</v>
      </c>
      <c r="U9" s="11" t="s">
        <v>127</v>
      </c>
      <c r="V9" s="19" t="s">
        <v>10</v>
      </c>
      <c r="W9" s="224" t="s">
        <v>11</v>
      </c>
      <c r="X9" s="102" t="s">
        <v>12</v>
      </c>
      <c r="Y9" s="132"/>
      <c r="Z9" s="206">
        <f t="shared" si="0"/>
        <v>9</v>
      </c>
    </row>
    <row r="10" spans="1:26" ht="16" thickTop="1" x14ac:dyDescent="0.35">
      <c r="A10" s="210">
        <f t="shared" si="1"/>
        <v>10</v>
      </c>
      <c r="B10" s="133" t="s">
        <v>89</v>
      </c>
      <c r="C10" s="161"/>
      <c r="D10" s="21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22" t="str">
        <f t="shared" ref="S10:S24" si="5">B10</f>
        <v>Cash on Hand</v>
      </c>
      <c r="T10" s="23">
        <f>+C10</f>
        <v>0</v>
      </c>
      <c r="U10" s="24"/>
      <c r="V10" s="25"/>
      <c r="W10" s="26">
        <f>C10</f>
        <v>0</v>
      </c>
      <c r="X10" s="27"/>
      <c r="Y10" s="22" t="str">
        <f>B10</f>
        <v>Cash on Hand</v>
      </c>
      <c r="Z10" s="206">
        <f t="shared" si="0"/>
        <v>10</v>
      </c>
    </row>
    <row r="11" spans="1:26" x14ac:dyDescent="0.35">
      <c r="A11" s="210">
        <f t="shared" si="1"/>
        <v>11</v>
      </c>
      <c r="B11" s="242" t="s">
        <v>13</v>
      </c>
      <c r="C11" s="160"/>
      <c r="D11" s="28"/>
      <c r="E11" s="28"/>
      <c r="F11" s="28"/>
      <c r="G11" s="2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41" t="str">
        <f t="shared" si="5"/>
        <v>INCOME:</v>
      </c>
      <c r="T11" s="236" t="s">
        <v>14</v>
      </c>
      <c r="U11" s="237" t="s">
        <v>15</v>
      </c>
      <c r="V11" s="238" t="s">
        <v>16</v>
      </c>
      <c r="W11" s="240" t="s">
        <v>16</v>
      </c>
      <c r="X11" s="239" t="s">
        <v>14</v>
      </c>
      <c r="Y11" s="134" t="str">
        <f>B11</f>
        <v>INCOME:</v>
      </c>
      <c r="Z11" s="206">
        <f t="shared" si="0"/>
        <v>11</v>
      </c>
    </row>
    <row r="12" spans="1:26" x14ac:dyDescent="0.35">
      <c r="A12" s="210">
        <f t="shared" si="1"/>
        <v>12</v>
      </c>
      <c r="B12" s="133" t="s">
        <v>17</v>
      </c>
      <c r="C12" s="157"/>
      <c r="D12" s="30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12" t="str">
        <f t="shared" si="5"/>
        <v>Parents</v>
      </c>
      <c r="T12" s="32">
        <f t="shared" ref="T12:T24" si="6">SUM(C12:R12)</f>
        <v>0</v>
      </c>
      <c r="U12" s="33">
        <f>T12/16</f>
        <v>0</v>
      </c>
      <c r="V12" s="34">
        <f>W12/16</f>
        <v>0</v>
      </c>
      <c r="W12" s="35"/>
      <c r="X12" s="113">
        <f>T12-W12</f>
        <v>0</v>
      </c>
      <c r="Y12" s="22" t="str">
        <f>+B12</f>
        <v>Parents</v>
      </c>
      <c r="Z12" s="206">
        <f t="shared" si="0"/>
        <v>12</v>
      </c>
    </row>
    <row r="13" spans="1:26" x14ac:dyDescent="0.35">
      <c r="A13" s="210">
        <f t="shared" si="1"/>
        <v>13</v>
      </c>
      <c r="B13" s="133" t="s">
        <v>18</v>
      </c>
      <c r="C13" s="157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22" t="str">
        <f t="shared" si="5"/>
        <v>Scholarships</v>
      </c>
      <c r="T13" s="32">
        <f t="shared" si="6"/>
        <v>0</v>
      </c>
      <c r="U13" s="33">
        <f t="shared" ref="U13:U24" si="7">T13/16</f>
        <v>0</v>
      </c>
      <c r="V13" s="34">
        <f t="shared" ref="V13:V24" si="8">W13/16</f>
        <v>0</v>
      </c>
      <c r="W13" s="35"/>
      <c r="X13" s="113">
        <f t="shared" ref="X13:X24" si="9">T13-W13</f>
        <v>0</v>
      </c>
      <c r="Y13" s="22" t="str">
        <f t="shared" ref="Y13:Y24" si="10">+B13</f>
        <v>Scholarships</v>
      </c>
      <c r="Z13" s="206">
        <f t="shared" si="0"/>
        <v>13</v>
      </c>
    </row>
    <row r="14" spans="1:26" x14ac:dyDescent="0.35">
      <c r="A14" s="210">
        <f t="shared" si="1"/>
        <v>14</v>
      </c>
      <c r="B14" s="135" t="s">
        <v>19</v>
      </c>
      <c r="C14" s="15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22" t="str">
        <f t="shared" si="5"/>
        <v>Loans</v>
      </c>
      <c r="T14" s="32">
        <f t="shared" si="6"/>
        <v>0</v>
      </c>
      <c r="U14" s="33">
        <f t="shared" si="7"/>
        <v>0</v>
      </c>
      <c r="V14" s="34">
        <f t="shared" si="8"/>
        <v>0</v>
      </c>
      <c r="W14" s="35"/>
      <c r="X14" s="113">
        <f t="shared" si="9"/>
        <v>0</v>
      </c>
      <c r="Y14" s="22" t="str">
        <f t="shared" si="10"/>
        <v>Loans</v>
      </c>
      <c r="Z14" s="206">
        <f t="shared" si="0"/>
        <v>14</v>
      </c>
    </row>
    <row r="15" spans="1:26" x14ac:dyDescent="0.35">
      <c r="A15" s="210">
        <f t="shared" si="1"/>
        <v>15</v>
      </c>
      <c r="B15" s="133" t="s">
        <v>20</v>
      </c>
      <c r="C15" s="157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22" t="str">
        <f t="shared" si="5"/>
        <v>Savings</v>
      </c>
      <c r="T15" s="32">
        <f t="shared" si="6"/>
        <v>0</v>
      </c>
      <c r="U15" s="33">
        <f t="shared" si="7"/>
        <v>0</v>
      </c>
      <c r="V15" s="34">
        <f t="shared" si="8"/>
        <v>0</v>
      </c>
      <c r="W15" s="35"/>
      <c r="X15" s="113">
        <f t="shared" si="9"/>
        <v>0</v>
      </c>
      <c r="Y15" s="22" t="str">
        <f t="shared" si="10"/>
        <v>Savings</v>
      </c>
      <c r="Z15" s="206">
        <f t="shared" si="0"/>
        <v>15</v>
      </c>
    </row>
    <row r="16" spans="1:26" x14ac:dyDescent="0.35">
      <c r="A16" s="210">
        <f t="shared" si="1"/>
        <v>16</v>
      </c>
      <c r="B16" s="133" t="s">
        <v>21</v>
      </c>
      <c r="C16" s="157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22" t="str">
        <f t="shared" si="5"/>
        <v>Work</v>
      </c>
      <c r="T16" s="32">
        <f t="shared" si="6"/>
        <v>0</v>
      </c>
      <c r="U16" s="33">
        <f t="shared" si="7"/>
        <v>0</v>
      </c>
      <c r="V16" s="34">
        <f t="shared" si="8"/>
        <v>0</v>
      </c>
      <c r="W16" s="35"/>
      <c r="X16" s="113">
        <f t="shared" si="9"/>
        <v>0</v>
      </c>
      <c r="Y16" s="22" t="str">
        <f t="shared" si="10"/>
        <v>Work</v>
      </c>
      <c r="Z16" s="206">
        <f t="shared" si="0"/>
        <v>16</v>
      </c>
    </row>
    <row r="17" spans="1:26" x14ac:dyDescent="0.35">
      <c r="A17" s="210">
        <f t="shared" si="1"/>
        <v>17</v>
      </c>
      <c r="B17" s="133" t="s">
        <v>22</v>
      </c>
      <c r="C17" s="157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22" t="str">
        <f t="shared" si="5"/>
        <v>Gifts</v>
      </c>
      <c r="T17" s="32">
        <f t="shared" si="6"/>
        <v>0</v>
      </c>
      <c r="U17" s="33">
        <f t="shared" si="7"/>
        <v>0</v>
      </c>
      <c r="V17" s="34">
        <f t="shared" si="8"/>
        <v>0</v>
      </c>
      <c r="W17" s="35"/>
      <c r="X17" s="113">
        <f t="shared" si="9"/>
        <v>0</v>
      </c>
      <c r="Y17" s="22" t="str">
        <f t="shared" si="10"/>
        <v>Gifts</v>
      </c>
      <c r="Z17" s="206">
        <f t="shared" si="0"/>
        <v>17</v>
      </c>
    </row>
    <row r="18" spans="1:26" x14ac:dyDescent="0.35">
      <c r="A18" s="210">
        <f t="shared" si="1"/>
        <v>18</v>
      </c>
      <c r="B18" s="133" t="s">
        <v>67</v>
      </c>
      <c r="C18" s="157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22" t="str">
        <f t="shared" si="5"/>
        <v>Interest Income</v>
      </c>
      <c r="T18" s="32">
        <f t="shared" si="6"/>
        <v>0</v>
      </c>
      <c r="U18" s="33">
        <f t="shared" si="7"/>
        <v>0</v>
      </c>
      <c r="V18" s="34">
        <f t="shared" si="8"/>
        <v>0</v>
      </c>
      <c r="W18" s="35"/>
      <c r="X18" s="113">
        <f t="shared" si="9"/>
        <v>0</v>
      </c>
      <c r="Y18" s="22" t="str">
        <f t="shared" si="10"/>
        <v>Interest Income</v>
      </c>
      <c r="Z18" s="206">
        <f t="shared" si="0"/>
        <v>18</v>
      </c>
    </row>
    <row r="19" spans="1:26" x14ac:dyDescent="0.35">
      <c r="A19" s="210">
        <f t="shared" si="1"/>
        <v>19</v>
      </c>
      <c r="B19" s="133" t="s">
        <v>68</v>
      </c>
      <c r="C19" s="1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22" t="str">
        <f t="shared" si="5"/>
        <v>Tax Rebate</v>
      </c>
      <c r="T19" s="32">
        <f t="shared" si="6"/>
        <v>0</v>
      </c>
      <c r="U19" s="33">
        <f t="shared" si="7"/>
        <v>0</v>
      </c>
      <c r="V19" s="34">
        <f t="shared" si="8"/>
        <v>0</v>
      </c>
      <c r="W19" s="35"/>
      <c r="X19" s="113">
        <f t="shared" si="9"/>
        <v>0</v>
      </c>
      <c r="Y19" s="22" t="str">
        <f t="shared" si="10"/>
        <v>Tax Rebate</v>
      </c>
      <c r="Z19" s="206">
        <f t="shared" si="0"/>
        <v>19</v>
      </c>
    </row>
    <row r="20" spans="1:26" x14ac:dyDescent="0.35">
      <c r="A20" s="210">
        <f t="shared" si="1"/>
        <v>20</v>
      </c>
      <c r="B20" s="136" t="s">
        <v>79</v>
      </c>
      <c r="C20" s="159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22" t="str">
        <f t="shared" si="5"/>
        <v>Other 1</v>
      </c>
      <c r="T20" s="32">
        <f t="shared" si="6"/>
        <v>0</v>
      </c>
      <c r="U20" s="33">
        <f t="shared" si="7"/>
        <v>0</v>
      </c>
      <c r="V20" s="34">
        <f t="shared" si="8"/>
        <v>0</v>
      </c>
      <c r="W20" s="35"/>
      <c r="X20" s="113">
        <f t="shared" si="9"/>
        <v>0</v>
      </c>
      <c r="Y20" s="22" t="str">
        <f t="shared" si="10"/>
        <v>Other 1</v>
      </c>
      <c r="Z20" s="206">
        <f t="shared" si="0"/>
        <v>20</v>
      </c>
    </row>
    <row r="21" spans="1:26" x14ac:dyDescent="0.35">
      <c r="A21" s="210">
        <f t="shared" si="1"/>
        <v>21</v>
      </c>
      <c r="B21" s="148" t="s">
        <v>80</v>
      </c>
      <c r="C21" s="163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22" t="str">
        <f t="shared" si="5"/>
        <v>Other 2</v>
      </c>
      <c r="T21" s="32">
        <f t="shared" si="6"/>
        <v>0</v>
      </c>
      <c r="U21" s="33">
        <f t="shared" si="7"/>
        <v>0</v>
      </c>
      <c r="V21" s="34">
        <f t="shared" si="8"/>
        <v>0</v>
      </c>
      <c r="W21" s="35"/>
      <c r="X21" s="113">
        <f t="shared" si="9"/>
        <v>0</v>
      </c>
      <c r="Y21" s="22" t="str">
        <f t="shared" si="10"/>
        <v>Other 2</v>
      </c>
      <c r="Z21" s="206">
        <f t="shared" si="0"/>
        <v>21</v>
      </c>
    </row>
    <row r="22" spans="1:26" x14ac:dyDescent="0.35">
      <c r="A22" s="210">
        <f t="shared" si="1"/>
        <v>22</v>
      </c>
      <c r="B22" s="137" t="s">
        <v>81</v>
      </c>
      <c r="C22" s="55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22" t="str">
        <f t="shared" si="5"/>
        <v>Other 3</v>
      </c>
      <c r="T22" s="32">
        <f t="shared" si="6"/>
        <v>0</v>
      </c>
      <c r="U22" s="33">
        <f t="shared" si="7"/>
        <v>0</v>
      </c>
      <c r="V22" s="34">
        <f t="shared" si="8"/>
        <v>0</v>
      </c>
      <c r="W22" s="35"/>
      <c r="X22" s="113">
        <f t="shared" si="9"/>
        <v>0</v>
      </c>
      <c r="Y22" s="22" t="str">
        <f t="shared" si="10"/>
        <v>Other 3</v>
      </c>
      <c r="Z22" s="206">
        <f t="shared" si="0"/>
        <v>22</v>
      </c>
    </row>
    <row r="23" spans="1:26" x14ac:dyDescent="0.35">
      <c r="A23" s="210">
        <f t="shared" si="1"/>
        <v>23</v>
      </c>
      <c r="B23" s="137" t="s">
        <v>82</v>
      </c>
      <c r="C23" s="55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22" t="str">
        <f t="shared" si="5"/>
        <v>Other 4</v>
      </c>
      <c r="T23" s="32">
        <f t="shared" si="6"/>
        <v>0</v>
      </c>
      <c r="U23" s="33">
        <f t="shared" si="7"/>
        <v>0</v>
      </c>
      <c r="V23" s="34">
        <f t="shared" si="8"/>
        <v>0</v>
      </c>
      <c r="W23" s="35"/>
      <c r="X23" s="113">
        <f t="shared" si="9"/>
        <v>0</v>
      </c>
      <c r="Y23" s="22" t="str">
        <f t="shared" si="10"/>
        <v>Other 4</v>
      </c>
      <c r="Z23" s="206">
        <f t="shared" si="0"/>
        <v>23</v>
      </c>
    </row>
    <row r="24" spans="1:26" ht="16" thickBot="1" x14ac:dyDescent="0.4">
      <c r="A24" s="210">
        <f t="shared" si="1"/>
        <v>24</v>
      </c>
      <c r="B24" s="138" t="s">
        <v>83</v>
      </c>
      <c r="C24" s="59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22" t="str">
        <f t="shared" si="5"/>
        <v>Other 5</v>
      </c>
      <c r="T24" s="94">
        <f t="shared" si="6"/>
        <v>0</v>
      </c>
      <c r="U24" s="33">
        <f t="shared" si="7"/>
        <v>0</v>
      </c>
      <c r="V24" s="34">
        <f t="shared" si="8"/>
        <v>0</v>
      </c>
      <c r="W24" s="107"/>
      <c r="X24" s="113">
        <f t="shared" si="9"/>
        <v>0</v>
      </c>
      <c r="Y24" s="22" t="str">
        <f t="shared" si="10"/>
        <v>Other 5</v>
      </c>
      <c r="Z24" s="206">
        <f t="shared" si="0"/>
        <v>24</v>
      </c>
    </row>
    <row r="25" spans="1:26" ht="16.5" thickTop="1" thickBot="1" x14ac:dyDescent="0.4">
      <c r="A25" s="210">
        <f t="shared" si="1"/>
        <v>25</v>
      </c>
      <c r="B25" s="108" t="s">
        <v>110</v>
      </c>
      <c r="C25" s="195">
        <f>SUM(C10,C12:C24)</f>
        <v>0</v>
      </c>
      <c r="D25" s="109">
        <f t="shared" ref="D25:R25" si="11">SUM(D12:D24)</f>
        <v>0</v>
      </c>
      <c r="E25" s="109">
        <f t="shared" si="11"/>
        <v>0</v>
      </c>
      <c r="F25" s="109">
        <f t="shared" si="11"/>
        <v>0</v>
      </c>
      <c r="G25" s="109">
        <f t="shared" si="11"/>
        <v>0</v>
      </c>
      <c r="H25" s="109">
        <f t="shared" si="11"/>
        <v>0</v>
      </c>
      <c r="I25" s="109">
        <f t="shared" si="11"/>
        <v>0</v>
      </c>
      <c r="J25" s="109">
        <f t="shared" si="11"/>
        <v>0</v>
      </c>
      <c r="K25" s="109">
        <f t="shared" si="11"/>
        <v>0</v>
      </c>
      <c r="L25" s="109">
        <f t="shared" si="11"/>
        <v>0</v>
      </c>
      <c r="M25" s="109">
        <f t="shared" si="11"/>
        <v>0</v>
      </c>
      <c r="N25" s="109">
        <f t="shared" si="11"/>
        <v>0</v>
      </c>
      <c r="O25" s="109">
        <f t="shared" si="11"/>
        <v>0</v>
      </c>
      <c r="P25" s="109">
        <f t="shared" si="11"/>
        <v>0</v>
      </c>
      <c r="Q25" s="109">
        <f t="shared" si="11"/>
        <v>0</v>
      </c>
      <c r="R25" s="109">
        <f t="shared" si="11"/>
        <v>0</v>
      </c>
      <c r="S25" s="204" t="str">
        <f>B25</f>
        <v>Week's Total  Income</v>
      </c>
      <c r="T25" s="200">
        <f>C10+SUM(T12:T24)</f>
        <v>0</v>
      </c>
      <c r="U25" s="201">
        <f>T25/16</f>
        <v>0</v>
      </c>
      <c r="V25" s="202">
        <f>W25/16</f>
        <v>0</v>
      </c>
      <c r="W25" s="226">
        <f>SUM(W10,W12:W24)</f>
        <v>0</v>
      </c>
      <c r="X25" s="203">
        <f>T25-W25</f>
        <v>0</v>
      </c>
      <c r="Y25" s="139"/>
      <c r="Z25" s="206">
        <f t="shared" si="0"/>
        <v>25</v>
      </c>
    </row>
    <row r="26" spans="1:26" ht="16" thickTop="1" x14ac:dyDescent="0.35">
      <c r="A26" s="210">
        <f t="shared" si="1"/>
        <v>26</v>
      </c>
      <c r="B26" s="156" t="str">
        <f>B6</f>
        <v>Semester Week #</v>
      </c>
      <c r="C26" s="110">
        <f t="shared" ref="C26:R26" si="12">C6</f>
        <v>1</v>
      </c>
      <c r="D26" s="110">
        <f t="shared" si="12"/>
        <v>2</v>
      </c>
      <c r="E26" s="110">
        <f t="shared" si="12"/>
        <v>3</v>
      </c>
      <c r="F26" s="110">
        <f t="shared" si="12"/>
        <v>4</v>
      </c>
      <c r="G26" s="110">
        <f t="shared" si="12"/>
        <v>5</v>
      </c>
      <c r="H26" s="110">
        <f t="shared" si="12"/>
        <v>6</v>
      </c>
      <c r="I26" s="110">
        <f t="shared" si="12"/>
        <v>7</v>
      </c>
      <c r="J26" s="110">
        <f t="shared" si="12"/>
        <v>8</v>
      </c>
      <c r="K26" s="110">
        <f t="shared" si="12"/>
        <v>9</v>
      </c>
      <c r="L26" s="110">
        <f t="shared" si="12"/>
        <v>10</v>
      </c>
      <c r="M26" s="110">
        <f t="shared" si="12"/>
        <v>11</v>
      </c>
      <c r="N26" s="110">
        <f t="shared" si="12"/>
        <v>12</v>
      </c>
      <c r="O26" s="110">
        <f t="shared" si="12"/>
        <v>13</v>
      </c>
      <c r="P26" s="110">
        <f t="shared" si="12"/>
        <v>14</v>
      </c>
      <c r="Q26" s="110">
        <f t="shared" si="12"/>
        <v>15</v>
      </c>
      <c r="R26" s="110">
        <f t="shared" si="12"/>
        <v>16</v>
      </c>
      <c r="S26" s="10" t="str">
        <f>B6</f>
        <v>Semester Week #</v>
      </c>
      <c r="T26" s="7" t="s">
        <v>0</v>
      </c>
      <c r="U26" s="80" t="s">
        <v>100</v>
      </c>
      <c r="V26" s="199" t="s">
        <v>1</v>
      </c>
      <c r="W26" s="225" t="s">
        <v>74</v>
      </c>
      <c r="X26" s="15" t="s">
        <v>120</v>
      </c>
      <c r="Y26" s="140"/>
      <c r="Z26" s="206">
        <f t="shared" si="0"/>
        <v>26</v>
      </c>
    </row>
    <row r="27" spans="1:26" x14ac:dyDescent="0.35">
      <c r="A27" s="210">
        <f t="shared" si="1"/>
        <v>27</v>
      </c>
      <c r="B27" s="141" t="str">
        <f>B7</f>
        <v>Week Date from</v>
      </c>
      <c r="C27" s="228">
        <f>C7</f>
        <v>37998</v>
      </c>
      <c r="D27" s="228">
        <f t="shared" ref="D27:R27" si="13">D7</f>
        <v>38005</v>
      </c>
      <c r="E27" s="228">
        <f t="shared" si="13"/>
        <v>38012</v>
      </c>
      <c r="F27" s="228">
        <f t="shared" si="13"/>
        <v>38019</v>
      </c>
      <c r="G27" s="228">
        <f t="shared" si="13"/>
        <v>38026</v>
      </c>
      <c r="H27" s="228">
        <f t="shared" si="13"/>
        <v>38033</v>
      </c>
      <c r="I27" s="228">
        <f t="shared" si="13"/>
        <v>38040</v>
      </c>
      <c r="J27" s="228">
        <f t="shared" si="13"/>
        <v>38047</v>
      </c>
      <c r="K27" s="228">
        <f t="shared" si="13"/>
        <v>38054</v>
      </c>
      <c r="L27" s="228">
        <f t="shared" si="13"/>
        <v>38061</v>
      </c>
      <c r="M27" s="228">
        <f t="shared" si="13"/>
        <v>38068</v>
      </c>
      <c r="N27" s="228">
        <f t="shared" si="13"/>
        <v>38075</v>
      </c>
      <c r="O27" s="228">
        <f t="shared" si="13"/>
        <v>38082</v>
      </c>
      <c r="P27" s="228">
        <f t="shared" si="13"/>
        <v>38089</v>
      </c>
      <c r="Q27" s="228">
        <f t="shared" si="13"/>
        <v>38096</v>
      </c>
      <c r="R27" s="228">
        <f t="shared" si="13"/>
        <v>38103</v>
      </c>
      <c r="S27" s="14" t="str">
        <f>B7</f>
        <v>Week Date from</v>
      </c>
      <c r="T27" s="176" t="s">
        <v>94</v>
      </c>
      <c r="U27" s="181" t="s">
        <v>94</v>
      </c>
      <c r="V27" s="12" t="s">
        <v>99</v>
      </c>
      <c r="W27" s="222" t="s">
        <v>75</v>
      </c>
      <c r="X27" s="13" t="s">
        <v>106</v>
      </c>
      <c r="Y27" s="142"/>
      <c r="Z27" s="206">
        <f t="shared" si="0"/>
        <v>27</v>
      </c>
    </row>
    <row r="28" spans="1:26" x14ac:dyDescent="0.35">
      <c r="A28" s="210">
        <f t="shared" si="1"/>
        <v>28</v>
      </c>
      <c r="B28" s="143" t="str">
        <f>B8</f>
        <v>Week Date to</v>
      </c>
      <c r="C28" s="229">
        <f t="shared" ref="C28:R28" si="14">C8</f>
        <v>38004</v>
      </c>
      <c r="D28" s="229">
        <f t="shared" si="14"/>
        <v>38011</v>
      </c>
      <c r="E28" s="229">
        <f t="shared" si="14"/>
        <v>38018</v>
      </c>
      <c r="F28" s="229">
        <f t="shared" si="14"/>
        <v>38025</v>
      </c>
      <c r="G28" s="229">
        <f t="shared" si="14"/>
        <v>38032</v>
      </c>
      <c r="H28" s="229">
        <f t="shared" si="14"/>
        <v>38039</v>
      </c>
      <c r="I28" s="229">
        <f t="shared" si="14"/>
        <v>38046</v>
      </c>
      <c r="J28" s="229">
        <f t="shared" si="14"/>
        <v>38053</v>
      </c>
      <c r="K28" s="229">
        <f t="shared" si="14"/>
        <v>38060</v>
      </c>
      <c r="L28" s="229">
        <f t="shared" si="14"/>
        <v>38067</v>
      </c>
      <c r="M28" s="229">
        <f t="shared" si="14"/>
        <v>38074</v>
      </c>
      <c r="N28" s="229">
        <f t="shared" si="14"/>
        <v>38081</v>
      </c>
      <c r="O28" s="229">
        <f t="shared" si="14"/>
        <v>38088</v>
      </c>
      <c r="P28" s="229">
        <f t="shared" si="14"/>
        <v>38095</v>
      </c>
      <c r="Q28" s="229">
        <f t="shared" si="14"/>
        <v>38102</v>
      </c>
      <c r="R28" s="229">
        <f t="shared" si="14"/>
        <v>38109</v>
      </c>
      <c r="S28" s="14" t="str">
        <f>B8</f>
        <v>Week Date to</v>
      </c>
      <c r="T28" s="7" t="s">
        <v>4</v>
      </c>
      <c r="U28" s="11" t="s">
        <v>5</v>
      </c>
      <c r="V28" s="12" t="s">
        <v>72</v>
      </c>
      <c r="W28" s="222" t="s">
        <v>76</v>
      </c>
      <c r="X28" s="15" t="s">
        <v>9</v>
      </c>
      <c r="Y28" s="36"/>
      <c r="Z28" s="206">
        <f t="shared" si="0"/>
        <v>28</v>
      </c>
    </row>
    <row r="29" spans="1:26" x14ac:dyDescent="0.35">
      <c r="A29" s="210">
        <f t="shared" si="1"/>
        <v>29</v>
      </c>
      <c r="B29" s="144"/>
      <c r="C29" s="37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40"/>
      <c r="T29" s="7" t="s">
        <v>7</v>
      </c>
      <c r="U29" s="11" t="s">
        <v>127</v>
      </c>
      <c r="V29" s="19" t="s">
        <v>10</v>
      </c>
      <c r="W29" s="224" t="s">
        <v>77</v>
      </c>
      <c r="X29" s="20" t="s">
        <v>12</v>
      </c>
      <c r="Y29" s="40"/>
      <c r="Z29" s="206">
        <f t="shared" si="0"/>
        <v>29</v>
      </c>
    </row>
    <row r="30" spans="1:26" x14ac:dyDescent="0.35">
      <c r="A30" s="210">
        <f t="shared" si="1"/>
        <v>30</v>
      </c>
      <c r="B30" s="243" t="s">
        <v>23</v>
      </c>
      <c r="C30" s="41"/>
      <c r="D30" s="42"/>
      <c r="E30" s="43"/>
      <c r="F30" s="43"/>
      <c r="G30" s="43"/>
      <c r="H30" s="43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244" t="str">
        <f t="shared" ref="S30:S41" si="15">B30</f>
        <v>EXPENSES:</v>
      </c>
      <c r="T30" s="46"/>
      <c r="U30" s="47"/>
      <c r="V30" s="48"/>
      <c r="W30" s="49"/>
      <c r="X30" s="50"/>
      <c r="Y30" s="45" t="str">
        <f>B30</f>
        <v>EXPENSES:</v>
      </c>
      <c r="Z30" s="206">
        <f t="shared" si="0"/>
        <v>30</v>
      </c>
    </row>
    <row r="31" spans="1:26" x14ac:dyDescent="0.35">
      <c r="A31" s="210">
        <f t="shared" si="1"/>
        <v>31</v>
      </c>
      <c r="B31" s="114" t="s">
        <v>122</v>
      </c>
      <c r="C31" s="159"/>
      <c r="D31" s="196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45" t="str">
        <f>B31</f>
        <v>Housing (rent, upkeep, etc)</v>
      </c>
      <c r="T31" s="51">
        <f t="shared" ref="T31:T67" si="16">SUM(C31:R31)</f>
        <v>0</v>
      </c>
      <c r="U31" s="52">
        <f>T31/16</f>
        <v>0</v>
      </c>
      <c r="V31" s="53">
        <f>W31/16</f>
        <v>0</v>
      </c>
      <c r="W31" s="173"/>
      <c r="X31" s="54">
        <f t="shared" ref="X31:X67" si="17">W31-T31</f>
        <v>0</v>
      </c>
      <c r="Y31" s="45" t="str">
        <f>B31</f>
        <v>Housing (rent, upkeep, etc)</v>
      </c>
      <c r="Z31" s="206">
        <f t="shared" si="0"/>
        <v>31</v>
      </c>
    </row>
    <row r="32" spans="1:26" x14ac:dyDescent="0.35">
      <c r="A32" s="210">
        <f t="shared" si="1"/>
        <v>32</v>
      </c>
      <c r="B32" s="114" t="s">
        <v>24</v>
      </c>
      <c r="C32" s="157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45" t="str">
        <f t="shared" si="15"/>
        <v>Tuition</v>
      </c>
      <c r="T32" s="51">
        <f t="shared" si="16"/>
        <v>0</v>
      </c>
      <c r="U32" s="52">
        <f t="shared" ref="U32:U66" si="18">T32/16</f>
        <v>0</v>
      </c>
      <c r="V32" s="53">
        <f t="shared" ref="V32:V66" si="19">W32/16</f>
        <v>0</v>
      </c>
      <c r="W32" s="173"/>
      <c r="X32" s="54">
        <f t="shared" si="17"/>
        <v>0</v>
      </c>
      <c r="Y32" s="45" t="str">
        <f t="shared" ref="Y32:Y45" si="20">B32</f>
        <v>Tuition</v>
      </c>
      <c r="Z32" s="206">
        <f t="shared" si="0"/>
        <v>32</v>
      </c>
    </row>
    <row r="33" spans="1:26" x14ac:dyDescent="0.35">
      <c r="A33" s="210">
        <f t="shared" si="1"/>
        <v>33</v>
      </c>
      <c r="B33" s="114" t="s">
        <v>25</v>
      </c>
      <c r="C33" s="157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45" t="str">
        <f t="shared" si="15"/>
        <v>Books</v>
      </c>
      <c r="T33" s="51">
        <f t="shared" si="16"/>
        <v>0</v>
      </c>
      <c r="U33" s="52">
        <f t="shared" si="18"/>
        <v>0</v>
      </c>
      <c r="V33" s="53">
        <f t="shared" si="19"/>
        <v>0</v>
      </c>
      <c r="W33" s="173"/>
      <c r="X33" s="54">
        <f t="shared" si="17"/>
        <v>0</v>
      </c>
      <c r="Y33" s="45" t="str">
        <f t="shared" si="20"/>
        <v>Books</v>
      </c>
      <c r="Z33" s="206">
        <f t="shared" si="0"/>
        <v>33</v>
      </c>
    </row>
    <row r="34" spans="1:26" x14ac:dyDescent="0.35">
      <c r="A34" s="210">
        <f t="shared" si="1"/>
        <v>34</v>
      </c>
      <c r="B34" s="114" t="s">
        <v>26</v>
      </c>
      <c r="C34" s="157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5" t="str">
        <f t="shared" si="15"/>
        <v>Food</v>
      </c>
      <c r="T34" s="51">
        <f t="shared" si="16"/>
        <v>0</v>
      </c>
      <c r="U34" s="52">
        <f t="shared" si="18"/>
        <v>0</v>
      </c>
      <c r="V34" s="53">
        <f t="shared" si="19"/>
        <v>0</v>
      </c>
      <c r="W34" s="173"/>
      <c r="X34" s="54">
        <f t="shared" si="17"/>
        <v>0</v>
      </c>
      <c r="Y34" s="45" t="str">
        <f t="shared" si="20"/>
        <v>Food</v>
      </c>
      <c r="Z34" s="206">
        <f t="shared" si="0"/>
        <v>34</v>
      </c>
    </row>
    <row r="35" spans="1:26" x14ac:dyDescent="0.35">
      <c r="A35" s="210">
        <f t="shared" si="1"/>
        <v>35</v>
      </c>
      <c r="B35" s="114" t="s">
        <v>27</v>
      </c>
      <c r="C35" s="157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45" t="str">
        <f t="shared" si="15"/>
        <v>Clothing</v>
      </c>
      <c r="T35" s="51">
        <f t="shared" si="16"/>
        <v>0</v>
      </c>
      <c r="U35" s="52">
        <f t="shared" si="18"/>
        <v>0</v>
      </c>
      <c r="V35" s="53">
        <f t="shared" si="19"/>
        <v>0</v>
      </c>
      <c r="W35" s="173"/>
      <c r="X35" s="54">
        <f t="shared" si="17"/>
        <v>0</v>
      </c>
      <c r="Y35" s="45" t="str">
        <f t="shared" si="20"/>
        <v>Clothing</v>
      </c>
      <c r="Z35" s="206">
        <f t="shared" si="0"/>
        <v>35</v>
      </c>
    </row>
    <row r="36" spans="1:26" x14ac:dyDescent="0.35">
      <c r="A36" s="210">
        <f t="shared" si="1"/>
        <v>36</v>
      </c>
      <c r="B36" s="114" t="s">
        <v>28</v>
      </c>
      <c r="C36" s="157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45" t="str">
        <f t="shared" si="15"/>
        <v>Greek Fees</v>
      </c>
      <c r="T36" s="51">
        <f t="shared" si="16"/>
        <v>0</v>
      </c>
      <c r="U36" s="52">
        <f t="shared" si="18"/>
        <v>0</v>
      </c>
      <c r="V36" s="53">
        <f t="shared" si="19"/>
        <v>0</v>
      </c>
      <c r="W36" s="174"/>
      <c r="X36" s="166">
        <f t="shared" si="17"/>
        <v>0</v>
      </c>
      <c r="Y36" s="45" t="str">
        <f t="shared" si="20"/>
        <v>Greek Fees</v>
      </c>
      <c r="Z36" s="206">
        <f t="shared" si="0"/>
        <v>36</v>
      </c>
    </row>
    <row r="37" spans="1:26" x14ac:dyDescent="0.35">
      <c r="A37" s="210">
        <f t="shared" si="1"/>
        <v>37</v>
      </c>
      <c r="B37" s="114" t="s">
        <v>87</v>
      </c>
      <c r="C37" s="157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45" t="str">
        <f t="shared" si="15"/>
        <v>Laundry/Dry Cleaning</v>
      </c>
      <c r="T37" s="51">
        <f t="shared" si="16"/>
        <v>0</v>
      </c>
      <c r="U37" s="52">
        <f t="shared" si="18"/>
        <v>0</v>
      </c>
      <c r="V37" s="53">
        <f t="shared" si="19"/>
        <v>0</v>
      </c>
      <c r="W37" s="180"/>
      <c r="X37" s="166">
        <f t="shared" si="17"/>
        <v>0</v>
      </c>
      <c r="Y37" s="45" t="str">
        <f t="shared" si="20"/>
        <v>Laundry/Dry Cleaning</v>
      </c>
      <c r="Z37" s="206">
        <f t="shared" si="0"/>
        <v>37</v>
      </c>
    </row>
    <row r="38" spans="1:26" x14ac:dyDescent="0.35">
      <c r="A38" s="210">
        <f t="shared" si="1"/>
        <v>38</v>
      </c>
      <c r="B38" s="114" t="s">
        <v>84</v>
      </c>
      <c r="C38" s="157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45" t="str">
        <f t="shared" si="15"/>
        <v>Child Care</v>
      </c>
      <c r="T38" s="51">
        <f t="shared" si="16"/>
        <v>0</v>
      </c>
      <c r="U38" s="52">
        <f t="shared" si="18"/>
        <v>0</v>
      </c>
      <c r="V38" s="53">
        <f t="shared" si="19"/>
        <v>0</v>
      </c>
      <c r="W38" s="173"/>
      <c r="X38" s="54">
        <f t="shared" si="17"/>
        <v>0</v>
      </c>
      <c r="Y38" s="45" t="str">
        <f t="shared" si="20"/>
        <v>Child Care</v>
      </c>
      <c r="Z38" s="206">
        <f t="shared" si="0"/>
        <v>38</v>
      </c>
    </row>
    <row r="39" spans="1:26" x14ac:dyDescent="0.35">
      <c r="A39" s="210">
        <f t="shared" si="1"/>
        <v>39</v>
      </c>
      <c r="B39" s="114" t="s">
        <v>85</v>
      </c>
      <c r="C39" s="157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45" t="str">
        <f t="shared" si="15"/>
        <v>Car Payments</v>
      </c>
      <c r="T39" s="51">
        <f t="shared" si="16"/>
        <v>0</v>
      </c>
      <c r="U39" s="52">
        <f t="shared" si="18"/>
        <v>0</v>
      </c>
      <c r="V39" s="53">
        <f t="shared" si="19"/>
        <v>0</v>
      </c>
      <c r="W39" s="173"/>
      <c r="X39" s="54">
        <f t="shared" si="17"/>
        <v>0</v>
      </c>
      <c r="Y39" s="45" t="str">
        <f t="shared" si="20"/>
        <v>Car Payments</v>
      </c>
      <c r="Z39" s="206">
        <f t="shared" si="0"/>
        <v>39</v>
      </c>
    </row>
    <row r="40" spans="1:26" x14ac:dyDescent="0.35">
      <c r="A40" s="210">
        <f t="shared" si="1"/>
        <v>40</v>
      </c>
      <c r="B40" s="114" t="s">
        <v>90</v>
      </c>
      <c r="C40" s="157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45" t="str">
        <f t="shared" si="15"/>
        <v xml:space="preserve">   Car Gas &amp; Upkeep</v>
      </c>
      <c r="T40" s="51">
        <f t="shared" si="16"/>
        <v>0</v>
      </c>
      <c r="U40" s="52">
        <f t="shared" si="18"/>
        <v>0</v>
      </c>
      <c r="V40" s="53">
        <f t="shared" si="19"/>
        <v>0</v>
      </c>
      <c r="W40" s="173"/>
      <c r="X40" s="54">
        <f t="shared" si="17"/>
        <v>0</v>
      </c>
      <c r="Y40" s="45" t="str">
        <f t="shared" si="20"/>
        <v xml:space="preserve">   Car Gas &amp; Upkeep</v>
      </c>
      <c r="Z40" s="206">
        <f t="shared" si="0"/>
        <v>40</v>
      </c>
    </row>
    <row r="41" spans="1:26" x14ac:dyDescent="0.35">
      <c r="A41" s="210">
        <f t="shared" si="1"/>
        <v>41</v>
      </c>
      <c r="B41" s="114" t="s">
        <v>86</v>
      </c>
      <c r="C41" s="157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45" t="str">
        <f t="shared" si="15"/>
        <v xml:space="preserve">   Car Parking</v>
      </c>
      <c r="T41" s="51">
        <f t="shared" si="16"/>
        <v>0</v>
      </c>
      <c r="U41" s="52">
        <f t="shared" si="18"/>
        <v>0</v>
      </c>
      <c r="V41" s="53">
        <f t="shared" si="19"/>
        <v>0</v>
      </c>
      <c r="W41" s="173"/>
      <c r="X41" s="54">
        <f t="shared" si="17"/>
        <v>0</v>
      </c>
      <c r="Y41" s="45" t="str">
        <f t="shared" si="20"/>
        <v xml:space="preserve">   Car Parking</v>
      </c>
      <c r="Z41" s="206">
        <f t="shared" si="0"/>
        <v>41</v>
      </c>
    </row>
    <row r="42" spans="1:26" x14ac:dyDescent="0.35">
      <c r="A42" s="210">
        <f t="shared" si="1"/>
        <v>42</v>
      </c>
      <c r="B42" s="145" t="s">
        <v>124</v>
      </c>
      <c r="C42" s="15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111" t="s">
        <v>29</v>
      </c>
      <c r="T42" s="51">
        <f t="shared" si="16"/>
        <v>0</v>
      </c>
      <c r="U42" s="52">
        <f t="shared" si="18"/>
        <v>0</v>
      </c>
      <c r="V42" s="53">
        <f t="shared" si="19"/>
        <v>0</v>
      </c>
      <c r="W42" s="173"/>
      <c r="X42" s="54">
        <f t="shared" si="17"/>
        <v>0</v>
      </c>
      <c r="Y42" s="45" t="str">
        <f t="shared" si="20"/>
        <v xml:space="preserve">    Car Insurance</v>
      </c>
      <c r="Z42" s="206">
        <f t="shared" si="0"/>
        <v>42</v>
      </c>
    </row>
    <row r="43" spans="1:26" x14ac:dyDescent="0.35">
      <c r="A43" s="210">
        <f t="shared" si="1"/>
        <v>43</v>
      </c>
      <c r="B43" s="114" t="s">
        <v>30</v>
      </c>
      <c r="C43" s="157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45" t="str">
        <f t="shared" ref="S43:S56" si="21">B43</f>
        <v>Entertainment</v>
      </c>
      <c r="T43" s="51">
        <f t="shared" si="16"/>
        <v>0</v>
      </c>
      <c r="U43" s="52">
        <f t="shared" si="18"/>
        <v>0</v>
      </c>
      <c r="V43" s="53">
        <f t="shared" si="19"/>
        <v>0</v>
      </c>
      <c r="W43" s="173"/>
      <c r="X43" s="54">
        <f t="shared" si="17"/>
        <v>0</v>
      </c>
      <c r="Y43" s="45" t="str">
        <f t="shared" si="20"/>
        <v>Entertainment</v>
      </c>
      <c r="Z43" s="206">
        <f t="shared" si="0"/>
        <v>43</v>
      </c>
    </row>
    <row r="44" spans="1:26" x14ac:dyDescent="0.35">
      <c r="A44" s="210">
        <f t="shared" si="1"/>
        <v>44</v>
      </c>
      <c r="B44" s="114" t="s">
        <v>121</v>
      </c>
      <c r="C44" s="157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45" t="str">
        <f t="shared" si="21"/>
        <v xml:space="preserve">      Cable or Sat. TV</v>
      </c>
      <c r="T44" s="51">
        <f t="shared" si="16"/>
        <v>0</v>
      </c>
      <c r="U44" s="52">
        <f t="shared" si="18"/>
        <v>0</v>
      </c>
      <c r="V44" s="53">
        <f t="shared" si="19"/>
        <v>0</v>
      </c>
      <c r="W44" s="173"/>
      <c r="X44" s="54">
        <f t="shared" si="17"/>
        <v>0</v>
      </c>
      <c r="Y44" s="45" t="str">
        <f t="shared" si="20"/>
        <v xml:space="preserve">      Cable or Sat. TV</v>
      </c>
      <c r="Z44" s="206">
        <f t="shared" si="0"/>
        <v>44</v>
      </c>
    </row>
    <row r="45" spans="1:26" x14ac:dyDescent="0.35">
      <c r="A45" s="210">
        <f t="shared" si="1"/>
        <v>45</v>
      </c>
      <c r="B45" s="114" t="s">
        <v>126</v>
      </c>
      <c r="C45" s="157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45" t="str">
        <f>B45</f>
        <v xml:space="preserve">      Other:Movies.</v>
      </c>
      <c r="T45" s="51">
        <f t="shared" si="16"/>
        <v>0</v>
      </c>
      <c r="U45" s="52">
        <f t="shared" si="18"/>
        <v>0</v>
      </c>
      <c r="V45" s="53">
        <f t="shared" si="19"/>
        <v>0</v>
      </c>
      <c r="W45" s="173"/>
      <c r="X45" s="54">
        <f t="shared" si="17"/>
        <v>0</v>
      </c>
      <c r="Y45" s="45" t="str">
        <f t="shared" si="20"/>
        <v xml:space="preserve">      Other:Movies.</v>
      </c>
      <c r="Z45" s="206">
        <f t="shared" si="0"/>
        <v>45</v>
      </c>
    </row>
    <row r="46" spans="1:26" x14ac:dyDescent="0.35">
      <c r="A46" s="210">
        <f t="shared" si="1"/>
        <v>46</v>
      </c>
      <c r="B46" s="114" t="s">
        <v>123</v>
      </c>
      <c r="C46" s="157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45" t="str">
        <f t="shared" si="21"/>
        <v>Hygiene &amp; Grooming</v>
      </c>
      <c r="T46" s="51">
        <f t="shared" si="16"/>
        <v>0</v>
      </c>
      <c r="U46" s="52">
        <f t="shared" si="18"/>
        <v>0</v>
      </c>
      <c r="V46" s="53">
        <f t="shared" si="19"/>
        <v>0</v>
      </c>
      <c r="W46" s="173"/>
      <c r="X46" s="54">
        <f t="shared" si="17"/>
        <v>0</v>
      </c>
      <c r="Y46" s="45" t="str">
        <f>B46</f>
        <v>Hygiene &amp; Grooming</v>
      </c>
      <c r="Z46" s="206">
        <f t="shared" si="0"/>
        <v>46</v>
      </c>
    </row>
    <row r="47" spans="1:26" x14ac:dyDescent="0.35">
      <c r="A47" s="210">
        <f t="shared" si="1"/>
        <v>47</v>
      </c>
      <c r="B47" s="114" t="s">
        <v>20</v>
      </c>
      <c r="C47" s="157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45" t="str">
        <f t="shared" si="21"/>
        <v>Savings</v>
      </c>
      <c r="T47" s="51">
        <f t="shared" si="16"/>
        <v>0</v>
      </c>
      <c r="U47" s="52">
        <f t="shared" si="18"/>
        <v>0</v>
      </c>
      <c r="V47" s="53">
        <f t="shared" si="19"/>
        <v>0</v>
      </c>
      <c r="W47" s="173"/>
      <c r="X47" s="54">
        <f t="shared" si="17"/>
        <v>0</v>
      </c>
      <c r="Y47" s="45" t="str">
        <f t="shared" ref="Y47:Y66" si="22">B48</f>
        <v>Utilities</v>
      </c>
      <c r="Z47" s="206">
        <f t="shared" si="0"/>
        <v>47</v>
      </c>
    </row>
    <row r="48" spans="1:26" x14ac:dyDescent="0.35">
      <c r="A48" s="210">
        <f t="shared" si="1"/>
        <v>48</v>
      </c>
      <c r="B48" s="114" t="s">
        <v>31</v>
      </c>
      <c r="C48" s="164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45" t="str">
        <f t="shared" si="21"/>
        <v>Utilities</v>
      </c>
      <c r="T48" s="51">
        <f t="shared" si="16"/>
        <v>0</v>
      </c>
      <c r="U48" s="52">
        <f t="shared" si="18"/>
        <v>0</v>
      </c>
      <c r="V48" s="53">
        <f t="shared" si="19"/>
        <v>0</v>
      </c>
      <c r="W48" s="173"/>
      <c r="X48" s="54">
        <f t="shared" si="17"/>
        <v>0</v>
      </c>
      <c r="Y48" s="45" t="str">
        <f t="shared" si="22"/>
        <v>Transportation</v>
      </c>
      <c r="Z48" s="206">
        <f t="shared" si="0"/>
        <v>48</v>
      </c>
    </row>
    <row r="49" spans="1:26" x14ac:dyDescent="0.35">
      <c r="A49" s="210">
        <f t="shared" si="1"/>
        <v>49</v>
      </c>
      <c r="B49" s="146" t="s">
        <v>88</v>
      </c>
      <c r="C49" s="164"/>
      <c r="D49" s="55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45" t="str">
        <f t="shared" si="21"/>
        <v>Transportation</v>
      </c>
      <c r="T49" s="51">
        <f t="shared" si="16"/>
        <v>0</v>
      </c>
      <c r="U49" s="52">
        <f t="shared" si="18"/>
        <v>0</v>
      </c>
      <c r="V49" s="53">
        <f t="shared" si="19"/>
        <v>0</v>
      </c>
      <c r="W49" s="173"/>
      <c r="X49" s="54">
        <f t="shared" si="17"/>
        <v>0</v>
      </c>
      <c r="Y49" s="45" t="str">
        <f t="shared" si="22"/>
        <v>Telephone</v>
      </c>
      <c r="Z49" s="206">
        <f t="shared" si="0"/>
        <v>49</v>
      </c>
    </row>
    <row r="50" spans="1:26" x14ac:dyDescent="0.35">
      <c r="A50" s="210">
        <f t="shared" si="1"/>
        <v>50</v>
      </c>
      <c r="B50" s="146" t="s">
        <v>32</v>
      </c>
      <c r="C50" s="157"/>
      <c r="D50" s="55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194" t="str">
        <f t="shared" si="21"/>
        <v>Telephone</v>
      </c>
      <c r="T50" s="51">
        <f t="shared" si="16"/>
        <v>0</v>
      </c>
      <c r="U50" s="52">
        <f t="shared" si="18"/>
        <v>0</v>
      </c>
      <c r="V50" s="53">
        <f t="shared" si="19"/>
        <v>0</v>
      </c>
      <c r="W50" s="173"/>
      <c r="X50" s="54">
        <f>W50-T50</f>
        <v>0</v>
      </c>
      <c r="Y50" s="45" t="str">
        <f t="shared" si="22"/>
        <v>Bank Costs</v>
      </c>
      <c r="Z50" s="206">
        <f t="shared" si="0"/>
        <v>50</v>
      </c>
    </row>
    <row r="51" spans="1:26" x14ac:dyDescent="0.35">
      <c r="A51" s="210">
        <f t="shared" si="1"/>
        <v>51</v>
      </c>
      <c r="B51" s="114" t="s">
        <v>107</v>
      </c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4" t="str">
        <f t="shared" si="21"/>
        <v>Bank Costs</v>
      </c>
      <c r="T51" s="51">
        <f t="shared" si="16"/>
        <v>0</v>
      </c>
      <c r="U51" s="52">
        <f t="shared" si="18"/>
        <v>0</v>
      </c>
      <c r="V51" s="53">
        <f t="shared" si="19"/>
        <v>0</v>
      </c>
      <c r="W51" s="193"/>
      <c r="X51" s="54">
        <f>W51-T51</f>
        <v>0</v>
      </c>
      <c r="Y51" s="45" t="str">
        <f t="shared" si="22"/>
        <v xml:space="preserve">Credit Card Interest  </v>
      </c>
      <c r="Z51" s="206">
        <f t="shared" si="0"/>
        <v>51</v>
      </c>
    </row>
    <row r="52" spans="1:26" x14ac:dyDescent="0.35">
      <c r="A52" s="210">
        <f t="shared" si="1"/>
        <v>52</v>
      </c>
      <c r="B52" s="114" t="s">
        <v>109</v>
      </c>
      <c r="C52" s="157"/>
      <c r="D52" s="55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194" t="str">
        <f t="shared" si="21"/>
        <v xml:space="preserve">Credit Card Interest  </v>
      </c>
      <c r="T52" s="51">
        <f t="shared" si="16"/>
        <v>0</v>
      </c>
      <c r="U52" s="52">
        <f t="shared" si="18"/>
        <v>0</v>
      </c>
      <c r="V52" s="53">
        <f t="shared" si="19"/>
        <v>0</v>
      </c>
      <c r="W52" s="173"/>
      <c r="X52" s="54">
        <f t="shared" si="17"/>
        <v>0</v>
      </c>
      <c r="Y52" s="45" t="str">
        <f t="shared" si="22"/>
        <v>Other Interest</v>
      </c>
      <c r="Z52" s="206">
        <f t="shared" si="0"/>
        <v>52</v>
      </c>
    </row>
    <row r="53" spans="1:26" x14ac:dyDescent="0.35">
      <c r="A53" s="210">
        <f t="shared" si="1"/>
        <v>53</v>
      </c>
      <c r="B53" s="114" t="s">
        <v>108</v>
      </c>
      <c r="C53" s="157"/>
      <c r="D53" s="55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194" t="str">
        <f t="shared" si="21"/>
        <v>Other Interest</v>
      </c>
      <c r="T53" s="51">
        <f t="shared" si="16"/>
        <v>0</v>
      </c>
      <c r="U53" s="52">
        <f t="shared" si="18"/>
        <v>0</v>
      </c>
      <c r="V53" s="53">
        <f t="shared" si="19"/>
        <v>0</v>
      </c>
      <c r="W53" s="173"/>
      <c r="X53" s="54">
        <f t="shared" si="17"/>
        <v>0</v>
      </c>
      <c r="Y53" s="45" t="str">
        <f t="shared" si="22"/>
        <v>Gifts</v>
      </c>
      <c r="Z53" s="206">
        <f t="shared" si="0"/>
        <v>53</v>
      </c>
    </row>
    <row r="54" spans="1:26" x14ac:dyDescent="0.35">
      <c r="A54" s="210">
        <f t="shared" si="1"/>
        <v>54</v>
      </c>
      <c r="B54" s="114" t="s">
        <v>22</v>
      </c>
      <c r="C54" s="165"/>
      <c r="D54" s="55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194" t="str">
        <f t="shared" si="21"/>
        <v>Gifts</v>
      </c>
      <c r="T54" s="51">
        <f t="shared" si="16"/>
        <v>0</v>
      </c>
      <c r="U54" s="52">
        <f t="shared" si="18"/>
        <v>0</v>
      </c>
      <c r="V54" s="53">
        <f t="shared" si="19"/>
        <v>0</v>
      </c>
      <c r="W54" s="173"/>
      <c r="X54" s="54">
        <f t="shared" si="17"/>
        <v>0</v>
      </c>
      <c r="Y54" s="45" t="str">
        <f t="shared" si="22"/>
        <v>Dues</v>
      </c>
      <c r="Z54" s="206">
        <f t="shared" si="0"/>
        <v>54</v>
      </c>
    </row>
    <row r="55" spans="1:26" x14ac:dyDescent="0.35">
      <c r="A55" s="210">
        <f t="shared" si="1"/>
        <v>55</v>
      </c>
      <c r="B55" s="147" t="s">
        <v>33</v>
      </c>
      <c r="C55" s="165"/>
      <c r="D55" s="55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194" t="str">
        <f t="shared" si="21"/>
        <v>Dues</v>
      </c>
      <c r="T55" s="51">
        <f t="shared" si="16"/>
        <v>0</v>
      </c>
      <c r="U55" s="52">
        <f t="shared" si="18"/>
        <v>0</v>
      </c>
      <c r="V55" s="53">
        <f t="shared" si="19"/>
        <v>0</v>
      </c>
      <c r="W55" s="173"/>
      <c r="X55" s="54">
        <f t="shared" si="17"/>
        <v>0</v>
      </c>
      <c r="Y55" s="45" t="str">
        <f t="shared" si="22"/>
        <v>Contributions</v>
      </c>
      <c r="Z55" s="206">
        <f t="shared" si="0"/>
        <v>55</v>
      </c>
    </row>
    <row r="56" spans="1:26" x14ac:dyDescent="0.35">
      <c r="A56" s="210">
        <f t="shared" si="1"/>
        <v>56</v>
      </c>
      <c r="B56" s="147" t="s">
        <v>34</v>
      </c>
      <c r="C56" s="157"/>
      <c r="D56" s="55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194" t="str">
        <f t="shared" si="21"/>
        <v>Contributions</v>
      </c>
      <c r="T56" s="51">
        <f t="shared" si="16"/>
        <v>0</v>
      </c>
      <c r="U56" s="52">
        <f t="shared" si="18"/>
        <v>0</v>
      </c>
      <c r="V56" s="53">
        <f t="shared" si="19"/>
        <v>0</v>
      </c>
      <c r="W56" s="173"/>
      <c r="X56" s="54">
        <f t="shared" si="17"/>
        <v>0</v>
      </c>
      <c r="Y56" s="45" t="str">
        <f t="shared" si="22"/>
        <v>Hlth &amp; Other Insurance</v>
      </c>
      <c r="Z56" s="206">
        <f t="shared" si="0"/>
        <v>56</v>
      </c>
    </row>
    <row r="57" spans="1:26" x14ac:dyDescent="0.35">
      <c r="A57" s="210">
        <f t="shared" si="1"/>
        <v>57</v>
      </c>
      <c r="B57" s="147" t="s">
        <v>101</v>
      </c>
      <c r="C57" s="55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111" t="s">
        <v>35</v>
      </c>
      <c r="T57" s="51">
        <f t="shared" si="16"/>
        <v>0</v>
      </c>
      <c r="U57" s="52">
        <f t="shared" si="18"/>
        <v>0</v>
      </c>
      <c r="V57" s="53">
        <f t="shared" si="19"/>
        <v>0</v>
      </c>
      <c r="W57" s="173"/>
      <c r="X57" s="54">
        <f t="shared" si="17"/>
        <v>0</v>
      </c>
      <c r="Y57" s="45" t="str">
        <f t="shared" si="22"/>
        <v>Misc.</v>
      </c>
      <c r="Z57" s="206">
        <f t="shared" si="0"/>
        <v>57</v>
      </c>
    </row>
    <row r="58" spans="1:26" x14ac:dyDescent="0.35">
      <c r="A58" s="210">
        <f t="shared" si="1"/>
        <v>58</v>
      </c>
      <c r="B58" s="114" t="s">
        <v>36</v>
      </c>
      <c r="C58" s="55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194" t="str">
        <f t="shared" ref="S58:S66" si="23">B58</f>
        <v>Misc.</v>
      </c>
      <c r="T58" s="51">
        <f t="shared" si="16"/>
        <v>0</v>
      </c>
      <c r="U58" s="52">
        <f t="shared" si="18"/>
        <v>0</v>
      </c>
      <c r="V58" s="53">
        <f t="shared" si="19"/>
        <v>0</v>
      </c>
      <c r="W58" s="173"/>
      <c r="X58" s="54">
        <f t="shared" si="17"/>
        <v>0</v>
      </c>
      <c r="Y58" s="45" t="str">
        <f t="shared" si="22"/>
        <v>Other 1</v>
      </c>
      <c r="Z58" s="206">
        <f t="shared" si="0"/>
        <v>58</v>
      </c>
    </row>
    <row r="59" spans="1:26" x14ac:dyDescent="0.35">
      <c r="A59" s="210">
        <f t="shared" si="1"/>
        <v>59</v>
      </c>
      <c r="B59" s="148" t="s">
        <v>79</v>
      </c>
      <c r="C59" s="55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194" t="str">
        <f t="shared" si="23"/>
        <v>Other 1</v>
      </c>
      <c r="T59" s="51">
        <f t="shared" si="16"/>
        <v>0</v>
      </c>
      <c r="U59" s="52">
        <f t="shared" si="18"/>
        <v>0</v>
      </c>
      <c r="V59" s="53">
        <f t="shared" si="19"/>
        <v>0</v>
      </c>
      <c r="W59" s="173"/>
      <c r="X59" s="54">
        <f t="shared" si="17"/>
        <v>0</v>
      </c>
      <c r="Y59" s="45" t="str">
        <f t="shared" si="22"/>
        <v>Other 2</v>
      </c>
      <c r="Z59" s="206">
        <f t="shared" si="0"/>
        <v>59</v>
      </c>
    </row>
    <row r="60" spans="1:26" x14ac:dyDescent="0.35">
      <c r="A60" s="210">
        <f t="shared" si="1"/>
        <v>60</v>
      </c>
      <c r="B60" s="148" t="s">
        <v>80</v>
      </c>
      <c r="C60" s="55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194" t="str">
        <f t="shared" si="23"/>
        <v>Other 2</v>
      </c>
      <c r="T60" s="51">
        <f t="shared" si="16"/>
        <v>0</v>
      </c>
      <c r="U60" s="52">
        <f t="shared" si="18"/>
        <v>0</v>
      </c>
      <c r="V60" s="53">
        <f t="shared" si="19"/>
        <v>0</v>
      </c>
      <c r="W60" s="173"/>
      <c r="X60" s="54">
        <f t="shared" si="17"/>
        <v>0</v>
      </c>
      <c r="Y60" s="45" t="str">
        <f t="shared" si="22"/>
        <v>Other 3</v>
      </c>
      <c r="Z60" s="206">
        <f t="shared" si="0"/>
        <v>60</v>
      </c>
    </row>
    <row r="61" spans="1:26" x14ac:dyDescent="0.35">
      <c r="A61" s="210">
        <f t="shared" si="1"/>
        <v>61</v>
      </c>
      <c r="B61" s="148" t="s">
        <v>81</v>
      </c>
      <c r="C61" s="55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194" t="str">
        <f t="shared" si="23"/>
        <v>Other 3</v>
      </c>
      <c r="T61" s="51">
        <f t="shared" si="16"/>
        <v>0</v>
      </c>
      <c r="U61" s="52">
        <f t="shared" si="18"/>
        <v>0</v>
      </c>
      <c r="V61" s="53">
        <f t="shared" si="19"/>
        <v>0</v>
      </c>
      <c r="W61" s="173"/>
      <c r="X61" s="57">
        <f t="shared" si="17"/>
        <v>0</v>
      </c>
      <c r="Y61" s="45" t="str">
        <f t="shared" si="22"/>
        <v>Other 4</v>
      </c>
      <c r="Z61" s="206">
        <f t="shared" si="0"/>
        <v>61</v>
      </c>
    </row>
    <row r="62" spans="1:26" x14ac:dyDescent="0.35">
      <c r="A62" s="210">
        <f t="shared" si="1"/>
        <v>62</v>
      </c>
      <c r="B62" s="148" t="s">
        <v>82</v>
      </c>
      <c r="C62" s="59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194" t="str">
        <f t="shared" si="23"/>
        <v>Other 4</v>
      </c>
      <c r="T62" s="51">
        <f t="shared" si="16"/>
        <v>0</v>
      </c>
      <c r="U62" s="52">
        <f t="shared" si="18"/>
        <v>0</v>
      </c>
      <c r="V62" s="53">
        <f t="shared" si="19"/>
        <v>0</v>
      </c>
      <c r="W62" s="173"/>
      <c r="X62" s="57">
        <f t="shared" si="17"/>
        <v>0</v>
      </c>
      <c r="Y62" s="45" t="str">
        <f t="shared" si="22"/>
        <v>Other 5</v>
      </c>
      <c r="Z62" s="206">
        <f t="shared" si="0"/>
        <v>62</v>
      </c>
    </row>
    <row r="63" spans="1:26" x14ac:dyDescent="0.35">
      <c r="A63" s="210">
        <f t="shared" si="1"/>
        <v>63</v>
      </c>
      <c r="B63" s="148" t="s">
        <v>83</v>
      </c>
      <c r="C63" s="59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194" t="str">
        <f t="shared" si="23"/>
        <v>Other 5</v>
      </c>
      <c r="T63" s="51">
        <f t="shared" si="16"/>
        <v>0</v>
      </c>
      <c r="U63" s="52">
        <f t="shared" si="18"/>
        <v>0</v>
      </c>
      <c r="V63" s="53">
        <f t="shared" si="19"/>
        <v>0</v>
      </c>
      <c r="W63" s="173"/>
      <c r="X63" s="57">
        <f t="shared" si="17"/>
        <v>0</v>
      </c>
      <c r="Y63" s="45" t="str">
        <f t="shared" si="22"/>
        <v>Other 6</v>
      </c>
      <c r="Z63" s="206">
        <f t="shared" si="0"/>
        <v>63</v>
      </c>
    </row>
    <row r="64" spans="1:26" x14ac:dyDescent="0.35">
      <c r="A64" s="210">
        <f t="shared" si="1"/>
        <v>64</v>
      </c>
      <c r="B64" s="148" t="s">
        <v>96</v>
      </c>
      <c r="C64" s="59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194" t="str">
        <f t="shared" si="23"/>
        <v>Other 6</v>
      </c>
      <c r="T64" s="51">
        <f t="shared" si="16"/>
        <v>0</v>
      </c>
      <c r="U64" s="52">
        <f t="shared" si="18"/>
        <v>0</v>
      </c>
      <c r="V64" s="53">
        <f t="shared" si="19"/>
        <v>0</v>
      </c>
      <c r="W64" s="173"/>
      <c r="X64" s="57">
        <f t="shared" si="17"/>
        <v>0</v>
      </c>
      <c r="Y64" s="45" t="str">
        <f t="shared" si="22"/>
        <v>Other 7</v>
      </c>
      <c r="Z64" s="206">
        <f t="shared" si="0"/>
        <v>64</v>
      </c>
    </row>
    <row r="65" spans="1:28" x14ac:dyDescent="0.35">
      <c r="A65" s="210">
        <f t="shared" si="1"/>
        <v>65</v>
      </c>
      <c r="B65" s="148" t="s">
        <v>97</v>
      </c>
      <c r="C65" s="59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194" t="str">
        <f t="shared" si="23"/>
        <v>Other 7</v>
      </c>
      <c r="T65" s="51">
        <f t="shared" si="16"/>
        <v>0</v>
      </c>
      <c r="U65" s="52">
        <f t="shared" si="18"/>
        <v>0</v>
      </c>
      <c r="V65" s="53">
        <f t="shared" si="19"/>
        <v>0</v>
      </c>
      <c r="W65" s="173"/>
      <c r="X65" s="57">
        <f t="shared" si="17"/>
        <v>0</v>
      </c>
      <c r="Y65" s="45" t="str">
        <f t="shared" si="22"/>
        <v>Other 8</v>
      </c>
      <c r="Z65" s="206">
        <f t="shared" si="0"/>
        <v>65</v>
      </c>
    </row>
    <row r="66" spans="1:28" ht="16" thickBot="1" x14ac:dyDescent="0.4">
      <c r="A66" s="210">
        <f t="shared" si="1"/>
        <v>66</v>
      </c>
      <c r="B66" s="154" t="s">
        <v>98</v>
      </c>
      <c r="C66" s="59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194" t="str">
        <f t="shared" si="23"/>
        <v>Other 8</v>
      </c>
      <c r="T66" s="51">
        <f t="shared" si="16"/>
        <v>0</v>
      </c>
      <c r="U66" s="52">
        <f t="shared" si="18"/>
        <v>0</v>
      </c>
      <c r="V66" s="53">
        <f t="shared" si="19"/>
        <v>0</v>
      </c>
      <c r="W66" s="175"/>
      <c r="X66" s="57">
        <f t="shared" si="17"/>
        <v>0</v>
      </c>
      <c r="Y66" s="149" t="str">
        <f t="shared" si="22"/>
        <v>Week's Total Expenses</v>
      </c>
      <c r="Z66" s="206">
        <f t="shared" si="0"/>
        <v>66</v>
      </c>
    </row>
    <row r="67" spans="1:28" ht="16" thickBot="1" x14ac:dyDescent="0.4">
      <c r="A67" s="210">
        <f t="shared" si="1"/>
        <v>67</v>
      </c>
      <c r="B67" s="155" t="s">
        <v>111</v>
      </c>
      <c r="C67" s="60">
        <f t="shared" ref="C67:R67" si="24">SUM(C31:C66)</f>
        <v>0</v>
      </c>
      <c r="D67" s="61">
        <f t="shared" si="24"/>
        <v>0</v>
      </c>
      <c r="E67" s="61">
        <f t="shared" si="24"/>
        <v>0</v>
      </c>
      <c r="F67" s="61">
        <f t="shared" si="24"/>
        <v>0</v>
      </c>
      <c r="G67" s="61">
        <f t="shared" si="24"/>
        <v>0</v>
      </c>
      <c r="H67" s="61">
        <f t="shared" si="24"/>
        <v>0</v>
      </c>
      <c r="I67" s="61">
        <f t="shared" si="24"/>
        <v>0</v>
      </c>
      <c r="J67" s="61">
        <f t="shared" si="24"/>
        <v>0</v>
      </c>
      <c r="K67" s="61">
        <f t="shared" si="24"/>
        <v>0</v>
      </c>
      <c r="L67" s="61">
        <f t="shared" si="24"/>
        <v>0</v>
      </c>
      <c r="M67" s="61">
        <f t="shared" si="24"/>
        <v>0</v>
      </c>
      <c r="N67" s="61">
        <f t="shared" si="24"/>
        <v>0</v>
      </c>
      <c r="O67" s="61">
        <f t="shared" si="24"/>
        <v>0</v>
      </c>
      <c r="P67" s="61">
        <f t="shared" si="24"/>
        <v>0</v>
      </c>
      <c r="Q67" s="61">
        <f t="shared" si="24"/>
        <v>0</v>
      </c>
      <c r="R67" s="61">
        <f t="shared" si="24"/>
        <v>0</v>
      </c>
      <c r="S67" s="62" t="str">
        <f>B67</f>
        <v>Week's Total Expenses</v>
      </c>
      <c r="T67" s="63">
        <f t="shared" si="16"/>
        <v>0</v>
      </c>
      <c r="U67" s="64">
        <f>T67/16</f>
        <v>0</v>
      </c>
      <c r="V67" s="65">
        <f>W67/16</f>
        <v>0</v>
      </c>
      <c r="W67" s="66">
        <f>SUM(W31:W66)</f>
        <v>0</v>
      </c>
      <c r="X67" s="67">
        <f t="shared" si="17"/>
        <v>0</v>
      </c>
      <c r="Y67" s="71"/>
      <c r="Z67" s="206">
        <f t="shared" ref="Z67:Z77" si="25">A67</f>
        <v>67</v>
      </c>
    </row>
    <row r="68" spans="1:28" ht="16" thickTop="1" x14ac:dyDescent="0.35">
      <c r="A68" s="210">
        <f t="shared" ref="A68:A78" si="26">A67+1</f>
        <v>68</v>
      </c>
      <c r="B68" s="150"/>
      <c r="C68" s="68"/>
      <c r="D68" s="69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1"/>
      <c r="T68" s="72"/>
      <c r="U68" s="73"/>
      <c r="V68" s="74"/>
      <c r="W68" s="75"/>
      <c r="X68" s="76"/>
      <c r="Y68" s="127"/>
      <c r="Z68" s="206">
        <f t="shared" si="25"/>
        <v>68</v>
      </c>
    </row>
    <row r="69" spans="1:28" ht="18" x14ac:dyDescent="0.4">
      <c r="A69" s="210">
        <f t="shared" si="26"/>
        <v>69</v>
      </c>
      <c r="B69" s="151" t="s">
        <v>112</v>
      </c>
      <c r="C69" s="77">
        <f t="shared" ref="C69:R69" si="27">SUM(C25-C67)</f>
        <v>0</v>
      </c>
      <c r="D69" s="77">
        <f t="shared" si="27"/>
        <v>0</v>
      </c>
      <c r="E69" s="77">
        <f t="shared" si="27"/>
        <v>0</v>
      </c>
      <c r="F69" s="77">
        <f t="shared" si="27"/>
        <v>0</v>
      </c>
      <c r="G69" s="77">
        <f t="shared" si="27"/>
        <v>0</v>
      </c>
      <c r="H69" s="77">
        <f t="shared" si="27"/>
        <v>0</v>
      </c>
      <c r="I69" s="77">
        <f t="shared" si="27"/>
        <v>0</v>
      </c>
      <c r="J69" s="77">
        <f t="shared" si="27"/>
        <v>0</v>
      </c>
      <c r="K69" s="77">
        <f t="shared" si="27"/>
        <v>0</v>
      </c>
      <c r="L69" s="77">
        <f t="shared" si="27"/>
        <v>0</v>
      </c>
      <c r="M69" s="77">
        <f t="shared" si="27"/>
        <v>0</v>
      </c>
      <c r="N69" s="77">
        <f t="shared" si="27"/>
        <v>0</v>
      </c>
      <c r="O69" s="77">
        <f t="shared" si="27"/>
        <v>0</v>
      </c>
      <c r="P69" s="77">
        <f t="shared" si="27"/>
        <v>0</v>
      </c>
      <c r="Q69" s="77">
        <f t="shared" si="27"/>
        <v>0</v>
      </c>
      <c r="R69" s="77">
        <f t="shared" si="27"/>
        <v>0</v>
      </c>
      <c r="S69" s="105" t="s">
        <v>114</v>
      </c>
      <c r="T69" s="78">
        <f>T25-T67</f>
        <v>0</v>
      </c>
      <c r="U69" s="188">
        <f>T69/17</f>
        <v>0</v>
      </c>
      <c r="V69" s="8" t="s">
        <v>1</v>
      </c>
      <c r="W69" s="221" t="s">
        <v>2</v>
      </c>
      <c r="X69" s="227" t="s">
        <v>78</v>
      </c>
      <c r="Y69" s="127"/>
      <c r="Z69" s="206">
        <f t="shared" si="25"/>
        <v>69</v>
      </c>
    </row>
    <row r="70" spans="1:28" x14ac:dyDescent="0.35">
      <c r="A70" s="210">
        <f t="shared" si="26"/>
        <v>70</v>
      </c>
      <c r="B70" s="146" t="s">
        <v>113</v>
      </c>
      <c r="C70" s="79">
        <f>C25-C67</f>
        <v>0</v>
      </c>
      <c r="D70" s="79">
        <f>SUM(C70+D69)</f>
        <v>0</v>
      </c>
      <c r="E70" s="79">
        <f>SUM(D70+E69)</f>
        <v>0</v>
      </c>
      <c r="F70" s="79">
        <f t="shared" ref="F70:R70" si="28">E70+F69</f>
        <v>0</v>
      </c>
      <c r="G70" s="79">
        <f t="shared" si="28"/>
        <v>0</v>
      </c>
      <c r="H70" s="79">
        <f t="shared" si="28"/>
        <v>0</v>
      </c>
      <c r="I70" s="79">
        <f t="shared" si="28"/>
        <v>0</v>
      </c>
      <c r="J70" s="79">
        <f t="shared" si="28"/>
        <v>0</v>
      </c>
      <c r="K70" s="79">
        <f t="shared" si="28"/>
        <v>0</v>
      </c>
      <c r="L70" s="79">
        <f t="shared" si="28"/>
        <v>0</v>
      </c>
      <c r="M70" s="79">
        <f t="shared" si="28"/>
        <v>0</v>
      </c>
      <c r="N70" s="79">
        <f t="shared" si="28"/>
        <v>0</v>
      </c>
      <c r="O70" s="79">
        <f t="shared" si="28"/>
        <v>0</v>
      </c>
      <c r="P70" s="79">
        <f t="shared" si="28"/>
        <v>0</v>
      </c>
      <c r="Q70" s="79">
        <f t="shared" si="28"/>
        <v>0</v>
      </c>
      <c r="R70" s="79">
        <f t="shared" si="28"/>
        <v>0</v>
      </c>
      <c r="S70" s="56" t="s">
        <v>115</v>
      </c>
      <c r="T70" s="7" t="s">
        <v>0</v>
      </c>
      <c r="U70" s="80" t="s">
        <v>100</v>
      </c>
      <c r="V70" s="12" t="s">
        <v>6</v>
      </c>
      <c r="W70" s="222" t="s">
        <v>0</v>
      </c>
      <c r="X70" s="9" t="s">
        <v>3</v>
      </c>
      <c r="Y70" s="127"/>
      <c r="Z70" s="206">
        <f t="shared" si="25"/>
        <v>70</v>
      </c>
    </row>
    <row r="71" spans="1:28" x14ac:dyDescent="0.35">
      <c r="A71" s="210">
        <f t="shared" si="26"/>
        <v>71</v>
      </c>
      <c r="B71" s="97" t="str">
        <f>B6</f>
        <v>Semester Week #</v>
      </c>
      <c r="C71" s="230">
        <f t="shared" ref="C71:R71" si="29">C6</f>
        <v>1</v>
      </c>
      <c r="D71" s="230">
        <f>D6</f>
        <v>2</v>
      </c>
      <c r="E71" s="230">
        <f t="shared" si="29"/>
        <v>3</v>
      </c>
      <c r="F71" s="230">
        <f t="shared" si="29"/>
        <v>4</v>
      </c>
      <c r="G71" s="230">
        <f t="shared" si="29"/>
        <v>5</v>
      </c>
      <c r="H71" s="230">
        <f t="shared" si="29"/>
        <v>6</v>
      </c>
      <c r="I71" s="230">
        <f t="shared" si="29"/>
        <v>7</v>
      </c>
      <c r="J71" s="230">
        <f t="shared" si="29"/>
        <v>8</v>
      </c>
      <c r="K71" s="230">
        <f t="shared" si="29"/>
        <v>9</v>
      </c>
      <c r="L71" s="230">
        <f t="shared" si="29"/>
        <v>10</v>
      </c>
      <c r="M71" s="230">
        <f t="shared" si="29"/>
        <v>11</v>
      </c>
      <c r="N71" s="230">
        <f t="shared" si="29"/>
        <v>12</v>
      </c>
      <c r="O71" s="230">
        <f t="shared" si="29"/>
        <v>13</v>
      </c>
      <c r="P71" s="230">
        <f t="shared" si="29"/>
        <v>14</v>
      </c>
      <c r="Q71" s="230">
        <f t="shared" si="29"/>
        <v>15</v>
      </c>
      <c r="R71" s="230">
        <f t="shared" si="29"/>
        <v>16</v>
      </c>
      <c r="S71" s="96" t="str">
        <f>B71</f>
        <v>Semester Week #</v>
      </c>
      <c r="T71" s="7" t="s">
        <v>94</v>
      </c>
      <c r="U71" s="11" t="s">
        <v>5</v>
      </c>
      <c r="V71" s="12" t="s">
        <v>95</v>
      </c>
      <c r="W71" s="225" t="s">
        <v>73</v>
      </c>
      <c r="X71" s="13" t="s">
        <v>37</v>
      </c>
      <c r="Y71" s="127"/>
      <c r="Z71" s="206">
        <f t="shared" si="25"/>
        <v>71</v>
      </c>
    </row>
    <row r="72" spans="1:28" x14ac:dyDescent="0.35">
      <c r="A72" s="210">
        <f t="shared" si="26"/>
        <v>72</v>
      </c>
      <c r="B72" s="153" t="str">
        <f>B7</f>
        <v>Week Date from</v>
      </c>
      <c r="C72" s="231">
        <f t="shared" ref="C72:R72" si="30">C7</f>
        <v>37998</v>
      </c>
      <c r="D72" s="231">
        <f t="shared" si="30"/>
        <v>38005</v>
      </c>
      <c r="E72" s="231">
        <f t="shared" si="30"/>
        <v>38012</v>
      </c>
      <c r="F72" s="231">
        <f t="shared" si="30"/>
        <v>38019</v>
      </c>
      <c r="G72" s="231">
        <f t="shared" si="30"/>
        <v>38026</v>
      </c>
      <c r="H72" s="231">
        <f t="shared" si="30"/>
        <v>38033</v>
      </c>
      <c r="I72" s="231">
        <f t="shared" si="30"/>
        <v>38040</v>
      </c>
      <c r="J72" s="231">
        <f t="shared" si="30"/>
        <v>38047</v>
      </c>
      <c r="K72" s="231">
        <f t="shared" si="30"/>
        <v>38054</v>
      </c>
      <c r="L72" s="231">
        <f t="shared" si="30"/>
        <v>38061</v>
      </c>
      <c r="M72" s="231">
        <f t="shared" si="30"/>
        <v>38068</v>
      </c>
      <c r="N72" s="231">
        <f t="shared" si="30"/>
        <v>38075</v>
      </c>
      <c r="O72" s="231">
        <f t="shared" si="30"/>
        <v>38082</v>
      </c>
      <c r="P72" s="231">
        <f t="shared" si="30"/>
        <v>38089</v>
      </c>
      <c r="Q72" s="231">
        <f t="shared" si="30"/>
        <v>38096</v>
      </c>
      <c r="R72" s="231">
        <f t="shared" si="30"/>
        <v>38103</v>
      </c>
      <c r="S72" s="81" t="s">
        <v>116</v>
      </c>
      <c r="T72" s="152" t="s">
        <v>4</v>
      </c>
      <c r="U72" s="177" t="s">
        <v>94</v>
      </c>
      <c r="V72" s="12" t="s">
        <v>8</v>
      </c>
      <c r="W72" s="222" t="s">
        <v>72</v>
      </c>
      <c r="X72" s="15" t="s">
        <v>9</v>
      </c>
      <c r="Y72" s="182"/>
      <c r="Z72" s="207">
        <f t="shared" si="25"/>
        <v>72</v>
      </c>
    </row>
    <row r="73" spans="1:28" ht="16" thickBot="1" x14ac:dyDescent="0.4">
      <c r="A73" s="210">
        <f t="shared" si="26"/>
        <v>73</v>
      </c>
      <c r="B73" s="115" t="str">
        <f>B8</f>
        <v>Week Date to</v>
      </c>
      <c r="C73" s="232">
        <f>C8</f>
        <v>38004</v>
      </c>
      <c r="D73" s="232">
        <f t="shared" ref="D73:R73" si="31">D8</f>
        <v>38011</v>
      </c>
      <c r="E73" s="232">
        <f t="shared" si="31"/>
        <v>38018</v>
      </c>
      <c r="F73" s="232">
        <f t="shared" si="31"/>
        <v>38025</v>
      </c>
      <c r="G73" s="232">
        <f t="shared" si="31"/>
        <v>38032</v>
      </c>
      <c r="H73" s="232">
        <f t="shared" si="31"/>
        <v>38039</v>
      </c>
      <c r="I73" s="232">
        <f t="shared" si="31"/>
        <v>38046</v>
      </c>
      <c r="J73" s="232">
        <f t="shared" si="31"/>
        <v>38053</v>
      </c>
      <c r="K73" s="232">
        <f t="shared" si="31"/>
        <v>38060</v>
      </c>
      <c r="L73" s="232">
        <f t="shared" si="31"/>
        <v>38067</v>
      </c>
      <c r="M73" s="232">
        <f t="shared" si="31"/>
        <v>38074</v>
      </c>
      <c r="N73" s="232">
        <f t="shared" si="31"/>
        <v>38081</v>
      </c>
      <c r="O73" s="232">
        <f t="shared" si="31"/>
        <v>38088</v>
      </c>
      <c r="P73" s="232">
        <f t="shared" si="31"/>
        <v>38095</v>
      </c>
      <c r="Q73" s="232">
        <f t="shared" si="31"/>
        <v>38102</v>
      </c>
      <c r="R73" s="232">
        <f t="shared" si="31"/>
        <v>38109</v>
      </c>
      <c r="S73" s="116" t="s">
        <v>117</v>
      </c>
      <c r="T73" s="7" t="s">
        <v>7</v>
      </c>
      <c r="U73" s="11" t="s">
        <v>127</v>
      </c>
      <c r="V73" s="98" t="s">
        <v>72</v>
      </c>
      <c r="W73" s="224" t="s">
        <v>11</v>
      </c>
      <c r="X73" s="15" t="s">
        <v>12</v>
      </c>
      <c r="Y73" s="246"/>
      <c r="Z73" s="207">
        <f t="shared" si="25"/>
        <v>73</v>
      </c>
    </row>
    <row r="74" spans="1:28" s="86" customFormat="1" ht="16.5" thickTop="1" thickBot="1" x14ac:dyDescent="0.4">
      <c r="A74" s="210">
        <f t="shared" si="26"/>
        <v>74</v>
      </c>
      <c r="B74" s="211" t="str">
        <f>B1</f>
        <v>B</v>
      </c>
      <c r="C74" s="212" t="str">
        <f t="shared" ref="C74:X74" si="32">C1</f>
        <v>C</v>
      </c>
      <c r="D74" s="212" t="str">
        <f t="shared" si="32"/>
        <v>D</v>
      </c>
      <c r="E74" s="212" t="str">
        <f t="shared" si="32"/>
        <v>E</v>
      </c>
      <c r="F74" s="212" t="str">
        <f t="shared" si="32"/>
        <v>F</v>
      </c>
      <c r="G74" s="212" t="str">
        <f t="shared" si="32"/>
        <v>G</v>
      </c>
      <c r="H74" s="212" t="str">
        <f t="shared" si="32"/>
        <v>H</v>
      </c>
      <c r="I74" s="212" t="str">
        <f t="shared" si="32"/>
        <v>I</v>
      </c>
      <c r="J74" s="212" t="str">
        <f t="shared" si="32"/>
        <v>J</v>
      </c>
      <c r="K74" s="212" t="str">
        <f t="shared" si="32"/>
        <v>K</v>
      </c>
      <c r="L74" s="212" t="str">
        <f t="shared" si="32"/>
        <v>L</v>
      </c>
      <c r="M74" s="212" t="str">
        <f t="shared" si="32"/>
        <v>M</v>
      </c>
      <c r="N74" s="212" t="str">
        <f t="shared" si="32"/>
        <v>N</v>
      </c>
      <c r="O74" s="212" t="str">
        <f t="shared" si="32"/>
        <v>O</v>
      </c>
      <c r="P74" s="212" t="str">
        <f t="shared" si="32"/>
        <v>P</v>
      </c>
      <c r="Q74" s="212" t="str">
        <f t="shared" si="32"/>
        <v>Q</v>
      </c>
      <c r="R74" s="212" t="str">
        <f t="shared" si="32"/>
        <v>R</v>
      </c>
      <c r="S74" s="212" t="str">
        <f t="shared" si="32"/>
        <v>T</v>
      </c>
      <c r="T74" s="212" t="str">
        <f t="shared" si="32"/>
        <v>U</v>
      </c>
      <c r="U74" s="212" t="str">
        <f t="shared" si="32"/>
        <v>V</v>
      </c>
      <c r="V74" s="212" t="str">
        <f t="shared" si="32"/>
        <v>W</v>
      </c>
      <c r="W74" s="212" t="str">
        <f t="shared" si="32"/>
        <v>X</v>
      </c>
      <c r="X74" s="212" t="str">
        <f t="shared" si="32"/>
        <v>Y</v>
      </c>
      <c r="Y74" s="213" t="str">
        <f>Y1</f>
        <v>Z</v>
      </c>
      <c r="Z74" s="208">
        <f>A74</f>
        <v>74</v>
      </c>
    </row>
    <row r="75" spans="1:28" ht="16" thickTop="1" x14ac:dyDescent="0.35">
      <c r="A75" s="210">
        <f t="shared" si="26"/>
        <v>75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167" t="s">
        <v>91</v>
      </c>
      <c r="T75" s="168"/>
      <c r="U75" s="168"/>
      <c r="V75" s="168"/>
      <c r="W75" s="169"/>
      <c r="X75" s="168"/>
      <c r="Y75" s="183"/>
      <c r="Z75" s="208">
        <f t="shared" si="25"/>
        <v>75</v>
      </c>
    </row>
    <row r="76" spans="1:28" x14ac:dyDescent="0.35">
      <c r="A76" s="210">
        <f t="shared" si="26"/>
        <v>76</v>
      </c>
      <c r="B76" s="171" t="s">
        <v>38</v>
      </c>
      <c r="C76" s="83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170" t="s">
        <v>92</v>
      </c>
      <c r="T76" s="31"/>
      <c r="U76" s="31"/>
      <c r="V76" s="31"/>
      <c r="W76" s="82"/>
      <c r="X76" s="31"/>
      <c r="Y76" s="183"/>
      <c r="Z76" s="206">
        <f t="shared" si="25"/>
        <v>76</v>
      </c>
    </row>
    <row r="77" spans="1:28" ht="16" thickBot="1" x14ac:dyDescent="0.4">
      <c r="A77" s="210">
        <f t="shared" si="26"/>
        <v>77</v>
      </c>
      <c r="B77" s="172" t="s">
        <v>39</v>
      </c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170" t="s">
        <v>93</v>
      </c>
      <c r="T77" s="31"/>
      <c r="U77" s="31"/>
      <c r="V77" s="31"/>
      <c r="W77" s="82"/>
      <c r="X77" s="31"/>
      <c r="Y77" s="245"/>
      <c r="Z77" s="209">
        <f t="shared" si="25"/>
        <v>77</v>
      </c>
    </row>
    <row r="78" spans="1:28" ht="16" thickTop="1" x14ac:dyDescent="0.35">
      <c r="A78" s="210">
        <f t="shared" si="26"/>
        <v>78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Z78" s="198"/>
      <c r="AA78" t="s">
        <v>119</v>
      </c>
      <c r="AB78" t="s">
        <v>118</v>
      </c>
    </row>
    <row r="79" spans="1:28" x14ac:dyDescent="0.35">
      <c r="W79" s="84"/>
    </row>
    <row r="81" spans="2:2" x14ac:dyDescent="0.35">
      <c r="B81" s="192"/>
    </row>
  </sheetData>
  <phoneticPr fontId="0" type="noConversion"/>
  <conditionalFormatting sqref="E70:R71">
    <cfRule type="cellIs" priority="1" stopIfTrue="1" operator="greaterThan">
      <formula>$E$70</formula>
    </cfRule>
    <cfRule type="cellIs" priority="2" stopIfTrue="1" operator="lessThan">
      <formula>$E$70</formula>
    </cfRule>
  </conditionalFormatting>
  <pageMargins left="0.2" right="0.2" top="0.47" bottom="0.47" header="0.5" footer="0.5"/>
  <pageSetup scale="36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</dc:creator>
  <cp:lastModifiedBy>Carina Negreanu</cp:lastModifiedBy>
  <cp:lastPrinted>2001-08-13T01:28:44Z</cp:lastPrinted>
  <dcterms:created xsi:type="dcterms:W3CDTF">2000-10-02T17:52:54Z</dcterms:created>
  <dcterms:modified xsi:type="dcterms:W3CDTF">2020-01-27T12:03:19Z</dcterms:modified>
</cp:coreProperties>
</file>