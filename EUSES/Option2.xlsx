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3E4FFB-7BE5-41A9-B3D9-F0F27389DE49}" xr6:coauthVersionLast="45" xr6:coauthVersionMax="45" xr10:uidLastSave="{00000000-0000-0000-0000-000000000000}"/>
  <bookViews>
    <workbookView xWindow="2280" yWindow="2280" windowWidth="28800" windowHeight="15460"/>
  </bookViews>
  <sheets>
    <sheet name="BS" sheetId="1" r:id="rId1"/>
    <sheet name="Currency" sheetId="2" r:id="rId2"/>
    <sheet name="Commodities" sheetId="3" r:id="rId3"/>
    <sheet name="Hedge" sheetId="4" r:id="rId4"/>
    <sheet name="Chart1" sheetId="6" r:id="rId5"/>
  </sheets>
  <calcPr calcId="0"/>
</workbook>
</file>

<file path=xl/calcChain.xml><?xml version="1.0" encoding="utf-8"?>
<calcChain xmlns="http://schemas.openxmlformats.org/spreadsheetml/2006/main">
  <c r="E5" i="1" l="1"/>
  <c r="H5" i="1"/>
  <c r="E8" i="1"/>
  <c r="H8" i="1"/>
  <c r="E10" i="1"/>
  <c r="F10" i="1"/>
  <c r="B11" i="1"/>
  <c r="E11" i="1"/>
  <c r="B14" i="1"/>
  <c r="B15" i="1"/>
  <c r="E15" i="1"/>
  <c r="F15" i="1"/>
  <c r="B16" i="1"/>
  <c r="E16" i="1"/>
  <c r="B24" i="1"/>
  <c r="E24" i="1"/>
  <c r="B25" i="1"/>
  <c r="E25" i="1"/>
  <c r="E26" i="1"/>
  <c r="B27" i="1"/>
  <c r="B28" i="1"/>
  <c r="E28" i="1"/>
  <c r="H28" i="1"/>
  <c r="B29" i="1"/>
  <c r="E29" i="1"/>
  <c r="H29" i="1"/>
  <c r="E7" i="3"/>
  <c r="G7" i="3"/>
  <c r="E8" i="3"/>
  <c r="G8" i="3"/>
  <c r="E10" i="3"/>
  <c r="G10" i="3"/>
  <c r="B11" i="3"/>
  <c r="E4" i="2"/>
  <c r="E5" i="2"/>
  <c r="E6" i="2"/>
  <c r="B11" i="2"/>
  <c r="E11" i="2"/>
  <c r="G11" i="2"/>
  <c r="E13" i="2"/>
  <c r="G13" i="2"/>
  <c r="E14" i="2"/>
  <c r="G14" i="2"/>
  <c r="E4" i="4"/>
  <c r="E5" i="4"/>
  <c r="E6" i="4"/>
  <c r="B7" i="4"/>
  <c r="E7" i="4"/>
  <c r="E8" i="4"/>
  <c r="G10" i="4"/>
  <c r="B11" i="4"/>
  <c r="E11" i="4"/>
  <c r="G11" i="4"/>
  <c r="E13" i="4"/>
  <c r="G13" i="4"/>
  <c r="B14" i="4"/>
  <c r="E14" i="4"/>
  <c r="G14" i="4"/>
  <c r="B15" i="4"/>
  <c r="E15" i="4"/>
  <c r="G15" i="4"/>
  <c r="B16" i="4"/>
  <c r="E16" i="4"/>
  <c r="G16" i="4"/>
  <c r="E17" i="4"/>
  <c r="G17" i="4"/>
  <c r="E22" i="4"/>
  <c r="E23" i="4"/>
  <c r="E25" i="4"/>
  <c r="H25" i="4"/>
  <c r="E26" i="4"/>
  <c r="H26" i="4"/>
  <c r="E27" i="4"/>
  <c r="H27" i="4"/>
  <c r="E29" i="4"/>
  <c r="H29" i="4"/>
  <c r="H35" i="4"/>
  <c r="E36" i="4"/>
  <c r="E37" i="4"/>
  <c r="E38" i="4"/>
  <c r="B40" i="4"/>
  <c r="E41" i="4"/>
  <c r="H41" i="4"/>
  <c r="B42" i="4"/>
  <c r="E42" i="4"/>
  <c r="H42" i="4"/>
  <c r="B43" i="4"/>
  <c r="E43" i="4"/>
  <c r="H43" i="4"/>
  <c r="B44" i="4"/>
  <c r="E44" i="4"/>
  <c r="H44" i="4"/>
  <c r="B45" i="4"/>
  <c r="B46" i="4"/>
  <c r="E46" i="4"/>
  <c r="H46" i="4"/>
  <c r="E51" i="4"/>
  <c r="F51" i="4"/>
</calcChain>
</file>

<file path=xl/sharedStrings.xml><?xml version="1.0" encoding="utf-8"?>
<sst xmlns="http://schemas.openxmlformats.org/spreadsheetml/2006/main" count="140" uniqueCount="72">
  <si>
    <t>Option2.XLS</t>
  </si>
  <si>
    <t>Black-Scholes Formula (extended to allow for continuous dividends)</t>
  </si>
  <si>
    <t>Share price (S)</t>
  </si>
  <si>
    <t>Call</t>
  </si>
  <si>
    <t>Put</t>
  </si>
  <si>
    <t>Exercise price (X)</t>
  </si>
  <si>
    <t>BS value</t>
  </si>
  <si>
    <t>Int rate-cont (r)</t>
  </si>
  <si>
    <t>iopt</t>
  </si>
  <si>
    <t>Dividend yield (q)</t>
  </si>
  <si>
    <t>BSvalue via fn</t>
  </si>
  <si>
    <t>Time now (0, years)</t>
  </si>
  <si>
    <t>via fn</t>
  </si>
  <si>
    <t>Time maturity (T, years)</t>
  </si>
  <si>
    <r>
      <t>d</t>
    </r>
    <r>
      <rPr>
        <vertAlign val="subscript"/>
        <sz val="10"/>
        <rFont val="Times New Roman"/>
        <family val="1"/>
      </rPr>
      <t>1</t>
    </r>
  </si>
  <si>
    <t>Option life (T, years)</t>
  </si>
  <si>
    <r>
      <t>N (d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</rPr>
      <t>)</t>
    </r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</si>
  <si>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</si>
  <si>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r>
      <t>r-q+0.5*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^2</t>
    </r>
  </si>
  <si>
    <r>
      <t>Exp (-rT</t>
    </r>
    <r>
      <rPr>
        <sz val="10"/>
        <rFont val="Times New Roman"/>
      </rPr>
      <t>)</t>
    </r>
  </si>
  <si>
    <r>
      <t>d</t>
    </r>
    <r>
      <rPr>
        <vertAlign val="subscript"/>
        <sz val="10"/>
        <rFont val="Times New Roman"/>
        <family val="1"/>
      </rPr>
      <t>2</t>
    </r>
  </si>
  <si>
    <r>
      <t>Exp (-qT</t>
    </r>
    <r>
      <rPr>
        <sz val="10"/>
        <rFont val="Times New Roman"/>
      </rPr>
      <t>)</t>
    </r>
  </si>
  <si>
    <r>
      <t>N (d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</rPr>
      <t>)</t>
    </r>
  </si>
  <si>
    <t>Alternative approach (LogNormal)</t>
  </si>
  <si>
    <t>Share price (S) is lognormally distributed</t>
  </si>
  <si>
    <t>Therefore, lnS is Normal with mean M and variance V</t>
  </si>
  <si>
    <t>M</t>
  </si>
  <si>
    <t>V</t>
  </si>
  <si>
    <t>Exp (M+0.5V)</t>
  </si>
  <si>
    <t>M1</t>
  </si>
  <si>
    <t>M2</t>
  </si>
  <si>
    <t>LN Option value</t>
  </si>
  <si>
    <t>V2</t>
  </si>
  <si>
    <t>Valuing Options on Currency Forwards (As shares with a continuous dividend yield)</t>
  </si>
  <si>
    <t>Spot rate (S)</t>
  </si>
  <si>
    <t>Forward rate (F)</t>
  </si>
  <si>
    <t>Exercise rate (X)</t>
  </si>
  <si>
    <t>Dom Int rate-cont (r)</t>
  </si>
  <si>
    <t>Fgn Int rate (R)</t>
  </si>
  <si>
    <t>Garman-Kohlhagen</t>
  </si>
  <si>
    <t>Black</t>
  </si>
  <si>
    <t>Black via fn</t>
  </si>
  <si>
    <t>Valuing Options on Commodity Futures (As shares with a continuous dividend yield)</t>
  </si>
  <si>
    <t>Futures price (F)</t>
  </si>
  <si>
    <t>BS Value</t>
  </si>
  <si>
    <t>Option Greeks and Hedging</t>
  </si>
  <si>
    <r>
      <t>N' (d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</rPr>
      <t>)</t>
    </r>
  </si>
  <si>
    <t>Int rate - annualised</t>
  </si>
  <si>
    <t xml:space="preserve">BSvalue </t>
  </si>
  <si>
    <t>delta</t>
  </si>
  <si>
    <t>gamma</t>
  </si>
  <si>
    <t>rho</t>
  </si>
  <si>
    <t>theta</t>
  </si>
  <si>
    <t>vega</t>
  </si>
  <si>
    <t>Creating a delta-neutral portfolio</t>
  </si>
  <si>
    <t>today</t>
  </si>
  <si>
    <t>next week</t>
  </si>
  <si>
    <t>n1</t>
  </si>
  <si>
    <t>S1</t>
  </si>
  <si>
    <t>h</t>
  </si>
  <si>
    <t>B</t>
  </si>
  <si>
    <t>-1 call</t>
  </si>
  <si>
    <t>h shares</t>
  </si>
  <si>
    <t>cash</t>
  </si>
  <si>
    <t>total</t>
  </si>
  <si>
    <t>Creating a delta-gamma neutral position</t>
  </si>
  <si>
    <t>Call 2</t>
  </si>
  <si>
    <t>Exercise price</t>
  </si>
  <si>
    <t>k</t>
  </si>
  <si>
    <t>Maturity</t>
  </si>
  <si>
    <t>k calls</t>
  </si>
  <si>
    <t>Comparison of two hedge portfolios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</si>
</sst>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6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Symbol"/>
      <family val="1"/>
      <charset val="2"/>
    </font>
    <font>
      <sz val="10"/>
      <name val="Times New Roman"/>
      <family val="1"/>
    </font>
    <font>
      <vertAlign val="sub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2" fontId="1" fillId="0" borderId="0" xfId="0" applyNumberFormat="1" applyFont="1"/>
    <xf numFmtId="172" fontId="2" fillId="0" borderId="0" xfId="0" applyNumberFormat="1" applyFont="1"/>
    <xf numFmtId="0" fontId="0" fillId="0" borderId="0" xfId="0" applyAlignment="1">
      <alignment horizontal="left"/>
    </xf>
    <xf numFmtId="10" fontId="1" fillId="0" borderId="0" xfId="0" applyNumberFormat="1" applyFont="1"/>
    <xf numFmtId="10" fontId="2" fillId="0" borderId="0" xfId="1" applyNumberFormat="1"/>
    <xf numFmtId="172" fontId="1" fillId="0" borderId="0" xfId="0" applyNumberFormat="1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Continuous"/>
    </xf>
    <xf numFmtId="2" fontId="2" fillId="0" borderId="0" xfId="0" applyNumberFormat="1" applyFont="1"/>
    <xf numFmtId="17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Hedge performance </a:t>
            </a:r>
          </a:p>
        </c:rich>
      </c:tx>
      <c:layout>
        <c:manualLayout>
          <c:xMode val="edge"/>
          <c:yMode val="edge"/>
          <c:x val="0.4282758620689655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931034482758621E-2"/>
          <c:y val="0.1425339366515837"/>
          <c:w val="0.8124137931034483"/>
          <c:h val="0.74547511312217196"/>
        </c:manualLayout>
      </c:layout>
      <c:lineChart>
        <c:grouping val="standard"/>
        <c:varyColors val="0"/>
        <c:ser>
          <c:idx val="0"/>
          <c:order val="0"/>
          <c:tx>
            <c:v>Delta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Hedge!$D$52:$D$62</c:f>
              <c:numCache>
                <c:formatCode>General</c:formatCode>
                <c:ptCount val="11"/>
                <c:pt idx="0">
                  <c:v>90</c:v>
                </c:pt>
                <c:pt idx="1">
                  <c:v>92</c:v>
                </c:pt>
                <c:pt idx="2">
                  <c:v>94</c:v>
                </c:pt>
                <c:pt idx="3">
                  <c:v>96</c:v>
                </c:pt>
                <c:pt idx="4">
                  <c:v>98</c:v>
                </c:pt>
                <c:pt idx="5">
                  <c:v>100</c:v>
                </c:pt>
                <c:pt idx="6">
                  <c:v>102</c:v>
                </c:pt>
                <c:pt idx="7">
                  <c:v>104</c:v>
                </c:pt>
                <c:pt idx="8">
                  <c:v>106</c:v>
                </c:pt>
                <c:pt idx="9">
                  <c:v>108</c:v>
                </c:pt>
                <c:pt idx="10">
                  <c:v>110</c:v>
                </c:pt>
              </c:numCache>
            </c:numRef>
          </c:cat>
          <c:val>
            <c:numRef>
              <c:f>Hedge!$E$52:$E$62</c:f>
              <c:numCache>
                <c:formatCode>0.00</c:formatCode>
                <c:ptCount val="11"/>
                <c:pt idx="0">
                  <c:v>-1.2989948900999266</c:v>
                </c:pt>
                <c:pt idx="1">
                  <c:v>-0.79501731463910374</c:v>
                </c:pt>
                <c:pt idx="2">
                  <c:v>-0.41405520986499766</c:v>
                </c:pt>
                <c:pt idx="3">
                  <c:v>-0.15190618654768429</c:v>
                </c:pt>
                <c:pt idx="4">
                  <c:v>-1.9338251434817266E-3</c:v>
                </c:pt>
                <c:pt idx="5">
                  <c:v>4.4361810814173452E-2</c:v>
                </c:pt>
                <c:pt idx="6">
                  <c:v>-3.3037500834396383E-3</c:v>
                </c:pt>
                <c:pt idx="7">
                  <c:v>-0.13455864539289308</c:v>
                </c:pt>
                <c:pt idx="8">
                  <c:v>-0.33888462845343525</c:v>
                </c:pt>
                <c:pt idx="9">
                  <c:v>-0.60604205215793883</c:v>
                </c:pt>
                <c:pt idx="10">
                  <c:v>-0.92639395558042992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9-434E-A686-68144D6B1BD0}"/>
            </c:ext>
          </c:extLst>
        </c:ser>
        <c:ser>
          <c:idx val="1"/>
          <c:order val="1"/>
          <c:tx>
            <c:v>Delta-Gamma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Hedge!$D$52:$D$62</c:f>
              <c:numCache>
                <c:formatCode>General</c:formatCode>
                <c:ptCount val="11"/>
                <c:pt idx="0">
                  <c:v>90</c:v>
                </c:pt>
                <c:pt idx="1">
                  <c:v>92</c:v>
                </c:pt>
                <c:pt idx="2">
                  <c:v>94</c:v>
                </c:pt>
                <c:pt idx="3">
                  <c:v>96</c:v>
                </c:pt>
                <c:pt idx="4">
                  <c:v>98</c:v>
                </c:pt>
                <c:pt idx="5">
                  <c:v>100</c:v>
                </c:pt>
                <c:pt idx="6">
                  <c:v>102</c:v>
                </c:pt>
                <c:pt idx="7">
                  <c:v>104</c:v>
                </c:pt>
                <c:pt idx="8">
                  <c:v>106</c:v>
                </c:pt>
                <c:pt idx="9">
                  <c:v>108</c:v>
                </c:pt>
                <c:pt idx="10">
                  <c:v>110</c:v>
                </c:pt>
              </c:numCache>
            </c:numRef>
          </c:cat>
          <c:val>
            <c:numRef>
              <c:f>Hedge!$F$52:$F$62</c:f>
              <c:numCache>
                <c:formatCode>0.00</c:formatCode>
                <c:ptCount val="11"/>
                <c:pt idx="0">
                  <c:v>-7.8429717551690814E-2</c:v>
                </c:pt>
                <c:pt idx="1">
                  <c:v>-3.2696743734963007E-2</c:v>
                </c:pt>
                <c:pt idx="2">
                  <c:v>-5.5409730173749949E-3</c:v>
                </c:pt>
                <c:pt idx="3">
                  <c:v>6.6822399899688634E-3</c:v>
                </c:pt>
                <c:pt idx="4">
                  <c:v>8.4039381342071451E-3</c:v>
                </c:pt>
                <c:pt idx="5">
                  <c:v>4.6697068464212066E-3</c:v>
                </c:pt>
                <c:pt idx="6">
                  <c:v>5.6562305388041523E-4</c:v>
                </c:pt>
                <c:pt idx="7">
                  <c:v>9.051127606651832E-4</c:v>
                </c:pt>
                <c:pt idx="8">
                  <c:v>1.0021021085814041E-2</c:v>
                </c:pt>
                <c:pt idx="9">
                  <c:v>3.1565375363435066E-2</c:v>
                </c:pt>
                <c:pt idx="10">
                  <c:v>6.839679064261972E-2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9-434E-A686-68144D6B1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016175"/>
        <c:axId val="1"/>
      </c:lineChart>
      <c:catAx>
        <c:axId val="862016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Share price</a:t>
                </a:r>
              </a:p>
            </c:rich>
          </c:tx>
          <c:layout>
            <c:manualLayout>
              <c:xMode val="edge"/>
              <c:yMode val="edge"/>
              <c:x val="0.44896551724137929"/>
              <c:y val="0.908371040723981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Hedge value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524886877828054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201617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551724137931032"/>
          <c:y val="0.95248868778280538"/>
          <c:w val="0.28965517241379313"/>
          <c:h val="3.95927601809954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8FC87-82F6-450F-A2A0-06A95F2F31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abSelected="1" workbookViewId="0"/>
  </sheetViews>
  <sheetFormatPr defaultRowHeight="13" x14ac:dyDescent="0.3"/>
  <cols>
    <col min="1" max="1" width="22.296875" customWidth="1"/>
    <col min="4" max="4" width="15.796875" customWidth="1"/>
  </cols>
  <sheetData>
    <row r="1" spans="1:8" x14ac:dyDescent="0.3">
      <c r="A1" s="2" t="s">
        <v>0</v>
      </c>
    </row>
    <row r="2" spans="1:8" x14ac:dyDescent="0.3">
      <c r="A2" s="2" t="s">
        <v>1</v>
      </c>
    </row>
    <row r="4" spans="1:8" x14ac:dyDescent="0.3">
      <c r="A4" s="4" t="s">
        <v>2</v>
      </c>
      <c r="B4" s="5">
        <v>100</v>
      </c>
      <c r="E4" s="11" t="s">
        <v>3</v>
      </c>
      <c r="H4" s="11" t="s">
        <v>4</v>
      </c>
    </row>
    <row r="5" spans="1:8" x14ac:dyDescent="0.3">
      <c r="A5" s="7" t="s">
        <v>5</v>
      </c>
      <c r="B5" s="5">
        <v>95</v>
      </c>
      <c r="D5" t="s">
        <v>6</v>
      </c>
      <c r="E5" s="12">
        <f>B4*B16*E11-B5*B15*E16</f>
        <v>9.7257629574651006</v>
      </c>
      <c r="H5" s="12">
        <f>B4*B16*(E11-1)-B5*B15*(E16-1)</f>
        <v>2.4895657166295493</v>
      </c>
    </row>
    <row r="6" spans="1:8" x14ac:dyDescent="0.3">
      <c r="A6" s="4" t="s">
        <v>7</v>
      </c>
      <c r="B6" s="8">
        <v>0.08</v>
      </c>
    </row>
    <row r="7" spans="1:8" x14ac:dyDescent="0.3">
      <c r="D7" t="s">
        <v>8</v>
      </c>
      <c r="E7">
        <v>1</v>
      </c>
      <c r="H7">
        <v>-1</v>
      </c>
    </row>
    <row r="8" spans="1:8" x14ac:dyDescent="0.3">
      <c r="A8" s="4" t="s">
        <v>9</v>
      </c>
      <c r="B8" s="8">
        <v>0.03</v>
      </c>
      <c r="D8" s="4" t="s">
        <v>10</v>
      </c>
      <c r="E8" s="12">
        <f>BSOptionValue(E7,B4,B5,B6,B8,B11,B12)</f>
        <v>9.7257629574651006</v>
      </c>
      <c r="H8" s="12">
        <f>BSOptionValue(H7,B4,B5,B6,B8,B11,B12)</f>
        <v>2.4895657166295493</v>
      </c>
    </row>
    <row r="9" spans="1:8" x14ac:dyDescent="0.3">
      <c r="A9" s="4" t="s">
        <v>11</v>
      </c>
      <c r="B9" s="6">
        <v>0</v>
      </c>
      <c r="F9" s="3" t="s">
        <v>12</v>
      </c>
    </row>
    <row r="10" spans="1:8" ht="15" x14ac:dyDescent="0.4">
      <c r="A10" s="4" t="s">
        <v>13</v>
      </c>
      <c r="B10" s="10">
        <v>0.5</v>
      </c>
      <c r="D10" s="4" t="s">
        <v>14</v>
      </c>
      <c r="E10" s="6">
        <f>(LN(B4/B5)+B14*B11)/(B12*SQRT(B11))</f>
        <v>0.61018573632363982</v>
      </c>
      <c r="F10" s="6">
        <f>BSDOne(B4,B5,B6,B8,B11,B12)</f>
        <v>0.61018573632363982</v>
      </c>
    </row>
    <row r="11" spans="1:8" ht="15" x14ac:dyDescent="0.4">
      <c r="A11" s="4" t="s">
        <v>15</v>
      </c>
      <c r="B11" s="6">
        <f>B10-B9</f>
        <v>0.5</v>
      </c>
      <c r="D11" s="4" t="s">
        <v>16</v>
      </c>
      <c r="E11" s="6">
        <f>NORMSDIST(E10)</f>
        <v>0.7291306676505882</v>
      </c>
    </row>
    <row r="12" spans="1:8" x14ac:dyDescent="0.3">
      <c r="A12" s="4" t="s">
        <v>17</v>
      </c>
      <c r="B12" s="8">
        <v>0.2</v>
      </c>
    </row>
    <row r="13" spans="1:8" x14ac:dyDescent="0.3">
      <c r="D13" s="4"/>
      <c r="E13" s="6"/>
      <c r="F13" s="6"/>
    </row>
    <row r="14" spans="1:8" x14ac:dyDescent="0.3">
      <c r="A14" s="4" t="s">
        <v>18</v>
      </c>
      <c r="B14" s="6">
        <f>B6-B8+0.5*B12^2</f>
        <v>7.0000000000000007E-2</v>
      </c>
    </row>
    <row r="15" spans="1:8" ht="15" x14ac:dyDescent="0.4">
      <c r="A15" s="4" t="s">
        <v>19</v>
      </c>
      <c r="B15" s="6">
        <f>EXP(-B6*B11)</f>
        <v>0.96078943915232318</v>
      </c>
      <c r="D15" s="4" t="s">
        <v>20</v>
      </c>
      <c r="E15" s="6">
        <f>E10-B12*SQRT(B11)</f>
        <v>0.46876438008633026</v>
      </c>
      <c r="F15" s="6">
        <f>BSDTwo(B4,B5,B6,B8,B11,B12)</f>
        <v>0.46876438008633026</v>
      </c>
    </row>
    <row r="16" spans="1:8" ht="15" x14ac:dyDescent="0.4">
      <c r="A16" s="4" t="s">
        <v>21</v>
      </c>
      <c r="B16" s="6">
        <f>EXP(-B8*B11)</f>
        <v>0.98511193960306265</v>
      </c>
      <c r="D16" s="4" t="s">
        <v>22</v>
      </c>
      <c r="E16" s="6">
        <f>NORMSDIST(E15)</f>
        <v>0.68038095752264316</v>
      </c>
    </row>
    <row r="19" spans="1:8" x14ac:dyDescent="0.3">
      <c r="A19" s="2" t="s">
        <v>23</v>
      </c>
    </row>
    <row r="21" spans="1:8" x14ac:dyDescent="0.3">
      <c r="A21" t="s">
        <v>24</v>
      </c>
    </row>
    <row r="22" spans="1:8" x14ac:dyDescent="0.3">
      <c r="A22" t="s">
        <v>25</v>
      </c>
    </row>
    <row r="24" spans="1:8" ht="15" x14ac:dyDescent="0.4">
      <c r="A24" t="s">
        <v>26</v>
      </c>
      <c r="B24" s="6">
        <f>LN(B4)+(B6-B8-0.5*B12^2)*B11</f>
        <v>4.6201701859880915</v>
      </c>
      <c r="D24" s="4" t="s">
        <v>14</v>
      </c>
      <c r="E24" s="6">
        <f>(B24+B25-LN(B5))/SQRT(B25)</f>
        <v>0.61018573632363837</v>
      </c>
    </row>
    <row r="25" spans="1:8" ht="15" x14ac:dyDescent="0.4">
      <c r="A25" t="s">
        <v>27</v>
      </c>
      <c r="B25" s="6">
        <f>(B12^2)*B11</f>
        <v>2.0000000000000004E-2</v>
      </c>
      <c r="D25" s="4" t="s">
        <v>20</v>
      </c>
      <c r="E25" s="16">
        <f>E24-SQRT(B25)</f>
        <v>0.46876438008632881</v>
      </c>
    </row>
    <row r="26" spans="1:8" x14ac:dyDescent="0.3">
      <c r="D26" t="s">
        <v>28</v>
      </c>
      <c r="E26" s="12">
        <f>EXP(B24+0.5*B25)</f>
        <v>102.53151205244288</v>
      </c>
    </row>
    <row r="27" spans="1:8" x14ac:dyDescent="0.3">
      <c r="A27" t="s">
        <v>29</v>
      </c>
      <c r="B27" s="12">
        <f>EXP(B24+0.5*B25)</f>
        <v>102.53151205244288</v>
      </c>
    </row>
    <row r="28" spans="1:8" x14ac:dyDescent="0.3">
      <c r="A28" t="s">
        <v>30</v>
      </c>
      <c r="B28" s="12">
        <f>EXP(2*B24+2*B25)</f>
        <v>10725.081812542157</v>
      </c>
      <c r="D28" s="4" t="s">
        <v>31</v>
      </c>
      <c r="E28" s="12">
        <f>EXP(-$B$6*$B$11)*E7*($E$26*NORMSDIST(E7*$E$24)-$B$5*NORMSDIST(E7*$E$25))</f>
        <v>9.7257629574650988</v>
      </c>
      <c r="F28" s="12"/>
      <c r="H28" s="12">
        <f>EXP(-$B$6*$B$11)*H7*($E$26*NORMSDIST(H7*$E$24)-$B$5*NORMSDIST(H7*$E$25))</f>
        <v>2.4895657166295373</v>
      </c>
    </row>
    <row r="29" spans="1:8" x14ac:dyDescent="0.3">
      <c r="A29" t="s">
        <v>32</v>
      </c>
      <c r="B29" s="12">
        <f>B28-B27^2</f>
        <v>212.37084878191854</v>
      </c>
      <c r="D29" t="s">
        <v>12</v>
      </c>
      <c r="E29" s="12">
        <f>LNOptionValue0(E7,$B$24,$B$25,$B$5,$B$6,$B$11)</f>
        <v>9.7257629574650988</v>
      </c>
      <c r="H29" s="12">
        <f>LNOptionValue0(H7,$B$24,$B$25,$B$5,$B$6,$B$11)</f>
        <v>2.489565716629544</v>
      </c>
    </row>
  </sheetData>
  <printOptions headings="1" gridLines="1"/>
  <pageMargins left="0.75" right="0.75" top="1" bottom="1" header="0.5" footer="0.5"/>
  <pageSetup paperSize="9" scale="98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/>
  </sheetViews>
  <sheetFormatPr defaultRowHeight="13" x14ac:dyDescent="0.3"/>
  <cols>
    <col min="1" max="1" width="22.296875" customWidth="1"/>
    <col min="4" max="4" width="18.296875" customWidth="1"/>
  </cols>
  <sheetData>
    <row r="1" spans="1:7" x14ac:dyDescent="0.3">
      <c r="A1" s="2" t="s">
        <v>0</v>
      </c>
    </row>
    <row r="2" spans="1:7" x14ac:dyDescent="0.3">
      <c r="A2" s="2" t="s">
        <v>33</v>
      </c>
    </row>
    <row r="4" spans="1:7" x14ac:dyDescent="0.3">
      <c r="A4" s="4" t="s">
        <v>34</v>
      </c>
      <c r="B4" s="10">
        <v>1.6</v>
      </c>
      <c r="D4" t="s">
        <v>35</v>
      </c>
      <c r="E4" s="6">
        <f>B4*EXP((B6-B8)*B11)</f>
        <v>1.6323221440428093</v>
      </c>
    </row>
    <row r="5" spans="1:7" ht="15" x14ac:dyDescent="0.4">
      <c r="A5" s="4" t="s">
        <v>36</v>
      </c>
      <c r="B5" s="10">
        <v>1.8</v>
      </c>
      <c r="D5" s="4" t="s">
        <v>14</v>
      </c>
      <c r="E5" s="6">
        <f>(LN(E4/B5)+0.5*(B12^2)*B11)/(B12*SQRT(B11))</f>
        <v>-1.3475056128933665</v>
      </c>
    </row>
    <row r="6" spans="1:7" ht="15" x14ac:dyDescent="0.4">
      <c r="A6" s="4" t="s">
        <v>37</v>
      </c>
      <c r="B6" s="8">
        <v>0.08</v>
      </c>
      <c r="D6" s="4" t="s">
        <v>20</v>
      </c>
      <c r="E6" s="6">
        <f>E5-B12*SQRT(B11)</f>
        <v>-1.4182162910120213</v>
      </c>
    </row>
    <row r="8" spans="1:7" x14ac:dyDescent="0.3">
      <c r="A8" s="4" t="s">
        <v>38</v>
      </c>
      <c r="B8" s="8">
        <v>0.04</v>
      </c>
      <c r="E8" s="11" t="s">
        <v>3</v>
      </c>
      <c r="G8" s="11" t="s">
        <v>4</v>
      </c>
    </row>
    <row r="9" spans="1:7" x14ac:dyDescent="0.3">
      <c r="A9" s="4" t="s">
        <v>11</v>
      </c>
      <c r="B9" s="6">
        <v>0</v>
      </c>
      <c r="D9" t="s">
        <v>8</v>
      </c>
      <c r="E9">
        <v>1</v>
      </c>
      <c r="G9">
        <v>-1</v>
      </c>
    </row>
    <row r="10" spans="1:7" x14ac:dyDescent="0.3">
      <c r="A10" s="4" t="s">
        <v>13</v>
      </c>
      <c r="B10" s="10">
        <v>0.5</v>
      </c>
    </row>
    <row r="11" spans="1:7" x14ac:dyDescent="0.3">
      <c r="A11" s="4" t="s">
        <v>15</v>
      </c>
      <c r="B11" s="6">
        <f>B10-B9</f>
        <v>0.5</v>
      </c>
      <c r="D11" s="4" t="s">
        <v>39</v>
      </c>
      <c r="E11" s="6">
        <f>BSOptionValue(E9,$B$4,$B$5,$B$6,$B$8,$B$11,$B$12)</f>
        <v>4.4319543164867692E-3</v>
      </c>
      <c r="G11" s="6">
        <f>BSOptionValue(G9,$B$4,$B$5,$B$6,$B$8,$B$11,$B$12)</f>
        <v>0.16553506749986013</v>
      </c>
    </row>
    <row r="12" spans="1:7" x14ac:dyDescent="0.3">
      <c r="A12" s="4" t="s">
        <v>17</v>
      </c>
      <c r="B12" s="8">
        <v>0.1</v>
      </c>
    </row>
    <row r="13" spans="1:7" x14ac:dyDescent="0.3">
      <c r="D13" t="s">
        <v>40</v>
      </c>
      <c r="E13" s="6">
        <f>EXP(-B6*B11)*(E4*NORMSDIST(E5)-B5*NORMSDIST(E6))</f>
        <v>4.4319543164867961E-3</v>
      </c>
      <c r="G13" s="6">
        <f>(B5*(1-NORMSDIST(E6))-E4*(1-NORMSDIST(E5)))*EXP(-B6*B11)</f>
        <v>0.16553506749985999</v>
      </c>
    </row>
    <row r="14" spans="1:7" x14ac:dyDescent="0.3">
      <c r="D14" t="s">
        <v>41</v>
      </c>
      <c r="E14" s="6">
        <f>BlackOptionValue(E9,$E$4,$B$5,$B$6,$B$8,$B$11,$B$12)</f>
        <v>4.4319543164867969E-3</v>
      </c>
      <c r="G14" s="6">
        <f>BlackOptionValue(G9,$E$4,$B$5,$B$6,$B$8,$B$11,$B$12)</f>
        <v>0.16553506749986036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/>
  </sheetViews>
  <sheetFormatPr defaultRowHeight="13" x14ac:dyDescent="0.3"/>
  <cols>
    <col min="1" max="1" width="22.296875" customWidth="1"/>
  </cols>
  <sheetData>
    <row r="1" spans="1:7" x14ac:dyDescent="0.3">
      <c r="A1" s="2" t="s">
        <v>0</v>
      </c>
    </row>
    <row r="2" spans="1:7" x14ac:dyDescent="0.3">
      <c r="A2" s="2" t="s">
        <v>42</v>
      </c>
    </row>
    <row r="4" spans="1:7" x14ac:dyDescent="0.3">
      <c r="A4" s="4" t="s">
        <v>43</v>
      </c>
      <c r="B4" s="5">
        <v>19</v>
      </c>
      <c r="E4" s="11" t="s">
        <v>3</v>
      </c>
      <c r="G4" s="11" t="s">
        <v>4</v>
      </c>
    </row>
    <row r="5" spans="1:7" x14ac:dyDescent="0.3">
      <c r="A5" s="4" t="s">
        <v>5</v>
      </c>
      <c r="B5" s="5">
        <v>19</v>
      </c>
      <c r="D5" t="s">
        <v>8</v>
      </c>
      <c r="E5">
        <v>1</v>
      </c>
      <c r="G5">
        <v>-1</v>
      </c>
    </row>
    <row r="6" spans="1:7" x14ac:dyDescent="0.3">
      <c r="A6" s="4" t="s">
        <v>37</v>
      </c>
      <c r="B6" s="8">
        <v>0.08</v>
      </c>
      <c r="E6" s="6"/>
    </row>
    <row r="7" spans="1:7" x14ac:dyDescent="0.3">
      <c r="D7" s="7" t="s">
        <v>40</v>
      </c>
      <c r="E7" s="6">
        <f>BlackOptionValue(E5,$B$4,$B$5,$B$6,$B$6,$B$11,$B$12)</f>
        <v>0.51485888996629114</v>
      </c>
      <c r="G7" s="6">
        <f>BlackOptionValue(G5,$B$4,$B$5,$B$6,$B$6,$B$11,$B$12)</f>
        <v>0.51485888996629114</v>
      </c>
    </row>
    <row r="8" spans="1:7" x14ac:dyDescent="0.3">
      <c r="D8" t="s">
        <v>44</v>
      </c>
      <c r="E8" s="6">
        <f>BSOptionValue(E5,$B$4,$B$5,$B$6,$B$6,$B$11,$B$12)</f>
        <v>0.51485888996629114</v>
      </c>
      <c r="G8" s="6">
        <f>BSOptionValue(G5,$B$4,$B$5,$B$6,$B$6,$B$11,$B$12)</f>
        <v>0.51485888996629114</v>
      </c>
    </row>
    <row r="9" spans="1:7" x14ac:dyDescent="0.3">
      <c r="A9" s="4" t="s">
        <v>11</v>
      </c>
      <c r="B9" s="6">
        <v>0</v>
      </c>
    </row>
    <row r="10" spans="1:7" x14ac:dyDescent="0.3">
      <c r="A10" s="4" t="s">
        <v>13</v>
      </c>
      <c r="B10" s="10">
        <v>0.5</v>
      </c>
      <c r="D10" s="3" t="s">
        <v>12</v>
      </c>
      <c r="E10" s="6">
        <f>BlackFuturesOptionValue(E5,$B$4,$B$5,$B$6,$B$11,$B$12)</f>
        <v>0.51485888996629114</v>
      </c>
      <c r="G10" s="6">
        <f>BlackFuturesOptionValue(G5,$B$4,$B$5,$B$6,$B$11,$B$12)</f>
        <v>0.51485888996629114</v>
      </c>
    </row>
    <row r="11" spans="1:7" x14ac:dyDescent="0.3">
      <c r="A11" s="4" t="s">
        <v>15</v>
      </c>
      <c r="B11" s="6">
        <f>B10-B9</f>
        <v>0.5</v>
      </c>
    </row>
    <row r="12" spans="1:7" x14ac:dyDescent="0.3">
      <c r="A12" s="4" t="s">
        <v>17</v>
      </c>
      <c r="B12" s="8">
        <v>0.1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workbookViewId="0"/>
  </sheetViews>
  <sheetFormatPr defaultRowHeight="13" x14ac:dyDescent="0.3"/>
  <cols>
    <col min="1" max="1" width="22.296875" customWidth="1"/>
  </cols>
  <sheetData>
    <row r="1" spans="1:7" x14ac:dyDescent="0.3">
      <c r="A1" s="2" t="s">
        <v>0</v>
      </c>
    </row>
    <row r="2" spans="1:7" x14ac:dyDescent="0.3">
      <c r="A2" s="2" t="s">
        <v>45</v>
      </c>
    </row>
    <row r="3" spans="1:7" ht="14.25" customHeight="1" x14ac:dyDescent="0.3"/>
    <row r="4" spans="1:7" ht="15" x14ac:dyDescent="0.4">
      <c r="A4" s="4" t="s">
        <v>2</v>
      </c>
      <c r="B4" s="5">
        <v>100</v>
      </c>
      <c r="D4" s="4" t="s">
        <v>14</v>
      </c>
      <c r="E4" s="6">
        <f>(LN(B4/B5)+B14*B11)/(B12*SQRT(B11))</f>
        <v>0.61018573632363982</v>
      </c>
    </row>
    <row r="5" spans="1:7" ht="15" x14ac:dyDescent="0.4">
      <c r="A5" s="7" t="s">
        <v>5</v>
      </c>
      <c r="B5" s="5">
        <v>95</v>
      </c>
      <c r="D5" s="4" t="s">
        <v>16</v>
      </c>
      <c r="E5" s="6">
        <f>NORMSDIST(E4)</f>
        <v>0.7291306676505882</v>
      </c>
    </row>
    <row r="6" spans="1:7" ht="15" x14ac:dyDescent="0.4">
      <c r="A6" s="4" t="s">
        <v>7</v>
      </c>
      <c r="B6" s="8">
        <v>0.08</v>
      </c>
      <c r="D6" s="4" t="s">
        <v>46</v>
      </c>
      <c r="E6" s="6">
        <f>NORMDIST(E4,0,1,FALSE)</f>
        <v>0.33117715026026162</v>
      </c>
    </row>
    <row r="7" spans="1:7" ht="15" x14ac:dyDescent="0.4">
      <c r="A7" s="4" t="s">
        <v>47</v>
      </c>
      <c r="B7" s="9">
        <f>EXP(B6)-1</f>
        <v>8.3287067674958637E-2</v>
      </c>
      <c r="D7" s="4" t="s">
        <v>20</v>
      </c>
      <c r="E7" s="6">
        <f>E4-B12*SQRT(B11)</f>
        <v>0.46876438008633026</v>
      </c>
      <c r="G7" s="11" t="s">
        <v>8</v>
      </c>
    </row>
    <row r="8" spans="1:7" ht="15" x14ac:dyDescent="0.4">
      <c r="A8" s="4" t="s">
        <v>9</v>
      </c>
      <c r="B8" s="8">
        <v>0.03</v>
      </c>
      <c r="D8" s="4" t="s">
        <v>22</v>
      </c>
      <c r="E8" s="6">
        <f>NORMSDIST(E7)</f>
        <v>0.68038095752264316</v>
      </c>
      <c r="G8" s="1">
        <v>-1</v>
      </c>
    </row>
    <row r="9" spans="1:7" x14ac:dyDescent="0.3">
      <c r="A9" s="4" t="s">
        <v>11</v>
      </c>
      <c r="B9" s="6">
        <v>0</v>
      </c>
    </row>
    <row r="10" spans="1:7" x14ac:dyDescent="0.3">
      <c r="A10" s="4" t="s">
        <v>13</v>
      </c>
      <c r="B10" s="10">
        <v>0.5</v>
      </c>
      <c r="E10" s="11" t="s">
        <v>3</v>
      </c>
      <c r="G10" s="11" t="str">
        <f>IF(G8=1,"Call","Put")</f>
        <v>Put</v>
      </c>
    </row>
    <row r="11" spans="1:7" x14ac:dyDescent="0.3">
      <c r="A11" s="4" t="s">
        <v>15</v>
      </c>
      <c r="B11" s="6">
        <f>B10-B9</f>
        <v>0.5</v>
      </c>
      <c r="D11" s="4" t="s">
        <v>48</v>
      </c>
      <c r="E11" s="12">
        <f>B4*B16*E5-B5*B15*E8</f>
        <v>9.7257629574651006</v>
      </c>
      <c r="G11" s="12">
        <f>BSOptionValue(G8,B4,B5,B6,B8,B11,B12)</f>
        <v>2.4895657166295493</v>
      </c>
    </row>
    <row r="12" spans="1:7" x14ac:dyDescent="0.3">
      <c r="A12" s="4" t="s">
        <v>17</v>
      </c>
      <c r="B12" s="8">
        <v>0.2</v>
      </c>
    </row>
    <row r="13" spans="1:7" x14ac:dyDescent="0.3">
      <c r="D13" s="13" t="s">
        <v>49</v>
      </c>
      <c r="E13" s="12">
        <f>B16*E5</f>
        <v>0.718275326233347</v>
      </c>
      <c r="G13" s="12">
        <f>BSOptionDelta($G$8,$B$4,$B$5,$B$6,$B$8,$B$11,$B$12)</f>
        <v>-0.26683661336971565</v>
      </c>
    </row>
    <row r="14" spans="1:7" x14ac:dyDescent="0.3">
      <c r="A14" s="4" t="s">
        <v>18</v>
      </c>
      <c r="B14" s="6">
        <f>B6-B8+0.5*B12^2</f>
        <v>7.0000000000000007E-2</v>
      </c>
      <c r="D14" s="13" t="s">
        <v>50</v>
      </c>
      <c r="E14" s="12">
        <f>(B16*E6)/(B4*B12*SQRT(B11))</f>
        <v>2.3069115834078776E-2</v>
      </c>
      <c r="G14" s="12">
        <f>BSOptionGamma($G$8,$B$4,$B$5,$B$6,$B$8,$B$11,$B$12)</f>
        <v>2.3069115834078776E-2</v>
      </c>
    </row>
    <row r="15" spans="1:7" x14ac:dyDescent="0.3">
      <c r="A15" s="4" t="s">
        <v>19</v>
      </c>
      <c r="B15" s="6">
        <f>EXP(-B6*B11)</f>
        <v>0.96078943915232318</v>
      </c>
      <c r="D15" s="13" t="s">
        <v>51</v>
      </c>
      <c r="E15" s="12">
        <f>B5*B11*B15*E8</f>
        <v>31.050884832934795</v>
      </c>
      <c r="G15" s="12">
        <f>BSOptionRho($G$8,$B$4,$B$5,$B$6,$B$8,$B$11,$B$12)</f>
        <v>-14.586613526800557</v>
      </c>
    </row>
    <row r="16" spans="1:7" x14ac:dyDescent="0.3">
      <c r="A16" s="4" t="s">
        <v>21</v>
      </c>
      <c r="B16" s="6">
        <f>EXP(-B8*B11)</f>
        <v>0.98511193960306265</v>
      </c>
      <c r="D16" s="13" t="s">
        <v>52</v>
      </c>
      <c r="E16" s="12">
        <f>B6*E11-(B6-B8)*B4*E13-0.5*(B12^2)*(B4^2)*E14</f>
        <v>-7.4271387613852831</v>
      </c>
      <c r="G16" s="12">
        <f>BSOptionTheta($G$8,$B$4,$B$5,$B$6,$B$8,$B$11,$B$12)</f>
        <v>-3.0804748426368129</v>
      </c>
    </row>
    <row r="17" spans="1:8" x14ac:dyDescent="0.3">
      <c r="D17" s="13" t="s">
        <v>53</v>
      </c>
      <c r="E17" s="12">
        <f>B4*B16*SQRT(B11)*E6</f>
        <v>23.069115834078779</v>
      </c>
      <c r="G17" s="12">
        <f>BSOptionVega($G$8,$B$4,$B$5,$B$6,$B$8,$B$11,$B$12)</f>
        <v>23.069115834078779</v>
      </c>
    </row>
    <row r="19" spans="1:8" x14ac:dyDescent="0.3">
      <c r="A19" s="1" t="s">
        <v>54</v>
      </c>
      <c r="D19" s="14" t="s">
        <v>55</v>
      </c>
      <c r="E19" s="14"/>
      <c r="G19" s="14" t="s">
        <v>56</v>
      </c>
      <c r="H19" s="14"/>
    </row>
    <row r="21" spans="1:8" x14ac:dyDescent="0.3">
      <c r="D21" t="s">
        <v>57</v>
      </c>
      <c r="E21" s="15">
        <v>-1</v>
      </c>
      <c r="G21" s="4" t="s">
        <v>58</v>
      </c>
      <c r="H21" s="5">
        <v>102</v>
      </c>
    </row>
    <row r="22" spans="1:8" x14ac:dyDescent="0.3">
      <c r="D22" t="s">
        <v>59</v>
      </c>
      <c r="E22" s="12">
        <f>-E21*E13</f>
        <v>0.718275326233347</v>
      </c>
    </row>
    <row r="23" spans="1:8" x14ac:dyDescent="0.3">
      <c r="D23" t="s">
        <v>60</v>
      </c>
      <c r="E23" s="12">
        <f>E21*(E13*B4-E11)</f>
        <v>-62.101769665869604</v>
      </c>
    </row>
    <row r="25" spans="1:8" x14ac:dyDescent="0.3">
      <c r="D25" s="4" t="s">
        <v>61</v>
      </c>
      <c r="E25" s="12">
        <f>E21*E11</f>
        <v>-9.7257629574651006</v>
      </c>
      <c r="G25" s="4" t="s">
        <v>61</v>
      </c>
      <c r="H25" s="12">
        <f>E21*BSOptionValue(1,H21,B5,B6,B8,B11-1/52,B12)</f>
        <v>-11.066150546690309</v>
      </c>
    </row>
    <row r="26" spans="1:8" x14ac:dyDescent="0.3">
      <c r="D26" s="4" t="s">
        <v>62</v>
      </c>
      <c r="E26" s="12">
        <f>E22*B4</f>
        <v>71.827532623334704</v>
      </c>
      <c r="G26" s="4" t="s">
        <v>62</v>
      </c>
      <c r="H26" s="12">
        <f>E22*H21</f>
        <v>73.264083275801397</v>
      </c>
    </row>
    <row r="27" spans="1:8" x14ac:dyDescent="0.3">
      <c r="D27" t="s">
        <v>63</v>
      </c>
      <c r="E27" s="12">
        <f>E23</f>
        <v>-62.101769665869604</v>
      </c>
      <c r="G27" t="s">
        <v>63</v>
      </c>
      <c r="H27" s="12">
        <f>E27+SIGN(E27)*ABS(E27)*B7/52</f>
        <v>-62.201236479194527</v>
      </c>
    </row>
    <row r="29" spans="1:8" x14ac:dyDescent="0.3">
      <c r="D29" t="s">
        <v>64</v>
      </c>
      <c r="E29" s="12">
        <f>SUM(E25:E27)</f>
        <v>0</v>
      </c>
      <c r="G29" t="s">
        <v>64</v>
      </c>
      <c r="H29" s="12">
        <f>SUM(H25:H27)</f>
        <v>-3.3037500834396383E-3</v>
      </c>
    </row>
    <row r="33" spans="1:8" x14ac:dyDescent="0.3">
      <c r="A33" s="1" t="s">
        <v>65</v>
      </c>
      <c r="D33" s="14" t="s">
        <v>55</v>
      </c>
      <c r="E33" s="14"/>
      <c r="G33" s="14" t="s">
        <v>56</v>
      </c>
      <c r="H33" s="14"/>
    </row>
    <row r="35" spans="1:8" x14ac:dyDescent="0.3">
      <c r="A35" s="1" t="s">
        <v>66</v>
      </c>
      <c r="D35" t="s">
        <v>57</v>
      </c>
      <c r="E35" s="15">
        <v>-1</v>
      </c>
      <c r="G35" s="4" t="s">
        <v>58</v>
      </c>
      <c r="H35" s="15">
        <f>H21</f>
        <v>102</v>
      </c>
    </row>
    <row r="36" spans="1:8" x14ac:dyDescent="0.3">
      <c r="D36" t="s">
        <v>59</v>
      </c>
      <c r="E36" s="12">
        <f>-E35*E13-E37*B42</f>
        <v>6.9057763553177387E-2</v>
      </c>
    </row>
    <row r="37" spans="1:8" x14ac:dyDescent="0.3">
      <c r="A37" t="s">
        <v>67</v>
      </c>
      <c r="B37" s="5">
        <v>100</v>
      </c>
      <c r="D37" t="s">
        <v>68</v>
      </c>
      <c r="E37" s="12">
        <f>-E35*E14/B43</f>
        <v>1.0725154074608096</v>
      </c>
    </row>
    <row r="38" spans="1:8" x14ac:dyDescent="0.3">
      <c r="A38" t="s">
        <v>69</v>
      </c>
      <c r="B38" s="5">
        <v>0.75</v>
      </c>
      <c r="D38" t="s">
        <v>60</v>
      </c>
      <c r="E38" s="12">
        <f>-(E35*E11+E36*B4+E37*B40)</f>
        <v>-6.3790706840714222</v>
      </c>
    </row>
    <row r="40" spans="1:8" x14ac:dyDescent="0.3">
      <c r="A40" s="4" t="s">
        <v>48</v>
      </c>
      <c r="B40" s="12">
        <f>BSOptionValue(1,B4,B37,B6,B8,B38,B12)</f>
        <v>8.5770863730504701</v>
      </c>
    </row>
    <row r="41" spans="1:8" x14ac:dyDescent="0.3">
      <c r="D41" s="4" t="s">
        <v>61</v>
      </c>
      <c r="E41" s="12">
        <f>E35*E11</f>
        <v>-9.7257629574651006</v>
      </c>
      <c r="G41" s="4" t="s">
        <v>61</v>
      </c>
      <c r="H41" s="12">
        <f>E35*BSOptionValue(1,H35,B5,B6,B8,B11-1/52,B12)</f>
        <v>-11.066150546690309</v>
      </c>
    </row>
    <row r="42" spans="1:8" x14ac:dyDescent="0.3">
      <c r="A42" s="13" t="s">
        <v>49</v>
      </c>
      <c r="B42" s="12">
        <f>BSOptionDelta(1,$B$4,$B$37,$B$6,$B$8,$B$38,$B$12)</f>
        <v>0.60532236475483214</v>
      </c>
      <c r="D42" s="4" t="s">
        <v>62</v>
      </c>
      <c r="E42" s="12">
        <f>E36*B4</f>
        <v>6.9057763553177391</v>
      </c>
      <c r="G42" s="4" t="s">
        <v>62</v>
      </c>
      <c r="H42" s="12">
        <f>E36*H35</f>
        <v>7.0438918824240933</v>
      </c>
    </row>
    <row r="43" spans="1:8" x14ac:dyDescent="0.3">
      <c r="A43" s="13" t="s">
        <v>50</v>
      </c>
      <c r="B43" s="12">
        <f>BSOptionGamma(1,$B$4,$B$37,$B$6,$B$8,$B$38,$B$12)</f>
        <v>2.1509356111438182E-2</v>
      </c>
      <c r="D43" s="4" t="s">
        <v>70</v>
      </c>
      <c r="E43" s="12">
        <f>E37*B40</f>
        <v>9.1990572862187836</v>
      </c>
      <c r="G43" s="4" t="s">
        <v>70</v>
      </c>
      <c r="H43" s="12">
        <f>E37*BSOptionValue(1,H35,B37,B6,B8,B38-1/52,B12)</f>
        <v>10.403350571642937</v>
      </c>
    </row>
    <row r="44" spans="1:8" x14ac:dyDescent="0.3">
      <c r="A44" s="13" t="s">
        <v>51</v>
      </c>
      <c r="B44" s="12">
        <f>BSOptionRho(1,$B$4,$B$37,$B$6,$B$8,$B$38,$B$12)</f>
        <v>38.966362576824565</v>
      </c>
      <c r="D44" t="s">
        <v>63</v>
      </c>
      <c r="E44" s="12">
        <f>E38</f>
        <v>-6.3790706840714222</v>
      </c>
      <c r="G44" t="s">
        <v>63</v>
      </c>
      <c r="H44" s="12">
        <f>E44+SIGN(E44)*ABS(E44)*B7/365</f>
        <v>-6.3805262843228405</v>
      </c>
    </row>
    <row r="45" spans="1:8" x14ac:dyDescent="0.3">
      <c r="A45" s="13" t="s">
        <v>52</v>
      </c>
      <c r="B45" s="12">
        <f>BSOptionTheta(1,$B$4,$B$37,$B$6,$B$8,$B$38,$B$12)</f>
        <v>-6.6423161362177598</v>
      </c>
    </row>
    <row r="46" spans="1:8" x14ac:dyDescent="0.3">
      <c r="A46" s="13" t="s">
        <v>53</v>
      </c>
      <c r="B46" s="12">
        <f>BSOptionVega(1,$B$4,$B$37,$B$6,$B$8,$B$38,$B$12)</f>
        <v>32.26403416715727</v>
      </c>
      <c r="D46" t="s">
        <v>64</v>
      </c>
      <c r="E46" s="12">
        <f>SUM(E41:E44)</f>
        <v>0</v>
      </c>
      <c r="G46" t="s">
        <v>64</v>
      </c>
      <c r="H46" s="12">
        <f>SUM(H41:H44)</f>
        <v>5.6562305388041523E-4</v>
      </c>
    </row>
    <row r="49" spans="2:6" x14ac:dyDescent="0.3">
      <c r="B49" s="1" t="s">
        <v>71</v>
      </c>
    </row>
    <row r="51" spans="2:6" x14ac:dyDescent="0.3">
      <c r="E51" s="12">
        <f>H29</f>
        <v>-3.3037500834396383E-3</v>
      </c>
      <c r="F51" s="12">
        <f>H46</f>
        <v>5.6562305388041523E-4</v>
      </c>
    </row>
    <row r="52" spans="2:6" x14ac:dyDescent="0.3">
      <c r="D52">
        <v>90</v>
      </c>
      <c r="E52" s="12">
        <f t="dataTable" ref="E52:F62" dt2D="0" dtr="0" r1="H21"/>
        <v>-1.2989948900999266</v>
      </c>
      <c r="F52" s="12">
        <v>-7.8429717551690814E-2</v>
      </c>
    </row>
    <row r="53" spans="2:6" x14ac:dyDescent="0.3">
      <c r="D53">
        <v>92</v>
      </c>
      <c r="E53" s="12">
        <v>-0.79501731463910374</v>
      </c>
      <c r="F53" s="12">
        <v>-3.2696743734963007E-2</v>
      </c>
    </row>
    <row r="54" spans="2:6" x14ac:dyDescent="0.3">
      <c r="D54">
        <v>94</v>
      </c>
      <c r="E54" s="12">
        <v>-0.41405520986499766</v>
      </c>
      <c r="F54" s="12">
        <v>-5.5409730173749949E-3</v>
      </c>
    </row>
    <row r="55" spans="2:6" x14ac:dyDescent="0.3">
      <c r="D55">
        <v>96</v>
      </c>
      <c r="E55" s="12">
        <v>-0.15190618654768429</v>
      </c>
      <c r="F55" s="12">
        <v>6.6822399899688634E-3</v>
      </c>
    </row>
    <row r="56" spans="2:6" x14ac:dyDescent="0.3">
      <c r="D56">
        <v>98</v>
      </c>
      <c r="E56" s="12">
        <v>-1.9338251434817266E-3</v>
      </c>
      <c r="F56" s="12">
        <v>8.4039381342071451E-3</v>
      </c>
    </row>
    <row r="57" spans="2:6" x14ac:dyDescent="0.3">
      <c r="D57">
        <v>100</v>
      </c>
      <c r="E57" s="12">
        <v>4.4361810814173452E-2</v>
      </c>
      <c r="F57" s="12">
        <v>4.6697068464212066E-3</v>
      </c>
    </row>
    <row r="58" spans="2:6" x14ac:dyDescent="0.3">
      <c r="D58">
        <v>102</v>
      </c>
      <c r="E58" s="12">
        <v>-3.3037500834396383E-3</v>
      </c>
      <c r="F58" s="12">
        <v>5.6562305388041523E-4</v>
      </c>
    </row>
    <row r="59" spans="2:6" x14ac:dyDescent="0.3">
      <c r="D59">
        <v>104</v>
      </c>
      <c r="E59" s="12">
        <v>-0.13455864539289308</v>
      </c>
      <c r="F59" s="12">
        <v>9.051127606651832E-4</v>
      </c>
    </row>
    <row r="60" spans="2:6" x14ac:dyDescent="0.3">
      <c r="D60">
        <v>106</v>
      </c>
      <c r="E60" s="12">
        <v>-0.33888462845343525</v>
      </c>
      <c r="F60" s="12">
        <v>1.0021021085814041E-2</v>
      </c>
    </row>
    <row r="61" spans="2:6" x14ac:dyDescent="0.3">
      <c r="D61">
        <v>108</v>
      </c>
      <c r="E61" s="12">
        <v>-0.60604205215793883</v>
      </c>
      <c r="F61" s="12">
        <v>3.1565375363435066E-2</v>
      </c>
    </row>
    <row r="62" spans="2:6" x14ac:dyDescent="0.3">
      <c r="D62">
        <v>110</v>
      </c>
      <c r="E62" s="12">
        <v>-0.92639395558042992</v>
      </c>
      <c r="F62" s="12">
        <v>6.839679064261972E-2</v>
      </c>
    </row>
  </sheetData>
  <printOptions headings="1" gridLines="1"/>
  <pageMargins left="0.75" right="0.75" top="1" bottom="1" header="0.5" footer="0.5"/>
  <pageSetup paperSize="9" scale="82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BS</vt:lpstr>
      <vt:lpstr>Currency</vt:lpstr>
      <vt:lpstr>Commodities</vt:lpstr>
      <vt:lpstr>Hedge</vt:lpstr>
      <vt:lpstr>Chart1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11 </dc:title>
  <dc:creator>Mary Jackson and Mike Staunton</dc:creator>
  <dc:description/>
  <cp:lastModifiedBy>Carina Negreanu</cp:lastModifiedBy>
  <cp:lastPrinted>2000-02-27T12:40:14Z</cp:lastPrinted>
  <dcterms:created xsi:type="dcterms:W3CDTF">1997-06-13T13:38:33Z</dcterms:created>
  <dcterms:modified xsi:type="dcterms:W3CDTF">2020-01-27T11:56:27Z</dcterms:modified>
</cp:coreProperties>
</file>